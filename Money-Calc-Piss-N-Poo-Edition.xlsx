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ercercountyorg-my.sharepoint.com/personal/dcifelli2_mercercounty_org/Documents/Desktop/"/>
    </mc:Choice>
  </mc:AlternateContent>
  <xr:revisionPtr revIDLastSave="0" documentId="8_{5FF79860-5490-4436-B1A6-AFAA8DF577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om" sheetId="1" r:id="rId1"/>
    <sheet name="Sid" sheetId="2" r:id="rId2"/>
    <sheet name="Combine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C21" i="3"/>
  <c r="C20" i="3"/>
  <c r="C19" i="3"/>
  <c r="C18" i="3"/>
  <c r="C17" i="3"/>
  <c r="C16" i="3"/>
  <c r="C22" i="3" s="1"/>
  <c r="C15" i="3"/>
  <c r="C14" i="3"/>
  <c r="C13" i="3"/>
  <c r="C12" i="3"/>
  <c r="C11" i="3"/>
  <c r="D6" i="3"/>
  <c r="B8" i="3" s="1"/>
  <c r="B24" i="3" s="1"/>
  <c r="D5" i="3"/>
  <c r="D4" i="3"/>
  <c r="B20" i="2"/>
  <c r="C19" i="2"/>
  <c r="C18" i="2"/>
  <c r="C17" i="2"/>
  <c r="C16" i="2"/>
  <c r="C15" i="2"/>
  <c r="C14" i="2"/>
  <c r="C13" i="2"/>
  <c r="C12" i="2"/>
  <c r="C11" i="2"/>
  <c r="C10" i="2"/>
  <c r="C20" i="2" s="1"/>
  <c r="D4" i="2"/>
  <c r="C7" i="2" s="1"/>
  <c r="C20" i="1"/>
  <c r="B20" i="1"/>
  <c r="C19" i="1"/>
  <c r="C18" i="1"/>
  <c r="C17" i="1"/>
  <c r="C16" i="1"/>
  <c r="C15" i="1"/>
  <c r="C14" i="1"/>
  <c r="C13" i="1"/>
  <c r="C12" i="1"/>
  <c r="C11" i="1"/>
  <c r="C10" i="1"/>
  <c r="D4" i="1"/>
  <c r="C7" i="1" s="1"/>
  <c r="C22" i="1" s="1"/>
  <c r="C22" i="2" l="1"/>
  <c r="B7" i="1"/>
  <c r="B22" i="1" s="1"/>
  <c r="B7" i="2"/>
  <c r="B22" i="2" s="1"/>
  <c r="C8" i="3"/>
  <c r="C24" i="3" s="1"/>
</calcChain>
</file>

<file path=xl/sharedStrings.xml><?xml version="1.0" encoding="utf-8"?>
<sst xmlns="http://schemas.openxmlformats.org/spreadsheetml/2006/main" count="109" uniqueCount="54">
  <si>
    <t>Dom Monthly &amp; Annual Budget</t>
  </si>
  <si>
    <t>INCOME INPUTS</t>
  </si>
  <si>
    <t>Amount ($)</t>
  </si>
  <si>
    <t>Frequency</t>
  </si>
  <si>
    <t>Annual ($)</t>
  </si>
  <si>
    <t>How to use</t>
  </si>
  <si>
    <t>Take-Home Paycheck</t>
  </si>
  <si>
    <t>Biweekly</t>
  </si>
  <si>
    <t>Blue numbers = inputs you can change.</t>
  </si>
  <si>
    <t>Monthly and annual totals update automatically.</t>
  </si>
  <si>
    <t>BUDGET SUMMARY</t>
  </si>
  <si>
    <t>Monthly ($)</t>
  </si>
  <si>
    <t>Biweekly income uses 26 paychecks/year.</t>
  </si>
  <si>
    <t>Net Income</t>
  </si>
  <si>
    <t>MONTHLY EXPENSES</t>
  </si>
  <si>
    <t>Notes</t>
  </si>
  <si>
    <t>Rent</t>
  </si>
  <si>
    <t>Mutual Fund</t>
  </si>
  <si>
    <t>Student Loans</t>
  </si>
  <si>
    <t>Monthly payment</t>
  </si>
  <si>
    <t>HYSA Savings</t>
  </si>
  <si>
    <t>Monthly savings</t>
  </si>
  <si>
    <t>Groceries</t>
  </si>
  <si>
    <t>Estimated</t>
  </si>
  <si>
    <t>Internet</t>
  </si>
  <si>
    <t>Utilities</t>
  </si>
  <si>
    <t>Gas / Transportation</t>
  </si>
  <si>
    <t>Pets</t>
  </si>
  <si>
    <t>Other</t>
  </si>
  <si>
    <t>Anything else</t>
  </si>
  <si>
    <t>Total Expenses</t>
  </si>
  <si>
    <t>NET POSITIVE / (NEGATIVE)</t>
  </si>
  <si>
    <t>Girlfriend Monthly &amp; Annual Budget</t>
  </si>
  <si>
    <t>Savings / Investments</t>
  </si>
  <si>
    <t>Student Loans / Debt</t>
  </si>
  <si>
    <t>Car / Insurance</t>
  </si>
  <si>
    <t>Phone</t>
  </si>
  <si>
    <t>Combined Monthly &amp; Annual Budget</t>
  </si>
  <si>
    <t>Your Take-Home Paycheck</t>
  </si>
  <si>
    <t>Girlfriend Take-Home Paycheck</t>
  </si>
  <si>
    <t>Combined Annual Income</t>
  </si>
  <si>
    <t>Total household rent</t>
  </si>
  <si>
    <t>Dom Mutual Fund</t>
  </si>
  <si>
    <t>Dom's monthly investment</t>
  </si>
  <si>
    <t>Dom Student Loans</t>
  </si>
  <si>
    <t>Dom's monthly payment</t>
  </si>
  <si>
    <t>Dom HYSA Savings</t>
  </si>
  <si>
    <t>Dom's monthly savings</t>
  </si>
  <si>
    <t>Household estimate</t>
  </si>
  <si>
    <t>Enter total household amount</t>
  </si>
  <si>
    <t>Enter combined amount</t>
  </si>
  <si>
    <t>Girlfriend Personal Expenses</t>
  </si>
  <si>
    <t>Enter total of her other monthly expenses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</si>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</sst>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(\$#,##0.00\);\-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0" fillId="0" borderId="0" xfId="0" applyNumberFormat="1" applyAlignment="1">
      <alignment vertical="center" wrapText="1"/>
    </xf>
    <xf numFmtId="0" fontId="2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bgColor rgb="FFF4CCCC"/>
        </patternFill>
      </fill>
    </dxf>
    <dxf>
      <font>
        <b/>
        <color rgb="FFFF0000"/>
      </font>
      <fill>
        <patternFill patternType="solid">
          <bgColor rgb="FFF4CCCC"/>
        </patternFill>
      </fill>
    </dxf>
    <dxf>
      <font>
        <b/>
        <color rgb="FFFF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B15" sqref="B15"/>
    </sheetView>
  </sheetViews>
  <sheetFormatPr defaultRowHeight="14.25"/>
  <cols>
    <col min="1" max="1" width="30" customWidth="1"/>
    <col min="2" max="3" width="16" customWidth="1"/>
    <col min="4" max="4" width="28" customWidth="1"/>
    <col min="6" max="6" width="38" customWidth="1"/>
  </cols>
  <sheetData>
    <row r="1" spans="1:6" ht="27.95" customHeight="1">
      <c r="A1" s="16" t="s">
        <v>0</v>
      </c>
      <c r="B1" s="16"/>
      <c r="C1" s="16"/>
      <c r="D1" s="16"/>
    </row>
    <row r="2" spans="1:6">
      <c r="A2" s="1"/>
      <c r="B2" s="1"/>
      <c r="C2" s="1"/>
      <c r="D2" s="1"/>
    </row>
    <row r="3" spans="1:6" ht="15">
      <c r="A3" s="2" t="s">
        <v>1</v>
      </c>
      <c r="B3" s="2" t="s">
        <v>2</v>
      </c>
      <c r="C3" s="2" t="s">
        <v>3</v>
      </c>
      <c r="D3" s="2" t="s">
        <v>4</v>
      </c>
      <c r="F3" s="14" t="s">
        <v>5</v>
      </c>
    </row>
    <row r="4" spans="1:6">
      <c r="A4" s="1" t="s">
        <v>6</v>
      </c>
      <c r="B4" s="3">
        <v>1593.29</v>
      </c>
      <c r="C4" s="4" t="s">
        <v>7</v>
      </c>
      <c r="D4" s="4">
        <f>B4*26</f>
        <v>41425.54</v>
      </c>
      <c r="F4" s="15" t="s">
        <v>8</v>
      </c>
    </row>
    <row r="5" spans="1:6" ht="28.5">
      <c r="A5" s="1"/>
      <c r="B5" s="4"/>
      <c r="C5" s="4"/>
      <c r="D5" s="4"/>
      <c r="F5" s="15" t="s">
        <v>9</v>
      </c>
    </row>
    <row r="6" spans="1:6" ht="15">
      <c r="A6" s="5" t="s">
        <v>10</v>
      </c>
      <c r="B6" s="6" t="s">
        <v>11</v>
      </c>
      <c r="C6" s="6" t="s">
        <v>4</v>
      </c>
      <c r="D6" s="6"/>
      <c r="F6" s="15" t="s">
        <v>12</v>
      </c>
    </row>
    <row r="7" spans="1:6">
      <c r="A7" s="1" t="s">
        <v>13</v>
      </c>
      <c r="B7" s="4">
        <f>D4/12</f>
        <v>3452.1283333333336</v>
      </c>
      <c r="C7" s="4">
        <f>D4</f>
        <v>41425.54</v>
      </c>
      <c r="D7" s="4"/>
    </row>
    <row r="8" spans="1:6">
      <c r="A8" s="1"/>
      <c r="B8" s="4"/>
      <c r="C8" s="4"/>
      <c r="D8" s="4"/>
    </row>
    <row r="9" spans="1:6" ht="15">
      <c r="A9" s="7" t="s">
        <v>14</v>
      </c>
      <c r="B9" s="8" t="s">
        <v>11</v>
      </c>
      <c r="C9" s="8" t="s">
        <v>4</v>
      </c>
      <c r="D9" s="8" t="s">
        <v>15</v>
      </c>
    </row>
    <row r="10" spans="1:6">
      <c r="A10" s="1" t="s">
        <v>16</v>
      </c>
      <c r="B10" s="3">
        <v>2400</v>
      </c>
      <c r="C10" s="4">
        <f t="shared" ref="C10:C19" si="0">B10*12</f>
        <v>28800</v>
      </c>
      <c r="D10" s="13"/>
    </row>
    <row r="11" spans="1:6">
      <c r="A11" s="1" t="s">
        <v>17</v>
      </c>
      <c r="B11" s="3">
        <v>500</v>
      </c>
      <c r="C11" s="4">
        <f t="shared" si="0"/>
        <v>6000</v>
      </c>
      <c r="D11" s="13" t="s">
        <v>53</v>
      </c>
    </row>
    <row r="12" spans="1:6">
      <c r="A12" s="1" t="s">
        <v>18</v>
      </c>
      <c r="B12" s="3">
        <v>225</v>
      </c>
      <c r="C12" s="4">
        <f t="shared" si="0"/>
        <v>2700</v>
      </c>
      <c r="D12" s="13" t="s">
        <v>19</v>
      </c>
    </row>
    <row r="13" spans="1:6">
      <c r="A13" s="1" t="s">
        <v>20</v>
      </c>
      <c r="B13" s="3">
        <v>400</v>
      </c>
      <c r="C13" s="4">
        <f t="shared" si="0"/>
        <v>4800</v>
      </c>
      <c r="D13" s="13" t="s">
        <v>21</v>
      </c>
    </row>
    <row r="14" spans="1:6">
      <c r="A14" s="1" t="s">
        <v>22</v>
      </c>
      <c r="B14" s="3">
        <v>200</v>
      </c>
      <c r="C14" s="4">
        <f t="shared" si="0"/>
        <v>2400</v>
      </c>
      <c r="D14" s="13" t="s">
        <v>23</v>
      </c>
    </row>
    <row r="15" spans="1:6">
      <c r="A15" s="1" t="s">
        <v>24</v>
      </c>
      <c r="B15" s="3">
        <v>30</v>
      </c>
      <c r="C15" s="4">
        <f t="shared" si="0"/>
        <v>360</v>
      </c>
      <c r="D15" s="13" t="s">
        <v>23</v>
      </c>
    </row>
    <row r="16" spans="1:6">
      <c r="A16" s="1" t="s">
        <v>25</v>
      </c>
      <c r="B16" s="3">
        <v>0</v>
      </c>
      <c r="C16" s="4">
        <f t="shared" si="0"/>
        <v>0</v>
      </c>
      <c r="D16" s="13"/>
    </row>
    <row r="17" spans="1:4">
      <c r="A17" s="1" t="s">
        <v>26</v>
      </c>
      <c r="B17" s="3">
        <v>0</v>
      </c>
      <c r="C17" s="4">
        <f t="shared" si="0"/>
        <v>0</v>
      </c>
      <c r="D17" s="13"/>
    </row>
    <row r="18" spans="1:4">
      <c r="A18" s="1" t="s">
        <v>27</v>
      </c>
      <c r="B18" s="3">
        <v>0</v>
      </c>
      <c r="C18" s="4">
        <f t="shared" si="0"/>
        <v>0</v>
      </c>
      <c r="D18" s="13"/>
    </row>
    <row r="19" spans="1:4">
      <c r="A19" s="1" t="s">
        <v>28</v>
      </c>
      <c r="B19" s="3">
        <v>0</v>
      </c>
      <c r="C19" s="4">
        <f t="shared" si="0"/>
        <v>0</v>
      </c>
      <c r="D19" s="13"/>
    </row>
    <row r="20" spans="1:4" ht="15">
      <c r="A20" s="9" t="s">
        <v>30</v>
      </c>
      <c r="B20" s="10">
        <f>SUM(B10:B19)</f>
        <v>3755</v>
      </c>
      <c r="C20" s="10">
        <f>SUM(C10:C19)</f>
        <v>45060</v>
      </c>
      <c r="D20" s="4"/>
    </row>
    <row r="21" spans="1:4">
      <c r="A21" s="1"/>
      <c r="B21" s="4"/>
      <c r="C21" s="4"/>
      <c r="D21" s="4"/>
    </row>
    <row r="22" spans="1:4" ht="15">
      <c r="A22" s="11" t="s">
        <v>31</v>
      </c>
      <c r="B22" s="12">
        <f>B7-B20</f>
        <v>-302.87166666666644</v>
      </c>
      <c r="C22" s="12">
        <f>C7-C20</f>
        <v>-3634.4599999999991</v>
      </c>
      <c r="D22" s="4"/>
    </row>
  </sheetData>
  <mergeCells count="1">
    <mergeCell ref="A1:D1"/>
  </mergeCells>
  <conditionalFormatting sqref="B22:C22">
    <cfRule type="expression" dxfId="2" priority="1">
      <formula>B22&lt;0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H14" sqref="H14"/>
    </sheetView>
  </sheetViews>
  <sheetFormatPr defaultRowHeight="14.25"/>
  <cols>
    <col min="1" max="1" width="30" customWidth="1"/>
    <col min="2" max="3" width="16" customWidth="1"/>
    <col min="4" max="4" width="28" customWidth="1"/>
  </cols>
  <sheetData>
    <row r="1" spans="1:4" ht="27.95" customHeight="1">
      <c r="A1" s="16" t="s">
        <v>32</v>
      </c>
      <c r="B1" s="16"/>
      <c r="C1" s="16"/>
      <c r="D1" s="16"/>
    </row>
    <row r="2" spans="1:4">
      <c r="A2" s="1"/>
      <c r="B2" s="1"/>
      <c r="C2" s="1"/>
      <c r="D2" s="1"/>
    </row>
    <row r="3" spans="1:4" ht="1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1" t="s">
        <v>6</v>
      </c>
      <c r="B4" s="3">
        <v>1300</v>
      </c>
      <c r="C4" s="4" t="s">
        <v>7</v>
      </c>
      <c r="D4" s="4">
        <f>B4*26</f>
        <v>33800</v>
      </c>
    </row>
    <row r="5" spans="1:4">
      <c r="A5" s="1"/>
      <c r="B5" s="4"/>
      <c r="C5" s="4"/>
      <c r="D5" s="4"/>
    </row>
    <row r="6" spans="1:4" ht="15">
      <c r="A6" s="5" t="s">
        <v>10</v>
      </c>
      <c r="B6" s="6" t="s">
        <v>11</v>
      </c>
      <c r="C6" s="6" t="s">
        <v>4</v>
      </c>
      <c r="D6" s="6"/>
    </row>
    <row r="7" spans="1:4">
      <c r="A7" s="1" t="s">
        <v>13</v>
      </c>
      <c r="B7" s="4">
        <f>D4/12</f>
        <v>2816.6666666666665</v>
      </c>
      <c r="C7" s="4">
        <f>D4</f>
        <v>33800</v>
      </c>
      <c r="D7" s="4"/>
    </row>
    <row r="8" spans="1:4">
      <c r="A8" s="1"/>
      <c r="B8" s="4"/>
      <c r="C8" s="4"/>
      <c r="D8" s="4"/>
    </row>
    <row r="9" spans="1:4" ht="15">
      <c r="A9" s="7" t="s">
        <v>14</v>
      </c>
      <c r="B9" s="8" t="s">
        <v>11</v>
      </c>
      <c r="C9" s="8" t="s">
        <v>4</v>
      </c>
      <c r="D9" s="8" t="s">
        <v>15</v>
      </c>
    </row>
    <row r="10" spans="1:4">
      <c r="A10" s="1" t="s">
        <v>16</v>
      </c>
      <c r="B10" s="3">
        <v>2400</v>
      </c>
      <c r="C10" s="4">
        <f t="shared" ref="C10:C19" si="0">B10*12</f>
        <v>28800</v>
      </c>
      <c r="D10" s="13"/>
    </row>
    <row r="11" spans="1:4">
      <c r="A11" s="1" t="s">
        <v>33</v>
      </c>
      <c r="B11" s="3">
        <v>0</v>
      </c>
      <c r="C11" s="4">
        <f t="shared" si="0"/>
        <v>0</v>
      </c>
      <c r="D11" s="13"/>
    </row>
    <row r="12" spans="1:4">
      <c r="A12" s="1" t="s">
        <v>34</v>
      </c>
      <c r="B12" s="3">
        <v>0</v>
      </c>
      <c r="C12" s="4">
        <f t="shared" si="0"/>
        <v>0</v>
      </c>
      <c r="D12" s="13"/>
    </row>
    <row r="13" spans="1:4">
      <c r="A13" s="1" t="s">
        <v>22</v>
      </c>
      <c r="B13" s="3">
        <v>200</v>
      </c>
      <c r="C13" s="4">
        <f t="shared" si="0"/>
        <v>2400</v>
      </c>
      <c r="D13" s="13"/>
    </row>
    <row r="14" spans="1:4">
      <c r="A14" s="1" t="s">
        <v>24</v>
      </c>
      <c r="B14" s="3">
        <v>30</v>
      </c>
      <c r="C14" s="4">
        <f t="shared" si="0"/>
        <v>360</v>
      </c>
      <c r="D14" s="13"/>
    </row>
    <row r="15" spans="1:4">
      <c r="A15" s="1" t="s">
        <v>25</v>
      </c>
      <c r="B15" s="3">
        <v>0</v>
      </c>
      <c r="C15" s="4">
        <f t="shared" si="0"/>
        <v>0</v>
      </c>
      <c r="D15" s="13"/>
    </row>
    <row r="16" spans="1:4">
      <c r="A16" s="1" t="s">
        <v>35</v>
      </c>
      <c r="B16" s="3">
        <v>0</v>
      </c>
      <c r="C16" s="4">
        <f t="shared" si="0"/>
        <v>0</v>
      </c>
      <c r="D16" s="13"/>
    </row>
    <row r="17" spans="1:4">
      <c r="A17" s="1" t="s">
        <v>36</v>
      </c>
      <c r="B17" s="3">
        <v>0</v>
      </c>
      <c r="C17" s="4">
        <f t="shared" si="0"/>
        <v>0</v>
      </c>
      <c r="D17" s="13"/>
    </row>
    <row r="18" spans="1:4">
      <c r="A18" s="1" t="s">
        <v>26</v>
      </c>
      <c r="B18" s="3">
        <v>0</v>
      </c>
      <c r="C18" s="4">
        <f t="shared" si="0"/>
        <v>0</v>
      </c>
      <c r="D18" s="13"/>
    </row>
    <row r="19" spans="1:4">
      <c r="A19" s="1" t="s">
        <v>28</v>
      </c>
      <c r="B19" s="3">
        <v>0</v>
      </c>
      <c r="C19" s="4">
        <f t="shared" si="0"/>
        <v>0</v>
      </c>
      <c r="D19" s="13"/>
    </row>
    <row r="20" spans="1:4" ht="15">
      <c r="A20" s="9" t="s">
        <v>30</v>
      </c>
      <c r="B20" s="10">
        <f>SUM(B10:B19)</f>
        <v>2630</v>
      </c>
      <c r="C20" s="10">
        <f>SUM(C10:C19)</f>
        <v>31560</v>
      </c>
      <c r="D20" s="4"/>
    </row>
    <row r="21" spans="1:4">
      <c r="A21" s="1"/>
      <c r="B21" s="4"/>
      <c r="C21" s="4"/>
      <c r="D21" s="4"/>
    </row>
    <row r="22" spans="1:4" ht="15">
      <c r="A22" s="11" t="s">
        <v>31</v>
      </c>
      <c r="B22" s="12">
        <f>B7-B20</f>
        <v>186.66666666666652</v>
      </c>
      <c r="C22" s="12">
        <f>C7-C20</f>
        <v>2240</v>
      </c>
      <c r="D22" s="4"/>
    </row>
  </sheetData>
  <mergeCells count="1">
    <mergeCell ref="A1:D1"/>
  </mergeCells>
  <conditionalFormatting sqref="B22:C22">
    <cfRule type="expression" dxfId="1" priority="1">
      <formula>B22&lt;0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sqref="A1:D1"/>
    </sheetView>
  </sheetViews>
  <sheetFormatPr defaultRowHeight="14.25"/>
  <cols>
    <col min="1" max="1" width="30" customWidth="1"/>
    <col min="2" max="3" width="16" customWidth="1"/>
    <col min="4" max="4" width="28" customWidth="1"/>
    <col min="6" max="6" width="38" customWidth="1"/>
  </cols>
  <sheetData>
    <row r="1" spans="1:6" ht="27.95" customHeight="1">
      <c r="A1" s="16" t="s">
        <v>37</v>
      </c>
      <c r="B1" s="16"/>
      <c r="C1" s="16"/>
      <c r="D1" s="16"/>
    </row>
    <row r="2" spans="1:6">
      <c r="A2" s="1"/>
      <c r="B2" s="1"/>
      <c r="C2" s="1"/>
      <c r="D2" s="1"/>
    </row>
    <row r="3" spans="1:6" ht="15">
      <c r="A3" s="2" t="s">
        <v>1</v>
      </c>
      <c r="B3" s="2" t="s">
        <v>2</v>
      </c>
      <c r="C3" s="2" t="s">
        <v>3</v>
      </c>
      <c r="D3" s="2" t="s">
        <v>4</v>
      </c>
      <c r="F3" s="14" t="s">
        <v>5</v>
      </c>
    </row>
    <row r="4" spans="1:6">
      <c r="A4" s="1" t="s">
        <v>38</v>
      </c>
      <c r="B4" s="3">
        <v>1593.29</v>
      </c>
      <c r="C4" s="4" t="s">
        <v>7</v>
      </c>
      <c r="D4" s="4">
        <f>B4*26</f>
        <v>41425.54</v>
      </c>
      <c r="F4" s="15" t="s">
        <v>8</v>
      </c>
    </row>
    <row r="5" spans="1:6" ht="28.5">
      <c r="A5" s="1" t="s">
        <v>39</v>
      </c>
      <c r="B5" s="3">
        <v>1300</v>
      </c>
      <c r="C5" s="4" t="s">
        <v>7</v>
      </c>
      <c r="D5" s="4">
        <f>B5*26</f>
        <v>33800</v>
      </c>
      <c r="F5" s="15" t="s">
        <v>9</v>
      </c>
    </row>
    <row r="6" spans="1:6">
      <c r="A6" s="1" t="s">
        <v>40</v>
      </c>
      <c r="B6" s="4"/>
      <c r="C6" s="4"/>
      <c r="D6" s="4">
        <f>SUM(D4:D5)</f>
        <v>75225.540000000008</v>
      </c>
      <c r="F6" s="15" t="s">
        <v>12</v>
      </c>
    </row>
    <row r="7" spans="1:6" ht="15">
      <c r="A7" s="5" t="s">
        <v>10</v>
      </c>
      <c r="B7" s="6" t="s">
        <v>11</v>
      </c>
      <c r="C7" s="6" t="s">
        <v>4</v>
      </c>
      <c r="D7" s="6"/>
    </row>
    <row r="8" spans="1:6">
      <c r="A8" s="1" t="s">
        <v>13</v>
      </c>
      <c r="B8" s="4">
        <f>D6/12</f>
        <v>6268.795000000001</v>
      </c>
      <c r="C8" s="4">
        <f>D6</f>
        <v>75225.540000000008</v>
      </c>
      <c r="D8" s="4"/>
    </row>
    <row r="9" spans="1:6">
      <c r="A9" s="1"/>
      <c r="B9" s="4"/>
      <c r="C9" s="4"/>
      <c r="D9" s="4"/>
    </row>
    <row r="10" spans="1:6" ht="15">
      <c r="A10" s="7" t="s">
        <v>14</v>
      </c>
      <c r="B10" s="8" t="s">
        <v>11</v>
      </c>
      <c r="C10" s="8" t="s">
        <v>4</v>
      </c>
      <c r="D10" s="8" t="s">
        <v>15</v>
      </c>
    </row>
    <row r="11" spans="1:6">
      <c r="A11" s="1" t="s">
        <v>16</v>
      </c>
      <c r="B11" s="3">
        <v>2400</v>
      </c>
      <c r="C11" s="4">
        <f t="shared" ref="C11:C21" si="0">B11*12</f>
        <v>28800</v>
      </c>
      <c r="D11" s="13" t="s">
        <v>41</v>
      </c>
    </row>
    <row r="12" spans="1:6">
      <c r="A12" s="1" t="s">
        <v>42</v>
      </c>
      <c r="B12" s="3">
        <v>500</v>
      </c>
      <c r="C12" s="4">
        <f t="shared" si="0"/>
        <v>6000</v>
      </c>
      <c r="D12" s="13" t="s">
        <v>43</v>
      </c>
    </row>
    <row r="13" spans="1:6">
      <c r="A13" s="1" t="s">
        <v>44</v>
      </c>
      <c r="B13" s="3">
        <v>225</v>
      </c>
      <c r="C13" s="4">
        <f t="shared" si="0"/>
        <v>2700</v>
      </c>
      <c r="D13" s="13" t="s">
        <v>45</v>
      </c>
    </row>
    <row r="14" spans="1:6">
      <c r="A14" s="1" t="s">
        <v>46</v>
      </c>
      <c r="B14" s="3">
        <v>400</v>
      </c>
      <c r="C14" s="4">
        <f t="shared" si="0"/>
        <v>4800</v>
      </c>
      <c r="D14" s="13" t="s">
        <v>47</v>
      </c>
    </row>
    <row r="15" spans="1:6">
      <c r="A15" s="1" t="s">
        <v>22</v>
      </c>
      <c r="B15" s="3">
        <v>200</v>
      </c>
      <c r="C15" s="4">
        <f t="shared" si="0"/>
        <v>2400</v>
      </c>
      <c r="D15" s="13" t="s">
        <v>48</v>
      </c>
    </row>
    <row r="16" spans="1:6">
      <c r="A16" s="1" t="s">
        <v>24</v>
      </c>
      <c r="B16" s="3">
        <v>30</v>
      </c>
      <c r="C16" s="4">
        <f t="shared" si="0"/>
        <v>360</v>
      </c>
      <c r="D16" s="13" t="s">
        <v>48</v>
      </c>
    </row>
    <row r="17" spans="1:4">
      <c r="A17" s="1" t="s">
        <v>25</v>
      </c>
      <c r="B17" s="3">
        <v>0</v>
      </c>
      <c r="C17" s="4">
        <f t="shared" si="0"/>
        <v>0</v>
      </c>
      <c r="D17" s="13" t="s">
        <v>49</v>
      </c>
    </row>
    <row r="18" spans="1:4">
      <c r="A18" s="1" t="s">
        <v>26</v>
      </c>
      <c r="B18" s="3">
        <v>0</v>
      </c>
      <c r="C18" s="4">
        <f t="shared" si="0"/>
        <v>0</v>
      </c>
      <c r="D18" s="13" t="s">
        <v>50</v>
      </c>
    </row>
    <row r="19" spans="1:4">
      <c r="A19" s="1" t="s">
        <v>27</v>
      </c>
      <c r="B19" s="3">
        <v>0</v>
      </c>
      <c r="C19" s="4">
        <f t="shared" si="0"/>
        <v>0</v>
      </c>
      <c r="D19" s="13" t="s">
        <v>50</v>
      </c>
    </row>
    <row r="20" spans="1:4" ht="28.5">
      <c r="A20" s="1" t="s">
        <v>51</v>
      </c>
      <c r="B20" s="3">
        <v>0</v>
      </c>
      <c r="C20" s="4">
        <f t="shared" si="0"/>
        <v>0</v>
      </c>
      <c r="D20" s="13" t="s">
        <v>52</v>
      </c>
    </row>
    <row r="21" spans="1:4">
      <c r="A21" s="1" t="s">
        <v>28</v>
      </c>
      <c r="B21" s="3">
        <v>0</v>
      </c>
      <c r="C21" s="4">
        <f t="shared" si="0"/>
        <v>0</v>
      </c>
      <c r="D21" s="13" t="s">
        <v>29</v>
      </c>
    </row>
    <row r="22" spans="1:4" ht="15">
      <c r="A22" s="9" t="s">
        <v>30</v>
      </c>
      <c r="B22" s="10">
        <f>SUM(B11:B21)</f>
        <v>3755</v>
      </c>
      <c r="C22" s="10">
        <f>SUM(C11:C21)</f>
        <v>45060</v>
      </c>
      <c r="D22" s="4"/>
    </row>
    <row r="23" spans="1:4">
      <c r="A23" s="1"/>
      <c r="B23" s="4"/>
      <c r="C23" s="4"/>
      <c r="D23" s="4"/>
    </row>
    <row r="24" spans="1:4" ht="15">
      <c r="A24" s="11" t="s">
        <v>31</v>
      </c>
      <c r="B24" s="12">
        <f>B8-B22</f>
        <v>2513.795000000001</v>
      </c>
      <c r="C24" s="12">
        <f>C8-C22</f>
        <v>30165.540000000008</v>
      </c>
      <c r="D24" s="4"/>
    </row>
  </sheetData>
  <mergeCells count="1">
    <mergeCell ref="A1:D1"/>
  </mergeCells>
  <conditionalFormatting sqref="B24:C24">
    <cfRule type="expression" dxfId="0" priority="1">
      <formula>B24&lt;0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</vt:lpstr>
      <vt:lpstr>Sid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Cifelli, Dominick</dc:creator>
  <cp:lastModifiedBy>Cifelli, Dominick</cp:lastModifiedBy>
  <dcterms:created xsi:type="dcterms:W3CDTF">2026-09-22T14:45:03Z</dcterms:created>
  <dcterms:modified xsi:type="dcterms:W3CDTF">2026-09-22T14:45:03Z</dcterms:modified>
</cp:coreProperties>
</file>