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elkangi/Desk_Docs/Research/Cifelli_Fernow/"/>
    </mc:Choice>
  </mc:AlternateContent>
  <xr:revisionPtr revIDLastSave="0" documentId="13_ncr:1_{ED1D0AB5-6A3E-8141-9ABD-69536D9DCC11}" xr6:coauthVersionLast="47" xr6:coauthVersionMax="47" xr10:uidLastSave="{00000000-0000-0000-0000-000000000000}"/>
  <bookViews>
    <workbookView xWindow="0" yWindow="760" windowWidth="30240" windowHeight="17240" xr2:uid="{31E434B1-CE17-EE4F-97C2-3E2B107D49C8}"/>
  </bookViews>
  <sheets>
    <sheet name="All_Data" sheetId="1" r:id="rId1"/>
    <sheet name="Use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1" l="1"/>
  <c r="Y2" i="2"/>
  <c r="Y3" i="2"/>
  <c r="Y8" i="2"/>
  <c r="Y9" i="2"/>
  <c r="Y14" i="2"/>
  <c r="Y15" i="2"/>
  <c r="Y20" i="2"/>
  <c r="Y21" i="2"/>
  <c r="Y26" i="2"/>
  <c r="Y27" i="2"/>
  <c r="Y32" i="2"/>
  <c r="Y33" i="2"/>
  <c r="Y38" i="2"/>
  <c r="Y39" i="2"/>
  <c r="Y44" i="2"/>
  <c r="Y45" i="2"/>
  <c r="Y50" i="2"/>
  <c r="Y51" i="2"/>
  <c r="Y56" i="2"/>
  <c r="Y57" i="2"/>
  <c r="Y62" i="2"/>
  <c r="Y63" i="2"/>
  <c r="Y68" i="2"/>
  <c r="Y69" i="2"/>
  <c r="Y74" i="2"/>
  <c r="Y75" i="2"/>
  <c r="Y80" i="2"/>
  <c r="Y81" i="2"/>
  <c r="Y86" i="2"/>
  <c r="Y87" i="2"/>
  <c r="Y92" i="2"/>
  <c r="Y93" i="2"/>
  <c r="Y98" i="2"/>
  <c r="Y99" i="2"/>
  <c r="Y104" i="2"/>
  <c r="Y105" i="2"/>
  <c r="J2" i="2"/>
  <c r="K2" i="2"/>
  <c r="L2" i="2"/>
  <c r="M2" i="2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J21" i="2"/>
  <c r="K21" i="2"/>
  <c r="L21" i="2" s="1"/>
  <c r="M21" i="2" s="1"/>
  <c r="Q21" i="2" s="1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O31" i="2" s="1"/>
  <c r="J32" i="2"/>
  <c r="K32" i="2"/>
  <c r="L32" i="2"/>
  <c r="M32" i="2"/>
  <c r="J33" i="2"/>
  <c r="K33" i="2"/>
  <c r="L33" i="2"/>
  <c r="M33" i="2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L44" i="2"/>
  <c r="M44" i="2"/>
  <c r="J45" i="2"/>
  <c r="K45" i="2"/>
  <c r="L45" i="2"/>
  <c r="M4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Q49" i="2" s="1"/>
  <c r="J50" i="2"/>
  <c r="K50" i="2"/>
  <c r="L50" i="2"/>
  <c r="M50" i="2"/>
  <c r="J51" i="2"/>
  <c r="K51" i="2"/>
  <c r="L51" i="2"/>
  <c r="M51" i="2"/>
  <c r="J52" i="2"/>
  <c r="K52" i="2"/>
  <c r="L52" i="2"/>
  <c r="M52" i="2"/>
  <c r="J53" i="2"/>
  <c r="K53" i="2"/>
  <c r="L53" i="2"/>
  <c r="M53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8" i="2"/>
  <c r="K58" i="2"/>
  <c r="L58" i="2"/>
  <c r="M58" i="2"/>
  <c r="J59" i="2"/>
  <c r="K59" i="2"/>
  <c r="L59" i="2"/>
  <c r="M59" i="2"/>
  <c r="J60" i="2"/>
  <c r="K60" i="2"/>
  <c r="L60" i="2"/>
  <c r="M60" i="2" s="1"/>
  <c r="J61" i="2"/>
  <c r="K61" i="2"/>
  <c r="L61" i="2"/>
  <c r="M61" i="2"/>
  <c r="J62" i="2"/>
  <c r="K62" i="2"/>
  <c r="L62" i="2"/>
  <c r="M62" i="2"/>
  <c r="J63" i="2"/>
  <c r="K63" i="2"/>
  <c r="L63" i="2"/>
  <c r="M63" i="2" s="1"/>
  <c r="J64" i="2"/>
  <c r="K64" i="2"/>
  <c r="L64" i="2"/>
  <c r="M64" i="2"/>
  <c r="J65" i="2"/>
  <c r="K65" i="2"/>
  <c r="L65" i="2"/>
  <c r="M65" i="2"/>
  <c r="J66" i="2"/>
  <c r="K66" i="2"/>
  <c r="L66" i="2"/>
  <c r="M66" i="2" s="1"/>
  <c r="J67" i="2"/>
  <c r="K67" i="2"/>
  <c r="L67" i="2"/>
  <c r="M67" i="2"/>
  <c r="J68" i="2"/>
  <c r="K68" i="2"/>
  <c r="L68" i="2"/>
  <c r="M68" i="2"/>
  <c r="J69" i="2"/>
  <c r="K69" i="2"/>
  <c r="L69" i="2"/>
  <c r="M69" i="2" s="1"/>
  <c r="S69" i="2" s="1"/>
  <c r="J70" i="2"/>
  <c r="K70" i="2"/>
  <c r="L70" i="2" s="1"/>
  <c r="M70" i="2" s="1"/>
  <c r="Q70" i="2" s="1"/>
  <c r="J71" i="2"/>
  <c r="K71" i="2"/>
  <c r="L71" i="2"/>
  <c r="M71" i="2"/>
  <c r="J72" i="2"/>
  <c r="K72" i="2"/>
  <c r="L72" i="2"/>
  <c r="M72" i="2" s="1"/>
  <c r="J73" i="2"/>
  <c r="K73" i="2"/>
  <c r="L73" i="2" s="1"/>
  <c r="M73" i="2" s="1"/>
  <c r="J74" i="2"/>
  <c r="K74" i="2"/>
  <c r="L74" i="2"/>
  <c r="M74" i="2"/>
  <c r="J75" i="2"/>
  <c r="K75" i="2"/>
  <c r="L75" i="2"/>
  <c r="M75" i="2" s="1"/>
  <c r="J76" i="2"/>
  <c r="K76" i="2"/>
  <c r="L76" i="2"/>
  <c r="M76" i="2"/>
  <c r="J77" i="2"/>
  <c r="K77" i="2"/>
  <c r="L77" i="2"/>
  <c r="M77" i="2"/>
  <c r="J78" i="2"/>
  <c r="K78" i="2"/>
  <c r="L78" i="2"/>
  <c r="M78" i="2" s="1"/>
  <c r="S78" i="2" s="1"/>
  <c r="J79" i="2"/>
  <c r="K79" i="2"/>
  <c r="L79" i="2"/>
  <c r="M79" i="2"/>
  <c r="O79" i="2" s="1"/>
  <c r="J80" i="2"/>
  <c r="K80" i="2"/>
  <c r="L80" i="2"/>
  <c r="M80" i="2"/>
  <c r="J81" i="2"/>
  <c r="K81" i="2"/>
  <c r="L81" i="2"/>
  <c r="M81" i="2" s="1"/>
  <c r="J82" i="2"/>
  <c r="K82" i="2"/>
  <c r="L82" i="2"/>
  <c r="M82" i="2"/>
  <c r="J83" i="2"/>
  <c r="K83" i="2"/>
  <c r="L83" i="2"/>
  <c r="M83" i="2"/>
  <c r="J84" i="2"/>
  <c r="K84" i="2"/>
  <c r="L84" i="2"/>
  <c r="M84" i="2" s="1"/>
  <c r="J85" i="2"/>
  <c r="K85" i="2"/>
  <c r="L85" i="2" s="1"/>
  <c r="M85" i="2" s="1"/>
  <c r="J86" i="2"/>
  <c r="K86" i="2"/>
  <c r="L86" i="2"/>
  <c r="M86" i="2"/>
  <c r="J87" i="2"/>
  <c r="K87" i="2"/>
  <c r="L87" i="2"/>
  <c r="M87" i="2" s="1"/>
  <c r="J88" i="2"/>
  <c r="K88" i="2"/>
  <c r="L88" i="2" s="1"/>
  <c r="M88" i="2" s="1"/>
  <c r="J89" i="2"/>
  <c r="K89" i="2"/>
  <c r="L89" i="2"/>
  <c r="M89" i="2"/>
  <c r="J90" i="2"/>
  <c r="K90" i="2"/>
  <c r="L90" i="2"/>
  <c r="M90" i="2" s="1"/>
  <c r="J91" i="2"/>
  <c r="K91" i="2"/>
  <c r="L91" i="2"/>
  <c r="M91" i="2"/>
  <c r="J92" i="2"/>
  <c r="K92" i="2"/>
  <c r="L92" i="2"/>
  <c r="M92" i="2"/>
  <c r="J93" i="2"/>
  <c r="K93" i="2"/>
  <c r="L93" i="2"/>
  <c r="M93" i="2" s="1"/>
  <c r="J94" i="2"/>
  <c r="K94" i="2"/>
  <c r="L94" i="2"/>
  <c r="M94" i="2"/>
  <c r="J95" i="2"/>
  <c r="K95" i="2"/>
  <c r="L95" i="2"/>
  <c r="M95" i="2"/>
  <c r="J96" i="2"/>
  <c r="K96" i="2"/>
  <c r="L96" i="2"/>
  <c r="M96" i="2" s="1"/>
  <c r="J97" i="2"/>
  <c r="K97" i="2"/>
  <c r="L97" i="2"/>
  <c r="M97" i="2"/>
  <c r="J98" i="2"/>
  <c r="K98" i="2"/>
  <c r="L98" i="2"/>
  <c r="M98" i="2"/>
  <c r="J99" i="2"/>
  <c r="K99" i="2"/>
  <c r="L99" i="2"/>
  <c r="M99" i="2" s="1"/>
  <c r="J100" i="2"/>
  <c r="K100" i="2"/>
  <c r="L100" i="2"/>
  <c r="M100" i="2"/>
  <c r="J101" i="2"/>
  <c r="K101" i="2"/>
  <c r="L101" i="2"/>
  <c r="M101" i="2"/>
  <c r="J102" i="2"/>
  <c r="K102" i="2"/>
  <c r="L102" i="2"/>
  <c r="M102" i="2" s="1"/>
  <c r="J103" i="2"/>
  <c r="K103" i="2"/>
  <c r="L103" i="2"/>
  <c r="M103" i="2"/>
  <c r="J104" i="2"/>
  <c r="K104" i="2"/>
  <c r="L104" i="2"/>
  <c r="M104" i="2"/>
  <c r="J105" i="2"/>
  <c r="K105" i="2"/>
  <c r="L105" i="2"/>
  <c r="M105" i="2" s="1"/>
  <c r="J106" i="2"/>
  <c r="K106" i="2"/>
  <c r="L106" i="2"/>
  <c r="M106" i="2"/>
  <c r="J107" i="2"/>
  <c r="K107" i="2"/>
  <c r="L107" i="2"/>
  <c r="M107" i="2"/>
  <c r="J108" i="2"/>
  <c r="K108" i="2"/>
  <c r="L108" i="2"/>
  <c r="M108" i="2" s="1"/>
  <c r="J109" i="2"/>
  <c r="K109" i="2"/>
  <c r="L109" i="2"/>
  <c r="M109" i="2"/>
  <c r="S109" i="2" s="1"/>
  <c r="K110" i="2"/>
  <c r="M110" i="2"/>
  <c r="K111" i="2"/>
  <c r="M111" i="2"/>
  <c r="K112" i="2"/>
  <c r="M112" i="2"/>
  <c r="K113" i="2"/>
  <c r="O113" i="2" s="1"/>
  <c r="M113" i="2"/>
  <c r="K114" i="2"/>
  <c r="O114" i="2" s="1"/>
  <c r="M114" i="2"/>
  <c r="K115" i="2"/>
  <c r="O115" i="2" s="1"/>
  <c r="M115" i="2"/>
  <c r="K116" i="2"/>
  <c r="M116" i="2"/>
  <c r="K117" i="2"/>
  <c r="M117" i="2"/>
  <c r="K118" i="2"/>
  <c r="M118" i="2"/>
  <c r="K119" i="2"/>
  <c r="O119" i="2" s="1"/>
  <c r="M119" i="2"/>
  <c r="K120" i="2"/>
  <c r="O120" i="2" s="1"/>
  <c r="M120" i="2"/>
  <c r="K121" i="2"/>
  <c r="O121" i="2" s="1"/>
  <c r="M121" i="2"/>
  <c r="Q121" i="2" s="1"/>
  <c r="K122" i="2"/>
  <c r="M122" i="2"/>
  <c r="K123" i="2"/>
  <c r="M123" i="2"/>
  <c r="K124" i="2"/>
  <c r="O124" i="2" s="1"/>
  <c r="M124" i="2"/>
  <c r="K125" i="2"/>
  <c r="M125" i="2"/>
  <c r="K126" i="2"/>
  <c r="M126" i="2"/>
  <c r="S126" i="2" s="1"/>
  <c r="K127" i="2"/>
  <c r="O127" i="2" s="1"/>
  <c r="M127" i="2"/>
  <c r="S127" i="2" s="1"/>
  <c r="K128" i="2"/>
  <c r="M128" i="2"/>
  <c r="K129" i="2"/>
  <c r="M129" i="2"/>
  <c r="K130" i="2"/>
  <c r="M130" i="2"/>
  <c r="K131" i="2"/>
  <c r="M131" i="2"/>
  <c r="K132" i="2"/>
  <c r="O132" i="2" s="1"/>
  <c r="M132" i="2"/>
  <c r="S132" i="2" s="1"/>
  <c r="K133" i="2"/>
  <c r="O133" i="2" s="1"/>
  <c r="M133" i="2"/>
  <c r="S133" i="2" s="1"/>
  <c r="K134" i="2"/>
  <c r="M134" i="2"/>
  <c r="K135" i="2"/>
  <c r="M135" i="2"/>
  <c r="K136" i="2"/>
  <c r="M136" i="2"/>
  <c r="K137" i="2"/>
  <c r="O137" i="2" s="1"/>
  <c r="M137" i="2"/>
  <c r="K138" i="2"/>
  <c r="O138" i="2" s="1"/>
  <c r="M138" i="2"/>
  <c r="K139" i="2"/>
  <c r="O139" i="2" s="1"/>
  <c r="M139" i="2"/>
  <c r="K140" i="2"/>
  <c r="M140" i="2"/>
  <c r="K141" i="2"/>
  <c r="M141" i="2"/>
  <c r="K142" i="2"/>
  <c r="M142" i="2"/>
  <c r="S142" i="2" s="1"/>
  <c r="K143" i="2"/>
  <c r="O143" i="2" s="1"/>
  <c r="M143" i="2"/>
  <c r="Q143" i="2" s="1"/>
  <c r="K144" i="2"/>
  <c r="M144" i="2"/>
  <c r="K145" i="2"/>
  <c r="O145" i="2" s="1"/>
  <c r="M145" i="2"/>
  <c r="K146" i="2"/>
  <c r="M146" i="2"/>
  <c r="K147" i="2"/>
  <c r="M147" i="2"/>
  <c r="K148" i="2"/>
  <c r="O148" i="2" s="1"/>
  <c r="M148" i="2"/>
  <c r="K149" i="2"/>
  <c r="M149" i="2"/>
  <c r="K150" i="2"/>
  <c r="M150" i="2"/>
  <c r="S150" i="2" s="1"/>
  <c r="K151" i="2"/>
  <c r="O151" i="2" s="1"/>
  <c r="M151" i="2"/>
  <c r="Q151" i="2" s="1"/>
  <c r="K152" i="2"/>
  <c r="M152" i="2"/>
  <c r="K153" i="2"/>
  <c r="M153" i="2"/>
  <c r="K154" i="2"/>
  <c r="M154" i="2"/>
  <c r="K155" i="2"/>
  <c r="M155" i="2"/>
  <c r="S155" i="2" s="1"/>
  <c r="K156" i="2"/>
  <c r="O156" i="2" s="1"/>
  <c r="M156" i="2"/>
  <c r="S156" i="2" s="1"/>
  <c r="K157" i="2"/>
  <c r="O157" i="2" s="1"/>
  <c r="M157" i="2"/>
  <c r="K158" i="2"/>
  <c r="M158" i="2"/>
  <c r="K159" i="2"/>
  <c r="M159" i="2"/>
  <c r="K160" i="2"/>
  <c r="M160" i="2"/>
  <c r="K161" i="2"/>
  <c r="O161" i="2" s="1"/>
  <c r="M161" i="2"/>
  <c r="Q161" i="2" s="1"/>
  <c r="K162" i="2"/>
  <c r="O162" i="2" s="1"/>
  <c r="M162" i="2"/>
  <c r="K163" i="2"/>
  <c r="M163" i="2"/>
  <c r="AR75" i="2"/>
  <c r="AS56" i="2"/>
  <c r="AR56" i="2"/>
  <c r="AT56" i="2" s="1"/>
  <c r="AS39" i="2"/>
  <c r="AS2" i="2"/>
  <c r="AR2" i="2"/>
  <c r="AT2" i="2" s="1"/>
  <c r="BC141" i="1"/>
  <c r="BC140" i="1"/>
  <c r="BC135" i="1"/>
  <c r="BC134" i="1"/>
  <c r="BC129" i="1"/>
  <c r="BC128" i="1"/>
  <c r="BC123" i="1"/>
  <c r="BC122" i="1"/>
  <c r="BC117" i="1"/>
  <c r="BC116" i="1"/>
  <c r="BC111" i="1"/>
  <c r="BC110" i="1"/>
  <c r="BC105" i="1"/>
  <c r="BC104" i="1"/>
  <c r="BC99" i="1"/>
  <c r="BC98" i="1"/>
  <c r="BC93" i="1"/>
  <c r="BC92" i="1"/>
  <c r="BC87" i="1"/>
  <c r="BC86" i="1"/>
  <c r="BC81" i="1"/>
  <c r="BC80" i="1"/>
  <c r="BC75" i="1"/>
  <c r="BC74" i="1"/>
  <c r="BC69" i="1"/>
  <c r="BC68" i="1"/>
  <c r="BC63" i="1"/>
  <c r="BC62" i="1"/>
  <c r="BC57" i="1"/>
  <c r="BC56" i="1"/>
  <c r="BC51" i="1"/>
  <c r="BC50" i="1"/>
  <c r="BC45" i="1"/>
  <c r="BC44" i="1"/>
  <c r="BC39" i="1"/>
  <c r="BC38" i="1"/>
  <c r="BC33" i="1"/>
  <c r="BC32" i="1"/>
  <c r="BC27" i="1"/>
  <c r="BC26" i="1"/>
  <c r="BC21" i="1"/>
  <c r="BC20" i="1"/>
  <c r="BC15" i="1"/>
  <c r="BC14" i="1"/>
  <c r="BC9" i="1"/>
  <c r="BC8" i="1"/>
  <c r="BC3" i="1"/>
  <c r="BC2" i="1"/>
  <c r="T163" i="2"/>
  <c r="O163" i="2"/>
  <c r="T162" i="2"/>
  <c r="T161" i="2"/>
  <c r="T160" i="2"/>
  <c r="O160" i="2"/>
  <c r="T159" i="2"/>
  <c r="T158" i="2"/>
  <c r="S158" i="2"/>
  <c r="O158" i="2"/>
  <c r="T157" i="2"/>
  <c r="S157" i="2"/>
  <c r="T156" i="2"/>
  <c r="T155" i="2"/>
  <c r="O155" i="2"/>
  <c r="T154" i="2"/>
  <c r="O154" i="2"/>
  <c r="T153" i="2"/>
  <c r="S153" i="2"/>
  <c r="O153" i="2"/>
  <c r="T152" i="2"/>
  <c r="Q152" i="2"/>
  <c r="O152" i="2"/>
  <c r="T151" i="2"/>
  <c r="T150" i="2"/>
  <c r="O150" i="2"/>
  <c r="T149" i="2"/>
  <c r="O149" i="2"/>
  <c r="T148" i="2"/>
  <c r="T147" i="2"/>
  <c r="O147" i="2"/>
  <c r="T146" i="2"/>
  <c r="Q146" i="2"/>
  <c r="O146" i="2"/>
  <c r="T145" i="2"/>
  <c r="T144" i="2"/>
  <c r="Q144" i="2"/>
  <c r="O144" i="2"/>
  <c r="T143" i="2"/>
  <c r="T142" i="2"/>
  <c r="O142" i="2"/>
  <c r="T141" i="2"/>
  <c r="Q141" i="2"/>
  <c r="O141" i="2"/>
  <c r="T140" i="2"/>
  <c r="S140" i="2"/>
  <c r="O140" i="2"/>
  <c r="T139" i="2"/>
  <c r="T138" i="2"/>
  <c r="T137" i="2"/>
  <c r="T136" i="2"/>
  <c r="O136" i="2"/>
  <c r="T135" i="2"/>
  <c r="Q135" i="2"/>
  <c r="O135" i="2"/>
  <c r="T134" i="2"/>
  <c r="S134" i="2"/>
  <c r="O134" i="2"/>
  <c r="T133" i="2"/>
  <c r="T132" i="2"/>
  <c r="T131" i="2"/>
  <c r="O131" i="2"/>
  <c r="T130" i="2"/>
  <c r="O130" i="2"/>
  <c r="T129" i="2"/>
  <c r="O129" i="2"/>
  <c r="T128" i="2"/>
  <c r="O128" i="2"/>
  <c r="T127" i="2"/>
  <c r="T126" i="2"/>
  <c r="T125" i="2"/>
  <c r="O125" i="2"/>
  <c r="T124" i="2"/>
  <c r="S124" i="2"/>
  <c r="T123" i="2"/>
  <c r="S123" i="2"/>
  <c r="O123" i="2"/>
  <c r="T122" i="2"/>
  <c r="S122" i="2"/>
  <c r="O122" i="2"/>
  <c r="T121" i="2"/>
  <c r="T120" i="2"/>
  <c r="S120" i="2"/>
  <c r="T119" i="2"/>
  <c r="T118" i="2"/>
  <c r="O118" i="2"/>
  <c r="T117" i="2"/>
  <c r="Q117" i="2"/>
  <c r="O117" i="2"/>
  <c r="T116" i="2"/>
  <c r="S116" i="2"/>
  <c r="O116" i="2"/>
  <c r="T115" i="2"/>
  <c r="T114" i="2"/>
  <c r="T113" i="2"/>
  <c r="T112" i="2"/>
  <c r="Q112" i="2"/>
  <c r="O112" i="2"/>
  <c r="T111" i="2"/>
  <c r="O111" i="2"/>
  <c r="T110" i="2"/>
  <c r="S110" i="2"/>
  <c r="O110" i="2"/>
  <c r="T109" i="2"/>
  <c r="T108" i="2"/>
  <c r="T107" i="2"/>
  <c r="T106" i="2"/>
  <c r="AK105" i="2"/>
  <c r="AQ105" i="2" s="1"/>
  <c r="AJ105" i="2"/>
  <c r="AP105" i="2" s="1"/>
  <c r="AI105" i="2"/>
  <c r="AO105" i="2" s="1"/>
  <c r="AH105" i="2"/>
  <c r="AN105" i="2" s="1"/>
  <c r="AG105" i="2"/>
  <c r="AM105" i="2" s="1"/>
  <c r="AF105" i="2"/>
  <c r="AL105" i="2" s="1"/>
  <c r="AR105" i="2" s="1"/>
  <c r="AT105" i="2" s="1"/>
  <c r="T105" i="2"/>
  <c r="AK104" i="2"/>
  <c r="AQ104" i="2" s="1"/>
  <c r="AJ104" i="2"/>
  <c r="AP104" i="2" s="1"/>
  <c r="AI104" i="2"/>
  <c r="AO104" i="2" s="1"/>
  <c r="AH104" i="2"/>
  <c r="AN104" i="2" s="1"/>
  <c r="AG104" i="2"/>
  <c r="AM104" i="2" s="1"/>
  <c r="AF104" i="2"/>
  <c r="AL104" i="2" s="1"/>
  <c r="AR104" i="2" s="1"/>
  <c r="AT104" i="2" s="1"/>
  <c r="T104" i="2"/>
  <c r="T103" i="2"/>
  <c r="T102" i="2"/>
  <c r="T101" i="2"/>
  <c r="T100" i="2"/>
  <c r="AK99" i="2"/>
  <c r="AQ99" i="2" s="1"/>
  <c r="AJ99" i="2"/>
  <c r="AP99" i="2" s="1"/>
  <c r="AI99" i="2"/>
  <c r="AO99" i="2" s="1"/>
  <c r="AH99" i="2"/>
  <c r="AN99" i="2" s="1"/>
  <c r="AS99" i="2" s="1"/>
  <c r="T99" i="2"/>
  <c r="AK98" i="2"/>
  <c r="AQ98" i="2" s="1"/>
  <c r="AJ98" i="2"/>
  <c r="AP98" i="2" s="1"/>
  <c r="AI98" i="2"/>
  <c r="AO98" i="2" s="1"/>
  <c r="AH98" i="2"/>
  <c r="AN98" i="2" s="1"/>
  <c r="AG98" i="2"/>
  <c r="AM98" i="2" s="1"/>
  <c r="AF98" i="2"/>
  <c r="AL98" i="2" s="1"/>
  <c r="T98" i="2"/>
  <c r="T97" i="2"/>
  <c r="T96" i="2"/>
  <c r="T95" i="2"/>
  <c r="T94" i="2"/>
  <c r="AK93" i="2"/>
  <c r="AQ93" i="2" s="1"/>
  <c r="AJ93" i="2"/>
  <c r="AP93" i="2" s="1"/>
  <c r="AI93" i="2"/>
  <c r="AO93" i="2" s="1"/>
  <c r="AH93" i="2"/>
  <c r="AN93" i="2" s="1"/>
  <c r="AG93" i="2"/>
  <c r="AM93" i="2" s="1"/>
  <c r="AF93" i="2"/>
  <c r="AL93" i="2" s="1"/>
  <c r="T93" i="2"/>
  <c r="AK92" i="2"/>
  <c r="AQ92" i="2" s="1"/>
  <c r="AJ92" i="2"/>
  <c r="AP92" i="2" s="1"/>
  <c r="AS92" i="2" s="1"/>
  <c r="AI92" i="2"/>
  <c r="AO92" i="2" s="1"/>
  <c r="AH92" i="2"/>
  <c r="AN92" i="2" s="1"/>
  <c r="AG92" i="2"/>
  <c r="AM92" i="2" s="1"/>
  <c r="AF92" i="2"/>
  <c r="AL92" i="2" s="1"/>
  <c r="AR92" i="2" s="1"/>
  <c r="AT92" i="2" s="1"/>
  <c r="T92" i="2"/>
  <c r="T91" i="2"/>
  <c r="T90" i="2"/>
  <c r="T89" i="2"/>
  <c r="T88" i="2"/>
  <c r="AK87" i="2"/>
  <c r="AQ87" i="2" s="1"/>
  <c r="AJ87" i="2"/>
  <c r="AP87" i="2" s="1"/>
  <c r="AS87" i="2" s="1"/>
  <c r="AI87" i="2"/>
  <c r="AO87" i="2" s="1"/>
  <c r="AH87" i="2"/>
  <c r="AN87" i="2" s="1"/>
  <c r="AG87" i="2"/>
  <c r="AM87" i="2" s="1"/>
  <c r="AF87" i="2"/>
  <c r="AL87" i="2" s="1"/>
  <c r="AR87" i="2" s="1"/>
  <c r="T87" i="2"/>
  <c r="AK86" i="2"/>
  <c r="AQ86" i="2" s="1"/>
  <c r="AJ86" i="2"/>
  <c r="AP86" i="2" s="1"/>
  <c r="AI86" i="2"/>
  <c r="AO86" i="2" s="1"/>
  <c r="AH86" i="2"/>
  <c r="AN86" i="2" s="1"/>
  <c r="AG86" i="2"/>
  <c r="AM86" i="2" s="1"/>
  <c r="AF86" i="2"/>
  <c r="AL86" i="2" s="1"/>
  <c r="T86" i="2"/>
  <c r="T85" i="2"/>
  <c r="T84" i="2"/>
  <c r="T83" i="2"/>
  <c r="T82" i="2"/>
  <c r="AK81" i="2"/>
  <c r="AQ81" i="2" s="1"/>
  <c r="AJ81" i="2"/>
  <c r="AP81" i="2" s="1"/>
  <c r="AI81" i="2"/>
  <c r="AO81" i="2" s="1"/>
  <c r="AH81" i="2"/>
  <c r="AN81" i="2" s="1"/>
  <c r="AR81" i="2" s="1"/>
  <c r="AT81" i="2" s="1"/>
  <c r="T81" i="2"/>
  <c r="AK80" i="2"/>
  <c r="AQ80" i="2" s="1"/>
  <c r="AJ80" i="2"/>
  <c r="AP80" i="2" s="1"/>
  <c r="AS80" i="2" s="1"/>
  <c r="AI80" i="2"/>
  <c r="AO80" i="2" s="1"/>
  <c r="AH80" i="2"/>
  <c r="AN80" i="2" s="1"/>
  <c r="AG80" i="2"/>
  <c r="AM80" i="2" s="1"/>
  <c r="AF80" i="2"/>
  <c r="AL80" i="2" s="1"/>
  <c r="AR80" i="2" s="1"/>
  <c r="AT80" i="2" s="1"/>
  <c r="T80" i="2"/>
  <c r="T79" i="2"/>
  <c r="T78" i="2"/>
  <c r="T77" i="2"/>
  <c r="T76" i="2"/>
  <c r="AK75" i="2"/>
  <c r="AQ75" i="2" s="1"/>
  <c r="AJ75" i="2"/>
  <c r="AP75" i="2" s="1"/>
  <c r="AS75" i="2" s="1"/>
  <c r="AI75" i="2"/>
  <c r="AO75" i="2" s="1"/>
  <c r="AH75" i="2"/>
  <c r="AN75" i="2" s="1"/>
  <c r="T75" i="2"/>
  <c r="AK74" i="2"/>
  <c r="AQ74" i="2" s="1"/>
  <c r="AJ74" i="2"/>
  <c r="AP74" i="2" s="1"/>
  <c r="AI74" i="2"/>
  <c r="AO74" i="2" s="1"/>
  <c r="AH74" i="2"/>
  <c r="AN74" i="2" s="1"/>
  <c r="AS74" i="2" s="1"/>
  <c r="AG74" i="2"/>
  <c r="AM74" i="2" s="1"/>
  <c r="AF74" i="2"/>
  <c r="AL74" i="2" s="1"/>
  <c r="AR74" i="2" s="1"/>
  <c r="AT74" i="2" s="1"/>
  <c r="T74" i="2"/>
  <c r="T73" i="2"/>
  <c r="T72" i="2"/>
  <c r="T71" i="2"/>
  <c r="T70" i="2"/>
  <c r="AK69" i="2"/>
  <c r="AQ69" i="2" s="1"/>
  <c r="AJ69" i="2"/>
  <c r="AP69" i="2" s="1"/>
  <c r="AI69" i="2"/>
  <c r="AO69" i="2" s="1"/>
  <c r="AH69" i="2"/>
  <c r="AN69" i="2" s="1"/>
  <c r="AG69" i="2"/>
  <c r="AM69" i="2" s="1"/>
  <c r="AF69" i="2"/>
  <c r="AL69" i="2" s="1"/>
  <c r="AR69" i="2" s="1"/>
  <c r="AT69" i="2" s="1"/>
  <c r="T69" i="2"/>
  <c r="AK68" i="2"/>
  <c r="AQ68" i="2" s="1"/>
  <c r="AJ68" i="2"/>
  <c r="AP68" i="2" s="1"/>
  <c r="AI68" i="2"/>
  <c r="AO68" i="2" s="1"/>
  <c r="AH68" i="2"/>
  <c r="AN68" i="2" s="1"/>
  <c r="AG68" i="2"/>
  <c r="AM68" i="2" s="1"/>
  <c r="AF68" i="2"/>
  <c r="AL68" i="2" s="1"/>
  <c r="AR68" i="2" s="1"/>
  <c r="AT68" i="2" s="1"/>
  <c r="T68" i="2"/>
  <c r="S68" i="2"/>
  <c r="T67" i="2"/>
  <c r="T66" i="2"/>
  <c r="T65" i="2"/>
  <c r="T64" i="2"/>
  <c r="AK63" i="2"/>
  <c r="AQ63" i="2" s="1"/>
  <c r="AJ63" i="2"/>
  <c r="AP63" i="2" s="1"/>
  <c r="AI63" i="2"/>
  <c r="AO63" i="2" s="1"/>
  <c r="AH63" i="2"/>
  <c r="AN63" i="2" s="1"/>
  <c r="AS63" i="2" s="1"/>
  <c r="AG63" i="2"/>
  <c r="AM63" i="2" s="1"/>
  <c r="AF63" i="2"/>
  <c r="AL63" i="2" s="1"/>
  <c r="AR63" i="2" s="1"/>
  <c r="AT63" i="2" s="1"/>
  <c r="T63" i="2"/>
  <c r="AK62" i="2"/>
  <c r="AQ62" i="2" s="1"/>
  <c r="AJ62" i="2"/>
  <c r="AP62" i="2" s="1"/>
  <c r="AI62" i="2"/>
  <c r="AO62" i="2" s="1"/>
  <c r="AH62" i="2"/>
  <c r="AN62" i="2" s="1"/>
  <c r="AG62" i="2"/>
  <c r="AM62" i="2" s="1"/>
  <c r="AF62" i="2"/>
  <c r="AL62" i="2" s="1"/>
  <c r="AR62" i="2" s="1"/>
  <c r="T62" i="2"/>
  <c r="T61" i="2"/>
  <c r="T60" i="2"/>
  <c r="T59" i="2"/>
  <c r="T58" i="2"/>
  <c r="AK57" i="2"/>
  <c r="AQ57" i="2" s="1"/>
  <c r="AJ57" i="2"/>
  <c r="AP57" i="2" s="1"/>
  <c r="AI57" i="2"/>
  <c r="AO57" i="2" s="1"/>
  <c r="AH57" i="2"/>
  <c r="AN57" i="2" s="1"/>
  <c r="AG57" i="2"/>
  <c r="AM57" i="2" s="1"/>
  <c r="AF57" i="2"/>
  <c r="AL57" i="2" s="1"/>
  <c r="T57" i="2"/>
  <c r="AK56" i="2"/>
  <c r="AQ56" i="2" s="1"/>
  <c r="AJ56" i="2"/>
  <c r="AP56" i="2" s="1"/>
  <c r="AI56" i="2"/>
  <c r="AO56" i="2" s="1"/>
  <c r="AH56" i="2"/>
  <c r="AN56" i="2" s="1"/>
  <c r="AG56" i="2"/>
  <c r="AM56" i="2" s="1"/>
  <c r="AF56" i="2"/>
  <c r="AL56" i="2" s="1"/>
  <c r="T56" i="2"/>
  <c r="T55" i="2"/>
  <c r="T54" i="2"/>
  <c r="Q54" i="2"/>
  <c r="T53" i="2"/>
  <c r="T52" i="2"/>
  <c r="AK51" i="2"/>
  <c r="AQ51" i="2" s="1"/>
  <c r="AJ51" i="2"/>
  <c r="AP51" i="2" s="1"/>
  <c r="AI51" i="2"/>
  <c r="AO51" i="2" s="1"/>
  <c r="AH51" i="2"/>
  <c r="AN51" i="2" s="1"/>
  <c r="AG51" i="2"/>
  <c r="AM51" i="2" s="1"/>
  <c r="AF51" i="2"/>
  <c r="AL51" i="2" s="1"/>
  <c r="AR51" i="2" s="1"/>
  <c r="AT51" i="2" s="1"/>
  <c r="T51" i="2"/>
  <c r="AK50" i="2"/>
  <c r="AQ50" i="2" s="1"/>
  <c r="AJ50" i="2"/>
  <c r="AP50" i="2" s="1"/>
  <c r="AI50" i="2"/>
  <c r="AO50" i="2" s="1"/>
  <c r="AH50" i="2"/>
  <c r="AN50" i="2" s="1"/>
  <c r="AG50" i="2"/>
  <c r="AM50" i="2" s="1"/>
  <c r="AF50" i="2"/>
  <c r="AL50" i="2" s="1"/>
  <c r="T50" i="2"/>
  <c r="T49" i="2"/>
  <c r="T48" i="2"/>
  <c r="T47" i="2"/>
  <c r="T46" i="2"/>
  <c r="AK45" i="2"/>
  <c r="AQ45" i="2" s="1"/>
  <c r="AJ45" i="2"/>
  <c r="AP45" i="2" s="1"/>
  <c r="AI45" i="2"/>
  <c r="AO45" i="2" s="1"/>
  <c r="AH45" i="2"/>
  <c r="AN45" i="2" s="1"/>
  <c r="AR45" i="2" s="1"/>
  <c r="AG45" i="2"/>
  <c r="AM45" i="2" s="1"/>
  <c r="AF45" i="2"/>
  <c r="AL45" i="2" s="1"/>
  <c r="T45" i="2"/>
  <c r="AK44" i="2"/>
  <c r="AQ44" i="2" s="1"/>
  <c r="AJ44" i="2"/>
  <c r="AP44" i="2" s="1"/>
  <c r="AI44" i="2"/>
  <c r="AO44" i="2" s="1"/>
  <c r="AH44" i="2"/>
  <c r="AN44" i="2" s="1"/>
  <c r="AG44" i="2"/>
  <c r="AM44" i="2" s="1"/>
  <c r="AF44" i="2"/>
  <c r="AL44" i="2" s="1"/>
  <c r="AR44" i="2" s="1"/>
  <c r="AT44" i="2" s="1"/>
  <c r="T44" i="2"/>
  <c r="T43" i="2"/>
  <c r="T42" i="2"/>
  <c r="T41" i="2"/>
  <c r="T40" i="2"/>
  <c r="AK39" i="2"/>
  <c r="AQ39" i="2" s="1"/>
  <c r="AJ39" i="2"/>
  <c r="AP39" i="2" s="1"/>
  <c r="AI39" i="2"/>
  <c r="AO39" i="2" s="1"/>
  <c r="AH39" i="2"/>
  <c r="AN39" i="2" s="1"/>
  <c r="AG39" i="2"/>
  <c r="AM39" i="2" s="1"/>
  <c r="AF39" i="2"/>
  <c r="AL39" i="2" s="1"/>
  <c r="AR39" i="2" s="1"/>
  <c r="AT39" i="2" s="1"/>
  <c r="T39" i="2"/>
  <c r="AK38" i="2"/>
  <c r="AQ38" i="2" s="1"/>
  <c r="AJ38" i="2"/>
  <c r="AP38" i="2" s="1"/>
  <c r="AS38" i="2" s="1"/>
  <c r="AI38" i="2"/>
  <c r="AO38" i="2" s="1"/>
  <c r="AH38" i="2"/>
  <c r="AN38" i="2" s="1"/>
  <c r="AG38" i="2"/>
  <c r="AM38" i="2" s="1"/>
  <c r="AF38" i="2"/>
  <c r="AL38" i="2" s="1"/>
  <c r="AR38" i="2" s="1"/>
  <c r="AT38" i="2" s="1"/>
  <c r="T38" i="2"/>
  <c r="T37" i="2"/>
  <c r="T36" i="2"/>
  <c r="T35" i="2"/>
  <c r="T34" i="2"/>
  <c r="AK33" i="2"/>
  <c r="AQ33" i="2" s="1"/>
  <c r="AJ33" i="2"/>
  <c r="AP33" i="2" s="1"/>
  <c r="AI33" i="2"/>
  <c r="AO33" i="2" s="1"/>
  <c r="AH33" i="2"/>
  <c r="AN33" i="2" s="1"/>
  <c r="AG33" i="2"/>
  <c r="AM33" i="2" s="1"/>
  <c r="AF33" i="2"/>
  <c r="AL33" i="2" s="1"/>
  <c r="T33" i="2"/>
  <c r="AK32" i="2"/>
  <c r="AQ32" i="2" s="1"/>
  <c r="AJ32" i="2"/>
  <c r="AP32" i="2" s="1"/>
  <c r="AI32" i="2"/>
  <c r="AO32" i="2" s="1"/>
  <c r="AH32" i="2"/>
  <c r="AN32" i="2" s="1"/>
  <c r="AG32" i="2"/>
  <c r="AM32" i="2" s="1"/>
  <c r="AF32" i="2"/>
  <c r="AL32" i="2" s="1"/>
  <c r="AR32" i="2" s="1"/>
  <c r="AT32" i="2" s="1"/>
  <c r="T32" i="2"/>
  <c r="T31" i="2"/>
  <c r="T30" i="2"/>
  <c r="T29" i="2"/>
  <c r="T28" i="2"/>
  <c r="AK27" i="2"/>
  <c r="AQ27" i="2" s="1"/>
  <c r="AJ27" i="2"/>
  <c r="AP27" i="2" s="1"/>
  <c r="AI27" i="2"/>
  <c r="AO27" i="2" s="1"/>
  <c r="AH27" i="2"/>
  <c r="AN27" i="2" s="1"/>
  <c r="AG27" i="2"/>
  <c r="AM27" i="2" s="1"/>
  <c r="AF27" i="2"/>
  <c r="AL27" i="2" s="1"/>
  <c r="AR27" i="2" s="1"/>
  <c r="AT27" i="2" s="1"/>
  <c r="T27" i="2"/>
  <c r="AK26" i="2"/>
  <c r="AQ26" i="2" s="1"/>
  <c r="AJ26" i="2"/>
  <c r="AP26" i="2" s="1"/>
  <c r="AS26" i="2" s="1"/>
  <c r="AI26" i="2"/>
  <c r="AO26" i="2" s="1"/>
  <c r="AH26" i="2"/>
  <c r="AN26" i="2" s="1"/>
  <c r="AG26" i="2"/>
  <c r="AM26" i="2" s="1"/>
  <c r="AF26" i="2"/>
  <c r="AL26" i="2" s="1"/>
  <c r="AR26" i="2" s="1"/>
  <c r="AT26" i="2" s="1"/>
  <c r="T26" i="2"/>
  <c r="T25" i="2"/>
  <c r="T24" i="2"/>
  <c r="T23" i="2"/>
  <c r="T22" i="2"/>
  <c r="AK21" i="2"/>
  <c r="AQ21" i="2" s="1"/>
  <c r="AJ21" i="2"/>
  <c r="AP21" i="2" s="1"/>
  <c r="AS21" i="2" s="1"/>
  <c r="AI21" i="2"/>
  <c r="AO21" i="2" s="1"/>
  <c r="AH21" i="2"/>
  <c r="AN21" i="2" s="1"/>
  <c r="AR21" i="2" s="1"/>
  <c r="AT21" i="2" s="1"/>
  <c r="AG21" i="2"/>
  <c r="AM21" i="2" s="1"/>
  <c r="AF21" i="2"/>
  <c r="AL21" i="2" s="1"/>
  <c r="T21" i="2"/>
  <c r="AK20" i="2"/>
  <c r="AQ20" i="2" s="1"/>
  <c r="AJ20" i="2"/>
  <c r="AP20" i="2" s="1"/>
  <c r="AI20" i="2"/>
  <c r="AO20" i="2" s="1"/>
  <c r="AH20" i="2"/>
  <c r="AN20" i="2" s="1"/>
  <c r="AS20" i="2" s="1"/>
  <c r="AG20" i="2"/>
  <c r="AM20" i="2" s="1"/>
  <c r="AF20" i="2"/>
  <c r="AL20" i="2" s="1"/>
  <c r="AR20" i="2" s="1"/>
  <c r="AT20" i="2" s="1"/>
  <c r="T20" i="2"/>
  <c r="T19" i="2"/>
  <c r="T18" i="2"/>
  <c r="T17" i="2"/>
  <c r="T16" i="2"/>
  <c r="AK15" i="2"/>
  <c r="AQ15" i="2" s="1"/>
  <c r="AJ15" i="2"/>
  <c r="AP15" i="2" s="1"/>
  <c r="AI15" i="2"/>
  <c r="AO15" i="2" s="1"/>
  <c r="AH15" i="2"/>
  <c r="AN15" i="2" s="1"/>
  <c r="AG15" i="2"/>
  <c r="AM15" i="2" s="1"/>
  <c r="AF15" i="2"/>
  <c r="AL15" i="2" s="1"/>
  <c r="AR15" i="2" s="1"/>
  <c r="AT15" i="2" s="1"/>
  <c r="T15" i="2"/>
  <c r="AK14" i="2"/>
  <c r="AQ14" i="2" s="1"/>
  <c r="AJ14" i="2"/>
  <c r="AP14" i="2" s="1"/>
  <c r="AS14" i="2" s="1"/>
  <c r="AI14" i="2"/>
  <c r="AO14" i="2" s="1"/>
  <c r="AH14" i="2"/>
  <c r="AN14" i="2" s="1"/>
  <c r="AG14" i="2"/>
  <c r="AM14" i="2" s="1"/>
  <c r="AF14" i="2"/>
  <c r="AL14" i="2" s="1"/>
  <c r="AR14" i="2" s="1"/>
  <c r="T14" i="2"/>
  <c r="S14" i="2"/>
  <c r="T13" i="2"/>
  <c r="T12" i="2"/>
  <c r="T11" i="2"/>
  <c r="T10" i="2"/>
  <c r="AK9" i="2"/>
  <c r="AQ9" i="2" s="1"/>
  <c r="AJ9" i="2"/>
  <c r="AP9" i="2" s="1"/>
  <c r="AI9" i="2"/>
  <c r="AO9" i="2" s="1"/>
  <c r="AH9" i="2"/>
  <c r="AN9" i="2" s="1"/>
  <c r="AG9" i="2"/>
  <c r="AM9" i="2" s="1"/>
  <c r="AF9" i="2"/>
  <c r="AL9" i="2" s="1"/>
  <c r="AR9" i="2" s="1"/>
  <c r="T9" i="2"/>
  <c r="AK8" i="2"/>
  <c r="AQ8" i="2" s="1"/>
  <c r="AJ8" i="2"/>
  <c r="AP8" i="2" s="1"/>
  <c r="AI8" i="2"/>
  <c r="AO8" i="2" s="1"/>
  <c r="AH8" i="2"/>
  <c r="AN8" i="2" s="1"/>
  <c r="AG8" i="2"/>
  <c r="AM8" i="2" s="1"/>
  <c r="AF8" i="2"/>
  <c r="AL8" i="2" s="1"/>
  <c r="T8" i="2"/>
  <c r="T7" i="2"/>
  <c r="T6" i="2"/>
  <c r="T5" i="2"/>
  <c r="T4" i="2"/>
  <c r="AK3" i="2"/>
  <c r="AQ3" i="2" s="1"/>
  <c r="AJ3" i="2"/>
  <c r="AP3" i="2" s="1"/>
  <c r="AI3" i="2"/>
  <c r="AO3" i="2" s="1"/>
  <c r="AH3" i="2"/>
  <c r="AN3" i="2" s="1"/>
  <c r="AG3" i="2"/>
  <c r="AM3" i="2" s="1"/>
  <c r="AF3" i="2"/>
  <c r="AL3" i="2" s="1"/>
  <c r="T3" i="2"/>
  <c r="AK2" i="2"/>
  <c r="AQ2" i="2" s="1"/>
  <c r="AJ2" i="2"/>
  <c r="AP2" i="2" s="1"/>
  <c r="AI2" i="2"/>
  <c r="AO2" i="2" s="1"/>
  <c r="AH2" i="2"/>
  <c r="AN2" i="2" s="1"/>
  <c r="AG2" i="2"/>
  <c r="AM2" i="2" s="1"/>
  <c r="AF2" i="2"/>
  <c r="AL2" i="2" s="1"/>
  <c r="T2" i="2"/>
  <c r="AU141" i="1"/>
  <c r="AT141" i="1"/>
  <c r="AZ141" i="1" s="1"/>
  <c r="AS141" i="1"/>
  <c r="AR141" i="1"/>
  <c r="AX141" i="1" s="1"/>
  <c r="AQ141" i="1"/>
  <c r="AW141" i="1" s="1"/>
  <c r="AP141" i="1"/>
  <c r="AV141" i="1" s="1"/>
  <c r="AU140" i="1"/>
  <c r="BA140" i="1" s="1"/>
  <c r="AT140" i="1"/>
  <c r="AS140" i="1"/>
  <c r="AR140" i="1"/>
  <c r="AQ140" i="1"/>
  <c r="AP140" i="1"/>
  <c r="AV140" i="1" s="1"/>
  <c r="AU135" i="1"/>
  <c r="AT135" i="1"/>
  <c r="AS135" i="1"/>
  <c r="AR135" i="1"/>
  <c r="AU134" i="1"/>
  <c r="BA134" i="1" s="1"/>
  <c r="AT134" i="1"/>
  <c r="AZ134" i="1" s="1"/>
  <c r="AS134" i="1"/>
  <c r="AY134" i="1" s="1"/>
  <c r="AR134" i="1"/>
  <c r="AX134" i="1" s="1"/>
  <c r="AQ134" i="1"/>
  <c r="AW134" i="1" s="1"/>
  <c r="AP134" i="1"/>
  <c r="AV134" i="1" s="1"/>
  <c r="AU129" i="1"/>
  <c r="BA129" i="1" s="1"/>
  <c r="AT129" i="1"/>
  <c r="AZ129" i="1" s="1"/>
  <c r="AS129" i="1"/>
  <c r="AY129" i="1" s="1"/>
  <c r="AR129" i="1"/>
  <c r="AX129" i="1" s="1"/>
  <c r="AQ129" i="1"/>
  <c r="AW129" i="1" s="1"/>
  <c r="AP129" i="1"/>
  <c r="AV129" i="1" s="1"/>
  <c r="AU128" i="1"/>
  <c r="BA128" i="1" s="1"/>
  <c r="AT128" i="1"/>
  <c r="AZ128" i="1" s="1"/>
  <c r="AS128" i="1"/>
  <c r="AY128" i="1" s="1"/>
  <c r="AR128" i="1"/>
  <c r="AX128" i="1" s="1"/>
  <c r="AQ128" i="1"/>
  <c r="AW128" i="1" s="1"/>
  <c r="AP128" i="1"/>
  <c r="AV128" i="1" s="1"/>
  <c r="BB128" i="1" s="1"/>
  <c r="AU123" i="1"/>
  <c r="AT123" i="1"/>
  <c r="AS123" i="1"/>
  <c r="AR123" i="1"/>
  <c r="AQ123" i="1"/>
  <c r="AW123" i="1" s="1"/>
  <c r="AP123" i="1"/>
  <c r="AV123" i="1" s="1"/>
  <c r="AU122" i="1"/>
  <c r="BA122" i="1" s="1"/>
  <c r="AT122" i="1"/>
  <c r="AZ122" i="1" s="1"/>
  <c r="AS122" i="1"/>
  <c r="AY122" i="1" s="1"/>
  <c r="AR122" i="1"/>
  <c r="AX122" i="1" s="1"/>
  <c r="AQ122" i="1"/>
  <c r="AW122" i="1" s="1"/>
  <c r="AP122" i="1"/>
  <c r="AV122" i="1" s="1"/>
  <c r="AU117" i="1"/>
  <c r="AT117" i="1"/>
  <c r="AS117" i="1"/>
  <c r="AR117" i="1"/>
  <c r="AU116" i="1"/>
  <c r="BA116" i="1" s="1"/>
  <c r="AT116" i="1"/>
  <c r="AZ116" i="1" s="1"/>
  <c r="AS116" i="1"/>
  <c r="AY116" i="1" s="1"/>
  <c r="AR116" i="1"/>
  <c r="AX116" i="1" s="1"/>
  <c r="AQ116" i="1"/>
  <c r="AW116" i="1" s="1"/>
  <c r="AP116" i="1"/>
  <c r="AV116" i="1" s="1"/>
  <c r="AU111" i="1"/>
  <c r="AT111" i="1"/>
  <c r="AS111" i="1"/>
  <c r="AY111" i="1" s="1"/>
  <c r="AR111" i="1"/>
  <c r="AX111" i="1" s="1"/>
  <c r="BB111" i="1" s="1"/>
  <c r="AU110" i="1"/>
  <c r="BA110" i="1" s="1"/>
  <c r="AT110" i="1"/>
  <c r="AZ110" i="1" s="1"/>
  <c r="AS110" i="1"/>
  <c r="AY110" i="1" s="1"/>
  <c r="AR110" i="1"/>
  <c r="AX110" i="1" s="1"/>
  <c r="AQ110" i="1"/>
  <c r="AW110" i="1" s="1"/>
  <c r="AP110" i="1"/>
  <c r="AV110" i="1" s="1"/>
  <c r="AU105" i="1"/>
  <c r="BA105" i="1" s="1"/>
  <c r="AT105" i="1"/>
  <c r="AS105" i="1"/>
  <c r="AR105" i="1"/>
  <c r="AQ105" i="1"/>
  <c r="AP105" i="1"/>
  <c r="AV105" i="1" s="1"/>
  <c r="BB105" i="1" s="1"/>
  <c r="BD105" i="1" s="1"/>
  <c r="AU104" i="1"/>
  <c r="BA104" i="1" s="1"/>
  <c r="AT104" i="1"/>
  <c r="AZ104" i="1" s="1"/>
  <c r="AS104" i="1"/>
  <c r="AY104" i="1" s="1"/>
  <c r="AR104" i="1"/>
  <c r="AX104" i="1" s="1"/>
  <c r="AQ104" i="1"/>
  <c r="AW104" i="1" s="1"/>
  <c r="AP104" i="1"/>
  <c r="AV104" i="1" s="1"/>
  <c r="AU99" i="1"/>
  <c r="BA99" i="1" s="1"/>
  <c r="AT99" i="1"/>
  <c r="AS99" i="1"/>
  <c r="AR99" i="1"/>
  <c r="AQ99" i="1"/>
  <c r="AP99" i="1"/>
  <c r="AV99" i="1" s="1"/>
  <c r="AU98" i="1"/>
  <c r="BA98" i="1" s="1"/>
  <c r="AT98" i="1"/>
  <c r="AZ98" i="1" s="1"/>
  <c r="AS98" i="1"/>
  <c r="AY98" i="1" s="1"/>
  <c r="AR98" i="1"/>
  <c r="AX98" i="1" s="1"/>
  <c r="AQ98" i="1"/>
  <c r="AW98" i="1" s="1"/>
  <c r="AP98" i="1"/>
  <c r="AV98" i="1" s="1"/>
  <c r="AU93" i="1"/>
  <c r="BA93" i="1" s="1"/>
  <c r="AT93" i="1"/>
  <c r="AS93" i="1"/>
  <c r="AY93" i="1" s="1"/>
  <c r="AR93" i="1"/>
  <c r="AX93" i="1" s="1"/>
  <c r="AQ93" i="1"/>
  <c r="AW93" i="1" s="1"/>
  <c r="AP93" i="1"/>
  <c r="AV93" i="1" s="1"/>
  <c r="AU92" i="1"/>
  <c r="BA92" i="1" s="1"/>
  <c r="AT92" i="1"/>
  <c r="AZ92" i="1" s="1"/>
  <c r="AS92" i="1"/>
  <c r="AY92" i="1" s="1"/>
  <c r="AR92" i="1"/>
  <c r="AX92" i="1" s="1"/>
  <c r="AQ92" i="1"/>
  <c r="AW92" i="1" s="1"/>
  <c r="AP92" i="1"/>
  <c r="AV92" i="1" s="1"/>
  <c r="AU87" i="1"/>
  <c r="AT87" i="1"/>
  <c r="AZ87" i="1" s="1"/>
  <c r="AS87" i="1"/>
  <c r="AR87" i="1"/>
  <c r="AQ87" i="1"/>
  <c r="AP87" i="1"/>
  <c r="AU86" i="1"/>
  <c r="BA86" i="1" s="1"/>
  <c r="AT86" i="1"/>
  <c r="AZ86" i="1" s="1"/>
  <c r="AS86" i="1"/>
  <c r="AY86" i="1" s="1"/>
  <c r="AR86" i="1"/>
  <c r="AX86" i="1" s="1"/>
  <c r="AQ86" i="1"/>
  <c r="AW86" i="1" s="1"/>
  <c r="AP86" i="1"/>
  <c r="AV86" i="1" s="1"/>
  <c r="BB86" i="1" s="1"/>
  <c r="AU81" i="1"/>
  <c r="BA81" i="1" s="1"/>
  <c r="AT81" i="1"/>
  <c r="AS81" i="1"/>
  <c r="AR81" i="1"/>
  <c r="AQ81" i="1"/>
  <c r="AP81" i="1"/>
  <c r="AU80" i="1"/>
  <c r="BA80" i="1" s="1"/>
  <c r="AT80" i="1"/>
  <c r="AZ80" i="1" s="1"/>
  <c r="AS80" i="1"/>
  <c r="AY80" i="1" s="1"/>
  <c r="AR80" i="1"/>
  <c r="AX80" i="1" s="1"/>
  <c r="AQ80" i="1"/>
  <c r="AP80" i="1"/>
  <c r="AV80" i="1" s="1"/>
  <c r="AU75" i="1"/>
  <c r="BA75" i="1" s="1"/>
  <c r="AT75" i="1"/>
  <c r="AS75" i="1"/>
  <c r="AY75" i="1" s="1"/>
  <c r="AR75" i="1"/>
  <c r="AX75" i="1" s="1"/>
  <c r="AQ75" i="1"/>
  <c r="AW75" i="1" s="1"/>
  <c r="AP75" i="1"/>
  <c r="AV75" i="1" s="1"/>
  <c r="AU74" i="1"/>
  <c r="BA74" i="1" s="1"/>
  <c r="AT74" i="1"/>
  <c r="AZ74" i="1" s="1"/>
  <c r="AS74" i="1"/>
  <c r="AY74" i="1" s="1"/>
  <c r="AR74" i="1"/>
  <c r="AX74" i="1" s="1"/>
  <c r="AQ74" i="1"/>
  <c r="AW74" i="1" s="1"/>
  <c r="AP74" i="1"/>
  <c r="AV74" i="1" s="1"/>
  <c r="AU69" i="1"/>
  <c r="AT69" i="1"/>
  <c r="AS69" i="1"/>
  <c r="AR69" i="1"/>
  <c r="AQ69" i="1"/>
  <c r="AP69" i="1"/>
  <c r="AU68" i="1"/>
  <c r="AT68" i="1"/>
  <c r="AS68" i="1"/>
  <c r="AR68" i="1"/>
  <c r="AX68" i="1" s="1"/>
  <c r="AQ68" i="1"/>
  <c r="AW68" i="1" s="1"/>
  <c r="AP68" i="1"/>
  <c r="AV68" i="1" s="1"/>
  <c r="AU63" i="1"/>
  <c r="BA63" i="1" s="1"/>
  <c r="AT63" i="1"/>
  <c r="AS63" i="1"/>
  <c r="AR63" i="1"/>
  <c r="AX63" i="1" s="1"/>
  <c r="AQ63" i="1"/>
  <c r="AW63" i="1" s="1"/>
  <c r="AP63" i="1"/>
  <c r="AV63" i="1" s="1"/>
  <c r="AU62" i="1"/>
  <c r="BA62" i="1" s="1"/>
  <c r="AT62" i="1"/>
  <c r="AZ62" i="1" s="1"/>
  <c r="AS62" i="1"/>
  <c r="AY62" i="1" s="1"/>
  <c r="AR62" i="1"/>
  <c r="AX62" i="1" s="1"/>
  <c r="AQ62" i="1"/>
  <c r="AW62" i="1" s="1"/>
  <c r="AP62" i="1"/>
  <c r="AV62" i="1" s="1"/>
  <c r="AU57" i="1"/>
  <c r="BA57" i="1" s="1"/>
  <c r="AT57" i="1"/>
  <c r="AS57" i="1"/>
  <c r="AY57" i="1" s="1"/>
  <c r="AR57" i="1"/>
  <c r="AX57" i="1" s="1"/>
  <c r="AQ57" i="1"/>
  <c r="AW57" i="1" s="1"/>
  <c r="AP57" i="1"/>
  <c r="AV57" i="1" s="1"/>
  <c r="AU56" i="1"/>
  <c r="AT56" i="1"/>
  <c r="AS56" i="1"/>
  <c r="AR56" i="1"/>
  <c r="AX56" i="1" s="1"/>
  <c r="AQ56" i="1"/>
  <c r="AW56" i="1" s="1"/>
  <c r="AP56" i="1"/>
  <c r="AV56" i="1" s="1"/>
  <c r="AU51" i="1"/>
  <c r="BA51" i="1" s="1"/>
  <c r="AT51" i="1"/>
  <c r="AS51" i="1"/>
  <c r="AR51" i="1"/>
  <c r="AQ51" i="1"/>
  <c r="AP51" i="1"/>
  <c r="AU50" i="1"/>
  <c r="BA50" i="1" s="1"/>
  <c r="AT50" i="1"/>
  <c r="AZ50" i="1" s="1"/>
  <c r="AS50" i="1"/>
  <c r="AY50" i="1" s="1"/>
  <c r="AR50" i="1"/>
  <c r="AX50" i="1" s="1"/>
  <c r="AQ50" i="1"/>
  <c r="AW50" i="1" s="1"/>
  <c r="AP50" i="1"/>
  <c r="AV50" i="1" s="1"/>
  <c r="AU45" i="1"/>
  <c r="BA45" i="1" s="1"/>
  <c r="AT45" i="1"/>
  <c r="AS45" i="1"/>
  <c r="AY45" i="1" s="1"/>
  <c r="AR45" i="1"/>
  <c r="AQ45" i="1"/>
  <c r="AW45" i="1" s="1"/>
  <c r="AP45" i="1"/>
  <c r="AV45" i="1" s="1"/>
  <c r="AU44" i="1"/>
  <c r="BA44" i="1" s="1"/>
  <c r="AT44" i="1"/>
  <c r="AZ44" i="1" s="1"/>
  <c r="AS44" i="1"/>
  <c r="AY44" i="1" s="1"/>
  <c r="AR44" i="1"/>
  <c r="AX44" i="1" s="1"/>
  <c r="AQ44" i="1"/>
  <c r="AW44" i="1" s="1"/>
  <c r="AP44" i="1"/>
  <c r="AV44" i="1" s="1"/>
  <c r="AU39" i="1"/>
  <c r="AT39" i="1"/>
  <c r="AS39" i="1"/>
  <c r="AR39" i="1"/>
  <c r="AQ39" i="1"/>
  <c r="AP39" i="1"/>
  <c r="AU38" i="1"/>
  <c r="BA38" i="1" s="1"/>
  <c r="AT38" i="1"/>
  <c r="AZ38" i="1" s="1"/>
  <c r="AS38" i="1"/>
  <c r="AY38" i="1" s="1"/>
  <c r="AR38" i="1"/>
  <c r="AX38" i="1" s="1"/>
  <c r="AQ38" i="1"/>
  <c r="AW38" i="1" s="1"/>
  <c r="AP38" i="1"/>
  <c r="AV38" i="1" s="1"/>
  <c r="BB38" i="1" s="1"/>
  <c r="AU33" i="1"/>
  <c r="BA33" i="1" s="1"/>
  <c r="AT33" i="1"/>
  <c r="AS33" i="1"/>
  <c r="AR33" i="1"/>
  <c r="AU32" i="1"/>
  <c r="BA32" i="1" s="1"/>
  <c r="AT32" i="1"/>
  <c r="AZ32" i="1" s="1"/>
  <c r="AS32" i="1"/>
  <c r="AY32" i="1" s="1"/>
  <c r="AR32" i="1"/>
  <c r="AX32" i="1" s="1"/>
  <c r="AQ32" i="1"/>
  <c r="AW32" i="1" s="1"/>
  <c r="AP32" i="1"/>
  <c r="AU27" i="1"/>
  <c r="BA27" i="1" s="1"/>
  <c r="AT27" i="1"/>
  <c r="AZ27" i="1" s="1"/>
  <c r="AS27" i="1"/>
  <c r="AY27" i="1" s="1"/>
  <c r="AR27" i="1"/>
  <c r="AX27" i="1" s="1"/>
  <c r="AQ27" i="1"/>
  <c r="AW27" i="1" s="1"/>
  <c r="AP27" i="1"/>
  <c r="AV27" i="1" s="1"/>
  <c r="BB27" i="1" s="1"/>
  <c r="AU26" i="1"/>
  <c r="AT26" i="1"/>
  <c r="AS26" i="1"/>
  <c r="AR26" i="1"/>
  <c r="AQ26" i="1"/>
  <c r="AP26" i="1"/>
  <c r="AV26" i="1" s="1"/>
  <c r="AU21" i="1"/>
  <c r="AT21" i="1"/>
  <c r="AS21" i="1"/>
  <c r="AR21" i="1"/>
  <c r="AQ21" i="1"/>
  <c r="AP21" i="1"/>
  <c r="AU20" i="1"/>
  <c r="AT20" i="1"/>
  <c r="AS20" i="1"/>
  <c r="AR20" i="1"/>
  <c r="AX20" i="1" s="1"/>
  <c r="AQ20" i="1"/>
  <c r="AW20" i="1" s="1"/>
  <c r="AP20" i="1"/>
  <c r="AV20" i="1" s="1"/>
  <c r="AU15" i="1"/>
  <c r="AT15" i="1"/>
  <c r="AZ15" i="1" s="1"/>
  <c r="AS15" i="1"/>
  <c r="AY15" i="1" s="1"/>
  <c r="AR15" i="1"/>
  <c r="AQ15" i="1"/>
  <c r="AP15" i="1"/>
  <c r="AV15" i="1" s="1"/>
  <c r="AU14" i="1"/>
  <c r="BA14" i="1" s="1"/>
  <c r="AT14" i="1"/>
  <c r="AZ14" i="1" s="1"/>
  <c r="AS14" i="1"/>
  <c r="AY14" i="1" s="1"/>
  <c r="AR14" i="1"/>
  <c r="AX14" i="1" s="1"/>
  <c r="AQ14" i="1"/>
  <c r="AW14" i="1" s="1"/>
  <c r="AP14" i="1"/>
  <c r="AV14" i="1" s="1"/>
  <c r="BB14" i="1" s="1"/>
  <c r="AU9" i="1"/>
  <c r="BA9" i="1" s="1"/>
  <c r="AT9" i="1"/>
  <c r="AZ9" i="1" s="1"/>
  <c r="AS9" i="1"/>
  <c r="AY9" i="1" s="1"/>
  <c r="AR9" i="1"/>
  <c r="AX9" i="1" s="1"/>
  <c r="AQ9" i="1"/>
  <c r="AW9" i="1" s="1"/>
  <c r="AP9" i="1"/>
  <c r="AV9" i="1" s="1"/>
  <c r="BB9" i="1" s="1"/>
  <c r="AU8" i="1"/>
  <c r="BA8" i="1" s="1"/>
  <c r="AT8" i="1"/>
  <c r="AZ8" i="1" s="1"/>
  <c r="AS8" i="1"/>
  <c r="AY8" i="1" s="1"/>
  <c r="AR8" i="1"/>
  <c r="AX8" i="1" s="1"/>
  <c r="AQ8" i="1"/>
  <c r="AW8" i="1" s="1"/>
  <c r="AP8" i="1"/>
  <c r="AV8" i="1" s="1"/>
  <c r="AP3" i="1"/>
  <c r="AQ3" i="1"/>
  <c r="AR3" i="1"/>
  <c r="AX3" i="1" s="1"/>
  <c r="AS3" i="1"/>
  <c r="AT3" i="1"/>
  <c r="AU3" i="1"/>
  <c r="BA3" i="1" s="1"/>
  <c r="AU2" i="1"/>
  <c r="AT2" i="1"/>
  <c r="AS2" i="1"/>
  <c r="AR2" i="1"/>
  <c r="AQ2" i="1"/>
  <c r="AP2" i="1"/>
  <c r="BA141" i="1"/>
  <c r="AY141" i="1"/>
  <c r="AI141" i="1"/>
  <c r="AZ140" i="1"/>
  <c r="AY140" i="1"/>
  <c r="AX140" i="1"/>
  <c r="AW140" i="1"/>
  <c r="AI140" i="1"/>
  <c r="BA135" i="1"/>
  <c r="AZ135" i="1"/>
  <c r="AY135" i="1"/>
  <c r="AX135" i="1"/>
  <c r="BB135" i="1" s="1"/>
  <c r="AI135" i="1"/>
  <c r="AI134" i="1"/>
  <c r="AI129" i="1"/>
  <c r="AI128" i="1"/>
  <c r="BA123" i="1"/>
  <c r="AZ123" i="1"/>
  <c r="AY123" i="1"/>
  <c r="AX123" i="1"/>
  <c r="AI123" i="1"/>
  <c r="AI122" i="1"/>
  <c r="BA117" i="1"/>
  <c r="AZ117" i="1"/>
  <c r="AY117" i="1"/>
  <c r="AX117" i="1"/>
  <c r="BB117" i="1" s="1"/>
  <c r="AI117" i="1"/>
  <c r="AI116" i="1"/>
  <c r="AZ111" i="1"/>
  <c r="BA111" i="1"/>
  <c r="AI111" i="1"/>
  <c r="AI110" i="1"/>
  <c r="AZ105" i="1"/>
  <c r="AY105" i="1"/>
  <c r="AX105" i="1"/>
  <c r="AW105" i="1"/>
  <c r="AI105" i="1"/>
  <c r="AI104" i="1"/>
  <c r="AZ99" i="1"/>
  <c r="AY99" i="1"/>
  <c r="AX99" i="1"/>
  <c r="AW99" i="1"/>
  <c r="AI99" i="1"/>
  <c r="AI98" i="1"/>
  <c r="AZ93" i="1"/>
  <c r="AI93" i="1"/>
  <c r="AI92" i="1"/>
  <c r="AY87" i="1"/>
  <c r="AX87" i="1"/>
  <c r="AW87" i="1"/>
  <c r="AV87" i="1"/>
  <c r="BA87" i="1"/>
  <c r="AI87" i="1"/>
  <c r="AI86" i="1"/>
  <c r="AZ81" i="1"/>
  <c r="AY81" i="1"/>
  <c r="AX81" i="1"/>
  <c r="AW81" i="1"/>
  <c r="AV81" i="1"/>
  <c r="BB81" i="1" s="1"/>
  <c r="BD81" i="1" s="1"/>
  <c r="AI81" i="1"/>
  <c r="AW80" i="1"/>
  <c r="AI80" i="1"/>
  <c r="AZ75" i="1"/>
  <c r="AI75" i="1"/>
  <c r="AI74" i="1"/>
  <c r="BA69" i="1"/>
  <c r="AZ69" i="1"/>
  <c r="AY69" i="1"/>
  <c r="AX69" i="1"/>
  <c r="AW69" i="1"/>
  <c r="AV69" i="1"/>
  <c r="BB69" i="1" s="1"/>
  <c r="AI69" i="1"/>
  <c r="BA68" i="1"/>
  <c r="AZ68" i="1"/>
  <c r="AY68" i="1"/>
  <c r="AI68" i="1"/>
  <c r="AZ63" i="1"/>
  <c r="AY63" i="1"/>
  <c r="AI63" i="1"/>
  <c r="AI62" i="1"/>
  <c r="AZ57" i="1"/>
  <c r="AI57" i="1"/>
  <c r="BA56" i="1"/>
  <c r="AZ56" i="1"/>
  <c r="AY56" i="1"/>
  <c r="AI56" i="1"/>
  <c r="AZ51" i="1"/>
  <c r="AY51" i="1"/>
  <c r="AX51" i="1"/>
  <c r="AW51" i="1"/>
  <c r="AV51" i="1"/>
  <c r="BB51" i="1" s="1"/>
  <c r="AI51" i="1"/>
  <c r="AI50" i="1"/>
  <c r="AZ45" i="1"/>
  <c r="AX45" i="1"/>
  <c r="AI45" i="1"/>
  <c r="AI44" i="1"/>
  <c r="AZ39" i="1"/>
  <c r="AY39" i="1"/>
  <c r="AX39" i="1"/>
  <c r="AW39" i="1"/>
  <c r="AV39" i="1"/>
  <c r="BB39" i="1" s="1"/>
  <c r="BA39" i="1"/>
  <c r="AI39" i="1"/>
  <c r="AI38" i="1"/>
  <c r="AZ33" i="1"/>
  <c r="AY33" i="1"/>
  <c r="AX33" i="1"/>
  <c r="BB33" i="1" s="1"/>
  <c r="AI33" i="1"/>
  <c r="AV32" i="1"/>
  <c r="AI32" i="1"/>
  <c r="AI27" i="1"/>
  <c r="BA26" i="1"/>
  <c r="AZ26" i="1"/>
  <c r="AY26" i="1"/>
  <c r="AX26" i="1"/>
  <c r="AW26" i="1"/>
  <c r="AI26" i="1"/>
  <c r="BA21" i="1"/>
  <c r="AZ21" i="1"/>
  <c r="AY21" i="1"/>
  <c r="AX21" i="1"/>
  <c r="AW21" i="1"/>
  <c r="AV21" i="1"/>
  <c r="BB21" i="1" s="1"/>
  <c r="AI21" i="1"/>
  <c r="BA20" i="1"/>
  <c r="AZ20" i="1"/>
  <c r="AY20" i="1"/>
  <c r="AI20" i="1"/>
  <c r="AX15" i="1"/>
  <c r="AW15" i="1"/>
  <c r="BA15" i="1"/>
  <c r="AI15" i="1"/>
  <c r="AI14" i="1"/>
  <c r="AI9" i="1"/>
  <c r="AI8" i="1"/>
  <c r="AY3" i="1"/>
  <c r="AW3" i="1"/>
  <c r="AV3" i="1"/>
  <c r="AZ3" i="1"/>
  <c r="AI3" i="1"/>
  <c r="BA2" i="1"/>
  <c r="AZ2" i="1"/>
  <c r="AY2" i="1"/>
  <c r="AX2" i="1"/>
  <c r="AW2" i="1"/>
  <c r="AI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J3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O164" i="1" s="1"/>
  <c r="K165" i="1"/>
  <c r="O165" i="1" s="1"/>
  <c r="K166" i="1"/>
  <c r="O166" i="1" s="1"/>
  <c r="K167" i="1"/>
  <c r="O167" i="1" s="1"/>
  <c r="K168" i="1"/>
  <c r="O168" i="1" s="1"/>
  <c r="K169" i="1"/>
  <c r="O169" i="1" s="1"/>
  <c r="K170" i="1"/>
  <c r="O170" i="1" s="1"/>
  <c r="K171" i="1"/>
  <c r="O171" i="1" s="1"/>
  <c r="K172" i="1"/>
  <c r="O172" i="1" s="1"/>
  <c r="K173" i="1"/>
  <c r="O173" i="1" s="1"/>
  <c r="K174" i="1"/>
  <c r="O174" i="1" s="1"/>
  <c r="K175" i="1"/>
  <c r="O175" i="1" s="1"/>
  <c r="K176" i="1"/>
  <c r="O176" i="1" s="1"/>
  <c r="K177" i="1"/>
  <c r="O177" i="1" s="1"/>
  <c r="K178" i="1"/>
  <c r="O178" i="1" s="1"/>
  <c r="K179" i="1"/>
  <c r="O179" i="1" s="1"/>
  <c r="K180" i="1"/>
  <c r="K181" i="1"/>
  <c r="O181" i="1" s="1"/>
  <c r="K182" i="1"/>
  <c r="O182" i="1" s="1"/>
  <c r="K183" i="1"/>
  <c r="O183" i="1" s="1"/>
  <c r="K184" i="1"/>
  <c r="O184" i="1" s="1"/>
  <c r="K185" i="1"/>
  <c r="O185" i="1" s="1"/>
  <c r="K186" i="1"/>
  <c r="O186" i="1" s="1"/>
  <c r="K187" i="1"/>
  <c r="O187" i="1" s="1"/>
  <c r="K188" i="1"/>
  <c r="O188" i="1" s="1"/>
  <c r="K189" i="1"/>
  <c r="O189" i="1" s="1"/>
  <c r="K190" i="1"/>
  <c r="O190" i="1" s="1"/>
  <c r="K191" i="1"/>
  <c r="O191" i="1" s="1"/>
  <c r="K192" i="1"/>
  <c r="O192" i="1" s="1"/>
  <c r="K193" i="1"/>
  <c r="O193" i="1" s="1"/>
  <c r="K194" i="1"/>
  <c r="O194" i="1" s="1"/>
  <c r="K195" i="1"/>
  <c r="O195" i="1" s="1"/>
  <c r="K196" i="1"/>
  <c r="O196" i="1" s="1"/>
  <c r="K197" i="1"/>
  <c r="O197" i="1" s="1"/>
  <c r="K198" i="1"/>
  <c r="O198" i="1" s="1"/>
  <c r="K199" i="1"/>
  <c r="O199" i="1" s="1"/>
  <c r="K200" i="1"/>
  <c r="O200" i="1" s="1"/>
  <c r="K201" i="1"/>
  <c r="O201" i="1" s="1"/>
  <c r="K202" i="1"/>
  <c r="O202" i="1" s="1"/>
  <c r="K203" i="1"/>
  <c r="O203" i="1" s="1"/>
  <c r="K204" i="1"/>
  <c r="O204" i="1" s="1"/>
  <c r="K205" i="1"/>
  <c r="O205" i="1" s="1"/>
  <c r="K206" i="1"/>
  <c r="O206" i="1" s="1"/>
  <c r="K207" i="1"/>
  <c r="O207" i="1" s="1"/>
  <c r="K208" i="1"/>
  <c r="O208" i="1" s="1"/>
  <c r="K209" i="1"/>
  <c r="O209" i="1" s="1"/>
  <c r="K210" i="1"/>
  <c r="O210" i="1" s="1"/>
  <c r="K211" i="1"/>
  <c r="O211" i="1" s="1"/>
  <c r="K212" i="1"/>
  <c r="O212" i="1" s="1"/>
  <c r="K213" i="1"/>
  <c r="K214" i="1"/>
  <c r="O214" i="1" s="1"/>
  <c r="K215" i="1"/>
  <c r="O215" i="1" s="1"/>
  <c r="K216" i="1"/>
  <c r="O216" i="1" s="1"/>
  <c r="K217" i="1"/>
  <c r="O217" i="1" s="1"/>
  <c r="K1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2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AS50" i="2" l="1"/>
  <c r="AR86" i="2"/>
  <c r="AT86" i="2" s="1"/>
  <c r="AR98" i="2"/>
  <c r="AT98" i="2" s="1"/>
  <c r="AR8" i="2"/>
  <c r="AT8" i="2" s="1"/>
  <c r="AS98" i="2"/>
  <c r="AS3" i="2"/>
  <c r="AT9" i="2"/>
  <c r="AT14" i="2"/>
  <c r="AS27" i="2"/>
  <c r="AS32" i="2"/>
  <c r="AS44" i="2"/>
  <c r="AT87" i="2"/>
  <c r="AS104" i="2"/>
  <c r="AS45" i="2"/>
  <c r="AR3" i="2"/>
  <c r="AT3" i="2" s="1"/>
  <c r="AS62" i="2"/>
  <c r="AR93" i="2"/>
  <c r="AT93" i="2" s="1"/>
  <c r="AS8" i="2"/>
  <c r="AS86" i="2"/>
  <c r="AS9" i="2"/>
  <c r="AS51" i="2"/>
  <c r="AS33" i="2"/>
  <c r="AR57" i="2"/>
  <c r="AT57" i="2" s="1"/>
  <c r="AS105" i="2"/>
  <c r="AS57" i="2"/>
  <c r="AS81" i="2"/>
  <c r="AS93" i="2"/>
  <c r="AT75" i="2"/>
  <c r="AS15" i="2"/>
  <c r="AS69" i="2"/>
  <c r="AR33" i="2"/>
  <c r="AT33" i="2" s="1"/>
  <c r="AR50" i="2"/>
  <c r="AT50" i="2" s="1"/>
  <c r="AS68" i="2"/>
  <c r="AR99" i="2"/>
  <c r="AT99" i="2" s="1"/>
  <c r="AT62" i="2"/>
  <c r="AT45" i="2"/>
  <c r="BD135" i="1"/>
  <c r="BB56" i="1"/>
  <c r="BB15" i="1"/>
  <c r="BB3" i="1"/>
  <c r="BD117" i="1"/>
  <c r="BD111" i="1"/>
  <c r="BB110" i="1"/>
  <c r="BD33" i="1"/>
  <c r="BB116" i="1"/>
  <c r="S4" i="2"/>
  <c r="Q62" i="2"/>
  <c r="Q92" i="2"/>
  <c r="Q105" i="2"/>
  <c r="O45" i="2"/>
  <c r="O23" i="2"/>
  <c r="S89" i="2"/>
  <c r="S11" i="2"/>
  <c r="S75" i="2"/>
  <c r="S87" i="2"/>
  <c r="Q104" i="2"/>
  <c r="O25" i="2"/>
  <c r="S61" i="2"/>
  <c r="S91" i="2"/>
  <c r="O67" i="2"/>
  <c r="O37" i="2"/>
  <c r="O72" i="2"/>
  <c r="O76" i="2"/>
  <c r="O84" i="2"/>
  <c r="S93" i="2"/>
  <c r="Q110" i="2"/>
  <c r="S6" i="2"/>
  <c r="S15" i="2"/>
  <c r="S24" i="2"/>
  <c r="O33" i="2"/>
  <c r="O38" i="2"/>
  <c r="S85" i="2"/>
  <c r="S98" i="2"/>
  <c r="S47" i="2"/>
  <c r="Q132" i="2"/>
  <c r="S146" i="2"/>
  <c r="Q150" i="2"/>
  <c r="O102" i="2"/>
  <c r="Q60" i="2"/>
  <c r="Q122" i="2"/>
  <c r="Q158" i="2"/>
  <c r="S13" i="2"/>
  <c r="Q133" i="2"/>
  <c r="S144" i="2"/>
  <c r="Q6" i="2"/>
  <c r="S112" i="2"/>
  <c r="Q155" i="2"/>
  <c r="Q26" i="2"/>
  <c r="S27" i="2"/>
  <c r="Q50" i="2"/>
  <c r="Q53" i="2"/>
  <c r="S152" i="2"/>
  <c r="S88" i="2"/>
  <c r="S9" i="2"/>
  <c r="Q16" i="2"/>
  <c r="Q20" i="2"/>
  <c r="O32" i="2"/>
  <c r="S59" i="2"/>
  <c r="S80" i="2"/>
  <c r="S81" i="2"/>
  <c r="S103" i="2"/>
  <c r="S108" i="2"/>
  <c r="Q108" i="2"/>
  <c r="O108" i="2"/>
  <c r="Q14" i="2"/>
  <c r="O22" i="2"/>
  <c r="S111" i="2"/>
  <c r="Q111" i="2"/>
  <c r="Q124" i="2"/>
  <c r="S131" i="2"/>
  <c r="Q131" i="2"/>
  <c r="O78" i="2"/>
  <c r="Q78" i="2"/>
  <c r="Q128" i="2"/>
  <c r="S128" i="2"/>
  <c r="O12" i="2"/>
  <c r="S12" i="2"/>
  <c r="Q12" i="2"/>
  <c r="Q34" i="2"/>
  <c r="Q40" i="2"/>
  <c r="O44" i="2"/>
  <c r="O66" i="2"/>
  <c r="S161" i="2"/>
  <c r="Q96" i="2"/>
  <c r="Q116" i="2"/>
  <c r="S135" i="2"/>
  <c r="O52" i="2"/>
  <c r="Q125" i="2"/>
  <c r="S125" i="2"/>
  <c r="Q142" i="2"/>
  <c r="S145" i="2"/>
  <c r="Q145" i="2"/>
  <c r="Q81" i="2"/>
  <c r="Q120" i="2"/>
  <c r="Q156" i="2"/>
  <c r="S7" i="2"/>
  <c r="O5" i="2"/>
  <c r="S19" i="2"/>
  <c r="Q30" i="2"/>
  <c r="O74" i="2"/>
  <c r="S106" i="2"/>
  <c r="Q123" i="2"/>
  <c r="S151" i="2"/>
  <c r="S63" i="2"/>
  <c r="S36" i="2"/>
  <c r="O17" i="2"/>
  <c r="Q140" i="2"/>
  <c r="O65" i="2"/>
  <c r="S73" i="2"/>
  <c r="S121" i="2"/>
  <c r="Q126" i="2"/>
  <c r="Q134" i="2"/>
  <c r="Q157" i="2"/>
  <c r="O77" i="2"/>
  <c r="S100" i="2"/>
  <c r="Q3" i="2"/>
  <c r="Q10" i="2"/>
  <c r="S18" i="2"/>
  <c r="S21" i="2"/>
  <c r="S25" i="2"/>
  <c r="O29" i="2"/>
  <c r="S83" i="2"/>
  <c r="O86" i="2"/>
  <c r="S99" i="2"/>
  <c r="Q99" i="2"/>
  <c r="O99" i="2"/>
  <c r="Q90" i="2"/>
  <c r="O90" i="2"/>
  <c r="S90" i="2"/>
  <c r="S2" i="2"/>
  <c r="Q2" i="2"/>
  <c r="O2" i="2"/>
  <c r="S35" i="2"/>
  <c r="Q35" i="2"/>
  <c r="O35" i="2"/>
  <c r="Q48" i="2"/>
  <c r="O48" i="2"/>
  <c r="S48" i="2"/>
  <c r="S5" i="2"/>
  <c r="Q75" i="2"/>
  <c r="O75" i="2"/>
  <c r="S64" i="2"/>
  <c r="Q64" i="2"/>
  <c r="O64" i="2"/>
  <c r="O92" i="2"/>
  <c r="S92" i="2"/>
  <c r="S8" i="2"/>
  <c r="Q8" i="2"/>
  <c r="O8" i="2"/>
  <c r="Q42" i="2"/>
  <c r="S42" i="2"/>
  <c r="O42" i="2"/>
  <c r="Q44" i="2"/>
  <c r="Q39" i="2"/>
  <c r="O39" i="2"/>
  <c r="S39" i="2"/>
  <c r="Q56" i="2"/>
  <c r="O56" i="2"/>
  <c r="S56" i="2"/>
  <c r="S57" i="2"/>
  <c r="Q57" i="2"/>
  <c r="S119" i="2"/>
  <c r="Q119" i="2"/>
  <c r="S160" i="2"/>
  <c r="Q160" i="2"/>
  <c r="S58" i="2"/>
  <c r="O58" i="2"/>
  <c r="S115" i="2"/>
  <c r="Q115" i="2"/>
  <c r="Q147" i="2"/>
  <c r="S147" i="2"/>
  <c r="Q51" i="2"/>
  <c r="O51" i="2"/>
  <c r="S62" i="2"/>
  <c r="O62" i="2"/>
  <c r="O80" i="2"/>
  <c r="O109" i="2"/>
  <c r="O57" i="2"/>
  <c r="Q31" i="2"/>
  <c r="S82" i="2"/>
  <c r="Q82" i="2"/>
  <c r="O82" i="2"/>
  <c r="S95" i="2"/>
  <c r="Q95" i="2"/>
  <c r="O95" i="2"/>
  <c r="S31" i="2"/>
  <c r="S51" i="2"/>
  <c r="O69" i="2"/>
  <c r="Q109" i="2"/>
  <c r="S141" i="2"/>
  <c r="O97" i="2"/>
  <c r="S97" i="2"/>
  <c r="Q97" i="2"/>
  <c r="Q58" i="2"/>
  <c r="S23" i="2"/>
  <c r="Q23" i="2"/>
  <c r="O4" i="2"/>
  <c r="O49" i="2"/>
  <c r="S49" i="2"/>
  <c r="Q69" i="2"/>
  <c r="S104" i="2"/>
  <c r="S130" i="2"/>
  <c r="Q130" i="2"/>
  <c r="S136" i="2"/>
  <c r="Q136" i="2"/>
  <c r="S54" i="2"/>
  <c r="O54" i="2"/>
  <c r="O70" i="2"/>
  <c r="S70" i="2"/>
  <c r="Q4" i="2"/>
  <c r="O14" i="2"/>
  <c r="O55" i="2"/>
  <c r="S55" i="2"/>
  <c r="Q55" i="2"/>
  <c r="O59" i="2"/>
  <c r="Q98" i="2"/>
  <c r="Q89" i="2"/>
  <c r="Q68" i="2"/>
  <c r="O68" i="2"/>
  <c r="S129" i="2"/>
  <c r="Q129" i="2"/>
  <c r="Q74" i="2"/>
  <c r="Q85" i="2"/>
  <c r="O105" i="2"/>
  <c r="S154" i="2"/>
  <c r="Q154" i="2"/>
  <c r="S163" i="2"/>
  <c r="Q163" i="2"/>
  <c r="S118" i="2"/>
  <c r="Q118" i="2"/>
  <c r="S139" i="2"/>
  <c r="Q139" i="2"/>
  <c r="S149" i="2"/>
  <c r="Q149" i="2"/>
  <c r="S114" i="2"/>
  <c r="Q114" i="2"/>
  <c r="S162" i="2"/>
  <c r="Q162" i="2"/>
  <c r="S138" i="2"/>
  <c r="Q138" i="2"/>
  <c r="O21" i="2"/>
  <c r="Q79" i="2"/>
  <c r="Q113" i="2"/>
  <c r="S113" i="2"/>
  <c r="S117" i="2"/>
  <c r="Q127" i="2"/>
  <c r="S143" i="2"/>
  <c r="S79" i="2"/>
  <c r="S148" i="2"/>
  <c r="Q148" i="2"/>
  <c r="Q153" i="2"/>
  <c r="S137" i="2"/>
  <c r="Q137" i="2"/>
  <c r="S159" i="2"/>
  <c r="Q159" i="2"/>
  <c r="BB134" i="1"/>
  <c r="BD134" i="1" s="1"/>
  <c r="BB129" i="1"/>
  <c r="BD129" i="1" s="1"/>
  <c r="BD128" i="1"/>
  <c r="BD116" i="1"/>
  <c r="BD110" i="1"/>
  <c r="BB93" i="1"/>
  <c r="BD86" i="1"/>
  <c r="BB62" i="1"/>
  <c r="BD62" i="1"/>
  <c r="BB57" i="1"/>
  <c r="BD57" i="1" s="1"/>
  <c r="BD56" i="1"/>
  <c r="BB45" i="1"/>
  <c r="BD45" i="1" s="1"/>
  <c r="BD39" i="1"/>
  <c r="BB32" i="1"/>
  <c r="BD32" i="1" s="1"/>
  <c r="BD27" i="1"/>
  <c r="BD21" i="1"/>
  <c r="BD9" i="1"/>
  <c r="BB122" i="1"/>
  <c r="BD122" i="1" s="1"/>
  <c r="BD93" i="1"/>
  <c r="BB50" i="1"/>
  <c r="BD50" i="1" s="1"/>
  <c r="BD69" i="1"/>
  <c r="BB75" i="1"/>
  <c r="BB80" i="1"/>
  <c r="BD80" i="1" s="1"/>
  <c r="BB99" i="1"/>
  <c r="BD99" i="1" s="1"/>
  <c r="BB104" i="1"/>
  <c r="BD104" i="1" s="1"/>
  <c r="BD15" i="1"/>
  <c r="BB20" i="1"/>
  <c r="BD20" i="1" s="1"/>
  <c r="BB26" i="1"/>
  <c r="BD26" i="1" s="1"/>
  <c r="BD75" i="1"/>
  <c r="BB123" i="1"/>
  <c r="BD123" i="1" s="1"/>
  <c r="BD51" i="1"/>
  <c r="BB44" i="1"/>
  <c r="BD44" i="1" s="1"/>
  <c r="BD14" i="1"/>
  <c r="BD38" i="1"/>
  <c r="BB63" i="1"/>
  <c r="BD63" i="1" s="1"/>
  <c r="BB68" i="1"/>
  <c r="BD68" i="1" s="1"/>
  <c r="BB87" i="1"/>
  <c r="BD87" i="1" s="1"/>
  <c r="BB92" i="1"/>
  <c r="BD92" i="1" s="1"/>
  <c r="BB140" i="1"/>
  <c r="BD140" i="1" s="1"/>
  <c r="BB141" i="1"/>
  <c r="BD141" i="1" s="1"/>
  <c r="BB2" i="1"/>
  <c r="BD2" i="1" s="1"/>
  <c r="BD3" i="1"/>
  <c r="BB8" i="1"/>
  <c r="BD8" i="1" s="1"/>
  <c r="BB74" i="1"/>
  <c r="BD74" i="1" s="1"/>
  <c r="BB98" i="1"/>
  <c r="BD98" i="1" s="1"/>
  <c r="L2" i="1"/>
  <c r="L15" i="1"/>
  <c r="M15" i="1" s="1"/>
  <c r="R15" i="1" s="1"/>
  <c r="L3" i="1"/>
  <c r="M3" i="1" s="1"/>
  <c r="R3" i="1" s="1"/>
  <c r="M2" i="1"/>
  <c r="O2" i="1" s="1"/>
  <c r="L38" i="1"/>
  <c r="M38" i="1" s="1"/>
  <c r="R38" i="1" s="1"/>
  <c r="L98" i="1"/>
  <c r="M98" i="1" s="1"/>
  <c r="L74" i="1"/>
  <c r="M74" i="1" s="1"/>
  <c r="L62" i="1"/>
  <c r="M62" i="1" s="1"/>
  <c r="L50" i="1"/>
  <c r="M50" i="1" s="1"/>
  <c r="L26" i="1"/>
  <c r="M26" i="1" s="1"/>
  <c r="L20" i="1"/>
  <c r="M20" i="1" s="1"/>
  <c r="O20" i="1" s="1"/>
  <c r="L8" i="1"/>
  <c r="M8" i="1" s="1"/>
  <c r="O8" i="1" s="1"/>
  <c r="L10" i="1"/>
  <c r="M10" i="1" s="1"/>
  <c r="O10" i="1" s="1"/>
  <c r="L135" i="1"/>
  <c r="M135" i="1" s="1"/>
  <c r="O135" i="1" s="1"/>
  <c r="L123" i="1"/>
  <c r="M123" i="1" s="1"/>
  <c r="O123" i="1" s="1"/>
  <c r="L111" i="1"/>
  <c r="M111" i="1" s="1"/>
  <c r="O111" i="1" s="1"/>
  <c r="L99" i="1"/>
  <c r="M99" i="1" s="1"/>
  <c r="O99" i="1" s="1"/>
  <c r="L87" i="1"/>
  <c r="M87" i="1" s="1"/>
  <c r="O87" i="1" s="1"/>
  <c r="L75" i="1"/>
  <c r="M75" i="1" s="1"/>
  <c r="O75" i="1" s="1"/>
  <c r="L63" i="1"/>
  <c r="M63" i="1" s="1"/>
  <c r="O63" i="1" s="1"/>
  <c r="L51" i="1"/>
  <c r="M51" i="1" s="1"/>
  <c r="O51" i="1" s="1"/>
  <c r="L39" i="1"/>
  <c r="M39" i="1" s="1"/>
  <c r="O39" i="1" s="1"/>
  <c r="L27" i="1"/>
  <c r="M27" i="1" s="1"/>
  <c r="O27" i="1" s="1"/>
  <c r="L141" i="1"/>
  <c r="M141" i="1" s="1"/>
  <c r="O141" i="1" s="1"/>
  <c r="L129" i="1"/>
  <c r="M129" i="1" s="1"/>
  <c r="O129" i="1" s="1"/>
  <c r="L117" i="1"/>
  <c r="M117" i="1" s="1"/>
  <c r="O117" i="1" s="1"/>
  <c r="L105" i="1"/>
  <c r="M105" i="1" s="1"/>
  <c r="O105" i="1" s="1"/>
  <c r="L93" i="1"/>
  <c r="M93" i="1" s="1"/>
  <c r="O93" i="1" s="1"/>
  <c r="L81" i="1"/>
  <c r="M81" i="1" s="1"/>
  <c r="O81" i="1" s="1"/>
  <c r="L69" i="1"/>
  <c r="M69" i="1" s="1"/>
  <c r="O69" i="1" s="1"/>
  <c r="L57" i="1"/>
  <c r="M57" i="1" s="1"/>
  <c r="O57" i="1" s="1"/>
  <c r="L45" i="1"/>
  <c r="M45" i="1" s="1"/>
  <c r="O45" i="1" s="1"/>
  <c r="L33" i="1"/>
  <c r="M33" i="1" s="1"/>
  <c r="O33" i="1" s="1"/>
  <c r="L21" i="1"/>
  <c r="M21" i="1" s="1"/>
  <c r="O21" i="1" s="1"/>
  <c r="L18" i="1"/>
  <c r="M18" i="1" s="1"/>
  <c r="O18" i="1" s="1"/>
  <c r="L137" i="1"/>
  <c r="M137" i="1" s="1"/>
  <c r="O137" i="1" s="1"/>
  <c r="L101" i="1"/>
  <c r="M101" i="1" s="1"/>
  <c r="O101" i="1" s="1"/>
  <c r="L89" i="1"/>
  <c r="M89" i="1" s="1"/>
  <c r="L77" i="1"/>
  <c r="M77" i="1" s="1"/>
  <c r="O77" i="1" s="1"/>
  <c r="L65" i="1"/>
  <c r="M65" i="1" s="1"/>
  <c r="O65" i="1" s="1"/>
  <c r="L53" i="1"/>
  <c r="M53" i="1" s="1"/>
  <c r="O53" i="1" s="1"/>
  <c r="L41" i="1"/>
  <c r="M41" i="1" s="1"/>
  <c r="O41" i="1" s="1"/>
  <c r="L29" i="1"/>
  <c r="M29" i="1" s="1"/>
  <c r="O29" i="1" s="1"/>
  <c r="L143" i="1"/>
  <c r="M143" i="1" s="1"/>
  <c r="O143" i="1" s="1"/>
  <c r="L131" i="1"/>
  <c r="M131" i="1" s="1"/>
  <c r="O131" i="1" s="1"/>
  <c r="L119" i="1"/>
  <c r="M119" i="1" s="1"/>
  <c r="O119" i="1" s="1"/>
  <c r="L107" i="1"/>
  <c r="M107" i="1" s="1"/>
  <c r="O107" i="1" s="1"/>
  <c r="L95" i="1"/>
  <c r="M95" i="1" s="1"/>
  <c r="O95" i="1" s="1"/>
  <c r="L83" i="1"/>
  <c r="M83" i="1" s="1"/>
  <c r="O83" i="1" s="1"/>
  <c r="L71" i="1"/>
  <c r="M71" i="1" s="1"/>
  <c r="O71" i="1" s="1"/>
  <c r="L59" i="1"/>
  <c r="M59" i="1" s="1"/>
  <c r="O59" i="1" s="1"/>
  <c r="L47" i="1"/>
  <c r="M47" i="1" s="1"/>
  <c r="O47" i="1" s="1"/>
  <c r="L35" i="1"/>
  <c r="M35" i="1" s="1"/>
  <c r="O35" i="1" s="1"/>
  <c r="L23" i="1"/>
  <c r="M23" i="1" s="1"/>
  <c r="O23" i="1" s="1"/>
  <c r="L11" i="1"/>
  <c r="M11" i="1" s="1"/>
  <c r="O11" i="1" s="1"/>
  <c r="L17" i="1"/>
  <c r="M17" i="1" s="1"/>
  <c r="O17" i="1" s="1"/>
  <c r="L5" i="1"/>
  <c r="M5" i="1" s="1"/>
  <c r="O5" i="1" s="1"/>
  <c r="L136" i="1"/>
  <c r="M136" i="1" s="1"/>
  <c r="O136" i="1" s="1"/>
  <c r="L124" i="1"/>
  <c r="M124" i="1" s="1"/>
  <c r="O124" i="1" s="1"/>
  <c r="L112" i="1"/>
  <c r="M112" i="1" s="1"/>
  <c r="O112" i="1" s="1"/>
  <c r="L100" i="1"/>
  <c r="M100" i="1" s="1"/>
  <c r="O100" i="1" s="1"/>
  <c r="L88" i="1"/>
  <c r="M88" i="1" s="1"/>
  <c r="O88" i="1" s="1"/>
  <c r="L76" i="1"/>
  <c r="M76" i="1" s="1"/>
  <c r="O76" i="1" s="1"/>
  <c r="L64" i="1"/>
  <c r="M64" i="1" s="1"/>
  <c r="O64" i="1" s="1"/>
  <c r="L52" i="1"/>
  <c r="M52" i="1" s="1"/>
  <c r="O52" i="1" s="1"/>
  <c r="L40" i="1"/>
  <c r="M40" i="1" s="1"/>
  <c r="O40" i="1" s="1"/>
  <c r="L28" i="1"/>
  <c r="M28" i="1" s="1"/>
  <c r="O28" i="1" s="1"/>
  <c r="L142" i="1"/>
  <c r="M142" i="1" s="1"/>
  <c r="O142" i="1" s="1"/>
  <c r="L130" i="1"/>
  <c r="M130" i="1" s="1"/>
  <c r="L118" i="1"/>
  <c r="M118" i="1" s="1"/>
  <c r="O118" i="1" s="1"/>
  <c r="L106" i="1"/>
  <c r="M106" i="1" s="1"/>
  <c r="O106" i="1" s="1"/>
  <c r="L94" i="1"/>
  <c r="M94" i="1" s="1"/>
  <c r="O94" i="1" s="1"/>
  <c r="L82" i="1"/>
  <c r="M82" i="1" s="1"/>
  <c r="O82" i="1" s="1"/>
  <c r="L70" i="1"/>
  <c r="M70" i="1" s="1"/>
  <c r="O70" i="1" s="1"/>
  <c r="L58" i="1"/>
  <c r="M58" i="1" s="1"/>
  <c r="O58" i="1" s="1"/>
  <c r="L46" i="1"/>
  <c r="M46" i="1" s="1"/>
  <c r="O46" i="1" s="1"/>
  <c r="L34" i="1"/>
  <c r="M34" i="1" s="1"/>
  <c r="O34" i="1" s="1"/>
  <c r="L22" i="1"/>
  <c r="M22" i="1" s="1"/>
  <c r="O22" i="1" s="1"/>
  <c r="L6" i="1"/>
  <c r="M6" i="1" s="1"/>
  <c r="O6" i="1" s="1"/>
  <c r="L113" i="1"/>
  <c r="M113" i="1" s="1"/>
  <c r="O113" i="1" s="1"/>
  <c r="L16" i="1"/>
  <c r="M16" i="1" s="1"/>
  <c r="O16" i="1" s="1"/>
  <c r="L139" i="1"/>
  <c r="M139" i="1" s="1"/>
  <c r="O139" i="1" s="1"/>
  <c r="L125" i="1"/>
  <c r="M125" i="1" s="1"/>
  <c r="O125" i="1" s="1"/>
  <c r="L4" i="1"/>
  <c r="M4" i="1" s="1"/>
  <c r="O4" i="1" s="1"/>
  <c r="L9" i="1"/>
  <c r="M9" i="1" s="1"/>
  <c r="O9" i="1" s="1"/>
  <c r="L140" i="1"/>
  <c r="M140" i="1" s="1"/>
  <c r="O140" i="1" s="1"/>
  <c r="L128" i="1"/>
  <c r="M128" i="1" s="1"/>
  <c r="O128" i="1" s="1"/>
  <c r="L116" i="1"/>
  <c r="M116" i="1" s="1"/>
  <c r="O116" i="1" s="1"/>
  <c r="L104" i="1"/>
  <c r="M104" i="1" s="1"/>
  <c r="O104" i="1" s="1"/>
  <c r="L92" i="1"/>
  <c r="M92" i="1" s="1"/>
  <c r="O92" i="1" s="1"/>
  <c r="L80" i="1"/>
  <c r="M80" i="1" s="1"/>
  <c r="O80" i="1" s="1"/>
  <c r="L68" i="1"/>
  <c r="M68" i="1" s="1"/>
  <c r="O68" i="1" s="1"/>
  <c r="L56" i="1"/>
  <c r="M56" i="1" s="1"/>
  <c r="O56" i="1" s="1"/>
  <c r="L44" i="1"/>
  <c r="M44" i="1" s="1"/>
  <c r="O44" i="1" s="1"/>
  <c r="L32" i="1"/>
  <c r="M32" i="1" s="1"/>
  <c r="O32" i="1" s="1"/>
  <c r="L134" i="1"/>
  <c r="M134" i="1" s="1"/>
  <c r="O134" i="1" s="1"/>
  <c r="L122" i="1"/>
  <c r="M122" i="1" s="1"/>
  <c r="O122" i="1" s="1"/>
  <c r="L110" i="1"/>
  <c r="M110" i="1" s="1"/>
  <c r="O110" i="1" s="1"/>
  <c r="L86" i="1"/>
  <c r="M86" i="1" s="1"/>
  <c r="O86" i="1" s="1"/>
  <c r="L14" i="1"/>
  <c r="M14" i="1" s="1"/>
  <c r="O14" i="1" s="1"/>
  <c r="L127" i="1"/>
  <c r="M127" i="1" s="1"/>
  <c r="O127" i="1" s="1"/>
  <c r="L115" i="1"/>
  <c r="M115" i="1" s="1"/>
  <c r="O115" i="1" s="1"/>
  <c r="L103" i="1"/>
  <c r="M103" i="1" s="1"/>
  <c r="O103" i="1" s="1"/>
  <c r="L91" i="1"/>
  <c r="M91" i="1" s="1"/>
  <c r="O91" i="1" s="1"/>
  <c r="L79" i="1"/>
  <c r="M79" i="1" s="1"/>
  <c r="O79" i="1" s="1"/>
  <c r="L67" i="1"/>
  <c r="M67" i="1" s="1"/>
  <c r="O67" i="1" s="1"/>
  <c r="L55" i="1"/>
  <c r="M55" i="1" s="1"/>
  <c r="O55" i="1" s="1"/>
  <c r="L43" i="1"/>
  <c r="M43" i="1" s="1"/>
  <c r="O43" i="1" s="1"/>
  <c r="L31" i="1"/>
  <c r="M31" i="1" s="1"/>
  <c r="O31" i="1" s="1"/>
  <c r="L145" i="1"/>
  <c r="M145" i="1" s="1"/>
  <c r="O145" i="1" s="1"/>
  <c r="L133" i="1"/>
  <c r="M133" i="1" s="1"/>
  <c r="O133" i="1" s="1"/>
  <c r="L121" i="1"/>
  <c r="M121" i="1" s="1"/>
  <c r="O121" i="1" s="1"/>
  <c r="L109" i="1"/>
  <c r="M109" i="1" s="1"/>
  <c r="O109" i="1" s="1"/>
  <c r="L97" i="1"/>
  <c r="M97" i="1" s="1"/>
  <c r="O97" i="1" s="1"/>
  <c r="L85" i="1"/>
  <c r="M85" i="1" s="1"/>
  <c r="O85" i="1" s="1"/>
  <c r="L73" i="1"/>
  <c r="M73" i="1" s="1"/>
  <c r="O73" i="1" s="1"/>
  <c r="L61" i="1"/>
  <c r="M61" i="1" s="1"/>
  <c r="O61" i="1" s="1"/>
  <c r="L49" i="1"/>
  <c r="M49" i="1" s="1"/>
  <c r="O49" i="1" s="1"/>
  <c r="L37" i="1"/>
  <c r="M37" i="1" s="1"/>
  <c r="O37" i="1" s="1"/>
  <c r="L25" i="1"/>
  <c r="M25" i="1" s="1"/>
  <c r="O25" i="1" s="1"/>
  <c r="L13" i="1"/>
  <c r="M13" i="1" s="1"/>
  <c r="O13" i="1" s="1"/>
  <c r="L19" i="1"/>
  <c r="M19" i="1" s="1"/>
  <c r="O19" i="1" s="1"/>
  <c r="L7" i="1"/>
  <c r="M7" i="1" s="1"/>
  <c r="O7" i="1" s="1"/>
  <c r="L138" i="1"/>
  <c r="M138" i="1" s="1"/>
  <c r="O138" i="1" s="1"/>
  <c r="L126" i="1"/>
  <c r="M126" i="1" s="1"/>
  <c r="O126" i="1" s="1"/>
  <c r="L114" i="1"/>
  <c r="M114" i="1" s="1"/>
  <c r="O114" i="1" s="1"/>
  <c r="L102" i="1"/>
  <c r="M102" i="1" s="1"/>
  <c r="O102" i="1" s="1"/>
  <c r="L90" i="1"/>
  <c r="M90" i="1" s="1"/>
  <c r="O90" i="1" s="1"/>
  <c r="L78" i="1"/>
  <c r="M78" i="1" s="1"/>
  <c r="O78" i="1" s="1"/>
  <c r="L66" i="1"/>
  <c r="M66" i="1" s="1"/>
  <c r="O66" i="1" s="1"/>
  <c r="L54" i="1"/>
  <c r="M54" i="1" s="1"/>
  <c r="O54" i="1" s="1"/>
  <c r="L42" i="1"/>
  <c r="M42" i="1" s="1"/>
  <c r="O42" i="1" s="1"/>
  <c r="L30" i="1"/>
  <c r="M30" i="1" s="1"/>
  <c r="L144" i="1"/>
  <c r="M144" i="1" s="1"/>
  <c r="O144" i="1" s="1"/>
  <c r="L132" i="1"/>
  <c r="M132" i="1" s="1"/>
  <c r="O132" i="1" s="1"/>
  <c r="L120" i="1"/>
  <c r="M120" i="1" s="1"/>
  <c r="O120" i="1" s="1"/>
  <c r="L108" i="1"/>
  <c r="M108" i="1" s="1"/>
  <c r="O108" i="1" s="1"/>
  <c r="L96" i="1"/>
  <c r="M96" i="1" s="1"/>
  <c r="O96" i="1" s="1"/>
  <c r="L84" i="1"/>
  <c r="M84" i="1" s="1"/>
  <c r="O84" i="1" s="1"/>
  <c r="L72" i="1"/>
  <c r="M72" i="1" s="1"/>
  <c r="O72" i="1" s="1"/>
  <c r="L60" i="1"/>
  <c r="M60" i="1" s="1"/>
  <c r="O60" i="1" s="1"/>
  <c r="L48" i="1"/>
  <c r="M48" i="1" s="1"/>
  <c r="O48" i="1" s="1"/>
  <c r="L36" i="1"/>
  <c r="M36" i="1" s="1"/>
  <c r="O36" i="1" s="1"/>
  <c r="L24" i="1"/>
  <c r="M24" i="1" s="1"/>
  <c r="O24" i="1" s="1"/>
  <c r="L12" i="1"/>
  <c r="M12" i="1" s="1"/>
  <c r="O12" i="1" s="1"/>
  <c r="T3" i="1" l="1"/>
  <c r="T15" i="1"/>
  <c r="O89" i="2"/>
  <c r="Q61" i="2"/>
  <c r="O61" i="2"/>
  <c r="O91" i="2"/>
  <c r="Q103" i="2"/>
  <c r="S45" i="2"/>
  <c r="Q13" i="2"/>
  <c r="Q25" i="2"/>
  <c r="S105" i="2"/>
  <c r="O103" i="2"/>
  <c r="Q45" i="2"/>
  <c r="O98" i="2"/>
  <c r="O87" i="2"/>
  <c r="Q67" i="2"/>
  <c r="Q11" i="2"/>
  <c r="Q87" i="2"/>
  <c r="O11" i="2"/>
  <c r="Q37" i="2"/>
  <c r="S53" i="2"/>
  <c r="Q15" i="2"/>
  <c r="Q88" i="2"/>
  <c r="Q91" i="2"/>
  <c r="S50" i="2"/>
  <c r="S44" i="2"/>
  <c r="O106" i="2"/>
  <c r="O100" i="2"/>
  <c r="Q80" i="2"/>
  <c r="S67" i="2"/>
  <c r="O81" i="2"/>
  <c r="Q9" i="2"/>
  <c r="O104" i="2"/>
  <c r="S29" i="2"/>
  <c r="O85" i="2"/>
  <c r="Q47" i="2"/>
  <c r="Q17" i="2"/>
  <c r="S37" i="2"/>
  <c r="S84" i="2"/>
  <c r="Q24" i="2"/>
  <c r="S16" i="2"/>
  <c r="O93" i="2"/>
  <c r="Q84" i="2"/>
  <c r="Q29" i="2"/>
  <c r="Q72" i="2"/>
  <c r="Q77" i="2"/>
  <c r="O9" i="2"/>
  <c r="Q76" i="2"/>
  <c r="S72" i="2"/>
  <c r="S17" i="2"/>
  <c r="S102" i="2"/>
  <c r="Q93" i="2"/>
  <c r="S76" i="2"/>
  <c r="O13" i="2"/>
  <c r="Q33" i="2"/>
  <c r="S33" i="2"/>
  <c r="O26" i="2"/>
  <c r="O15" i="2"/>
  <c r="S22" i="2"/>
  <c r="Q38" i="2"/>
  <c r="S38" i="2"/>
  <c r="Q106" i="2"/>
  <c r="Q66" i="2"/>
  <c r="S32" i="2"/>
  <c r="Q19" i="2"/>
  <c r="S66" i="2"/>
  <c r="O88" i="2"/>
  <c r="S96" i="2"/>
  <c r="O16" i="2"/>
  <c r="O24" i="2"/>
  <c r="O47" i="2"/>
  <c r="O6" i="2"/>
  <c r="Q32" i="2"/>
  <c r="S20" i="2"/>
  <c r="Q27" i="2"/>
  <c r="O18" i="2"/>
  <c r="Q7" i="2"/>
  <c r="S65" i="2"/>
  <c r="O63" i="2"/>
  <c r="Q5" i="2"/>
  <c r="Q102" i="2"/>
  <c r="Q18" i="2"/>
  <c r="O10" i="2"/>
  <c r="Q52" i="2"/>
  <c r="Q63" i="2"/>
  <c r="O60" i="2"/>
  <c r="O73" i="2"/>
  <c r="S40" i="2"/>
  <c r="Q59" i="2"/>
  <c r="Q100" i="2"/>
  <c r="O36" i="2"/>
  <c r="O40" i="2"/>
  <c r="S60" i="2"/>
  <c r="O27" i="2"/>
  <c r="Q36" i="2"/>
  <c r="O20" i="2"/>
  <c r="O50" i="2"/>
  <c r="S26" i="2"/>
  <c r="S10" i="2"/>
  <c r="S77" i="2"/>
  <c r="S71" i="2"/>
  <c r="Q71" i="2"/>
  <c r="O71" i="2"/>
  <c r="S30" i="2"/>
  <c r="O83" i="2"/>
  <c r="O30" i="2"/>
  <c r="O34" i="2"/>
  <c r="Q65" i="2"/>
  <c r="O28" i="2"/>
  <c r="S28" i="2"/>
  <c r="Q28" i="2"/>
  <c r="Q83" i="2"/>
  <c r="S34" i="2"/>
  <c r="S46" i="2"/>
  <c r="Q46" i="2"/>
  <c r="O46" i="2"/>
  <c r="O7" i="2"/>
  <c r="O19" i="2"/>
  <c r="S52" i="2"/>
  <c r="Q73" i="2"/>
  <c r="O3" i="2"/>
  <c r="S3" i="2"/>
  <c r="Q94" i="2"/>
  <c r="S94" i="2"/>
  <c r="S74" i="2"/>
  <c r="O96" i="2"/>
  <c r="Q22" i="2"/>
  <c r="Q86" i="2"/>
  <c r="S86" i="2"/>
  <c r="O101" i="2"/>
  <c r="S101" i="2"/>
  <c r="Q101" i="2"/>
  <c r="O107" i="2"/>
  <c r="Q107" i="2"/>
  <c r="S107" i="2"/>
  <c r="O41" i="2"/>
  <c r="S41" i="2"/>
  <c r="Q41" i="2"/>
  <c r="S43" i="2"/>
  <c r="Q43" i="2"/>
  <c r="O43" i="2"/>
  <c r="O3" i="1"/>
  <c r="T2" i="1"/>
  <c r="R26" i="1"/>
  <c r="O26" i="1"/>
  <c r="T50" i="1"/>
  <c r="O50" i="1"/>
  <c r="T38" i="1"/>
  <c r="O38" i="1"/>
  <c r="T74" i="1"/>
  <c r="O74" i="1"/>
  <c r="R2" i="1"/>
  <c r="R62" i="1"/>
  <c r="O62" i="1"/>
  <c r="R98" i="1"/>
  <c r="O98" i="1"/>
  <c r="T62" i="1"/>
  <c r="T98" i="1"/>
  <c r="R74" i="1"/>
  <c r="T26" i="1"/>
  <c r="R50" i="1"/>
  <c r="R95" i="1"/>
  <c r="T95" i="1"/>
  <c r="R79" i="1"/>
  <c r="T79" i="1"/>
  <c r="R10" i="1"/>
  <c r="T10" i="1"/>
  <c r="R48" i="1"/>
  <c r="T48" i="1"/>
  <c r="R30" i="1"/>
  <c r="T30" i="1"/>
  <c r="R121" i="1"/>
  <c r="T121" i="1"/>
  <c r="R115" i="1"/>
  <c r="T115" i="1"/>
  <c r="R56" i="1"/>
  <c r="T56" i="1"/>
  <c r="R4" i="1"/>
  <c r="T4" i="1"/>
  <c r="R70" i="1"/>
  <c r="T70" i="1"/>
  <c r="R52" i="1"/>
  <c r="T52" i="1"/>
  <c r="R17" i="1"/>
  <c r="T17" i="1"/>
  <c r="R143" i="1"/>
  <c r="T143" i="1"/>
  <c r="T81" i="1"/>
  <c r="R81" i="1"/>
  <c r="R63" i="1"/>
  <c r="T63" i="1"/>
  <c r="R33" i="1"/>
  <c r="T33" i="1"/>
  <c r="R57" i="1"/>
  <c r="T57" i="1"/>
  <c r="R7" i="1"/>
  <c r="T7" i="1"/>
  <c r="R133" i="1"/>
  <c r="T133" i="1"/>
  <c r="R127" i="1"/>
  <c r="T127" i="1"/>
  <c r="R68" i="1"/>
  <c r="T68" i="1"/>
  <c r="R125" i="1"/>
  <c r="T125" i="1"/>
  <c r="R82" i="1"/>
  <c r="T82" i="1"/>
  <c r="R64" i="1"/>
  <c r="T64" i="1"/>
  <c r="R11" i="1"/>
  <c r="T11" i="1"/>
  <c r="R93" i="1"/>
  <c r="T93" i="1"/>
  <c r="R75" i="1"/>
  <c r="T75" i="1"/>
  <c r="R39" i="1"/>
  <c r="T39" i="1"/>
  <c r="R72" i="1"/>
  <c r="T72" i="1"/>
  <c r="R54" i="1"/>
  <c r="T54" i="1"/>
  <c r="R19" i="1"/>
  <c r="T19" i="1"/>
  <c r="R145" i="1"/>
  <c r="T145" i="1"/>
  <c r="R14" i="1"/>
  <c r="T14" i="1"/>
  <c r="R80" i="1"/>
  <c r="T80" i="1"/>
  <c r="R94" i="1"/>
  <c r="T94" i="1"/>
  <c r="R76" i="1"/>
  <c r="T76" i="1"/>
  <c r="R23" i="1"/>
  <c r="T23" i="1"/>
  <c r="R18" i="1"/>
  <c r="T18" i="1"/>
  <c r="R105" i="1"/>
  <c r="T105" i="1"/>
  <c r="R87" i="1"/>
  <c r="T87" i="1"/>
  <c r="R20" i="1"/>
  <c r="T20" i="1"/>
  <c r="R22" i="1"/>
  <c r="T22" i="1"/>
  <c r="R107" i="1"/>
  <c r="T107" i="1"/>
  <c r="R28" i="1"/>
  <c r="T28" i="1"/>
  <c r="R84" i="1"/>
  <c r="T84" i="1"/>
  <c r="R92" i="1"/>
  <c r="T92" i="1"/>
  <c r="R139" i="1"/>
  <c r="T139" i="1"/>
  <c r="R106" i="1"/>
  <c r="T106" i="1"/>
  <c r="R88" i="1"/>
  <c r="T88" i="1"/>
  <c r="R35" i="1"/>
  <c r="T35" i="1"/>
  <c r="R117" i="1"/>
  <c r="T117" i="1"/>
  <c r="R99" i="1"/>
  <c r="T99" i="1"/>
  <c r="R73" i="1"/>
  <c r="T73" i="1"/>
  <c r="R77" i="1"/>
  <c r="T77" i="1"/>
  <c r="R85" i="1"/>
  <c r="T85" i="1"/>
  <c r="R89" i="1"/>
  <c r="T89" i="1"/>
  <c r="R91" i="1"/>
  <c r="T91" i="1"/>
  <c r="R46" i="1"/>
  <c r="T46" i="1"/>
  <c r="R109" i="1"/>
  <c r="T109" i="1"/>
  <c r="R58" i="1"/>
  <c r="T58" i="1"/>
  <c r="R51" i="1"/>
  <c r="T51" i="1"/>
  <c r="R118" i="1"/>
  <c r="T118" i="1"/>
  <c r="R144" i="1"/>
  <c r="T144" i="1"/>
  <c r="R45" i="1"/>
  <c r="T45" i="1"/>
  <c r="R119" i="1"/>
  <c r="T119" i="1"/>
  <c r="R36" i="1"/>
  <c r="T36" i="1"/>
  <c r="R9" i="1"/>
  <c r="T9" i="1"/>
  <c r="R40" i="1"/>
  <c r="T40" i="1"/>
  <c r="R131" i="1"/>
  <c r="T131" i="1"/>
  <c r="R137" i="1"/>
  <c r="T137" i="1"/>
  <c r="R66" i="1"/>
  <c r="T66" i="1"/>
  <c r="R110" i="1"/>
  <c r="T110" i="1"/>
  <c r="R108" i="1"/>
  <c r="T108" i="1"/>
  <c r="R90" i="1"/>
  <c r="T90" i="1"/>
  <c r="R37" i="1"/>
  <c r="T37" i="1"/>
  <c r="R31" i="1"/>
  <c r="T31" i="1"/>
  <c r="R122" i="1"/>
  <c r="T122" i="1"/>
  <c r="R116" i="1"/>
  <c r="T116" i="1"/>
  <c r="R16" i="1"/>
  <c r="T16" i="1"/>
  <c r="R130" i="1"/>
  <c r="T130" i="1"/>
  <c r="R112" i="1"/>
  <c r="T112" i="1"/>
  <c r="R59" i="1"/>
  <c r="T59" i="1"/>
  <c r="R41" i="1"/>
  <c r="T41" i="1"/>
  <c r="R141" i="1"/>
  <c r="T141" i="1"/>
  <c r="R123" i="1"/>
  <c r="T123" i="1"/>
  <c r="R67" i="1"/>
  <c r="T67" i="1"/>
  <c r="R12" i="1"/>
  <c r="T12" i="1"/>
  <c r="R27" i="1"/>
  <c r="T27" i="1"/>
  <c r="R97" i="1"/>
  <c r="T97" i="1"/>
  <c r="R101" i="1"/>
  <c r="T101" i="1"/>
  <c r="R103" i="1"/>
  <c r="T103" i="1"/>
  <c r="R8" i="1"/>
  <c r="T8" i="1"/>
  <c r="R60" i="1"/>
  <c r="T60" i="1"/>
  <c r="R13" i="1"/>
  <c r="T13" i="1"/>
  <c r="R120" i="1"/>
  <c r="T120" i="1"/>
  <c r="R102" i="1"/>
  <c r="T102" i="1"/>
  <c r="R49" i="1"/>
  <c r="T49" i="1"/>
  <c r="R43" i="1"/>
  <c r="T43" i="1"/>
  <c r="R134" i="1"/>
  <c r="T134" i="1"/>
  <c r="R128" i="1"/>
  <c r="T128" i="1"/>
  <c r="R113" i="1"/>
  <c r="T113" i="1"/>
  <c r="R142" i="1"/>
  <c r="T142" i="1"/>
  <c r="R124" i="1"/>
  <c r="T124" i="1"/>
  <c r="R71" i="1"/>
  <c r="T71" i="1"/>
  <c r="R53" i="1"/>
  <c r="T53" i="1"/>
  <c r="R135" i="1"/>
  <c r="T135" i="1"/>
  <c r="R126" i="1"/>
  <c r="T126" i="1"/>
  <c r="R138" i="1"/>
  <c r="T138" i="1"/>
  <c r="R34" i="1"/>
  <c r="T34" i="1"/>
  <c r="R24" i="1"/>
  <c r="T24" i="1"/>
  <c r="R32" i="1"/>
  <c r="T32" i="1"/>
  <c r="R44" i="1"/>
  <c r="T44" i="1"/>
  <c r="R5" i="1"/>
  <c r="T5" i="1"/>
  <c r="R69" i="1"/>
  <c r="T69" i="1"/>
  <c r="R42" i="1"/>
  <c r="T42" i="1"/>
  <c r="R86" i="1"/>
  <c r="T86" i="1"/>
  <c r="R96" i="1"/>
  <c r="T96" i="1"/>
  <c r="R78" i="1"/>
  <c r="T78" i="1"/>
  <c r="R25" i="1"/>
  <c r="T25" i="1"/>
  <c r="R104" i="1"/>
  <c r="T104" i="1"/>
  <c r="R100" i="1"/>
  <c r="T100" i="1"/>
  <c r="R47" i="1"/>
  <c r="T47" i="1"/>
  <c r="R29" i="1"/>
  <c r="T29" i="1"/>
  <c r="R129" i="1"/>
  <c r="T129" i="1"/>
  <c r="R111" i="1"/>
  <c r="T111" i="1"/>
  <c r="R132" i="1"/>
  <c r="T132" i="1"/>
  <c r="R114" i="1"/>
  <c r="T114" i="1"/>
  <c r="R61" i="1"/>
  <c r="T61" i="1"/>
  <c r="R55" i="1"/>
  <c r="T55" i="1"/>
  <c r="R140" i="1"/>
  <c r="T140" i="1"/>
  <c r="R6" i="1"/>
  <c r="T6" i="1"/>
  <c r="R136" i="1"/>
  <c r="T136" i="1"/>
  <c r="R83" i="1"/>
  <c r="T83" i="1"/>
  <c r="R65" i="1"/>
  <c r="T65" i="1"/>
  <c r="R21" i="1"/>
  <c r="T21" i="1"/>
  <c r="P165" i="1" l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4" i="1"/>
  <c r="P215" i="1"/>
  <c r="P216" i="1"/>
  <c r="P217" i="1"/>
  <c r="P164" i="1"/>
  <c r="P3" i="1"/>
  <c r="P4" i="1"/>
  <c r="P5" i="1"/>
  <c r="P6" i="1"/>
  <c r="P7" i="1"/>
  <c r="P8" i="1"/>
  <c r="P9" i="1"/>
  <c r="P10" i="1"/>
  <c r="P11" i="1"/>
  <c r="P12" i="1"/>
  <c r="P13" i="1"/>
  <c r="P14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X2" i="1"/>
  <c r="W2" i="1"/>
  <c r="P2" i="1"/>
  <c r="W147" i="1" l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X146" i="1"/>
  <c r="W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146" i="1"/>
  <c r="U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V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14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2" i="1"/>
  <c r="Y3" i="1"/>
  <c r="AA3" i="1" s="1"/>
  <c r="Z3" i="1"/>
  <c r="AB3" i="1" s="1"/>
  <c r="Y4" i="1"/>
  <c r="AA4" i="1" s="1"/>
  <c r="Z4" i="1"/>
  <c r="AB4" i="1" s="1"/>
  <c r="Y5" i="1"/>
  <c r="AA5" i="1" s="1"/>
  <c r="Z5" i="1"/>
  <c r="AB5" i="1" s="1"/>
  <c r="Y6" i="1"/>
  <c r="AA6" i="1" s="1"/>
  <c r="Z6" i="1"/>
  <c r="AB6" i="1" s="1"/>
  <c r="Y7" i="1"/>
  <c r="AA7" i="1" s="1"/>
  <c r="Z7" i="1"/>
  <c r="AB7" i="1" s="1"/>
  <c r="Y8" i="1"/>
  <c r="AA8" i="1" s="1"/>
  <c r="Z8" i="1"/>
  <c r="AB8" i="1" s="1"/>
  <c r="Y9" i="1"/>
  <c r="AA9" i="1" s="1"/>
  <c r="Z9" i="1"/>
  <c r="AB9" i="1" s="1"/>
  <c r="Y10" i="1"/>
  <c r="AA10" i="1" s="1"/>
  <c r="Z10" i="1"/>
  <c r="AB10" i="1" s="1"/>
  <c r="Y11" i="1"/>
  <c r="AA11" i="1" s="1"/>
  <c r="Z11" i="1"/>
  <c r="AB11" i="1" s="1"/>
  <c r="Y12" i="1"/>
  <c r="AA12" i="1" s="1"/>
  <c r="Z12" i="1"/>
  <c r="AB12" i="1" s="1"/>
  <c r="Y13" i="1"/>
  <c r="AA13" i="1" s="1"/>
  <c r="Z13" i="1"/>
  <c r="AB13" i="1" s="1"/>
  <c r="Y14" i="1"/>
  <c r="AA14" i="1" s="1"/>
  <c r="Z14" i="1"/>
  <c r="AB14" i="1" s="1"/>
  <c r="Y15" i="1"/>
  <c r="AA15" i="1" s="1"/>
  <c r="Z15" i="1"/>
  <c r="AB15" i="1" s="1"/>
  <c r="Y16" i="1"/>
  <c r="AA16" i="1" s="1"/>
  <c r="Z16" i="1"/>
  <c r="AB16" i="1" s="1"/>
  <c r="Y17" i="1"/>
  <c r="AA17" i="1" s="1"/>
  <c r="Z17" i="1"/>
  <c r="AB17" i="1" s="1"/>
  <c r="Y18" i="1"/>
  <c r="AA18" i="1" s="1"/>
  <c r="Z18" i="1"/>
  <c r="AB18" i="1" s="1"/>
  <c r="Y19" i="1"/>
  <c r="AA19" i="1" s="1"/>
  <c r="Z19" i="1"/>
  <c r="AB19" i="1" s="1"/>
  <c r="Y20" i="1"/>
  <c r="AA20" i="1" s="1"/>
  <c r="Z20" i="1"/>
  <c r="AB20" i="1" s="1"/>
  <c r="Y21" i="1"/>
  <c r="AA21" i="1" s="1"/>
  <c r="Z21" i="1"/>
  <c r="AB21" i="1" s="1"/>
  <c r="Y22" i="1"/>
  <c r="AA22" i="1" s="1"/>
  <c r="Z22" i="1"/>
  <c r="AB22" i="1" s="1"/>
  <c r="Y23" i="1"/>
  <c r="AA23" i="1" s="1"/>
  <c r="Z23" i="1"/>
  <c r="AB23" i="1" s="1"/>
  <c r="Y24" i="1"/>
  <c r="AA24" i="1" s="1"/>
  <c r="Z24" i="1"/>
  <c r="AB24" i="1" s="1"/>
  <c r="Y25" i="1"/>
  <c r="AA25" i="1" s="1"/>
  <c r="Z25" i="1"/>
  <c r="AB25" i="1" s="1"/>
  <c r="Y26" i="1"/>
  <c r="AA26" i="1" s="1"/>
  <c r="Z26" i="1"/>
  <c r="AB26" i="1" s="1"/>
  <c r="Y27" i="1"/>
  <c r="AA27" i="1" s="1"/>
  <c r="Z27" i="1"/>
  <c r="AB27" i="1" s="1"/>
  <c r="Y28" i="1"/>
  <c r="AA28" i="1" s="1"/>
  <c r="Z28" i="1"/>
  <c r="AB28" i="1" s="1"/>
  <c r="Y29" i="1"/>
  <c r="AA29" i="1" s="1"/>
  <c r="Z29" i="1"/>
  <c r="AB29" i="1" s="1"/>
  <c r="Y30" i="1"/>
  <c r="AA30" i="1" s="1"/>
  <c r="Z30" i="1"/>
  <c r="AB30" i="1" s="1"/>
  <c r="Y31" i="1"/>
  <c r="AA31" i="1" s="1"/>
  <c r="Z31" i="1"/>
  <c r="AB31" i="1" s="1"/>
  <c r="Y32" i="1"/>
  <c r="AA32" i="1" s="1"/>
  <c r="Z32" i="1"/>
  <c r="AB32" i="1" s="1"/>
  <c r="Y33" i="1"/>
  <c r="AA33" i="1" s="1"/>
  <c r="Z33" i="1"/>
  <c r="AB33" i="1" s="1"/>
  <c r="Y34" i="1"/>
  <c r="AA34" i="1" s="1"/>
  <c r="Z34" i="1"/>
  <c r="AB34" i="1" s="1"/>
  <c r="Y35" i="1"/>
  <c r="AA35" i="1" s="1"/>
  <c r="Z35" i="1"/>
  <c r="AB35" i="1" s="1"/>
  <c r="Y36" i="1"/>
  <c r="AA36" i="1" s="1"/>
  <c r="Z36" i="1"/>
  <c r="AB36" i="1" s="1"/>
  <c r="Y37" i="1"/>
  <c r="AA37" i="1" s="1"/>
  <c r="Z37" i="1"/>
  <c r="AB37" i="1" s="1"/>
  <c r="Y38" i="1"/>
  <c r="AA38" i="1" s="1"/>
  <c r="Z38" i="1"/>
  <c r="AB38" i="1" s="1"/>
  <c r="Y39" i="1"/>
  <c r="AA39" i="1" s="1"/>
  <c r="Z39" i="1"/>
  <c r="AB39" i="1" s="1"/>
  <c r="Y40" i="1"/>
  <c r="AA40" i="1" s="1"/>
  <c r="Z40" i="1"/>
  <c r="AB40" i="1" s="1"/>
  <c r="Y41" i="1"/>
  <c r="AA41" i="1" s="1"/>
  <c r="Z41" i="1"/>
  <c r="AB41" i="1" s="1"/>
  <c r="Y42" i="1"/>
  <c r="AA42" i="1" s="1"/>
  <c r="Z42" i="1"/>
  <c r="AB42" i="1" s="1"/>
  <c r="Y43" i="1"/>
  <c r="AA43" i="1" s="1"/>
  <c r="Z43" i="1"/>
  <c r="AB43" i="1" s="1"/>
  <c r="Y44" i="1"/>
  <c r="AA44" i="1" s="1"/>
  <c r="Z44" i="1"/>
  <c r="AB44" i="1" s="1"/>
  <c r="Y45" i="1"/>
  <c r="AA45" i="1" s="1"/>
  <c r="Z45" i="1"/>
  <c r="AB45" i="1" s="1"/>
  <c r="Y46" i="1"/>
  <c r="AA46" i="1" s="1"/>
  <c r="Z46" i="1"/>
  <c r="AB46" i="1" s="1"/>
  <c r="Y47" i="1"/>
  <c r="AA47" i="1" s="1"/>
  <c r="Z47" i="1"/>
  <c r="AB47" i="1" s="1"/>
  <c r="Y48" i="1"/>
  <c r="AA48" i="1" s="1"/>
  <c r="Z48" i="1"/>
  <c r="AB48" i="1" s="1"/>
  <c r="Y49" i="1"/>
  <c r="AA49" i="1" s="1"/>
  <c r="Z49" i="1"/>
  <c r="AB49" i="1" s="1"/>
  <c r="Y50" i="1"/>
  <c r="AA50" i="1" s="1"/>
  <c r="Z50" i="1"/>
  <c r="AB50" i="1" s="1"/>
  <c r="Y51" i="1"/>
  <c r="AA51" i="1" s="1"/>
  <c r="Z51" i="1"/>
  <c r="AB51" i="1" s="1"/>
  <c r="Y52" i="1"/>
  <c r="AA52" i="1" s="1"/>
  <c r="Z52" i="1"/>
  <c r="AB52" i="1" s="1"/>
  <c r="Y53" i="1"/>
  <c r="AA53" i="1" s="1"/>
  <c r="Z53" i="1"/>
  <c r="AB53" i="1" s="1"/>
  <c r="Y54" i="1"/>
  <c r="AA54" i="1" s="1"/>
  <c r="Z54" i="1"/>
  <c r="AB54" i="1" s="1"/>
  <c r="Y55" i="1"/>
  <c r="AA55" i="1" s="1"/>
  <c r="Z55" i="1"/>
  <c r="AB55" i="1" s="1"/>
  <c r="Y56" i="1"/>
  <c r="AA56" i="1" s="1"/>
  <c r="Z56" i="1"/>
  <c r="AB56" i="1" s="1"/>
  <c r="Y57" i="1"/>
  <c r="AA57" i="1" s="1"/>
  <c r="Z57" i="1"/>
  <c r="AB57" i="1" s="1"/>
  <c r="Y58" i="1"/>
  <c r="AA58" i="1" s="1"/>
  <c r="Z58" i="1"/>
  <c r="AB58" i="1" s="1"/>
  <c r="Y59" i="1"/>
  <c r="AA59" i="1" s="1"/>
  <c r="Z59" i="1"/>
  <c r="AB59" i="1" s="1"/>
  <c r="Y60" i="1"/>
  <c r="AA60" i="1" s="1"/>
  <c r="Z60" i="1"/>
  <c r="AB60" i="1" s="1"/>
  <c r="Y61" i="1"/>
  <c r="AA61" i="1" s="1"/>
  <c r="Z61" i="1"/>
  <c r="AB61" i="1" s="1"/>
  <c r="Y62" i="1"/>
  <c r="AA62" i="1" s="1"/>
  <c r="Z62" i="1"/>
  <c r="AB62" i="1" s="1"/>
  <c r="Y63" i="1"/>
  <c r="AA63" i="1" s="1"/>
  <c r="Z63" i="1"/>
  <c r="AB63" i="1" s="1"/>
  <c r="Y64" i="1"/>
  <c r="AA64" i="1" s="1"/>
  <c r="Z64" i="1"/>
  <c r="AB64" i="1" s="1"/>
  <c r="Y65" i="1"/>
  <c r="AA65" i="1" s="1"/>
  <c r="Z65" i="1"/>
  <c r="AB65" i="1" s="1"/>
  <c r="Y66" i="1"/>
  <c r="AA66" i="1" s="1"/>
  <c r="Z66" i="1"/>
  <c r="AB66" i="1" s="1"/>
  <c r="Y67" i="1"/>
  <c r="AA67" i="1" s="1"/>
  <c r="Z67" i="1"/>
  <c r="AB67" i="1" s="1"/>
  <c r="Y68" i="1"/>
  <c r="AA68" i="1" s="1"/>
  <c r="Z68" i="1"/>
  <c r="AB68" i="1" s="1"/>
  <c r="Y69" i="1"/>
  <c r="AA69" i="1" s="1"/>
  <c r="Z69" i="1"/>
  <c r="AB69" i="1" s="1"/>
  <c r="Y70" i="1"/>
  <c r="AA70" i="1" s="1"/>
  <c r="Z70" i="1"/>
  <c r="AB70" i="1" s="1"/>
  <c r="Y71" i="1"/>
  <c r="AA71" i="1" s="1"/>
  <c r="Z71" i="1"/>
  <c r="AB71" i="1" s="1"/>
  <c r="Y72" i="1"/>
  <c r="AA72" i="1" s="1"/>
  <c r="Z72" i="1"/>
  <c r="AB72" i="1" s="1"/>
  <c r="Y73" i="1"/>
  <c r="AA73" i="1" s="1"/>
  <c r="Z73" i="1"/>
  <c r="AB73" i="1" s="1"/>
  <c r="Y74" i="1"/>
  <c r="AA74" i="1" s="1"/>
  <c r="Z74" i="1"/>
  <c r="AB74" i="1" s="1"/>
  <c r="Y75" i="1"/>
  <c r="AA75" i="1" s="1"/>
  <c r="Z75" i="1"/>
  <c r="AB75" i="1" s="1"/>
  <c r="Y76" i="1"/>
  <c r="AA76" i="1" s="1"/>
  <c r="Z76" i="1"/>
  <c r="AB76" i="1" s="1"/>
  <c r="Y77" i="1"/>
  <c r="AA77" i="1" s="1"/>
  <c r="Z77" i="1"/>
  <c r="AB77" i="1" s="1"/>
  <c r="Y78" i="1"/>
  <c r="AA78" i="1" s="1"/>
  <c r="Z78" i="1"/>
  <c r="AB78" i="1" s="1"/>
  <c r="Y79" i="1"/>
  <c r="AA79" i="1" s="1"/>
  <c r="Z79" i="1"/>
  <c r="AB79" i="1" s="1"/>
  <c r="Y80" i="1"/>
  <c r="AA80" i="1" s="1"/>
  <c r="Z80" i="1"/>
  <c r="AB80" i="1" s="1"/>
  <c r="Y81" i="1"/>
  <c r="AA81" i="1" s="1"/>
  <c r="Z81" i="1"/>
  <c r="AB81" i="1" s="1"/>
  <c r="Y82" i="1"/>
  <c r="AA82" i="1" s="1"/>
  <c r="Z82" i="1"/>
  <c r="AB82" i="1" s="1"/>
  <c r="Y83" i="1"/>
  <c r="AA83" i="1" s="1"/>
  <c r="Z83" i="1"/>
  <c r="AB83" i="1" s="1"/>
  <c r="Y84" i="1"/>
  <c r="AA84" i="1" s="1"/>
  <c r="Z84" i="1"/>
  <c r="AB84" i="1" s="1"/>
  <c r="Y85" i="1"/>
  <c r="AA85" i="1" s="1"/>
  <c r="Z85" i="1"/>
  <c r="AB85" i="1" s="1"/>
  <c r="Y86" i="1"/>
  <c r="AA86" i="1" s="1"/>
  <c r="Z86" i="1"/>
  <c r="AB86" i="1" s="1"/>
  <c r="Y87" i="1"/>
  <c r="AA87" i="1" s="1"/>
  <c r="Z87" i="1"/>
  <c r="AB87" i="1" s="1"/>
  <c r="Y88" i="1"/>
  <c r="AA88" i="1" s="1"/>
  <c r="Z88" i="1"/>
  <c r="AB88" i="1" s="1"/>
  <c r="Y89" i="1"/>
  <c r="AA89" i="1" s="1"/>
  <c r="Z89" i="1"/>
  <c r="AB89" i="1" s="1"/>
  <c r="Y90" i="1"/>
  <c r="AA90" i="1" s="1"/>
  <c r="Z90" i="1"/>
  <c r="AB90" i="1" s="1"/>
  <c r="Y91" i="1"/>
  <c r="AA91" i="1" s="1"/>
  <c r="Z91" i="1"/>
  <c r="AB91" i="1" s="1"/>
  <c r="Y92" i="1"/>
  <c r="AA92" i="1" s="1"/>
  <c r="Z92" i="1"/>
  <c r="AB92" i="1" s="1"/>
  <c r="Y93" i="1"/>
  <c r="AA93" i="1" s="1"/>
  <c r="Z93" i="1"/>
  <c r="AB93" i="1" s="1"/>
  <c r="Y94" i="1"/>
  <c r="AA94" i="1" s="1"/>
  <c r="Z94" i="1"/>
  <c r="AB94" i="1" s="1"/>
  <c r="Y95" i="1"/>
  <c r="AA95" i="1" s="1"/>
  <c r="Z95" i="1"/>
  <c r="AB95" i="1" s="1"/>
  <c r="Y96" i="1"/>
  <c r="AA96" i="1" s="1"/>
  <c r="Z96" i="1"/>
  <c r="AB96" i="1" s="1"/>
  <c r="Y97" i="1"/>
  <c r="AA97" i="1" s="1"/>
  <c r="Z97" i="1"/>
  <c r="AB97" i="1" s="1"/>
  <c r="Y98" i="1"/>
  <c r="AA98" i="1" s="1"/>
  <c r="Z98" i="1"/>
  <c r="AB98" i="1" s="1"/>
  <c r="Y99" i="1"/>
  <c r="AA99" i="1" s="1"/>
  <c r="Z99" i="1"/>
  <c r="AB99" i="1" s="1"/>
  <c r="Y100" i="1"/>
  <c r="AA100" i="1" s="1"/>
  <c r="Z100" i="1"/>
  <c r="AB100" i="1" s="1"/>
  <c r="Y101" i="1"/>
  <c r="AA101" i="1" s="1"/>
  <c r="Z101" i="1"/>
  <c r="AB101" i="1" s="1"/>
  <c r="Y102" i="1"/>
  <c r="AA102" i="1" s="1"/>
  <c r="Z102" i="1"/>
  <c r="AB102" i="1" s="1"/>
  <c r="Y103" i="1"/>
  <c r="AA103" i="1" s="1"/>
  <c r="Z103" i="1"/>
  <c r="AB103" i="1" s="1"/>
  <c r="Y104" i="1"/>
  <c r="AA104" i="1" s="1"/>
  <c r="Z104" i="1"/>
  <c r="AB104" i="1" s="1"/>
  <c r="Y105" i="1"/>
  <c r="AA105" i="1" s="1"/>
  <c r="Z105" i="1"/>
  <c r="AB105" i="1" s="1"/>
  <c r="Y106" i="1"/>
  <c r="AA106" i="1" s="1"/>
  <c r="Z106" i="1"/>
  <c r="AB106" i="1" s="1"/>
  <c r="Y107" i="1"/>
  <c r="AA107" i="1" s="1"/>
  <c r="Z107" i="1"/>
  <c r="AB107" i="1" s="1"/>
  <c r="Y108" i="1"/>
  <c r="AA108" i="1" s="1"/>
  <c r="Z108" i="1"/>
  <c r="AB108" i="1" s="1"/>
  <c r="Y109" i="1"/>
  <c r="AA109" i="1" s="1"/>
  <c r="Z109" i="1"/>
  <c r="AB109" i="1" s="1"/>
  <c r="Y110" i="1"/>
  <c r="AA110" i="1" s="1"/>
  <c r="Z110" i="1"/>
  <c r="AB110" i="1" s="1"/>
  <c r="Y111" i="1"/>
  <c r="AA111" i="1" s="1"/>
  <c r="Z111" i="1"/>
  <c r="AB111" i="1" s="1"/>
  <c r="Y112" i="1"/>
  <c r="AA112" i="1" s="1"/>
  <c r="Z112" i="1"/>
  <c r="AB112" i="1" s="1"/>
  <c r="Y113" i="1"/>
  <c r="AA113" i="1" s="1"/>
  <c r="Z113" i="1"/>
  <c r="AB113" i="1" s="1"/>
  <c r="Y114" i="1"/>
  <c r="AA114" i="1" s="1"/>
  <c r="Z114" i="1"/>
  <c r="AB114" i="1" s="1"/>
  <c r="Y115" i="1"/>
  <c r="AA115" i="1" s="1"/>
  <c r="Z115" i="1"/>
  <c r="AB115" i="1" s="1"/>
  <c r="Y116" i="1"/>
  <c r="AA116" i="1" s="1"/>
  <c r="Z116" i="1"/>
  <c r="AB116" i="1" s="1"/>
  <c r="Y117" i="1"/>
  <c r="AA117" i="1" s="1"/>
  <c r="Z117" i="1"/>
  <c r="AB117" i="1" s="1"/>
  <c r="Y118" i="1"/>
  <c r="AA118" i="1" s="1"/>
  <c r="Z118" i="1"/>
  <c r="AB118" i="1" s="1"/>
  <c r="Y119" i="1"/>
  <c r="AA119" i="1" s="1"/>
  <c r="Z119" i="1"/>
  <c r="AB119" i="1" s="1"/>
  <c r="Y120" i="1"/>
  <c r="AA120" i="1" s="1"/>
  <c r="Z120" i="1"/>
  <c r="AB120" i="1" s="1"/>
  <c r="Y121" i="1"/>
  <c r="AA121" i="1" s="1"/>
  <c r="Z121" i="1"/>
  <c r="AB121" i="1" s="1"/>
  <c r="Y122" i="1"/>
  <c r="AA122" i="1" s="1"/>
  <c r="Z122" i="1"/>
  <c r="AB122" i="1" s="1"/>
  <c r="Y123" i="1"/>
  <c r="AA123" i="1" s="1"/>
  <c r="Z123" i="1"/>
  <c r="AB123" i="1" s="1"/>
  <c r="Y124" i="1"/>
  <c r="AA124" i="1" s="1"/>
  <c r="Z124" i="1"/>
  <c r="AB124" i="1" s="1"/>
  <c r="Y125" i="1"/>
  <c r="AA125" i="1" s="1"/>
  <c r="Z125" i="1"/>
  <c r="AB125" i="1" s="1"/>
  <c r="Y126" i="1"/>
  <c r="AA126" i="1" s="1"/>
  <c r="Z126" i="1"/>
  <c r="AB126" i="1" s="1"/>
  <c r="Y127" i="1"/>
  <c r="AA127" i="1" s="1"/>
  <c r="Z127" i="1"/>
  <c r="AB127" i="1" s="1"/>
  <c r="Y128" i="1"/>
  <c r="AA128" i="1" s="1"/>
  <c r="Z128" i="1"/>
  <c r="AB128" i="1" s="1"/>
  <c r="Y129" i="1"/>
  <c r="AA129" i="1" s="1"/>
  <c r="Z129" i="1"/>
  <c r="AB129" i="1" s="1"/>
  <c r="Y130" i="1"/>
  <c r="AA130" i="1" s="1"/>
  <c r="Z130" i="1"/>
  <c r="AB130" i="1" s="1"/>
  <c r="Y131" i="1"/>
  <c r="AA131" i="1" s="1"/>
  <c r="Z131" i="1"/>
  <c r="AB131" i="1" s="1"/>
  <c r="Y132" i="1"/>
  <c r="AA132" i="1" s="1"/>
  <c r="Z132" i="1"/>
  <c r="AB132" i="1" s="1"/>
  <c r="Y133" i="1"/>
  <c r="AA133" i="1" s="1"/>
  <c r="Z133" i="1"/>
  <c r="AB133" i="1" s="1"/>
  <c r="Y134" i="1"/>
  <c r="AA134" i="1" s="1"/>
  <c r="Z134" i="1"/>
  <c r="AB134" i="1" s="1"/>
  <c r="Y135" i="1"/>
  <c r="AA135" i="1" s="1"/>
  <c r="Z135" i="1"/>
  <c r="AB135" i="1" s="1"/>
  <c r="Y136" i="1"/>
  <c r="AA136" i="1" s="1"/>
  <c r="Z136" i="1"/>
  <c r="AB136" i="1" s="1"/>
  <c r="Y137" i="1"/>
  <c r="AA137" i="1" s="1"/>
  <c r="Z137" i="1"/>
  <c r="AB137" i="1" s="1"/>
  <c r="Y138" i="1"/>
  <c r="AA138" i="1" s="1"/>
  <c r="Z138" i="1"/>
  <c r="AB138" i="1" s="1"/>
  <c r="Y139" i="1"/>
  <c r="AA139" i="1" s="1"/>
  <c r="Z139" i="1"/>
  <c r="AB139" i="1" s="1"/>
  <c r="Y140" i="1"/>
  <c r="AA140" i="1" s="1"/>
  <c r="Z140" i="1"/>
  <c r="AB140" i="1" s="1"/>
  <c r="Y141" i="1"/>
  <c r="AA141" i="1" s="1"/>
  <c r="Z141" i="1"/>
  <c r="AB141" i="1" s="1"/>
  <c r="Y142" i="1"/>
  <c r="AA142" i="1" s="1"/>
  <c r="Z142" i="1"/>
  <c r="AB142" i="1" s="1"/>
  <c r="Y143" i="1"/>
  <c r="AA143" i="1" s="1"/>
  <c r="Z143" i="1"/>
  <c r="AB143" i="1" s="1"/>
  <c r="Y144" i="1"/>
  <c r="AA144" i="1" s="1"/>
  <c r="Z144" i="1"/>
  <c r="AB144" i="1" s="1"/>
  <c r="Y145" i="1"/>
  <c r="AA145" i="1" s="1"/>
  <c r="Z145" i="1"/>
  <c r="AB145" i="1" s="1"/>
  <c r="Z2" i="1"/>
  <c r="AB2" i="1" s="1"/>
  <c r="Y2" i="1"/>
  <c r="AA2" i="1" s="1"/>
  <c r="T216" i="1" l="1"/>
  <c r="R216" i="1"/>
  <c r="R204" i="1"/>
  <c r="T204" i="1"/>
  <c r="R192" i="1"/>
  <c r="T192" i="1"/>
  <c r="T180" i="1"/>
  <c r="R180" i="1"/>
  <c r="T168" i="1"/>
  <c r="R168" i="1"/>
  <c r="T156" i="1"/>
  <c r="R156" i="1"/>
  <c r="T206" i="1"/>
  <c r="R206" i="1"/>
  <c r="T157" i="1"/>
  <c r="R157" i="1"/>
  <c r="R215" i="1"/>
  <c r="T215" i="1"/>
  <c r="T203" i="1"/>
  <c r="R203" i="1"/>
  <c r="T191" i="1"/>
  <c r="R191" i="1"/>
  <c r="T179" i="1"/>
  <c r="R179" i="1"/>
  <c r="T167" i="1"/>
  <c r="R167" i="1"/>
  <c r="R155" i="1"/>
  <c r="T155" i="1"/>
  <c r="T214" i="1"/>
  <c r="R214" i="1"/>
  <c r="T202" i="1"/>
  <c r="R202" i="1"/>
  <c r="T190" i="1"/>
  <c r="R190" i="1"/>
  <c r="T178" i="1"/>
  <c r="R178" i="1"/>
  <c r="R166" i="1"/>
  <c r="T166" i="1"/>
  <c r="R154" i="1"/>
  <c r="T154" i="1"/>
  <c r="T176" i="1"/>
  <c r="R176" i="1"/>
  <c r="T163" i="1"/>
  <c r="R163" i="1"/>
  <c r="T200" i="1"/>
  <c r="R200" i="1"/>
  <c r="T198" i="1"/>
  <c r="R198" i="1"/>
  <c r="R194" i="1"/>
  <c r="T194" i="1"/>
  <c r="T170" i="1"/>
  <c r="R170" i="1"/>
  <c r="T205" i="1"/>
  <c r="R205" i="1"/>
  <c r="T181" i="1"/>
  <c r="R181" i="1"/>
  <c r="T189" i="1"/>
  <c r="R189" i="1"/>
  <c r="T153" i="1"/>
  <c r="R153" i="1"/>
  <c r="R188" i="1"/>
  <c r="T188" i="1"/>
  <c r="T199" i="1"/>
  <c r="R199" i="1"/>
  <c r="R174" i="1"/>
  <c r="T174" i="1"/>
  <c r="R150" i="1"/>
  <c r="T150" i="1"/>
  <c r="T209" i="1"/>
  <c r="R209" i="1"/>
  <c r="T197" i="1"/>
  <c r="R197" i="1"/>
  <c r="T185" i="1"/>
  <c r="R185" i="1"/>
  <c r="T173" i="1"/>
  <c r="R173" i="1"/>
  <c r="T161" i="1"/>
  <c r="R161" i="1"/>
  <c r="T149" i="1"/>
  <c r="R149" i="1"/>
  <c r="T146" i="1"/>
  <c r="R146" i="1"/>
  <c r="T158" i="1"/>
  <c r="R158" i="1"/>
  <c r="T193" i="1"/>
  <c r="R193" i="1"/>
  <c r="T177" i="1"/>
  <c r="R177" i="1"/>
  <c r="R212" i="1"/>
  <c r="T212" i="1"/>
  <c r="T152" i="1"/>
  <c r="R152" i="1"/>
  <c r="R175" i="1"/>
  <c r="T175" i="1"/>
  <c r="R210" i="1"/>
  <c r="T210" i="1"/>
  <c r="T162" i="1"/>
  <c r="R162" i="1"/>
  <c r="T208" i="1"/>
  <c r="R208" i="1"/>
  <c r="T196" i="1"/>
  <c r="R196" i="1"/>
  <c r="T184" i="1"/>
  <c r="R184" i="1"/>
  <c r="T172" i="1"/>
  <c r="R172" i="1"/>
  <c r="T160" i="1"/>
  <c r="R160" i="1"/>
  <c r="T148" i="1"/>
  <c r="R148" i="1"/>
  <c r="R182" i="1"/>
  <c r="T182" i="1"/>
  <c r="R217" i="1"/>
  <c r="T217" i="1"/>
  <c r="T169" i="1"/>
  <c r="R169" i="1"/>
  <c r="R213" i="1"/>
  <c r="T213" i="1"/>
  <c r="R201" i="1"/>
  <c r="T201" i="1"/>
  <c r="T165" i="1"/>
  <c r="R165" i="1"/>
  <c r="T164" i="1"/>
  <c r="R164" i="1"/>
  <c r="T211" i="1"/>
  <c r="R211" i="1"/>
  <c r="T187" i="1"/>
  <c r="R187" i="1"/>
  <c r="T151" i="1"/>
  <c r="R151" i="1"/>
  <c r="R186" i="1"/>
  <c r="T186" i="1"/>
  <c r="R207" i="1"/>
  <c r="T207" i="1"/>
  <c r="R195" i="1"/>
  <c r="T195" i="1"/>
  <c r="T183" i="1"/>
  <c r="R183" i="1"/>
  <c r="R171" i="1"/>
  <c r="T171" i="1"/>
  <c r="R159" i="1"/>
  <c r="T159" i="1"/>
  <c r="R147" i="1"/>
  <c r="T1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Emel Kangi</author>
  </authors>
  <commentList>
    <comment ref="I1" authorId="0" shapeId="0" xr:uid="{18AD82FD-970C-5D48-A55F-78BC99340BC7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soil dw divided by [core vol (392.7 cm3) - rock vol]</t>
        </r>
      </text>
    </comment>
    <comment ref="J1" authorId="0" shapeId="0" xr:uid="{D36169B8-51BC-1246-9B0A-31EEB55BD1F6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 vol of 5 cm dia 20 cm deep core</t>
        </r>
      </text>
    </comment>
    <comment ref="K1" authorId="0" shapeId="0" xr:uid="{4EBD8745-9B9E-4B41-B63F-62D2606C6AE9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area of core top (5" dia)</t>
        </r>
      </text>
    </comment>
    <comment ref="L1" authorId="0" shapeId="0" xr:uid="{B878C773-11A9-A94A-95DB-DC6271C5F593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vol soil (in cm3) per area (m2) - but rock vol is ignored...</t>
        </r>
      </text>
    </comment>
    <comment ref="M1" authorId="0" shapeId="0" xr:uid="{4ADB6984-D139-CF41-B44C-FBAC5D8CC7C5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 soil per m2 area (ignoring the rocks)</t>
        </r>
      </text>
    </comment>
    <comment ref="O1" authorId="0" shapeId="0" xr:uid="{258389E7-1B6C-104C-8BE1-6CDF1CFCA7DB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fine roots g per area m2 (rocks ignored)
</t>
        </r>
        <r>
          <rPr>
            <sz val="10"/>
            <color rgb="FF000000"/>
            <rFont val="Tahoma"/>
            <family val="2"/>
          </rPr>
          <t>[roots in sample] * [g soil per m2] / [g soil in sample]</t>
        </r>
      </text>
    </comment>
    <comment ref="P1" authorId="0" shapeId="0" xr:uid="{35AA19D6-5823-E04B-AF25-7E0BCAEFB197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by area (core area)</t>
        </r>
      </text>
    </comment>
    <comment ref="U1" authorId="0" shapeId="0" xr:uid="{96422416-5B8D-1C4E-A9B6-357C07C45B4A}">
      <text>
        <r>
          <rPr>
            <b/>
            <sz val="10"/>
            <color rgb="FF000000"/>
            <rFont val="Tahoma"/>
            <family val="2"/>
          </rPr>
          <t xml:space="preserve">Emel Kangi:
</t>
        </r>
        <r>
          <rPr>
            <sz val="10"/>
            <color rgb="FF000000"/>
            <rFont val="Tahoma"/>
            <family val="2"/>
          </rPr>
          <t>Overestimated for 20-40 cm: core volume calculated with h = 40 instead of 20</t>
        </r>
      </text>
    </comment>
    <comment ref="V1" authorId="0" shapeId="0" xr:uid="{C2691C44-A396-A64E-BEE7-EBD15D3B9A54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Aptos Narrow"/>
          </rPr>
          <t>Overestimated for 20-40 cm: core volume calculated with h = 40 instead of 20</t>
        </r>
      </text>
    </comment>
    <comment ref="W1" authorId="0" shapeId="0" xr:uid="{B4D2C18B-EEB8-6E4E-A029-EE6CC2D3DB09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soil dw by core area times % C</t>
        </r>
      </text>
    </comment>
    <comment ref="X1" authorId="0" shapeId="0" xr:uid="{1A1547D4-CDD1-4D4F-A37E-127475CB699E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soil dw by core area times % N</t>
        </r>
      </text>
    </comment>
    <comment ref="Y1" authorId="0" shapeId="0" xr:uid="{D8989404-2C1D-184B-B228-6FCFD23E8206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soil BD times % C</t>
        </r>
      </text>
    </comment>
    <comment ref="Z1" authorId="0" shapeId="0" xr:uid="{EA3531EE-C747-7E43-A2A3-C5A3AA3631F7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soil BD times % N</t>
        </r>
      </text>
    </comment>
    <comment ref="AA1" authorId="0" shapeId="0" xr:uid="{115FCF0E-C197-0D4C-90E3-0D72F7933AE5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soil BD times % C (cubic m)</t>
        </r>
      </text>
    </comment>
    <comment ref="AB1" authorId="0" shapeId="0" xr:uid="{16A9D248-FA85-D64A-97FE-EF2B6A6D4F12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soil BD times % N (cubic m)</t>
        </r>
      </text>
    </comment>
    <comment ref="AC1" authorId="0" shapeId="0" xr:uid="{C4D94E25-7DB3-1844-BBEC-97B364AA830E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think this is SOC (soil C + estimated root C at 0.48% of root) divided by soil N?</t>
        </r>
      </text>
    </comment>
    <comment ref="AD1" authorId="0" shapeId="0" xr:uid="{166DDDD4-8256-F844-9B15-A8693AE654E2}">
      <text>
        <r>
          <rPr>
            <b/>
            <sz val="10"/>
            <color rgb="FF000000"/>
            <rFont val="Tahoma"/>
            <family val="2"/>
          </rPr>
          <t>Emel Kangi: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soilC_perc by soilN_perc</t>
        </r>
      </text>
    </comment>
  </commentList>
</comments>
</file>

<file path=xl/sharedStrings.xml><?xml version="1.0" encoding="utf-8"?>
<sst xmlns="http://schemas.openxmlformats.org/spreadsheetml/2006/main" count="2783" uniqueCount="144">
  <si>
    <t>ID</t>
  </si>
  <si>
    <t>watershed</t>
  </si>
  <si>
    <t>subcomp</t>
  </si>
  <si>
    <t>plot</t>
  </si>
  <si>
    <t>subplot</t>
  </si>
  <si>
    <t>depth</t>
  </si>
  <si>
    <t>WS1</t>
  </si>
  <si>
    <t>WS1a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</si>
  <si>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</si>
  <si>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</si>
  <si>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</si>
  <si>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</si>
  <si>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</si>
  <si>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</si>
  <si>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</si>
  <si>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</si>
  <si>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</si>
  <si>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</si>
  <si>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</si>
  <si>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</si>
  <si>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</si>
  <si>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</si>
  <si>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</si>
  <si>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</si>
  <si>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</si>
  <si>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</si>
  <si>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WS2</t>
  </si>
  <si>
    <t>WS2a</t>
  </si>
  <si>
    <t>7A</t>
  </si>
  <si>
    <t>7B</t>
  </si>
  <si>
    <t>7C</t>
  </si>
  <si>
    <t>8A</t>
  </si>
  <si>
    <t>8B</t>
  </si>
  <si>
    <t>8C</t>
  </si>
  <si>
    <t>WS2b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</si>
  <si>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</si>
  <si>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</si>
  <si>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</si>
  <si>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</si>
  <si>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</si>
  <si>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</si>
  <si>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</si>
  <si>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</si>
  <si>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</si>
  <si>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</si>
  <si>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</si>
  <si>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</si>
  <si>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WS4</t>
  </si>
  <si>
    <t>WS4a</t>
  </si>
  <si>
    <t>13A</t>
  </si>
  <si>
    <t>13B</t>
  </si>
  <si>
    <t>13C</t>
  </si>
  <si>
    <t>14A</t>
  </si>
  <si>
    <t>14B</t>
  </si>
  <si>
    <t>14C</t>
  </si>
  <si>
    <t>15A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</si>
  <si>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</si>
  <si>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</si>
  <si>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</si>
  <si>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</si>
  <si>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</si>
  <si>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</si>
  <si>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</si>
  <si>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</si>
  <si>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</si>
  <si>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</si>
  <si>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</si>
  <si>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WS5</t>
  </si>
  <si>
    <t>WS5b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</si>
  <si>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</si>
  <si>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</si>
  <si>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</si>
  <si>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</si>
  <si>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</si>
  <si>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</si>
  <si>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</si>
  <si>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</si>
  <si>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</si>
  <si>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</si>
  <si>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</si>
  <si>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</si>
  <si>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</si>
  <si>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</si>
  <si>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</si>
  <si>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WS5a</t>
  </si>
  <si>
    <t>24A</t>
  </si>
  <si>
    <t>24B</t>
  </si>
  <si>
    <t>24C</t>
  </si>
  <si>
    <t>Organic</t>
  </si>
  <si>
    <t>0 to 20</t>
  </si>
  <si>
    <t>20 to 40</t>
  </si>
  <si>
    <t>horizon</t>
  </si>
  <si>
    <t>Mineral</t>
  </si>
  <si>
    <t>OH</t>
  </si>
  <si>
    <t>fine_root_gm2</t>
  </si>
  <si>
    <t>NA</t>
  </si>
  <si>
    <t>core_vol_cm3</t>
  </si>
  <si>
    <t>volsoil_area_cm3m2</t>
  </si>
  <si>
    <t>core_area_m2</t>
  </si>
  <si>
    <t>wtsoil_area_gm2</t>
  </si>
  <si>
    <t>BD_gcm3</t>
  </si>
  <si>
    <t>do not use: some issue</t>
  </si>
  <si>
    <t>emel's re/calculations</t>
  </si>
  <si>
    <t>dom's original data</t>
  </si>
  <si>
    <t>frac_soil_wt_g</t>
  </si>
  <si>
    <t>LF_g</t>
  </si>
  <si>
    <t>POM_g</t>
  </si>
  <si>
    <t>MAOM_g</t>
  </si>
  <si>
    <t>total_frac_g</t>
  </si>
  <si>
    <t>LF_C_perc</t>
  </si>
  <si>
    <t>LF_N_perc</t>
  </si>
  <si>
    <t>POM_C_perc</t>
  </si>
  <si>
    <t>POM_N_perc</t>
  </si>
  <si>
    <t>MAOM_C_perc</t>
  </si>
  <si>
    <t>MAOM_N_perc</t>
  </si>
  <si>
    <t>soil_C_perc</t>
  </si>
  <si>
    <t>soil_C_gm2</t>
  </si>
  <si>
    <t>soil_N_perc</t>
  </si>
  <si>
    <t>soil_N_gm2</t>
  </si>
  <si>
    <t>soil_C_gcm3</t>
  </si>
  <si>
    <t>soil_N_gcm3</t>
  </si>
  <si>
    <t>soil_C_gm3</t>
  </si>
  <si>
    <t>soil_N_gm3</t>
  </si>
  <si>
    <t>soil_CN</t>
  </si>
  <si>
    <t>soil_dw_g</t>
  </si>
  <si>
    <t>fine_root_g</t>
  </si>
  <si>
    <t>LF_C_gcm3</t>
  </si>
  <si>
    <t>LF_N_gcm3</t>
  </si>
  <si>
    <t>hPOM_C_gcm3</t>
  </si>
  <si>
    <t>hPOM_N_gcm3</t>
  </si>
  <si>
    <t>MAOM_C_gcm3</t>
  </si>
  <si>
    <t>MAOM_N_gcm3</t>
  </si>
  <si>
    <t>LF_C_gm2</t>
  </si>
  <si>
    <t>LF_N_gm2</t>
  </si>
  <si>
    <t>hPOM_C_gm2</t>
  </si>
  <si>
    <t>hPOM_N_gm2</t>
  </si>
  <si>
    <t>MAOM_C_gm2</t>
  </si>
  <si>
    <t>MAOM_N_gm2</t>
  </si>
  <si>
    <t>total_POM_gm2</t>
  </si>
  <si>
    <t>MAOC_hPOC</t>
  </si>
  <si>
    <t>MAOC:tot_POC</t>
  </si>
  <si>
    <t>total_POC_gm2</t>
  </si>
  <si>
    <t>MAOC.hPOC</t>
  </si>
  <si>
    <t>MAOC.tot_POC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</si>
</sst>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b/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0" xfId="0" applyFont="1"/>
    <xf numFmtId="0" fontId="1" fillId="4" borderId="0" xfId="0" applyFont="1" applyFill="1" applyAlignment="1">
      <alignment horizontal="center"/>
    </xf>
    <xf numFmtId="0" fontId="6" fillId="3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0" fillId="0" borderId="0" xfId="0" applyFont="1" applyAlignment="1">
      <alignment horizontal="right"/>
    </xf>
    <xf numFmtId="0" fontId="10" fillId="0" borderId="0" xfId="0" applyFont="1"/>
    <xf numFmtId="0" fontId="9" fillId="2" borderId="0" xfId="0" applyFont="1" applyFill="1"/>
    <xf numFmtId="0" fontId="6" fillId="0" borderId="0" xfId="0" applyFont="1"/>
    <xf numFmtId="0" fontId="9" fillId="0" borderId="0" xfId="0" applyFont="1"/>
    <xf numFmtId="0" fontId="10" fillId="5" borderId="0" xfId="0" applyFont="1" applyFill="1"/>
    <xf numFmtId="0" fontId="1" fillId="6" borderId="0" xfId="0" applyFont="1" applyFill="1" applyAlignment="1">
      <alignment horizontal="center"/>
    </xf>
    <xf numFmtId="0" fontId="0" fillId="6" borderId="0" xfId="0" applyFill="1"/>
    <xf numFmtId="0" fontId="9" fillId="6" borderId="0" xfId="0" applyFont="1" applyFill="1"/>
    <xf numFmtId="0" fontId="10" fillId="6" borderId="0" xfId="0" applyFont="1" applyFill="1" applyAlignment="1">
      <alignment horizontal="right"/>
    </xf>
    <xf numFmtId="0" fontId="1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44D5-AA0A-CD41-A95A-107DA43A0138}">
  <dimension ref="A1:BD222"/>
  <sheetViews>
    <sheetView tabSelected="1" zoomScale="144" zoomScaleNormal="110" workbookViewId="0">
      <pane xSplit="7" ySplit="1" topLeftCell="AB2" activePane="bottomRight" state="frozen"/>
      <selection pane="topRight" activeCell="H1" sqref="H1"/>
      <selection pane="bottomLeft" activeCell="A2" sqref="A2"/>
      <selection pane="bottomRight"/>
    </sheetView>
  </sheetViews>
  <sheetFormatPr baseColWidth="10" defaultRowHeight="16" x14ac:dyDescent="0.2"/>
  <cols>
    <col min="8" max="8" width="12.83203125" bestFit="1" customWidth="1"/>
    <col min="11" max="11" width="11.1640625" bestFit="1" customWidth="1"/>
    <col min="13" max="13" width="11.83203125" customWidth="1"/>
    <col min="14" max="14" width="10.1640625" bestFit="1" customWidth="1"/>
    <col min="15" max="15" width="10" customWidth="1"/>
    <col min="16" max="16" width="10.5" customWidth="1"/>
    <col min="23" max="23" width="10.83203125" customWidth="1"/>
    <col min="24" max="24" width="10.6640625" customWidth="1"/>
    <col min="25" max="25" width="13.33203125" customWidth="1"/>
    <col min="26" max="26" width="11.6640625" customWidth="1"/>
    <col min="27" max="27" width="12.5" customWidth="1"/>
    <col min="28" max="29" width="11.83203125" customWidth="1"/>
  </cols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91</v>
      </c>
      <c r="H1" s="3" t="s">
        <v>124</v>
      </c>
      <c r="I1" s="3" t="s">
        <v>100</v>
      </c>
      <c r="J1" s="4" t="s">
        <v>96</v>
      </c>
      <c r="K1" s="4" t="s">
        <v>98</v>
      </c>
      <c r="L1" s="4" t="s">
        <v>97</v>
      </c>
      <c r="M1" s="4" t="s">
        <v>99</v>
      </c>
      <c r="N1" s="3" t="s">
        <v>125</v>
      </c>
      <c r="O1" s="4" t="s">
        <v>94</v>
      </c>
      <c r="P1" s="6" t="s">
        <v>94</v>
      </c>
      <c r="Q1" s="3" t="s">
        <v>115</v>
      </c>
      <c r="R1" s="4" t="s">
        <v>116</v>
      </c>
      <c r="S1" s="3" t="s">
        <v>117</v>
      </c>
      <c r="T1" s="4" t="s">
        <v>118</v>
      </c>
      <c r="U1" s="6" t="s">
        <v>116</v>
      </c>
      <c r="V1" s="6" t="s">
        <v>118</v>
      </c>
      <c r="W1" s="6" t="s">
        <v>116</v>
      </c>
      <c r="X1" s="6" t="s">
        <v>118</v>
      </c>
      <c r="Y1" s="6" t="s">
        <v>119</v>
      </c>
      <c r="Z1" s="6" t="s">
        <v>120</v>
      </c>
      <c r="AA1" s="6" t="s">
        <v>121</v>
      </c>
      <c r="AB1" s="6" t="s">
        <v>122</v>
      </c>
      <c r="AC1" s="6" t="s">
        <v>123</v>
      </c>
      <c r="AD1" s="7" t="s">
        <v>123</v>
      </c>
      <c r="AE1" s="13" t="s">
        <v>104</v>
      </c>
      <c r="AF1" s="13" t="s">
        <v>105</v>
      </c>
      <c r="AG1" s="13" t="s">
        <v>106</v>
      </c>
      <c r="AH1" s="13" t="s">
        <v>107</v>
      </c>
      <c r="AI1" s="13" t="s">
        <v>108</v>
      </c>
      <c r="AJ1" s="13" t="s">
        <v>109</v>
      </c>
      <c r="AK1" s="13" t="s">
        <v>110</v>
      </c>
      <c r="AL1" s="13" t="s">
        <v>111</v>
      </c>
      <c r="AM1" s="13" t="s">
        <v>112</v>
      </c>
      <c r="AN1" s="13" t="s">
        <v>113</v>
      </c>
      <c r="AO1" s="13" t="s">
        <v>114</v>
      </c>
      <c r="AP1" s="13" t="s">
        <v>126</v>
      </c>
      <c r="AQ1" s="13" t="s">
        <v>127</v>
      </c>
      <c r="AR1" s="13" t="s">
        <v>128</v>
      </c>
      <c r="AS1" s="13" t="s">
        <v>129</v>
      </c>
      <c r="AT1" s="13" t="s">
        <v>130</v>
      </c>
      <c r="AU1" s="13" t="s">
        <v>131</v>
      </c>
      <c r="AV1" s="13" t="s">
        <v>132</v>
      </c>
      <c r="AW1" s="13" t="s">
        <v>133</v>
      </c>
      <c r="AX1" s="13" t="s">
        <v>134</v>
      </c>
      <c r="AY1" s="13" t="s">
        <v>135</v>
      </c>
      <c r="AZ1" s="13" t="s">
        <v>136</v>
      </c>
      <c r="BA1" s="13" t="s">
        <v>137</v>
      </c>
      <c r="BB1" s="13" t="s">
        <v>138</v>
      </c>
      <c r="BC1" s="13" t="s">
        <v>139</v>
      </c>
      <c r="BD1" s="13" t="s">
        <v>140</v>
      </c>
    </row>
    <row r="2" spans="1:56" x14ac:dyDescent="0.2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89</v>
      </c>
      <c r="G2" t="s">
        <v>92</v>
      </c>
      <c r="H2">
        <v>253.6</v>
      </c>
      <c r="I2">
        <v>1.2511156830000001</v>
      </c>
      <c r="J2">
        <f>PI()*(2.5^2)*20</f>
        <v>392.69908169872417</v>
      </c>
      <c r="K2">
        <f>PI()*(0.025^2)</f>
        <v>1.9634954084936209E-3</v>
      </c>
      <c r="L2">
        <f>J2/K2</f>
        <v>200000</v>
      </c>
      <c r="M2">
        <f t="shared" ref="M2:M33" si="0">I2*L2</f>
        <v>250223.13660000003</v>
      </c>
      <c r="N2">
        <v>1.605</v>
      </c>
      <c r="O2">
        <f t="shared" ref="O2:O14" si="1">N2*M2/H2</f>
        <v>1583.6282896017353</v>
      </c>
      <c r="P2">
        <f>(N2/(0.025*0.025*PI()))</f>
        <v>817.41978771997435</v>
      </c>
      <c r="Q2">
        <v>1.62</v>
      </c>
      <c r="R2">
        <f t="shared" ref="R2:R33" si="2">M2*(Q2/100)</f>
        <v>4053.614812920001</v>
      </c>
      <c r="S2">
        <v>0.14000000000000001</v>
      </c>
      <c r="T2">
        <f t="shared" ref="T2:T33" si="3">M2*(S2/100)</f>
        <v>350.31239124000007</v>
      </c>
      <c r="U2">
        <v>4053.614812920001</v>
      </c>
      <c r="V2">
        <v>350.31239124000012</v>
      </c>
      <c r="W2">
        <f>((H2/(0.025*0.025*PI())))*(Q2/100)</f>
        <v>2092.3501945705457</v>
      </c>
      <c r="X2">
        <f>((H2/(0.025*0.025*PI())))*(S2/100)</f>
        <v>180.8203871851089</v>
      </c>
      <c r="Y2">
        <f t="shared" ref="Y2:Y33" si="4">(Q2/100)*I2</f>
        <v>2.0268074064600006E-2</v>
      </c>
      <c r="Z2">
        <f t="shared" ref="Z2:Z33" si="5">(S2/100)*I2</f>
        <v>1.7515619562000005E-3</v>
      </c>
      <c r="AA2">
        <f>Y2*1000000</f>
        <v>20268.074064600005</v>
      </c>
      <c r="AB2">
        <f>Z2*1000000</f>
        <v>1751.5619562000004</v>
      </c>
      <c r="AC2">
        <v>33.563228441053973</v>
      </c>
      <c r="AD2">
        <f t="shared" ref="AD2:AD65" si="6">Q2/S2</f>
        <v>11.571428571428571</v>
      </c>
      <c r="AE2" s="11">
        <v>5.4710999999999999</v>
      </c>
      <c r="AF2" s="11">
        <v>0.2485</v>
      </c>
      <c r="AG2" s="11">
        <v>2.4927999999999999</v>
      </c>
      <c r="AH2" s="11">
        <v>2.89</v>
      </c>
      <c r="AI2" s="11">
        <f>AF2+AG2+AH2</f>
        <v>5.6312999999999995</v>
      </c>
      <c r="AJ2" s="11">
        <v>19.760000000000002</v>
      </c>
      <c r="AK2" s="11">
        <v>0.7</v>
      </c>
      <c r="AL2" s="11">
        <v>1.44</v>
      </c>
      <c r="AM2" s="11">
        <v>0.06</v>
      </c>
      <c r="AN2" s="12">
        <v>2.2400000000000002</v>
      </c>
      <c r="AO2" s="12">
        <v>0.11</v>
      </c>
      <c r="AP2" s="12">
        <f>((AF2/AE2)*I2)*(AJ2/100)</f>
        <v>1.1228872448275265E-2</v>
      </c>
      <c r="AQ2" s="12">
        <f>((AF2/AE2)*I2)*(AK2/100)</f>
        <v>3.9778394300570263E-4</v>
      </c>
      <c r="AR2" s="12">
        <f>((AG2/AE2)*I2)*(AL2/100)</f>
        <v>8.2086689905113332E-3</v>
      </c>
      <c r="AS2" s="12">
        <f>((AG2/AE2)*I2)*(AM2/100)</f>
        <v>3.4202787460463888E-4</v>
      </c>
      <c r="AT2" s="12">
        <f>((AH2/AE2)*I2)*(AN2/100)</f>
        <v>1.4803645492622693E-2</v>
      </c>
      <c r="AU2" s="12">
        <f>((AH2/AE2)*I2)*(AO2/100)</f>
        <v>7.2696473401272145E-4</v>
      </c>
      <c r="AV2" s="12">
        <f>AP2*100*100*20</f>
        <v>2245.774489655053</v>
      </c>
      <c r="AW2" s="12">
        <f t="shared" ref="AV2:BA3" si="7">AQ2*100*100*20</f>
        <v>79.556788601140525</v>
      </c>
      <c r="AX2" s="12">
        <f t="shared" si="7"/>
        <v>1641.7337981022665</v>
      </c>
      <c r="AY2" s="12">
        <f t="shared" si="7"/>
        <v>68.405574920927776</v>
      </c>
      <c r="AZ2" s="12">
        <f t="shared" si="7"/>
        <v>2960.7290985245386</v>
      </c>
      <c r="BA2" s="12">
        <f t="shared" si="7"/>
        <v>145.39294680254432</v>
      </c>
      <c r="BB2" s="12">
        <f>AV2+AX2</f>
        <v>3887.5082877573195</v>
      </c>
      <c r="BC2" s="12">
        <f>AZ2/AX2</f>
        <v>1.8034160604763949</v>
      </c>
      <c r="BD2" s="12">
        <f>AZ2/BB2</f>
        <v>0.76160071680067487</v>
      </c>
    </row>
    <row r="3" spans="1:56" x14ac:dyDescent="0.2">
      <c r="A3">
        <v>2</v>
      </c>
      <c r="B3" t="s">
        <v>6</v>
      </c>
      <c r="C3" t="s">
        <v>7</v>
      </c>
      <c r="D3">
        <v>1</v>
      </c>
      <c r="E3" t="s">
        <v>8</v>
      </c>
      <c r="F3" t="s">
        <v>90</v>
      </c>
      <c r="G3" t="s">
        <v>92</v>
      </c>
      <c r="H3">
        <v>363.88</v>
      </c>
      <c r="I3">
        <v>1.633953752</v>
      </c>
      <c r="J3">
        <f t="shared" ref="J3:J66" si="8">PI()*(2.5^2)*20</f>
        <v>392.69908169872417</v>
      </c>
      <c r="K3">
        <f t="shared" ref="K3:K66" si="9">PI()*(0.025^2)</f>
        <v>1.9634954084936209E-3</v>
      </c>
      <c r="L3">
        <f t="shared" ref="L3:L66" si="10">J3/K3</f>
        <v>200000</v>
      </c>
      <c r="M3">
        <f t="shared" si="0"/>
        <v>326790.75040000002</v>
      </c>
      <c r="N3">
        <v>5.6099999999999997E-2</v>
      </c>
      <c r="O3">
        <f t="shared" si="1"/>
        <v>50.381887153567106</v>
      </c>
      <c r="P3">
        <f t="shared" ref="P3:P66" si="11">(N3/(0.025*0.025*PI()))</f>
        <v>28.571495383857048</v>
      </c>
      <c r="Q3">
        <v>1.02</v>
      </c>
      <c r="R3">
        <f t="shared" si="2"/>
        <v>3333.2656540800003</v>
      </c>
      <c r="S3">
        <v>0.1</v>
      </c>
      <c r="T3">
        <f t="shared" si="3"/>
        <v>326.79075040000004</v>
      </c>
      <c r="U3">
        <v>6666.5313081600007</v>
      </c>
      <c r="V3">
        <v>653.58150080000007</v>
      </c>
      <c r="W3">
        <f t="shared" ref="W3:W66" si="12">((H3/(0.025*0.025*PI())))*(Q3/100)</f>
        <v>1890.2901345959824</v>
      </c>
      <c r="X3">
        <f t="shared" ref="X3:X66" si="13">((H3/(0.025*0.025*PI())))*(S3/100)</f>
        <v>185.32256221529241</v>
      </c>
      <c r="Y3">
        <f t="shared" si="4"/>
        <v>1.6666328270400002E-2</v>
      </c>
      <c r="Z3">
        <f t="shared" si="5"/>
        <v>1.6339537520000001E-3</v>
      </c>
      <c r="AA3">
        <f t="shared" ref="AA3:AA66" si="14">Y3*1000000</f>
        <v>16666.328270400001</v>
      </c>
      <c r="AB3">
        <f t="shared" ref="AB3:AB66" si="15">Z3*1000000</f>
        <v>1633.9537520000001</v>
      </c>
      <c r="AC3">
        <v>10.612006765293073</v>
      </c>
      <c r="AD3">
        <f t="shared" si="6"/>
        <v>10.199999999999999</v>
      </c>
      <c r="AE3" s="11">
        <v>5.4191000000000003</v>
      </c>
      <c r="AF3" s="11">
        <v>3.3599999999999998E-2</v>
      </c>
      <c r="AG3" s="11">
        <v>2.3772000000000002</v>
      </c>
      <c r="AH3" s="11">
        <v>3.17</v>
      </c>
      <c r="AI3" s="11">
        <f>AF3+AG3+AH3</f>
        <v>5.5808</v>
      </c>
      <c r="AJ3" s="11">
        <v>35.11</v>
      </c>
      <c r="AK3" s="11">
        <v>1.01</v>
      </c>
      <c r="AL3" s="11">
        <v>0.16</v>
      </c>
      <c r="AM3" s="11">
        <v>0.02</v>
      </c>
      <c r="AN3" s="12">
        <v>1.21</v>
      </c>
      <c r="AO3" s="12">
        <v>0.06</v>
      </c>
      <c r="AP3" s="12">
        <f>((AF3/AE3)*I3)*(AJ3/100)</f>
        <v>3.5569904696709635E-3</v>
      </c>
      <c r="AQ3" s="12">
        <f>((AF3/AE3)*I3)*(AK3/100)</f>
        <v>1.0232299556729345E-4</v>
      </c>
      <c r="AR3" s="12">
        <f>((AG3/AE3)*I3)*(AL3/100)</f>
        <v>1.1468280295264973E-3</v>
      </c>
      <c r="AS3" s="12">
        <f>((AG3/AE3)*I3)*(AM3/100)</f>
        <v>1.4335350369081216E-4</v>
      </c>
      <c r="AT3" s="12">
        <f>((AH3/AE3)*I3)*(AN3/100)</f>
        <v>1.1565308642664649E-2</v>
      </c>
      <c r="AU3" s="12">
        <f>((AH3/AE3)*I3)*(AO3/100)</f>
        <v>5.7348637897510651E-4</v>
      </c>
      <c r="AV3" s="12">
        <f t="shared" si="7"/>
        <v>711.39809393419273</v>
      </c>
      <c r="AW3" s="12">
        <f t="shared" si="7"/>
        <v>20.464599113458689</v>
      </c>
      <c r="AX3" s="12">
        <f t="shared" si="7"/>
        <v>229.36560590529945</v>
      </c>
      <c r="AY3" s="12">
        <f t="shared" si="7"/>
        <v>28.670700738162431</v>
      </c>
      <c r="AZ3" s="12">
        <f t="shared" si="7"/>
        <v>2313.0617285329299</v>
      </c>
      <c r="BA3" s="12">
        <f t="shared" si="7"/>
        <v>114.69727579502131</v>
      </c>
      <c r="BB3" s="12">
        <f>AV3+AX3</f>
        <v>940.76369983949212</v>
      </c>
      <c r="BC3" s="12">
        <f>AZ3/AX3</f>
        <v>10.08460583880195</v>
      </c>
      <c r="BD3" s="12">
        <f>AZ3/BB3</f>
        <v>2.4587063987774735</v>
      </c>
    </row>
    <row r="4" spans="1:56" x14ac:dyDescent="0.2">
      <c r="A4">
        <v>3</v>
      </c>
      <c r="B4" t="s">
        <v>6</v>
      </c>
      <c r="C4" t="s">
        <v>7</v>
      </c>
      <c r="D4">
        <v>1</v>
      </c>
      <c r="E4" t="s">
        <v>9</v>
      </c>
      <c r="F4" t="s">
        <v>89</v>
      </c>
      <c r="G4" t="s">
        <v>92</v>
      </c>
      <c r="H4">
        <v>253.6</v>
      </c>
      <c r="I4">
        <v>1.2511156830000001</v>
      </c>
      <c r="J4">
        <f t="shared" si="8"/>
        <v>392.69908169872417</v>
      </c>
      <c r="K4">
        <f t="shared" si="9"/>
        <v>1.9634954084936209E-3</v>
      </c>
      <c r="L4">
        <f t="shared" si="10"/>
        <v>200000</v>
      </c>
      <c r="M4">
        <f t="shared" si="0"/>
        <v>250223.13660000003</v>
      </c>
      <c r="N4">
        <v>4.7500000000000001E-2</v>
      </c>
      <c r="O4">
        <f t="shared" si="1"/>
        <v>46.86750389787067</v>
      </c>
      <c r="P4">
        <f t="shared" si="11"/>
        <v>24.191551349968091</v>
      </c>
      <c r="Q4">
        <v>1.37</v>
      </c>
      <c r="R4">
        <f t="shared" si="2"/>
        <v>3428.0569714200005</v>
      </c>
      <c r="S4">
        <v>0.13</v>
      </c>
      <c r="T4">
        <f t="shared" si="3"/>
        <v>325.29007758</v>
      </c>
      <c r="U4">
        <v>3428.056971420001</v>
      </c>
      <c r="V4">
        <v>325.29007758000012</v>
      </c>
      <c r="W4">
        <f t="shared" si="12"/>
        <v>1769.4566460257081</v>
      </c>
      <c r="X4">
        <f t="shared" si="13"/>
        <v>167.90464524331537</v>
      </c>
      <c r="Y4">
        <f t="shared" si="4"/>
        <v>1.7140284857100001E-2</v>
      </c>
      <c r="Z4">
        <f t="shared" si="5"/>
        <v>1.6264503879000001E-3</v>
      </c>
      <c r="AA4">
        <f t="shared" si="14"/>
        <v>17140.284857099999</v>
      </c>
      <c r="AB4">
        <f t="shared" si="15"/>
        <v>1626.4503879000001</v>
      </c>
      <c r="AC4">
        <v>11.239374402746268</v>
      </c>
      <c r="AD4">
        <f t="shared" si="6"/>
        <v>10.538461538461538</v>
      </c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</row>
    <row r="5" spans="1:56" x14ac:dyDescent="0.2">
      <c r="A5">
        <v>4</v>
      </c>
      <c r="B5" t="s">
        <v>6</v>
      </c>
      <c r="C5" t="s">
        <v>7</v>
      </c>
      <c r="D5">
        <v>1</v>
      </c>
      <c r="E5" t="s">
        <v>9</v>
      </c>
      <c r="F5" t="s">
        <v>90</v>
      </c>
      <c r="G5" t="s">
        <v>92</v>
      </c>
      <c r="H5">
        <v>363.88</v>
      </c>
      <c r="I5">
        <v>1.633953752</v>
      </c>
      <c r="J5">
        <f t="shared" si="8"/>
        <v>392.69908169872417</v>
      </c>
      <c r="K5">
        <f t="shared" si="9"/>
        <v>1.9634954084936209E-3</v>
      </c>
      <c r="L5">
        <f t="shared" si="10"/>
        <v>200000</v>
      </c>
      <c r="M5">
        <f t="shared" si="0"/>
        <v>326790.75040000002</v>
      </c>
      <c r="N5">
        <v>0.20080000000000001</v>
      </c>
      <c r="O5">
        <f t="shared" si="1"/>
        <v>180.33302924128836</v>
      </c>
      <c r="P5">
        <f t="shared" si="11"/>
        <v>102.26660023312826</v>
      </c>
      <c r="Q5">
        <v>0.73</v>
      </c>
      <c r="R5">
        <f t="shared" si="2"/>
        <v>2385.57247792</v>
      </c>
      <c r="S5">
        <v>7.0000000000000007E-2</v>
      </c>
      <c r="T5">
        <f t="shared" si="3"/>
        <v>228.75352528000005</v>
      </c>
      <c r="U5">
        <v>4771.14495584</v>
      </c>
      <c r="V5">
        <v>457.50705055999998</v>
      </c>
      <c r="W5">
        <f t="shared" si="12"/>
        <v>1352.8547041716345</v>
      </c>
      <c r="X5">
        <f t="shared" si="13"/>
        <v>129.72579355070468</v>
      </c>
      <c r="Y5">
        <f t="shared" si="4"/>
        <v>1.1927862389600001E-2</v>
      </c>
      <c r="Z5">
        <f t="shared" si="5"/>
        <v>1.1437676264000002E-3</v>
      </c>
      <c r="AA5">
        <f t="shared" si="14"/>
        <v>11927.862389600001</v>
      </c>
      <c r="AB5">
        <f t="shared" si="15"/>
        <v>1143.7676264000002</v>
      </c>
      <c r="AC5">
        <v>12.535293060118388</v>
      </c>
      <c r="AD5">
        <f t="shared" si="6"/>
        <v>10.428571428571427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6" x14ac:dyDescent="0.2">
      <c r="A6">
        <v>5</v>
      </c>
      <c r="B6" t="s">
        <v>6</v>
      </c>
      <c r="C6" t="s">
        <v>7</v>
      </c>
      <c r="D6">
        <v>1</v>
      </c>
      <c r="E6" t="s">
        <v>10</v>
      </c>
      <c r="F6" t="s">
        <v>89</v>
      </c>
      <c r="G6" t="s">
        <v>92</v>
      </c>
      <c r="H6">
        <v>253.6</v>
      </c>
      <c r="I6">
        <v>1.2511156830000001</v>
      </c>
      <c r="J6">
        <f t="shared" si="8"/>
        <v>392.69908169872417</v>
      </c>
      <c r="K6">
        <f t="shared" si="9"/>
        <v>1.9634954084936209E-3</v>
      </c>
      <c r="L6">
        <f t="shared" si="10"/>
        <v>200000</v>
      </c>
      <c r="M6">
        <f t="shared" si="0"/>
        <v>250223.13660000003</v>
      </c>
      <c r="N6">
        <v>0.32140000000000002</v>
      </c>
      <c r="O6">
        <f t="shared" si="1"/>
        <v>317.12033163738181</v>
      </c>
      <c r="P6">
        <f t="shared" si="11"/>
        <v>163.68767587115252</v>
      </c>
      <c r="Q6">
        <v>1.1000000000000001</v>
      </c>
      <c r="R6">
        <f t="shared" si="2"/>
        <v>2752.4545026000005</v>
      </c>
      <c r="S6">
        <v>0.11</v>
      </c>
      <c r="T6">
        <f t="shared" si="3"/>
        <v>275.24545026000004</v>
      </c>
      <c r="U6">
        <v>2752.4545026000001</v>
      </c>
      <c r="V6">
        <v>275.24545025999998</v>
      </c>
      <c r="W6">
        <f t="shared" si="12"/>
        <v>1420.731613597284</v>
      </c>
      <c r="X6">
        <f t="shared" si="13"/>
        <v>142.0731613597284</v>
      </c>
      <c r="Y6">
        <f t="shared" si="4"/>
        <v>1.3762272513000003E-2</v>
      </c>
      <c r="Z6">
        <f t="shared" si="5"/>
        <v>1.3762272513000002E-3</v>
      </c>
      <c r="AA6">
        <f t="shared" si="14"/>
        <v>13762.272513000002</v>
      </c>
      <c r="AB6">
        <f t="shared" si="15"/>
        <v>1376.2272513000003</v>
      </c>
      <c r="AC6">
        <v>15.604888286228634</v>
      </c>
      <c r="AD6">
        <f t="shared" si="6"/>
        <v>10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6" x14ac:dyDescent="0.2">
      <c r="A7">
        <v>6</v>
      </c>
      <c r="B7" t="s">
        <v>6</v>
      </c>
      <c r="C7" t="s">
        <v>7</v>
      </c>
      <c r="D7">
        <v>1</v>
      </c>
      <c r="E7" t="s">
        <v>10</v>
      </c>
      <c r="F7" t="s">
        <v>90</v>
      </c>
      <c r="G7" t="s">
        <v>92</v>
      </c>
      <c r="H7">
        <v>363.88</v>
      </c>
      <c r="I7">
        <v>1.633953752</v>
      </c>
      <c r="J7">
        <f t="shared" si="8"/>
        <v>392.69908169872417</v>
      </c>
      <c r="K7">
        <f t="shared" si="9"/>
        <v>1.9634954084936209E-3</v>
      </c>
      <c r="L7">
        <f t="shared" si="10"/>
        <v>200000</v>
      </c>
      <c r="M7">
        <f t="shared" si="0"/>
        <v>326790.75040000002</v>
      </c>
      <c r="N7">
        <v>0.61739999999999995</v>
      </c>
      <c r="O7">
        <f t="shared" si="1"/>
        <v>554.47018054567445</v>
      </c>
      <c r="P7">
        <f t="shared" si="11"/>
        <v>314.43923796779575</v>
      </c>
      <c r="Q7">
        <v>0.4</v>
      </c>
      <c r="R7">
        <f t="shared" si="2"/>
        <v>1307.1630016000001</v>
      </c>
      <c r="S7">
        <v>0.05</v>
      </c>
      <c r="T7">
        <f t="shared" si="3"/>
        <v>163.39537520000002</v>
      </c>
      <c r="U7">
        <v>2614.3260031999998</v>
      </c>
      <c r="V7">
        <v>326.79075039999998</v>
      </c>
      <c r="W7">
        <f t="shared" si="12"/>
        <v>741.29024886116963</v>
      </c>
      <c r="X7">
        <f t="shared" si="13"/>
        <v>92.661281107646204</v>
      </c>
      <c r="Y7">
        <f t="shared" si="4"/>
        <v>6.5358150080000003E-3</v>
      </c>
      <c r="Z7">
        <f t="shared" si="5"/>
        <v>8.1697687600000004E-4</v>
      </c>
      <c r="AA7">
        <f t="shared" si="14"/>
        <v>6535.8150080000005</v>
      </c>
      <c r="AB7">
        <f t="shared" si="15"/>
        <v>816.97687600000006</v>
      </c>
      <c r="AC7">
        <v>17.068555325915984</v>
      </c>
      <c r="AD7">
        <f t="shared" si="6"/>
        <v>8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:56" x14ac:dyDescent="0.2">
      <c r="A8">
        <v>7</v>
      </c>
      <c r="B8" t="s">
        <v>6</v>
      </c>
      <c r="C8" t="s">
        <v>7</v>
      </c>
      <c r="D8">
        <v>2</v>
      </c>
      <c r="E8" t="s">
        <v>11</v>
      </c>
      <c r="F8" t="s">
        <v>89</v>
      </c>
      <c r="G8" t="s">
        <v>92</v>
      </c>
      <c r="H8">
        <v>300.22000000000003</v>
      </c>
      <c r="I8">
        <v>0.83930883599999995</v>
      </c>
      <c r="J8">
        <f t="shared" si="8"/>
        <v>392.69908169872417</v>
      </c>
      <c r="K8">
        <f t="shared" si="9"/>
        <v>1.9634954084936209E-3</v>
      </c>
      <c r="L8">
        <f t="shared" si="10"/>
        <v>200000</v>
      </c>
      <c r="M8">
        <f t="shared" si="0"/>
        <v>167861.7672</v>
      </c>
      <c r="N8">
        <v>7.7999999999999996E-3</v>
      </c>
      <c r="O8">
        <f t="shared" si="1"/>
        <v>4.3612077281993198</v>
      </c>
      <c r="P8">
        <f t="shared" si="11"/>
        <v>3.9725073795737074</v>
      </c>
      <c r="Q8">
        <v>2.67</v>
      </c>
      <c r="R8">
        <f t="shared" si="2"/>
        <v>4481.9091842399994</v>
      </c>
      <c r="S8">
        <v>0.14000000000000001</v>
      </c>
      <c r="T8">
        <f t="shared" si="3"/>
        <v>235.00647408000003</v>
      </c>
      <c r="U8">
        <v>4481.9091842399976</v>
      </c>
      <c r="V8">
        <v>235.00647408</v>
      </c>
      <c r="W8">
        <f t="shared" si="12"/>
        <v>4082.4511049657708</v>
      </c>
      <c r="X8">
        <f t="shared" si="13"/>
        <v>214.06110662741872</v>
      </c>
      <c r="Y8">
        <f t="shared" si="4"/>
        <v>2.2409545921199998E-2</v>
      </c>
      <c r="Z8">
        <f t="shared" si="5"/>
        <v>1.1750323704000001E-3</v>
      </c>
      <c r="AA8">
        <f t="shared" si="14"/>
        <v>22409.545921199999</v>
      </c>
      <c r="AB8">
        <f t="shared" si="15"/>
        <v>1175.0323704</v>
      </c>
      <c r="AC8">
        <v>19.230743331358347</v>
      </c>
      <c r="AD8">
        <f t="shared" si="6"/>
        <v>19.071428571428569</v>
      </c>
      <c r="AE8" s="11">
        <v>5.7211999999999996</v>
      </c>
      <c r="AF8" s="11">
        <v>0.1201</v>
      </c>
      <c r="AG8" s="11">
        <v>2.0569999999999999</v>
      </c>
      <c r="AH8" s="11">
        <v>3.45</v>
      </c>
      <c r="AI8" s="11">
        <f>AF8+AG8+AH8</f>
        <v>5.6271000000000004</v>
      </c>
      <c r="AJ8" s="11">
        <v>36.979999999999997</v>
      </c>
      <c r="AK8" s="11">
        <v>0.96</v>
      </c>
      <c r="AL8" s="11">
        <v>2.65</v>
      </c>
      <c r="AM8" s="11">
        <v>0.09</v>
      </c>
      <c r="AN8" s="11">
        <v>4.1399999999999997</v>
      </c>
      <c r="AO8" s="11">
        <v>0.24</v>
      </c>
      <c r="AP8" s="12">
        <f>((AF8/AE8)*I8)*(AJ8/100)</f>
        <v>6.5154524482785563E-3</v>
      </c>
      <c r="AQ8" s="12">
        <f>((AF8/AE8)*I8)*(AK8/100)</f>
        <v>1.6914100460647415E-4</v>
      </c>
      <c r="AR8" s="12">
        <f>((AG8/AE8)*I8)*(AL8/100)</f>
        <v>7.9967741566066546E-3</v>
      </c>
      <c r="AS8" s="12">
        <f>((AG8/AE8)*I8)*(AM8/100)</f>
        <v>2.7158855626211283E-4</v>
      </c>
      <c r="AT8" s="12">
        <f>((AH8/AE8)*I8)*(AN8/100)</f>
        <v>2.0953380592512061E-2</v>
      </c>
      <c r="AU8" s="12">
        <f>((AH8/AE8)*I8)*(AO8/100)</f>
        <v>1.214688730000699E-3</v>
      </c>
      <c r="AV8" s="12">
        <f t="shared" ref="AV8:BA9" si="16">AP8*100*100*20</f>
        <v>1303.0904896557113</v>
      </c>
      <c r="AW8" s="12">
        <f t="shared" si="16"/>
        <v>33.82820092129483</v>
      </c>
      <c r="AX8" s="12">
        <f t="shared" si="16"/>
        <v>1599.3548313213307</v>
      </c>
      <c r="AY8" s="12">
        <f t="shared" si="16"/>
        <v>54.317711252422569</v>
      </c>
      <c r="AZ8" s="12">
        <f t="shared" si="16"/>
        <v>4190.6761185024125</v>
      </c>
      <c r="BA8" s="12">
        <f t="shared" si="16"/>
        <v>242.93774600013978</v>
      </c>
      <c r="BB8" s="12">
        <f>AV8+AX8</f>
        <v>2902.4453209770418</v>
      </c>
      <c r="BC8" s="12">
        <f>AZ8/AX8</f>
        <v>2.6202291301675835</v>
      </c>
      <c r="BD8" s="12">
        <f>AZ8/BB8</f>
        <v>1.4438432614784686</v>
      </c>
    </row>
    <row r="9" spans="1:56" x14ac:dyDescent="0.2">
      <c r="A9">
        <v>8</v>
      </c>
      <c r="B9" t="s">
        <v>6</v>
      </c>
      <c r="C9" t="s">
        <v>7</v>
      </c>
      <c r="D9">
        <v>2</v>
      </c>
      <c r="E9" t="s">
        <v>11</v>
      </c>
      <c r="F9" t="s">
        <v>90</v>
      </c>
      <c r="G9" t="s">
        <v>92</v>
      </c>
      <c r="H9">
        <v>189.97</v>
      </c>
      <c r="I9">
        <v>0.56254224600000002</v>
      </c>
      <c r="J9">
        <f t="shared" si="8"/>
        <v>392.69908169872417</v>
      </c>
      <c r="K9">
        <f t="shared" si="9"/>
        <v>1.9634954084936209E-3</v>
      </c>
      <c r="L9">
        <f t="shared" si="10"/>
        <v>200000</v>
      </c>
      <c r="M9">
        <f t="shared" si="0"/>
        <v>112508.4492</v>
      </c>
      <c r="N9">
        <v>0.1003</v>
      </c>
      <c r="O9">
        <f t="shared" si="1"/>
        <v>59.401997445701952</v>
      </c>
      <c r="P9">
        <f t="shared" si="11"/>
        <v>51.082370534774725</v>
      </c>
      <c r="Q9">
        <v>0.99</v>
      </c>
      <c r="R9">
        <f t="shared" si="2"/>
        <v>1113.83364708</v>
      </c>
      <c r="S9">
        <v>0.08</v>
      </c>
      <c r="T9">
        <f t="shared" si="3"/>
        <v>90.006759360000004</v>
      </c>
      <c r="U9">
        <v>2227.66729416</v>
      </c>
      <c r="V9">
        <v>180.01351872000001</v>
      </c>
      <c r="W9">
        <f t="shared" si="12"/>
        <v>957.83417260082172</v>
      </c>
      <c r="X9">
        <f t="shared" si="13"/>
        <v>77.400741220268429</v>
      </c>
      <c r="Y9">
        <f t="shared" si="4"/>
        <v>5.5691682354E-3</v>
      </c>
      <c r="Z9">
        <f t="shared" si="5"/>
        <v>4.5003379680000002E-4</v>
      </c>
      <c r="AA9">
        <f t="shared" si="14"/>
        <v>5569.1682354000004</v>
      </c>
      <c r="AB9">
        <f t="shared" si="15"/>
        <v>450.0337968</v>
      </c>
      <c r="AC9">
        <v>15.049465803586953</v>
      </c>
      <c r="AD9">
        <f t="shared" si="6"/>
        <v>12.375</v>
      </c>
      <c r="AE9" s="11">
        <v>5.9516</v>
      </c>
      <c r="AF9" s="11">
        <v>7.8299999999999995E-2</v>
      </c>
      <c r="AG9" s="11">
        <v>2.1575000000000002</v>
      </c>
      <c r="AH9" s="11">
        <v>3.72</v>
      </c>
      <c r="AI9" s="11">
        <f>AF9+AG9+AH9</f>
        <v>5.9558</v>
      </c>
      <c r="AJ9" s="11">
        <v>26.56</v>
      </c>
      <c r="AK9" s="11">
        <v>0.63</v>
      </c>
      <c r="AL9" s="11">
        <v>0.6</v>
      </c>
      <c r="AM9" s="11">
        <v>0.03</v>
      </c>
      <c r="AN9" s="11">
        <v>1.19</v>
      </c>
      <c r="AO9" s="11">
        <v>0.08</v>
      </c>
      <c r="AP9" s="12">
        <f>((AF9/AE9)*I9)*(AJ9/100)</f>
        <v>1.9656728557184756E-3</v>
      </c>
      <c r="AQ9" s="12">
        <f>((AF9/AE9)*I9)*(AK9/100)</f>
        <v>4.6625523309587336E-5</v>
      </c>
      <c r="AR9" s="12">
        <f>((AG9/AE9)*I9)*(AL9/100)</f>
        <v>1.2235549053145375E-3</v>
      </c>
      <c r="AS9" s="12">
        <f>((AG9/AE9)*I9)*(AM9/100)</f>
        <v>6.1177745265726872E-5</v>
      </c>
      <c r="AT9" s="12">
        <f>((AH9/AE9)*I9)*(AN9/100)</f>
        <v>4.1841891501324009E-3</v>
      </c>
      <c r="AU9" s="12">
        <f>((AH9/AE9)*I9)*(AO9/100)</f>
        <v>2.8129002689965726E-4</v>
      </c>
      <c r="AV9" s="12">
        <f t="shared" si="16"/>
        <v>393.1345711436951</v>
      </c>
      <c r="AW9" s="12">
        <f t="shared" si="16"/>
        <v>9.325104661917468</v>
      </c>
      <c r="AX9" s="12">
        <f t="shared" si="16"/>
        <v>244.71098106290751</v>
      </c>
      <c r="AY9" s="12">
        <f t="shared" si="16"/>
        <v>12.235549053145373</v>
      </c>
      <c r="AZ9" s="12">
        <f t="shared" si="16"/>
        <v>836.83783002648011</v>
      </c>
      <c r="BA9" s="12">
        <f t="shared" si="16"/>
        <v>56.258005379931447</v>
      </c>
      <c r="BB9" s="12">
        <f>AV9+AX9</f>
        <v>637.84555220660263</v>
      </c>
      <c r="BC9" s="12">
        <f>AZ9/AX9</f>
        <v>3.419698725376592</v>
      </c>
      <c r="BD9" s="12">
        <f>AZ9/BB9</f>
        <v>1.3119756454073737</v>
      </c>
    </row>
    <row r="10" spans="1:56" x14ac:dyDescent="0.2">
      <c r="A10">
        <v>9</v>
      </c>
      <c r="B10" t="s">
        <v>6</v>
      </c>
      <c r="C10" t="s">
        <v>7</v>
      </c>
      <c r="D10">
        <v>2</v>
      </c>
      <c r="E10" t="s">
        <v>12</v>
      </c>
      <c r="F10" t="s">
        <v>89</v>
      </c>
      <c r="G10" t="s">
        <v>92</v>
      </c>
      <c r="H10">
        <v>300.22000000000003</v>
      </c>
      <c r="I10">
        <v>0.83930883599999995</v>
      </c>
      <c r="J10">
        <f t="shared" si="8"/>
        <v>392.69908169872417</v>
      </c>
      <c r="K10">
        <f t="shared" si="9"/>
        <v>1.9634954084936209E-3</v>
      </c>
      <c r="L10">
        <f t="shared" si="10"/>
        <v>200000</v>
      </c>
      <c r="M10">
        <f t="shared" si="0"/>
        <v>167861.7672</v>
      </c>
      <c r="N10">
        <v>0.29949999999999999</v>
      </c>
      <c r="O10">
        <f t="shared" si="1"/>
        <v>167.45919417893543</v>
      </c>
      <c r="P10">
        <f t="shared" si="11"/>
        <v>152.53409745927249</v>
      </c>
      <c r="Q10">
        <v>0.62</v>
      </c>
      <c r="R10">
        <f t="shared" si="2"/>
        <v>1040.7429566399999</v>
      </c>
      <c r="S10">
        <v>0.06</v>
      </c>
      <c r="T10">
        <f t="shared" si="3"/>
        <v>100.71706031999999</v>
      </c>
      <c r="U10">
        <v>1040.7429566400001</v>
      </c>
      <c r="V10">
        <v>100.71706032</v>
      </c>
      <c r="W10">
        <f t="shared" si="12"/>
        <v>947.98490077856854</v>
      </c>
      <c r="X10">
        <f t="shared" si="13"/>
        <v>91.74047426889372</v>
      </c>
      <c r="Y10">
        <f t="shared" si="4"/>
        <v>5.2037147831999996E-3</v>
      </c>
      <c r="Z10">
        <f t="shared" si="5"/>
        <v>5.0358530159999994E-4</v>
      </c>
      <c r="AA10">
        <f t="shared" si="14"/>
        <v>5203.7147831999991</v>
      </c>
      <c r="AB10">
        <f t="shared" si="15"/>
        <v>503.58530159999992</v>
      </c>
      <c r="AC10">
        <v>24.606982657811553</v>
      </c>
      <c r="AD10">
        <f t="shared" si="6"/>
        <v>10.333333333333334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:56" x14ac:dyDescent="0.2">
      <c r="A11">
        <v>10</v>
      </c>
      <c r="B11" t="s">
        <v>6</v>
      </c>
      <c r="C11" t="s">
        <v>7</v>
      </c>
      <c r="D11">
        <v>2</v>
      </c>
      <c r="E11" t="s">
        <v>12</v>
      </c>
      <c r="F11" t="s">
        <v>90</v>
      </c>
      <c r="G11" t="s">
        <v>92</v>
      </c>
      <c r="H11">
        <v>189.97</v>
      </c>
      <c r="I11">
        <v>0.56254224600000002</v>
      </c>
      <c r="J11">
        <f t="shared" si="8"/>
        <v>392.69908169872417</v>
      </c>
      <c r="K11">
        <f t="shared" si="9"/>
        <v>1.9634954084936209E-3</v>
      </c>
      <c r="L11">
        <f t="shared" si="10"/>
        <v>200000</v>
      </c>
      <c r="M11">
        <f t="shared" si="0"/>
        <v>112508.4492</v>
      </c>
      <c r="N11">
        <v>3.3599999999999998E-2</v>
      </c>
      <c r="O11">
        <f t="shared" si="1"/>
        <v>19.899373022687794</v>
      </c>
      <c r="P11">
        <f t="shared" si="11"/>
        <v>17.112339481240586</v>
      </c>
      <c r="Q11">
        <v>0.9</v>
      </c>
      <c r="R11">
        <f t="shared" si="2"/>
        <v>1012.5760428000001</v>
      </c>
      <c r="S11">
        <v>0.06</v>
      </c>
      <c r="T11">
        <f t="shared" si="3"/>
        <v>67.505069519999992</v>
      </c>
      <c r="U11">
        <v>2025.1520856</v>
      </c>
      <c r="V11">
        <v>135.01013904000001</v>
      </c>
      <c r="W11">
        <f t="shared" si="12"/>
        <v>870.75833872802002</v>
      </c>
      <c r="X11">
        <f t="shared" si="13"/>
        <v>58.050555915201322</v>
      </c>
      <c r="Y11">
        <f t="shared" si="4"/>
        <v>5.0628802140000005E-3</v>
      </c>
      <c r="Z11">
        <f t="shared" si="5"/>
        <v>3.3752534759999998E-4</v>
      </c>
      <c r="AA11">
        <f t="shared" si="14"/>
        <v>5062.8802140000007</v>
      </c>
      <c r="AB11">
        <f t="shared" si="15"/>
        <v>337.52534759999998</v>
      </c>
      <c r="AC11">
        <v>16.194576949159476</v>
      </c>
      <c r="AD11">
        <f t="shared" si="6"/>
        <v>15.000000000000002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</row>
    <row r="12" spans="1:56" x14ac:dyDescent="0.2">
      <c r="A12">
        <v>11</v>
      </c>
      <c r="B12" t="s">
        <v>6</v>
      </c>
      <c r="C12" t="s">
        <v>7</v>
      </c>
      <c r="D12">
        <v>2</v>
      </c>
      <c r="E12" t="s">
        <v>13</v>
      </c>
      <c r="F12" t="s">
        <v>89</v>
      </c>
      <c r="G12" t="s">
        <v>92</v>
      </c>
      <c r="H12">
        <v>300.22000000000003</v>
      </c>
      <c r="I12">
        <v>0.83930883599999995</v>
      </c>
      <c r="J12">
        <f t="shared" si="8"/>
        <v>392.69908169872417</v>
      </c>
      <c r="K12">
        <f t="shared" si="9"/>
        <v>1.9634954084936209E-3</v>
      </c>
      <c r="L12">
        <f t="shared" si="10"/>
        <v>200000</v>
      </c>
      <c r="M12">
        <f t="shared" si="0"/>
        <v>167861.7672</v>
      </c>
      <c r="N12">
        <v>0.86899999999999999</v>
      </c>
      <c r="O12">
        <f t="shared" si="1"/>
        <v>485.88327125707815</v>
      </c>
      <c r="P12">
        <f t="shared" si="11"/>
        <v>442.57806574994254</v>
      </c>
      <c r="Q12">
        <v>2.38</v>
      </c>
      <c r="R12">
        <f t="shared" si="2"/>
        <v>3995.1100593599999</v>
      </c>
      <c r="S12">
        <v>0.14000000000000001</v>
      </c>
      <c r="T12">
        <f t="shared" si="3"/>
        <v>235.00647408000003</v>
      </c>
      <c r="U12">
        <v>3995.110059359999</v>
      </c>
      <c r="V12">
        <v>235.00647408</v>
      </c>
      <c r="W12">
        <f t="shared" si="12"/>
        <v>3639.0388126661178</v>
      </c>
      <c r="X12">
        <f t="shared" si="13"/>
        <v>214.06110662741872</v>
      </c>
      <c r="Y12">
        <f t="shared" si="4"/>
        <v>1.9975550296799996E-2</v>
      </c>
      <c r="Z12">
        <f t="shared" si="5"/>
        <v>1.1750323704000001E-3</v>
      </c>
      <c r="AA12">
        <f t="shared" si="14"/>
        <v>19975.550296799996</v>
      </c>
      <c r="AB12">
        <f t="shared" si="15"/>
        <v>1175.0323704</v>
      </c>
      <c r="AC12">
        <v>34.74929825371558</v>
      </c>
      <c r="AD12">
        <f t="shared" si="6"/>
        <v>16.999999999999996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</row>
    <row r="13" spans="1:56" x14ac:dyDescent="0.2">
      <c r="A13">
        <v>12</v>
      </c>
      <c r="B13" t="s">
        <v>6</v>
      </c>
      <c r="C13" t="s">
        <v>7</v>
      </c>
      <c r="D13">
        <v>2</v>
      </c>
      <c r="E13" t="s">
        <v>13</v>
      </c>
      <c r="F13" t="s">
        <v>90</v>
      </c>
      <c r="G13" t="s">
        <v>92</v>
      </c>
      <c r="H13">
        <v>189.97</v>
      </c>
      <c r="I13">
        <v>0.56254224600000002</v>
      </c>
      <c r="J13">
        <f t="shared" si="8"/>
        <v>392.69908169872417</v>
      </c>
      <c r="K13">
        <f t="shared" si="9"/>
        <v>1.9634954084936209E-3</v>
      </c>
      <c r="L13">
        <f t="shared" si="10"/>
        <v>200000</v>
      </c>
      <c r="M13">
        <f t="shared" si="0"/>
        <v>112508.4492</v>
      </c>
      <c r="N13">
        <v>0.121</v>
      </c>
      <c r="O13">
        <f t="shared" si="1"/>
        <v>71.661432611464974</v>
      </c>
      <c r="P13">
        <f t="shared" si="11"/>
        <v>61.624793965181873</v>
      </c>
      <c r="Q13">
        <v>0.88</v>
      </c>
      <c r="R13">
        <f t="shared" si="2"/>
        <v>990.07435296000006</v>
      </c>
      <c r="S13">
        <v>7.0000000000000007E-2</v>
      </c>
      <c r="T13">
        <f t="shared" si="3"/>
        <v>78.755914440000012</v>
      </c>
      <c r="U13">
        <v>1980.1487059200001</v>
      </c>
      <c r="V13">
        <v>157.51182888</v>
      </c>
      <c r="W13">
        <f t="shared" si="12"/>
        <v>851.40815342295286</v>
      </c>
      <c r="X13">
        <f t="shared" si="13"/>
        <v>67.725648567734893</v>
      </c>
      <c r="Y13">
        <f t="shared" si="4"/>
        <v>4.9503717648000005E-3</v>
      </c>
      <c r="Z13">
        <f t="shared" si="5"/>
        <v>3.9377957220000008E-4</v>
      </c>
      <c r="AA13">
        <f t="shared" si="14"/>
        <v>4950.3717648000002</v>
      </c>
      <c r="AB13">
        <f t="shared" si="15"/>
        <v>393.77957220000008</v>
      </c>
      <c r="AC13">
        <v>16.258770684905528</v>
      </c>
      <c r="AD13">
        <f t="shared" si="6"/>
        <v>12.571428571428571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</row>
    <row r="14" spans="1:56" x14ac:dyDescent="0.2">
      <c r="A14">
        <v>13</v>
      </c>
      <c r="B14" t="s">
        <v>6</v>
      </c>
      <c r="C14" t="s">
        <v>7</v>
      </c>
      <c r="D14">
        <v>3</v>
      </c>
      <c r="E14" t="s">
        <v>14</v>
      </c>
      <c r="F14" t="s">
        <v>89</v>
      </c>
      <c r="G14" t="s">
        <v>92</v>
      </c>
      <c r="H14">
        <v>194.9</v>
      </c>
      <c r="I14">
        <v>0.50927741800000004</v>
      </c>
      <c r="J14">
        <f t="shared" si="8"/>
        <v>392.69908169872417</v>
      </c>
      <c r="K14">
        <f t="shared" si="9"/>
        <v>1.9634954084936209E-3</v>
      </c>
      <c r="L14">
        <f t="shared" si="10"/>
        <v>200000</v>
      </c>
      <c r="M14">
        <f t="shared" si="0"/>
        <v>101855.48360000001</v>
      </c>
      <c r="N14">
        <v>0.70689999999999997</v>
      </c>
      <c r="O14">
        <f t="shared" si="1"/>
        <v>369.42863702842482</v>
      </c>
      <c r="P14">
        <f t="shared" si="11"/>
        <v>360.02121366931459</v>
      </c>
      <c r="Q14">
        <v>7.1</v>
      </c>
      <c r="R14">
        <f t="shared" si="2"/>
        <v>7231.7393356000002</v>
      </c>
      <c r="S14">
        <v>0.32</v>
      </c>
      <c r="T14">
        <f t="shared" si="3"/>
        <v>325.93754752000001</v>
      </c>
      <c r="U14">
        <v>7231.7393356000002</v>
      </c>
      <c r="V14">
        <v>325.93754752000012</v>
      </c>
      <c r="W14">
        <f t="shared" si="12"/>
        <v>7047.5845984362832</v>
      </c>
      <c r="X14">
        <f t="shared" si="13"/>
        <v>317.63761570417051</v>
      </c>
      <c r="Y14">
        <f t="shared" si="4"/>
        <v>3.6158696678E-2</v>
      </c>
      <c r="Z14">
        <f t="shared" si="5"/>
        <v>1.6296877376000003E-3</v>
      </c>
      <c r="AA14">
        <f t="shared" si="14"/>
        <v>36158.696678</v>
      </c>
      <c r="AB14">
        <f t="shared" si="15"/>
        <v>1629.6877376000002</v>
      </c>
      <c r="AC14">
        <v>32.597837887787506</v>
      </c>
      <c r="AD14">
        <f t="shared" si="6"/>
        <v>22.1875</v>
      </c>
      <c r="AE14" s="11">
        <v>5.47</v>
      </c>
      <c r="AF14" s="11">
        <v>0.41799999999999998</v>
      </c>
      <c r="AG14" s="11">
        <v>2.1534</v>
      </c>
      <c r="AH14" s="11">
        <v>3.05</v>
      </c>
      <c r="AI14" s="11">
        <f>AF14+AG14+AH14</f>
        <v>5.6213999999999995</v>
      </c>
      <c r="AJ14" s="11">
        <v>38.14</v>
      </c>
      <c r="AK14" s="11">
        <v>1.17</v>
      </c>
      <c r="AL14" s="11">
        <v>1.6</v>
      </c>
      <c r="AM14" s="11">
        <v>7.0000000000000007E-2</v>
      </c>
      <c r="AN14" s="11">
        <v>2.97</v>
      </c>
      <c r="AO14" s="11">
        <v>0.18</v>
      </c>
      <c r="AP14" s="12">
        <f>((AF14/AE14)*I14)*(AJ14/100)</f>
        <v>1.4843081210262088E-2</v>
      </c>
      <c r="AQ14" s="12">
        <f>((AF14/AE14)*I14)*(AK14/100)</f>
        <v>4.5533311525974412E-4</v>
      </c>
      <c r="AR14" s="12">
        <f>((AG14/AE14)*I14)*(AL14/100)</f>
        <v>3.2078332487640222E-3</v>
      </c>
      <c r="AS14" s="12">
        <f>((AG14/AE14)*I14)*(AM14/100)</f>
        <v>1.4034270463342599E-4</v>
      </c>
      <c r="AT14" s="12">
        <f>((AH14/AE14)*I14)*(AN14/100)</f>
        <v>8.433801628798903E-3</v>
      </c>
      <c r="AU14" s="12">
        <f>((AH14/AE14)*I14)*(AO14/100)</f>
        <v>5.1113949265447893E-4</v>
      </c>
      <c r="AV14" s="12">
        <f t="shared" ref="AV14:BA15" si="17">AP14*100*100*20</f>
        <v>2968.6162420524174</v>
      </c>
      <c r="AW14" s="12">
        <f t="shared" si="17"/>
        <v>91.066623051948824</v>
      </c>
      <c r="AX14" s="12">
        <f t="shared" si="17"/>
        <v>641.56664975280432</v>
      </c>
      <c r="AY14" s="12">
        <f t="shared" si="17"/>
        <v>28.068540926685198</v>
      </c>
      <c r="AZ14" s="12">
        <f t="shared" si="17"/>
        <v>1686.7603257597805</v>
      </c>
      <c r="BA14" s="12">
        <f t="shared" si="17"/>
        <v>102.22789853089579</v>
      </c>
      <c r="BB14" s="12">
        <f>AV14+AX14</f>
        <v>3610.1828918052215</v>
      </c>
      <c r="BC14" s="12">
        <f>AZ14/AX14</f>
        <v>2.6291271942045138</v>
      </c>
      <c r="BD14" s="12">
        <f>AZ14/BB14</f>
        <v>0.46722295692790777</v>
      </c>
    </row>
    <row r="15" spans="1:56" x14ac:dyDescent="0.2">
      <c r="A15">
        <v>14</v>
      </c>
      <c r="B15" t="s">
        <v>6</v>
      </c>
      <c r="C15" t="s">
        <v>7</v>
      </c>
      <c r="D15">
        <v>3</v>
      </c>
      <c r="E15" t="s">
        <v>14</v>
      </c>
      <c r="F15" t="s">
        <v>90</v>
      </c>
      <c r="G15" t="s">
        <v>92</v>
      </c>
      <c r="H15">
        <v>310.47000000000003</v>
      </c>
      <c r="I15">
        <v>0.82200358699999998</v>
      </c>
      <c r="J15">
        <f t="shared" si="8"/>
        <v>392.69908169872417</v>
      </c>
      <c r="K15">
        <f t="shared" si="9"/>
        <v>1.9634954084936209E-3</v>
      </c>
      <c r="L15">
        <f t="shared" si="10"/>
        <v>200000</v>
      </c>
      <c r="M15">
        <f t="shared" si="0"/>
        <v>164400.71739999999</v>
      </c>
      <c r="N15" t="s">
        <v>95</v>
      </c>
      <c r="O15" t="s">
        <v>95</v>
      </c>
      <c r="P15" s="5" t="s">
        <v>95</v>
      </c>
      <c r="Q15">
        <v>2.13</v>
      </c>
      <c r="R15">
        <f t="shared" si="2"/>
        <v>3501.7352806199997</v>
      </c>
      <c r="S15">
        <v>0.09</v>
      </c>
      <c r="T15">
        <f t="shared" si="3"/>
        <v>147.96064565999998</v>
      </c>
      <c r="U15">
        <v>7003.4705612399994</v>
      </c>
      <c r="V15">
        <v>295.92129132000002</v>
      </c>
      <c r="W15">
        <f t="shared" si="12"/>
        <v>3367.9788459874494</v>
      </c>
      <c r="X15">
        <f t="shared" si="13"/>
        <v>142.30896532341336</v>
      </c>
      <c r="Y15">
        <f t="shared" si="4"/>
        <v>1.7508676403099999E-2</v>
      </c>
      <c r="Z15">
        <f t="shared" si="5"/>
        <v>7.3980322829999992E-4</v>
      </c>
      <c r="AA15">
        <f t="shared" si="14"/>
        <v>17508.676403099998</v>
      </c>
      <c r="AB15">
        <f t="shared" si="15"/>
        <v>739.80322829999989</v>
      </c>
      <c r="AC15">
        <v>23.666666666666664</v>
      </c>
      <c r="AD15">
        <f t="shared" si="6"/>
        <v>23.666666666666668</v>
      </c>
      <c r="AE15" s="11">
        <v>5.7920999999999996</v>
      </c>
      <c r="AF15" s="11">
        <v>0.30470000000000003</v>
      </c>
      <c r="AG15" s="11">
        <v>1.8202</v>
      </c>
      <c r="AH15" s="11">
        <v>3.81</v>
      </c>
      <c r="AI15" s="11">
        <f>AF15+AG15+AH15</f>
        <v>5.9349000000000007</v>
      </c>
      <c r="AJ15" s="11">
        <v>30.46</v>
      </c>
      <c r="AK15" s="11">
        <v>0.88</v>
      </c>
      <c r="AL15" s="11">
        <v>0.37</v>
      </c>
      <c r="AM15" s="11">
        <v>0.02</v>
      </c>
      <c r="AN15" s="11">
        <v>1.1599999999999999</v>
      </c>
      <c r="AO15" s="11">
        <v>7.0000000000000007E-2</v>
      </c>
      <c r="AP15" s="12">
        <f>((AF15/AE15)*I15)*(AJ15/100)</f>
        <v>1.3171644922442799E-2</v>
      </c>
      <c r="AQ15" s="12">
        <f>((AF15/AE15)*I15)*(AK15/100)</f>
        <v>3.8053340550721159E-4</v>
      </c>
      <c r="AR15" s="12">
        <f>((AG15/AE15)*I15)*(AL15/100)</f>
        <v>9.5578122572337863E-4</v>
      </c>
      <c r="AS15" s="12">
        <f>((AG15/AE15)*I15)*(AM15/100)</f>
        <v>5.166385003910155E-5</v>
      </c>
      <c r="AT15" s="12">
        <f>((AH15/AE15)*I15)*(AN15/100)</f>
        <v>6.272210516229346E-3</v>
      </c>
      <c r="AU15" s="12">
        <f>((AH15/AE15)*I15)*(AO15/100)</f>
        <v>3.7849546218625375E-4</v>
      </c>
      <c r="AV15" s="12">
        <f t="shared" si="17"/>
        <v>2634.3289844885603</v>
      </c>
      <c r="AW15" s="12">
        <f t="shared" si="17"/>
        <v>76.106681101442319</v>
      </c>
      <c r="AX15" s="12">
        <f t="shared" si="17"/>
        <v>191.15624514467572</v>
      </c>
      <c r="AY15" s="12">
        <f t="shared" si="17"/>
        <v>10.332770007820312</v>
      </c>
      <c r="AZ15" s="12">
        <f t="shared" si="17"/>
        <v>1254.4421032458692</v>
      </c>
      <c r="BA15" s="12">
        <f t="shared" si="17"/>
        <v>75.699092437250755</v>
      </c>
      <c r="BB15" s="12">
        <f>AV15+AX15</f>
        <v>2825.485229633236</v>
      </c>
      <c r="BC15" s="12">
        <f>AZ15/AX15</f>
        <v>6.5623914211981438</v>
      </c>
      <c r="BD15" s="12">
        <f>AZ15/BB15</f>
        <v>0.44397404385253253</v>
      </c>
    </row>
    <row r="16" spans="1:56" x14ac:dyDescent="0.2">
      <c r="A16">
        <v>15</v>
      </c>
      <c r="B16" t="s">
        <v>6</v>
      </c>
      <c r="C16" t="s">
        <v>7</v>
      </c>
      <c r="D16">
        <v>3</v>
      </c>
      <c r="E16" t="s">
        <v>15</v>
      </c>
      <c r="F16" t="s">
        <v>89</v>
      </c>
      <c r="G16" t="s">
        <v>92</v>
      </c>
      <c r="H16">
        <v>194.9</v>
      </c>
      <c r="I16">
        <v>0.50927741800000004</v>
      </c>
      <c r="J16">
        <f t="shared" si="8"/>
        <v>392.69908169872417</v>
      </c>
      <c r="K16">
        <f t="shared" si="9"/>
        <v>1.9634954084936209E-3</v>
      </c>
      <c r="L16">
        <f t="shared" si="10"/>
        <v>200000</v>
      </c>
      <c r="M16">
        <f t="shared" si="0"/>
        <v>101855.48360000001</v>
      </c>
      <c r="N16">
        <v>0.21609999999999999</v>
      </c>
      <c r="O16">
        <f t="shared" ref="O16:O29" si="18">N16*M16/H16</f>
        <v>112.93468448414571</v>
      </c>
      <c r="P16">
        <f t="shared" si="11"/>
        <v>110.05882624690744</v>
      </c>
      <c r="Q16">
        <v>1.18</v>
      </c>
      <c r="R16">
        <f t="shared" si="2"/>
        <v>1201.89470648</v>
      </c>
      <c r="S16">
        <v>7.0000000000000007E-2</v>
      </c>
      <c r="T16">
        <f t="shared" si="3"/>
        <v>71.298838520000018</v>
      </c>
      <c r="U16">
        <v>1201.89470648</v>
      </c>
      <c r="V16">
        <v>71.298838520000018</v>
      </c>
      <c r="W16">
        <f t="shared" si="12"/>
        <v>1171.2887079091288</v>
      </c>
      <c r="X16">
        <f t="shared" si="13"/>
        <v>69.483228435287316</v>
      </c>
      <c r="Y16">
        <f t="shared" si="4"/>
        <v>6.0094735324000004E-3</v>
      </c>
      <c r="Z16">
        <f t="shared" si="5"/>
        <v>3.5649419260000008E-4</v>
      </c>
      <c r="AA16">
        <f t="shared" si="14"/>
        <v>6009.4735324000003</v>
      </c>
      <c r="AB16">
        <f t="shared" si="15"/>
        <v>356.49419260000008</v>
      </c>
      <c r="AC16">
        <v>31.405486442137342</v>
      </c>
      <c r="AD16">
        <f t="shared" si="6"/>
        <v>16.857142857142854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</row>
    <row r="17" spans="1:56" x14ac:dyDescent="0.2">
      <c r="A17">
        <v>16</v>
      </c>
      <c r="B17" t="s">
        <v>6</v>
      </c>
      <c r="C17" t="s">
        <v>7</v>
      </c>
      <c r="D17">
        <v>3</v>
      </c>
      <c r="E17" t="s">
        <v>15</v>
      </c>
      <c r="F17" t="s">
        <v>90</v>
      </c>
      <c r="G17" t="s">
        <v>92</v>
      </c>
      <c r="H17">
        <v>310.47000000000003</v>
      </c>
      <c r="I17">
        <v>0.82200358699999998</v>
      </c>
      <c r="J17">
        <f t="shared" si="8"/>
        <v>392.69908169872417</v>
      </c>
      <c r="K17">
        <f t="shared" si="9"/>
        <v>1.9634954084936209E-3</v>
      </c>
      <c r="L17">
        <f t="shared" si="10"/>
        <v>200000</v>
      </c>
      <c r="M17">
        <f t="shared" si="0"/>
        <v>164400.71739999999</v>
      </c>
      <c r="N17">
        <v>0.4083</v>
      </c>
      <c r="O17">
        <f t="shared" si="18"/>
        <v>216.20386161117011</v>
      </c>
      <c r="P17">
        <f t="shared" si="11"/>
        <v>207.94548244614677</v>
      </c>
      <c r="Q17">
        <v>1.08</v>
      </c>
      <c r="R17">
        <f t="shared" si="2"/>
        <v>1775.5277479200001</v>
      </c>
      <c r="S17">
        <v>0.08</v>
      </c>
      <c r="T17">
        <f t="shared" si="3"/>
        <v>131.52057392</v>
      </c>
      <c r="U17">
        <v>3551.0554958399998</v>
      </c>
      <c r="V17">
        <v>263.04114784000001</v>
      </c>
      <c r="W17">
        <f t="shared" si="12"/>
        <v>1707.7075838809603</v>
      </c>
      <c r="X17">
        <f t="shared" si="13"/>
        <v>126.49685806525632</v>
      </c>
      <c r="Y17">
        <f t="shared" si="4"/>
        <v>8.8776387395999995E-3</v>
      </c>
      <c r="Z17">
        <f t="shared" si="5"/>
        <v>6.5760286960000005E-4</v>
      </c>
      <c r="AA17">
        <f t="shared" si="14"/>
        <v>8877.6387395999991</v>
      </c>
      <c r="AB17">
        <f t="shared" si="15"/>
        <v>657.60286960000008</v>
      </c>
      <c r="AC17">
        <v>20.950697414049117</v>
      </c>
      <c r="AD17">
        <f t="shared" si="6"/>
        <v>13.5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</row>
    <row r="18" spans="1:56" x14ac:dyDescent="0.2">
      <c r="A18">
        <v>17</v>
      </c>
      <c r="B18" t="s">
        <v>6</v>
      </c>
      <c r="C18" t="s">
        <v>7</v>
      </c>
      <c r="D18">
        <v>3</v>
      </c>
      <c r="E18" t="s">
        <v>16</v>
      </c>
      <c r="F18" t="s">
        <v>89</v>
      </c>
      <c r="G18" t="s">
        <v>92</v>
      </c>
      <c r="H18">
        <v>194.9</v>
      </c>
      <c r="I18">
        <v>0.50927741800000004</v>
      </c>
      <c r="J18">
        <f t="shared" si="8"/>
        <v>392.69908169872417</v>
      </c>
      <c r="K18">
        <f t="shared" si="9"/>
        <v>1.9634954084936209E-3</v>
      </c>
      <c r="L18">
        <f t="shared" si="10"/>
        <v>200000</v>
      </c>
      <c r="M18">
        <f t="shared" si="0"/>
        <v>101855.48360000001</v>
      </c>
      <c r="N18">
        <v>7.6300000000000007E-2</v>
      </c>
      <c r="O18">
        <f t="shared" si="18"/>
        <v>39.874671106618784</v>
      </c>
      <c r="P18">
        <f t="shared" si="11"/>
        <v>38.859270905317167</v>
      </c>
      <c r="Q18">
        <v>7.93</v>
      </c>
      <c r="R18">
        <f t="shared" si="2"/>
        <v>8077.1398494800005</v>
      </c>
      <c r="S18">
        <v>0.32</v>
      </c>
      <c r="T18">
        <f t="shared" si="3"/>
        <v>325.93754752000001</v>
      </c>
      <c r="U18">
        <v>8077.1398494799996</v>
      </c>
      <c r="V18">
        <v>325.93754752000012</v>
      </c>
      <c r="W18">
        <f t="shared" si="12"/>
        <v>7871.4571641689754</v>
      </c>
      <c r="X18">
        <f t="shared" si="13"/>
        <v>317.63761570417051</v>
      </c>
      <c r="Y18">
        <f t="shared" si="4"/>
        <v>4.03856992474E-2</v>
      </c>
      <c r="Z18">
        <f t="shared" si="5"/>
        <v>1.6296877376000003E-3</v>
      </c>
      <c r="AA18">
        <f t="shared" si="14"/>
        <v>40385.6992474</v>
      </c>
      <c r="AB18">
        <f t="shared" si="15"/>
        <v>1629.6877376000002</v>
      </c>
      <c r="AC18">
        <v>25.904900842888921</v>
      </c>
      <c r="AD18">
        <f t="shared" si="6"/>
        <v>24.78125</v>
      </c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</row>
    <row r="19" spans="1:56" x14ac:dyDescent="0.2">
      <c r="A19">
        <v>18</v>
      </c>
      <c r="B19" t="s">
        <v>6</v>
      </c>
      <c r="C19" t="s">
        <v>7</v>
      </c>
      <c r="D19">
        <v>3</v>
      </c>
      <c r="E19" t="s">
        <v>16</v>
      </c>
      <c r="F19" t="s">
        <v>90</v>
      </c>
      <c r="G19" t="s">
        <v>92</v>
      </c>
      <c r="H19">
        <v>310.47000000000003</v>
      </c>
      <c r="I19">
        <v>0.82200358699999998</v>
      </c>
      <c r="J19">
        <f t="shared" si="8"/>
        <v>392.69908169872417</v>
      </c>
      <c r="K19">
        <f t="shared" si="9"/>
        <v>1.9634954084936209E-3</v>
      </c>
      <c r="L19">
        <f t="shared" si="10"/>
        <v>200000</v>
      </c>
      <c r="M19">
        <f t="shared" si="0"/>
        <v>164400.71739999999</v>
      </c>
      <c r="N19">
        <v>0.38169999999999998</v>
      </c>
      <c r="O19">
        <f t="shared" si="18"/>
        <v>202.11857452114535</v>
      </c>
      <c r="P19">
        <f t="shared" si="11"/>
        <v>194.39821369016462</v>
      </c>
      <c r="Q19">
        <v>1.42</v>
      </c>
      <c r="R19">
        <f t="shared" si="2"/>
        <v>2334.4901870799999</v>
      </c>
      <c r="S19">
        <v>0.09</v>
      </c>
      <c r="T19">
        <f t="shared" si="3"/>
        <v>147.96064565999998</v>
      </c>
      <c r="U19">
        <v>4668.980374159999</v>
      </c>
      <c r="V19">
        <v>295.92129132000002</v>
      </c>
      <c r="W19">
        <f t="shared" si="12"/>
        <v>2245.3192306582996</v>
      </c>
      <c r="X19">
        <f t="shared" si="13"/>
        <v>142.30896532341336</v>
      </c>
      <c r="Y19">
        <f t="shared" si="4"/>
        <v>1.16724509354E-2</v>
      </c>
      <c r="Z19">
        <f t="shared" si="5"/>
        <v>7.3980322829999992E-4</v>
      </c>
      <c r="AA19">
        <f t="shared" si="14"/>
        <v>11672.4509354</v>
      </c>
      <c r="AB19">
        <f t="shared" si="15"/>
        <v>739.80322829999989</v>
      </c>
      <c r="AC19">
        <v>21.969153842093334</v>
      </c>
      <c r="AD19">
        <f t="shared" si="6"/>
        <v>15.777777777777777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</row>
    <row r="20" spans="1:56" x14ac:dyDescent="0.2">
      <c r="A20">
        <v>19</v>
      </c>
      <c r="B20" t="s">
        <v>6</v>
      </c>
      <c r="C20" t="s">
        <v>7</v>
      </c>
      <c r="D20">
        <v>4</v>
      </c>
      <c r="E20" t="s">
        <v>17</v>
      </c>
      <c r="F20" t="s">
        <v>89</v>
      </c>
      <c r="G20" t="s">
        <v>92</v>
      </c>
      <c r="H20">
        <v>198.17</v>
      </c>
      <c r="I20">
        <v>0.52467694399999998</v>
      </c>
      <c r="J20">
        <f t="shared" si="8"/>
        <v>392.69908169872417</v>
      </c>
      <c r="K20">
        <f t="shared" si="9"/>
        <v>1.9634954084936209E-3</v>
      </c>
      <c r="L20">
        <f t="shared" si="10"/>
        <v>200000</v>
      </c>
      <c r="M20">
        <f t="shared" si="0"/>
        <v>104935.3888</v>
      </c>
      <c r="N20">
        <v>2.23E-2</v>
      </c>
      <c r="O20">
        <f t="shared" si="18"/>
        <v>11.808342182166829</v>
      </c>
      <c r="P20">
        <f t="shared" si="11"/>
        <v>11.35729673903765</v>
      </c>
      <c r="Q20">
        <v>3.36</v>
      </c>
      <c r="R20">
        <f t="shared" si="2"/>
        <v>3525.8290636799998</v>
      </c>
      <c r="S20">
        <v>0.17</v>
      </c>
      <c r="T20">
        <f t="shared" si="3"/>
        <v>178.39016096</v>
      </c>
      <c r="U20">
        <v>3525.8290636800002</v>
      </c>
      <c r="V20">
        <v>178.39016096</v>
      </c>
      <c r="W20">
        <f t="shared" si="12"/>
        <v>3391.1523149974464</v>
      </c>
      <c r="X20">
        <f t="shared" si="13"/>
        <v>171.57615879451367</v>
      </c>
      <c r="Y20">
        <f t="shared" si="4"/>
        <v>1.76291453184E-2</v>
      </c>
      <c r="Z20">
        <f t="shared" si="5"/>
        <v>8.9195080480000005E-4</v>
      </c>
      <c r="AA20">
        <f t="shared" si="14"/>
        <v>17629.145318399998</v>
      </c>
      <c r="AB20">
        <f t="shared" si="15"/>
        <v>891.95080480000001</v>
      </c>
      <c r="AC20">
        <v>20.364738975119764</v>
      </c>
      <c r="AD20">
        <f t="shared" si="6"/>
        <v>19.764705882352938</v>
      </c>
      <c r="AE20" s="11">
        <v>5.8272000000000004</v>
      </c>
      <c r="AF20" s="11">
        <v>0.56540000000000001</v>
      </c>
      <c r="AG20" s="11">
        <v>2.6842000000000001</v>
      </c>
      <c r="AH20" s="11">
        <v>2.88</v>
      </c>
      <c r="AI20" s="11">
        <f>AF20+AG20+AH20</f>
        <v>6.1295999999999999</v>
      </c>
      <c r="AJ20" s="11">
        <v>32.24</v>
      </c>
      <c r="AK20" s="11">
        <v>1.05</v>
      </c>
      <c r="AL20" s="11">
        <v>1</v>
      </c>
      <c r="AM20" s="11">
        <v>0.06</v>
      </c>
      <c r="AN20" s="11">
        <v>3.13</v>
      </c>
      <c r="AO20" s="11">
        <v>0.31</v>
      </c>
      <c r="AP20" s="12">
        <f>((AF20/AE20)*I20)*(AJ20/100)</f>
        <v>1.6412808166866119E-2</v>
      </c>
      <c r="AQ20" s="12">
        <f>((AF20/AE20)*I20)*(AK20/100)</f>
        <v>5.3453624612932456E-4</v>
      </c>
      <c r="AR20" s="12">
        <f>((AG20/AE20)*I20)*(AL20/100)</f>
        <v>2.4168345913728722E-3</v>
      </c>
      <c r="AS20" s="12">
        <f>((AG20/AE20)*I20)*(AM20/100)</f>
        <v>1.450100754823723E-4</v>
      </c>
      <c r="AT20" s="12">
        <f>((AH20/AE20)*I20)*(AN20/100)</f>
        <v>8.1165016542998347E-3</v>
      </c>
      <c r="AU20" s="12">
        <f>((AH20/AE20)*I20)*(AO20/100)</f>
        <v>8.038707708731465E-4</v>
      </c>
      <c r="AV20" s="12">
        <f t="shared" ref="AV20:BA21" si="19">AP20*100*100*20</f>
        <v>3282.5616333732241</v>
      </c>
      <c r="AW20" s="12">
        <f t="shared" si="19"/>
        <v>106.9072492258649</v>
      </c>
      <c r="AX20" s="12">
        <f t="shared" si="19"/>
        <v>483.36691827457446</v>
      </c>
      <c r="AY20" s="12">
        <f t="shared" si="19"/>
        <v>29.002015096474459</v>
      </c>
      <c r="AZ20" s="12">
        <f t="shared" si="19"/>
        <v>1623.3003308599668</v>
      </c>
      <c r="BA20" s="12">
        <f t="shared" si="19"/>
        <v>160.7741541746293</v>
      </c>
      <c r="BB20" s="12">
        <f>AV20+AX20</f>
        <v>3765.9285516477985</v>
      </c>
      <c r="BC20" s="12">
        <f>AZ20/AX20</f>
        <v>3.3583190522315767</v>
      </c>
      <c r="BD20" s="12">
        <f>AZ20/BB20</f>
        <v>0.43104915788954218</v>
      </c>
    </row>
    <row r="21" spans="1:56" x14ac:dyDescent="0.2">
      <c r="A21">
        <v>20</v>
      </c>
      <c r="B21" t="s">
        <v>6</v>
      </c>
      <c r="C21" t="s">
        <v>7</v>
      </c>
      <c r="D21">
        <v>4</v>
      </c>
      <c r="E21" t="s">
        <v>17</v>
      </c>
      <c r="F21" t="s">
        <v>90</v>
      </c>
      <c r="G21" t="s">
        <v>92</v>
      </c>
      <c r="H21">
        <v>295.17</v>
      </c>
      <c r="I21">
        <v>0.94394265099999997</v>
      </c>
      <c r="J21">
        <f t="shared" si="8"/>
        <v>392.69908169872417</v>
      </c>
      <c r="K21">
        <f t="shared" si="9"/>
        <v>1.9634954084936209E-3</v>
      </c>
      <c r="L21">
        <f t="shared" si="10"/>
        <v>200000</v>
      </c>
      <c r="M21">
        <f t="shared" si="0"/>
        <v>188788.53019999998</v>
      </c>
      <c r="N21">
        <v>0.30099999999999999</v>
      </c>
      <c r="O21">
        <f t="shared" si="18"/>
        <v>192.51735471152213</v>
      </c>
      <c r="P21">
        <f t="shared" si="11"/>
        <v>153.29804118611358</v>
      </c>
      <c r="Q21">
        <v>1.05</v>
      </c>
      <c r="R21">
        <f t="shared" si="2"/>
        <v>1982.2795670999999</v>
      </c>
      <c r="S21">
        <v>0.08</v>
      </c>
      <c r="T21">
        <f t="shared" si="3"/>
        <v>151.03082415999998</v>
      </c>
      <c r="U21">
        <v>3964.5591341999998</v>
      </c>
      <c r="V21">
        <v>302.06164832000002</v>
      </c>
      <c r="W21">
        <f t="shared" si="12"/>
        <v>1578.4528889618075</v>
      </c>
      <c r="X21">
        <f t="shared" si="13"/>
        <v>120.26307725423295</v>
      </c>
      <c r="Y21">
        <f t="shared" si="4"/>
        <v>9.9113978354999997E-3</v>
      </c>
      <c r="Z21">
        <f t="shared" si="5"/>
        <v>7.5515412080000006E-4</v>
      </c>
      <c r="AA21">
        <f t="shared" si="14"/>
        <v>9911.3978354999999</v>
      </c>
      <c r="AB21">
        <f t="shared" si="15"/>
        <v>755.1541208000001</v>
      </c>
      <c r="AC21">
        <v>17.908129563238688</v>
      </c>
      <c r="AD21">
        <f t="shared" si="6"/>
        <v>13.125</v>
      </c>
      <c r="AE21" s="11">
        <v>5.7892999999999999</v>
      </c>
      <c r="AF21" s="11">
        <v>0.19939999999999999</v>
      </c>
      <c r="AG21" s="11">
        <v>2.2566999999999999</v>
      </c>
      <c r="AH21" s="11">
        <v>3.42</v>
      </c>
      <c r="AI21" s="11">
        <f>AF21+AG21+AH21</f>
        <v>5.8760999999999992</v>
      </c>
      <c r="AJ21" s="11">
        <v>34.28</v>
      </c>
      <c r="AK21" s="11">
        <v>0.56000000000000005</v>
      </c>
      <c r="AL21" s="11">
        <v>0.84</v>
      </c>
      <c r="AM21" s="11">
        <v>0.05</v>
      </c>
      <c r="AN21" s="11">
        <v>2.75</v>
      </c>
      <c r="AO21" s="11">
        <v>0.23</v>
      </c>
      <c r="AP21" s="12">
        <f>((AF21/AE21)*I21)*(AJ21/100)</f>
        <v>1.1145139831776261E-2</v>
      </c>
      <c r="AQ21" s="12">
        <f>((AF21/AE21)*I21)*(AK21/100)</f>
        <v>1.8206762852376627E-4</v>
      </c>
      <c r="AR21" s="12">
        <f>((AG21/AE21)*I21)*(AL21/100)</f>
        <v>3.0908125673739964E-3</v>
      </c>
      <c r="AS21" s="12">
        <f>((AG21/AE21)*I21)*(AM21/100)</f>
        <v>1.8397693853416648E-4</v>
      </c>
      <c r="AT21" s="12">
        <f>((AH21/AE21)*I21)*(AN21/100)</f>
        <v>1.5334808409747294E-2</v>
      </c>
      <c r="AU21" s="12">
        <f>((AH21/AE21)*I21)*(AO21/100)</f>
        <v>1.2825476124515918E-3</v>
      </c>
      <c r="AV21" s="12">
        <f t="shared" si="19"/>
        <v>2229.0279663552524</v>
      </c>
      <c r="AW21" s="12">
        <f t="shared" si="19"/>
        <v>36.413525704753255</v>
      </c>
      <c r="AX21" s="12">
        <f t="shared" si="19"/>
        <v>618.1625134747992</v>
      </c>
      <c r="AY21" s="12">
        <f t="shared" si="19"/>
        <v>36.795387706833303</v>
      </c>
      <c r="AZ21" s="12">
        <f t="shared" si="19"/>
        <v>3066.9616819494586</v>
      </c>
      <c r="BA21" s="12">
        <f t="shared" si="19"/>
        <v>256.50952249031837</v>
      </c>
      <c r="BB21" s="12">
        <f>AV21+AX21</f>
        <v>2847.1904798300516</v>
      </c>
      <c r="BC21" s="12">
        <f>AZ21/AX21</f>
        <v>4.9614164804486975</v>
      </c>
      <c r="BD21" s="12">
        <f>AZ21/BB21</f>
        <v>1.0771887949458601</v>
      </c>
    </row>
    <row r="22" spans="1:56" x14ac:dyDescent="0.2">
      <c r="A22">
        <v>21</v>
      </c>
      <c r="B22" t="s">
        <v>6</v>
      </c>
      <c r="C22" t="s">
        <v>7</v>
      </c>
      <c r="D22">
        <v>4</v>
      </c>
      <c r="E22" t="s">
        <v>18</v>
      </c>
      <c r="F22" t="s">
        <v>89</v>
      </c>
      <c r="G22" t="s">
        <v>92</v>
      </c>
      <c r="H22">
        <v>198.17</v>
      </c>
      <c r="I22">
        <v>0.52467694399999998</v>
      </c>
      <c r="J22">
        <f t="shared" si="8"/>
        <v>392.69908169872417</v>
      </c>
      <c r="K22">
        <f t="shared" si="9"/>
        <v>1.9634954084936209E-3</v>
      </c>
      <c r="L22">
        <f t="shared" si="10"/>
        <v>200000</v>
      </c>
      <c r="M22">
        <f t="shared" si="0"/>
        <v>104935.3888</v>
      </c>
      <c r="N22">
        <v>0.65</v>
      </c>
      <c r="O22">
        <f t="shared" si="18"/>
        <v>344.18934611697034</v>
      </c>
      <c r="P22">
        <f t="shared" si="11"/>
        <v>331.04228163114232</v>
      </c>
      <c r="Q22">
        <v>3.44</v>
      </c>
      <c r="R22">
        <f t="shared" si="2"/>
        <v>3609.7773747199999</v>
      </c>
      <c r="S22">
        <v>0.17</v>
      </c>
      <c r="T22">
        <f t="shared" si="3"/>
        <v>178.39016096</v>
      </c>
      <c r="U22">
        <v>3609.777374719999</v>
      </c>
      <c r="V22">
        <v>178.39016096</v>
      </c>
      <c r="W22">
        <f t="shared" si="12"/>
        <v>3471.8940367831001</v>
      </c>
      <c r="X22">
        <f t="shared" si="13"/>
        <v>171.57615879451367</v>
      </c>
      <c r="Y22">
        <f t="shared" si="4"/>
        <v>1.8048886873599998E-2</v>
      </c>
      <c r="Z22">
        <f t="shared" si="5"/>
        <v>8.9195080480000005E-4</v>
      </c>
      <c r="AA22">
        <f t="shared" si="14"/>
        <v>18048.886873599997</v>
      </c>
      <c r="AB22">
        <f t="shared" si="15"/>
        <v>891.95080480000001</v>
      </c>
      <c r="AC22">
        <v>37.725047942688953</v>
      </c>
      <c r="AD22">
        <f t="shared" si="6"/>
        <v>20.235294117647058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</row>
    <row r="23" spans="1:56" x14ac:dyDescent="0.2">
      <c r="A23">
        <v>22</v>
      </c>
      <c r="B23" t="s">
        <v>6</v>
      </c>
      <c r="C23" t="s">
        <v>7</v>
      </c>
      <c r="D23">
        <v>4</v>
      </c>
      <c r="E23" t="s">
        <v>18</v>
      </c>
      <c r="F23" t="s">
        <v>90</v>
      </c>
      <c r="G23" t="s">
        <v>92</v>
      </c>
      <c r="H23">
        <v>295.17</v>
      </c>
      <c r="I23">
        <v>0.94394265099999997</v>
      </c>
      <c r="J23">
        <f t="shared" si="8"/>
        <v>392.69908169872417</v>
      </c>
      <c r="K23">
        <f t="shared" si="9"/>
        <v>1.9634954084936209E-3</v>
      </c>
      <c r="L23">
        <f t="shared" si="10"/>
        <v>200000</v>
      </c>
      <c r="M23">
        <f t="shared" si="0"/>
        <v>188788.53019999998</v>
      </c>
      <c r="N23">
        <v>0.48089999999999999</v>
      </c>
      <c r="O23">
        <f t="shared" si="18"/>
        <v>307.58005276003655</v>
      </c>
      <c r="P23">
        <f t="shared" si="11"/>
        <v>244.92035882525587</v>
      </c>
      <c r="Q23">
        <v>1.79</v>
      </c>
      <c r="R23">
        <f t="shared" si="2"/>
        <v>3379.3146905799995</v>
      </c>
      <c r="S23">
        <v>0.08</v>
      </c>
      <c r="T23">
        <f t="shared" si="3"/>
        <v>151.03082415999998</v>
      </c>
      <c r="U23">
        <v>6758.6293811599999</v>
      </c>
      <c r="V23">
        <v>302.06164832000002</v>
      </c>
      <c r="W23">
        <f t="shared" si="12"/>
        <v>2690.8863535634623</v>
      </c>
      <c r="X23">
        <f t="shared" si="13"/>
        <v>120.26307725423295</v>
      </c>
      <c r="Y23">
        <f t="shared" si="4"/>
        <v>1.68965734529E-2</v>
      </c>
      <c r="Z23">
        <f t="shared" si="5"/>
        <v>7.5515412080000006E-4</v>
      </c>
      <c r="AA23">
        <f t="shared" si="14"/>
        <v>16896.5734529</v>
      </c>
      <c r="AB23">
        <f t="shared" si="15"/>
        <v>755.1541208000001</v>
      </c>
      <c r="AC23">
        <v>30.016883744058092</v>
      </c>
      <c r="AD23">
        <f t="shared" si="6"/>
        <v>22.375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</row>
    <row r="24" spans="1:56" x14ac:dyDescent="0.2">
      <c r="A24">
        <v>23</v>
      </c>
      <c r="B24" t="s">
        <v>6</v>
      </c>
      <c r="C24" t="s">
        <v>7</v>
      </c>
      <c r="D24">
        <v>4</v>
      </c>
      <c r="E24" t="s">
        <v>19</v>
      </c>
      <c r="F24" t="s">
        <v>89</v>
      </c>
      <c r="G24" t="s">
        <v>92</v>
      </c>
      <c r="H24">
        <v>198.17</v>
      </c>
      <c r="I24">
        <v>0.52467694399999998</v>
      </c>
      <c r="J24">
        <f t="shared" si="8"/>
        <v>392.69908169872417</v>
      </c>
      <c r="K24">
        <f t="shared" si="9"/>
        <v>1.9634954084936209E-3</v>
      </c>
      <c r="L24">
        <f t="shared" si="10"/>
        <v>200000</v>
      </c>
      <c r="M24">
        <f t="shared" si="0"/>
        <v>104935.3888</v>
      </c>
      <c r="N24">
        <v>0.83099999999999996</v>
      </c>
      <c r="O24">
        <f t="shared" si="18"/>
        <v>440.03284095877279</v>
      </c>
      <c r="P24">
        <f t="shared" si="11"/>
        <v>423.22482466996803</v>
      </c>
      <c r="Q24">
        <v>1.77</v>
      </c>
      <c r="R24">
        <f t="shared" si="2"/>
        <v>1857.35638176</v>
      </c>
      <c r="S24">
        <v>0.11</v>
      </c>
      <c r="T24">
        <f t="shared" si="3"/>
        <v>115.42892768</v>
      </c>
      <c r="U24">
        <v>1857.35638176</v>
      </c>
      <c r="V24">
        <v>115.42892768</v>
      </c>
      <c r="W24">
        <f t="shared" si="12"/>
        <v>1786.4105945075835</v>
      </c>
      <c r="X24">
        <f t="shared" si="13"/>
        <v>111.01986745527356</v>
      </c>
      <c r="Y24">
        <f t="shared" si="4"/>
        <v>9.2867819087999997E-3</v>
      </c>
      <c r="Z24">
        <f t="shared" si="5"/>
        <v>5.7714463839999999E-4</v>
      </c>
      <c r="AA24">
        <f t="shared" si="14"/>
        <v>9286.7819087999997</v>
      </c>
      <c r="AB24">
        <f t="shared" si="15"/>
        <v>577.14463839999996</v>
      </c>
      <c r="AC24">
        <v>50.647238082009359</v>
      </c>
      <c r="AD24">
        <f t="shared" si="6"/>
        <v>16.09090909090909</v>
      </c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1:56" x14ac:dyDescent="0.2">
      <c r="A25">
        <v>24</v>
      </c>
      <c r="B25" t="s">
        <v>6</v>
      </c>
      <c r="C25" t="s">
        <v>7</v>
      </c>
      <c r="D25">
        <v>4</v>
      </c>
      <c r="E25" t="s">
        <v>19</v>
      </c>
      <c r="F25" t="s">
        <v>90</v>
      </c>
      <c r="G25" t="s">
        <v>92</v>
      </c>
      <c r="H25">
        <v>295.17</v>
      </c>
      <c r="I25">
        <v>0.94394265099999997</v>
      </c>
      <c r="J25">
        <f t="shared" si="8"/>
        <v>392.69908169872417</v>
      </c>
      <c r="K25">
        <f t="shared" si="9"/>
        <v>1.9634954084936209E-3</v>
      </c>
      <c r="L25">
        <f t="shared" si="10"/>
        <v>200000</v>
      </c>
      <c r="M25">
        <f t="shared" si="0"/>
        <v>188788.53019999998</v>
      </c>
      <c r="N25">
        <v>0.40579999999999999</v>
      </c>
      <c r="O25">
        <f t="shared" si="18"/>
        <v>259.54665296324146</v>
      </c>
      <c r="P25">
        <f t="shared" si="11"/>
        <v>206.67224290141161</v>
      </c>
      <c r="Q25">
        <v>1.58</v>
      </c>
      <c r="R25">
        <f t="shared" si="2"/>
        <v>2982.85877716</v>
      </c>
      <c r="S25">
        <v>0.08</v>
      </c>
      <c r="T25">
        <f t="shared" si="3"/>
        <v>151.03082415999998</v>
      </c>
      <c r="U25">
        <v>5965.7175543200001</v>
      </c>
      <c r="V25">
        <v>302.06164832000002</v>
      </c>
      <c r="W25">
        <f t="shared" si="12"/>
        <v>2375.1957757711011</v>
      </c>
      <c r="X25">
        <f t="shared" si="13"/>
        <v>120.26307725423295</v>
      </c>
      <c r="Y25">
        <f t="shared" si="4"/>
        <v>1.4914293885800001E-2</v>
      </c>
      <c r="Z25">
        <f t="shared" si="5"/>
        <v>7.5515412080000006E-4</v>
      </c>
      <c r="AA25">
        <f t="shared" si="14"/>
        <v>14914.293885800002</v>
      </c>
      <c r="AB25">
        <f t="shared" si="15"/>
        <v>755.1541208000001</v>
      </c>
      <c r="AC25">
        <v>26.198484972632091</v>
      </c>
      <c r="AD25">
        <f t="shared" si="6"/>
        <v>19.75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6" x14ac:dyDescent="0.2">
      <c r="A26">
        <v>25</v>
      </c>
      <c r="B26" t="s">
        <v>6</v>
      </c>
      <c r="C26" t="s">
        <v>7</v>
      </c>
      <c r="D26">
        <v>5</v>
      </c>
      <c r="E26" t="s">
        <v>20</v>
      </c>
      <c r="F26" t="s">
        <v>89</v>
      </c>
      <c r="G26" t="s">
        <v>92</v>
      </c>
      <c r="H26">
        <v>238.66</v>
      </c>
      <c r="I26">
        <v>0.67666748300000001</v>
      </c>
      <c r="J26">
        <f t="shared" si="8"/>
        <v>392.69908169872417</v>
      </c>
      <c r="K26">
        <f t="shared" si="9"/>
        <v>1.9634954084936209E-3</v>
      </c>
      <c r="L26">
        <f t="shared" si="10"/>
        <v>200000</v>
      </c>
      <c r="M26">
        <f t="shared" si="0"/>
        <v>135333.49660000001</v>
      </c>
      <c r="N26">
        <v>0.37080000000000002</v>
      </c>
      <c r="O26">
        <f t="shared" si="18"/>
        <v>210.26422751730499</v>
      </c>
      <c r="P26">
        <f t="shared" si="11"/>
        <v>188.84688927511934</v>
      </c>
      <c r="Q26">
        <v>4.1100000000000003</v>
      </c>
      <c r="R26">
        <f t="shared" si="2"/>
        <v>5562.2067102600013</v>
      </c>
      <c r="S26">
        <v>0.28000000000000003</v>
      </c>
      <c r="T26">
        <f t="shared" si="3"/>
        <v>378.93379048000008</v>
      </c>
      <c r="U26">
        <v>5562.2067102600004</v>
      </c>
      <c r="V26">
        <v>378.93379048000003</v>
      </c>
      <c r="W26">
        <f t="shared" si="12"/>
        <v>4995.6449898323608</v>
      </c>
      <c r="X26">
        <f t="shared" si="13"/>
        <v>340.33591171607321</v>
      </c>
      <c r="Y26">
        <f t="shared" si="4"/>
        <v>2.7811033551300005E-2</v>
      </c>
      <c r="Z26">
        <f t="shared" si="5"/>
        <v>1.8946689524000004E-3</v>
      </c>
      <c r="AA26">
        <f t="shared" si="14"/>
        <v>27811.033551300003</v>
      </c>
      <c r="AB26">
        <f t="shared" si="15"/>
        <v>1894.6689524000003</v>
      </c>
      <c r="AC26">
        <v>19.375539724128963</v>
      </c>
      <c r="AD26">
        <f t="shared" si="6"/>
        <v>14.678571428571429</v>
      </c>
      <c r="AE26" s="11">
        <v>5.8383000000000003</v>
      </c>
      <c r="AF26" s="11">
        <v>0.32169999999999999</v>
      </c>
      <c r="AG26" s="11">
        <v>2.5038</v>
      </c>
      <c r="AH26" s="11">
        <v>3.21</v>
      </c>
      <c r="AI26" s="11">
        <f>AF26+AG26+AH26</f>
        <v>6.0354999999999999</v>
      </c>
      <c r="AJ26" s="11">
        <v>27.94</v>
      </c>
      <c r="AK26" s="11">
        <v>0.75</v>
      </c>
      <c r="AL26" s="11">
        <v>2.17</v>
      </c>
      <c r="AM26" s="11">
        <v>0.17</v>
      </c>
      <c r="AN26" s="11">
        <v>4.34</v>
      </c>
      <c r="AO26" s="11">
        <v>0.48</v>
      </c>
      <c r="AP26" s="12">
        <f>((AF26/AE26)*I26)*(AJ26/100)</f>
        <v>1.0417568443063794E-2</v>
      </c>
      <c r="AQ26" s="12">
        <f>((AF26/AE26)*I26)*(AK26/100)</f>
        <v>2.7964124310300085E-4</v>
      </c>
      <c r="AR26" s="12">
        <f>((AG26/AE26)*I26)*(AL26/100)</f>
        <v>6.2972113377863731E-3</v>
      </c>
      <c r="AS26" s="12">
        <f>((AG26/AE26)*I26)*(AM26/100)</f>
        <v>4.9332992047174356E-4</v>
      </c>
      <c r="AT26" s="12">
        <f>((AH26/AE26)*I26)*(AN26/100)</f>
        <v>1.6146695737913774E-2</v>
      </c>
      <c r="AU26" s="12">
        <f>((AH26/AE26)*I26)*(AO26/100)</f>
        <v>1.7858096668660394E-3</v>
      </c>
      <c r="AV26" s="12">
        <f t="shared" ref="AV26:BA27" si="20">AP26*100*100*20</f>
        <v>2083.5136886127589</v>
      </c>
      <c r="AW26" s="12">
        <f t="shared" si="20"/>
        <v>55.928248620600165</v>
      </c>
      <c r="AX26" s="12">
        <f t="shared" si="20"/>
        <v>1259.4422675572746</v>
      </c>
      <c r="AY26" s="12">
        <f t="shared" si="20"/>
        <v>98.665984094348715</v>
      </c>
      <c r="AZ26" s="12">
        <f t="shared" si="20"/>
        <v>3229.3391475827548</v>
      </c>
      <c r="BA26" s="12">
        <f t="shared" si="20"/>
        <v>357.16193337320789</v>
      </c>
      <c r="BB26" s="12">
        <f>AV26+AX26</f>
        <v>3342.9559561700335</v>
      </c>
      <c r="BC26" s="12">
        <f>AZ26/AX26</f>
        <v>2.5641025641025634</v>
      </c>
      <c r="BD26" s="12">
        <f>AZ26/BB26</f>
        <v>0.96601307044516149</v>
      </c>
    </row>
    <row r="27" spans="1:56" x14ac:dyDescent="0.2">
      <c r="A27">
        <v>26</v>
      </c>
      <c r="B27" t="s">
        <v>6</v>
      </c>
      <c r="C27" t="s">
        <v>7</v>
      </c>
      <c r="D27">
        <v>5</v>
      </c>
      <c r="E27" t="s">
        <v>20</v>
      </c>
      <c r="F27" t="s">
        <v>90</v>
      </c>
      <c r="G27" t="s">
        <v>92</v>
      </c>
      <c r="H27">
        <v>259.8</v>
      </c>
      <c r="I27">
        <v>0.83083070999999997</v>
      </c>
      <c r="J27">
        <f t="shared" si="8"/>
        <v>392.69908169872417</v>
      </c>
      <c r="K27">
        <f t="shared" si="9"/>
        <v>1.9634954084936209E-3</v>
      </c>
      <c r="L27">
        <f t="shared" si="10"/>
        <v>200000</v>
      </c>
      <c r="M27">
        <f t="shared" si="0"/>
        <v>166166.14199999999</v>
      </c>
      <c r="N27">
        <v>1.0025999999999999</v>
      </c>
      <c r="O27">
        <f t="shared" si="18"/>
        <v>641.25548102078506</v>
      </c>
      <c r="P27">
        <f t="shared" si="11"/>
        <v>510.61998702058958</v>
      </c>
      <c r="Q27">
        <v>3.05</v>
      </c>
      <c r="R27">
        <f t="shared" si="2"/>
        <v>5068.0673309999993</v>
      </c>
      <c r="S27">
        <v>0.25</v>
      </c>
      <c r="T27">
        <f t="shared" si="3"/>
        <v>415.41535499999998</v>
      </c>
      <c r="U27">
        <v>10136.134662</v>
      </c>
      <c r="V27">
        <v>830.83071000000007</v>
      </c>
      <c r="W27">
        <f t="shared" si="12"/>
        <v>4035.6091314107821</v>
      </c>
      <c r="X27">
        <f t="shared" si="13"/>
        <v>330.78763372219527</v>
      </c>
      <c r="Y27">
        <f t="shared" si="4"/>
        <v>2.5340336655E-2</v>
      </c>
      <c r="Z27">
        <f t="shared" si="5"/>
        <v>2.0770767750000001E-3</v>
      </c>
      <c r="AA27">
        <f t="shared" si="14"/>
        <v>25340.336654999999</v>
      </c>
      <c r="AB27">
        <f t="shared" si="15"/>
        <v>2077.076775</v>
      </c>
      <c r="AC27">
        <v>17.992371348430293</v>
      </c>
      <c r="AD27">
        <f t="shared" si="6"/>
        <v>12.2</v>
      </c>
      <c r="AE27" s="11">
        <v>5.7168999999999999</v>
      </c>
      <c r="AF27" s="11">
        <v>0.21179999999999999</v>
      </c>
      <c r="AG27" s="11">
        <v>2.2669999999999999</v>
      </c>
      <c r="AH27" s="11">
        <v>3.35</v>
      </c>
      <c r="AI27" s="11">
        <f>AF27+AG27+AH27</f>
        <v>5.8287999999999993</v>
      </c>
      <c r="AJ27" s="11">
        <v>28.85</v>
      </c>
      <c r="AK27" s="11">
        <v>0.71</v>
      </c>
      <c r="AL27" s="11">
        <v>0.37</v>
      </c>
      <c r="AM27" s="11">
        <v>0.04</v>
      </c>
      <c r="AN27" s="11">
        <v>1.56</v>
      </c>
      <c r="AO27" s="11">
        <v>0.15</v>
      </c>
      <c r="AP27" s="12">
        <f>((AF27/AE27)*I27)*(AJ27/100)</f>
        <v>8.880219866195492E-3</v>
      </c>
      <c r="AQ27" s="12">
        <f>((AF27/AE27)*I27)*(AK27/100)</f>
        <v>2.1854267261694273E-4</v>
      </c>
      <c r="AR27" s="12">
        <f>((AG27/AE27)*I27)*(AL27/100)</f>
        <v>1.2190041652659657E-3</v>
      </c>
      <c r="AS27" s="12">
        <f>((AG27/AE27)*I27)*(AM27/100)</f>
        <v>1.3178423408280712E-4</v>
      </c>
      <c r="AT27" s="12">
        <f>((AH27/AE27)*I27)*(AN27/100)</f>
        <v>7.5948875972292685E-3</v>
      </c>
      <c r="AU27" s="12">
        <f>((AH27/AE27)*I27)*(AO27/100)</f>
        <v>7.302776535797373E-4</v>
      </c>
      <c r="AV27" s="12">
        <f t="shared" si="20"/>
        <v>1776.0439732390982</v>
      </c>
      <c r="AW27" s="12">
        <f t="shared" si="20"/>
        <v>43.70853452338855</v>
      </c>
      <c r="AX27" s="12">
        <f t="shared" si="20"/>
        <v>243.80083305319314</v>
      </c>
      <c r="AY27" s="12">
        <f t="shared" si="20"/>
        <v>26.356846816561422</v>
      </c>
      <c r="AZ27" s="12">
        <f t="shared" si="20"/>
        <v>1518.9775194458537</v>
      </c>
      <c r="BA27" s="12">
        <f t="shared" si="20"/>
        <v>146.05553071594744</v>
      </c>
      <c r="BB27" s="12">
        <f>AV27+AX27</f>
        <v>2019.8448062922914</v>
      </c>
      <c r="BC27" s="12">
        <f>AZ27/AX27</f>
        <v>6.2304033190667516</v>
      </c>
      <c r="BD27" s="12">
        <f>AZ27/BB27</f>
        <v>0.75202684617842008</v>
      </c>
    </row>
    <row r="28" spans="1:56" x14ac:dyDescent="0.2">
      <c r="A28">
        <v>27</v>
      </c>
      <c r="B28" t="s">
        <v>6</v>
      </c>
      <c r="C28" t="s">
        <v>7</v>
      </c>
      <c r="D28">
        <v>5</v>
      </c>
      <c r="E28" t="s">
        <v>21</v>
      </c>
      <c r="F28" t="s">
        <v>89</v>
      </c>
      <c r="G28" t="s">
        <v>92</v>
      </c>
      <c r="H28">
        <v>238.66</v>
      </c>
      <c r="I28">
        <v>0.67666748300000001</v>
      </c>
      <c r="J28">
        <f t="shared" si="8"/>
        <v>392.69908169872417</v>
      </c>
      <c r="K28">
        <f t="shared" si="9"/>
        <v>1.9634954084936209E-3</v>
      </c>
      <c r="L28">
        <f t="shared" si="10"/>
        <v>200000</v>
      </c>
      <c r="M28">
        <f t="shared" si="0"/>
        <v>135333.49660000001</v>
      </c>
      <c r="N28">
        <v>0.47920000000000001</v>
      </c>
      <c r="O28">
        <f t="shared" si="18"/>
        <v>271.73305778396048</v>
      </c>
      <c r="P28">
        <f t="shared" si="11"/>
        <v>244.05455593483597</v>
      </c>
      <c r="Q28">
        <v>3.88</v>
      </c>
      <c r="R28">
        <f t="shared" si="2"/>
        <v>5250.939668080001</v>
      </c>
      <c r="S28">
        <v>0.33</v>
      </c>
      <c r="T28">
        <f t="shared" si="3"/>
        <v>446.60053878000002</v>
      </c>
      <c r="U28">
        <v>5250.93966808</v>
      </c>
      <c r="V28">
        <v>446.60053878000008</v>
      </c>
      <c r="W28">
        <f t="shared" si="12"/>
        <v>4716.0833480655856</v>
      </c>
      <c r="X28">
        <f t="shared" si="13"/>
        <v>401.11018166537195</v>
      </c>
      <c r="Y28">
        <f t="shared" si="4"/>
        <v>2.62546983404E-2</v>
      </c>
      <c r="Z28">
        <f t="shared" si="5"/>
        <v>2.2330026938999999E-3</v>
      </c>
      <c r="AA28">
        <f t="shared" si="14"/>
        <v>26254.698340399998</v>
      </c>
      <c r="AB28">
        <f t="shared" si="15"/>
        <v>2233.0026938999999</v>
      </c>
      <c r="AC28">
        <v>16.907950197972664</v>
      </c>
      <c r="AD28">
        <f t="shared" si="6"/>
        <v>11.757575757575756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</row>
    <row r="29" spans="1:56" x14ac:dyDescent="0.2">
      <c r="A29">
        <v>28</v>
      </c>
      <c r="B29" t="s">
        <v>6</v>
      </c>
      <c r="C29" t="s">
        <v>7</v>
      </c>
      <c r="D29">
        <v>5</v>
      </c>
      <c r="E29" t="s">
        <v>21</v>
      </c>
      <c r="F29" t="s">
        <v>90</v>
      </c>
      <c r="G29" t="s">
        <v>92</v>
      </c>
      <c r="H29">
        <v>259.8</v>
      </c>
      <c r="I29">
        <v>0.83083070999999997</v>
      </c>
      <c r="J29">
        <f t="shared" si="8"/>
        <v>392.69908169872417</v>
      </c>
      <c r="K29">
        <f t="shared" si="9"/>
        <v>1.9634954084936209E-3</v>
      </c>
      <c r="L29">
        <f t="shared" si="10"/>
        <v>200000</v>
      </c>
      <c r="M29">
        <f t="shared" si="0"/>
        <v>166166.14199999999</v>
      </c>
      <c r="N29">
        <v>8.3400000000000002E-2</v>
      </c>
      <c r="O29">
        <f t="shared" si="18"/>
        <v>53.342017870669743</v>
      </c>
      <c r="P29">
        <f t="shared" si="11"/>
        <v>42.475271212365023</v>
      </c>
      <c r="Q29">
        <v>3.04</v>
      </c>
      <c r="R29">
        <f t="shared" si="2"/>
        <v>5051.4507168</v>
      </c>
      <c r="S29">
        <v>0.21</v>
      </c>
      <c r="T29">
        <f t="shared" si="3"/>
        <v>348.94889819999997</v>
      </c>
      <c r="U29">
        <v>10102.9014336</v>
      </c>
      <c r="V29">
        <v>697.89779639999995</v>
      </c>
      <c r="W29">
        <f t="shared" si="12"/>
        <v>4022.3776260618943</v>
      </c>
      <c r="X29">
        <f t="shared" si="13"/>
        <v>277.86161232664398</v>
      </c>
      <c r="Y29">
        <f t="shared" si="4"/>
        <v>2.5257253583999998E-2</v>
      </c>
      <c r="Z29">
        <f t="shared" si="5"/>
        <v>1.7447444909999999E-3</v>
      </c>
      <c r="AA29">
        <f t="shared" si="14"/>
        <v>25257.253583999998</v>
      </c>
      <c r="AB29">
        <f t="shared" si="15"/>
        <v>1744.7444909999999</v>
      </c>
      <c r="AC29">
        <v>15.049798821230381</v>
      </c>
      <c r="AD29">
        <f t="shared" si="6"/>
        <v>14.476190476190476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</row>
    <row r="30" spans="1:56" x14ac:dyDescent="0.2">
      <c r="A30">
        <v>29</v>
      </c>
      <c r="B30" t="s">
        <v>6</v>
      </c>
      <c r="C30" t="s">
        <v>7</v>
      </c>
      <c r="D30">
        <v>5</v>
      </c>
      <c r="E30" t="s">
        <v>22</v>
      </c>
      <c r="F30" t="s">
        <v>89</v>
      </c>
      <c r="G30" t="s">
        <v>92</v>
      </c>
      <c r="H30">
        <v>238.66</v>
      </c>
      <c r="I30">
        <v>0.67666748300000001</v>
      </c>
      <c r="J30">
        <f t="shared" si="8"/>
        <v>392.69908169872417</v>
      </c>
      <c r="K30">
        <f t="shared" si="9"/>
        <v>1.9634954084936209E-3</v>
      </c>
      <c r="L30">
        <f t="shared" si="10"/>
        <v>200000</v>
      </c>
      <c r="M30">
        <f t="shared" si="0"/>
        <v>135333.49660000001</v>
      </c>
      <c r="N30" t="s">
        <v>95</v>
      </c>
      <c r="O30" t="s">
        <v>95</v>
      </c>
      <c r="P30" s="5" t="s">
        <v>95</v>
      </c>
      <c r="Q30">
        <v>2.29</v>
      </c>
      <c r="R30">
        <f t="shared" si="2"/>
        <v>3099.1370721400003</v>
      </c>
      <c r="S30">
        <v>0.12</v>
      </c>
      <c r="T30">
        <f t="shared" si="3"/>
        <v>162.40019591999999</v>
      </c>
      <c r="U30">
        <v>3099.1370721399999</v>
      </c>
      <c r="V30">
        <v>162.40019591999999</v>
      </c>
      <c r="W30">
        <f t="shared" si="12"/>
        <v>2783.461563677884</v>
      </c>
      <c r="X30">
        <f t="shared" si="13"/>
        <v>145.85824787831706</v>
      </c>
      <c r="Y30">
        <f t="shared" si="4"/>
        <v>1.54956853607E-2</v>
      </c>
      <c r="Z30">
        <f t="shared" si="5"/>
        <v>8.1200097959999997E-4</v>
      </c>
      <c r="AA30">
        <f t="shared" si="14"/>
        <v>15495.685360699999</v>
      </c>
      <c r="AB30">
        <f t="shared" si="15"/>
        <v>812.00097959999994</v>
      </c>
      <c r="AC30">
        <v>19.083333333333336</v>
      </c>
      <c r="AD30">
        <f t="shared" si="6"/>
        <v>19.083333333333336</v>
      </c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</row>
    <row r="31" spans="1:56" x14ac:dyDescent="0.2">
      <c r="A31">
        <v>30</v>
      </c>
      <c r="B31" t="s">
        <v>6</v>
      </c>
      <c r="C31" t="s">
        <v>7</v>
      </c>
      <c r="D31">
        <v>5</v>
      </c>
      <c r="E31" t="s">
        <v>22</v>
      </c>
      <c r="F31" t="s">
        <v>90</v>
      </c>
      <c r="G31" t="s">
        <v>92</v>
      </c>
      <c r="H31">
        <v>259.8</v>
      </c>
      <c r="I31">
        <v>0.83083070999999997</v>
      </c>
      <c r="J31">
        <f t="shared" si="8"/>
        <v>392.69908169872417</v>
      </c>
      <c r="K31">
        <f t="shared" si="9"/>
        <v>1.9634954084936209E-3</v>
      </c>
      <c r="L31">
        <f t="shared" si="10"/>
        <v>200000</v>
      </c>
      <c r="M31">
        <f t="shared" si="0"/>
        <v>166166.14199999999</v>
      </c>
      <c r="N31">
        <v>0.10340000000000001</v>
      </c>
      <c r="O31">
        <f t="shared" ref="O31:O62" si="21">N31*M31/H31</f>
        <v>66.133868678983831</v>
      </c>
      <c r="P31">
        <f t="shared" si="11"/>
        <v>52.661187570246327</v>
      </c>
      <c r="Q31">
        <v>1.81</v>
      </c>
      <c r="R31">
        <f t="shared" si="2"/>
        <v>3007.6071701999999</v>
      </c>
      <c r="S31">
        <v>0.14000000000000001</v>
      </c>
      <c r="T31">
        <f t="shared" si="3"/>
        <v>232.63259880000001</v>
      </c>
      <c r="U31">
        <v>6015.2143403999999</v>
      </c>
      <c r="V31">
        <v>465.26519760000002</v>
      </c>
      <c r="W31">
        <f t="shared" si="12"/>
        <v>2394.902468148694</v>
      </c>
      <c r="X31">
        <f t="shared" si="13"/>
        <v>185.24107488442937</v>
      </c>
      <c r="Y31">
        <f t="shared" si="4"/>
        <v>1.5038035851000001E-2</v>
      </c>
      <c r="Z31">
        <f t="shared" si="5"/>
        <v>1.1631629940000001E-3</v>
      </c>
      <c r="AA31">
        <f t="shared" si="14"/>
        <v>15038.035851000001</v>
      </c>
      <c r="AB31">
        <f t="shared" si="15"/>
        <v>1163.162994</v>
      </c>
      <c r="AC31">
        <v>13.995317883195996</v>
      </c>
      <c r="AD31">
        <f t="shared" si="6"/>
        <v>12.928571428571427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</row>
    <row r="32" spans="1:56" x14ac:dyDescent="0.2">
      <c r="A32">
        <v>31</v>
      </c>
      <c r="B32" t="s">
        <v>6</v>
      </c>
      <c r="C32" t="s">
        <v>7</v>
      </c>
      <c r="D32">
        <v>6</v>
      </c>
      <c r="E32" t="s">
        <v>23</v>
      </c>
      <c r="F32" t="s">
        <v>89</v>
      </c>
      <c r="G32" t="s">
        <v>92</v>
      </c>
      <c r="H32">
        <v>245.44</v>
      </c>
      <c r="I32">
        <v>0.65854736999999997</v>
      </c>
      <c r="J32">
        <f t="shared" si="8"/>
        <v>392.69908169872417</v>
      </c>
      <c r="K32">
        <f t="shared" si="9"/>
        <v>1.9634954084936209E-3</v>
      </c>
      <c r="L32">
        <f t="shared" si="10"/>
        <v>200000</v>
      </c>
      <c r="M32">
        <f t="shared" si="0"/>
        <v>131709.47399999999</v>
      </c>
      <c r="N32">
        <v>0.48349999999999999</v>
      </c>
      <c r="O32">
        <f t="shared" si="21"/>
        <v>259.45864846398302</v>
      </c>
      <c r="P32">
        <f t="shared" si="11"/>
        <v>246.24452795178044</v>
      </c>
      <c r="Q32">
        <v>7.15</v>
      </c>
      <c r="R32">
        <f t="shared" si="2"/>
        <v>9417.2273910000004</v>
      </c>
      <c r="S32">
        <v>0.7</v>
      </c>
      <c r="T32">
        <f t="shared" si="3"/>
        <v>921.96631799999977</v>
      </c>
      <c r="U32">
        <v>9417.2273910000004</v>
      </c>
      <c r="V32">
        <v>921.96631799999989</v>
      </c>
      <c r="W32">
        <f t="shared" si="12"/>
        <v>8937.6119363902326</v>
      </c>
      <c r="X32">
        <f t="shared" si="13"/>
        <v>875.01095880743514</v>
      </c>
      <c r="Y32">
        <f t="shared" si="4"/>
        <v>4.7086136955000003E-2</v>
      </c>
      <c r="Z32">
        <f t="shared" si="5"/>
        <v>4.6098315899999994E-3</v>
      </c>
      <c r="AA32">
        <f t="shared" si="14"/>
        <v>47086.136955000002</v>
      </c>
      <c r="AB32">
        <f t="shared" si="15"/>
        <v>4609.8315899999998</v>
      </c>
      <c r="AC32">
        <v>12.731514331741565</v>
      </c>
      <c r="AD32">
        <f t="shared" si="6"/>
        <v>10.214285714285715</v>
      </c>
      <c r="AE32" s="11">
        <v>5.7942</v>
      </c>
      <c r="AF32" s="11">
        <v>0.23200000000000001</v>
      </c>
      <c r="AG32" s="11">
        <v>2.7412000000000001</v>
      </c>
      <c r="AH32" s="11">
        <v>2.99</v>
      </c>
      <c r="AI32" s="11">
        <f>AF32+AG32+AH32</f>
        <v>5.9632000000000005</v>
      </c>
      <c r="AJ32" s="11">
        <v>27.87</v>
      </c>
      <c r="AK32" s="11">
        <v>0.79</v>
      </c>
      <c r="AL32" s="11">
        <v>1.1399999999999999</v>
      </c>
      <c r="AM32" s="11">
        <v>0.05</v>
      </c>
      <c r="AN32" s="11">
        <v>1.64</v>
      </c>
      <c r="AO32" s="11">
        <v>0.11</v>
      </c>
      <c r="AP32" s="12">
        <f>((AF32/AE32)*I32)*(AJ32/100)</f>
        <v>7.3488349156756753E-3</v>
      </c>
      <c r="AQ32" s="12">
        <f>((AF32/AE32)*I32)*(AK32/100)</f>
        <v>2.083092781981982E-4</v>
      </c>
      <c r="AR32" s="12">
        <f>((AG32/AE32)*I32)*(AL32/100)</f>
        <v>3.5517232020540537E-3</v>
      </c>
      <c r="AS32" s="12">
        <f>((AG32/AE32)*I32)*(AM32/100)</f>
        <v>1.5577733342342343E-4</v>
      </c>
      <c r="AT32" s="12">
        <f>((AH32/AE32)*I32)*(AN32/100)</f>
        <v>5.5732506360360356E-3</v>
      </c>
      <c r="AU32" s="12">
        <f>((AH32/AE32)*I32)*(AO32/100)</f>
        <v>3.7381559144144145E-4</v>
      </c>
      <c r="AV32" s="12">
        <f t="shared" ref="AV32:BA32" si="22">AP32*100*100*20</f>
        <v>1469.766983135135</v>
      </c>
      <c r="AW32" s="12">
        <f t="shared" si="22"/>
        <v>41.66185563963964</v>
      </c>
      <c r="AX32" s="12">
        <f t="shared" si="22"/>
        <v>710.3446404108106</v>
      </c>
      <c r="AY32" s="12">
        <f t="shared" si="22"/>
        <v>31.155466684684686</v>
      </c>
      <c r="AZ32" s="12">
        <f t="shared" si="22"/>
        <v>1114.6501272072071</v>
      </c>
      <c r="BA32" s="12">
        <f t="shared" si="22"/>
        <v>74.763118288288283</v>
      </c>
      <c r="BB32" s="12">
        <f>AV32+AX32</f>
        <v>2180.1116235459458</v>
      </c>
      <c r="BC32" s="12">
        <f>AZ32/AX32</f>
        <v>1.5691680682810196</v>
      </c>
      <c r="BD32" s="12">
        <f>AZ32/BB32</f>
        <v>0.51128121843331653</v>
      </c>
    </row>
    <row r="33" spans="1:56" x14ac:dyDescent="0.2">
      <c r="A33">
        <v>32</v>
      </c>
      <c r="B33" t="s">
        <v>6</v>
      </c>
      <c r="C33" t="s">
        <v>7</v>
      </c>
      <c r="D33">
        <v>6</v>
      </c>
      <c r="E33" t="s">
        <v>23</v>
      </c>
      <c r="F33" t="s">
        <v>90</v>
      </c>
      <c r="G33" t="s">
        <v>92</v>
      </c>
      <c r="H33">
        <v>320.76</v>
      </c>
      <c r="I33">
        <v>0.90944382000000001</v>
      </c>
      <c r="J33">
        <f t="shared" si="8"/>
        <v>392.69908169872417</v>
      </c>
      <c r="K33">
        <f t="shared" si="9"/>
        <v>1.9634954084936209E-3</v>
      </c>
      <c r="L33">
        <f t="shared" si="10"/>
        <v>200000</v>
      </c>
      <c r="M33">
        <f t="shared" si="0"/>
        <v>181888.764</v>
      </c>
      <c r="N33">
        <v>0.38640000000000002</v>
      </c>
      <c r="O33">
        <f t="shared" si="21"/>
        <v>219.11029557800225</v>
      </c>
      <c r="P33">
        <f t="shared" si="11"/>
        <v>196.79190403426674</v>
      </c>
      <c r="Q33">
        <v>1.02</v>
      </c>
      <c r="R33">
        <f t="shared" si="2"/>
        <v>1855.2653928000002</v>
      </c>
      <c r="S33">
        <v>0.1</v>
      </c>
      <c r="T33">
        <f t="shared" si="3"/>
        <v>181.88876400000001</v>
      </c>
      <c r="U33">
        <v>3710.530785599999</v>
      </c>
      <c r="V33">
        <v>363.77752800000002</v>
      </c>
      <c r="W33">
        <f t="shared" si="12"/>
        <v>1666.2896107865431</v>
      </c>
      <c r="X33">
        <f t="shared" si="13"/>
        <v>163.3617265477003</v>
      </c>
      <c r="Y33">
        <f t="shared" si="4"/>
        <v>9.276326964000001E-3</v>
      </c>
      <c r="Z33">
        <f t="shared" si="5"/>
        <v>9.0944381999999999E-4</v>
      </c>
      <c r="AA33">
        <f t="shared" si="14"/>
        <v>9276.3269640000017</v>
      </c>
      <c r="AB33">
        <f t="shared" si="15"/>
        <v>909.44381999999996</v>
      </c>
      <c r="AC33">
        <v>15.298500751811142</v>
      </c>
      <c r="AD33">
        <f t="shared" si="6"/>
        <v>10.199999999999999</v>
      </c>
      <c r="AE33" s="11">
        <v>5.7858999999999998</v>
      </c>
      <c r="AF33" s="11">
        <v>7.6700000000000004E-2</v>
      </c>
      <c r="AG33" s="11">
        <v>2.3816000000000002</v>
      </c>
      <c r="AH33" s="11">
        <v>3.43</v>
      </c>
      <c r="AI33" s="11">
        <f>AF33+AG33+AH33</f>
        <v>5.888300000000001</v>
      </c>
      <c r="AJ33" s="12" t="s">
        <v>95</v>
      </c>
      <c r="AK33" s="12" t="s">
        <v>95</v>
      </c>
      <c r="AL33" s="11">
        <v>0.31</v>
      </c>
      <c r="AM33" s="11">
        <v>0.03</v>
      </c>
      <c r="AN33" s="11">
        <v>0.68</v>
      </c>
      <c r="AO33" s="11">
        <v>7.0000000000000007E-2</v>
      </c>
      <c r="AP33" s="16" t="s">
        <v>95</v>
      </c>
      <c r="AQ33" s="16" t="s">
        <v>95</v>
      </c>
      <c r="AR33" s="12">
        <f>((AG33/AE33)*I33)*(AL33/100)</f>
        <v>1.1604741432287458E-3</v>
      </c>
      <c r="AS33" s="12">
        <f>((AG33/AE33)*I33)*(AM33/100)</f>
        <v>1.1230394934471734E-4</v>
      </c>
      <c r="AT33" s="12">
        <f>((AH33/AE33)*I33)*(AN33/100)</f>
        <v>3.6661310526763342E-3</v>
      </c>
      <c r="AU33" s="12">
        <f>((AH33/AE33)*I33)*(AO33/100)</f>
        <v>3.7739584365785792E-4</v>
      </c>
      <c r="AV33" s="16" t="s">
        <v>95</v>
      </c>
      <c r="AW33" s="16" t="s">
        <v>95</v>
      </c>
      <c r="AX33" s="12">
        <f>AR33*100*100*20</f>
        <v>232.09482864574915</v>
      </c>
      <c r="AY33" s="12">
        <f>AS33*100*100*20</f>
        <v>22.460789868943468</v>
      </c>
      <c r="AZ33" s="12">
        <f>AT33*100*100*20</f>
        <v>733.22621053526689</v>
      </c>
      <c r="BA33" s="12">
        <f>AU33*100*100*20</f>
        <v>75.479168731571576</v>
      </c>
      <c r="BB33" s="12">
        <f>AX33</f>
        <v>232.09482864574915</v>
      </c>
      <c r="BC33" s="12">
        <f>AZ33/AX33</f>
        <v>3.1591665131600339</v>
      </c>
      <c r="BD33" s="12">
        <f>AZ33/BB33</f>
        <v>3.1591665131600339</v>
      </c>
    </row>
    <row r="34" spans="1:56" x14ac:dyDescent="0.2">
      <c r="A34">
        <v>33</v>
      </c>
      <c r="B34" t="s">
        <v>6</v>
      </c>
      <c r="C34" t="s">
        <v>7</v>
      </c>
      <c r="D34">
        <v>6</v>
      </c>
      <c r="E34" t="s">
        <v>24</v>
      </c>
      <c r="F34" t="s">
        <v>89</v>
      </c>
      <c r="G34" t="s">
        <v>92</v>
      </c>
      <c r="H34">
        <v>245.44</v>
      </c>
      <c r="I34">
        <v>0.65854736999999997</v>
      </c>
      <c r="J34">
        <f t="shared" si="8"/>
        <v>392.69908169872417</v>
      </c>
      <c r="K34">
        <f t="shared" si="9"/>
        <v>1.9634954084936209E-3</v>
      </c>
      <c r="L34">
        <f t="shared" si="10"/>
        <v>200000</v>
      </c>
      <c r="M34">
        <f t="shared" ref="M34:M65" si="23">I34*L34</f>
        <v>131709.47399999999</v>
      </c>
      <c r="N34">
        <v>0.73009999999999997</v>
      </c>
      <c r="O34">
        <f t="shared" si="21"/>
        <v>391.79060856991521</v>
      </c>
      <c r="P34">
        <f t="shared" si="11"/>
        <v>371.83687664445688</v>
      </c>
      <c r="Q34">
        <v>6.08</v>
      </c>
      <c r="R34">
        <f t="shared" ref="R34:R65" si="24">M34*(Q34/100)</f>
        <v>8007.9360191999995</v>
      </c>
      <c r="S34">
        <v>0.59</v>
      </c>
      <c r="T34">
        <f t="shared" ref="T34:T65" si="25">M34*(S34/100)</f>
        <v>777.08589659999996</v>
      </c>
      <c r="U34">
        <v>8007.9360191999986</v>
      </c>
      <c r="V34">
        <v>777.08589659999996</v>
      </c>
      <c r="W34">
        <f t="shared" si="12"/>
        <v>7600.095185070295</v>
      </c>
      <c r="X34">
        <f t="shared" si="13"/>
        <v>737.50923670912402</v>
      </c>
      <c r="Y34">
        <f t="shared" ref="Y34:Y65" si="26">(Q34/100)*I34</f>
        <v>4.0039680096000001E-2</v>
      </c>
      <c r="Z34">
        <f t="shared" ref="Z34:Z65" si="27">(S34/100)*I34</f>
        <v>3.8854294829999995E-3</v>
      </c>
      <c r="AA34">
        <f t="shared" si="14"/>
        <v>40039.680096000004</v>
      </c>
      <c r="AB34">
        <f t="shared" si="15"/>
        <v>3885.4294829999994</v>
      </c>
      <c r="AC34">
        <v>14.814856465122469</v>
      </c>
      <c r="AD34">
        <f t="shared" si="6"/>
        <v>10.305084745762713</v>
      </c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</row>
    <row r="35" spans="1:56" x14ac:dyDescent="0.2">
      <c r="A35">
        <v>34</v>
      </c>
      <c r="B35" t="s">
        <v>6</v>
      </c>
      <c r="C35" t="s">
        <v>7</v>
      </c>
      <c r="D35">
        <v>6</v>
      </c>
      <c r="E35" t="s">
        <v>24</v>
      </c>
      <c r="F35" t="s">
        <v>90</v>
      </c>
      <c r="G35" t="s">
        <v>92</v>
      </c>
      <c r="H35">
        <v>320.76</v>
      </c>
      <c r="I35">
        <v>0.90944382000000001</v>
      </c>
      <c r="J35">
        <f t="shared" si="8"/>
        <v>392.69908169872417</v>
      </c>
      <c r="K35">
        <f t="shared" si="9"/>
        <v>1.9634954084936209E-3</v>
      </c>
      <c r="L35">
        <f t="shared" si="10"/>
        <v>200000</v>
      </c>
      <c r="M35">
        <f t="shared" si="23"/>
        <v>181888.764</v>
      </c>
      <c r="N35">
        <v>0.76780000000000004</v>
      </c>
      <c r="O35">
        <f t="shared" si="21"/>
        <v>435.38531300411523</v>
      </c>
      <c r="P35">
        <f t="shared" si="11"/>
        <v>391.03732897906315</v>
      </c>
      <c r="Q35">
        <v>0.97</v>
      </c>
      <c r="R35">
        <f t="shared" si="24"/>
        <v>1764.3210108000001</v>
      </c>
      <c r="S35">
        <v>0.11</v>
      </c>
      <c r="T35">
        <f t="shared" si="25"/>
        <v>200.07764040000001</v>
      </c>
      <c r="U35">
        <v>3528.6420216000001</v>
      </c>
      <c r="V35">
        <v>400.15528080000001</v>
      </c>
      <c r="W35">
        <f t="shared" si="12"/>
        <v>1584.6087475126928</v>
      </c>
      <c r="X35">
        <f t="shared" si="13"/>
        <v>179.69789920247032</v>
      </c>
      <c r="Y35">
        <f t="shared" si="26"/>
        <v>8.8216050540000004E-3</v>
      </c>
      <c r="Z35">
        <f t="shared" si="27"/>
        <v>1.0003882020000001E-3</v>
      </c>
      <c r="AA35">
        <f t="shared" si="14"/>
        <v>8821.6050539999997</v>
      </c>
      <c r="AB35">
        <f t="shared" si="15"/>
        <v>1000.3882020000001</v>
      </c>
      <c r="AC35">
        <v>18.028206468192632</v>
      </c>
      <c r="AD35">
        <f t="shared" si="6"/>
        <v>8.8181818181818183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</row>
    <row r="36" spans="1:56" x14ac:dyDescent="0.2">
      <c r="A36">
        <v>35</v>
      </c>
      <c r="B36" t="s">
        <v>6</v>
      </c>
      <c r="C36" t="s">
        <v>7</v>
      </c>
      <c r="D36">
        <v>6</v>
      </c>
      <c r="E36" t="s">
        <v>25</v>
      </c>
      <c r="F36" t="s">
        <v>89</v>
      </c>
      <c r="G36" t="s">
        <v>92</v>
      </c>
      <c r="H36">
        <v>245.44</v>
      </c>
      <c r="I36">
        <v>0.65854736999999997</v>
      </c>
      <c r="J36">
        <f t="shared" si="8"/>
        <v>392.69908169872417</v>
      </c>
      <c r="K36">
        <f t="shared" si="9"/>
        <v>1.9634954084936209E-3</v>
      </c>
      <c r="L36">
        <f t="shared" si="10"/>
        <v>200000</v>
      </c>
      <c r="M36">
        <f t="shared" si="23"/>
        <v>131709.47399999999</v>
      </c>
      <c r="N36">
        <v>0.153</v>
      </c>
      <c r="O36">
        <f t="shared" si="21"/>
        <v>82.103770868644062</v>
      </c>
      <c r="P36">
        <f t="shared" si="11"/>
        <v>77.922260137791952</v>
      </c>
      <c r="Q36">
        <v>6.82</v>
      </c>
      <c r="R36">
        <f t="shared" si="24"/>
        <v>8982.586126799999</v>
      </c>
      <c r="S36">
        <v>0.63</v>
      </c>
      <c r="T36">
        <f t="shared" si="25"/>
        <v>829.76968619999991</v>
      </c>
      <c r="U36">
        <v>8982.586126799999</v>
      </c>
      <c r="V36">
        <v>829.76968619999991</v>
      </c>
      <c r="W36">
        <f t="shared" si="12"/>
        <v>8525.1067700952972</v>
      </c>
      <c r="X36">
        <f t="shared" si="13"/>
        <v>787.50986292669177</v>
      </c>
      <c r="Y36">
        <f t="shared" si="26"/>
        <v>4.4912930633999995E-2</v>
      </c>
      <c r="Z36">
        <f t="shared" si="27"/>
        <v>4.1488484309999997E-3</v>
      </c>
      <c r="AA36">
        <f t="shared" si="14"/>
        <v>44912.930633999997</v>
      </c>
      <c r="AB36">
        <f t="shared" si="15"/>
        <v>4148.8484309999994</v>
      </c>
      <c r="AC36">
        <v>11.710461696063824</v>
      </c>
      <c r="AD36">
        <f t="shared" si="6"/>
        <v>10.825396825396826</v>
      </c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</row>
    <row r="37" spans="1:56" x14ac:dyDescent="0.2">
      <c r="A37">
        <v>36</v>
      </c>
      <c r="B37" t="s">
        <v>6</v>
      </c>
      <c r="C37" t="s">
        <v>7</v>
      </c>
      <c r="D37">
        <v>6</v>
      </c>
      <c r="E37" t="s">
        <v>25</v>
      </c>
      <c r="F37" t="s">
        <v>90</v>
      </c>
      <c r="G37" t="s">
        <v>92</v>
      </c>
      <c r="H37">
        <v>320.76</v>
      </c>
      <c r="I37">
        <v>0.90944382000000001</v>
      </c>
      <c r="J37">
        <f t="shared" si="8"/>
        <v>392.69908169872417</v>
      </c>
      <c r="K37">
        <f t="shared" si="9"/>
        <v>1.9634954084936209E-3</v>
      </c>
      <c r="L37">
        <f t="shared" si="10"/>
        <v>200000</v>
      </c>
      <c r="M37">
        <f t="shared" si="23"/>
        <v>181888.764</v>
      </c>
      <c r="N37">
        <v>5.6099999999999997E-2</v>
      </c>
      <c r="O37">
        <f t="shared" si="21"/>
        <v>31.811820864197532</v>
      </c>
      <c r="P37">
        <f t="shared" si="11"/>
        <v>28.571495383857048</v>
      </c>
      <c r="Q37">
        <v>2.96</v>
      </c>
      <c r="R37">
        <f t="shared" si="24"/>
        <v>5383.9074144000006</v>
      </c>
      <c r="S37">
        <v>0.26</v>
      </c>
      <c r="T37">
        <f t="shared" si="25"/>
        <v>472.91078639999995</v>
      </c>
      <c r="U37">
        <v>10767.814828799999</v>
      </c>
      <c r="V37">
        <v>945.8215727999999</v>
      </c>
      <c r="W37">
        <f t="shared" si="12"/>
        <v>4835.5071058119293</v>
      </c>
      <c r="X37">
        <f t="shared" si="13"/>
        <v>424.74048902402075</v>
      </c>
      <c r="Y37">
        <f t="shared" si="26"/>
        <v>2.6919537072E-2</v>
      </c>
      <c r="Z37">
        <f t="shared" si="27"/>
        <v>2.3645539319999999E-3</v>
      </c>
      <c r="AA37">
        <f t="shared" si="14"/>
        <v>26919.537071999999</v>
      </c>
      <c r="AB37">
        <f t="shared" si="15"/>
        <v>2364.5539319999998</v>
      </c>
      <c r="AC37">
        <v>11.669320246234081</v>
      </c>
      <c r="AD37">
        <f t="shared" si="6"/>
        <v>11.384615384615383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6" x14ac:dyDescent="0.2">
      <c r="A38">
        <v>37</v>
      </c>
      <c r="B38" t="s">
        <v>26</v>
      </c>
      <c r="C38" t="s">
        <v>27</v>
      </c>
      <c r="D38">
        <v>7</v>
      </c>
      <c r="E38" t="s">
        <v>28</v>
      </c>
      <c r="F38" t="s">
        <v>89</v>
      </c>
      <c r="G38" t="s">
        <v>92</v>
      </c>
      <c r="H38">
        <v>390.96</v>
      </c>
      <c r="I38">
        <v>1.0632607460000001</v>
      </c>
      <c r="J38">
        <f t="shared" si="8"/>
        <v>392.69908169872417</v>
      </c>
      <c r="K38">
        <f t="shared" si="9"/>
        <v>1.9634954084936209E-3</v>
      </c>
      <c r="L38">
        <f t="shared" si="10"/>
        <v>200000</v>
      </c>
      <c r="M38">
        <f t="shared" si="23"/>
        <v>212652.14920000001</v>
      </c>
      <c r="N38">
        <v>1.04</v>
      </c>
      <c r="O38">
        <f t="shared" si="21"/>
        <v>565.67995490075714</v>
      </c>
      <c r="P38">
        <f t="shared" si="11"/>
        <v>529.66765060982766</v>
      </c>
      <c r="Q38">
        <v>4.5199999999999996</v>
      </c>
      <c r="R38">
        <f t="shared" si="24"/>
        <v>9611.8771438399999</v>
      </c>
      <c r="S38">
        <v>0.22</v>
      </c>
      <c r="T38">
        <f t="shared" si="25"/>
        <v>467.83472824000006</v>
      </c>
      <c r="U38">
        <v>9611.8771438399981</v>
      </c>
      <c r="V38">
        <v>467.83472824</v>
      </c>
      <c r="W38">
        <f t="shared" si="12"/>
        <v>8999.9660419666379</v>
      </c>
      <c r="X38">
        <f t="shared" si="13"/>
        <v>438.05144452050013</v>
      </c>
      <c r="Y38">
        <f t="shared" si="26"/>
        <v>4.8059385719200001E-2</v>
      </c>
      <c r="Z38">
        <f t="shared" si="27"/>
        <v>2.3391736412000002E-3</v>
      </c>
      <c r="AA38">
        <f t="shared" si="14"/>
        <v>48059.3857192</v>
      </c>
      <c r="AB38">
        <f t="shared" si="15"/>
        <v>2339.1736412</v>
      </c>
      <c r="AC38">
        <v>31.215889420565176</v>
      </c>
      <c r="AD38">
        <f t="shared" si="6"/>
        <v>20.545454545454543</v>
      </c>
      <c r="AE38" s="11">
        <v>5.9444999999999997</v>
      </c>
      <c r="AF38" s="11">
        <v>0.2732</v>
      </c>
      <c r="AG38" s="11">
        <v>1.4422999999999999</v>
      </c>
      <c r="AH38" s="11">
        <v>4.38</v>
      </c>
      <c r="AI38" s="11">
        <f>AF38+AG38+AH38</f>
        <v>6.0954999999999995</v>
      </c>
      <c r="AJ38" s="11">
        <v>28.33</v>
      </c>
      <c r="AK38" s="11">
        <v>0.55000000000000004</v>
      </c>
      <c r="AL38" s="11">
        <v>0.78</v>
      </c>
      <c r="AM38" s="11">
        <v>0.19</v>
      </c>
      <c r="AN38" s="11">
        <v>2.35</v>
      </c>
      <c r="AO38" s="11">
        <v>0.14000000000000001</v>
      </c>
      <c r="AP38" s="12">
        <f>((AF38/AE38)*I38)*(AJ38/100)</f>
        <v>1.3843685319905756E-2</v>
      </c>
      <c r="AQ38" s="12">
        <f>((AF38/AE38)*I38)*(AK38/100)</f>
        <v>2.6876198114889402E-4</v>
      </c>
      <c r="AR38" s="12">
        <f>((AG38/AE38)*I38)*(AL38/100)</f>
        <v>2.0122162666086703E-3</v>
      </c>
      <c r="AS38" s="12">
        <f>((AG38/AE38)*I38)*(AM38/100)</f>
        <v>4.9015524443031717E-4</v>
      </c>
      <c r="AT38" s="12">
        <f>((AH38/AE38)*I38)*(AN38/100)</f>
        <v>1.8410535551481203E-2</v>
      </c>
      <c r="AU38" s="12">
        <f>((AH38/AE38)*I38)*(AO38/100)</f>
        <v>1.0967978626414336E-3</v>
      </c>
      <c r="AV38" s="12">
        <f t="shared" ref="AV38:BA39" si="28">AP38*100*100*20</f>
        <v>2768.7370639811516</v>
      </c>
      <c r="AW38" s="12">
        <f t="shared" si="28"/>
        <v>53.752396229778803</v>
      </c>
      <c r="AX38" s="12">
        <f t="shared" si="28"/>
        <v>402.44325332173412</v>
      </c>
      <c r="AY38" s="12">
        <f t="shared" si="28"/>
        <v>98.031048886063431</v>
      </c>
      <c r="AZ38" s="12">
        <f t="shared" si="28"/>
        <v>3682.1071102962405</v>
      </c>
      <c r="BA38" s="12">
        <f t="shared" si="28"/>
        <v>219.35957252828672</v>
      </c>
      <c r="BB38" s="12">
        <f>AV38+AX38</f>
        <v>3171.1803173028857</v>
      </c>
      <c r="BC38" s="12">
        <f>AZ38/AX38</f>
        <v>9.1493821300380258</v>
      </c>
      <c r="BD38" s="12">
        <f>AZ38/BB38</f>
        <v>1.1611156546997941</v>
      </c>
    </row>
    <row r="39" spans="1:56" x14ac:dyDescent="0.2">
      <c r="A39">
        <v>38</v>
      </c>
      <c r="B39" t="s">
        <v>26</v>
      </c>
      <c r="C39" t="s">
        <v>27</v>
      </c>
      <c r="D39">
        <v>7</v>
      </c>
      <c r="E39" t="s">
        <v>28</v>
      </c>
      <c r="F39" t="s">
        <v>90</v>
      </c>
      <c r="G39" t="s">
        <v>92</v>
      </c>
      <c r="H39">
        <v>446.91</v>
      </c>
      <c r="I39">
        <v>1.199117524</v>
      </c>
      <c r="J39">
        <f t="shared" si="8"/>
        <v>392.69908169872417</v>
      </c>
      <c r="K39">
        <f t="shared" si="9"/>
        <v>1.9634954084936209E-3</v>
      </c>
      <c r="L39">
        <f t="shared" si="10"/>
        <v>200000</v>
      </c>
      <c r="M39">
        <f t="shared" si="23"/>
        <v>239823.5048</v>
      </c>
      <c r="N39">
        <v>0.89100000000000001</v>
      </c>
      <c r="O39">
        <f t="shared" si="21"/>
        <v>478.13372441162647</v>
      </c>
      <c r="P39">
        <f t="shared" si="11"/>
        <v>453.78257374361198</v>
      </c>
      <c r="Q39">
        <v>0.91</v>
      </c>
      <c r="R39">
        <f t="shared" si="24"/>
        <v>2182.39389368</v>
      </c>
      <c r="S39">
        <v>0.09</v>
      </c>
      <c r="T39">
        <f t="shared" si="25"/>
        <v>215.84115431999999</v>
      </c>
      <c r="U39">
        <v>4364.78778736</v>
      </c>
      <c r="V39">
        <v>431.68230863999997</v>
      </c>
      <c r="W39">
        <f t="shared" si="12"/>
        <v>2071.2454851728335</v>
      </c>
      <c r="X39">
        <f t="shared" si="13"/>
        <v>204.84845457753295</v>
      </c>
      <c r="Y39">
        <f t="shared" si="26"/>
        <v>1.0911969468400002E-2</v>
      </c>
      <c r="Z39">
        <f t="shared" si="27"/>
        <v>1.0792057716E-3</v>
      </c>
      <c r="AA39">
        <f t="shared" si="14"/>
        <v>10911.969468400002</v>
      </c>
      <c r="AB39">
        <f t="shared" si="15"/>
        <v>1079.2057715999999</v>
      </c>
      <c r="AC39">
        <v>20.018396896053073</v>
      </c>
      <c r="AD39">
        <f t="shared" si="6"/>
        <v>10.111111111111112</v>
      </c>
      <c r="AE39" s="11">
        <v>5.9325999999999999</v>
      </c>
      <c r="AF39" s="11">
        <v>9.2999999999999999E-2</v>
      </c>
      <c r="AG39" s="11">
        <v>1.6292</v>
      </c>
      <c r="AH39" s="11">
        <v>4.13</v>
      </c>
      <c r="AI39" s="11">
        <f>AF39+AG39+AH39</f>
        <v>5.8521999999999998</v>
      </c>
      <c r="AJ39" s="11">
        <v>25.4</v>
      </c>
      <c r="AK39" s="11">
        <v>0.43</v>
      </c>
      <c r="AL39" s="11">
        <v>0.24</v>
      </c>
      <c r="AM39" s="11">
        <v>0.03</v>
      </c>
      <c r="AN39" s="11">
        <v>0.64</v>
      </c>
      <c r="AO39" s="11">
        <v>0.05</v>
      </c>
      <c r="AP39" s="12">
        <f>((AF39/AE39)*I39)*(AJ39/100)</f>
        <v>4.774559915033544E-3</v>
      </c>
      <c r="AQ39" s="12">
        <f>((AF39/AE39)*I39)*(AK39/100)</f>
        <v>8.0829163915922212E-5</v>
      </c>
      <c r="AR39" s="12">
        <f>((AG39/AE39)*I39)*(AL39/100)</f>
        <v>7.9031882281662671E-4</v>
      </c>
      <c r="AS39" s="12">
        <f>((AG39/AE39)*I39)*(AM39/100)</f>
        <v>9.8789852852078339E-5</v>
      </c>
      <c r="AT39" s="12">
        <f>((AH39/AE39)*I39)*(AN39/100)</f>
        <v>5.3425267832599536E-3</v>
      </c>
      <c r="AU39" s="12">
        <f>((AH39/AE39)*I39)*(AO39/100)</f>
        <v>4.1738490494218388E-4</v>
      </c>
      <c r="AV39" s="12">
        <f t="shared" si="28"/>
        <v>954.91198300670874</v>
      </c>
      <c r="AW39" s="12">
        <f t="shared" si="28"/>
        <v>16.165832783184442</v>
      </c>
      <c r="AX39" s="12">
        <f t="shared" si="28"/>
        <v>158.06376456332535</v>
      </c>
      <c r="AY39" s="12">
        <f t="shared" si="28"/>
        <v>19.757970570415669</v>
      </c>
      <c r="AZ39" s="12">
        <f t="shared" si="28"/>
        <v>1068.5053566519905</v>
      </c>
      <c r="BA39" s="12">
        <f t="shared" si="28"/>
        <v>83.476980988436779</v>
      </c>
      <c r="BB39" s="12">
        <f>AV39+AX39</f>
        <v>1112.9757475700342</v>
      </c>
      <c r="BC39" s="12">
        <f>AZ39/AX39</f>
        <v>6.7599639905065869</v>
      </c>
      <c r="BD39" s="12">
        <f>AZ39/BB39</f>
        <v>0.96004370174719789</v>
      </c>
    </row>
    <row r="40" spans="1:56" x14ac:dyDescent="0.2">
      <c r="A40">
        <v>39</v>
      </c>
      <c r="B40" t="s">
        <v>26</v>
      </c>
      <c r="C40" t="s">
        <v>27</v>
      </c>
      <c r="D40">
        <v>7</v>
      </c>
      <c r="E40" t="s">
        <v>29</v>
      </c>
      <c r="F40" t="s">
        <v>89</v>
      </c>
      <c r="G40" t="s">
        <v>92</v>
      </c>
      <c r="H40">
        <v>390.96</v>
      </c>
      <c r="I40">
        <v>1.0632607460000001</v>
      </c>
      <c r="J40">
        <f t="shared" si="8"/>
        <v>392.69908169872417</v>
      </c>
      <c r="K40">
        <f t="shared" si="9"/>
        <v>1.9634954084936209E-3</v>
      </c>
      <c r="L40">
        <f t="shared" si="10"/>
        <v>200000</v>
      </c>
      <c r="M40">
        <f t="shared" si="23"/>
        <v>212652.14920000001</v>
      </c>
      <c r="N40">
        <v>0.42959999999999998</v>
      </c>
      <c r="O40">
        <f t="shared" si="21"/>
        <v>233.66933521669739</v>
      </c>
      <c r="P40">
        <f t="shared" si="11"/>
        <v>218.79348336729035</v>
      </c>
      <c r="Q40">
        <v>2.2799999999999998</v>
      </c>
      <c r="R40">
        <f t="shared" si="24"/>
        <v>4848.4690017599996</v>
      </c>
      <c r="S40">
        <v>0.11</v>
      </c>
      <c r="T40">
        <f t="shared" si="25"/>
        <v>233.91736412000003</v>
      </c>
      <c r="U40">
        <v>4848.4690017600014</v>
      </c>
      <c r="V40">
        <v>233.91736412</v>
      </c>
      <c r="W40">
        <f t="shared" si="12"/>
        <v>4539.8058795760908</v>
      </c>
      <c r="X40">
        <f t="shared" si="13"/>
        <v>219.02572226025006</v>
      </c>
      <c r="Y40">
        <f t="shared" si="26"/>
        <v>2.4242345008800001E-2</v>
      </c>
      <c r="Z40">
        <f t="shared" si="27"/>
        <v>1.1695868206000001E-3</v>
      </c>
      <c r="AA40">
        <f t="shared" si="14"/>
        <v>24242.345008800003</v>
      </c>
      <c r="AB40">
        <f t="shared" si="15"/>
        <v>1169.5868206</v>
      </c>
      <c r="AC40">
        <v>29.542693539479508</v>
      </c>
      <c r="AD40">
        <f t="shared" si="6"/>
        <v>20.727272727272727</v>
      </c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</row>
    <row r="41" spans="1:56" x14ac:dyDescent="0.2">
      <c r="A41">
        <v>40</v>
      </c>
      <c r="B41" t="s">
        <v>26</v>
      </c>
      <c r="C41" t="s">
        <v>27</v>
      </c>
      <c r="D41">
        <v>7</v>
      </c>
      <c r="E41" t="s">
        <v>29</v>
      </c>
      <c r="F41" t="s">
        <v>90</v>
      </c>
      <c r="G41" t="s">
        <v>92</v>
      </c>
      <c r="H41">
        <v>446.91</v>
      </c>
      <c r="I41">
        <v>1.199117524</v>
      </c>
      <c r="J41">
        <f t="shared" si="8"/>
        <v>392.69908169872417</v>
      </c>
      <c r="K41">
        <f t="shared" si="9"/>
        <v>1.9634954084936209E-3</v>
      </c>
      <c r="L41">
        <f t="shared" si="10"/>
        <v>200000</v>
      </c>
      <c r="M41">
        <f t="shared" si="23"/>
        <v>239823.5048</v>
      </c>
      <c r="N41">
        <v>0.20169999999999999</v>
      </c>
      <c r="O41">
        <f t="shared" si="21"/>
        <v>108.23745478543778</v>
      </c>
      <c r="P41">
        <f t="shared" si="11"/>
        <v>102.72496646923291</v>
      </c>
      <c r="Q41">
        <v>0.46</v>
      </c>
      <c r="R41">
        <f t="shared" si="24"/>
        <v>1103.1881220799999</v>
      </c>
      <c r="S41">
        <v>0.06</v>
      </c>
      <c r="T41">
        <f t="shared" si="25"/>
        <v>143.89410287999999</v>
      </c>
      <c r="U41">
        <v>2206.3762441600011</v>
      </c>
      <c r="V41">
        <v>287.78820575999998</v>
      </c>
      <c r="W41">
        <f t="shared" si="12"/>
        <v>1047.0032122851685</v>
      </c>
      <c r="X41">
        <f t="shared" si="13"/>
        <v>136.56563638502197</v>
      </c>
      <c r="Y41">
        <f t="shared" si="26"/>
        <v>5.5159406104000001E-3</v>
      </c>
      <c r="Z41">
        <f t="shared" si="27"/>
        <v>7.1947051439999997E-4</v>
      </c>
      <c r="AA41">
        <f t="shared" si="14"/>
        <v>5515.9406104</v>
      </c>
      <c r="AB41">
        <f t="shared" si="15"/>
        <v>719.47051439999996</v>
      </c>
      <c r="AC41">
        <v>11.030807311149484</v>
      </c>
      <c r="AD41">
        <f t="shared" si="6"/>
        <v>7.666666666666667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</row>
    <row r="42" spans="1:56" x14ac:dyDescent="0.2">
      <c r="A42">
        <v>41</v>
      </c>
      <c r="B42" t="s">
        <v>26</v>
      </c>
      <c r="C42" t="s">
        <v>27</v>
      </c>
      <c r="D42">
        <v>7</v>
      </c>
      <c r="E42" t="s">
        <v>30</v>
      </c>
      <c r="F42" t="s">
        <v>89</v>
      </c>
      <c r="G42" t="s">
        <v>92</v>
      </c>
      <c r="H42">
        <v>390.96</v>
      </c>
      <c r="I42">
        <v>1.0632607460000001</v>
      </c>
      <c r="J42">
        <f t="shared" si="8"/>
        <v>392.69908169872417</v>
      </c>
      <c r="K42">
        <f t="shared" si="9"/>
        <v>1.9634954084936209E-3</v>
      </c>
      <c r="L42">
        <f t="shared" si="10"/>
        <v>200000</v>
      </c>
      <c r="M42">
        <f t="shared" si="23"/>
        <v>212652.14920000001</v>
      </c>
      <c r="N42">
        <v>0.19650000000000001</v>
      </c>
      <c r="O42">
        <f t="shared" si="21"/>
        <v>106.88087609422959</v>
      </c>
      <c r="P42">
        <f t="shared" si="11"/>
        <v>100.07662821618379</v>
      </c>
      <c r="Q42">
        <v>3.27</v>
      </c>
      <c r="R42">
        <f t="shared" si="24"/>
        <v>6953.7252788400001</v>
      </c>
      <c r="S42">
        <v>0.17</v>
      </c>
      <c r="T42">
        <f t="shared" si="25"/>
        <v>361.50865364000003</v>
      </c>
      <c r="U42">
        <v>6953.725278840001</v>
      </c>
      <c r="V42">
        <v>361.50865364000009</v>
      </c>
      <c r="W42">
        <f t="shared" si="12"/>
        <v>6511.0373799183417</v>
      </c>
      <c r="X42">
        <f t="shared" si="13"/>
        <v>338.49429803856827</v>
      </c>
      <c r="Y42">
        <f t="shared" si="26"/>
        <v>3.4768626394200003E-2</v>
      </c>
      <c r="Z42">
        <f t="shared" si="27"/>
        <v>1.8075432682000002E-3</v>
      </c>
      <c r="AA42">
        <f t="shared" si="14"/>
        <v>34768.626394200001</v>
      </c>
      <c r="AB42">
        <f t="shared" si="15"/>
        <v>1807.5432682000003</v>
      </c>
      <c r="AC42">
        <v>21.844360292143847</v>
      </c>
      <c r="AD42">
        <f t="shared" si="6"/>
        <v>19.235294117647058</v>
      </c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</row>
    <row r="43" spans="1:56" x14ac:dyDescent="0.2">
      <c r="A43">
        <v>42</v>
      </c>
      <c r="B43" t="s">
        <v>26</v>
      </c>
      <c r="C43" t="s">
        <v>27</v>
      </c>
      <c r="D43">
        <v>7</v>
      </c>
      <c r="E43" t="s">
        <v>30</v>
      </c>
      <c r="F43" t="s">
        <v>90</v>
      </c>
      <c r="G43" t="s">
        <v>92</v>
      </c>
      <c r="H43">
        <v>446.91</v>
      </c>
      <c r="I43">
        <v>1.199117524</v>
      </c>
      <c r="J43">
        <f t="shared" si="8"/>
        <v>392.69908169872417</v>
      </c>
      <c r="K43">
        <f t="shared" si="9"/>
        <v>1.9634954084936209E-3</v>
      </c>
      <c r="L43">
        <f t="shared" si="10"/>
        <v>200000</v>
      </c>
      <c r="M43">
        <f t="shared" si="23"/>
        <v>239823.5048</v>
      </c>
      <c r="N43">
        <v>0.16189999999999999</v>
      </c>
      <c r="O43">
        <f t="shared" si="21"/>
        <v>86.87974184314514</v>
      </c>
      <c r="P43">
        <f t="shared" si="11"/>
        <v>82.454992917049125</v>
      </c>
      <c r="Q43">
        <v>0.9</v>
      </c>
      <c r="R43">
        <f t="shared" si="24"/>
        <v>2158.4115432000003</v>
      </c>
      <c r="S43">
        <v>0.08</v>
      </c>
      <c r="T43">
        <f t="shared" si="25"/>
        <v>191.85880384000001</v>
      </c>
      <c r="U43">
        <v>4316.8230864000006</v>
      </c>
      <c r="V43">
        <v>383.71760768000001</v>
      </c>
      <c r="W43">
        <f t="shared" si="12"/>
        <v>2048.4845457753299</v>
      </c>
      <c r="X43">
        <f t="shared" si="13"/>
        <v>182.0875151800293</v>
      </c>
      <c r="Y43">
        <f t="shared" si="26"/>
        <v>1.0792057716000001E-2</v>
      </c>
      <c r="Z43">
        <f t="shared" si="27"/>
        <v>9.5929401920000006E-4</v>
      </c>
      <c r="AA43">
        <f t="shared" si="14"/>
        <v>10792.057716000001</v>
      </c>
      <c r="AB43">
        <f t="shared" si="15"/>
        <v>959.29401920000009</v>
      </c>
      <c r="AC43">
        <v>13.275239354270337</v>
      </c>
      <c r="AD43">
        <f t="shared" si="6"/>
        <v>11.25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</row>
    <row r="44" spans="1:56" x14ac:dyDescent="0.2">
      <c r="A44">
        <v>43</v>
      </c>
      <c r="B44" t="s">
        <v>26</v>
      </c>
      <c r="C44" t="s">
        <v>27</v>
      </c>
      <c r="D44">
        <v>8</v>
      </c>
      <c r="E44" t="s">
        <v>31</v>
      </c>
      <c r="F44" t="s">
        <v>89</v>
      </c>
      <c r="G44" t="s">
        <v>92</v>
      </c>
      <c r="H44">
        <v>276.39999999999998</v>
      </c>
      <c r="I44">
        <v>0.74161706699999996</v>
      </c>
      <c r="J44">
        <f t="shared" si="8"/>
        <v>392.69908169872417</v>
      </c>
      <c r="K44">
        <f t="shared" si="9"/>
        <v>1.9634954084936209E-3</v>
      </c>
      <c r="L44">
        <f t="shared" si="10"/>
        <v>200000</v>
      </c>
      <c r="M44">
        <f t="shared" si="23"/>
        <v>148323.41339999999</v>
      </c>
      <c r="N44">
        <v>0.65080000000000005</v>
      </c>
      <c r="O44">
        <f t="shared" si="21"/>
        <v>349.23617019073805</v>
      </c>
      <c r="P44">
        <f t="shared" si="11"/>
        <v>331.44971828545755</v>
      </c>
      <c r="Q44">
        <v>2.44</v>
      </c>
      <c r="R44">
        <f t="shared" si="24"/>
        <v>3619.0912869599997</v>
      </c>
      <c r="S44">
        <v>0.15</v>
      </c>
      <c r="T44">
        <f t="shared" si="25"/>
        <v>222.48512009999999</v>
      </c>
      <c r="U44">
        <v>3619.0912869600002</v>
      </c>
      <c r="V44">
        <v>222.48512009999999</v>
      </c>
      <c r="W44">
        <f t="shared" si="12"/>
        <v>3434.7724832084373</v>
      </c>
      <c r="X44">
        <f t="shared" si="13"/>
        <v>211.15404609887935</v>
      </c>
      <c r="Y44">
        <f t="shared" si="26"/>
        <v>1.8095456434799997E-2</v>
      </c>
      <c r="Z44">
        <f t="shared" si="27"/>
        <v>1.1124256005E-3</v>
      </c>
      <c r="AA44">
        <f t="shared" si="14"/>
        <v>18095.456434799999</v>
      </c>
      <c r="AB44">
        <f t="shared" si="15"/>
        <v>1112.4256005</v>
      </c>
      <c r="AC44">
        <v>30.307335986915739</v>
      </c>
      <c r="AD44">
        <f t="shared" si="6"/>
        <v>16.266666666666666</v>
      </c>
      <c r="AE44" s="11">
        <v>5.7244999999999999</v>
      </c>
      <c r="AF44" s="11">
        <v>0.23130000000000001</v>
      </c>
      <c r="AG44" s="11">
        <v>2.3222</v>
      </c>
      <c r="AH44" s="11">
        <v>3.34</v>
      </c>
      <c r="AI44" s="11">
        <f>AF44+AG44+AH44</f>
        <v>5.8934999999999995</v>
      </c>
      <c r="AJ44" s="11">
        <v>31.41</v>
      </c>
      <c r="AK44" s="11">
        <v>0.7</v>
      </c>
      <c r="AL44" s="11">
        <v>1.46</v>
      </c>
      <c r="AM44" s="11">
        <v>7.0000000000000007E-2</v>
      </c>
      <c r="AN44" s="11">
        <v>3.37</v>
      </c>
      <c r="AO44" s="11">
        <v>0.2</v>
      </c>
      <c r="AP44" s="12">
        <f>((AF44/AE44)*I44)*(AJ44/100)</f>
        <v>9.4120824994757806E-3</v>
      </c>
      <c r="AQ44" s="12">
        <f>((AF44/AE44)*I44)*(AK44/100)</f>
        <v>2.0975669371642937E-4</v>
      </c>
      <c r="AR44" s="12">
        <f>((AG44/AE44)*I44)*(AL44/100)</f>
        <v>4.392326671956685E-3</v>
      </c>
      <c r="AS44" s="12">
        <f>((AG44/AE44)*I44)*(AM44/100)</f>
        <v>2.1059100481984108E-4</v>
      </c>
      <c r="AT44" s="12">
        <f>((AH44/AE44)*I44)*(AN44/100)</f>
        <v>1.4582048008976502E-2</v>
      </c>
      <c r="AU44" s="12">
        <f>((AH44/AE44)*I44)*(AO44/100)</f>
        <v>8.6540344266922869E-4</v>
      </c>
      <c r="AV44" s="12">
        <f t="shared" ref="AV44:BA45" si="29">AP44*100*100*20</f>
        <v>1882.416499895156</v>
      </c>
      <c r="AW44" s="12">
        <f t="shared" si="29"/>
        <v>41.951338743285874</v>
      </c>
      <c r="AX44" s="12">
        <f t="shared" si="29"/>
        <v>878.46533439133691</v>
      </c>
      <c r="AY44" s="12">
        <f t="shared" si="29"/>
        <v>42.118200963968214</v>
      </c>
      <c r="AZ44" s="12">
        <f t="shared" si="29"/>
        <v>2916.4096017953007</v>
      </c>
      <c r="BA44" s="12">
        <f t="shared" si="29"/>
        <v>173.08068853384572</v>
      </c>
      <c r="BB44" s="12">
        <f>AV44+AX44</f>
        <v>2760.8818342864929</v>
      </c>
      <c r="BC44" s="12">
        <f>AZ44/AX44</f>
        <v>3.3198915058110927</v>
      </c>
      <c r="BD44" s="12">
        <f>AZ44/BB44</f>
        <v>1.0563326418310841</v>
      </c>
    </row>
    <row r="45" spans="1:56" x14ac:dyDescent="0.2">
      <c r="A45">
        <v>44</v>
      </c>
      <c r="B45" t="s">
        <v>26</v>
      </c>
      <c r="C45" t="s">
        <v>27</v>
      </c>
      <c r="D45">
        <v>8</v>
      </c>
      <c r="E45" t="s">
        <v>31</v>
      </c>
      <c r="F45" t="s">
        <v>90</v>
      </c>
      <c r="G45" t="s">
        <v>92</v>
      </c>
      <c r="H45">
        <v>308.70999999999998</v>
      </c>
      <c r="I45">
        <v>1.092009207</v>
      </c>
      <c r="J45">
        <f t="shared" si="8"/>
        <v>392.69908169872417</v>
      </c>
      <c r="K45">
        <f t="shared" si="9"/>
        <v>1.9634954084936209E-3</v>
      </c>
      <c r="L45">
        <f t="shared" si="10"/>
        <v>200000</v>
      </c>
      <c r="M45">
        <f t="shared" si="23"/>
        <v>218401.8414</v>
      </c>
      <c r="N45">
        <v>0.42599999999999999</v>
      </c>
      <c r="O45">
        <f t="shared" si="21"/>
        <v>301.38053330439573</v>
      </c>
      <c r="P45">
        <f t="shared" si="11"/>
        <v>216.96001842287171</v>
      </c>
      <c r="Q45">
        <v>1.56</v>
      </c>
      <c r="R45">
        <f t="shared" si="24"/>
        <v>3407.0687258400003</v>
      </c>
      <c r="S45">
        <v>0.11</v>
      </c>
      <c r="T45">
        <f t="shared" si="25"/>
        <v>240.24202554000001</v>
      </c>
      <c r="U45">
        <v>6814.1374516800024</v>
      </c>
      <c r="V45">
        <v>480.48405108000009</v>
      </c>
      <c r="W45">
        <f t="shared" si="12"/>
        <v>2452.7055062963982</v>
      </c>
      <c r="X45">
        <f t="shared" si="13"/>
        <v>172.94718313628448</v>
      </c>
      <c r="Y45">
        <f t="shared" si="26"/>
        <v>1.7035343629200003E-2</v>
      </c>
      <c r="Z45">
        <f t="shared" si="27"/>
        <v>1.2012101277000002E-3</v>
      </c>
      <c r="AA45">
        <f t="shared" si="14"/>
        <v>17035.343629200004</v>
      </c>
      <c r="AB45">
        <f t="shared" si="15"/>
        <v>1201.2101277000002</v>
      </c>
      <c r="AC45">
        <v>18.437526556328919</v>
      </c>
      <c r="AD45">
        <f t="shared" si="6"/>
        <v>14.181818181818182</v>
      </c>
      <c r="AE45" s="11">
        <v>5.8022999999999998</v>
      </c>
      <c r="AF45" s="11">
        <v>0.12740000000000001</v>
      </c>
      <c r="AG45" s="11">
        <v>1.6271</v>
      </c>
      <c r="AH45" s="11">
        <v>4.12</v>
      </c>
      <c r="AI45" s="11">
        <f>AF45+AG45+AH45</f>
        <v>5.8745000000000003</v>
      </c>
      <c r="AJ45" s="11">
        <v>33.96</v>
      </c>
      <c r="AK45" s="11">
        <v>0.72</v>
      </c>
      <c r="AL45" s="11">
        <v>0.46</v>
      </c>
      <c r="AM45" s="11">
        <v>0.03</v>
      </c>
      <c r="AN45" s="11">
        <v>1.4</v>
      </c>
      <c r="AO45" s="11">
        <v>0.09</v>
      </c>
      <c r="AP45" s="12">
        <f>((AF45/AE45)*I45)*(AJ45/100)</f>
        <v>8.142602419940935E-3</v>
      </c>
      <c r="AQ45" s="12">
        <f>((AF45/AE45)*I45)*(AK45/100)</f>
        <v>1.7263468028143325E-4</v>
      </c>
      <c r="AR45" s="12">
        <f>((AG45/AE45)*I45)*(AL45/100)</f>
        <v>1.4086340987650794E-3</v>
      </c>
      <c r="AS45" s="12">
        <f>((AG45/AE45)*I45)*(AM45/100)</f>
        <v>9.1867441223809516E-5</v>
      </c>
      <c r="AT45" s="12">
        <f>((AH45/AE45)*I45)*(AN45/100)</f>
        <v>1.0855538503655447E-2</v>
      </c>
      <c r="AU45" s="12">
        <f>((AH45/AE45)*I45)*(AO45/100)</f>
        <v>6.9785604666356457E-4</v>
      </c>
      <c r="AV45" s="12">
        <f t="shared" si="29"/>
        <v>1628.5204839881872</v>
      </c>
      <c r="AW45" s="12">
        <f t="shared" si="29"/>
        <v>34.526936056286651</v>
      </c>
      <c r="AX45" s="12">
        <f t="shared" si="29"/>
        <v>281.72681975301589</v>
      </c>
      <c r="AY45" s="12">
        <f t="shared" si="29"/>
        <v>18.373488244761901</v>
      </c>
      <c r="AZ45" s="12">
        <f t="shared" si="29"/>
        <v>2171.1077007310896</v>
      </c>
      <c r="BA45" s="12">
        <f t="shared" si="29"/>
        <v>139.5712093327129</v>
      </c>
      <c r="BB45" s="12">
        <f>AV45+AX45</f>
        <v>1910.247303741203</v>
      </c>
      <c r="BC45" s="12">
        <f>AZ45/AX45</f>
        <v>7.7064288825410907</v>
      </c>
      <c r="BD45" s="12">
        <f>AZ45/BB45</f>
        <v>1.1365584427100059</v>
      </c>
    </row>
    <row r="46" spans="1:56" x14ac:dyDescent="0.2">
      <c r="A46">
        <v>45</v>
      </c>
      <c r="B46" t="s">
        <v>26</v>
      </c>
      <c r="C46" t="s">
        <v>27</v>
      </c>
      <c r="D46">
        <v>8</v>
      </c>
      <c r="E46" t="s">
        <v>32</v>
      </c>
      <c r="F46" t="s">
        <v>89</v>
      </c>
      <c r="G46" t="s">
        <v>92</v>
      </c>
      <c r="H46">
        <v>276.39999999999998</v>
      </c>
      <c r="I46">
        <v>0.74161706699999996</v>
      </c>
      <c r="J46">
        <f t="shared" si="8"/>
        <v>392.69908169872417</v>
      </c>
      <c r="K46">
        <f t="shared" si="9"/>
        <v>1.9634954084936209E-3</v>
      </c>
      <c r="L46">
        <f t="shared" si="10"/>
        <v>200000</v>
      </c>
      <c r="M46">
        <f t="shared" si="23"/>
        <v>148323.41339999999</v>
      </c>
      <c r="N46">
        <v>0.32090000000000002</v>
      </c>
      <c r="O46">
        <f t="shared" si="21"/>
        <v>172.20326830701885</v>
      </c>
      <c r="P46">
        <f t="shared" si="11"/>
        <v>163.43302796220547</v>
      </c>
      <c r="Q46">
        <v>3.25</v>
      </c>
      <c r="R46">
        <f t="shared" si="24"/>
        <v>4820.5109354999995</v>
      </c>
      <c r="S46">
        <v>0.17</v>
      </c>
      <c r="T46">
        <f t="shared" si="25"/>
        <v>252.14980278000002</v>
      </c>
      <c r="U46">
        <v>4820.5109355000004</v>
      </c>
      <c r="V46">
        <v>252.14980277999999</v>
      </c>
      <c r="W46">
        <f t="shared" si="12"/>
        <v>4575.0043321423864</v>
      </c>
      <c r="X46">
        <f t="shared" si="13"/>
        <v>239.30791891206329</v>
      </c>
      <c r="Y46">
        <f t="shared" si="26"/>
        <v>2.4102554677499999E-2</v>
      </c>
      <c r="Z46">
        <f t="shared" si="27"/>
        <v>1.2607490139000001E-3</v>
      </c>
      <c r="AA46">
        <f t="shared" si="14"/>
        <v>24102.5546775</v>
      </c>
      <c r="AB46">
        <f t="shared" si="15"/>
        <v>1260.7490139000001</v>
      </c>
      <c r="AC46">
        <v>25.226396631568285</v>
      </c>
      <c r="AD46">
        <f t="shared" si="6"/>
        <v>19.117647058823529</v>
      </c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</row>
    <row r="47" spans="1:56" x14ac:dyDescent="0.2">
      <c r="A47">
        <v>46</v>
      </c>
      <c r="B47" t="s">
        <v>26</v>
      </c>
      <c r="C47" t="s">
        <v>27</v>
      </c>
      <c r="D47">
        <v>8</v>
      </c>
      <c r="E47" t="s">
        <v>32</v>
      </c>
      <c r="F47" t="s">
        <v>90</v>
      </c>
      <c r="G47" t="s">
        <v>92</v>
      </c>
      <c r="H47">
        <v>308.70999999999998</v>
      </c>
      <c r="I47">
        <v>1.092009207</v>
      </c>
      <c r="J47">
        <f t="shared" si="8"/>
        <v>392.69908169872417</v>
      </c>
      <c r="K47">
        <f t="shared" si="9"/>
        <v>1.9634954084936209E-3</v>
      </c>
      <c r="L47">
        <f t="shared" si="10"/>
        <v>200000</v>
      </c>
      <c r="M47">
        <f t="shared" si="23"/>
        <v>218401.8414</v>
      </c>
      <c r="N47">
        <v>0.26569999999999999</v>
      </c>
      <c r="O47">
        <f t="shared" si="21"/>
        <v>187.97372699290597</v>
      </c>
      <c r="P47">
        <f t="shared" si="11"/>
        <v>135.31989881445307</v>
      </c>
      <c r="Q47">
        <v>0.84</v>
      </c>
      <c r="R47">
        <f t="shared" si="24"/>
        <v>1834.57546776</v>
      </c>
      <c r="S47">
        <v>7.0000000000000007E-2</v>
      </c>
      <c r="T47">
        <f t="shared" si="25"/>
        <v>152.88128898000002</v>
      </c>
      <c r="U47">
        <v>3669.1509355200001</v>
      </c>
      <c r="V47">
        <v>305.76257795999999</v>
      </c>
      <c r="W47">
        <f t="shared" si="12"/>
        <v>1320.6875803134451</v>
      </c>
      <c r="X47">
        <f t="shared" si="13"/>
        <v>110.05729835945378</v>
      </c>
      <c r="Y47">
        <f t="shared" si="26"/>
        <v>9.1728773387999996E-3</v>
      </c>
      <c r="Z47">
        <f t="shared" si="27"/>
        <v>7.6440644490000011E-4</v>
      </c>
      <c r="AA47">
        <f t="shared" si="14"/>
        <v>9172.8773387999991</v>
      </c>
      <c r="AB47">
        <f t="shared" si="15"/>
        <v>764.40644490000011</v>
      </c>
      <c r="AC47">
        <v>16.17107943198609</v>
      </c>
      <c r="AD47">
        <f t="shared" si="6"/>
        <v>11.999999999999998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</row>
    <row r="48" spans="1:56" x14ac:dyDescent="0.2">
      <c r="A48">
        <v>47</v>
      </c>
      <c r="B48" t="s">
        <v>26</v>
      </c>
      <c r="C48" t="s">
        <v>27</v>
      </c>
      <c r="D48">
        <v>8</v>
      </c>
      <c r="E48" t="s">
        <v>33</v>
      </c>
      <c r="F48" t="s">
        <v>89</v>
      </c>
      <c r="G48" t="s">
        <v>92</v>
      </c>
      <c r="H48">
        <v>276.39999999999998</v>
      </c>
      <c r="I48">
        <v>0.74161706699999996</v>
      </c>
      <c r="J48">
        <f t="shared" si="8"/>
        <v>392.69908169872417</v>
      </c>
      <c r="K48">
        <f t="shared" si="9"/>
        <v>1.9634954084936209E-3</v>
      </c>
      <c r="L48">
        <f t="shared" si="10"/>
        <v>200000</v>
      </c>
      <c r="M48">
        <f t="shared" si="23"/>
        <v>148323.41339999999</v>
      </c>
      <c r="N48">
        <v>0.66669999999999996</v>
      </c>
      <c r="O48">
        <f t="shared" si="21"/>
        <v>357.76852284290879</v>
      </c>
      <c r="P48">
        <f t="shared" si="11"/>
        <v>339.54752178997313</v>
      </c>
      <c r="Q48">
        <v>1.8</v>
      </c>
      <c r="R48">
        <f t="shared" si="24"/>
        <v>2669.8214412000002</v>
      </c>
      <c r="S48">
        <v>0.12</v>
      </c>
      <c r="T48">
        <f t="shared" si="25"/>
        <v>177.98809607999996</v>
      </c>
      <c r="U48">
        <v>2669.8214412000002</v>
      </c>
      <c r="V48">
        <v>177.98809607999999</v>
      </c>
      <c r="W48">
        <f t="shared" si="12"/>
        <v>2533.8485531865526</v>
      </c>
      <c r="X48">
        <f t="shared" si="13"/>
        <v>168.92323687910346</v>
      </c>
      <c r="Y48">
        <f t="shared" si="26"/>
        <v>1.3349107206000001E-2</v>
      </c>
      <c r="Z48">
        <f t="shared" si="27"/>
        <v>8.8994048039999993E-4</v>
      </c>
      <c r="AA48">
        <f t="shared" si="14"/>
        <v>13349.107206000001</v>
      </c>
      <c r="AB48">
        <f t="shared" si="15"/>
        <v>889.94048039999996</v>
      </c>
      <c r="AC48">
        <v>32.979629371177886</v>
      </c>
      <c r="AD48">
        <f t="shared" si="6"/>
        <v>15.000000000000002</v>
      </c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</row>
    <row r="49" spans="1:56" x14ac:dyDescent="0.2">
      <c r="A49">
        <v>48</v>
      </c>
      <c r="B49" t="s">
        <v>26</v>
      </c>
      <c r="C49" t="s">
        <v>27</v>
      </c>
      <c r="D49">
        <v>8</v>
      </c>
      <c r="E49" t="s">
        <v>33</v>
      </c>
      <c r="F49" t="s">
        <v>90</v>
      </c>
      <c r="G49" t="s">
        <v>92</v>
      </c>
      <c r="H49">
        <v>308.70999999999998</v>
      </c>
      <c r="I49">
        <v>1.092009207</v>
      </c>
      <c r="J49">
        <f t="shared" si="8"/>
        <v>392.69908169872417</v>
      </c>
      <c r="K49">
        <f t="shared" si="9"/>
        <v>1.9634954084936209E-3</v>
      </c>
      <c r="L49">
        <f t="shared" si="10"/>
        <v>200000</v>
      </c>
      <c r="M49">
        <f t="shared" si="23"/>
        <v>218401.8414</v>
      </c>
      <c r="N49">
        <v>0.1033</v>
      </c>
      <c r="O49">
        <f t="shared" si="21"/>
        <v>73.081241996112865</v>
      </c>
      <c r="P49">
        <f t="shared" si="11"/>
        <v>52.610257988456922</v>
      </c>
      <c r="Q49">
        <v>0.54</v>
      </c>
      <c r="R49">
        <f t="shared" si="24"/>
        <v>1179.3699435600001</v>
      </c>
      <c r="S49">
        <v>0.05</v>
      </c>
      <c r="T49">
        <f t="shared" si="25"/>
        <v>109.20092070000001</v>
      </c>
      <c r="U49">
        <v>2358.7398871199998</v>
      </c>
      <c r="V49">
        <v>218.4018414</v>
      </c>
      <c r="W49">
        <f t="shared" si="12"/>
        <v>849.01344448721477</v>
      </c>
      <c r="X49">
        <f t="shared" si="13"/>
        <v>78.612355971038397</v>
      </c>
      <c r="Y49">
        <f t="shared" si="26"/>
        <v>5.8968497178000009E-3</v>
      </c>
      <c r="Z49">
        <f t="shared" si="27"/>
        <v>5.4600460350000008E-4</v>
      </c>
      <c r="AA49">
        <f t="shared" si="14"/>
        <v>5896.8497178000007</v>
      </c>
      <c r="AB49">
        <f t="shared" si="15"/>
        <v>546.00460350000003</v>
      </c>
      <c r="AC49">
        <v>13.070310528618098</v>
      </c>
      <c r="AD49">
        <f t="shared" si="6"/>
        <v>10.8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</row>
    <row r="50" spans="1:56" x14ac:dyDescent="0.2">
      <c r="A50">
        <v>49</v>
      </c>
      <c r="B50" t="s">
        <v>26</v>
      </c>
      <c r="C50" t="s">
        <v>34</v>
      </c>
      <c r="D50">
        <v>9</v>
      </c>
      <c r="E50" t="s">
        <v>35</v>
      </c>
      <c r="F50" t="s">
        <v>89</v>
      </c>
      <c r="G50" t="s">
        <v>92</v>
      </c>
      <c r="H50">
        <v>337.94</v>
      </c>
      <c r="I50">
        <v>0.90673687300000005</v>
      </c>
      <c r="J50">
        <f t="shared" si="8"/>
        <v>392.69908169872417</v>
      </c>
      <c r="K50">
        <f t="shared" si="9"/>
        <v>1.9634954084936209E-3</v>
      </c>
      <c r="L50">
        <f t="shared" si="10"/>
        <v>200000</v>
      </c>
      <c r="M50">
        <f t="shared" si="23"/>
        <v>181347.37460000001</v>
      </c>
      <c r="N50">
        <v>1.4169</v>
      </c>
      <c r="O50">
        <f t="shared" si="21"/>
        <v>760.34531298674335</v>
      </c>
      <c r="P50">
        <f t="shared" si="11"/>
        <v>721.6212443741008</v>
      </c>
      <c r="Q50">
        <v>6.84</v>
      </c>
      <c r="R50">
        <f t="shared" si="24"/>
        <v>12404.160422640001</v>
      </c>
      <c r="S50">
        <v>0.35</v>
      </c>
      <c r="T50">
        <f t="shared" si="25"/>
        <v>634.7158111</v>
      </c>
      <c r="U50">
        <v>12404.16042264</v>
      </c>
      <c r="V50">
        <v>634.7158111</v>
      </c>
      <c r="W50">
        <f t="shared" si="12"/>
        <v>11772.421723019832</v>
      </c>
      <c r="X50">
        <f t="shared" si="13"/>
        <v>602.39000044692114</v>
      </c>
      <c r="Y50">
        <f t="shared" si="26"/>
        <v>6.2020802113200005E-2</v>
      </c>
      <c r="Z50">
        <f t="shared" si="27"/>
        <v>3.1735790554999997E-3</v>
      </c>
      <c r="AA50">
        <f t="shared" si="14"/>
        <v>62020.802113200007</v>
      </c>
      <c r="AB50">
        <f t="shared" si="15"/>
        <v>3173.5790554999999</v>
      </c>
      <c r="AC50">
        <v>30.258077846455588</v>
      </c>
      <c r="AD50">
        <f t="shared" si="6"/>
        <v>19.542857142857144</v>
      </c>
      <c r="AE50" s="11">
        <v>5.5060000000000002</v>
      </c>
      <c r="AF50" s="11">
        <v>0.2056</v>
      </c>
      <c r="AG50" s="11">
        <v>2.2134</v>
      </c>
      <c r="AH50" s="11">
        <v>3.2</v>
      </c>
      <c r="AI50" s="11">
        <f>AF50+AG50+AH50</f>
        <v>5.6189999999999998</v>
      </c>
      <c r="AJ50" s="11">
        <v>34.659999999999997</v>
      </c>
      <c r="AK50" s="11">
        <v>1.01</v>
      </c>
      <c r="AL50" s="11">
        <v>0.74</v>
      </c>
      <c r="AM50" s="11">
        <v>0.04</v>
      </c>
      <c r="AN50" s="11">
        <v>1.64</v>
      </c>
      <c r="AO50" s="11">
        <v>0.12</v>
      </c>
      <c r="AP50" s="12">
        <f>((AF50/AE50)*I50)*(AJ50/100)</f>
        <v>1.1735368695491841E-2</v>
      </c>
      <c r="AQ50" s="12">
        <f>((AF50/AE50)*I50)*(AK50/100)</f>
        <v>3.419712170353941E-4</v>
      </c>
      <c r="AR50" s="12">
        <f>((AG50/AE50)*I50)*(AL50/100)</f>
        <v>2.6973462260745881E-3</v>
      </c>
      <c r="AS50" s="12">
        <f>((AG50/AE50)*I50)*(AM50/100)</f>
        <v>1.4580249870673449E-4</v>
      </c>
      <c r="AT50" s="12">
        <f>((AH50/AE50)*I50)*(AN50/100)</f>
        <v>8.642490209778423E-3</v>
      </c>
      <c r="AU50" s="12">
        <f>((AH50/AE50)*I50)*(AO50/100)</f>
        <v>6.3237733242281155E-4</v>
      </c>
      <c r="AV50" s="12">
        <f t="shared" ref="AV50:BA51" si="30">AP50*100*100*20</f>
        <v>2347.0737390983682</v>
      </c>
      <c r="AW50" s="12">
        <f t="shared" si="30"/>
        <v>68.394243407078818</v>
      </c>
      <c r="AX50" s="12">
        <f t="shared" si="30"/>
        <v>539.46924521491758</v>
      </c>
      <c r="AY50" s="12">
        <f t="shared" si="30"/>
        <v>29.160499741346896</v>
      </c>
      <c r="AZ50" s="12">
        <f t="shared" si="30"/>
        <v>1728.4980419556846</v>
      </c>
      <c r="BA50" s="12">
        <f t="shared" si="30"/>
        <v>126.4754664845623</v>
      </c>
      <c r="BB50" s="12">
        <f>AV50+AX50</f>
        <v>2886.5429843132856</v>
      </c>
      <c r="BC50" s="12">
        <f>AZ50/AX50</f>
        <v>3.2040715152669605</v>
      </c>
      <c r="BD50" s="12">
        <f>AZ50/BB50</f>
        <v>0.59881250733111735</v>
      </c>
    </row>
    <row r="51" spans="1:56" x14ac:dyDescent="0.2">
      <c r="A51">
        <v>50</v>
      </c>
      <c r="B51" t="s">
        <v>26</v>
      </c>
      <c r="C51" t="s">
        <v>34</v>
      </c>
      <c r="D51">
        <v>9</v>
      </c>
      <c r="E51" t="s">
        <v>35</v>
      </c>
      <c r="F51" t="s">
        <v>90</v>
      </c>
      <c r="G51" t="s">
        <v>92</v>
      </c>
      <c r="H51">
        <v>251.94</v>
      </c>
      <c r="I51">
        <v>0.735163919</v>
      </c>
      <c r="J51">
        <f t="shared" si="8"/>
        <v>392.69908169872417</v>
      </c>
      <c r="K51">
        <f t="shared" si="9"/>
        <v>1.9634954084936209E-3</v>
      </c>
      <c r="L51">
        <f t="shared" si="10"/>
        <v>200000</v>
      </c>
      <c r="M51">
        <f t="shared" si="23"/>
        <v>147032.7838</v>
      </c>
      <c r="N51">
        <v>0.47520000000000001</v>
      </c>
      <c r="O51">
        <f t="shared" si="21"/>
        <v>277.32785132079067</v>
      </c>
      <c r="P51">
        <f t="shared" si="11"/>
        <v>242.01737266325972</v>
      </c>
      <c r="Q51">
        <v>2.88</v>
      </c>
      <c r="R51">
        <f t="shared" si="24"/>
        <v>4234.5441734400001</v>
      </c>
      <c r="S51">
        <v>0.15</v>
      </c>
      <c r="T51">
        <f t="shared" si="25"/>
        <v>220.54917570000001</v>
      </c>
      <c r="U51">
        <v>8469.0883468800002</v>
      </c>
      <c r="V51">
        <v>441.09835140000001</v>
      </c>
      <c r="W51">
        <f t="shared" si="12"/>
        <v>3695.3852647746457</v>
      </c>
      <c r="X51">
        <f t="shared" si="13"/>
        <v>192.46798254034613</v>
      </c>
      <c r="Y51">
        <f t="shared" si="26"/>
        <v>2.1172720867199998E-2</v>
      </c>
      <c r="Z51">
        <f t="shared" si="27"/>
        <v>1.1027458785E-3</v>
      </c>
      <c r="AA51">
        <f t="shared" si="14"/>
        <v>21172.720867199998</v>
      </c>
      <c r="AB51">
        <f t="shared" si="15"/>
        <v>1102.7458784999999</v>
      </c>
      <c r="AC51">
        <v>24.371091646025135</v>
      </c>
      <c r="AD51">
        <f t="shared" si="6"/>
        <v>19.2</v>
      </c>
      <c r="AE51" s="11">
        <v>5.8827999999999996</v>
      </c>
      <c r="AF51" s="11">
        <v>0.17430000000000001</v>
      </c>
      <c r="AG51" s="11">
        <v>1.9625999999999999</v>
      </c>
      <c r="AH51" s="11">
        <v>3.88</v>
      </c>
      <c r="AI51" s="11">
        <f>AF51+AG51+AH51</f>
        <v>6.0168999999999997</v>
      </c>
      <c r="AJ51" s="11">
        <v>29.98</v>
      </c>
      <c r="AK51" s="11">
        <v>0.6</v>
      </c>
      <c r="AL51" s="11">
        <v>4.3099999999999996</v>
      </c>
      <c r="AM51" s="11">
        <v>0.18</v>
      </c>
      <c r="AN51" s="11">
        <v>2.08</v>
      </c>
      <c r="AO51" s="11">
        <v>0.14000000000000001</v>
      </c>
      <c r="AP51" s="12">
        <f>((AF51/AE51)*I51)*(AJ51/100)</f>
        <v>6.5302395985404335E-3</v>
      </c>
      <c r="AQ51" s="12">
        <f>((AF51/AE51)*I51)*(AK51/100)</f>
        <v>1.3069191991742029E-4</v>
      </c>
      <c r="AR51" s="12">
        <f>((AG51/AE51)*I51)*(AL51/100)</f>
        <v>1.057083186411354E-2</v>
      </c>
      <c r="AS51" s="12">
        <f>((AG51/AE51)*I51)*(AM51/100)</f>
        <v>4.4147325650590197E-4</v>
      </c>
      <c r="AT51" s="12">
        <f>((AH51/AE51)*I51)*(AN51/100)</f>
        <v>1.0085447222237032E-2</v>
      </c>
      <c r="AU51" s="12">
        <f>((AH51/AE51)*I51)*(AO51/100)</f>
        <v>6.7882817841980034E-4</v>
      </c>
      <c r="AV51" s="12">
        <f t="shared" si="30"/>
        <v>1306.0479197080867</v>
      </c>
      <c r="AW51" s="12">
        <f t="shared" si="30"/>
        <v>26.138383983484061</v>
      </c>
      <c r="AX51" s="12">
        <f t="shared" si="30"/>
        <v>2114.1663728227081</v>
      </c>
      <c r="AY51" s="12">
        <f t="shared" si="30"/>
        <v>88.29465130118038</v>
      </c>
      <c r="AZ51" s="12">
        <f t="shared" si="30"/>
        <v>2017.0894444474063</v>
      </c>
      <c r="BA51" s="12">
        <f t="shared" si="30"/>
        <v>135.76563568396008</v>
      </c>
      <c r="BB51" s="12">
        <f>AV51+AX51</f>
        <v>3420.2142925307949</v>
      </c>
      <c r="BC51" s="12">
        <f>AZ51/AX51</f>
        <v>0.95408264476097471</v>
      </c>
      <c r="BD51" s="12">
        <f>AZ51/BB51</f>
        <v>0.5897552819577444</v>
      </c>
    </row>
    <row r="52" spans="1:56" x14ac:dyDescent="0.2">
      <c r="A52">
        <v>51</v>
      </c>
      <c r="B52" t="s">
        <v>26</v>
      </c>
      <c r="C52" t="s">
        <v>34</v>
      </c>
      <c r="D52">
        <v>9</v>
      </c>
      <c r="E52" t="s">
        <v>36</v>
      </c>
      <c r="F52" t="s">
        <v>89</v>
      </c>
      <c r="G52" t="s">
        <v>92</v>
      </c>
      <c r="H52">
        <v>337.94</v>
      </c>
      <c r="I52">
        <v>0.90673687300000005</v>
      </c>
      <c r="J52">
        <f t="shared" si="8"/>
        <v>392.69908169872417</v>
      </c>
      <c r="K52">
        <f t="shared" si="9"/>
        <v>1.9634954084936209E-3</v>
      </c>
      <c r="L52">
        <f t="shared" si="10"/>
        <v>200000</v>
      </c>
      <c r="M52">
        <f t="shared" si="23"/>
        <v>181347.37460000001</v>
      </c>
      <c r="N52">
        <v>6.7799999999999999E-2</v>
      </c>
      <c r="O52">
        <f t="shared" si="21"/>
        <v>36.383239622063094</v>
      </c>
      <c r="P52">
        <f t="shared" si="11"/>
        <v>34.530256453217611</v>
      </c>
      <c r="Q52">
        <v>2.4900000000000002</v>
      </c>
      <c r="R52">
        <f t="shared" si="24"/>
        <v>4515.549627540001</v>
      </c>
      <c r="S52">
        <v>0.13</v>
      </c>
      <c r="T52">
        <f t="shared" si="25"/>
        <v>235.75158698000001</v>
      </c>
      <c r="U52">
        <v>4515.5496275400001</v>
      </c>
      <c r="V52">
        <v>235.75158698000001</v>
      </c>
      <c r="W52">
        <f t="shared" si="12"/>
        <v>4285.5745746080975</v>
      </c>
      <c r="X52">
        <f t="shared" si="13"/>
        <v>223.74485730885644</v>
      </c>
      <c r="Y52">
        <f t="shared" si="26"/>
        <v>2.2577748137700002E-2</v>
      </c>
      <c r="Z52">
        <f t="shared" si="27"/>
        <v>1.1787579349E-3</v>
      </c>
      <c r="AA52">
        <f t="shared" si="14"/>
        <v>22577.748137700004</v>
      </c>
      <c r="AB52">
        <f t="shared" si="15"/>
        <v>1178.7579349</v>
      </c>
      <c r="AC52">
        <v>20.534282248334069</v>
      </c>
      <c r="AD52">
        <f t="shared" si="6"/>
        <v>19.153846153846153</v>
      </c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</row>
    <row r="53" spans="1:56" x14ac:dyDescent="0.2">
      <c r="A53">
        <v>52</v>
      </c>
      <c r="B53" t="s">
        <v>26</v>
      </c>
      <c r="C53" t="s">
        <v>34</v>
      </c>
      <c r="D53">
        <v>9</v>
      </c>
      <c r="E53" t="s">
        <v>36</v>
      </c>
      <c r="F53" t="s">
        <v>90</v>
      </c>
      <c r="G53" t="s">
        <v>92</v>
      </c>
      <c r="H53">
        <v>251.94</v>
      </c>
      <c r="I53">
        <v>0.735163919</v>
      </c>
      <c r="J53">
        <f t="shared" si="8"/>
        <v>392.69908169872417</v>
      </c>
      <c r="K53">
        <f t="shared" si="9"/>
        <v>1.9634954084936209E-3</v>
      </c>
      <c r="L53">
        <f t="shared" si="10"/>
        <v>200000</v>
      </c>
      <c r="M53">
        <f t="shared" si="23"/>
        <v>147032.7838</v>
      </c>
      <c r="N53">
        <v>0.31380000000000002</v>
      </c>
      <c r="O53">
        <f t="shared" si="21"/>
        <v>183.13442707168377</v>
      </c>
      <c r="P53">
        <f t="shared" si="11"/>
        <v>159.81702765515763</v>
      </c>
      <c r="Q53">
        <v>0.74</v>
      </c>
      <c r="R53">
        <f t="shared" si="24"/>
        <v>1088.0426001200001</v>
      </c>
      <c r="S53">
        <v>0.08</v>
      </c>
      <c r="T53">
        <f t="shared" si="25"/>
        <v>117.62622704</v>
      </c>
      <c r="U53">
        <v>2176.0852002400002</v>
      </c>
      <c r="V53">
        <v>235.25245408000001</v>
      </c>
      <c r="W53">
        <f t="shared" si="12"/>
        <v>949.50871386570759</v>
      </c>
      <c r="X53">
        <f t="shared" si="13"/>
        <v>102.6495906881846</v>
      </c>
      <c r="Y53">
        <f t="shared" si="26"/>
        <v>5.4402130006000003E-3</v>
      </c>
      <c r="Z53">
        <f t="shared" si="27"/>
        <v>5.8813113520000005E-4</v>
      </c>
      <c r="AA53">
        <f t="shared" si="14"/>
        <v>5440.2130006000007</v>
      </c>
      <c r="AB53">
        <f t="shared" si="15"/>
        <v>588.13113520000002</v>
      </c>
      <c r="AC53">
        <v>15.652653718918433</v>
      </c>
      <c r="AD53">
        <f t="shared" si="6"/>
        <v>9.25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</row>
    <row r="54" spans="1:56" x14ac:dyDescent="0.2">
      <c r="A54">
        <v>53</v>
      </c>
      <c r="B54" t="s">
        <v>26</v>
      </c>
      <c r="C54" t="s">
        <v>34</v>
      </c>
      <c r="D54">
        <v>9</v>
      </c>
      <c r="E54" t="s">
        <v>37</v>
      </c>
      <c r="F54" t="s">
        <v>89</v>
      </c>
      <c r="G54" t="s">
        <v>92</v>
      </c>
      <c r="H54">
        <v>337.94</v>
      </c>
      <c r="I54">
        <v>0.90673687300000005</v>
      </c>
      <c r="J54">
        <f t="shared" si="8"/>
        <v>392.69908169872417</v>
      </c>
      <c r="K54">
        <f t="shared" si="9"/>
        <v>1.9634954084936209E-3</v>
      </c>
      <c r="L54">
        <f t="shared" si="10"/>
        <v>200000</v>
      </c>
      <c r="M54">
        <f t="shared" si="23"/>
        <v>181347.37460000001</v>
      </c>
      <c r="N54">
        <v>0.95140000000000002</v>
      </c>
      <c r="O54">
        <f t="shared" si="21"/>
        <v>510.54593180576438</v>
      </c>
      <c r="P54">
        <f t="shared" si="11"/>
        <v>484.54404114441348</v>
      </c>
      <c r="Q54">
        <v>6.14</v>
      </c>
      <c r="R54">
        <f t="shared" si="24"/>
        <v>11134.72880044</v>
      </c>
      <c r="S54">
        <v>0.35</v>
      </c>
      <c r="T54">
        <f t="shared" si="25"/>
        <v>634.7158111</v>
      </c>
      <c r="U54">
        <v>11134.72880044</v>
      </c>
      <c r="V54">
        <v>634.7158111</v>
      </c>
      <c r="W54">
        <f t="shared" si="12"/>
        <v>10567.641722125989</v>
      </c>
      <c r="X54">
        <f t="shared" si="13"/>
        <v>602.39000044692114</v>
      </c>
      <c r="Y54">
        <f t="shared" si="26"/>
        <v>5.5673644002199998E-2</v>
      </c>
      <c r="Z54">
        <f t="shared" si="27"/>
        <v>3.1735790554999997E-3</v>
      </c>
      <c r="AA54">
        <f t="shared" si="14"/>
        <v>55673.644002199995</v>
      </c>
      <c r="AB54">
        <f t="shared" si="15"/>
        <v>3173.5790554999999</v>
      </c>
      <c r="AC54">
        <v>24.737762201367666</v>
      </c>
      <c r="AD54">
        <f t="shared" si="6"/>
        <v>17.542857142857144</v>
      </c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</row>
    <row r="55" spans="1:56" x14ac:dyDescent="0.2">
      <c r="A55">
        <v>54</v>
      </c>
      <c r="B55" t="s">
        <v>26</v>
      </c>
      <c r="C55" t="s">
        <v>34</v>
      </c>
      <c r="D55">
        <v>9</v>
      </c>
      <c r="E55" t="s">
        <v>37</v>
      </c>
      <c r="F55" t="s">
        <v>90</v>
      </c>
      <c r="G55" t="s">
        <v>92</v>
      </c>
      <c r="H55">
        <v>251.94</v>
      </c>
      <c r="I55">
        <v>0.735163919</v>
      </c>
      <c r="J55">
        <f t="shared" si="8"/>
        <v>392.69908169872417</v>
      </c>
      <c r="K55">
        <f t="shared" si="9"/>
        <v>1.9634954084936209E-3</v>
      </c>
      <c r="L55">
        <f t="shared" si="10"/>
        <v>200000</v>
      </c>
      <c r="M55">
        <f t="shared" si="23"/>
        <v>147032.7838</v>
      </c>
      <c r="N55">
        <v>0.20269999999999999</v>
      </c>
      <c r="O55">
        <f t="shared" si="21"/>
        <v>118.29620257307296</v>
      </c>
      <c r="P55">
        <f t="shared" si="11"/>
        <v>103.23426228712698</v>
      </c>
      <c r="Q55">
        <v>1.87</v>
      </c>
      <c r="R55">
        <f t="shared" si="24"/>
        <v>2749.5130570600004</v>
      </c>
      <c r="S55">
        <v>0.09</v>
      </c>
      <c r="T55">
        <f t="shared" si="25"/>
        <v>132.32950542</v>
      </c>
      <c r="U55">
        <v>5499.0261141199999</v>
      </c>
      <c r="V55">
        <v>264.65901084000001</v>
      </c>
      <c r="W55">
        <f t="shared" si="12"/>
        <v>2399.4341823363152</v>
      </c>
      <c r="X55">
        <f t="shared" si="13"/>
        <v>115.48078952420768</v>
      </c>
      <c r="Y55">
        <f t="shared" si="26"/>
        <v>1.37475652853E-2</v>
      </c>
      <c r="Z55">
        <f t="shared" si="27"/>
        <v>6.6164752709999995E-4</v>
      </c>
      <c r="AA55">
        <f t="shared" si="14"/>
        <v>13747.565285300001</v>
      </c>
      <c r="AB55">
        <f t="shared" si="15"/>
        <v>661.64752709999993</v>
      </c>
      <c r="AC55">
        <v>24.454055403511838</v>
      </c>
      <c r="AD55">
        <f t="shared" si="6"/>
        <v>20.777777777777779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</row>
    <row r="56" spans="1:56" x14ac:dyDescent="0.2">
      <c r="A56">
        <v>55</v>
      </c>
      <c r="B56" t="s">
        <v>26</v>
      </c>
      <c r="C56" t="s">
        <v>27</v>
      </c>
      <c r="D56">
        <v>10</v>
      </c>
      <c r="E56" t="s">
        <v>38</v>
      </c>
      <c r="F56" t="s">
        <v>89</v>
      </c>
      <c r="G56" t="s">
        <v>92</v>
      </c>
      <c r="H56">
        <v>284.88</v>
      </c>
      <c r="I56">
        <v>0.80771404000000002</v>
      </c>
      <c r="J56">
        <f t="shared" si="8"/>
        <v>392.69908169872417</v>
      </c>
      <c r="K56">
        <f t="shared" si="9"/>
        <v>1.9634954084936209E-3</v>
      </c>
      <c r="L56">
        <f t="shared" si="10"/>
        <v>200000</v>
      </c>
      <c r="M56">
        <f t="shared" si="23"/>
        <v>161542.80799999999</v>
      </c>
      <c r="N56">
        <v>0.2</v>
      </c>
      <c r="O56">
        <f t="shared" si="21"/>
        <v>113.41112608817748</v>
      </c>
      <c r="P56">
        <f t="shared" si="11"/>
        <v>101.85916357881301</v>
      </c>
      <c r="Q56">
        <v>1.63</v>
      </c>
      <c r="R56">
        <f t="shared" si="24"/>
        <v>2633.1477703999994</v>
      </c>
      <c r="S56">
        <v>0.11</v>
      </c>
      <c r="T56">
        <f t="shared" si="25"/>
        <v>177.69708879999999</v>
      </c>
      <c r="U56">
        <v>2633.1477703999999</v>
      </c>
      <c r="V56">
        <v>177.69708879999999</v>
      </c>
      <c r="W56">
        <f t="shared" si="12"/>
        <v>2364.9375394070785</v>
      </c>
      <c r="X56">
        <f t="shared" si="13"/>
        <v>159.59701186182738</v>
      </c>
      <c r="Y56">
        <f t="shared" si="26"/>
        <v>1.3165738852E-2</v>
      </c>
      <c r="Z56">
        <f t="shared" si="27"/>
        <v>8.8848544400000012E-4</v>
      </c>
      <c r="AA56">
        <f t="shared" si="14"/>
        <v>13165.738852</v>
      </c>
      <c r="AB56">
        <f t="shared" si="15"/>
        <v>888.48544400000014</v>
      </c>
      <c r="AC56">
        <v>20.22063385880298</v>
      </c>
      <c r="AD56">
        <f t="shared" si="6"/>
        <v>14.818181818181817</v>
      </c>
      <c r="AE56" s="11">
        <v>5.8125</v>
      </c>
      <c r="AF56" s="11">
        <v>0.22570000000000001</v>
      </c>
      <c r="AG56" s="11">
        <v>1.3677999999999999</v>
      </c>
      <c r="AH56" s="11">
        <v>4.3499999999999996</v>
      </c>
      <c r="AI56" s="11">
        <f>AF56+AG56+AH56</f>
        <v>5.9434999999999993</v>
      </c>
      <c r="AJ56" s="11">
        <v>29.2</v>
      </c>
      <c r="AK56" s="11">
        <v>0.97</v>
      </c>
      <c r="AL56" s="11">
        <v>1.83</v>
      </c>
      <c r="AM56" s="11">
        <v>0.1</v>
      </c>
      <c r="AN56" s="11">
        <v>3.58</v>
      </c>
      <c r="AO56" s="11">
        <v>0.24</v>
      </c>
      <c r="AP56" s="12">
        <f>((AF56/AE56)*I56)*(AJ56/100)</f>
        <v>9.1581779230582375E-3</v>
      </c>
      <c r="AQ56" s="12">
        <f>((AF56/AE56)*I56)*(AK56/100)</f>
        <v>3.0422714333446887E-4</v>
      </c>
      <c r="AR56" s="12">
        <f>((AG56/AE56)*I56)*(AL56/100)</f>
        <v>3.4783105599293937E-3</v>
      </c>
      <c r="AS56" s="12">
        <f>((AG56/AE56)*I56)*(AM56/100)</f>
        <v>1.9007161529668818E-4</v>
      </c>
      <c r="AT56" s="12">
        <f>((AH56/AE56)*I56)*(AN56/100)</f>
        <v>2.1640483002012899E-2</v>
      </c>
      <c r="AU56" s="12">
        <f>((AH56/AE56)*I56)*(AO56/100)</f>
        <v>1.4507586370064512E-3</v>
      </c>
      <c r="AV56" s="12">
        <f t="shared" ref="AV56:BA57" si="31">AP56*100*100*20</f>
        <v>1831.6355846116473</v>
      </c>
      <c r="AW56" s="12">
        <f t="shared" si="31"/>
        <v>60.845428666893781</v>
      </c>
      <c r="AX56" s="12">
        <f t="shared" si="31"/>
        <v>695.66211198587882</v>
      </c>
      <c r="AY56" s="12">
        <f t="shared" si="31"/>
        <v>38.014323059337634</v>
      </c>
      <c r="AZ56" s="12">
        <f t="shared" si="31"/>
        <v>4328.0966004025795</v>
      </c>
      <c r="BA56" s="12">
        <f t="shared" si="31"/>
        <v>290.15172740129026</v>
      </c>
      <c r="BB56" s="12">
        <f>AV56+AX56</f>
        <v>2527.2976965975263</v>
      </c>
      <c r="BC56" s="12">
        <f>AZ56/AX56</f>
        <v>6.2215499821419558</v>
      </c>
      <c r="BD56" s="12">
        <f>AZ56/BB56</f>
        <v>1.7125392889921316</v>
      </c>
    </row>
    <row r="57" spans="1:56" x14ac:dyDescent="0.2">
      <c r="A57">
        <v>56</v>
      </c>
      <c r="B57" t="s">
        <v>26</v>
      </c>
      <c r="C57" t="s">
        <v>27</v>
      </c>
      <c r="D57">
        <v>10</v>
      </c>
      <c r="E57" t="s">
        <v>38</v>
      </c>
      <c r="F57" t="s">
        <v>90</v>
      </c>
      <c r="G57" t="s">
        <v>92</v>
      </c>
      <c r="H57">
        <v>372.34</v>
      </c>
      <c r="I57">
        <v>1.0409308239999999</v>
      </c>
      <c r="J57">
        <f t="shared" si="8"/>
        <v>392.69908169872417</v>
      </c>
      <c r="K57">
        <f t="shared" si="9"/>
        <v>1.9634954084936209E-3</v>
      </c>
      <c r="L57">
        <f t="shared" si="10"/>
        <v>200000</v>
      </c>
      <c r="M57">
        <f t="shared" si="23"/>
        <v>208186.1648</v>
      </c>
      <c r="N57">
        <v>0.12559999999999999</v>
      </c>
      <c r="O57">
        <f t="shared" si="21"/>
        <v>70.226627004565714</v>
      </c>
      <c r="P57">
        <f t="shared" si="11"/>
        <v>63.967554727494566</v>
      </c>
      <c r="Q57">
        <v>0.99</v>
      </c>
      <c r="R57">
        <f t="shared" si="24"/>
        <v>2061.0430315199997</v>
      </c>
      <c r="S57">
        <v>0.09</v>
      </c>
      <c r="T57">
        <f t="shared" si="25"/>
        <v>187.36754832</v>
      </c>
      <c r="U57">
        <v>4122.0860630399993</v>
      </c>
      <c r="V57">
        <v>374.73509663999988</v>
      </c>
      <c r="W57">
        <f t="shared" si="12"/>
        <v>1877.348927863294</v>
      </c>
      <c r="X57">
        <f t="shared" si="13"/>
        <v>170.66808435120856</v>
      </c>
      <c r="Y57">
        <f t="shared" si="26"/>
        <v>1.0305215157599999E-2</v>
      </c>
      <c r="Z57">
        <f t="shared" si="27"/>
        <v>9.3683774159999988E-4</v>
      </c>
      <c r="AA57">
        <f t="shared" si="14"/>
        <v>10305.215157599998</v>
      </c>
      <c r="AB57">
        <f t="shared" si="15"/>
        <v>936.83774159999984</v>
      </c>
      <c r="AC57">
        <v>12.608816482378151</v>
      </c>
      <c r="AD57">
        <f t="shared" si="6"/>
        <v>11</v>
      </c>
      <c r="AE57" s="11">
        <v>5.8959999999999999</v>
      </c>
      <c r="AF57" s="11">
        <v>4.3400000000000001E-2</v>
      </c>
      <c r="AG57" s="11">
        <v>1.3939999999999999</v>
      </c>
      <c r="AH57" s="11">
        <v>4.5</v>
      </c>
      <c r="AI57" s="11">
        <f>AF57+AG57+AH57</f>
        <v>5.9374000000000002</v>
      </c>
      <c r="AJ57" s="11">
        <v>42.13</v>
      </c>
      <c r="AK57" s="11">
        <v>1.17</v>
      </c>
      <c r="AL57" s="11">
        <v>0.45</v>
      </c>
      <c r="AM57" s="11">
        <v>0.03</v>
      </c>
      <c r="AN57" s="11">
        <v>1.07</v>
      </c>
      <c r="AO57" s="11">
        <v>0.1</v>
      </c>
      <c r="AP57" s="12">
        <f>((AF57/AE57)*I57)*(AJ57/100)</f>
        <v>3.2280896161740297E-3</v>
      </c>
      <c r="AQ57" s="12">
        <f>((AF57/AE57)*I57)*(AK57/100)</f>
        <v>8.9647872084586149E-5</v>
      </c>
      <c r="AR57" s="12">
        <f>((AG57/AE57)*I57)*(AL57/100)</f>
        <v>1.1074896640013568E-3</v>
      </c>
      <c r="AS57" s="12">
        <f>((AG57/AE57)*I57)*(AM57/100)</f>
        <v>7.3832644266757098E-5</v>
      </c>
      <c r="AT57" s="12">
        <f>((AH57/AE57)*I57)*(AN57/100)</f>
        <v>8.5008173635685216E-3</v>
      </c>
      <c r="AU57" s="12">
        <f>((AH57/AE57)*I57)*(AO57/100)</f>
        <v>7.9446891248303932E-4</v>
      </c>
      <c r="AV57" s="12">
        <f t="shared" si="31"/>
        <v>645.61792323480586</v>
      </c>
      <c r="AW57" s="12">
        <f t="shared" si="31"/>
        <v>17.92957441691723</v>
      </c>
      <c r="AX57" s="12">
        <f t="shared" si="31"/>
        <v>221.49793280027137</v>
      </c>
      <c r="AY57" s="12">
        <f t="shared" si="31"/>
        <v>14.766528853351419</v>
      </c>
      <c r="AZ57" s="12">
        <f t="shared" si="31"/>
        <v>1700.1634727137043</v>
      </c>
      <c r="BA57" s="12">
        <f t="shared" si="31"/>
        <v>158.89378249660786</v>
      </c>
      <c r="BB57" s="12">
        <f>AV57+AX57</f>
        <v>867.11585603507729</v>
      </c>
      <c r="BC57" s="12">
        <f>AZ57/AX57</f>
        <v>7.6757532281205174</v>
      </c>
      <c r="BD57" s="12">
        <f>AZ57/BB57</f>
        <v>1.9607108564336158</v>
      </c>
    </row>
    <row r="58" spans="1:56" x14ac:dyDescent="0.2">
      <c r="A58">
        <v>57</v>
      </c>
      <c r="B58" t="s">
        <v>26</v>
      </c>
      <c r="C58" t="s">
        <v>27</v>
      </c>
      <c r="D58">
        <v>10</v>
      </c>
      <c r="E58" t="s">
        <v>39</v>
      </c>
      <c r="F58" t="s">
        <v>89</v>
      </c>
      <c r="G58" t="s">
        <v>92</v>
      </c>
      <c r="H58">
        <v>284.88</v>
      </c>
      <c r="I58">
        <v>0.80771404000000002</v>
      </c>
      <c r="J58">
        <f t="shared" si="8"/>
        <v>392.69908169872417</v>
      </c>
      <c r="K58">
        <f t="shared" si="9"/>
        <v>1.9634954084936209E-3</v>
      </c>
      <c r="L58">
        <f t="shared" si="10"/>
        <v>200000</v>
      </c>
      <c r="M58">
        <f t="shared" si="23"/>
        <v>161542.80799999999</v>
      </c>
      <c r="N58">
        <v>0.38900000000000001</v>
      </c>
      <c r="O58">
        <f t="shared" si="21"/>
        <v>220.58464024150518</v>
      </c>
      <c r="P58">
        <f t="shared" si="11"/>
        <v>198.1160731607913</v>
      </c>
      <c r="Q58">
        <v>4.75</v>
      </c>
      <c r="R58">
        <f t="shared" si="24"/>
        <v>7673.2833799999999</v>
      </c>
      <c r="S58">
        <v>0.28000000000000003</v>
      </c>
      <c r="T58">
        <f t="shared" si="25"/>
        <v>452.31986240000003</v>
      </c>
      <c r="U58">
        <v>7673.2833799999999</v>
      </c>
      <c r="V58">
        <v>452.31986239999998</v>
      </c>
      <c r="W58">
        <f t="shared" si="12"/>
        <v>6891.6891485789101</v>
      </c>
      <c r="X58">
        <f t="shared" si="13"/>
        <v>406.2469392846516</v>
      </c>
      <c r="Y58">
        <f t="shared" si="26"/>
        <v>3.8366416899999999E-2</v>
      </c>
      <c r="Z58">
        <f t="shared" si="27"/>
        <v>2.2615993120000005E-3</v>
      </c>
      <c r="AA58">
        <f t="shared" si="14"/>
        <v>38366.416899999997</v>
      </c>
      <c r="AB58">
        <f t="shared" si="15"/>
        <v>2261.5993120000003</v>
      </c>
      <c r="AC58">
        <v>21.092337907467492</v>
      </c>
      <c r="AD58">
        <f t="shared" si="6"/>
        <v>16.964285714285712</v>
      </c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</row>
    <row r="59" spans="1:56" x14ac:dyDescent="0.2">
      <c r="A59">
        <v>58</v>
      </c>
      <c r="B59" t="s">
        <v>26</v>
      </c>
      <c r="C59" t="s">
        <v>27</v>
      </c>
      <c r="D59">
        <v>10</v>
      </c>
      <c r="E59" t="s">
        <v>39</v>
      </c>
      <c r="F59" t="s">
        <v>90</v>
      </c>
      <c r="G59" t="s">
        <v>92</v>
      </c>
      <c r="H59">
        <v>372.34</v>
      </c>
      <c r="I59">
        <v>1.0409308239999999</v>
      </c>
      <c r="J59">
        <f t="shared" si="8"/>
        <v>392.69908169872417</v>
      </c>
      <c r="K59">
        <f t="shared" si="9"/>
        <v>1.9634954084936209E-3</v>
      </c>
      <c r="L59">
        <f t="shared" si="10"/>
        <v>200000</v>
      </c>
      <c r="M59">
        <f t="shared" si="23"/>
        <v>208186.1648</v>
      </c>
      <c r="N59">
        <v>7.0199999999999999E-2</v>
      </c>
      <c r="O59">
        <f t="shared" si="21"/>
        <v>39.250869551914917</v>
      </c>
      <c r="P59">
        <f t="shared" si="11"/>
        <v>35.752566416163369</v>
      </c>
      <c r="Q59">
        <v>1.3</v>
      </c>
      <c r="R59">
        <f t="shared" si="24"/>
        <v>2706.4201424000003</v>
      </c>
      <c r="S59">
        <v>0.1</v>
      </c>
      <c r="T59">
        <f t="shared" si="25"/>
        <v>208.1861648</v>
      </c>
      <c r="U59">
        <v>5412.8402848000014</v>
      </c>
      <c r="V59">
        <v>416.3723296</v>
      </c>
      <c r="W59">
        <f t="shared" si="12"/>
        <v>2465.2056628507903</v>
      </c>
      <c r="X59">
        <f t="shared" si="13"/>
        <v>189.63120483467617</v>
      </c>
      <c r="Y59">
        <f t="shared" si="26"/>
        <v>1.3532100712000001E-2</v>
      </c>
      <c r="Z59">
        <f t="shared" si="27"/>
        <v>1.040930824E-3</v>
      </c>
      <c r="AA59">
        <f t="shared" si="14"/>
        <v>13532.100712000001</v>
      </c>
      <c r="AB59">
        <f t="shared" si="15"/>
        <v>1040.930824</v>
      </c>
      <c r="AC59">
        <v>13.809275679591174</v>
      </c>
      <c r="AD59">
        <f t="shared" si="6"/>
        <v>13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</row>
    <row r="60" spans="1:56" x14ac:dyDescent="0.2">
      <c r="A60">
        <v>59</v>
      </c>
      <c r="B60" t="s">
        <v>26</v>
      </c>
      <c r="C60" t="s">
        <v>27</v>
      </c>
      <c r="D60">
        <v>10</v>
      </c>
      <c r="E60" t="s">
        <v>40</v>
      </c>
      <c r="F60" t="s">
        <v>89</v>
      </c>
      <c r="G60" t="s">
        <v>92</v>
      </c>
      <c r="H60">
        <v>284.88</v>
      </c>
      <c r="I60">
        <v>0.80771404000000002</v>
      </c>
      <c r="J60">
        <f t="shared" si="8"/>
        <v>392.69908169872417</v>
      </c>
      <c r="K60">
        <f t="shared" si="9"/>
        <v>1.9634954084936209E-3</v>
      </c>
      <c r="L60">
        <f t="shared" si="10"/>
        <v>200000</v>
      </c>
      <c r="M60">
        <f t="shared" si="23"/>
        <v>161542.80799999999</v>
      </c>
      <c r="N60">
        <v>0.34789999999999999</v>
      </c>
      <c r="O60">
        <f t="shared" si="21"/>
        <v>197.27865383038471</v>
      </c>
      <c r="P60">
        <f t="shared" si="11"/>
        <v>177.18401504534523</v>
      </c>
      <c r="Q60">
        <v>1.34</v>
      </c>
      <c r="R60">
        <f t="shared" si="24"/>
        <v>2164.6736271999998</v>
      </c>
      <c r="S60">
        <v>0.1</v>
      </c>
      <c r="T60">
        <f t="shared" si="25"/>
        <v>161.54280799999998</v>
      </c>
      <c r="U60">
        <v>2164.6736271999998</v>
      </c>
      <c r="V60">
        <v>161.54280800000001</v>
      </c>
      <c r="W60">
        <f t="shared" si="12"/>
        <v>1944.1817808622609</v>
      </c>
      <c r="X60">
        <f t="shared" si="13"/>
        <v>145.08819260166126</v>
      </c>
      <c r="Y60">
        <f t="shared" si="26"/>
        <v>1.0823368136000001E-2</v>
      </c>
      <c r="Z60">
        <f t="shared" si="27"/>
        <v>8.0771404000000002E-4</v>
      </c>
      <c r="AA60">
        <f t="shared" si="14"/>
        <v>10823.368136000001</v>
      </c>
      <c r="AB60">
        <f t="shared" si="15"/>
        <v>807.71404000000007</v>
      </c>
      <c r="AC60">
        <v>23.737321857126563</v>
      </c>
      <c r="AD60">
        <f t="shared" si="6"/>
        <v>13.4</v>
      </c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</row>
    <row r="61" spans="1:56" x14ac:dyDescent="0.2">
      <c r="A61">
        <v>60</v>
      </c>
      <c r="B61" t="s">
        <v>26</v>
      </c>
      <c r="C61" t="s">
        <v>27</v>
      </c>
      <c r="D61">
        <v>10</v>
      </c>
      <c r="E61" t="s">
        <v>40</v>
      </c>
      <c r="F61" t="s">
        <v>90</v>
      </c>
      <c r="G61" t="s">
        <v>92</v>
      </c>
      <c r="H61">
        <v>372.34</v>
      </c>
      <c r="I61">
        <v>1.0409308239999999</v>
      </c>
      <c r="J61">
        <f t="shared" si="8"/>
        <v>392.69908169872417</v>
      </c>
      <c r="K61">
        <f t="shared" si="9"/>
        <v>1.9634954084936209E-3</v>
      </c>
      <c r="L61">
        <f t="shared" si="10"/>
        <v>200000</v>
      </c>
      <c r="M61">
        <f t="shared" si="23"/>
        <v>208186.1648</v>
      </c>
      <c r="N61">
        <v>0.30180000000000001</v>
      </c>
      <c r="O61">
        <f t="shared" si="21"/>
        <v>168.74519132148038</v>
      </c>
      <c r="P61">
        <f t="shared" si="11"/>
        <v>153.70547784042884</v>
      </c>
      <c r="Q61">
        <v>4.0199999999999996</v>
      </c>
      <c r="R61">
        <f t="shared" si="24"/>
        <v>8369.0838249599983</v>
      </c>
      <c r="S61">
        <v>0.22</v>
      </c>
      <c r="T61">
        <f t="shared" si="25"/>
        <v>458.00956256000001</v>
      </c>
      <c r="U61">
        <v>16738.16764992</v>
      </c>
      <c r="V61">
        <v>916.01912512000001</v>
      </c>
      <c r="W61">
        <f t="shared" si="12"/>
        <v>7623.1744343539804</v>
      </c>
      <c r="X61">
        <f t="shared" si="13"/>
        <v>417.1886506362876</v>
      </c>
      <c r="Y61">
        <f t="shared" si="26"/>
        <v>4.1845419124799992E-2</v>
      </c>
      <c r="Z61">
        <f t="shared" si="27"/>
        <v>2.2900478128E-3</v>
      </c>
      <c r="AA61">
        <f t="shared" si="14"/>
        <v>41845.419124799992</v>
      </c>
      <c r="AB61">
        <f t="shared" si="15"/>
        <v>2290.0478128</v>
      </c>
      <c r="AC61">
        <v>19.854178969830457</v>
      </c>
      <c r="AD61">
        <f t="shared" si="6"/>
        <v>18.27272727272727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</row>
    <row r="62" spans="1:56" x14ac:dyDescent="0.2">
      <c r="A62">
        <v>61</v>
      </c>
      <c r="B62" t="s">
        <v>26</v>
      </c>
      <c r="C62" t="s">
        <v>27</v>
      </c>
      <c r="D62">
        <v>11</v>
      </c>
      <c r="E62" t="s">
        <v>41</v>
      </c>
      <c r="F62" t="s">
        <v>89</v>
      </c>
      <c r="G62" t="s">
        <v>92</v>
      </c>
      <c r="H62">
        <v>209.06</v>
      </c>
      <c r="I62">
        <v>0.59274325000000005</v>
      </c>
      <c r="J62">
        <f t="shared" si="8"/>
        <v>392.69908169872417</v>
      </c>
      <c r="K62">
        <f t="shared" si="9"/>
        <v>1.9634954084936209E-3</v>
      </c>
      <c r="L62">
        <f t="shared" si="10"/>
        <v>200000</v>
      </c>
      <c r="M62">
        <f t="shared" si="23"/>
        <v>118548.65000000001</v>
      </c>
      <c r="N62">
        <v>0.71060000000000001</v>
      </c>
      <c r="O62">
        <f t="shared" si="21"/>
        <v>402.9497306514877</v>
      </c>
      <c r="P62">
        <f t="shared" si="11"/>
        <v>361.90560819552263</v>
      </c>
      <c r="Q62">
        <v>3.13</v>
      </c>
      <c r="R62">
        <f t="shared" si="24"/>
        <v>3710.5727450000004</v>
      </c>
      <c r="S62">
        <v>0.17</v>
      </c>
      <c r="T62">
        <f t="shared" si="25"/>
        <v>201.53270500000002</v>
      </c>
      <c r="U62">
        <v>3710.5727449999999</v>
      </c>
      <c r="V62">
        <v>201.53270499999999</v>
      </c>
      <c r="W62">
        <f t="shared" si="12"/>
        <v>3332.6169094636107</v>
      </c>
      <c r="X62">
        <f t="shared" si="13"/>
        <v>181.00475227118653</v>
      </c>
      <c r="Y62">
        <f t="shared" si="26"/>
        <v>1.8552863725000004E-2</v>
      </c>
      <c r="Z62">
        <f t="shared" si="27"/>
        <v>1.0076635250000001E-3</v>
      </c>
      <c r="AA62">
        <f t="shared" si="14"/>
        <v>18552.863725000003</v>
      </c>
      <c r="AB62">
        <f t="shared" si="15"/>
        <v>1007.663525</v>
      </c>
      <c r="AC62">
        <v>35.336461866077777</v>
      </c>
      <c r="AD62">
        <f t="shared" si="6"/>
        <v>18.411764705882351</v>
      </c>
      <c r="AE62" s="11">
        <v>5.7706</v>
      </c>
      <c r="AF62" s="11">
        <v>9.5000000000000001E-2</v>
      </c>
      <c r="AG62" s="11">
        <v>2.4868000000000001</v>
      </c>
      <c r="AH62" s="11">
        <v>3.1739000000000002</v>
      </c>
      <c r="AI62" s="11">
        <f>AF62+AG62+AH62</f>
        <v>5.7557000000000009</v>
      </c>
      <c r="AJ62" s="11">
        <v>38.369999999999997</v>
      </c>
      <c r="AK62" s="11">
        <v>0.97</v>
      </c>
      <c r="AL62" s="11">
        <v>1.08</v>
      </c>
      <c r="AM62" s="11">
        <v>0.05</v>
      </c>
      <c r="AN62" s="11">
        <v>2.08</v>
      </c>
      <c r="AO62" s="11">
        <v>0.12</v>
      </c>
      <c r="AP62" s="12">
        <f>((AF62/AE62)*I62)*(AJ62/100)</f>
        <v>3.7442173391631726E-3</v>
      </c>
      <c r="AQ62" s="12">
        <f>((AF62/AE62)*I62)*(AK62/100)</f>
        <v>9.4654438858177682E-5</v>
      </c>
      <c r="AR62" s="12">
        <f>((AG62/AE62)*I62)*(AL62/100)</f>
        <v>2.7587367470072442E-3</v>
      </c>
      <c r="AS62" s="12">
        <f>((AG62/AE62)*I62)*(AM62/100)</f>
        <v>1.2771929384292795E-4</v>
      </c>
      <c r="AT62" s="12">
        <f>((AH62/AE62)*I62)*(AN62/100)</f>
        <v>6.7811323370949306E-3</v>
      </c>
      <c r="AU62" s="12">
        <f>((AH62/AE62)*I62)*(AO62/100)</f>
        <v>3.9121917329393828E-4</v>
      </c>
      <c r="AV62" s="12">
        <f t="shared" ref="AV62:BA63" si="32">AP62*100*100*20</f>
        <v>748.84346783263459</v>
      </c>
      <c r="AW62" s="12">
        <f t="shared" si="32"/>
        <v>18.930887771635536</v>
      </c>
      <c r="AX62" s="12">
        <f t="shared" si="32"/>
        <v>551.7473494014489</v>
      </c>
      <c r="AY62" s="12">
        <f t="shared" si="32"/>
        <v>25.54385876858559</v>
      </c>
      <c r="AZ62" s="12">
        <f t="shared" si="32"/>
        <v>1356.2264674189862</v>
      </c>
      <c r="BA62" s="12">
        <f t="shared" si="32"/>
        <v>78.243834658787662</v>
      </c>
      <c r="BB62" s="12">
        <f>AV62+AX62</f>
        <v>1300.5908172340835</v>
      </c>
      <c r="BC62" s="12">
        <f>AZ62/AX62</f>
        <v>2.4580570597942319</v>
      </c>
      <c r="BD62" s="12">
        <f>AZ62/BB62</f>
        <v>1.042777212823339</v>
      </c>
    </row>
    <row r="63" spans="1:56" x14ac:dyDescent="0.2">
      <c r="A63">
        <v>62</v>
      </c>
      <c r="B63" t="s">
        <v>26</v>
      </c>
      <c r="C63" t="s">
        <v>27</v>
      </c>
      <c r="D63">
        <v>11</v>
      </c>
      <c r="E63" t="s">
        <v>41</v>
      </c>
      <c r="F63" t="s">
        <v>90</v>
      </c>
      <c r="G63" t="s">
        <v>92</v>
      </c>
      <c r="H63">
        <v>404.64</v>
      </c>
      <c r="I63">
        <v>1.1004650819999999</v>
      </c>
      <c r="J63">
        <f t="shared" si="8"/>
        <v>392.69908169872417</v>
      </c>
      <c r="K63">
        <f t="shared" si="9"/>
        <v>1.9634954084936209E-3</v>
      </c>
      <c r="L63">
        <f t="shared" si="10"/>
        <v>200000</v>
      </c>
      <c r="M63">
        <f t="shared" si="23"/>
        <v>220093.01639999999</v>
      </c>
      <c r="N63">
        <v>0.1089</v>
      </c>
      <c r="O63">
        <f t="shared" ref="O63:O88" si="33">N63*M63/H63</f>
        <v>59.233218381672593</v>
      </c>
      <c r="P63">
        <f t="shared" si="11"/>
        <v>55.462314568663679</v>
      </c>
      <c r="Q63">
        <v>0.94</v>
      </c>
      <c r="R63">
        <f t="shared" si="24"/>
        <v>2068.8743541599997</v>
      </c>
      <c r="S63">
        <v>0.06</v>
      </c>
      <c r="T63">
        <f t="shared" si="25"/>
        <v>132.05580983999999</v>
      </c>
      <c r="U63">
        <v>4137.7487083199994</v>
      </c>
      <c r="V63">
        <v>264.11161967999988</v>
      </c>
      <c r="W63">
        <f t="shared" si="12"/>
        <v>1937.1657216749518</v>
      </c>
      <c r="X63">
        <f t="shared" si="13"/>
        <v>123.64887585159268</v>
      </c>
      <c r="Y63">
        <f t="shared" si="26"/>
        <v>1.0344371770799998E-2</v>
      </c>
      <c r="Z63">
        <f t="shared" si="27"/>
        <v>6.6027904919999992E-4</v>
      </c>
      <c r="AA63">
        <f t="shared" si="14"/>
        <v>10344.371770799999</v>
      </c>
      <c r="AB63">
        <f t="shared" si="15"/>
        <v>660.27904919999992</v>
      </c>
      <c r="AC63">
        <v>17.645829872864613</v>
      </c>
      <c r="AD63">
        <f t="shared" si="6"/>
        <v>15.666666666666666</v>
      </c>
      <c r="AE63" s="11">
        <v>5.9002999999999997</v>
      </c>
      <c r="AF63" s="11">
        <v>6.4100000000000004E-2</v>
      </c>
      <c r="AG63" s="11">
        <v>2.1570999999999998</v>
      </c>
      <c r="AH63" s="11">
        <v>3.9293999999999998</v>
      </c>
      <c r="AI63" s="11">
        <f>AF63+AG63+AH63</f>
        <v>6.150599999999999</v>
      </c>
      <c r="AJ63" s="11">
        <v>38.36</v>
      </c>
      <c r="AK63" s="11">
        <v>0.75</v>
      </c>
      <c r="AL63" s="11">
        <v>0.28000000000000003</v>
      </c>
      <c r="AM63" s="11">
        <v>0.02</v>
      </c>
      <c r="AN63" s="11">
        <v>0.79</v>
      </c>
      <c r="AO63" s="11">
        <v>7.0000000000000007E-2</v>
      </c>
      <c r="AP63" s="12">
        <f>((AF63/AE63)*I63)*(AJ63/100)</f>
        <v>4.5860501651913159E-3</v>
      </c>
      <c r="AQ63" s="12">
        <f>((AF63/AE63)*I63)*(AK63/100)</f>
        <v>8.9664693010779121E-5</v>
      </c>
      <c r="AR63" s="12">
        <f>((AG63/AE63)*I63)*(AL63/100)</f>
        <v>1.1264981508516787E-3</v>
      </c>
      <c r="AS63" s="12">
        <f>((AG63/AE63)*I63)*(AM63/100)</f>
        <v>8.0464153632262762E-5</v>
      </c>
      <c r="AT63" s="12">
        <f>((AH63/AE63)*I63)*(AN63/100)</f>
        <v>5.7896925912860912E-3</v>
      </c>
      <c r="AU63" s="12">
        <f>((AH63/AE63)*I63)*(AO63/100)</f>
        <v>5.1301073593674237E-4</v>
      </c>
      <c r="AV63" s="12">
        <f t="shared" si="32"/>
        <v>917.21003303826319</v>
      </c>
      <c r="AW63" s="12">
        <f t="shared" si="32"/>
        <v>17.932938602155822</v>
      </c>
      <c r="AX63" s="12">
        <f t="shared" si="32"/>
        <v>225.29963017033572</v>
      </c>
      <c r="AY63" s="12">
        <f t="shared" si="32"/>
        <v>16.092830726452554</v>
      </c>
      <c r="AZ63" s="12">
        <f t="shared" si="32"/>
        <v>1157.9385182572182</v>
      </c>
      <c r="BA63" s="12">
        <f t="shared" si="32"/>
        <v>102.60214718734846</v>
      </c>
      <c r="BB63" s="12">
        <f>AV63+AX63</f>
        <v>1142.5096632085988</v>
      </c>
      <c r="BC63" s="12">
        <f>AZ63/AX63</f>
        <v>5.139549130115169</v>
      </c>
      <c r="BD63" s="12">
        <f>AZ63/BB63</f>
        <v>1.0135043540947297</v>
      </c>
    </row>
    <row r="64" spans="1:56" x14ac:dyDescent="0.2">
      <c r="A64">
        <v>63</v>
      </c>
      <c r="B64" t="s">
        <v>26</v>
      </c>
      <c r="C64" t="s">
        <v>27</v>
      </c>
      <c r="D64">
        <v>11</v>
      </c>
      <c r="E64" t="s">
        <v>42</v>
      </c>
      <c r="F64" t="s">
        <v>89</v>
      </c>
      <c r="G64" t="s">
        <v>92</v>
      </c>
      <c r="H64">
        <v>209.06</v>
      </c>
      <c r="I64">
        <v>0.59274325000000005</v>
      </c>
      <c r="J64">
        <f t="shared" si="8"/>
        <v>392.69908169872417</v>
      </c>
      <c r="K64">
        <f t="shared" si="9"/>
        <v>1.9634954084936209E-3</v>
      </c>
      <c r="L64">
        <f t="shared" si="10"/>
        <v>200000</v>
      </c>
      <c r="M64">
        <f t="shared" si="23"/>
        <v>118548.65000000001</v>
      </c>
      <c r="N64">
        <v>0.59360000000000002</v>
      </c>
      <c r="O64">
        <f t="shared" si="33"/>
        <v>336.60422194585288</v>
      </c>
      <c r="P64">
        <f t="shared" si="11"/>
        <v>302.31799750191703</v>
      </c>
      <c r="Q64">
        <v>3.9</v>
      </c>
      <c r="R64">
        <f t="shared" si="24"/>
        <v>4623.3973500000002</v>
      </c>
      <c r="S64">
        <v>0.2</v>
      </c>
      <c r="T64">
        <f t="shared" si="25"/>
        <v>237.09730000000002</v>
      </c>
      <c r="U64">
        <v>4623.3973500000002</v>
      </c>
      <c r="V64">
        <v>237.09729999999999</v>
      </c>
      <c r="W64">
        <f t="shared" si="12"/>
        <v>4152.4619638683962</v>
      </c>
      <c r="X64">
        <f t="shared" si="13"/>
        <v>212.94676737786651</v>
      </c>
      <c r="Y64">
        <f t="shared" si="26"/>
        <v>2.3116986750000002E-2</v>
      </c>
      <c r="Z64">
        <f t="shared" si="27"/>
        <v>1.1854865000000001E-3</v>
      </c>
      <c r="AA64">
        <f t="shared" si="14"/>
        <v>23116.986750000004</v>
      </c>
      <c r="AB64">
        <f t="shared" si="15"/>
        <v>1185.4865</v>
      </c>
      <c r="AC64">
        <v>31.517344777861243</v>
      </c>
      <c r="AD64">
        <f t="shared" si="6"/>
        <v>19.5</v>
      </c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</row>
    <row r="65" spans="1:56" x14ac:dyDescent="0.2">
      <c r="A65">
        <v>64</v>
      </c>
      <c r="B65" t="s">
        <v>26</v>
      </c>
      <c r="C65" t="s">
        <v>27</v>
      </c>
      <c r="D65">
        <v>11</v>
      </c>
      <c r="E65" t="s">
        <v>42</v>
      </c>
      <c r="F65" t="s">
        <v>90</v>
      </c>
      <c r="G65" t="s">
        <v>92</v>
      </c>
      <c r="H65">
        <v>404.64</v>
      </c>
      <c r="I65">
        <v>1.1004650819999999</v>
      </c>
      <c r="J65">
        <f t="shared" si="8"/>
        <v>392.69908169872417</v>
      </c>
      <c r="K65">
        <f t="shared" si="9"/>
        <v>1.9634954084936209E-3</v>
      </c>
      <c r="L65">
        <f t="shared" si="10"/>
        <v>200000</v>
      </c>
      <c r="M65">
        <f t="shared" si="23"/>
        <v>220093.01639999999</v>
      </c>
      <c r="N65">
        <v>8.0999999999999996E-3</v>
      </c>
      <c r="O65">
        <f t="shared" si="33"/>
        <v>4.4057765738434167</v>
      </c>
      <c r="P65">
        <f t="shared" si="11"/>
        <v>4.1252961249419267</v>
      </c>
      <c r="Q65">
        <v>1.6</v>
      </c>
      <c r="R65">
        <f t="shared" si="24"/>
        <v>3521.4882624000002</v>
      </c>
      <c r="S65">
        <v>0.09</v>
      </c>
      <c r="T65">
        <f t="shared" si="25"/>
        <v>198.08371475999999</v>
      </c>
      <c r="U65">
        <v>7042.9765247999994</v>
      </c>
      <c r="V65">
        <v>396.16742951999993</v>
      </c>
      <c r="W65">
        <f t="shared" si="12"/>
        <v>3297.3033560424719</v>
      </c>
      <c r="X65">
        <f t="shared" si="13"/>
        <v>185.47331377738902</v>
      </c>
      <c r="Y65">
        <f t="shared" si="26"/>
        <v>1.7607441312E-2</v>
      </c>
      <c r="Z65">
        <f t="shared" si="27"/>
        <v>9.9041857379999999E-4</v>
      </c>
      <c r="AA65">
        <f t="shared" si="14"/>
        <v>17607.441311999999</v>
      </c>
      <c r="AB65">
        <f t="shared" si="15"/>
        <v>990.41857379999999</v>
      </c>
      <c r="AC65">
        <v>17.875918102052061</v>
      </c>
      <c r="AD65">
        <f t="shared" si="6"/>
        <v>17.777777777777779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</row>
    <row r="66" spans="1:56" x14ac:dyDescent="0.2">
      <c r="A66">
        <v>65</v>
      </c>
      <c r="B66" t="s">
        <v>26</v>
      </c>
      <c r="C66" t="s">
        <v>27</v>
      </c>
      <c r="D66">
        <v>11</v>
      </c>
      <c r="E66" t="s">
        <v>43</v>
      </c>
      <c r="F66" t="s">
        <v>89</v>
      </c>
      <c r="G66" t="s">
        <v>92</v>
      </c>
      <c r="H66">
        <v>209.06</v>
      </c>
      <c r="I66">
        <v>0.59274325000000005</v>
      </c>
      <c r="J66">
        <f t="shared" si="8"/>
        <v>392.69908169872417</v>
      </c>
      <c r="K66">
        <f t="shared" si="9"/>
        <v>1.9634954084936209E-3</v>
      </c>
      <c r="L66">
        <f t="shared" si="10"/>
        <v>200000</v>
      </c>
      <c r="M66">
        <f t="shared" ref="M66:M97" si="34">I66*L66</f>
        <v>118548.65000000001</v>
      </c>
      <c r="N66">
        <v>0.82320000000000004</v>
      </c>
      <c r="O66">
        <f t="shared" si="33"/>
        <v>466.80019458528659</v>
      </c>
      <c r="P66">
        <f t="shared" si="11"/>
        <v>419.25231729039439</v>
      </c>
      <c r="Q66">
        <v>3.8</v>
      </c>
      <c r="R66">
        <f t="shared" ref="R66:R97" si="35">M66*(Q66/100)</f>
        <v>4504.8487000000005</v>
      </c>
      <c r="S66">
        <v>0.23</v>
      </c>
      <c r="T66">
        <f t="shared" ref="T66:T97" si="36">M66*(S66/100)</f>
        <v>272.66189500000002</v>
      </c>
      <c r="U66">
        <v>4504.8486999999996</v>
      </c>
      <c r="V66">
        <v>272.66189500000007</v>
      </c>
      <c r="W66">
        <f t="shared" si="12"/>
        <v>4045.988580179463</v>
      </c>
      <c r="X66">
        <f t="shared" si="13"/>
        <v>244.88878248454645</v>
      </c>
      <c r="Y66">
        <f t="shared" ref="Y66:Y97" si="37">(Q66/100)*I66</f>
        <v>2.2524243500000003E-2</v>
      </c>
      <c r="Z66">
        <f t="shared" ref="Z66:Z97" si="38">(S66/100)*I66</f>
        <v>1.3633094750000001E-3</v>
      </c>
      <c r="AA66">
        <f t="shared" si="14"/>
        <v>22524.243500000004</v>
      </c>
      <c r="AB66">
        <f t="shared" si="15"/>
        <v>1363.309475</v>
      </c>
      <c r="AC66">
        <v>31.013533079127161</v>
      </c>
      <c r="AD66">
        <f t="shared" ref="AD66:AD129" si="39">Q66/S66</f>
        <v>16.521739130434781</v>
      </c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</row>
    <row r="67" spans="1:56" x14ac:dyDescent="0.2">
      <c r="A67">
        <v>66</v>
      </c>
      <c r="B67" t="s">
        <v>26</v>
      </c>
      <c r="C67" t="s">
        <v>27</v>
      </c>
      <c r="D67">
        <v>11</v>
      </c>
      <c r="E67" t="s">
        <v>43</v>
      </c>
      <c r="F67" t="s">
        <v>90</v>
      </c>
      <c r="G67" t="s">
        <v>92</v>
      </c>
      <c r="H67">
        <v>404.64</v>
      </c>
      <c r="I67">
        <v>1.1004650819999999</v>
      </c>
      <c r="J67">
        <f t="shared" ref="J67:J130" si="40">PI()*(2.5^2)*20</f>
        <v>392.69908169872417</v>
      </c>
      <c r="K67">
        <f t="shared" ref="K67:K130" si="41">PI()*(0.025^2)</f>
        <v>1.9634954084936209E-3</v>
      </c>
      <c r="L67">
        <f t="shared" ref="L67:L130" si="42">J67/K67</f>
        <v>200000</v>
      </c>
      <c r="M67">
        <f t="shared" si="34"/>
        <v>220093.01639999999</v>
      </c>
      <c r="N67">
        <v>0.4617</v>
      </c>
      <c r="O67">
        <f t="shared" si="33"/>
        <v>251.12926470907473</v>
      </c>
      <c r="P67">
        <f t="shared" ref="P67:P129" si="43">(N67/(0.025*0.025*PI()))</f>
        <v>235.14187912168984</v>
      </c>
      <c r="Q67">
        <v>1.79</v>
      </c>
      <c r="R67">
        <f t="shared" si="35"/>
        <v>3939.6649935599999</v>
      </c>
      <c r="S67">
        <v>0.12</v>
      </c>
      <c r="T67">
        <f t="shared" si="36"/>
        <v>264.11161967999999</v>
      </c>
      <c r="U67">
        <v>7879.3299871199997</v>
      </c>
      <c r="V67">
        <v>528.22323935999987</v>
      </c>
      <c r="W67">
        <f t="shared" ref="W67:W130" si="44">((H67/(0.025*0.025*PI())))*(Q67/100)</f>
        <v>3688.8581295725153</v>
      </c>
      <c r="X67">
        <f t="shared" ref="X67:X130" si="45">((H67/(0.025*0.025*PI())))*(S67/100)</f>
        <v>247.29775170318536</v>
      </c>
      <c r="Y67">
        <f t="shared" si="37"/>
        <v>1.96983249678E-2</v>
      </c>
      <c r="Z67">
        <f t="shared" si="38"/>
        <v>1.3205580983999998E-3</v>
      </c>
      <c r="AA67">
        <f t="shared" ref="AA67:AA130" si="46">Y67*1000000</f>
        <v>19698.324967799999</v>
      </c>
      <c r="AB67">
        <f t="shared" ref="AB67:AB130" si="47">Z67*1000000</f>
        <v>1320.5580983999998</v>
      </c>
      <c r="AC67">
        <v>19.112165529392058</v>
      </c>
      <c r="AD67">
        <f t="shared" si="39"/>
        <v>14.916666666666668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</row>
    <row r="68" spans="1:56" x14ac:dyDescent="0.2">
      <c r="A68">
        <v>67</v>
      </c>
      <c r="B68" t="s">
        <v>26</v>
      </c>
      <c r="C68" t="s">
        <v>27</v>
      </c>
      <c r="D68">
        <v>12</v>
      </c>
      <c r="E68" t="s">
        <v>44</v>
      </c>
      <c r="F68" t="s">
        <v>89</v>
      </c>
      <c r="G68" t="s">
        <v>92</v>
      </c>
      <c r="H68">
        <v>345.18</v>
      </c>
      <c r="I68">
        <v>0.92707706499999998</v>
      </c>
      <c r="J68">
        <f t="shared" si="40"/>
        <v>392.69908169872417</v>
      </c>
      <c r="K68">
        <f t="shared" si="41"/>
        <v>1.9634954084936209E-3</v>
      </c>
      <c r="L68">
        <f t="shared" si="42"/>
        <v>200000</v>
      </c>
      <c r="M68">
        <f t="shared" si="34"/>
        <v>185415.413</v>
      </c>
      <c r="N68">
        <v>0.28189999999999998</v>
      </c>
      <c r="O68">
        <f t="shared" si="33"/>
        <v>151.42419875050697</v>
      </c>
      <c r="P68">
        <f t="shared" si="43"/>
        <v>143.57049106433692</v>
      </c>
      <c r="Q68">
        <v>1.08</v>
      </c>
      <c r="R68">
        <f t="shared" si="35"/>
        <v>2002.4864604000002</v>
      </c>
      <c r="S68">
        <v>0.08</v>
      </c>
      <c r="T68">
        <f t="shared" si="36"/>
        <v>148.33233040000002</v>
      </c>
      <c r="U68">
        <v>2002.4864603999999</v>
      </c>
      <c r="V68">
        <v>148.33233039999999</v>
      </c>
      <c r="W68">
        <f t="shared" si="44"/>
        <v>1898.6262885432727</v>
      </c>
      <c r="X68">
        <f t="shared" si="45"/>
        <v>140.63898433653873</v>
      </c>
      <c r="Y68">
        <f t="shared" si="37"/>
        <v>1.0012432302E-2</v>
      </c>
      <c r="Z68">
        <f t="shared" si="38"/>
        <v>7.4166165200000001E-4</v>
      </c>
      <c r="AA68">
        <f t="shared" si="46"/>
        <v>10012.432301999999</v>
      </c>
      <c r="AB68">
        <f t="shared" si="47"/>
        <v>741.661652</v>
      </c>
      <c r="AC68">
        <v>22.622218981870727</v>
      </c>
      <c r="AD68">
        <f t="shared" si="39"/>
        <v>13.5</v>
      </c>
      <c r="AE68" s="11">
        <v>5.7077999999999998</v>
      </c>
      <c r="AF68" s="11">
        <v>0.1215</v>
      </c>
      <c r="AG68" s="11">
        <v>2.5259</v>
      </c>
      <c r="AH68" s="11">
        <v>3.0352999999999999</v>
      </c>
      <c r="AI68" s="11">
        <f>AF68+AG68+AH68</f>
        <v>5.6827000000000005</v>
      </c>
      <c r="AJ68" s="11">
        <v>40.72</v>
      </c>
      <c r="AK68" s="11">
        <v>0.8</v>
      </c>
      <c r="AL68" s="11">
        <v>3.41</v>
      </c>
      <c r="AM68" s="11">
        <v>0.22</v>
      </c>
      <c r="AN68" s="11">
        <v>5</v>
      </c>
      <c r="AO68" s="11">
        <v>0.39</v>
      </c>
      <c r="AP68" s="12">
        <f>((AF68/AE68)*I68)*(AJ68/100)</f>
        <v>8.0358373410879848E-3</v>
      </c>
      <c r="AQ68" s="12">
        <f>((AF68/AE68)*I68)*(AK68/100)</f>
        <v>1.5787499687795647E-4</v>
      </c>
      <c r="AR68" s="12">
        <f>((AG68/AE68)*I68)*(AL68/100)</f>
        <v>1.39899970188667E-2</v>
      </c>
      <c r="AS68" s="12">
        <f>((AG68/AE68)*I68)*(AM68/100)</f>
        <v>9.0258045283010983E-4</v>
      </c>
      <c r="AT68" s="12">
        <f>((AH68/AE68)*I68)*(AN68/100)</f>
        <v>2.4650101750188336E-2</v>
      </c>
      <c r="AU68" s="12">
        <f>((AH68/AE68)*I68)*(AO68/100)</f>
        <v>1.9227079365146903E-3</v>
      </c>
      <c r="AV68" s="12">
        <f t="shared" ref="AV68:BA69" si="48">AP68*100*100*20</f>
        <v>1607.1674682175969</v>
      </c>
      <c r="AW68" s="12">
        <f t="shared" si="48"/>
        <v>31.574999375591297</v>
      </c>
      <c r="AX68" s="12">
        <f t="shared" si="48"/>
        <v>2797.99940377334</v>
      </c>
      <c r="AY68" s="12">
        <f t="shared" si="48"/>
        <v>180.51609056602194</v>
      </c>
      <c r="AZ68" s="12">
        <f t="shared" si="48"/>
        <v>4930.0203500376674</v>
      </c>
      <c r="BA68" s="12">
        <f t="shared" si="48"/>
        <v>384.54158730293807</v>
      </c>
      <c r="BB68" s="12">
        <f>AV68+AX68</f>
        <v>4405.1668719909367</v>
      </c>
      <c r="BC68" s="12">
        <f>AZ68/AX68</f>
        <v>1.761980486267837</v>
      </c>
      <c r="BD68" s="12">
        <f>AZ68/BB68</f>
        <v>1.1191449707351315</v>
      </c>
    </row>
    <row r="69" spans="1:56" x14ac:dyDescent="0.2">
      <c r="A69">
        <v>68</v>
      </c>
      <c r="B69" t="s">
        <v>26</v>
      </c>
      <c r="C69" t="s">
        <v>27</v>
      </c>
      <c r="D69">
        <v>12</v>
      </c>
      <c r="E69" t="s">
        <v>44</v>
      </c>
      <c r="F69" t="s">
        <v>90</v>
      </c>
      <c r="G69" t="s">
        <v>92</v>
      </c>
      <c r="H69">
        <v>336.25</v>
      </c>
      <c r="I69">
        <v>1.007239349</v>
      </c>
      <c r="J69">
        <f t="shared" si="40"/>
        <v>392.69908169872417</v>
      </c>
      <c r="K69">
        <f t="shared" si="41"/>
        <v>1.9634954084936209E-3</v>
      </c>
      <c r="L69">
        <f t="shared" si="42"/>
        <v>200000</v>
      </c>
      <c r="M69">
        <f t="shared" si="34"/>
        <v>201447.86980000001</v>
      </c>
      <c r="N69">
        <v>0.3604</v>
      </c>
      <c r="O69">
        <f t="shared" si="33"/>
        <v>215.91617033730856</v>
      </c>
      <c r="P69">
        <f t="shared" si="43"/>
        <v>183.55021276902104</v>
      </c>
      <c r="Q69">
        <v>0.71</v>
      </c>
      <c r="R69">
        <f t="shared" si="35"/>
        <v>1430.27987558</v>
      </c>
      <c r="S69">
        <v>0.06</v>
      </c>
      <c r="T69">
        <f t="shared" si="36"/>
        <v>120.86872188</v>
      </c>
      <c r="U69">
        <v>2860.5597511599999</v>
      </c>
      <c r="V69">
        <v>241.73744375999999</v>
      </c>
      <c r="W69">
        <f t="shared" si="44"/>
        <v>1215.8801032448434</v>
      </c>
      <c r="X69">
        <f t="shared" si="45"/>
        <v>102.75043126012761</v>
      </c>
      <c r="Y69">
        <f t="shared" si="37"/>
        <v>7.1513993778999996E-3</v>
      </c>
      <c r="Z69">
        <f t="shared" si="38"/>
        <v>6.043436094E-4</v>
      </c>
      <c r="AA69">
        <f t="shared" si="46"/>
        <v>7151.3993778999993</v>
      </c>
      <c r="AB69">
        <f t="shared" si="47"/>
        <v>604.34360939999999</v>
      </c>
      <c r="AC69">
        <v>18.989527148791591</v>
      </c>
      <c r="AD69">
        <f t="shared" si="39"/>
        <v>11.833333333333334</v>
      </c>
      <c r="AE69" s="11">
        <v>5.7512999999999996</v>
      </c>
      <c r="AF69" s="11">
        <v>4.2900000000000001E-2</v>
      </c>
      <c r="AG69" s="11">
        <v>2.1869999999999998</v>
      </c>
      <c r="AH69" s="11">
        <v>3.6406999999999998</v>
      </c>
      <c r="AI69" s="11">
        <f>AF69+AG69+AH69</f>
        <v>5.8705999999999996</v>
      </c>
      <c r="AJ69" s="11">
        <v>40.32</v>
      </c>
      <c r="AK69" s="11">
        <v>1.04</v>
      </c>
      <c r="AL69" s="11">
        <v>0.18</v>
      </c>
      <c r="AM69" s="11">
        <v>0.01</v>
      </c>
      <c r="AN69" s="11">
        <v>1.08</v>
      </c>
      <c r="AO69" s="11">
        <v>0.09</v>
      </c>
      <c r="AP69" s="12">
        <f>((AF69/AE69)*I69)*(AJ69/100)</f>
        <v>3.0293152933546716E-3</v>
      </c>
      <c r="AQ69" s="12">
        <f>((AF69/AE69)*I69)*(AK69/100)</f>
        <v>7.81371008206562E-5</v>
      </c>
      <c r="AR69" s="12">
        <f>((AG69/AE69)*I69)*(AL69/100)</f>
        <v>6.8942646380355745E-4</v>
      </c>
      <c r="AS69" s="12">
        <f>((AG69/AE69)*I69)*(AM69/100)</f>
        <v>3.8301470211308751E-5</v>
      </c>
      <c r="AT69" s="12">
        <f>((AH69/AE69)*I69)*(AN69/100)</f>
        <v>6.8861314863363846E-3</v>
      </c>
      <c r="AU69" s="12">
        <f>((AH69/AE69)*I69)*(AO69/100)</f>
        <v>5.7384429052803197E-4</v>
      </c>
      <c r="AV69" s="12">
        <f t="shared" si="48"/>
        <v>605.86305867093438</v>
      </c>
      <c r="AW69" s="12">
        <f t="shared" si="48"/>
        <v>15.627420164131237</v>
      </c>
      <c r="AX69" s="12">
        <f t="shared" si="48"/>
        <v>137.88529276071148</v>
      </c>
      <c r="AY69" s="12">
        <f t="shared" si="48"/>
        <v>7.66029404226175</v>
      </c>
      <c r="AZ69" s="12">
        <f t="shared" si="48"/>
        <v>1377.226297267277</v>
      </c>
      <c r="BA69" s="12">
        <f t="shared" si="48"/>
        <v>114.7688581056064</v>
      </c>
      <c r="BB69" s="12">
        <f>AV69+AX69</f>
        <v>743.74835143164591</v>
      </c>
      <c r="BC69" s="12">
        <f>AZ69/AX69</f>
        <v>9.9882030178326513</v>
      </c>
      <c r="BD69" s="12">
        <f>AZ69/BB69</f>
        <v>1.8517369411525355</v>
      </c>
    </row>
    <row r="70" spans="1:56" x14ac:dyDescent="0.2">
      <c r="A70">
        <v>69</v>
      </c>
      <c r="B70" t="s">
        <v>26</v>
      </c>
      <c r="C70" t="s">
        <v>27</v>
      </c>
      <c r="D70">
        <v>12</v>
      </c>
      <c r="E70" t="s">
        <v>45</v>
      </c>
      <c r="F70" t="s">
        <v>89</v>
      </c>
      <c r="G70" t="s">
        <v>92</v>
      </c>
      <c r="H70">
        <v>345.18</v>
      </c>
      <c r="I70">
        <v>0.92707706499999998</v>
      </c>
      <c r="J70">
        <f t="shared" si="40"/>
        <v>392.69908169872417</v>
      </c>
      <c r="K70">
        <f t="shared" si="41"/>
        <v>1.9634954084936209E-3</v>
      </c>
      <c r="L70">
        <f t="shared" si="42"/>
        <v>200000</v>
      </c>
      <c r="M70">
        <f t="shared" si="34"/>
        <v>185415.413</v>
      </c>
      <c r="N70">
        <v>0.73340000000000005</v>
      </c>
      <c r="O70">
        <f t="shared" si="33"/>
        <v>393.9500083846109</v>
      </c>
      <c r="P70">
        <f t="shared" si="43"/>
        <v>373.51755284350736</v>
      </c>
      <c r="Q70">
        <v>0.74</v>
      </c>
      <c r="R70">
        <f t="shared" si="35"/>
        <v>1372.0740562000001</v>
      </c>
      <c r="S70">
        <v>0.06</v>
      </c>
      <c r="T70">
        <f t="shared" si="36"/>
        <v>111.24924779999999</v>
      </c>
      <c r="U70">
        <v>1372.0740562000001</v>
      </c>
      <c r="V70">
        <v>111.24924780000001</v>
      </c>
      <c r="W70">
        <f t="shared" si="44"/>
        <v>1300.9106051129831</v>
      </c>
      <c r="X70">
        <f t="shared" si="45"/>
        <v>105.47923825240402</v>
      </c>
      <c r="Y70">
        <f t="shared" si="37"/>
        <v>6.8603702810000004E-3</v>
      </c>
      <c r="Z70">
        <f t="shared" si="38"/>
        <v>5.5624623899999995E-4</v>
      </c>
      <c r="AA70">
        <f t="shared" si="46"/>
        <v>6860.3702810000004</v>
      </c>
      <c r="AB70">
        <f t="shared" si="47"/>
        <v>556.24623899999995</v>
      </c>
      <c r="AC70">
        <v>43.976873129024433</v>
      </c>
      <c r="AD70">
        <f t="shared" si="39"/>
        <v>12.333333333333334</v>
      </c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</row>
    <row r="71" spans="1:56" x14ac:dyDescent="0.2">
      <c r="A71">
        <v>70</v>
      </c>
      <c r="B71" t="s">
        <v>26</v>
      </c>
      <c r="C71" t="s">
        <v>27</v>
      </c>
      <c r="D71">
        <v>12</v>
      </c>
      <c r="E71" t="s">
        <v>45</v>
      </c>
      <c r="F71" t="s">
        <v>90</v>
      </c>
      <c r="G71" t="s">
        <v>92</v>
      </c>
      <c r="H71">
        <v>336.25</v>
      </c>
      <c r="I71">
        <v>1.007239349</v>
      </c>
      <c r="J71">
        <f t="shared" si="40"/>
        <v>392.69908169872417</v>
      </c>
      <c r="K71">
        <f t="shared" si="41"/>
        <v>1.9634954084936209E-3</v>
      </c>
      <c r="L71">
        <f t="shared" si="42"/>
        <v>200000</v>
      </c>
      <c r="M71">
        <f t="shared" si="34"/>
        <v>201447.86980000001</v>
      </c>
      <c r="N71">
        <v>0.55159999999999998</v>
      </c>
      <c r="O71">
        <f t="shared" si="33"/>
        <v>330.46437169272861</v>
      </c>
      <c r="P71">
        <f t="shared" si="43"/>
        <v>280.92757315036624</v>
      </c>
      <c r="Q71">
        <v>0.86</v>
      </c>
      <c r="R71">
        <f t="shared" si="35"/>
        <v>1732.4516802800001</v>
      </c>
      <c r="S71">
        <v>7.0000000000000007E-2</v>
      </c>
      <c r="T71">
        <f t="shared" si="36"/>
        <v>141.01350886000003</v>
      </c>
      <c r="U71">
        <v>3464.9033605600011</v>
      </c>
      <c r="V71">
        <v>282.02701772000012</v>
      </c>
      <c r="W71">
        <f t="shared" si="44"/>
        <v>1472.7561813951627</v>
      </c>
      <c r="X71">
        <f t="shared" si="45"/>
        <v>119.87550313681558</v>
      </c>
      <c r="Y71">
        <f t="shared" si="37"/>
        <v>8.6622584014000008E-3</v>
      </c>
      <c r="Z71">
        <f t="shared" si="38"/>
        <v>7.0506754430000012E-4</v>
      </c>
      <c r="AA71">
        <f t="shared" si="46"/>
        <v>8662.2584014000004</v>
      </c>
      <c r="AB71">
        <f t="shared" si="47"/>
        <v>705.06754430000012</v>
      </c>
      <c r="AC71">
        <v>21.673751011431989</v>
      </c>
      <c r="AD71">
        <f t="shared" si="39"/>
        <v>12.285714285714285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</row>
    <row r="72" spans="1:56" x14ac:dyDescent="0.2">
      <c r="A72">
        <v>71</v>
      </c>
      <c r="B72" t="s">
        <v>26</v>
      </c>
      <c r="C72" t="s">
        <v>27</v>
      </c>
      <c r="D72">
        <v>12</v>
      </c>
      <c r="E72" t="s">
        <v>46</v>
      </c>
      <c r="F72" t="s">
        <v>89</v>
      </c>
      <c r="G72" t="s">
        <v>92</v>
      </c>
      <c r="H72">
        <v>345.18</v>
      </c>
      <c r="I72">
        <v>0.92707706499999998</v>
      </c>
      <c r="J72">
        <f t="shared" si="40"/>
        <v>392.69908169872417</v>
      </c>
      <c r="K72">
        <f t="shared" si="41"/>
        <v>1.9634954084936209E-3</v>
      </c>
      <c r="L72">
        <f t="shared" si="42"/>
        <v>200000</v>
      </c>
      <c r="M72">
        <f t="shared" si="34"/>
        <v>185415.413</v>
      </c>
      <c r="N72">
        <v>0.86709999999999998</v>
      </c>
      <c r="O72">
        <f t="shared" si="33"/>
        <v>465.76772875688044</v>
      </c>
      <c r="P72">
        <f t="shared" si="43"/>
        <v>441.61040369594377</v>
      </c>
      <c r="Q72">
        <v>3.56</v>
      </c>
      <c r="R72">
        <f t="shared" si="35"/>
        <v>6600.7887027999996</v>
      </c>
      <c r="S72">
        <v>0.16</v>
      </c>
      <c r="T72">
        <f t="shared" si="36"/>
        <v>296.66466080000004</v>
      </c>
      <c r="U72">
        <v>6600.7887027999996</v>
      </c>
      <c r="V72">
        <v>296.66466079999998</v>
      </c>
      <c r="W72">
        <f t="shared" si="44"/>
        <v>6258.4348029759722</v>
      </c>
      <c r="X72">
        <f t="shared" si="45"/>
        <v>281.27796867307745</v>
      </c>
      <c r="Y72">
        <f t="shared" si="37"/>
        <v>3.3003943513999996E-2</v>
      </c>
      <c r="Z72">
        <f t="shared" si="38"/>
        <v>1.483323304E-3</v>
      </c>
      <c r="AA72">
        <f t="shared" si="46"/>
        <v>33003.943513999999</v>
      </c>
      <c r="AB72">
        <f t="shared" si="47"/>
        <v>1483.323304</v>
      </c>
      <c r="AC72">
        <v>36.279578004931018</v>
      </c>
      <c r="AD72">
        <f t="shared" si="39"/>
        <v>22.25</v>
      </c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</row>
    <row r="73" spans="1:56" x14ac:dyDescent="0.2">
      <c r="A73">
        <v>72</v>
      </c>
      <c r="B73" t="s">
        <v>26</v>
      </c>
      <c r="C73" t="s">
        <v>27</v>
      </c>
      <c r="D73">
        <v>12</v>
      </c>
      <c r="E73" t="s">
        <v>46</v>
      </c>
      <c r="F73" t="s">
        <v>90</v>
      </c>
      <c r="G73" t="s">
        <v>92</v>
      </c>
      <c r="H73">
        <v>336.25</v>
      </c>
      <c r="I73">
        <v>1.007239349</v>
      </c>
      <c r="J73">
        <f t="shared" si="40"/>
        <v>392.69908169872417</v>
      </c>
      <c r="K73">
        <f t="shared" si="41"/>
        <v>1.9634954084936209E-3</v>
      </c>
      <c r="L73">
        <f t="shared" si="42"/>
        <v>200000</v>
      </c>
      <c r="M73">
        <f t="shared" si="34"/>
        <v>201447.86980000001</v>
      </c>
      <c r="N73">
        <v>0.32390000000000002</v>
      </c>
      <c r="O73">
        <f t="shared" si="33"/>
        <v>194.04896662667662</v>
      </c>
      <c r="P73">
        <f t="shared" si="43"/>
        <v>164.96091541588768</v>
      </c>
      <c r="Q73">
        <v>1.51</v>
      </c>
      <c r="R73">
        <f t="shared" si="35"/>
        <v>3041.8628339800002</v>
      </c>
      <c r="S73">
        <v>7.0000000000000007E-2</v>
      </c>
      <c r="T73">
        <f t="shared" si="36"/>
        <v>141.01350886000003</v>
      </c>
      <c r="U73">
        <v>6083.7256679599996</v>
      </c>
      <c r="V73">
        <v>282.02701772000012</v>
      </c>
      <c r="W73">
        <f t="shared" si="44"/>
        <v>2585.8858533798789</v>
      </c>
      <c r="X73">
        <f t="shared" si="45"/>
        <v>119.87550313681558</v>
      </c>
      <c r="Y73">
        <f t="shared" si="37"/>
        <v>1.52093141699E-2</v>
      </c>
      <c r="Z73">
        <f t="shared" si="38"/>
        <v>7.0506754430000012E-4</v>
      </c>
      <c r="AA73">
        <f t="shared" si="46"/>
        <v>15209.314169900001</v>
      </c>
      <c r="AB73">
        <f t="shared" si="47"/>
        <v>705.06754430000012</v>
      </c>
      <c r="AC73">
        <v>27.084091906200076</v>
      </c>
      <c r="AD73">
        <f t="shared" si="39"/>
        <v>21.571428571428569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</row>
    <row r="74" spans="1:56" x14ac:dyDescent="0.2">
      <c r="A74">
        <v>73</v>
      </c>
      <c r="B74" t="s">
        <v>47</v>
      </c>
      <c r="C74" t="s">
        <v>48</v>
      </c>
      <c r="D74">
        <v>13</v>
      </c>
      <c r="E74" t="s">
        <v>49</v>
      </c>
      <c r="F74" t="s">
        <v>89</v>
      </c>
      <c r="G74" t="s">
        <v>92</v>
      </c>
      <c r="H74">
        <v>191.68</v>
      </c>
      <c r="I74">
        <v>0.507493953</v>
      </c>
      <c r="J74">
        <f t="shared" si="40"/>
        <v>392.69908169872417</v>
      </c>
      <c r="K74">
        <f t="shared" si="41"/>
        <v>1.9634954084936209E-3</v>
      </c>
      <c r="L74">
        <f t="shared" si="42"/>
        <v>200000</v>
      </c>
      <c r="M74">
        <f t="shared" si="34"/>
        <v>101498.79059999999</v>
      </c>
      <c r="N74">
        <v>0.82889999999999997</v>
      </c>
      <c r="O74">
        <f t="shared" si="33"/>
        <v>438.92084478474533</v>
      </c>
      <c r="P74">
        <f t="shared" si="43"/>
        <v>422.15530345239051</v>
      </c>
      <c r="Q74">
        <v>6.57</v>
      </c>
      <c r="R74">
        <f t="shared" si="35"/>
        <v>6668.4705424200001</v>
      </c>
      <c r="S74">
        <v>0.39</v>
      </c>
      <c r="T74">
        <f t="shared" si="36"/>
        <v>395.84528333999998</v>
      </c>
      <c r="U74">
        <v>6668.470542420001</v>
      </c>
      <c r="V74">
        <v>395.84528333999998</v>
      </c>
      <c r="W74">
        <f t="shared" si="44"/>
        <v>6413.7537299674905</v>
      </c>
      <c r="X74">
        <f t="shared" si="45"/>
        <v>380.72510725834417</v>
      </c>
      <c r="Y74">
        <f t="shared" si="37"/>
        <v>3.3342352712100003E-2</v>
      </c>
      <c r="Z74">
        <f t="shared" si="38"/>
        <v>1.9792264167000002E-3</v>
      </c>
      <c r="AA74">
        <f t="shared" si="46"/>
        <v>33342.352712100001</v>
      </c>
      <c r="AB74">
        <f t="shared" si="47"/>
        <v>1979.2264167000003</v>
      </c>
      <c r="AC74">
        <v>26.89735356344994</v>
      </c>
      <c r="AD74">
        <f t="shared" si="39"/>
        <v>16.846153846153847</v>
      </c>
      <c r="AE74" s="11">
        <v>5.5327999999999999</v>
      </c>
      <c r="AF74" s="11">
        <v>0.1215</v>
      </c>
      <c r="AG74" s="11">
        <v>2.9388000000000001</v>
      </c>
      <c r="AH74" s="11">
        <v>2.5670999999999999</v>
      </c>
      <c r="AI74" s="11">
        <f>AF74+AG74+AH74</f>
        <v>5.6273999999999997</v>
      </c>
      <c r="AJ74" s="11">
        <v>37.83</v>
      </c>
      <c r="AK74" s="11">
        <v>1</v>
      </c>
      <c r="AL74" s="11">
        <v>0.24</v>
      </c>
      <c r="AM74" s="11">
        <v>0.02</v>
      </c>
      <c r="AN74" s="11">
        <v>1.28</v>
      </c>
      <c r="AO74" s="11">
        <v>0.1</v>
      </c>
      <c r="AP74" s="12">
        <f>((AF74/AE74)*I74)*(AJ74/100)</f>
        <v>4.2159797813074483E-3</v>
      </c>
      <c r="AQ74" s="12">
        <f>((AF74/AE74)*I74)*(AK74/100)</f>
        <v>1.1144540791190719E-4</v>
      </c>
      <c r="AR74" s="12">
        <f>((AG74/AE74)*I74)*(AL74/100)</f>
        <v>6.4694472053632157E-4</v>
      </c>
      <c r="AS74" s="12">
        <f>((AG74/AE74)*I74)*(AM74/100)</f>
        <v>5.3912060044693469E-5</v>
      </c>
      <c r="AT74" s="12">
        <f>((AH74/AE74)*I74)*(AN74/100)</f>
        <v>3.0139681359081551E-3</v>
      </c>
      <c r="AU74" s="12">
        <f>((AH74/AE74)*I74)*(AO74/100)</f>
        <v>2.3546626061782461E-4</v>
      </c>
      <c r="AV74" s="12">
        <f t="shared" ref="AV74:BA75" si="49">AP74*100*100*20</f>
        <v>843.19595626148964</v>
      </c>
      <c r="AW74" s="12">
        <f t="shared" si="49"/>
        <v>22.289081582381435</v>
      </c>
      <c r="AX74" s="12">
        <f t="shared" si="49"/>
        <v>129.38894410726431</v>
      </c>
      <c r="AY74" s="12">
        <f t="shared" si="49"/>
        <v>10.782412008938692</v>
      </c>
      <c r="AZ74" s="12">
        <f t="shared" si="49"/>
        <v>602.793627181631</v>
      </c>
      <c r="BA74" s="12">
        <f t="shared" si="49"/>
        <v>47.093252123564923</v>
      </c>
      <c r="BB74" s="12">
        <f>AV74+AX74</f>
        <v>972.58490036875401</v>
      </c>
      <c r="BC74" s="12">
        <f>AZ74/AX74</f>
        <v>4.658772288008711</v>
      </c>
      <c r="BD74" s="12">
        <f>AZ74/BB74</f>
        <v>0.61978509737615994</v>
      </c>
    </row>
    <row r="75" spans="1:56" x14ac:dyDescent="0.2">
      <c r="A75">
        <v>74</v>
      </c>
      <c r="B75" t="s">
        <v>47</v>
      </c>
      <c r="C75" t="s">
        <v>48</v>
      </c>
      <c r="D75">
        <v>13</v>
      </c>
      <c r="E75" t="s">
        <v>49</v>
      </c>
      <c r="F75" t="s">
        <v>90</v>
      </c>
      <c r="G75" t="s">
        <v>92</v>
      </c>
      <c r="H75">
        <v>278.43</v>
      </c>
      <c r="I75">
        <v>0.81246205500000002</v>
      </c>
      <c r="J75">
        <f t="shared" si="40"/>
        <v>392.69908169872417</v>
      </c>
      <c r="K75">
        <f t="shared" si="41"/>
        <v>1.9634954084936209E-3</v>
      </c>
      <c r="L75">
        <f t="shared" si="42"/>
        <v>200000</v>
      </c>
      <c r="M75">
        <f t="shared" si="34"/>
        <v>162492.41099999999</v>
      </c>
      <c r="N75">
        <v>0.18959999999999999</v>
      </c>
      <c r="O75">
        <f t="shared" si="33"/>
        <v>110.6510114772115</v>
      </c>
      <c r="P75">
        <f t="shared" si="43"/>
        <v>96.562487072714731</v>
      </c>
      <c r="Q75">
        <v>1.24</v>
      </c>
      <c r="R75">
        <f t="shared" si="35"/>
        <v>2014.9058963999998</v>
      </c>
      <c r="S75">
        <v>0.08</v>
      </c>
      <c r="T75">
        <f t="shared" si="36"/>
        <v>129.99392879999999</v>
      </c>
      <c r="U75">
        <v>4029.8117928000011</v>
      </c>
      <c r="V75">
        <v>259.98785759999998</v>
      </c>
      <c r="W75">
        <f t="shared" si="44"/>
        <v>1758.3601087454324</v>
      </c>
      <c r="X75">
        <f t="shared" si="45"/>
        <v>113.44258766099564</v>
      </c>
      <c r="Y75">
        <f t="shared" si="37"/>
        <v>1.0074529481999999E-2</v>
      </c>
      <c r="Z75">
        <f t="shared" si="38"/>
        <v>6.4996964400000005E-4</v>
      </c>
      <c r="AA75">
        <f t="shared" si="46"/>
        <v>10074.529482</v>
      </c>
      <c r="AB75">
        <f t="shared" si="47"/>
        <v>649.96964400000002</v>
      </c>
      <c r="AC75">
        <v>19.000471169696663</v>
      </c>
      <c r="AD75">
        <f t="shared" si="39"/>
        <v>15.5</v>
      </c>
      <c r="AE75" s="11">
        <v>5.9043999999999999</v>
      </c>
      <c r="AF75" s="11">
        <v>3.6700000000000003E-2</v>
      </c>
      <c r="AG75" s="11">
        <v>2.1848000000000001</v>
      </c>
      <c r="AH75" s="11">
        <v>3.7056</v>
      </c>
      <c r="AI75" s="11">
        <f>AF75+AG75+AH75</f>
        <v>5.9271000000000003</v>
      </c>
      <c r="AJ75" s="11">
        <v>43.24</v>
      </c>
      <c r="AK75" s="11">
        <v>0.86</v>
      </c>
      <c r="AL75" s="11">
        <v>0.3</v>
      </c>
      <c r="AM75" s="11">
        <v>0.02</v>
      </c>
      <c r="AN75" s="11">
        <v>1.02</v>
      </c>
      <c r="AO75" s="11">
        <v>0.08</v>
      </c>
      <c r="AP75" s="12">
        <f>((AF75/AE75)*I75)*(AJ75/100)</f>
        <v>2.1836300636405739E-3</v>
      </c>
      <c r="AQ75" s="12">
        <f>((AF75/AE75)*I75)*(AK75/100)</f>
        <v>4.3430200155663585E-5</v>
      </c>
      <c r="AR75" s="12">
        <f>((AG75/AE75)*I75)*(AL75/100)</f>
        <v>9.0190388410202565E-4</v>
      </c>
      <c r="AS75" s="12">
        <f>((AG75/AE75)*I75)*(AM75/100)</f>
        <v>6.0126925606801708E-5</v>
      </c>
      <c r="AT75" s="12">
        <f>((AH75/AE75)*I75)*(AN75/100)</f>
        <v>5.2009900732134691E-3</v>
      </c>
      <c r="AU75" s="12">
        <f>((AH75/AE75)*I75)*(AO75/100)</f>
        <v>4.0792079005595836E-4</v>
      </c>
      <c r="AV75" s="12">
        <f t="shared" si="49"/>
        <v>436.72601272811477</v>
      </c>
      <c r="AW75" s="12">
        <f t="shared" si="49"/>
        <v>8.6860400311327162</v>
      </c>
      <c r="AX75" s="12">
        <f t="shared" si="49"/>
        <v>180.38077682040512</v>
      </c>
      <c r="AY75" s="12">
        <f t="shared" si="49"/>
        <v>12.02538512136034</v>
      </c>
      <c r="AZ75" s="12">
        <f t="shared" si="49"/>
        <v>1040.198014642694</v>
      </c>
      <c r="BA75" s="12">
        <f t="shared" si="49"/>
        <v>81.584158011191676</v>
      </c>
      <c r="BB75" s="12">
        <f>AV75+AX75</f>
        <v>617.10678954851983</v>
      </c>
      <c r="BC75" s="12">
        <f>AZ75/AX75</f>
        <v>5.7666788722079847</v>
      </c>
      <c r="BD75" s="12">
        <f>AZ75/BB75</f>
        <v>1.6856045537980728</v>
      </c>
    </row>
    <row r="76" spans="1:56" x14ac:dyDescent="0.2">
      <c r="A76">
        <v>75</v>
      </c>
      <c r="B76" t="s">
        <v>47</v>
      </c>
      <c r="C76" t="s">
        <v>48</v>
      </c>
      <c r="D76">
        <v>13</v>
      </c>
      <c r="E76" t="s">
        <v>50</v>
      </c>
      <c r="F76" t="s">
        <v>89</v>
      </c>
      <c r="G76" t="s">
        <v>92</v>
      </c>
      <c r="H76">
        <v>191.68</v>
      </c>
      <c r="I76">
        <v>0.507493953</v>
      </c>
      <c r="J76">
        <f t="shared" si="40"/>
        <v>392.69908169872417</v>
      </c>
      <c r="K76">
        <f t="shared" si="41"/>
        <v>1.9634954084936209E-3</v>
      </c>
      <c r="L76">
        <f t="shared" si="42"/>
        <v>200000</v>
      </c>
      <c r="M76">
        <f t="shared" si="34"/>
        <v>101498.79059999999</v>
      </c>
      <c r="N76">
        <v>0.21360000000000001</v>
      </c>
      <c r="O76">
        <f t="shared" si="33"/>
        <v>113.10591439983305</v>
      </c>
      <c r="P76">
        <f t="shared" si="43"/>
        <v>108.7855867021723</v>
      </c>
      <c r="Q76">
        <v>6.24</v>
      </c>
      <c r="R76">
        <f t="shared" si="35"/>
        <v>6333.5245334399997</v>
      </c>
      <c r="S76">
        <v>0.38</v>
      </c>
      <c r="T76">
        <f t="shared" si="36"/>
        <v>385.69540427999999</v>
      </c>
      <c r="U76">
        <v>6333.5245334400006</v>
      </c>
      <c r="V76">
        <v>385.69540427999988</v>
      </c>
      <c r="W76">
        <f t="shared" si="44"/>
        <v>6091.6017161335067</v>
      </c>
      <c r="X76">
        <f t="shared" si="45"/>
        <v>370.96292502095071</v>
      </c>
      <c r="Y76">
        <f t="shared" si="37"/>
        <v>3.1667622667200003E-2</v>
      </c>
      <c r="Z76">
        <f t="shared" si="38"/>
        <v>1.9284770213999999E-3</v>
      </c>
      <c r="AA76">
        <f t="shared" si="46"/>
        <v>31667.622667200005</v>
      </c>
      <c r="AB76">
        <f t="shared" si="47"/>
        <v>1928.4770213999998</v>
      </c>
      <c r="AC76">
        <v>19.079316091870762</v>
      </c>
      <c r="AD76">
        <f t="shared" si="39"/>
        <v>16.421052631578949</v>
      </c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</row>
    <row r="77" spans="1:56" x14ac:dyDescent="0.2">
      <c r="A77">
        <v>76</v>
      </c>
      <c r="B77" t="s">
        <v>47</v>
      </c>
      <c r="C77" t="s">
        <v>48</v>
      </c>
      <c r="D77">
        <v>13</v>
      </c>
      <c r="E77" t="s">
        <v>50</v>
      </c>
      <c r="F77" t="s">
        <v>90</v>
      </c>
      <c r="G77" t="s">
        <v>92</v>
      </c>
      <c r="H77">
        <v>278.43</v>
      </c>
      <c r="I77">
        <v>0.81246205500000002</v>
      </c>
      <c r="J77">
        <f t="shared" si="40"/>
        <v>392.69908169872417</v>
      </c>
      <c r="K77">
        <f t="shared" si="41"/>
        <v>1.9634954084936209E-3</v>
      </c>
      <c r="L77">
        <f t="shared" si="42"/>
        <v>200000</v>
      </c>
      <c r="M77">
        <f t="shared" si="34"/>
        <v>162492.41099999999</v>
      </c>
      <c r="N77">
        <v>0.11210000000000001</v>
      </c>
      <c r="O77">
        <f t="shared" si="33"/>
        <v>65.421826933520094</v>
      </c>
      <c r="P77">
        <f t="shared" si="43"/>
        <v>57.092061185924692</v>
      </c>
      <c r="Q77">
        <v>1.9</v>
      </c>
      <c r="R77">
        <f t="shared" si="35"/>
        <v>3087.3558089999997</v>
      </c>
      <c r="S77">
        <v>0.12</v>
      </c>
      <c r="T77">
        <f t="shared" si="36"/>
        <v>194.99089319999999</v>
      </c>
      <c r="U77">
        <v>6174.7116179999994</v>
      </c>
      <c r="V77">
        <v>389.98178639999998</v>
      </c>
      <c r="W77">
        <f t="shared" si="44"/>
        <v>2694.2614569486464</v>
      </c>
      <c r="X77">
        <f t="shared" si="45"/>
        <v>170.16388149149344</v>
      </c>
      <c r="Y77">
        <f t="shared" si="37"/>
        <v>1.5436779045E-2</v>
      </c>
      <c r="Z77">
        <f t="shared" si="38"/>
        <v>9.7495446599999997E-4</v>
      </c>
      <c r="AA77">
        <f t="shared" si="46"/>
        <v>15436.779044999999</v>
      </c>
      <c r="AB77">
        <f t="shared" si="47"/>
        <v>974.95446600000002</v>
      </c>
      <c r="AC77">
        <v>17.213090077788308</v>
      </c>
      <c r="AD77">
        <f t="shared" si="39"/>
        <v>15.833333333333334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</row>
    <row r="78" spans="1:56" x14ac:dyDescent="0.2">
      <c r="A78">
        <v>77</v>
      </c>
      <c r="B78" t="s">
        <v>47</v>
      </c>
      <c r="C78" t="s">
        <v>48</v>
      </c>
      <c r="D78">
        <v>13</v>
      </c>
      <c r="E78" t="s">
        <v>51</v>
      </c>
      <c r="F78" t="s">
        <v>89</v>
      </c>
      <c r="G78" t="s">
        <v>92</v>
      </c>
      <c r="H78">
        <v>191.68</v>
      </c>
      <c r="I78">
        <v>0.507493953</v>
      </c>
      <c r="J78">
        <f t="shared" si="40"/>
        <v>392.69908169872417</v>
      </c>
      <c r="K78">
        <f t="shared" si="41"/>
        <v>1.9634954084936209E-3</v>
      </c>
      <c r="L78">
        <f t="shared" si="42"/>
        <v>200000</v>
      </c>
      <c r="M78">
        <f t="shared" si="34"/>
        <v>101498.79059999999</v>
      </c>
      <c r="N78">
        <v>1.6066</v>
      </c>
      <c r="O78">
        <f t="shared" si="33"/>
        <v>850.730159526085</v>
      </c>
      <c r="P78">
        <f t="shared" si="43"/>
        <v>818.23466102860493</v>
      </c>
      <c r="Q78">
        <v>4.24</v>
      </c>
      <c r="R78">
        <f t="shared" si="35"/>
        <v>4303.54872144</v>
      </c>
      <c r="S78">
        <v>0.3</v>
      </c>
      <c r="T78">
        <f t="shared" si="36"/>
        <v>304.49637179999996</v>
      </c>
      <c r="U78">
        <v>4303.54872144</v>
      </c>
      <c r="V78">
        <v>304.49637180000002</v>
      </c>
      <c r="W78">
        <f t="shared" si="44"/>
        <v>4139.1652686548186</v>
      </c>
      <c r="X78">
        <f t="shared" si="45"/>
        <v>292.86546712180319</v>
      </c>
      <c r="Y78">
        <f t="shared" si="37"/>
        <v>2.1517743607200001E-2</v>
      </c>
      <c r="Z78">
        <f t="shared" si="38"/>
        <v>1.522481859E-3</v>
      </c>
      <c r="AA78">
        <f t="shared" si="46"/>
        <v>21517.743607200002</v>
      </c>
      <c r="AB78">
        <f t="shared" si="47"/>
        <v>1522.481859</v>
      </c>
      <c r="AC78">
        <v>39.45934938539061</v>
      </c>
      <c r="AD78">
        <f t="shared" si="39"/>
        <v>14.133333333333335</v>
      </c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</row>
    <row r="79" spans="1:56" x14ac:dyDescent="0.2">
      <c r="A79">
        <v>78</v>
      </c>
      <c r="B79" t="s">
        <v>47</v>
      </c>
      <c r="C79" t="s">
        <v>48</v>
      </c>
      <c r="D79">
        <v>13</v>
      </c>
      <c r="E79" t="s">
        <v>51</v>
      </c>
      <c r="F79" t="s">
        <v>90</v>
      </c>
      <c r="G79" t="s">
        <v>92</v>
      </c>
      <c r="H79">
        <v>278.43</v>
      </c>
      <c r="I79">
        <v>0.81246205500000002</v>
      </c>
      <c r="J79">
        <f t="shared" si="40"/>
        <v>392.69908169872417</v>
      </c>
      <c r="K79">
        <f t="shared" si="41"/>
        <v>1.9634954084936209E-3</v>
      </c>
      <c r="L79">
        <f t="shared" si="42"/>
        <v>200000</v>
      </c>
      <c r="M79">
        <f t="shared" si="34"/>
        <v>162492.41099999999</v>
      </c>
      <c r="N79">
        <v>0.1157</v>
      </c>
      <c r="O79">
        <f t="shared" si="33"/>
        <v>67.52279550587221</v>
      </c>
      <c r="P79">
        <f t="shared" si="43"/>
        <v>58.925526130343322</v>
      </c>
      <c r="Q79">
        <v>0.72</v>
      </c>
      <c r="R79">
        <f t="shared" si="35"/>
        <v>1169.9453592</v>
      </c>
      <c r="S79">
        <v>7.0000000000000007E-2</v>
      </c>
      <c r="T79">
        <f t="shared" si="36"/>
        <v>113.74468770000001</v>
      </c>
      <c r="U79">
        <v>2339.8907184</v>
      </c>
      <c r="V79">
        <v>227.4893754</v>
      </c>
      <c r="W79">
        <f t="shared" si="44"/>
        <v>1020.9832889489608</v>
      </c>
      <c r="X79">
        <f t="shared" si="45"/>
        <v>99.262264203371203</v>
      </c>
      <c r="Y79">
        <f t="shared" si="37"/>
        <v>5.8497267959999998E-3</v>
      </c>
      <c r="Z79">
        <f t="shared" si="38"/>
        <v>5.6872343850000013E-4</v>
      </c>
      <c r="AA79">
        <f t="shared" si="46"/>
        <v>5849.7267959999999</v>
      </c>
      <c r="AB79">
        <f t="shared" si="47"/>
        <v>568.72343850000016</v>
      </c>
      <c r="AC79">
        <v>12.726971153308639</v>
      </c>
      <c r="AD79">
        <f t="shared" si="39"/>
        <v>10.285714285714285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</row>
    <row r="80" spans="1:56" x14ac:dyDescent="0.2">
      <c r="A80">
        <v>79</v>
      </c>
      <c r="B80" t="s">
        <v>47</v>
      </c>
      <c r="C80" t="s">
        <v>48</v>
      </c>
      <c r="D80">
        <v>14</v>
      </c>
      <c r="E80" t="s">
        <v>52</v>
      </c>
      <c r="F80" t="s">
        <v>89</v>
      </c>
      <c r="G80" t="s">
        <v>92</v>
      </c>
      <c r="H80">
        <v>240.83</v>
      </c>
      <c r="I80">
        <v>0.61483422200000004</v>
      </c>
      <c r="J80">
        <f t="shared" si="40"/>
        <v>392.69908169872417</v>
      </c>
      <c r="K80">
        <f t="shared" si="41"/>
        <v>1.9634954084936209E-3</v>
      </c>
      <c r="L80">
        <f t="shared" si="42"/>
        <v>200000</v>
      </c>
      <c r="M80">
        <f t="shared" si="34"/>
        <v>122966.8444</v>
      </c>
      <c r="N80">
        <v>0.52200000000000002</v>
      </c>
      <c r="O80">
        <f t="shared" si="33"/>
        <v>266.53113306813935</v>
      </c>
      <c r="P80">
        <f t="shared" si="43"/>
        <v>265.85241694070197</v>
      </c>
      <c r="Q80">
        <v>4.83</v>
      </c>
      <c r="R80">
        <f t="shared" si="35"/>
        <v>5939.2985845200001</v>
      </c>
      <c r="S80">
        <v>0.21</v>
      </c>
      <c r="T80">
        <f t="shared" si="36"/>
        <v>258.23037324000001</v>
      </c>
      <c r="U80">
        <v>5939.298584520001</v>
      </c>
      <c r="V80">
        <v>258.23037324000001</v>
      </c>
      <c r="W80">
        <f t="shared" si="44"/>
        <v>5924.1742810715577</v>
      </c>
      <c r="X80">
        <f t="shared" si="45"/>
        <v>257.57279482919813</v>
      </c>
      <c r="Y80">
        <f t="shared" si="37"/>
        <v>2.9696492922600005E-2</v>
      </c>
      <c r="Z80">
        <f t="shared" si="38"/>
        <v>1.2911518662000001E-3</v>
      </c>
      <c r="AA80">
        <f t="shared" si="46"/>
        <v>29696.492922600006</v>
      </c>
      <c r="AB80">
        <f t="shared" si="47"/>
        <v>1291.1518662000001</v>
      </c>
      <c r="AC80">
        <v>32.702963940927617</v>
      </c>
      <c r="AD80">
        <f t="shared" si="39"/>
        <v>23</v>
      </c>
      <c r="AE80" s="11">
        <v>5.6524000000000001</v>
      </c>
      <c r="AF80" s="11">
        <v>4.7E-2</v>
      </c>
      <c r="AG80" s="11">
        <v>2.2021999999999999</v>
      </c>
      <c r="AH80" s="11">
        <v>3.6291000000000002</v>
      </c>
      <c r="AI80" s="11">
        <f>AF80+AG80+AH80</f>
        <v>5.8783000000000003</v>
      </c>
      <c r="AJ80" s="11">
        <v>35.229999999999997</v>
      </c>
      <c r="AK80" s="11">
        <v>0.94</v>
      </c>
      <c r="AL80" s="11">
        <v>1.23</v>
      </c>
      <c r="AM80" s="11">
        <v>7.0000000000000007E-2</v>
      </c>
      <c r="AN80" s="11">
        <v>3.83</v>
      </c>
      <c r="AO80" s="11">
        <v>0.35</v>
      </c>
      <c r="AP80" s="12">
        <f>((AF80/AE80)*I80)*(AJ80/100)</f>
        <v>1.8010909580528976E-3</v>
      </c>
      <c r="AQ80" s="12">
        <f>((AF80/AE80)*I80)*(AK80/100)</f>
        <v>4.8056358233599884E-5</v>
      </c>
      <c r="AR80" s="12">
        <f>((AG80/AE80)*I80)*(AL80/100)</f>
        <v>2.9463681730534496E-3</v>
      </c>
      <c r="AS80" s="12">
        <f>((AG80/AE80)*I80)*(AM80/100)</f>
        <v>1.6767948952336708E-4</v>
      </c>
      <c r="AT80" s="12">
        <f>((AH80/AE80)*I80)*(AN80/100)</f>
        <v>1.511899258983895E-2</v>
      </c>
      <c r="AU80" s="12">
        <f>((AH80/AE80)*I80)*(AO80/100)</f>
        <v>1.3816311766171362E-3</v>
      </c>
      <c r="AV80" s="12">
        <f t="shared" ref="AV80:BA81" si="50">AP80*100*100*20</f>
        <v>360.21819161057954</v>
      </c>
      <c r="AW80" s="12">
        <f t="shared" si="50"/>
        <v>9.6112716467199775</v>
      </c>
      <c r="AX80" s="12">
        <f t="shared" si="50"/>
        <v>589.2736346106899</v>
      </c>
      <c r="AY80" s="12">
        <f t="shared" si="50"/>
        <v>33.535897904673412</v>
      </c>
      <c r="AZ80" s="12">
        <f t="shared" si="50"/>
        <v>3023.7985179677894</v>
      </c>
      <c r="BA80" s="12">
        <f t="shared" si="50"/>
        <v>276.32623532342728</v>
      </c>
      <c r="BB80" s="12">
        <f>AV80+AX80</f>
        <v>949.49182622126943</v>
      </c>
      <c r="BC80" s="12">
        <f>AZ80/AX80</f>
        <v>5.1313996424861177</v>
      </c>
      <c r="BD80" s="12">
        <f>AZ80/BB80</f>
        <v>3.1846493402704912</v>
      </c>
    </row>
    <row r="81" spans="1:56" x14ac:dyDescent="0.2">
      <c r="A81">
        <v>80</v>
      </c>
      <c r="B81" t="s">
        <v>47</v>
      </c>
      <c r="C81" t="s">
        <v>48</v>
      </c>
      <c r="D81">
        <v>14</v>
      </c>
      <c r="E81" t="s">
        <v>52</v>
      </c>
      <c r="F81" t="s">
        <v>90</v>
      </c>
      <c r="G81" t="s">
        <v>92</v>
      </c>
      <c r="H81">
        <v>360.2</v>
      </c>
      <c r="I81">
        <v>0.95366925000000002</v>
      </c>
      <c r="J81">
        <f t="shared" si="40"/>
        <v>392.69908169872417</v>
      </c>
      <c r="K81">
        <f t="shared" si="41"/>
        <v>1.9634954084936209E-3</v>
      </c>
      <c r="L81">
        <f t="shared" si="42"/>
        <v>200000</v>
      </c>
      <c r="M81">
        <f t="shared" si="34"/>
        <v>190733.85</v>
      </c>
      <c r="N81">
        <v>6.4999999999999997E-3</v>
      </c>
      <c r="O81">
        <f t="shared" si="33"/>
        <v>3.441893461965575</v>
      </c>
      <c r="P81">
        <f t="shared" si="43"/>
        <v>3.3104228163114229</v>
      </c>
      <c r="Q81">
        <v>0.66</v>
      </c>
      <c r="R81">
        <f t="shared" si="35"/>
        <v>1258.8434099999999</v>
      </c>
      <c r="S81">
        <v>7.0000000000000007E-2</v>
      </c>
      <c r="T81">
        <f t="shared" si="36"/>
        <v>133.51369500000001</v>
      </c>
      <c r="U81">
        <v>2517.6868199999999</v>
      </c>
      <c r="V81">
        <v>267.02739000000003</v>
      </c>
      <c r="W81">
        <f t="shared" si="44"/>
        <v>1210.7591337959186</v>
      </c>
      <c r="X81">
        <f t="shared" si="45"/>
        <v>128.41384752380958</v>
      </c>
      <c r="Y81">
        <f t="shared" si="37"/>
        <v>6.2942170500000002E-3</v>
      </c>
      <c r="Z81">
        <f t="shared" si="38"/>
        <v>6.6756847500000016E-4</v>
      </c>
      <c r="AA81">
        <f t="shared" si="46"/>
        <v>6294.2170500000002</v>
      </c>
      <c r="AB81">
        <f t="shared" si="47"/>
        <v>667.56847500000015</v>
      </c>
      <c r="AC81">
        <v>9.5454133750099572</v>
      </c>
      <c r="AD81">
        <f t="shared" si="39"/>
        <v>9.4285714285714288</v>
      </c>
      <c r="AE81" s="11">
        <v>5.4955999999999996</v>
      </c>
      <c r="AF81" s="11">
        <v>4.4200000000000003E-2</v>
      </c>
      <c r="AG81" s="11">
        <v>2.2513000000000001</v>
      </c>
      <c r="AH81" s="11">
        <v>3.3302999999999998</v>
      </c>
      <c r="AI81" s="11">
        <f>AF81+AG81+AH81</f>
        <v>5.6257999999999999</v>
      </c>
      <c r="AJ81" s="11">
        <v>39.299999999999997</v>
      </c>
      <c r="AK81" s="11">
        <v>0.7</v>
      </c>
      <c r="AL81" s="11">
        <v>0.44</v>
      </c>
      <c r="AM81" s="11">
        <v>0.03</v>
      </c>
      <c r="AN81" s="11">
        <v>1.69</v>
      </c>
      <c r="AO81" s="11">
        <v>0.16</v>
      </c>
      <c r="AP81" s="12">
        <f>((AF81/AE81)*I81)*(AJ81/100)</f>
        <v>3.0143764236935009E-3</v>
      </c>
      <c r="AQ81" s="12">
        <f>((AF81/AE81)*I81)*(AK81/100)</f>
        <v>5.3691183119222657E-5</v>
      </c>
      <c r="AR81" s="12">
        <f>((AG81/AE81)*I81)*(AL81/100)</f>
        <v>1.718971643334668E-3</v>
      </c>
      <c r="AS81" s="12">
        <f>((AG81/AE81)*I81)*(AM81/100)</f>
        <v>1.1720261204554553E-4</v>
      </c>
      <c r="AT81" s="12">
        <f>((AH81/AE81)*I81)*(AN81/100)</f>
        <v>9.7668097178374522E-3</v>
      </c>
      <c r="AU81" s="12">
        <f>((AH81/AE81)*I81)*(AO81/100)</f>
        <v>9.2466837565325006E-4</v>
      </c>
      <c r="AV81" s="12">
        <f t="shared" si="50"/>
        <v>602.8752847387002</v>
      </c>
      <c r="AW81" s="12">
        <f t="shared" si="50"/>
        <v>10.738236623844532</v>
      </c>
      <c r="AX81" s="12">
        <f t="shared" si="50"/>
        <v>343.79432866693367</v>
      </c>
      <c r="AY81" s="12">
        <f t="shared" si="50"/>
        <v>23.440522409109107</v>
      </c>
      <c r="AZ81" s="12">
        <f t="shared" si="50"/>
        <v>1953.3619435674905</v>
      </c>
      <c r="BA81" s="12">
        <f t="shared" si="50"/>
        <v>184.93367513064999</v>
      </c>
      <c r="BB81" s="12">
        <f>AV81+AX81</f>
        <v>946.66961340563387</v>
      </c>
      <c r="BC81" s="12">
        <f>AZ81/AX81</f>
        <v>5.6817747725556531</v>
      </c>
      <c r="BD81" s="12">
        <f>AZ81/BB81</f>
        <v>2.0634040809024086</v>
      </c>
    </row>
    <row r="82" spans="1:56" x14ac:dyDescent="0.2">
      <c r="A82">
        <v>81</v>
      </c>
      <c r="B82" t="s">
        <v>47</v>
      </c>
      <c r="C82" t="s">
        <v>48</v>
      </c>
      <c r="D82">
        <v>14</v>
      </c>
      <c r="E82" t="s">
        <v>53</v>
      </c>
      <c r="F82" t="s">
        <v>89</v>
      </c>
      <c r="G82" t="s">
        <v>92</v>
      </c>
      <c r="H82">
        <v>240.83</v>
      </c>
      <c r="I82">
        <v>0.61483422200000004</v>
      </c>
      <c r="J82">
        <f t="shared" si="40"/>
        <v>392.69908169872417</v>
      </c>
      <c r="K82">
        <f t="shared" si="41"/>
        <v>1.9634954084936209E-3</v>
      </c>
      <c r="L82">
        <f t="shared" si="42"/>
        <v>200000</v>
      </c>
      <c r="M82">
        <f t="shared" si="34"/>
        <v>122966.8444</v>
      </c>
      <c r="N82">
        <v>0.79159999999999997</v>
      </c>
      <c r="O82">
        <f t="shared" si="33"/>
        <v>404.18782554930857</v>
      </c>
      <c r="P82">
        <f t="shared" si="43"/>
        <v>403.15856944494186</v>
      </c>
      <c r="Q82">
        <v>3.26</v>
      </c>
      <c r="R82">
        <f t="shared" si="35"/>
        <v>4008.7191274399997</v>
      </c>
      <c r="S82">
        <v>0.17</v>
      </c>
      <c r="T82">
        <f t="shared" si="36"/>
        <v>209.04363548000001</v>
      </c>
      <c r="U82">
        <v>4008.7191274400002</v>
      </c>
      <c r="V82">
        <v>209.04363548000001</v>
      </c>
      <c r="W82">
        <f t="shared" si="44"/>
        <v>3998.5110054437423</v>
      </c>
      <c r="X82">
        <f t="shared" si="45"/>
        <v>208.51131009982709</v>
      </c>
      <c r="Y82">
        <f t="shared" si="37"/>
        <v>2.0043595637199998E-2</v>
      </c>
      <c r="Z82">
        <f t="shared" si="38"/>
        <v>1.0452181774000002E-3</v>
      </c>
      <c r="AA82">
        <f t="shared" si="46"/>
        <v>20043.5956372</v>
      </c>
      <c r="AB82">
        <f t="shared" si="47"/>
        <v>1045.2181774000003</v>
      </c>
      <c r="AC82">
        <v>37.35296274153756</v>
      </c>
      <c r="AD82">
        <f t="shared" si="39"/>
        <v>19.17647058823529</v>
      </c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</row>
    <row r="83" spans="1:56" x14ac:dyDescent="0.2">
      <c r="A83">
        <v>82</v>
      </c>
      <c r="B83" t="s">
        <v>47</v>
      </c>
      <c r="C83" t="s">
        <v>48</v>
      </c>
      <c r="D83">
        <v>14</v>
      </c>
      <c r="E83" t="s">
        <v>53</v>
      </c>
      <c r="F83" t="s">
        <v>90</v>
      </c>
      <c r="G83" t="s">
        <v>92</v>
      </c>
      <c r="H83">
        <v>360.2</v>
      </c>
      <c r="I83">
        <v>0.95366925000000002</v>
      </c>
      <c r="J83">
        <f t="shared" si="40"/>
        <v>392.69908169872417</v>
      </c>
      <c r="K83">
        <f t="shared" si="41"/>
        <v>1.9634954084936209E-3</v>
      </c>
      <c r="L83">
        <f t="shared" si="42"/>
        <v>200000</v>
      </c>
      <c r="M83">
        <f t="shared" si="34"/>
        <v>190733.85</v>
      </c>
      <c r="N83">
        <v>0.13689999999999999</v>
      </c>
      <c r="O83">
        <f t="shared" si="33"/>
        <v>72.491571529705723</v>
      </c>
      <c r="P83">
        <f t="shared" si="43"/>
        <v>69.722597469697504</v>
      </c>
      <c r="Q83">
        <v>1.1399999999999999</v>
      </c>
      <c r="R83">
        <f t="shared" si="35"/>
        <v>2174.36589</v>
      </c>
      <c r="S83">
        <v>0.08</v>
      </c>
      <c r="T83">
        <f t="shared" si="36"/>
        <v>152.58708000000001</v>
      </c>
      <c r="U83">
        <v>4348.7317799999992</v>
      </c>
      <c r="V83">
        <v>305.17415999999997</v>
      </c>
      <c r="W83">
        <f t="shared" si="44"/>
        <v>2091.3112311020409</v>
      </c>
      <c r="X83">
        <f t="shared" si="45"/>
        <v>146.75868288435379</v>
      </c>
      <c r="Y83">
        <f t="shared" si="37"/>
        <v>1.0871829449999999E-2</v>
      </c>
      <c r="Z83">
        <f t="shared" si="38"/>
        <v>7.629354000000001E-4</v>
      </c>
      <c r="AA83">
        <f t="shared" si="46"/>
        <v>10871.829449999999</v>
      </c>
      <c r="AB83">
        <f t="shared" si="47"/>
        <v>762.93540000000007</v>
      </c>
      <c r="AC83">
        <v>16.403262255231567</v>
      </c>
      <c r="AD83">
        <f t="shared" si="39"/>
        <v>14.249999999999998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</row>
    <row r="84" spans="1:56" x14ac:dyDescent="0.2">
      <c r="A84">
        <v>83</v>
      </c>
      <c r="B84" t="s">
        <v>47</v>
      </c>
      <c r="C84" t="s">
        <v>48</v>
      </c>
      <c r="D84">
        <v>14</v>
      </c>
      <c r="E84" t="s">
        <v>54</v>
      </c>
      <c r="F84" t="s">
        <v>89</v>
      </c>
      <c r="G84" t="s">
        <v>92</v>
      </c>
      <c r="H84">
        <v>240.83</v>
      </c>
      <c r="I84">
        <v>0.61483422200000004</v>
      </c>
      <c r="J84">
        <f t="shared" si="40"/>
        <v>392.69908169872417</v>
      </c>
      <c r="K84">
        <f t="shared" si="41"/>
        <v>1.9634954084936209E-3</v>
      </c>
      <c r="L84">
        <f t="shared" si="42"/>
        <v>200000</v>
      </c>
      <c r="M84">
        <f t="shared" si="34"/>
        <v>122966.8444</v>
      </c>
      <c r="N84">
        <v>0.33489999999999998</v>
      </c>
      <c r="O84">
        <f t="shared" si="33"/>
        <v>170.9986139167047</v>
      </c>
      <c r="P84">
        <f t="shared" si="43"/>
        <v>170.56316941272237</v>
      </c>
      <c r="Q84">
        <v>3.28</v>
      </c>
      <c r="R84">
        <f t="shared" si="35"/>
        <v>4033.3124963199994</v>
      </c>
      <c r="S84">
        <v>0.17</v>
      </c>
      <c r="T84">
        <f t="shared" si="36"/>
        <v>209.04363548000001</v>
      </c>
      <c r="U84">
        <v>4033.3124963199989</v>
      </c>
      <c r="V84">
        <v>209.04363548000001</v>
      </c>
      <c r="W84">
        <f t="shared" si="44"/>
        <v>4023.0417478084278</v>
      </c>
      <c r="X84">
        <f t="shared" si="45"/>
        <v>208.51131009982709</v>
      </c>
      <c r="Y84">
        <f t="shared" si="37"/>
        <v>2.0166562481599998E-2</v>
      </c>
      <c r="Z84">
        <f t="shared" si="38"/>
        <v>1.0452181774000002E-3</v>
      </c>
      <c r="AA84">
        <f t="shared" si="46"/>
        <v>20166.562481599998</v>
      </c>
      <c r="AB84">
        <f t="shared" si="47"/>
        <v>1045.2181774000003</v>
      </c>
      <c r="AC84">
        <v>26.983995391046857</v>
      </c>
      <c r="AD84">
        <f t="shared" si="39"/>
        <v>19.294117647058822</v>
      </c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</row>
    <row r="85" spans="1:56" x14ac:dyDescent="0.2">
      <c r="A85">
        <v>84</v>
      </c>
      <c r="B85" t="s">
        <v>47</v>
      </c>
      <c r="C85" t="s">
        <v>48</v>
      </c>
      <c r="D85">
        <v>14</v>
      </c>
      <c r="E85" t="s">
        <v>54</v>
      </c>
      <c r="F85" t="s">
        <v>90</v>
      </c>
      <c r="G85" t="s">
        <v>92</v>
      </c>
      <c r="H85">
        <v>360.2</v>
      </c>
      <c r="I85">
        <v>0.95366925000000002</v>
      </c>
      <c r="J85">
        <f t="shared" si="40"/>
        <v>392.69908169872417</v>
      </c>
      <c r="K85">
        <f t="shared" si="41"/>
        <v>1.9634954084936209E-3</v>
      </c>
      <c r="L85">
        <f t="shared" si="42"/>
        <v>200000</v>
      </c>
      <c r="M85">
        <f t="shared" si="34"/>
        <v>190733.85</v>
      </c>
      <c r="N85">
        <v>0.25580000000000003</v>
      </c>
      <c r="O85">
        <f t="shared" si="33"/>
        <v>135.45174578012217</v>
      </c>
      <c r="P85">
        <f t="shared" si="43"/>
        <v>130.27787021730185</v>
      </c>
      <c r="Q85">
        <v>1.03</v>
      </c>
      <c r="R85">
        <f t="shared" si="35"/>
        <v>1964.558655</v>
      </c>
      <c r="S85">
        <v>0.08</v>
      </c>
      <c r="T85">
        <f t="shared" si="36"/>
        <v>152.58708000000001</v>
      </c>
      <c r="U85">
        <v>3929.1173100000001</v>
      </c>
      <c r="V85">
        <v>305.17415999999997</v>
      </c>
      <c r="W85">
        <f t="shared" si="44"/>
        <v>1889.5180421360549</v>
      </c>
      <c r="X85">
        <f t="shared" si="45"/>
        <v>146.75868288435379</v>
      </c>
      <c r="Y85">
        <f t="shared" si="37"/>
        <v>9.822793275E-3</v>
      </c>
      <c r="Z85">
        <f t="shared" si="38"/>
        <v>7.629354000000001E-4</v>
      </c>
      <c r="AA85">
        <f t="shared" si="46"/>
        <v>9822.793275</v>
      </c>
      <c r="AB85">
        <f t="shared" si="47"/>
        <v>762.93540000000007</v>
      </c>
      <c r="AC85">
        <v>16.898407486400554</v>
      </c>
      <c r="AD85">
        <f t="shared" si="39"/>
        <v>12.875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</row>
    <row r="86" spans="1:56" x14ac:dyDescent="0.2">
      <c r="A86">
        <v>85</v>
      </c>
      <c r="B86" t="s">
        <v>47</v>
      </c>
      <c r="C86" t="s">
        <v>48</v>
      </c>
      <c r="D86">
        <v>15</v>
      </c>
      <c r="E86" t="s">
        <v>55</v>
      </c>
      <c r="F86" t="s">
        <v>89</v>
      </c>
      <c r="G86" t="s">
        <v>92</v>
      </c>
      <c r="H86">
        <v>269.77999999999997</v>
      </c>
      <c r="I86">
        <v>0.74381219499999995</v>
      </c>
      <c r="J86">
        <f t="shared" si="40"/>
        <v>392.69908169872417</v>
      </c>
      <c r="K86">
        <f t="shared" si="41"/>
        <v>1.9634954084936209E-3</v>
      </c>
      <c r="L86">
        <f t="shared" si="42"/>
        <v>200000</v>
      </c>
      <c r="M86">
        <f t="shared" si="34"/>
        <v>148762.43899999998</v>
      </c>
      <c r="N86">
        <v>0.54820000000000002</v>
      </c>
      <c r="O86">
        <f t="shared" si="33"/>
        <v>302.28915805396991</v>
      </c>
      <c r="P86">
        <f t="shared" si="43"/>
        <v>279.19596736952644</v>
      </c>
      <c r="Q86">
        <v>3.8</v>
      </c>
      <c r="R86">
        <f t="shared" si="35"/>
        <v>5652.9726819999996</v>
      </c>
      <c r="S86">
        <v>0.26</v>
      </c>
      <c r="T86">
        <f t="shared" si="36"/>
        <v>386.78234139999995</v>
      </c>
      <c r="U86">
        <v>5652.9726819999996</v>
      </c>
      <c r="V86">
        <v>386.78234140000001</v>
      </c>
      <c r="W86">
        <f t="shared" si="44"/>
        <v>5221.117378555512</v>
      </c>
      <c r="X86">
        <f t="shared" si="45"/>
        <v>357.23434695379819</v>
      </c>
      <c r="Y86">
        <f t="shared" si="37"/>
        <v>2.8264863409999997E-2</v>
      </c>
      <c r="Z86">
        <f t="shared" si="38"/>
        <v>1.9339117069999997E-3</v>
      </c>
      <c r="AA86">
        <f t="shared" si="46"/>
        <v>28264.863409999998</v>
      </c>
      <c r="AB86">
        <f t="shared" si="47"/>
        <v>1933.9117069999998</v>
      </c>
      <c r="AC86">
        <v>21.418590755756771</v>
      </c>
      <c r="AD86">
        <f t="shared" si="39"/>
        <v>14.615384615384615</v>
      </c>
      <c r="AE86" s="11">
        <v>5.7855999999999996</v>
      </c>
      <c r="AF86" s="11">
        <v>7.7499999999999999E-2</v>
      </c>
      <c r="AG86" s="11">
        <v>3.2534000000000001</v>
      </c>
      <c r="AH86" s="11">
        <v>2.4923000000000002</v>
      </c>
      <c r="AI86" s="11">
        <f>AF86+AG86+AH86</f>
        <v>5.8231999999999999</v>
      </c>
      <c r="AJ86" s="11">
        <v>35.299999999999997</v>
      </c>
      <c r="AK86" s="11">
        <v>1.17</v>
      </c>
      <c r="AL86" s="11">
        <v>3.45</v>
      </c>
      <c r="AM86" s="11">
        <v>0.21</v>
      </c>
      <c r="AN86" s="11">
        <v>3.71</v>
      </c>
      <c r="AO86" s="11">
        <v>0.33</v>
      </c>
      <c r="AP86" s="12">
        <f>((AF86/AE86)*I86)*(AJ86/100)</f>
        <v>3.5171532986574424E-3</v>
      </c>
      <c r="AQ86" s="12">
        <f>((AF86/AE86)*I86)*(AK86/100)</f>
        <v>1.1657420281669143E-4</v>
      </c>
      <c r="AR86" s="12">
        <f>((AG86/AE86)*I86)*(AL86/100)</f>
        <v>1.4430169997035487E-2</v>
      </c>
      <c r="AS86" s="12">
        <f>((AG86/AE86)*I86)*(AM86/100)</f>
        <v>8.783581737325947E-4</v>
      </c>
      <c r="AT86" s="12">
        <f>((AH86/AE86)*I86)*(AN86/100)</f>
        <v>1.1887461327520804E-2</v>
      </c>
      <c r="AU86" s="12">
        <f>((AH86/AE86)*I86)*(AO86/100)</f>
        <v>1.0573752663293437E-3</v>
      </c>
      <c r="AV86" s="12">
        <f t="shared" ref="AV86:BA87" si="51">AP86*100*100*20</f>
        <v>703.43065973148839</v>
      </c>
      <c r="AW86" s="12">
        <f t="shared" si="51"/>
        <v>23.314840563338283</v>
      </c>
      <c r="AX86" s="12">
        <f t="shared" si="51"/>
        <v>2886.0339994070973</v>
      </c>
      <c r="AY86" s="12">
        <f t="shared" si="51"/>
        <v>175.67163474651895</v>
      </c>
      <c r="AZ86" s="12">
        <f t="shared" si="51"/>
        <v>2377.492265504161</v>
      </c>
      <c r="BA86" s="12">
        <f t="shared" si="51"/>
        <v>211.47505326586872</v>
      </c>
      <c r="BB86" s="12">
        <f>AV86+AX86</f>
        <v>3589.4646591385858</v>
      </c>
      <c r="BC86" s="12">
        <f>AZ86/AX86</f>
        <v>0.82379218886284411</v>
      </c>
      <c r="BD86" s="12">
        <f>AZ86/BB86</f>
        <v>0.6623528830270532</v>
      </c>
    </row>
    <row r="87" spans="1:56" x14ac:dyDescent="0.2">
      <c r="A87">
        <v>86</v>
      </c>
      <c r="B87" t="s">
        <v>47</v>
      </c>
      <c r="C87" t="s">
        <v>48</v>
      </c>
      <c r="D87">
        <v>15</v>
      </c>
      <c r="E87" t="s">
        <v>55</v>
      </c>
      <c r="F87" t="s">
        <v>90</v>
      </c>
      <c r="G87" t="s">
        <v>92</v>
      </c>
      <c r="H87">
        <v>207.12</v>
      </c>
      <c r="I87">
        <v>0.62254454999999997</v>
      </c>
      <c r="J87">
        <f t="shared" si="40"/>
        <v>392.69908169872417</v>
      </c>
      <c r="K87">
        <f t="shared" si="41"/>
        <v>1.9634954084936209E-3</v>
      </c>
      <c r="L87">
        <f t="shared" si="42"/>
        <v>200000</v>
      </c>
      <c r="M87">
        <f t="shared" si="34"/>
        <v>124508.90999999999</v>
      </c>
      <c r="N87">
        <v>0.17019999999999999</v>
      </c>
      <c r="O87">
        <f t="shared" si="33"/>
        <v>102.31467980880647</v>
      </c>
      <c r="P87">
        <f t="shared" si="43"/>
        <v>86.68214820556986</v>
      </c>
      <c r="Q87">
        <v>1.39</v>
      </c>
      <c r="R87">
        <f t="shared" si="35"/>
        <v>1730.6738489999998</v>
      </c>
      <c r="S87">
        <v>0.1</v>
      </c>
      <c r="T87">
        <f t="shared" si="36"/>
        <v>124.50890999999999</v>
      </c>
      <c r="U87">
        <v>3461.347698</v>
      </c>
      <c r="V87">
        <v>249.01782</v>
      </c>
      <c r="W87">
        <f t="shared" si="44"/>
        <v>1466.2463622508405</v>
      </c>
      <c r="X87">
        <f t="shared" si="45"/>
        <v>105.48534980221876</v>
      </c>
      <c r="Y87">
        <f t="shared" si="37"/>
        <v>8.6533692449999988E-3</v>
      </c>
      <c r="Z87">
        <f t="shared" si="38"/>
        <v>6.2254455000000002E-4</v>
      </c>
      <c r="AA87">
        <f t="shared" si="46"/>
        <v>8653.369244999998</v>
      </c>
      <c r="AB87">
        <f t="shared" si="47"/>
        <v>622.54455000000007</v>
      </c>
      <c r="AC87">
        <v>17.180729065895765</v>
      </c>
      <c r="AD87">
        <f t="shared" si="39"/>
        <v>13.899999999999999</v>
      </c>
      <c r="AE87" s="11">
        <v>5.6360000000000001</v>
      </c>
      <c r="AF87" s="11">
        <v>3.6999999999999998E-2</v>
      </c>
      <c r="AG87" s="11">
        <v>2.8161</v>
      </c>
      <c r="AH87" s="11">
        <v>2.8235999999999999</v>
      </c>
      <c r="AI87" s="11">
        <f>AF87+AG87+AH87</f>
        <v>5.6767000000000003</v>
      </c>
      <c r="AJ87" s="11">
        <v>37.770000000000003</v>
      </c>
      <c r="AK87" s="11">
        <v>0.9</v>
      </c>
      <c r="AL87" s="11">
        <v>0.56999999999999995</v>
      </c>
      <c r="AM87" s="11">
        <v>0.04</v>
      </c>
      <c r="AN87" s="11">
        <v>1.74</v>
      </c>
      <c r="AO87" s="11">
        <v>0.15</v>
      </c>
      <c r="AP87" s="12">
        <f>((AF87/AE87)*I87)*(AJ87/100)</f>
        <v>1.5436475925825052E-3</v>
      </c>
      <c r="AQ87" s="12">
        <f>((AF87/AE87)*I87)*(AK87/100)</f>
        <v>3.6782706733498934E-5</v>
      </c>
      <c r="AR87" s="12">
        <f>((AG87/AE87)*I87)*(AL87/100)</f>
        <v>1.77305570109182E-3</v>
      </c>
      <c r="AS87" s="12">
        <f>((AG87/AE87)*I87)*(AM87/100)</f>
        <v>1.2442496148012773E-4</v>
      </c>
      <c r="AT87" s="12">
        <f>((AH87/AE87)*I87)*(AN87/100)</f>
        <v>5.4269006689162515E-3</v>
      </c>
      <c r="AU87" s="12">
        <f>((AH87/AE87)*I87)*(AO87/100)</f>
        <v>4.6783626456174584E-4</v>
      </c>
      <c r="AV87" s="12">
        <f t="shared" si="51"/>
        <v>308.72951851650106</v>
      </c>
      <c r="AW87" s="12">
        <f t="shared" si="51"/>
        <v>7.3565413466997862</v>
      </c>
      <c r="AX87" s="12">
        <f t="shared" si="51"/>
        <v>354.61114021836403</v>
      </c>
      <c r="AY87" s="12">
        <f t="shared" si="51"/>
        <v>24.884992296025548</v>
      </c>
      <c r="AZ87" s="12">
        <f t="shared" si="51"/>
        <v>1085.3801337832504</v>
      </c>
      <c r="BA87" s="12">
        <f t="shared" si="51"/>
        <v>93.567252912349176</v>
      </c>
      <c r="BB87" s="12">
        <f>AV87+AX87</f>
        <v>663.34065873486509</v>
      </c>
      <c r="BC87" s="12">
        <f>AZ87/AX87</f>
        <v>3.0607615234955396</v>
      </c>
      <c r="BD87" s="12">
        <f>AZ87/BB87</f>
        <v>1.6362333885176077</v>
      </c>
    </row>
    <row r="88" spans="1:56" x14ac:dyDescent="0.2">
      <c r="A88">
        <v>87</v>
      </c>
      <c r="B88" t="s">
        <v>47</v>
      </c>
      <c r="C88" t="s">
        <v>48</v>
      </c>
      <c r="D88">
        <v>15</v>
      </c>
      <c r="E88" t="s">
        <v>56</v>
      </c>
      <c r="F88" t="s">
        <v>89</v>
      </c>
      <c r="G88" t="s">
        <v>92</v>
      </c>
      <c r="H88">
        <v>269.77999999999997</v>
      </c>
      <c r="I88">
        <v>0.74381219499999995</v>
      </c>
      <c r="J88">
        <f t="shared" si="40"/>
        <v>392.69908169872417</v>
      </c>
      <c r="K88">
        <f t="shared" si="41"/>
        <v>1.9634954084936209E-3</v>
      </c>
      <c r="L88">
        <f t="shared" si="42"/>
        <v>200000</v>
      </c>
      <c r="M88">
        <f t="shared" si="34"/>
        <v>148762.43899999998</v>
      </c>
      <c r="N88">
        <v>0.29899999999999999</v>
      </c>
      <c r="O88">
        <f t="shared" si="33"/>
        <v>164.87496946030097</v>
      </c>
      <c r="P88">
        <f t="shared" si="43"/>
        <v>152.27944955032544</v>
      </c>
      <c r="Q88">
        <v>1.58</v>
      </c>
      <c r="R88">
        <f t="shared" si="35"/>
        <v>2350.4465362000001</v>
      </c>
      <c r="S88">
        <v>0.14000000000000001</v>
      </c>
      <c r="T88">
        <f t="shared" si="36"/>
        <v>208.2674146</v>
      </c>
      <c r="U88">
        <v>2350.4465362000001</v>
      </c>
      <c r="V88">
        <v>208.2674146</v>
      </c>
      <c r="W88">
        <f t="shared" si="44"/>
        <v>2170.8856468730819</v>
      </c>
      <c r="X88">
        <f t="shared" si="45"/>
        <v>192.35695605204523</v>
      </c>
      <c r="Y88">
        <f t="shared" si="37"/>
        <v>1.1752232681000001E-2</v>
      </c>
      <c r="Z88">
        <f t="shared" si="38"/>
        <v>1.0413370730000002E-3</v>
      </c>
      <c r="AA88">
        <f t="shared" si="46"/>
        <v>11752.232681000001</v>
      </c>
      <c r="AB88">
        <f t="shared" si="47"/>
        <v>1041.3370730000001</v>
      </c>
      <c r="AC88">
        <v>18.17685471090493</v>
      </c>
      <c r="AD88">
        <f t="shared" si="39"/>
        <v>11.285714285714285</v>
      </c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</row>
    <row r="89" spans="1:56" x14ac:dyDescent="0.2">
      <c r="A89">
        <v>88</v>
      </c>
      <c r="B89" t="s">
        <v>47</v>
      </c>
      <c r="C89" t="s">
        <v>48</v>
      </c>
      <c r="D89">
        <v>15</v>
      </c>
      <c r="E89" t="s">
        <v>56</v>
      </c>
      <c r="F89" t="s">
        <v>90</v>
      </c>
      <c r="G89" t="s">
        <v>92</v>
      </c>
      <c r="H89">
        <v>207.12</v>
      </c>
      <c r="I89">
        <v>0.62254454999999997</v>
      </c>
      <c r="J89">
        <f t="shared" si="40"/>
        <v>392.69908169872417</v>
      </c>
      <c r="K89">
        <f t="shared" si="41"/>
        <v>1.9634954084936209E-3</v>
      </c>
      <c r="L89">
        <f t="shared" si="42"/>
        <v>200000</v>
      </c>
      <c r="M89">
        <f t="shared" si="34"/>
        <v>124508.90999999999</v>
      </c>
      <c r="N89" t="s">
        <v>95</v>
      </c>
      <c r="O89" t="s">
        <v>95</v>
      </c>
      <c r="P89" s="5" t="s">
        <v>95</v>
      </c>
      <c r="Q89">
        <v>0.72</v>
      </c>
      <c r="R89">
        <f t="shared" si="35"/>
        <v>896.4641519999999</v>
      </c>
      <c r="S89">
        <v>7.0000000000000007E-2</v>
      </c>
      <c r="T89">
        <f t="shared" si="36"/>
        <v>87.156237000000004</v>
      </c>
      <c r="U89">
        <v>1792.928304</v>
      </c>
      <c r="V89">
        <v>174.31247400000001</v>
      </c>
      <c r="W89">
        <f t="shared" si="44"/>
        <v>759.49451857597501</v>
      </c>
      <c r="X89">
        <f t="shared" si="45"/>
        <v>73.839744861553143</v>
      </c>
      <c r="Y89">
        <f t="shared" si="37"/>
        <v>4.4823207599999993E-3</v>
      </c>
      <c r="Z89">
        <f t="shared" si="38"/>
        <v>4.3578118500000007E-4</v>
      </c>
      <c r="AA89">
        <f t="shared" si="46"/>
        <v>4482.3207599999996</v>
      </c>
      <c r="AB89">
        <f t="shared" si="47"/>
        <v>435.78118500000005</v>
      </c>
      <c r="AC89">
        <v>10.285714285714285</v>
      </c>
      <c r="AD89">
        <f t="shared" si="39"/>
        <v>10.285714285714285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</row>
    <row r="90" spans="1:56" x14ac:dyDescent="0.2">
      <c r="A90">
        <v>89</v>
      </c>
      <c r="B90" t="s">
        <v>47</v>
      </c>
      <c r="C90" t="s">
        <v>48</v>
      </c>
      <c r="D90">
        <v>15</v>
      </c>
      <c r="E90" t="s">
        <v>57</v>
      </c>
      <c r="F90" t="s">
        <v>89</v>
      </c>
      <c r="G90" t="s">
        <v>92</v>
      </c>
      <c r="H90">
        <v>269.77999999999997</v>
      </c>
      <c r="I90">
        <v>0.74381219499999995</v>
      </c>
      <c r="J90">
        <f t="shared" si="40"/>
        <v>392.69908169872417</v>
      </c>
      <c r="K90">
        <f t="shared" si="41"/>
        <v>1.9634954084936209E-3</v>
      </c>
      <c r="L90">
        <f t="shared" si="42"/>
        <v>200000</v>
      </c>
      <c r="M90">
        <f t="shared" si="34"/>
        <v>148762.43899999998</v>
      </c>
      <c r="N90">
        <v>0.85399999999999998</v>
      </c>
      <c r="O90">
        <f t="shared" ref="O90:O129" si="52">N90*M90/H90</f>
        <v>470.91379237156201</v>
      </c>
      <c r="P90">
        <f t="shared" si="43"/>
        <v>434.93862848153157</v>
      </c>
      <c r="Q90">
        <v>4.0199999999999996</v>
      </c>
      <c r="R90">
        <f t="shared" si="35"/>
        <v>5980.2500477999984</v>
      </c>
      <c r="S90">
        <v>0.28999999999999998</v>
      </c>
      <c r="T90">
        <f t="shared" si="36"/>
        <v>431.4110730999999</v>
      </c>
      <c r="U90">
        <v>5980.2500478000002</v>
      </c>
      <c r="V90">
        <v>431.41107310000001</v>
      </c>
      <c r="W90">
        <f t="shared" si="44"/>
        <v>5523.3925952087257</v>
      </c>
      <c r="X90">
        <f t="shared" si="45"/>
        <v>398.45369467923643</v>
      </c>
      <c r="Y90">
        <f t="shared" si="37"/>
        <v>2.9901250238999994E-2</v>
      </c>
      <c r="Z90">
        <f t="shared" si="38"/>
        <v>2.1570553654999998E-3</v>
      </c>
      <c r="AA90">
        <f t="shared" si="46"/>
        <v>29901.250238999994</v>
      </c>
      <c r="AB90">
        <f t="shared" si="47"/>
        <v>2157.0553654999999</v>
      </c>
      <c r="AC90">
        <v>23.36391130476062</v>
      </c>
      <c r="AD90">
        <f t="shared" si="39"/>
        <v>13.86206896551724</v>
      </c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</row>
    <row r="91" spans="1:56" x14ac:dyDescent="0.2">
      <c r="A91">
        <v>90</v>
      </c>
      <c r="B91" t="s">
        <v>47</v>
      </c>
      <c r="C91" t="s">
        <v>48</v>
      </c>
      <c r="D91">
        <v>15</v>
      </c>
      <c r="E91" t="s">
        <v>57</v>
      </c>
      <c r="F91" t="s">
        <v>90</v>
      </c>
      <c r="G91" t="s">
        <v>92</v>
      </c>
      <c r="H91">
        <v>207.12</v>
      </c>
      <c r="I91">
        <v>0.62254454999999997</v>
      </c>
      <c r="J91">
        <f t="shared" si="40"/>
        <v>392.69908169872417</v>
      </c>
      <c r="K91">
        <f t="shared" si="41"/>
        <v>1.9634954084936209E-3</v>
      </c>
      <c r="L91">
        <f t="shared" si="42"/>
        <v>200000</v>
      </c>
      <c r="M91">
        <f t="shared" si="34"/>
        <v>124508.90999999999</v>
      </c>
      <c r="N91">
        <v>0.25800000000000001</v>
      </c>
      <c r="O91">
        <f t="shared" si="52"/>
        <v>155.09510805330243</v>
      </c>
      <c r="P91">
        <f t="shared" si="43"/>
        <v>131.39832101666877</v>
      </c>
      <c r="Q91">
        <v>2.29</v>
      </c>
      <c r="R91">
        <f t="shared" si="35"/>
        <v>2851.2540389999999</v>
      </c>
      <c r="S91">
        <v>0.19</v>
      </c>
      <c r="T91">
        <f t="shared" si="36"/>
        <v>236.56692899999999</v>
      </c>
      <c r="U91">
        <v>5702.5080780000008</v>
      </c>
      <c r="V91">
        <v>473.13385799999998</v>
      </c>
      <c r="W91">
        <f t="shared" si="44"/>
        <v>2415.6145104708094</v>
      </c>
      <c r="X91">
        <f t="shared" si="45"/>
        <v>200.42216462421564</v>
      </c>
      <c r="Y91">
        <f t="shared" si="37"/>
        <v>1.4256270195E-2</v>
      </c>
      <c r="Z91">
        <f t="shared" si="38"/>
        <v>1.182834645E-3</v>
      </c>
      <c r="AA91">
        <f t="shared" si="46"/>
        <v>14256.270195000001</v>
      </c>
      <c r="AB91">
        <f t="shared" si="47"/>
        <v>1182.8346450000001</v>
      </c>
      <c r="AC91">
        <v>14.670072666835019</v>
      </c>
      <c r="AD91">
        <f t="shared" si="39"/>
        <v>12.052631578947368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</row>
    <row r="92" spans="1:56" x14ac:dyDescent="0.2">
      <c r="A92">
        <v>91</v>
      </c>
      <c r="B92" t="s">
        <v>47</v>
      </c>
      <c r="C92" t="s">
        <v>48</v>
      </c>
      <c r="D92">
        <v>16</v>
      </c>
      <c r="E92" t="s">
        <v>58</v>
      </c>
      <c r="F92" t="s">
        <v>89</v>
      </c>
      <c r="G92" t="s">
        <v>92</v>
      </c>
      <c r="H92">
        <v>285.7</v>
      </c>
      <c r="I92">
        <v>0.78770532999999998</v>
      </c>
      <c r="J92">
        <f t="shared" si="40"/>
        <v>392.69908169872417</v>
      </c>
      <c r="K92">
        <f t="shared" si="41"/>
        <v>1.9634954084936209E-3</v>
      </c>
      <c r="L92">
        <f t="shared" si="42"/>
        <v>200000</v>
      </c>
      <c r="M92">
        <f t="shared" si="34"/>
        <v>157541.06599999999</v>
      </c>
      <c r="N92">
        <v>0.47499999999999998</v>
      </c>
      <c r="O92">
        <f t="shared" si="52"/>
        <v>261.92511848092403</v>
      </c>
      <c r="P92">
        <f t="shared" si="43"/>
        <v>241.91551349968088</v>
      </c>
      <c r="Q92">
        <v>6.97</v>
      </c>
      <c r="R92">
        <f t="shared" si="35"/>
        <v>10980.612300199999</v>
      </c>
      <c r="S92">
        <v>0.46</v>
      </c>
      <c r="T92">
        <f t="shared" si="36"/>
        <v>724.6889036</v>
      </c>
      <c r="U92">
        <v>10980.6123002</v>
      </c>
      <c r="V92">
        <v>724.6889036</v>
      </c>
      <c r="W92">
        <f t="shared" si="44"/>
        <v>10141.755317511706</v>
      </c>
      <c r="X92">
        <f t="shared" si="45"/>
        <v>669.32674979273816</v>
      </c>
      <c r="Y92">
        <f t="shared" si="37"/>
        <v>5.4903061500999994E-2</v>
      </c>
      <c r="Z92">
        <f t="shared" si="38"/>
        <v>3.6234445180000001E-3</v>
      </c>
      <c r="AA92">
        <f t="shared" si="46"/>
        <v>54903.061500999996</v>
      </c>
      <c r="AB92">
        <f t="shared" si="47"/>
        <v>3623.4445180000002</v>
      </c>
      <c r="AC92">
        <v>18.298351519287703</v>
      </c>
      <c r="AD92">
        <f t="shared" si="39"/>
        <v>15.152173913043477</v>
      </c>
      <c r="AE92" s="11">
        <v>5.6853999999999996</v>
      </c>
      <c r="AF92" s="11">
        <v>0.54300000000000004</v>
      </c>
      <c r="AG92" s="11">
        <v>2.1480000000000001</v>
      </c>
      <c r="AH92" s="11">
        <v>3.27</v>
      </c>
      <c r="AI92" s="11">
        <f>AF92+AG92+AH92</f>
        <v>5.9610000000000003</v>
      </c>
      <c r="AJ92" s="11">
        <v>36.97</v>
      </c>
      <c r="AK92" s="11">
        <v>1.1499999999999999</v>
      </c>
      <c r="AL92" s="11">
        <v>2.64</v>
      </c>
      <c r="AM92" s="11">
        <v>0.2</v>
      </c>
      <c r="AN92" s="11">
        <v>5.21</v>
      </c>
      <c r="AO92" s="11">
        <v>0.43</v>
      </c>
      <c r="AP92" s="12">
        <f>((AF92/AE92)*I92)*(AJ92/100)</f>
        <v>2.781326918986228E-2</v>
      </c>
      <c r="AQ92" s="12">
        <f>((AF92/AE92)*I92)*(AK92/100)</f>
        <v>8.651679623570902E-4</v>
      </c>
      <c r="AR92" s="12">
        <f>((AG92/AE92)*I92)*(AL92/100)</f>
        <v>7.8567143366123759E-3</v>
      </c>
      <c r="AS92" s="12">
        <f>((AG92/AE92)*I92)*(AM92/100)</f>
        <v>5.9520563156154364E-4</v>
      </c>
      <c r="AT92" s="12">
        <f>((AH92/AE92)*I92)*(AN92/100)</f>
        <v>2.3604142884600911E-2</v>
      </c>
      <c r="AU92" s="12">
        <f>((AH92/AE92)*I92)*(AO92/100)</f>
        <v>1.9481346334699408E-3</v>
      </c>
      <c r="AV92" s="12">
        <f t="shared" ref="AV92:BA93" si="53">AP92*100*100*20</f>
        <v>5562.6538379724561</v>
      </c>
      <c r="AW92" s="12">
        <f t="shared" si="53"/>
        <v>173.03359247141802</v>
      </c>
      <c r="AX92" s="12">
        <f t="shared" si="53"/>
        <v>1571.3428673224753</v>
      </c>
      <c r="AY92" s="12">
        <f t="shared" si="53"/>
        <v>119.04112631230873</v>
      </c>
      <c r="AZ92" s="12">
        <f t="shared" si="53"/>
        <v>4720.8285769201821</v>
      </c>
      <c r="BA92" s="12">
        <f t="shared" si="53"/>
        <v>389.6269266939882</v>
      </c>
      <c r="BB92" s="12">
        <f>AV92+AX92</f>
        <v>7133.9967052949314</v>
      </c>
      <c r="BC92" s="12">
        <f>AZ92/AX92</f>
        <v>3.0043274928051464</v>
      </c>
      <c r="BD92" s="12">
        <f>AZ92/BB92</f>
        <v>0.66173685970675189</v>
      </c>
    </row>
    <row r="93" spans="1:56" x14ac:dyDescent="0.2">
      <c r="A93">
        <v>92</v>
      </c>
      <c r="B93" t="s">
        <v>47</v>
      </c>
      <c r="C93" t="s">
        <v>48</v>
      </c>
      <c r="D93">
        <v>16</v>
      </c>
      <c r="E93" t="s">
        <v>58</v>
      </c>
      <c r="F93" t="s">
        <v>90</v>
      </c>
      <c r="G93" t="s">
        <v>92</v>
      </c>
      <c r="H93">
        <v>302.52</v>
      </c>
      <c r="I93">
        <v>0.88275696100000001</v>
      </c>
      <c r="J93">
        <f t="shared" si="40"/>
        <v>392.69908169872417</v>
      </c>
      <c r="K93">
        <f t="shared" si="41"/>
        <v>1.9634954084936209E-3</v>
      </c>
      <c r="L93">
        <f t="shared" si="42"/>
        <v>200000</v>
      </c>
      <c r="M93">
        <f t="shared" si="34"/>
        <v>176551.3922</v>
      </c>
      <c r="N93">
        <v>5.0099999999999999E-2</v>
      </c>
      <c r="O93">
        <f t="shared" si="52"/>
        <v>29.238479271519243</v>
      </c>
      <c r="P93">
        <f t="shared" si="43"/>
        <v>25.515720476492657</v>
      </c>
      <c r="Q93">
        <v>4.0199999999999996</v>
      </c>
      <c r="R93">
        <f t="shared" si="35"/>
        <v>7097.3659664399984</v>
      </c>
      <c r="S93">
        <v>0.26</v>
      </c>
      <c r="T93">
        <f t="shared" si="36"/>
        <v>459.03361971999999</v>
      </c>
      <c r="U93">
        <v>14194.73193288</v>
      </c>
      <c r="V93">
        <v>918.06723943999998</v>
      </c>
      <c r="W93">
        <f t="shared" si="44"/>
        <v>6193.7012673383633</v>
      </c>
      <c r="X93">
        <f t="shared" si="45"/>
        <v>400.5876441562126</v>
      </c>
      <c r="Y93">
        <f t="shared" si="37"/>
        <v>3.5486829832199994E-2</v>
      </c>
      <c r="Z93">
        <f t="shared" si="38"/>
        <v>2.2951680985999999E-3</v>
      </c>
      <c r="AA93">
        <f t="shared" si="46"/>
        <v>35486.829832199997</v>
      </c>
      <c r="AB93">
        <f t="shared" si="47"/>
        <v>2295.1680986000001</v>
      </c>
      <c r="AC93">
        <v>15.723480059788594</v>
      </c>
      <c r="AD93">
        <f t="shared" si="39"/>
        <v>15.46153846153846</v>
      </c>
      <c r="AE93" s="11">
        <v>5.6677999999999997</v>
      </c>
      <c r="AF93" s="11">
        <v>4.5600000000000002E-2</v>
      </c>
      <c r="AG93" s="11">
        <v>1.8972</v>
      </c>
      <c r="AH93" s="11">
        <v>3.7660999999999998</v>
      </c>
      <c r="AI93" s="11">
        <f>AF93+AG93+AH93</f>
        <v>5.7088999999999999</v>
      </c>
      <c r="AJ93" s="11">
        <v>37.46</v>
      </c>
      <c r="AK93" s="11">
        <v>0.94</v>
      </c>
      <c r="AL93" s="11">
        <v>0.4</v>
      </c>
      <c r="AM93" s="11">
        <v>0.02</v>
      </c>
      <c r="AN93" s="11">
        <v>2.2599999999999998</v>
      </c>
      <c r="AO93" s="11">
        <v>0.18</v>
      </c>
      <c r="AP93" s="12">
        <f>((AF93/AE93)*I93)*(AJ93/100)</f>
        <v>2.6604754130582168E-3</v>
      </c>
      <c r="AQ93" s="12">
        <f>((AF93/AE93)*I93)*(AK93/100)</f>
        <v>6.6760461512939767E-5</v>
      </c>
      <c r="AR93" s="12">
        <f>((AG93/AE93)*I93)*(AL93/100)</f>
        <v>1.181951731824835E-3</v>
      </c>
      <c r="AS93" s="12">
        <f>((AG93/AE93)*I93)*(AM93/100)</f>
        <v>5.9097586591241747E-5</v>
      </c>
      <c r="AT93" s="12">
        <f>((AH93/AE93)*I93)*(AN93/100)</f>
        <v>1.3256440310628366E-2</v>
      </c>
      <c r="AU93" s="12">
        <f>((AH93/AE93)*I93)*(AO93/100)</f>
        <v>1.0558226796075691E-3</v>
      </c>
      <c r="AV93" s="12">
        <f t="shared" si="53"/>
        <v>532.09508261164342</v>
      </c>
      <c r="AW93" s="12">
        <f t="shared" si="53"/>
        <v>13.352092302587955</v>
      </c>
      <c r="AX93" s="12">
        <f t="shared" si="53"/>
        <v>236.390346364967</v>
      </c>
      <c r="AY93" s="12">
        <f t="shared" si="53"/>
        <v>11.81951731824835</v>
      </c>
      <c r="AZ93" s="12">
        <f t="shared" si="53"/>
        <v>2651.2880621256732</v>
      </c>
      <c r="BA93" s="12">
        <f t="shared" si="53"/>
        <v>211.16453592151385</v>
      </c>
      <c r="BB93" s="12">
        <f>AV93+AX93</f>
        <v>768.48542897661036</v>
      </c>
      <c r="BC93" s="12">
        <f>AZ93/AX93</f>
        <v>11.215720535526037</v>
      </c>
      <c r="BD93" s="12">
        <f>AZ93/BB93</f>
        <v>3.4500173486130832</v>
      </c>
    </row>
    <row r="94" spans="1:56" x14ac:dyDescent="0.2">
      <c r="A94">
        <v>93</v>
      </c>
      <c r="B94" t="s">
        <v>47</v>
      </c>
      <c r="C94" t="s">
        <v>48</v>
      </c>
      <c r="D94">
        <v>16</v>
      </c>
      <c r="E94" t="s">
        <v>59</v>
      </c>
      <c r="F94" t="s">
        <v>89</v>
      </c>
      <c r="G94" t="s">
        <v>92</v>
      </c>
      <c r="H94">
        <v>285.7</v>
      </c>
      <c r="I94">
        <v>0.78770532999999998</v>
      </c>
      <c r="J94">
        <f t="shared" si="40"/>
        <v>392.69908169872417</v>
      </c>
      <c r="K94">
        <f t="shared" si="41"/>
        <v>1.9634954084936209E-3</v>
      </c>
      <c r="L94">
        <f t="shared" si="42"/>
        <v>200000</v>
      </c>
      <c r="M94">
        <f t="shared" si="34"/>
        <v>157541.06599999999</v>
      </c>
      <c r="N94">
        <v>0.90210000000000001</v>
      </c>
      <c r="O94">
        <f t="shared" si="52"/>
        <v>497.43715659292963</v>
      </c>
      <c r="P94">
        <f t="shared" si="43"/>
        <v>459.4357573222361</v>
      </c>
      <c r="Q94">
        <v>2.85</v>
      </c>
      <c r="R94">
        <f t="shared" si="35"/>
        <v>4489.9203809999999</v>
      </c>
      <c r="S94">
        <v>0.18</v>
      </c>
      <c r="T94">
        <f t="shared" si="36"/>
        <v>283.5739188</v>
      </c>
      <c r="U94">
        <v>4489.9203810000008</v>
      </c>
      <c r="V94">
        <v>283.5739188</v>
      </c>
      <c r="W94">
        <f t="shared" si="44"/>
        <v>4146.9157324115295</v>
      </c>
      <c r="X94">
        <f t="shared" si="45"/>
        <v>261.91046731020185</v>
      </c>
      <c r="Y94">
        <f t="shared" si="37"/>
        <v>2.2449601905000002E-2</v>
      </c>
      <c r="Z94">
        <f t="shared" si="38"/>
        <v>1.417869594E-3</v>
      </c>
      <c r="AA94">
        <f t="shared" si="46"/>
        <v>22449.601905000003</v>
      </c>
      <c r="AB94">
        <f t="shared" si="47"/>
        <v>1417.869594</v>
      </c>
      <c r="AC94">
        <v>31.103002766698733</v>
      </c>
      <c r="AD94">
        <f t="shared" si="39"/>
        <v>15.833333333333334</v>
      </c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</row>
    <row r="95" spans="1:56" x14ac:dyDescent="0.2">
      <c r="A95">
        <v>94</v>
      </c>
      <c r="B95" t="s">
        <v>47</v>
      </c>
      <c r="C95" t="s">
        <v>48</v>
      </c>
      <c r="D95">
        <v>16</v>
      </c>
      <c r="E95" t="s">
        <v>59</v>
      </c>
      <c r="F95" t="s">
        <v>90</v>
      </c>
      <c r="G95" t="s">
        <v>92</v>
      </c>
      <c r="H95">
        <v>302.52</v>
      </c>
      <c r="I95">
        <v>0.88275696100000001</v>
      </c>
      <c r="J95">
        <f t="shared" si="40"/>
        <v>392.69908169872417</v>
      </c>
      <c r="K95">
        <f t="shared" si="41"/>
        <v>1.9634954084936209E-3</v>
      </c>
      <c r="L95">
        <f t="shared" si="42"/>
        <v>200000</v>
      </c>
      <c r="M95">
        <f t="shared" si="34"/>
        <v>176551.3922</v>
      </c>
      <c r="N95">
        <v>1.0500000000000001E-2</v>
      </c>
      <c r="O95">
        <f t="shared" si="52"/>
        <v>6.1278249970249909</v>
      </c>
      <c r="P95">
        <f t="shared" si="43"/>
        <v>5.3476060878876837</v>
      </c>
      <c r="Q95">
        <v>1.1000000000000001</v>
      </c>
      <c r="R95">
        <f t="shared" si="35"/>
        <v>1942.0653142000001</v>
      </c>
      <c r="S95">
        <v>0.1</v>
      </c>
      <c r="T95">
        <f t="shared" si="36"/>
        <v>176.55139220000001</v>
      </c>
      <c r="U95">
        <v>3884.1306284000011</v>
      </c>
      <c r="V95">
        <v>353.10278440000002</v>
      </c>
      <c r="W95">
        <f t="shared" si="44"/>
        <v>1694.7938791224383</v>
      </c>
      <c r="X95">
        <f t="shared" si="45"/>
        <v>154.07217082931257</v>
      </c>
      <c r="Y95">
        <f t="shared" si="37"/>
        <v>9.7103265710000008E-3</v>
      </c>
      <c r="Z95">
        <f t="shared" si="38"/>
        <v>8.8275696100000001E-4</v>
      </c>
      <c r="AA95">
        <f t="shared" si="46"/>
        <v>9710.3265710000014</v>
      </c>
      <c r="AB95">
        <f t="shared" si="47"/>
        <v>882.75696100000005</v>
      </c>
      <c r="AC95">
        <v>11.142734643357858</v>
      </c>
      <c r="AD95">
        <f t="shared" si="39"/>
        <v>11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</row>
    <row r="96" spans="1:56" x14ac:dyDescent="0.2">
      <c r="A96">
        <v>95</v>
      </c>
      <c r="B96" t="s">
        <v>47</v>
      </c>
      <c r="C96" t="s">
        <v>48</v>
      </c>
      <c r="D96">
        <v>16</v>
      </c>
      <c r="E96" t="s">
        <v>60</v>
      </c>
      <c r="F96" t="s">
        <v>89</v>
      </c>
      <c r="G96" t="s">
        <v>92</v>
      </c>
      <c r="H96">
        <v>285.7</v>
      </c>
      <c r="I96">
        <v>0.78770532999999998</v>
      </c>
      <c r="J96">
        <f t="shared" si="40"/>
        <v>392.69908169872417</v>
      </c>
      <c r="K96">
        <f t="shared" si="41"/>
        <v>1.9634954084936209E-3</v>
      </c>
      <c r="L96">
        <f t="shared" si="42"/>
        <v>200000</v>
      </c>
      <c r="M96">
        <f t="shared" si="34"/>
        <v>157541.06599999999</v>
      </c>
      <c r="N96">
        <v>0.27250000000000002</v>
      </c>
      <c r="O96">
        <f t="shared" si="52"/>
        <v>150.26230481274064</v>
      </c>
      <c r="P96">
        <f t="shared" si="43"/>
        <v>138.78311037613273</v>
      </c>
      <c r="Q96">
        <v>3.84</v>
      </c>
      <c r="R96">
        <f t="shared" si="35"/>
        <v>6049.5769343999991</v>
      </c>
      <c r="S96">
        <v>0.28999999999999998</v>
      </c>
      <c r="T96">
        <f t="shared" si="36"/>
        <v>456.86909139999995</v>
      </c>
      <c r="U96">
        <v>6049.5769343999991</v>
      </c>
      <c r="V96">
        <v>456.8690914</v>
      </c>
      <c r="W96">
        <f t="shared" si="44"/>
        <v>5587.4233026176398</v>
      </c>
      <c r="X96">
        <f t="shared" si="45"/>
        <v>421.96686399976966</v>
      </c>
      <c r="Y96">
        <f t="shared" si="37"/>
        <v>3.0247884671999997E-2</v>
      </c>
      <c r="Z96">
        <f t="shared" si="38"/>
        <v>2.2843454569999996E-3</v>
      </c>
      <c r="AA96">
        <f t="shared" si="46"/>
        <v>30247.884671999996</v>
      </c>
      <c r="AB96">
        <f t="shared" si="47"/>
        <v>2284.3454569999994</v>
      </c>
      <c r="AC96">
        <v>16.10434383261498</v>
      </c>
      <c r="AD96">
        <f t="shared" si="39"/>
        <v>13.241379310344827</v>
      </c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</row>
    <row r="97" spans="1:56" x14ac:dyDescent="0.2">
      <c r="A97">
        <v>96</v>
      </c>
      <c r="B97" t="s">
        <v>47</v>
      </c>
      <c r="C97" t="s">
        <v>48</v>
      </c>
      <c r="D97">
        <v>16</v>
      </c>
      <c r="E97" t="s">
        <v>60</v>
      </c>
      <c r="F97" t="s">
        <v>90</v>
      </c>
      <c r="G97" t="s">
        <v>92</v>
      </c>
      <c r="H97">
        <v>302.52</v>
      </c>
      <c r="I97">
        <v>0.88275696100000001</v>
      </c>
      <c r="J97">
        <f t="shared" si="40"/>
        <v>392.69908169872417</v>
      </c>
      <c r="K97">
        <f t="shared" si="41"/>
        <v>1.9634954084936209E-3</v>
      </c>
      <c r="L97">
        <f t="shared" si="42"/>
        <v>200000</v>
      </c>
      <c r="M97">
        <f t="shared" si="34"/>
        <v>176551.3922</v>
      </c>
      <c r="N97">
        <v>1.4800000000000001E-2</v>
      </c>
      <c r="O97">
        <f t="shared" si="52"/>
        <v>8.6373152339018926</v>
      </c>
      <c r="P97">
        <f t="shared" si="43"/>
        <v>7.5375781048321633</v>
      </c>
      <c r="Q97">
        <v>1.45</v>
      </c>
      <c r="R97">
        <f t="shared" si="35"/>
        <v>2559.9951868999997</v>
      </c>
      <c r="S97">
        <v>0.11</v>
      </c>
      <c r="T97">
        <f t="shared" si="36"/>
        <v>194.20653142</v>
      </c>
      <c r="U97">
        <v>5119.9903737999994</v>
      </c>
      <c r="V97">
        <v>388.41306284000001</v>
      </c>
      <c r="W97">
        <f t="shared" si="44"/>
        <v>2234.0464770250319</v>
      </c>
      <c r="X97">
        <f t="shared" si="45"/>
        <v>169.47938791224382</v>
      </c>
      <c r="Y97">
        <f t="shared" si="37"/>
        <v>1.27999759345E-2</v>
      </c>
      <c r="Z97">
        <f t="shared" si="38"/>
        <v>9.710326571000001E-4</v>
      </c>
      <c r="AA97">
        <f t="shared" si="46"/>
        <v>12799.9759345</v>
      </c>
      <c r="AB97">
        <f t="shared" si="47"/>
        <v>971.03265710000005</v>
      </c>
      <c r="AC97">
        <v>13.364716252960713</v>
      </c>
      <c r="AD97">
        <f t="shared" si="39"/>
        <v>13.181818181818182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</row>
    <row r="98" spans="1:56" x14ac:dyDescent="0.2">
      <c r="A98">
        <v>97</v>
      </c>
      <c r="B98" t="s">
        <v>47</v>
      </c>
      <c r="C98" t="s">
        <v>48</v>
      </c>
      <c r="D98">
        <v>17</v>
      </c>
      <c r="E98" t="s">
        <v>61</v>
      </c>
      <c r="F98" t="s">
        <v>89</v>
      </c>
      <c r="G98" t="s">
        <v>92</v>
      </c>
      <c r="H98">
        <v>250.02</v>
      </c>
      <c r="I98">
        <v>0.65330702900000004</v>
      </c>
      <c r="J98">
        <f t="shared" si="40"/>
        <v>392.69908169872417</v>
      </c>
      <c r="K98">
        <f t="shared" si="41"/>
        <v>1.9634954084936209E-3</v>
      </c>
      <c r="L98">
        <f t="shared" si="42"/>
        <v>200000</v>
      </c>
      <c r="M98">
        <f t="shared" ref="M98:M129" si="54">I98*L98</f>
        <v>130661.40580000001</v>
      </c>
      <c r="N98">
        <v>0.8276</v>
      </c>
      <c r="O98">
        <f t="shared" si="52"/>
        <v>432.50691720694346</v>
      </c>
      <c r="P98">
        <f t="shared" si="43"/>
        <v>421.49321888912823</v>
      </c>
      <c r="Q98">
        <v>7.28</v>
      </c>
      <c r="R98">
        <f t="shared" ref="R98:R129" si="55">M98*(Q98/100)</f>
        <v>9512.1503422400019</v>
      </c>
      <c r="S98">
        <v>0.47</v>
      </c>
      <c r="T98">
        <f t="shared" ref="T98:T129" si="56">M98*(S98/100)</f>
        <v>614.10860725999999</v>
      </c>
      <c r="U98">
        <v>9512.1503422400019</v>
      </c>
      <c r="V98">
        <v>614.10860725999999</v>
      </c>
      <c r="W98">
        <f t="shared" si="44"/>
        <v>9269.9254203828386</v>
      </c>
      <c r="X98">
        <f t="shared" si="45"/>
        <v>598.47045983240844</v>
      </c>
      <c r="Y98">
        <f t="shared" ref="Y98:Y129" si="57">(Q98/100)*I98</f>
        <v>4.7560751711200007E-2</v>
      </c>
      <c r="Z98">
        <f t="shared" ref="Z98:Z129" si="58">(S98/100)*I98</f>
        <v>3.0705430362999997E-3</v>
      </c>
      <c r="AA98">
        <f t="shared" si="46"/>
        <v>47560.751711200006</v>
      </c>
      <c r="AB98">
        <f t="shared" si="47"/>
        <v>3070.5430362999996</v>
      </c>
      <c r="AC98">
        <v>21.958054622300555</v>
      </c>
      <c r="AD98">
        <f t="shared" si="39"/>
        <v>15.489361702127662</v>
      </c>
      <c r="AE98" s="11">
        <v>5.7398999999999996</v>
      </c>
      <c r="AF98" s="11">
        <v>0.1226</v>
      </c>
      <c r="AG98" s="11">
        <v>2.9539</v>
      </c>
      <c r="AH98" s="11">
        <v>2.6714000000000002</v>
      </c>
      <c r="AI98" s="11">
        <f>AF98+AG98+AH98</f>
        <v>5.7478999999999996</v>
      </c>
      <c r="AJ98" s="11">
        <v>38.28</v>
      </c>
      <c r="AK98" s="11">
        <v>0.9</v>
      </c>
      <c r="AL98" s="11">
        <v>0.11</v>
      </c>
      <c r="AM98" s="11">
        <v>0.02</v>
      </c>
      <c r="AN98" s="11">
        <v>3.89</v>
      </c>
      <c r="AO98" s="11">
        <v>0.26</v>
      </c>
      <c r="AP98" s="12">
        <f>((AF98/AE98)*I98)*(AJ98/100)</f>
        <v>5.3416496984210748E-3</v>
      </c>
      <c r="AQ98" s="12">
        <f>((AF98/AE98)*I98)*(AK98/100)</f>
        <v>1.2558737535472747E-4</v>
      </c>
      <c r="AR98" s="12">
        <f>((AG98/AE98)*I98)*(AL98/100)</f>
        <v>3.6982943888559216E-4</v>
      </c>
      <c r="AS98" s="12">
        <f>((AG98/AE98)*I98)*(AM98/100)</f>
        <v>6.7241716161016749E-5</v>
      </c>
      <c r="AT98" s="12">
        <f>((AH98/AE98)*I98)*(AN98/100)</f>
        <v>1.18277334193673E-2</v>
      </c>
      <c r="AU98" s="12">
        <f>((AH98/AE98)*I98)*(AO98/100)</f>
        <v>7.9054259358239004E-4</v>
      </c>
      <c r="AV98" s="12">
        <f t="shared" ref="AV98:BA99" si="59">AP98*100*100*20</f>
        <v>1068.3299396842149</v>
      </c>
      <c r="AW98" s="12">
        <f t="shared" si="59"/>
        <v>25.117475070945492</v>
      </c>
      <c r="AX98" s="12">
        <f t="shared" si="59"/>
        <v>73.965887777118425</v>
      </c>
      <c r="AY98" s="12">
        <f t="shared" si="59"/>
        <v>13.448343232203349</v>
      </c>
      <c r="AZ98" s="12">
        <f t="shared" si="59"/>
        <v>2365.5466838734596</v>
      </c>
      <c r="BA98" s="12">
        <f t="shared" si="59"/>
        <v>158.10851871647802</v>
      </c>
      <c r="BB98" s="12">
        <f>AV98+AX98</f>
        <v>1142.2958274613334</v>
      </c>
      <c r="BC98" s="12">
        <f>AZ98/AX98</f>
        <v>31.981589824238529</v>
      </c>
      <c r="BD98" s="12">
        <f>AZ98/BB98</f>
        <v>2.0708704584264388</v>
      </c>
    </row>
    <row r="99" spans="1:56" x14ac:dyDescent="0.2">
      <c r="A99">
        <v>98</v>
      </c>
      <c r="B99" t="s">
        <v>47</v>
      </c>
      <c r="C99" t="s">
        <v>48</v>
      </c>
      <c r="D99">
        <v>17</v>
      </c>
      <c r="E99" t="s">
        <v>61</v>
      </c>
      <c r="F99" t="s">
        <v>90</v>
      </c>
      <c r="G99" t="s">
        <v>92</v>
      </c>
      <c r="H99">
        <v>220.97</v>
      </c>
      <c r="I99">
        <v>0.75493916400000005</v>
      </c>
      <c r="J99">
        <f t="shared" si="40"/>
        <v>392.69908169872417</v>
      </c>
      <c r="K99">
        <f t="shared" si="41"/>
        <v>1.9634954084936209E-3</v>
      </c>
      <c r="L99">
        <f t="shared" si="42"/>
        <v>200000</v>
      </c>
      <c r="M99">
        <f t="shared" si="54"/>
        <v>150987.8328</v>
      </c>
      <c r="N99">
        <v>4.7600000000000003E-2</v>
      </c>
      <c r="O99">
        <f t="shared" si="52"/>
        <v>32.524871436303577</v>
      </c>
      <c r="P99">
        <f t="shared" si="43"/>
        <v>24.242480931757498</v>
      </c>
      <c r="Q99">
        <v>1.1000000000000001</v>
      </c>
      <c r="R99">
        <f t="shared" si="55"/>
        <v>1660.8661608000002</v>
      </c>
      <c r="S99">
        <v>0.08</v>
      </c>
      <c r="T99">
        <f t="shared" si="56"/>
        <v>120.79026624000001</v>
      </c>
      <c r="U99">
        <v>3321.7323216</v>
      </c>
      <c r="V99">
        <v>241.58053247999999</v>
      </c>
      <c r="W99">
        <f t="shared" si="44"/>
        <v>1237.9300656805672</v>
      </c>
      <c r="X99">
        <f t="shared" si="45"/>
        <v>90.031277504041242</v>
      </c>
      <c r="Y99">
        <f t="shared" si="57"/>
        <v>8.3043308040000006E-3</v>
      </c>
      <c r="Z99">
        <f t="shared" si="58"/>
        <v>6.0395133120000007E-4</v>
      </c>
      <c r="AA99">
        <f t="shared" si="46"/>
        <v>8304.3308040000011</v>
      </c>
      <c r="AB99">
        <f t="shared" si="47"/>
        <v>603.95133120000003</v>
      </c>
      <c r="AC99">
        <v>14.695771572131607</v>
      </c>
      <c r="AD99">
        <f t="shared" si="39"/>
        <v>13.75</v>
      </c>
      <c r="AE99" s="11">
        <v>5.7442000000000002</v>
      </c>
      <c r="AF99" s="11">
        <v>4.2200000000000001E-2</v>
      </c>
      <c r="AG99" s="11">
        <v>2.7538999999999998</v>
      </c>
      <c r="AH99" s="11">
        <v>2.9617</v>
      </c>
      <c r="AI99" s="11">
        <f>AF99+AG99+AH99</f>
        <v>5.7577999999999996</v>
      </c>
      <c r="AJ99" s="11">
        <v>36.909999999999997</v>
      </c>
      <c r="AK99" s="11">
        <v>0.66</v>
      </c>
      <c r="AL99" s="11">
        <v>0.66</v>
      </c>
      <c r="AM99" s="11">
        <v>0.04</v>
      </c>
      <c r="AN99" s="11">
        <v>1.03</v>
      </c>
      <c r="AO99" s="11">
        <v>0.1</v>
      </c>
      <c r="AP99" s="12">
        <f>((AF99/AE99)*I99)*(AJ99/100)</f>
        <v>2.0470992509396052E-3</v>
      </c>
      <c r="AQ99" s="12">
        <f>((AF99/AE99)*I99)*(AK99/100)</f>
        <v>3.6604863332975873E-5</v>
      </c>
      <c r="AR99" s="12">
        <f>((AG99/AE99)*I99)*(AL99/100)</f>
        <v>2.3887709273147451E-3</v>
      </c>
      <c r="AS99" s="12">
        <f>((AG99/AE99)*I99)*(AM99/100)</f>
        <v>1.4477399559483303E-4</v>
      </c>
      <c r="AT99" s="12">
        <f>((AH99/AE99)*I99)*(AN99/100)</f>
        <v>4.0092274323306363E-3</v>
      </c>
      <c r="AU99" s="12">
        <f>((AH99/AE99)*I99)*(AO99/100)</f>
        <v>3.8924538177967339E-4</v>
      </c>
      <c r="AV99" s="12">
        <f t="shared" si="59"/>
        <v>409.41985018792104</v>
      </c>
      <c r="AW99" s="12">
        <f t="shared" si="59"/>
        <v>7.3209726665951749</v>
      </c>
      <c r="AX99" s="12">
        <f t="shared" si="59"/>
        <v>477.75418546294901</v>
      </c>
      <c r="AY99" s="12">
        <f t="shared" si="59"/>
        <v>28.954799118966609</v>
      </c>
      <c r="AZ99" s="12">
        <f t="shared" si="59"/>
        <v>801.84548646612723</v>
      </c>
      <c r="BA99" s="12">
        <f t="shared" si="59"/>
        <v>77.84907635593467</v>
      </c>
      <c r="BB99" s="12">
        <f>AV99+AX99</f>
        <v>887.17403565087011</v>
      </c>
      <c r="BC99" s="12">
        <f>AZ99/AX99</f>
        <v>1.678364127127699</v>
      </c>
      <c r="BD99" s="12">
        <f>AZ99/BB99</f>
        <v>0.90381983043254632</v>
      </c>
    </row>
    <row r="100" spans="1:56" x14ac:dyDescent="0.2">
      <c r="A100">
        <v>99</v>
      </c>
      <c r="B100" t="s">
        <v>47</v>
      </c>
      <c r="C100" t="s">
        <v>48</v>
      </c>
      <c r="D100">
        <v>17</v>
      </c>
      <c r="E100" t="s">
        <v>62</v>
      </c>
      <c r="F100" t="s">
        <v>89</v>
      </c>
      <c r="G100" t="s">
        <v>92</v>
      </c>
      <c r="H100">
        <v>250.02</v>
      </c>
      <c r="I100">
        <v>0.65330702900000004</v>
      </c>
      <c r="J100">
        <f t="shared" si="40"/>
        <v>392.69908169872417</v>
      </c>
      <c r="K100">
        <f t="shared" si="41"/>
        <v>1.9634954084936209E-3</v>
      </c>
      <c r="L100">
        <f t="shared" si="42"/>
        <v>200000</v>
      </c>
      <c r="M100">
        <f t="shared" si="54"/>
        <v>130661.40580000001</v>
      </c>
      <c r="N100">
        <v>0.20080000000000001</v>
      </c>
      <c r="O100">
        <f t="shared" si="52"/>
        <v>104.93884603087754</v>
      </c>
      <c r="P100">
        <f t="shared" si="43"/>
        <v>102.26660023312826</v>
      </c>
      <c r="Q100">
        <v>6.56</v>
      </c>
      <c r="R100">
        <f t="shared" si="55"/>
        <v>8571.3882204799993</v>
      </c>
      <c r="S100">
        <v>0.42</v>
      </c>
      <c r="T100">
        <f t="shared" si="56"/>
        <v>548.77790435999998</v>
      </c>
      <c r="U100">
        <v>8571.3882204799993</v>
      </c>
      <c r="V100">
        <v>548.77790435999998</v>
      </c>
      <c r="W100">
        <f t="shared" si="44"/>
        <v>8353.1196095757441</v>
      </c>
      <c r="X100">
        <f t="shared" si="45"/>
        <v>534.80338963747147</v>
      </c>
      <c r="Y100">
        <f t="shared" si="57"/>
        <v>4.2856941102399994E-2</v>
      </c>
      <c r="Z100">
        <f t="shared" si="58"/>
        <v>2.7438895218000001E-3</v>
      </c>
      <c r="AA100">
        <f t="shared" si="46"/>
        <v>42856.941102399993</v>
      </c>
      <c r="AB100">
        <f t="shared" si="47"/>
        <v>2743.8895218000002</v>
      </c>
      <c r="AC100">
        <v>17.37538655387419</v>
      </c>
      <c r="AD100">
        <f t="shared" si="39"/>
        <v>15.619047619047619</v>
      </c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</row>
    <row r="101" spans="1:56" x14ac:dyDescent="0.2">
      <c r="A101">
        <v>100</v>
      </c>
      <c r="B101" t="s">
        <v>47</v>
      </c>
      <c r="C101" t="s">
        <v>48</v>
      </c>
      <c r="D101">
        <v>17</v>
      </c>
      <c r="E101" t="s">
        <v>62</v>
      </c>
      <c r="F101" t="s">
        <v>90</v>
      </c>
      <c r="G101" t="s">
        <v>92</v>
      </c>
      <c r="H101">
        <v>221</v>
      </c>
      <c r="I101">
        <v>0.75493916400000005</v>
      </c>
      <c r="J101">
        <f t="shared" si="40"/>
        <v>392.69908169872417</v>
      </c>
      <c r="K101">
        <f t="shared" si="41"/>
        <v>1.9634954084936209E-3</v>
      </c>
      <c r="L101">
        <f t="shared" si="42"/>
        <v>200000</v>
      </c>
      <c r="M101">
        <f t="shared" si="54"/>
        <v>150987.8328</v>
      </c>
      <c r="N101">
        <v>8.0000000000000004E-4</v>
      </c>
      <c r="O101">
        <f t="shared" si="52"/>
        <v>0.54656229067873308</v>
      </c>
      <c r="P101">
        <f t="shared" si="43"/>
        <v>0.40743665431525206</v>
      </c>
      <c r="Q101">
        <v>3.68</v>
      </c>
      <c r="R101">
        <f t="shared" si="55"/>
        <v>5556.3522470400003</v>
      </c>
      <c r="S101">
        <v>0.23</v>
      </c>
      <c r="T101">
        <f t="shared" si="56"/>
        <v>347.27201544000002</v>
      </c>
      <c r="U101">
        <v>11112.704494080001</v>
      </c>
      <c r="V101">
        <v>694.54403087999992</v>
      </c>
      <c r="W101">
        <f t="shared" si="44"/>
        <v>4142.0010277688516</v>
      </c>
      <c r="X101">
        <f t="shared" si="45"/>
        <v>258.87506423555322</v>
      </c>
      <c r="Y101">
        <f t="shared" si="57"/>
        <v>2.77817612352E-2</v>
      </c>
      <c r="Z101">
        <f t="shared" si="58"/>
        <v>1.7363600772E-3</v>
      </c>
      <c r="AA101">
        <f t="shared" si="46"/>
        <v>27781.7612352</v>
      </c>
      <c r="AB101">
        <f t="shared" si="47"/>
        <v>1736.3600772</v>
      </c>
      <c r="AC101">
        <v>16.005528807144358</v>
      </c>
      <c r="AD101">
        <f t="shared" si="39"/>
        <v>16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</row>
    <row r="102" spans="1:56" x14ac:dyDescent="0.2">
      <c r="A102">
        <v>101</v>
      </c>
      <c r="B102" t="s">
        <v>47</v>
      </c>
      <c r="C102" t="s">
        <v>48</v>
      </c>
      <c r="D102">
        <v>17</v>
      </c>
      <c r="E102" t="s">
        <v>63</v>
      </c>
      <c r="F102" t="s">
        <v>89</v>
      </c>
      <c r="G102" t="s">
        <v>92</v>
      </c>
      <c r="H102">
        <v>250.02</v>
      </c>
      <c r="I102">
        <v>0.65330702900000004</v>
      </c>
      <c r="J102">
        <f t="shared" si="40"/>
        <v>392.69908169872417</v>
      </c>
      <c r="K102">
        <f t="shared" si="41"/>
        <v>1.9634954084936209E-3</v>
      </c>
      <c r="L102">
        <f t="shared" si="42"/>
        <v>200000</v>
      </c>
      <c r="M102">
        <f t="shared" si="54"/>
        <v>130661.40580000001</v>
      </c>
      <c r="N102">
        <v>0.39350000000000002</v>
      </c>
      <c r="O102">
        <f t="shared" si="52"/>
        <v>205.64460116110712</v>
      </c>
      <c r="P102">
        <f t="shared" si="43"/>
        <v>200.40790434131461</v>
      </c>
      <c r="Q102">
        <v>2.89</v>
      </c>
      <c r="R102">
        <f t="shared" si="55"/>
        <v>3776.1146276200006</v>
      </c>
      <c r="S102">
        <v>0.24</v>
      </c>
      <c r="T102">
        <f t="shared" si="56"/>
        <v>313.58737392</v>
      </c>
      <c r="U102">
        <v>3776.1146276200002</v>
      </c>
      <c r="V102">
        <v>313.58737392</v>
      </c>
      <c r="W102">
        <f t="shared" si="44"/>
        <v>3679.9566572673634</v>
      </c>
      <c r="X102">
        <f t="shared" si="45"/>
        <v>305.60193693569795</v>
      </c>
      <c r="Y102">
        <f t="shared" si="57"/>
        <v>1.8880573138100001E-2</v>
      </c>
      <c r="Z102">
        <f t="shared" si="58"/>
        <v>1.5679368695999999E-3</v>
      </c>
      <c r="AA102">
        <f t="shared" si="46"/>
        <v>18880.573138100001</v>
      </c>
      <c r="AB102">
        <f t="shared" si="47"/>
        <v>1567.9368695999999</v>
      </c>
      <c r="AC102">
        <v>18.064868354888514</v>
      </c>
      <c r="AD102">
        <f t="shared" si="39"/>
        <v>12.041666666666668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</row>
    <row r="103" spans="1:56" x14ac:dyDescent="0.2">
      <c r="A103">
        <v>102</v>
      </c>
      <c r="B103" t="s">
        <v>47</v>
      </c>
      <c r="C103" t="s">
        <v>48</v>
      </c>
      <c r="D103">
        <v>17</v>
      </c>
      <c r="E103" t="s">
        <v>63</v>
      </c>
      <c r="F103" t="s">
        <v>90</v>
      </c>
      <c r="G103" t="s">
        <v>92</v>
      </c>
      <c r="H103">
        <v>220.97</v>
      </c>
      <c r="I103">
        <v>0.75493916400000005</v>
      </c>
      <c r="J103">
        <f t="shared" si="40"/>
        <v>392.69908169872417</v>
      </c>
      <c r="K103">
        <f t="shared" si="41"/>
        <v>1.9634954084936209E-3</v>
      </c>
      <c r="L103">
        <f t="shared" si="42"/>
        <v>200000</v>
      </c>
      <c r="M103">
        <f t="shared" si="54"/>
        <v>150987.8328</v>
      </c>
      <c r="N103">
        <v>2.6800000000000001E-2</v>
      </c>
      <c r="O103">
        <f t="shared" si="52"/>
        <v>18.312322573381003</v>
      </c>
      <c r="P103">
        <f t="shared" si="43"/>
        <v>13.649127919560943</v>
      </c>
      <c r="Q103">
        <v>0.89</v>
      </c>
      <c r="R103">
        <f t="shared" si="55"/>
        <v>1343.7917119200001</v>
      </c>
      <c r="S103">
        <v>0.08</v>
      </c>
      <c r="T103">
        <f t="shared" si="56"/>
        <v>120.79026624000001</v>
      </c>
      <c r="U103">
        <v>2687.5834238399998</v>
      </c>
      <c r="V103">
        <v>241.58053247999999</v>
      </c>
      <c r="W103">
        <f t="shared" si="44"/>
        <v>1001.5979622324588</v>
      </c>
      <c r="X103">
        <f t="shared" si="45"/>
        <v>90.031277504041242</v>
      </c>
      <c r="Y103">
        <f t="shared" si="57"/>
        <v>6.7189585596000006E-3</v>
      </c>
      <c r="Z103">
        <f t="shared" si="58"/>
        <v>6.0395133120000007E-4</v>
      </c>
      <c r="AA103">
        <f t="shared" si="46"/>
        <v>6718.9585596000006</v>
      </c>
      <c r="AB103">
        <f t="shared" si="47"/>
        <v>603.95133120000003</v>
      </c>
      <c r="AC103">
        <v>11.657493238090906</v>
      </c>
      <c r="AD103">
        <f t="shared" si="39"/>
        <v>11.125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</row>
    <row r="104" spans="1:56" x14ac:dyDescent="0.2">
      <c r="A104">
        <v>103</v>
      </c>
      <c r="B104" t="s">
        <v>47</v>
      </c>
      <c r="C104" t="s">
        <v>48</v>
      </c>
      <c r="D104">
        <v>18</v>
      </c>
      <c r="E104" t="s">
        <v>64</v>
      </c>
      <c r="F104" t="s">
        <v>89</v>
      </c>
      <c r="G104" t="s">
        <v>92</v>
      </c>
      <c r="H104">
        <v>260.3</v>
      </c>
      <c r="I104">
        <v>0.75955849900000005</v>
      </c>
      <c r="J104">
        <f t="shared" si="40"/>
        <v>392.69908169872417</v>
      </c>
      <c r="K104">
        <f t="shared" si="41"/>
        <v>1.9634954084936209E-3</v>
      </c>
      <c r="L104">
        <f t="shared" si="42"/>
        <v>200000</v>
      </c>
      <c r="M104">
        <f t="shared" si="54"/>
        <v>151911.6998</v>
      </c>
      <c r="N104">
        <v>0.7419</v>
      </c>
      <c r="O104">
        <f t="shared" si="52"/>
        <v>432.97460653714944</v>
      </c>
      <c r="P104">
        <f t="shared" si="43"/>
        <v>377.84656729560686</v>
      </c>
      <c r="Q104">
        <v>3.37</v>
      </c>
      <c r="R104">
        <f t="shared" si="55"/>
        <v>5119.4242832600003</v>
      </c>
      <c r="S104">
        <v>0.21</v>
      </c>
      <c r="T104">
        <f t="shared" si="56"/>
        <v>319.01456958</v>
      </c>
      <c r="U104">
        <v>5119.4242832600012</v>
      </c>
      <c r="V104">
        <v>319.01456958</v>
      </c>
      <c r="W104">
        <f t="shared" si="44"/>
        <v>4467.598937106708</v>
      </c>
      <c r="X104">
        <f t="shared" si="45"/>
        <v>278.39637293543279</v>
      </c>
      <c r="Y104">
        <f t="shared" si="57"/>
        <v>2.5597121416300002E-2</v>
      </c>
      <c r="Z104">
        <f t="shared" si="58"/>
        <v>1.5950728479000001E-3</v>
      </c>
      <c r="AA104">
        <f t="shared" si="46"/>
        <v>25597.1214163</v>
      </c>
      <c r="AB104">
        <f t="shared" si="47"/>
        <v>1595.0728479000002</v>
      </c>
      <c r="AC104">
        <v>27.210494789276897</v>
      </c>
      <c r="AD104">
        <f t="shared" si="39"/>
        <v>16.047619047619047</v>
      </c>
      <c r="AE104" s="11">
        <v>5.8611000000000004</v>
      </c>
      <c r="AF104" s="11">
        <v>0.10920000000000001</v>
      </c>
      <c r="AG104" s="11">
        <v>2.7742</v>
      </c>
      <c r="AH104" s="11">
        <v>2.9935</v>
      </c>
      <c r="AI104" s="11">
        <f>AF104+AG104+AH104</f>
        <v>5.8769</v>
      </c>
      <c r="AJ104" s="11">
        <v>38.5</v>
      </c>
      <c r="AK104" s="11">
        <v>1.07</v>
      </c>
      <c r="AL104" s="11">
        <v>0.63</v>
      </c>
      <c r="AM104" s="11">
        <v>0.04</v>
      </c>
      <c r="AN104" s="11">
        <v>2.82</v>
      </c>
      <c r="AO104" s="11">
        <v>0.23</v>
      </c>
      <c r="AP104" s="12">
        <f>((AF104/AE104)*I104)*(AJ104/100)</f>
        <v>5.4483558401934792E-3</v>
      </c>
      <c r="AQ104" s="12">
        <f>((AF104/AE104)*I104)*(AK104/100)</f>
        <v>1.5142183763654606E-4</v>
      </c>
      <c r="AR104" s="12">
        <f>((AG104/AE104)*I104)*(AL104/100)</f>
        <v>2.2649593564232893E-3</v>
      </c>
      <c r="AS104" s="12">
        <f>((AG104/AE104)*I104)*(AM104/100)</f>
        <v>1.4380694326497076E-4</v>
      </c>
      <c r="AT104" s="12">
        <f>((AH104/AE104)*I104)*(AN104/100)</f>
        <v>1.0939827326360802E-2</v>
      </c>
      <c r="AU104" s="12">
        <f>((AH104/AE104)*I104)*(AO104/100)</f>
        <v>8.9225542023510084E-4</v>
      </c>
      <c r="AV104" s="12">
        <f t="shared" ref="AV104:BA105" si="60">AP104*100*100*20</f>
        <v>1089.6711680386959</v>
      </c>
      <c r="AW104" s="12">
        <f t="shared" si="60"/>
        <v>30.284367527309215</v>
      </c>
      <c r="AX104" s="12">
        <f t="shared" si="60"/>
        <v>452.9918712846578</v>
      </c>
      <c r="AY104" s="12">
        <f t="shared" si="60"/>
        <v>28.76138865299415</v>
      </c>
      <c r="AZ104" s="12">
        <f t="shared" si="60"/>
        <v>2187.9654652721601</v>
      </c>
      <c r="BA104" s="12">
        <f t="shared" si="60"/>
        <v>178.45108404702017</v>
      </c>
      <c r="BB104" s="12">
        <f>AV104+AX104</f>
        <v>1542.6630393233536</v>
      </c>
      <c r="BC104" s="12">
        <f>AZ104/AX104</f>
        <v>4.8300325104448811</v>
      </c>
      <c r="BD104" s="12">
        <f>AZ104/BB104</f>
        <v>1.4183041983243798</v>
      </c>
    </row>
    <row r="105" spans="1:56" x14ac:dyDescent="0.2">
      <c r="A105">
        <v>104</v>
      </c>
      <c r="B105" t="s">
        <v>47</v>
      </c>
      <c r="C105" t="s">
        <v>48</v>
      </c>
      <c r="D105">
        <v>18</v>
      </c>
      <c r="E105" t="s">
        <v>64</v>
      </c>
      <c r="F105" t="s">
        <v>90</v>
      </c>
      <c r="G105" t="s">
        <v>92</v>
      </c>
      <c r="H105">
        <v>463.57</v>
      </c>
      <c r="I105">
        <v>1.227352733</v>
      </c>
      <c r="J105">
        <f t="shared" si="40"/>
        <v>392.69908169872417</v>
      </c>
      <c r="K105">
        <f t="shared" si="41"/>
        <v>1.9634954084936209E-3</v>
      </c>
      <c r="L105">
        <f t="shared" si="42"/>
        <v>200000</v>
      </c>
      <c r="M105">
        <f t="shared" si="54"/>
        <v>245470.5466</v>
      </c>
      <c r="N105">
        <v>0.19220000000000001</v>
      </c>
      <c r="O105">
        <f t="shared" si="52"/>
        <v>101.77414210695257</v>
      </c>
      <c r="P105">
        <f t="shared" si="43"/>
        <v>97.886656199239312</v>
      </c>
      <c r="Q105">
        <v>1.25</v>
      </c>
      <c r="R105">
        <f t="shared" si="55"/>
        <v>3068.3818325000002</v>
      </c>
      <c r="S105">
        <v>0.1</v>
      </c>
      <c r="T105">
        <f t="shared" si="56"/>
        <v>245.47054660000001</v>
      </c>
      <c r="U105">
        <v>6136.7636650000004</v>
      </c>
      <c r="V105">
        <v>490.94109320000001</v>
      </c>
      <c r="W105">
        <f t="shared" si="44"/>
        <v>2951.178278764397</v>
      </c>
      <c r="X105">
        <f t="shared" si="45"/>
        <v>236.09426230115173</v>
      </c>
      <c r="Y105">
        <f t="shared" si="57"/>
        <v>1.53419091625E-2</v>
      </c>
      <c r="Z105">
        <f t="shared" si="58"/>
        <v>1.227352733E-3</v>
      </c>
      <c r="AA105">
        <f t="shared" si="46"/>
        <v>15341.9091625</v>
      </c>
      <c r="AB105">
        <f t="shared" si="47"/>
        <v>1227.3527329999999</v>
      </c>
      <c r="AC105">
        <v>14.379166386310562</v>
      </c>
      <c r="AD105">
        <f t="shared" si="39"/>
        <v>12.5</v>
      </c>
      <c r="AE105" s="11">
        <v>5.7072000000000003</v>
      </c>
      <c r="AF105" s="11">
        <v>2.41E-2</v>
      </c>
      <c r="AG105" s="11">
        <v>2.3155000000000001</v>
      </c>
      <c r="AH105" s="11">
        <v>3.8730000000000002</v>
      </c>
      <c r="AI105" s="11">
        <f>AF105+AG105+AH105</f>
        <v>6.2126000000000001</v>
      </c>
      <c r="AJ105" s="11">
        <v>40.98</v>
      </c>
      <c r="AK105" s="11">
        <v>0.91</v>
      </c>
      <c r="AL105" s="11">
        <v>0.12</v>
      </c>
      <c r="AM105" s="11">
        <v>0.02</v>
      </c>
      <c r="AN105" s="11">
        <v>0.47</v>
      </c>
      <c r="AO105" s="11">
        <v>0.06</v>
      </c>
      <c r="AP105" s="12">
        <f>((AF105/AE105)*I105)*(AJ105/100)</f>
        <v>2.1239060335365742E-3</v>
      </c>
      <c r="AQ105" s="12">
        <f>((AF105/AE105)*I105)*(AK105/100)</f>
        <v>4.7163359944321204E-5</v>
      </c>
      <c r="AR105" s="12">
        <f>((AG105/AE105)*I105)*(AL105/100)</f>
        <v>5.9754736191368785E-4</v>
      </c>
      <c r="AS105" s="12">
        <f>((AG105/AE105)*I105)*(AM105/100)</f>
        <v>9.959122698561466E-5</v>
      </c>
      <c r="AT105" s="12">
        <f>((AH105/AE105)*I105)*(AN105/100)</f>
        <v>3.9146384451346191E-3</v>
      </c>
      <c r="AU105" s="12">
        <f>((AH105/AE105)*I105)*(AO105/100)</f>
        <v>4.9974107810229183E-4</v>
      </c>
      <c r="AV105" s="12">
        <f t="shared" si="60"/>
        <v>424.78120670731482</v>
      </c>
      <c r="AW105" s="12">
        <f t="shared" si="60"/>
        <v>9.4326719888642412</v>
      </c>
      <c r="AX105" s="12">
        <f t="shared" si="60"/>
        <v>119.50947238273757</v>
      </c>
      <c r="AY105" s="12">
        <f t="shared" si="60"/>
        <v>19.918245397122934</v>
      </c>
      <c r="AZ105" s="12">
        <f t="shared" si="60"/>
        <v>782.92768902692376</v>
      </c>
      <c r="BA105" s="12">
        <f t="shared" si="60"/>
        <v>99.94821562045837</v>
      </c>
      <c r="BB105" s="12">
        <f>AV105+AX105</f>
        <v>544.29067909005244</v>
      </c>
      <c r="BC105" s="12">
        <f>AZ105/AX105</f>
        <v>6.5511768516519115</v>
      </c>
      <c r="BD105" s="12">
        <f>AZ105/BB105</f>
        <v>1.4384367013887243</v>
      </c>
    </row>
    <row r="106" spans="1:56" x14ac:dyDescent="0.2">
      <c r="A106">
        <v>105</v>
      </c>
      <c r="B106" t="s">
        <v>47</v>
      </c>
      <c r="C106" t="s">
        <v>48</v>
      </c>
      <c r="D106">
        <v>18</v>
      </c>
      <c r="E106" t="s">
        <v>65</v>
      </c>
      <c r="F106" t="s">
        <v>89</v>
      </c>
      <c r="G106" t="s">
        <v>92</v>
      </c>
      <c r="H106">
        <v>260.3</v>
      </c>
      <c r="I106">
        <v>0.75955849900000005</v>
      </c>
      <c r="J106">
        <f t="shared" si="40"/>
        <v>392.69908169872417</v>
      </c>
      <c r="K106">
        <f t="shared" si="41"/>
        <v>1.9634954084936209E-3</v>
      </c>
      <c r="L106">
        <f t="shared" si="42"/>
        <v>200000</v>
      </c>
      <c r="M106">
        <f t="shared" si="54"/>
        <v>151911.6998</v>
      </c>
      <c r="N106">
        <v>0.47349999999999998</v>
      </c>
      <c r="O106">
        <f t="shared" si="52"/>
        <v>276.33572745024969</v>
      </c>
      <c r="P106">
        <f t="shared" si="43"/>
        <v>241.15156977283979</v>
      </c>
      <c r="Q106">
        <v>3.54</v>
      </c>
      <c r="R106">
        <f t="shared" si="55"/>
        <v>5377.6741729200003</v>
      </c>
      <c r="S106">
        <v>0.2</v>
      </c>
      <c r="T106">
        <f t="shared" si="56"/>
        <v>303.82339960000002</v>
      </c>
      <c r="U106">
        <v>5377.6741729200003</v>
      </c>
      <c r="V106">
        <v>303.82339960000002</v>
      </c>
      <c r="W106">
        <f t="shared" si="44"/>
        <v>4692.9674294830102</v>
      </c>
      <c r="X106">
        <f t="shared" si="45"/>
        <v>265.13940279565031</v>
      </c>
      <c r="Y106">
        <f t="shared" si="57"/>
        <v>2.6888370864600001E-2</v>
      </c>
      <c r="Z106">
        <f t="shared" si="58"/>
        <v>1.5191169980000002E-3</v>
      </c>
      <c r="AA106">
        <f t="shared" si="46"/>
        <v>26888.370864600001</v>
      </c>
      <c r="AB106">
        <f t="shared" si="47"/>
        <v>1519.1169980000002</v>
      </c>
      <c r="AC106">
        <v>25.180661473053963</v>
      </c>
      <c r="AD106">
        <f t="shared" si="39"/>
        <v>17.7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</row>
    <row r="107" spans="1:56" x14ac:dyDescent="0.2">
      <c r="A107">
        <v>106</v>
      </c>
      <c r="B107" t="s">
        <v>47</v>
      </c>
      <c r="C107" t="s">
        <v>48</v>
      </c>
      <c r="D107">
        <v>18</v>
      </c>
      <c r="E107" t="s">
        <v>65</v>
      </c>
      <c r="F107" t="s">
        <v>90</v>
      </c>
      <c r="G107" t="s">
        <v>92</v>
      </c>
      <c r="H107">
        <v>463.57</v>
      </c>
      <c r="I107">
        <v>1.227352733</v>
      </c>
      <c r="J107">
        <f t="shared" si="40"/>
        <v>392.69908169872417</v>
      </c>
      <c r="K107">
        <f t="shared" si="41"/>
        <v>1.9634954084936209E-3</v>
      </c>
      <c r="L107">
        <f t="shared" si="42"/>
        <v>200000</v>
      </c>
      <c r="M107">
        <f t="shared" si="54"/>
        <v>245470.5466</v>
      </c>
      <c r="N107">
        <v>0.23549999999999999</v>
      </c>
      <c r="O107">
        <f t="shared" si="52"/>
        <v>124.70244779493926</v>
      </c>
      <c r="P107">
        <f t="shared" si="43"/>
        <v>119.93916511405232</v>
      </c>
      <c r="Q107">
        <v>0.94</v>
      </c>
      <c r="R107">
        <f t="shared" si="55"/>
        <v>2307.4231380399997</v>
      </c>
      <c r="S107">
        <v>7.0000000000000007E-2</v>
      </c>
      <c r="T107">
        <f t="shared" si="56"/>
        <v>171.82938262000002</v>
      </c>
      <c r="U107">
        <v>4614.8462760800003</v>
      </c>
      <c r="V107">
        <v>343.65876524000009</v>
      </c>
      <c r="W107">
        <f t="shared" si="44"/>
        <v>2219.2860656308258</v>
      </c>
      <c r="X107">
        <f t="shared" si="45"/>
        <v>165.26598361080624</v>
      </c>
      <c r="Y107">
        <f t="shared" si="57"/>
        <v>1.1537115690199998E-2</v>
      </c>
      <c r="Z107">
        <f t="shared" si="58"/>
        <v>8.591469131000001E-4</v>
      </c>
      <c r="AA107">
        <f t="shared" si="46"/>
        <v>11537.115690199998</v>
      </c>
      <c r="AB107">
        <f t="shared" si="47"/>
        <v>859.14691310000012</v>
      </c>
      <c r="AC107">
        <v>16.717880808504059</v>
      </c>
      <c r="AD107">
        <f t="shared" si="39"/>
        <v>13.428571428571427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</row>
    <row r="108" spans="1:56" x14ac:dyDescent="0.2">
      <c r="A108">
        <v>107</v>
      </c>
      <c r="B108" t="s">
        <v>47</v>
      </c>
      <c r="C108" t="s">
        <v>48</v>
      </c>
      <c r="D108">
        <v>18</v>
      </c>
      <c r="E108" t="s">
        <v>66</v>
      </c>
      <c r="F108" t="s">
        <v>89</v>
      </c>
      <c r="G108" t="s">
        <v>92</v>
      </c>
      <c r="H108">
        <v>260.3</v>
      </c>
      <c r="I108">
        <v>0.75955849900000005</v>
      </c>
      <c r="J108">
        <f t="shared" si="40"/>
        <v>392.69908169872417</v>
      </c>
      <c r="K108">
        <f t="shared" si="41"/>
        <v>1.9634954084936209E-3</v>
      </c>
      <c r="L108">
        <f t="shared" si="42"/>
        <v>200000</v>
      </c>
      <c r="M108">
        <f t="shared" si="54"/>
        <v>151911.6998</v>
      </c>
      <c r="N108">
        <v>0.35859999999999997</v>
      </c>
      <c r="O108">
        <f t="shared" si="52"/>
        <v>209.27981386200534</v>
      </c>
      <c r="P108">
        <f t="shared" si="43"/>
        <v>182.63348029681171</v>
      </c>
      <c r="Q108">
        <v>4.1900000000000004</v>
      </c>
      <c r="R108">
        <f t="shared" si="55"/>
        <v>6365.1002216200013</v>
      </c>
      <c r="S108">
        <v>0.22</v>
      </c>
      <c r="T108">
        <f t="shared" si="56"/>
        <v>334.20573956000004</v>
      </c>
      <c r="U108">
        <v>6365.1002216200013</v>
      </c>
      <c r="V108">
        <v>334.20573955999998</v>
      </c>
      <c r="W108">
        <f t="shared" si="44"/>
        <v>5554.670488568875</v>
      </c>
      <c r="X108">
        <f t="shared" si="45"/>
        <v>291.65334307521533</v>
      </c>
      <c r="Y108">
        <f t="shared" si="57"/>
        <v>3.1825501108100007E-2</v>
      </c>
      <c r="Z108">
        <f t="shared" si="58"/>
        <v>1.6710286978000003E-3</v>
      </c>
      <c r="AA108">
        <f t="shared" si="46"/>
        <v>31825.501108100008</v>
      </c>
      <c r="AB108">
        <f t="shared" si="47"/>
        <v>1671.0286978000001</v>
      </c>
      <c r="AC108">
        <v>24.195814926057704</v>
      </c>
      <c r="AD108">
        <f t="shared" si="39"/>
        <v>19.045454545454547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</row>
    <row r="109" spans="1:56" x14ac:dyDescent="0.2">
      <c r="A109">
        <v>108</v>
      </c>
      <c r="B109" t="s">
        <v>47</v>
      </c>
      <c r="C109" t="s">
        <v>48</v>
      </c>
      <c r="D109">
        <v>18</v>
      </c>
      <c r="E109" t="s">
        <v>66</v>
      </c>
      <c r="F109" t="s">
        <v>90</v>
      </c>
      <c r="G109" t="s">
        <v>92</v>
      </c>
      <c r="H109">
        <v>463.57</v>
      </c>
      <c r="I109">
        <v>1.227352733</v>
      </c>
      <c r="J109">
        <f t="shared" si="40"/>
        <v>392.69908169872417</v>
      </c>
      <c r="K109">
        <f t="shared" si="41"/>
        <v>1.9634954084936209E-3</v>
      </c>
      <c r="L109">
        <f t="shared" si="42"/>
        <v>200000</v>
      </c>
      <c r="M109">
        <f t="shared" si="54"/>
        <v>245470.5466</v>
      </c>
      <c r="N109">
        <v>0.22289999999999999</v>
      </c>
      <c r="O109">
        <f t="shared" si="52"/>
        <v>118.03046969635653</v>
      </c>
      <c r="P109">
        <f t="shared" si="43"/>
        <v>113.52203780858709</v>
      </c>
      <c r="Q109">
        <v>1.03</v>
      </c>
      <c r="R109">
        <f t="shared" si="55"/>
        <v>2528.3466299800002</v>
      </c>
      <c r="S109">
        <v>0.08</v>
      </c>
      <c r="T109">
        <f t="shared" si="56"/>
        <v>196.37643728</v>
      </c>
      <c r="U109">
        <v>5056.6932599600004</v>
      </c>
      <c r="V109">
        <v>392.75287456000012</v>
      </c>
      <c r="W109">
        <f t="shared" si="44"/>
        <v>2431.7709017018628</v>
      </c>
      <c r="X109">
        <f t="shared" si="45"/>
        <v>188.87540984092138</v>
      </c>
      <c r="Y109">
        <f t="shared" si="57"/>
        <v>1.2641733149900001E-2</v>
      </c>
      <c r="Z109">
        <f t="shared" si="58"/>
        <v>9.8188218640000015E-4</v>
      </c>
      <c r="AA109">
        <f t="shared" si="46"/>
        <v>12641.733149900001</v>
      </c>
      <c r="AB109">
        <f t="shared" si="47"/>
        <v>981.88218640000014</v>
      </c>
      <c r="AC109">
        <v>15.599155746023827</v>
      </c>
      <c r="AD109">
        <f t="shared" si="39"/>
        <v>12.875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</row>
    <row r="110" spans="1:56" x14ac:dyDescent="0.2">
      <c r="A110">
        <v>109</v>
      </c>
      <c r="B110" t="s">
        <v>67</v>
      </c>
      <c r="C110" t="s">
        <v>68</v>
      </c>
      <c r="D110">
        <v>19</v>
      </c>
      <c r="E110" t="s">
        <v>69</v>
      </c>
      <c r="F110" t="s">
        <v>89</v>
      </c>
      <c r="G110" t="s">
        <v>92</v>
      </c>
      <c r="H110">
        <v>258.43</v>
      </c>
      <c r="I110">
        <v>0.73272093199999999</v>
      </c>
      <c r="J110">
        <f t="shared" si="40"/>
        <v>392.69908169872417</v>
      </c>
      <c r="K110">
        <f t="shared" si="41"/>
        <v>1.9634954084936209E-3</v>
      </c>
      <c r="L110">
        <f t="shared" si="42"/>
        <v>200000</v>
      </c>
      <c r="M110">
        <f t="shared" si="54"/>
        <v>146544.18640000001</v>
      </c>
      <c r="N110">
        <v>0.4904</v>
      </c>
      <c r="O110">
        <f t="shared" si="52"/>
        <v>278.08408083643542</v>
      </c>
      <c r="P110">
        <f t="shared" si="43"/>
        <v>249.7586690952495</v>
      </c>
      <c r="Q110">
        <v>2.5499999999999998</v>
      </c>
      <c r="R110">
        <f t="shared" si="55"/>
        <v>3736.8767531999997</v>
      </c>
      <c r="S110">
        <v>0.16</v>
      </c>
      <c r="T110">
        <f t="shared" si="56"/>
        <v>234.47069824000002</v>
      </c>
      <c r="U110">
        <v>3736.8767532000002</v>
      </c>
      <c r="V110">
        <v>234.47069823999999</v>
      </c>
      <c r="W110">
        <f t="shared" si="44"/>
        <v>3356.2416145682623</v>
      </c>
      <c r="X110">
        <f t="shared" si="45"/>
        <v>210.5877091493812</v>
      </c>
      <c r="Y110">
        <f t="shared" si="57"/>
        <v>1.8684383765999998E-2</v>
      </c>
      <c r="Z110">
        <f t="shared" si="58"/>
        <v>1.1723534912000001E-3</v>
      </c>
      <c r="AA110">
        <f t="shared" si="46"/>
        <v>18684.383765999999</v>
      </c>
      <c r="AB110">
        <f t="shared" si="47"/>
        <v>1172.3534912</v>
      </c>
      <c r="AC110">
        <v>25.976792831339505</v>
      </c>
      <c r="AD110">
        <f t="shared" si="39"/>
        <v>15.937499999999998</v>
      </c>
      <c r="AE110" s="11">
        <v>5.6829999999999998</v>
      </c>
      <c r="AF110" s="11">
        <v>6.9400000000000003E-2</v>
      </c>
      <c r="AG110" s="11">
        <v>3.4384999999999999</v>
      </c>
      <c r="AH110" s="11">
        <v>2.2025999999999999</v>
      </c>
      <c r="AI110" s="11">
        <f>AF110+AG110+AH110</f>
        <v>5.7104999999999997</v>
      </c>
      <c r="AJ110" s="11">
        <v>37.75</v>
      </c>
      <c r="AK110" s="11">
        <v>1.0900000000000001</v>
      </c>
      <c r="AL110" s="11">
        <v>1.3</v>
      </c>
      <c r="AM110" s="11">
        <v>0.09</v>
      </c>
      <c r="AN110" s="11">
        <v>2.95</v>
      </c>
      <c r="AO110" s="11">
        <v>0.24</v>
      </c>
      <c r="AP110" s="12">
        <f>((AF110/AE110)*I110)*(AJ110/100)</f>
        <v>3.3778267353513996E-3</v>
      </c>
      <c r="AQ110" s="12">
        <f>((AF110/AE110)*I110)*(AK110/100)</f>
        <v>9.7531950769086764E-5</v>
      </c>
      <c r="AR110" s="12">
        <f>((AG110/AE110)*I110)*(AL110/100)</f>
        <v>5.7633278234851312E-3</v>
      </c>
      <c r="AS110" s="12">
        <f>((AG110/AE110)*I110)*(AM110/100)</f>
        <v>3.9899961854897059E-4</v>
      </c>
      <c r="AT110" s="12">
        <f>((AH110/AE110)*I110)*(AN110/100)</f>
        <v>8.3775801834039074E-3</v>
      </c>
      <c r="AU110" s="12">
        <f>((AH110/AE110)*I110)*(AO110/100)</f>
        <v>6.8156584542947032E-4</v>
      </c>
      <c r="AV110" s="12">
        <f t="shared" ref="AV110:BA110" si="61">AP110*100*100*20</f>
        <v>675.56534707027993</v>
      </c>
      <c r="AW110" s="12">
        <f t="shared" si="61"/>
        <v>19.506390153817353</v>
      </c>
      <c r="AX110" s="12">
        <f t="shared" si="61"/>
        <v>1152.6655646970264</v>
      </c>
      <c r="AY110" s="12">
        <f t="shared" si="61"/>
        <v>79.799923709794115</v>
      </c>
      <c r="AZ110" s="12">
        <f t="shared" si="61"/>
        <v>1675.5160366807813</v>
      </c>
      <c r="BA110" s="12">
        <f t="shared" si="61"/>
        <v>136.31316908589406</v>
      </c>
      <c r="BB110" s="12">
        <f>AV110+AX110</f>
        <v>1828.2309117673062</v>
      </c>
      <c r="BC110" s="12">
        <f>AZ110/AX110</f>
        <v>1.4536011901432868</v>
      </c>
      <c r="BD110" s="12">
        <f>AZ110/BB110</f>
        <v>0.91646849744002024</v>
      </c>
    </row>
    <row r="111" spans="1:56" x14ac:dyDescent="0.2">
      <c r="A111">
        <v>110</v>
      </c>
      <c r="B111" t="s">
        <v>67</v>
      </c>
      <c r="C111" t="s">
        <v>68</v>
      </c>
      <c r="D111">
        <v>19</v>
      </c>
      <c r="E111" t="s">
        <v>69</v>
      </c>
      <c r="F111" t="s">
        <v>90</v>
      </c>
      <c r="G111" t="s">
        <v>92</v>
      </c>
      <c r="H111">
        <v>469.31</v>
      </c>
      <c r="I111">
        <v>1.2939376570000001</v>
      </c>
      <c r="J111">
        <f t="shared" si="40"/>
        <v>392.69908169872417</v>
      </c>
      <c r="K111">
        <f t="shared" si="41"/>
        <v>1.9634954084936209E-3</v>
      </c>
      <c r="L111">
        <f t="shared" si="42"/>
        <v>200000</v>
      </c>
      <c r="M111">
        <f t="shared" si="54"/>
        <v>258787.53140000001</v>
      </c>
      <c r="N111">
        <v>0.19109999999999999</v>
      </c>
      <c r="O111">
        <f t="shared" si="52"/>
        <v>105.3766108766913</v>
      </c>
      <c r="P111">
        <f t="shared" si="43"/>
        <v>97.326430799555823</v>
      </c>
      <c r="Q111">
        <v>0.15</v>
      </c>
      <c r="R111">
        <f t="shared" si="55"/>
        <v>388.18129709999999</v>
      </c>
      <c r="S111">
        <v>0.03</v>
      </c>
      <c r="T111">
        <f t="shared" si="56"/>
        <v>77.636259420000002</v>
      </c>
      <c r="U111">
        <v>776.36259419999988</v>
      </c>
      <c r="V111">
        <v>155.27251884</v>
      </c>
      <c r="W111">
        <f t="shared" si="44"/>
        <v>358.5264304437955</v>
      </c>
      <c r="X111">
        <f t="shared" si="45"/>
        <v>71.705286088759095</v>
      </c>
      <c r="Y111">
        <f t="shared" si="57"/>
        <v>1.9409064855000001E-3</v>
      </c>
      <c r="Z111">
        <f t="shared" si="58"/>
        <v>3.8818129710000001E-4</v>
      </c>
      <c r="AA111">
        <f t="shared" si="46"/>
        <v>1940.9064855000001</v>
      </c>
      <c r="AB111">
        <f t="shared" si="47"/>
        <v>388.18129709999999</v>
      </c>
      <c r="AC111">
        <v>10.907548913695461</v>
      </c>
      <c r="AD111">
        <f t="shared" si="39"/>
        <v>5</v>
      </c>
      <c r="AE111" s="11">
        <v>5.7778</v>
      </c>
      <c r="AF111" s="11">
        <v>1.9E-2</v>
      </c>
      <c r="AG111" s="11">
        <v>2.8172000000000001</v>
      </c>
      <c r="AH111" s="11">
        <v>2.8826999999999998</v>
      </c>
      <c r="AI111" s="11">
        <f>AF111+AG111+AH111</f>
        <v>5.7188999999999997</v>
      </c>
      <c r="AJ111" s="12" t="s">
        <v>95</v>
      </c>
      <c r="AK111" s="12" t="s">
        <v>95</v>
      </c>
      <c r="AL111" s="11">
        <v>0.17</v>
      </c>
      <c r="AM111" s="11">
        <v>0.03</v>
      </c>
      <c r="AN111" s="11">
        <v>0.73</v>
      </c>
      <c r="AO111" s="11">
        <v>0.08</v>
      </c>
      <c r="AP111" s="16" t="s">
        <v>95</v>
      </c>
      <c r="AQ111" s="16" t="s">
        <v>95</v>
      </c>
      <c r="AR111" s="12">
        <f>((AG111/AE111)*I111)*(AL111/100)</f>
        <v>1.0725497567258611E-3</v>
      </c>
      <c r="AS111" s="12">
        <f>((AG111/AE111)*I111)*(AM111/100)</f>
        <v>1.892734864810343E-4</v>
      </c>
      <c r="AT111" s="12">
        <f>((AH111/AE111)*I111)*(AN111/100)</f>
        <v>4.7127364761652309E-3</v>
      </c>
      <c r="AU111" s="12">
        <f>((AH111/AE111)*I111)*(AO111/100)</f>
        <v>5.1646427136057323E-4</v>
      </c>
      <c r="AV111" s="16" t="s">
        <v>95</v>
      </c>
      <c r="AW111" s="16" t="s">
        <v>95</v>
      </c>
      <c r="AX111" s="12">
        <f>AR111*100*100*20</f>
        <v>214.50995134517223</v>
      </c>
      <c r="AY111" s="12">
        <f>AS111*100*100*20</f>
        <v>37.854697296206865</v>
      </c>
      <c r="AZ111" s="12">
        <f>AT111*100*100*20</f>
        <v>942.54729523304616</v>
      </c>
      <c r="BA111" s="12">
        <f>AU111*100*100*20</f>
        <v>103.29285427211465</v>
      </c>
      <c r="BB111" s="12">
        <f>AX111</f>
        <v>214.50995134517223</v>
      </c>
      <c r="BC111" s="12">
        <f>AZ111/AX111</f>
        <v>4.3939560347779603</v>
      </c>
      <c r="BD111" s="12">
        <f>AZ111/BB111</f>
        <v>4.3939560347779603</v>
      </c>
    </row>
    <row r="112" spans="1:56" x14ac:dyDescent="0.2">
      <c r="A112">
        <v>111</v>
      </c>
      <c r="B112" t="s">
        <v>67</v>
      </c>
      <c r="C112" t="s">
        <v>68</v>
      </c>
      <c r="D112">
        <v>19</v>
      </c>
      <c r="E112" t="s">
        <v>70</v>
      </c>
      <c r="F112" t="s">
        <v>89</v>
      </c>
      <c r="G112" t="s">
        <v>92</v>
      </c>
      <c r="H112">
        <v>258.43</v>
      </c>
      <c r="I112">
        <v>0.73272093199999999</v>
      </c>
      <c r="J112">
        <f t="shared" si="40"/>
        <v>392.69908169872417</v>
      </c>
      <c r="K112">
        <f t="shared" si="41"/>
        <v>1.9634954084936209E-3</v>
      </c>
      <c r="L112">
        <f t="shared" si="42"/>
        <v>200000</v>
      </c>
      <c r="M112">
        <f t="shared" si="54"/>
        <v>146544.18640000001</v>
      </c>
      <c r="N112">
        <v>6.1100000000000002E-2</v>
      </c>
      <c r="O112">
        <f t="shared" si="52"/>
        <v>34.647098978601562</v>
      </c>
      <c r="P112">
        <f t="shared" si="43"/>
        <v>31.117974473327376</v>
      </c>
      <c r="Q112">
        <v>2.35</v>
      </c>
      <c r="R112">
        <f t="shared" si="55"/>
        <v>3443.7883804000003</v>
      </c>
      <c r="S112">
        <v>0.14000000000000001</v>
      </c>
      <c r="T112">
        <f t="shared" si="56"/>
        <v>205.16186096000004</v>
      </c>
      <c r="U112">
        <v>3443.7883803999998</v>
      </c>
      <c r="V112">
        <v>205.16186096000001</v>
      </c>
      <c r="W112">
        <f t="shared" si="44"/>
        <v>3093.0069781315365</v>
      </c>
      <c r="X112">
        <f t="shared" si="45"/>
        <v>184.26424550570857</v>
      </c>
      <c r="Y112">
        <f t="shared" si="57"/>
        <v>1.7218941902E-2</v>
      </c>
      <c r="Z112">
        <f t="shared" si="58"/>
        <v>1.0258093048E-3</v>
      </c>
      <c r="AA112">
        <f t="shared" si="46"/>
        <v>17218.941902000002</v>
      </c>
      <c r="AB112">
        <f t="shared" si="47"/>
        <v>1025.8093048000001</v>
      </c>
      <c r="AC112">
        <v>18.21521974363748</v>
      </c>
      <c r="AD112">
        <f t="shared" si="39"/>
        <v>16.785714285714285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</row>
    <row r="113" spans="1:56" x14ac:dyDescent="0.2">
      <c r="A113">
        <v>112</v>
      </c>
      <c r="B113" t="s">
        <v>67</v>
      </c>
      <c r="C113" t="s">
        <v>68</v>
      </c>
      <c r="D113">
        <v>19</v>
      </c>
      <c r="E113" t="s">
        <v>70</v>
      </c>
      <c r="F113" t="s">
        <v>90</v>
      </c>
      <c r="G113" t="s">
        <v>92</v>
      </c>
      <c r="H113">
        <v>469.31</v>
      </c>
      <c r="I113">
        <v>1.2939376570000001</v>
      </c>
      <c r="J113">
        <f t="shared" si="40"/>
        <v>392.69908169872417</v>
      </c>
      <c r="K113">
        <f t="shared" si="41"/>
        <v>1.9634954084936209E-3</v>
      </c>
      <c r="L113">
        <f t="shared" si="42"/>
        <v>200000</v>
      </c>
      <c r="M113">
        <f t="shared" si="54"/>
        <v>258787.53140000001</v>
      </c>
      <c r="N113">
        <v>0.65349999999999997</v>
      </c>
      <c r="O113">
        <f t="shared" si="52"/>
        <v>360.35382107753935</v>
      </c>
      <c r="P113">
        <f t="shared" si="43"/>
        <v>332.82481699377149</v>
      </c>
      <c r="Q113">
        <v>0.53</v>
      </c>
      <c r="R113">
        <f t="shared" si="55"/>
        <v>1371.5739164199999</v>
      </c>
      <c r="S113">
        <v>0.06</v>
      </c>
      <c r="T113">
        <f t="shared" si="56"/>
        <v>155.27251884</v>
      </c>
      <c r="U113">
        <v>2743.1478328399999</v>
      </c>
      <c r="V113">
        <v>310.54503768000001</v>
      </c>
      <c r="W113">
        <f t="shared" si="44"/>
        <v>1266.7933875680774</v>
      </c>
      <c r="X113">
        <f t="shared" si="45"/>
        <v>143.41057217751819</v>
      </c>
      <c r="Y113">
        <f t="shared" si="57"/>
        <v>6.8578695821000001E-3</v>
      </c>
      <c r="Z113">
        <f t="shared" si="58"/>
        <v>7.7636259420000003E-4</v>
      </c>
      <c r="AA113">
        <f t="shared" si="46"/>
        <v>6857.8695821000001</v>
      </c>
      <c r="AB113">
        <f t="shared" si="47"/>
        <v>776.36259419999999</v>
      </c>
      <c r="AC113">
        <v>18.934283660648831</v>
      </c>
      <c r="AD113">
        <f t="shared" si="39"/>
        <v>8.8333333333333339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</row>
    <row r="114" spans="1:56" x14ac:dyDescent="0.2">
      <c r="A114">
        <v>113</v>
      </c>
      <c r="B114" t="s">
        <v>67</v>
      </c>
      <c r="C114" t="s">
        <v>68</v>
      </c>
      <c r="D114">
        <v>19</v>
      </c>
      <c r="E114" t="s">
        <v>71</v>
      </c>
      <c r="F114" t="s">
        <v>89</v>
      </c>
      <c r="G114" t="s">
        <v>92</v>
      </c>
      <c r="H114">
        <v>258.43</v>
      </c>
      <c r="I114">
        <v>0.73272093199999999</v>
      </c>
      <c r="J114">
        <f t="shared" si="40"/>
        <v>392.69908169872417</v>
      </c>
      <c r="K114">
        <f t="shared" si="41"/>
        <v>1.9634954084936209E-3</v>
      </c>
      <c r="L114">
        <f t="shared" si="42"/>
        <v>200000</v>
      </c>
      <c r="M114">
        <f t="shared" si="54"/>
        <v>146544.18640000001</v>
      </c>
      <c r="N114">
        <v>0.1221</v>
      </c>
      <c r="O114">
        <f t="shared" si="52"/>
        <v>69.237492394226678</v>
      </c>
      <c r="P114">
        <f t="shared" si="43"/>
        <v>62.18501936486534</v>
      </c>
      <c r="Q114">
        <v>2.12</v>
      </c>
      <c r="R114">
        <f t="shared" si="55"/>
        <v>3106.73675168</v>
      </c>
      <c r="S114">
        <v>0.13</v>
      </c>
      <c r="T114">
        <f t="shared" si="56"/>
        <v>190.50744232</v>
      </c>
      <c r="U114">
        <v>3106.73675168</v>
      </c>
      <c r="V114">
        <v>190.50744232</v>
      </c>
      <c r="W114">
        <f t="shared" si="44"/>
        <v>2790.287146229301</v>
      </c>
      <c r="X114">
        <f t="shared" si="45"/>
        <v>171.10251368387222</v>
      </c>
      <c r="Y114">
        <f t="shared" si="57"/>
        <v>1.55336837584E-2</v>
      </c>
      <c r="Z114">
        <f t="shared" si="58"/>
        <v>9.5253721159999994E-4</v>
      </c>
      <c r="AA114">
        <f t="shared" si="46"/>
        <v>15533.6837584</v>
      </c>
      <c r="AB114">
        <f t="shared" si="47"/>
        <v>952.53721159999998</v>
      </c>
      <c r="AC114">
        <v>19.384107553536335</v>
      </c>
      <c r="AD114">
        <f t="shared" si="39"/>
        <v>16.307692307692307</v>
      </c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</row>
    <row r="115" spans="1:56" x14ac:dyDescent="0.2">
      <c r="A115">
        <v>114</v>
      </c>
      <c r="B115" t="s">
        <v>67</v>
      </c>
      <c r="C115" t="s">
        <v>68</v>
      </c>
      <c r="D115">
        <v>19</v>
      </c>
      <c r="E115" t="s">
        <v>71</v>
      </c>
      <c r="F115" t="s">
        <v>90</v>
      </c>
      <c r="G115" t="s">
        <v>92</v>
      </c>
      <c r="H115">
        <v>469.31</v>
      </c>
      <c r="I115">
        <v>1.2939376570000001</v>
      </c>
      <c r="J115">
        <f t="shared" si="40"/>
        <v>392.69908169872417</v>
      </c>
      <c r="K115">
        <f t="shared" si="41"/>
        <v>1.9634954084936209E-3</v>
      </c>
      <c r="L115">
        <f t="shared" si="42"/>
        <v>200000</v>
      </c>
      <c r="M115">
        <f t="shared" si="54"/>
        <v>258787.53140000001</v>
      </c>
      <c r="N115">
        <v>2.5999999999999999E-3</v>
      </c>
      <c r="O115">
        <f t="shared" si="52"/>
        <v>1.4336953860774329</v>
      </c>
      <c r="P115">
        <f t="shared" si="43"/>
        <v>1.324169126524569</v>
      </c>
      <c r="Q115">
        <v>0.68</v>
      </c>
      <c r="R115">
        <f t="shared" si="55"/>
        <v>1759.7552135200001</v>
      </c>
      <c r="S115">
        <v>7.0000000000000007E-2</v>
      </c>
      <c r="T115">
        <f t="shared" si="56"/>
        <v>181.15127198000002</v>
      </c>
      <c r="U115">
        <v>3519.5104270400011</v>
      </c>
      <c r="V115">
        <v>362.30254396000009</v>
      </c>
      <c r="W115">
        <f t="shared" si="44"/>
        <v>1625.3198180118729</v>
      </c>
      <c r="X115">
        <f t="shared" si="45"/>
        <v>167.31233420710458</v>
      </c>
      <c r="Y115">
        <f t="shared" si="57"/>
        <v>8.7987760676000015E-3</v>
      </c>
      <c r="Z115">
        <f t="shared" si="58"/>
        <v>9.0575635990000018E-4</v>
      </c>
      <c r="AA115">
        <f t="shared" si="46"/>
        <v>8798.7760676000016</v>
      </c>
      <c r="AB115">
        <f t="shared" si="47"/>
        <v>905.75635990000012</v>
      </c>
      <c r="AC115">
        <v>9.7487320636367087</v>
      </c>
      <c r="AD115">
        <f t="shared" si="39"/>
        <v>9.7142857142857135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</row>
    <row r="116" spans="1:56" x14ac:dyDescent="0.2">
      <c r="A116">
        <v>115</v>
      </c>
      <c r="B116" t="s">
        <v>67</v>
      </c>
      <c r="C116" t="s">
        <v>68</v>
      </c>
      <c r="D116">
        <v>20</v>
      </c>
      <c r="E116" t="s">
        <v>72</v>
      </c>
      <c r="F116" t="s">
        <v>89</v>
      </c>
      <c r="G116" t="s">
        <v>92</v>
      </c>
      <c r="H116">
        <v>222.01</v>
      </c>
      <c r="I116">
        <v>0.62946010200000002</v>
      </c>
      <c r="J116">
        <f t="shared" si="40"/>
        <v>392.69908169872417</v>
      </c>
      <c r="K116">
        <f t="shared" si="41"/>
        <v>1.9634954084936209E-3</v>
      </c>
      <c r="L116">
        <f t="shared" si="42"/>
        <v>200000</v>
      </c>
      <c r="M116">
        <f t="shared" si="54"/>
        <v>125892.02040000001</v>
      </c>
      <c r="N116">
        <v>0.1784</v>
      </c>
      <c r="O116">
        <f t="shared" si="52"/>
        <v>101.16272437890186</v>
      </c>
      <c r="P116">
        <f t="shared" si="43"/>
        <v>90.858373912301204</v>
      </c>
      <c r="Q116">
        <v>2.9</v>
      </c>
      <c r="R116">
        <f t="shared" si="55"/>
        <v>3650.8685915999999</v>
      </c>
      <c r="S116">
        <v>0.19</v>
      </c>
      <c r="T116">
        <f t="shared" si="56"/>
        <v>239.19483876000001</v>
      </c>
      <c r="U116">
        <v>3650.8685915999999</v>
      </c>
      <c r="V116">
        <v>239.19483876000001</v>
      </c>
      <c r="W116">
        <f t="shared" si="44"/>
        <v>3278.9941713891794</v>
      </c>
      <c r="X116">
        <f t="shared" si="45"/>
        <v>214.8306526082566</v>
      </c>
      <c r="Y116">
        <f t="shared" si="57"/>
        <v>1.8254342957999999E-2</v>
      </c>
      <c r="Z116">
        <f t="shared" si="58"/>
        <v>1.1959741938E-3</v>
      </c>
      <c r="AA116">
        <f t="shared" si="46"/>
        <v>18254.342957999997</v>
      </c>
      <c r="AB116">
        <f t="shared" si="47"/>
        <v>1195.9741938</v>
      </c>
      <c r="AC116">
        <v>18.843168251311479</v>
      </c>
      <c r="AD116">
        <f t="shared" si="39"/>
        <v>15.263157894736841</v>
      </c>
      <c r="AE116" s="11">
        <v>5.2073999999999998</v>
      </c>
      <c r="AF116" s="11">
        <v>7.0499999999999993E-2</v>
      </c>
      <c r="AG116" s="11">
        <v>2.0131000000000001</v>
      </c>
      <c r="AH116" s="11">
        <v>3.1591999999999998</v>
      </c>
      <c r="AI116" s="11">
        <f>AF116+AG116+AH116</f>
        <v>5.2427999999999999</v>
      </c>
      <c r="AJ116" s="11">
        <v>35.96</v>
      </c>
      <c r="AK116" s="11">
        <v>0.85</v>
      </c>
      <c r="AL116" s="11">
        <v>0.99</v>
      </c>
      <c r="AM116" s="11">
        <v>0.06</v>
      </c>
      <c r="AN116" s="11">
        <v>2.06</v>
      </c>
      <c r="AO116" s="11">
        <v>0.19</v>
      </c>
      <c r="AP116" s="12">
        <f>((AF116/AE116)*I116)*(AJ116/100)</f>
        <v>3.0644749037684067E-3</v>
      </c>
      <c r="AQ116" s="12">
        <f>((AF116/AE116)*I116)*(AK116/100)</f>
        <v>7.2436142052367776E-5</v>
      </c>
      <c r="AR116" s="12">
        <f>((AG116/AE116)*I116)*(AL116/100)</f>
        <v>2.4090610861904945E-3</v>
      </c>
      <c r="AS116" s="12">
        <f>((AG116/AE116)*I116)*(AM116/100)</f>
        <v>1.4600370219336332E-4</v>
      </c>
      <c r="AT116" s="12">
        <f>((AH116/AE116)*I116)*(AN116/100)</f>
        <v>7.8666822785480352E-3</v>
      </c>
      <c r="AU116" s="12">
        <f>((AH116/AE116)*I116)*(AO116/100)</f>
        <v>7.2556778297287706E-4</v>
      </c>
      <c r="AV116" s="12">
        <f t="shared" ref="AV116:BA116" si="62">AP116*100*100*20</f>
        <v>612.89498075368124</v>
      </c>
      <c r="AW116" s="12">
        <f t="shared" si="62"/>
        <v>14.487228410473556</v>
      </c>
      <c r="AX116" s="12">
        <f t="shared" si="62"/>
        <v>481.81221723809892</v>
      </c>
      <c r="AY116" s="12">
        <f t="shared" si="62"/>
        <v>29.200740438672664</v>
      </c>
      <c r="AZ116" s="12">
        <f t="shared" si="62"/>
        <v>1573.336455709607</v>
      </c>
      <c r="BA116" s="12">
        <f t="shared" si="62"/>
        <v>145.11355659457541</v>
      </c>
      <c r="BB116" s="12">
        <f>AV116+AX116</f>
        <v>1094.70719799178</v>
      </c>
      <c r="BC116" s="12">
        <f>AZ116/AX116</f>
        <v>3.2654557095469117</v>
      </c>
      <c r="BD116" s="12">
        <f>AZ116/BB116</f>
        <v>1.4372212575160404</v>
      </c>
    </row>
    <row r="117" spans="1:56" x14ac:dyDescent="0.2">
      <c r="A117">
        <v>116</v>
      </c>
      <c r="B117" t="s">
        <v>67</v>
      </c>
      <c r="C117" t="s">
        <v>68</v>
      </c>
      <c r="D117">
        <v>20</v>
      </c>
      <c r="E117" t="s">
        <v>72</v>
      </c>
      <c r="F117" t="s">
        <v>90</v>
      </c>
      <c r="G117" t="s">
        <v>92</v>
      </c>
      <c r="H117">
        <v>314.58999999999997</v>
      </c>
      <c r="I117">
        <v>1.074789843</v>
      </c>
      <c r="J117">
        <f t="shared" si="40"/>
        <v>392.69908169872417</v>
      </c>
      <c r="K117">
        <f t="shared" si="41"/>
        <v>1.9634954084936209E-3</v>
      </c>
      <c r="L117">
        <f t="shared" si="42"/>
        <v>200000</v>
      </c>
      <c r="M117">
        <f t="shared" si="54"/>
        <v>214957.96859999999</v>
      </c>
      <c r="N117">
        <v>0.1308</v>
      </c>
      <c r="O117">
        <f t="shared" si="52"/>
        <v>89.37506688985664</v>
      </c>
      <c r="P117">
        <f t="shared" si="43"/>
        <v>66.615892980543705</v>
      </c>
      <c r="Q117">
        <v>0.76</v>
      </c>
      <c r="R117">
        <f t="shared" si="55"/>
        <v>1633.68056136</v>
      </c>
      <c r="S117">
        <v>0.08</v>
      </c>
      <c r="T117">
        <f t="shared" si="56"/>
        <v>171.96637487999999</v>
      </c>
      <c r="U117">
        <v>3267.3611227199999</v>
      </c>
      <c r="V117">
        <v>343.93274975999998</v>
      </c>
      <c r="W117">
        <f t="shared" si="44"/>
        <v>1217.6672222698337</v>
      </c>
      <c r="X117">
        <f t="shared" si="45"/>
        <v>128.17549708103513</v>
      </c>
      <c r="Y117">
        <f t="shared" si="57"/>
        <v>8.1684028068E-3</v>
      </c>
      <c r="Z117">
        <f t="shared" si="58"/>
        <v>8.5983187440000003E-4</v>
      </c>
      <c r="AA117">
        <f t="shared" si="46"/>
        <v>8168.4028067999998</v>
      </c>
      <c r="AB117">
        <f t="shared" si="47"/>
        <v>859.83187440000006</v>
      </c>
      <c r="AC117">
        <v>11.325473149730911</v>
      </c>
      <c r="AD117">
        <f t="shared" si="39"/>
        <v>9.5</v>
      </c>
      <c r="AE117" s="11">
        <v>5.1771000000000003</v>
      </c>
      <c r="AF117" s="11">
        <v>2.3599999999999999E-2</v>
      </c>
      <c r="AG117" s="11">
        <v>1.7874000000000001</v>
      </c>
      <c r="AH117" s="11">
        <v>3.3536999999999999</v>
      </c>
      <c r="AI117" s="11">
        <f>AF117+AG117+AH117</f>
        <v>5.1646999999999998</v>
      </c>
      <c r="AJ117" s="12" t="s">
        <v>95</v>
      </c>
      <c r="AK117" s="12" t="s">
        <v>95</v>
      </c>
      <c r="AL117" s="11">
        <v>0.15</v>
      </c>
      <c r="AM117" s="11">
        <v>0.03</v>
      </c>
      <c r="AN117" s="11">
        <v>0.75</v>
      </c>
      <c r="AO117" s="11">
        <v>0.08</v>
      </c>
      <c r="AP117" s="16" t="s">
        <v>95</v>
      </c>
      <c r="AQ117" s="16" t="s">
        <v>95</v>
      </c>
      <c r="AR117" s="12">
        <f>((AG117/AE117)*I117)*(AL117/100)</f>
        <v>5.5660872845170076E-4</v>
      </c>
      <c r="AS117" s="12">
        <f>((AG117/AE117)*I117)*(AM117/100)</f>
        <v>1.1132174569034014E-4</v>
      </c>
      <c r="AT117" s="12">
        <f>((AH117/AE117)*I117)*(AN117/100)</f>
        <v>5.2218269346773769E-3</v>
      </c>
      <c r="AU117" s="12">
        <f>((AH117/AE117)*I117)*(AO117/100)</f>
        <v>5.5699487303225359E-4</v>
      </c>
      <c r="AV117" s="16" t="s">
        <v>95</v>
      </c>
      <c r="AW117" s="16" t="s">
        <v>95</v>
      </c>
      <c r="AX117" s="12">
        <f>AR117*100*100*20</f>
        <v>111.32174569034014</v>
      </c>
      <c r="AY117" s="12">
        <f>AS117*100*100*20</f>
        <v>22.264349138068027</v>
      </c>
      <c r="AZ117" s="12">
        <f>AT117*100*100*20</f>
        <v>1044.3653869354755</v>
      </c>
      <c r="BA117" s="12">
        <f>AU117*100*100*20</f>
        <v>111.39897460645072</v>
      </c>
      <c r="BB117" s="12">
        <f>AX117</f>
        <v>111.32174569034014</v>
      </c>
      <c r="BC117" s="12">
        <f>AZ117/AX117</f>
        <v>9.3815038603558261</v>
      </c>
      <c r="BD117" s="12">
        <f>AZ117/BB117</f>
        <v>9.3815038603558261</v>
      </c>
    </row>
    <row r="118" spans="1:56" x14ac:dyDescent="0.2">
      <c r="A118">
        <v>117</v>
      </c>
      <c r="B118" t="s">
        <v>67</v>
      </c>
      <c r="C118" t="s">
        <v>68</v>
      </c>
      <c r="D118">
        <v>20</v>
      </c>
      <c r="E118" t="s">
        <v>73</v>
      </c>
      <c r="F118" t="s">
        <v>89</v>
      </c>
      <c r="G118" t="s">
        <v>92</v>
      </c>
      <c r="H118">
        <v>222.01</v>
      </c>
      <c r="I118">
        <v>0.62946010200000002</v>
      </c>
      <c r="J118">
        <f t="shared" si="40"/>
        <v>392.69908169872417</v>
      </c>
      <c r="K118">
        <f t="shared" si="41"/>
        <v>1.9634954084936209E-3</v>
      </c>
      <c r="L118">
        <f t="shared" si="42"/>
        <v>200000</v>
      </c>
      <c r="M118">
        <f t="shared" si="54"/>
        <v>125892.02040000001</v>
      </c>
      <c r="N118">
        <v>0.43190000000000001</v>
      </c>
      <c r="O118">
        <f t="shared" si="52"/>
        <v>244.91132656528987</v>
      </c>
      <c r="P118">
        <f t="shared" si="43"/>
        <v>219.9648637484467</v>
      </c>
      <c r="Q118">
        <v>3.1</v>
      </c>
      <c r="R118">
        <f t="shared" si="55"/>
        <v>3902.6526324000001</v>
      </c>
      <c r="S118">
        <v>0.24</v>
      </c>
      <c r="T118">
        <f t="shared" si="56"/>
        <v>302.14084895999997</v>
      </c>
      <c r="U118">
        <v>3902.6526324000001</v>
      </c>
      <c r="V118">
        <v>302.14084896000003</v>
      </c>
      <c r="W118">
        <f t="shared" si="44"/>
        <v>3505.1317004505026</v>
      </c>
      <c r="X118">
        <f t="shared" si="45"/>
        <v>271.36503487358726</v>
      </c>
      <c r="Y118">
        <f t="shared" si="57"/>
        <v>1.9513263162E-2</v>
      </c>
      <c r="Z118">
        <f t="shared" si="58"/>
        <v>1.5107042448E-3</v>
      </c>
      <c r="AA118">
        <f t="shared" si="46"/>
        <v>19513.263161999999</v>
      </c>
      <c r="AB118">
        <f t="shared" si="47"/>
        <v>1510.7042448</v>
      </c>
      <c r="AC118">
        <v>19.778102341901882</v>
      </c>
      <c r="AD118">
        <f t="shared" si="39"/>
        <v>12.916666666666668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</row>
    <row r="119" spans="1:56" x14ac:dyDescent="0.2">
      <c r="A119">
        <v>118</v>
      </c>
      <c r="B119" t="s">
        <v>67</v>
      </c>
      <c r="C119" t="s">
        <v>68</v>
      </c>
      <c r="D119">
        <v>20</v>
      </c>
      <c r="E119" t="s">
        <v>73</v>
      </c>
      <c r="F119" t="s">
        <v>90</v>
      </c>
      <c r="G119" t="s">
        <v>92</v>
      </c>
      <c r="H119">
        <v>314.58999999999997</v>
      </c>
      <c r="I119">
        <v>1.074789843</v>
      </c>
      <c r="J119">
        <f t="shared" si="40"/>
        <v>392.69908169872417</v>
      </c>
      <c r="K119">
        <f t="shared" si="41"/>
        <v>1.9634954084936209E-3</v>
      </c>
      <c r="L119">
        <f t="shared" si="42"/>
        <v>200000</v>
      </c>
      <c r="M119">
        <f t="shared" si="54"/>
        <v>214957.96859999999</v>
      </c>
      <c r="N119">
        <v>0.20349999999999999</v>
      </c>
      <c r="O119">
        <f t="shared" si="52"/>
        <v>139.05065834928001</v>
      </c>
      <c r="P119">
        <f t="shared" si="43"/>
        <v>103.64169894144223</v>
      </c>
      <c r="Q119">
        <v>0.81</v>
      </c>
      <c r="R119">
        <f t="shared" si="55"/>
        <v>1741.1595456600003</v>
      </c>
      <c r="S119">
        <v>0.09</v>
      </c>
      <c r="T119">
        <f t="shared" si="56"/>
        <v>193.46217174</v>
      </c>
      <c r="U119">
        <v>3482.319091320001</v>
      </c>
      <c r="V119">
        <v>386.92434348</v>
      </c>
      <c r="W119">
        <f t="shared" si="44"/>
        <v>1297.7769079454808</v>
      </c>
      <c r="X119">
        <f t="shared" si="45"/>
        <v>144.19743421616451</v>
      </c>
      <c r="Y119">
        <f t="shared" si="57"/>
        <v>8.7057977283000014E-3</v>
      </c>
      <c r="Z119">
        <f t="shared" si="58"/>
        <v>9.6731085869999997E-4</v>
      </c>
      <c r="AA119">
        <f t="shared" si="46"/>
        <v>8705.7977283000018</v>
      </c>
      <c r="AB119">
        <f t="shared" si="47"/>
        <v>967.31085869999993</v>
      </c>
      <c r="AC119">
        <v>11.524524539383217</v>
      </c>
      <c r="AD119">
        <f t="shared" si="39"/>
        <v>9.0000000000000018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</row>
    <row r="120" spans="1:56" x14ac:dyDescent="0.2">
      <c r="A120">
        <v>119</v>
      </c>
      <c r="B120" t="s">
        <v>67</v>
      </c>
      <c r="C120" t="s">
        <v>68</v>
      </c>
      <c r="D120">
        <v>20</v>
      </c>
      <c r="E120" t="s">
        <v>74</v>
      </c>
      <c r="F120" t="s">
        <v>89</v>
      </c>
      <c r="G120" t="s">
        <v>92</v>
      </c>
      <c r="H120">
        <v>222.01</v>
      </c>
      <c r="I120">
        <v>0.62946010200000002</v>
      </c>
      <c r="J120">
        <f t="shared" si="40"/>
        <v>392.69908169872417</v>
      </c>
      <c r="K120">
        <f t="shared" si="41"/>
        <v>1.9634954084936209E-3</v>
      </c>
      <c r="L120">
        <f t="shared" si="42"/>
        <v>200000</v>
      </c>
      <c r="M120">
        <f t="shared" si="54"/>
        <v>125892.02040000001</v>
      </c>
      <c r="N120">
        <v>0.2336</v>
      </c>
      <c r="O120">
        <f t="shared" si="52"/>
        <v>132.46419515084906</v>
      </c>
      <c r="P120">
        <f t="shared" si="43"/>
        <v>118.97150306005359</v>
      </c>
      <c r="Q120">
        <v>3.12</v>
      </c>
      <c r="R120">
        <f t="shared" si="55"/>
        <v>3927.8310364800004</v>
      </c>
      <c r="S120">
        <v>0.22</v>
      </c>
      <c r="T120">
        <f t="shared" si="56"/>
        <v>276.96244488000002</v>
      </c>
      <c r="U120">
        <v>3927.83103648</v>
      </c>
      <c r="V120">
        <v>276.96244488000002</v>
      </c>
      <c r="W120">
        <f t="shared" si="44"/>
        <v>3527.7454533566352</v>
      </c>
      <c r="X120">
        <f t="shared" si="45"/>
        <v>248.75128196745504</v>
      </c>
      <c r="Y120">
        <f t="shared" si="57"/>
        <v>1.9639155182400003E-2</v>
      </c>
      <c r="Z120">
        <f t="shared" si="58"/>
        <v>1.3848122244000001E-3</v>
      </c>
      <c r="AA120">
        <f t="shared" si="46"/>
        <v>19639.155182400002</v>
      </c>
      <c r="AB120">
        <f t="shared" si="47"/>
        <v>1384.8122244000001</v>
      </c>
      <c r="AC120">
        <v>18.230309306619663</v>
      </c>
      <c r="AD120">
        <f t="shared" si="39"/>
        <v>14.181818181818182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</row>
    <row r="121" spans="1:56" x14ac:dyDescent="0.2">
      <c r="A121">
        <v>120</v>
      </c>
      <c r="B121" t="s">
        <v>67</v>
      </c>
      <c r="C121" t="s">
        <v>68</v>
      </c>
      <c r="D121">
        <v>20</v>
      </c>
      <c r="E121" t="s">
        <v>74</v>
      </c>
      <c r="F121" t="s">
        <v>90</v>
      </c>
      <c r="G121" t="s">
        <v>92</v>
      </c>
      <c r="H121">
        <v>314.58999999999997</v>
      </c>
      <c r="I121">
        <v>1.074789843</v>
      </c>
      <c r="J121">
        <f t="shared" si="40"/>
        <v>392.69908169872417</v>
      </c>
      <c r="K121">
        <f t="shared" si="41"/>
        <v>1.9634954084936209E-3</v>
      </c>
      <c r="L121">
        <f t="shared" si="42"/>
        <v>200000</v>
      </c>
      <c r="M121">
        <f t="shared" si="54"/>
        <v>214957.96859999999</v>
      </c>
      <c r="N121">
        <v>4.1000000000000003E-3</v>
      </c>
      <c r="O121">
        <f t="shared" si="52"/>
        <v>2.8015120355383201</v>
      </c>
      <c r="P121">
        <f t="shared" si="43"/>
        <v>2.0881128533656668</v>
      </c>
      <c r="Q121">
        <v>0.59</v>
      </c>
      <c r="R121">
        <f t="shared" si="55"/>
        <v>1268.2520147399998</v>
      </c>
      <c r="S121">
        <v>0.08</v>
      </c>
      <c r="T121">
        <f t="shared" si="56"/>
        <v>171.96637487999999</v>
      </c>
      <c r="U121">
        <v>2536.5040294800001</v>
      </c>
      <c r="V121">
        <v>343.93274975999998</v>
      </c>
      <c r="W121">
        <f t="shared" si="44"/>
        <v>945.29429097263403</v>
      </c>
      <c r="X121">
        <f t="shared" si="45"/>
        <v>128.17549708103513</v>
      </c>
      <c r="Y121">
        <f t="shared" si="57"/>
        <v>6.3412600736999997E-3</v>
      </c>
      <c r="Z121">
        <f t="shared" si="58"/>
        <v>8.5983187440000003E-4</v>
      </c>
      <c r="AA121">
        <f t="shared" si="46"/>
        <v>6341.2600736999993</v>
      </c>
      <c r="AB121">
        <f t="shared" si="47"/>
        <v>859.83187440000006</v>
      </c>
      <c r="AC121">
        <v>7.4322204886383547</v>
      </c>
      <c r="AD121">
        <f t="shared" si="39"/>
        <v>7.3749999999999991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</row>
    <row r="122" spans="1:56" x14ac:dyDescent="0.2">
      <c r="A122">
        <v>121</v>
      </c>
      <c r="B122" t="s">
        <v>67</v>
      </c>
      <c r="C122" t="s">
        <v>68</v>
      </c>
      <c r="D122">
        <v>21</v>
      </c>
      <c r="E122" t="s">
        <v>75</v>
      </c>
      <c r="F122" t="s">
        <v>89</v>
      </c>
      <c r="G122" t="s">
        <v>92</v>
      </c>
      <c r="H122">
        <v>347.93</v>
      </c>
      <c r="I122">
        <v>0.93354134</v>
      </c>
      <c r="J122">
        <f t="shared" si="40"/>
        <v>392.69908169872417</v>
      </c>
      <c r="K122">
        <f t="shared" si="41"/>
        <v>1.9634954084936209E-3</v>
      </c>
      <c r="L122">
        <f t="shared" si="42"/>
        <v>200000</v>
      </c>
      <c r="M122">
        <f t="shared" si="54"/>
        <v>186708.26800000001</v>
      </c>
      <c r="N122">
        <v>0.37919999999999998</v>
      </c>
      <c r="O122">
        <f t="shared" si="52"/>
        <v>203.48856156583219</v>
      </c>
      <c r="P122">
        <f t="shared" si="43"/>
        <v>193.12497414542946</v>
      </c>
      <c r="Q122">
        <v>1.7</v>
      </c>
      <c r="R122">
        <f t="shared" si="55"/>
        <v>3174.0405560000004</v>
      </c>
      <c r="S122">
        <v>0.13</v>
      </c>
      <c r="T122">
        <f t="shared" si="56"/>
        <v>242.72074839999999</v>
      </c>
      <c r="U122">
        <v>3174.040555999999</v>
      </c>
      <c r="V122">
        <v>242.72074839999999</v>
      </c>
      <c r="W122">
        <f t="shared" si="44"/>
        <v>3012.3879966379955</v>
      </c>
      <c r="X122">
        <f t="shared" si="45"/>
        <v>230.35908209584667</v>
      </c>
      <c r="Y122">
        <f t="shared" si="57"/>
        <v>1.5870202780000002E-2</v>
      </c>
      <c r="Z122">
        <f t="shared" si="58"/>
        <v>1.213603742E-3</v>
      </c>
      <c r="AA122">
        <f t="shared" si="46"/>
        <v>15870.202780000001</v>
      </c>
      <c r="AB122">
        <f t="shared" si="47"/>
        <v>1213.603742</v>
      </c>
      <c r="AC122">
        <v>20.575911160959489</v>
      </c>
      <c r="AD122">
        <f t="shared" si="39"/>
        <v>13.076923076923077</v>
      </c>
      <c r="AE122" s="11">
        <v>5.3886000000000003</v>
      </c>
      <c r="AF122" s="11">
        <v>6.0100000000000001E-2</v>
      </c>
      <c r="AG122" s="11">
        <v>1.8652</v>
      </c>
      <c r="AH122" s="11">
        <v>3.4142999999999999</v>
      </c>
      <c r="AI122" s="11">
        <f>AF122+AG122+AH122</f>
        <v>5.3395999999999999</v>
      </c>
      <c r="AJ122" s="11">
        <v>40.450000000000003</v>
      </c>
      <c r="AK122" s="11">
        <v>1.1499999999999999</v>
      </c>
      <c r="AL122" s="11">
        <v>1.63</v>
      </c>
      <c r="AM122" s="11">
        <v>0.08</v>
      </c>
      <c r="AN122" s="11">
        <v>3.63</v>
      </c>
      <c r="AO122" s="11">
        <v>0.25</v>
      </c>
      <c r="AP122" s="12">
        <f>((AF122/AE122)*I122)*(AJ122/100)</f>
        <v>4.211633832350333E-3</v>
      </c>
      <c r="AQ122" s="12">
        <f>((AF122/AE122)*I122)*(AK122/100)</f>
        <v>1.1973742663047916E-4</v>
      </c>
      <c r="AR122" s="12">
        <f>((AG122/AE122)*I122)*(AL122/100)</f>
        <v>5.2670885406410567E-3</v>
      </c>
      <c r="AS122" s="12">
        <f>((AG122/AE122)*I122)*(AM122/100)</f>
        <v>2.5850741303759794E-4</v>
      </c>
      <c r="AT122" s="12">
        <f>((AH122/AE122)*I122)*(AN122/100)</f>
        <v>2.1471674304453955E-2</v>
      </c>
      <c r="AU122" s="12">
        <f>((AH122/AE122)*I122)*(AO122/100)</f>
        <v>1.4787654479651486E-3</v>
      </c>
      <c r="AV122" s="12">
        <f t="shared" ref="AV122:BA123" si="63">AP122*100*100*20</f>
        <v>842.32676647006656</v>
      </c>
      <c r="AW122" s="12">
        <f t="shared" si="63"/>
        <v>23.94748532609583</v>
      </c>
      <c r="AX122" s="12">
        <f t="shared" si="63"/>
        <v>1053.4177081282114</v>
      </c>
      <c r="AY122" s="12">
        <f t="shared" si="63"/>
        <v>51.701482607519587</v>
      </c>
      <c r="AZ122" s="12">
        <f t="shared" si="63"/>
        <v>4294.3348608907909</v>
      </c>
      <c r="BA122" s="12">
        <f t="shared" si="63"/>
        <v>295.7530895930297</v>
      </c>
      <c r="BB122" s="12">
        <f>AV122+AX122</f>
        <v>1895.744474598278</v>
      </c>
      <c r="BC122" s="12">
        <f>AZ122/AX122</f>
        <v>4.0765736400247867</v>
      </c>
      <c r="BD122" s="12">
        <f>AZ122/BB122</f>
        <v>2.2652498363740672</v>
      </c>
    </row>
    <row r="123" spans="1:56" x14ac:dyDescent="0.2">
      <c r="A123">
        <v>122</v>
      </c>
      <c r="B123" t="s">
        <v>67</v>
      </c>
      <c r="C123" t="s">
        <v>68</v>
      </c>
      <c r="D123">
        <v>21</v>
      </c>
      <c r="E123" t="s">
        <v>75</v>
      </c>
      <c r="F123" t="s">
        <v>90</v>
      </c>
      <c r="G123" t="s">
        <v>92</v>
      </c>
      <c r="H123">
        <v>347.83</v>
      </c>
      <c r="I123">
        <v>1.0778772539999999</v>
      </c>
      <c r="J123">
        <f t="shared" si="40"/>
        <v>392.69908169872417</v>
      </c>
      <c r="K123">
        <f t="shared" si="41"/>
        <v>1.9634954084936209E-3</v>
      </c>
      <c r="L123">
        <f t="shared" si="42"/>
        <v>200000</v>
      </c>
      <c r="M123">
        <f t="shared" si="54"/>
        <v>215575.45079999999</v>
      </c>
      <c r="N123">
        <v>0.10009999999999999</v>
      </c>
      <c r="O123">
        <f t="shared" si="52"/>
        <v>62.039222105856311</v>
      </c>
      <c r="P123">
        <f t="shared" si="43"/>
        <v>50.980511371195909</v>
      </c>
      <c r="Q123">
        <v>0.6</v>
      </c>
      <c r="R123">
        <f t="shared" si="55"/>
        <v>1293.4527048</v>
      </c>
      <c r="S123">
        <v>7.0000000000000007E-2</v>
      </c>
      <c r="T123">
        <f t="shared" si="56"/>
        <v>150.90281556000002</v>
      </c>
      <c r="U123">
        <v>2586.9054096</v>
      </c>
      <c r="V123">
        <v>301.80563111999999</v>
      </c>
      <c r="W123">
        <f t="shared" si="44"/>
        <v>1062.8901860285559</v>
      </c>
      <c r="X123">
        <f t="shared" si="45"/>
        <v>124.00385503666487</v>
      </c>
      <c r="Y123">
        <f t="shared" si="57"/>
        <v>6.4672635239999996E-3</v>
      </c>
      <c r="Z123">
        <f t="shared" si="58"/>
        <v>7.5451407780000002E-4</v>
      </c>
      <c r="AA123">
        <f t="shared" si="46"/>
        <v>6467.263524</v>
      </c>
      <c r="AB123">
        <f t="shared" si="47"/>
        <v>754.5140778</v>
      </c>
      <c r="AC123">
        <v>10.163446580558951</v>
      </c>
      <c r="AD123">
        <f t="shared" si="39"/>
        <v>8.5714285714285712</v>
      </c>
      <c r="AE123" s="11">
        <v>5.6475</v>
      </c>
      <c r="AF123" s="11">
        <v>3.3500000000000002E-2</v>
      </c>
      <c r="AG123" s="11">
        <v>1.9335</v>
      </c>
      <c r="AH123" s="11">
        <v>3.6381000000000001</v>
      </c>
      <c r="AI123" s="11">
        <f>AF123+AG123+AH123</f>
        <v>5.6051000000000002</v>
      </c>
      <c r="AJ123" s="11">
        <v>39.619999999999997</v>
      </c>
      <c r="AK123" s="11">
        <v>0.96</v>
      </c>
      <c r="AL123" s="11">
        <v>0.27</v>
      </c>
      <c r="AM123" s="11">
        <v>0.02</v>
      </c>
      <c r="AN123" s="11">
        <v>1.07</v>
      </c>
      <c r="AO123" s="11">
        <v>0.08</v>
      </c>
      <c r="AP123" s="12">
        <f>((AF123/AE123)*I123)*(AJ123/100)</f>
        <v>2.5332167205251526E-3</v>
      </c>
      <c r="AQ123" s="12">
        <f>((AF123/AE123)*I123)*(AK123/100)</f>
        <v>6.1380314278247007E-5</v>
      </c>
      <c r="AR123" s="12">
        <f>((AG123/AE123)*I123)*(AL123/100)</f>
        <v>9.963708385381674E-4</v>
      </c>
      <c r="AS123" s="12">
        <f>((AG123/AE123)*I123)*(AM123/100)</f>
        <v>7.380524729912351E-5</v>
      </c>
      <c r="AT123" s="12">
        <f>((AH123/AE123)*I123)*(AN123/100)</f>
        <v>7.4297034164175621E-3</v>
      </c>
      <c r="AU123" s="12">
        <f>((AH123/AE123)*I123)*(AO123/100)</f>
        <v>5.5549184421813547E-4</v>
      </c>
      <c r="AV123" s="12">
        <f t="shared" si="63"/>
        <v>506.64334410503051</v>
      </c>
      <c r="AW123" s="12">
        <f t="shared" si="63"/>
        <v>12.276062855649402</v>
      </c>
      <c r="AX123" s="12">
        <f t="shared" si="63"/>
        <v>199.27416770763347</v>
      </c>
      <c r="AY123" s="12">
        <f t="shared" si="63"/>
        <v>14.761049459824703</v>
      </c>
      <c r="AZ123" s="12">
        <f t="shared" si="63"/>
        <v>1485.9406832835125</v>
      </c>
      <c r="BA123" s="12">
        <f t="shared" si="63"/>
        <v>111.09836884362709</v>
      </c>
      <c r="BB123" s="12">
        <f>AV123+AX123</f>
        <v>705.91751181266397</v>
      </c>
      <c r="BC123" s="12">
        <f>AZ123/AX123</f>
        <v>7.4567652213889613</v>
      </c>
      <c r="BD123" s="12">
        <f>AZ123/BB123</f>
        <v>2.1049777890732519</v>
      </c>
    </row>
    <row r="124" spans="1:56" x14ac:dyDescent="0.2">
      <c r="A124">
        <v>123</v>
      </c>
      <c r="B124" t="s">
        <v>67</v>
      </c>
      <c r="C124" t="s">
        <v>68</v>
      </c>
      <c r="D124">
        <v>21</v>
      </c>
      <c r="E124" t="s">
        <v>76</v>
      </c>
      <c r="F124" t="s">
        <v>89</v>
      </c>
      <c r="G124" t="s">
        <v>92</v>
      </c>
      <c r="H124">
        <v>347.93</v>
      </c>
      <c r="I124">
        <v>0.93354134</v>
      </c>
      <c r="J124">
        <f t="shared" si="40"/>
        <v>392.69908169872417</v>
      </c>
      <c r="K124">
        <f t="shared" si="41"/>
        <v>1.9634954084936209E-3</v>
      </c>
      <c r="L124">
        <f t="shared" si="42"/>
        <v>200000</v>
      </c>
      <c r="M124">
        <f t="shared" si="54"/>
        <v>186708.26800000001</v>
      </c>
      <c r="N124">
        <v>0.80649999999999999</v>
      </c>
      <c r="O124">
        <f t="shared" si="52"/>
        <v>432.78883149484091</v>
      </c>
      <c r="P124">
        <f t="shared" si="43"/>
        <v>410.74707713156346</v>
      </c>
      <c r="Q124">
        <v>2.39</v>
      </c>
      <c r="R124">
        <f t="shared" si="55"/>
        <v>4462.3276052000001</v>
      </c>
      <c r="S124">
        <v>0.17</v>
      </c>
      <c r="T124">
        <f t="shared" si="56"/>
        <v>317.40405560000005</v>
      </c>
      <c r="U124">
        <v>4462.3276052000001</v>
      </c>
      <c r="V124">
        <v>317.40405559999999</v>
      </c>
      <c r="W124">
        <f t="shared" si="44"/>
        <v>4235.0631246851817</v>
      </c>
      <c r="X124">
        <f t="shared" si="45"/>
        <v>301.23879966379951</v>
      </c>
      <c r="Y124">
        <f t="shared" si="57"/>
        <v>2.2311638026000002E-2</v>
      </c>
      <c r="Z124">
        <f t="shared" si="58"/>
        <v>1.5870202780000002E-3</v>
      </c>
      <c r="AA124">
        <f t="shared" si="46"/>
        <v>22311.638026000004</v>
      </c>
      <c r="AB124">
        <f t="shared" si="47"/>
        <v>1587.0202780000002</v>
      </c>
      <c r="AC124">
        <v>26.255265042051345</v>
      </c>
      <c r="AD124">
        <f t="shared" si="39"/>
        <v>14.058823529411764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</row>
    <row r="125" spans="1:56" x14ac:dyDescent="0.2">
      <c r="A125">
        <v>124</v>
      </c>
      <c r="B125" t="s">
        <v>67</v>
      </c>
      <c r="C125" t="s">
        <v>68</v>
      </c>
      <c r="D125">
        <v>21</v>
      </c>
      <c r="E125" t="s">
        <v>76</v>
      </c>
      <c r="F125" t="s">
        <v>90</v>
      </c>
      <c r="G125" t="s">
        <v>92</v>
      </c>
      <c r="H125">
        <v>347.83</v>
      </c>
      <c r="I125">
        <v>1.0778772539999999</v>
      </c>
      <c r="J125">
        <f t="shared" si="40"/>
        <v>392.69908169872417</v>
      </c>
      <c r="K125">
        <f t="shared" si="41"/>
        <v>1.9634954084936209E-3</v>
      </c>
      <c r="L125">
        <f t="shared" si="42"/>
        <v>200000</v>
      </c>
      <c r="M125">
        <f t="shared" si="54"/>
        <v>215575.45079999999</v>
      </c>
      <c r="N125">
        <v>0.13239999999999999</v>
      </c>
      <c r="O125">
        <f t="shared" si="52"/>
        <v>82.057872195957785</v>
      </c>
      <c r="P125">
        <f t="shared" si="43"/>
        <v>67.430766289174201</v>
      </c>
      <c r="Q125">
        <v>0.8</v>
      </c>
      <c r="R125">
        <f t="shared" si="55"/>
        <v>1724.6036064</v>
      </c>
      <c r="S125">
        <v>0.08</v>
      </c>
      <c r="T125">
        <f t="shared" si="56"/>
        <v>172.46036064</v>
      </c>
      <c r="U125">
        <v>3449.2072128</v>
      </c>
      <c r="V125">
        <v>344.92072128000001</v>
      </c>
      <c r="W125">
        <f t="shared" si="44"/>
        <v>1417.1869147047412</v>
      </c>
      <c r="X125">
        <f t="shared" si="45"/>
        <v>141.71869147047414</v>
      </c>
      <c r="Y125">
        <f t="shared" si="57"/>
        <v>8.6230180319999995E-3</v>
      </c>
      <c r="Z125">
        <f t="shared" si="58"/>
        <v>8.623018032E-4</v>
      </c>
      <c r="AA125">
        <f t="shared" si="46"/>
        <v>8623.0180319999999</v>
      </c>
      <c r="AB125">
        <f t="shared" si="47"/>
        <v>862.30180319999999</v>
      </c>
      <c r="AC125">
        <v>11.84251035322432</v>
      </c>
      <c r="AD125">
        <f t="shared" si="39"/>
        <v>10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</row>
    <row r="126" spans="1:56" x14ac:dyDescent="0.2">
      <c r="A126">
        <v>125</v>
      </c>
      <c r="B126" t="s">
        <v>67</v>
      </c>
      <c r="C126" t="s">
        <v>68</v>
      </c>
      <c r="D126">
        <v>21</v>
      </c>
      <c r="E126" t="s">
        <v>77</v>
      </c>
      <c r="F126" t="s">
        <v>89</v>
      </c>
      <c r="G126" t="s">
        <v>92</v>
      </c>
      <c r="H126">
        <v>347.93</v>
      </c>
      <c r="I126">
        <v>0.93354134</v>
      </c>
      <c r="J126">
        <f t="shared" si="40"/>
        <v>392.69908169872417</v>
      </c>
      <c r="K126">
        <f t="shared" si="41"/>
        <v>1.9634954084936209E-3</v>
      </c>
      <c r="L126">
        <f t="shared" si="42"/>
        <v>200000</v>
      </c>
      <c r="M126">
        <f t="shared" si="54"/>
        <v>186708.26800000001</v>
      </c>
      <c r="N126">
        <v>0.42609999999999998</v>
      </c>
      <c r="O126">
        <f t="shared" si="52"/>
        <v>228.65631878481304</v>
      </c>
      <c r="P126">
        <f t="shared" si="43"/>
        <v>217.01094800466112</v>
      </c>
      <c r="Q126">
        <v>1.98</v>
      </c>
      <c r="R126">
        <f t="shared" si="55"/>
        <v>3696.8237064</v>
      </c>
      <c r="S126">
        <v>0.16</v>
      </c>
      <c r="T126">
        <f t="shared" si="56"/>
        <v>298.73322880000001</v>
      </c>
      <c r="U126">
        <v>3696.8237064</v>
      </c>
      <c r="V126">
        <v>298.73322880000012</v>
      </c>
      <c r="W126">
        <f t="shared" si="44"/>
        <v>3508.5460196136646</v>
      </c>
      <c r="X126">
        <f t="shared" si="45"/>
        <v>283.51887027181129</v>
      </c>
      <c r="Y126">
        <f t="shared" si="57"/>
        <v>1.8484118531999997E-2</v>
      </c>
      <c r="Z126">
        <f t="shared" si="58"/>
        <v>1.4936661440000001E-3</v>
      </c>
      <c r="AA126">
        <f t="shared" si="46"/>
        <v>18484.118531999997</v>
      </c>
      <c r="AB126">
        <f t="shared" si="47"/>
        <v>1493.666144</v>
      </c>
      <c r="AC126">
        <v>19.221509871753504</v>
      </c>
      <c r="AD126">
        <f t="shared" si="39"/>
        <v>12.375</v>
      </c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</row>
    <row r="127" spans="1:56" x14ac:dyDescent="0.2">
      <c r="A127">
        <v>126</v>
      </c>
      <c r="B127" t="s">
        <v>67</v>
      </c>
      <c r="C127" t="s">
        <v>68</v>
      </c>
      <c r="D127">
        <v>21</v>
      </c>
      <c r="E127" t="s">
        <v>77</v>
      </c>
      <c r="F127" t="s">
        <v>90</v>
      </c>
      <c r="G127" t="s">
        <v>92</v>
      </c>
      <c r="H127">
        <v>347.83</v>
      </c>
      <c r="I127">
        <v>1.0778772539999999</v>
      </c>
      <c r="J127">
        <f t="shared" si="40"/>
        <v>392.69908169872417</v>
      </c>
      <c r="K127">
        <f t="shared" si="41"/>
        <v>1.9634954084936209E-3</v>
      </c>
      <c r="L127">
        <f t="shared" si="42"/>
        <v>200000</v>
      </c>
      <c r="M127">
        <f t="shared" si="54"/>
        <v>215575.45079999999</v>
      </c>
      <c r="N127">
        <v>0.13919999999999999</v>
      </c>
      <c r="O127">
        <f t="shared" si="52"/>
        <v>86.27232484650547</v>
      </c>
      <c r="P127">
        <f t="shared" si="43"/>
        <v>70.893977850853844</v>
      </c>
      <c r="Q127">
        <v>1.07</v>
      </c>
      <c r="R127">
        <f t="shared" si="55"/>
        <v>2306.6573235600003</v>
      </c>
      <c r="S127">
        <v>0.1</v>
      </c>
      <c r="T127">
        <f t="shared" si="56"/>
        <v>215.5754508</v>
      </c>
      <c r="U127">
        <v>4613.3146471200007</v>
      </c>
      <c r="V127">
        <v>431.15090159999988</v>
      </c>
      <c r="W127">
        <f t="shared" si="44"/>
        <v>1895.4874984175915</v>
      </c>
      <c r="X127">
        <f t="shared" si="45"/>
        <v>177.14836433809265</v>
      </c>
      <c r="Y127">
        <f t="shared" si="57"/>
        <v>1.1533286617800001E-2</v>
      </c>
      <c r="Z127">
        <f t="shared" si="58"/>
        <v>1.0778772539999999E-3</v>
      </c>
      <c r="AA127">
        <f t="shared" si="46"/>
        <v>11533.2866178</v>
      </c>
      <c r="AB127">
        <f t="shared" si="47"/>
        <v>1077.877254</v>
      </c>
      <c r="AC127">
        <v>12.249712635461185</v>
      </c>
      <c r="AD127">
        <f t="shared" si="39"/>
        <v>10.7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</row>
    <row r="128" spans="1:56" x14ac:dyDescent="0.2">
      <c r="A128">
        <v>127</v>
      </c>
      <c r="B128" t="s">
        <v>67</v>
      </c>
      <c r="C128" t="s">
        <v>68</v>
      </c>
      <c r="D128">
        <v>22</v>
      </c>
      <c r="E128" t="s">
        <v>78</v>
      </c>
      <c r="F128" t="s">
        <v>89</v>
      </c>
      <c r="G128" t="s">
        <v>92</v>
      </c>
      <c r="H128">
        <v>269.01</v>
      </c>
      <c r="I128">
        <v>0.76271817500000005</v>
      </c>
      <c r="J128">
        <f t="shared" si="40"/>
        <v>392.69908169872417</v>
      </c>
      <c r="K128">
        <f t="shared" si="41"/>
        <v>1.9634954084936209E-3</v>
      </c>
      <c r="L128">
        <f t="shared" si="42"/>
        <v>200000</v>
      </c>
      <c r="M128">
        <f t="shared" si="54"/>
        <v>152543.63500000001</v>
      </c>
      <c r="N128">
        <v>1.1500999999999999</v>
      </c>
      <c r="O128">
        <f t="shared" si="52"/>
        <v>652.17067995055947</v>
      </c>
      <c r="P128">
        <f t="shared" si="43"/>
        <v>585.74112015996411</v>
      </c>
      <c r="Q128">
        <v>3.6</v>
      </c>
      <c r="R128">
        <f t="shared" si="55"/>
        <v>5491.5708600000007</v>
      </c>
      <c r="S128">
        <v>0.21</v>
      </c>
      <c r="T128">
        <f t="shared" si="56"/>
        <v>320.3416335</v>
      </c>
      <c r="U128">
        <v>5491.5708599999998</v>
      </c>
      <c r="V128">
        <v>320.3416335</v>
      </c>
      <c r="W128">
        <f t="shared" si="44"/>
        <v>4932.2040469805688</v>
      </c>
      <c r="X128">
        <f t="shared" si="45"/>
        <v>287.71190274053311</v>
      </c>
      <c r="Y128">
        <f t="shared" si="57"/>
        <v>2.7457854300000004E-2</v>
      </c>
      <c r="Z128">
        <f t="shared" si="58"/>
        <v>1.6017081675000001E-3</v>
      </c>
      <c r="AA128">
        <f t="shared" si="46"/>
        <v>27457.854300000003</v>
      </c>
      <c r="AB128">
        <f t="shared" si="47"/>
        <v>1601.7081675000002</v>
      </c>
      <c r="AC128">
        <v>34.375959002531587</v>
      </c>
      <c r="AD128">
        <f t="shared" si="39"/>
        <v>17.142857142857142</v>
      </c>
      <c r="AE128" s="11">
        <v>5.2961</v>
      </c>
      <c r="AF128" s="11">
        <v>0.12529999999999999</v>
      </c>
      <c r="AG128" s="11">
        <v>2.4798</v>
      </c>
      <c r="AH128" s="11">
        <v>2.7162000000000002</v>
      </c>
      <c r="AI128" s="11">
        <f>AF128+AG128+AH128</f>
        <v>5.3213000000000008</v>
      </c>
      <c r="AJ128" s="11">
        <v>39.200000000000003</v>
      </c>
      <c r="AK128" s="11">
        <v>0.98</v>
      </c>
      <c r="AL128" s="11">
        <v>1.53</v>
      </c>
      <c r="AM128" s="11">
        <v>0.09</v>
      </c>
      <c r="AN128" s="11">
        <v>2.11</v>
      </c>
      <c r="AO128" s="11">
        <v>0.19</v>
      </c>
      <c r="AP128" s="12">
        <f>((AF128/AE128)*I128)*(AJ128/100)</f>
        <v>7.0736742569777761E-3</v>
      </c>
      <c r="AQ128" s="12">
        <f>((AF128/AE128)*I128)*(AK128/100)</f>
        <v>1.7684185642444439E-4</v>
      </c>
      <c r="AR128" s="12">
        <f>((AG128/AE128)*I128)*(AL128/100)</f>
        <v>5.4640668632738249E-3</v>
      </c>
      <c r="AS128" s="12">
        <f>((AG128/AE128)*I128)*(AM128/100)</f>
        <v>3.2141569783963669E-4</v>
      </c>
      <c r="AT128" s="12">
        <f>((AH128/AE128)*I128)*(AN128/100)</f>
        <v>8.2537653662749007E-3</v>
      </c>
      <c r="AU128" s="12">
        <f>((AH128/AE128)*I128)*(AO128/100)</f>
        <v>7.4323005667878265E-4</v>
      </c>
      <c r="AV128" s="12">
        <f t="shared" ref="AV128:BA129" si="64">AP128*100*100*20</f>
        <v>1414.7348513955553</v>
      </c>
      <c r="AW128" s="12">
        <f t="shared" si="64"/>
        <v>35.36837128488888</v>
      </c>
      <c r="AX128" s="12">
        <f t="shared" si="64"/>
        <v>1092.8133726547651</v>
      </c>
      <c r="AY128" s="12">
        <f t="shared" si="64"/>
        <v>64.283139567927336</v>
      </c>
      <c r="AZ128" s="12">
        <f t="shared" si="64"/>
        <v>1650.7530732549801</v>
      </c>
      <c r="BA128" s="12">
        <f t="shared" si="64"/>
        <v>148.64601133575653</v>
      </c>
      <c r="BB128" s="12">
        <f>AV128+AX128</f>
        <v>2507.5482240503206</v>
      </c>
      <c r="BC128" s="12">
        <f>AZ128/AX128</f>
        <v>1.5105535076358148</v>
      </c>
      <c r="BD128" s="12">
        <f>AZ128/BB128</f>
        <v>0.65831358991317779</v>
      </c>
    </row>
    <row r="129" spans="1:56" x14ac:dyDescent="0.2">
      <c r="A129">
        <v>128</v>
      </c>
      <c r="B129" t="s">
        <v>67</v>
      </c>
      <c r="C129" t="s">
        <v>68</v>
      </c>
      <c r="D129">
        <v>22</v>
      </c>
      <c r="E129" t="s">
        <v>78</v>
      </c>
      <c r="F129" t="s">
        <v>90</v>
      </c>
      <c r="G129" t="s">
        <v>92</v>
      </c>
      <c r="H129">
        <v>305.25</v>
      </c>
      <c r="I129">
        <v>0.89072313400000003</v>
      </c>
      <c r="J129">
        <f t="shared" si="40"/>
        <v>392.69908169872417</v>
      </c>
      <c r="K129">
        <f t="shared" si="41"/>
        <v>1.9634954084936209E-3</v>
      </c>
      <c r="L129">
        <f t="shared" si="42"/>
        <v>200000</v>
      </c>
      <c r="M129">
        <f t="shared" si="54"/>
        <v>178144.6268</v>
      </c>
      <c r="N129">
        <v>0.93400000000000005</v>
      </c>
      <c r="O129">
        <f t="shared" si="52"/>
        <v>545.08462385323503</v>
      </c>
      <c r="P129">
        <f t="shared" si="43"/>
        <v>475.68229391305681</v>
      </c>
      <c r="Q129">
        <v>1.67</v>
      </c>
      <c r="R129">
        <f t="shared" si="55"/>
        <v>2975.0152675599998</v>
      </c>
      <c r="S129">
        <v>0.1</v>
      </c>
      <c r="T129">
        <f t="shared" si="56"/>
        <v>178.1446268</v>
      </c>
      <c r="U129">
        <v>5950.0305351200004</v>
      </c>
      <c r="V129">
        <v>356.2892536</v>
      </c>
      <c r="W129">
        <f t="shared" si="44"/>
        <v>2596.224558483128</v>
      </c>
      <c r="X129">
        <f t="shared" si="45"/>
        <v>155.46254841216336</v>
      </c>
      <c r="Y129">
        <f t="shared" si="57"/>
        <v>1.4875076337800001E-2</v>
      </c>
      <c r="Z129">
        <f t="shared" si="58"/>
        <v>8.9072313400000006E-4</v>
      </c>
      <c r="AA129">
        <f t="shared" si="46"/>
        <v>14875.076337800001</v>
      </c>
      <c r="AB129">
        <f t="shared" si="47"/>
        <v>890.72313400000007</v>
      </c>
      <c r="AC129">
        <v>29.283034584122522</v>
      </c>
      <c r="AD129">
        <f t="shared" si="39"/>
        <v>16.7</v>
      </c>
      <c r="AE129" s="11">
        <v>5.8434999999999997</v>
      </c>
      <c r="AF129" s="11">
        <v>6.8199999999999997E-2</v>
      </c>
      <c r="AG129" s="11">
        <v>2.7867000000000002</v>
      </c>
      <c r="AH129" s="11">
        <v>2.9771000000000001</v>
      </c>
      <c r="AI129" s="11">
        <f>AF129+AG129+AH129</f>
        <v>5.8320000000000007</v>
      </c>
      <c r="AJ129" s="11">
        <v>39.03</v>
      </c>
      <c r="AK129" s="11">
        <v>0.76</v>
      </c>
      <c r="AL129" s="11">
        <v>0.28999999999999998</v>
      </c>
      <c r="AM129" s="11">
        <v>0.02</v>
      </c>
      <c r="AN129" s="11">
        <v>0.82</v>
      </c>
      <c r="AO129" s="11">
        <v>0.09</v>
      </c>
      <c r="AP129" s="12">
        <f>((AF129/AE129)*I129)*(AJ129/100)</f>
        <v>4.0574447015407963E-3</v>
      </c>
      <c r="AQ129" s="12">
        <f>((AF129/AE129)*I129)*(AK129/100)</f>
        <v>7.900737825188329E-5</v>
      </c>
      <c r="AR129" s="12">
        <f>((AG129/AE129)*I129)*(AL129/100)</f>
        <v>1.2318502022420845E-3</v>
      </c>
      <c r="AS129" s="12">
        <f>((AG129/AE129)*I129)*(AM129/100)</f>
        <v>8.4955186361523072E-5</v>
      </c>
      <c r="AT129" s="12">
        <f>((AH129/AE129)*I129)*(AN129/100)</f>
        <v>3.7211481314789901E-3</v>
      </c>
      <c r="AU129" s="12">
        <f>((AH129/AE129)*I129)*(AO129/100)</f>
        <v>4.0841869735745018E-4</v>
      </c>
      <c r="AV129" s="12">
        <f t="shared" si="64"/>
        <v>811.48894030815927</v>
      </c>
      <c r="AW129" s="12">
        <f t="shared" si="64"/>
        <v>15.801475650376657</v>
      </c>
      <c r="AX129" s="12">
        <f t="shared" si="64"/>
        <v>246.37004044841689</v>
      </c>
      <c r="AY129" s="12">
        <f t="shared" si="64"/>
        <v>16.991037272304613</v>
      </c>
      <c r="AZ129" s="12">
        <f t="shared" si="64"/>
        <v>744.22962629579797</v>
      </c>
      <c r="BA129" s="12">
        <f t="shared" si="64"/>
        <v>81.683739471490043</v>
      </c>
      <c r="BB129" s="12">
        <f>AV129+AX129</f>
        <v>1057.8589807565761</v>
      </c>
      <c r="BC129" s="12">
        <f>AZ129/AX129</f>
        <v>3.0207797382393951</v>
      </c>
      <c r="BD129" s="12">
        <f>AZ129/BB129</f>
        <v>0.70352442039441609</v>
      </c>
    </row>
    <row r="130" spans="1:56" x14ac:dyDescent="0.2">
      <c r="A130">
        <v>129</v>
      </c>
      <c r="B130" t="s">
        <v>67</v>
      </c>
      <c r="C130" t="s">
        <v>68</v>
      </c>
      <c r="D130">
        <v>22</v>
      </c>
      <c r="E130" t="s">
        <v>79</v>
      </c>
      <c r="F130" t="s">
        <v>89</v>
      </c>
      <c r="G130" t="s">
        <v>92</v>
      </c>
      <c r="H130">
        <v>269.01</v>
      </c>
      <c r="I130">
        <v>0.76271817500000005</v>
      </c>
      <c r="J130">
        <f t="shared" si="40"/>
        <v>392.69908169872417</v>
      </c>
      <c r="K130">
        <f t="shared" si="41"/>
        <v>1.9634954084936209E-3</v>
      </c>
      <c r="L130">
        <f t="shared" si="42"/>
        <v>200000</v>
      </c>
      <c r="M130">
        <f t="shared" ref="M130:M145" si="65">I130*L130</f>
        <v>152543.63500000001</v>
      </c>
      <c r="N130" t="s">
        <v>95</v>
      </c>
      <c r="O130" t="s">
        <v>95</v>
      </c>
      <c r="P130" s="5" t="s">
        <v>95</v>
      </c>
      <c r="Q130">
        <v>2.64</v>
      </c>
      <c r="R130">
        <f t="shared" ref="R130:R146" si="66">M130*(Q130/100)</f>
        <v>4027.1519640000001</v>
      </c>
      <c r="S130">
        <v>0.14000000000000001</v>
      </c>
      <c r="T130">
        <f t="shared" ref="T130:T146" si="67">M130*(S130/100)</f>
        <v>213.56108900000004</v>
      </c>
      <c r="U130">
        <v>4027.1519640000001</v>
      </c>
      <c r="V130">
        <v>213.56108900000001</v>
      </c>
      <c r="W130">
        <f t="shared" si="44"/>
        <v>3616.9496344524164</v>
      </c>
      <c r="X130">
        <f t="shared" si="45"/>
        <v>191.80793516035544</v>
      </c>
      <c r="Y130">
        <f t="shared" ref="Y130:Y145" si="68">(Q130/100)*I130</f>
        <v>2.0135759820000002E-2</v>
      </c>
      <c r="Z130">
        <f t="shared" ref="Z130:Z145" si="69">(S130/100)*I130</f>
        <v>1.0678054450000002E-3</v>
      </c>
      <c r="AA130">
        <f t="shared" si="46"/>
        <v>20135.759820000003</v>
      </c>
      <c r="AB130">
        <f t="shared" si="47"/>
        <v>1067.8054450000002</v>
      </c>
      <c r="AC130">
        <v>18.857142857142858</v>
      </c>
      <c r="AD130">
        <f t="shared" ref="AD130:AD193" si="70">Q130/S130</f>
        <v>18.857142857142858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</row>
    <row r="131" spans="1:56" x14ac:dyDescent="0.2">
      <c r="A131">
        <v>130</v>
      </c>
      <c r="B131" t="s">
        <v>67</v>
      </c>
      <c r="C131" t="s">
        <v>68</v>
      </c>
      <c r="D131">
        <v>22</v>
      </c>
      <c r="E131" t="s">
        <v>79</v>
      </c>
      <c r="F131" t="s">
        <v>90</v>
      </c>
      <c r="G131" t="s">
        <v>92</v>
      </c>
      <c r="H131">
        <v>305.25</v>
      </c>
      <c r="I131">
        <v>0.89072313400000003</v>
      </c>
      <c r="J131">
        <f t="shared" ref="J131:J145" si="71">PI()*(2.5^2)*20</f>
        <v>392.69908169872417</v>
      </c>
      <c r="K131">
        <f t="shared" ref="K131:K145" si="72">PI()*(0.025^2)</f>
        <v>1.9634954084936209E-3</v>
      </c>
      <c r="L131">
        <f t="shared" ref="L131:L145" si="73">J131/K131</f>
        <v>200000</v>
      </c>
      <c r="M131">
        <f t="shared" si="65"/>
        <v>178144.6268</v>
      </c>
      <c r="N131">
        <v>0.2346</v>
      </c>
      <c r="O131">
        <f t="shared" ref="O131:O145" si="74">N131*M131/H131</f>
        <v>136.91311858240786</v>
      </c>
      <c r="P131">
        <f t="shared" ref="P131:P145" si="75">(N131/(0.025*0.025*PI()))</f>
        <v>119.48079887794766</v>
      </c>
      <c r="Q131">
        <v>1.1200000000000001</v>
      </c>
      <c r="R131">
        <f t="shared" si="66"/>
        <v>1995.2198201600004</v>
      </c>
      <c r="S131">
        <v>0.08</v>
      </c>
      <c r="T131">
        <f t="shared" si="67"/>
        <v>142.51570144000002</v>
      </c>
      <c r="U131">
        <v>3990.4396403199999</v>
      </c>
      <c r="V131">
        <v>285.03140287999997</v>
      </c>
      <c r="W131">
        <f t="shared" ref="W131:W145" si="76">((H131/(0.025*0.025*PI())))*(Q131/100)</f>
        <v>1741.1805422162299</v>
      </c>
      <c r="X131">
        <f t="shared" ref="X131:X145" si="77">((H131/(0.025*0.025*PI())))*(S131/100)</f>
        <v>124.37003872973069</v>
      </c>
      <c r="Y131">
        <f t="shared" si="68"/>
        <v>9.9760991008000025E-3</v>
      </c>
      <c r="Z131">
        <f t="shared" si="69"/>
        <v>7.1257850720000005E-4</v>
      </c>
      <c r="AA131">
        <f t="shared" ref="AA131:AA145" si="78">Y131*1000000</f>
        <v>9976.0991008000019</v>
      </c>
      <c r="AB131">
        <f t="shared" ref="AB131:AB145" si="79">Z131*1000000</f>
        <v>712.5785072000001</v>
      </c>
      <c r="AC131">
        <v>17.950722582220486</v>
      </c>
      <c r="AD131">
        <f t="shared" si="70"/>
        <v>14.000000000000002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</row>
    <row r="132" spans="1:56" x14ac:dyDescent="0.2">
      <c r="A132">
        <v>131</v>
      </c>
      <c r="B132" t="s">
        <v>67</v>
      </c>
      <c r="C132" t="s">
        <v>68</v>
      </c>
      <c r="D132">
        <v>22</v>
      </c>
      <c r="E132" t="s">
        <v>80</v>
      </c>
      <c r="F132" t="s">
        <v>89</v>
      </c>
      <c r="G132" t="s">
        <v>92</v>
      </c>
      <c r="H132">
        <v>269.01</v>
      </c>
      <c r="I132">
        <v>0.76271817500000005</v>
      </c>
      <c r="J132">
        <f t="shared" si="71"/>
        <v>392.69908169872417</v>
      </c>
      <c r="K132">
        <f t="shared" si="72"/>
        <v>1.9634954084936209E-3</v>
      </c>
      <c r="L132">
        <f t="shared" si="73"/>
        <v>200000</v>
      </c>
      <c r="M132">
        <f t="shared" si="65"/>
        <v>152543.63500000001</v>
      </c>
      <c r="N132">
        <v>0.39729999999999999</v>
      </c>
      <c r="O132">
        <f t="shared" si="74"/>
        <v>225.29120176015763</v>
      </c>
      <c r="P132">
        <f t="shared" si="75"/>
        <v>202.34322844931205</v>
      </c>
      <c r="Q132">
        <v>4.03</v>
      </c>
      <c r="R132">
        <f t="shared" si="66"/>
        <v>6147.5084905000003</v>
      </c>
      <c r="S132">
        <v>0.19</v>
      </c>
      <c r="T132">
        <f t="shared" si="67"/>
        <v>289.83290650000004</v>
      </c>
      <c r="U132">
        <v>6147.5084905000003</v>
      </c>
      <c r="V132">
        <v>289.83290649999998</v>
      </c>
      <c r="W132">
        <f t="shared" si="76"/>
        <v>5521.3284192588026</v>
      </c>
      <c r="X132">
        <f t="shared" si="77"/>
        <v>260.31076914619666</v>
      </c>
      <c r="Y132">
        <f t="shared" si="68"/>
        <v>3.0737542452500002E-2</v>
      </c>
      <c r="Z132">
        <f t="shared" si="69"/>
        <v>1.4491645325E-3</v>
      </c>
      <c r="AA132">
        <f t="shared" si="78"/>
        <v>30737.542452500002</v>
      </c>
      <c r="AB132">
        <f t="shared" si="79"/>
        <v>1449.1645325</v>
      </c>
      <c r="AC132">
        <v>27.790317489363481</v>
      </c>
      <c r="AD132">
        <f t="shared" si="70"/>
        <v>21.210526315789476</v>
      </c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</row>
    <row r="133" spans="1:56" x14ac:dyDescent="0.2">
      <c r="A133">
        <v>132</v>
      </c>
      <c r="B133" t="s">
        <v>67</v>
      </c>
      <c r="C133" t="s">
        <v>68</v>
      </c>
      <c r="D133">
        <v>22</v>
      </c>
      <c r="E133" t="s">
        <v>80</v>
      </c>
      <c r="F133" t="s">
        <v>90</v>
      </c>
      <c r="G133" t="s">
        <v>92</v>
      </c>
      <c r="H133">
        <v>305.25</v>
      </c>
      <c r="I133">
        <v>0.89072313400000003</v>
      </c>
      <c r="J133">
        <f t="shared" si="71"/>
        <v>392.69908169872417</v>
      </c>
      <c r="K133">
        <f t="shared" si="72"/>
        <v>1.9634954084936209E-3</v>
      </c>
      <c r="L133">
        <f t="shared" si="73"/>
        <v>200000</v>
      </c>
      <c r="M133">
        <f t="shared" si="65"/>
        <v>178144.6268</v>
      </c>
      <c r="N133">
        <v>0.18</v>
      </c>
      <c r="O133">
        <f t="shared" si="74"/>
        <v>105.04842857985257</v>
      </c>
      <c r="P133">
        <f t="shared" si="75"/>
        <v>91.6732472209317</v>
      </c>
      <c r="Q133">
        <v>1.17</v>
      </c>
      <c r="R133">
        <f t="shared" si="66"/>
        <v>2084.2921335599999</v>
      </c>
      <c r="S133">
        <v>0.08</v>
      </c>
      <c r="T133">
        <f t="shared" si="67"/>
        <v>142.51570144000002</v>
      </c>
      <c r="U133">
        <v>4168.5842671199998</v>
      </c>
      <c r="V133">
        <v>285.03140287999997</v>
      </c>
      <c r="W133">
        <f t="shared" si="76"/>
        <v>1818.9118164223112</v>
      </c>
      <c r="X133">
        <f t="shared" si="77"/>
        <v>124.37003872973069</v>
      </c>
      <c r="Y133">
        <f t="shared" si="68"/>
        <v>1.04214606678E-2</v>
      </c>
      <c r="Z133">
        <f t="shared" si="69"/>
        <v>7.1257850720000005E-4</v>
      </c>
      <c r="AA133">
        <f t="shared" si="78"/>
        <v>10421.4606678</v>
      </c>
      <c r="AB133">
        <f t="shared" si="79"/>
        <v>712.5785072000001</v>
      </c>
      <c r="AC133">
        <v>17.656244947995255</v>
      </c>
      <c r="AD133">
        <f t="shared" si="70"/>
        <v>14.624999999999998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</row>
    <row r="134" spans="1:56" x14ac:dyDescent="0.2">
      <c r="A134">
        <v>133</v>
      </c>
      <c r="B134" t="s">
        <v>67</v>
      </c>
      <c r="C134" t="s">
        <v>68</v>
      </c>
      <c r="D134">
        <v>23</v>
      </c>
      <c r="E134" t="s">
        <v>81</v>
      </c>
      <c r="F134" t="s">
        <v>89</v>
      </c>
      <c r="G134" t="s">
        <v>92</v>
      </c>
      <c r="H134">
        <v>359.06</v>
      </c>
      <c r="I134">
        <v>0.976505022</v>
      </c>
      <c r="J134">
        <f t="shared" si="71"/>
        <v>392.69908169872417</v>
      </c>
      <c r="K134">
        <f t="shared" si="72"/>
        <v>1.9634954084936209E-3</v>
      </c>
      <c r="L134">
        <f t="shared" si="73"/>
        <v>200000</v>
      </c>
      <c r="M134">
        <f t="shared" si="65"/>
        <v>195301.00440000001</v>
      </c>
      <c r="N134">
        <v>0.50639999999999996</v>
      </c>
      <c r="O134">
        <f t="shared" si="74"/>
        <v>275.44262415239791</v>
      </c>
      <c r="P134">
        <f t="shared" si="75"/>
        <v>257.90740218155452</v>
      </c>
      <c r="Q134">
        <v>1.5</v>
      </c>
      <c r="R134">
        <f t="shared" si="66"/>
        <v>2929.5150659999999</v>
      </c>
      <c r="S134">
        <v>0.12</v>
      </c>
      <c r="T134">
        <f t="shared" si="67"/>
        <v>234.36120527999998</v>
      </c>
      <c r="U134">
        <v>2929.5150659999999</v>
      </c>
      <c r="V134">
        <v>234.36120528000001</v>
      </c>
      <c r="W134">
        <f t="shared" si="76"/>
        <v>2743.0163455956449</v>
      </c>
      <c r="X134">
        <f t="shared" si="77"/>
        <v>219.44130764765157</v>
      </c>
      <c r="Y134">
        <f t="shared" si="68"/>
        <v>1.4647575329999999E-2</v>
      </c>
      <c r="Z134">
        <f t="shared" si="69"/>
        <v>1.1718060263999999E-3</v>
      </c>
      <c r="AA134">
        <f t="shared" si="78"/>
        <v>14647.57533</v>
      </c>
      <c r="AB134">
        <f t="shared" si="79"/>
        <v>1171.8060263999998</v>
      </c>
      <c r="AC134">
        <v>22.871682451009452</v>
      </c>
      <c r="AD134">
        <f t="shared" si="70"/>
        <v>12.5</v>
      </c>
      <c r="AE134" s="11">
        <v>5.6813000000000002</v>
      </c>
      <c r="AF134" s="11">
        <v>9.8599999999999993E-2</v>
      </c>
      <c r="AG134" s="11">
        <v>1.8883000000000001</v>
      </c>
      <c r="AH134" s="11">
        <v>3.7111999999999998</v>
      </c>
      <c r="AI134" s="11">
        <f>AF134+AG134+AH134</f>
        <v>5.6981000000000002</v>
      </c>
      <c r="AJ134" s="11">
        <v>39.39</v>
      </c>
      <c r="AK134" s="11">
        <v>1.05</v>
      </c>
      <c r="AL134" s="11">
        <v>4.18</v>
      </c>
      <c r="AM134" s="11">
        <v>0.19</v>
      </c>
      <c r="AN134" s="11">
        <v>2.0699999999999998</v>
      </c>
      <c r="AO134" s="11">
        <v>0.13</v>
      </c>
      <c r="AP134" s="12">
        <f>((AF134/AE134)*I134)*(AJ134/100)</f>
        <v>6.6755899806642633E-3</v>
      </c>
      <c r="AQ134" s="12">
        <f>((AF134/AE134)*I134)*(AK134/100)</f>
        <v>1.7794794312509462E-4</v>
      </c>
      <c r="AR134" s="12">
        <f>((AG134/AE134)*I134)*(AL134/100)</f>
        <v>1.35666941195115E-2</v>
      </c>
      <c r="AS134" s="12">
        <f>((AG134/AE134)*I134)*(AM134/100)</f>
        <v>6.1666791452324999E-4</v>
      </c>
      <c r="AT134" s="12">
        <f>((AH134/AE134)*I134)*(AN134/100)</f>
        <v>1.3204180831725216E-2</v>
      </c>
      <c r="AU134" s="12">
        <f>((AH134/AE134)*I134)*(AO134/100)</f>
        <v>8.2924807155762223E-4</v>
      </c>
      <c r="AV134" s="12">
        <f t="shared" ref="AV134:BA134" si="80">AP134*100*100*20</f>
        <v>1335.1179961328526</v>
      </c>
      <c r="AW134" s="12">
        <f t="shared" si="80"/>
        <v>35.589588625018919</v>
      </c>
      <c r="AX134" s="12">
        <f t="shared" si="80"/>
        <v>2713.3388239022997</v>
      </c>
      <c r="AY134" s="12">
        <f t="shared" si="80"/>
        <v>123.33358290464999</v>
      </c>
      <c r="AZ134" s="12">
        <f t="shared" si="80"/>
        <v>2640.8361663450432</v>
      </c>
      <c r="BA134" s="12">
        <f t="shared" si="80"/>
        <v>165.84961431152442</v>
      </c>
      <c r="BB134" s="12">
        <f>AV134+AX134</f>
        <v>4048.4568200351523</v>
      </c>
      <c r="BC134" s="12">
        <f>AZ134/AX134</f>
        <v>0.97327917290735411</v>
      </c>
      <c r="BD134" s="12">
        <f>AZ134/BB134</f>
        <v>0.6523068625249937</v>
      </c>
    </row>
    <row r="135" spans="1:56" x14ac:dyDescent="0.2">
      <c r="A135">
        <v>134</v>
      </c>
      <c r="B135" t="s">
        <v>67</v>
      </c>
      <c r="C135" t="s">
        <v>68</v>
      </c>
      <c r="D135">
        <v>23</v>
      </c>
      <c r="E135" t="s">
        <v>81</v>
      </c>
      <c r="F135" t="s">
        <v>90</v>
      </c>
      <c r="G135" t="s">
        <v>92</v>
      </c>
      <c r="H135">
        <v>395.68</v>
      </c>
      <c r="I135">
        <v>1.15459895</v>
      </c>
      <c r="J135">
        <f t="shared" si="71"/>
        <v>392.69908169872417</v>
      </c>
      <c r="K135">
        <f t="shared" si="72"/>
        <v>1.9634954084936209E-3</v>
      </c>
      <c r="L135">
        <f t="shared" si="73"/>
        <v>200000</v>
      </c>
      <c r="M135">
        <f t="shared" si="65"/>
        <v>230919.79</v>
      </c>
      <c r="N135">
        <v>0.1663</v>
      </c>
      <c r="O135">
        <f t="shared" si="74"/>
        <v>97.053075912353421</v>
      </c>
      <c r="P135">
        <f t="shared" si="75"/>
        <v>84.695894515783024</v>
      </c>
      <c r="Q135">
        <v>0.68</v>
      </c>
      <c r="R135">
        <f t="shared" si="66"/>
        <v>1570.2545720000003</v>
      </c>
      <c r="S135">
        <v>0.08</v>
      </c>
      <c r="T135">
        <f t="shared" si="67"/>
        <v>184.73583200000002</v>
      </c>
      <c r="U135">
        <v>3140.509144000001</v>
      </c>
      <c r="V135">
        <v>369.47166399999998</v>
      </c>
      <c r="W135">
        <f t="shared" si="76"/>
        <v>1370.323550725401</v>
      </c>
      <c r="X135">
        <f t="shared" si="77"/>
        <v>161.21453537945894</v>
      </c>
      <c r="Y135">
        <f t="shared" si="68"/>
        <v>7.8512728600000012E-3</v>
      </c>
      <c r="Z135">
        <f t="shared" si="69"/>
        <v>9.2367916000000007E-4</v>
      </c>
      <c r="AA135">
        <f t="shared" si="78"/>
        <v>7851.2728600000009</v>
      </c>
      <c r="AB135">
        <f t="shared" si="79"/>
        <v>923.67916000000002</v>
      </c>
      <c r="AC135">
        <v>10.660490445621832</v>
      </c>
      <c r="AD135">
        <f t="shared" si="70"/>
        <v>8.5</v>
      </c>
      <c r="AE135" s="11">
        <v>5.1372999999999998</v>
      </c>
      <c r="AF135" s="11">
        <v>2.53E-2</v>
      </c>
      <c r="AG135" s="11">
        <v>1.4942</v>
      </c>
      <c r="AH135" s="11">
        <v>3.5539000000000001</v>
      </c>
      <c r="AI135" s="11">
        <f>AF135+AG135+AH135</f>
        <v>5.0734000000000004</v>
      </c>
      <c r="AJ135" s="12" t="s">
        <v>95</v>
      </c>
      <c r="AK135" s="12" t="s">
        <v>95</v>
      </c>
      <c r="AL135" s="11">
        <v>0.14000000000000001</v>
      </c>
      <c r="AM135" s="11">
        <v>0.02</v>
      </c>
      <c r="AN135" s="11">
        <v>0.56999999999999995</v>
      </c>
      <c r="AO135" s="11">
        <v>0.06</v>
      </c>
      <c r="AP135" s="16" t="s">
        <v>95</v>
      </c>
      <c r="AQ135" s="16" t="s">
        <v>95</v>
      </c>
      <c r="AR135" s="12">
        <f>((AG135/AE135)*I135)*(AL135/100)</f>
        <v>4.7014627363128501E-4</v>
      </c>
      <c r="AS135" s="12">
        <f>((AG135/AE135)*I135)*(AM135/100)</f>
        <v>6.7163753375897847E-5</v>
      </c>
      <c r="AT135" s="12">
        <f>((AH135/AE135)*I135)*(AN135/100)</f>
        <v>4.5527760667877096E-3</v>
      </c>
      <c r="AU135" s="12">
        <f>((AH135/AE135)*I135)*(AO135/100)</f>
        <v>4.7923958597765367E-4</v>
      </c>
      <c r="AV135" s="16" t="s">
        <v>95</v>
      </c>
      <c r="AW135" s="16" t="s">
        <v>95</v>
      </c>
      <c r="AX135" s="12">
        <f>AR135*100*100*20</f>
        <v>94.029254726256994</v>
      </c>
      <c r="AY135" s="12">
        <f>AS135*100*100*20</f>
        <v>13.432750675179568</v>
      </c>
      <c r="AZ135" s="12">
        <f>AT135*100*100*20</f>
        <v>910.5552133575419</v>
      </c>
      <c r="BA135" s="12">
        <f>AU135*100*100*20</f>
        <v>95.847917195530741</v>
      </c>
      <c r="BB135" s="12">
        <f>AX135</f>
        <v>94.029254726256994</v>
      </c>
      <c r="BC135" s="12">
        <f>AZ135/AX135</f>
        <v>9.6837438093963311</v>
      </c>
      <c r="BD135" s="12">
        <f>AZ135/BB135</f>
        <v>9.6837438093963311</v>
      </c>
    </row>
    <row r="136" spans="1:56" x14ac:dyDescent="0.2">
      <c r="A136">
        <v>135</v>
      </c>
      <c r="B136" t="s">
        <v>67</v>
      </c>
      <c r="C136" t="s">
        <v>68</v>
      </c>
      <c r="D136">
        <v>23</v>
      </c>
      <c r="E136" t="s">
        <v>82</v>
      </c>
      <c r="F136" t="s">
        <v>89</v>
      </c>
      <c r="G136" t="s">
        <v>92</v>
      </c>
      <c r="H136">
        <v>359.06</v>
      </c>
      <c r="I136">
        <v>0.976505022</v>
      </c>
      <c r="J136">
        <f t="shared" si="71"/>
        <v>392.69908169872417</v>
      </c>
      <c r="K136">
        <f t="shared" si="72"/>
        <v>1.9634954084936209E-3</v>
      </c>
      <c r="L136">
        <f t="shared" si="73"/>
        <v>200000</v>
      </c>
      <c r="M136">
        <f t="shared" si="65"/>
        <v>195301.00440000001</v>
      </c>
      <c r="N136">
        <v>0.92069999999999996</v>
      </c>
      <c r="O136">
        <f t="shared" si="74"/>
        <v>500.78993692162874</v>
      </c>
      <c r="P136">
        <f t="shared" si="75"/>
        <v>468.90865953506568</v>
      </c>
      <c r="Q136">
        <v>2.93</v>
      </c>
      <c r="R136">
        <f t="shared" si="66"/>
        <v>5722.319428920001</v>
      </c>
      <c r="S136">
        <v>0.2</v>
      </c>
      <c r="T136">
        <f t="shared" si="67"/>
        <v>390.60200880000002</v>
      </c>
      <c r="U136">
        <v>5722.3194289200001</v>
      </c>
      <c r="V136">
        <v>390.60200880000002</v>
      </c>
      <c r="W136">
        <f t="shared" si="76"/>
        <v>5358.0252617301603</v>
      </c>
      <c r="X136">
        <f t="shared" si="77"/>
        <v>365.73551274608599</v>
      </c>
      <c r="Y136">
        <f t="shared" si="68"/>
        <v>2.8611597144600005E-2</v>
      </c>
      <c r="Z136">
        <f t="shared" si="69"/>
        <v>1.9530100440000001E-3</v>
      </c>
      <c r="AA136">
        <f t="shared" si="78"/>
        <v>28611.597144600004</v>
      </c>
      <c r="AB136">
        <f t="shared" si="79"/>
        <v>1953.0100440000001</v>
      </c>
      <c r="AC136">
        <v>25.964227526829863</v>
      </c>
      <c r="AD136">
        <f t="shared" si="70"/>
        <v>14.65</v>
      </c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</row>
    <row r="137" spans="1:56" x14ac:dyDescent="0.2">
      <c r="A137">
        <v>136</v>
      </c>
      <c r="B137" t="s">
        <v>67</v>
      </c>
      <c r="C137" t="s">
        <v>68</v>
      </c>
      <c r="D137">
        <v>23</v>
      </c>
      <c r="E137" t="s">
        <v>82</v>
      </c>
      <c r="F137" t="s">
        <v>90</v>
      </c>
      <c r="G137" t="s">
        <v>92</v>
      </c>
      <c r="H137">
        <v>395.68</v>
      </c>
      <c r="I137">
        <v>1.15459895</v>
      </c>
      <c r="J137">
        <f t="shared" si="71"/>
        <v>392.69908169872417</v>
      </c>
      <c r="K137">
        <f t="shared" si="72"/>
        <v>1.9634954084936209E-3</v>
      </c>
      <c r="L137">
        <f t="shared" si="73"/>
        <v>200000</v>
      </c>
      <c r="M137">
        <f t="shared" si="65"/>
        <v>230919.79</v>
      </c>
      <c r="N137">
        <v>0.2031</v>
      </c>
      <c r="O137">
        <f t="shared" si="74"/>
        <v>118.52964352254348</v>
      </c>
      <c r="P137">
        <f t="shared" si="75"/>
        <v>103.43798061428461</v>
      </c>
      <c r="Q137">
        <v>1.52</v>
      </c>
      <c r="R137">
        <f t="shared" si="66"/>
        <v>3509.9808080000003</v>
      </c>
      <c r="S137">
        <v>0.12</v>
      </c>
      <c r="T137">
        <f t="shared" si="67"/>
        <v>277.103748</v>
      </c>
      <c r="U137">
        <v>7019.9616159999987</v>
      </c>
      <c r="V137">
        <v>554.20749599999999</v>
      </c>
      <c r="W137">
        <f t="shared" si="76"/>
        <v>3063.07617220972</v>
      </c>
      <c r="X137">
        <f t="shared" si="77"/>
        <v>241.82180306918838</v>
      </c>
      <c r="Y137">
        <f t="shared" si="68"/>
        <v>1.7549904040000001E-2</v>
      </c>
      <c r="Z137">
        <f t="shared" si="69"/>
        <v>1.3855187399999999E-3</v>
      </c>
      <c r="AA137">
        <f t="shared" si="78"/>
        <v>17549.904040000001</v>
      </c>
      <c r="AB137">
        <f t="shared" si="79"/>
        <v>1385.51874</v>
      </c>
      <c r="AC137">
        <v>14.425719019866882</v>
      </c>
      <c r="AD137">
        <f t="shared" si="70"/>
        <v>12.666666666666668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</row>
    <row r="138" spans="1:56" x14ac:dyDescent="0.2">
      <c r="A138">
        <v>137</v>
      </c>
      <c r="B138" t="s">
        <v>67</v>
      </c>
      <c r="C138" t="s">
        <v>68</v>
      </c>
      <c r="D138">
        <v>23</v>
      </c>
      <c r="E138" t="s">
        <v>83</v>
      </c>
      <c r="F138" t="s">
        <v>89</v>
      </c>
      <c r="G138" t="s">
        <v>92</v>
      </c>
      <c r="H138">
        <v>359.06</v>
      </c>
      <c r="I138">
        <v>0.976505022</v>
      </c>
      <c r="J138">
        <f t="shared" si="71"/>
        <v>392.69908169872417</v>
      </c>
      <c r="K138">
        <f t="shared" si="72"/>
        <v>1.9634954084936209E-3</v>
      </c>
      <c r="L138">
        <f t="shared" si="73"/>
        <v>200000</v>
      </c>
      <c r="M138">
        <f t="shared" si="65"/>
        <v>195301.00440000001</v>
      </c>
      <c r="N138">
        <v>0.82089999999999996</v>
      </c>
      <c r="O138">
        <f t="shared" si="74"/>
        <v>446.50641818069403</v>
      </c>
      <c r="P138">
        <f t="shared" si="75"/>
        <v>418.08093690923801</v>
      </c>
      <c r="Q138">
        <v>2.36</v>
      </c>
      <c r="R138">
        <f t="shared" si="66"/>
        <v>4609.10370384</v>
      </c>
      <c r="S138">
        <v>0.16</v>
      </c>
      <c r="T138">
        <f t="shared" si="67"/>
        <v>312.48160704000003</v>
      </c>
      <c r="U138">
        <v>4609.10370384</v>
      </c>
      <c r="V138">
        <v>312.48160703999997</v>
      </c>
      <c r="W138">
        <f t="shared" si="76"/>
        <v>4315.6790504038145</v>
      </c>
      <c r="X138">
        <f t="shared" si="77"/>
        <v>292.58841019686884</v>
      </c>
      <c r="Y138">
        <f t="shared" si="68"/>
        <v>2.30455185192E-2</v>
      </c>
      <c r="Z138">
        <f t="shared" si="69"/>
        <v>1.5624080352E-3</v>
      </c>
      <c r="AA138">
        <f t="shared" si="78"/>
        <v>23045.518519199999</v>
      </c>
      <c r="AB138">
        <f t="shared" si="79"/>
        <v>1562.4080351999999</v>
      </c>
      <c r="AC138">
        <v>27.359766178959802</v>
      </c>
      <c r="AD138">
        <f t="shared" si="70"/>
        <v>14.749999999999998</v>
      </c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</row>
    <row r="139" spans="1:56" x14ac:dyDescent="0.2">
      <c r="A139">
        <v>138</v>
      </c>
      <c r="B139" t="s">
        <v>67</v>
      </c>
      <c r="C139" t="s">
        <v>68</v>
      </c>
      <c r="D139">
        <v>23</v>
      </c>
      <c r="E139" t="s">
        <v>83</v>
      </c>
      <c r="F139" t="s">
        <v>90</v>
      </c>
      <c r="G139" t="s">
        <v>92</v>
      </c>
      <c r="H139">
        <v>395.68</v>
      </c>
      <c r="I139">
        <v>1.15459895</v>
      </c>
      <c r="J139">
        <f t="shared" si="71"/>
        <v>392.69908169872417</v>
      </c>
      <c r="K139">
        <f t="shared" si="72"/>
        <v>1.9634954084936209E-3</v>
      </c>
      <c r="L139">
        <f t="shared" si="73"/>
        <v>200000</v>
      </c>
      <c r="M139">
        <f t="shared" si="65"/>
        <v>230919.79</v>
      </c>
      <c r="N139">
        <v>0.16539999999999999</v>
      </c>
      <c r="O139">
        <f t="shared" si="74"/>
        <v>96.527833769712885</v>
      </c>
      <c r="P139">
        <f t="shared" si="75"/>
        <v>84.237528279678358</v>
      </c>
      <c r="Q139">
        <v>0.74</v>
      </c>
      <c r="R139">
        <f t="shared" si="66"/>
        <v>1708.8064460000001</v>
      </c>
      <c r="S139">
        <v>0.08</v>
      </c>
      <c r="T139">
        <f t="shared" si="67"/>
        <v>184.73583200000002</v>
      </c>
      <c r="U139">
        <v>3417.6128920000001</v>
      </c>
      <c r="V139">
        <v>369.47166399999998</v>
      </c>
      <c r="W139">
        <f t="shared" si="76"/>
        <v>1491.2344522599954</v>
      </c>
      <c r="X139">
        <f t="shared" si="77"/>
        <v>161.21453537945894</v>
      </c>
      <c r="Y139">
        <f t="shared" si="68"/>
        <v>8.54403223E-3</v>
      </c>
      <c r="Z139">
        <f t="shared" si="69"/>
        <v>9.2367916000000007E-4</v>
      </c>
      <c r="AA139">
        <f t="shared" si="78"/>
        <v>8544.0322300000007</v>
      </c>
      <c r="AB139">
        <f t="shared" si="79"/>
        <v>923.67916000000002</v>
      </c>
      <c r="AC139">
        <v>11.3987980739979</v>
      </c>
      <c r="AD139">
        <f t="shared" si="70"/>
        <v>9.25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</row>
    <row r="140" spans="1:56" x14ac:dyDescent="0.2">
      <c r="A140">
        <v>139</v>
      </c>
      <c r="B140" t="s">
        <v>67</v>
      </c>
      <c r="C140" t="s">
        <v>84</v>
      </c>
      <c r="D140">
        <v>24</v>
      </c>
      <c r="E140" t="s">
        <v>85</v>
      </c>
      <c r="F140" t="s">
        <v>89</v>
      </c>
      <c r="G140" t="s">
        <v>92</v>
      </c>
      <c r="H140">
        <v>202.93</v>
      </c>
      <c r="I140">
        <v>0.55949962499999994</v>
      </c>
      <c r="J140">
        <f t="shared" si="71"/>
        <v>392.69908169872417</v>
      </c>
      <c r="K140">
        <f t="shared" si="72"/>
        <v>1.9634954084936209E-3</v>
      </c>
      <c r="L140">
        <f t="shared" si="73"/>
        <v>200000</v>
      </c>
      <c r="M140">
        <f t="shared" si="65"/>
        <v>111899.92499999999</v>
      </c>
      <c r="N140">
        <v>0.92710000000000004</v>
      </c>
      <c r="O140">
        <f t="shared" si="74"/>
        <v>511.22268993002507</v>
      </c>
      <c r="P140">
        <f t="shared" si="75"/>
        <v>472.16815276958772</v>
      </c>
      <c r="Q140">
        <v>4.82</v>
      </c>
      <c r="R140">
        <f t="shared" si="66"/>
        <v>5393.5763849999994</v>
      </c>
      <c r="S140">
        <v>0.19</v>
      </c>
      <c r="T140">
        <f t="shared" si="67"/>
        <v>212.60985749999998</v>
      </c>
      <c r="U140">
        <v>5393.5763849999994</v>
      </c>
      <c r="V140">
        <v>212.60985749999989</v>
      </c>
      <c r="W140">
        <f t="shared" si="76"/>
        <v>4981.5374956766946</v>
      </c>
      <c r="X140">
        <f t="shared" si="77"/>
        <v>196.36766061796098</v>
      </c>
      <c r="Y140">
        <f t="shared" si="68"/>
        <v>2.6967881924999996E-2</v>
      </c>
      <c r="Z140">
        <f t="shared" si="69"/>
        <v>1.0630492874999999E-3</v>
      </c>
      <c r="AA140">
        <f t="shared" si="78"/>
        <v>26967.881924999994</v>
      </c>
      <c r="AB140">
        <f t="shared" si="79"/>
        <v>1063.0492874999998</v>
      </c>
      <c r="AC140">
        <v>46.299153297725169</v>
      </c>
      <c r="AD140">
        <f t="shared" si="70"/>
        <v>25.368421052631579</v>
      </c>
      <c r="AE140" s="11">
        <v>5.8586999999999998</v>
      </c>
      <c r="AF140" s="11">
        <v>0.46379999999999999</v>
      </c>
      <c r="AG140" s="11">
        <v>1.4587000000000001</v>
      </c>
      <c r="AH140" s="11">
        <v>4.0201000000000002</v>
      </c>
      <c r="AI140" s="11">
        <f>AF140+AG140+AH140</f>
        <v>5.9426000000000005</v>
      </c>
      <c r="AJ140" s="11">
        <v>35.340000000000003</v>
      </c>
      <c r="AK140" s="11">
        <v>1.07</v>
      </c>
      <c r="AL140" s="11">
        <v>1.64</v>
      </c>
      <c r="AM140" s="11">
        <v>0.1</v>
      </c>
      <c r="AN140" s="11">
        <v>3.14</v>
      </c>
      <c r="AO140" s="11">
        <v>0.27</v>
      </c>
      <c r="AP140" s="12">
        <f>((AF140/AE140)*I140)*(AJ140/100)</f>
        <v>1.5652936705225561E-2</v>
      </c>
      <c r="AQ140" s="12">
        <f>((AF140/AE140)*I140)*(AK140/100)</f>
        <v>4.7392875706257358E-4</v>
      </c>
      <c r="AR140" s="12">
        <f>((AG140/AE140)*I140)*(AL140/100)</f>
        <v>2.2845905216165698E-3</v>
      </c>
      <c r="AS140" s="12">
        <f>((AG140/AE140)*I140)*(AM140/100)</f>
        <v>1.3930430009857135E-4</v>
      </c>
      <c r="AT140" s="12">
        <f>((AH140/AE140)*I140)*(AN140/100)</f>
        <v>1.2054939746585848E-2</v>
      </c>
      <c r="AU140" s="12">
        <f>((AH140/AE140)*I140)*(AO140/100)</f>
        <v>1.0365712520949612E-3</v>
      </c>
      <c r="AV140" s="12">
        <f t="shared" ref="AV140:BA141" si="81">AP140*100*100*20</f>
        <v>3130.5873410451122</v>
      </c>
      <c r="AW140" s="12">
        <f t="shared" si="81"/>
        <v>94.785751412514713</v>
      </c>
      <c r="AX140" s="12">
        <f t="shared" si="81"/>
        <v>456.91810432331403</v>
      </c>
      <c r="AY140" s="12">
        <f t="shared" si="81"/>
        <v>27.86086001971427</v>
      </c>
      <c r="AZ140" s="12">
        <f t="shared" si="81"/>
        <v>2410.9879493171693</v>
      </c>
      <c r="BA140" s="12">
        <f t="shared" si="81"/>
        <v>207.31425041899226</v>
      </c>
      <c r="BB140" s="12">
        <f>AV140+AX140</f>
        <v>3587.5054453684261</v>
      </c>
      <c r="BC140" s="12">
        <f>AZ140/AX140</f>
        <v>5.2766303775329524</v>
      </c>
      <c r="BD140" s="12">
        <f>AZ140/BB140</f>
        <v>0.67205136996511738</v>
      </c>
    </row>
    <row r="141" spans="1:56" x14ac:dyDescent="0.2">
      <c r="A141">
        <v>140</v>
      </c>
      <c r="B141" t="s">
        <v>67</v>
      </c>
      <c r="C141" t="s">
        <v>84</v>
      </c>
      <c r="D141">
        <v>24</v>
      </c>
      <c r="E141" t="s">
        <v>85</v>
      </c>
      <c r="F141" t="s">
        <v>90</v>
      </c>
      <c r="G141" t="s">
        <v>92</v>
      </c>
      <c r="H141">
        <v>384.72</v>
      </c>
      <c r="I141">
        <v>1.0907882099999999</v>
      </c>
      <c r="J141">
        <f t="shared" si="71"/>
        <v>392.69908169872417</v>
      </c>
      <c r="K141">
        <f t="shared" si="72"/>
        <v>1.9634954084936209E-3</v>
      </c>
      <c r="L141">
        <f t="shared" si="73"/>
        <v>200000</v>
      </c>
      <c r="M141">
        <f t="shared" si="65"/>
        <v>218157.64199999999</v>
      </c>
      <c r="N141">
        <v>1.0159</v>
      </c>
      <c r="O141">
        <f t="shared" si="74"/>
        <v>576.07181458671232</v>
      </c>
      <c r="P141">
        <f t="shared" si="75"/>
        <v>517.39362139858065</v>
      </c>
      <c r="Q141">
        <v>1.31</v>
      </c>
      <c r="R141">
        <f t="shared" si="66"/>
        <v>2857.8651101999999</v>
      </c>
      <c r="S141">
        <v>0.08</v>
      </c>
      <c r="T141">
        <f t="shared" si="67"/>
        <v>174.5261136</v>
      </c>
      <c r="U141">
        <v>5715.7302204000007</v>
      </c>
      <c r="V141">
        <v>349.05222720000012</v>
      </c>
      <c r="W141">
        <f t="shared" si="76"/>
        <v>2566.7653604886818</v>
      </c>
      <c r="X141">
        <f t="shared" si="77"/>
        <v>156.74902964816377</v>
      </c>
      <c r="Y141">
        <f t="shared" si="68"/>
        <v>1.4289325550999999E-2</v>
      </c>
      <c r="Z141">
        <f t="shared" si="69"/>
        <v>8.7263056800000001E-4</v>
      </c>
      <c r="AA141">
        <f t="shared" si="78"/>
        <v>14289.325551</v>
      </c>
      <c r="AB141">
        <f t="shared" si="79"/>
        <v>872.63056800000004</v>
      </c>
      <c r="AC141">
        <v>30.345172999944683</v>
      </c>
      <c r="AD141">
        <f t="shared" si="70"/>
        <v>16.375</v>
      </c>
      <c r="AE141" s="11">
        <v>5.3654999999999999</v>
      </c>
      <c r="AF141" s="11">
        <v>3.8800000000000001E-2</v>
      </c>
      <c r="AG141" s="11">
        <v>0.35089999999999999</v>
      </c>
      <c r="AH141" s="11">
        <v>4.8949999999999996</v>
      </c>
      <c r="AI141" s="11">
        <f>AF141+AG141+AH141</f>
        <v>5.2847</v>
      </c>
      <c r="AJ141" s="11">
        <v>44.8</v>
      </c>
      <c r="AK141" s="11">
        <v>0.71</v>
      </c>
      <c r="AL141" s="11">
        <v>0.47</v>
      </c>
      <c r="AM141" s="11">
        <v>0.03</v>
      </c>
      <c r="AN141" s="11">
        <v>0.86</v>
      </c>
      <c r="AO141" s="11">
        <v>0.09</v>
      </c>
      <c r="AP141" s="12">
        <f>((AF141/AE141)*I141)*(AJ141/100)</f>
        <v>3.5337838004853225E-3</v>
      </c>
      <c r="AQ141" s="12">
        <f>((AF141/AE141)*I141)*(AK141/100)</f>
        <v>5.600416290947721E-5</v>
      </c>
      <c r="AR141" s="12">
        <f>((AG141/AE141)*I141)*(AL141/100)</f>
        <v>3.3528294466094491E-4</v>
      </c>
      <c r="AS141" s="12">
        <f>((AG141/AE141)*I141)*(AM141/100)</f>
        <v>2.1401039020911377E-5</v>
      </c>
      <c r="AT141" s="12">
        <f>((AH141/AE141)*I141)*(AN141/100)</f>
        <v>8.5581793451439733E-3</v>
      </c>
      <c r="AU141" s="12">
        <f>((AH141/AE141)*I141)*(AO141/100)</f>
        <v>8.9562341984064837E-4</v>
      </c>
      <c r="AV141" s="12">
        <f t="shared" si="81"/>
        <v>706.75676009706444</v>
      </c>
      <c r="AW141" s="12">
        <f t="shared" si="81"/>
        <v>11.20083258189544</v>
      </c>
      <c r="AX141" s="12">
        <f t="shared" si="81"/>
        <v>67.056588932188973</v>
      </c>
      <c r="AY141" s="12">
        <f t="shared" si="81"/>
        <v>4.2802078041822753</v>
      </c>
      <c r="AZ141" s="12">
        <f t="shared" si="81"/>
        <v>1711.6358690287948</v>
      </c>
      <c r="BA141" s="12">
        <f t="shared" si="81"/>
        <v>179.12468396812966</v>
      </c>
      <c r="BB141" s="12">
        <f>AV141+AX141</f>
        <v>773.81334902925346</v>
      </c>
      <c r="BC141" s="12">
        <f>AZ141/AX141</f>
        <v>25.525245114386713</v>
      </c>
      <c r="BD141" s="12">
        <f>AZ141/BB141</f>
        <v>2.2119492655122026</v>
      </c>
    </row>
    <row r="142" spans="1:56" x14ac:dyDescent="0.2">
      <c r="A142">
        <v>141</v>
      </c>
      <c r="B142" t="s">
        <v>67</v>
      </c>
      <c r="C142" t="s">
        <v>84</v>
      </c>
      <c r="D142">
        <v>24</v>
      </c>
      <c r="E142" t="s">
        <v>86</v>
      </c>
      <c r="F142" t="s">
        <v>89</v>
      </c>
      <c r="G142" t="s">
        <v>92</v>
      </c>
      <c r="H142">
        <v>202.93</v>
      </c>
      <c r="I142">
        <v>0.55949962499999994</v>
      </c>
      <c r="J142">
        <f t="shared" si="71"/>
        <v>392.69908169872417</v>
      </c>
      <c r="K142">
        <f t="shared" si="72"/>
        <v>1.9634954084936209E-3</v>
      </c>
      <c r="L142">
        <f t="shared" si="73"/>
        <v>200000</v>
      </c>
      <c r="M142">
        <f t="shared" si="65"/>
        <v>111899.92499999999</v>
      </c>
      <c r="N142">
        <v>0.77649999999999997</v>
      </c>
      <c r="O142">
        <f t="shared" si="74"/>
        <v>428.17864171142747</v>
      </c>
      <c r="P142">
        <f t="shared" si="75"/>
        <v>395.46820259474151</v>
      </c>
      <c r="Q142">
        <v>3.33</v>
      </c>
      <c r="R142">
        <f t="shared" si="66"/>
        <v>3726.2675024999999</v>
      </c>
      <c r="S142">
        <v>0.16</v>
      </c>
      <c r="T142">
        <f t="shared" si="67"/>
        <v>179.03987999999998</v>
      </c>
      <c r="U142">
        <v>3726.2675024999999</v>
      </c>
      <c r="V142">
        <v>179.03988000000001</v>
      </c>
      <c r="W142">
        <f t="shared" si="76"/>
        <v>3441.6016308305793</v>
      </c>
      <c r="X142">
        <f t="shared" si="77"/>
        <v>165.36224052038821</v>
      </c>
      <c r="Y142">
        <f t="shared" si="68"/>
        <v>1.8631337512499999E-2</v>
      </c>
      <c r="Z142">
        <f t="shared" si="69"/>
        <v>8.9519939999999998E-4</v>
      </c>
      <c r="AA142">
        <f t="shared" si="78"/>
        <v>18631.337512499998</v>
      </c>
      <c r="AB142">
        <f t="shared" si="79"/>
        <v>895.19939999999997</v>
      </c>
      <c r="AC142">
        <v>41.630208322860803</v>
      </c>
      <c r="AD142">
        <f t="shared" si="70"/>
        <v>20.8125</v>
      </c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</row>
    <row r="143" spans="1:56" x14ac:dyDescent="0.2">
      <c r="A143">
        <v>142</v>
      </c>
      <c r="B143" t="s">
        <v>67</v>
      </c>
      <c r="C143" t="s">
        <v>84</v>
      </c>
      <c r="D143">
        <v>24</v>
      </c>
      <c r="E143" t="s">
        <v>86</v>
      </c>
      <c r="F143" t="s">
        <v>90</v>
      </c>
      <c r="G143" t="s">
        <v>92</v>
      </c>
      <c r="H143">
        <v>384.72</v>
      </c>
      <c r="I143">
        <v>1.0907882099999999</v>
      </c>
      <c r="J143">
        <f t="shared" si="71"/>
        <v>392.69908169872417</v>
      </c>
      <c r="K143">
        <f t="shared" si="72"/>
        <v>1.9634954084936209E-3</v>
      </c>
      <c r="L143">
        <f t="shared" si="73"/>
        <v>200000</v>
      </c>
      <c r="M143">
        <f t="shared" si="65"/>
        <v>218157.64199999999</v>
      </c>
      <c r="N143">
        <v>9.0499999999999997E-2</v>
      </c>
      <c r="O143">
        <f t="shared" si="74"/>
        <v>51.318534521210225</v>
      </c>
      <c r="P143">
        <f t="shared" si="75"/>
        <v>46.091271519412885</v>
      </c>
      <c r="Q143">
        <v>0.68</v>
      </c>
      <c r="R143">
        <f t="shared" si="66"/>
        <v>1483.4719656</v>
      </c>
      <c r="S143">
        <v>7.0000000000000007E-2</v>
      </c>
      <c r="T143">
        <f t="shared" si="67"/>
        <v>152.71034940000001</v>
      </c>
      <c r="U143">
        <v>2966.943931199999</v>
      </c>
      <c r="V143">
        <v>305.42069880000003</v>
      </c>
      <c r="W143">
        <f t="shared" si="76"/>
        <v>1332.3667520093923</v>
      </c>
      <c r="X143">
        <f t="shared" si="77"/>
        <v>137.15540094214333</v>
      </c>
      <c r="Y143">
        <f t="shared" si="68"/>
        <v>7.4173598280000003E-3</v>
      </c>
      <c r="Z143">
        <f t="shared" si="69"/>
        <v>7.6355174700000006E-4</v>
      </c>
      <c r="AA143">
        <f t="shared" si="78"/>
        <v>7417.3598280000006</v>
      </c>
      <c r="AB143">
        <f t="shared" si="79"/>
        <v>763.55174700000009</v>
      </c>
      <c r="AC143">
        <v>11.136586172986648</v>
      </c>
      <c r="AD143">
        <f t="shared" si="70"/>
        <v>9.7142857142857135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</row>
    <row r="144" spans="1:56" x14ac:dyDescent="0.2">
      <c r="A144">
        <v>143</v>
      </c>
      <c r="B144" t="s">
        <v>67</v>
      </c>
      <c r="C144" t="s">
        <v>84</v>
      </c>
      <c r="D144">
        <v>24</v>
      </c>
      <c r="E144" t="s">
        <v>87</v>
      </c>
      <c r="F144" t="s">
        <v>89</v>
      </c>
      <c r="G144" t="s">
        <v>92</v>
      </c>
      <c r="H144">
        <v>202.93</v>
      </c>
      <c r="I144">
        <v>0.55949962499999994</v>
      </c>
      <c r="J144">
        <f t="shared" si="71"/>
        <v>392.69908169872417</v>
      </c>
      <c r="K144">
        <f t="shared" si="72"/>
        <v>1.9634954084936209E-3</v>
      </c>
      <c r="L144">
        <f t="shared" si="73"/>
        <v>200000</v>
      </c>
      <c r="M144">
        <f t="shared" si="65"/>
        <v>111899.92499999999</v>
      </c>
      <c r="N144">
        <v>1.3900999999999999</v>
      </c>
      <c r="O144">
        <f t="shared" si="74"/>
        <v>766.5307531784357</v>
      </c>
      <c r="P144">
        <f t="shared" si="75"/>
        <v>707.97211645453979</v>
      </c>
      <c r="Q144">
        <v>3.9</v>
      </c>
      <c r="R144">
        <f t="shared" si="66"/>
        <v>4364.0970749999997</v>
      </c>
      <c r="S144">
        <v>0.2</v>
      </c>
      <c r="T144">
        <f t="shared" si="67"/>
        <v>223.79984999999999</v>
      </c>
      <c r="U144">
        <v>4364.0970749999997</v>
      </c>
      <c r="V144">
        <v>223.79984999999999</v>
      </c>
      <c r="W144">
        <f t="shared" si="76"/>
        <v>4030.7046126844621</v>
      </c>
      <c r="X144">
        <f t="shared" si="77"/>
        <v>206.70280065048524</v>
      </c>
      <c r="Y144">
        <f t="shared" si="68"/>
        <v>2.1820485374999997E-2</v>
      </c>
      <c r="Z144">
        <f t="shared" si="69"/>
        <v>1.1189992499999999E-3</v>
      </c>
      <c r="AA144">
        <f t="shared" si="78"/>
        <v>21820.485374999997</v>
      </c>
      <c r="AB144">
        <f t="shared" si="79"/>
        <v>1118.9992499999998</v>
      </c>
      <c r="AC144">
        <v>49.314497194703215</v>
      </c>
      <c r="AD144">
        <f t="shared" si="70"/>
        <v>19.5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</row>
    <row r="145" spans="1:53" x14ac:dyDescent="0.2">
      <c r="A145">
        <v>144</v>
      </c>
      <c r="B145" t="s">
        <v>67</v>
      </c>
      <c r="C145" t="s">
        <v>84</v>
      </c>
      <c r="D145">
        <v>24</v>
      </c>
      <c r="E145" t="s">
        <v>87</v>
      </c>
      <c r="F145" t="s">
        <v>90</v>
      </c>
      <c r="G145" t="s">
        <v>92</v>
      </c>
      <c r="H145">
        <v>384.72</v>
      </c>
      <c r="I145">
        <v>1.0907882099999999</v>
      </c>
      <c r="J145">
        <f t="shared" si="71"/>
        <v>392.69908169872417</v>
      </c>
      <c r="K145">
        <f t="shared" si="72"/>
        <v>1.9634954084936209E-3</v>
      </c>
      <c r="L145">
        <f t="shared" si="73"/>
        <v>200000</v>
      </c>
      <c r="M145">
        <f t="shared" si="65"/>
        <v>218157.64199999999</v>
      </c>
      <c r="N145">
        <v>0.89659999999999995</v>
      </c>
      <c r="O145">
        <f t="shared" si="74"/>
        <v>508.42207791952575</v>
      </c>
      <c r="P145">
        <f t="shared" si="75"/>
        <v>456.63463032381873</v>
      </c>
      <c r="Q145">
        <v>0.99</v>
      </c>
      <c r="R145">
        <f t="shared" si="66"/>
        <v>2159.7606557999998</v>
      </c>
      <c r="S145">
        <v>0.08</v>
      </c>
      <c r="T145">
        <f t="shared" si="67"/>
        <v>174.5261136</v>
      </c>
      <c r="U145">
        <v>4319.5213116000004</v>
      </c>
      <c r="V145">
        <v>349.05222720000012</v>
      </c>
      <c r="W145">
        <f t="shared" si="76"/>
        <v>1939.7692418960266</v>
      </c>
      <c r="X145">
        <f t="shared" si="77"/>
        <v>156.74902964816377</v>
      </c>
      <c r="Y145">
        <f t="shared" si="68"/>
        <v>1.0798803278999998E-2</v>
      </c>
      <c r="Z145">
        <f t="shared" si="69"/>
        <v>8.7263056800000001E-4</v>
      </c>
      <c r="AA145">
        <f t="shared" si="78"/>
        <v>10798.803278999998</v>
      </c>
      <c r="AB145">
        <f t="shared" si="79"/>
        <v>872.63056800000004</v>
      </c>
      <c r="AC145">
        <v>24.704616213948611</v>
      </c>
      <c r="AD145">
        <f t="shared" si="70"/>
        <v>12.375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</row>
    <row r="146" spans="1:53" x14ac:dyDescent="0.2">
      <c r="A146">
        <v>181</v>
      </c>
      <c r="B146" t="s">
        <v>6</v>
      </c>
      <c r="C146" t="s">
        <v>7</v>
      </c>
      <c r="D146">
        <v>1</v>
      </c>
      <c r="E146" t="s">
        <v>8</v>
      </c>
      <c r="F146" s="2" t="s">
        <v>93</v>
      </c>
      <c r="G146" t="s">
        <v>88</v>
      </c>
      <c r="H146">
        <v>21</v>
      </c>
      <c r="I146" t="s">
        <v>95</v>
      </c>
      <c r="J146" t="s">
        <v>95</v>
      </c>
      <c r="K146">
        <f>0.2*0.2</f>
        <v>4.0000000000000008E-2</v>
      </c>
      <c r="L146" t="s">
        <v>95</v>
      </c>
      <c r="M146">
        <f t="shared" ref="M146:M177" si="82">H146/0.04</f>
        <v>525</v>
      </c>
      <c r="N146" t="s">
        <v>95</v>
      </c>
      <c r="O146" t="s">
        <v>95</v>
      </c>
      <c r="P146" t="s">
        <v>95</v>
      </c>
      <c r="Q146">
        <v>7.47</v>
      </c>
      <c r="R146">
        <f t="shared" si="66"/>
        <v>39.217500000000001</v>
      </c>
      <c r="S146">
        <v>0.51</v>
      </c>
      <c r="T146">
        <f t="shared" si="67"/>
        <v>2.6775000000000002</v>
      </c>
      <c r="U146">
        <f t="shared" ref="U146:U177" si="83">(H146*(Q146/100))/0.0121</f>
        <v>129.64462809917356</v>
      </c>
      <c r="V146">
        <f t="shared" ref="V146:V177" si="84">(H146*(S146/100))/0.0121</f>
        <v>8.8512396694214885</v>
      </c>
      <c r="W146">
        <f t="shared" ref="W146:W177" si="85">(H146/0.04)*(Q146/100)</f>
        <v>39.217500000000001</v>
      </c>
      <c r="X146">
        <f t="shared" ref="X146:X177" si="86">(H146/0.04)*(S146/100)</f>
        <v>2.6775000000000002</v>
      </c>
      <c r="Y146" t="s">
        <v>95</v>
      </c>
      <c r="Z146" t="s">
        <v>95</v>
      </c>
      <c r="AA146" t="s">
        <v>95</v>
      </c>
      <c r="AB146" t="s">
        <v>95</v>
      </c>
      <c r="AC146">
        <v>14.647058823529411</v>
      </c>
      <c r="AD146">
        <f t="shared" si="70"/>
        <v>14.647058823529411</v>
      </c>
    </row>
    <row r="147" spans="1:53" x14ac:dyDescent="0.2">
      <c r="A147">
        <v>182</v>
      </c>
      <c r="B147" t="s">
        <v>6</v>
      </c>
      <c r="C147" t="s">
        <v>7</v>
      </c>
      <c r="D147">
        <v>1</v>
      </c>
      <c r="E147" t="s">
        <v>9</v>
      </c>
      <c r="F147" s="2" t="s">
        <v>93</v>
      </c>
      <c r="G147" t="s">
        <v>88</v>
      </c>
      <c r="H147">
        <v>20.77</v>
      </c>
      <c r="I147" t="s">
        <v>95</v>
      </c>
      <c r="J147" t="s">
        <v>95</v>
      </c>
      <c r="K147">
        <f t="shared" ref="K147:K210" si="87">0.2*0.2</f>
        <v>4.0000000000000008E-2</v>
      </c>
      <c r="L147" t="s">
        <v>95</v>
      </c>
      <c r="M147">
        <f t="shared" si="82"/>
        <v>519.25</v>
      </c>
      <c r="N147" t="s">
        <v>95</v>
      </c>
      <c r="O147" t="s">
        <v>95</v>
      </c>
      <c r="P147" t="s">
        <v>95</v>
      </c>
      <c r="Q147">
        <v>7.46</v>
      </c>
      <c r="R147">
        <f t="shared" ref="R147:R210" si="88">M147*(Q147/100)</f>
        <v>38.736049999999999</v>
      </c>
      <c r="S147">
        <v>0.52</v>
      </c>
      <c r="T147">
        <f t="shared" ref="T147:T210" si="89">M147*(S147/100)</f>
        <v>2.7000999999999999</v>
      </c>
      <c r="U147">
        <f t="shared" si="83"/>
        <v>128.05305785123969</v>
      </c>
      <c r="V147">
        <f t="shared" si="84"/>
        <v>8.9259504132231395</v>
      </c>
      <c r="W147">
        <f t="shared" si="85"/>
        <v>38.736049999999999</v>
      </c>
      <c r="X147">
        <f t="shared" si="86"/>
        <v>2.7000999999999999</v>
      </c>
      <c r="Y147" t="s">
        <v>95</v>
      </c>
      <c r="Z147" t="s">
        <v>95</v>
      </c>
      <c r="AA147" t="s">
        <v>95</v>
      </c>
      <c r="AB147" t="s">
        <v>95</v>
      </c>
      <c r="AC147">
        <v>14.34615384615385</v>
      </c>
      <c r="AD147">
        <f t="shared" si="70"/>
        <v>14.346153846153845</v>
      </c>
    </row>
    <row r="148" spans="1:53" x14ac:dyDescent="0.2">
      <c r="A148">
        <v>183</v>
      </c>
      <c r="B148" t="s">
        <v>6</v>
      </c>
      <c r="C148" t="s">
        <v>7</v>
      </c>
      <c r="D148">
        <v>1</v>
      </c>
      <c r="E148" t="s">
        <v>10</v>
      </c>
      <c r="F148" s="2" t="s">
        <v>93</v>
      </c>
      <c r="G148" t="s">
        <v>88</v>
      </c>
      <c r="H148">
        <v>6.15</v>
      </c>
      <c r="I148" t="s">
        <v>95</v>
      </c>
      <c r="J148" t="s">
        <v>95</v>
      </c>
      <c r="K148">
        <f t="shared" si="87"/>
        <v>4.0000000000000008E-2</v>
      </c>
      <c r="L148" t="s">
        <v>95</v>
      </c>
      <c r="M148">
        <f t="shared" si="82"/>
        <v>153.75</v>
      </c>
      <c r="N148" t="s">
        <v>95</v>
      </c>
      <c r="O148" t="s">
        <v>95</v>
      </c>
      <c r="P148" t="s">
        <v>95</v>
      </c>
      <c r="Q148">
        <v>17.25</v>
      </c>
      <c r="R148">
        <f t="shared" si="88"/>
        <v>26.521874999999998</v>
      </c>
      <c r="S148">
        <v>0.76</v>
      </c>
      <c r="T148">
        <f t="shared" si="89"/>
        <v>1.1685000000000001</v>
      </c>
      <c r="U148">
        <f t="shared" si="83"/>
        <v>87.675619834710744</v>
      </c>
      <c r="V148">
        <f t="shared" si="84"/>
        <v>3.8628099173553725</v>
      </c>
      <c r="W148">
        <f t="shared" si="85"/>
        <v>26.521874999999998</v>
      </c>
      <c r="X148">
        <f t="shared" si="86"/>
        <v>1.1685000000000001</v>
      </c>
      <c r="Y148" t="s">
        <v>95</v>
      </c>
      <c r="Z148" t="s">
        <v>95</v>
      </c>
      <c r="AA148" t="s">
        <v>95</v>
      </c>
      <c r="AB148" t="s">
        <v>95</v>
      </c>
      <c r="AC148">
        <v>22.697368421052627</v>
      </c>
      <c r="AD148">
        <f t="shared" si="70"/>
        <v>22.69736842105263</v>
      </c>
    </row>
    <row r="149" spans="1:53" x14ac:dyDescent="0.2">
      <c r="A149">
        <v>184</v>
      </c>
      <c r="B149" t="s">
        <v>6</v>
      </c>
      <c r="C149" t="s">
        <v>7</v>
      </c>
      <c r="D149">
        <v>2</v>
      </c>
      <c r="E149" t="s">
        <v>11</v>
      </c>
      <c r="F149" s="2" t="s">
        <v>93</v>
      </c>
      <c r="G149" t="s">
        <v>88</v>
      </c>
      <c r="H149">
        <v>3.44</v>
      </c>
      <c r="I149" t="s">
        <v>95</v>
      </c>
      <c r="J149" t="s">
        <v>95</v>
      </c>
      <c r="K149">
        <f t="shared" si="87"/>
        <v>4.0000000000000008E-2</v>
      </c>
      <c r="L149" t="s">
        <v>95</v>
      </c>
      <c r="M149">
        <f t="shared" si="82"/>
        <v>86</v>
      </c>
      <c r="N149" t="s">
        <v>95</v>
      </c>
      <c r="O149" t="s">
        <v>95</v>
      </c>
      <c r="P149" t="s">
        <v>95</v>
      </c>
      <c r="Q149">
        <v>30.31</v>
      </c>
      <c r="R149">
        <f t="shared" si="88"/>
        <v>26.066599999999998</v>
      </c>
      <c r="S149">
        <v>1.01</v>
      </c>
      <c r="T149">
        <f t="shared" si="89"/>
        <v>0.86859999999999993</v>
      </c>
      <c r="U149">
        <f t="shared" si="83"/>
        <v>86.170578512396688</v>
      </c>
      <c r="V149">
        <f t="shared" si="84"/>
        <v>2.8714049586776857</v>
      </c>
      <c r="W149">
        <f t="shared" si="85"/>
        <v>26.066599999999998</v>
      </c>
      <c r="X149">
        <f t="shared" si="86"/>
        <v>0.86859999999999993</v>
      </c>
      <c r="Y149" t="s">
        <v>95</v>
      </c>
      <c r="Z149" t="s">
        <v>95</v>
      </c>
      <c r="AA149" t="s">
        <v>95</v>
      </c>
      <c r="AB149" t="s">
        <v>95</v>
      </c>
      <c r="AC149">
        <v>30.009900990099009</v>
      </c>
      <c r="AD149">
        <f t="shared" si="70"/>
        <v>30.009900990099009</v>
      </c>
    </row>
    <row r="150" spans="1:53" x14ac:dyDescent="0.2">
      <c r="A150">
        <v>185</v>
      </c>
      <c r="B150" t="s">
        <v>6</v>
      </c>
      <c r="C150" t="s">
        <v>7</v>
      </c>
      <c r="D150">
        <v>2</v>
      </c>
      <c r="E150" t="s">
        <v>12</v>
      </c>
      <c r="F150" s="2" t="s">
        <v>93</v>
      </c>
      <c r="G150" t="s">
        <v>88</v>
      </c>
      <c r="H150">
        <v>1.99</v>
      </c>
      <c r="I150" t="s">
        <v>95</v>
      </c>
      <c r="J150" t="s">
        <v>95</v>
      </c>
      <c r="K150">
        <f t="shared" si="87"/>
        <v>4.0000000000000008E-2</v>
      </c>
      <c r="L150" t="s">
        <v>95</v>
      </c>
      <c r="M150">
        <f t="shared" si="82"/>
        <v>49.75</v>
      </c>
      <c r="N150" t="s">
        <v>95</v>
      </c>
      <c r="O150" t="s">
        <v>95</v>
      </c>
      <c r="P150" t="s">
        <v>95</v>
      </c>
      <c r="Q150">
        <v>29.28</v>
      </c>
      <c r="R150">
        <f t="shared" si="88"/>
        <v>14.566800000000001</v>
      </c>
      <c r="S150">
        <v>1.02</v>
      </c>
      <c r="T150">
        <f t="shared" si="89"/>
        <v>0.50745000000000007</v>
      </c>
      <c r="U150">
        <f t="shared" si="83"/>
        <v>48.154710743801651</v>
      </c>
      <c r="V150">
        <f t="shared" si="84"/>
        <v>1.6775206611570248</v>
      </c>
      <c r="W150">
        <f t="shared" si="85"/>
        <v>14.566800000000001</v>
      </c>
      <c r="X150">
        <f t="shared" si="86"/>
        <v>0.50745000000000007</v>
      </c>
      <c r="Y150" t="s">
        <v>95</v>
      </c>
      <c r="Z150" t="s">
        <v>95</v>
      </c>
      <c r="AA150" t="s">
        <v>95</v>
      </c>
      <c r="AB150" t="s">
        <v>95</v>
      </c>
      <c r="AC150">
        <v>28.705882352941174</v>
      </c>
      <c r="AD150">
        <f t="shared" si="70"/>
        <v>28.705882352941178</v>
      </c>
    </row>
    <row r="151" spans="1:53" x14ac:dyDescent="0.2">
      <c r="A151">
        <v>186</v>
      </c>
      <c r="B151" t="s">
        <v>6</v>
      </c>
      <c r="C151" t="s">
        <v>7</v>
      </c>
      <c r="D151">
        <v>2</v>
      </c>
      <c r="E151" t="s">
        <v>13</v>
      </c>
      <c r="F151" s="2" t="s">
        <v>93</v>
      </c>
      <c r="G151" t="s">
        <v>88</v>
      </c>
      <c r="H151">
        <v>2.97</v>
      </c>
      <c r="I151" t="s">
        <v>95</v>
      </c>
      <c r="J151" t="s">
        <v>95</v>
      </c>
      <c r="K151">
        <f t="shared" si="87"/>
        <v>4.0000000000000008E-2</v>
      </c>
      <c r="L151" t="s">
        <v>95</v>
      </c>
      <c r="M151">
        <f t="shared" si="82"/>
        <v>74.25</v>
      </c>
      <c r="N151" t="s">
        <v>95</v>
      </c>
      <c r="O151" t="s">
        <v>95</v>
      </c>
      <c r="P151" t="s">
        <v>95</v>
      </c>
      <c r="Q151">
        <v>21.92</v>
      </c>
      <c r="R151">
        <f t="shared" si="88"/>
        <v>16.275600000000001</v>
      </c>
      <c r="S151">
        <v>0.88</v>
      </c>
      <c r="T151">
        <f t="shared" si="89"/>
        <v>0.65340000000000009</v>
      </c>
      <c r="U151">
        <f t="shared" si="83"/>
        <v>53.803636363636372</v>
      </c>
      <c r="V151">
        <f t="shared" si="84"/>
        <v>2.16</v>
      </c>
      <c r="W151">
        <f t="shared" si="85"/>
        <v>16.275600000000001</v>
      </c>
      <c r="X151">
        <f t="shared" si="86"/>
        <v>0.65340000000000009</v>
      </c>
      <c r="Y151" t="s">
        <v>95</v>
      </c>
      <c r="Z151" t="s">
        <v>95</v>
      </c>
      <c r="AA151" t="s">
        <v>95</v>
      </c>
      <c r="AB151" t="s">
        <v>95</v>
      </c>
      <c r="AC151">
        <v>24.90909090909091</v>
      </c>
      <c r="AD151">
        <f t="shared" si="70"/>
        <v>24.90909090909091</v>
      </c>
    </row>
    <row r="152" spans="1:53" x14ac:dyDescent="0.2">
      <c r="A152">
        <v>187</v>
      </c>
      <c r="B152" t="s">
        <v>6</v>
      </c>
      <c r="C152" t="s">
        <v>7</v>
      </c>
      <c r="D152">
        <v>3</v>
      </c>
      <c r="E152" t="s">
        <v>14</v>
      </c>
      <c r="F152" s="2" t="s">
        <v>93</v>
      </c>
      <c r="G152" t="s">
        <v>88</v>
      </c>
      <c r="H152">
        <v>0.94</v>
      </c>
      <c r="I152" t="s">
        <v>95</v>
      </c>
      <c r="J152" t="s">
        <v>95</v>
      </c>
      <c r="K152">
        <f t="shared" si="87"/>
        <v>4.0000000000000008E-2</v>
      </c>
      <c r="L152" t="s">
        <v>95</v>
      </c>
      <c r="M152">
        <f t="shared" si="82"/>
        <v>23.499999999999996</v>
      </c>
      <c r="N152" t="s">
        <v>95</v>
      </c>
      <c r="O152" t="s">
        <v>95</v>
      </c>
      <c r="P152" t="s">
        <v>95</v>
      </c>
      <c r="Q152">
        <v>48.82</v>
      </c>
      <c r="R152">
        <f t="shared" si="88"/>
        <v>11.4727</v>
      </c>
      <c r="S152">
        <v>1.65</v>
      </c>
      <c r="T152">
        <f t="shared" si="89"/>
        <v>0.38774999999999998</v>
      </c>
      <c r="U152">
        <f t="shared" si="83"/>
        <v>37.926280991735538</v>
      </c>
      <c r="V152">
        <f t="shared" si="84"/>
        <v>1.2818181818181817</v>
      </c>
      <c r="W152">
        <f t="shared" si="85"/>
        <v>11.4727</v>
      </c>
      <c r="X152">
        <f t="shared" si="86"/>
        <v>0.38774999999999998</v>
      </c>
      <c r="Y152" t="s">
        <v>95</v>
      </c>
      <c r="Z152" t="s">
        <v>95</v>
      </c>
      <c r="AA152" t="s">
        <v>95</v>
      </c>
      <c r="AB152" t="s">
        <v>95</v>
      </c>
      <c r="AC152">
        <v>29.58787878787879</v>
      </c>
      <c r="AD152">
        <f t="shared" si="70"/>
        <v>29.58787878787879</v>
      </c>
    </row>
    <row r="153" spans="1:53" x14ac:dyDescent="0.2">
      <c r="A153">
        <v>188</v>
      </c>
      <c r="B153" t="s">
        <v>6</v>
      </c>
      <c r="C153" t="s">
        <v>7</v>
      </c>
      <c r="D153">
        <v>3</v>
      </c>
      <c r="E153" t="s">
        <v>15</v>
      </c>
      <c r="F153" s="2" t="s">
        <v>93</v>
      </c>
      <c r="G153" t="s">
        <v>88</v>
      </c>
      <c r="H153">
        <v>1.38</v>
      </c>
      <c r="I153" t="s">
        <v>95</v>
      </c>
      <c r="J153" t="s">
        <v>95</v>
      </c>
      <c r="K153">
        <f t="shared" si="87"/>
        <v>4.0000000000000008E-2</v>
      </c>
      <c r="L153" t="s">
        <v>95</v>
      </c>
      <c r="M153">
        <f t="shared" si="82"/>
        <v>34.5</v>
      </c>
      <c r="N153" t="s">
        <v>95</v>
      </c>
      <c r="O153" t="s">
        <v>95</v>
      </c>
      <c r="P153" t="s">
        <v>95</v>
      </c>
      <c r="Q153">
        <v>37.54</v>
      </c>
      <c r="R153">
        <f t="shared" si="88"/>
        <v>12.9513</v>
      </c>
      <c r="S153">
        <v>1.28</v>
      </c>
      <c r="T153">
        <f t="shared" si="89"/>
        <v>0.44160000000000005</v>
      </c>
      <c r="U153">
        <f t="shared" si="83"/>
        <v>42.814214876033056</v>
      </c>
      <c r="V153">
        <f t="shared" si="84"/>
        <v>1.4598347107438017</v>
      </c>
      <c r="W153">
        <f t="shared" si="85"/>
        <v>12.9513</v>
      </c>
      <c r="X153">
        <f t="shared" si="86"/>
        <v>0.44160000000000005</v>
      </c>
      <c r="Y153" t="s">
        <v>95</v>
      </c>
      <c r="Z153" t="s">
        <v>95</v>
      </c>
      <c r="AA153" t="s">
        <v>95</v>
      </c>
      <c r="AB153" t="s">
        <v>95</v>
      </c>
      <c r="AC153">
        <v>29.328124999999996</v>
      </c>
      <c r="AD153">
        <f t="shared" si="70"/>
        <v>29.328125</v>
      </c>
    </row>
    <row r="154" spans="1:53" x14ac:dyDescent="0.2">
      <c r="A154">
        <v>189</v>
      </c>
      <c r="B154" t="s">
        <v>6</v>
      </c>
      <c r="C154" t="s">
        <v>7</v>
      </c>
      <c r="D154">
        <v>3</v>
      </c>
      <c r="E154" t="s">
        <v>16</v>
      </c>
      <c r="F154" s="2" t="s">
        <v>93</v>
      </c>
      <c r="G154" t="s">
        <v>88</v>
      </c>
      <c r="H154">
        <v>0.93</v>
      </c>
      <c r="I154" t="s">
        <v>95</v>
      </c>
      <c r="J154" t="s">
        <v>95</v>
      </c>
      <c r="K154">
        <f t="shared" si="87"/>
        <v>4.0000000000000008E-2</v>
      </c>
      <c r="L154" t="s">
        <v>95</v>
      </c>
      <c r="M154">
        <f t="shared" si="82"/>
        <v>23.25</v>
      </c>
      <c r="N154" t="s">
        <v>95</v>
      </c>
      <c r="O154" t="s">
        <v>95</v>
      </c>
      <c r="P154" t="s">
        <v>95</v>
      </c>
      <c r="Q154">
        <v>40.25</v>
      </c>
      <c r="R154">
        <f t="shared" si="88"/>
        <v>9.3581250000000011</v>
      </c>
      <c r="S154">
        <v>1.45</v>
      </c>
      <c r="T154">
        <f t="shared" si="89"/>
        <v>0.33712499999999995</v>
      </c>
      <c r="U154">
        <f t="shared" si="83"/>
        <v>30.935950413223143</v>
      </c>
      <c r="V154">
        <f t="shared" si="84"/>
        <v>1.1144628099173555</v>
      </c>
      <c r="W154">
        <f t="shared" si="85"/>
        <v>9.3581250000000011</v>
      </c>
      <c r="X154">
        <f t="shared" si="86"/>
        <v>0.33712499999999995</v>
      </c>
      <c r="Y154" t="s">
        <v>95</v>
      </c>
      <c r="Z154" t="s">
        <v>95</v>
      </c>
      <c r="AA154" t="s">
        <v>95</v>
      </c>
      <c r="AB154" t="s">
        <v>95</v>
      </c>
      <c r="AC154">
        <v>27.758620689655171</v>
      </c>
      <c r="AD154">
        <f t="shared" si="70"/>
        <v>27.758620689655174</v>
      </c>
    </row>
    <row r="155" spans="1:53" x14ac:dyDescent="0.2">
      <c r="A155">
        <v>190</v>
      </c>
      <c r="B155" t="s">
        <v>6</v>
      </c>
      <c r="C155" t="s">
        <v>7</v>
      </c>
      <c r="D155">
        <v>4</v>
      </c>
      <c r="E155" t="s">
        <v>17</v>
      </c>
      <c r="F155" s="2" t="s">
        <v>93</v>
      </c>
      <c r="G155" t="s">
        <v>88</v>
      </c>
      <c r="H155">
        <v>14.93</v>
      </c>
      <c r="I155" t="s">
        <v>95</v>
      </c>
      <c r="J155" t="s">
        <v>95</v>
      </c>
      <c r="K155">
        <f t="shared" si="87"/>
        <v>4.0000000000000008E-2</v>
      </c>
      <c r="L155" t="s">
        <v>95</v>
      </c>
      <c r="M155">
        <f t="shared" si="82"/>
        <v>373.25</v>
      </c>
      <c r="N155" t="s">
        <v>95</v>
      </c>
      <c r="O155" t="s">
        <v>95</v>
      </c>
      <c r="P155" t="s">
        <v>95</v>
      </c>
      <c r="Q155">
        <v>6.58</v>
      </c>
      <c r="R155">
        <f t="shared" si="88"/>
        <v>24.559849999999997</v>
      </c>
      <c r="S155">
        <v>0.32</v>
      </c>
      <c r="T155">
        <f t="shared" si="89"/>
        <v>1.1944000000000001</v>
      </c>
      <c r="U155">
        <f t="shared" si="83"/>
        <v>81.1895867768595</v>
      </c>
      <c r="V155">
        <f t="shared" si="84"/>
        <v>3.9484297520661156</v>
      </c>
      <c r="W155">
        <f t="shared" si="85"/>
        <v>24.559849999999997</v>
      </c>
      <c r="X155">
        <f t="shared" si="86"/>
        <v>1.1944000000000001</v>
      </c>
      <c r="Y155" t="s">
        <v>95</v>
      </c>
      <c r="Z155" t="s">
        <v>95</v>
      </c>
      <c r="AA155" t="s">
        <v>95</v>
      </c>
      <c r="AB155" t="s">
        <v>95</v>
      </c>
      <c r="AC155">
        <v>20.5625</v>
      </c>
      <c r="AD155">
        <f t="shared" si="70"/>
        <v>20.5625</v>
      </c>
    </row>
    <row r="156" spans="1:53" x14ac:dyDescent="0.2">
      <c r="A156">
        <v>191</v>
      </c>
      <c r="B156" t="s">
        <v>6</v>
      </c>
      <c r="C156" t="s">
        <v>7</v>
      </c>
      <c r="D156">
        <v>4</v>
      </c>
      <c r="E156" t="s">
        <v>18</v>
      </c>
      <c r="F156" s="2" t="s">
        <v>93</v>
      </c>
      <c r="G156" t="s">
        <v>88</v>
      </c>
      <c r="H156">
        <v>5.27</v>
      </c>
      <c r="I156" t="s">
        <v>95</v>
      </c>
      <c r="J156" t="s">
        <v>95</v>
      </c>
      <c r="K156">
        <f t="shared" si="87"/>
        <v>4.0000000000000008E-2</v>
      </c>
      <c r="L156" t="s">
        <v>95</v>
      </c>
      <c r="M156">
        <f t="shared" si="82"/>
        <v>131.75</v>
      </c>
      <c r="N156" t="s">
        <v>95</v>
      </c>
      <c r="O156" t="s">
        <v>95</v>
      </c>
      <c r="P156" t="s">
        <v>95</v>
      </c>
      <c r="Q156">
        <v>46.79</v>
      </c>
      <c r="R156">
        <f t="shared" si="88"/>
        <v>61.645824999999995</v>
      </c>
      <c r="S156">
        <v>1.56</v>
      </c>
      <c r="T156">
        <f t="shared" si="89"/>
        <v>2.0553000000000003</v>
      </c>
      <c r="U156">
        <f t="shared" si="83"/>
        <v>203.78785123966938</v>
      </c>
      <c r="V156">
        <f t="shared" si="84"/>
        <v>6.7943801652892555</v>
      </c>
      <c r="W156">
        <f t="shared" si="85"/>
        <v>61.645824999999995</v>
      </c>
      <c r="X156">
        <f t="shared" si="86"/>
        <v>2.0553000000000003</v>
      </c>
      <c r="Y156" t="s">
        <v>95</v>
      </c>
      <c r="Z156" t="s">
        <v>95</v>
      </c>
      <c r="AA156" t="s">
        <v>95</v>
      </c>
      <c r="AB156" t="s">
        <v>95</v>
      </c>
      <c r="AC156">
        <v>29.993589743589741</v>
      </c>
      <c r="AD156">
        <f t="shared" si="70"/>
        <v>29.993589743589741</v>
      </c>
    </row>
    <row r="157" spans="1:53" x14ac:dyDescent="0.2">
      <c r="A157">
        <v>192</v>
      </c>
      <c r="B157" t="s">
        <v>6</v>
      </c>
      <c r="C157" t="s">
        <v>7</v>
      </c>
      <c r="D157">
        <v>4</v>
      </c>
      <c r="E157" t="s">
        <v>19</v>
      </c>
      <c r="F157" s="2" t="s">
        <v>93</v>
      </c>
      <c r="G157" t="s">
        <v>88</v>
      </c>
      <c r="H157">
        <v>2.5</v>
      </c>
      <c r="I157" t="s">
        <v>95</v>
      </c>
      <c r="J157" t="s">
        <v>95</v>
      </c>
      <c r="K157">
        <f t="shared" si="87"/>
        <v>4.0000000000000008E-2</v>
      </c>
      <c r="L157" t="s">
        <v>95</v>
      </c>
      <c r="M157">
        <f t="shared" si="82"/>
        <v>62.5</v>
      </c>
      <c r="N157" t="s">
        <v>95</v>
      </c>
      <c r="O157" t="s">
        <v>95</v>
      </c>
      <c r="P157" t="s">
        <v>95</v>
      </c>
      <c r="Q157">
        <v>44.92</v>
      </c>
      <c r="R157">
        <f t="shared" si="88"/>
        <v>28.075000000000003</v>
      </c>
      <c r="S157">
        <v>1.42</v>
      </c>
      <c r="T157">
        <f t="shared" si="89"/>
        <v>0.88749999999999996</v>
      </c>
      <c r="U157">
        <f t="shared" si="83"/>
        <v>92.809917355371923</v>
      </c>
      <c r="V157">
        <f t="shared" si="84"/>
        <v>2.9338842975206609</v>
      </c>
      <c r="W157">
        <f t="shared" si="85"/>
        <v>28.075000000000003</v>
      </c>
      <c r="X157">
        <f t="shared" si="86"/>
        <v>0.88749999999999996</v>
      </c>
      <c r="Y157" t="s">
        <v>95</v>
      </c>
      <c r="Z157" t="s">
        <v>95</v>
      </c>
      <c r="AA157" t="s">
        <v>95</v>
      </c>
      <c r="AB157" t="s">
        <v>95</v>
      </c>
      <c r="AC157">
        <v>31.633802816901419</v>
      </c>
      <c r="AD157">
        <f t="shared" si="70"/>
        <v>31.633802816901412</v>
      </c>
    </row>
    <row r="158" spans="1:53" x14ac:dyDescent="0.2">
      <c r="A158">
        <v>193</v>
      </c>
      <c r="B158" t="s">
        <v>6</v>
      </c>
      <c r="C158" t="s">
        <v>7</v>
      </c>
      <c r="D158">
        <v>5</v>
      </c>
      <c r="E158" t="s">
        <v>20</v>
      </c>
      <c r="F158" s="2" t="s">
        <v>93</v>
      </c>
      <c r="G158" t="s">
        <v>88</v>
      </c>
      <c r="H158">
        <v>5.56</v>
      </c>
      <c r="I158" t="s">
        <v>95</v>
      </c>
      <c r="J158" t="s">
        <v>95</v>
      </c>
      <c r="K158">
        <f t="shared" si="87"/>
        <v>4.0000000000000008E-2</v>
      </c>
      <c r="L158" t="s">
        <v>95</v>
      </c>
      <c r="M158">
        <f t="shared" si="82"/>
        <v>139</v>
      </c>
      <c r="N158" t="s">
        <v>95</v>
      </c>
      <c r="O158" t="s">
        <v>95</v>
      </c>
      <c r="P158" t="s">
        <v>95</v>
      </c>
      <c r="Q158">
        <v>35.68</v>
      </c>
      <c r="R158">
        <f t="shared" si="88"/>
        <v>49.595199999999998</v>
      </c>
      <c r="S158">
        <v>1.5</v>
      </c>
      <c r="T158">
        <f t="shared" si="89"/>
        <v>2.085</v>
      </c>
      <c r="U158">
        <f t="shared" si="83"/>
        <v>163.95107438016527</v>
      </c>
      <c r="V158">
        <f t="shared" si="84"/>
        <v>6.8925619834710732</v>
      </c>
      <c r="W158">
        <f t="shared" si="85"/>
        <v>49.595199999999998</v>
      </c>
      <c r="X158">
        <f t="shared" si="86"/>
        <v>2.085</v>
      </c>
      <c r="Y158" t="s">
        <v>95</v>
      </c>
      <c r="Z158" t="s">
        <v>95</v>
      </c>
      <c r="AA158" t="s">
        <v>95</v>
      </c>
      <c r="AB158" t="s">
        <v>95</v>
      </c>
      <c r="AC158">
        <v>23.786666666666669</v>
      </c>
      <c r="AD158">
        <f t="shared" si="70"/>
        <v>23.786666666666665</v>
      </c>
    </row>
    <row r="159" spans="1:53" x14ac:dyDescent="0.2">
      <c r="A159">
        <v>194</v>
      </c>
      <c r="B159" t="s">
        <v>6</v>
      </c>
      <c r="C159" t="s">
        <v>7</v>
      </c>
      <c r="D159">
        <v>5</v>
      </c>
      <c r="E159" t="s">
        <v>21</v>
      </c>
      <c r="F159" s="2" t="s">
        <v>93</v>
      </c>
      <c r="G159" t="s">
        <v>88</v>
      </c>
      <c r="H159">
        <v>4.79</v>
      </c>
      <c r="I159" t="s">
        <v>95</v>
      </c>
      <c r="J159" t="s">
        <v>95</v>
      </c>
      <c r="K159">
        <f t="shared" si="87"/>
        <v>4.0000000000000008E-2</v>
      </c>
      <c r="L159" t="s">
        <v>95</v>
      </c>
      <c r="M159">
        <f t="shared" si="82"/>
        <v>119.75</v>
      </c>
      <c r="N159" t="s">
        <v>95</v>
      </c>
      <c r="O159" t="s">
        <v>95</v>
      </c>
      <c r="P159" t="s">
        <v>95</v>
      </c>
      <c r="Q159">
        <v>20.93</v>
      </c>
      <c r="R159">
        <f t="shared" si="88"/>
        <v>25.063675</v>
      </c>
      <c r="S159">
        <v>0.92</v>
      </c>
      <c r="T159">
        <f t="shared" si="89"/>
        <v>1.1016999999999999</v>
      </c>
      <c r="U159">
        <f t="shared" si="83"/>
        <v>82.855123966942145</v>
      </c>
      <c r="V159">
        <f t="shared" si="84"/>
        <v>3.6419834710743806</v>
      </c>
      <c r="W159">
        <f t="shared" si="85"/>
        <v>25.063675</v>
      </c>
      <c r="X159">
        <f t="shared" si="86"/>
        <v>1.1016999999999999</v>
      </c>
      <c r="Y159" t="s">
        <v>95</v>
      </c>
      <c r="Z159" t="s">
        <v>95</v>
      </c>
      <c r="AA159" t="s">
        <v>95</v>
      </c>
      <c r="AB159" t="s">
        <v>95</v>
      </c>
      <c r="AC159">
        <v>22.749999999999996</v>
      </c>
      <c r="AD159">
        <f t="shared" si="70"/>
        <v>22.75</v>
      </c>
    </row>
    <row r="160" spans="1:53" x14ac:dyDescent="0.2">
      <c r="A160">
        <v>195</v>
      </c>
      <c r="B160" t="s">
        <v>6</v>
      </c>
      <c r="C160" t="s">
        <v>7</v>
      </c>
      <c r="D160">
        <v>5</v>
      </c>
      <c r="E160" t="s">
        <v>22</v>
      </c>
      <c r="F160" s="2" t="s">
        <v>93</v>
      </c>
      <c r="G160" t="s">
        <v>88</v>
      </c>
      <c r="H160">
        <v>3.89</v>
      </c>
      <c r="I160" t="s">
        <v>95</v>
      </c>
      <c r="J160" t="s">
        <v>95</v>
      </c>
      <c r="K160">
        <f t="shared" si="87"/>
        <v>4.0000000000000008E-2</v>
      </c>
      <c r="L160" t="s">
        <v>95</v>
      </c>
      <c r="M160">
        <f t="shared" si="82"/>
        <v>97.25</v>
      </c>
      <c r="N160" t="s">
        <v>95</v>
      </c>
      <c r="O160" t="s">
        <v>95</v>
      </c>
      <c r="P160" t="s">
        <v>95</v>
      </c>
      <c r="Q160">
        <v>33.03</v>
      </c>
      <c r="R160">
        <f t="shared" si="88"/>
        <v>32.121675000000003</v>
      </c>
      <c r="S160">
        <v>1.3</v>
      </c>
      <c r="T160">
        <f t="shared" si="89"/>
        <v>1.2642500000000001</v>
      </c>
      <c r="U160">
        <f t="shared" si="83"/>
        <v>106.18735537190085</v>
      </c>
      <c r="V160">
        <f t="shared" si="84"/>
        <v>4.1793388429752074</v>
      </c>
      <c r="W160">
        <f t="shared" si="85"/>
        <v>32.121675000000003</v>
      </c>
      <c r="X160">
        <f t="shared" si="86"/>
        <v>1.2642500000000001</v>
      </c>
      <c r="Y160" t="s">
        <v>95</v>
      </c>
      <c r="Z160" t="s">
        <v>95</v>
      </c>
      <c r="AA160" t="s">
        <v>95</v>
      </c>
      <c r="AB160" t="s">
        <v>95</v>
      </c>
      <c r="AC160">
        <v>25.407692307692308</v>
      </c>
      <c r="AD160">
        <f t="shared" si="70"/>
        <v>25.407692307692308</v>
      </c>
    </row>
    <row r="161" spans="1:30" x14ac:dyDescent="0.2">
      <c r="A161">
        <v>196</v>
      </c>
      <c r="B161" t="s">
        <v>6</v>
      </c>
      <c r="C161" t="s">
        <v>7</v>
      </c>
      <c r="D161">
        <v>6</v>
      </c>
      <c r="E161" t="s">
        <v>23</v>
      </c>
      <c r="F161" s="2" t="s">
        <v>93</v>
      </c>
      <c r="G161" t="s">
        <v>88</v>
      </c>
      <c r="H161">
        <v>12.97</v>
      </c>
      <c r="I161" t="s">
        <v>95</v>
      </c>
      <c r="J161" t="s">
        <v>95</v>
      </c>
      <c r="K161">
        <f t="shared" si="87"/>
        <v>4.0000000000000008E-2</v>
      </c>
      <c r="L161" t="s">
        <v>95</v>
      </c>
      <c r="M161">
        <f t="shared" si="82"/>
        <v>324.25</v>
      </c>
      <c r="N161" t="s">
        <v>95</v>
      </c>
      <c r="O161" t="s">
        <v>95</v>
      </c>
      <c r="P161" t="s">
        <v>95</v>
      </c>
      <c r="Q161">
        <v>18.93</v>
      </c>
      <c r="R161">
        <f t="shared" si="88"/>
        <v>61.380524999999999</v>
      </c>
      <c r="S161">
        <v>1</v>
      </c>
      <c r="T161">
        <f t="shared" si="89"/>
        <v>3.2425000000000002</v>
      </c>
      <c r="U161">
        <f t="shared" si="83"/>
        <v>202.91082644628099</v>
      </c>
      <c r="V161">
        <f t="shared" si="84"/>
        <v>10.719008264462811</v>
      </c>
      <c r="W161">
        <f t="shared" si="85"/>
        <v>61.380524999999999</v>
      </c>
      <c r="X161">
        <f t="shared" si="86"/>
        <v>3.2425000000000002</v>
      </c>
      <c r="Y161" t="s">
        <v>95</v>
      </c>
      <c r="Z161" t="s">
        <v>95</v>
      </c>
      <c r="AA161" t="s">
        <v>95</v>
      </c>
      <c r="AB161" t="s">
        <v>95</v>
      </c>
      <c r="AC161">
        <v>18.929999999999996</v>
      </c>
      <c r="AD161">
        <f t="shared" si="70"/>
        <v>18.93</v>
      </c>
    </row>
    <row r="162" spans="1:30" x14ac:dyDescent="0.2">
      <c r="A162">
        <v>197</v>
      </c>
      <c r="B162" t="s">
        <v>6</v>
      </c>
      <c r="C162" t="s">
        <v>7</v>
      </c>
      <c r="D162">
        <v>6</v>
      </c>
      <c r="E162" t="s">
        <v>24</v>
      </c>
      <c r="F162" s="2" t="s">
        <v>93</v>
      </c>
      <c r="G162" t="s">
        <v>88</v>
      </c>
      <c r="H162">
        <v>8.83</v>
      </c>
      <c r="I162" t="s">
        <v>95</v>
      </c>
      <c r="J162" t="s">
        <v>95</v>
      </c>
      <c r="K162">
        <f t="shared" si="87"/>
        <v>4.0000000000000008E-2</v>
      </c>
      <c r="L162" t="s">
        <v>95</v>
      </c>
      <c r="M162">
        <f t="shared" si="82"/>
        <v>220.75</v>
      </c>
      <c r="N162" t="s">
        <v>95</v>
      </c>
      <c r="O162" t="s">
        <v>95</v>
      </c>
      <c r="P162" t="s">
        <v>95</v>
      </c>
      <c r="Q162">
        <v>12.42</v>
      </c>
      <c r="R162">
        <f t="shared" si="88"/>
        <v>27.417149999999999</v>
      </c>
      <c r="S162">
        <v>0.76</v>
      </c>
      <c r="T162">
        <f t="shared" si="89"/>
        <v>1.6777</v>
      </c>
      <c r="U162">
        <f t="shared" si="83"/>
        <v>90.635206611570254</v>
      </c>
      <c r="V162">
        <f t="shared" si="84"/>
        <v>5.546115702479339</v>
      </c>
      <c r="W162">
        <f t="shared" si="85"/>
        <v>27.417149999999999</v>
      </c>
      <c r="X162">
        <f t="shared" si="86"/>
        <v>1.6777</v>
      </c>
      <c r="Y162" t="s">
        <v>95</v>
      </c>
      <c r="Z162" t="s">
        <v>95</v>
      </c>
      <c r="AA162" t="s">
        <v>95</v>
      </c>
      <c r="AB162" t="s">
        <v>95</v>
      </c>
      <c r="AC162">
        <v>16.342105263157894</v>
      </c>
      <c r="AD162">
        <f t="shared" si="70"/>
        <v>16.342105263157894</v>
      </c>
    </row>
    <row r="163" spans="1:30" x14ac:dyDescent="0.2">
      <c r="A163">
        <v>198</v>
      </c>
      <c r="B163" t="s">
        <v>6</v>
      </c>
      <c r="C163" t="s">
        <v>7</v>
      </c>
      <c r="D163">
        <v>6</v>
      </c>
      <c r="E163" t="s">
        <v>25</v>
      </c>
      <c r="F163" s="2" t="s">
        <v>93</v>
      </c>
      <c r="G163" t="s">
        <v>88</v>
      </c>
      <c r="H163">
        <v>9.8000000000000007</v>
      </c>
      <c r="I163" t="s">
        <v>95</v>
      </c>
      <c r="J163" t="s">
        <v>95</v>
      </c>
      <c r="K163">
        <f t="shared" si="87"/>
        <v>4.0000000000000008E-2</v>
      </c>
      <c r="L163" t="s">
        <v>95</v>
      </c>
      <c r="M163">
        <f t="shared" si="82"/>
        <v>245</v>
      </c>
      <c r="N163" t="s">
        <v>95</v>
      </c>
      <c r="O163" t="s">
        <v>95</v>
      </c>
      <c r="P163" t="s">
        <v>95</v>
      </c>
      <c r="Q163">
        <v>10.7</v>
      </c>
      <c r="R163">
        <f t="shared" si="88"/>
        <v>26.215</v>
      </c>
      <c r="S163">
        <v>0.61</v>
      </c>
      <c r="T163">
        <f t="shared" si="89"/>
        <v>1.4944999999999999</v>
      </c>
      <c r="U163">
        <f t="shared" si="83"/>
        <v>86.661157024793383</v>
      </c>
      <c r="V163">
        <f t="shared" si="84"/>
        <v>4.9404958677685951</v>
      </c>
      <c r="W163">
        <f t="shared" si="85"/>
        <v>26.215</v>
      </c>
      <c r="X163">
        <f t="shared" si="86"/>
        <v>1.4944999999999999</v>
      </c>
      <c r="Y163" t="s">
        <v>95</v>
      </c>
      <c r="Z163" t="s">
        <v>95</v>
      </c>
      <c r="AA163" t="s">
        <v>95</v>
      </c>
      <c r="AB163" t="s">
        <v>95</v>
      </c>
      <c r="AC163">
        <v>17.540983606557376</v>
      </c>
      <c r="AD163">
        <f t="shared" si="70"/>
        <v>17.540983606557376</v>
      </c>
    </row>
    <row r="164" spans="1:30" x14ac:dyDescent="0.2">
      <c r="A164">
        <v>199</v>
      </c>
      <c r="B164" t="s">
        <v>26</v>
      </c>
      <c r="C164" t="s">
        <v>27</v>
      </c>
      <c r="D164">
        <v>7</v>
      </c>
      <c r="E164" t="s">
        <v>28</v>
      </c>
      <c r="F164" s="2" t="s">
        <v>93</v>
      </c>
      <c r="G164" t="s">
        <v>88</v>
      </c>
      <c r="H164">
        <v>4.45</v>
      </c>
      <c r="I164" t="s">
        <v>95</v>
      </c>
      <c r="J164" t="s">
        <v>95</v>
      </c>
      <c r="K164">
        <f t="shared" si="87"/>
        <v>4.0000000000000008E-2</v>
      </c>
      <c r="L164" t="s">
        <v>95</v>
      </c>
      <c r="M164">
        <f t="shared" si="82"/>
        <v>111.25</v>
      </c>
      <c r="N164">
        <v>1.1547000000000001</v>
      </c>
      <c r="O164">
        <f t="shared" ref="O164:O179" si="90">N164/K164</f>
        <v>28.867499999999996</v>
      </c>
      <c r="P164">
        <f>(N164/(0.2*0.2))</f>
        <v>28.867499999999996</v>
      </c>
      <c r="Q164">
        <v>42.82</v>
      </c>
      <c r="R164">
        <f t="shared" si="88"/>
        <v>47.637250000000002</v>
      </c>
      <c r="S164">
        <v>1.43</v>
      </c>
      <c r="T164">
        <f t="shared" si="89"/>
        <v>1.590875</v>
      </c>
      <c r="U164">
        <f t="shared" si="83"/>
        <v>157.47851239669424</v>
      </c>
      <c r="V164">
        <f t="shared" si="84"/>
        <v>5.2590909090909088</v>
      </c>
      <c r="W164">
        <f t="shared" si="85"/>
        <v>47.637250000000002</v>
      </c>
      <c r="X164">
        <f t="shared" si="86"/>
        <v>1.590875</v>
      </c>
      <c r="Y164" t="s">
        <v>95</v>
      </c>
      <c r="Z164" t="s">
        <v>95</v>
      </c>
      <c r="AA164" t="s">
        <v>95</v>
      </c>
      <c r="AB164" t="s">
        <v>95</v>
      </c>
      <c r="AC164">
        <v>29.94405594405595</v>
      </c>
      <c r="AD164">
        <f t="shared" si="70"/>
        <v>29.944055944055947</v>
      </c>
    </row>
    <row r="165" spans="1:30" x14ac:dyDescent="0.2">
      <c r="A165">
        <v>200</v>
      </c>
      <c r="B165" t="s">
        <v>26</v>
      </c>
      <c r="C165" t="s">
        <v>27</v>
      </c>
      <c r="D165">
        <v>7</v>
      </c>
      <c r="E165" t="s">
        <v>29</v>
      </c>
      <c r="F165" s="2" t="s">
        <v>93</v>
      </c>
      <c r="G165" t="s">
        <v>88</v>
      </c>
      <c r="H165">
        <v>2.2400000000000002</v>
      </c>
      <c r="I165" t="s">
        <v>95</v>
      </c>
      <c r="J165" t="s">
        <v>95</v>
      </c>
      <c r="K165">
        <f t="shared" si="87"/>
        <v>4.0000000000000008E-2</v>
      </c>
      <c r="L165" t="s">
        <v>95</v>
      </c>
      <c r="M165">
        <f t="shared" si="82"/>
        <v>56.000000000000007</v>
      </c>
      <c r="N165">
        <v>6.0000000000000001E-3</v>
      </c>
      <c r="O165">
        <f t="shared" si="90"/>
        <v>0.14999999999999997</v>
      </c>
      <c r="P165">
        <f t="shared" ref="P165:P217" si="91">(N165/(0.2*0.2))</f>
        <v>0.14999999999999997</v>
      </c>
      <c r="Q165">
        <v>29.24</v>
      </c>
      <c r="R165">
        <f t="shared" si="88"/>
        <v>16.374400000000001</v>
      </c>
      <c r="S165">
        <v>0.98</v>
      </c>
      <c r="T165">
        <f t="shared" si="89"/>
        <v>0.54880000000000007</v>
      </c>
      <c r="U165">
        <f t="shared" si="83"/>
        <v>54.130247933884299</v>
      </c>
      <c r="V165">
        <f t="shared" si="84"/>
        <v>1.8142148760330581</v>
      </c>
      <c r="W165">
        <f t="shared" si="85"/>
        <v>16.374400000000001</v>
      </c>
      <c r="X165">
        <f t="shared" si="86"/>
        <v>0.54880000000000007</v>
      </c>
      <c r="Y165" t="s">
        <v>95</v>
      </c>
      <c r="Z165" t="s">
        <v>95</v>
      </c>
      <c r="AA165" t="s">
        <v>95</v>
      </c>
      <c r="AB165" t="s">
        <v>95</v>
      </c>
      <c r="AC165">
        <v>29.836734693877549</v>
      </c>
      <c r="AD165">
        <f t="shared" si="70"/>
        <v>29.836734693877549</v>
      </c>
    </row>
    <row r="166" spans="1:30" x14ac:dyDescent="0.2">
      <c r="A166">
        <v>201</v>
      </c>
      <c r="B166" t="s">
        <v>26</v>
      </c>
      <c r="C166" t="s">
        <v>27</v>
      </c>
      <c r="D166">
        <v>7</v>
      </c>
      <c r="E166" t="s">
        <v>30</v>
      </c>
      <c r="F166" s="2" t="s">
        <v>93</v>
      </c>
      <c r="G166" t="s">
        <v>88</v>
      </c>
      <c r="H166">
        <v>2.46</v>
      </c>
      <c r="I166" t="s">
        <v>95</v>
      </c>
      <c r="J166" t="s">
        <v>95</v>
      </c>
      <c r="K166">
        <f t="shared" si="87"/>
        <v>4.0000000000000008E-2</v>
      </c>
      <c r="L166" t="s">
        <v>95</v>
      </c>
      <c r="M166">
        <f t="shared" si="82"/>
        <v>61.5</v>
      </c>
      <c r="N166">
        <v>0.23669999999999999</v>
      </c>
      <c r="O166">
        <f t="shared" si="90"/>
        <v>5.9174999999999986</v>
      </c>
      <c r="P166">
        <f t="shared" si="91"/>
        <v>5.9174999999999986</v>
      </c>
      <c r="Q166">
        <v>35.369999999999997</v>
      </c>
      <c r="R166">
        <f t="shared" si="88"/>
        <v>21.752549999999996</v>
      </c>
      <c r="S166">
        <v>1.33</v>
      </c>
      <c r="T166">
        <f t="shared" si="89"/>
        <v>0.81795000000000007</v>
      </c>
      <c r="U166">
        <f t="shared" si="83"/>
        <v>71.909256198347109</v>
      </c>
      <c r="V166">
        <f t="shared" si="84"/>
        <v>2.7039669421487607</v>
      </c>
      <c r="W166">
        <f t="shared" si="85"/>
        <v>21.752549999999996</v>
      </c>
      <c r="X166">
        <f t="shared" si="86"/>
        <v>0.81795000000000007</v>
      </c>
      <c r="Y166" t="s">
        <v>95</v>
      </c>
      <c r="Z166" t="s">
        <v>95</v>
      </c>
      <c r="AA166" t="s">
        <v>95</v>
      </c>
      <c r="AB166" t="s">
        <v>95</v>
      </c>
      <c r="AC166">
        <v>26.593984962406012</v>
      </c>
      <c r="AD166">
        <f t="shared" si="70"/>
        <v>26.593984962406012</v>
      </c>
    </row>
    <row r="167" spans="1:30" x14ac:dyDescent="0.2">
      <c r="A167">
        <v>202</v>
      </c>
      <c r="B167" t="s">
        <v>26</v>
      </c>
      <c r="C167" t="s">
        <v>27</v>
      </c>
      <c r="D167">
        <v>8</v>
      </c>
      <c r="E167" t="s">
        <v>31</v>
      </c>
      <c r="F167" s="2" t="s">
        <v>93</v>
      </c>
      <c r="G167" t="s">
        <v>88</v>
      </c>
      <c r="H167">
        <v>8.58</v>
      </c>
      <c r="I167" t="s">
        <v>95</v>
      </c>
      <c r="J167" t="s">
        <v>95</v>
      </c>
      <c r="K167">
        <f t="shared" si="87"/>
        <v>4.0000000000000008E-2</v>
      </c>
      <c r="L167" t="s">
        <v>95</v>
      </c>
      <c r="M167">
        <f t="shared" si="82"/>
        <v>214.5</v>
      </c>
      <c r="N167">
        <v>0.42130000000000001</v>
      </c>
      <c r="O167">
        <f t="shared" si="90"/>
        <v>10.532499999999999</v>
      </c>
      <c r="P167">
        <f t="shared" si="91"/>
        <v>10.532499999999999</v>
      </c>
      <c r="Q167">
        <v>31.03</v>
      </c>
      <c r="R167">
        <f t="shared" si="88"/>
        <v>66.559350000000009</v>
      </c>
      <c r="S167">
        <v>1.1499999999999999</v>
      </c>
      <c r="T167">
        <f t="shared" si="89"/>
        <v>2.4667499999999998</v>
      </c>
      <c r="U167">
        <f t="shared" si="83"/>
        <v>220.03090909090912</v>
      </c>
      <c r="V167">
        <f t="shared" si="84"/>
        <v>8.1545454545454543</v>
      </c>
      <c r="W167">
        <f t="shared" si="85"/>
        <v>66.559350000000009</v>
      </c>
      <c r="X167">
        <f t="shared" si="86"/>
        <v>2.4667499999999998</v>
      </c>
      <c r="Y167" t="s">
        <v>95</v>
      </c>
      <c r="Z167" t="s">
        <v>95</v>
      </c>
      <c r="AA167" t="s">
        <v>95</v>
      </c>
      <c r="AB167" t="s">
        <v>95</v>
      </c>
      <c r="AC167">
        <v>26.982608695652178</v>
      </c>
      <c r="AD167">
        <f t="shared" si="70"/>
        <v>26.982608695652178</v>
      </c>
    </row>
    <row r="168" spans="1:30" x14ac:dyDescent="0.2">
      <c r="A168">
        <v>203</v>
      </c>
      <c r="B168" t="s">
        <v>26</v>
      </c>
      <c r="C168" t="s">
        <v>27</v>
      </c>
      <c r="D168">
        <v>8</v>
      </c>
      <c r="E168" t="s">
        <v>32</v>
      </c>
      <c r="F168" s="2" t="s">
        <v>93</v>
      </c>
      <c r="G168" t="s">
        <v>88</v>
      </c>
      <c r="H168">
        <v>3.76</v>
      </c>
      <c r="I168" t="s">
        <v>95</v>
      </c>
      <c r="J168" t="s">
        <v>95</v>
      </c>
      <c r="K168">
        <f t="shared" si="87"/>
        <v>4.0000000000000008E-2</v>
      </c>
      <c r="L168" t="s">
        <v>95</v>
      </c>
      <c r="M168">
        <f t="shared" si="82"/>
        <v>93.999999999999986</v>
      </c>
      <c r="N168">
        <v>0.43890000000000001</v>
      </c>
      <c r="O168">
        <f t="shared" si="90"/>
        <v>10.972499999999998</v>
      </c>
      <c r="P168">
        <f t="shared" si="91"/>
        <v>10.972499999999998</v>
      </c>
      <c r="Q168">
        <v>34.04</v>
      </c>
      <c r="R168">
        <f t="shared" si="88"/>
        <v>31.997599999999995</v>
      </c>
      <c r="S168">
        <v>1.35</v>
      </c>
      <c r="T168">
        <f t="shared" si="89"/>
        <v>1.2689999999999999</v>
      </c>
      <c r="U168">
        <f t="shared" si="83"/>
        <v>105.77719008264462</v>
      </c>
      <c r="V168">
        <f t="shared" si="84"/>
        <v>4.1950413223140499</v>
      </c>
      <c r="W168">
        <f t="shared" si="85"/>
        <v>31.997599999999995</v>
      </c>
      <c r="X168">
        <f t="shared" si="86"/>
        <v>1.2689999999999999</v>
      </c>
      <c r="Y168" t="s">
        <v>95</v>
      </c>
      <c r="Z168" t="s">
        <v>95</v>
      </c>
      <c r="AA168" t="s">
        <v>95</v>
      </c>
      <c r="AB168" t="s">
        <v>95</v>
      </c>
      <c r="AC168">
        <v>25.214814814814812</v>
      </c>
      <c r="AD168">
        <f t="shared" si="70"/>
        <v>25.214814814814812</v>
      </c>
    </row>
    <row r="169" spans="1:30" x14ac:dyDescent="0.2">
      <c r="A169">
        <v>204</v>
      </c>
      <c r="B169" t="s">
        <v>26</v>
      </c>
      <c r="C169" t="s">
        <v>27</v>
      </c>
      <c r="D169">
        <v>8</v>
      </c>
      <c r="E169" t="s">
        <v>33</v>
      </c>
      <c r="F169" s="2" t="s">
        <v>93</v>
      </c>
      <c r="G169" t="s">
        <v>88</v>
      </c>
      <c r="H169">
        <v>3.46</v>
      </c>
      <c r="I169" t="s">
        <v>95</v>
      </c>
      <c r="J169" t="s">
        <v>95</v>
      </c>
      <c r="K169">
        <f t="shared" si="87"/>
        <v>4.0000000000000008E-2</v>
      </c>
      <c r="L169" t="s">
        <v>95</v>
      </c>
      <c r="M169">
        <f t="shared" si="82"/>
        <v>86.5</v>
      </c>
      <c r="N169">
        <v>0.85389999999999999</v>
      </c>
      <c r="O169">
        <f t="shared" si="90"/>
        <v>21.347499999999997</v>
      </c>
      <c r="P169">
        <f t="shared" si="91"/>
        <v>21.347499999999997</v>
      </c>
      <c r="Q169">
        <v>30.62</v>
      </c>
      <c r="R169">
        <f t="shared" si="88"/>
        <v>26.486300000000004</v>
      </c>
      <c r="S169">
        <v>1.18</v>
      </c>
      <c r="T169">
        <f t="shared" si="89"/>
        <v>1.0206999999999999</v>
      </c>
      <c r="U169">
        <f t="shared" si="83"/>
        <v>87.558016528925634</v>
      </c>
      <c r="V169">
        <f t="shared" si="84"/>
        <v>3.3742148760330575</v>
      </c>
      <c r="W169">
        <f t="shared" si="85"/>
        <v>26.486300000000004</v>
      </c>
      <c r="X169">
        <f t="shared" si="86"/>
        <v>1.0206999999999999</v>
      </c>
      <c r="Y169" t="s">
        <v>95</v>
      </c>
      <c r="Z169" t="s">
        <v>95</v>
      </c>
      <c r="AA169" t="s">
        <v>95</v>
      </c>
      <c r="AB169" t="s">
        <v>95</v>
      </c>
      <c r="AC169">
        <v>25.949152542372889</v>
      </c>
      <c r="AD169">
        <f t="shared" si="70"/>
        <v>25.949152542372882</v>
      </c>
    </row>
    <row r="170" spans="1:30" x14ac:dyDescent="0.2">
      <c r="A170">
        <v>205</v>
      </c>
      <c r="B170" t="s">
        <v>26</v>
      </c>
      <c r="C170" t="s">
        <v>34</v>
      </c>
      <c r="D170">
        <v>9</v>
      </c>
      <c r="E170" t="s">
        <v>35</v>
      </c>
      <c r="F170" s="2" t="s">
        <v>93</v>
      </c>
      <c r="G170" t="s">
        <v>88</v>
      </c>
      <c r="H170">
        <v>5.66</v>
      </c>
      <c r="I170" t="s">
        <v>95</v>
      </c>
      <c r="J170" t="s">
        <v>95</v>
      </c>
      <c r="K170">
        <f t="shared" si="87"/>
        <v>4.0000000000000008E-2</v>
      </c>
      <c r="L170" t="s">
        <v>95</v>
      </c>
      <c r="M170">
        <f t="shared" si="82"/>
        <v>141.5</v>
      </c>
      <c r="N170">
        <v>0.64759999999999995</v>
      </c>
      <c r="O170">
        <f t="shared" si="90"/>
        <v>16.189999999999994</v>
      </c>
      <c r="P170">
        <f t="shared" si="91"/>
        <v>16.189999999999994</v>
      </c>
      <c r="Q170">
        <v>34.54</v>
      </c>
      <c r="R170">
        <f t="shared" si="88"/>
        <v>48.874099999999999</v>
      </c>
      <c r="S170">
        <v>1.27</v>
      </c>
      <c r="T170">
        <f t="shared" si="89"/>
        <v>1.79705</v>
      </c>
      <c r="U170">
        <f t="shared" si="83"/>
        <v>161.56727272727272</v>
      </c>
      <c r="V170">
        <f t="shared" si="84"/>
        <v>5.9406611570247936</v>
      </c>
      <c r="W170">
        <f t="shared" si="85"/>
        <v>48.874099999999999</v>
      </c>
      <c r="X170">
        <f t="shared" si="86"/>
        <v>1.79705</v>
      </c>
      <c r="Y170" t="s">
        <v>95</v>
      </c>
      <c r="Z170" t="s">
        <v>95</v>
      </c>
      <c r="AA170" t="s">
        <v>95</v>
      </c>
      <c r="AB170" t="s">
        <v>95</v>
      </c>
      <c r="AC170">
        <v>27.196850393700785</v>
      </c>
      <c r="AD170">
        <f t="shared" si="70"/>
        <v>27.196850393700785</v>
      </c>
    </row>
    <row r="171" spans="1:30" x14ac:dyDescent="0.2">
      <c r="A171">
        <v>206</v>
      </c>
      <c r="B171" t="s">
        <v>26</v>
      </c>
      <c r="C171" t="s">
        <v>34</v>
      </c>
      <c r="D171">
        <v>9</v>
      </c>
      <c r="E171" t="s">
        <v>36</v>
      </c>
      <c r="F171" s="2" t="s">
        <v>93</v>
      </c>
      <c r="G171" t="s">
        <v>88</v>
      </c>
      <c r="H171">
        <v>5.27</v>
      </c>
      <c r="I171" t="s">
        <v>95</v>
      </c>
      <c r="J171" t="s">
        <v>95</v>
      </c>
      <c r="K171">
        <f t="shared" si="87"/>
        <v>4.0000000000000008E-2</v>
      </c>
      <c r="L171" t="s">
        <v>95</v>
      </c>
      <c r="M171">
        <f t="shared" si="82"/>
        <v>131.75</v>
      </c>
      <c r="N171">
        <v>1.12E-2</v>
      </c>
      <c r="O171">
        <f t="shared" si="90"/>
        <v>0.27999999999999992</v>
      </c>
      <c r="P171">
        <f t="shared" si="91"/>
        <v>0.27999999999999992</v>
      </c>
      <c r="Q171">
        <v>43.26</v>
      </c>
      <c r="R171">
        <f t="shared" si="88"/>
        <v>56.995049999999999</v>
      </c>
      <c r="S171">
        <v>1.22</v>
      </c>
      <c r="T171">
        <f t="shared" si="89"/>
        <v>1.6073499999999998</v>
      </c>
      <c r="U171">
        <f t="shared" si="83"/>
        <v>188.41338842975205</v>
      </c>
      <c r="V171">
        <f t="shared" si="84"/>
        <v>5.3135537190082642</v>
      </c>
      <c r="W171">
        <f t="shared" si="85"/>
        <v>56.995049999999999</v>
      </c>
      <c r="X171">
        <f t="shared" si="86"/>
        <v>1.6073499999999998</v>
      </c>
      <c r="Y171" t="s">
        <v>95</v>
      </c>
      <c r="Z171" t="s">
        <v>95</v>
      </c>
      <c r="AA171" t="s">
        <v>95</v>
      </c>
      <c r="AB171" t="s">
        <v>95</v>
      </c>
      <c r="AC171">
        <v>35.459016393442624</v>
      </c>
      <c r="AD171">
        <f t="shared" si="70"/>
        <v>35.459016393442624</v>
      </c>
    </row>
    <row r="172" spans="1:30" x14ac:dyDescent="0.2">
      <c r="A172">
        <v>207</v>
      </c>
      <c r="B172" t="s">
        <v>26</v>
      </c>
      <c r="C172" t="s">
        <v>34</v>
      </c>
      <c r="D172">
        <v>9</v>
      </c>
      <c r="E172" t="s">
        <v>37</v>
      </c>
      <c r="F172" s="2" t="s">
        <v>93</v>
      </c>
      <c r="G172" t="s">
        <v>88</v>
      </c>
      <c r="H172">
        <v>2.4700000000000002</v>
      </c>
      <c r="I172" t="s">
        <v>95</v>
      </c>
      <c r="J172" t="s">
        <v>95</v>
      </c>
      <c r="K172">
        <f t="shared" si="87"/>
        <v>4.0000000000000008E-2</v>
      </c>
      <c r="L172" t="s">
        <v>95</v>
      </c>
      <c r="M172">
        <f t="shared" si="82"/>
        <v>61.750000000000007</v>
      </c>
      <c r="N172">
        <v>0.20150000000000001</v>
      </c>
      <c r="O172">
        <f t="shared" si="90"/>
        <v>5.0374999999999996</v>
      </c>
      <c r="P172">
        <f t="shared" si="91"/>
        <v>5.0374999999999996</v>
      </c>
      <c r="Q172">
        <v>42.54</v>
      </c>
      <c r="R172">
        <f t="shared" si="88"/>
        <v>26.268450000000001</v>
      </c>
      <c r="S172">
        <v>1.37</v>
      </c>
      <c r="T172">
        <f t="shared" si="89"/>
        <v>0.84597500000000014</v>
      </c>
      <c r="U172">
        <f t="shared" si="83"/>
        <v>86.837851239669433</v>
      </c>
      <c r="V172">
        <f t="shared" si="84"/>
        <v>2.7966115702479342</v>
      </c>
      <c r="W172">
        <f t="shared" si="85"/>
        <v>26.268450000000001</v>
      </c>
      <c r="X172">
        <f t="shared" si="86"/>
        <v>0.84597500000000014</v>
      </c>
      <c r="Y172" t="s">
        <v>95</v>
      </c>
      <c r="Z172" t="s">
        <v>95</v>
      </c>
      <c r="AA172" t="s">
        <v>95</v>
      </c>
      <c r="AB172" t="s">
        <v>95</v>
      </c>
      <c r="AC172">
        <v>31.051094890510949</v>
      </c>
      <c r="AD172">
        <f t="shared" si="70"/>
        <v>31.051094890510946</v>
      </c>
    </row>
    <row r="173" spans="1:30" x14ac:dyDescent="0.2">
      <c r="A173">
        <v>208</v>
      </c>
      <c r="B173" t="s">
        <v>26</v>
      </c>
      <c r="C173" t="s">
        <v>27</v>
      </c>
      <c r="D173">
        <v>10</v>
      </c>
      <c r="E173" t="s">
        <v>38</v>
      </c>
      <c r="F173" s="2" t="s">
        <v>93</v>
      </c>
      <c r="G173" t="s">
        <v>88</v>
      </c>
      <c r="H173">
        <v>4.8899999999999997</v>
      </c>
      <c r="I173" t="s">
        <v>95</v>
      </c>
      <c r="J173" t="s">
        <v>95</v>
      </c>
      <c r="K173">
        <f t="shared" si="87"/>
        <v>4.0000000000000008E-2</v>
      </c>
      <c r="L173" t="s">
        <v>95</v>
      </c>
      <c r="M173">
        <f t="shared" si="82"/>
        <v>122.24999999999999</v>
      </c>
      <c r="N173">
        <v>0.19009999999999999</v>
      </c>
      <c r="O173">
        <f t="shared" si="90"/>
        <v>4.7524999999999986</v>
      </c>
      <c r="P173">
        <f t="shared" si="91"/>
        <v>4.7524999999999986</v>
      </c>
      <c r="Q173">
        <v>17.95</v>
      </c>
      <c r="R173">
        <f t="shared" si="88"/>
        <v>21.943874999999995</v>
      </c>
      <c r="S173">
        <v>0.82</v>
      </c>
      <c r="T173">
        <f t="shared" si="89"/>
        <v>1.0024499999999998</v>
      </c>
      <c r="U173">
        <f t="shared" si="83"/>
        <v>72.541735537190078</v>
      </c>
      <c r="V173">
        <f t="shared" si="84"/>
        <v>3.3138842975206608</v>
      </c>
      <c r="W173">
        <f t="shared" si="85"/>
        <v>21.943874999999995</v>
      </c>
      <c r="X173">
        <f t="shared" si="86"/>
        <v>1.0024499999999998</v>
      </c>
      <c r="Y173" t="s">
        <v>95</v>
      </c>
      <c r="Z173" t="s">
        <v>95</v>
      </c>
      <c r="AA173" t="s">
        <v>95</v>
      </c>
      <c r="AB173" t="s">
        <v>95</v>
      </c>
      <c r="AC173">
        <v>21.890243902439025</v>
      </c>
      <c r="AD173">
        <f t="shared" si="70"/>
        <v>21.890243902439025</v>
      </c>
    </row>
    <row r="174" spans="1:30" x14ac:dyDescent="0.2">
      <c r="A174">
        <v>209</v>
      </c>
      <c r="B174" t="s">
        <v>26</v>
      </c>
      <c r="C174" t="s">
        <v>27</v>
      </c>
      <c r="D174">
        <v>10</v>
      </c>
      <c r="E174" t="s">
        <v>39</v>
      </c>
      <c r="F174" s="2" t="s">
        <v>93</v>
      </c>
      <c r="G174" t="s">
        <v>88</v>
      </c>
      <c r="H174">
        <v>8.43</v>
      </c>
      <c r="I174" t="s">
        <v>95</v>
      </c>
      <c r="J174" t="s">
        <v>95</v>
      </c>
      <c r="K174">
        <f t="shared" si="87"/>
        <v>4.0000000000000008E-2</v>
      </c>
      <c r="L174" t="s">
        <v>95</v>
      </c>
      <c r="M174">
        <f t="shared" si="82"/>
        <v>210.75</v>
      </c>
      <c r="N174">
        <v>0.2329</v>
      </c>
      <c r="O174">
        <f t="shared" si="90"/>
        <v>5.8224999999999989</v>
      </c>
      <c r="P174">
        <f t="shared" si="91"/>
        <v>5.8224999999999989</v>
      </c>
      <c r="Q174">
        <v>20.170000000000002</v>
      </c>
      <c r="R174">
        <f t="shared" si="88"/>
        <v>42.508275000000005</v>
      </c>
      <c r="S174">
        <v>0.82</v>
      </c>
      <c r="T174">
        <f t="shared" si="89"/>
        <v>1.7281499999999999</v>
      </c>
      <c r="U174">
        <f t="shared" si="83"/>
        <v>140.52322314049587</v>
      </c>
      <c r="V174">
        <f t="shared" si="84"/>
        <v>5.7128925619834705</v>
      </c>
      <c r="W174">
        <f t="shared" si="85"/>
        <v>42.508275000000005</v>
      </c>
      <c r="X174">
        <f t="shared" si="86"/>
        <v>1.7281499999999999</v>
      </c>
      <c r="Y174" t="s">
        <v>95</v>
      </c>
      <c r="Z174" t="s">
        <v>95</v>
      </c>
      <c r="AA174" t="s">
        <v>95</v>
      </c>
      <c r="AB174" t="s">
        <v>95</v>
      </c>
      <c r="AC174">
        <v>24.59756097560976</v>
      </c>
      <c r="AD174">
        <f t="shared" si="70"/>
        <v>24.59756097560976</v>
      </c>
    </row>
    <row r="175" spans="1:30" x14ac:dyDescent="0.2">
      <c r="A175">
        <v>210</v>
      </c>
      <c r="B175" t="s">
        <v>26</v>
      </c>
      <c r="C175" t="s">
        <v>27</v>
      </c>
      <c r="D175">
        <v>10</v>
      </c>
      <c r="E175" t="s">
        <v>40</v>
      </c>
      <c r="F175" s="2" t="s">
        <v>93</v>
      </c>
      <c r="G175" t="s">
        <v>88</v>
      </c>
      <c r="H175">
        <v>2.9</v>
      </c>
      <c r="I175" t="s">
        <v>95</v>
      </c>
      <c r="J175" t="s">
        <v>95</v>
      </c>
      <c r="K175">
        <f t="shared" si="87"/>
        <v>4.0000000000000008E-2</v>
      </c>
      <c r="L175" t="s">
        <v>95</v>
      </c>
      <c r="M175">
        <f t="shared" si="82"/>
        <v>72.5</v>
      </c>
      <c r="N175">
        <v>0.60919999999999996</v>
      </c>
      <c r="O175">
        <f t="shared" si="90"/>
        <v>15.229999999999997</v>
      </c>
      <c r="P175">
        <f t="shared" si="91"/>
        <v>15.229999999999997</v>
      </c>
      <c r="Q175">
        <v>18.329999999999998</v>
      </c>
      <c r="R175">
        <f t="shared" si="88"/>
        <v>13.289249999999999</v>
      </c>
      <c r="S175">
        <v>0.85</v>
      </c>
      <c r="T175">
        <f t="shared" si="89"/>
        <v>0.61625000000000008</v>
      </c>
      <c r="U175">
        <f t="shared" si="83"/>
        <v>43.931404958677689</v>
      </c>
      <c r="V175">
        <f t="shared" si="84"/>
        <v>2.0371900826446283</v>
      </c>
      <c r="W175">
        <f t="shared" si="85"/>
        <v>13.289249999999999</v>
      </c>
      <c r="X175">
        <f t="shared" si="86"/>
        <v>0.61625000000000008</v>
      </c>
      <c r="Y175" t="s">
        <v>95</v>
      </c>
      <c r="Z175" t="s">
        <v>95</v>
      </c>
      <c r="AA175" t="s">
        <v>95</v>
      </c>
      <c r="AB175" t="s">
        <v>95</v>
      </c>
      <c r="AC175">
        <v>21.564705882352939</v>
      </c>
      <c r="AD175">
        <f t="shared" si="70"/>
        <v>21.564705882352939</v>
      </c>
    </row>
    <row r="176" spans="1:30" x14ac:dyDescent="0.2">
      <c r="A176">
        <v>211</v>
      </c>
      <c r="B176" t="s">
        <v>26</v>
      </c>
      <c r="C176" t="s">
        <v>27</v>
      </c>
      <c r="D176">
        <v>11</v>
      </c>
      <c r="E176" t="s">
        <v>41</v>
      </c>
      <c r="F176" s="2" t="s">
        <v>93</v>
      </c>
      <c r="G176" t="s">
        <v>88</v>
      </c>
      <c r="H176">
        <v>1.58</v>
      </c>
      <c r="I176" t="s">
        <v>95</v>
      </c>
      <c r="J176" t="s">
        <v>95</v>
      </c>
      <c r="K176">
        <f t="shared" si="87"/>
        <v>4.0000000000000008E-2</v>
      </c>
      <c r="L176" t="s">
        <v>95</v>
      </c>
      <c r="M176">
        <f t="shared" si="82"/>
        <v>39.5</v>
      </c>
      <c r="N176">
        <v>4.0300000000000002E-2</v>
      </c>
      <c r="O176">
        <f t="shared" si="90"/>
        <v>1.0074999999999998</v>
      </c>
      <c r="P176">
        <f t="shared" si="91"/>
        <v>1.0074999999999998</v>
      </c>
      <c r="Q176">
        <v>14.21</v>
      </c>
      <c r="R176">
        <f t="shared" si="88"/>
        <v>5.6129500000000005</v>
      </c>
      <c r="S176">
        <v>0.67</v>
      </c>
      <c r="T176">
        <f t="shared" si="89"/>
        <v>0.26465</v>
      </c>
      <c r="U176">
        <f t="shared" si="83"/>
        <v>18.555206611570249</v>
      </c>
      <c r="V176">
        <f t="shared" si="84"/>
        <v>0.87487603305785144</v>
      </c>
      <c r="W176">
        <f t="shared" si="85"/>
        <v>5.6129500000000005</v>
      </c>
      <c r="X176">
        <f t="shared" si="86"/>
        <v>0.26465</v>
      </c>
      <c r="Y176" t="s">
        <v>95</v>
      </c>
      <c r="Z176" t="s">
        <v>95</v>
      </c>
      <c r="AA176" t="s">
        <v>95</v>
      </c>
      <c r="AB176" t="s">
        <v>95</v>
      </c>
      <c r="AC176">
        <v>21.208955223880594</v>
      </c>
      <c r="AD176">
        <f t="shared" si="70"/>
        <v>21.208955223880597</v>
      </c>
    </row>
    <row r="177" spans="1:30" x14ac:dyDescent="0.2">
      <c r="A177">
        <v>212</v>
      </c>
      <c r="B177" t="s">
        <v>26</v>
      </c>
      <c r="C177" t="s">
        <v>27</v>
      </c>
      <c r="D177">
        <v>11</v>
      </c>
      <c r="E177" t="s">
        <v>42</v>
      </c>
      <c r="F177" s="2" t="s">
        <v>93</v>
      </c>
      <c r="G177" t="s">
        <v>88</v>
      </c>
      <c r="H177">
        <v>4.62</v>
      </c>
      <c r="I177" t="s">
        <v>95</v>
      </c>
      <c r="J177" t="s">
        <v>95</v>
      </c>
      <c r="K177">
        <f t="shared" si="87"/>
        <v>4.0000000000000008E-2</v>
      </c>
      <c r="L177" t="s">
        <v>95</v>
      </c>
      <c r="M177">
        <f t="shared" si="82"/>
        <v>115.5</v>
      </c>
      <c r="N177">
        <v>0.48699999999999999</v>
      </c>
      <c r="O177">
        <f t="shared" si="90"/>
        <v>12.174999999999997</v>
      </c>
      <c r="P177">
        <f t="shared" si="91"/>
        <v>12.174999999999997</v>
      </c>
      <c r="Q177">
        <v>33.56</v>
      </c>
      <c r="R177">
        <f t="shared" si="88"/>
        <v>38.761800000000001</v>
      </c>
      <c r="S177">
        <v>1.34</v>
      </c>
      <c r="T177">
        <f t="shared" si="89"/>
        <v>1.5477000000000001</v>
      </c>
      <c r="U177">
        <f t="shared" si="83"/>
        <v>128.13818181818183</v>
      </c>
      <c r="V177">
        <f t="shared" si="84"/>
        <v>5.1163636363636371</v>
      </c>
      <c r="W177">
        <f t="shared" si="85"/>
        <v>38.761800000000001</v>
      </c>
      <c r="X177">
        <f t="shared" si="86"/>
        <v>1.5477000000000001</v>
      </c>
      <c r="Y177" t="s">
        <v>95</v>
      </c>
      <c r="Z177" t="s">
        <v>95</v>
      </c>
      <c r="AA177" t="s">
        <v>95</v>
      </c>
      <c r="AB177" t="s">
        <v>95</v>
      </c>
      <c r="AC177">
        <v>25.044776119402986</v>
      </c>
      <c r="AD177">
        <f t="shared" si="70"/>
        <v>25.044776119402986</v>
      </c>
    </row>
    <row r="178" spans="1:30" x14ac:dyDescent="0.2">
      <c r="A178">
        <v>213</v>
      </c>
      <c r="B178" t="s">
        <v>26</v>
      </c>
      <c r="C178" t="s">
        <v>27</v>
      </c>
      <c r="D178">
        <v>11</v>
      </c>
      <c r="E178" t="s">
        <v>43</v>
      </c>
      <c r="F178" s="2" t="s">
        <v>93</v>
      </c>
      <c r="G178" t="s">
        <v>88</v>
      </c>
      <c r="H178">
        <v>7.56</v>
      </c>
      <c r="I178" t="s">
        <v>95</v>
      </c>
      <c r="J178" t="s">
        <v>95</v>
      </c>
      <c r="K178">
        <f t="shared" si="87"/>
        <v>4.0000000000000008E-2</v>
      </c>
      <c r="L178" t="s">
        <v>95</v>
      </c>
      <c r="M178">
        <f t="shared" ref="M178:M209" si="92">H178/0.04</f>
        <v>189</v>
      </c>
      <c r="N178">
        <v>0.1401</v>
      </c>
      <c r="O178">
        <f t="shared" si="90"/>
        <v>3.5024999999999995</v>
      </c>
      <c r="P178">
        <f t="shared" si="91"/>
        <v>3.5024999999999995</v>
      </c>
      <c r="Q178">
        <v>25.36</v>
      </c>
      <c r="R178">
        <f t="shared" si="88"/>
        <v>47.930399999999999</v>
      </c>
      <c r="S178">
        <v>1.1399999999999999</v>
      </c>
      <c r="T178">
        <f t="shared" si="89"/>
        <v>2.1545999999999998</v>
      </c>
      <c r="U178">
        <f t="shared" ref="U178:U209" si="93">(H178*(Q178/100))/0.0121</f>
        <v>158.44760330578512</v>
      </c>
      <c r="V178">
        <f t="shared" ref="V178:V209" si="94">(H178*(S178/100))/0.0121</f>
        <v>7.122644628099172</v>
      </c>
      <c r="W178">
        <f t="shared" ref="W178:W209" si="95">(H178/0.04)*(Q178/100)</f>
        <v>47.930399999999999</v>
      </c>
      <c r="X178">
        <f t="shared" ref="X178:X209" si="96">(H178/0.04)*(S178/100)</f>
        <v>2.1545999999999998</v>
      </c>
      <c r="Y178" t="s">
        <v>95</v>
      </c>
      <c r="Z178" t="s">
        <v>95</v>
      </c>
      <c r="AA178" t="s">
        <v>95</v>
      </c>
      <c r="AB178" t="s">
        <v>95</v>
      </c>
      <c r="AC178">
        <v>22.245614035087723</v>
      </c>
      <c r="AD178">
        <f t="shared" si="70"/>
        <v>22.245614035087719</v>
      </c>
    </row>
    <row r="179" spans="1:30" x14ac:dyDescent="0.2">
      <c r="A179">
        <v>214</v>
      </c>
      <c r="B179" t="s">
        <v>26</v>
      </c>
      <c r="C179" t="s">
        <v>27</v>
      </c>
      <c r="D179">
        <v>12</v>
      </c>
      <c r="E179" t="s">
        <v>44</v>
      </c>
      <c r="F179" s="2" t="s">
        <v>93</v>
      </c>
      <c r="G179" t="s">
        <v>88</v>
      </c>
      <c r="H179">
        <v>6.55</v>
      </c>
      <c r="I179" t="s">
        <v>95</v>
      </c>
      <c r="J179" t="s">
        <v>95</v>
      </c>
      <c r="K179">
        <f t="shared" si="87"/>
        <v>4.0000000000000008E-2</v>
      </c>
      <c r="L179" t="s">
        <v>95</v>
      </c>
      <c r="M179">
        <f t="shared" si="92"/>
        <v>163.75</v>
      </c>
      <c r="N179">
        <v>0.1706</v>
      </c>
      <c r="O179">
        <f t="shared" si="90"/>
        <v>4.2649999999999988</v>
      </c>
      <c r="P179">
        <f t="shared" si="91"/>
        <v>4.2649999999999988</v>
      </c>
      <c r="Q179">
        <v>3.64</v>
      </c>
      <c r="R179">
        <f t="shared" si="88"/>
        <v>5.9605000000000006</v>
      </c>
      <c r="S179">
        <v>0.26</v>
      </c>
      <c r="T179">
        <f t="shared" si="89"/>
        <v>0.42574999999999996</v>
      </c>
      <c r="U179">
        <f t="shared" si="93"/>
        <v>19.704132231404959</v>
      </c>
      <c r="V179">
        <f t="shared" si="94"/>
        <v>1.4074380165289258</v>
      </c>
      <c r="W179">
        <f t="shared" si="95"/>
        <v>5.9605000000000006</v>
      </c>
      <c r="X179">
        <f t="shared" si="96"/>
        <v>0.42574999999999996</v>
      </c>
      <c r="Y179" t="s">
        <v>95</v>
      </c>
      <c r="Z179" t="s">
        <v>95</v>
      </c>
      <c r="AA179" t="s">
        <v>95</v>
      </c>
      <c r="AB179" t="s">
        <v>95</v>
      </c>
      <c r="AC179">
        <v>13.999999999999998</v>
      </c>
      <c r="AD179">
        <f t="shared" si="70"/>
        <v>14</v>
      </c>
    </row>
    <row r="180" spans="1:30" x14ac:dyDescent="0.2">
      <c r="A180">
        <v>215</v>
      </c>
      <c r="B180" t="s">
        <v>26</v>
      </c>
      <c r="C180" t="s">
        <v>27</v>
      </c>
      <c r="D180">
        <v>12</v>
      </c>
      <c r="E180" t="s">
        <v>45</v>
      </c>
      <c r="F180" s="2" t="s">
        <v>93</v>
      </c>
      <c r="G180" t="s">
        <v>88</v>
      </c>
      <c r="H180">
        <v>7.12</v>
      </c>
      <c r="I180" t="s">
        <v>95</v>
      </c>
      <c r="J180" t="s">
        <v>95</v>
      </c>
      <c r="K180">
        <f t="shared" si="87"/>
        <v>4.0000000000000008E-2</v>
      </c>
      <c r="L180" t="s">
        <v>95</v>
      </c>
      <c r="M180">
        <f t="shared" si="92"/>
        <v>178</v>
      </c>
      <c r="N180" t="s">
        <v>95</v>
      </c>
      <c r="O180" s="5" t="s">
        <v>95</v>
      </c>
      <c r="P180" s="5" t="s">
        <v>95</v>
      </c>
      <c r="Q180">
        <v>24.21</v>
      </c>
      <c r="R180">
        <f t="shared" si="88"/>
        <v>43.093800000000002</v>
      </c>
      <c r="S180">
        <v>0.99</v>
      </c>
      <c r="T180">
        <f t="shared" si="89"/>
        <v>1.7621999999999998</v>
      </c>
      <c r="U180">
        <f t="shared" si="93"/>
        <v>142.45884297520664</v>
      </c>
      <c r="V180">
        <f t="shared" si="94"/>
        <v>5.8254545454545452</v>
      </c>
      <c r="W180">
        <f t="shared" si="95"/>
        <v>43.093800000000002</v>
      </c>
      <c r="X180">
        <f t="shared" si="96"/>
        <v>1.7621999999999998</v>
      </c>
      <c r="Y180" t="s">
        <v>95</v>
      </c>
      <c r="Z180" t="s">
        <v>95</v>
      </c>
      <c r="AA180" t="s">
        <v>95</v>
      </c>
      <c r="AB180" t="s">
        <v>95</v>
      </c>
      <c r="AC180">
        <v>24.45454545454546</v>
      </c>
      <c r="AD180">
        <f t="shared" si="70"/>
        <v>24.454545454545457</v>
      </c>
    </row>
    <row r="181" spans="1:30" x14ac:dyDescent="0.2">
      <c r="A181">
        <v>216</v>
      </c>
      <c r="B181" t="s">
        <v>26</v>
      </c>
      <c r="C181" t="s">
        <v>27</v>
      </c>
      <c r="D181">
        <v>12</v>
      </c>
      <c r="E181" t="s">
        <v>46</v>
      </c>
      <c r="F181" s="2" t="s">
        <v>93</v>
      </c>
      <c r="G181" t="s">
        <v>88</v>
      </c>
      <c r="H181">
        <v>4.55</v>
      </c>
      <c r="I181" t="s">
        <v>95</v>
      </c>
      <c r="J181" t="s">
        <v>95</v>
      </c>
      <c r="K181">
        <f t="shared" si="87"/>
        <v>4.0000000000000008E-2</v>
      </c>
      <c r="L181" t="s">
        <v>95</v>
      </c>
      <c r="M181">
        <f t="shared" si="92"/>
        <v>113.75</v>
      </c>
      <c r="N181">
        <v>0.35639999999999999</v>
      </c>
      <c r="O181">
        <f t="shared" ref="O181:O212" si="97">N181/K181</f>
        <v>8.9099999999999984</v>
      </c>
      <c r="P181">
        <f t="shared" si="91"/>
        <v>8.9099999999999984</v>
      </c>
      <c r="Q181">
        <v>23.1</v>
      </c>
      <c r="R181">
        <f t="shared" si="88"/>
        <v>26.276250000000001</v>
      </c>
      <c r="S181">
        <v>0.91</v>
      </c>
      <c r="T181">
        <f t="shared" si="89"/>
        <v>1.0351250000000001</v>
      </c>
      <c r="U181">
        <f t="shared" si="93"/>
        <v>86.863636363636374</v>
      </c>
      <c r="V181">
        <f t="shared" si="94"/>
        <v>3.4219008264462807</v>
      </c>
      <c r="W181">
        <f t="shared" si="95"/>
        <v>26.276250000000001</v>
      </c>
      <c r="X181">
        <f t="shared" si="96"/>
        <v>1.0351250000000001</v>
      </c>
      <c r="Y181" t="s">
        <v>95</v>
      </c>
      <c r="Z181" t="s">
        <v>95</v>
      </c>
      <c r="AA181" t="s">
        <v>95</v>
      </c>
      <c r="AB181" t="s">
        <v>95</v>
      </c>
      <c r="AC181">
        <v>25.38461538461539</v>
      </c>
      <c r="AD181">
        <f t="shared" si="70"/>
        <v>25.384615384615387</v>
      </c>
    </row>
    <row r="182" spans="1:30" x14ac:dyDescent="0.2">
      <c r="A182">
        <v>217</v>
      </c>
      <c r="B182" t="s">
        <v>47</v>
      </c>
      <c r="C182" t="s">
        <v>48</v>
      </c>
      <c r="D182">
        <v>13</v>
      </c>
      <c r="E182" t="s">
        <v>49</v>
      </c>
      <c r="F182" s="2" t="s">
        <v>93</v>
      </c>
      <c r="G182" t="s">
        <v>88</v>
      </c>
      <c r="H182">
        <v>6.84</v>
      </c>
      <c r="I182" t="s">
        <v>95</v>
      </c>
      <c r="J182" t="s">
        <v>95</v>
      </c>
      <c r="K182">
        <f t="shared" si="87"/>
        <v>4.0000000000000008E-2</v>
      </c>
      <c r="L182" t="s">
        <v>95</v>
      </c>
      <c r="M182">
        <f t="shared" si="92"/>
        <v>171</v>
      </c>
      <c r="N182">
        <v>1.17E-2</v>
      </c>
      <c r="O182">
        <f t="shared" si="97"/>
        <v>0.29249999999999993</v>
      </c>
      <c r="P182">
        <f t="shared" si="91"/>
        <v>0.29249999999999993</v>
      </c>
      <c r="Q182">
        <v>38.18</v>
      </c>
      <c r="R182">
        <f t="shared" si="88"/>
        <v>65.28779999999999</v>
      </c>
      <c r="S182">
        <v>1.56</v>
      </c>
      <c r="T182">
        <f t="shared" si="89"/>
        <v>2.6676000000000002</v>
      </c>
      <c r="U182">
        <f t="shared" si="93"/>
        <v>215.82743801652893</v>
      </c>
      <c r="V182">
        <f t="shared" si="94"/>
        <v>8.8185123966942154</v>
      </c>
      <c r="W182">
        <f t="shared" si="95"/>
        <v>65.28779999999999</v>
      </c>
      <c r="X182">
        <f t="shared" si="96"/>
        <v>2.6676000000000002</v>
      </c>
      <c r="Y182" t="s">
        <v>95</v>
      </c>
      <c r="Z182" t="s">
        <v>95</v>
      </c>
      <c r="AA182" t="s">
        <v>95</v>
      </c>
      <c r="AB182" t="s">
        <v>95</v>
      </c>
      <c r="AC182">
        <v>24.474358974358974</v>
      </c>
      <c r="AD182">
        <f t="shared" si="70"/>
        <v>24.474358974358974</v>
      </c>
    </row>
    <row r="183" spans="1:30" x14ac:dyDescent="0.2">
      <c r="A183">
        <v>218</v>
      </c>
      <c r="B183" t="s">
        <v>47</v>
      </c>
      <c r="C183" t="s">
        <v>48</v>
      </c>
      <c r="D183">
        <v>13</v>
      </c>
      <c r="E183" t="s">
        <v>50</v>
      </c>
      <c r="F183" s="2" t="s">
        <v>93</v>
      </c>
      <c r="G183" t="s">
        <v>88</v>
      </c>
      <c r="H183">
        <v>8.41</v>
      </c>
      <c r="I183" t="s">
        <v>95</v>
      </c>
      <c r="J183" t="s">
        <v>95</v>
      </c>
      <c r="K183">
        <f t="shared" si="87"/>
        <v>4.0000000000000008E-2</v>
      </c>
      <c r="L183" t="s">
        <v>95</v>
      </c>
      <c r="M183">
        <f t="shared" si="92"/>
        <v>210.25</v>
      </c>
      <c r="N183">
        <v>1.1299999999999999E-2</v>
      </c>
      <c r="O183">
        <f t="shared" si="97"/>
        <v>0.28249999999999992</v>
      </c>
      <c r="P183">
        <f t="shared" si="91"/>
        <v>0.28249999999999992</v>
      </c>
      <c r="Q183">
        <v>42.74</v>
      </c>
      <c r="R183">
        <f t="shared" si="88"/>
        <v>89.860849999999999</v>
      </c>
      <c r="S183">
        <v>1.64</v>
      </c>
      <c r="T183">
        <f t="shared" si="89"/>
        <v>3.4480999999999997</v>
      </c>
      <c r="U183">
        <f t="shared" si="93"/>
        <v>297.06066115702481</v>
      </c>
      <c r="V183">
        <f t="shared" si="94"/>
        <v>11.398677685950412</v>
      </c>
      <c r="W183">
        <f t="shared" si="95"/>
        <v>89.860849999999999</v>
      </c>
      <c r="X183">
        <f t="shared" si="96"/>
        <v>3.4480999999999997</v>
      </c>
      <c r="Y183" t="s">
        <v>95</v>
      </c>
      <c r="Z183" t="s">
        <v>95</v>
      </c>
      <c r="AA183" t="s">
        <v>95</v>
      </c>
      <c r="AB183" t="s">
        <v>95</v>
      </c>
      <c r="AC183">
        <v>26.060975609756103</v>
      </c>
      <c r="AD183">
        <f t="shared" si="70"/>
        <v>26.060975609756099</v>
      </c>
    </row>
    <row r="184" spans="1:30" x14ac:dyDescent="0.2">
      <c r="A184">
        <v>219</v>
      </c>
      <c r="B184" t="s">
        <v>47</v>
      </c>
      <c r="C184" t="s">
        <v>48</v>
      </c>
      <c r="D184">
        <v>13</v>
      </c>
      <c r="E184" t="s">
        <v>51</v>
      </c>
      <c r="F184" s="2" t="s">
        <v>93</v>
      </c>
      <c r="G184" t="s">
        <v>88</v>
      </c>
      <c r="H184">
        <v>7.25</v>
      </c>
      <c r="I184" t="s">
        <v>95</v>
      </c>
      <c r="J184" t="s">
        <v>95</v>
      </c>
      <c r="K184">
        <f t="shared" si="87"/>
        <v>4.0000000000000008E-2</v>
      </c>
      <c r="L184" t="s">
        <v>95</v>
      </c>
      <c r="M184">
        <f t="shared" si="92"/>
        <v>181.25</v>
      </c>
      <c r="N184">
        <v>0.12920000000000001</v>
      </c>
      <c r="O184">
        <f t="shared" si="97"/>
        <v>3.2299999999999995</v>
      </c>
      <c r="P184">
        <f t="shared" si="91"/>
        <v>3.2299999999999995</v>
      </c>
      <c r="Q184">
        <v>43.8</v>
      </c>
      <c r="R184">
        <f t="shared" si="88"/>
        <v>79.387499999999989</v>
      </c>
      <c r="S184">
        <v>1.41</v>
      </c>
      <c r="T184">
        <f t="shared" si="89"/>
        <v>2.555625</v>
      </c>
      <c r="U184">
        <f t="shared" si="93"/>
        <v>262.43801652892557</v>
      </c>
      <c r="V184">
        <f t="shared" si="94"/>
        <v>8.4483471074380159</v>
      </c>
      <c r="W184">
        <f t="shared" si="95"/>
        <v>79.387499999999989</v>
      </c>
      <c r="X184">
        <f t="shared" si="96"/>
        <v>2.555625</v>
      </c>
      <c r="Y184" t="s">
        <v>95</v>
      </c>
      <c r="Z184" t="s">
        <v>95</v>
      </c>
      <c r="AA184" t="s">
        <v>95</v>
      </c>
      <c r="AB184" t="s">
        <v>95</v>
      </c>
      <c r="AC184">
        <v>31.063829787234038</v>
      </c>
      <c r="AD184">
        <f t="shared" si="70"/>
        <v>31.063829787234042</v>
      </c>
    </row>
    <row r="185" spans="1:30" x14ac:dyDescent="0.2">
      <c r="A185">
        <v>220</v>
      </c>
      <c r="B185" t="s">
        <v>47</v>
      </c>
      <c r="C185" t="s">
        <v>48</v>
      </c>
      <c r="D185">
        <v>14</v>
      </c>
      <c r="E185" t="s">
        <v>52</v>
      </c>
      <c r="F185" s="2" t="s">
        <v>93</v>
      </c>
      <c r="G185" t="s">
        <v>88</v>
      </c>
      <c r="H185">
        <v>5.77</v>
      </c>
      <c r="I185" t="s">
        <v>95</v>
      </c>
      <c r="J185" t="s">
        <v>95</v>
      </c>
      <c r="K185">
        <f t="shared" si="87"/>
        <v>4.0000000000000008E-2</v>
      </c>
      <c r="L185" t="s">
        <v>95</v>
      </c>
      <c r="M185">
        <f t="shared" si="92"/>
        <v>144.25</v>
      </c>
      <c r="N185">
        <v>0.1719</v>
      </c>
      <c r="O185">
        <f t="shared" si="97"/>
        <v>4.2974999999999994</v>
      </c>
      <c r="P185">
        <f t="shared" si="91"/>
        <v>4.2974999999999994</v>
      </c>
      <c r="Q185">
        <v>44.02</v>
      </c>
      <c r="R185">
        <f t="shared" si="88"/>
        <v>63.498850000000004</v>
      </c>
      <c r="S185">
        <v>1.25</v>
      </c>
      <c r="T185">
        <f t="shared" si="89"/>
        <v>1.8031250000000001</v>
      </c>
      <c r="U185">
        <f t="shared" si="93"/>
        <v>209.91355371900826</v>
      </c>
      <c r="V185">
        <f t="shared" si="94"/>
        <v>5.9607438016528924</v>
      </c>
      <c r="W185">
        <f t="shared" si="95"/>
        <v>63.498850000000004</v>
      </c>
      <c r="X185">
        <f t="shared" si="96"/>
        <v>1.8031250000000001</v>
      </c>
      <c r="Y185" t="s">
        <v>95</v>
      </c>
      <c r="Z185" t="s">
        <v>95</v>
      </c>
      <c r="AA185" t="s">
        <v>95</v>
      </c>
      <c r="AB185" t="s">
        <v>95</v>
      </c>
      <c r="AC185">
        <v>35.216000000000001</v>
      </c>
      <c r="AD185">
        <f t="shared" si="70"/>
        <v>35.216000000000001</v>
      </c>
    </row>
    <row r="186" spans="1:30" x14ac:dyDescent="0.2">
      <c r="A186">
        <v>221</v>
      </c>
      <c r="B186" t="s">
        <v>47</v>
      </c>
      <c r="C186" t="s">
        <v>48</v>
      </c>
      <c r="D186">
        <v>14</v>
      </c>
      <c r="E186" t="s">
        <v>53</v>
      </c>
      <c r="F186" s="2" t="s">
        <v>93</v>
      </c>
      <c r="G186" t="s">
        <v>88</v>
      </c>
      <c r="H186">
        <v>4.72</v>
      </c>
      <c r="I186" t="s">
        <v>95</v>
      </c>
      <c r="J186" t="s">
        <v>95</v>
      </c>
      <c r="K186">
        <f t="shared" si="87"/>
        <v>4.0000000000000008E-2</v>
      </c>
      <c r="L186" t="s">
        <v>95</v>
      </c>
      <c r="M186">
        <f t="shared" si="92"/>
        <v>117.99999999999999</v>
      </c>
      <c r="N186">
        <v>0.14230000000000001</v>
      </c>
      <c r="O186">
        <f t="shared" si="97"/>
        <v>3.5574999999999997</v>
      </c>
      <c r="P186">
        <f t="shared" si="91"/>
        <v>3.5574999999999997</v>
      </c>
      <c r="Q186">
        <v>32.85</v>
      </c>
      <c r="R186">
        <f t="shared" si="88"/>
        <v>38.762999999999998</v>
      </c>
      <c r="S186">
        <v>0.95</v>
      </c>
      <c r="T186">
        <f t="shared" si="89"/>
        <v>1.1209999999999998</v>
      </c>
      <c r="U186">
        <f t="shared" si="93"/>
        <v>128.14214876033057</v>
      </c>
      <c r="V186">
        <f t="shared" si="94"/>
        <v>3.7057851239669422</v>
      </c>
      <c r="W186">
        <f t="shared" si="95"/>
        <v>38.762999999999998</v>
      </c>
      <c r="X186">
        <f t="shared" si="96"/>
        <v>1.1209999999999998</v>
      </c>
      <c r="Y186" t="s">
        <v>95</v>
      </c>
      <c r="Z186" t="s">
        <v>95</v>
      </c>
      <c r="AA186" t="s">
        <v>95</v>
      </c>
      <c r="AB186" t="s">
        <v>95</v>
      </c>
      <c r="AC186">
        <v>34.578947368421048</v>
      </c>
      <c r="AD186">
        <f t="shared" si="70"/>
        <v>34.578947368421055</v>
      </c>
    </row>
    <row r="187" spans="1:30" x14ac:dyDescent="0.2">
      <c r="A187">
        <v>222</v>
      </c>
      <c r="B187" t="s">
        <v>47</v>
      </c>
      <c r="C187" t="s">
        <v>48</v>
      </c>
      <c r="D187">
        <v>14</v>
      </c>
      <c r="E187" t="s">
        <v>54</v>
      </c>
      <c r="F187" s="2" t="s">
        <v>93</v>
      </c>
      <c r="G187" t="s">
        <v>88</v>
      </c>
      <c r="H187">
        <v>3.59</v>
      </c>
      <c r="I187" t="s">
        <v>95</v>
      </c>
      <c r="J187" t="s">
        <v>95</v>
      </c>
      <c r="K187">
        <f t="shared" si="87"/>
        <v>4.0000000000000008E-2</v>
      </c>
      <c r="L187" t="s">
        <v>95</v>
      </c>
      <c r="M187">
        <f t="shared" si="92"/>
        <v>89.75</v>
      </c>
      <c r="N187">
        <v>6.8999999999999999E-3</v>
      </c>
      <c r="O187">
        <f t="shared" si="97"/>
        <v>0.17249999999999996</v>
      </c>
      <c r="P187">
        <f t="shared" si="91"/>
        <v>0.17249999999999996</v>
      </c>
      <c r="Q187">
        <v>47.73</v>
      </c>
      <c r="R187">
        <f t="shared" si="88"/>
        <v>42.837674999999997</v>
      </c>
      <c r="S187">
        <v>1.24</v>
      </c>
      <c r="T187">
        <f t="shared" si="89"/>
        <v>1.1129</v>
      </c>
      <c r="U187">
        <f t="shared" si="93"/>
        <v>141.61214876033057</v>
      </c>
      <c r="V187">
        <f t="shared" si="94"/>
        <v>3.6790082644628099</v>
      </c>
      <c r="W187">
        <f t="shared" si="95"/>
        <v>42.837674999999997</v>
      </c>
      <c r="X187">
        <f t="shared" si="96"/>
        <v>1.1129</v>
      </c>
      <c r="Y187" t="s">
        <v>95</v>
      </c>
      <c r="Z187" t="s">
        <v>95</v>
      </c>
      <c r="AA187" t="s">
        <v>95</v>
      </c>
      <c r="AB187" t="s">
        <v>95</v>
      </c>
      <c r="AC187">
        <v>38.491935483870968</v>
      </c>
      <c r="AD187">
        <f t="shared" si="70"/>
        <v>38.491935483870968</v>
      </c>
    </row>
    <row r="188" spans="1:30" x14ac:dyDescent="0.2">
      <c r="A188">
        <v>223</v>
      </c>
      <c r="B188" t="s">
        <v>47</v>
      </c>
      <c r="C188" t="s">
        <v>48</v>
      </c>
      <c r="D188">
        <v>15</v>
      </c>
      <c r="E188" t="s">
        <v>55</v>
      </c>
      <c r="F188" s="2" t="s">
        <v>93</v>
      </c>
      <c r="G188" t="s">
        <v>88</v>
      </c>
      <c r="H188">
        <v>4.1900000000000004</v>
      </c>
      <c r="I188" t="s">
        <v>95</v>
      </c>
      <c r="J188" t="s">
        <v>95</v>
      </c>
      <c r="K188">
        <f t="shared" si="87"/>
        <v>4.0000000000000008E-2</v>
      </c>
      <c r="L188" t="s">
        <v>95</v>
      </c>
      <c r="M188">
        <f t="shared" si="92"/>
        <v>104.75000000000001</v>
      </c>
      <c r="N188">
        <v>8.9999999999999998E-4</v>
      </c>
      <c r="O188">
        <f t="shared" si="97"/>
        <v>2.2499999999999996E-2</v>
      </c>
      <c r="P188">
        <f t="shared" si="91"/>
        <v>2.2499999999999996E-2</v>
      </c>
      <c r="Q188">
        <v>24.43</v>
      </c>
      <c r="R188">
        <f t="shared" si="88"/>
        <v>25.590425000000003</v>
      </c>
      <c r="S188">
        <v>0.94</v>
      </c>
      <c r="T188">
        <f t="shared" si="89"/>
        <v>0.98465000000000003</v>
      </c>
      <c r="U188">
        <f t="shared" si="93"/>
        <v>84.596446280991742</v>
      </c>
      <c r="V188">
        <f t="shared" si="94"/>
        <v>3.2550413223140495</v>
      </c>
      <c r="W188">
        <f t="shared" si="95"/>
        <v>25.590425000000003</v>
      </c>
      <c r="X188">
        <f t="shared" si="96"/>
        <v>0.98465000000000003</v>
      </c>
      <c r="Y188" t="s">
        <v>95</v>
      </c>
      <c r="Z188" t="s">
        <v>95</v>
      </c>
      <c r="AA188" t="s">
        <v>95</v>
      </c>
      <c r="AB188" t="s">
        <v>95</v>
      </c>
      <c r="AC188">
        <v>25.989361702127663</v>
      </c>
      <c r="AD188">
        <f t="shared" si="70"/>
        <v>25.98936170212766</v>
      </c>
    </row>
    <row r="189" spans="1:30" x14ac:dyDescent="0.2">
      <c r="A189">
        <v>224</v>
      </c>
      <c r="B189" t="s">
        <v>47</v>
      </c>
      <c r="C189" t="s">
        <v>48</v>
      </c>
      <c r="D189">
        <v>15</v>
      </c>
      <c r="E189" t="s">
        <v>56</v>
      </c>
      <c r="F189" s="2" t="s">
        <v>93</v>
      </c>
      <c r="G189" t="s">
        <v>88</v>
      </c>
      <c r="H189">
        <v>24.45</v>
      </c>
      <c r="I189" t="s">
        <v>95</v>
      </c>
      <c r="J189" t="s">
        <v>95</v>
      </c>
      <c r="K189">
        <f t="shared" si="87"/>
        <v>4.0000000000000008E-2</v>
      </c>
      <c r="L189" t="s">
        <v>95</v>
      </c>
      <c r="M189">
        <f t="shared" si="92"/>
        <v>611.25</v>
      </c>
      <c r="N189">
        <v>3.4299999999999997E-2</v>
      </c>
      <c r="O189">
        <f t="shared" si="97"/>
        <v>0.85749999999999971</v>
      </c>
      <c r="P189">
        <f t="shared" si="91"/>
        <v>0.85749999999999971</v>
      </c>
      <c r="Q189">
        <v>20</v>
      </c>
      <c r="R189">
        <f t="shared" si="88"/>
        <v>122.25</v>
      </c>
      <c r="S189">
        <v>0.9</v>
      </c>
      <c r="T189">
        <f t="shared" si="89"/>
        <v>5.5012500000000006</v>
      </c>
      <c r="U189">
        <f t="shared" si="93"/>
        <v>404.13223140495876</v>
      </c>
      <c r="V189">
        <f t="shared" si="94"/>
        <v>18.185950413223143</v>
      </c>
      <c r="W189">
        <f t="shared" si="95"/>
        <v>122.25</v>
      </c>
      <c r="X189">
        <f t="shared" si="96"/>
        <v>5.5012500000000006</v>
      </c>
      <c r="Y189" t="s">
        <v>95</v>
      </c>
      <c r="Z189" t="s">
        <v>95</v>
      </c>
      <c r="AA189" t="s">
        <v>95</v>
      </c>
      <c r="AB189" t="s">
        <v>95</v>
      </c>
      <c r="AC189">
        <v>22.222222222222225</v>
      </c>
      <c r="AD189">
        <f t="shared" si="70"/>
        <v>22.222222222222221</v>
      </c>
    </row>
    <row r="190" spans="1:30" x14ac:dyDescent="0.2">
      <c r="A190">
        <v>225</v>
      </c>
      <c r="B190" t="s">
        <v>47</v>
      </c>
      <c r="C190" t="s">
        <v>48</v>
      </c>
      <c r="D190">
        <v>15</v>
      </c>
      <c r="E190" t="s">
        <v>57</v>
      </c>
      <c r="F190" s="2" t="s">
        <v>93</v>
      </c>
      <c r="G190" t="s">
        <v>88</v>
      </c>
      <c r="H190">
        <v>6.32</v>
      </c>
      <c r="I190" t="s">
        <v>95</v>
      </c>
      <c r="J190" t="s">
        <v>95</v>
      </c>
      <c r="K190">
        <f t="shared" si="87"/>
        <v>4.0000000000000008E-2</v>
      </c>
      <c r="L190" t="s">
        <v>95</v>
      </c>
      <c r="M190">
        <f t="shared" si="92"/>
        <v>158</v>
      </c>
      <c r="N190">
        <v>2.3E-2</v>
      </c>
      <c r="O190">
        <f t="shared" si="97"/>
        <v>0.57499999999999984</v>
      </c>
      <c r="P190">
        <f t="shared" si="91"/>
        <v>0.57499999999999984</v>
      </c>
      <c r="Q190">
        <v>14.33</v>
      </c>
      <c r="R190">
        <f t="shared" si="88"/>
        <v>22.641400000000001</v>
      </c>
      <c r="S190">
        <v>0.59</v>
      </c>
      <c r="T190">
        <f t="shared" si="89"/>
        <v>0.93220000000000003</v>
      </c>
      <c r="U190">
        <f t="shared" si="93"/>
        <v>74.847603305785142</v>
      </c>
      <c r="V190">
        <f t="shared" si="94"/>
        <v>3.0816528925619835</v>
      </c>
      <c r="W190">
        <f t="shared" si="95"/>
        <v>22.641400000000001</v>
      </c>
      <c r="X190">
        <f t="shared" si="96"/>
        <v>0.93220000000000003</v>
      </c>
      <c r="Y190" t="s">
        <v>95</v>
      </c>
      <c r="Z190" t="s">
        <v>95</v>
      </c>
      <c r="AA190" t="s">
        <v>95</v>
      </c>
      <c r="AB190" t="s">
        <v>95</v>
      </c>
      <c r="AC190">
        <v>24.288135593220346</v>
      </c>
      <c r="AD190">
        <f t="shared" si="70"/>
        <v>24.288135593220339</v>
      </c>
    </row>
    <row r="191" spans="1:30" x14ac:dyDescent="0.2">
      <c r="A191">
        <v>226</v>
      </c>
      <c r="B191" t="s">
        <v>47</v>
      </c>
      <c r="C191" t="s">
        <v>48</v>
      </c>
      <c r="D191">
        <v>16</v>
      </c>
      <c r="E191" t="s">
        <v>58</v>
      </c>
      <c r="F191" s="2" t="s">
        <v>93</v>
      </c>
      <c r="G191" t="s">
        <v>88</v>
      </c>
      <c r="H191">
        <v>14.04</v>
      </c>
      <c r="I191" t="s">
        <v>95</v>
      </c>
      <c r="J191" t="s">
        <v>95</v>
      </c>
      <c r="K191">
        <f t="shared" si="87"/>
        <v>4.0000000000000008E-2</v>
      </c>
      <c r="L191" t="s">
        <v>95</v>
      </c>
      <c r="M191">
        <f t="shared" si="92"/>
        <v>350.99999999999994</v>
      </c>
      <c r="N191">
        <v>0.65769999999999995</v>
      </c>
      <c r="O191">
        <f t="shared" si="97"/>
        <v>16.442499999999995</v>
      </c>
      <c r="P191">
        <f t="shared" si="91"/>
        <v>16.442499999999995</v>
      </c>
      <c r="Q191">
        <v>47.71</v>
      </c>
      <c r="R191">
        <f t="shared" si="88"/>
        <v>167.46209999999999</v>
      </c>
      <c r="S191">
        <v>1.27</v>
      </c>
      <c r="T191">
        <f t="shared" si="89"/>
        <v>4.4576999999999991</v>
      </c>
      <c r="U191">
        <f t="shared" si="93"/>
        <v>553.59371900826443</v>
      </c>
      <c r="V191">
        <f t="shared" si="94"/>
        <v>14.736198347107438</v>
      </c>
      <c r="W191">
        <f t="shared" si="95"/>
        <v>167.46209999999999</v>
      </c>
      <c r="X191">
        <f t="shared" si="96"/>
        <v>4.4576999999999991</v>
      </c>
      <c r="Y191" t="s">
        <v>95</v>
      </c>
      <c r="Z191" t="s">
        <v>95</v>
      </c>
      <c r="AA191" t="s">
        <v>95</v>
      </c>
      <c r="AB191" t="s">
        <v>95</v>
      </c>
      <c r="AC191">
        <v>37.566929133858267</v>
      </c>
      <c r="AD191">
        <f t="shared" si="70"/>
        <v>37.566929133858267</v>
      </c>
    </row>
    <row r="192" spans="1:30" x14ac:dyDescent="0.2">
      <c r="A192">
        <v>227</v>
      </c>
      <c r="B192" t="s">
        <v>47</v>
      </c>
      <c r="C192" t="s">
        <v>48</v>
      </c>
      <c r="D192">
        <v>16</v>
      </c>
      <c r="E192" t="s">
        <v>59</v>
      </c>
      <c r="F192" s="2" t="s">
        <v>93</v>
      </c>
      <c r="G192" t="s">
        <v>88</v>
      </c>
      <c r="H192">
        <v>12.74</v>
      </c>
      <c r="I192" t="s">
        <v>95</v>
      </c>
      <c r="J192" t="s">
        <v>95</v>
      </c>
      <c r="K192">
        <f t="shared" si="87"/>
        <v>4.0000000000000008E-2</v>
      </c>
      <c r="L192" t="s">
        <v>95</v>
      </c>
      <c r="M192">
        <f t="shared" si="92"/>
        <v>318.5</v>
      </c>
      <c r="N192">
        <v>8.8200000000000001E-2</v>
      </c>
      <c r="O192">
        <f t="shared" si="97"/>
        <v>2.2049999999999996</v>
      </c>
      <c r="P192">
        <f t="shared" si="91"/>
        <v>2.2049999999999996</v>
      </c>
      <c r="Q192">
        <v>9.61</v>
      </c>
      <c r="R192">
        <f t="shared" si="88"/>
        <v>30.607849999999996</v>
      </c>
      <c r="S192">
        <v>0.28999999999999998</v>
      </c>
      <c r="T192">
        <f t="shared" si="89"/>
        <v>0.92364999999999997</v>
      </c>
      <c r="U192">
        <f t="shared" si="93"/>
        <v>101.18297520661156</v>
      </c>
      <c r="V192">
        <f t="shared" si="94"/>
        <v>3.0533884297520664</v>
      </c>
      <c r="W192">
        <f t="shared" si="95"/>
        <v>30.607849999999996</v>
      </c>
      <c r="X192">
        <f t="shared" si="96"/>
        <v>0.92364999999999997</v>
      </c>
      <c r="Y192" t="s">
        <v>95</v>
      </c>
      <c r="Z192" t="s">
        <v>95</v>
      </c>
      <c r="AA192" t="s">
        <v>95</v>
      </c>
      <c r="AB192" t="s">
        <v>95</v>
      </c>
      <c r="AC192">
        <v>33.137931034482754</v>
      </c>
      <c r="AD192">
        <f t="shared" si="70"/>
        <v>33.137931034482762</v>
      </c>
    </row>
    <row r="193" spans="1:30" x14ac:dyDescent="0.2">
      <c r="A193">
        <v>228</v>
      </c>
      <c r="B193" t="s">
        <v>47</v>
      </c>
      <c r="C193" t="s">
        <v>48</v>
      </c>
      <c r="D193">
        <v>16</v>
      </c>
      <c r="E193" t="s">
        <v>60</v>
      </c>
      <c r="F193" s="2" t="s">
        <v>93</v>
      </c>
      <c r="G193" t="s">
        <v>88</v>
      </c>
      <c r="H193">
        <v>27.48</v>
      </c>
      <c r="I193" t="s">
        <v>95</v>
      </c>
      <c r="J193" t="s">
        <v>95</v>
      </c>
      <c r="K193">
        <f t="shared" si="87"/>
        <v>4.0000000000000008E-2</v>
      </c>
      <c r="L193" t="s">
        <v>95</v>
      </c>
      <c r="M193">
        <f t="shared" si="92"/>
        <v>687</v>
      </c>
      <c r="N193">
        <v>1.224</v>
      </c>
      <c r="O193">
        <f t="shared" si="97"/>
        <v>30.599999999999994</v>
      </c>
      <c r="P193">
        <f t="shared" si="91"/>
        <v>30.599999999999994</v>
      </c>
      <c r="Q193">
        <v>47.19</v>
      </c>
      <c r="R193">
        <f t="shared" si="88"/>
        <v>324.19529999999997</v>
      </c>
      <c r="S193">
        <v>1.34</v>
      </c>
      <c r="T193">
        <f t="shared" si="89"/>
        <v>9.2058</v>
      </c>
      <c r="U193">
        <f t="shared" si="93"/>
        <v>1071.72</v>
      </c>
      <c r="V193">
        <f t="shared" si="94"/>
        <v>30.432396694214876</v>
      </c>
      <c r="W193">
        <f t="shared" si="95"/>
        <v>324.19529999999997</v>
      </c>
      <c r="X193">
        <f t="shared" si="96"/>
        <v>9.2058</v>
      </c>
      <c r="Y193" t="s">
        <v>95</v>
      </c>
      <c r="Z193" t="s">
        <v>95</v>
      </c>
      <c r="AA193" t="s">
        <v>95</v>
      </c>
      <c r="AB193" t="s">
        <v>95</v>
      </c>
      <c r="AC193">
        <v>35.21641791044776</v>
      </c>
      <c r="AD193">
        <f t="shared" si="70"/>
        <v>35.21641791044776</v>
      </c>
    </row>
    <row r="194" spans="1:30" x14ac:dyDescent="0.2">
      <c r="A194">
        <v>229</v>
      </c>
      <c r="B194" t="s">
        <v>47</v>
      </c>
      <c r="C194" t="s">
        <v>48</v>
      </c>
      <c r="D194">
        <v>17</v>
      </c>
      <c r="E194" t="s">
        <v>61</v>
      </c>
      <c r="F194" s="2" t="s">
        <v>93</v>
      </c>
      <c r="G194" t="s">
        <v>88</v>
      </c>
      <c r="H194">
        <v>6.17</v>
      </c>
      <c r="I194" t="s">
        <v>95</v>
      </c>
      <c r="J194" t="s">
        <v>95</v>
      </c>
      <c r="K194">
        <f t="shared" si="87"/>
        <v>4.0000000000000008E-2</v>
      </c>
      <c r="L194" t="s">
        <v>95</v>
      </c>
      <c r="M194">
        <f t="shared" si="92"/>
        <v>154.25</v>
      </c>
      <c r="N194">
        <v>3.1300000000000001E-2</v>
      </c>
      <c r="O194">
        <f t="shared" si="97"/>
        <v>0.78249999999999986</v>
      </c>
      <c r="P194">
        <f t="shared" si="91"/>
        <v>0.78249999999999986</v>
      </c>
      <c r="Q194">
        <v>27.31</v>
      </c>
      <c r="R194">
        <f t="shared" si="88"/>
        <v>42.125675000000001</v>
      </c>
      <c r="S194">
        <v>1.1499999999999999</v>
      </c>
      <c r="T194">
        <f t="shared" si="89"/>
        <v>1.7738749999999999</v>
      </c>
      <c r="U194">
        <f t="shared" si="93"/>
        <v>139.25842975206612</v>
      </c>
      <c r="V194">
        <f t="shared" si="94"/>
        <v>5.8640495867768596</v>
      </c>
      <c r="W194">
        <f t="shared" si="95"/>
        <v>42.125675000000001</v>
      </c>
      <c r="X194">
        <f t="shared" si="96"/>
        <v>1.7738749999999999</v>
      </c>
      <c r="Y194" t="s">
        <v>95</v>
      </c>
      <c r="Z194" t="s">
        <v>95</v>
      </c>
      <c r="AA194" t="s">
        <v>95</v>
      </c>
      <c r="AB194" t="s">
        <v>95</v>
      </c>
      <c r="AC194">
        <v>23.747826086956522</v>
      </c>
      <c r="AD194">
        <f t="shared" ref="AD194:AD217" si="98">Q194/S194</f>
        <v>23.747826086956522</v>
      </c>
    </row>
    <row r="195" spans="1:30" x14ac:dyDescent="0.2">
      <c r="A195">
        <v>230</v>
      </c>
      <c r="B195" t="s">
        <v>47</v>
      </c>
      <c r="C195" t="s">
        <v>48</v>
      </c>
      <c r="D195">
        <v>17</v>
      </c>
      <c r="E195" t="s">
        <v>62</v>
      </c>
      <c r="F195" s="2" t="s">
        <v>93</v>
      </c>
      <c r="G195" t="s">
        <v>88</v>
      </c>
      <c r="H195">
        <v>15.75</v>
      </c>
      <c r="I195" t="s">
        <v>95</v>
      </c>
      <c r="J195" t="s">
        <v>95</v>
      </c>
      <c r="K195">
        <f t="shared" si="87"/>
        <v>4.0000000000000008E-2</v>
      </c>
      <c r="L195" t="s">
        <v>95</v>
      </c>
      <c r="M195">
        <f t="shared" si="92"/>
        <v>393.75</v>
      </c>
      <c r="N195">
        <v>0.67830000000000001</v>
      </c>
      <c r="O195">
        <f t="shared" si="97"/>
        <v>16.957499999999996</v>
      </c>
      <c r="P195">
        <f t="shared" si="91"/>
        <v>16.957499999999996</v>
      </c>
      <c r="Q195">
        <v>14.39</v>
      </c>
      <c r="R195">
        <f t="shared" si="88"/>
        <v>56.660625000000003</v>
      </c>
      <c r="S195">
        <v>0.79</v>
      </c>
      <c r="T195">
        <f t="shared" si="89"/>
        <v>3.1106250000000002</v>
      </c>
      <c r="U195">
        <f t="shared" si="93"/>
        <v>187.30785123966942</v>
      </c>
      <c r="V195">
        <f t="shared" si="94"/>
        <v>10.28305785123967</v>
      </c>
      <c r="W195">
        <f t="shared" si="95"/>
        <v>56.660625000000003</v>
      </c>
      <c r="X195">
        <f t="shared" si="96"/>
        <v>3.1106250000000002</v>
      </c>
      <c r="Y195" t="s">
        <v>95</v>
      </c>
      <c r="Z195" t="s">
        <v>95</v>
      </c>
      <c r="AA195" t="s">
        <v>95</v>
      </c>
      <c r="AB195" t="s">
        <v>95</v>
      </c>
      <c r="AC195">
        <v>18.215189873417721</v>
      </c>
      <c r="AD195">
        <f t="shared" si="98"/>
        <v>18.215189873417721</v>
      </c>
    </row>
    <row r="196" spans="1:30" x14ac:dyDescent="0.2">
      <c r="A196">
        <v>231</v>
      </c>
      <c r="B196" t="s">
        <v>47</v>
      </c>
      <c r="C196" t="s">
        <v>48</v>
      </c>
      <c r="D196">
        <v>17</v>
      </c>
      <c r="E196" t="s">
        <v>63</v>
      </c>
      <c r="F196" s="2" t="s">
        <v>93</v>
      </c>
      <c r="G196" t="s">
        <v>88</v>
      </c>
      <c r="H196">
        <v>10.75</v>
      </c>
      <c r="I196" t="s">
        <v>95</v>
      </c>
      <c r="J196" t="s">
        <v>95</v>
      </c>
      <c r="K196">
        <f t="shared" si="87"/>
        <v>4.0000000000000008E-2</v>
      </c>
      <c r="L196" t="s">
        <v>95</v>
      </c>
      <c r="M196">
        <f t="shared" si="92"/>
        <v>268.75</v>
      </c>
      <c r="N196">
        <v>1.6199999999999999E-2</v>
      </c>
      <c r="O196">
        <f t="shared" si="97"/>
        <v>0.40499999999999992</v>
      </c>
      <c r="P196">
        <f t="shared" si="91"/>
        <v>0.40499999999999992</v>
      </c>
      <c r="Q196">
        <v>16.489999999999998</v>
      </c>
      <c r="R196">
        <f t="shared" si="88"/>
        <v>44.316874999999996</v>
      </c>
      <c r="S196">
        <v>0.83</v>
      </c>
      <c r="T196">
        <f t="shared" si="89"/>
        <v>2.2306249999999999</v>
      </c>
      <c r="U196">
        <f t="shared" si="93"/>
        <v>146.50206611570249</v>
      </c>
      <c r="V196">
        <f t="shared" si="94"/>
        <v>7.3739669421487601</v>
      </c>
      <c r="W196">
        <f t="shared" si="95"/>
        <v>44.316874999999996</v>
      </c>
      <c r="X196">
        <f t="shared" si="96"/>
        <v>2.2306249999999999</v>
      </c>
      <c r="Y196" t="s">
        <v>95</v>
      </c>
      <c r="Z196" t="s">
        <v>95</v>
      </c>
      <c r="AA196" t="s">
        <v>95</v>
      </c>
      <c r="AB196" t="s">
        <v>95</v>
      </c>
      <c r="AC196">
        <v>19.867469879518076</v>
      </c>
      <c r="AD196">
        <f t="shared" si="98"/>
        <v>19.867469879518072</v>
      </c>
    </row>
    <row r="197" spans="1:30" x14ac:dyDescent="0.2">
      <c r="A197">
        <v>232</v>
      </c>
      <c r="B197" t="s">
        <v>47</v>
      </c>
      <c r="C197" t="s">
        <v>48</v>
      </c>
      <c r="D197">
        <v>18</v>
      </c>
      <c r="E197" t="s">
        <v>64</v>
      </c>
      <c r="F197" s="2" t="s">
        <v>93</v>
      </c>
      <c r="G197" t="s">
        <v>88</v>
      </c>
      <c r="H197">
        <v>9.52</v>
      </c>
      <c r="I197" t="s">
        <v>95</v>
      </c>
      <c r="J197" t="s">
        <v>95</v>
      </c>
      <c r="K197">
        <f t="shared" si="87"/>
        <v>4.0000000000000008E-2</v>
      </c>
      <c r="L197" t="s">
        <v>95</v>
      </c>
      <c r="M197">
        <f t="shared" si="92"/>
        <v>237.99999999999997</v>
      </c>
      <c r="N197">
        <v>3.1399999999999997E-2</v>
      </c>
      <c r="O197">
        <f t="shared" si="97"/>
        <v>0.78499999999999981</v>
      </c>
      <c r="P197">
        <f t="shared" si="91"/>
        <v>0.78499999999999981</v>
      </c>
      <c r="Q197">
        <v>35.33</v>
      </c>
      <c r="R197">
        <f t="shared" si="88"/>
        <v>84.085399999999993</v>
      </c>
      <c r="S197">
        <v>1.26</v>
      </c>
      <c r="T197">
        <f t="shared" si="89"/>
        <v>2.9987999999999997</v>
      </c>
      <c r="U197">
        <f t="shared" si="93"/>
        <v>277.96826446280994</v>
      </c>
      <c r="V197">
        <f t="shared" si="94"/>
        <v>9.9133884297520662</v>
      </c>
      <c r="W197">
        <f t="shared" si="95"/>
        <v>84.085399999999993</v>
      </c>
      <c r="X197">
        <f t="shared" si="96"/>
        <v>2.9987999999999997</v>
      </c>
      <c r="Y197" t="s">
        <v>95</v>
      </c>
      <c r="Z197" t="s">
        <v>95</v>
      </c>
      <c r="AA197" t="s">
        <v>95</v>
      </c>
      <c r="AB197" t="s">
        <v>95</v>
      </c>
      <c r="AC197">
        <v>28.039682539682541</v>
      </c>
      <c r="AD197">
        <f t="shared" si="98"/>
        <v>28.039682539682538</v>
      </c>
    </row>
    <row r="198" spans="1:30" x14ac:dyDescent="0.2">
      <c r="A198">
        <v>233</v>
      </c>
      <c r="B198" t="s">
        <v>47</v>
      </c>
      <c r="C198" t="s">
        <v>48</v>
      </c>
      <c r="D198">
        <v>18</v>
      </c>
      <c r="E198" t="s">
        <v>65</v>
      </c>
      <c r="F198" s="2" t="s">
        <v>93</v>
      </c>
      <c r="G198" t="s">
        <v>88</v>
      </c>
      <c r="H198">
        <v>13.14</v>
      </c>
      <c r="I198" t="s">
        <v>95</v>
      </c>
      <c r="J198" t="s">
        <v>95</v>
      </c>
      <c r="K198">
        <f t="shared" si="87"/>
        <v>4.0000000000000008E-2</v>
      </c>
      <c r="L198" t="s">
        <v>95</v>
      </c>
      <c r="M198">
        <f t="shared" si="92"/>
        <v>328.5</v>
      </c>
      <c r="N198">
        <v>8.6800000000000002E-2</v>
      </c>
      <c r="O198">
        <f t="shared" si="97"/>
        <v>2.1699999999999995</v>
      </c>
      <c r="P198">
        <f t="shared" si="91"/>
        <v>2.1699999999999995</v>
      </c>
      <c r="Q198">
        <v>33.090000000000003</v>
      </c>
      <c r="R198">
        <f t="shared" si="88"/>
        <v>108.70065000000001</v>
      </c>
      <c r="S198">
        <v>1.1399999999999999</v>
      </c>
      <c r="T198">
        <f t="shared" si="89"/>
        <v>3.7448999999999995</v>
      </c>
      <c r="U198">
        <f t="shared" si="93"/>
        <v>359.34099173553727</v>
      </c>
      <c r="V198">
        <f t="shared" si="94"/>
        <v>12.3798347107438</v>
      </c>
      <c r="W198">
        <f t="shared" si="95"/>
        <v>108.70065000000001</v>
      </c>
      <c r="X198">
        <f t="shared" si="96"/>
        <v>3.7448999999999995</v>
      </c>
      <c r="Y198" t="s">
        <v>95</v>
      </c>
      <c r="Z198" t="s">
        <v>95</v>
      </c>
      <c r="AA198" t="s">
        <v>95</v>
      </c>
      <c r="AB198" t="s">
        <v>95</v>
      </c>
      <c r="AC198">
        <v>29.026315789473692</v>
      </c>
      <c r="AD198">
        <f t="shared" si="98"/>
        <v>29.026315789473689</v>
      </c>
    </row>
    <row r="199" spans="1:30" x14ac:dyDescent="0.2">
      <c r="A199">
        <v>234</v>
      </c>
      <c r="B199" t="s">
        <v>47</v>
      </c>
      <c r="C199" t="s">
        <v>48</v>
      </c>
      <c r="D199">
        <v>18</v>
      </c>
      <c r="E199" t="s">
        <v>66</v>
      </c>
      <c r="F199" s="2" t="s">
        <v>93</v>
      </c>
      <c r="G199" t="s">
        <v>88</v>
      </c>
      <c r="H199">
        <v>5.05</v>
      </c>
      <c r="I199" t="s">
        <v>95</v>
      </c>
      <c r="J199" t="s">
        <v>95</v>
      </c>
      <c r="K199">
        <f t="shared" si="87"/>
        <v>4.0000000000000008E-2</v>
      </c>
      <c r="L199" t="s">
        <v>95</v>
      </c>
      <c r="M199">
        <f t="shared" si="92"/>
        <v>126.25</v>
      </c>
      <c r="N199">
        <v>6.3E-3</v>
      </c>
      <c r="O199">
        <f t="shared" si="97"/>
        <v>0.15749999999999997</v>
      </c>
      <c r="P199">
        <f t="shared" si="91"/>
        <v>0.15749999999999997</v>
      </c>
      <c r="Q199">
        <v>47.43</v>
      </c>
      <c r="R199">
        <f t="shared" si="88"/>
        <v>59.880375000000001</v>
      </c>
      <c r="S199">
        <v>1.37</v>
      </c>
      <c r="T199">
        <f t="shared" si="89"/>
        <v>1.729625</v>
      </c>
      <c r="U199">
        <f t="shared" si="93"/>
        <v>197.95165289256198</v>
      </c>
      <c r="V199">
        <f t="shared" si="94"/>
        <v>5.7177685950413224</v>
      </c>
      <c r="W199">
        <f t="shared" si="95"/>
        <v>59.880375000000001</v>
      </c>
      <c r="X199">
        <f t="shared" si="96"/>
        <v>1.729625</v>
      </c>
      <c r="Y199" t="s">
        <v>95</v>
      </c>
      <c r="Z199" t="s">
        <v>95</v>
      </c>
      <c r="AA199" t="s">
        <v>95</v>
      </c>
      <c r="AB199" t="s">
        <v>95</v>
      </c>
      <c r="AC199">
        <v>34.620437956204377</v>
      </c>
      <c r="AD199">
        <f t="shared" si="98"/>
        <v>34.620437956204377</v>
      </c>
    </row>
    <row r="200" spans="1:30" x14ac:dyDescent="0.2">
      <c r="A200">
        <v>235</v>
      </c>
      <c r="B200" t="s">
        <v>67</v>
      </c>
      <c r="C200" t="s">
        <v>68</v>
      </c>
      <c r="D200">
        <v>19</v>
      </c>
      <c r="E200" t="s">
        <v>69</v>
      </c>
      <c r="F200" s="2" t="s">
        <v>93</v>
      </c>
      <c r="G200" t="s">
        <v>88</v>
      </c>
      <c r="H200">
        <v>4.5999999999999996</v>
      </c>
      <c r="I200" t="s">
        <v>95</v>
      </c>
      <c r="J200" t="s">
        <v>95</v>
      </c>
      <c r="K200">
        <f t="shared" si="87"/>
        <v>4.0000000000000008E-2</v>
      </c>
      <c r="L200" t="s">
        <v>95</v>
      </c>
      <c r="M200">
        <f t="shared" si="92"/>
        <v>114.99999999999999</v>
      </c>
      <c r="N200">
        <v>9.7299999999999998E-2</v>
      </c>
      <c r="O200">
        <f t="shared" si="97"/>
        <v>2.4324999999999997</v>
      </c>
      <c r="P200">
        <f t="shared" si="91"/>
        <v>2.4324999999999997</v>
      </c>
      <c r="Q200">
        <v>10.67</v>
      </c>
      <c r="R200">
        <f t="shared" si="88"/>
        <v>12.270499999999998</v>
      </c>
      <c r="S200">
        <v>0.36</v>
      </c>
      <c r="T200">
        <f t="shared" si="89"/>
        <v>0.41399999999999992</v>
      </c>
      <c r="U200">
        <f t="shared" si="93"/>
        <v>40.563636363636363</v>
      </c>
      <c r="V200">
        <f t="shared" si="94"/>
        <v>1.368595041322314</v>
      </c>
      <c r="W200">
        <f t="shared" si="95"/>
        <v>12.270499999999998</v>
      </c>
      <c r="X200">
        <f t="shared" si="96"/>
        <v>0.41399999999999992</v>
      </c>
      <c r="Y200" t="s">
        <v>95</v>
      </c>
      <c r="Z200" t="s">
        <v>95</v>
      </c>
      <c r="AA200" t="s">
        <v>95</v>
      </c>
      <c r="AB200" t="s">
        <v>95</v>
      </c>
      <c r="AC200">
        <v>29.638888888888889</v>
      </c>
      <c r="AD200">
        <f t="shared" si="98"/>
        <v>29.638888888888889</v>
      </c>
    </row>
    <row r="201" spans="1:30" x14ac:dyDescent="0.2">
      <c r="A201">
        <v>236</v>
      </c>
      <c r="B201" t="s">
        <v>67</v>
      </c>
      <c r="C201" t="s">
        <v>68</v>
      </c>
      <c r="D201">
        <v>19</v>
      </c>
      <c r="E201" t="s">
        <v>70</v>
      </c>
      <c r="F201" s="2" t="s">
        <v>93</v>
      </c>
      <c r="G201" t="s">
        <v>88</v>
      </c>
      <c r="H201">
        <v>0.39</v>
      </c>
      <c r="I201" t="s">
        <v>95</v>
      </c>
      <c r="J201" t="s">
        <v>95</v>
      </c>
      <c r="K201">
        <f t="shared" si="87"/>
        <v>4.0000000000000008E-2</v>
      </c>
      <c r="L201" t="s">
        <v>95</v>
      </c>
      <c r="M201">
        <f t="shared" si="92"/>
        <v>9.75</v>
      </c>
      <c r="N201">
        <v>0.21820000000000001</v>
      </c>
      <c r="O201">
        <f t="shared" si="97"/>
        <v>5.4549999999999992</v>
      </c>
      <c r="P201">
        <f t="shared" si="91"/>
        <v>5.4549999999999992</v>
      </c>
      <c r="Q201">
        <v>13.04</v>
      </c>
      <c r="R201">
        <f t="shared" si="88"/>
        <v>1.2713999999999999</v>
      </c>
      <c r="S201">
        <v>0.56000000000000005</v>
      </c>
      <c r="T201">
        <f t="shared" si="89"/>
        <v>5.460000000000001E-2</v>
      </c>
      <c r="U201">
        <f t="shared" si="93"/>
        <v>4.20297520661157</v>
      </c>
      <c r="V201">
        <f t="shared" si="94"/>
        <v>0.18049586776859505</v>
      </c>
      <c r="W201">
        <f t="shared" si="95"/>
        <v>1.2713999999999999</v>
      </c>
      <c r="X201">
        <f t="shared" si="96"/>
        <v>5.460000000000001E-2</v>
      </c>
      <c r="Y201" t="s">
        <v>95</v>
      </c>
      <c r="Z201" t="s">
        <v>95</v>
      </c>
      <c r="AA201" t="s">
        <v>95</v>
      </c>
      <c r="AB201" t="s">
        <v>95</v>
      </c>
      <c r="AC201">
        <v>23.285714285714281</v>
      </c>
      <c r="AD201">
        <f t="shared" si="98"/>
        <v>23.285714285714281</v>
      </c>
    </row>
    <row r="202" spans="1:30" x14ac:dyDescent="0.2">
      <c r="A202">
        <v>237</v>
      </c>
      <c r="B202" t="s">
        <v>67</v>
      </c>
      <c r="C202" t="s">
        <v>68</v>
      </c>
      <c r="D202">
        <v>19</v>
      </c>
      <c r="E202" t="s">
        <v>71</v>
      </c>
      <c r="F202" s="2" t="s">
        <v>93</v>
      </c>
      <c r="G202" t="s">
        <v>88</v>
      </c>
      <c r="H202">
        <v>0.52</v>
      </c>
      <c r="I202" t="s">
        <v>95</v>
      </c>
      <c r="J202" t="s">
        <v>95</v>
      </c>
      <c r="K202">
        <f t="shared" si="87"/>
        <v>4.0000000000000008E-2</v>
      </c>
      <c r="L202" t="s">
        <v>95</v>
      </c>
      <c r="M202">
        <f t="shared" si="92"/>
        <v>13</v>
      </c>
      <c r="N202">
        <v>6.4999999999999997E-3</v>
      </c>
      <c r="O202">
        <f t="shared" si="97"/>
        <v>0.16249999999999995</v>
      </c>
      <c r="P202">
        <f t="shared" si="91"/>
        <v>0.16249999999999995</v>
      </c>
      <c r="Q202">
        <v>36.409999999999997</v>
      </c>
      <c r="R202">
        <f t="shared" si="88"/>
        <v>4.7332999999999998</v>
      </c>
      <c r="S202">
        <v>0.83</v>
      </c>
      <c r="T202">
        <f t="shared" si="89"/>
        <v>0.1079</v>
      </c>
      <c r="U202">
        <f t="shared" si="93"/>
        <v>15.647272727272728</v>
      </c>
      <c r="V202">
        <f t="shared" si="94"/>
        <v>0.35669421487603309</v>
      </c>
      <c r="W202">
        <f t="shared" si="95"/>
        <v>4.7332999999999998</v>
      </c>
      <c r="X202">
        <f t="shared" si="96"/>
        <v>0.1079</v>
      </c>
      <c r="Y202" t="s">
        <v>95</v>
      </c>
      <c r="Z202" t="s">
        <v>95</v>
      </c>
      <c r="AA202" t="s">
        <v>95</v>
      </c>
      <c r="AB202" t="s">
        <v>95</v>
      </c>
      <c r="AC202">
        <v>43.867469879518069</v>
      </c>
      <c r="AD202">
        <f t="shared" si="98"/>
        <v>43.867469879518069</v>
      </c>
    </row>
    <row r="203" spans="1:30" x14ac:dyDescent="0.2">
      <c r="A203">
        <v>238</v>
      </c>
      <c r="B203" t="s">
        <v>67</v>
      </c>
      <c r="C203" t="s">
        <v>68</v>
      </c>
      <c r="D203">
        <v>20</v>
      </c>
      <c r="E203" t="s">
        <v>72</v>
      </c>
      <c r="F203" s="2" t="s">
        <v>93</v>
      </c>
      <c r="G203" t="s">
        <v>88</v>
      </c>
      <c r="H203">
        <v>15.39</v>
      </c>
      <c r="I203" t="s">
        <v>95</v>
      </c>
      <c r="J203" t="s">
        <v>95</v>
      </c>
      <c r="K203">
        <f t="shared" si="87"/>
        <v>4.0000000000000008E-2</v>
      </c>
      <c r="L203" t="s">
        <v>95</v>
      </c>
      <c r="M203">
        <f t="shared" si="92"/>
        <v>384.75</v>
      </c>
      <c r="N203">
        <v>9.7199999999999995E-2</v>
      </c>
      <c r="O203">
        <f t="shared" si="97"/>
        <v>2.4299999999999993</v>
      </c>
      <c r="P203">
        <f t="shared" si="91"/>
        <v>2.4299999999999993</v>
      </c>
      <c r="Q203">
        <v>18.97</v>
      </c>
      <c r="R203">
        <f t="shared" si="88"/>
        <v>72.98707499999999</v>
      </c>
      <c r="S203">
        <v>0.88</v>
      </c>
      <c r="T203">
        <f t="shared" si="89"/>
        <v>3.3858000000000001</v>
      </c>
      <c r="U203">
        <f t="shared" si="93"/>
        <v>241.27958677685947</v>
      </c>
      <c r="V203">
        <f t="shared" si="94"/>
        <v>11.192727272727275</v>
      </c>
      <c r="W203">
        <f t="shared" si="95"/>
        <v>72.98707499999999</v>
      </c>
      <c r="X203">
        <f t="shared" si="96"/>
        <v>3.3858000000000001</v>
      </c>
      <c r="Y203" t="s">
        <v>95</v>
      </c>
      <c r="Z203" t="s">
        <v>95</v>
      </c>
      <c r="AA203" t="s">
        <v>95</v>
      </c>
      <c r="AB203" t="s">
        <v>95</v>
      </c>
      <c r="AC203">
        <v>21.556818181818176</v>
      </c>
      <c r="AD203">
        <f t="shared" si="98"/>
        <v>21.55681818181818</v>
      </c>
    </row>
    <row r="204" spans="1:30" x14ac:dyDescent="0.2">
      <c r="A204">
        <v>239</v>
      </c>
      <c r="B204" t="s">
        <v>67</v>
      </c>
      <c r="C204" t="s">
        <v>68</v>
      </c>
      <c r="D204">
        <v>20</v>
      </c>
      <c r="E204" t="s">
        <v>73</v>
      </c>
      <c r="F204" s="2" t="s">
        <v>93</v>
      </c>
      <c r="G204" t="s">
        <v>88</v>
      </c>
      <c r="H204">
        <v>4.79</v>
      </c>
      <c r="I204" t="s">
        <v>95</v>
      </c>
      <c r="J204" t="s">
        <v>95</v>
      </c>
      <c r="K204">
        <f t="shared" si="87"/>
        <v>4.0000000000000008E-2</v>
      </c>
      <c r="L204" t="s">
        <v>95</v>
      </c>
      <c r="M204">
        <f t="shared" si="92"/>
        <v>119.75</v>
      </c>
      <c r="N204">
        <v>3.2399999999999998E-2</v>
      </c>
      <c r="O204">
        <f t="shared" si="97"/>
        <v>0.80999999999999983</v>
      </c>
      <c r="P204">
        <f t="shared" si="91"/>
        <v>0.80999999999999983</v>
      </c>
      <c r="Q204">
        <v>8.93</v>
      </c>
      <c r="R204">
        <f t="shared" si="88"/>
        <v>10.693674999999999</v>
      </c>
      <c r="S204">
        <v>0.54</v>
      </c>
      <c r="T204">
        <f t="shared" si="89"/>
        <v>0.64665000000000006</v>
      </c>
      <c r="U204">
        <f t="shared" si="93"/>
        <v>35.350991735537185</v>
      </c>
      <c r="V204">
        <f t="shared" si="94"/>
        <v>2.1376859504132231</v>
      </c>
      <c r="W204">
        <f t="shared" si="95"/>
        <v>10.693674999999999</v>
      </c>
      <c r="X204">
        <f t="shared" si="96"/>
        <v>0.64665000000000006</v>
      </c>
      <c r="Y204" t="s">
        <v>95</v>
      </c>
      <c r="Z204" t="s">
        <v>95</v>
      </c>
      <c r="AA204" t="s">
        <v>95</v>
      </c>
      <c r="AB204" t="s">
        <v>95</v>
      </c>
      <c r="AC204">
        <v>16.537037037037035</v>
      </c>
      <c r="AD204">
        <f t="shared" si="98"/>
        <v>16.537037037037035</v>
      </c>
    </row>
    <row r="205" spans="1:30" x14ac:dyDescent="0.2">
      <c r="A205">
        <v>240</v>
      </c>
      <c r="B205" t="s">
        <v>67</v>
      </c>
      <c r="C205" t="s">
        <v>68</v>
      </c>
      <c r="D205">
        <v>20</v>
      </c>
      <c r="E205" t="s">
        <v>74</v>
      </c>
      <c r="F205" s="2" t="s">
        <v>93</v>
      </c>
      <c r="G205" t="s">
        <v>88</v>
      </c>
      <c r="H205">
        <v>6.41</v>
      </c>
      <c r="I205" t="s">
        <v>95</v>
      </c>
      <c r="J205" t="s">
        <v>95</v>
      </c>
      <c r="K205">
        <f t="shared" si="87"/>
        <v>4.0000000000000008E-2</v>
      </c>
      <c r="L205" t="s">
        <v>95</v>
      </c>
      <c r="M205">
        <f t="shared" si="92"/>
        <v>160.25</v>
      </c>
      <c r="N205">
        <v>3.6200000000000003E-2</v>
      </c>
      <c r="O205">
        <f t="shared" si="97"/>
        <v>0.90499999999999992</v>
      </c>
      <c r="P205">
        <f t="shared" si="91"/>
        <v>0.90499999999999992</v>
      </c>
      <c r="Q205">
        <v>19.78</v>
      </c>
      <c r="R205">
        <f t="shared" si="88"/>
        <v>31.69745</v>
      </c>
      <c r="S205">
        <v>0.84</v>
      </c>
      <c r="T205">
        <f t="shared" si="89"/>
        <v>1.3460999999999999</v>
      </c>
      <c r="U205">
        <f t="shared" si="93"/>
        <v>104.78495867768595</v>
      </c>
      <c r="V205">
        <f t="shared" si="94"/>
        <v>4.4499173553719009</v>
      </c>
      <c r="W205">
        <f t="shared" si="95"/>
        <v>31.69745</v>
      </c>
      <c r="X205">
        <f t="shared" si="96"/>
        <v>1.3460999999999999</v>
      </c>
      <c r="Y205" t="s">
        <v>95</v>
      </c>
      <c r="Z205" t="s">
        <v>95</v>
      </c>
      <c r="AA205" t="s">
        <v>95</v>
      </c>
      <c r="AB205" t="s">
        <v>95</v>
      </c>
      <c r="AC205">
        <v>23.547619047619047</v>
      </c>
      <c r="AD205">
        <f t="shared" si="98"/>
        <v>23.547619047619051</v>
      </c>
    </row>
    <row r="206" spans="1:30" x14ac:dyDescent="0.2">
      <c r="A206">
        <v>241</v>
      </c>
      <c r="B206" t="s">
        <v>67</v>
      </c>
      <c r="C206" t="s">
        <v>68</v>
      </c>
      <c r="D206">
        <v>21</v>
      </c>
      <c r="E206" t="s">
        <v>75</v>
      </c>
      <c r="F206" s="2" t="s">
        <v>93</v>
      </c>
      <c r="G206" t="s">
        <v>88</v>
      </c>
      <c r="H206">
        <v>11.52</v>
      </c>
      <c r="I206" t="s">
        <v>95</v>
      </c>
      <c r="J206" t="s">
        <v>95</v>
      </c>
      <c r="K206">
        <f t="shared" si="87"/>
        <v>4.0000000000000008E-2</v>
      </c>
      <c r="L206" t="s">
        <v>95</v>
      </c>
      <c r="M206">
        <f t="shared" si="92"/>
        <v>288</v>
      </c>
      <c r="N206">
        <v>0.44019999999999998</v>
      </c>
      <c r="O206">
        <f t="shared" si="97"/>
        <v>11.004999999999997</v>
      </c>
      <c r="P206">
        <f t="shared" si="91"/>
        <v>11.004999999999997</v>
      </c>
      <c r="Q206">
        <v>24.04</v>
      </c>
      <c r="R206">
        <f t="shared" si="88"/>
        <v>69.235200000000006</v>
      </c>
      <c r="S206">
        <v>0.98</v>
      </c>
      <c r="T206">
        <f t="shared" si="89"/>
        <v>2.8224</v>
      </c>
      <c r="U206">
        <f t="shared" si="93"/>
        <v>228.87669421487604</v>
      </c>
      <c r="V206">
        <f t="shared" si="94"/>
        <v>9.3302479338842979</v>
      </c>
      <c r="W206">
        <f t="shared" si="95"/>
        <v>69.235200000000006</v>
      </c>
      <c r="X206">
        <f t="shared" si="96"/>
        <v>2.8224</v>
      </c>
      <c r="Y206" t="s">
        <v>95</v>
      </c>
      <c r="Z206" t="s">
        <v>95</v>
      </c>
      <c r="AA206" t="s">
        <v>95</v>
      </c>
      <c r="AB206" t="s">
        <v>95</v>
      </c>
      <c r="AC206">
        <v>24.530612244897959</v>
      </c>
      <c r="AD206">
        <f t="shared" si="98"/>
        <v>24.530612244897959</v>
      </c>
    </row>
    <row r="207" spans="1:30" x14ac:dyDescent="0.2">
      <c r="A207">
        <v>242</v>
      </c>
      <c r="B207" t="s">
        <v>67</v>
      </c>
      <c r="C207" t="s">
        <v>68</v>
      </c>
      <c r="D207">
        <v>21</v>
      </c>
      <c r="E207" t="s">
        <v>76</v>
      </c>
      <c r="F207" s="2" t="s">
        <v>93</v>
      </c>
      <c r="G207" t="s">
        <v>88</v>
      </c>
      <c r="H207">
        <v>18.2</v>
      </c>
      <c r="I207" t="s">
        <v>95</v>
      </c>
      <c r="J207" t="s">
        <v>95</v>
      </c>
      <c r="K207">
        <f t="shared" si="87"/>
        <v>4.0000000000000008E-2</v>
      </c>
      <c r="L207" t="s">
        <v>95</v>
      </c>
      <c r="M207">
        <f t="shared" si="92"/>
        <v>455</v>
      </c>
      <c r="N207">
        <v>0.48449999999999999</v>
      </c>
      <c r="O207">
        <f t="shared" si="97"/>
        <v>12.112499999999997</v>
      </c>
      <c r="P207">
        <f t="shared" si="91"/>
        <v>12.112499999999997</v>
      </c>
      <c r="Q207">
        <v>37.14</v>
      </c>
      <c r="R207">
        <f t="shared" si="88"/>
        <v>168.98699999999999</v>
      </c>
      <c r="S207">
        <v>1.24</v>
      </c>
      <c r="T207">
        <f t="shared" si="89"/>
        <v>5.6419999999999995</v>
      </c>
      <c r="U207">
        <f t="shared" si="93"/>
        <v>558.63471074380163</v>
      </c>
      <c r="V207">
        <f t="shared" si="94"/>
        <v>18.651239669421486</v>
      </c>
      <c r="W207">
        <f t="shared" si="95"/>
        <v>168.98699999999999</v>
      </c>
      <c r="X207">
        <f t="shared" si="96"/>
        <v>5.6419999999999995</v>
      </c>
      <c r="Y207" t="s">
        <v>95</v>
      </c>
      <c r="Z207" t="s">
        <v>95</v>
      </c>
      <c r="AA207" t="s">
        <v>95</v>
      </c>
      <c r="AB207" t="s">
        <v>95</v>
      </c>
      <c r="AC207">
        <v>29.951612903225808</v>
      </c>
      <c r="AD207">
        <f t="shared" si="98"/>
        <v>29.951612903225808</v>
      </c>
    </row>
    <row r="208" spans="1:30" x14ac:dyDescent="0.2">
      <c r="A208">
        <v>243</v>
      </c>
      <c r="B208" t="s">
        <v>67</v>
      </c>
      <c r="C208" t="s">
        <v>68</v>
      </c>
      <c r="D208">
        <v>21</v>
      </c>
      <c r="E208" t="s">
        <v>77</v>
      </c>
      <c r="F208" s="2" t="s">
        <v>93</v>
      </c>
      <c r="G208" t="s">
        <v>88</v>
      </c>
      <c r="H208">
        <v>12.01</v>
      </c>
      <c r="I208" t="s">
        <v>95</v>
      </c>
      <c r="J208" t="s">
        <v>95</v>
      </c>
      <c r="K208">
        <f t="shared" si="87"/>
        <v>4.0000000000000008E-2</v>
      </c>
      <c r="L208" t="s">
        <v>95</v>
      </c>
      <c r="M208">
        <f t="shared" si="92"/>
        <v>300.25</v>
      </c>
      <c r="N208">
        <v>9.1800000000000007E-2</v>
      </c>
      <c r="O208">
        <f t="shared" si="97"/>
        <v>2.2949999999999999</v>
      </c>
      <c r="P208">
        <f t="shared" si="91"/>
        <v>2.2949999999999999</v>
      </c>
      <c r="Q208">
        <v>43</v>
      </c>
      <c r="R208">
        <f t="shared" si="88"/>
        <v>129.10749999999999</v>
      </c>
      <c r="S208">
        <v>1.32</v>
      </c>
      <c r="T208">
        <f t="shared" si="89"/>
        <v>3.9632999999999998</v>
      </c>
      <c r="U208">
        <f t="shared" si="93"/>
        <v>426.801652892562</v>
      </c>
      <c r="V208">
        <f t="shared" si="94"/>
        <v>13.101818181818183</v>
      </c>
      <c r="W208">
        <f t="shared" si="95"/>
        <v>129.10749999999999</v>
      </c>
      <c r="X208">
        <f t="shared" si="96"/>
        <v>3.9632999999999998</v>
      </c>
      <c r="Y208" t="s">
        <v>95</v>
      </c>
      <c r="Z208" t="s">
        <v>95</v>
      </c>
      <c r="AA208" t="s">
        <v>95</v>
      </c>
      <c r="AB208" t="s">
        <v>95</v>
      </c>
      <c r="AC208">
        <v>32.575757575757571</v>
      </c>
      <c r="AD208">
        <f t="shared" si="98"/>
        <v>32.575757575757571</v>
      </c>
    </row>
    <row r="209" spans="1:30" x14ac:dyDescent="0.2">
      <c r="A209">
        <v>244</v>
      </c>
      <c r="B209" t="s">
        <v>67</v>
      </c>
      <c r="C209" t="s">
        <v>68</v>
      </c>
      <c r="D209">
        <v>22</v>
      </c>
      <c r="E209" t="s">
        <v>78</v>
      </c>
      <c r="F209" s="2" t="s">
        <v>93</v>
      </c>
      <c r="G209" t="s">
        <v>88</v>
      </c>
      <c r="H209">
        <v>7.29</v>
      </c>
      <c r="I209" t="s">
        <v>95</v>
      </c>
      <c r="J209" t="s">
        <v>95</v>
      </c>
      <c r="K209">
        <f t="shared" si="87"/>
        <v>4.0000000000000008E-2</v>
      </c>
      <c r="L209" t="s">
        <v>95</v>
      </c>
      <c r="M209">
        <f t="shared" si="92"/>
        <v>182.25</v>
      </c>
      <c r="N209">
        <v>0.25600000000000001</v>
      </c>
      <c r="O209">
        <f t="shared" si="97"/>
        <v>6.3999999999999986</v>
      </c>
      <c r="P209">
        <f t="shared" si="91"/>
        <v>6.3999999999999986</v>
      </c>
      <c r="Q209">
        <v>39.36</v>
      </c>
      <c r="R209">
        <f t="shared" si="88"/>
        <v>71.733599999999996</v>
      </c>
      <c r="S209">
        <v>1.37</v>
      </c>
      <c r="T209">
        <f t="shared" si="89"/>
        <v>2.4968249999999999</v>
      </c>
      <c r="U209">
        <f t="shared" si="93"/>
        <v>237.13586776859503</v>
      </c>
      <c r="V209">
        <f t="shared" si="94"/>
        <v>8.2539669421487609</v>
      </c>
      <c r="W209">
        <f t="shared" si="95"/>
        <v>71.733599999999996</v>
      </c>
      <c r="X209">
        <f t="shared" si="96"/>
        <v>2.4968249999999999</v>
      </c>
      <c r="Y209" t="s">
        <v>95</v>
      </c>
      <c r="Z209" t="s">
        <v>95</v>
      </c>
      <c r="AA209" t="s">
        <v>95</v>
      </c>
      <c r="AB209" t="s">
        <v>95</v>
      </c>
      <c r="AC209">
        <v>28.729927007299267</v>
      </c>
      <c r="AD209">
        <f t="shared" si="98"/>
        <v>28.729927007299267</v>
      </c>
    </row>
    <row r="210" spans="1:30" x14ac:dyDescent="0.2">
      <c r="A210">
        <v>245</v>
      </c>
      <c r="B210" t="s">
        <v>67</v>
      </c>
      <c r="C210" t="s">
        <v>68</v>
      </c>
      <c r="D210">
        <v>22</v>
      </c>
      <c r="E210" t="s">
        <v>79</v>
      </c>
      <c r="F210" s="2" t="s">
        <v>93</v>
      </c>
      <c r="G210" t="s">
        <v>88</v>
      </c>
      <c r="H210">
        <v>6.29</v>
      </c>
      <c r="I210" t="s">
        <v>95</v>
      </c>
      <c r="J210" t="s">
        <v>95</v>
      </c>
      <c r="K210">
        <f t="shared" si="87"/>
        <v>4.0000000000000008E-2</v>
      </c>
      <c r="L210" t="s">
        <v>95</v>
      </c>
      <c r="M210">
        <f t="shared" ref="M210:M217" si="99">H210/0.04</f>
        <v>157.25</v>
      </c>
      <c r="N210">
        <v>9.5999999999999992E-3</v>
      </c>
      <c r="O210">
        <f t="shared" si="97"/>
        <v>0.23999999999999994</v>
      </c>
      <c r="P210">
        <f t="shared" si="91"/>
        <v>0.23999999999999994</v>
      </c>
      <c r="Q210">
        <v>26.53</v>
      </c>
      <c r="R210">
        <f t="shared" si="88"/>
        <v>41.718425000000003</v>
      </c>
      <c r="S210">
        <v>0.83</v>
      </c>
      <c r="T210">
        <f t="shared" si="89"/>
        <v>1.305175</v>
      </c>
      <c r="U210">
        <f t="shared" ref="U210:U217" si="100">(H210*(Q210/100))/0.0121</f>
        <v>137.91214876033058</v>
      </c>
      <c r="V210">
        <f t="shared" ref="V210:V217" si="101">(H210*(S210/100))/0.0121</f>
        <v>4.3146280991735537</v>
      </c>
      <c r="W210">
        <f t="shared" ref="W210:W217" si="102">(H210/0.04)*(Q210/100)</f>
        <v>41.718425000000003</v>
      </c>
      <c r="X210">
        <f t="shared" ref="X210:X217" si="103">(H210/0.04)*(S210/100)</f>
        <v>1.305175</v>
      </c>
      <c r="Y210" t="s">
        <v>95</v>
      </c>
      <c r="Z210" t="s">
        <v>95</v>
      </c>
      <c r="AA210" t="s">
        <v>95</v>
      </c>
      <c r="AB210" t="s">
        <v>95</v>
      </c>
      <c r="AC210">
        <v>31.963855421686748</v>
      </c>
      <c r="AD210">
        <f t="shared" si="98"/>
        <v>31.963855421686748</v>
      </c>
    </row>
    <row r="211" spans="1:30" x14ac:dyDescent="0.2">
      <c r="A211">
        <v>246</v>
      </c>
      <c r="B211" t="s">
        <v>67</v>
      </c>
      <c r="C211" t="s">
        <v>68</v>
      </c>
      <c r="D211">
        <v>22</v>
      </c>
      <c r="E211" t="s">
        <v>80</v>
      </c>
      <c r="F211" s="2" t="s">
        <v>93</v>
      </c>
      <c r="G211" t="s">
        <v>88</v>
      </c>
      <c r="H211">
        <v>3.36</v>
      </c>
      <c r="I211" t="s">
        <v>95</v>
      </c>
      <c r="J211" t="s">
        <v>95</v>
      </c>
      <c r="K211">
        <f t="shared" ref="K211:K217" si="104">0.2*0.2</f>
        <v>4.0000000000000008E-2</v>
      </c>
      <c r="L211" t="s">
        <v>95</v>
      </c>
      <c r="M211">
        <f t="shared" si="99"/>
        <v>84</v>
      </c>
      <c r="N211">
        <v>8.5000000000000006E-3</v>
      </c>
      <c r="O211">
        <f t="shared" si="97"/>
        <v>0.21249999999999997</v>
      </c>
      <c r="P211">
        <f t="shared" si="91"/>
        <v>0.21249999999999997</v>
      </c>
      <c r="Q211">
        <v>40.86</v>
      </c>
      <c r="R211">
        <f t="shared" ref="R211:R217" si="105">M211*(Q211/100)</f>
        <v>34.322400000000002</v>
      </c>
      <c r="S211">
        <v>1.26</v>
      </c>
      <c r="T211">
        <f t="shared" ref="T211:T217" si="106">M211*(S211/100)</f>
        <v>1.0584</v>
      </c>
      <c r="U211">
        <f t="shared" si="100"/>
        <v>113.46247933884298</v>
      </c>
      <c r="V211">
        <f t="shared" si="101"/>
        <v>3.4988429752066117</v>
      </c>
      <c r="W211">
        <f t="shared" si="102"/>
        <v>34.322400000000002</v>
      </c>
      <c r="X211">
        <f t="shared" si="103"/>
        <v>1.0584</v>
      </c>
      <c r="Y211" t="s">
        <v>95</v>
      </c>
      <c r="Z211" t="s">
        <v>95</v>
      </c>
      <c r="AA211" t="s">
        <v>95</v>
      </c>
      <c r="AB211" t="s">
        <v>95</v>
      </c>
      <c r="AC211">
        <v>32.428571428571431</v>
      </c>
      <c r="AD211">
        <f t="shared" si="98"/>
        <v>32.428571428571431</v>
      </c>
    </row>
    <row r="212" spans="1:30" x14ac:dyDescent="0.2">
      <c r="A212">
        <v>247</v>
      </c>
      <c r="B212" t="s">
        <v>67</v>
      </c>
      <c r="C212" t="s">
        <v>68</v>
      </c>
      <c r="D212">
        <v>23</v>
      </c>
      <c r="E212" t="s">
        <v>81</v>
      </c>
      <c r="F212" s="2" t="s">
        <v>93</v>
      </c>
      <c r="G212" t="s">
        <v>88</v>
      </c>
      <c r="H212">
        <v>4.3099999999999996</v>
      </c>
      <c r="I212" t="s">
        <v>95</v>
      </c>
      <c r="J212" t="s">
        <v>95</v>
      </c>
      <c r="K212">
        <f t="shared" si="104"/>
        <v>4.0000000000000008E-2</v>
      </c>
      <c r="L212" t="s">
        <v>95</v>
      </c>
      <c r="M212">
        <f t="shared" si="99"/>
        <v>107.74999999999999</v>
      </c>
      <c r="N212">
        <v>0.54749999999999999</v>
      </c>
      <c r="O212">
        <f t="shared" si="97"/>
        <v>13.687499999999996</v>
      </c>
      <c r="P212">
        <f t="shared" si="91"/>
        <v>13.687499999999996</v>
      </c>
      <c r="Q212">
        <v>17.11</v>
      </c>
      <c r="R212">
        <f t="shared" si="105"/>
        <v>18.436024999999997</v>
      </c>
      <c r="S212">
        <v>0.72</v>
      </c>
      <c r="T212">
        <f t="shared" si="106"/>
        <v>0.77579999999999982</v>
      </c>
      <c r="U212">
        <f t="shared" si="100"/>
        <v>60.945537190082639</v>
      </c>
      <c r="V212">
        <f t="shared" si="101"/>
        <v>2.5646280991735537</v>
      </c>
      <c r="W212">
        <f t="shared" si="102"/>
        <v>18.436024999999997</v>
      </c>
      <c r="X212">
        <f t="shared" si="103"/>
        <v>0.77579999999999982</v>
      </c>
      <c r="Y212" t="s">
        <v>95</v>
      </c>
      <c r="Z212" t="s">
        <v>95</v>
      </c>
      <c r="AA212" t="s">
        <v>95</v>
      </c>
      <c r="AB212" t="s">
        <v>95</v>
      </c>
      <c r="AC212">
        <v>23.763888888888886</v>
      </c>
      <c r="AD212">
        <f t="shared" si="98"/>
        <v>23.763888888888889</v>
      </c>
    </row>
    <row r="213" spans="1:30" x14ac:dyDescent="0.2">
      <c r="A213">
        <v>248</v>
      </c>
      <c r="B213" t="s">
        <v>67</v>
      </c>
      <c r="C213" t="s">
        <v>68</v>
      </c>
      <c r="D213">
        <v>23</v>
      </c>
      <c r="E213" t="s">
        <v>82</v>
      </c>
      <c r="F213" s="2" t="s">
        <v>93</v>
      </c>
      <c r="G213" t="s">
        <v>88</v>
      </c>
      <c r="H213">
        <v>18.59</v>
      </c>
      <c r="I213" t="s">
        <v>95</v>
      </c>
      <c r="J213" t="s">
        <v>95</v>
      </c>
      <c r="K213">
        <f t="shared" si="104"/>
        <v>4.0000000000000008E-2</v>
      </c>
      <c r="L213" t="s">
        <v>95</v>
      </c>
      <c r="M213">
        <f t="shared" si="99"/>
        <v>464.75</v>
      </c>
      <c r="N213" t="s">
        <v>95</v>
      </c>
      <c r="O213" s="5" t="s">
        <v>95</v>
      </c>
      <c r="P213" s="5" t="s">
        <v>95</v>
      </c>
      <c r="Q213">
        <v>11.72</v>
      </c>
      <c r="R213">
        <f t="shared" si="105"/>
        <v>54.468700000000005</v>
      </c>
      <c r="S213">
        <v>0.61</v>
      </c>
      <c r="T213">
        <f t="shared" si="106"/>
        <v>2.8349749999999996</v>
      </c>
      <c r="U213">
        <f t="shared" si="100"/>
        <v>180.06181818181821</v>
      </c>
      <c r="V213">
        <f t="shared" si="101"/>
        <v>9.3718181818181812</v>
      </c>
      <c r="W213">
        <f t="shared" si="102"/>
        <v>54.468700000000005</v>
      </c>
      <c r="X213">
        <f t="shared" si="103"/>
        <v>2.8349749999999996</v>
      </c>
      <c r="Y213" t="s">
        <v>95</v>
      </c>
      <c r="Z213" t="s">
        <v>95</v>
      </c>
      <c r="AA213" t="s">
        <v>95</v>
      </c>
      <c r="AB213" t="s">
        <v>95</v>
      </c>
      <c r="AC213">
        <v>19.213114754098363</v>
      </c>
      <c r="AD213">
        <f t="shared" si="98"/>
        <v>19.213114754098363</v>
      </c>
    </row>
    <row r="214" spans="1:30" x14ac:dyDescent="0.2">
      <c r="A214">
        <v>249</v>
      </c>
      <c r="B214" t="s">
        <v>67</v>
      </c>
      <c r="C214" t="s">
        <v>68</v>
      </c>
      <c r="D214">
        <v>23</v>
      </c>
      <c r="E214" t="s">
        <v>83</v>
      </c>
      <c r="F214" s="2" t="s">
        <v>93</v>
      </c>
      <c r="G214" t="s">
        <v>88</v>
      </c>
      <c r="H214">
        <v>1.1599999999999999</v>
      </c>
      <c r="I214" t="s">
        <v>95</v>
      </c>
      <c r="J214" t="s">
        <v>95</v>
      </c>
      <c r="K214">
        <f t="shared" si="104"/>
        <v>4.0000000000000008E-2</v>
      </c>
      <c r="L214" t="s">
        <v>95</v>
      </c>
      <c r="M214">
        <f t="shared" si="99"/>
        <v>28.999999999999996</v>
      </c>
      <c r="N214">
        <v>6.9999999999999999E-4</v>
      </c>
      <c r="O214">
        <f>N214/K214</f>
        <v>1.7499999999999995E-2</v>
      </c>
      <c r="P214">
        <f t="shared" si="91"/>
        <v>1.7499999999999995E-2</v>
      </c>
      <c r="Q214">
        <v>40.950000000000003</v>
      </c>
      <c r="R214">
        <f t="shared" si="105"/>
        <v>11.875499999999999</v>
      </c>
      <c r="S214">
        <v>1.27</v>
      </c>
      <c r="T214">
        <f t="shared" si="106"/>
        <v>0.36829999999999996</v>
      </c>
      <c r="U214">
        <f t="shared" si="100"/>
        <v>39.257851239669421</v>
      </c>
      <c r="V214">
        <f t="shared" si="101"/>
        <v>1.2175206611570246</v>
      </c>
      <c r="W214">
        <f t="shared" si="102"/>
        <v>11.875499999999999</v>
      </c>
      <c r="X214">
        <f t="shared" si="103"/>
        <v>0.36829999999999996</v>
      </c>
      <c r="Y214" t="s">
        <v>95</v>
      </c>
      <c r="Z214" t="s">
        <v>95</v>
      </c>
      <c r="AA214" t="s">
        <v>95</v>
      </c>
      <c r="AB214" t="s">
        <v>95</v>
      </c>
      <c r="AC214">
        <v>32.244094488188978</v>
      </c>
      <c r="AD214">
        <f t="shared" si="98"/>
        <v>32.244094488188978</v>
      </c>
    </row>
    <row r="215" spans="1:30" x14ac:dyDescent="0.2">
      <c r="A215">
        <v>250</v>
      </c>
      <c r="B215" t="s">
        <v>67</v>
      </c>
      <c r="C215" t="s">
        <v>84</v>
      </c>
      <c r="D215">
        <v>24</v>
      </c>
      <c r="E215" t="s">
        <v>85</v>
      </c>
      <c r="F215" s="2" t="s">
        <v>93</v>
      </c>
      <c r="G215" t="s">
        <v>88</v>
      </c>
      <c r="H215">
        <v>6.48</v>
      </c>
      <c r="I215" t="s">
        <v>95</v>
      </c>
      <c r="J215" t="s">
        <v>95</v>
      </c>
      <c r="K215">
        <f t="shared" si="104"/>
        <v>4.0000000000000008E-2</v>
      </c>
      <c r="L215" t="s">
        <v>95</v>
      </c>
      <c r="M215">
        <f t="shared" si="99"/>
        <v>162</v>
      </c>
      <c r="N215">
        <v>0.31390000000000001</v>
      </c>
      <c r="O215">
        <f>N215/K215</f>
        <v>7.8474999999999984</v>
      </c>
      <c r="P215">
        <f t="shared" si="91"/>
        <v>7.8474999999999984</v>
      </c>
      <c r="Q215">
        <v>48.45</v>
      </c>
      <c r="R215">
        <f t="shared" si="105"/>
        <v>78.489000000000004</v>
      </c>
      <c r="S215">
        <v>1.4</v>
      </c>
      <c r="T215">
        <f t="shared" si="106"/>
        <v>2.2679999999999998</v>
      </c>
      <c r="U215">
        <f t="shared" si="100"/>
        <v>259.46776859504138</v>
      </c>
      <c r="V215">
        <f t="shared" si="101"/>
        <v>7.4975206611570249</v>
      </c>
      <c r="W215">
        <f t="shared" si="102"/>
        <v>78.489000000000004</v>
      </c>
      <c r="X215">
        <f t="shared" si="103"/>
        <v>2.2679999999999998</v>
      </c>
      <c r="Y215" t="s">
        <v>95</v>
      </c>
      <c r="Z215" t="s">
        <v>95</v>
      </c>
      <c r="AA215" t="s">
        <v>95</v>
      </c>
      <c r="AB215" t="s">
        <v>95</v>
      </c>
      <c r="AC215">
        <v>34.607142857142861</v>
      </c>
      <c r="AD215">
        <f t="shared" si="98"/>
        <v>34.607142857142861</v>
      </c>
    </row>
    <row r="216" spans="1:30" x14ac:dyDescent="0.2">
      <c r="A216">
        <v>251</v>
      </c>
      <c r="B216" t="s">
        <v>67</v>
      </c>
      <c r="C216" t="s">
        <v>84</v>
      </c>
      <c r="D216">
        <v>24</v>
      </c>
      <c r="E216" t="s">
        <v>86</v>
      </c>
      <c r="F216" s="2" t="s">
        <v>93</v>
      </c>
      <c r="G216" t="s">
        <v>88</v>
      </c>
      <c r="H216">
        <v>4.5999999999999996</v>
      </c>
      <c r="I216" t="s">
        <v>95</v>
      </c>
      <c r="J216" t="s">
        <v>95</v>
      </c>
      <c r="K216">
        <f t="shared" si="104"/>
        <v>4.0000000000000008E-2</v>
      </c>
      <c r="L216" t="s">
        <v>95</v>
      </c>
      <c r="M216">
        <f t="shared" si="99"/>
        <v>114.99999999999999</v>
      </c>
      <c r="N216">
        <v>6.5199999999999994E-2</v>
      </c>
      <c r="O216">
        <f>N216/K216</f>
        <v>1.6299999999999994</v>
      </c>
      <c r="P216">
        <f t="shared" si="91"/>
        <v>1.6299999999999994</v>
      </c>
      <c r="Q216">
        <v>47.25</v>
      </c>
      <c r="R216">
        <f t="shared" si="105"/>
        <v>54.337499999999991</v>
      </c>
      <c r="S216">
        <v>1.33</v>
      </c>
      <c r="T216">
        <f t="shared" si="106"/>
        <v>1.5294999999999999</v>
      </c>
      <c r="U216">
        <f t="shared" si="100"/>
        <v>179.62809917355369</v>
      </c>
      <c r="V216">
        <f t="shared" si="101"/>
        <v>5.0561983471074381</v>
      </c>
      <c r="W216">
        <f t="shared" si="102"/>
        <v>54.337499999999991</v>
      </c>
      <c r="X216">
        <f t="shared" si="103"/>
        <v>1.5294999999999999</v>
      </c>
      <c r="Y216" t="s">
        <v>95</v>
      </c>
      <c r="Z216" t="s">
        <v>95</v>
      </c>
      <c r="AA216" t="s">
        <v>95</v>
      </c>
      <c r="AB216" t="s">
        <v>95</v>
      </c>
      <c r="AC216">
        <v>35.526315789473678</v>
      </c>
      <c r="AD216">
        <f t="shared" si="98"/>
        <v>35.526315789473685</v>
      </c>
    </row>
    <row r="217" spans="1:30" x14ac:dyDescent="0.2">
      <c r="A217">
        <v>252</v>
      </c>
      <c r="B217" t="s">
        <v>67</v>
      </c>
      <c r="C217" t="s">
        <v>84</v>
      </c>
      <c r="D217">
        <v>24</v>
      </c>
      <c r="E217" t="s">
        <v>87</v>
      </c>
      <c r="F217" s="2" t="s">
        <v>93</v>
      </c>
      <c r="G217" t="s">
        <v>88</v>
      </c>
      <c r="H217">
        <v>1.98</v>
      </c>
      <c r="I217" t="s">
        <v>95</v>
      </c>
      <c r="J217" t="s">
        <v>95</v>
      </c>
      <c r="K217">
        <f t="shared" si="104"/>
        <v>4.0000000000000008E-2</v>
      </c>
      <c r="L217" t="s">
        <v>95</v>
      </c>
      <c r="M217">
        <f t="shared" si="99"/>
        <v>49.5</v>
      </c>
      <c r="N217">
        <v>4.6699999999999998E-2</v>
      </c>
      <c r="O217">
        <f>N217/K217</f>
        <v>1.1674999999999998</v>
      </c>
      <c r="P217">
        <f t="shared" si="91"/>
        <v>1.1674999999999998</v>
      </c>
      <c r="Q217">
        <v>43.78</v>
      </c>
      <c r="R217">
        <f t="shared" si="105"/>
        <v>21.671100000000003</v>
      </c>
      <c r="S217">
        <v>1.44</v>
      </c>
      <c r="T217">
        <f t="shared" si="106"/>
        <v>0.71279999999999999</v>
      </c>
      <c r="U217">
        <f t="shared" si="100"/>
        <v>71.64</v>
      </c>
      <c r="V217">
        <f t="shared" si="101"/>
        <v>2.3563636363636364</v>
      </c>
      <c r="W217">
        <f t="shared" si="102"/>
        <v>21.671100000000003</v>
      </c>
      <c r="X217">
        <f t="shared" si="103"/>
        <v>0.71279999999999999</v>
      </c>
      <c r="Y217" t="s">
        <v>95</v>
      </c>
      <c r="Z217" t="s">
        <v>95</v>
      </c>
      <c r="AA217" t="s">
        <v>95</v>
      </c>
      <c r="AB217" t="s">
        <v>95</v>
      </c>
      <c r="AC217">
        <v>30.402777777777779</v>
      </c>
      <c r="AD217">
        <f t="shared" si="98"/>
        <v>30.402777777777779</v>
      </c>
    </row>
    <row r="220" spans="1:30" x14ac:dyDescent="0.2">
      <c r="A220" s="8"/>
      <c r="B220" t="s">
        <v>103</v>
      </c>
    </row>
    <row r="221" spans="1:30" x14ac:dyDescent="0.2">
      <c r="A221" s="9"/>
      <c r="B221" t="s">
        <v>102</v>
      </c>
    </row>
    <row r="222" spans="1:30" x14ac:dyDescent="0.2">
      <c r="A222" s="10"/>
      <c r="B222" t="s">
        <v>101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31A2-CCC6-014E-BE2E-151D4C67E9F8}">
  <dimension ref="A1:AT163"/>
  <sheetViews>
    <sheetView zoomScale="92" zoomScaleNormal="67" workbookViewId="0">
      <selection activeCell="Q2" sqref="Q2"/>
    </sheetView>
  </sheetViews>
  <sheetFormatPr baseColWidth="10" defaultRowHeight="16" x14ac:dyDescent="0.2"/>
  <cols>
    <col min="8" max="8" width="12.83203125" style="18" bestFit="1" customWidth="1"/>
    <col min="9" max="10" width="10.83203125" style="18"/>
    <col min="11" max="11" width="10.1640625" style="18" bestFit="1" customWidth="1"/>
    <col min="12" max="14" width="10.83203125" style="18"/>
    <col min="16" max="16" width="10.83203125" style="18"/>
    <col min="18" max="18" width="10.83203125" style="18"/>
    <col min="21" max="31" width="10.83203125" style="18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91</v>
      </c>
      <c r="H1" s="17" t="s">
        <v>124</v>
      </c>
      <c r="I1" s="17" t="s">
        <v>100</v>
      </c>
      <c r="J1" s="17" t="s">
        <v>96</v>
      </c>
      <c r="K1" s="17" t="s">
        <v>98</v>
      </c>
      <c r="L1" s="17" t="s">
        <v>97</v>
      </c>
      <c r="M1" s="17" t="s">
        <v>99</v>
      </c>
      <c r="N1" s="17" t="s">
        <v>125</v>
      </c>
      <c r="O1" s="1" t="s">
        <v>94</v>
      </c>
      <c r="P1" s="17" t="s">
        <v>115</v>
      </c>
      <c r="Q1" s="1" t="s">
        <v>116</v>
      </c>
      <c r="R1" s="17" t="s">
        <v>117</v>
      </c>
      <c r="S1" s="1" t="s">
        <v>118</v>
      </c>
      <c r="T1" s="14" t="s">
        <v>123</v>
      </c>
      <c r="U1" s="19" t="s">
        <v>104</v>
      </c>
      <c r="V1" s="19" t="s">
        <v>105</v>
      </c>
      <c r="W1" s="19" t="s">
        <v>106</v>
      </c>
      <c r="X1" s="19" t="s">
        <v>107</v>
      </c>
      <c r="Y1" s="19" t="s">
        <v>108</v>
      </c>
      <c r="Z1" s="19" t="s">
        <v>109</v>
      </c>
      <c r="AA1" s="19" t="s">
        <v>110</v>
      </c>
      <c r="AB1" s="19" t="s">
        <v>111</v>
      </c>
      <c r="AC1" s="19" t="s">
        <v>112</v>
      </c>
      <c r="AD1" s="19" t="s">
        <v>113</v>
      </c>
      <c r="AE1" s="19" t="s">
        <v>114</v>
      </c>
      <c r="AF1" s="15" t="s">
        <v>126</v>
      </c>
      <c r="AG1" s="15" t="s">
        <v>127</v>
      </c>
      <c r="AH1" s="15" t="s">
        <v>128</v>
      </c>
      <c r="AI1" s="15" t="s">
        <v>129</v>
      </c>
      <c r="AJ1" s="15" t="s">
        <v>130</v>
      </c>
      <c r="AK1" s="15" t="s">
        <v>131</v>
      </c>
      <c r="AL1" s="15" t="s">
        <v>132</v>
      </c>
      <c r="AM1" s="15" t="s">
        <v>133</v>
      </c>
      <c r="AN1" s="15" t="s">
        <v>134</v>
      </c>
      <c r="AO1" s="15" t="s">
        <v>135</v>
      </c>
      <c r="AP1" s="15" t="s">
        <v>136</v>
      </c>
      <c r="AQ1" s="15" t="s">
        <v>137</v>
      </c>
      <c r="AR1" s="15" t="s">
        <v>141</v>
      </c>
      <c r="AS1" s="15" t="s">
        <v>142</v>
      </c>
      <c r="AT1" s="15" t="s">
        <v>143</v>
      </c>
    </row>
    <row r="2" spans="1:46" x14ac:dyDescent="0.2">
      <c r="A2">
        <v>37</v>
      </c>
      <c r="B2" t="s">
        <v>26</v>
      </c>
      <c r="C2" t="s">
        <v>27</v>
      </c>
      <c r="D2">
        <v>7</v>
      </c>
      <c r="E2" t="s">
        <v>28</v>
      </c>
      <c r="F2" t="s">
        <v>89</v>
      </c>
      <c r="G2" t="s">
        <v>92</v>
      </c>
      <c r="H2" s="18">
        <v>390.96</v>
      </c>
      <c r="I2" s="18">
        <v>1.0632607460000001</v>
      </c>
      <c r="J2" s="18">
        <f t="shared" ref="J2:J30" si="0">PI()*(2.5^2)*20</f>
        <v>392.69908169872417</v>
      </c>
      <c r="K2" s="18">
        <f t="shared" ref="K2:K30" si="1">PI()*(0.025^2)</f>
        <v>1.9634954084936209E-3</v>
      </c>
      <c r="L2" s="18">
        <f t="shared" ref="L2:L30" si="2">J2/K2</f>
        <v>200000</v>
      </c>
      <c r="M2" s="18">
        <f t="shared" ref="M2:M33" si="3">I2*L2</f>
        <v>212652.14920000001</v>
      </c>
      <c r="N2" s="18">
        <v>1.04</v>
      </c>
      <c r="O2">
        <f t="shared" ref="O2:O33" si="4">N2*M2/H2</f>
        <v>565.67995490075714</v>
      </c>
      <c r="P2" s="18">
        <v>4.5199999999999996</v>
      </c>
      <c r="Q2">
        <f t="shared" ref="Q2:Q33" si="5">M2*(P2/100)</f>
        <v>9611.8771438399999</v>
      </c>
      <c r="R2" s="18">
        <v>0.22</v>
      </c>
      <c r="S2">
        <f t="shared" ref="S2:S33" si="6">M2*(R2/100)</f>
        <v>467.83472824000006</v>
      </c>
      <c r="T2">
        <f t="shared" ref="T2:T33" si="7">P2/R2</f>
        <v>20.545454545454543</v>
      </c>
      <c r="U2" s="20">
        <v>5.9444999999999997</v>
      </c>
      <c r="V2" s="20">
        <v>0.2732</v>
      </c>
      <c r="W2" s="20">
        <v>1.4422999999999999</v>
      </c>
      <c r="X2" s="20">
        <v>4.38</v>
      </c>
      <c r="Y2" s="20">
        <f>V2+W2+X2</f>
        <v>6.0954999999999995</v>
      </c>
      <c r="Z2" s="20">
        <v>28.33</v>
      </c>
      <c r="AA2" s="20">
        <v>0.55000000000000004</v>
      </c>
      <c r="AB2" s="20">
        <v>0.78</v>
      </c>
      <c r="AC2" s="20">
        <v>0.19</v>
      </c>
      <c r="AD2" s="20">
        <v>2.35</v>
      </c>
      <c r="AE2" s="20">
        <v>0.14000000000000001</v>
      </c>
      <c r="AF2" s="12">
        <f>((V2/U2)*I2)*(Z2/100)</f>
        <v>1.3843685319905756E-2</v>
      </c>
      <c r="AG2" s="12">
        <f>((V2/U2)*I2)*(AA2/100)</f>
        <v>2.6876198114889402E-4</v>
      </c>
      <c r="AH2" s="12">
        <f>((W2/U2)*I2)*(AB2/100)</f>
        <v>2.0122162666086703E-3</v>
      </c>
      <c r="AI2" s="12">
        <f>((W2/U2)*I2)*(AC2/100)</f>
        <v>4.9015524443031717E-4</v>
      </c>
      <c r="AJ2" s="12">
        <f>((X2/U2)*I2)*(AD2/100)</f>
        <v>1.8410535551481203E-2</v>
      </c>
      <c r="AK2" s="12">
        <f>((X2/U2)*I2)*(AE2/100)</f>
        <v>1.0967978626414336E-3</v>
      </c>
      <c r="AL2" s="12">
        <f t="shared" ref="AL2:AQ3" si="8">AF2*100*100*20</f>
        <v>2768.7370639811516</v>
      </c>
      <c r="AM2" s="12">
        <f t="shared" si="8"/>
        <v>53.752396229778803</v>
      </c>
      <c r="AN2" s="12">
        <f t="shared" si="8"/>
        <v>402.44325332173412</v>
      </c>
      <c r="AO2" s="12">
        <f t="shared" si="8"/>
        <v>98.031048886063431</v>
      </c>
      <c r="AP2" s="12">
        <f t="shared" si="8"/>
        <v>3682.1071102962405</v>
      </c>
      <c r="AQ2" s="12">
        <f t="shared" si="8"/>
        <v>219.35957252828672</v>
      </c>
      <c r="AR2" s="12">
        <f>AL2+AN2</f>
        <v>3171.1803173028857</v>
      </c>
      <c r="AS2" s="12">
        <f>AP2/AN2</f>
        <v>9.1493821300380258</v>
      </c>
      <c r="AT2" s="12">
        <f>AP2/AR2</f>
        <v>1.1611156546997941</v>
      </c>
    </row>
    <row r="3" spans="1:46" x14ac:dyDescent="0.2">
      <c r="A3">
        <v>38</v>
      </c>
      <c r="B3" t="s">
        <v>26</v>
      </c>
      <c r="C3" t="s">
        <v>27</v>
      </c>
      <c r="D3">
        <v>7</v>
      </c>
      <c r="E3" t="s">
        <v>28</v>
      </c>
      <c r="F3" t="s">
        <v>90</v>
      </c>
      <c r="G3" t="s">
        <v>92</v>
      </c>
      <c r="H3" s="18">
        <v>446.91</v>
      </c>
      <c r="I3" s="18">
        <v>1.199117524</v>
      </c>
      <c r="J3" s="18">
        <f t="shared" si="0"/>
        <v>392.69908169872417</v>
      </c>
      <c r="K3" s="18">
        <f t="shared" si="1"/>
        <v>1.9634954084936209E-3</v>
      </c>
      <c r="L3" s="18">
        <f t="shared" si="2"/>
        <v>200000</v>
      </c>
      <c r="M3" s="18">
        <f t="shared" si="3"/>
        <v>239823.5048</v>
      </c>
      <c r="N3" s="18">
        <v>0.89100000000000001</v>
      </c>
      <c r="O3">
        <f t="shared" si="4"/>
        <v>478.13372441162647</v>
      </c>
      <c r="P3" s="18">
        <v>0.91</v>
      </c>
      <c r="Q3">
        <f t="shared" si="5"/>
        <v>2182.39389368</v>
      </c>
      <c r="R3" s="18">
        <v>0.09</v>
      </c>
      <c r="S3">
        <f t="shared" si="6"/>
        <v>215.84115431999999</v>
      </c>
      <c r="T3">
        <f t="shared" si="7"/>
        <v>10.111111111111112</v>
      </c>
      <c r="U3" s="20">
        <v>5.9325999999999999</v>
      </c>
      <c r="V3" s="20">
        <v>9.2999999999999999E-2</v>
      </c>
      <c r="W3" s="20">
        <v>1.6292</v>
      </c>
      <c r="X3" s="20">
        <v>4.13</v>
      </c>
      <c r="Y3" s="20">
        <f>V3+W3+X3</f>
        <v>5.8521999999999998</v>
      </c>
      <c r="Z3" s="20">
        <v>25.4</v>
      </c>
      <c r="AA3" s="20">
        <v>0.43</v>
      </c>
      <c r="AB3" s="20">
        <v>0.24</v>
      </c>
      <c r="AC3" s="20">
        <v>0.03</v>
      </c>
      <c r="AD3" s="20">
        <v>0.64</v>
      </c>
      <c r="AE3" s="20">
        <v>0.05</v>
      </c>
      <c r="AF3" s="12">
        <f>((V3/U3)*I3)*(Z3/100)</f>
        <v>4.774559915033544E-3</v>
      </c>
      <c r="AG3" s="12">
        <f>((V3/U3)*I3)*(AA3/100)</f>
        <v>8.0829163915922212E-5</v>
      </c>
      <c r="AH3" s="12">
        <f>((W3/U3)*I3)*(AB3/100)</f>
        <v>7.9031882281662671E-4</v>
      </c>
      <c r="AI3" s="12">
        <f>((W3/U3)*I3)*(AC3/100)</f>
        <v>9.8789852852078339E-5</v>
      </c>
      <c r="AJ3" s="12">
        <f>((X3/U3)*I3)*(AD3/100)</f>
        <v>5.3425267832599536E-3</v>
      </c>
      <c r="AK3" s="12">
        <f>((X3/U3)*I3)*(AE3/100)</f>
        <v>4.1738490494218388E-4</v>
      </c>
      <c r="AL3" s="12">
        <f t="shared" si="8"/>
        <v>954.91198300670874</v>
      </c>
      <c r="AM3" s="12">
        <f t="shared" si="8"/>
        <v>16.165832783184442</v>
      </c>
      <c r="AN3" s="12">
        <f t="shared" si="8"/>
        <v>158.06376456332535</v>
      </c>
      <c r="AO3" s="12">
        <f t="shared" si="8"/>
        <v>19.757970570415669</v>
      </c>
      <c r="AP3" s="12">
        <f t="shared" si="8"/>
        <v>1068.5053566519905</v>
      </c>
      <c r="AQ3" s="12">
        <f t="shared" si="8"/>
        <v>83.476980988436779</v>
      </c>
      <c r="AR3" s="12">
        <f>AL3+AN3</f>
        <v>1112.9757475700342</v>
      </c>
      <c r="AS3" s="12">
        <f>AP3/AN3</f>
        <v>6.7599639905065869</v>
      </c>
      <c r="AT3" s="12">
        <f>AP3/AR3</f>
        <v>0.96004370174719789</v>
      </c>
    </row>
    <row r="4" spans="1:46" x14ac:dyDescent="0.2">
      <c r="A4">
        <v>39</v>
      </c>
      <c r="B4" t="s">
        <v>26</v>
      </c>
      <c r="C4" t="s">
        <v>27</v>
      </c>
      <c r="D4">
        <v>7</v>
      </c>
      <c r="E4" t="s">
        <v>29</v>
      </c>
      <c r="F4" t="s">
        <v>89</v>
      </c>
      <c r="G4" t="s">
        <v>92</v>
      </c>
      <c r="H4" s="18">
        <v>390.96</v>
      </c>
      <c r="I4" s="18">
        <v>1.0632607460000001</v>
      </c>
      <c r="J4" s="18">
        <f t="shared" si="0"/>
        <v>392.69908169872417</v>
      </c>
      <c r="K4" s="18">
        <f t="shared" si="1"/>
        <v>1.9634954084936209E-3</v>
      </c>
      <c r="L4" s="18">
        <f t="shared" si="2"/>
        <v>200000</v>
      </c>
      <c r="M4" s="18">
        <f t="shared" si="3"/>
        <v>212652.14920000001</v>
      </c>
      <c r="N4" s="18">
        <v>0.42959999999999998</v>
      </c>
      <c r="O4">
        <f t="shared" si="4"/>
        <v>233.66933521669739</v>
      </c>
      <c r="P4" s="18">
        <v>2.2799999999999998</v>
      </c>
      <c r="Q4">
        <f t="shared" si="5"/>
        <v>4848.4690017599996</v>
      </c>
      <c r="R4" s="18">
        <v>0.11</v>
      </c>
      <c r="S4">
        <f t="shared" si="6"/>
        <v>233.91736412000003</v>
      </c>
      <c r="T4">
        <f t="shared" si="7"/>
        <v>20.727272727272727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6" x14ac:dyDescent="0.2">
      <c r="A5">
        <v>40</v>
      </c>
      <c r="B5" t="s">
        <v>26</v>
      </c>
      <c r="C5" t="s">
        <v>27</v>
      </c>
      <c r="D5">
        <v>7</v>
      </c>
      <c r="E5" t="s">
        <v>29</v>
      </c>
      <c r="F5" t="s">
        <v>90</v>
      </c>
      <c r="G5" t="s">
        <v>92</v>
      </c>
      <c r="H5" s="18">
        <v>446.91</v>
      </c>
      <c r="I5" s="18">
        <v>1.199117524</v>
      </c>
      <c r="J5" s="18">
        <f t="shared" si="0"/>
        <v>392.69908169872417</v>
      </c>
      <c r="K5" s="18">
        <f t="shared" si="1"/>
        <v>1.9634954084936209E-3</v>
      </c>
      <c r="L5" s="18">
        <f t="shared" si="2"/>
        <v>200000</v>
      </c>
      <c r="M5" s="18">
        <f t="shared" si="3"/>
        <v>239823.5048</v>
      </c>
      <c r="N5" s="18">
        <v>0.20169999999999999</v>
      </c>
      <c r="O5">
        <f t="shared" si="4"/>
        <v>108.23745478543778</v>
      </c>
      <c r="P5" s="18">
        <v>0.46</v>
      </c>
      <c r="Q5">
        <f t="shared" si="5"/>
        <v>1103.1881220799999</v>
      </c>
      <c r="R5" s="18">
        <v>0.06</v>
      </c>
      <c r="S5">
        <f t="shared" si="6"/>
        <v>143.89410287999999</v>
      </c>
      <c r="T5">
        <f t="shared" si="7"/>
        <v>7.666666666666667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6" x14ac:dyDescent="0.2">
      <c r="A6">
        <v>41</v>
      </c>
      <c r="B6" t="s">
        <v>26</v>
      </c>
      <c r="C6" t="s">
        <v>27</v>
      </c>
      <c r="D6">
        <v>7</v>
      </c>
      <c r="E6" t="s">
        <v>30</v>
      </c>
      <c r="F6" t="s">
        <v>89</v>
      </c>
      <c r="G6" t="s">
        <v>92</v>
      </c>
      <c r="H6" s="18">
        <v>390.96</v>
      </c>
      <c r="I6" s="18">
        <v>1.0632607460000001</v>
      </c>
      <c r="J6" s="18">
        <f t="shared" si="0"/>
        <v>392.69908169872417</v>
      </c>
      <c r="K6" s="18">
        <f t="shared" si="1"/>
        <v>1.9634954084936209E-3</v>
      </c>
      <c r="L6" s="18">
        <f t="shared" si="2"/>
        <v>200000</v>
      </c>
      <c r="M6" s="18">
        <f t="shared" si="3"/>
        <v>212652.14920000001</v>
      </c>
      <c r="N6" s="18">
        <v>0.19650000000000001</v>
      </c>
      <c r="O6">
        <f t="shared" si="4"/>
        <v>106.88087609422959</v>
      </c>
      <c r="P6" s="18">
        <v>3.27</v>
      </c>
      <c r="Q6">
        <f t="shared" si="5"/>
        <v>6953.7252788400001</v>
      </c>
      <c r="R6" s="18">
        <v>0.17</v>
      </c>
      <c r="S6">
        <f t="shared" si="6"/>
        <v>361.50865364000003</v>
      </c>
      <c r="T6">
        <f t="shared" si="7"/>
        <v>19.235294117647058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6" x14ac:dyDescent="0.2">
      <c r="A7">
        <v>42</v>
      </c>
      <c r="B7" t="s">
        <v>26</v>
      </c>
      <c r="C7" t="s">
        <v>27</v>
      </c>
      <c r="D7">
        <v>7</v>
      </c>
      <c r="E7" t="s">
        <v>30</v>
      </c>
      <c r="F7" t="s">
        <v>90</v>
      </c>
      <c r="G7" t="s">
        <v>92</v>
      </c>
      <c r="H7" s="18">
        <v>446.91</v>
      </c>
      <c r="I7" s="18">
        <v>1.199117524</v>
      </c>
      <c r="J7" s="18">
        <f t="shared" si="0"/>
        <v>392.69908169872417</v>
      </c>
      <c r="K7" s="18">
        <f t="shared" si="1"/>
        <v>1.9634954084936209E-3</v>
      </c>
      <c r="L7" s="18">
        <f t="shared" si="2"/>
        <v>200000</v>
      </c>
      <c r="M7" s="18">
        <f t="shared" si="3"/>
        <v>239823.5048</v>
      </c>
      <c r="N7" s="18">
        <v>0.16189999999999999</v>
      </c>
      <c r="O7">
        <f t="shared" si="4"/>
        <v>86.87974184314514</v>
      </c>
      <c r="P7" s="18">
        <v>0.9</v>
      </c>
      <c r="Q7">
        <f t="shared" si="5"/>
        <v>2158.4115432000003</v>
      </c>
      <c r="R7" s="18">
        <v>0.08</v>
      </c>
      <c r="S7">
        <f t="shared" si="6"/>
        <v>191.85880384000001</v>
      </c>
      <c r="T7">
        <f t="shared" si="7"/>
        <v>11.25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1:46" x14ac:dyDescent="0.2">
      <c r="A8">
        <v>43</v>
      </c>
      <c r="B8" t="s">
        <v>26</v>
      </c>
      <c r="C8" t="s">
        <v>27</v>
      </c>
      <c r="D8">
        <v>8</v>
      </c>
      <c r="E8" t="s">
        <v>31</v>
      </c>
      <c r="F8" t="s">
        <v>89</v>
      </c>
      <c r="G8" t="s">
        <v>92</v>
      </c>
      <c r="H8" s="18">
        <v>276.39999999999998</v>
      </c>
      <c r="I8" s="18">
        <v>0.74161706699999996</v>
      </c>
      <c r="J8" s="18">
        <f t="shared" si="0"/>
        <v>392.69908169872417</v>
      </c>
      <c r="K8" s="18">
        <f t="shared" si="1"/>
        <v>1.9634954084936209E-3</v>
      </c>
      <c r="L8" s="18">
        <f t="shared" si="2"/>
        <v>200000</v>
      </c>
      <c r="M8" s="18">
        <f t="shared" si="3"/>
        <v>148323.41339999999</v>
      </c>
      <c r="N8" s="18">
        <v>0.65080000000000005</v>
      </c>
      <c r="O8">
        <f t="shared" si="4"/>
        <v>349.23617019073805</v>
      </c>
      <c r="P8" s="18">
        <v>2.44</v>
      </c>
      <c r="Q8">
        <f t="shared" si="5"/>
        <v>3619.0912869599997</v>
      </c>
      <c r="R8" s="18">
        <v>0.15</v>
      </c>
      <c r="S8">
        <f t="shared" si="6"/>
        <v>222.48512009999999</v>
      </c>
      <c r="T8">
        <f t="shared" si="7"/>
        <v>16.266666666666666</v>
      </c>
      <c r="U8" s="20">
        <v>5.7244999999999999</v>
      </c>
      <c r="V8" s="20">
        <v>0.23130000000000001</v>
      </c>
      <c r="W8" s="20">
        <v>2.3222</v>
      </c>
      <c r="X8" s="20">
        <v>3.34</v>
      </c>
      <c r="Y8" s="20">
        <f>V8+W8+X8</f>
        <v>5.8934999999999995</v>
      </c>
      <c r="Z8" s="20">
        <v>31.41</v>
      </c>
      <c r="AA8" s="20">
        <v>0.7</v>
      </c>
      <c r="AB8" s="20">
        <v>1.46</v>
      </c>
      <c r="AC8" s="20">
        <v>7.0000000000000007E-2</v>
      </c>
      <c r="AD8" s="20">
        <v>3.37</v>
      </c>
      <c r="AE8" s="20">
        <v>0.2</v>
      </c>
      <c r="AF8" s="12">
        <f>((V8/U8)*I8)*(Z8/100)</f>
        <v>9.4120824994757806E-3</v>
      </c>
      <c r="AG8" s="12">
        <f>((V8/U8)*I8)*(AA8/100)</f>
        <v>2.0975669371642937E-4</v>
      </c>
      <c r="AH8" s="12">
        <f>((W8/U8)*I8)*(AB8/100)</f>
        <v>4.392326671956685E-3</v>
      </c>
      <c r="AI8" s="12">
        <f>((W8/U8)*I8)*(AC8/100)</f>
        <v>2.1059100481984108E-4</v>
      </c>
      <c r="AJ8" s="12">
        <f>((X8/U8)*I8)*(AD8/100)</f>
        <v>1.4582048008976502E-2</v>
      </c>
      <c r="AK8" s="12">
        <f>((X8/U8)*I8)*(AE8/100)</f>
        <v>8.6540344266922869E-4</v>
      </c>
      <c r="AL8" s="12">
        <f t="shared" ref="AL8:AQ9" si="9">AF8*100*100*20</f>
        <v>1882.416499895156</v>
      </c>
      <c r="AM8" s="12">
        <f t="shared" si="9"/>
        <v>41.951338743285874</v>
      </c>
      <c r="AN8" s="12">
        <f t="shared" si="9"/>
        <v>878.46533439133691</v>
      </c>
      <c r="AO8" s="12">
        <f t="shared" si="9"/>
        <v>42.118200963968214</v>
      </c>
      <c r="AP8" s="12">
        <f t="shared" si="9"/>
        <v>2916.4096017953007</v>
      </c>
      <c r="AQ8" s="12">
        <f t="shared" si="9"/>
        <v>173.08068853384572</v>
      </c>
      <c r="AR8" s="12">
        <f>AL8+AN8</f>
        <v>2760.8818342864929</v>
      </c>
      <c r="AS8" s="12">
        <f>AP8/AN8</f>
        <v>3.3198915058110927</v>
      </c>
      <c r="AT8" s="12">
        <f>AP8/AR8</f>
        <v>1.0563326418310841</v>
      </c>
    </row>
    <row r="9" spans="1:46" x14ac:dyDescent="0.2">
      <c r="A9">
        <v>44</v>
      </c>
      <c r="B9" t="s">
        <v>26</v>
      </c>
      <c r="C9" t="s">
        <v>27</v>
      </c>
      <c r="D9">
        <v>8</v>
      </c>
      <c r="E9" t="s">
        <v>31</v>
      </c>
      <c r="F9" t="s">
        <v>90</v>
      </c>
      <c r="G9" t="s">
        <v>92</v>
      </c>
      <c r="H9" s="18">
        <v>308.70999999999998</v>
      </c>
      <c r="I9" s="18">
        <v>1.092009207</v>
      </c>
      <c r="J9" s="18">
        <f t="shared" si="0"/>
        <v>392.69908169872417</v>
      </c>
      <c r="K9" s="18">
        <f t="shared" si="1"/>
        <v>1.9634954084936209E-3</v>
      </c>
      <c r="L9" s="18">
        <f t="shared" si="2"/>
        <v>200000</v>
      </c>
      <c r="M9" s="18">
        <f t="shared" si="3"/>
        <v>218401.8414</v>
      </c>
      <c r="N9" s="18">
        <v>0.42599999999999999</v>
      </c>
      <c r="O9">
        <f t="shared" si="4"/>
        <v>301.38053330439573</v>
      </c>
      <c r="P9" s="18">
        <v>1.56</v>
      </c>
      <c r="Q9">
        <f t="shared" si="5"/>
        <v>3407.0687258400003</v>
      </c>
      <c r="R9" s="18">
        <v>0.11</v>
      </c>
      <c r="S9">
        <f t="shared" si="6"/>
        <v>240.24202554000001</v>
      </c>
      <c r="T9">
        <f t="shared" si="7"/>
        <v>14.181818181818182</v>
      </c>
      <c r="U9" s="20">
        <v>5.8022999999999998</v>
      </c>
      <c r="V9" s="20">
        <v>0.12740000000000001</v>
      </c>
      <c r="W9" s="20">
        <v>1.6271</v>
      </c>
      <c r="X9" s="20">
        <v>4.12</v>
      </c>
      <c r="Y9" s="20">
        <f>V9+W9+X9</f>
        <v>5.8745000000000003</v>
      </c>
      <c r="Z9" s="20">
        <v>33.96</v>
      </c>
      <c r="AA9" s="20">
        <v>0.72</v>
      </c>
      <c r="AB9" s="20">
        <v>0.46</v>
      </c>
      <c r="AC9" s="20">
        <v>0.03</v>
      </c>
      <c r="AD9" s="20">
        <v>1.4</v>
      </c>
      <c r="AE9" s="20">
        <v>0.09</v>
      </c>
      <c r="AF9" s="12">
        <f>((V9/U9)*I9)*(Z9/100)</f>
        <v>8.142602419940935E-3</v>
      </c>
      <c r="AG9" s="12">
        <f>((V9/U9)*I9)*(AA9/100)</f>
        <v>1.7263468028143325E-4</v>
      </c>
      <c r="AH9" s="12">
        <f>((W9/U9)*I9)*(AB9/100)</f>
        <v>1.4086340987650794E-3</v>
      </c>
      <c r="AI9" s="12">
        <f>((W9/U9)*I9)*(AC9/100)</f>
        <v>9.1867441223809516E-5</v>
      </c>
      <c r="AJ9" s="12">
        <f>((X9/U9)*I9)*(AD9/100)</f>
        <v>1.0855538503655447E-2</v>
      </c>
      <c r="AK9" s="12">
        <f>((X9/U9)*I9)*(AE9/100)</f>
        <v>6.9785604666356457E-4</v>
      </c>
      <c r="AL9" s="12">
        <f t="shared" si="9"/>
        <v>1628.5204839881872</v>
      </c>
      <c r="AM9" s="12">
        <f t="shared" si="9"/>
        <v>34.526936056286651</v>
      </c>
      <c r="AN9" s="12">
        <f t="shared" si="9"/>
        <v>281.72681975301589</v>
      </c>
      <c r="AO9" s="12">
        <f t="shared" si="9"/>
        <v>18.373488244761901</v>
      </c>
      <c r="AP9" s="12">
        <f t="shared" si="9"/>
        <v>2171.1077007310896</v>
      </c>
      <c r="AQ9" s="12">
        <f t="shared" si="9"/>
        <v>139.5712093327129</v>
      </c>
      <c r="AR9" s="12">
        <f>AL9+AN9</f>
        <v>1910.247303741203</v>
      </c>
      <c r="AS9" s="12">
        <f>AP9/AN9</f>
        <v>7.7064288825410907</v>
      </c>
      <c r="AT9" s="12">
        <f>AP9/AR9</f>
        <v>1.1365584427100059</v>
      </c>
    </row>
    <row r="10" spans="1:46" x14ac:dyDescent="0.2">
      <c r="A10">
        <v>45</v>
      </c>
      <c r="B10" t="s">
        <v>26</v>
      </c>
      <c r="C10" t="s">
        <v>27</v>
      </c>
      <c r="D10">
        <v>8</v>
      </c>
      <c r="E10" t="s">
        <v>32</v>
      </c>
      <c r="F10" t="s">
        <v>89</v>
      </c>
      <c r="G10" t="s">
        <v>92</v>
      </c>
      <c r="H10" s="18">
        <v>276.39999999999998</v>
      </c>
      <c r="I10" s="18">
        <v>0.74161706699999996</v>
      </c>
      <c r="J10" s="18">
        <f t="shared" si="0"/>
        <v>392.69908169872417</v>
      </c>
      <c r="K10" s="18">
        <f t="shared" si="1"/>
        <v>1.9634954084936209E-3</v>
      </c>
      <c r="L10" s="18">
        <f t="shared" si="2"/>
        <v>200000</v>
      </c>
      <c r="M10" s="18">
        <f t="shared" si="3"/>
        <v>148323.41339999999</v>
      </c>
      <c r="N10" s="18">
        <v>0.32090000000000002</v>
      </c>
      <c r="O10">
        <f t="shared" si="4"/>
        <v>172.20326830701885</v>
      </c>
      <c r="P10" s="18">
        <v>3.25</v>
      </c>
      <c r="Q10">
        <f t="shared" si="5"/>
        <v>4820.5109354999995</v>
      </c>
      <c r="R10" s="18">
        <v>0.17</v>
      </c>
      <c r="S10">
        <f t="shared" si="6"/>
        <v>252.14980278000002</v>
      </c>
      <c r="T10">
        <f t="shared" si="7"/>
        <v>19.117647058823529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 spans="1:46" x14ac:dyDescent="0.2">
      <c r="A11">
        <v>46</v>
      </c>
      <c r="B11" t="s">
        <v>26</v>
      </c>
      <c r="C11" t="s">
        <v>27</v>
      </c>
      <c r="D11">
        <v>8</v>
      </c>
      <c r="E11" t="s">
        <v>32</v>
      </c>
      <c r="F11" t="s">
        <v>90</v>
      </c>
      <c r="G11" t="s">
        <v>92</v>
      </c>
      <c r="H11" s="18">
        <v>308.70999999999998</v>
      </c>
      <c r="I11" s="18">
        <v>1.092009207</v>
      </c>
      <c r="J11" s="18">
        <f t="shared" si="0"/>
        <v>392.69908169872417</v>
      </c>
      <c r="K11" s="18">
        <f t="shared" si="1"/>
        <v>1.9634954084936209E-3</v>
      </c>
      <c r="L11" s="18">
        <f t="shared" si="2"/>
        <v>200000</v>
      </c>
      <c r="M11" s="18">
        <f t="shared" si="3"/>
        <v>218401.8414</v>
      </c>
      <c r="N11" s="18">
        <v>0.26569999999999999</v>
      </c>
      <c r="O11">
        <f t="shared" si="4"/>
        <v>187.97372699290597</v>
      </c>
      <c r="P11" s="18">
        <v>0.84</v>
      </c>
      <c r="Q11">
        <f t="shared" si="5"/>
        <v>1834.57546776</v>
      </c>
      <c r="R11" s="18">
        <v>7.0000000000000007E-2</v>
      </c>
      <c r="S11">
        <f t="shared" si="6"/>
        <v>152.88128898000002</v>
      </c>
      <c r="T11">
        <f t="shared" si="7"/>
        <v>11.999999999999998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 spans="1:46" x14ac:dyDescent="0.2">
      <c r="A12">
        <v>47</v>
      </c>
      <c r="B12" t="s">
        <v>26</v>
      </c>
      <c r="C12" t="s">
        <v>27</v>
      </c>
      <c r="D12">
        <v>8</v>
      </c>
      <c r="E12" t="s">
        <v>33</v>
      </c>
      <c r="F12" t="s">
        <v>89</v>
      </c>
      <c r="G12" t="s">
        <v>92</v>
      </c>
      <c r="H12" s="18">
        <v>276.39999999999998</v>
      </c>
      <c r="I12" s="18">
        <v>0.74161706699999996</v>
      </c>
      <c r="J12" s="18">
        <f t="shared" si="0"/>
        <v>392.69908169872417</v>
      </c>
      <c r="K12" s="18">
        <f t="shared" si="1"/>
        <v>1.9634954084936209E-3</v>
      </c>
      <c r="L12" s="18">
        <f t="shared" si="2"/>
        <v>200000</v>
      </c>
      <c r="M12" s="18">
        <f t="shared" si="3"/>
        <v>148323.41339999999</v>
      </c>
      <c r="N12" s="18">
        <v>0.66669999999999996</v>
      </c>
      <c r="O12">
        <f t="shared" si="4"/>
        <v>357.76852284290879</v>
      </c>
      <c r="P12" s="18">
        <v>1.8</v>
      </c>
      <c r="Q12">
        <f t="shared" si="5"/>
        <v>2669.8214412000002</v>
      </c>
      <c r="R12" s="18">
        <v>0.12</v>
      </c>
      <c r="S12">
        <f t="shared" si="6"/>
        <v>177.98809607999996</v>
      </c>
      <c r="T12">
        <f t="shared" si="7"/>
        <v>15.000000000000002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6" x14ac:dyDescent="0.2">
      <c r="A13">
        <v>48</v>
      </c>
      <c r="B13" t="s">
        <v>26</v>
      </c>
      <c r="C13" t="s">
        <v>27</v>
      </c>
      <c r="D13">
        <v>8</v>
      </c>
      <c r="E13" t="s">
        <v>33</v>
      </c>
      <c r="F13" t="s">
        <v>90</v>
      </c>
      <c r="G13" t="s">
        <v>92</v>
      </c>
      <c r="H13" s="18">
        <v>308.70999999999998</v>
      </c>
      <c r="I13" s="18">
        <v>1.092009207</v>
      </c>
      <c r="J13" s="18">
        <f t="shared" si="0"/>
        <v>392.69908169872417</v>
      </c>
      <c r="K13" s="18">
        <f t="shared" si="1"/>
        <v>1.9634954084936209E-3</v>
      </c>
      <c r="L13" s="18">
        <f t="shared" si="2"/>
        <v>200000</v>
      </c>
      <c r="M13" s="18">
        <f t="shared" si="3"/>
        <v>218401.8414</v>
      </c>
      <c r="N13" s="18">
        <v>0.1033</v>
      </c>
      <c r="O13">
        <f t="shared" si="4"/>
        <v>73.081241996112865</v>
      </c>
      <c r="P13" s="18">
        <v>0.54</v>
      </c>
      <c r="Q13">
        <f t="shared" si="5"/>
        <v>1179.3699435600001</v>
      </c>
      <c r="R13" s="18">
        <v>0.05</v>
      </c>
      <c r="S13">
        <f t="shared" si="6"/>
        <v>109.20092070000001</v>
      </c>
      <c r="T13">
        <f t="shared" si="7"/>
        <v>10.8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6" x14ac:dyDescent="0.2">
      <c r="A14">
        <v>49</v>
      </c>
      <c r="B14" t="s">
        <v>26</v>
      </c>
      <c r="C14" t="s">
        <v>34</v>
      </c>
      <c r="D14">
        <v>9</v>
      </c>
      <c r="E14" t="s">
        <v>35</v>
      </c>
      <c r="F14" t="s">
        <v>89</v>
      </c>
      <c r="G14" t="s">
        <v>92</v>
      </c>
      <c r="H14" s="18">
        <v>337.94</v>
      </c>
      <c r="I14" s="18">
        <v>0.90673687300000005</v>
      </c>
      <c r="J14" s="18">
        <f t="shared" si="0"/>
        <v>392.69908169872417</v>
      </c>
      <c r="K14" s="18">
        <f t="shared" si="1"/>
        <v>1.9634954084936209E-3</v>
      </c>
      <c r="L14" s="18">
        <f t="shared" si="2"/>
        <v>200000</v>
      </c>
      <c r="M14" s="18">
        <f t="shared" si="3"/>
        <v>181347.37460000001</v>
      </c>
      <c r="N14" s="18">
        <v>1.4169</v>
      </c>
      <c r="O14">
        <f t="shared" si="4"/>
        <v>760.34531298674335</v>
      </c>
      <c r="P14" s="18">
        <v>6.84</v>
      </c>
      <c r="Q14">
        <f t="shared" si="5"/>
        <v>12404.160422640001</v>
      </c>
      <c r="R14" s="18">
        <v>0.35</v>
      </c>
      <c r="S14">
        <f t="shared" si="6"/>
        <v>634.7158111</v>
      </c>
      <c r="T14">
        <f t="shared" si="7"/>
        <v>19.542857142857144</v>
      </c>
      <c r="U14" s="20">
        <v>5.5060000000000002</v>
      </c>
      <c r="V14" s="20">
        <v>0.2056</v>
      </c>
      <c r="W14" s="20">
        <v>2.2134</v>
      </c>
      <c r="X14" s="20">
        <v>3.2</v>
      </c>
      <c r="Y14" s="20">
        <f>V14+W14+X14</f>
        <v>5.6189999999999998</v>
      </c>
      <c r="Z14" s="20">
        <v>34.659999999999997</v>
      </c>
      <c r="AA14" s="20">
        <v>1.01</v>
      </c>
      <c r="AB14" s="20">
        <v>0.74</v>
      </c>
      <c r="AC14" s="20">
        <v>0.04</v>
      </c>
      <c r="AD14" s="20">
        <v>1.64</v>
      </c>
      <c r="AE14" s="20">
        <v>0.12</v>
      </c>
      <c r="AF14" s="12">
        <f>((V14/U14)*I14)*(Z14/100)</f>
        <v>1.1735368695491841E-2</v>
      </c>
      <c r="AG14" s="12">
        <f>((V14/U14)*I14)*(AA14/100)</f>
        <v>3.419712170353941E-4</v>
      </c>
      <c r="AH14" s="12">
        <f>((W14/U14)*I14)*(AB14/100)</f>
        <v>2.6973462260745881E-3</v>
      </c>
      <c r="AI14" s="12">
        <f>((W14/U14)*I14)*(AC14/100)</f>
        <v>1.4580249870673449E-4</v>
      </c>
      <c r="AJ14" s="12">
        <f>((X14/U14)*I14)*(AD14/100)</f>
        <v>8.642490209778423E-3</v>
      </c>
      <c r="AK14" s="12">
        <f>((X14/U14)*I14)*(AE14/100)</f>
        <v>6.3237733242281155E-4</v>
      </c>
      <c r="AL14" s="12">
        <f t="shared" ref="AL14:AQ15" si="10">AF14*100*100*20</f>
        <v>2347.0737390983682</v>
      </c>
      <c r="AM14" s="12">
        <f t="shared" si="10"/>
        <v>68.394243407078818</v>
      </c>
      <c r="AN14" s="12">
        <f t="shared" si="10"/>
        <v>539.46924521491758</v>
      </c>
      <c r="AO14" s="12">
        <f t="shared" si="10"/>
        <v>29.160499741346896</v>
      </c>
      <c r="AP14" s="12">
        <f t="shared" si="10"/>
        <v>1728.4980419556846</v>
      </c>
      <c r="AQ14" s="12">
        <f t="shared" si="10"/>
        <v>126.4754664845623</v>
      </c>
      <c r="AR14" s="12">
        <f>AL14+AN14</f>
        <v>2886.5429843132856</v>
      </c>
      <c r="AS14" s="12">
        <f>AP14/AN14</f>
        <v>3.2040715152669605</v>
      </c>
      <c r="AT14" s="12">
        <f>AP14/AR14</f>
        <v>0.59881250733111735</v>
      </c>
    </row>
    <row r="15" spans="1:46" x14ac:dyDescent="0.2">
      <c r="A15">
        <v>50</v>
      </c>
      <c r="B15" t="s">
        <v>26</v>
      </c>
      <c r="C15" t="s">
        <v>34</v>
      </c>
      <c r="D15">
        <v>9</v>
      </c>
      <c r="E15" t="s">
        <v>35</v>
      </c>
      <c r="F15" t="s">
        <v>90</v>
      </c>
      <c r="G15" t="s">
        <v>92</v>
      </c>
      <c r="H15" s="18">
        <v>251.94</v>
      </c>
      <c r="I15" s="18">
        <v>0.735163919</v>
      </c>
      <c r="J15" s="18">
        <f t="shared" si="0"/>
        <v>392.69908169872417</v>
      </c>
      <c r="K15" s="18">
        <f t="shared" si="1"/>
        <v>1.9634954084936209E-3</v>
      </c>
      <c r="L15" s="18">
        <f t="shared" si="2"/>
        <v>200000</v>
      </c>
      <c r="M15" s="18">
        <f t="shared" si="3"/>
        <v>147032.7838</v>
      </c>
      <c r="N15" s="18">
        <v>0.47520000000000001</v>
      </c>
      <c r="O15">
        <f t="shared" si="4"/>
        <v>277.32785132079067</v>
      </c>
      <c r="P15" s="18">
        <v>2.88</v>
      </c>
      <c r="Q15">
        <f t="shared" si="5"/>
        <v>4234.5441734400001</v>
      </c>
      <c r="R15" s="18">
        <v>0.15</v>
      </c>
      <c r="S15">
        <f t="shared" si="6"/>
        <v>220.54917570000001</v>
      </c>
      <c r="T15">
        <f t="shared" si="7"/>
        <v>19.2</v>
      </c>
      <c r="U15" s="20">
        <v>5.8827999999999996</v>
      </c>
      <c r="V15" s="20">
        <v>0.17430000000000001</v>
      </c>
      <c r="W15" s="20">
        <v>1.9625999999999999</v>
      </c>
      <c r="X15" s="20">
        <v>3.88</v>
      </c>
      <c r="Y15" s="20">
        <f>V15+W15+X15</f>
        <v>6.0168999999999997</v>
      </c>
      <c r="Z15" s="20">
        <v>29.98</v>
      </c>
      <c r="AA15" s="20">
        <v>0.6</v>
      </c>
      <c r="AB15" s="20">
        <v>4.3099999999999996</v>
      </c>
      <c r="AC15" s="20">
        <v>0.18</v>
      </c>
      <c r="AD15" s="20">
        <v>2.08</v>
      </c>
      <c r="AE15" s="20">
        <v>0.14000000000000001</v>
      </c>
      <c r="AF15" s="12">
        <f>((V15/U15)*I15)*(Z15/100)</f>
        <v>6.5302395985404335E-3</v>
      </c>
      <c r="AG15" s="12">
        <f>((V15/U15)*I15)*(AA15/100)</f>
        <v>1.3069191991742029E-4</v>
      </c>
      <c r="AH15" s="12">
        <f>((W15/U15)*I15)*(AB15/100)</f>
        <v>1.057083186411354E-2</v>
      </c>
      <c r="AI15" s="12">
        <f>((W15/U15)*I15)*(AC15/100)</f>
        <v>4.4147325650590197E-4</v>
      </c>
      <c r="AJ15" s="12">
        <f>((X15/U15)*I15)*(AD15/100)</f>
        <v>1.0085447222237032E-2</v>
      </c>
      <c r="AK15" s="12">
        <f>((X15/U15)*I15)*(AE15/100)</f>
        <v>6.7882817841980034E-4</v>
      </c>
      <c r="AL15" s="12">
        <f t="shared" si="10"/>
        <v>1306.0479197080867</v>
      </c>
      <c r="AM15" s="12">
        <f t="shared" si="10"/>
        <v>26.138383983484061</v>
      </c>
      <c r="AN15" s="12">
        <f t="shared" si="10"/>
        <v>2114.1663728227081</v>
      </c>
      <c r="AO15" s="12">
        <f t="shared" si="10"/>
        <v>88.29465130118038</v>
      </c>
      <c r="AP15" s="12">
        <f t="shared" si="10"/>
        <v>2017.0894444474063</v>
      </c>
      <c r="AQ15" s="12">
        <f t="shared" si="10"/>
        <v>135.76563568396008</v>
      </c>
      <c r="AR15" s="12">
        <f>AL15+AN15</f>
        <v>3420.2142925307949</v>
      </c>
      <c r="AS15" s="12">
        <f>AP15/AN15</f>
        <v>0.95408264476097471</v>
      </c>
      <c r="AT15" s="12">
        <f>AP15/AR15</f>
        <v>0.5897552819577444</v>
      </c>
    </row>
    <row r="16" spans="1:46" x14ac:dyDescent="0.2">
      <c r="A16">
        <v>51</v>
      </c>
      <c r="B16" t="s">
        <v>26</v>
      </c>
      <c r="C16" t="s">
        <v>34</v>
      </c>
      <c r="D16">
        <v>9</v>
      </c>
      <c r="E16" t="s">
        <v>36</v>
      </c>
      <c r="F16" t="s">
        <v>89</v>
      </c>
      <c r="G16" t="s">
        <v>92</v>
      </c>
      <c r="H16" s="18">
        <v>337.94</v>
      </c>
      <c r="I16" s="18">
        <v>0.90673687300000005</v>
      </c>
      <c r="J16" s="18">
        <f t="shared" si="0"/>
        <v>392.69908169872417</v>
      </c>
      <c r="K16" s="18">
        <f t="shared" si="1"/>
        <v>1.9634954084936209E-3</v>
      </c>
      <c r="L16" s="18">
        <f t="shared" si="2"/>
        <v>200000</v>
      </c>
      <c r="M16" s="18">
        <f t="shared" si="3"/>
        <v>181347.37460000001</v>
      </c>
      <c r="N16" s="18">
        <v>6.7799999999999999E-2</v>
      </c>
      <c r="O16">
        <f t="shared" si="4"/>
        <v>36.383239622063094</v>
      </c>
      <c r="P16" s="18">
        <v>2.4900000000000002</v>
      </c>
      <c r="Q16">
        <f t="shared" si="5"/>
        <v>4515.549627540001</v>
      </c>
      <c r="R16" s="18">
        <v>0.13</v>
      </c>
      <c r="S16">
        <f t="shared" si="6"/>
        <v>235.75158698000001</v>
      </c>
      <c r="T16">
        <f t="shared" si="7"/>
        <v>19.153846153846153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6" x14ac:dyDescent="0.2">
      <c r="A17">
        <v>52</v>
      </c>
      <c r="B17" t="s">
        <v>26</v>
      </c>
      <c r="C17" t="s">
        <v>34</v>
      </c>
      <c r="D17">
        <v>9</v>
      </c>
      <c r="E17" t="s">
        <v>36</v>
      </c>
      <c r="F17" t="s">
        <v>90</v>
      </c>
      <c r="G17" t="s">
        <v>92</v>
      </c>
      <c r="H17" s="18">
        <v>251.94</v>
      </c>
      <c r="I17" s="18">
        <v>0.735163919</v>
      </c>
      <c r="J17" s="18">
        <f t="shared" si="0"/>
        <v>392.69908169872417</v>
      </c>
      <c r="K17" s="18">
        <f t="shared" si="1"/>
        <v>1.9634954084936209E-3</v>
      </c>
      <c r="L17" s="18">
        <f t="shared" si="2"/>
        <v>200000</v>
      </c>
      <c r="M17" s="18">
        <f t="shared" si="3"/>
        <v>147032.7838</v>
      </c>
      <c r="N17" s="18">
        <v>0.31380000000000002</v>
      </c>
      <c r="O17">
        <f t="shared" si="4"/>
        <v>183.13442707168377</v>
      </c>
      <c r="P17" s="18">
        <v>0.74</v>
      </c>
      <c r="Q17">
        <f t="shared" si="5"/>
        <v>1088.0426001200001</v>
      </c>
      <c r="R17" s="18">
        <v>0.08</v>
      </c>
      <c r="S17">
        <f t="shared" si="6"/>
        <v>117.62622704</v>
      </c>
      <c r="T17">
        <f t="shared" si="7"/>
        <v>9.25</v>
      </c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6" x14ac:dyDescent="0.2">
      <c r="A18">
        <v>53</v>
      </c>
      <c r="B18" t="s">
        <v>26</v>
      </c>
      <c r="C18" t="s">
        <v>34</v>
      </c>
      <c r="D18">
        <v>9</v>
      </c>
      <c r="E18" t="s">
        <v>37</v>
      </c>
      <c r="F18" t="s">
        <v>89</v>
      </c>
      <c r="G18" t="s">
        <v>92</v>
      </c>
      <c r="H18" s="18">
        <v>337.94</v>
      </c>
      <c r="I18" s="18">
        <v>0.90673687300000005</v>
      </c>
      <c r="J18" s="18">
        <f t="shared" si="0"/>
        <v>392.69908169872417</v>
      </c>
      <c r="K18" s="18">
        <f t="shared" si="1"/>
        <v>1.9634954084936209E-3</v>
      </c>
      <c r="L18" s="18">
        <f t="shared" si="2"/>
        <v>200000</v>
      </c>
      <c r="M18" s="18">
        <f t="shared" si="3"/>
        <v>181347.37460000001</v>
      </c>
      <c r="N18" s="18">
        <v>0.95140000000000002</v>
      </c>
      <c r="O18">
        <f t="shared" si="4"/>
        <v>510.54593180576438</v>
      </c>
      <c r="P18" s="18">
        <v>6.14</v>
      </c>
      <c r="Q18">
        <f t="shared" si="5"/>
        <v>11134.72880044</v>
      </c>
      <c r="R18" s="18">
        <v>0.35</v>
      </c>
      <c r="S18">
        <f t="shared" si="6"/>
        <v>634.7158111</v>
      </c>
      <c r="T18">
        <f t="shared" si="7"/>
        <v>17.542857142857144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6" x14ac:dyDescent="0.2">
      <c r="A19">
        <v>54</v>
      </c>
      <c r="B19" t="s">
        <v>26</v>
      </c>
      <c r="C19" t="s">
        <v>34</v>
      </c>
      <c r="D19">
        <v>9</v>
      </c>
      <c r="E19" t="s">
        <v>37</v>
      </c>
      <c r="F19" t="s">
        <v>90</v>
      </c>
      <c r="G19" t="s">
        <v>92</v>
      </c>
      <c r="H19" s="18">
        <v>251.94</v>
      </c>
      <c r="I19" s="18">
        <v>0.735163919</v>
      </c>
      <c r="J19" s="18">
        <f t="shared" si="0"/>
        <v>392.69908169872417</v>
      </c>
      <c r="K19" s="18">
        <f t="shared" si="1"/>
        <v>1.9634954084936209E-3</v>
      </c>
      <c r="L19" s="18">
        <f t="shared" si="2"/>
        <v>200000</v>
      </c>
      <c r="M19" s="18">
        <f t="shared" si="3"/>
        <v>147032.7838</v>
      </c>
      <c r="N19" s="18">
        <v>0.20269999999999999</v>
      </c>
      <c r="O19">
        <f t="shared" si="4"/>
        <v>118.29620257307296</v>
      </c>
      <c r="P19" s="18">
        <v>1.87</v>
      </c>
      <c r="Q19">
        <f t="shared" si="5"/>
        <v>2749.5130570600004</v>
      </c>
      <c r="R19" s="18">
        <v>0.09</v>
      </c>
      <c r="S19">
        <f t="shared" si="6"/>
        <v>132.32950542</v>
      </c>
      <c r="T19">
        <f t="shared" si="7"/>
        <v>20.777777777777779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6" x14ac:dyDescent="0.2">
      <c r="A20">
        <v>55</v>
      </c>
      <c r="B20" t="s">
        <v>26</v>
      </c>
      <c r="C20" t="s">
        <v>27</v>
      </c>
      <c r="D20">
        <v>10</v>
      </c>
      <c r="E20" t="s">
        <v>38</v>
      </c>
      <c r="F20" t="s">
        <v>89</v>
      </c>
      <c r="G20" t="s">
        <v>92</v>
      </c>
      <c r="H20" s="18">
        <v>284.88</v>
      </c>
      <c r="I20" s="18">
        <v>0.80771404000000002</v>
      </c>
      <c r="J20" s="18">
        <f t="shared" si="0"/>
        <v>392.69908169872417</v>
      </c>
      <c r="K20" s="18">
        <f t="shared" si="1"/>
        <v>1.9634954084936209E-3</v>
      </c>
      <c r="L20" s="18">
        <f t="shared" si="2"/>
        <v>200000</v>
      </c>
      <c r="M20" s="18">
        <f t="shared" si="3"/>
        <v>161542.80799999999</v>
      </c>
      <c r="N20" s="18">
        <v>0.2</v>
      </c>
      <c r="O20">
        <f t="shared" si="4"/>
        <v>113.41112608817748</v>
      </c>
      <c r="P20" s="18">
        <v>1.63</v>
      </c>
      <c r="Q20">
        <f t="shared" si="5"/>
        <v>2633.1477703999994</v>
      </c>
      <c r="R20" s="18">
        <v>0.11</v>
      </c>
      <c r="S20">
        <f t="shared" si="6"/>
        <v>177.69708879999999</v>
      </c>
      <c r="T20">
        <f t="shared" si="7"/>
        <v>14.818181818181817</v>
      </c>
      <c r="U20" s="20">
        <v>5.8125</v>
      </c>
      <c r="V20" s="20">
        <v>0.22570000000000001</v>
      </c>
      <c r="W20" s="20">
        <v>1.3677999999999999</v>
      </c>
      <c r="X20" s="20">
        <v>4.3499999999999996</v>
      </c>
      <c r="Y20" s="20">
        <f>V20+W20+X20</f>
        <v>5.9434999999999993</v>
      </c>
      <c r="Z20" s="20">
        <v>29.2</v>
      </c>
      <c r="AA20" s="20">
        <v>0.97</v>
      </c>
      <c r="AB20" s="20">
        <v>1.83</v>
      </c>
      <c r="AC20" s="20">
        <v>0.1</v>
      </c>
      <c r="AD20" s="20">
        <v>3.58</v>
      </c>
      <c r="AE20" s="20">
        <v>0.24</v>
      </c>
      <c r="AF20" s="12">
        <f>((V20/U20)*I20)*(Z20/100)</f>
        <v>9.1581779230582375E-3</v>
      </c>
      <c r="AG20" s="12">
        <f>((V20/U20)*I20)*(AA20/100)</f>
        <v>3.0422714333446887E-4</v>
      </c>
      <c r="AH20" s="12">
        <f>((W20/U20)*I20)*(AB20/100)</f>
        <v>3.4783105599293937E-3</v>
      </c>
      <c r="AI20" s="12">
        <f>((W20/U20)*I20)*(AC20/100)</f>
        <v>1.9007161529668818E-4</v>
      </c>
      <c r="AJ20" s="12">
        <f>((X20/U20)*I20)*(AD20/100)</f>
        <v>2.1640483002012899E-2</v>
      </c>
      <c r="AK20" s="12">
        <f>((X20/U20)*I20)*(AE20/100)</f>
        <v>1.4507586370064512E-3</v>
      </c>
      <c r="AL20" s="12">
        <f t="shared" ref="AL20:AQ21" si="11">AF20*100*100*20</f>
        <v>1831.6355846116473</v>
      </c>
      <c r="AM20" s="12">
        <f t="shared" si="11"/>
        <v>60.845428666893781</v>
      </c>
      <c r="AN20" s="12">
        <f t="shared" si="11"/>
        <v>695.66211198587882</v>
      </c>
      <c r="AO20" s="12">
        <f t="shared" si="11"/>
        <v>38.014323059337634</v>
      </c>
      <c r="AP20" s="12">
        <f t="shared" si="11"/>
        <v>4328.0966004025795</v>
      </c>
      <c r="AQ20" s="12">
        <f t="shared" si="11"/>
        <v>290.15172740129026</v>
      </c>
      <c r="AR20" s="12">
        <f>AL20+AN20</f>
        <v>2527.2976965975263</v>
      </c>
      <c r="AS20" s="12">
        <f>AP20/AN20</f>
        <v>6.2215499821419558</v>
      </c>
      <c r="AT20" s="12">
        <f>AP20/AR20</f>
        <v>1.7125392889921316</v>
      </c>
    </row>
    <row r="21" spans="1:46" x14ac:dyDescent="0.2">
      <c r="A21">
        <v>56</v>
      </c>
      <c r="B21" t="s">
        <v>26</v>
      </c>
      <c r="C21" t="s">
        <v>27</v>
      </c>
      <c r="D21">
        <v>10</v>
      </c>
      <c r="E21" t="s">
        <v>38</v>
      </c>
      <c r="F21" t="s">
        <v>90</v>
      </c>
      <c r="G21" t="s">
        <v>92</v>
      </c>
      <c r="H21" s="18">
        <v>372.34</v>
      </c>
      <c r="I21" s="18">
        <v>1.0409308239999999</v>
      </c>
      <c r="J21" s="18">
        <f t="shared" si="0"/>
        <v>392.69908169872417</v>
      </c>
      <c r="K21" s="18">
        <f t="shared" si="1"/>
        <v>1.9634954084936209E-3</v>
      </c>
      <c r="L21" s="18">
        <f t="shared" si="2"/>
        <v>200000</v>
      </c>
      <c r="M21" s="18">
        <f t="shared" si="3"/>
        <v>208186.1648</v>
      </c>
      <c r="N21" s="18">
        <v>0.12559999999999999</v>
      </c>
      <c r="O21">
        <f t="shared" si="4"/>
        <v>70.226627004565714</v>
      </c>
      <c r="P21" s="18">
        <v>0.99</v>
      </c>
      <c r="Q21">
        <f t="shared" si="5"/>
        <v>2061.0430315199997</v>
      </c>
      <c r="R21" s="18">
        <v>0.09</v>
      </c>
      <c r="S21">
        <f t="shared" si="6"/>
        <v>187.36754832</v>
      </c>
      <c r="T21">
        <f t="shared" si="7"/>
        <v>11</v>
      </c>
      <c r="U21" s="20">
        <v>5.8959999999999999</v>
      </c>
      <c r="V21" s="20">
        <v>4.3400000000000001E-2</v>
      </c>
      <c r="W21" s="20">
        <v>1.3939999999999999</v>
      </c>
      <c r="X21" s="20">
        <v>4.5</v>
      </c>
      <c r="Y21" s="20">
        <f>V21+W21+X21</f>
        <v>5.9374000000000002</v>
      </c>
      <c r="Z21" s="20">
        <v>42.13</v>
      </c>
      <c r="AA21" s="20">
        <v>1.17</v>
      </c>
      <c r="AB21" s="20">
        <v>0.45</v>
      </c>
      <c r="AC21" s="20">
        <v>0.03</v>
      </c>
      <c r="AD21" s="20">
        <v>1.07</v>
      </c>
      <c r="AE21" s="20">
        <v>0.1</v>
      </c>
      <c r="AF21" s="12">
        <f>((V21/U21)*I21)*(Z21/100)</f>
        <v>3.2280896161740297E-3</v>
      </c>
      <c r="AG21" s="12">
        <f>((V21/U21)*I21)*(AA21/100)</f>
        <v>8.9647872084586149E-5</v>
      </c>
      <c r="AH21" s="12">
        <f>((W21/U21)*I21)*(AB21/100)</f>
        <v>1.1074896640013568E-3</v>
      </c>
      <c r="AI21" s="12">
        <f>((W21/U21)*I21)*(AC21/100)</f>
        <v>7.3832644266757098E-5</v>
      </c>
      <c r="AJ21" s="12">
        <f>((X21/U21)*I21)*(AD21/100)</f>
        <v>8.5008173635685216E-3</v>
      </c>
      <c r="AK21" s="12">
        <f>((X21/U21)*I21)*(AE21/100)</f>
        <v>7.9446891248303932E-4</v>
      </c>
      <c r="AL21" s="12">
        <f t="shared" si="11"/>
        <v>645.61792323480586</v>
      </c>
      <c r="AM21" s="12">
        <f t="shared" si="11"/>
        <v>17.92957441691723</v>
      </c>
      <c r="AN21" s="12">
        <f t="shared" si="11"/>
        <v>221.49793280027137</v>
      </c>
      <c r="AO21" s="12">
        <f t="shared" si="11"/>
        <v>14.766528853351419</v>
      </c>
      <c r="AP21" s="12">
        <f t="shared" si="11"/>
        <v>1700.1634727137043</v>
      </c>
      <c r="AQ21" s="12">
        <f t="shared" si="11"/>
        <v>158.89378249660786</v>
      </c>
      <c r="AR21" s="12">
        <f>AL21+AN21</f>
        <v>867.11585603507729</v>
      </c>
      <c r="AS21" s="12">
        <f>AP21/AN21</f>
        <v>7.6757532281205174</v>
      </c>
      <c r="AT21" s="12">
        <f>AP21/AR21</f>
        <v>1.9607108564336158</v>
      </c>
    </row>
    <row r="22" spans="1:46" x14ac:dyDescent="0.2">
      <c r="A22">
        <v>57</v>
      </c>
      <c r="B22" t="s">
        <v>26</v>
      </c>
      <c r="C22" t="s">
        <v>27</v>
      </c>
      <c r="D22">
        <v>10</v>
      </c>
      <c r="E22" t="s">
        <v>39</v>
      </c>
      <c r="F22" t="s">
        <v>89</v>
      </c>
      <c r="G22" t="s">
        <v>92</v>
      </c>
      <c r="H22" s="18">
        <v>284.88</v>
      </c>
      <c r="I22" s="18">
        <v>0.80771404000000002</v>
      </c>
      <c r="J22" s="18">
        <f t="shared" si="0"/>
        <v>392.69908169872417</v>
      </c>
      <c r="K22" s="18">
        <f t="shared" si="1"/>
        <v>1.9634954084936209E-3</v>
      </c>
      <c r="L22" s="18">
        <f t="shared" si="2"/>
        <v>200000</v>
      </c>
      <c r="M22" s="18">
        <f t="shared" si="3"/>
        <v>161542.80799999999</v>
      </c>
      <c r="N22" s="18">
        <v>0.38900000000000001</v>
      </c>
      <c r="O22">
        <f t="shared" si="4"/>
        <v>220.58464024150518</v>
      </c>
      <c r="P22" s="18">
        <v>4.75</v>
      </c>
      <c r="Q22">
        <f t="shared" si="5"/>
        <v>7673.2833799999999</v>
      </c>
      <c r="R22" s="18">
        <v>0.28000000000000003</v>
      </c>
      <c r="S22">
        <f t="shared" si="6"/>
        <v>452.31986240000003</v>
      </c>
      <c r="T22">
        <f t="shared" si="7"/>
        <v>16.964285714285712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6" x14ac:dyDescent="0.2">
      <c r="A23">
        <v>58</v>
      </c>
      <c r="B23" t="s">
        <v>26</v>
      </c>
      <c r="C23" t="s">
        <v>27</v>
      </c>
      <c r="D23">
        <v>10</v>
      </c>
      <c r="E23" t="s">
        <v>39</v>
      </c>
      <c r="F23" t="s">
        <v>90</v>
      </c>
      <c r="G23" t="s">
        <v>92</v>
      </c>
      <c r="H23" s="18">
        <v>372.34</v>
      </c>
      <c r="I23" s="18">
        <v>1.0409308239999999</v>
      </c>
      <c r="J23" s="18">
        <f t="shared" si="0"/>
        <v>392.69908169872417</v>
      </c>
      <c r="K23" s="18">
        <f t="shared" si="1"/>
        <v>1.9634954084936209E-3</v>
      </c>
      <c r="L23" s="18">
        <f t="shared" si="2"/>
        <v>200000</v>
      </c>
      <c r="M23" s="18">
        <f t="shared" si="3"/>
        <v>208186.1648</v>
      </c>
      <c r="N23" s="18">
        <v>7.0199999999999999E-2</v>
      </c>
      <c r="O23">
        <f t="shared" si="4"/>
        <v>39.250869551914917</v>
      </c>
      <c r="P23" s="18">
        <v>1.3</v>
      </c>
      <c r="Q23">
        <f t="shared" si="5"/>
        <v>2706.4201424000003</v>
      </c>
      <c r="R23" s="18">
        <v>0.1</v>
      </c>
      <c r="S23">
        <f t="shared" si="6"/>
        <v>208.1861648</v>
      </c>
      <c r="T23">
        <f t="shared" si="7"/>
        <v>13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6" x14ac:dyDescent="0.2">
      <c r="A24">
        <v>59</v>
      </c>
      <c r="B24" t="s">
        <v>26</v>
      </c>
      <c r="C24" t="s">
        <v>27</v>
      </c>
      <c r="D24">
        <v>10</v>
      </c>
      <c r="E24" t="s">
        <v>40</v>
      </c>
      <c r="F24" t="s">
        <v>89</v>
      </c>
      <c r="G24" t="s">
        <v>92</v>
      </c>
      <c r="H24" s="18">
        <v>284.88</v>
      </c>
      <c r="I24" s="18">
        <v>0.80771404000000002</v>
      </c>
      <c r="J24" s="18">
        <f t="shared" si="0"/>
        <v>392.69908169872417</v>
      </c>
      <c r="K24" s="18">
        <f t="shared" si="1"/>
        <v>1.9634954084936209E-3</v>
      </c>
      <c r="L24" s="18">
        <f t="shared" si="2"/>
        <v>200000</v>
      </c>
      <c r="M24" s="18">
        <f t="shared" si="3"/>
        <v>161542.80799999999</v>
      </c>
      <c r="N24" s="18">
        <v>0.34789999999999999</v>
      </c>
      <c r="O24">
        <f t="shared" si="4"/>
        <v>197.27865383038471</v>
      </c>
      <c r="P24" s="18">
        <v>1.34</v>
      </c>
      <c r="Q24">
        <f t="shared" si="5"/>
        <v>2164.6736271999998</v>
      </c>
      <c r="R24" s="18">
        <v>0.1</v>
      </c>
      <c r="S24">
        <f t="shared" si="6"/>
        <v>161.54280799999998</v>
      </c>
      <c r="T24">
        <f t="shared" si="7"/>
        <v>13.4</v>
      </c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6" x14ac:dyDescent="0.2">
      <c r="A25">
        <v>60</v>
      </c>
      <c r="B25" t="s">
        <v>26</v>
      </c>
      <c r="C25" t="s">
        <v>27</v>
      </c>
      <c r="D25">
        <v>10</v>
      </c>
      <c r="E25" t="s">
        <v>40</v>
      </c>
      <c r="F25" t="s">
        <v>90</v>
      </c>
      <c r="G25" t="s">
        <v>92</v>
      </c>
      <c r="H25" s="18">
        <v>372.34</v>
      </c>
      <c r="I25" s="18">
        <v>1.0409308239999999</v>
      </c>
      <c r="J25" s="18">
        <f t="shared" si="0"/>
        <v>392.69908169872417</v>
      </c>
      <c r="K25" s="18">
        <f t="shared" si="1"/>
        <v>1.9634954084936209E-3</v>
      </c>
      <c r="L25" s="18">
        <f t="shared" si="2"/>
        <v>200000</v>
      </c>
      <c r="M25" s="18">
        <f t="shared" si="3"/>
        <v>208186.1648</v>
      </c>
      <c r="N25" s="18">
        <v>0.30180000000000001</v>
      </c>
      <c r="O25">
        <f t="shared" si="4"/>
        <v>168.74519132148038</v>
      </c>
      <c r="P25" s="18">
        <v>4.0199999999999996</v>
      </c>
      <c r="Q25">
        <f t="shared" si="5"/>
        <v>8369.0838249599983</v>
      </c>
      <c r="R25" s="18">
        <v>0.22</v>
      </c>
      <c r="S25">
        <f t="shared" si="6"/>
        <v>458.00956256000001</v>
      </c>
      <c r="T25">
        <f t="shared" si="7"/>
        <v>18.27272727272727</v>
      </c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6" x14ac:dyDescent="0.2">
      <c r="A26">
        <v>61</v>
      </c>
      <c r="B26" t="s">
        <v>26</v>
      </c>
      <c r="C26" t="s">
        <v>27</v>
      </c>
      <c r="D26">
        <v>11</v>
      </c>
      <c r="E26" t="s">
        <v>41</v>
      </c>
      <c r="F26" t="s">
        <v>89</v>
      </c>
      <c r="G26" t="s">
        <v>92</v>
      </c>
      <c r="H26" s="18">
        <v>209.06</v>
      </c>
      <c r="I26" s="18">
        <v>0.59274325000000005</v>
      </c>
      <c r="J26" s="18">
        <f t="shared" si="0"/>
        <v>392.69908169872417</v>
      </c>
      <c r="K26" s="18">
        <f t="shared" si="1"/>
        <v>1.9634954084936209E-3</v>
      </c>
      <c r="L26" s="18">
        <f t="shared" si="2"/>
        <v>200000</v>
      </c>
      <c r="M26" s="18">
        <f t="shared" si="3"/>
        <v>118548.65000000001</v>
      </c>
      <c r="N26" s="18">
        <v>0.71060000000000001</v>
      </c>
      <c r="O26">
        <f t="shared" si="4"/>
        <v>402.9497306514877</v>
      </c>
      <c r="P26" s="18">
        <v>3.13</v>
      </c>
      <c r="Q26">
        <f t="shared" si="5"/>
        <v>3710.5727450000004</v>
      </c>
      <c r="R26" s="18">
        <v>0.17</v>
      </c>
      <c r="S26">
        <f t="shared" si="6"/>
        <v>201.53270500000002</v>
      </c>
      <c r="T26">
        <f t="shared" si="7"/>
        <v>18.411764705882351</v>
      </c>
      <c r="U26" s="20">
        <v>5.7706</v>
      </c>
      <c r="V26" s="20">
        <v>9.5000000000000001E-2</v>
      </c>
      <c r="W26" s="20">
        <v>2.4868000000000001</v>
      </c>
      <c r="X26" s="20">
        <v>3.1739000000000002</v>
      </c>
      <c r="Y26" s="20">
        <f>V26+W26+X26</f>
        <v>5.7557000000000009</v>
      </c>
      <c r="Z26" s="20">
        <v>38.369999999999997</v>
      </c>
      <c r="AA26" s="20">
        <v>0.97</v>
      </c>
      <c r="AB26" s="20">
        <v>1.08</v>
      </c>
      <c r="AC26" s="20">
        <v>0.05</v>
      </c>
      <c r="AD26" s="20">
        <v>2.08</v>
      </c>
      <c r="AE26" s="20">
        <v>0.12</v>
      </c>
      <c r="AF26" s="12">
        <f>((V26/U26)*I26)*(Z26/100)</f>
        <v>3.7442173391631726E-3</v>
      </c>
      <c r="AG26" s="12">
        <f>((V26/U26)*I26)*(AA26/100)</f>
        <v>9.4654438858177682E-5</v>
      </c>
      <c r="AH26" s="12">
        <f>((W26/U26)*I26)*(AB26/100)</f>
        <v>2.7587367470072442E-3</v>
      </c>
      <c r="AI26" s="12">
        <f>((W26/U26)*I26)*(AC26/100)</f>
        <v>1.2771929384292795E-4</v>
      </c>
      <c r="AJ26" s="12">
        <f>((X26/U26)*I26)*(AD26/100)</f>
        <v>6.7811323370949306E-3</v>
      </c>
      <c r="AK26" s="12">
        <f>((X26/U26)*I26)*(AE26/100)</f>
        <v>3.9121917329393828E-4</v>
      </c>
      <c r="AL26" s="12">
        <f t="shared" ref="AL26:AQ27" si="12">AF26*100*100*20</f>
        <v>748.84346783263459</v>
      </c>
      <c r="AM26" s="12">
        <f t="shared" si="12"/>
        <v>18.930887771635536</v>
      </c>
      <c r="AN26" s="12">
        <f t="shared" si="12"/>
        <v>551.7473494014489</v>
      </c>
      <c r="AO26" s="12">
        <f t="shared" si="12"/>
        <v>25.54385876858559</v>
      </c>
      <c r="AP26" s="12">
        <f t="shared" si="12"/>
        <v>1356.2264674189862</v>
      </c>
      <c r="AQ26" s="12">
        <f t="shared" si="12"/>
        <v>78.243834658787662</v>
      </c>
      <c r="AR26" s="12">
        <f>AL26+AN26</f>
        <v>1300.5908172340835</v>
      </c>
      <c r="AS26" s="12">
        <f>AP26/AN26</f>
        <v>2.4580570597942319</v>
      </c>
      <c r="AT26" s="12">
        <f>AP26/AR26</f>
        <v>1.042777212823339</v>
      </c>
    </row>
    <row r="27" spans="1:46" x14ac:dyDescent="0.2">
      <c r="A27">
        <v>62</v>
      </c>
      <c r="B27" t="s">
        <v>26</v>
      </c>
      <c r="C27" t="s">
        <v>27</v>
      </c>
      <c r="D27">
        <v>11</v>
      </c>
      <c r="E27" t="s">
        <v>41</v>
      </c>
      <c r="F27" t="s">
        <v>90</v>
      </c>
      <c r="G27" t="s">
        <v>92</v>
      </c>
      <c r="H27" s="18">
        <v>404.64</v>
      </c>
      <c r="I27" s="18">
        <v>1.1004650819999999</v>
      </c>
      <c r="J27" s="18">
        <f t="shared" si="0"/>
        <v>392.69908169872417</v>
      </c>
      <c r="K27" s="18">
        <f t="shared" si="1"/>
        <v>1.9634954084936209E-3</v>
      </c>
      <c r="L27" s="18">
        <f t="shared" si="2"/>
        <v>200000</v>
      </c>
      <c r="M27" s="18">
        <f t="shared" si="3"/>
        <v>220093.01639999999</v>
      </c>
      <c r="N27" s="18">
        <v>0.1089</v>
      </c>
      <c r="O27">
        <f t="shared" si="4"/>
        <v>59.233218381672593</v>
      </c>
      <c r="P27" s="18">
        <v>0.94</v>
      </c>
      <c r="Q27">
        <f t="shared" si="5"/>
        <v>2068.8743541599997</v>
      </c>
      <c r="R27" s="18">
        <v>0.06</v>
      </c>
      <c r="S27">
        <f t="shared" si="6"/>
        <v>132.05580983999999</v>
      </c>
      <c r="T27">
        <f t="shared" si="7"/>
        <v>15.666666666666666</v>
      </c>
      <c r="U27" s="20">
        <v>5.9002999999999997</v>
      </c>
      <c r="V27" s="20">
        <v>6.4100000000000004E-2</v>
      </c>
      <c r="W27" s="20">
        <v>2.1570999999999998</v>
      </c>
      <c r="X27" s="20">
        <v>3.9293999999999998</v>
      </c>
      <c r="Y27" s="20">
        <f>V27+W27+X27</f>
        <v>6.150599999999999</v>
      </c>
      <c r="Z27" s="20">
        <v>38.36</v>
      </c>
      <c r="AA27" s="20">
        <v>0.75</v>
      </c>
      <c r="AB27" s="20">
        <v>0.28000000000000003</v>
      </c>
      <c r="AC27" s="20">
        <v>0.02</v>
      </c>
      <c r="AD27" s="20">
        <v>0.79</v>
      </c>
      <c r="AE27" s="20">
        <v>7.0000000000000007E-2</v>
      </c>
      <c r="AF27" s="12">
        <f>((V27/U27)*I27)*(Z27/100)</f>
        <v>4.5860501651913159E-3</v>
      </c>
      <c r="AG27" s="12">
        <f>((V27/U27)*I27)*(AA27/100)</f>
        <v>8.9664693010779121E-5</v>
      </c>
      <c r="AH27" s="12">
        <f>((W27/U27)*I27)*(AB27/100)</f>
        <v>1.1264981508516787E-3</v>
      </c>
      <c r="AI27" s="12">
        <f>((W27/U27)*I27)*(AC27/100)</f>
        <v>8.0464153632262762E-5</v>
      </c>
      <c r="AJ27" s="12">
        <f>((X27/U27)*I27)*(AD27/100)</f>
        <v>5.7896925912860912E-3</v>
      </c>
      <c r="AK27" s="12">
        <f>((X27/U27)*I27)*(AE27/100)</f>
        <v>5.1301073593674237E-4</v>
      </c>
      <c r="AL27" s="12">
        <f t="shared" si="12"/>
        <v>917.21003303826319</v>
      </c>
      <c r="AM27" s="12">
        <f t="shared" si="12"/>
        <v>17.932938602155822</v>
      </c>
      <c r="AN27" s="12">
        <f t="shared" si="12"/>
        <v>225.29963017033572</v>
      </c>
      <c r="AO27" s="12">
        <f t="shared" si="12"/>
        <v>16.092830726452554</v>
      </c>
      <c r="AP27" s="12">
        <f t="shared" si="12"/>
        <v>1157.9385182572182</v>
      </c>
      <c r="AQ27" s="12">
        <f t="shared" si="12"/>
        <v>102.60214718734846</v>
      </c>
      <c r="AR27" s="12">
        <f>AL27+AN27</f>
        <v>1142.5096632085988</v>
      </c>
      <c r="AS27" s="12">
        <f>AP27/AN27</f>
        <v>5.139549130115169</v>
      </c>
      <c r="AT27" s="12">
        <f>AP27/AR27</f>
        <v>1.0135043540947297</v>
      </c>
    </row>
    <row r="28" spans="1:46" x14ac:dyDescent="0.2">
      <c r="A28">
        <v>63</v>
      </c>
      <c r="B28" t="s">
        <v>26</v>
      </c>
      <c r="C28" t="s">
        <v>27</v>
      </c>
      <c r="D28">
        <v>11</v>
      </c>
      <c r="E28" t="s">
        <v>42</v>
      </c>
      <c r="F28" t="s">
        <v>89</v>
      </c>
      <c r="G28" t="s">
        <v>92</v>
      </c>
      <c r="H28" s="18">
        <v>209.06</v>
      </c>
      <c r="I28" s="18">
        <v>0.59274325000000005</v>
      </c>
      <c r="J28" s="18">
        <f t="shared" si="0"/>
        <v>392.69908169872417</v>
      </c>
      <c r="K28" s="18">
        <f t="shared" si="1"/>
        <v>1.9634954084936209E-3</v>
      </c>
      <c r="L28" s="18">
        <f t="shared" si="2"/>
        <v>200000</v>
      </c>
      <c r="M28" s="18">
        <f t="shared" si="3"/>
        <v>118548.65000000001</v>
      </c>
      <c r="N28" s="18">
        <v>0.59360000000000002</v>
      </c>
      <c r="O28">
        <f t="shared" si="4"/>
        <v>336.60422194585288</v>
      </c>
      <c r="P28" s="18">
        <v>3.9</v>
      </c>
      <c r="Q28">
        <f t="shared" si="5"/>
        <v>4623.3973500000002</v>
      </c>
      <c r="R28" s="18">
        <v>0.2</v>
      </c>
      <c r="S28">
        <f t="shared" si="6"/>
        <v>237.09730000000002</v>
      </c>
      <c r="T28">
        <f t="shared" si="7"/>
        <v>19.5</v>
      </c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6" x14ac:dyDescent="0.2">
      <c r="A29">
        <v>64</v>
      </c>
      <c r="B29" t="s">
        <v>26</v>
      </c>
      <c r="C29" t="s">
        <v>27</v>
      </c>
      <c r="D29">
        <v>11</v>
      </c>
      <c r="E29" t="s">
        <v>42</v>
      </c>
      <c r="F29" t="s">
        <v>90</v>
      </c>
      <c r="G29" t="s">
        <v>92</v>
      </c>
      <c r="H29" s="18">
        <v>404.64</v>
      </c>
      <c r="I29" s="18">
        <v>1.1004650819999999</v>
      </c>
      <c r="J29" s="18">
        <f t="shared" si="0"/>
        <v>392.69908169872417</v>
      </c>
      <c r="K29" s="18">
        <f t="shared" si="1"/>
        <v>1.9634954084936209E-3</v>
      </c>
      <c r="L29" s="18">
        <f t="shared" si="2"/>
        <v>200000</v>
      </c>
      <c r="M29" s="18">
        <f t="shared" si="3"/>
        <v>220093.01639999999</v>
      </c>
      <c r="N29" s="18">
        <v>8.0999999999999996E-3</v>
      </c>
      <c r="O29">
        <f t="shared" si="4"/>
        <v>4.4057765738434167</v>
      </c>
      <c r="P29" s="18">
        <v>1.6</v>
      </c>
      <c r="Q29">
        <f t="shared" si="5"/>
        <v>3521.4882624000002</v>
      </c>
      <c r="R29" s="18">
        <v>0.09</v>
      </c>
      <c r="S29">
        <f t="shared" si="6"/>
        <v>198.08371475999999</v>
      </c>
      <c r="T29">
        <f t="shared" si="7"/>
        <v>17.777777777777779</v>
      </c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6" x14ac:dyDescent="0.2">
      <c r="A30">
        <v>65</v>
      </c>
      <c r="B30" t="s">
        <v>26</v>
      </c>
      <c r="C30" t="s">
        <v>27</v>
      </c>
      <c r="D30">
        <v>11</v>
      </c>
      <c r="E30" t="s">
        <v>43</v>
      </c>
      <c r="F30" t="s">
        <v>89</v>
      </c>
      <c r="G30" t="s">
        <v>92</v>
      </c>
      <c r="H30" s="18">
        <v>209.06</v>
      </c>
      <c r="I30" s="18">
        <v>0.59274325000000005</v>
      </c>
      <c r="J30" s="18">
        <f t="shared" si="0"/>
        <v>392.69908169872417</v>
      </c>
      <c r="K30" s="18">
        <f t="shared" si="1"/>
        <v>1.9634954084936209E-3</v>
      </c>
      <c r="L30" s="18">
        <f t="shared" si="2"/>
        <v>200000</v>
      </c>
      <c r="M30" s="18">
        <f t="shared" si="3"/>
        <v>118548.65000000001</v>
      </c>
      <c r="N30" s="18">
        <v>0.82320000000000004</v>
      </c>
      <c r="O30">
        <f t="shared" si="4"/>
        <v>466.80019458528659</v>
      </c>
      <c r="P30" s="18">
        <v>3.8</v>
      </c>
      <c r="Q30">
        <f t="shared" si="5"/>
        <v>4504.8487000000005</v>
      </c>
      <c r="R30" s="18">
        <v>0.23</v>
      </c>
      <c r="S30">
        <f t="shared" si="6"/>
        <v>272.66189500000002</v>
      </c>
      <c r="T30">
        <f t="shared" si="7"/>
        <v>16.521739130434781</v>
      </c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6" x14ac:dyDescent="0.2">
      <c r="A31">
        <v>66</v>
      </c>
      <c r="B31" t="s">
        <v>26</v>
      </c>
      <c r="C31" t="s">
        <v>27</v>
      </c>
      <c r="D31">
        <v>11</v>
      </c>
      <c r="E31" t="s">
        <v>43</v>
      </c>
      <c r="F31" t="s">
        <v>90</v>
      </c>
      <c r="G31" t="s">
        <v>92</v>
      </c>
      <c r="H31" s="18">
        <v>404.64</v>
      </c>
      <c r="I31" s="18">
        <v>1.1004650819999999</v>
      </c>
      <c r="J31" s="18">
        <f t="shared" ref="J31:J94" si="13">PI()*(2.5^2)*20</f>
        <v>392.69908169872417</v>
      </c>
      <c r="K31" s="18">
        <f t="shared" ref="K31:K94" si="14">PI()*(0.025^2)</f>
        <v>1.9634954084936209E-3</v>
      </c>
      <c r="L31" s="18">
        <f t="shared" ref="L31:L94" si="15">J31/K31</f>
        <v>200000</v>
      </c>
      <c r="M31" s="18">
        <f t="shared" si="3"/>
        <v>220093.01639999999</v>
      </c>
      <c r="N31" s="18">
        <v>0.4617</v>
      </c>
      <c r="O31">
        <f t="shared" si="4"/>
        <v>251.12926470907473</v>
      </c>
      <c r="P31" s="18">
        <v>1.79</v>
      </c>
      <c r="Q31">
        <f t="shared" si="5"/>
        <v>3939.6649935599999</v>
      </c>
      <c r="R31" s="18">
        <v>0.12</v>
      </c>
      <c r="S31">
        <f t="shared" si="6"/>
        <v>264.11161967999999</v>
      </c>
      <c r="T31">
        <f t="shared" si="7"/>
        <v>14.916666666666668</v>
      </c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6" x14ac:dyDescent="0.2">
      <c r="A32">
        <v>67</v>
      </c>
      <c r="B32" t="s">
        <v>26</v>
      </c>
      <c r="C32" t="s">
        <v>27</v>
      </c>
      <c r="D32">
        <v>12</v>
      </c>
      <c r="E32" t="s">
        <v>44</v>
      </c>
      <c r="F32" t="s">
        <v>89</v>
      </c>
      <c r="G32" t="s">
        <v>92</v>
      </c>
      <c r="H32" s="18">
        <v>345.18</v>
      </c>
      <c r="I32" s="18">
        <v>0.92707706499999998</v>
      </c>
      <c r="J32" s="18">
        <f t="shared" si="13"/>
        <v>392.69908169872417</v>
      </c>
      <c r="K32" s="18">
        <f t="shared" si="14"/>
        <v>1.9634954084936209E-3</v>
      </c>
      <c r="L32" s="18">
        <f t="shared" si="15"/>
        <v>200000</v>
      </c>
      <c r="M32" s="18">
        <f t="shared" si="3"/>
        <v>185415.413</v>
      </c>
      <c r="N32" s="18">
        <v>0.28189999999999998</v>
      </c>
      <c r="O32">
        <f t="shared" si="4"/>
        <v>151.42419875050697</v>
      </c>
      <c r="P32" s="18">
        <v>1.08</v>
      </c>
      <c r="Q32">
        <f t="shared" si="5"/>
        <v>2002.4864604000002</v>
      </c>
      <c r="R32" s="18">
        <v>0.08</v>
      </c>
      <c r="S32">
        <f t="shared" si="6"/>
        <v>148.33233040000002</v>
      </c>
      <c r="T32">
        <f t="shared" si="7"/>
        <v>13.5</v>
      </c>
      <c r="U32" s="20">
        <v>5.7077999999999998</v>
      </c>
      <c r="V32" s="20">
        <v>0.1215</v>
      </c>
      <c r="W32" s="20">
        <v>2.5259</v>
      </c>
      <c r="X32" s="20">
        <v>3.0352999999999999</v>
      </c>
      <c r="Y32" s="20">
        <f>V32+W32+X32</f>
        <v>5.6827000000000005</v>
      </c>
      <c r="Z32" s="20">
        <v>40.72</v>
      </c>
      <c r="AA32" s="20">
        <v>0.8</v>
      </c>
      <c r="AB32" s="20">
        <v>3.41</v>
      </c>
      <c r="AC32" s="20">
        <v>0.22</v>
      </c>
      <c r="AD32" s="20">
        <v>5</v>
      </c>
      <c r="AE32" s="20">
        <v>0.39</v>
      </c>
      <c r="AF32" s="12">
        <f>((V32/U32)*I32)*(Z32/100)</f>
        <v>8.0358373410879848E-3</v>
      </c>
      <c r="AG32" s="12">
        <f>((V32/U32)*I32)*(AA32/100)</f>
        <v>1.5787499687795647E-4</v>
      </c>
      <c r="AH32" s="12">
        <f>((W32/U32)*I32)*(AB32/100)</f>
        <v>1.39899970188667E-2</v>
      </c>
      <c r="AI32" s="12">
        <f>((W32/U32)*I32)*(AC32/100)</f>
        <v>9.0258045283010983E-4</v>
      </c>
      <c r="AJ32" s="12">
        <f>((X32/U32)*I32)*(AD32/100)</f>
        <v>2.4650101750188336E-2</v>
      </c>
      <c r="AK32" s="12">
        <f>((X32/U32)*I32)*(AE32/100)</f>
        <v>1.9227079365146903E-3</v>
      </c>
      <c r="AL32" s="12">
        <f t="shared" ref="AL32:AQ33" si="16">AF32*100*100*20</f>
        <v>1607.1674682175969</v>
      </c>
      <c r="AM32" s="12">
        <f t="shared" si="16"/>
        <v>31.574999375591297</v>
      </c>
      <c r="AN32" s="12">
        <f t="shared" si="16"/>
        <v>2797.99940377334</v>
      </c>
      <c r="AO32" s="12">
        <f t="shared" si="16"/>
        <v>180.51609056602194</v>
      </c>
      <c r="AP32" s="12">
        <f t="shared" si="16"/>
        <v>4930.0203500376674</v>
      </c>
      <c r="AQ32" s="12">
        <f t="shared" si="16"/>
        <v>384.54158730293807</v>
      </c>
      <c r="AR32" s="12">
        <f>AL32+AN32</f>
        <v>4405.1668719909367</v>
      </c>
      <c r="AS32" s="12">
        <f>AP32/AN32</f>
        <v>1.761980486267837</v>
      </c>
      <c r="AT32" s="12">
        <f>AP32/AR32</f>
        <v>1.1191449707351315</v>
      </c>
    </row>
    <row r="33" spans="1:46" x14ac:dyDescent="0.2">
      <c r="A33">
        <v>68</v>
      </c>
      <c r="B33" t="s">
        <v>26</v>
      </c>
      <c r="C33" t="s">
        <v>27</v>
      </c>
      <c r="D33">
        <v>12</v>
      </c>
      <c r="E33" t="s">
        <v>44</v>
      </c>
      <c r="F33" t="s">
        <v>90</v>
      </c>
      <c r="G33" t="s">
        <v>92</v>
      </c>
      <c r="H33" s="18">
        <v>336.25</v>
      </c>
      <c r="I33" s="18">
        <v>1.007239349</v>
      </c>
      <c r="J33" s="18">
        <f t="shared" si="13"/>
        <v>392.69908169872417</v>
      </c>
      <c r="K33" s="18">
        <f t="shared" si="14"/>
        <v>1.9634954084936209E-3</v>
      </c>
      <c r="L33" s="18">
        <f t="shared" si="15"/>
        <v>200000</v>
      </c>
      <c r="M33" s="18">
        <f t="shared" si="3"/>
        <v>201447.86980000001</v>
      </c>
      <c r="N33" s="18">
        <v>0.3604</v>
      </c>
      <c r="O33">
        <f t="shared" si="4"/>
        <v>215.91617033730856</v>
      </c>
      <c r="P33" s="18">
        <v>0.71</v>
      </c>
      <c r="Q33">
        <f t="shared" si="5"/>
        <v>1430.27987558</v>
      </c>
      <c r="R33" s="18">
        <v>0.06</v>
      </c>
      <c r="S33">
        <f t="shared" si="6"/>
        <v>120.86872188</v>
      </c>
      <c r="T33">
        <f t="shared" si="7"/>
        <v>11.833333333333334</v>
      </c>
      <c r="U33" s="20">
        <v>5.7512999999999996</v>
      </c>
      <c r="V33" s="20">
        <v>4.2900000000000001E-2</v>
      </c>
      <c r="W33" s="20">
        <v>2.1869999999999998</v>
      </c>
      <c r="X33" s="20">
        <v>3.6406999999999998</v>
      </c>
      <c r="Y33" s="20">
        <f>V33+W33+X33</f>
        <v>5.8705999999999996</v>
      </c>
      <c r="Z33" s="20">
        <v>40.32</v>
      </c>
      <c r="AA33" s="20">
        <v>1.04</v>
      </c>
      <c r="AB33" s="20">
        <v>0.18</v>
      </c>
      <c r="AC33" s="20">
        <v>0.01</v>
      </c>
      <c r="AD33" s="20">
        <v>1.08</v>
      </c>
      <c r="AE33" s="20">
        <v>0.09</v>
      </c>
      <c r="AF33" s="12">
        <f>((V33/U33)*I33)*(Z33/100)</f>
        <v>3.0293152933546716E-3</v>
      </c>
      <c r="AG33" s="12">
        <f>((V33/U33)*I33)*(AA33/100)</f>
        <v>7.81371008206562E-5</v>
      </c>
      <c r="AH33" s="12">
        <f>((W33/U33)*I33)*(AB33/100)</f>
        <v>6.8942646380355745E-4</v>
      </c>
      <c r="AI33" s="12">
        <f>((W33/U33)*I33)*(AC33/100)</f>
        <v>3.8301470211308751E-5</v>
      </c>
      <c r="AJ33" s="12">
        <f>((X33/U33)*I33)*(AD33/100)</f>
        <v>6.8861314863363846E-3</v>
      </c>
      <c r="AK33" s="12">
        <f>((X33/U33)*I33)*(AE33/100)</f>
        <v>5.7384429052803197E-4</v>
      </c>
      <c r="AL33" s="12">
        <f t="shared" si="16"/>
        <v>605.86305867093438</v>
      </c>
      <c r="AM33" s="12">
        <f t="shared" si="16"/>
        <v>15.627420164131237</v>
      </c>
      <c r="AN33" s="12">
        <f t="shared" si="16"/>
        <v>137.88529276071148</v>
      </c>
      <c r="AO33" s="12">
        <f t="shared" si="16"/>
        <v>7.66029404226175</v>
      </c>
      <c r="AP33" s="12">
        <f t="shared" si="16"/>
        <v>1377.226297267277</v>
      </c>
      <c r="AQ33" s="12">
        <f t="shared" si="16"/>
        <v>114.7688581056064</v>
      </c>
      <c r="AR33" s="12">
        <f>AL33+AN33</f>
        <v>743.74835143164591</v>
      </c>
      <c r="AS33" s="12">
        <f>AP33/AN33</f>
        <v>9.9882030178326513</v>
      </c>
      <c r="AT33" s="12">
        <f>AP33/AR33</f>
        <v>1.8517369411525355</v>
      </c>
    </row>
    <row r="34" spans="1:46" x14ac:dyDescent="0.2">
      <c r="A34">
        <v>69</v>
      </c>
      <c r="B34" t="s">
        <v>26</v>
      </c>
      <c r="C34" t="s">
        <v>27</v>
      </c>
      <c r="D34">
        <v>12</v>
      </c>
      <c r="E34" t="s">
        <v>45</v>
      </c>
      <c r="F34" t="s">
        <v>89</v>
      </c>
      <c r="G34" t="s">
        <v>92</v>
      </c>
      <c r="H34" s="18">
        <v>345.18</v>
      </c>
      <c r="I34" s="18">
        <v>0.92707706499999998</v>
      </c>
      <c r="J34" s="18">
        <f t="shared" si="13"/>
        <v>392.69908169872417</v>
      </c>
      <c r="K34" s="18">
        <f t="shared" si="14"/>
        <v>1.9634954084936209E-3</v>
      </c>
      <c r="L34" s="18">
        <f t="shared" si="15"/>
        <v>200000</v>
      </c>
      <c r="M34" s="18">
        <f t="shared" ref="M34:M65" si="17">I34*L34</f>
        <v>185415.413</v>
      </c>
      <c r="N34" s="18">
        <v>0.73340000000000005</v>
      </c>
      <c r="O34">
        <f t="shared" ref="O34:O65" si="18">N34*M34/H34</f>
        <v>393.9500083846109</v>
      </c>
      <c r="P34" s="18">
        <v>0.74</v>
      </c>
      <c r="Q34">
        <f t="shared" ref="Q34:Q65" si="19">M34*(P34/100)</f>
        <v>1372.0740562000001</v>
      </c>
      <c r="R34" s="18">
        <v>0.06</v>
      </c>
      <c r="S34">
        <f t="shared" ref="S34:S65" si="20">M34*(R34/100)</f>
        <v>111.24924779999999</v>
      </c>
      <c r="T34">
        <f t="shared" ref="T34:T65" si="21">P34/R34</f>
        <v>12.333333333333334</v>
      </c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</row>
    <row r="35" spans="1:46" x14ac:dyDescent="0.2">
      <c r="A35">
        <v>70</v>
      </c>
      <c r="B35" t="s">
        <v>26</v>
      </c>
      <c r="C35" t="s">
        <v>27</v>
      </c>
      <c r="D35">
        <v>12</v>
      </c>
      <c r="E35" t="s">
        <v>45</v>
      </c>
      <c r="F35" t="s">
        <v>90</v>
      </c>
      <c r="G35" t="s">
        <v>92</v>
      </c>
      <c r="H35" s="18">
        <v>336.25</v>
      </c>
      <c r="I35" s="18">
        <v>1.007239349</v>
      </c>
      <c r="J35" s="18">
        <f t="shared" si="13"/>
        <v>392.69908169872417</v>
      </c>
      <c r="K35" s="18">
        <f t="shared" si="14"/>
        <v>1.9634954084936209E-3</v>
      </c>
      <c r="L35" s="18">
        <f t="shared" si="15"/>
        <v>200000</v>
      </c>
      <c r="M35" s="18">
        <f t="shared" si="17"/>
        <v>201447.86980000001</v>
      </c>
      <c r="N35" s="18">
        <v>0.55159999999999998</v>
      </c>
      <c r="O35">
        <f t="shared" si="18"/>
        <v>330.46437169272861</v>
      </c>
      <c r="P35" s="18">
        <v>0.86</v>
      </c>
      <c r="Q35">
        <f t="shared" si="19"/>
        <v>1732.4516802800001</v>
      </c>
      <c r="R35" s="18">
        <v>7.0000000000000007E-2</v>
      </c>
      <c r="S35">
        <f t="shared" si="20"/>
        <v>141.01350886000003</v>
      </c>
      <c r="T35">
        <f t="shared" si="21"/>
        <v>12.285714285714285</v>
      </c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 spans="1:46" x14ac:dyDescent="0.2">
      <c r="A36">
        <v>71</v>
      </c>
      <c r="B36" t="s">
        <v>26</v>
      </c>
      <c r="C36" t="s">
        <v>27</v>
      </c>
      <c r="D36">
        <v>12</v>
      </c>
      <c r="E36" t="s">
        <v>46</v>
      </c>
      <c r="F36" t="s">
        <v>89</v>
      </c>
      <c r="G36" t="s">
        <v>92</v>
      </c>
      <c r="H36" s="18">
        <v>345.18</v>
      </c>
      <c r="I36" s="18">
        <v>0.92707706499999998</v>
      </c>
      <c r="J36" s="18">
        <f t="shared" si="13"/>
        <v>392.69908169872417</v>
      </c>
      <c r="K36" s="18">
        <f t="shared" si="14"/>
        <v>1.9634954084936209E-3</v>
      </c>
      <c r="L36" s="18">
        <f t="shared" si="15"/>
        <v>200000</v>
      </c>
      <c r="M36" s="18">
        <f t="shared" si="17"/>
        <v>185415.413</v>
      </c>
      <c r="N36" s="18">
        <v>0.86709999999999998</v>
      </c>
      <c r="O36">
        <f t="shared" si="18"/>
        <v>465.76772875688044</v>
      </c>
      <c r="P36" s="18">
        <v>3.56</v>
      </c>
      <c r="Q36">
        <f t="shared" si="19"/>
        <v>6600.7887027999996</v>
      </c>
      <c r="R36" s="18">
        <v>0.16</v>
      </c>
      <c r="S36">
        <f t="shared" si="20"/>
        <v>296.66466080000004</v>
      </c>
      <c r="T36">
        <f t="shared" si="21"/>
        <v>22.25</v>
      </c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spans="1:46" x14ac:dyDescent="0.2">
      <c r="A37">
        <v>72</v>
      </c>
      <c r="B37" t="s">
        <v>26</v>
      </c>
      <c r="C37" t="s">
        <v>27</v>
      </c>
      <c r="D37">
        <v>12</v>
      </c>
      <c r="E37" t="s">
        <v>46</v>
      </c>
      <c r="F37" t="s">
        <v>90</v>
      </c>
      <c r="G37" t="s">
        <v>92</v>
      </c>
      <c r="H37" s="18">
        <v>336.25</v>
      </c>
      <c r="I37" s="18">
        <v>1.007239349</v>
      </c>
      <c r="J37" s="18">
        <f t="shared" si="13"/>
        <v>392.69908169872417</v>
      </c>
      <c r="K37" s="18">
        <f t="shared" si="14"/>
        <v>1.9634954084936209E-3</v>
      </c>
      <c r="L37" s="18">
        <f t="shared" si="15"/>
        <v>200000</v>
      </c>
      <c r="M37" s="18">
        <f t="shared" si="17"/>
        <v>201447.86980000001</v>
      </c>
      <c r="N37" s="18">
        <v>0.32390000000000002</v>
      </c>
      <c r="O37">
        <f t="shared" si="18"/>
        <v>194.04896662667662</v>
      </c>
      <c r="P37" s="18">
        <v>1.51</v>
      </c>
      <c r="Q37">
        <f t="shared" si="19"/>
        <v>3041.8628339800002</v>
      </c>
      <c r="R37" s="18">
        <v>7.0000000000000007E-2</v>
      </c>
      <c r="S37">
        <f t="shared" si="20"/>
        <v>141.01350886000003</v>
      </c>
      <c r="T37">
        <f t="shared" si="21"/>
        <v>21.571428571428569</v>
      </c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spans="1:46" x14ac:dyDescent="0.2">
      <c r="A38">
        <v>73</v>
      </c>
      <c r="B38" t="s">
        <v>47</v>
      </c>
      <c r="C38" t="s">
        <v>48</v>
      </c>
      <c r="D38">
        <v>13</v>
      </c>
      <c r="E38" t="s">
        <v>49</v>
      </c>
      <c r="F38" t="s">
        <v>89</v>
      </c>
      <c r="G38" t="s">
        <v>92</v>
      </c>
      <c r="H38" s="18">
        <v>191.68</v>
      </c>
      <c r="I38" s="18">
        <v>0.507493953</v>
      </c>
      <c r="J38" s="18">
        <f t="shared" si="13"/>
        <v>392.69908169872417</v>
      </c>
      <c r="K38" s="18">
        <f t="shared" si="14"/>
        <v>1.9634954084936209E-3</v>
      </c>
      <c r="L38" s="18">
        <f t="shared" si="15"/>
        <v>200000</v>
      </c>
      <c r="M38" s="18">
        <f t="shared" si="17"/>
        <v>101498.79059999999</v>
      </c>
      <c r="N38" s="18">
        <v>0.82889999999999997</v>
      </c>
      <c r="O38">
        <f t="shared" si="18"/>
        <v>438.92084478474533</v>
      </c>
      <c r="P38" s="18">
        <v>6.57</v>
      </c>
      <c r="Q38">
        <f t="shared" si="19"/>
        <v>6668.4705424200001</v>
      </c>
      <c r="R38" s="18">
        <v>0.39</v>
      </c>
      <c r="S38">
        <f t="shared" si="20"/>
        <v>395.84528333999998</v>
      </c>
      <c r="T38">
        <f t="shared" si="21"/>
        <v>16.846153846153847</v>
      </c>
      <c r="U38" s="20">
        <v>5.5327999999999999</v>
      </c>
      <c r="V38" s="20">
        <v>0.1215</v>
      </c>
      <c r="W38" s="20">
        <v>2.9388000000000001</v>
      </c>
      <c r="X38" s="20">
        <v>2.5670999999999999</v>
      </c>
      <c r="Y38" s="20">
        <f>V38+W38+X38</f>
        <v>5.6273999999999997</v>
      </c>
      <c r="Z38" s="20">
        <v>37.83</v>
      </c>
      <c r="AA38" s="20">
        <v>1</v>
      </c>
      <c r="AB38" s="20">
        <v>0.24</v>
      </c>
      <c r="AC38" s="20">
        <v>0.02</v>
      </c>
      <c r="AD38" s="20">
        <v>1.28</v>
      </c>
      <c r="AE38" s="20">
        <v>0.1</v>
      </c>
      <c r="AF38" s="12">
        <f>((V38/U38)*I38)*(Z38/100)</f>
        <v>4.2159797813074483E-3</v>
      </c>
      <c r="AG38" s="12">
        <f>((V38/U38)*I38)*(AA38/100)</f>
        <v>1.1144540791190719E-4</v>
      </c>
      <c r="AH38" s="12">
        <f>((W38/U38)*I38)*(AB38/100)</f>
        <v>6.4694472053632157E-4</v>
      </c>
      <c r="AI38" s="12">
        <f>((W38/U38)*I38)*(AC38/100)</f>
        <v>5.3912060044693469E-5</v>
      </c>
      <c r="AJ38" s="12">
        <f>((X38/U38)*I38)*(AD38/100)</f>
        <v>3.0139681359081551E-3</v>
      </c>
      <c r="AK38" s="12">
        <f>((X38/U38)*I38)*(AE38/100)</f>
        <v>2.3546626061782461E-4</v>
      </c>
      <c r="AL38" s="12">
        <f t="shared" ref="AL38:AQ39" si="22">AF38*100*100*20</f>
        <v>843.19595626148964</v>
      </c>
      <c r="AM38" s="12">
        <f t="shared" si="22"/>
        <v>22.289081582381435</v>
      </c>
      <c r="AN38" s="12">
        <f t="shared" si="22"/>
        <v>129.38894410726431</v>
      </c>
      <c r="AO38" s="12">
        <f t="shared" si="22"/>
        <v>10.782412008938692</v>
      </c>
      <c r="AP38" s="12">
        <f t="shared" si="22"/>
        <v>602.793627181631</v>
      </c>
      <c r="AQ38" s="12">
        <f t="shared" si="22"/>
        <v>47.093252123564923</v>
      </c>
      <c r="AR38" s="12">
        <f>AL38+AN38</f>
        <v>972.58490036875401</v>
      </c>
      <c r="AS38" s="12">
        <f>AP38/AN38</f>
        <v>4.658772288008711</v>
      </c>
      <c r="AT38" s="12">
        <f>AP38/AR38</f>
        <v>0.61978509737615994</v>
      </c>
    </row>
    <row r="39" spans="1:46" x14ac:dyDescent="0.2">
      <c r="A39">
        <v>74</v>
      </c>
      <c r="B39" t="s">
        <v>47</v>
      </c>
      <c r="C39" t="s">
        <v>48</v>
      </c>
      <c r="D39">
        <v>13</v>
      </c>
      <c r="E39" t="s">
        <v>49</v>
      </c>
      <c r="F39" t="s">
        <v>90</v>
      </c>
      <c r="G39" t="s">
        <v>92</v>
      </c>
      <c r="H39" s="18">
        <v>278.43</v>
      </c>
      <c r="I39" s="18">
        <v>0.81246205500000002</v>
      </c>
      <c r="J39" s="18">
        <f t="shared" si="13"/>
        <v>392.69908169872417</v>
      </c>
      <c r="K39" s="18">
        <f t="shared" si="14"/>
        <v>1.9634954084936209E-3</v>
      </c>
      <c r="L39" s="18">
        <f t="shared" si="15"/>
        <v>200000</v>
      </c>
      <c r="M39" s="18">
        <f t="shared" si="17"/>
        <v>162492.41099999999</v>
      </c>
      <c r="N39" s="18">
        <v>0.18959999999999999</v>
      </c>
      <c r="O39">
        <f t="shared" si="18"/>
        <v>110.6510114772115</v>
      </c>
      <c r="P39" s="18">
        <v>1.24</v>
      </c>
      <c r="Q39">
        <f t="shared" si="19"/>
        <v>2014.9058963999998</v>
      </c>
      <c r="R39" s="18">
        <v>0.08</v>
      </c>
      <c r="S39">
        <f t="shared" si="20"/>
        <v>129.99392879999999</v>
      </c>
      <c r="T39">
        <f t="shared" si="21"/>
        <v>15.5</v>
      </c>
      <c r="U39" s="20">
        <v>5.9043999999999999</v>
      </c>
      <c r="V39" s="20">
        <v>3.6700000000000003E-2</v>
      </c>
      <c r="W39" s="20">
        <v>2.1848000000000001</v>
      </c>
      <c r="X39" s="20">
        <v>3.7056</v>
      </c>
      <c r="Y39" s="20">
        <f>V39+W39+X39</f>
        <v>5.9271000000000003</v>
      </c>
      <c r="Z39" s="20">
        <v>43.24</v>
      </c>
      <c r="AA39" s="20">
        <v>0.86</v>
      </c>
      <c r="AB39" s="20">
        <v>0.3</v>
      </c>
      <c r="AC39" s="20">
        <v>0.02</v>
      </c>
      <c r="AD39" s="20">
        <v>1.02</v>
      </c>
      <c r="AE39" s="20">
        <v>0.08</v>
      </c>
      <c r="AF39" s="12">
        <f>((V39/U39)*I39)*(Z39/100)</f>
        <v>2.1836300636405739E-3</v>
      </c>
      <c r="AG39" s="12">
        <f>((V39/U39)*I39)*(AA39/100)</f>
        <v>4.3430200155663585E-5</v>
      </c>
      <c r="AH39" s="12">
        <f>((W39/U39)*I39)*(AB39/100)</f>
        <v>9.0190388410202565E-4</v>
      </c>
      <c r="AI39" s="12">
        <f>((W39/U39)*I39)*(AC39/100)</f>
        <v>6.0126925606801708E-5</v>
      </c>
      <c r="AJ39" s="12">
        <f>((X39/U39)*I39)*(AD39/100)</f>
        <v>5.2009900732134691E-3</v>
      </c>
      <c r="AK39" s="12">
        <f>((X39/U39)*I39)*(AE39/100)</f>
        <v>4.0792079005595836E-4</v>
      </c>
      <c r="AL39" s="12">
        <f t="shared" si="22"/>
        <v>436.72601272811477</v>
      </c>
      <c r="AM39" s="12">
        <f t="shared" si="22"/>
        <v>8.6860400311327162</v>
      </c>
      <c r="AN39" s="12">
        <f t="shared" si="22"/>
        <v>180.38077682040512</v>
      </c>
      <c r="AO39" s="12">
        <f t="shared" si="22"/>
        <v>12.02538512136034</v>
      </c>
      <c r="AP39" s="12">
        <f t="shared" si="22"/>
        <v>1040.198014642694</v>
      </c>
      <c r="AQ39" s="12">
        <f t="shared" si="22"/>
        <v>81.584158011191676</v>
      </c>
      <c r="AR39" s="12">
        <f>AL39+AN39</f>
        <v>617.10678954851983</v>
      </c>
      <c r="AS39" s="12">
        <f>AP39/AN39</f>
        <v>5.7666788722079847</v>
      </c>
      <c r="AT39" s="12">
        <f>AP39/AR39</f>
        <v>1.6856045537980728</v>
      </c>
    </row>
    <row r="40" spans="1:46" x14ac:dyDescent="0.2">
      <c r="A40">
        <v>75</v>
      </c>
      <c r="B40" t="s">
        <v>47</v>
      </c>
      <c r="C40" t="s">
        <v>48</v>
      </c>
      <c r="D40">
        <v>13</v>
      </c>
      <c r="E40" t="s">
        <v>50</v>
      </c>
      <c r="F40" t="s">
        <v>89</v>
      </c>
      <c r="G40" t="s">
        <v>92</v>
      </c>
      <c r="H40" s="18">
        <v>191.68</v>
      </c>
      <c r="I40" s="18">
        <v>0.507493953</v>
      </c>
      <c r="J40" s="18">
        <f t="shared" si="13"/>
        <v>392.69908169872417</v>
      </c>
      <c r="K40" s="18">
        <f t="shared" si="14"/>
        <v>1.9634954084936209E-3</v>
      </c>
      <c r="L40" s="18">
        <f t="shared" si="15"/>
        <v>200000</v>
      </c>
      <c r="M40" s="18">
        <f t="shared" si="17"/>
        <v>101498.79059999999</v>
      </c>
      <c r="N40" s="18">
        <v>0.21360000000000001</v>
      </c>
      <c r="O40">
        <f t="shared" si="18"/>
        <v>113.10591439983305</v>
      </c>
      <c r="P40" s="18">
        <v>6.24</v>
      </c>
      <c r="Q40">
        <f t="shared" si="19"/>
        <v>6333.5245334399997</v>
      </c>
      <c r="R40" s="18">
        <v>0.38</v>
      </c>
      <c r="S40">
        <f t="shared" si="20"/>
        <v>385.69540427999999</v>
      </c>
      <c r="T40">
        <f t="shared" si="21"/>
        <v>16.421052631578949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spans="1:46" x14ac:dyDescent="0.2">
      <c r="A41">
        <v>76</v>
      </c>
      <c r="B41" t="s">
        <v>47</v>
      </c>
      <c r="C41" t="s">
        <v>48</v>
      </c>
      <c r="D41">
        <v>13</v>
      </c>
      <c r="E41" t="s">
        <v>50</v>
      </c>
      <c r="F41" t="s">
        <v>90</v>
      </c>
      <c r="G41" t="s">
        <v>92</v>
      </c>
      <c r="H41" s="18">
        <v>278.43</v>
      </c>
      <c r="I41" s="18">
        <v>0.81246205500000002</v>
      </c>
      <c r="J41" s="18">
        <f t="shared" si="13"/>
        <v>392.69908169872417</v>
      </c>
      <c r="K41" s="18">
        <f t="shared" si="14"/>
        <v>1.9634954084936209E-3</v>
      </c>
      <c r="L41" s="18">
        <f t="shared" si="15"/>
        <v>200000</v>
      </c>
      <c r="M41" s="18">
        <f t="shared" si="17"/>
        <v>162492.41099999999</v>
      </c>
      <c r="N41" s="18">
        <v>0.11210000000000001</v>
      </c>
      <c r="O41">
        <f t="shared" si="18"/>
        <v>65.421826933520094</v>
      </c>
      <c r="P41" s="18">
        <v>1.9</v>
      </c>
      <c r="Q41">
        <f t="shared" si="19"/>
        <v>3087.3558089999997</v>
      </c>
      <c r="R41" s="18">
        <v>0.12</v>
      </c>
      <c r="S41">
        <f t="shared" si="20"/>
        <v>194.99089319999999</v>
      </c>
      <c r="T41">
        <f t="shared" si="21"/>
        <v>15.833333333333334</v>
      </c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spans="1:46" x14ac:dyDescent="0.2">
      <c r="A42">
        <v>77</v>
      </c>
      <c r="B42" t="s">
        <v>47</v>
      </c>
      <c r="C42" t="s">
        <v>48</v>
      </c>
      <c r="D42">
        <v>13</v>
      </c>
      <c r="E42" t="s">
        <v>51</v>
      </c>
      <c r="F42" t="s">
        <v>89</v>
      </c>
      <c r="G42" t="s">
        <v>92</v>
      </c>
      <c r="H42" s="18">
        <v>191.68</v>
      </c>
      <c r="I42" s="18">
        <v>0.507493953</v>
      </c>
      <c r="J42" s="18">
        <f t="shared" si="13"/>
        <v>392.69908169872417</v>
      </c>
      <c r="K42" s="18">
        <f t="shared" si="14"/>
        <v>1.9634954084936209E-3</v>
      </c>
      <c r="L42" s="18">
        <f t="shared" si="15"/>
        <v>200000</v>
      </c>
      <c r="M42" s="18">
        <f t="shared" si="17"/>
        <v>101498.79059999999</v>
      </c>
      <c r="N42" s="18">
        <v>1.6066</v>
      </c>
      <c r="O42">
        <f t="shared" si="18"/>
        <v>850.730159526085</v>
      </c>
      <c r="P42" s="18">
        <v>4.24</v>
      </c>
      <c r="Q42">
        <f t="shared" si="19"/>
        <v>4303.54872144</v>
      </c>
      <c r="R42" s="18">
        <v>0.3</v>
      </c>
      <c r="S42">
        <f t="shared" si="20"/>
        <v>304.49637179999996</v>
      </c>
      <c r="T42">
        <f t="shared" si="21"/>
        <v>14.133333333333335</v>
      </c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  <row r="43" spans="1:46" x14ac:dyDescent="0.2">
      <c r="A43">
        <v>78</v>
      </c>
      <c r="B43" t="s">
        <v>47</v>
      </c>
      <c r="C43" t="s">
        <v>48</v>
      </c>
      <c r="D43">
        <v>13</v>
      </c>
      <c r="E43" t="s">
        <v>51</v>
      </c>
      <c r="F43" t="s">
        <v>90</v>
      </c>
      <c r="G43" t="s">
        <v>92</v>
      </c>
      <c r="H43" s="18">
        <v>278.43</v>
      </c>
      <c r="I43" s="18">
        <v>0.81246205500000002</v>
      </c>
      <c r="J43" s="18">
        <f t="shared" si="13"/>
        <v>392.69908169872417</v>
      </c>
      <c r="K43" s="18">
        <f t="shared" si="14"/>
        <v>1.9634954084936209E-3</v>
      </c>
      <c r="L43" s="18">
        <f t="shared" si="15"/>
        <v>200000</v>
      </c>
      <c r="M43" s="18">
        <f t="shared" si="17"/>
        <v>162492.41099999999</v>
      </c>
      <c r="N43" s="18">
        <v>0.1157</v>
      </c>
      <c r="O43">
        <f t="shared" si="18"/>
        <v>67.52279550587221</v>
      </c>
      <c r="P43" s="18">
        <v>0.72</v>
      </c>
      <c r="Q43">
        <f t="shared" si="19"/>
        <v>1169.9453592</v>
      </c>
      <c r="R43" s="18">
        <v>7.0000000000000007E-2</v>
      </c>
      <c r="S43">
        <f t="shared" si="20"/>
        <v>113.74468770000001</v>
      </c>
      <c r="T43">
        <f t="shared" si="21"/>
        <v>10.285714285714285</v>
      </c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spans="1:46" x14ac:dyDescent="0.2">
      <c r="A44">
        <v>79</v>
      </c>
      <c r="B44" t="s">
        <v>47</v>
      </c>
      <c r="C44" t="s">
        <v>48</v>
      </c>
      <c r="D44">
        <v>14</v>
      </c>
      <c r="E44" t="s">
        <v>52</v>
      </c>
      <c r="F44" t="s">
        <v>89</v>
      </c>
      <c r="G44" t="s">
        <v>92</v>
      </c>
      <c r="H44" s="18">
        <v>240.83</v>
      </c>
      <c r="I44" s="18">
        <v>0.61483422200000004</v>
      </c>
      <c r="J44" s="18">
        <f t="shared" si="13"/>
        <v>392.69908169872417</v>
      </c>
      <c r="K44" s="18">
        <f t="shared" si="14"/>
        <v>1.9634954084936209E-3</v>
      </c>
      <c r="L44" s="18">
        <f t="shared" si="15"/>
        <v>200000</v>
      </c>
      <c r="M44" s="18">
        <f t="shared" si="17"/>
        <v>122966.8444</v>
      </c>
      <c r="N44" s="18">
        <v>0.52200000000000002</v>
      </c>
      <c r="O44">
        <f t="shared" si="18"/>
        <v>266.53113306813935</v>
      </c>
      <c r="P44" s="18">
        <v>4.83</v>
      </c>
      <c r="Q44">
        <f t="shared" si="19"/>
        <v>5939.2985845200001</v>
      </c>
      <c r="R44" s="18">
        <v>0.21</v>
      </c>
      <c r="S44">
        <f t="shared" si="20"/>
        <v>258.23037324000001</v>
      </c>
      <c r="T44">
        <f t="shared" si="21"/>
        <v>23</v>
      </c>
      <c r="U44" s="20">
        <v>5.6524000000000001</v>
      </c>
      <c r="V44" s="20">
        <v>4.7E-2</v>
      </c>
      <c r="W44" s="20">
        <v>2.2021999999999999</v>
      </c>
      <c r="X44" s="20">
        <v>3.6291000000000002</v>
      </c>
      <c r="Y44" s="20">
        <f>V44+W44+X44</f>
        <v>5.8783000000000003</v>
      </c>
      <c r="Z44" s="20">
        <v>35.229999999999997</v>
      </c>
      <c r="AA44" s="20">
        <v>0.94</v>
      </c>
      <c r="AB44" s="20">
        <v>1.23</v>
      </c>
      <c r="AC44" s="20">
        <v>7.0000000000000007E-2</v>
      </c>
      <c r="AD44" s="20">
        <v>3.83</v>
      </c>
      <c r="AE44" s="20">
        <v>0.35</v>
      </c>
      <c r="AF44" s="12">
        <f>((V44/U44)*I44)*(Z44/100)</f>
        <v>1.8010909580528976E-3</v>
      </c>
      <c r="AG44" s="12">
        <f>((V44/U44)*I44)*(AA44/100)</f>
        <v>4.8056358233599884E-5</v>
      </c>
      <c r="AH44" s="12">
        <f>((W44/U44)*I44)*(AB44/100)</f>
        <v>2.9463681730534496E-3</v>
      </c>
      <c r="AI44" s="12">
        <f>((W44/U44)*I44)*(AC44/100)</f>
        <v>1.6767948952336708E-4</v>
      </c>
      <c r="AJ44" s="12">
        <f>((X44/U44)*I44)*(AD44/100)</f>
        <v>1.511899258983895E-2</v>
      </c>
      <c r="AK44" s="12">
        <f>((X44/U44)*I44)*(AE44/100)</f>
        <v>1.3816311766171362E-3</v>
      </c>
      <c r="AL44" s="12">
        <f t="shared" ref="AL44:AQ45" si="23">AF44*100*100*20</f>
        <v>360.21819161057954</v>
      </c>
      <c r="AM44" s="12">
        <f t="shared" si="23"/>
        <v>9.6112716467199775</v>
      </c>
      <c r="AN44" s="12">
        <f t="shared" si="23"/>
        <v>589.2736346106899</v>
      </c>
      <c r="AO44" s="12">
        <f t="shared" si="23"/>
        <v>33.535897904673412</v>
      </c>
      <c r="AP44" s="12">
        <f t="shared" si="23"/>
        <v>3023.7985179677894</v>
      </c>
      <c r="AQ44" s="12">
        <f t="shared" si="23"/>
        <v>276.32623532342728</v>
      </c>
      <c r="AR44" s="12">
        <f>AL44+AN44</f>
        <v>949.49182622126943</v>
      </c>
      <c r="AS44" s="12">
        <f>AP44/AN44</f>
        <v>5.1313996424861177</v>
      </c>
      <c r="AT44" s="12">
        <f>AP44/AR44</f>
        <v>3.1846493402704912</v>
      </c>
    </row>
    <row r="45" spans="1:46" x14ac:dyDescent="0.2">
      <c r="A45">
        <v>80</v>
      </c>
      <c r="B45" t="s">
        <v>47</v>
      </c>
      <c r="C45" t="s">
        <v>48</v>
      </c>
      <c r="D45">
        <v>14</v>
      </c>
      <c r="E45" t="s">
        <v>52</v>
      </c>
      <c r="F45" t="s">
        <v>90</v>
      </c>
      <c r="G45" t="s">
        <v>92</v>
      </c>
      <c r="H45" s="18">
        <v>360.2</v>
      </c>
      <c r="I45" s="18">
        <v>0.95366925000000002</v>
      </c>
      <c r="J45" s="18">
        <f t="shared" si="13"/>
        <v>392.69908169872417</v>
      </c>
      <c r="K45" s="18">
        <f t="shared" si="14"/>
        <v>1.9634954084936209E-3</v>
      </c>
      <c r="L45" s="18">
        <f t="shared" si="15"/>
        <v>200000</v>
      </c>
      <c r="M45" s="18">
        <f t="shared" si="17"/>
        <v>190733.85</v>
      </c>
      <c r="N45" s="18">
        <v>6.4999999999999997E-3</v>
      </c>
      <c r="O45">
        <f t="shared" si="18"/>
        <v>3.441893461965575</v>
      </c>
      <c r="P45" s="18">
        <v>0.66</v>
      </c>
      <c r="Q45">
        <f t="shared" si="19"/>
        <v>1258.8434099999999</v>
      </c>
      <c r="R45" s="18">
        <v>7.0000000000000007E-2</v>
      </c>
      <c r="S45">
        <f t="shared" si="20"/>
        <v>133.51369500000001</v>
      </c>
      <c r="T45">
        <f t="shared" si="21"/>
        <v>9.4285714285714288</v>
      </c>
      <c r="U45" s="20">
        <v>5.4955999999999996</v>
      </c>
      <c r="V45" s="20">
        <v>4.4200000000000003E-2</v>
      </c>
      <c r="W45" s="20">
        <v>2.2513000000000001</v>
      </c>
      <c r="X45" s="20">
        <v>3.3302999999999998</v>
      </c>
      <c r="Y45" s="20">
        <f>V45+W45+X45</f>
        <v>5.6257999999999999</v>
      </c>
      <c r="Z45" s="20">
        <v>39.299999999999997</v>
      </c>
      <c r="AA45" s="20">
        <v>0.7</v>
      </c>
      <c r="AB45" s="20">
        <v>0.44</v>
      </c>
      <c r="AC45" s="20">
        <v>0.03</v>
      </c>
      <c r="AD45" s="20">
        <v>1.69</v>
      </c>
      <c r="AE45" s="20">
        <v>0.16</v>
      </c>
      <c r="AF45" s="12">
        <f>((V45/U45)*I45)*(Z45/100)</f>
        <v>3.0143764236935009E-3</v>
      </c>
      <c r="AG45" s="12">
        <f>((V45/U45)*I45)*(AA45/100)</f>
        <v>5.3691183119222657E-5</v>
      </c>
      <c r="AH45" s="12">
        <f>((W45/U45)*I45)*(AB45/100)</f>
        <v>1.718971643334668E-3</v>
      </c>
      <c r="AI45" s="12">
        <f>((W45/U45)*I45)*(AC45/100)</f>
        <v>1.1720261204554553E-4</v>
      </c>
      <c r="AJ45" s="12">
        <f>((X45/U45)*I45)*(AD45/100)</f>
        <v>9.7668097178374522E-3</v>
      </c>
      <c r="AK45" s="12">
        <f>((X45/U45)*I45)*(AE45/100)</f>
        <v>9.2466837565325006E-4</v>
      </c>
      <c r="AL45" s="12">
        <f t="shared" si="23"/>
        <v>602.8752847387002</v>
      </c>
      <c r="AM45" s="12">
        <f t="shared" si="23"/>
        <v>10.738236623844532</v>
      </c>
      <c r="AN45" s="12">
        <f t="shared" si="23"/>
        <v>343.79432866693367</v>
      </c>
      <c r="AO45" s="12">
        <f t="shared" si="23"/>
        <v>23.440522409109107</v>
      </c>
      <c r="AP45" s="12">
        <f t="shared" si="23"/>
        <v>1953.3619435674905</v>
      </c>
      <c r="AQ45" s="12">
        <f t="shared" si="23"/>
        <v>184.93367513064999</v>
      </c>
      <c r="AR45" s="12">
        <f>AL45+AN45</f>
        <v>946.66961340563387</v>
      </c>
      <c r="AS45" s="12">
        <f>AP45/AN45</f>
        <v>5.6817747725556531</v>
      </c>
      <c r="AT45" s="12">
        <f>AP45/AR45</f>
        <v>2.0634040809024086</v>
      </c>
    </row>
    <row r="46" spans="1:46" x14ac:dyDescent="0.2">
      <c r="A46">
        <v>81</v>
      </c>
      <c r="B46" t="s">
        <v>47</v>
      </c>
      <c r="C46" t="s">
        <v>48</v>
      </c>
      <c r="D46">
        <v>14</v>
      </c>
      <c r="E46" t="s">
        <v>53</v>
      </c>
      <c r="F46" t="s">
        <v>89</v>
      </c>
      <c r="G46" t="s">
        <v>92</v>
      </c>
      <c r="H46" s="18">
        <v>240.83</v>
      </c>
      <c r="I46" s="18">
        <v>0.61483422200000004</v>
      </c>
      <c r="J46" s="18">
        <f t="shared" si="13"/>
        <v>392.69908169872417</v>
      </c>
      <c r="K46" s="18">
        <f t="shared" si="14"/>
        <v>1.9634954084936209E-3</v>
      </c>
      <c r="L46" s="18">
        <f t="shared" si="15"/>
        <v>200000</v>
      </c>
      <c r="M46" s="18">
        <f t="shared" si="17"/>
        <v>122966.8444</v>
      </c>
      <c r="N46" s="18">
        <v>0.79159999999999997</v>
      </c>
      <c r="O46">
        <f t="shared" si="18"/>
        <v>404.18782554930857</v>
      </c>
      <c r="P46" s="18">
        <v>3.26</v>
      </c>
      <c r="Q46">
        <f t="shared" si="19"/>
        <v>4008.7191274399997</v>
      </c>
      <c r="R46" s="18">
        <v>0.17</v>
      </c>
      <c r="S46">
        <f t="shared" si="20"/>
        <v>209.04363548000001</v>
      </c>
      <c r="T46">
        <f t="shared" si="21"/>
        <v>19.17647058823529</v>
      </c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 spans="1:46" x14ac:dyDescent="0.2">
      <c r="A47">
        <v>82</v>
      </c>
      <c r="B47" t="s">
        <v>47</v>
      </c>
      <c r="C47" t="s">
        <v>48</v>
      </c>
      <c r="D47">
        <v>14</v>
      </c>
      <c r="E47" t="s">
        <v>53</v>
      </c>
      <c r="F47" t="s">
        <v>90</v>
      </c>
      <c r="G47" t="s">
        <v>92</v>
      </c>
      <c r="H47" s="18">
        <v>360.2</v>
      </c>
      <c r="I47" s="18">
        <v>0.95366925000000002</v>
      </c>
      <c r="J47" s="18">
        <f t="shared" si="13"/>
        <v>392.69908169872417</v>
      </c>
      <c r="K47" s="18">
        <f t="shared" si="14"/>
        <v>1.9634954084936209E-3</v>
      </c>
      <c r="L47" s="18">
        <f t="shared" si="15"/>
        <v>200000</v>
      </c>
      <c r="M47" s="18">
        <f t="shared" si="17"/>
        <v>190733.85</v>
      </c>
      <c r="N47" s="18">
        <v>0.13689999999999999</v>
      </c>
      <c r="O47">
        <f t="shared" si="18"/>
        <v>72.491571529705723</v>
      </c>
      <c r="P47" s="18">
        <v>1.1399999999999999</v>
      </c>
      <c r="Q47">
        <f t="shared" si="19"/>
        <v>2174.36589</v>
      </c>
      <c r="R47" s="18">
        <v>0.08</v>
      </c>
      <c r="S47">
        <f t="shared" si="20"/>
        <v>152.58708000000001</v>
      </c>
      <c r="T47">
        <f t="shared" si="21"/>
        <v>14.249999999999998</v>
      </c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spans="1:46" x14ac:dyDescent="0.2">
      <c r="A48">
        <v>83</v>
      </c>
      <c r="B48" t="s">
        <v>47</v>
      </c>
      <c r="C48" t="s">
        <v>48</v>
      </c>
      <c r="D48">
        <v>14</v>
      </c>
      <c r="E48" t="s">
        <v>54</v>
      </c>
      <c r="F48" t="s">
        <v>89</v>
      </c>
      <c r="G48" t="s">
        <v>92</v>
      </c>
      <c r="H48" s="18">
        <v>240.83</v>
      </c>
      <c r="I48" s="18">
        <v>0.61483422200000004</v>
      </c>
      <c r="J48" s="18">
        <f t="shared" si="13"/>
        <v>392.69908169872417</v>
      </c>
      <c r="K48" s="18">
        <f t="shared" si="14"/>
        <v>1.9634954084936209E-3</v>
      </c>
      <c r="L48" s="18">
        <f t="shared" si="15"/>
        <v>200000</v>
      </c>
      <c r="M48" s="18">
        <f t="shared" si="17"/>
        <v>122966.8444</v>
      </c>
      <c r="N48" s="18">
        <v>0.33489999999999998</v>
      </c>
      <c r="O48">
        <f t="shared" si="18"/>
        <v>170.9986139167047</v>
      </c>
      <c r="P48" s="18">
        <v>3.28</v>
      </c>
      <c r="Q48">
        <f t="shared" si="19"/>
        <v>4033.3124963199994</v>
      </c>
      <c r="R48" s="18">
        <v>0.17</v>
      </c>
      <c r="S48">
        <f t="shared" si="20"/>
        <v>209.04363548000001</v>
      </c>
      <c r="T48">
        <f t="shared" si="21"/>
        <v>19.294117647058822</v>
      </c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</row>
    <row r="49" spans="1:46" x14ac:dyDescent="0.2">
      <c r="A49">
        <v>84</v>
      </c>
      <c r="B49" t="s">
        <v>47</v>
      </c>
      <c r="C49" t="s">
        <v>48</v>
      </c>
      <c r="D49">
        <v>14</v>
      </c>
      <c r="E49" t="s">
        <v>54</v>
      </c>
      <c r="F49" t="s">
        <v>90</v>
      </c>
      <c r="G49" t="s">
        <v>92</v>
      </c>
      <c r="H49" s="18">
        <v>360.2</v>
      </c>
      <c r="I49" s="18">
        <v>0.95366925000000002</v>
      </c>
      <c r="J49" s="18">
        <f t="shared" si="13"/>
        <v>392.69908169872417</v>
      </c>
      <c r="K49" s="18">
        <f t="shared" si="14"/>
        <v>1.9634954084936209E-3</v>
      </c>
      <c r="L49" s="18">
        <f t="shared" si="15"/>
        <v>200000</v>
      </c>
      <c r="M49" s="18">
        <f t="shared" si="17"/>
        <v>190733.85</v>
      </c>
      <c r="N49" s="18">
        <v>0.25580000000000003</v>
      </c>
      <c r="O49">
        <f t="shared" si="18"/>
        <v>135.45174578012217</v>
      </c>
      <c r="P49" s="18">
        <v>1.03</v>
      </c>
      <c r="Q49">
        <f t="shared" si="19"/>
        <v>1964.558655</v>
      </c>
      <c r="R49" s="18">
        <v>0.08</v>
      </c>
      <c r="S49">
        <f t="shared" si="20"/>
        <v>152.58708000000001</v>
      </c>
      <c r="T49">
        <f t="shared" si="21"/>
        <v>12.875</v>
      </c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  <row r="50" spans="1:46" x14ac:dyDescent="0.2">
      <c r="A50">
        <v>85</v>
      </c>
      <c r="B50" t="s">
        <v>47</v>
      </c>
      <c r="C50" t="s">
        <v>48</v>
      </c>
      <c r="D50">
        <v>15</v>
      </c>
      <c r="E50" t="s">
        <v>55</v>
      </c>
      <c r="F50" t="s">
        <v>89</v>
      </c>
      <c r="G50" t="s">
        <v>92</v>
      </c>
      <c r="H50" s="18">
        <v>269.77999999999997</v>
      </c>
      <c r="I50" s="18">
        <v>0.74381219499999995</v>
      </c>
      <c r="J50" s="18">
        <f t="shared" si="13"/>
        <v>392.69908169872417</v>
      </c>
      <c r="K50" s="18">
        <f t="shared" si="14"/>
        <v>1.9634954084936209E-3</v>
      </c>
      <c r="L50" s="18">
        <f t="shared" si="15"/>
        <v>200000</v>
      </c>
      <c r="M50" s="18">
        <f t="shared" si="17"/>
        <v>148762.43899999998</v>
      </c>
      <c r="N50" s="18">
        <v>0.54820000000000002</v>
      </c>
      <c r="O50">
        <f t="shared" si="18"/>
        <v>302.28915805396991</v>
      </c>
      <c r="P50" s="18">
        <v>3.8</v>
      </c>
      <c r="Q50">
        <f t="shared" si="19"/>
        <v>5652.9726819999996</v>
      </c>
      <c r="R50" s="18">
        <v>0.26</v>
      </c>
      <c r="S50">
        <f t="shared" si="20"/>
        <v>386.78234139999995</v>
      </c>
      <c r="T50">
        <f t="shared" si="21"/>
        <v>14.615384615384615</v>
      </c>
      <c r="U50" s="20">
        <v>5.7855999999999996</v>
      </c>
      <c r="V50" s="20">
        <v>7.7499999999999999E-2</v>
      </c>
      <c r="W50" s="20">
        <v>3.2534000000000001</v>
      </c>
      <c r="X50" s="20">
        <v>2.4923000000000002</v>
      </c>
      <c r="Y50" s="20">
        <f>V50+W50+X50</f>
        <v>5.8231999999999999</v>
      </c>
      <c r="Z50" s="20">
        <v>35.299999999999997</v>
      </c>
      <c r="AA50" s="20">
        <v>1.17</v>
      </c>
      <c r="AB50" s="20">
        <v>3.45</v>
      </c>
      <c r="AC50" s="20">
        <v>0.21</v>
      </c>
      <c r="AD50" s="20">
        <v>3.71</v>
      </c>
      <c r="AE50" s="20">
        <v>0.33</v>
      </c>
      <c r="AF50" s="12">
        <f>((V50/U50)*I50)*(Z50/100)</f>
        <v>3.5171532986574424E-3</v>
      </c>
      <c r="AG50" s="12">
        <f>((V50/U50)*I50)*(AA50/100)</f>
        <v>1.1657420281669143E-4</v>
      </c>
      <c r="AH50" s="12">
        <f>((W50/U50)*I50)*(AB50/100)</f>
        <v>1.4430169997035487E-2</v>
      </c>
      <c r="AI50" s="12">
        <f>((W50/U50)*I50)*(AC50/100)</f>
        <v>8.783581737325947E-4</v>
      </c>
      <c r="AJ50" s="12">
        <f>((X50/U50)*I50)*(AD50/100)</f>
        <v>1.1887461327520804E-2</v>
      </c>
      <c r="AK50" s="12">
        <f>((X50/U50)*I50)*(AE50/100)</f>
        <v>1.0573752663293437E-3</v>
      </c>
      <c r="AL50" s="12">
        <f t="shared" ref="AL50:AQ51" si="24">AF50*100*100*20</f>
        <v>703.43065973148839</v>
      </c>
      <c r="AM50" s="12">
        <f t="shared" si="24"/>
        <v>23.314840563338283</v>
      </c>
      <c r="AN50" s="12">
        <f t="shared" si="24"/>
        <v>2886.0339994070973</v>
      </c>
      <c r="AO50" s="12">
        <f t="shared" si="24"/>
        <v>175.67163474651895</v>
      </c>
      <c r="AP50" s="12">
        <f t="shared" si="24"/>
        <v>2377.492265504161</v>
      </c>
      <c r="AQ50" s="12">
        <f t="shared" si="24"/>
        <v>211.47505326586872</v>
      </c>
      <c r="AR50" s="12">
        <f>AL50+AN50</f>
        <v>3589.4646591385858</v>
      </c>
      <c r="AS50" s="12">
        <f>AP50/AN50</f>
        <v>0.82379218886284411</v>
      </c>
      <c r="AT50" s="12">
        <f>AP50/AR50</f>
        <v>0.6623528830270532</v>
      </c>
    </row>
    <row r="51" spans="1:46" x14ac:dyDescent="0.2">
      <c r="A51">
        <v>86</v>
      </c>
      <c r="B51" t="s">
        <v>47</v>
      </c>
      <c r="C51" t="s">
        <v>48</v>
      </c>
      <c r="D51">
        <v>15</v>
      </c>
      <c r="E51" t="s">
        <v>55</v>
      </c>
      <c r="F51" t="s">
        <v>90</v>
      </c>
      <c r="G51" t="s">
        <v>92</v>
      </c>
      <c r="H51" s="18">
        <v>207.12</v>
      </c>
      <c r="I51" s="18">
        <v>0.62254454999999997</v>
      </c>
      <c r="J51" s="18">
        <f t="shared" si="13"/>
        <v>392.69908169872417</v>
      </c>
      <c r="K51" s="18">
        <f t="shared" si="14"/>
        <v>1.9634954084936209E-3</v>
      </c>
      <c r="L51" s="18">
        <f t="shared" si="15"/>
        <v>200000</v>
      </c>
      <c r="M51" s="18">
        <f t="shared" si="17"/>
        <v>124508.90999999999</v>
      </c>
      <c r="N51" s="18">
        <v>0.17019999999999999</v>
      </c>
      <c r="O51">
        <f t="shared" si="18"/>
        <v>102.31467980880647</v>
      </c>
      <c r="P51" s="18">
        <v>1.39</v>
      </c>
      <c r="Q51">
        <f t="shared" si="19"/>
        <v>1730.6738489999998</v>
      </c>
      <c r="R51" s="18">
        <v>0.1</v>
      </c>
      <c r="S51">
        <f t="shared" si="20"/>
        <v>124.50890999999999</v>
      </c>
      <c r="T51">
        <f t="shared" si="21"/>
        <v>13.899999999999999</v>
      </c>
      <c r="U51" s="20">
        <v>5.6360000000000001</v>
      </c>
      <c r="V51" s="20">
        <v>3.6999999999999998E-2</v>
      </c>
      <c r="W51" s="20">
        <v>2.8161</v>
      </c>
      <c r="X51" s="20">
        <v>2.8235999999999999</v>
      </c>
      <c r="Y51" s="20">
        <f>V51+W51+X51</f>
        <v>5.6767000000000003</v>
      </c>
      <c r="Z51" s="20">
        <v>37.770000000000003</v>
      </c>
      <c r="AA51" s="20">
        <v>0.9</v>
      </c>
      <c r="AB51" s="20">
        <v>0.56999999999999995</v>
      </c>
      <c r="AC51" s="20">
        <v>0.04</v>
      </c>
      <c r="AD51" s="20">
        <v>1.74</v>
      </c>
      <c r="AE51" s="20">
        <v>0.15</v>
      </c>
      <c r="AF51" s="12">
        <f>((V51/U51)*I51)*(Z51/100)</f>
        <v>1.5436475925825052E-3</v>
      </c>
      <c r="AG51" s="12">
        <f>((V51/U51)*I51)*(AA51/100)</f>
        <v>3.6782706733498934E-5</v>
      </c>
      <c r="AH51" s="12">
        <f>((W51/U51)*I51)*(AB51/100)</f>
        <v>1.77305570109182E-3</v>
      </c>
      <c r="AI51" s="12">
        <f>((W51/U51)*I51)*(AC51/100)</f>
        <v>1.2442496148012773E-4</v>
      </c>
      <c r="AJ51" s="12">
        <f>((X51/U51)*I51)*(AD51/100)</f>
        <v>5.4269006689162515E-3</v>
      </c>
      <c r="AK51" s="12">
        <f>((X51/U51)*I51)*(AE51/100)</f>
        <v>4.6783626456174584E-4</v>
      </c>
      <c r="AL51" s="12">
        <f t="shared" si="24"/>
        <v>308.72951851650106</v>
      </c>
      <c r="AM51" s="12">
        <f t="shared" si="24"/>
        <v>7.3565413466997862</v>
      </c>
      <c r="AN51" s="12">
        <f t="shared" si="24"/>
        <v>354.61114021836403</v>
      </c>
      <c r="AO51" s="12">
        <f t="shared" si="24"/>
        <v>24.884992296025548</v>
      </c>
      <c r="AP51" s="12">
        <f t="shared" si="24"/>
        <v>1085.3801337832504</v>
      </c>
      <c r="AQ51" s="12">
        <f t="shared" si="24"/>
        <v>93.567252912349176</v>
      </c>
      <c r="AR51" s="12">
        <f>AL51+AN51</f>
        <v>663.34065873486509</v>
      </c>
      <c r="AS51" s="12">
        <f>AP51/AN51</f>
        <v>3.0607615234955396</v>
      </c>
      <c r="AT51" s="12">
        <f>AP51/AR51</f>
        <v>1.6362333885176077</v>
      </c>
    </row>
    <row r="52" spans="1:46" x14ac:dyDescent="0.2">
      <c r="A52">
        <v>87</v>
      </c>
      <c r="B52" t="s">
        <v>47</v>
      </c>
      <c r="C52" t="s">
        <v>48</v>
      </c>
      <c r="D52">
        <v>15</v>
      </c>
      <c r="E52" t="s">
        <v>56</v>
      </c>
      <c r="F52" t="s">
        <v>89</v>
      </c>
      <c r="G52" t="s">
        <v>92</v>
      </c>
      <c r="H52" s="18">
        <v>269.77999999999997</v>
      </c>
      <c r="I52" s="18">
        <v>0.74381219499999995</v>
      </c>
      <c r="J52" s="18">
        <f t="shared" si="13"/>
        <v>392.69908169872417</v>
      </c>
      <c r="K52" s="18">
        <f t="shared" si="14"/>
        <v>1.9634954084936209E-3</v>
      </c>
      <c r="L52" s="18">
        <f t="shared" si="15"/>
        <v>200000</v>
      </c>
      <c r="M52" s="18">
        <f t="shared" si="17"/>
        <v>148762.43899999998</v>
      </c>
      <c r="N52" s="18">
        <v>0.29899999999999999</v>
      </c>
      <c r="O52">
        <f t="shared" si="18"/>
        <v>164.87496946030097</v>
      </c>
      <c r="P52" s="18">
        <v>1.58</v>
      </c>
      <c r="Q52">
        <f t="shared" si="19"/>
        <v>2350.4465362000001</v>
      </c>
      <c r="R52" s="18">
        <v>0.14000000000000001</v>
      </c>
      <c r="S52">
        <f t="shared" si="20"/>
        <v>208.2674146</v>
      </c>
      <c r="T52">
        <f t="shared" si="21"/>
        <v>11.285714285714285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</row>
    <row r="53" spans="1:46" x14ac:dyDescent="0.2">
      <c r="A53">
        <v>88</v>
      </c>
      <c r="B53" t="s">
        <v>47</v>
      </c>
      <c r="C53" t="s">
        <v>48</v>
      </c>
      <c r="D53">
        <v>15</v>
      </c>
      <c r="E53" t="s">
        <v>56</v>
      </c>
      <c r="F53" t="s">
        <v>90</v>
      </c>
      <c r="G53" t="s">
        <v>92</v>
      </c>
      <c r="H53" s="18">
        <v>207.12</v>
      </c>
      <c r="I53" s="18">
        <v>0.62254454999999997</v>
      </c>
      <c r="J53" s="18">
        <f t="shared" si="13"/>
        <v>392.69908169872417</v>
      </c>
      <c r="K53" s="18">
        <f t="shared" si="14"/>
        <v>1.9634954084936209E-3</v>
      </c>
      <c r="L53" s="18">
        <f t="shared" si="15"/>
        <v>200000</v>
      </c>
      <c r="M53" s="18">
        <f t="shared" si="17"/>
        <v>124508.90999999999</v>
      </c>
      <c r="N53" s="18" t="s">
        <v>95</v>
      </c>
      <c r="O53" t="s">
        <v>95</v>
      </c>
      <c r="P53" s="18">
        <v>0.72</v>
      </c>
      <c r="Q53">
        <f t="shared" si="19"/>
        <v>896.4641519999999</v>
      </c>
      <c r="R53" s="18">
        <v>7.0000000000000007E-2</v>
      </c>
      <c r="S53">
        <f t="shared" si="20"/>
        <v>87.156237000000004</v>
      </c>
      <c r="T53">
        <f t="shared" si="21"/>
        <v>10.285714285714285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  <row r="54" spans="1:46" x14ac:dyDescent="0.2">
      <c r="A54">
        <v>89</v>
      </c>
      <c r="B54" t="s">
        <v>47</v>
      </c>
      <c r="C54" t="s">
        <v>48</v>
      </c>
      <c r="D54">
        <v>15</v>
      </c>
      <c r="E54" t="s">
        <v>57</v>
      </c>
      <c r="F54" t="s">
        <v>89</v>
      </c>
      <c r="G54" t="s">
        <v>92</v>
      </c>
      <c r="H54" s="18">
        <v>269.77999999999997</v>
      </c>
      <c r="I54" s="18">
        <v>0.74381219499999995</v>
      </c>
      <c r="J54" s="18">
        <f t="shared" si="13"/>
        <v>392.69908169872417</v>
      </c>
      <c r="K54" s="18">
        <f t="shared" si="14"/>
        <v>1.9634954084936209E-3</v>
      </c>
      <c r="L54" s="18">
        <f t="shared" si="15"/>
        <v>200000</v>
      </c>
      <c r="M54" s="18">
        <f t="shared" si="17"/>
        <v>148762.43899999998</v>
      </c>
      <c r="N54" s="18">
        <v>0.85399999999999998</v>
      </c>
      <c r="O54">
        <f t="shared" ref="O54:O93" si="25">N54*M54/H54</f>
        <v>470.91379237156201</v>
      </c>
      <c r="P54" s="18">
        <v>4.0199999999999996</v>
      </c>
      <c r="Q54">
        <f t="shared" si="19"/>
        <v>5980.2500477999984</v>
      </c>
      <c r="R54" s="18">
        <v>0.28999999999999998</v>
      </c>
      <c r="S54">
        <f t="shared" si="20"/>
        <v>431.4110730999999</v>
      </c>
      <c r="T54">
        <f t="shared" si="21"/>
        <v>13.86206896551724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 spans="1:46" x14ac:dyDescent="0.2">
      <c r="A55">
        <v>90</v>
      </c>
      <c r="B55" t="s">
        <v>47</v>
      </c>
      <c r="C55" t="s">
        <v>48</v>
      </c>
      <c r="D55">
        <v>15</v>
      </c>
      <c r="E55" t="s">
        <v>57</v>
      </c>
      <c r="F55" t="s">
        <v>90</v>
      </c>
      <c r="G55" t="s">
        <v>92</v>
      </c>
      <c r="H55" s="18">
        <v>207.12</v>
      </c>
      <c r="I55" s="18">
        <v>0.62254454999999997</v>
      </c>
      <c r="J55" s="18">
        <f t="shared" si="13"/>
        <v>392.69908169872417</v>
      </c>
      <c r="K55" s="18">
        <f t="shared" si="14"/>
        <v>1.9634954084936209E-3</v>
      </c>
      <c r="L55" s="18">
        <f t="shared" si="15"/>
        <v>200000</v>
      </c>
      <c r="M55" s="18">
        <f t="shared" si="17"/>
        <v>124508.90999999999</v>
      </c>
      <c r="N55" s="18">
        <v>0.25800000000000001</v>
      </c>
      <c r="O55">
        <f t="shared" si="25"/>
        <v>155.09510805330243</v>
      </c>
      <c r="P55" s="18">
        <v>2.29</v>
      </c>
      <c r="Q55">
        <f t="shared" si="19"/>
        <v>2851.2540389999999</v>
      </c>
      <c r="R55" s="18">
        <v>0.19</v>
      </c>
      <c r="S55">
        <f t="shared" si="20"/>
        <v>236.56692899999999</v>
      </c>
      <c r="T55">
        <f t="shared" si="21"/>
        <v>12.052631578947368</v>
      </c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 spans="1:46" x14ac:dyDescent="0.2">
      <c r="A56">
        <v>91</v>
      </c>
      <c r="B56" t="s">
        <v>47</v>
      </c>
      <c r="C56" t="s">
        <v>48</v>
      </c>
      <c r="D56">
        <v>16</v>
      </c>
      <c r="E56" t="s">
        <v>58</v>
      </c>
      <c r="F56" t="s">
        <v>89</v>
      </c>
      <c r="G56" t="s">
        <v>92</v>
      </c>
      <c r="H56" s="18">
        <v>285.7</v>
      </c>
      <c r="I56" s="18">
        <v>0.78770532999999998</v>
      </c>
      <c r="J56" s="18">
        <f t="shared" si="13"/>
        <v>392.69908169872417</v>
      </c>
      <c r="K56" s="18">
        <f t="shared" si="14"/>
        <v>1.9634954084936209E-3</v>
      </c>
      <c r="L56" s="18">
        <f t="shared" si="15"/>
        <v>200000</v>
      </c>
      <c r="M56" s="18">
        <f t="shared" si="17"/>
        <v>157541.06599999999</v>
      </c>
      <c r="N56" s="18">
        <v>0.47499999999999998</v>
      </c>
      <c r="O56">
        <f t="shared" si="25"/>
        <v>261.92511848092403</v>
      </c>
      <c r="P56" s="18">
        <v>6.97</v>
      </c>
      <c r="Q56">
        <f t="shared" si="19"/>
        <v>10980.612300199999</v>
      </c>
      <c r="R56" s="18">
        <v>0.46</v>
      </c>
      <c r="S56">
        <f t="shared" si="20"/>
        <v>724.6889036</v>
      </c>
      <c r="T56">
        <f t="shared" si="21"/>
        <v>15.152173913043477</v>
      </c>
      <c r="U56" s="20">
        <v>5.6853999999999996</v>
      </c>
      <c r="V56" s="20">
        <v>0.54300000000000004</v>
      </c>
      <c r="W56" s="20">
        <v>2.1480000000000001</v>
      </c>
      <c r="X56" s="20">
        <v>3.27</v>
      </c>
      <c r="Y56" s="20">
        <f>V56+W56+X56</f>
        <v>5.9610000000000003</v>
      </c>
      <c r="Z56" s="20">
        <v>36.97</v>
      </c>
      <c r="AA56" s="20">
        <v>1.1499999999999999</v>
      </c>
      <c r="AB56" s="20">
        <v>2.64</v>
      </c>
      <c r="AC56" s="20">
        <v>0.2</v>
      </c>
      <c r="AD56" s="20">
        <v>5.21</v>
      </c>
      <c r="AE56" s="20">
        <v>0.43</v>
      </c>
      <c r="AF56" s="12">
        <f>((V56/U56)*I56)*(Z56/100)</f>
        <v>2.781326918986228E-2</v>
      </c>
      <c r="AG56" s="12">
        <f>((V56/U56)*I56)*(AA56/100)</f>
        <v>8.651679623570902E-4</v>
      </c>
      <c r="AH56" s="12">
        <f>((W56/U56)*I56)*(AB56/100)</f>
        <v>7.8567143366123759E-3</v>
      </c>
      <c r="AI56" s="12">
        <f>((W56/U56)*I56)*(AC56/100)</f>
        <v>5.9520563156154364E-4</v>
      </c>
      <c r="AJ56" s="12">
        <f>((X56/U56)*I56)*(AD56/100)</f>
        <v>2.3604142884600911E-2</v>
      </c>
      <c r="AK56" s="12">
        <f>((X56/U56)*I56)*(AE56/100)</f>
        <v>1.9481346334699408E-3</v>
      </c>
      <c r="AL56" s="12">
        <f t="shared" ref="AL56:AQ57" si="26">AF56*100*100*20</f>
        <v>5562.6538379724561</v>
      </c>
      <c r="AM56" s="12">
        <f t="shared" si="26"/>
        <v>173.03359247141802</v>
      </c>
      <c r="AN56" s="12">
        <f t="shared" si="26"/>
        <v>1571.3428673224753</v>
      </c>
      <c r="AO56" s="12">
        <f t="shared" si="26"/>
        <v>119.04112631230873</v>
      </c>
      <c r="AP56" s="12">
        <f t="shared" si="26"/>
        <v>4720.8285769201821</v>
      </c>
      <c r="AQ56" s="12">
        <f t="shared" si="26"/>
        <v>389.6269266939882</v>
      </c>
      <c r="AR56" s="12">
        <f>AL56+AN56</f>
        <v>7133.9967052949314</v>
      </c>
      <c r="AS56" s="12">
        <f>AP56/AN56</f>
        <v>3.0043274928051464</v>
      </c>
      <c r="AT56" s="12">
        <f>AP56/AR56</f>
        <v>0.66173685970675189</v>
      </c>
    </row>
    <row r="57" spans="1:46" x14ac:dyDescent="0.2">
      <c r="A57">
        <v>92</v>
      </c>
      <c r="B57" t="s">
        <v>47</v>
      </c>
      <c r="C57" t="s">
        <v>48</v>
      </c>
      <c r="D57">
        <v>16</v>
      </c>
      <c r="E57" t="s">
        <v>58</v>
      </c>
      <c r="F57" t="s">
        <v>90</v>
      </c>
      <c r="G57" t="s">
        <v>92</v>
      </c>
      <c r="H57" s="18">
        <v>302.52</v>
      </c>
      <c r="I57" s="18">
        <v>0.88275696100000001</v>
      </c>
      <c r="J57" s="18">
        <f t="shared" si="13"/>
        <v>392.69908169872417</v>
      </c>
      <c r="K57" s="18">
        <f t="shared" si="14"/>
        <v>1.9634954084936209E-3</v>
      </c>
      <c r="L57" s="18">
        <f t="shared" si="15"/>
        <v>200000</v>
      </c>
      <c r="M57" s="18">
        <f t="shared" si="17"/>
        <v>176551.3922</v>
      </c>
      <c r="N57" s="18">
        <v>5.0099999999999999E-2</v>
      </c>
      <c r="O57">
        <f t="shared" si="25"/>
        <v>29.238479271519243</v>
      </c>
      <c r="P57" s="18">
        <v>4.0199999999999996</v>
      </c>
      <c r="Q57">
        <f t="shared" si="19"/>
        <v>7097.3659664399984</v>
      </c>
      <c r="R57" s="18">
        <v>0.26</v>
      </c>
      <c r="S57">
        <f t="shared" si="20"/>
        <v>459.03361971999999</v>
      </c>
      <c r="T57">
        <f t="shared" si="21"/>
        <v>15.46153846153846</v>
      </c>
      <c r="U57" s="20">
        <v>5.6677999999999997</v>
      </c>
      <c r="V57" s="20">
        <v>4.5600000000000002E-2</v>
      </c>
      <c r="W57" s="20">
        <v>1.8972</v>
      </c>
      <c r="X57" s="20">
        <v>3.7660999999999998</v>
      </c>
      <c r="Y57" s="20">
        <f>V57+W57+X57</f>
        <v>5.7088999999999999</v>
      </c>
      <c r="Z57" s="20">
        <v>37.46</v>
      </c>
      <c r="AA57" s="20">
        <v>0.94</v>
      </c>
      <c r="AB57" s="20">
        <v>0.4</v>
      </c>
      <c r="AC57" s="20">
        <v>0.02</v>
      </c>
      <c r="AD57" s="20">
        <v>2.2599999999999998</v>
      </c>
      <c r="AE57" s="20">
        <v>0.18</v>
      </c>
      <c r="AF57" s="12">
        <f>((V57/U57)*I57)*(Z57/100)</f>
        <v>2.6604754130582168E-3</v>
      </c>
      <c r="AG57" s="12">
        <f>((V57/U57)*I57)*(AA57/100)</f>
        <v>6.6760461512939767E-5</v>
      </c>
      <c r="AH57" s="12">
        <f>((W57/U57)*I57)*(AB57/100)</f>
        <v>1.181951731824835E-3</v>
      </c>
      <c r="AI57" s="12">
        <f>((W57/U57)*I57)*(AC57/100)</f>
        <v>5.9097586591241747E-5</v>
      </c>
      <c r="AJ57" s="12">
        <f>((X57/U57)*I57)*(AD57/100)</f>
        <v>1.3256440310628366E-2</v>
      </c>
      <c r="AK57" s="12">
        <f>((X57/U57)*I57)*(AE57/100)</f>
        <v>1.0558226796075691E-3</v>
      </c>
      <c r="AL57" s="12">
        <f t="shared" si="26"/>
        <v>532.09508261164342</v>
      </c>
      <c r="AM57" s="12">
        <f t="shared" si="26"/>
        <v>13.352092302587955</v>
      </c>
      <c r="AN57" s="12">
        <f t="shared" si="26"/>
        <v>236.390346364967</v>
      </c>
      <c r="AO57" s="12">
        <f t="shared" si="26"/>
        <v>11.81951731824835</v>
      </c>
      <c r="AP57" s="12">
        <f t="shared" si="26"/>
        <v>2651.2880621256732</v>
      </c>
      <c r="AQ57" s="12">
        <f t="shared" si="26"/>
        <v>211.16453592151385</v>
      </c>
      <c r="AR57" s="12">
        <f>AL57+AN57</f>
        <v>768.48542897661036</v>
      </c>
      <c r="AS57" s="12">
        <f>AP57/AN57</f>
        <v>11.215720535526037</v>
      </c>
      <c r="AT57" s="12">
        <f>AP57/AR57</f>
        <v>3.4500173486130832</v>
      </c>
    </row>
    <row r="58" spans="1:46" x14ac:dyDescent="0.2">
      <c r="A58">
        <v>93</v>
      </c>
      <c r="B58" t="s">
        <v>47</v>
      </c>
      <c r="C58" t="s">
        <v>48</v>
      </c>
      <c r="D58">
        <v>16</v>
      </c>
      <c r="E58" t="s">
        <v>59</v>
      </c>
      <c r="F58" t="s">
        <v>89</v>
      </c>
      <c r="G58" t="s">
        <v>92</v>
      </c>
      <c r="H58" s="18">
        <v>285.7</v>
      </c>
      <c r="I58" s="18">
        <v>0.78770532999999998</v>
      </c>
      <c r="J58" s="18">
        <f t="shared" si="13"/>
        <v>392.69908169872417</v>
      </c>
      <c r="K58" s="18">
        <f t="shared" si="14"/>
        <v>1.9634954084936209E-3</v>
      </c>
      <c r="L58" s="18">
        <f t="shared" si="15"/>
        <v>200000</v>
      </c>
      <c r="M58" s="18">
        <f t="shared" si="17"/>
        <v>157541.06599999999</v>
      </c>
      <c r="N58" s="18">
        <v>0.90210000000000001</v>
      </c>
      <c r="O58">
        <f t="shared" si="25"/>
        <v>497.43715659292963</v>
      </c>
      <c r="P58" s="18">
        <v>2.85</v>
      </c>
      <c r="Q58">
        <f t="shared" si="19"/>
        <v>4489.9203809999999</v>
      </c>
      <c r="R58" s="18">
        <v>0.18</v>
      </c>
      <c r="S58">
        <f t="shared" si="20"/>
        <v>283.5739188</v>
      </c>
      <c r="T58">
        <f t="shared" si="21"/>
        <v>15.833333333333334</v>
      </c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spans="1:46" x14ac:dyDescent="0.2">
      <c r="A59">
        <v>94</v>
      </c>
      <c r="B59" t="s">
        <v>47</v>
      </c>
      <c r="C59" t="s">
        <v>48</v>
      </c>
      <c r="D59">
        <v>16</v>
      </c>
      <c r="E59" t="s">
        <v>59</v>
      </c>
      <c r="F59" t="s">
        <v>90</v>
      </c>
      <c r="G59" t="s">
        <v>92</v>
      </c>
      <c r="H59" s="18">
        <v>302.52</v>
      </c>
      <c r="I59" s="18">
        <v>0.88275696100000001</v>
      </c>
      <c r="J59" s="18">
        <f t="shared" si="13"/>
        <v>392.69908169872417</v>
      </c>
      <c r="K59" s="18">
        <f t="shared" si="14"/>
        <v>1.9634954084936209E-3</v>
      </c>
      <c r="L59" s="18">
        <f t="shared" si="15"/>
        <v>200000</v>
      </c>
      <c r="M59" s="18">
        <f t="shared" si="17"/>
        <v>176551.3922</v>
      </c>
      <c r="N59" s="18">
        <v>1.0500000000000001E-2</v>
      </c>
      <c r="O59">
        <f t="shared" si="25"/>
        <v>6.1278249970249909</v>
      </c>
      <c r="P59" s="18">
        <v>1.1000000000000001</v>
      </c>
      <c r="Q59">
        <f t="shared" si="19"/>
        <v>1942.0653142000001</v>
      </c>
      <c r="R59" s="18">
        <v>0.1</v>
      </c>
      <c r="S59">
        <f t="shared" si="20"/>
        <v>176.55139220000001</v>
      </c>
      <c r="T59">
        <f t="shared" si="21"/>
        <v>11</v>
      </c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spans="1:46" x14ac:dyDescent="0.2">
      <c r="A60">
        <v>95</v>
      </c>
      <c r="B60" t="s">
        <v>47</v>
      </c>
      <c r="C60" t="s">
        <v>48</v>
      </c>
      <c r="D60">
        <v>16</v>
      </c>
      <c r="E60" t="s">
        <v>60</v>
      </c>
      <c r="F60" t="s">
        <v>89</v>
      </c>
      <c r="G60" t="s">
        <v>92</v>
      </c>
      <c r="H60" s="18">
        <v>285.7</v>
      </c>
      <c r="I60" s="18">
        <v>0.78770532999999998</v>
      </c>
      <c r="J60" s="18">
        <f t="shared" si="13"/>
        <v>392.69908169872417</v>
      </c>
      <c r="K60" s="18">
        <f t="shared" si="14"/>
        <v>1.9634954084936209E-3</v>
      </c>
      <c r="L60" s="18">
        <f t="shared" si="15"/>
        <v>200000</v>
      </c>
      <c r="M60" s="18">
        <f t="shared" si="17"/>
        <v>157541.06599999999</v>
      </c>
      <c r="N60" s="18">
        <v>0.27250000000000002</v>
      </c>
      <c r="O60">
        <f t="shared" si="25"/>
        <v>150.26230481274064</v>
      </c>
      <c r="P60" s="18">
        <v>3.84</v>
      </c>
      <c r="Q60">
        <f t="shared" si="19"/>
        <v>6049.5769343999991</v>
      </c>
      <c r="R60" s="18">
        <v>0.28999999999999998</v>
      </c>
      <c r="S60">
        <f t="shared" si="20"/>
        <v>456.86909139999995</v>
      </c>
      <c r="T60">
        <f t="shared" si="21"/>
        <v>13.241379310344827</v>
      </c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spans="1:46" x14ac:dyDescent="0.2">
      <c r="A61">
        <v>96</v>
      </c>
      <c r="B61" t="s">
        <v>47</v>
      </c>
      <c r="C61" t="s">
        <v>48</v>
      </c>
      <c r="D61">
        <v>16</v>
      </c>
      <c r="E61" t="s">
        <v>60</v>
      </c>
      <c r="F61" t="s">
        <v>90</v>
      </c>
      <c r="G61" t="s">
        <v>92</v>
      </c>
      <c r="H61" s="18">
        <v>302.52</v>
      </c>
      <c r="I61" s="18">
        <v>0.88275696100000001</v>
      </c>
      <c r="J61" s="18">
        <f t="shared" si="13"/>
        <v>392.69908169872417</v>
      </c>
      <c r="K61" s="18">
        <f t="shared" si="14"/>
        <v>1.9634954084936209E-3</v>
      </c>
      <c r="L61" s="18">
        <f t="shared" si="15"/>
        <v>200000</v>
      </c>
      <c r="M61" s="18">
        <f t="shared" si="17"/>
        <v>176551.3922</v>
      </c>
      <c r="N61" s="18">
        <v>1.4800000000000001E-2</v>
      </c>
      <c r="O61">
        <f t="shared" si="25"/>
        <v>8.6373152339018926</v>
      </c>
      <c r="P61" s="18">
        <v>1.45</v>
      </c>
      <c r="Q61">
        <f t="shared" si="19"/>
        <v>2559.9951868999997</v>
      </c>
      <c r="R61" s="18">
        <v>0.11</v>
      </c>
      <c r="S61">
        <f t="shared" si="20"/>
        <v>194.20653142</v>
      </c>
      <c r="T61">
        <f t="shared" si="21"/>
        <v>13.181818181818182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 spans="1:46" x14ac:dyDescent="0.2">
      <c r="A62">
        <v>97</v>
      </c>
      <c r="B62" t="s">
        <v>47</v>
      </c>
      <c r="C62" t="s">
        <v>48</v>
      </c>
      <c r="D62">
        <v>17</v>
      </c>
      <c r="E62" t="s">
        <v>61</v>
      </c>
      <c r="F62" t="s">
        <v>89</v>
      </c>
      <c r="G62" t="s">
        <v>92</v>
      </c>
      <c r="H62" s="18">
        <v>250.02</v>
      </c>
      <c r="I62" s="18">
        <v>0.65330702900000004</v>
      </c>
      <c r="J62" s="18">
        <f t="shared" si="13"/>
        <v>392.69908169872417</v>
      </c>
      <c r="K62" s="18">
        <f t="shared" si="14"/>
        <v>1.9634954084936209E-3</v>
      </c>
      <c r="L62" s="18">
        <f t="shared" si="15"/>
        <v>200000</v>
      </c>
      <c r="M62" s="18">
        <f t="shared" si="17"/>
        <v>130661.40580000001</v>
      </c>
      <c r="N62" s="18">
        <v>0.8276</v>
      </c>
      <c r="O62">
        <f t="shared" si="25"/>
        <v>432.50691720694346</v>
      </c>
      <c r="P62" s="18">
        <v>7.28</v>
      </c>
      <c r="Q62">
        <f t="shared" si="19"/>
        <v>9512.1503422400019</v>
      </c>
      <c r="R62" s="18">
        <v>0.47</v>
      </c>
      <c r="S62">
        <f t="shared" si="20"/>
        <v>614.10860725999999</v>
      </c>
      <c r="T62">
        <f t="shared" si="21"/>
        <v>15.489361702127662</v>
      </c>
      <c r="U62" s="20">
        <v>5.7398999999999996</v>
      </c>
      <c r="V62" s="20">
        <v>0.1226</v>
      </c>
      <c r="W62" s="20">
        <v>2.9539</v>
      </c>
      <c r="X62" s="20">
        <v>2.6714000000000002</v>
      </c>
      <c r="Y62" s="20">
        <f>V62+W62+X62</f>
        <v>5.7478999999999996</v>
      </c>
      <c r="Z62" s="20">
        <v>38.28</v>
      </c>
      <c r="AA62" s="20">
        <v>0.9</v>
      </c>
      <c r="AB62" s="20">
        <v>0.11</v>
      </c>
      <c r="AC62" s="20">
        <v>0.02</v>
      </c>
      <c r="AD62" s="20">
        <v>3.89</v>
      </c>
      <c r="AE62" s="20">
        <v>0.26</v>
      </c>
      <c r="AF62" s="12">
        <f>((V62/U62)*I62)*(Z62/100)</f>
        <v>5.3416496984210748E-3</v>
      </c>
      <c r="AG62" s="12">
        <f>((V62/U62)*I62)*(AA62/100)</f>
        <v>1.2558737535472747E-4</v>
      </c>
      <c r="AH62" s="12">
        <f>((W62/U62)*I62)*(AB62/100)</f>
        <v>3.6982943888559216E-4</v>
      </c>
      <c r="AI62" s="12">
        <f>((W62/U62)*I62)*(AC62/100)</f>
        <v>6.7241716161016749E-5</v>
      </c>
      <c r="AJ62" s="12">
        <f>((X62/U62)*I62)*(AD62/100)</f>
        <v>1.18277334193673E-2</v>
      </c>
      <c r="AK62" s="12">
        <f>((X62/U62)*I62)*(AE62/100)</f>
        <v>7.9054259358239004E-4</v>
      </c>
      <c r="AL62" s="12">
        <f t="shared" ref="AL62:AQ63" si="27">AF62*100*100*20</f>
        <v>1068.3299396842149</v>
      </c>
      <c r="AM62" s="12">
        <f t="shared" si="27"/>
        <v>25.117475070945492</v>
      </c>
      <c r="AN62" s="12">
        <f t="shared" si="27"/>
        <v>73.965887777118425</v>
      </c>
      <c r="AO62" s="12">
        <f t="shared" si="27"/>
        <v>13.448343232203349</v>
      </c>
      <c r="AP62" s="12">
        <f t="shared" si="27"/>
        <v>2365.5466838734596</v>
      </c>
      <c r="AQ62" s="12">
        <f t="shared" si="27"/>
        <v>158.10851871647802</v>
      </c>
      <c r="AR62" s="12">
        <f>AL62+AN62</f>
        <v>1142.2958274613334</v>
      </c>
      <c r="AS62" s="12">
        <f>AP62/AN62</f>
        <v>31.981589824238529</v>
      </c>
      <c r="AT62" s="12">
        <f>AP62/AR62</f>
        <v>2.0708704584264388</v>
      </c>
    </row>
    <row r="63" spans="1:46" x14ac:dyDescent="0.2">
      <c r="A63">
        <v>98</v>
      </c>
      <c r="B63" t="s">
        <v>47</v>
      </c>
      <c r="C63" t="s">
        <v>48</v>
      </c>
      <c r="D63">
        <v>17</v>
      </c>
      <c r="E63" t="s">
        <v>61</v>
      </c>
      <c r="F63" t="s">
        <v>90</v>
      </c>
      <c r="G63" t="s">
        <v>92</v>
      </c>
      <c r="H63" s="18">
        <v>220.97</v>
      </c>
      <c r="I63" s="18">
        <v>0.75493916400000005</v>
      </c>
      <c r="J63" s="18">
        <f t="shared" si="13"/>
        <v>392.69908169872417</v>
      </c>
      <c r="K63" s="18">
        <f t="shared" si="14"/>
        <v>1.9634954084936209E-3</v>
      </c>
      <c r="L63" s="18">
        <f t="shared" si="15"/>
        <v>200000</v>
      </c>
      <c r="M63" s="18">
        <f t="shared" si="17"/>
        <v>150987.8328</v>
      </c>
      <c r="N63" s="18">
        <v>4.7600000000000003E-2</v>
      </c>
      <c r="O63">
        <f t="shared" si="25"/>
        <v>32.524871436303577</v>
      </c>
      <c r="P63" s="18">
        <v>1.1000000000000001</v>
      </c>
      <c r="Q63">
        <f t="shared" si="19"/>
        <v>1660.8661608000002</v>
      </c>
      <c r="R63" s="18">
        <v>0.08</v>
      </c>
      <c r="S63">
        <f t="shared" si="20"/>
        <v>120.79026624000001</v>
      </c>
      <c r="T63">
        <f t="shared" si="21"/>
        <v>13.75</v>
      </c>
      <c r="U63" s="20">
        <v>5.7442000000000002</v>
      </c>
      <c r="V63" s="20">
        <v>4.2200000000000001E-2</v>
      </c>
      <c r="W63" s="20">
        <v>2.7538999999999998</v>
      </c>
      <c r="X63" s="20">
        <v>2.9617</v>
      </c>
      <c r="Y63" s="20">
        <f>V63+W63+X63</f>
        <v>5.7577999999999996</v>
      </c>
      <c r="Z63" s="20">
        <v>36.909999999999997</v>
      </c>
      <c r="AA63" s="20">
        <v>0.66</v>
      </c>
      <c r="AB63" s="20">
        <v>0.66</v>
      </c>
      <c r="AC63" s="20">
        <v>0.04</v>
      </c>
      <c r="AD63" s="20">
        <v>1.03</v>
      </c>
      <c r="AE63" s="20">
        <v>0.1</v>
      </c>
      <c r="AF63" s="12">
        <f>((V63/U63)*I63)*(Z63/100)</f>
        <v>2.0470992509396052E-3</v>
      </c>
      <c r="AG63" s="12">
        <f>((V63/U63)*I63)*(AA63/100)</f>
        <v>3.6604863332975873E-5</v>
      </c>
      <c r="AH63" s="12">
        <f>((W63/U63)*I63)*(AB63/100)</f>
        <v>2.3887709273147451E-3</v>
      </c>
      <c r="AI63" s="12">
        <f>((W63/U63)*I63)*(AC63/100)</f>
        <v>1.4477399559483303E-4</v>
      </c>
      <c r="AJ63" s="12">
        <f>((X63/U63)*I63)*(AD63/100)</f>
        <v>4.0092274323306363E-3</v>
      </c>
      <c r="AK63" s="12">
        <f>((X63/U63)*I63)*(AE63/100)</f>
        <v>3.8924538177967339E-4</v>
      </c>
      <c r="AL63" s="12">
        <f t="shared" si="27"/>
        <v>409.41985018792104</v>
      </c>
      <c r="AM63" s="12">
        <f t="shared" si="27"/>
        <v>7.3209726665951749</v>
      </c>
      <c r="AN63" s="12">
        <f t="shared" si="27"/>
        <v>477.75418546294901</v>
      </c>
      <c r="AO63" s="12">
        <f t="shared" si="27"/>
        <v>28.954799118966609</v>
      </c>
      <c r="AP63" s="12">
        <f t="shared" si="27"/>
        <v>801.84548646612723</v>
      </c>
      <c r="AQ63" s="12">
        <f t="shared" si="27"/>
        <v>77.84907635593467</v>
      </c>
      <c r="AR63" s="12">
        <f>AL63+AN63</f>
        <v>887.17403565087011</v>
      </c>
      <c r="AS63" s="12">
        <f>AP63/AN63</f>
        <v>1.678364127127699</v>
      </c>
      <c r="AT63" s="12">
        <f>AP63/AR63</f>
        <v>0.90381983043254632</v>
      </c>
    </row>
    <row r="64" spans="1:46" x14ac:dyDescent="0.2">
      <c r="A64">
        <v>99</v>
      </c>
      <c r="B64" t="s">
        <v>47</v>
      </c>
      <c r="C64" t="s">
        <v>48</v>
      </c>
      <c r="D64">
        <v>17</v>
      </c>
      <c r="E64" t="s">
        <v>62</v>
      </c>
      <c r="F64" t="s">
        <v>89</v>
      </c>
      <c r="G64" t="s">
        <v>92</v>
      </c>
      <c r="H64" s="18">
        <v>250.02</v>
      </c>
      <c r="I64" s="18">
        <v>0.65330702900000004</v>
      </c>
      <c r="J64" s="18">
        <f t="shared" si="13"/>
        <v>392.69908169872417</v>
      </c>
      <c r="K64" s="18">
        <f t="shared" si="14"/>
        <v>1.9634954084936209E-3</v>
      </c>
      <c r="L64" s="18">
        <f t="shared" si="15"/>
        <v>200000</v>
      </c>
      <c r="M64" s="18">
        <f t="shared" si="17"/>
        <v>130661.40580000001</v>
      </c>
      <c r="N64" s="18">
        <v>0.20080000000000001</v>
      </c>
      <c r="O64">
        <f t="shared" si="25"/>
        <v>104.93884603087754</v>
      </c>
      <c r="P64" s="18">
        <v>6.56</v>
      </c>
      <c r="Q64">
        <f t="shared" si="19"/>
        <v>8571.3882204799993</v>
      </c>
      <c r="R64" s="18">
        <v>0.42</v>
      </c>
      <c r="S64">
        <f t="shared" si="20"/>
        <v>548.77790435999998</v>
      </c>
      <c r="T64">
        <f t="shared" si="21"/>
        <v>15.619047619047619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spans="1:46" x14ac:dyDescent="0.2">
      <c r="A65">
        <v>100</v>
      </c>
      <c r="B65" t="s">
        <v>47</v>
      </c>
      <c r="C65" t="s">
        <v>48</v>
      </c>
      <c r="D65">
        <v>17</v>
      </c>
      <c r="E65" t="s">
        <v>62</v>
      </c>
      <c r="F65" t="s">
        <v>90</v>
      </c>
      <c r="G65" t="s">
        <v>92</v>
      </c>
      <c r="H65" s="18">
        <v>221</v>
      </c>
      <c r="I65" s="18">
        <v>0.75493916400000005</v>
      </c>
      <c r="J65" s="18">
        <f t="shared" si="13"/>
        <v>392.69908169872417</v>
      </c>
      <c r="K65" s="18">
        <f t="shared" si="14"/>
        <v>1.9634954084936209E-3</v>
      </c>
      <c r="L65" s="18">
        <f t="shared" si="15"/>
        <v>200000</v>
      </c>
      <c r="M65" s="18">
        <f t="shared" si="17"/>
        <v>150987.8328</v>
      </c>
      <c r="N65" s="18">
        <v>8.0000000000000004E-4</v>
      </c>
      <c r="O65">
        <f t="shared" si="25"/>
        <v>0.54656229067873308</v>
      </c>
      <c r="P65" s="18">
        <v>3.68</v>
      </c>
      <c r="Q65">
        <f t="shared" si="19"/>
        <v>5556.3522470400003</v>
      </c>
      <c r="R65" s="18">
        <v>0.23</v>
      </c>
      <c r="S65">
        <f t="shared" si="20"/>
        <v>347.27201544000002</v>
      </c>
      <c r="T65">
        <f t="shared" si="21"/>
        <v>16</v>
      </c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 spans="1:46" x14ac:dyDescent="0.2">
      <c r="A66">
        <v>101</v>
      </c>
      <c r="B66" t="s">
        <v>47</v>
      </c>
      <c r="C66" t="s">
        <v>48</v>
      </c>
      <c r="D66">
        <v>17</v>
      </c>
      <c r="E66" t="s">
        <v>63</v>
      </c>
      <c r="F66" t="s">
        <v>89</v>
      </c>
      <c r="G66" t="s">
        <v>92</v>
      </c>
      <c r="H66" s="18">
        <v>250.02</v>
      </c>
      <c r="I66" s="18">
        <v>0.65330702900000004</v>
      </c>
      <c r="J66" s="18">
        <f t="shared" si="13"/>
        <v>392.69908169872417</v>
      </c>
      <c r="K66" s="18">
        <f t="shared" si="14"/>
        <v>1.9634954084936209E-3</v>
      </c>
      <c r="L66" s="18">
        <f t="shared" si="15"/>
        <v>200000</v>
      </c>
      <c r="M66" s="18">
        <f t="shared" ref="M66:M97" si="28">I66*L66</f>
        <v>130661.40580000001</v>
      </c>
      <c r="N66" s="18">
        <v>0.39350000000000002</v>
      </c>
      <c r="O66">
        <f t="shared" si="25"/>
        <v>205.64460116110712</v>
      </c>
      <c r="P66" s="18">
        <v>2.89</v>
      </c>
      <c r="Q66">
        <f t="shared" ref="Q66:Q97" si="29">M66*(P66/100)</f>
        <v>3776.1146276200006</v>
      </c>
      <c r="R66" s="18">
        <v>0.24</v>
      </c>
      <c r="S66">
        <f t="shared" ref="S66:S97" si="30">M66*(R66/100)</f>
        <v>313.58737392</v>
      </c>
      <c r="T66">
        <f t="shared" ref="T66:T97" si="31">P66/R66</f>
        <v>12.041666666666668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 spans="1:46" x14ac:dyDescent="0.2">
      <c r="A67">
        <v>102</v>
      </c>
      <c r="B67" t="s">
        <v>47</v>
      </c>
      <c r="C67" t="s">
        <v>48</v>
      </c>
      <c r="D67">
        <v>17</v>
      </c>
      <c r="E67" t="s">
        <v>63</v>
      </c>
      <c r="F67" t="s">
        <v>90</v>
      </c>
      <c r="G67" t="s">
        <v>92</v>
      </c>
      <c r="H67" s="18">
        <v>220.97</v>
      </c>
      <c r="I67" s="18">
        <v>0.75493916400000005</v>
      </c>
      <c r="J67" s="18">
        <f t="shared" si="13"/>
        <v>392.69908169872417</v>
      </c>
      <c r="K67" s="18">
        <f t="shared" si="14"/>
        <v>1.9634954084936209E-3</v>
      </c>
      <c r="L67" s="18">
        <f t="shared" si="15"/>
        <v>200000</v>
      </c>
      <c r="M67" s="18">
        <f t="shared" si="28"/>
        <v>150987.8328</v>
      </c>
      <c r="N67" s="18">
        <v>2.6800000000000001E-2</v>
      </c>
      <c r="O67">
        <f t="shared" si="25"/>
        <v>18.312322573381003</v>
      </c>
      <c r="P67" s="18">
        <v>0.89</v>
      </c>
      <c r="Q67">
        <f t="shared" si="29"/>
        <v>1343.7917119200001</v>
      </c>
      <c r="R67" s="18">
        <v>0.08</v>
      </c>
      <c r="S67">
        <f t="shared" si="30"/>
        <v>120.79026624000001</v>
      </c>
      <c r="T67">
        <f t="shared" si="31"/>
        <v>11.125</v>
      </c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 spans="1:46" x14ac:dyDescent="0.2">
      <c r="A68">
        <v>103</v>
      </c>
      <c r="B68" t="s">
        <v>47</v>
      </c>
      <c r="C68" t="s">
        <v>48</v>
      </c>
      <c r="D68">
        <v>18</v>
      </c>
      <c r="E68" t="s">
        <v>64</v>
      </c>
      <c r="F68" t="s">
        <v>89</v>
      </c>
      <c r="G68" t="s">
        <v>92</v>
      </c>
      <c r="H68" s="18">
        <v>260.3</v>
      </c>
      <c r="I68" s="18">
        <v>0.75955849900000005</v>
      </c>
      <c r="J68" s="18">
        <f t="shared" si="13"/>
        <v>392.69908169872417</v>
      </c>
      <c r="K68" s="18">
        <f t="shared" si="14"/>
        <v>1.9634954084936209E-3</v>
      </c>
      <c r="L68" s="18">
        <f t="shared" si="15"/>
        <v>200000</v>
      </c>
      <c r="M68" s="18">
        <f t="shared" si="28"/>
        <v>151911.6998</v>
      </c>
      <c r="N68" s="18">
        <v>0.7419</v>
      </c>
      <c r="O68">
        <f t="shared" si="25"/>
        <v>432.97460653714944</v>
      </c>
      <c r="P68" s="18">
        <v>3.37</v>
      </c>
      <c r="Q68">
        <f t="shared" si="29"/>
        <v>5119.4242832600003</v>
      </c>
      <c r="R68" s="18">
        <v>0.21</v>
      </c>
      <c r="S68">
        <f t="shared" si="30"/>
        <v>319.01456958</v>
      </c>
      <c r="T68">
        <f t="shared" si="31"/>
        <v>16.047619047619047</v>
      </c>
      <c r="U68" s="20">
        <v>5.8611000000000004</v>
      </c>
      <c r="V68" s="20">
        <v>0.10920000000000001</v>
      </c>
      <c r="W68" s="20">
        <v>2.7742</v>
      </c>
      <c r="X68" s="20">
        <v>2.9935</v>
      </c>
      <c r="Y68" s="20">
        <f>V68+W68+X68</f>
        <v>5.8769</v>
      </c>
      <c r="Z68" s="20">
        <v>38.5</v>
      </c>
      <c r="AA68" s="20">
        <v>1.07</v>
      </c>
      <c r="AB68" s="20">
        <v>0.63</v>
      </c>
      <c r="AC68" s="20">
        <v>0.04</v>
      </c>
      <c r="AD68" s="20">
        <v>2.82</v>
      </c>
      <c r="AE68" s="20">
        <v>0.23</v>
      </c>
      <c r="AF68" s="12">
        <f>((V68/U68)*I68)*(Z68/100)</f>
        <v>5.4483558401934792E-3</v>
      </c>
      <c r="AG68" s="12">
        <f>((V68/U68)*I68)*(AA68/100)</f>
        <v>1.5142183763654606E-4</v>
      </c>
      <c r="AH68" s="12">
        <f>((W68/U68)*I68)*(AB68/100)</f>
        <v>2.2649593564232893E-3</v>
      </c>
      <c r="AI68" s="12">
        <f>((W68/U68)*I68)*(AC68/100)</f>
        <v>1.4380694326497076E-4</v>
      </c>
      <c r="AJ68" s="12">
        <f>((X68/U68)*I68)*(AD68/100)</f>
        <v>1.0939827326360802E-2</v>
      </c>
      <c r="AK68" s="12">
        <f>((X68/U68)*I68)*(AE68/100)</f>
        <v>8.9225542023510084E-4</v>
      </c>
      <c r="AL68" s="12">
        <f t="shared" ref="AL68:AQ69" si="32">AF68*100*100*20</f>
        <v>1089.6711680386959</v>
      </c>
      <c r="AM68" s="12">
        <f t="shared" si="32"/>
        <v>30.284367527309215</v>
      </c>
      <c r="AN68" s="12">
        <f t="shared" si="32"/>
        <v>452.9918712846578</v>
      </c>
      <c r="AO68" s="12">
        <f t="shared" si="32"/>
        <v>28.76138865299415</v>
      </c>
      <c r="AP68" s="12">
        <f t="shared" si="32"/>
        <v>2187.9654652721601</v>
      </c>
      <c r="AQ68" s="12">
        <f t="shared" si="32"/>
        <v>178.45108404702017</v>
      </c>
      <c r="AR68" s="12">
        <f>AL68+AN68</f>
        <v>1542.6630393233536</v>
      </c>
      <c r="AS68" s="12">
        <f>AP68/AN68</f>
        <v>4.8300325104448811</v>
      </c>
      <c r="AT68" s="12">
        <f>AP68/AR68</f>
        <v>1.4183041983243798</v>
      </c>
    </row>
    <row r="69" spans="1:46" x14ac:dyDescent="0.2">
      <c r="A69">
        <v>104</v>
      </c>
      <c r="B69" t="s">
        <v>47</v>
      </c>
      <c r="C69" t="s">
        <v>48</v>
      </c>
      <c r="D69">
        <v>18</v>
      </c>
      <c r="E69" t="s">
        <v>64</v>
      </c>
      <c r="F69" t="s">
        <v>90</v>
      </c>
      <c r="G69" t="s">
        <v>92</v>
      </c>
      <c r="H69" s="18">
        <v>463.57</v>
      </c>
      <c r="I69" s="18">
        <v>1.227352733</v>
      </c>
      <c r="J69" s="18">
        <f t="shared" si="13"/>
        <v>392.69908169872417</v>
      </c>
      <c r="K69" s="18">
        <f t="shared" si="14"/>
        <v>1.9634954084936209E-3</v>
      </c>
      <c r="L69" s="18">
        <f t="shared" si="15"/>
        <v>200000</v>
      </c>
      <c r="M69" s="18">
        <f t="shared" si="28"/>
        <v>245470.5466</v>
      </c>
      <c r="N69" s="18">
        <v>0.19220000000000001</v>
      </c>
      <c r="O69">
        <f t="shared" si="25"/>
        <v>101.77414210695257</v>
      </c>
      <c r="P69" s="18">
        <v>1.25</v>
      </c>
      <c r="Q69">
        <f t="shared" si="29"/>
        <v>3068.3818325000002</v>
      </c>
      <c r="R69" s="18">
        <v>0.1</v>
      </c>
      <c r="S69">
        <f t="shared" si="30"/>
        <v>245.47054660000001</v>
      </c>
      <c r="T69">
        <f t="shared" si="31"/>
        <v>12.5</v>
      </c>
      <c r="U69" s="20">
        <v>5.7072000000000003</v>
      </c>
      <c r="V69" s="20">
        <v>2.41E-2</v>
      </c>
      <c r="W69" s="20">
        <v>2.3155000000000001</v>
      </c>
      <c r="X69" s="20">
        <v>3.8730000000000002</v>
      </c>
      <c r="Y69" s="20">
        <f>V69+W69+X69</f>
        <v>6.2126000000000001</v>
      </c>
      <c r="Z69" s="20">
        <v>40.98</v>
      </c>
      <c r="AA69" s="20">
        <v>0.91</v>
      </c>
      <c r="AB69" s="20">
        <v>0.12</v>
      </c>
      <c r="AC69" s="20">
        <v>0.02</v>
      </c>
      <c r="AD69" s="20">
        <v>0.47</v>
      </c>
      <c r="AE69" s="20">
        <v>0.06</v>
      </c>
      <c r="AF69" s="12">
        <f>((V69/U69)*I69)*(Z69/100)</f>
        <v>2.1239060335365742E-3</v>
      </c>
      <c r="AG69" s="12">
        <f>((V69/U69)*I69)*(AA69/100)</f>
        <v>4.7163359944321204E-5</v>
      </c>
      <c r="AH69" s="12">
        <f>((W69/U69)*I69)*(AB69/100)</f>
        <v>5.9754736191368785E-4</v>
      </c>
      <c r="AI69" s="12">
        <f>((W69/U69)*I69)*(AC69/100)</f>
        <v>9.959122698561466E-5</v>
      </c>
      <c r="AJ69" s="12">
        <f>((X69/U69)*I69)*(AD69/100)</f>
        <v>3.9146384451346191E-3</v>
      </c>
      <c r="AK69" s="12">
        <f>((X69/U69)*I69)*(AE69/100)</f>
        <v>4.9974107810229183E-4</v>
      </c>
      <c r="AL69" s="12">
        <f t="shared" si="32"/>
        <v>424.78120670731482</v>
      </c>
      <c r="AM69" s="12">
        <f t="shared" si="32"/>
        <v>9.4326719888642412</v>
      </c>
      <c r="AN69" s="12">
        <f t="shared" si="32"/>
        <v>119.50947238273757</v>
      </c>
      <c r="AO69" s="12">
        <f t="shared" si="32"/>
        <v>19.918245397122934</v>
      </c>
      <c r="AP69" s="12">
        <f t="shared" si="32"/>
        <v>782.92768902692376</v>
      </c>
      <c r="AQ69" s="12">
        <f t="shared" si="32"/>
        <v>99.94821562045837</v>
      </c>
      <c r="AR69" s="12">
        <f>AL69+AN69</f>
        <v>544.29067909005244</v>
      </c>
      <c r="AS69" s="12">
        <f>AP69/AN69</f>
        <v>6.5511768516519115</v>
      </c>
      <c r="AT69" s="12">
        <f>AP69/AR69</f>
        <v>1.4384367013887243</v>
      </c>
    </row>
    <row r="70" spans="1:46" x14ac:dyDescent="0.2">
      <c r="A70">
        <v>105</v>
      </c>
      <c r="B70" t="s">
        <v>47</v>
      </c>
      <c r="C70" t="s">
        <v>48</v>
      </c>
      <c r="D70">
        <v>18</v>
      </c>
      <c r="E70" t="s">
        <v>65</v>
      </c>
      <c r="F70" t="s">
        <v>89</v>
      </c>
      <c r="G70" t="s">
        <v>92</v>
      </c>
      <c r="H70" s="18">
        <v>260.3</v>
      </c>
      <c r="I70" s="18">
        <v>0.75955849900000005</v>
      </c>
      <c r="J70" s="18">
        <f t="shared" si="13"/>
        <v>392.69908169872417</v>
      </c>
      <c r="K70" s="18">
        <f t="shared" si="14"/>
        <v>1.9634954084936209E-3</v>
      </c>
      <c r="L70" s="18">
        <f t="shared" si="15"/>
        <v>200000</v>
      </c>
      <c r="M70" s="18">
        <f t="shared" si="28"/>
        <v>151911.6998</v>
      </c>
      <c r="N70" s="18">
        <v>0.47349999999999998</v>
      </c>
      <c r="O70">
        <f t="shared" si="25"/>
        <v>276.33572745024969</v>
      </c>
      <c r="P70" s="18">
        <v>3.54</v>
      </c>
      <c r="Q70">
        <f t="shared" si="29"/>
        <v>5377.6741729200003</v>
      </c>
      <c r="R70" s="18">
        <v>0.2</v>
      </c>
      <c r="S70">
        <f t="shared" si="30"/>
        <v>303.82339960000002</v>
      </c>
      <c r="T70">
        <f t="shared" si="31"/>
        <v>17.7</v>
      </c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 spans="1:46" x14ac:dyDescent="0.2">
      <c r="A71">
        <v>106</v>
      </c>
      <c r="B71" t="s">
        <v>47</v>
      </c>
      <c r="C71" t="s">
        <v>48</v>
      </c>
      <c r="D71">
        <v>18</v>
      </c>
      <c r="E71" t="s">
        <v>65</v>
      </c>
      <c r="F71" t="s">
        <v>90</v>
      </c>
      <c r="G71" t="s">
        <v>92</v>
      </c>
      <c r="H71" s="18">
        <v>463.57</v>
      </c>
      <c r="I71" s="18">
        <v>1.227352733</v>
      </c>
      <c r="J71" s="18">
        <f t="shared" si="13"/>
        <v>392.69908169872417</v>
      </c>
      <c r="K71" s="18">
        <f t="shared" si="14"/>
        <v>1.9634954084936209E-3</v>
      </c>
      <c r="L71" s="18">
        <f t="shared" si="15"/>
        <v>200000</v>
      </c>
      <c r="M71" s="18">
        <f t="shared" si="28"/>
        <v>245470.5466</v>
      </c>
      <c r="N71" s="18">
        <v>0.23549999999999999</v>
      </c>
      <c r="O71">
        <f t="shared" si="25"/>
        <v>124.70244779493926</v>
      </c>
      <c r="P71" s="18">
        <v>0.94</v>
      </c>
      <c r="Q71">
        <f t="shared" si="29"/>
        <v>2307.4231380399997</v>
      </c>
      <c r="R71" s="18">
        <v>7.0000000000000007E-2</v>
      </c>
      <c r="S71">
        <f t="shared" si="30"/>
        <v>171.82938262000002</v>
      </c>
      <c r="T71">
        <f t="shared" si="31"/>
        <v>13.428571428571427</v>
      </c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</row>
    <row r="72" spans="1:46" x14ac:dyDescent="0.2">
      <c r="A72">
        <v>107</v>
      </c>
      <c r="B72" t="s">
        <v>47</v>
      </c>
      <c r="C72" t="s">
        <v>48</v>
      </c>
      <c r="D72">
        <v>18</v>
      </c>
      <c r="E72" t="s">
        <v>66</v>
      </c>
      <c r="F72" t="s">
        <v>89</v>
      </c>
      <c r="G72" t="s">
        <v>92</v>
      </c>
      <c r="H72" s="18">
        <v>260.3</v>
      </c>
      <c r="I72" s="18">
        <v>0.75955849900000005</v>
      </c>
      <c r="J72" s="18">
        <f t="shared" si="13"/>
        <v>392.69908169872417</v>
      </c>
      <c r="K72" s="18">
        <f t="shared" si="14"/>
        <v>1.9634954084936209E-3</v>
      </c>
      <c r="L72" s="18">
        <f t="shared" si="15"/>
        <v>200000</v>
      </c>
      <c r="M72" s="18">
        <f t="shared" si="28"/>
        <v>151911.6998</v>
      </c>
      <c r="N72" s="18">
        <v>0.35859999999999997</v>
      </c>
      <c r="O72">
        <f t="shared" si="25"/>
        <v>209.27981386200534</v>
      </c>
      <c r="P72" s="18">
        <v>4.1900000000000004</v>
      </c>
      <c r="Q72">
        <f t="shared" si="29"/>
        <v>6365.1002216200013</v>
      </c>
      <c r="R72" s="18">
        <v>0.22</v>
      </c>
      <c r="S72">
        <f t="shared" si="30"/>
        <v>334.20573956000004</v>
      </c>
      <c r="T72">
        <f t="shared" si="31"/>
        <v>19.045454545454547</v>
      </c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</row>
    <row r="73" spans="1:46" x14ac:dyDescent="0.2">
      <c r="A73">
        <v>108</v>
      </c>
      <c r="B73" t="s">
        <v>47</v>
      </c>
      <c r="C73" t="s">
        <v>48</v>
      </c>
      <c r="D73">
        <v>18</v>
      </c>
      <c r="E73" t="s">
        <v>66</v>
      </c>
      <c r="F73" t="s">
        <v>90</v>
      </c>
      <c r="G73" t="s">
        <v>92</v>
      </c>
      <c r="H73" s="18">
        <v>463.57</v>
      </c>
      <c r="I73" s="18">
        <v>1.227352733</v>
      </c>
      <c r="J73" s="18">
        <f t="shared" si="13"/>
        <v>392.69908169872417</v>
      </c>
      <c r="K73" s="18">
        <f t="shared" si="14"/>
        <v>1.9634954084936209E-3</v>
      </c>
      <c r="L73" s="18">
        <f t="shared" si="15"/>
        <v>200000</v>
      </c>
      <c r="M73" s="18">
        <f t="shared" si="28"/>
        <v>245470.5466</v>
      </c>
      <c r="N73" s="18">
        <v>0.22289999999999999</v>
      </c>
      <c r="O73">
        <f t="shared" si="25"/>
        <v>118.03046969635653</v>
      </c>
      <c r="P73" s="18">
        <v>1.03</v>
      </c>
      <c r="Q73">
        <f t="shared" si="29"/>
        <v>2528.3466299800002</v>
      </c>
      <c r="R73" s="18">
        <v>0.08</v>
      </c>
      <c r="S73">
        <f t="shared" si="30"/>
        <v>196.37643728</v>
      </c>
      <c r="T73">
        <f t="shared" si="31"/>
        <v>12.875</v>
      </c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spans="1:46" x14ac:dyDescent="0.2">
      <c r="A74">
        <v>109</v>
      </c>
      <c r="B74" t="s">
        <v>67</v>
      </c>
      <c r="C74" t="s">
        <v>68</v>
      </c>
      <c r="D74">
        <v>19</v>
      </c>
      <c r="E74" t="s">
        <v>69</v>
      </c>
      <c r="F74" t="s">
        <v>89</v>
      </c>
      <c r="G74" t="s">
        <v>92</v>
      </c>
      <c r="H74" s="18">
        <v>258.43</v>
      </c>
      <c r="I74" s="18">
        <v>0.73272093199999999</v>
      </c>
      <c r="J74" s="18">
        <f t="shared" si="13"/>
        <v>392.69908169872417</v>
      </c>
      <c r="K74" s="18">
        <f t="shared" si="14"/>
        <v>1.9634954084936209E-3</v>
      </c>
      <c r="L74" s="18">
        <f t="shared" si="15"/>
        <v>200000</v>
      </c>
      <c r="M74" s="18">
        <f t="shared" si="28"/>
        <v>146544.18640000001</v>
      </c>
      <c r="N74" s="18">
        <v>0.4904</v>
      </c>
      <c r="O74">
        <f t="shared" si="25"/>
        <v>278.08408083643542</v>
      </c>
      <c r="P74" s="18">
        <v>2.5499999999999998</v>
      </c>
      <c r="Q74">
        <f t="shared" si="29"/>
        <v>3736.8767531999997</v>
      </c>
      <c r="R74" s="18">
        <v>0.16</v>
      </c>
      <c r="S74">
        <f t="shared" si="30"/>
        <v>234.47069824000002</v>
      </c>
      <c r="T74">
        <f t="shared" si="31"/>
        <v>15.937499999999998</v>
      </c>
      <c r="U74" s="20">
        <v>5.6829999999999998</v>
      </c>
      <c r="V74" s="20">
        <v>6.9400000000000003E-2</v>
      </c>
      <c r="W74" s="20">
        <v>3.4384999999999999</v>
      </c>
      <c r="X74" s="20">
        <v>2.2025999999999999</v>
      </c>
      <c r="Y74" s="20">
        <f>V74+W74+X74</f>
        <v>5.7104999999999997</v>
      </c>
      <c r="Z74" s="20">
        <v>37.75</v>
      </c>
      <c r="AA74" s="20">
        <v>1.0900000000000001</v>
      </c>
      <c r="AB74" s="20">
        <v>1.3</v>
      </c>
      <c r="AC74" s="20">
        <v>0.09</v>
      </c>
      <c r="AD74" s="20">
        <v>2.95</v>
      </c>
      <c r="AE74" s="20">
        <v>0.24</v>
      </c>
      <c r="AF74" s="12">
        <f>((V74/U74)*I74)*(Z74/100)</f>
        <v>3.3778267353513996E-3</v>
      </c>
      <c r="AG74" s="12">
        <f>((V74/U74)*I74)*(AA74/100)</f>
        <v>9.7531950769086764E-5</v>
      </c>
      <c r="AH74" s="12">
        <f>((W74/U74)*I74)*(AB74/100)</f>
        <v>5.7633278234851312E-3</v>
      </c>
      <c r="AI74" s="12">
        <f>((W74/U74)*I74)*(AC74/100)</f>
        <v>3.9899961854897059E-4</v>
      </c>
      <c r="AJ74" s="12">
        <f>((X74/U74)*I74)*(AD74/100)</f>
        <v>8.3775801834039074E-3</v>
      </c>
      <c r="AK74" s="12">
        <f>((X74/U74)*I74)*(AE74/100)</f>
        <v>6.8156584542947032E-4</v>
      </c>
      <c r="AL74" s="12">
        <f t="shared" ref="AL74:AQ74" si="33">AF74*100*100*20</f>
        <v>675.56534707027993</v>
      </c>
      <c r="AM74" s="12">
        <f t="shared" si="33"/>
        <v>19.506390153817353</v>
      </c>
      <c r="AN74" s="12">
        <f t="shared" si="33"/>
        <v>1152.6655646970264</v>
      </c>
      <c r="AO74" s="12">
        <f t="shared" si="33"/>
        <v>79.799923709794115</v>
      </c>
      <c r="AP74" s="12">
        <f t="shared" si="33"/>
        <v>1675.5160366807813</v>
      </c>
      <c r="AQ74" s="12">
        <f t="shared" si="33"/>
        <v>136.31316908589406</v>
      </c>
      <c r="AR74" s="12">
        <f>AL74+AN74</f>
        <v>1828.2309117673062</v>
      </c>
      <c r="AS74" s="12">
        <f>AP74/AN74</f>
        <v>1.4536011901432868</v>
      </c>
      <c r="AT74" s="12">
        <f>AP74/AR74</f>
        <v>0.91646849744002024</v>
      </c>
    </row>
    <row r="75" spans="1:46" x14ac:dyDescent="0.2">
      <c r="A75">
        <v>110</v>
      </c>
      <c r="B75" t="s">
        <v>67</v>
      </c>
      <c r="C75" t="s">
        <v>68</v>
      </c>
      <c r="D75">
        <v>19</v>
      </c>
      <c r="E75" t="s">
        <v>69</v>
      </c>
      <c r="F75" t="s">
        <v>90</v>
      </c>
      <c r="G75" t="s">
        <v>92</v>
      </c>
      <c r="H75" s="18">
        <v>469.31</v>
      </c>
      <c r="I75" s="18">
        <v>1.2939376570000001</v>
      </c>
      <c r="J75" s="18">
        <f t="shared" si="13"/>
        <v>392.69908169872417</v>
      </c>
      <c r="K75" s="18">
        <f t="shared" si="14"/>
        <v>1.9634954084936209E-3</v>
      </c>
      <c r="L75" s="18">
        <f t="shared" si="15"/>
        <v>200000</v>
      </c>
      <c r="M75" s="18">
        <f t="shared" si="28"/>
        <v>258787.53140000001</v>
      </c>
      <c r="N75" s="18">
        <v>0.19109999999999999</v>
      </c>
      <c r="O75">
        <f t="shared" si="25"/>
        <v>105.3766108766913</v>
      </c>
      <c r="P75" s="18">
        <v>0.15</v>
      </c>
      <c r="Q75">
        <f t="shared" si="29"/>
        <v>388.18129709999999</v>
      </c>
      <c r="R75" s="18">
        <v>0.03</v>
      </c>
      <c r="S75">
        <f t="shared" si="30"/>
        <v>77.636259420000002</v>
      </c>
      <c r="T75">
        <f t="shared" si="31"/>
        <v>5</v>
      </c>
      <c r="U75" s="20">
        <v>5.7778</v>
      </c>
      <c r="V75" s="20">
        <v>1.9E-2</v>
      </c>
      <c r="W75" s="20">
        <v>2.8172000000000001</v>
      </c>
      <c r="X75" s="20">
        <v>2.8826999999999998</v>
      </c>
      <c r="Y75" s="20">
        <f>V75+W75+X75</f>
        <v>5.7188999999999997</v>
      </c>
      <c r="Z75" s="21" t="s">
        <v>95</v>
      </c>
      <c r="AA75" s="21" t="s">
        <v>95</v>
      </c>
      <c r="AB75" s="20">
        <v>0.17</v>
      </c>
      <c r="AC75" s="20">
        <v>0.03</v>
      </c>
      <c r="AD75" s="20">
        <v>0.73</v>
      </c>
      <c r="AE75" s="20">
        <v>0.08</v>
      </c>
      <c r="AF75" s="12" t="s">
        <v>95</v>
      </c>
      <c r="AG75" s="12" t="s">
        <v>95</v>
      </c>
      <c r="AH75" s="12">
        <f>((W75/U75)*I75)*(AB75/100)</f>
        <v>1.0725497567258611E-3</v>
      </c>
      <c r="AI75" s="12">
        <f>((W75/U75)*I75)*(AC75/100)</f>
        <v>1.892734864810343E-4</v>
      </c>
      <c r="AJ75" s="12">
        <f>((X75/U75)*I75)*(AD75/100)</f>
        <v>4.7127364761652309E-3</v>
      </c>
      <c r="AK75" s="12">
        <f>((X75/U75)*I75)*(AE75/100)</f>
        <v>5.1646427136057323E-4</v>
      </c>
      <c r="AL75" s="12" t="s">
        <v>95</v>
      </c>
      <c r="AM75" s="12" t="s">
        <v>95</v>
      </c>
      <c r="AN75" s="12">
        <f>AH75*100*100*20</f>
        <v>214.50995134517223</v>
      </c>
      <c r="AO75" s="12">
        <f>AI75*100*100*20</f>
        <v>37.854697296206865</v>
      </c>
      <c r="AP75" s="12">
        <f>AJ75*100*100*20</f>
        <v>942.54729523304616</v>
      </c>
      <c r="AQ75" s="12">
        <f>AK75*100*100*20</f>
        <v>103.29285427211465</v>
      </c>
      <c r="AR75" s="12">
        <f>AN75</f>
        <v>214.50995134517223</v>
      </c>
      <c r="AS75" s="12">
        <f>AP75/AN75</f>
        <v>4.3939560347779603</v>
      </c>
      <c r="AT75" s="12">
        <f>AP75/AR75</f>
        <v>4.3939560347779603</v>
      </c>
    </row>
    <row r="76" spans="1:46" x14ac:dyDescent="0.2">
      <c r="A76">
        <v>111</v>
      </c>
      <c r="B76" t="s">
        <v>67</v>
      </c>
      <c r="C76" t="s">
        <v>68</v>
      </c>
      <c r="D76">
        <v>19</v>
      </c>
      <c r="E76" t="s">
        <v>70</v>
      </c>
      <c r="F76" t="s">
        <v>89</v>
      </c>
      <c r="G76" t="s">
        <v>92</v>
      </c>
      <c r="H76" s="18">
        <v>258.43</v>
      </c>
      <c r="I76" s="18">
        <v>0.73272093199999999</v>
      </c>
      <c r="J76" s="18">
        <f t="shared" si="13"/>
        <v>392.69908169872417</v>
      </c>
      <c r="K76" s="18">
        <f t="shared" si="14"/>
        <v>1.9634954084936209E-3</v>
      </c>
      <c r="L76" s="18">
        <f t="shared" si="15"/>
        <v>200000</v>
      </c>
      <c r="M76" s="18">
        <f t="shared" si="28"/>
        <v>146544.18640000001</v>
      </c>
      <c r="N76" s="18">
        <v>6.1100000000000002E-2</v>
      </c>
      <c r="O76">
        <f t="shared" si="25"/>
        <v>34.647098978601562</v>
      </c>
      <c r="P76" s="18">
        <v>2.35</v>
      </c>
      <c r="Q76">
        <f t="shared" si="29"/>
        <v>3443.7883804000003</v>
      </c>
      <c r="R76" s="18">
        <v>0.14000000000000001</v>
      </c>
      <c r="S76">
        <f t="shared" si="30"/>
        <v>205.16186096000004</v>
      </c>
      <c r="T76">
        <f t="shared" si="31"/>
        <v>16.785714285714285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 spans="1:46" x14ac:dyDescent="0.2">
      <c r="A77">
        <v>112</v>
      </c>
      <c r="B77" t="s">
        <v>67</v>
      </c>
      <c r="C77" t="s">
        <v>68</v>
      </c>
      <c r="D77">
        <v>19</v>
      </c>
      <c r="E77" t="s">
        <v>70</v>
      </c>
      <c r="F77" t="s">
        <v>90</v>
      </c>
      <c r="G77" t="s">
        <v>92</v>
      </c>
      <c r="H77" s="18">
        <v>469.31</v>
      </c>
      <c r="I77" s="18">
        <v>1.2939376570000001</v>
      </c>
      <c r="J77" s="18">
        <f t="shared" si="13"/>
        <v>392.69908169872417</v>
      </c>
      <c r="K77" s="18">
        <f t="shared" si="14"/>
        <v>1.9634954084936209E-3</v>
      </c>
      <c r="L77" s="18">
        <f t="shared" si="15"/>
        <v>200000</v>
      </c>
      <c r="M77" s="18">
        <f t="shared" si="28"/>
        <v>258787.53140000001</v>
      </c>
      <c r="N77" s="18">
        <v>0.65349999999999997</v>
      </c>
      <c r="O77">
        <f t="shared" si="25"/>
        <v>360.35382107753935</v>
      </c>
      <c r="P77" s="18">
        <v>0.53</v>
      </c>
      <c r="Q77">
        <f t="shared" si="29"/>
        <v>1371.5739164199999</v>
      </c>
      <c r="R77" s="18">
        <v>0.06</v>
      </c>
      <c r="S77">
        <f t="shared" si="30"/>
        <v>155.27251884</v>
      </c>
      <c r="T77">
        <f t="shared" si="31"/>
        <v>8.8333333333333339</v>
      </c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</row>
    <row r="78" spans="1:46" x14ac:dyDescent="0.2">
      <c r="A78">
        <v>113</v>
      </c>
      <c r="B78" t="s">
        <v>67</v>
      </c>
      <c r="C78" t="s">
        <v>68</v>
      </c>
      <c r="D78">
        <v>19</v>
      </c>
      <c r="E78" t="s">
        <v>71</v>
      </c>
      <c r="F78" t="s">
        <v>89</v>
      </c>
      <c r="G78" t="s">
        <v>92</v>
      </c>
      <c r="H78" s="18">
        <v>258.43</v>
      </c>
      <c r="I78" s="18">
        <v>0.73272093199999999</v>
      </c>
      <c r="J78" s="18">
        <f t="shared" si="13"/>
        <v>392.69908169872417</v>
      </c>
      <c r="K78" s="18">
        <f t="shared" si="14"/>
        <v>1.9634954084936209E-3</v>
      </c>
      <c r="L78" s="18">
        <f t="shared" si="15"/>
        <v>200000</v>
      </c>
      <c r="M78" s="18">
        <f t="shared" si="28"/>
        <v>146544.18640000001</v>
      </c>
      <c r="N78" s="18">
        <v>0.1221</v>
      </c>
      <c r="O78">
        <f t="shared" si="25"/>
        <v>69.237492394226678</v>
      </c>
      <c r="P78" s="18">
        <v>2.12</v>
      </c>
      <c r="Q78">
        <f t="shared" si="29"/>
        <v>3106.73675168</v>
      </c>
      <c r="R78" s="18">
        <v>0.13</v>
      </c>
      <c r="S78">
        <f t="shared" si="30"/>
        <v>190.50744232</v>
      </c>
      <c r="T78">
        <f t="shared" si="31"/>
        <v>16.307692307692307</v>
      </c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</row>
    <row r="79" spans="1:46" x14ac:dyDescent="0.2">
      <c r="A79">
        <v>114</v>
      </c>
      <c r="B79" t="s">
        <v>67</v>
      </c>
      <c r="C79" t="s">
        <v>68</v>
      </c>
      <c r="D79">
        <v>19</v>
      </c>
      <c r="E79" t="s">
        <v>71</v>
      </c>
      <c r="F79" t="s">
        <v>90</v>
      </c>
      <c r="G79" t="s">
        <v>92</v>
      </c>
      <c r="H79" s="18">
        <v>469.31</v>
      </c>
      <c r="I79" s="18">
        <v>1.2939376570000001</v>
      </c>
      <c r="J79" s="18">
        <f t="shared" si="13"/>
        <v>392.69908169872417</v>
      </c>
      <c r="K79" s="18">
        <f t="shared" si="14"/>
        <v>1.9634954084936209E-3</v>
      </c>
      <c r="L79" s="18">
        <f t="shared" si="15"/>
        <v>200000</v>
      </c>
      <c r="M79" s="18">
        <f t="shared" si="28"/>
        <v>258787.53140000001</v>
      </c>
      <c r="N79" s="18">
        <v>2.5999999999999999E-3</v>
      </c>
      <c r="O79">
        <f t="shared" si="25"/>
        <v>1.4336953860774329</v>
      </c>
      <c r="P79" s="18">
        <v>0.68</v>
      </c>
      <c r="Q79">
        <f t="shared" si="29"/>
        <v>1759.7552135200001</v>
      </c>
      <c r="R79" s="18">
        <v>7.0000000000000007E-2</v>
      </c>
      <c r="S79">
        <f t="shared" si="30"/>
        <v>181.15127198000002</v>
      </c>
      <c r="T79">
        <f t="shared" si="31"/>
        <v>9.7142857142857135</v>
      </c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</row>
    <row r="80" spans="1:46" x14ac:dyDescent="0.2">
      <c r="A80">
        <v>115</v>
      </c>
      <c r="B80" t="s">
        <v>67</v>
      </c>
      <c r="C80" t="s">
        <v>68</v>
      </c>
      <c r="D80">
        <v>20</v>
      </c>
      <c r="E80" t="s">
        <v>72</v>
      </c>
      <c r="F80" t="s">
        <v>89</v>
      </c>
      <c r="G80" t="s">
        <v>92</v>
      </c>
      <c r="H80" s="18">
        <v>222.01</v>
      </c>
      <c r="I80" s="18">
        <v>0.62946010200000002</v>
      </c>
      <c r="J80" s="18">
        <f t="shared" si="13"/>
        <v>392.69908169872417</v>
      </c>
      <c r="K80" s="18">
        <f t="shared" si="14"/>
        <v>1.9634954084936209E-3</v>
      </c>
      <c r="L80" s="18">
        <f t="shared" si="15"/>
        <v>200000</v>
      </c>
      <c r="M80" s="18">
        <f t="shared" si="28"/>
        <v>125892.02040000001</v>
      </c>
      <c r="N80" s="18">
        <v>0.1784</v>
      </c>
      <c r="O80">
        <f t="shared" si="25"/>
        <v>101.16272437890186</v>
      </c>
      <c r="P80" s="18">
        <v>2.9</v>
      </c>
      <c r="Q80">
        <f t="shared" si="29"/>
        <v>3650.8685915999999</v>
      </c>
      <c r="R80" s="18">
        <v>0.19</v>
      </c>
      <c r="S80">
        <f t="shared" si="30"/>
        <v>239.19483876000001</v>
      </c>
      <c r="T80">
        <f t="shared" si="31"/>
        <v>15.263157894736841</v>
      </c>
      <c r="U80" s="20">
        <v>5.2073999999999998</v>
      </c>
      <c r="V80" s="20">
        <v>7.0499999999999993E-2</v>
      </c>
      <c r="W80" s="20">
        <v>2.0131000000000001</v>
      </c>
      <c r="X80" s="20">
        <v>3.1591999999999998</v>
      </c>
      <c r="Y80" s="20">
        <f>V80+W80+X80</f>
        <v>5.2427999999999999</v>
      </c>
      <c r="Z80" s="20">
        <v>35.96</v>
      </c>
      <c r="AA80" s="20">
        <v>0.85</v>
      </c>
      <c r="AB80" s="20">
        <v>0.99</v>
      </c>
      <c r="AC80" s="20">
        <v>0.06</v>
      </c>
      <c r="AD80" s="20">
        <v>2.06</v>
      </c>
      <c r="AE80" s="20">
        <v>0.19</v>
      </c>
      <c r="AF80" s="12">
        <f>((V80/U80)*I80)*(Z80/100)</f>
        <v>3.0644749037684067E-3</v>
      </c>
      <c r="AG80" s="12">
        <f>((V80/U80)*I80)*(AA80/100)</f>
        <v>7.2436142052367776E-5</v>
      </c>
      <c r="AH80" s="12">
        <f>((W80/U80)*I80)*(AB80/100)</f>
        <v>2.4090610861904945E-3</v>
      </c>
      <c r="AI80" s="12">
        <f>((W80/U80)*I80)*(AC80/100)</f>
        <v>1.4600370219336332E-4</v>
      </c>
      <c r="AJ80" s="12">
        <f>((X80/U80)*I80)*(AD80/100)</f>
        <v>7.8666822785480352E-3</v>
      </c>
      <c r="AK80" s="12">
        <f>((X80/U80)*I80)*(AE80/100)</f>
        <v>7.2556778297287706E-4</v>
      </c>
      <c r="AL80" s="12">
        <f t="shared" ref="AL80:AQ80" si="34">AF80*100*100*20</f>
        <v>612.89498075368124</v>
      </c>
      <c r="AM80" s="12">
        <f t="shared" si="34"/>
        <v>14.487228410473556</v>
      </c>
      <c r="AN80" s="12">
        <f t="shared" si="34"/>
        <v>481.81221723809892</v>
      </c>
      <c r="AO80" s="12">
        <f t="shared" si="34"/>
        <v>29.200740438672664</v>
      </c>
      <c r="AP80" s="12">
        <f t="shared" si="34"/>
        <v>1573.336455709607</v>
      </c>
      <c r="AQ80" s="12">
        <f t="shared" si="34"/>
        <v>145.11355659457541</v>
      </c>
      <c r="AR80" s="12">
        <f>AL80+AN80</f>
        <v>1094.70719799178</v>
      </c>
      <c r="AS80" s="12">
        <f>AP80/AN80</f>
        <v>3.2654557095469117</v>
      </c>
      <c r="AT80" s="12">
        <f>AP80/AR80</f>
        <v>1.4372212575160404</v>
      </c>
    </row>
    <row r="81" spans="1:46" x14ac:dyDescent="0.2">
      <c r="A81">
        <v>116</v>
      </c>
      <c r="B81" t="s">
        <v>67</v>
      </c>
      <c r="C81" t="s">
        <v>68</v>
      </c>
      <c r="D81">
        <v>20</v>
      </c>
      <c r="E81" t="s">
        <v>72</v>
      </c>
      <c r="F81" t="s">
        <v>90</v>
      </c>
      <c r="G81" t="s">
        <v>92</v>
      </c>
      <c r="H81" s="18">
        <v>314.58999999999997</v>
      </c>
      <c r="I81" s="18">
        <v>1.074789843</v>
      </c>
      <c r="J81" s="18">
        <f t="shared" si="13"/>
        <v>392.69908169872417</v>
      </c>
      <c r="K81" s="18">
        <f t="shared" si="14"/>
        <v>1.9634954084936209E-3</v>
      </c>
      <c r="L81" s="18">
        <f t="shared" si="15"/>
        <v>200000</v>
      </c>
      <c r="M81" s="18">
        <f t="shared" si="28"/>
        <v>214957.96859999999</v>
      </c>
      <c r="N81" s="18">
        <v>0.1308</v>
      </c>
      <c r="O81">
        <f t="shared" si="25"/>
        <v>89.37506688985664</v>
      </c>
      <c r="P81" s="18">
        <v>0.76</v>
      </c>
      <c r="Q81">
        <f t="shared" si="29"/>
        <v>1633.68056136</v>
      </c>
      <c r="R81" s="18">
        <v>0.08</v>
      </c>
      <c r="S81">
        <f t="shared" si="30"/>
        <v>171.96637487999999</v>
      </c>
      <c r="T81">
        <f t="shared" si="31"/>
        <v>9.5</v>
      </c>
      <c r="U81" s="20">
        <v>5.1771000000000003</v>
      </c>
      <c r="V81" s="20">
        <v>2.3599999999999999E-2</v>
      </c>
      <c r="W81" s="20">
        <v>1.7874000000000001</v>
      </c>
      <c r="X81" s="20">
        <v>3.3536999999999999</v>
      </c>
      <c r="Y81" s="20">
        <f>V81+W81+X81</f>
        <v>5.1646999999999998</v>
      </c>
      <c r="Z81" s="21" t="s">
        <v>95</v>
      </c>
      <c r="AA81" s="21" t="s">
        <v>95</v>
      </c>
      <c r="AB81" s="20">
        <v>0.15</v>
      </c>
      <c r="AC81" s="20">
        <v>0.03</v>
      </c>
      <c r="AD81" s="20">
        <v>0.75</v>
      </c>
      <c r="AE81" s="20">
        <v>0.08</v>
      </c>
      <c r="AF81" s="12" t="s">
        <v>95</v>
      </c>
      <c r="AG81" s="12" t="s">
        <v>95</v>
      </c>
      <c r="AH81" s="12">
        <f>((W81/U81)*I81)*(AB81/100)</f>
        <v>5.5660872845170076E-4</v>
      </c>
      <c r="AI81" s="12">
        <f>((W81/U81)*I81)*(AC81/100)</f>
        <v>1.1132174569034014E-4</v>
      </c>
      <c r="AJ81" s="12">
        <f>((X81/U81)*I81)*(AD81/100)</f>
        <v>5.2218269346773769E-3</v>
      </c>
      <c r="AK81" s="12">
        <f>((X81/U81)*I81)*(AE81/100)</f>
        <v>5.5699487303225359E-4</v>
      </c>
      <c r="AL81" s="12" t="s">
        <v>95</v>
      </c>
      <c r="AM81" s="12" t="s">
        <v>95</v>
      </c>
      <c r="AN81" s="12">
        <f>AH81*100*100*20</f>
        <v>111.32174569034014</v>
      </c>
      <c r="AO81" s="12">
        <f>AI81*100*100*20</f>
        <v>22.264349138068027</v>
      </c>
      <c r="AP81" s="12">
        <f>AJ81*100*100*20</f>
        <v>1044.3653869354755</v>
      </c>
      <c r="AQ81" s="12">
        <f>AK81*100*100*20</f>
        <v>111.39897460645072</v>
      </c>
      <c r="AR81" s="12">
        <f>AN81</f>
        <v>111.32174569034014</v>
      </c>
      <c r="AS81" s="12">
        <f>AP81/AN81</f>
        <v>9.3815038603558261</v>
      </c>
      <c r="AT81" s="12">
        <f>AP81/AR81</f>
        <v>9.3815038603558261</v>
      </c>
    </row>
    <row r="82" spans="1:46" x14ac:dyDescent="0.2">
      <c r="A82">
        <v>117</v>
      </c>
      <c r="B82" t="s">
        <v>67</v>
      </c>
      <c r="C82" t="s">
        <v>68</v>
      </c>
      <c r="D82">
        <v>20</v>
      </c>
      <c r="E82" t="s">
        <v>73</v>
      </c>
      <c r="F82" t="s">
        <v>89</v>
      </c>
      <c r="G82" t="s">
        <v>92</v>
      </c>
      <c r="H82" s="18">
        <v>222.01</v>
      </c>
      <c r="I82" s="18">
        <v>0.62946010200000002</v>
      </c>
      <c r="J82" s="18">
        <f t="shared" si="13"/>
        <v>392.69908169872417</v>
      </c>
      <c r="K82" s="18">
        <f t="shared" si="14"/>
        <v>1.9634954084936209E-3</v>
      </c>
      <c r="L82" s="18">
        <f t="shared" si="15"/>
        <v>200000</v>
      </c>
      <c r="M82" s="18">
        <f t="shared" si="28"/>
        <v>125892.02040000001</v>
      </c>
      <c r="N82" s="18">
        <v>0.43190000000000001</v>
      </c>
      <c r="O82">
        <f t="shared" si="25"/>
        <v>244.91132656528987</v>
      </c>
      <c r="P82" s="18">
        <v>3.1</v>
      </c>
      <c r="Q82">
        <f t="shared" si="29"/>
        <v>3902.6526324000001</v>
      </c>
      <c r="R82" s="18">
        <v>0.24</v>
      </c>
      <c r="S82">
        <f t="shared" si="30"/>
        <v>302.14084895999997</v>
      </c>
      <c r="T82">
        <f t="shared" si="31"/>
        <v>12.916666666666668</v>
      </c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spans="1:46" x14ac:dyDescent="0.2">
      <c r="A83">
        <v>118</v>
      </c>
      <c r="B83" t="s">
        <v>67</v>
      </c>
      <c r="C83" t="s">
        <v>68</v>
      </c>
      <c r="D83">
        <v>20</v>
      </c>
      <c r="E83" t="s">
        <v>73</v>
      </c>
      <c r="F83" t="s">
        <v>90</v>
      </c>
      <c r="G83" t="s">
        <v>92</v>
      </c>
      <c r="H83" s="18">
        <v>314.58999999999997</v>
      </c>
      <c r="I83" s="18">
        <v>1.074789843</v>
      </c>
      <c r="J83" s="18">
        <f t="shared" si="13"/>
        <v>392.69908169872417</v>
      </c>
      <c r="K83" s="18">
        <f t="shared" si="14"/>
        <v>1.9634954084936209E-3</v>
      </c>
      <c r="L83" s="18">
        <f t="shared" si="15"/>
        <v>200000</v>
      </c>
      <c r="M83" s="18">
        <f t="shared" si="28"/>
        <v>214957.96859999999</v>
      </c>
      <c r="N83" s="18">
        <v>0.20349999999999999</v>
      </c>
      <c r="O83">
        <f t="shared" si="25"/>
        <v>139.05065834928001</v>
      </c>
      <c r="P83" s="18">
        <v>0.81</v>
      </c>
      <c r="Q83">
        <f t="shared" si="29"/>
        <v>1741.1595456600003</v>
      </c>
      <c r="R83" s="18">
        <v>0.09</v>
      </c>
      <c r="S83">
        <f t="shared" si="30"/>
        <v>193.46217174</v>
      </c>
      <c r="T83">
        <f t="shared" si="31"/>
        <v>9.0000000000000018</v>
      </c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 spans="1:46" x14ac:dyDescent="0.2">
      <c r="A84">
        <v>119</v>
      </c>
      <c r="B84" t="s">
        <v>67</v>
      </c>
      <c r="C84" t="s">
        <v>68</v>
      </c>
      <c r="D84">
        <v>20</v>
      </c>
      <c r="E84" t="s">
        <v>74</v>
      </c>
      <c r="F84" t="s">
        <v>89</v>
      </c>
      <c r="G84" t="s">
        <v>92</v>
      </c>
      <c r="H84" s="18">
        <v>222.01</v>
      </c>
      <c r="I84" s="18">
        <v>0.62946010200000002</v>
      </c>
      <c r="J84" s="18">
        <f t="shared" si="13"/>
        <v>392.69908169872417</v>
      </c>
      <c r="K84" s="18">
        <f t="shared" si="14"/>
        <v>1.9634954084936209E-3</v>
      </c>
      <c r="L84" s="18">
        <f t="shared" si="15"/>
        <v>200000</v>
      </c>
      <c r="M84" s="18">
        <f t="shared" si="28"/>
        <v>125892.02040000001</v>
      </c>
      <c r="N84" s="18">
        <v>0.2336</v>
      </c>
      <c r="O84">
        <f t="shared" si="25"/>
        <v>132.46419515084906</v>
      </c>
      <c r="P84" s="18">
        <v>3.12</v>
      </c>
      <c r="Q84">
        <f t="shared" si="29"/>
        <v>3927.8310364800004</v>
      </c>
      <c r="R84" s="18">
        <v>0.22</v>
      </c>
      <c r="S84">
        <f t="shared" si="30"/>
        <v>276.96244488000002</v>
      </c>
      <c r="T84">
        <f t="shared" si="31"/>
        <v>14.181818181818182</v>
      </c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spans="1:46" x14ac:dyDescent="0.2">
      <c r="A85">
        <v>120</v>
      </c>
      <c r="B85" t="s">
        <v>67</v>
      </c>
      <c r="C85" t="s">
        <v>68</v>
      </c>
      <c r="D85">
        <v>20</v>
      </c>
      <c r="E85" t="s">
        <v>74</v>
      </c>
      <c r="F85" t="s">
        <v>90</v>
      </c>
      <c r="G85" t="s">
        <v>92</v>
      </c>
      <c r="H85" s="18">
        <v>314.58999999999997</v>
      </c>
      <c r="I85" s="18">
        <v>1.074789843</v>
      </c>
      <c r="J85" s="18">
        <f t="shared" si="13"/>
        <v>392.69908169872417</v>
      </c>
      <c r="K85" s="18">
        <f t="shared" si="14"/>
        <v>1.9634954084936209E-3</v>
      </c>
      <c r="L85" s="18">
        <f t="shared" si="15"/>
        <v>200000</v>
      </c>
      <c r="M85" s="18">
        <f t="shared" si="28"/>
        <v>214957.96859999999</v>
      </c>
      <c r="N85" s="18">
        <v>4.1000000000000003E-3</v>
      </c>
      <c r="O85">
        <f t="shared" si="25"/>
        <v>2.8015120355383201</v>
      </c>
      <c r="P85" s="18">
        <v>0.59</v>
      </c>
      <c r="Q85">
        <f t="shared" si="29"/>
        <v>1268.2520147399998</v>
      </c>
      <c r="R85" s="18">
        <v>0.08</v>
      </c>
      <c r="S85">
        <f t="shared" si="30"/>
        <v>171.96637487999999</v>
      </c>
      <c r="T85">
        <f t="shared" si="31"/>
        <v>7.3749999999999991</v>
      </c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spans="1:46" x14ac:dyDescent="0.2">
      <c r="A86">
        <v>121</v>
      </c>
      <c r="B86" t="s">
        <v>67</v>
      </c>
      <c r="C86" t="s">
        <v>68</v>
      </c>
      <c r="D86">
        <v>21</v>
      </c>
      <c r="E86" t="s">
        <v>75</v>
      </c>
      <c r="F86" t="s">
        <v>89</v>
      </c>
      <c r="G86" t="s">
        <v>92</v>
      </c>
      <c r="H86" s="18">
        <v>347.93</v>
      </c>
      <c r="I86" s="18">
        <v>0.93354134</v>
      </c>
      <c r="J86" s="18">
        <f t="shared" si="13"/>
        <v>392.69908169872417</v>
      </c>
      <c r="K86" s="18">
        <f t="shared" si="14"/>
        <v>1.9634954084936209E-3</v>
      </c>
      <c r="L86" s="18">
        <f t="shared" si="15"/>
        <v>200000</v>
      </c>
      <c r="M86" s="18">
        <f t="shared" si="28"/>
        <v>186708.26800000001</v>
      </c>
      <c r="N86" s="18">
        <v>0.37919999999999998</v>
      </c>
      <c r="O86">
        <f t="shared" si="25"/>
        <v>203.48856156583219</v>
      </c>
      <c r="P86" s="18">
        <v>1.7</v>
      </c>
      <c r="Q86">
        <f t="shared" si="29"/>
        <v>3174.0405560000004</v>
      </c>
      <c r="R86" s="18">
        <v>0.13</v>
      </c>
      <c r="S86">
        <f t="shared" si="30"/>
        <v>242.72074839999999</v>
      </c>
      <c r="T86">
        <f t="shared" si="31"/>
        <v>13.076923076923077</v>
      </c>
      <c r="U86" s="20">
        <v>5.3886000000000003</v>
      </c>
      <c r="V86" s="20">
        <v>6.0100000000000001E-2</v>
      </c>
      <c r="W86" s="20">
        <v>1.8652</v>
      </c>
      <c r="X86" s="20">
        <v>3.4142999999999999</v>
      </c>
      <c r="Y86" s="20">
        <f>V86+W86+X86</f>
        <v>5.3395999999999999</v>
      </c>
      <c r="Z86" s="20">
        <v>40.450000000000003</v>
      </c>
      <c r="AA86" s="20">
        <v>1.1499999999999999</v>
      </c>
      <c r="AB86" s="20">
        <v>1.63</v>
      </c>
      <c r="AC86" s="20">
        <v>0.08</v>
      </c>
      <c r="AD86" s="20">
        <v>3.63</v>
      </c>
      <c r="AE86" s="20">
        <v>0.25</v>
      </c>
      <c r="AF86" s="12">
        <f>((V86/U86)*I86)*(Z86/100)</f>
        <v>4.211633832350333E-3</v>
      </c>
      <c r="AG86" s="12">
        <f>((V86/U86)*I86)*(AA86/100)</f>
        <v>1.1973742663047916E-4</v>
      </c>
      <c r="AH86" s="12">
        <f>((W86/U86)*I86)*(AB86/100)</f>
        <v>5.2670885406410567E-3</v>
      </c>
      <c r="AI86" s="12">
        <f>((W86/U86)*I86)*(AC86/100)</f>
        <v>2.5850741303759794E-4</v>
      </c>
      <c r="AJ86" s="12">
        <f>((X86/U86)*I86)*(AD86/100)</f>
        <v>2.1471674304453955E-2</v>
      </c>
      <c r="AK86" s="12">
        <f>((X86/U86)*I86)*(AE86/100)</f>
        <v>1.4787654479651486E-3</v>
      </c>
      <c r="AL86" s="12">
        <f t="shared" ref="AL86:AQ87" si="35">AF86*100*100*20</f>
        <v>842.32676647006656</v>
      </c>
      <c r="AM86" s="12">
        <f t="shared" si="35"/>
        <v>23.94748532609583</v>
      </c>
      <c r="AN86" s="12">
        <f t="shared" si="35"/>
        <v>1053.4177081282114</v>
      </c>
      <c r="AO86" s="12">
        <f t="shared" si="35"/>
        <v>51.701482607519587</v>
      </c>
      <c r="AP86" s="12">
        <f t="shared" si="35"/>
        <v>4294.3348608907909</v>
      </c>
      <c r="AQ86" s="12">
        <f t="shared" si="35"/>
        <v>295.7530895930297</v>
      </c>
      <c r="AR86" s="12">
        <f>AL86+AN86</f>
        <v>1895.744474598278</v>
      </c>
      <c r="AS86" s="12">
        <f>AP86/AN86</f>
        <v>4.0765736400247867</v>
      </c>
      <c r="AT86" s="12">
        <f>AP86/AR86</f>
        <v>2.2652498363740672</v>
      </c>
    </row>
    <row r="87" spans="1:46" x14ac:dyDescent="0.2">
      <c r="A87">
        <v>122</v>
      </c>
      <c r="B87" t="s">
        <v>67</v>
      </c>
      <c r="C87" t="s">
        <v>68</v>
      </c>
      <c r="D87">
        <v>21</v>
      </c>
      <c r="E87" t="s">
        <v>75</v>
      </c>
      <c r="F87" t="s">
        <v>90</v>
      </c>
      <c r="G87" t="s">
        <v>92</v>
      </c>
      <c r="H87" s="18">
        <v>347.83</v>
      </c>
      <c r="I87" s="18">
        <v>1.0778772539999999</v>
      </c>
      <c r="J87" s="18">
        <f t="shared" si="13"/>
        <v>392.69908169872417</v>
      </c>
      <c r="K87" s="18">
        <f t="shared" si="14"/>
        <v>1.9634954084936209E-3</v>
      </c>
      <c r="L87" s="18">
        <f t="shared" si="15"/>
        <v>200000</v>
      </c>
      <c r="M87" s="18">
        <f t="shared" si="28"/>
        <v>215575.45079999999</v>
      </c>
      <c r="N87" s="18">
        <v>0.10009999999999999</v>
      </c>
      <c r="O87">
        <f t="shared" si="25"/>
        <v>62.039222105856311</v>
      </c>
      <c r="P87" s="18">
        <v>0.6</v>
      </c>
      <c r="Q87">
        <f t="shared" si="29"/>
        <v>1293.4527048</v>
      </c>
      <c r="R87" s="18">
        <v>7.0000000000000007E-2</v>
      </c>
      <c r="S87">
        <f t="shared" si="30"/>
        <v>150.90281556000002</v>
      </c>
      <c r="T87">
        <f t="shared" si="31"/>
        <v>8.5714285714285712</v>
      </c>
      <c r="U87" s="20">
        <v>5.6475</v>
      </c>
      <c r="V87" s="20">
        <v>3.3500000000000002E-2</v>
      </c>
      <c r="W87" s="20">
        <v>1.9335</v>
      </c>
      <c r="X87" s="20">
        <v>3.6381000000000001</v>
      </c>
      <c r="Y87" s="20">
        <f>V87+W87+X87</f>
        <v>5.6051000000000002</v>
      </c>
      <c r="Z87" s="20">
        <v>39.619999999999997</v>
      </c>
      <c r="AA87" s="20">
        <v>0.96</v>
      </c>
      <c r="AB87" s="20">
        <v>0.27</v>
      </c>
      <c r="AC87" s="20">
        <v>0.02</v>
      </c>
      <c r="AD87" s="20">
        <v>1.07</v>
      </c>
      <c r="AE87" s="20">
        <v>0.08</v>
      </c>
      <c r="AF87" s="12">
        <f>((V87/U87)*I87)*(Z87/100)</f>
        <v>2.5332167205251526E-3</v>
      </c>
      <c r="AG87" s="12">
        <f>((V87/U87)*I87)*(AA87/100)</f>
        <v>6.1380314278247007E-5</v>
      </c>
      <c r="AH87" s="12">
        <f>((W87/U87)*I87)*(AB87/100)</f>
        <v>9.963708385381674E-4</v>
      </c>
      <c r="AI87" s="12">
        <f>((W87/U87)*I87)*(AC87/100)</f>
        <v>7.380524729912351E-5</v>
      </c>
      <c r="AJ87" s="12">
        <f>((X87/U87)*I87)*(AD87/100)</f>
        <v>7.4297034164175621E-3</v>
      </c>
      <c r="AK87" s="12">
        <f>((X87/U87)*I87)*(AE87/100)</f>
        <v>5.5549184421813547E-4</v>
      </c>
      <c r="AL87" s="12">
        <f t="shared" si="35"/>
        <v>506.64334410503051</v>
      </c>
      <c r="AM87" s="12">
        <f t="shared" si="35"/>
        <v>12.276062855649402</v>
      </c>
      <c r="AN87" s="12">
        <f t="shared" si="35"/>
        <v>199.27416770763347</v>
      </c>
      <c r="AO87" s="12">
        <f t="shared" si="35"/>
        <v>14.761049459824703</v>
      </c>
      <c r="AP87" s="12">
        <f t="shared" si="35"/>
        <v>1485.9406832835125</v>
      </c>
      <c r="AQ87" s="12">
        <f t="shared" si="35"/>
        <v>111.09836884362709</v>
      </c>
      <c r="AR87" s="12">
        <f>AL87+AN87</f>
        <v>705.91751181266397</v>
      </c>
      <c r="AS87" s="12">
        <f>AP87/AN87</f>
        <v>7.4567652213889613</v>
      </c>
      <c r="AT87" s="12">
        <f>AP87/AR87</f>
        <v>2.1049777890732519</v>
      </c>
    </row>
    <row r="88" spans="1:46" x14ac:dyDescent="0.2">
      <c r="A88">
        <v>123</v>
      </c>
      <c r="B88" t="s">
        <v>67</v>
      </c>
      <c r="C88" t="s">
        <v>68</v>
      </c>
      <c r="D88">
        <v>21</v>
      </c>
      <c r="E88" t="s">
        <v>76</v>
      </c>
      <c r="F88" t="s">
        <v>89</v>
      </c>
      <c r="G88" t="s">
        <v>92</v>
      </c>
      <c r="H88" s="18">
        <v>347.93</v>
      </c>
      <c r="I88" s="18">
        <v>0.93354134</v>
      </c>
      <c r="J88" s="18">
        <f t="shared" si="13"/>
        <v>392.69908169872417</v>
      </c>
      <c r="K88" s="18">
        <f t="shared" si="14"/>
        <v>1.9634954084936209E-3</v>
      </c>
      <c r="L88" s="18">
        <f t="shared" si="15"/>
        <v>200000</v>
      </c>
      <c r="M88" s="18">
        <f t="shared" si="28"/>
        <v>186708.26800000001</v>
      </c>
      <c r="N88" s="18">
        <v>0.80649999999999999</v>
      </c>
      <c r="O88">
        <f t="shared" si="25"/>
        <v>432.78883149484091</v>
      </c>
      <c r="P88" s="18">
        <v>2.39</v>
      </c>
      <c r="Q88">
        <f t="shared" si="29"/>
        <v>4462.3276052000001</v>
      </c>
      <c r="R88" s="18">
        <v>0.17</v>
      </c>
      <c r="S88">
        <f t="shared" si="30"/>
        <v>317.40405560000005</v>
      </c>
      <c r="T88">
        <f t="shared" si="31"/>
        <v>14.058823529411764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 spans="1:46" x14ac:dyDescent="0.2">
      <c r="A89">
        <v>124</v>
      </c>
      <c r="B89" t="s">
        <v>67</v>
      </c>
      <c r="C89" t="s">
        <v>68</v>
      </c>
      <c r="D89">
        <v>21</v>
      </c>
      <c r="E89" t="s">
        <v>76</v>
      </c>
      <c r="F89" t="s">
        <v>90</v>
      </c>
      <c r="G89" t="s">
        <v>92</v>
      </c>
      <c r="H89" s="18">
        <v>347.83</v>
      </c>
      <c r="I89" s="18">
        <v>1.0778772539999999</v>
      </c>
      <c r="J89" s="18">
        <f t="shared" si="13"/>
        <v>392.69908169872417</v>
      </c>
      <c r="K89" s="18">
        <f t="shared" si="14"/>
        <v>1.9634954084936209E-3</v>
      </c>
      <c r="L89" s="18">
        <f t="shared" si="15"/>
        <v>200000</v>
      </c>
      <c r="M89" s="18">
        <f t="shared" si="28"/>
        <v>215575.45079999999</v>
      </c>
      <c r="N89" s="18">
        <v>0.13239999999999999</v>
      </c>
      <c r="O89">
        <f t="shared" si="25"/>
        <v>82.057872195957785</v>
      </c>
      <c r="P89" s="18">
        <v>0.8</v>
      </c>
      <c r="Q89">
        <f t="shared" si="29"/>
        <v>1724.6036064</v>
      </c>
      <c r="R89" s="18">
        <v>0.08</v>
      </c>
      <c r="S89">
        <f t="shared" si="30"/>
        <v>172.46036064</v>
      </c>
      <c r="T89">
        <f t="shared" si="31"/>
        <v>10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spans="1:46" x14ac:dyDescent="0.2">
      <c r="A90">
        <v>125</v>
      </c>
      <c r="B90" t="s">
        <v>67</v>
      </c>
      <c r="C90" t="s">
        <v>68</v>
      </c>
      <c r="D90">
        <v>21</v>
      </c>
      <c r="E90" t="s">
        <v>77</v>
      </c>
      <c r="F90" t="s">
        <v>89</v>
      </c>
      <c r="G90" t="s">
        <v>92</v>
      </c>
      <c r="H90" s="18">
        <v>347.93</v>
      </c>
      <c r="I90" s="18">
        <v>0.93354134</v>
      </c>
      <c r="J90" s="18">
        <f t="shared" si="13"/>
        <v>392.69908169872417</v>
      </c>
      <c r="K90" s="18">
        <f t="shared" si="14"/>
        <v>1.9634954084936209E-3</v>
      </c>
      <c r="L90" s="18">
        <f t="shared" si="15"/>
        <v>200000</v>
      </c>
      <c r="M90" s="18">
        <f t="shared" si="28"/>
        <v>186708.26800000001</v>
      </c>
      <c r="N90" s="18">
        <v>0.42609999999999998</v>
      </c>
      <c r="O90">
        <f t="shared" si="25"/>
        <v>228.65631878481304</v>
      </c>
      <c r="P90" s="18">
        <v>1.98</v>
      </c>
      <c r="Q90">
        <f t="shared" si="29"/>
        <v>3696.8237064</v>
      </c>
      <c r="R90" s="18">
        <v>0.16</v>
      </c>
      <c r="S90">
        <f t="shared" si="30"/>
        <v>298.73322880000001</v>
      </c>
      <c r="T90">
        <f t="shared" si="31"/>
        <v>12.375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spans="1:46" x14ac:dyDescent="0.2">
      <c r="A91">
        <v>126</v>
      </c>
      <c r="B91" t="s">
        <v>67</v>
      </c>
      <c r="C91" t="s">
        <v>68</v>
      </c>
      <c r="D91">
        <v>21</v>
      </c>
      <c r="E91" t="s">
        <v>77</v>
      </c>
      <c r="F91" t="s">
        <v>90</v>
      </c>
      <c r="G91" t="s">
        <v>92</v>
      </c>
      <c r="H91" s="18">
        <v>347.83</v>
      </c>
      <c r="I91" s="18">
        <v>1.0778772539999999</v>
      </c>
      <c r="J91" s="18">
        <f t="shared" si="13"/>
        <v>392.69908169872417</v>
      </c>
      <c r="K91" s="18">
        <f t="shared" si="14"/>
        <v>1.9634954084936209E-3</v>
      </c>
      <c r="L91" s="18">
        <f t="shared" si="15"/>
        <v>200000</v>
      </c>
      <c r="M91" s="18">
        <f t="shared" si="28"/>
        <v>215575.45079999999</v>
      </c>
      <c r="N91" s="18">
        <v>0.13919999999999999</v>
      </c>
      <c r="O91">
        <f t="shared" si="25"/>
        <v>86.27232484650547</v>
      </c>
      <c r="P91" s="18">
        <v>1.07</v>
      </c>
      <c r="Q91">
        <f t="shared" si="29"/>
        <v>2306.6573235600003</v>
      </c>
      <c r="R91" s="18">
        <v>0.1</v>
      </c>
      <c r="S91">
        <f t="shared" si="30"/>
        <v>215.5754508</v>
      </c>
      <c r="T91">
        <f t="shared" si="31"/>
        <v>10.7</v>
      </c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spans="1:46" x14ac:dyDescent="0.2">
      <c r="A92">
        <v>127</v>
      </c>
      <c r="B92" t="s">
        <v>67</v>
      </c>
      <c r="C92" t="s">
        <v>68</v>
      </c>
      <c r="D92">
        <v>22</v>
      </c>
      <c r="E92" t="s">
        <v>78</v>
      </c>
      <c r="F92" t="s">
        <v>89</v>
      </c>
      <c r="G92" t="s">
        <v>92</v>
      </c>
      <c r="H92" s="18">
        <v>269.01</v>
      </c>
      <c r="I92" s="18">
        <v>0.76271817500000005</v>
      </c>
      <c r="J92" s="18">
        <f t="shared" si="13"/>
        <v>392.69908169872417</v>
      </c>
      <c r="K92" s="18">
        <f t="shared" si="14"/>
        <v>1.9634954084936209E-3</v>
      </c>
      <c r="L92" s="18">
        <f t="shared" si="15"/>
        <v>200000</v>
      </c>
      <c r="M92" s="18">
        <f t="shared" si="28"/>
        <v>152543.63500000001</v>
      </c>
      <c r="N92" s="18">
        <v>1.1500999999999999</v>
      </c>
      <c r="O92">
        <f t="shared" si="25"/>
        <v>652.17067995055947</v>
      </c>
      <c r="P92" s="18">
        <v>3.6</v>
      </c>
      <c r="Q92">
        <f t="shared" si="29"/>
        <v>5491.5708600000007</v>
      </c>
      <c r="R92" s="18">
        <v>0.21</v>
      </c>
      <c r="S92">
        <f t="shared" si="30"/>
        <v>320.3416335</v>
      </c>
      <c r="T92">
        <f t="shared" si="31"/>
        <v>17.142857142857142</v>
      </c>
      <c r="U92" s="20">
        <v>5.2961</v>
      </c>
      <c r="V92" s="20">
        <v>0.12529999999999999</v>
      </c>
      <c r="W92" s="20">
        <v>2.4798</v>
      </c>
      <c r="X92" s="20">
        <v>2.7162000000000002</v>
      </c>
      <c r="Y92" s="20">
        <f>V92+W92+X92</f>
        <v>5.3213000000000008</v>
      </c>
      <c r="Z92" s="20">
        <v>39.200000000000003</v>
      </c>
      <c r="AA92" s="20">
        <v>0.98</v>
      </c>
      <c r="AB92" s="20">
        <v>1.53</v>
      </c>
      <c r="AC92" s="20">
        <v>0.09</v>
      </c>
      <c r="AD92" s="20">
        <v>2.11</v>
      </c>
      <c r="AE92" s="20">
        <v>0.19</v>
      </c>
      <c r="AF92" s="12">
        <f>((V92/U92)*I92)*(Z92/100)</f>
        <v>7.0736742569777761E-3</v>
      </c>
      <c r="AG92" s="12">
        <f>((V92/U92)*I92)*(AA92/100)</f>
        <v>1.7684185642444439E-4</v>
      </c>
      <c r="AH92" s="12">
        <f>((W92/U92)*I92)*(AB92/100)</f>
        <v>5.4640668632738249E-3</v>
      </c>
      <c r="AI92" s="12">
        <f>((W92/U92)*I92)*(AC92/100)</f>
        <v>3.2141569783963669E-4</v>
      </c>
      <c r="AJ92" s="12">
        <f>((X92/U92)*I92)*(AD92/100)</f>
        <v>8.2537653662749007E-3</v>
      </c>
      <c r="AK92" s="12">
        <f>((X92/U92)*I92)*(AE92/100)</f>
        <v>7.4323005667878265E-4</v>
      </c>
      <c r="AL92" s="12">
        <f t="shared" ref="AL92:AQ93" si="36">AF92*100*100*20</f>
        <v>1414.7348513955553</v>
      </c>
      <c r="AM92" s="12">
        <f t="shared" si="36"/>
        <v>35.36837128488888</v>
      </c>
      <c r="AN92" s="12">
        <f t="shared" si="36"/>
        <v>1092.8133726547651</v>
      </c>
      <c r="AO92" s="12">
        <f t="shared" si="36"/>
        <v>64.283139567927336</v>
      </c>
      <c r="AP92" s="12">
        <f t="shared" si="36"/>
        <v>1650.7530732549801</v>
      </c>
      <c r="AQ92" s="12">
        <f t="shared" si="36"/>
        <v>148.64601133575653</v>
      </c>
      <c r="AR92" s="12">
        <f>AL92+AN92</f>
        <v>2507.5482240503206</v>
      </c>
      <c r="AS92" s="12">
        <f>AP92/AN92</f>
        <v>1.5105535076358148</v>
      </c>
      <c r="AT92" s="12">
        <f>AP92/AR92</f>
        <v>0.65831358991317779</v>
      </c>
    </row>
    <row r="93" spans="1:46" x14ac:dyDescent="0.2">
      <c r="A93">
        <v>128</v>
      </c>
      <c r="B93" t="s">
        <v>67</v>
      </c>
      <c r="C93" t="s">
        <v>68</v>
      </c>
      <c r="D93">
        <v>22</v>
      </c>
      <c r="E93" t="s">
        <v>78</v>
      </c>
      <c r="F93" t="s">
        <v>90</v>
      </c>
      <c r="G93" t="s">
        <v>92</v>
      </c>
      <c r="H93" s="18">
        <v>305.25</v>
      </c>
      <c r="I93" s="18">
        <v>0.89072313400000003</v>
      </c>
      <c r="J93" s="18">
        <f t="shared" si="13"/>
        <v>392.69908169872417</v>
      </c>
      <c r="K93" s="18">
        <f t="shared" si="14"/>
        <v>1.9634954084936209E-3</v>
      </c>
      <c r="L93" s="18">
        <f t="shared" si="15"/>
        <v>200000</v>
      </c>
      <c r="M93" s="18">
        <f t="shared" si="28"/>
        <v>178144.6268</v>
      </c>
      <c r="N93" s="18">
        <v>0.93400000000000005</v>
      </c>
      <c r="O93">
        <f t="shared" si="25"/>
        <v>545.08462385323503</v>
      </c>
      <c r="P93" s="18">
        <v>1.67</v>
      </c>
      <c r="Q93">
        <f t="shared" si="29"/>
        <v>2975.0152675599998</v>
      </c>
      <c r="R93" s="18">
        <v>0.1</v>
      </c>
      <c r="S93">
        <f t="shared" si="30"/>
        <v>178.1446268</v>
      </c>
      <c r="T93">
        <f t="shared" si="31"/>
        <v>16.7</v>
      </c>
      <c r="U93" s="20">
        <v>5.8434999999999997</v>
      </c>
      <c r="V93" s="20">
        <v>6.8199999999999997E-2</v>
      </c>
      <c r="W93" s="20">
        <v>2.7867000000000002</v>
      </c>
      <c r="X93" s="20">
        <v>2.9771000000000001</v>
      </c>
      <c r="Y93" s="20">
        <f>V93+W93+X93</f>
        <v>5.8320000000000007</v>
      </c>
      <c r="Z93" s="20">
        <v>39.03</v>
      </c>
      <c r="AA93" s="20">
        <v>0.76</v>
      </c>
      <c r="AB93" s="20">
        <v>0.28999999999999998</v>
      </c>
      <c r="AC93" s="20">
        <v>0.02</v>
      </c>
      <c r="AD93" s="20">
        <v>0.82</v>
      </c>
      <c r="AE93" s="20">
        <v>0.09</v>
      </c>
      <c r="AF93" s="12">
        <f>((V93/U93)*I93)*(Z93/100)</f>
        <v>4.0574447015407963E-3</v>
      </c>
      <c r="AG93" s="12">
        <f>((V93/U93)*I93)*(AA93/100)</f>
        <v>7.900737825188329E-5</v>
      </c>
      <c r="AH93" s="12">
        <f>((W93/U93)*I93)*(AB93/100)</f>
        <v>1.2318502022420845E-3</v>
      </c>
      <c r="AI93" s="12">
        <f>((W93/U93)*I93)*(AC93/100)</f>
        <v>8.4955186361523072E-5</v>
      </c>
      <c r="AJ93" s="12">
        <f>((X93/U93)*I93)*(AD93/100)</f>
        <v>3.7211481314789901E-3</v>
      </c>
      <c r="AK93" s="12">
        <f>((X93/U93)*I93)*(AE93/100)</f>
        <v>4.0841869735745018E-4</v>
      </c>
      <c r="AL93" s="12">
        <f t="shared" si="36"/>
        <v>811.48894030815927</v>
      </c>
      <c r="AM93" s="12">
        <f t="shared" si="36"/>
        <v>15.801475650376657</v>
      </c>
      <c r="AN93" s="12">
        <f t="shared" si="36"/>
        <v>246.37004044841689</v>
      </c>
      <c r="AO93" s="12">
        <f t="shared" si="36"/>
        <v>16.991037272304613</v>
      </c>
      <c r="AP93" s="12">
        <f t="shared" si="36"/>
        <v>744.22962629579797</v>
      </c>
      <c r="AQ93" s="12">
        <f t="shared" si="36"/>
        <v>81.683739471490043</v>
      </c>
      <c r="AR93" s="12">
        <f>AL93+AN93</f>
        <v>1057.8589807565761</v>
      </c>
      <c r="AS93" s="12">
        <f>AP93/AN93</f>
        <v>3.0207797382393951</v>
      </c>
      <c r="AT93" s="12">
        <f>AP93/AR93</f>
        <v>0.70352442039441609</v>
      </c>
    </row>
    <row r="94" spans="1:46" x14ac:dyDescent="0.2">
      <c r="A94">
        <v>129</v>
      </c>
      <c r="B94" t="s">
        <v>67</v>
      </c>
      <c r="C94" t="s">
        <v>68</v>
      </c>
      <c r="D94">
        <v>22</v>
      </c>
      <c r="E94" t="s">
        <v>79</v>
      </c>
      <c r="F94" t="s">
        <v>89</v>
      </c>
      <c r="G94" t="s">
        <v>92</v>
      </c>
      <c r="H94" s="18">
        <v>269.01</v>
      </c>
      <c r="I94" s="18">
        <v>0.76271817500000005</v>
      </c>
      <c r="J94" s="18">
        <f t="shared" si="13"/>
        <v>392.69908169872417</v>
      </c>
      <c r="K94" s="18">
        <f t="shared" si="14"/>
        <v>1.9634954084936209E-3</v>
      </c>
      <c r="L94" s="18">
        <f t="shared" si="15"/>
        <v>200000</v>
      </c>
      <c r="M94" s="18">
        <f t="shared" si="28"/>
        <v>152543.63500000001</v>
      </c>
      <c r="N94" s="18" t="s">
        <v>95</v>
      </c>
      <c r="O94" t="s">
        <v>95</v>
      </c>
      <c r="P94" s="18">
        <v>2.64</v>
      </c>
      <c r="Q94">
        <f t="shared" si="29"/>
        <v>4027.1519640000001</v>
      </c>
      <c r="R94" s="18">
        <v>0.14000000000000001</v>
      </c>
      <c r="S94">
        <f t="shared" si="30"/>
        <v>213.56108900000004</v>
      </c>
      <c r="T94">
        <f t="shared" si="31"/>
        <v>18.857142857142858</v>
      </c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spans="1:46" x14ac:dyDescent="0.2">
      <c r="A95">
        <v>130</v>
      </c>
      <c r="B95" t="s">
        <v>67</v>
      </c>
      <c r="C95" t="s">
        <v>68</v>
      </c>
      <c r="D95">
        <v>22</v>
      </c>
      <c r="E95" t="s">
        <v>79</v>
      </c>
      <c r="F95" t="s">
        <v>90</v>
      </c>
      <c r="G95" t="s">
        <v>92</v>
      </c>
      <c r="H95" s="18">
        <v>305.25</v>
      </c>
      <c r="I95" s="18">
        <v>0.89072313400000003</v>
      </c>
      <c r="J95" s="18">
        <f t="shared" ref="J95:J109" si="37">PI()*(2.5^2)*20</f>
        <v>392.69908169872417</v>
      </c>
      <c r="K95" s="18">
        <f t="shared" ref="K95:K109" si="38">PI()*(0.025^2)</f>
        <v>1.9634954084936209E-3</v>
      </c>
      <c r="L95" s="18">
        <f t="shared" ref="L95:L109" si="39">J95/K95</f>
        <v>200000</v>
      </c>
      <c r="M95" s="18">
        <f t="shared" si="28"/>
        <v>178144.6268</v>
      </c>
      <c r="N95" s="18">
        <v>0.2346</v>
      </c>
      <c r="O95">
        <f t="shared" ref="O95:O109" si="40">N95*M95/H95</f>
        <v>136.91311858240786</v>
      </c>
      <c r="P95" s="18">
        <v>1.1200000000000001</v>
      </c>
      <c r="Q95">
        <f t="shared" si="29"/>
        <v>1995.2198201600004</v>
      </c>
      <c r="R95" s="18">
        <v>0.08</v>
      </c>
      <c r="S95">
        <f t="shared" si="30"/>
        <v>142.51570144000002</v>
      </c>
      <c r="T95">
        <f t="shared" si="31"/>
        <v>14.000000000000002</v>
      </c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spans="1:46" x14ac:dyDescent="0.2">
      <c r="A96">
        <v>131</v>
      </c>
      <c r="B96" t="s">
        <v>67</v>
      </c>
      <c r="C96" t="s">
        <v>68</v>
      </c>
      <c r="D96">
        <v>22</v>
      </c>
      <c r="E96" t="s">
        <v>80</v>
      </c>
      <c r="F96" t="s">
        <v>89</v>
      </c>
      <c r="G96" t="s">
        <v>92</v>
      </c>
      <c r="H96" s="18">
        <v>269.01</v>
      </c>
      <c r="I96" s="18">
        <v>0.76271817500000005</v>
      </c>
      <c r="J96" s="18">
        <f t="shared" si="37"/>
        <v>392.69908169872417</v>
      </c>
      <c r="K96" s="18">
        <f t="shared" si="38"/>
        <v>1.9634954084936209E-3</v>
      </c>
      <c r="L96" s="18">
        <f t="shared" si="39"/>
        <v>200000</v>
      </c>
      <c r="M96" s="18">
        <f t="shared" si="28"/>
        <v>152543.63500000001</v>
      </c>
      <c r="N96" s="18">
        <v>0.39729999999999999</v>
      </c>
      <c r="O96">
        <f t="shared" si="40"/>
        <v>225.29120176015763</v>
      </c>
      <c r="P96" s="18">
        <v>4.03</v>
      </c>
      <c r="Q96">
        <f t="shared" si="29"/>
        <v>6147.5084905000003</v>
      </c>
      <c r="R96" s="18">
        <v>0.19</v>
      </c>
      <c r="S96">
        <f t="shared" si="30"/>
        <v>289.83290650000004</v>
      </c>
      <c r="T96">
        <f t="shared" si="31"/>
        <v>21.210526315789476</v>
      </c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spans="1:46" x14ac:dyDescent="0.2">
      <c r="A97">
        <v>132</v>
      </c>
      <c r="B97" t="s">
        <v>67</v>
      </c>
      <c r="C97" t="s">
        <v>68</v>
      </c>
      <c r="D97">
        <v>22</v>
      </c>
      <c r="E97" t="s">
        <v>80</v>
      </c>
      <c r="F97" t="s">
        <v>90</v>
      </c>
      <c r="G97" t="s">
        <v>92</v>
      </c>
      <c r="H97" s="18">
        <v>305.25</v>
      </c>
      <c r="I97" s="18">
        <v>0.89072313400000003</v>
      </c>
      <c r="J97" s="18">
        <f t="shared" si="37"/>
        <v>392.69908169872417</v>
      </c>
      <c r="K97" s="18">
        <f t="shared" si="38"/>
        <v>1.9634954084936209E-3</v>
      </c>
      <c r="L97" s="18">
        <f t="shared" si="39"/>
        <v>200000</v>
      </c>
      <c r="M97" s="18">
        <f t="shared" si="28"/>
        <v>178144.6268</v>
      </c>
      <c r="N97" s="18">
        <v>0.18</v>
      </c>
      <c r="O97">
        <f t="shared" si="40"/>
        <v>105.04842857985257</v>
      </c>
      <c r="P97" s="18">
        <v>1.17</v>
      </c>
      <c r="Q97">
        <f t="shared" si="29"/>
        <v>2084.2921335599999</v>
      </c>
      <c r="R97" s="18">
        <v>0.08</v>
      </c>
      <c r="S97">
        <f t="shared" si="30"/>
        <v>142.51570144000002</v>
      </c>
      <c r="T97">
        <f t="shared" si="31"/>
        <v>14.624999999999998</v>
      </c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spans="1:46" x14ac:dyDescent="0.2">
      <c r="A98">
        <v>133</v>
      </c>
      <c r="B98" t="s">
        <v>67</v>
      </c>
      <c r="C98" t="s">
        <v>68</v>
      </c>
      <c r="D98">
        <v>23</v>
      </c>
      <c r="E98" t="s">
        <v>81</v>
      </c>
      <c r="F98" t="s">
        <v>89</v>
      </c>
      <c r="G98" t="s">
        <v>92</v>
      </c>
      <c r="H98" s="18">
        <v>359.06</v>
      </c>
      <c r="I98" s="18">
        <v>0.976505022</v>
      </c>
      <c r="J98" s="18">
        <f t="shared" si="37"/>
        <v>392.69908169872417</v>
      </c>
      <c r="K98" s="18">
        <f t="shared" si="38"/>
        <v>1.9634954084936209E-3</v>
      </c>
      <c r="L98" s="18">
        <f t="shared" si="39"/>
        <v>200000</v>
      </c>
      <c r="M98" s="18">
        <f t="shared" ref="M98:M109" si="41">I98*L98</f>
        <v>195301.00440000001</v>
      </c>
      <c r="N98" s="18">
        <v>0.50639999999999996</v>
      </c>
      <c r="O98">
        <f t="shared" si="40"/>
        <v>275.44262415239791</v>
      </c>
      <c r="P98" s="18">
        <v>1.5</v>
      </c>
      <c r="Q98">
        <f t="shared" ref="Q98:Q129" si="42">M98*(P98/100)</f>
        <v>2929.5150659999999</v>
      </c>
      <c r="R98" s="18">
        <v>0.12</v>
      </c>
      <c r="S98">
        <f t="shared" ref="S98:S129" si="43">M98*(R98/100)</f>
        <v>234.36120527999998</v>
      </c>
      <c r="T98">
        <f t="shared" ref="T98:T129" si="44">P98/R98</f>
        <v>12.5</v>
      </c>
      <c r="U98" s="20">
        <v>5.6813000000000002</v>
      </c>
      <c r="V98" s="20">
        <v>9.8599999999999993E-2</v>
      </c>
      <c r="W98" s="20">
        <v>1.8883000000000001</v>
      </c>
      <c r="X98" s="20">
        <v>3.7111999999999998</v>
      </c>
      <c r="Y98" s="20">
        <f>V98+W98+X98</f>
        <v>5.6981000000000002</v>
      </c>
      <c r="Z98" s="20">
        <v>39.39</v>
      </c>
      <c r="AA98" s="20">
        <v>1.05</v>
      </c>
      <c r="AB98" s="20">
        <v>4.18</v>
      </c>
      <c r="AC98" s="20">
        <v>0.19</v>
      </c>
      <c r="AD98" s="20">
        <v>2.0699999999999998</v>
      </c>
      <c r="AE98" s="20">
        <v>0.13</v>
      </c>
      <c r="AF98" s="12">
        <f>((V98/U98)*I98)*(Z98/100)</f>
        <v>6.6755899806642633E-3</v>
      </c>
      <c r="AG98" s="12">
        <f>((V98/U98)*I98)*(AA98/100)</f>
        <v>1.7794794312509462E-4</v>
      </c>
      <c r="AH98" s="12">
        <f>((W98/U98)*I98)*(AB98/100)</f>
        <v>1.35666941195115E-2</v>
      </c>
      <c r="AI98" s="12">
        <f>((W98/U98)*I98)*(AC98/100)</f>
        <v>6.1666791452324999E-4</v>
      </c>
      <c r="AJ98" s="12">
        <f>((X98/U98)*I98)*(AD98/100)</f>
        <v>1.3204180831725216E-2</v>
      </c>
      <c r="AK98" s="12">
        <f>((X98/U98)*I98)*(AE98/100)</f>
        <v>8.2924807155762223E-4</v>
      </c>
      <c r="AL98" s="12">
        <f t="shared" ref="AL98:AQ98" si="45">AF98*100*100*20</f>
        <v>1335.1179961328526</v>
      </c>
      <c r="AM98" s="12">
        <f t="shared" si="45"/>
        <v>35.589588625018919</v>
      </c>
      <c r="AN98" s="12">
        <f t="shared" si="45"/>
        <v>2713.3388239022997</v>
      </c>
      <c r="AO98" s="12">
        <f t="shared" si="45"/>
        <v>123.33358290464999</v>
      </c>
      <c r="AP98" s="12">
        <f t="shared" si="45"/>
        <v>2640.8361663450432</v>
      </c>
      <c r="AQ98" s="12">
        <f t="shared" si="45"/>
        <v>165.84961431152442</v>
      </c>
      <c r="AR98" s="12">
        <f>AL98+AN98</f>
        <v>4048.4568200351523</v>
      </c>
      <c r="AS98" s="12">
        <f>AP98/AN98</f>
        <v>0.97327917290735411</v>
      </c>
      <c r="AT98" s="12">
        <f>AP98/AR98</f>
        <v>0.6523068625249937</v>
      </c>
    </row>
    <row r="99" spans="1:46" x14ac:dyDescent="0.2">
      <c r="A99">
        <v>134</v>
      </c>
      <c r="B99" t="s">
        <v>67</v>
      </c>
      <c r="C99" t="s">
        <v>68</v>
      </c>
      <c r="D99">
        <v>23</v>
      </c>
      <c r="E99" t="s">
        <v>81</v>
      </c>
      <c r="F99" t="s">
        <v>90</v>
      </c>
      <c r="G99" t="s">
        <v>92</v>
      </c>
      <c r="H99" s="18">
        <v>395.68</v>
      </c>
      <c r="I99" s="18">
        <v>1.15459895</v>
      </c>
      <c r="J99" s="18">
        <f t="shared" si="37"/>
        <v>392.69908169872417</v>
      </c>
      <c r="K99" s="18">
        <f t="shared" si="38"/>
        <v>1.9634954084936209E-3</v>
      </c>
      <c r="L99" s="18">
        <f t="shared" si="39"/>
        <v>200000</v>
      </c>
      <c r="M99" s="18">
        <f t="shared" si="41"/>
        <v>230919.79</v>
      </c>
      <c r="N99" s="18">
        <v>0.1663</v>
      </c>
      <c r="O99">
        <f t="shared" si="40"/>
        <v>97.053075912353421</v>
      </c>
      <c r="P99" s="18">
        <v>0.68</v>
      </c>
      <c r="Q99">
        <f t="shared" si="42"/>
        <v>1570.2545720000003</v>
      </c>
      <c r="R99" s="18">
        <v>0.08</v>
      </c>
      <c r="S99">
        <f t="shared" si="43"/>
        <v>184.73583200000002</v>
      </c>
      <c r="T99">
        <f t="shared" si="44"/>
        <v>8.5</v>
      </c>
      <c r="U99" s="20">
        <v>5.1372999999999998</v>
      </c>
      <c r="V99" s="20">
        <v>2.53E-2</v>
      </c>
      <c r="W99" s="20">
        <v>1.4942</v>
      </c>
      <c r="X99" s="20">
        <v>3.5539000000000001</v>
      </c>
      <c r="Y99" s="20">
        <f>V99+W99+X99</f>
        <v>5.0734000000000004</v>
      </c>
      <c r="Z99" s="21" t="s">
        <v>95</v>
      </c>
      <c r="AA99" s="21" t="s">
        <v>95</v>
      </c>
      <c r="AB99" s="20">
        <v>0.14000000000000001</v>
      </c>
      <c r="AC99" s="20">
        <v>0.02</v>
      </c>
      <c r="AD99" s="20">
        <v>0.56999999999999995</v>
      </c>
      <c r="AE99" s="20">
        <v>0.06</v>
      </c>
      <c r="AF99" s="12" t="s">
        <v>95</v>
      </c>
      <c r="AG99" s="12" t="s">
        <v>95</v>
      </c>
      <c r="AH99" s="12">
        <f>((W99/U99)*I99)*(AB99/100)</f>
        <v>4.7014627363128501E-4</v>
      </c>
      <c r="AI99" s="12">
        <f>((W99/U99)*I99)*(AC99/100)</f>
        <v>6.7163753375897847E-5</v>
      </c>
      <c r="AJ99" s="12">
        <f>((X99/U99)*I99)*(AD99/100)</f>
        <v>4.5527760667877096E-3</v>
      </c>
      <c r="AK99" s="12">
        <f>((X99/U99)*I99)*(AE99/100)</f>
        <v>4.7923958597765367E-4</v>
      </c>
      <c r="AL99" s="12" t="s">
        <v>95</v>
      </c>
      <c r="AM99" s="12" t="s">
        <v>95</v>
      </c>
      <c r="AN99" s="12">
        <f>AH99*100*100*20</f>
        <v>94.029254726256994</v>
      </c>
      <c r="AO99" s="12">
        <f>AI99*100*100*20</f>
        <v>13.432750675179568</v>
      </c>
      <c r="AP99" s="12">
        <f>AJ99*100*100*20</f>
        <v>910.5552133575419</v>
      </c>
      <c r="AQ99" s="12">
        <f>AK99*100*100*20</f>
        <v>95.847917195530741</v>
      </c>
      <c r="AR99" s="12">
        <f>AN99</f>
        <v>94.029254726256994</v>
      </c>
      <c r="AS99" s="12">
        <f>AP99/AN99</f>
        <v>9.6837438093963311</v>
      </c>
      <c r="AT99" s="12">
        <f>AP99/AR99</f>
        <v>9.6837438093963311</v>
      </c>
    </row>
    <row r="100" spans="1:46" x14ac:dyDescent="0.2">
      <c r="A100">
        <v>135</v>
      </c>
      <c r="B100" t="s">
        <v>67</v>
      </c>
      <c r="C100" t="s">
        <v>68</v>
      </c>
      <c r="D100">
        <v>23</v>
      </c>
      <c r="E100" t="s">
        <v>82</v>
      </c>
      <c r="F100" t="s">
        <v>89</v>
      </c>
      <c r="G100" t="s">
        <v>92</v>
      </c>
      <c r="H100" s="18">
        <v>359.06</v>
      </c>
      <c r="I100" s="18">
        <v>0.976505022</v>
      </c>
      <c r="J100" s="18">
        <f t="shared" si="37"/>
        <v>392.69908169872417</v>
      </c>
      <c r="K100" s="18">
        <f t="shared" si="38"/>
        <v>1.9634954084936209E-3</v>
      </c>
      <c r="L100" s="18">
        <f t="shared" si="39"/>
        <v>200000</v>
      </c>
      <c r="M100" s="18">
        <f t="shared" si="41"/>
        <v>195301.00440000001</v>
      </c>
      <c r="N100" s="18">
        <v>0.92069999999999996</v>
      </c>
      <c r="O100">
        <f t="shared" si="40"/>
        <v>500.78993692162874</v>
      </c>
      <c r="P100" s="18">
        <v>2.93</v>
      </c>
      <c r="Q100">
        <f t="shared" si="42"/>
        <v>5722.319428920001</v>
      </c>
      <c r="R100" s="18">
        <v>0.2</v>
      </c>
      <c r="S100">
        <f t="shared" si="43"/>
        <v>390.60200880000002</v>
      </c>
      <c r="T100">
        <f t="shared" si="44"/>
        <v>14.65</v>
      </c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spans="1:46" x14ac:dyDescent="0.2">
      <c r="A101">
        <v>136</v>
      </c>
      <c r="B101" t="s">
        <v>67</v>
      </c>
      <c r="C101" t="s">
        <v>68</v>
      </c>
      <c r="D101">
        <v>23</v>
      </c>
      <c r="E101" t="s">
        <v>82</v>
      </c>
      <c r="F101" t="s">
        <v>90</v>
      </c>
      <c r="G101" t="s">
        <v>92</v>
      </c>
      <c r="H101" s="18">
        <v>395.68</v>
      </c>
      <c r="I101" s="18">
        <v>1.15459895</v>
      </c>
      <c r="J101" s="18">
        <f t="shared" si="37"/>
        <v>392.69908169872417</v>
      </c>
      <c r="K101" s="18">
        <f t="shared" si="38"/>
        <v>1.9634954084936209E-3</v>
      </c>
      <c r="L101" s="18">
        <f t="shared" si="39"/>
        <v>200000</v>
      </c>
      <c r="M101" s="18">
        <f t="shared" si="41"/>
        <v>230919.79</v>
      </c>
      <c r="N101" s="18">
        <v>0.2031</v>
      </c>
      <c r="O101">
        <f t="shared" si="40"/>
        <v>118.52964352254348</v>
      </c>
      <c r="P101" s="18">
        <v>1.52</v>
      </c>
      <c r="Q101">
        <f t="shared" si="42"/>
        <v>3509.9808080000003</v>
      </c>
      <c r="R101" s="18">
        <v>0.12</v>
      </c>
      <c r="S101">
        <f t="shared" si="43"/>
        <v>277.103748</v>
      </c>
      <c r="T101">
        <f t="shared" si="44"/>
        <v>12.666666666666668</v>
      </c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spans="1:46" x14ac:dyDescent="0.2">
      <c r="A102">
        <v>137</v>
      </c>
      <c r="B102" t="s">
        <v>67</v>
      </c>
      <c r="C102" t="s">
        <v>68</v>
      </c>
      <c r="D102">
        <v>23</v>
      </c>
      <c r="E102" t="s">
        <v>83</v>
      </c>
      <c r="F102" t="s">
        <v>89</v>
      </c>
      <c r="G102" t="s">
        <v>92</v>
      </c>
      <c r="H102" s="18">
        <v>359.06</v>
      </c>
      <c r="I102" s="18">
        <v>0.976505022</v>
      </c>
      <c r="J102" s="18">
        <f t="shared" si="37"/>
        <v>392.69908169872417</v>
      </c>
      <c r="K102" s="18">
        <f t="shared" si="38"/>
        <v>1.9634954084936209E-3</v>
      </c>
      <c r="L102" s="18">
        <f t="shared" si="39"/>
        <v>200000</v>
      </c>
      <c r="M102" s="18">
        <f t="shared" si="41"/>
        <v>195301.00440000001</v>
      </c>
      <c r="N102" s="18">
        <v>0.82089999999999996</v>
      </c>
      <c r="O102">
        <f t="shared" si="40"/>
        <v>446.50641818069403</v>
      </c>
      <c r="P102" s="18">
        <v>2.36</v>
      </c>
      <c r="Q102">
        <f t="shared" si="42"/>
        <v>4609.10370384</v>
      </c>
      <c r="R102" s="18">
        <v>0.16</v>
      </c>
      <c r="S102">
        <f t="shared" si="43"/>
        <v>312.48160704000003</v>
      </c>
      <c r="T102">
        <f t="shared" si="44"/>
        <v>14.749999999999998</v>
      </c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spans="1:46" x14ac:dyDescent="0.2">
      <c r="A103">
        <v>138</v>
      </c>
      <c r="B103" t="s">
        <v>67</v>
      </c>
      <c r="C103" t="s">
        <v>68</v>
      </c>
      <c r="D103">
        <v>23</v>
      </c>
      <c r="E103" t="s">
        <v>83</v>
      </c>
      <c r="F103" t="s">
        <v>90</v>
      </c>
      <c r="G103" t="s">
        <v>92</v>
      </c>
      <c r="H103" s="18">
        <v>395.68</v>
      </c>
      <c r="I103" s="18">
        <v>1.15459895</v>
      </c>
      <c r="J103" s="18">
        <f t="shared" si="37"/>
        <v>392.69908169872417</v>
      </c>
      <c r="K103" s="18">
        <f t="shared" si="38"/>
        <v>1.9634954084936209E-3</v>
      </c>
      <c r="L103" s="18">
        <f t="shared" si="39"/>
        <v>200000</v>
      </c>
      <c r="M103" s="18">
        <f t="shared" si="41"/>
        <v>230919.79</v>
      </c>
      <c r="N103" s="18">
        <v>0.16539999999999999</v>
      </c>
      <c r="O103">
        <f t="shared" si="40"/>
        <v>96.527833769712885</v>
      </c>
      <c r="P103" s="18">
        <v>0.74</v>
      </c>
      <c r="Q103">
        <f t="shared" si="42"/>
        <v>1708.8064460000001</v>
      </c>
      <c r="R103" s="18">
        <v>0.08</v>
      </c>
      <c r="S103">
        <f t="shared" si="43"/>
        <v>184.73583200000002</v>
      </c>
      <c r="T103">
        <f t="shared" si="44"/>
        <v>9.25</v>
      </c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spans="1:46" x14ac:dyDescent="0.2">
      <c r="A104">
        <v>139</v>
      </c>
      <c r="B104" t="s">
        <v>67</v>
      </c>
      <c r="C104" t="s">
        <v>84</v>
      </c>
      <c r="D104">
        <v>24</v>
      </c>
      <c r="E104" t="s">
        <v>85</v>
      </c>
      <c r="F104" t="s">
        <v>89</v>
      </c>
      <c r="G104" t="s">
        <v>92</v>
      </c>
      <c r="H104" s="18">
        <v>202.93</v>
      </c>
      <c r="I104" s="18">
        <v>0.55949962499999994</v>
      </c>
      <c r="J104" s="18">
        <f t="shared" si="37"/>
        <v>392.69908169872417</v>
      </c>
      <c r="K104" s="18">
        <f t="shared" si="38"/>
        <v>1.9634954084936209E-3</v>
      </c>
      <c r="L104" s="18">
        <f t="shared" si="39"/>
        <v>200000</v>
      </c>
      <c r="M104" s="18">
        <f t="shared" si="41"/>
        <v>111899.92499999999</v>
      </c>
      <c r="N104" s="18">
        <v>0.92710000000000004</v>
      </c>
      <c r="O104">
        <f t="shared" si="40"/>
        <v>511.22268993002507</v>
      </c>
      <c r="P104" s="18">
        <v>4.82</v>
      </c>
      <c r="Q104">
        <f t="shared" si="42"/>
        <v>5393.5763849999994</v>
      </c>
      <c r="R104" s="18">
        <v>0.19</v>
      </c>
      <c r="S104">
        <f t="shared" si="43"/>
        <v>212.60985749999998</v>
      </c>
      <c r="T104">
        <f t="shared" si="44"/>
        <v>25.368421052631579</v>
      </c>
      <c r="U104" s="20">
        <v>5.8586999999999998</v>
      </c>
      <c r="V104" s="20">
        <v>0.46379999999999999</v>
      </c>
      <c r="W104" s="20">
        <v>1.4587000000000001</v>
      </c>
      <c r="X104" s="20">
        <v>4.0201000000000002</v>
      </c>
      <c r="Y104" s="20">
        <f>V104+W104+X104</f>
        <v>5.9426000000000005</v>
      </c>
      <c r="Z104" s="20">
        <v>35.340000000000003</v>
      </c>
      <c r="AA104" s="20">
        <v>1.07</v>
      </c>
      <c r="AB104" s="20">
        <v>1.64</v>
      </c>
      <c r="AC104" s="20">
        <v>0.1</v>
      </c>
      <c r="AD104" s="20">
        <v>3.14</v>
      </c>
      <c r="AE104" s="20">
        <v>0.27</v>
      </c>
      <c r="AF104" s="12">
        <f>((V104/U104)*I104)*(Z104/100)</f>
        <v>1.5652936705225561E-2</v>
      </c>
      <c r="AG104" s="12">
        <f>((V104/U104)*I104)*(AA104/100)</f>
        <v>4.7392875706257358E-4</v>
      </c>
      <c r="AH104" s="12">
        <f>((W104/U104)*I104)*(AB104/100)</f>
        <v>2.2845905216165698E-3</v>
      </c>
      <c r="AI104" s="12">
        <f>((W104/U104)*I104)*(AC104/100)</f>
        <v>1.3930430009857135E-4</v>
      </c>
      <c r="AJ104" s="12">
        <f>((X104/U104)*I104)*(AD104/100)</f>
        <v>1.2054939746585848E-2</v>
      </c>
      <c r="AK104" s="12">
        <f>((X104/U104)*I104)*(AE104/100)</f>
        <v>1.0365712520949612E-3</v>
      </c>
      <c r="AL104" s="12">
        <f t="shared" ref="AL104:AQ105" si="46">AF104*100*100*20</f>
        <v>3130.5873410451122</v>
      </c>
      <c r="AM104" s="12">
        <f t="shared" si="46"/>
        <v>94.785751412514713</v>
      </c>
      <c r="AN104" s="12">
        <f t="shared" si="46"/>
        <v>456.91810432331403</v>
      </c>
      <c r="AO104" s="12">
        <f t="shared" si="46"/>
        <v>27.86086001971427</v>
      </c>
      <c r="AP104" s="12">
        <f t="shared" si="46"/>
        <v>2410.9879493171693</v>
      </c>
      <c r="AQ104" s="12">
        <f t="shared" si="46"/>
        <v>207.31425041899226</v>
      </c>
      <c r="AR104" s="12">
        <f>AL104+AN104</f>
        <v>3587.5054453684261</v>
      </c>
      <c r="AS104" s="12">
        <f>AP104/AN104</f>
        <v>5.2766303775329524</v>
      </c>
      <c r="AT104" s="12">
        <f>AP104/AR104</f>
        <v>0.67205136996511738</v>
      </c>
    </row>
    <row r="105" spans="1:46" x14ac:dyDescent="0.2">
      <c r="A105">
        <v>140</v>
      </c>
      <c r="B105" t="s">
        <v>67</v>
      </c>
      <c r="C105" t="s">
        <v>84</v>
      </c>
      <c r="D105">
        <v>24</v>
      </c>
      <c r="E105" t="s">
        <v>85</v>
      </c>
      <c r="F105" t="s">
        <v>90</v>
      </c>
      <c r="G105" t="s">
        <v>92</v>
      </c>
      <c r="H105" s="18">
        <v>384.72</v>
      </c>
      <c r="I105" s="18">
        <v>1.0907882099999999</v>
      </c>
      <c r="J105" s="18">
        <f t="shared" si="37"/>
        <v>392.69908169872417</v>
      </c>
      <c r="K105" s="18">
        <f t="shared" si="38"/>
        <v>1.9634954084936209E-3</v>
      </c>
      <c r="L105" s="18">
        <f t="shared" si="39"/>
        <v>200000</v>
      </c>
      <c r="M105" s="18">
        <f t="shared" si="41"/>
        <v>218157.64199999999</v>
      </c>
      <c r="N105" s="18">
        <v>1.0159</v>
      </c>
      <c r="O105">
        <f t="shared" si="40"/>
        <v>576.07181458671232</v>
      </c>
      <c r="P105" s="18">
        <v>1.31</v>
      </c>
      <c r="Q105">
        <f t="shared" si="42"/>
        <v>2857.8651101999999</v>
      </c>
      <c r="R105" s="18">
        <v>0.08</v>
      </c>
      <c r="S105">
        <f t="shared" si="43"/>
        <v>174.5261136</v>
      </c>
      <c r="T105">
        <f t="shared" si="44"/>
        <v>16.375</v>
      </c>
      <c r="U105" s="20">
        <v>5.3654999999999999</v>
      </c>
      <c r="V105" s="20">
        <v>3.8800000000000001E-2</v>
      </c>
      <c r="W105" s="20">
        <v>0.35089999999999999</v>
      </c>
      <c r="X105" s="20">
        <v>4.8949999999999996</v>
      </c>
      <c r="Y105" s="20">
        <f>V105+W105+X105</f>
        <v>5.2847</v>
      </c>
      <c r="Z105" s="20">
        <v>44.8</v>
      </c>
      <c r="AA105" s="20">
        <v>0.71</v>
      </c>
      <c r="AB105" s="20">
        <v>0.47</v>
      </c>
      <c r="AC105" s="20">
        <v>0.03</v>
      </c>
      <c r="AD105" s="20">
        <v>0.86</v>
      </c>
      <c r="AE105" s="20">
        <v>0.09</v>
      </c>
      <c r="AF105" s="12">
        <f>((V105/U105)*I105)*(Z105/100)</f>
        <v>3.5337838004853225E-3</v>
      </c>
      <c r="AG105" s="12">
        <f>((V105/U105)*I105)*(AA105/100)</f>
        <v>5.600416290947721E-5</v>
      </c>
      <c r="AH105" s="12">
        <f>((W105/U105)*I105)*(AB105/100)</f>
        <v>3.3528294466094491E-4</v>
      </c>
      <c r="AI105" s="12">
        <f>((W105/U105)*I105)*(AC105/100)</f>
        <v>2.1401039020911377E-5</v>
      </c>
      <c r="AJ105" s="12">
        <f>((X105/U105)*I105)*(AD105/100)</f>
        <v>8.5581793451439733E-3</v>
      </c>
      <c r="AK105" s="12">
        <f>((X105/U105)*I105)*(AE105/100)</f>
        <v>8.9562341984064837E-4</v>
      </c>
      <c r="AL105" s="12">
        <f t="shared" si="46"/>
        <v>706.75676009706444</v>
      </c>
      <c r="AM105" s="12">
        <f t="shared" si="46"/>
        <v>11.20083258189544</v>
      </c>
      <c r="AN105" s="12">
        <f t="shared" si="46"/>
        <v>67.056588932188973</v>
      </c>
      <c r="AO105" s="12">
        <f t="shared" si="46"/>
        <v>4.2802078041822753</v>
      </c>
      <c r="AP105" s="12">
        <f t="shared" si="46"/>
        <v>1711.6358690287948</v>
      </c>
      <c r="AQ105" s="12">
        <f t="shared" si="46"/>
        <v>179.12468396812966</v>
      </c>
      <c r="AR105" s="12">
        <f>AL105+AN105</f>
        <v>773.81334902925346</v>
      </c>
      <c r="AS105" s="12">
        <f>AP105/AN105</f>
        <v>25.525245114386713</v>
      </c>
      <c r="AT105" s="12">
        <f>AP105/AR105</f>
        <v>2.2119492655122026</v>
      </c>
    </row>
    <row r="106" spans="1:46" x14ac:dyDescent="0.2">
      <c r="A106">
        <v>141</v>
      </c>
      <c r="B106" t="s">
        <v>67</v>
      </c>
      <c r="C106" t="s">
        <v>84</v>
      </c>
      <c r="D106">
        <v>24</v>
      </c>
      <c r="E106" t="s">
        <v>86</v>
      </c>
      <c r="F106" t="s">
        <v>89</v>
      </c>
      <c r="G106" t="s">
        <v>92</v>
      </c>
      <c r="H106" s="18">
        <v>202.93</v>
      </c>
      <c r="I106" s="18">
        <v>0.55949962499999994</v>
      </c>
      <c r="J106" s="18">
        <f t="shared" si="37"/>
        <v>392.69908169872417</v>
      </c>
      <c r="K106" s="18">
        <f t="shared" si="38"/>
        <v>1.9634954084936209E-3</v>
      </c>
      <c r="L106" s="18">
        <f t="shared" si="39"/>
        <v>200000</v>
      </c>
      <c r="M106" s="18">
        <f t="shared" si="41"/>
        <v>111899.92499999999</v>
      </c>
      <c r="N106" s="18">
        <v>0.77649999999999997</v>
      </c>
      <c r="O106">
        <f t="shared" si="40"/>
        <v>428.17864171142747</v>
      </c>
      <c r="P106" s="18">
        <v>3.33</v>
      </c>
      <c r="Q106">
        <f t="shared" si="42"/>
        <v>3726.2675024999999</v>
      </c>
      <c r="R106" s="18">
        <v>0.16</v>
      </c>
      <c r="S106">
        <f t="shared" si="43"/>
        <v>179.03987999999998</v>
      </c>
      <c r="T106">
        <f t="shared" si="44"/>
        <v>20.8125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spans="1:46" x14ac:dyDescent="0.2">
      <c r="A107">
        <v>142</v>
      </c>
      <c r="B107" t="s">
        <v>67</v>
      </c>
      <c r="C107" t="s">
        <v>84</v>
      </c>
      <c r="D107">
        <v>24</v>
      </c>
      <c r="E107" t="s">
        <v>86</v>
      </c>
      <c r="F107" t="s">
        <v>90</v>
      </c>
      <c r="G107" t="s">
        <v>92</v>
      </c>
      <c r="H107" s="18">
        <v>384.72</v>
      </c>
      <c r="I107" s="18">
        <v>1.0907882099999999</v>
      </c>
      <c r="J107" s="18">
        <f t="shared" si="37"/>
        <v>392.69908169872417</v>
      </c>
      <c r="K107" s="18">
        <f t="shared" si="38"/>
        <v>1.9634954084936209E-3</v>
      </c>
      <c r="L107" s="18">
        <f t="shared" si="39"/>
        <v>200000</v>
      </c>
      <c r="M107" s="18">
        <f t="shared" si="41"/>
        <v>218157.64199999999</v>
      </c>
      <c r="N107" s="18">
        <v>9.0499999999999997E-2</v>
      </c>
      <c r="O107">
        <f t="shared" si="40"/>
        <v>51.318534521210225</v>
      </c>
      <c r="P107" s="18">
        <v>0.68</v>
      </c>
      <c r="Q107">
        <f t="shared" si="42"/>
        <v>1483.4719656</v>
      </c>
      <c r="R107" s="18">
        <v>7.0000000000000007E-2</v>
      </c>
      <c r="S107">
        <f t="shared" si="43"/>
        <v>152.71034940000001</v>
      </c>
      <c r="T107">
        <f t="shared" si="44"/>
        <v>9.7142857142857135</v>
      </c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spans="1:46" x14ac:dyDescent="0.2">
      <c r="A108">
        <v>143</v>
      </c>
      <c r="B108" t="s">
        <v>67</v>
      </c>
      <c r="C108" t="s">
        <v>84</v>
      </c>
      <c r="D108">
        <v>24</v>
      </c>
      <c r="E108" t="s">
        <v>87</v>
      </c>
      <c r="F108" t="s">
        <v>89</v>
      </c>
      <c r="G108" t="s">
        <v>92</v>
      </c>
      <c r="H108" s="18">
        <v>202.93</v>
      </c>
      <c r="I108" s="18">
        <v>0.55949962499999994</v>
      </c>
      <c r="J108" s="18">
        <f t="shared" si="37"/>
        <v>392.69908169872417</v>
      </c>
      <c r="K108" s="18">
        <f t="shared" si="38"/>
        <v>1.9634954084936209E-3</v>
      </c>
      <c r="L108" s="18">
        <f t="shared" si="39"/>
        <v>200000</v>
      </c>
      <c r="M108" s="18">
        <f t="shared" si="41"/>
        <v>111899.92499999999</v>
      </c>
      <c r="N108" s="18">
        <v>1.3900999999999999</v>
      </c>
      <c r="O108">
        <f t="shared" si="40"/>
        <v>766.5307531784357</v>
      </c>
      <c r="P108" s="18">
        <v>3.9</v>
      </c>
      <c r="Q108">
        <f t="shared" si="42"/>
        <v>4364.0970749999997</v>
      </c>
      <c r="R108" s="18">
        <v>0.2</v>
      </c>
      <c r="S108">
        <f t="shared" si="43"/>
        <v>223.79984999999999</v>
      </c>
      <c r="T108">
        <f t="shared" si="44"/>
        <v>19.5</v>
      </c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spans="1:46" x14ac:dyDescent="0.2">
      <c r="A109">
        <v>144</v>
      </c>
      <c r="B109" t="s">
        <v>67</v>
      </c>
      <c r="C109" t="s">
        <v>84</v>
      </c>
      <c r="D109">
        <v>24</v>
      </c>
      <c r="E109" t="s">
        <v>87</v>
      </c>
      <c r="F109" t="s">
        <v>90</v>
      </c>
      <c r="G109" t="s">
        <v>92</v>
      </c>
      <c r="H109" s="18">
        <v>384.72</v>
      </c>
      <c r="I109" s="18">
        <v>1.0907882099999999</v>
      </c>
      <c r="J109" s="18">
        <f t="shared" si="37"/>
        <v>392.69908169872417</v>
      </c>
      <c r="K109" s="18">
        <f t="shared" si="38"/>
        <v>1.9634954084936209E-3</v>
      </c>
      <c r="L109" s="18">
        <f t="shared" si="39"/>
        <v>200000</v>
      </c>
      <c r="M109" s="18">
        <f t="shared" si="41"/>
        <v>218157.64199999999</v>
      </c>
      <c r="N109" s="18">
        <v>0.89659999999999995</v>
      </c>
      <c r="O109">
        <f t="shared" si="40"/>
        <v>508.42207791952575</v>
      </c>
      <c r="P109" s="18">
        <v>0.99</v>
      </c>
      <c r="Q109">
        <f t="shared" si="42"/>
        <v>2159.7606557999998</v>
      </c>
      <c r="R109" s="18">
        <v>0.08</v>
      </c>
      <c r="S109">
        <f t="shared" si="43"/>
        <v>174.5261136</v>
      </c>
      <c r="T109">
        <f t="shared" si="44"/>
        <v>12.375</v>
      </c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spans="1:46" x14ac:dyDescent="0.2">
      <c r="A110">
        <v>199</v>
      </c>
      <c r="B110" t="s">
        <v>26</v>
      </c>
      <c r="C110" t="s">
        <v>27</v>
      </c>
      <c r="D110">
        <v>7</v>
      </c>
      <c r="E110" t="s">
        <v>28</v>
      </c>
      <c r="F110" s="2" t="s">
        <v>93</v>
      </c>
      <c r="G110" t="s">
        <v>88</v>
      </c>
      <c r="H110" s="18">
        <v>4.45</v>
      </c>
      <c r="I110" s="18" t="s">
        <v>95</v>
      </c>
      <c r="J110" s="18" t="s">
        <v>95</v>
      </c>
      <c r="K110" s="18">
        <f t="shared" ref="K110:K156" si="47">0.2*0.2</f>
        <v>4.0000000000000008E-2</v>
      </c>
      <c r="L110" s="18" t="s">
        <v>95</v>
      </c>
      <c r="M110" s="18">
        <f t="shared" ref="M110:M141" si="48">H110/0.04</f>
        <v>111.25</v>
      </c>
      <c r="N110" s="18">
        <v>1.1547000000000001</v>
      </c>
      <c r="O110">
        <f t="shared" ref="O110:O125" si="49">N110/K110</f>
        <v>28.867499999999996</v>
      </c>
      <c r="P110" s="18">
        <v>42.82</v>
      </c>
      <c r="Q110">
        <f t="shared" si="42"/>
        <v>47.637250000000002</v>
      </c>
      <c r="R110" s="18">
        <v>1.43</v>
      </c>
      <c r="S110">
        <f t="shared" si="43"/>
        <v>1.590875</v>
      </c>
      <c r="T110">
        <f t="shared" si="44"/>
        <v>29.944055944055947</v>
      </c>
    </row>
    <row r="111" spans="1:46" x14ac:dyDescent="0.2">
      <c r="A111">
        <v>200</v>
      </c>
      <c r="B111" t="s">
        <v>26</v>
      </c>
      <c r="C111" t="s">
        <v>27</v>
      </c>
      <c r="D111">
        <v>7</v>
      </c>
      <c r="E111" t="s">
        <v>29</v>
      </c>
      <c r="F111" s="2" t="s">
        <v>93</v>
      </c>
      <c r="G111" t="s">
        <v>88</v>
      </c>
      <c r="H111" s="18">
        <v>2.2400000000000002</v>
      </c>
      <c r="I111" s="18" t="s">
        <v>95</v>
      </c>
      <c r="J111" s="18" t="s">
        <v>95</v>
      </c>
      <c r="K111" s="18">
        <f t="shared" si="47"/>
        <v>4.0000000000000008E-2</v>
      </c>
      <c r="L111" s="18" t="s">
        <v>95</v>
      </c>
      <c r="M111" s="18">
        <f t="shared" si="48"/>
        <v>56.000000000000007</v>
      </c>
      <c r="N111" s="18">
        <v>6.0000000000000001E-3</v>
      </c>
      <c r="O111">
        <f t="shared" si="49"/>
        <v>0.14999999999999997</v>
      </c>
      <c r="P111" s="18">
        <v>29.24</v>
      </c>
      <c r="Q111">
        <f t="shared" si="42"/>
        <v>16.374400000000001</v>
      </c>
      <c r="R111" s="18">
        <v>0.98</v>
      </c>
      <c r="S111">
        <f t="shared" si="43"/>
        <v>0.54880000000000007</v>
      </c>
      <c r="T111">
        <f t="shared" si="44"/>
        <v>29.836734693877549</v>
      </c>
    </row>
    <row r="112" spans="1:46" x14ac:dyDescent="0.2">
      <c r="A112">
        <v>201</v>
      </c>
      <c r="B112" t="s">
        <v>26</v>
      </c>
      <c r="C112" t="s">
        <v>27</v>
      </c>
      <c r="D112">
        <v>7</v>
      </c>
      <c r="E112" t="s">
        <v>30</v>
      </c>
      <c r="F112" s="2" t="s">
        <v>93</v>
      </c>
      <c r="G112" t="s">
        <v>88</v>
      </c>
      <c r="H112" s="18">
        <v>2.46</v>
      </c>
      <c r="I112" s="18" t="s">
        <v>95</v>
      </c>
      <c r="J112" s="18" t="s">
        <v>95</v>
      </c>
      <c r="K112" s="18">
        <f t="shared" si="47"/>
        <v>4.0000000000000008E-2</v>
      </c>
      <c r="L112" s="18" t="s">
        <v>95</v>
      </c>
      <c r="M112" s="18">
        <f t="shared" si="48"/>
        <v>61.5</v>
      </c>
      <c r="N112" s="18">
        <v>0.23669999999999999</v>
      </c>
      <c r="O112">
        <f t="shared" si="49"/>
        <v>5.9174999999999986</v>
      </c>
      <c r="P112" s="18">
        <v>35.369999999999997</v>
      </c>
      <c r="Q112">
        <f t="shared" si="42"/>
        <v>21.752549999999996</v>
      </c>
      <c r="R112" s="18">
        <v>1.33</v>
      </c>
      <c r="S112">
        <f t="shared" si="43"/>
        <v>0.81795000000000007</v>
      </c>
      <c r="T112">
        <f t="shared" si="44"/>
        <v>26.593984962406012</v>
      </c>
    </row>
    <row r="113" spans="1:20" x14ac:dyDescent="0.2">
      <c r="A113">
        <v>202</v>
      </c>
      <c r="B113" t="s">
        <v>26</v>
      </c>
      <c r="C113" t="s">
        <v>27</v>
      </c>
      <c r="D113">
        <v>8</v>
      </c>
      <c r="E113" t="s">
        <v>31</v>
      </c>
      <c r="F113" s="2" t="s">
        <v>93</v>
      </c>
      <c r="G113" t="s">
        <v>88</v>
      </c>
      <c r="H113" s="18">
        <v>8.58</v>
      </c>
      <c r="I113" s="18" t="s">
        <v>95</v>
      </c>
      <c r="J113" s="18" t="s">
        <v>95</v>
      </c>
      <c r="K113" s="18">
        <f t="shared" si="47"/>
        <v>4.0000000000000008E-2</v>
      </c>
      <c r="L113" s="18" t="s">
        <v>95</v>
      </c>
      <c r="M113" s="18">
        <f t="shared" si="48"/>
        <v>214.5</v>
      </c>
      <c r="N113" s="18">
        <v>0.42130000000000001</v>
      </c>
      <c r="O113">
        <f t="shared" si="49"/>
        <v>10.532499999999999</v>
      </c>
      <c r="P113" s="18">
        <v>31.03</v>
      </c>
      <c r="Q113">
        <f t="shared" si="42"/>
        <v>66.559350000000009</v>
      </c>
      <c r="R113" s="18">
        <v>1.1499999999999999</v>
      </c>
      <c r="S113">
        <f t="shared" si="43"/>
        <v>2.4667499999999998</v>
      </c>
      <c r="T113">
        <f t="shared" si="44"/>
        <v>26.982608695652178</v>
      </c>
    </row>
    <row r="114" spans="1:20" x14ac:dyDescent="0.2">
      <c r="A114">
        <v>203</v>
      </c>
      <c r="B114" t="s">
        <v>26</v>
      </c>
      <c r="C114" t="s">
        <v>27</v>
      </c>
      <c r="D114">
        <v>8</v>
      </c>
      <c r="E114" t="s">
        <v>32</v>
      </c>
      <c r="F114" s="2" t="s">
        <v>93</v>
      </c>
      <c r="G114" t="s">
        <v>88</v>
      </c>
      <c r="H114" s="18">
        <v>3.76</v>
      </c>
      <c r="I114" s="18" t="s">
        <v>95</v>
      </c>
      <c r="J114" s="18" t="s">
        <v>95</v>
      </c>
      <c r="K114" s="18">
        <f t="shared" si="47"/>
        <v>4.0000000000000008E-2</v>
      </c>
      <c r="L114" s="18" t="s">
        <v>95</v>
      </c>
      <c r="M114" s="18">
        <f t="shared" si="48"/>
        <v>93.999999999999986</v>
      </c>
      <c r="N114" s="18">
        <v>0.43890000000000001</v>
      </c>
      <c r="O114">
        <f t="shared" si="49"/>
        <v>10.972499999999998</v>
      </c>
      <c r="P114" s="18">
        <v>34.04</v>
      </c>
      <c r="Q114">
        <f t="shared" si="42"/>
        <v>31.997599999999995</v>
      </c>
      <c r="R114" s="18">
        <v>1.35</v>
      </c>
      <c r="S114">
        <f t="shared" si="43"/>
        <v>1.2689999999999999</v>
      </c>
      <c r="T114">
        <f t="shared" si="44"/>
        <v>25.214814814814812</v>
      </c>
    </row>
    <row r="115" spans="1:20" x14ac:dyDescent="0.2">
      <c r="A115">
        <v>204</v>
      </c>
      <c r="B115" t="s">
        <v>26</v>
      </c>
      <c r="C115" t="s">
        <v>27</v>
      </c>
      <c r="D115">
        <v>8</v>
      </c>
      <c r="E115" t="s">
        <v>33</v>
      </c>
      <c r="F115" s="2" t="s">
        <v>93</v>
      </c>
      <c r="G115" t="s">
        <v>88</v>
      </c>
      <c r="H115" s="18">
        <v>3.46</v>
      </c>
      <c r="I115" s="18" t="s">
        <v>95</v>
      </c>
      <c r="J115" s="18" t="s">
        <v>95</v>
      </c>
      <c r="K115" s="18">
        <f t="shared" si="47"/>
        <v>4.0000000000000008E-2</v>
      </c>
      <c r="L115" s="18" t="s">
        <v>95</v>
      </c>
      <c r="M115" s="18">
        <f t="shared" si="48"/>
        <v>86.5</v>
      </c>
      <c r="N115" s="18">
        <v>0.85389999999999999</v>
      </c>
      <c r="O115">
        <f t="shared" si="49"/>
        <v>21.347499999999997</v>
      </c>
      <c r="P115" s="18">
        <v>30.62</v>
      </c>
      <c r="Q115">
        <f t="shared" si="42"/>
        <v>26.486300000000004</v>
      </c>
      <c r="R115" s="18">
        <v>1.18</v>
      </c>
      <c r="S115">
        <f t="shared" si="43"/>
        <v>1.0206999999999999</v>
      </c>
      <c r="T115">
        <f t="shared" si="44"/>
        <v>25.949152542372882</v>
      </c>
    </row>
    <row r="116" spans="1:20" x14ac:dyDescent="0.2">
      <c r="A116">
        <v>205</v>
      </c>
      <c r="B116" t="s">
        <v>26</v>
      </c>
      <c r="C116" t="s">
        <v>34</v>
      </c>
      <c r="D116">
        <v>9</v>
      </c>
      <c r="E116" t="s">
        <v>35</v>
      </c>
      <c r="F116" s="2" t="s">
        <v>93</v>
      </c>
      <c r="G116" t="s">
        <v>88</v>
      </c>
      <c r="H116" s="18">
        <v>5.66</v>
      </c>
      <c r="I116" s="18" t="s">
        <v>95</v>
      </c>
      <c r="J116" s="18" t="s">
        <v>95</v>
      </c>
      <c r="K116" s="18">
        <f t="shared" si="47"/>
        <v>4.0000000000000008E-2</v>
      </c>
      <c r="L116" s="18" t="s">
        <v>95</v>
      </c>
      <c r="M116" s="18">
        <f t="shared" si="48"/>
        <v>141.5</v>
      </c>
      <c r="N116" s="18">
        <v>0.64759999999999995</v>
      </c>
      <c r="O116">
        <f t="shared" si="49"/>
        <v>16.189999999999994</v>
      </c>
      <c r="P116" s="18">
        <v>34.54</v>
      </c>
      <c r="Q116">
        <f t="shared" si="42"/>
        <v>48.874099999999999</v>
      </c>
      <c r="R116" s="18">
        <v>1.27</v>
      </c>
      <c r="S116">
        <f t="shared" si="43"/>
        <v>1.79705</v>
      </c>
      <c r="T116">
        <f t="shared" si="44"/>
        <v>27.196850393700785</v>
      </c>
    </row>
    <row r="117" spans="1:20" x14ac:dyDescent="0.2">
      <c r="A117">
        <v>206</v>
      </c>
      <c r="B117" t="s">
        <v>26</v>
      </c>
      <c r="C117" t="s">
        <v>34</v>
      </c>
      <c r="D117">
        <v>9</v>
      </c>
      <c r="E117" t="s">
        <v>36</v>
      </c>
      <c r="F117" s="2" t="s">
        <v>93</v>
      </c>
      <c r="G117" t="s">
        <v>88</v>
      </c>
      <c r="H117" s="18">
        <v>5.27</v>
      </c>
      <c r="I117" s="18" t="s">
        <v>95</v>
      </c>
      <c r="J117" s="18" t="s">
        <v>95</v>
      </c>
      <c r="K117" s="18">
        <f t="shared" si="47"/>
        <v>4.0000000000000008E-2</v>
      </c>
      <c r="L117" s="18" t="s">
        <v>95</v>
      </c>
      <c r="M117" s="18">
        <f t="shared" si="48"/>
        <v>131.75</v>
      </c>
      <c r="N117" s="18">
        <v>1.12E-2</v>
      </c>
      <c r="O117">
        <f t="shared" si="49"/>
        <v>0.27999999999999992</v>
      </c>
      <c r="P117" s="18">
        <v>43.26</v>
      </c>
      <c r="Q117">
        <f t="shared" si="42"/>
        <v>56.995049999999999</v>
      </c>
      <c r="R117" s="18">
        <v>1.22</v>
      </c>
      <c r="S117">
        <f t="shared" si="43"/>
        <v>1.6073499999999998</v>
      </c>
      <c r="T117">
        <f t="shared" si="44"/>
        <v>35.459016393442624</v>
      </c>
    </row>
    <row r="118" spans="1:20" x14ac:dyDescent="0.2">
      <c r="A118">
        <v>207</v>
      </c>
      <c r="B118" t="s">
        <v>26</v>
      </c>
      <c r="C118" t="s">
        <v>34</v>
      </c>
      <c r="D118">
        <v>9</v>
      </c>
      <c r="E118" t="s">
        <v>37</v>
      </c>
      <c r="F118" s="2" t="s">
        <v>93</v>
      </c>
      <c r="G118" t="s">
        <v>88</v>
      </c>
      <c r="H118" s="18">
        <v>2.4700000000000002</v>
      </c>
      <c r="I118" s="18" t="s">
        <v>95</v>
      </c>
      <c r="J118" s="18" t="s">
        <v>95</v>
      </c>
      <c r="K118" s="18">
        <f t="shared" si="47"/>
        <v>4.0000000000000008E-2</v>
      </c>
      <c r="L118" s="18" t="s">
        <v>95</v>
      </c>
      <c r="M118" s="18">
        <f t="shared" si="48"/>
        <v>61.750000000000007</v>
      </c>
      <c r="N118" s="18">
        <v>0.20150000000000001</v>
      </c>
      <c r="O118">
        <f t="shared" si="49"/>
        <v>5.0374999999999996</v>
      </c>
      <c r="P118" s="18">
        <v>42.54</v>
      </c>
      <c r="Q118">
        <f t="shared" si="42"/>
        <v>26.268450000000001</v>
      </c>
      <c r="R118" s="18">
        <v>1.37</v>
      </c>
      <c r="S118">
        <f t="shared" si="43"/>
        <v>0.84597500000000014</v>
      </c>
      <c r="T118">
        <f t="shared" si="44"/>
        <v>31.051094890510946</v>
      </c>
    </row>
    <row r="119" spans="1:20" x14ac:dyDescent="0.2">
      <c r="A119">
        <v>208</v>
      </c>
      <c r="B119" t="s">
        <v>26</v>
      </c>
      <c r="C119" t="s">
        <v>27</v>
      </c>
      <c r="D119">
        <v>10</v>
      </c>
      <c r="E119" t="s">
        <v>38</v>
      </c>
      <c r="F119" s="2" t="s">
        <v>93</v>
      </c>
      <c r="G119" t="s">
        <v>88</v>
      </c>
      <c r="H119" s="18">
        <v>4.8899999999999997</v>
      </c>
      <c r="I119" s="18" t="s">
        <v>95</v>
      </c>
      <c r="J119" s="18" t="s">
        <v>95</v>
      </c>
      <c r="K119" s="18">
        <f t="shared" si="47"/>
        <v>4.0000000000000008E-2</v>
      </c>
      <c r="L119" s="18" t="s">
        <v>95</v>
      </c>
      <c r="M119" s="18">
        <f t="shared" si="48"/>
        <v>122.24999999999999</v>
      </c>
      <c r="N119" s="18">
        <v>0.19009999999999999</v>
      </c>
      <c r="O119">
        <f t="shared" si="49"/>
        <v>4.7524999999999986</v>
      </c>
      <c r="P119" s="18">
        <v>17.95</v>
      </c>
      <c r="Q119">
        <f t="shared" si="42"/>
        <v>21.943874999999995</v>
      </c>
      <c r="R119" s="18">
        <v>0.82</v>
      </c>
      <c r="S119">
        <f t="shared" si="43"/>
        <v>1.0024499999999998</v>
      </c>
      <c r="T119">
        <f t="shared" si="44"/>
        <v>21.890243902439025</v>
      </c>
    </row>
    <row r="120" spans="1:20" x14ac:dyDescent="0.2">
      <c r="A120">
        <v>209</v>
      </c>
      <c r="B120" t="s">
        <v>26</v>
      </c>
      <c r="C120" t="s">
        <v>27</v>
      </c>
      <c r="D120">
        <v>10</v>
      </c>
      <c r="E120" t="s">
        <v>39</v>
      </c>
      <c r="F120" s="2" t="s">
        <v>93</v>
      </c>
      <c r="G120" t="s">
        <v>88</v>
      </c>
      <c r="H120" s="18">
        <v>8.43</v>
      </c>
      <c r="I120" s="18" t="s">
        <v>95</v>
      </c>
      <c r="J120" s="18" t="s">
        <v>95</v>
      </c>
      <c r="K120" s="18">
        <f t="shared" si="47"/>
        <v>4.0000000000000008E-2</v>
      </c>
      <c r="L120" s="18" t="s">
        <v>95</v>
      </c>
      <c r="M120" s="18">
        <f t="shared" si="48"/>
        <v>210.75</v>
      </c>
      <c r="N120" s="18">
        <v>0.2329</v>
      </c>
      <c r="O120">
        <f t="shared" si="49"/>
        <v>5.8224999999999989</v>
      </c>
      <c r="P120" s="18">
        <v>20.170000000000002</v>
      </c>
      <c r="Q120">
        <f t="shared" si="42"/>
        <v>42.508275000000005</v>
      </c>
      <c r="R120" s="18">
        <v>0.82</v>
      </c>
      <c r="S120">
        <f t="shared" si="43"/>
        <v>1.7281499999999999</v>
      </c>
      <c r="T120">
        <f t="shared" si="44"/>
        <v>24.59756097560976</v>
      </c>
    </row>
    <row r="121" spans="1:20" x14ac:dyDescent="0.2">
      <c r="A121">
        <v>210</v>
      </c>
      <c r="B121" t="s">
        <v>26</v>
      </c>
      <c r="C121" t="s">
        <v>27</v>
      </c>
      <c r="D121">
        <v>10</v>
      </c>
      <c r="E121" t="s">
        <v>40</v>
      </c>
      <c r="F121" s="2" t="s">
        <v>93</v>
      </c>
      <c r="G121" t="s">
        <v>88</v>
      </c>
      <c r="H121" s="18">
        <v>2.9</v>
      </c>
      <c r="I121" s="18" t="s">
        <v>95</v>
      </c>
      <c r="J121" s="18" t="s">
        <v>95</v>
      </c>
      <c r="K121" s="18">
        <f t="shared" si="47"/>
        <v>4.0000000000000008E-2</v>
      </c>
      <c r="L121" s="18" t="s">
        <v>95</v>
      </c>
      <c r="M121" s="18">
        <f t="shared" si="48"/>
        <v>72.5</v>
      </c>
      <c r="N121" s="18">
        <v>0.60919999999999996</v>
      </c>
      <c r="O121">
        <f t="shared" si="49"/>
        <v>15.229999999999997</v>
      </c>
      <c r="P121" s="18">
        <v>18.329999999999998</v>
      </c>
      <c r="Q121">
        <f t="shared" si="42"/>
        <v>13.289249999999999</v>
      </c>
      <c r="R121" s="18">
        <v>0.85</v>
      </c>
      <c r="S121">
        <f t="shared" si="43"/>
        <v>0.61625000000000008</v>
      </c>
      <c r="T121">
        <f t="shared" si="44"/>
        <v>21.564705882352939</v>
      </c>
    </row>
    <row r="122" spans="1:20" x14ac:dyDescent="0.2">
      <c r="A122">
        <v>211</v>
      </c>
      <c r="B122" t="s">
        <v>26</v>
      </c>
      <c r="C122" t="s">
        <v>27</v>
      </c>
      <c r="D122">
        <v>11</v>
      </c>
      <c r="E122" t="s">
        <v>41</v>
      </c>
      <c r="F122" s="2" t="s">
        <v>93</v>
      </c>
      <c r="G122" t="s">
        <v>88</v>
      </c>
      <c r="H122" s="18">
        <v>1.58</v>
      </c>
      <c r="I122" s="18" t="s">
        <v>95</v>
      </c>
      <c r="J122" s="18" t="s">
        <v>95</v>
      </c>
      <c r="K122" s="18">
        <f t="shared" si="47"/>
        <v>4.0000000000000008E-2</v>
      </c>
      <c r="L122" s="18" t="s">
        <v>95</v>
      </c>
      <c r="M122" s="18">
        <f t="shared" si="48"/>
        <v>39.5</v>
      </c>
      <c r="N122" s="18">
        <v>4.0300000000000002E-2</v>
      </c>
      <c r="O122">
        <f t="shared" si="49"/>
        <v>1.0074999999999998</v>
      </c>
      <c r="P122" s="18">
        <v>14.21</v>
      </c>
      <c r="Q122">
        <f t="shared" si="42"/>
        <v>5.6129500000000005</v>
      </c>
      <c r="R122" s="18">
        <v>0.67</v>
      </c>
      <c r="S122">
        <f t="shared" si="43"/>
        <v>0.26465</v>
      </c>
      <c r="T122">
        <f t="shared" si="44"/>
        <v>21.208955223880597</v>
      </c>
    </row>
    <row r="123" spans="1:20" x14ac:dyDescent="0.2">
      <c r="A123">
        <v>212</v>
      </c>
      <c r="B123" t="s">
        <v>26</v>
      </c>
      <c r="C123" t="s">
        <v>27</v>
      </c>
      <c r="D123">
        <v>11</v>
      </c>
      <c r="E123" t="s">
        <v>42</v>
      </c>
      <c r="F123" s="2" t="s">
        <v>93</v>
      </c>
      <c r="G123" t="s">
        <v>88</v>
      </c>
      <c r="H123" s="18">
        <v>4.62</v>
      </c>
      <c r="I123" s="18" t="s">
        <v>95</v>
      </c>
      <c r="J123" s="18" t="s">
        <v>95</v>
      </c>
      <c r="K123" s="18">
        <f t="shared" si="47"/>
        <v>4.0000000000000008E-2</v>
      </c>
      <c r="L123" s="18" t="s">
        <v>95</v>
      </c>
      <c r="M123" s="18">
        <f t="shared" si="48"/>
        <v>115.5</v>
      </c>
      <c r="N123" s="18">
        <v>0.48699999999999999</v>
      </c>
      <c r="O123">
        <f t="shared" si="49"/>
        <v>12.174999999999997</v>
      </c>
      <c r="P123" s="18">
        <v>33.56</v>
      </c>
      <c r="Q123">
        <f t="shared" si="42"/>
        <v>38.761800000000001</v>
      </c>
      <c r="R123" s="18">
        <v>1.34</v>
      </c>
      <c r="S123">
        <f t="shared" si="43"/>
        <v>1.5477000000000001</v>
      </c>
      <c r="T123">
        <f t="shared" si="44"/>
        <v>25.044776119402986</v>
      </c>
    </row>
    <row r="124" spans="1:20" x14ac:dyDescent="0.2">
      <c r="A124">
        <v>213</v>
      </c>
      <c r="B124" t="s">
        <v>26</v>
      </c>
      <c r="C124" t="s">
        <v>27</v>
      </c>
      <c r="D124">
        <v>11</v>
      </c>
      <c r="E124" t="s">
        <v>43</v>
      </c>
      <c r="F124" s="2" t="s">
        <v>93</v>
      </c>
      <c r="G124" t="s">
        <v>88</v>
      </c>
      <c r="H124" s="18">
        <v>7.56</v>
      </c>
      <c r="I124" s="18" t="s">
        <v>95</v>
      </c>
      <c r="J124" s="18" t="s">
        <v>95</v>
      </c>
      <c r="K124" s="18">
        <f t="shared" si="47"/>
        <v>4.0000000000000008E-2</v>
      </c>
      <c r="L124" s="18" t="s">
        <v>95</v>
      </c>
      <c r="M124" s="18">
        <f t="shared" si="48"/>
        <v>189</v>
      </c>
      <c r="N124" s="18">
        <v>0.1401</v>
      </c>
      <c r="O124">
        <f t="shared" si="49"/>
        <v>3.5024999999999995</v>
      </c>
      <c r="P124" s="18">
        <v>25.36</v>
      </c>
      <c r="Q124">
        <f t="shared" si="42"/>
        <v>47.930399999999999</v>
      </c>
      <c r="R124" s="18">
        <v>1.1399999999999999</v>
      </c>
      <c r="S124">
        <f t="shared" si="43"/>
        <v>2.1545999999999998</v>
      </c>
      <c r="T124">
        <f t="shared" si="44"/>
        <v>22.245614035087719</v>
      </c>
    </row>
    <row r="125" spans="1:20" x14ac:dyDescent="0.2">
      <c r="A125">
        <v>214</v>
      </c>
      <c r="B125" t="s">
        <v>26</v>
      </c>
      <c r="C125" t="s">
        <v>27</v>
      </c>
      <c r="D125">
        <v>12</v>
      </c>
      <c r="E125" t="s">
        <v>44</v>
      </c>
      <c r="F125" s="2" t="s">
        <v>93</v>
      </c>
      <c r="G125" t="s">
        <v>88</v>
      </c>
      <c r="H125" s="18">
        <v>6.55</v>
      </c>
      <c r="I125" s="18" t="s">
        <v>95</v>
      </c>
      <c r="J125" s="18" t="s">
        <v>95</v>
      </c>
      <c r="K125" s="18">
        <f t="shared" si="47"/>
        <v>4.0000000000000008E-2</v>
      </c>
      <c r="L125" s="18" t="s">
        <v>95</v>
      </c>
      <c r="M125" s="18">
        <f t="shared" si="48"/>
        <v>163.75</v>
      </c>
      <c r="N125" s="18">
        <v>0.1706</v>
      </c>
      <c r="O125">
        <f t="shared" si="49"/>
        <v>4.2649999999999988</v>
      </c>
      <c r="P125" s="18">
        <v>3.64</v>
      </c>
      <c r="Q125">
        <f t="shared" si="42"/>
        <v>5.9605000000000006</v>
      </c>
      <c r="R125" s="18">
        <v>0.26</v>
      </c>
      <c r="S125">
        <f t="shared" si="43"/>
        <v>0.42574999999999996</v>
      </c>
      <c r="T125">
        <f t="shared" si="44"/>
        <v>14</v>
      </c>
    </row>
    <row r="126" spans="1:20" x14ac:dyDescent="0.2">
      <c r="A126">
        <v>215</v>
      </c>
      <c r="B126" t="s">
        <v>26</v>
      </c>
      <c r="C126" t="s">
        <v>27</v>
      </c>
      <c r="D126">
        <v>12</v>
      </c>
      <c r="E126" t="s">
        <v>45</v>
      </c>
      <c r="F126" s="2" t="s">
        <v>93</v>
      </c>
      <c r="G126" t="s">
        <v>88</v>
      </c>
      <c r="H126" s="18">
        <v>7.12</v>
      </c>
      <c r="I126" s="18" t="s">
        <v>95</v>
      </c>
      <c r="J126" s="18" t="s">
        <v>95</v>
      </c>
      <c r="K126" s="18">
        <f t="shared" si="47"/>
        <v>4.0000000000000008E-2</v>
      </c>
      <c r="L126" s="18" t="s">
        <v>95</v>
      </c>
      <c r="M126" s="18">
        <f t="shared" si="48"/>
        <v>178</v>
      </c>
      <c r="N126" s="18" t="s">
        <v>95</v>
      </c>
      <c r="O126" s="5" t="s">
        <v>95</v>
      </c>
      <c r="P126" s="18">
        <v>24.21</v>
      </c>
      <c r="Q126">
        <f t="shared" si="42"/>
        <v>43.093800000000002</v>
      </c>
      <c r="R126" s="18">
        <v>0.99</v>
      </c>
      <c r="S126">
        <f t="shared" si="43"/>
        <v>1.7621999999999998</v>
      </c>
      <c r="T126">
        <f t="shared" si="44"/>
        <v>24.454545454545457</v>
      </c>
    </row>
    <row r="127" spans="1:20" x14ac:dyDescent="0.2">
      <c r="A127">
        <v>216</v>
      </c>
      <c r="B127" t="s">
        <v>26</v>
      </c>
      <c r="C127" t="s">
        <v>27</v>
      </c>
      <c r="D127">
        <v>12</v>
      </c>
      <c r="E127" t="s">
        <v>46</v>
      </c>
      <c r="F127" s="2" t="s">
        <v>93</v>
      </c>
      <c r="G127" t="s">
        <v>88</v>
      </c>
      <c r="H127" s="18">
        <v>4.55</v>
      </c>
      <c r="I127" s="18" t="s">
        <v>95</v>
      </c>
      <c r="J127" s="18" t="s">
        <v>95</v>
      </c>
      <c r="K127" s="18">
        <f t="shared" si="47"/>
        <v>4.0000000000000008E-2</v>
      </c>
      <c r="L127" s="18" t="s">
        <v>95</v>
      </c>
      <c r="M127" s="18">
        <f t="shared" si="48"/>
        <v>113.75</v>
      </c>
      <c r="N127" s="18">
        <v>0.35639999999999999</v>
      </c>
      <c r="O127">
        <f t="shared" ref="O127:O158" si="50">N127/K127</f>
        <v>8.9099999999999984</v>
      </c>
      <c r="P127" s="18">
        <v>23.1</v>
      </c>
      <c r="Q127">
        <f t="shared" si="42"/>
        <v>26.276250000000001</v>
      </c>
      <c r="R127" s="18">
        <v>0.91</v>
      </c>
      <c r="S127">
        <f t="shared" si="43"/>
        <v>1.0351250000000001</v>
      </c>
      <c r="T127">
        <f t="shared" si="44"/>
        <v>25.384615384615387</v>
      </c>
    </row>
    <row r="128" spans="1:20" x14ac:dyDescent="0.2">
      <c r="A128">
        <v>217</v>
      </c>
      <c r="B128" t="s">
        <v>47</v>
      </c>
      <c r="C128" t="s">
        <v>48</v>
      </c>
      <c r="D128">
        <v>13</v>
      </c>
      <c r="E128" t="s">
        <v>49</v>
      </c>
      <c r="F128" s="2" t="s">
        <v>93</v>
      </c>
      <c r="G128" t="s">
        <v>88</v>
      </c>
      <c r="H128" s="18">
        <v>6.84</v>
      </c>
      <c r="I128" s="18" t="s">
        <v>95</v>
      </c>
      <c r="J128" s="18" t="s">
        <v>95</v>
      </c>
      <c r="K128" s="18">
        <f t="shared" si="47"/>
        <v>4.0000000000000008E-2</v>
      </c>
      <c r="L128" s="18" t="s">
        <v>95</v>
      </c>
      <c r="M128" s="18">
        <f t="shared" si="48"/>
        <v>171</v>
      </c>
      <c r="N128" s="18">
        <v>1.17E-2</v>
      </c>
      <c r="O128">
        <f t="shared" si="50"/>
        <v>0.29249999999999993</v>
      </c>
      <c r="P128" s="18">
        <v>38.18</v>
      </c>
      <c r="Q128">
        <f t="shared" si="42"/>
        <v>65.28779999999999</v>
      </c>
      <c r="R128" s="18">
        <v>1.56</v>
      </c>
      <c r="S128">
        <f t="shared" si="43"/>
        <v>2.6676000000000002</v>
      </c>
      <c r="T128">
        <f t="shared" si="44"/>
        <v>24.474358974358974</v>
      </c>
    </row>
    <row r="129" spans="1:20" x14ac:dyDescent="0.2">
      <c r="A129">
        <v>218</v>
      </c>
      <c r="B129" t="s">
        <v>47</v>
      </c>
      <c r="C129" t="s">
        <v>48</v>
      </c>
      <c r="D129">
        <v>13</v>
      </c>
      <c r="E129" t="s">
        <v>50</v>
      </c>
      <c r="F129" s="2" t="s">
        <v>93</v>
      </c>
      <c r="G129" t="s">
        <v>88</v>
      </c>
      <c r="H129" s="18">
        <v>8.41</v>
      </c>
      <c r="I129" s="18" t="s">
        <v>95</v>
      </c>
      <c r="J129" s="18" t="s">
        <v>95</v>
      </c>
      <c r="K129" s="18">
        <f t="shared" si="47"/>
        <v>4.0000000000000008E-2</v>
      </c>
      <c r="L129" s="18" t="s">
        <v>95</v>
      </c>
      <c r="M129" s="18">
        <f t="shared" si="48"/>
        <v>210.25</v>
      </c>
      <c r="N129" s="18">
        <v>1.1299999999999999E-2</v>
      </c>
      <c r="O129">
        <f t="shared" si="50"/>
        <v>0.28249999999999992</v>
      </c>
      <c r="P129" s="18">
        <v>42.74</v>
      </c>
      <c r="Q129">
        <f t="shared" si="42"/>
        <v>89.860849999999999</v>
      </c>
      <c r="R129" s="18">
        <v>1.64</v>
      </c>
      <c r="S129">
        <f t="shared" si="43"/>
        <v>3.4480999999999997</v>
      </c>
      <c r="T129">
        <f t="shared" si="44"/>
        <v>26.060975609756099</v>
      </c>
    </row>
    <row r="130" spans="1:20" x14ac:dyDescent="0.2">
      <c r="A130">
        <v>219</v>
      </c>
      <c r="B130" t="s">
        <v>47</v>
      </c>
      <c r="C130" t="s">
        <v>48</v>
      </c>
      <c r="D130">
        <v>13</v>
      </c>
      <c r="E130" t="s">
        <v>51</v>
      </c>
      <c r="F130" s="2" t="s">
        <v>93</v>
      </c>
      <c r="G130" t="s">
        <v>88</v>
      </c>
      <c r="H130" s="18">
        <v>7.25</v>
      </c>
      <c r="I130" s="18" t="s">
        <v>95</v>
      </c>
      <c r="J130" s="18" t="s">
        <v>95</v>
      </c>
      <c r="K130" s="18">
        <f t="shared" si="47"/>
        <v>4.0000000000000008E-2</v>
      </c>
      <c r="L130" s="18" t="s">
        <v>95</v>
      </c>
      <c r="M130" s="18">
        <f t="shared" si="48"/>
        <v>181.25</v>
      </c>
      <c r="N130" s="18">
        <v>0.12920000000000001</v>
      </c>
      <c r="O130">
        <f t="shared" si="50"/>
        <v>3.2299999999999995</v>
      </c>
      <c r="P130" s="18">
        <v>43.8</v>
      </c>
      <c r="Q130">
        <f t="shared" ref="Q130:Q161" si="51">M130*(P130/100)</f>
        <v>79.387499999999989</v>
      </c>
      <c r="R130" s="18">
        <v>1.41</v>
      </c>
      <c r="S130">
        <f t="shared" ref="S130:S161" si="52">M130*(R130/100)</f>
        <v>2.555625</v>
      </c>
      <c r="T130">
        <f t="shared" ref="T130:T163" si="53">P130/R130</f>
        <v>31.063829787234042</v>
      </c>
    </row>
    <row r="131" spans="1:20" x14ac:dyDescent="0.2">
      <c r="A131">
        <v>220</v>
      </c>
      <c r="B131" t="s">
        <v>47</v>
      </c>
      <c r="C131" t="s">
        <v>48</v>
      </c>
      <c r="D131">
        <v>14</v>
      </c>
      <c r="E131" t="s">
        <v>52</v>
      </c>
      <c r="F131" s="2" t="s">
        <v>93</v>
      </c>
      <c r="G131" t="s">
        <v>88</v>
      </c>
      <c r="H131" s="18">
        <v>5.77</v>
      </c>
      <c r="I131" s="18" t="s">
        <v>95</v>
      </c>
      <c r="J131" s="18" t="s">
        <v>95</v>
      </c>
      <c r="K131" s="18">
        <f t="shared" si="47"/>
        <v>4.0000000000000008E-2</v>
      </c>
      <c r="L131" s="18" t="s">
        <v>95</v>
      </c>
      <c r="M131" s="18">
        <f t="shared" si="48"/>
        <v>144.25</v>
      </c>
      <c r="N131" s="18">
        <v>0.1719</v>
      </c>
      <c r="O131">
        <f t="shared" si="50"/>
        <v>4.2974999999999994</v>
      </c>
      <c r="P131" s="18">
        <v>44.02</v>
      </c>
      <c r="Q131">
        <f t="shared" si="51"/>
        <v>63.498850000000004</v>
      </c>
      <c r="R131" s="18">
        <v>1.25</v>
      </c>
      <c r="S131">
        <f t="shared" si="52"/>
        <v>1.8031250000000001</v>
      </c>
      <c r="T131">
        <f t="shared" si="53"/>
        <v>35.216000000000001</v>
      </c>
    </row>
    <row r="132" spans="1:20" x14ac:dyDescent="0.2">
      <c r="A132">
        <v>221</v>
      </c>
      <c r="B132" t="s">
        <v>47</v>
      </c>
      <c r="C132" t="s">
        <v>48</v>
      </c>
      <c r="D132">
        <v>14</v>
      </c>
      <c r="E132" t="s">
        <v>53</v>
      </c>
      <c r="F132" s="2" t="s">
        <v>93</v>
      </c>
      <c r="G132" t="s">
        <v>88</v>
      </c>
      <c r="H132" s="18">
        <v>4.72</v>
      </c>
      <c r="I132" s="18" t="s">
        <v>95</v>
      </c>
      <c r="J132" s="18" t="s">
        <v>95</v>
      </c>
      <c r="K132" s="18">
        <f t="shared" si="47"/>
        <v>4.0000000000000008E-2</v>
      </c>
      <c r="L132" s="18" t="s">
        <v>95</v>
      </c>
      <c r="M132" s="18">
        <f t="shared" si="48"/>
        <v>117.99999999999999</v>
      </c>
      <c r="N132" s="18">
        <v>0.14230000000000001</v>
      </c>
      <c r="O132">
        <f t="shared" si="50"/>
        <v>3.5574999999999997</v>
      </c>
      <c r="P132" s="18">
        <v>32.85</v>
      </c>
      <c r="Q132">
        <f t="shared" si="51"/>
        <v>38.762999999999998</v>
      </c>
      <c r="R132" s="18">
        <v>0.95</v>
      </c>
      <c r="S132">
        <f t="shared" si="52"/>
        <v>1.1209999999999998</v>
      </c>
      <c r="T132">
        <f t="shared" si="53"/>
        <v>34.578947368421055</v>
      </c>
    </row>
    <row r="133" spans="1:20" x14ac:dyDescent="0.2">
      <c r="A133">
        <v>222</v>
      </c>
      <c r="B133" t="s">
        <v>47</v>
      </c>
      <c r="C133" t="s">
        <v>48</v>
      </c>
      <c r="D133">
        <v>14</v>
      </c>
      <c r="E133" t="s">
        <v>54</v>
      </c>
      <c r="F133" s="2" t="s">
        <v>93</v>
      </c>
      <c r="G133" t="s">
        <v>88</v>
      </c>
      <c r="H133" s="18">
        <v>3.59</v>
      </c>
      <c r="I133" s="18" t="s">
        <v>95</v>
      </c>
      <c r="J133" s="18" t="s">
        <v>95</v>
      </c>
      <c r="K133" s="18">
        <f t="shared" si="47"/>
        <v>4.0000000000000008E-2</v>
      </c>
      <c r="L133" s="18" t="s">
        <v>95</v>
      </c>
      <c r="M133" s="18">
        <f t="shared" si="48"/>
        <v>89.75</v>
      </c>
      <c r="N133" s="18">
        <v>6.8999999999999999E-3</v>
      </c>
      <c r="O133">
        <f t="shared" si="50"/>
        <v>0.17249999999999996</v>
      </c>
      <c r="P133" s="18">
        <v>47.73</v>
      </c>
      <c r="Q133">
        <f t="shared" si="51"/>
        <v>42.837674999999997</v>
      </c>
      <c r="R133" s="18">
        <v>1.24</v>
      </c>
      <c r="S133">
        <f t="shared" si="52"/>
        <v>1.1129</v>
      </c>
      <c r="T133">
        <f t="shared" si="53"/>
        <v>38.491935483870968</v>
      </c>
    </row>
    <row r="134" spans="1:20" x14ac:dyDescent="0.2">
      <c r="A134">
        <v>223</v>
      </c>
      <c r="B134" t="s">
        <v>47</v>
      </c>
      <c r="C134" t="s">
        <v>48</v>
      </c>
      <c r="D134">
        <v>15</v>
      </c>
      <c r="E134" t="s">
        <v>55</v>
      </c>
      <c r="F134" s="2" t="s">
        <v>93</v>
      </c>
      <c r="G134" t="s">
        <v>88</v>
      </c>
      <c r="H134" s="18">
        <v>4.1900000000000004</v>
      </c>
      <c r="I134" s="18" t="s">
        <v>95</v>
      </c>
      <c r="J134" s="18" t="s">
        <v>95</v>
      </c>
      <c r="K134" s="18">
        <f t="shared" si="47"/>
        <v>4.0000000000000008E-2</v>
      </c>
      <c r="L134" s="18" t="s">
        <v>95</v>
      </c>
      <c r="M134" s="18">
        <f t="shared" si="48"/>
        <v>104.75000000000001</v>
      </c>
      <c r="N134" s="18">
        <v>8.9999999999999998E-4</v>
      </c>
      <c r="O134">
        <f t="shared" si="50"/>
        <v>2.2499999999999996E-2</v>
      </c>
      <c r="P134" s="18">
        <v>24.43</v>
      </c>
      <c r="Q134">
        <f t="shared" si="51"/>
        <v>25.590425000000003</v>
      </c>
      <c r="R134" s="18">
        <v>0.94</v>
      </c>
      <c r="S134">
        <f t="shared" si="52"/>
        <v>0.98465000000000003</v>
      </c>
      <c r="T134">
        <f t="shared" si="53"/>
        <v>25.98936170212766</v>
      </c>
    </row>
    <row r="135" spans="1:20" x14ac:dyDescent="0.2">
      <c r="A135">
        <v>224</v>
      </c>
      <c r="B135" t="s">
        <v>47</v>
      </c>
      <c r="C135" t="s">
        <v>48</v>
      </c>
      <c r="D135">
        <v>15</v>
      </c>
      <c r="E135" t="s">
        <v>56</v>
      </c>
      <c r="F135" s="2" t="s">
        <v>93</v>
      </c>
      <c r="G135" t="s">
        <v>88</v>
      </c>
      <c r="H135" s="18">
        <v>24.45</v>
      </c>
      <c r="I135" s="18" t="s">
        <v>95</v>
      </c>
      <c r="J135" s="18" t="s">
        <v>95</v>
      </c>
      <c r="K135" s="18">
        <f t="shared" si="47"/>
        <v>4.0000000000000008E-2</v>
      </c>
      <c r="L135" s="18" t="s">
        <v>95</v>
      </c>
      <c r="M135" s="18">
        <f t="shared" si="48"/>
        <v>611.25</v>
      </c>
      <c r="N135" s="18">
        <v>3.4299999999999997E-2</v>
      </c>
      <c r="O135">
        <f t="shared" si="50"/>
        <v>0.85749999999999971</v>
      </c>
      <c r="P135" s="18">
        <v>20</v>
      </c>
      <c r="Q135">
        <f t="shared" si="51"/>
        <v>122.25</v>
      </c>
      <c r="R135" s="18">
        <v>0.9</v>
      </c>
      <c r="S135">
        <f t="shared" si="52"/>
        <v>5.5012500000000006</v>
      </c>
      <c r="T135">
        <f t="shared" si="53"/>
        <v>22.222222222222221</v>
      </c>
    </row>
    <row r="136" spans="1:20" x14ac:dyDescent="0.2">
      <c r="A136">
        <v>225</v>
      </c>
      <c r="B136" t="s">
        <v>47</v>
      </c>
      <c r="C136" t="s">
        <v>48</v>
      </c>
      <c r="D136">
        <v>15</v>
      </c>
      <c r="E136" t="s">
        <v>57</v>
      </c>
      <c r="F136" s="2" t="s">
        <v>93</v>
      </c>
      <c r="G136" t="s">
        <v>88</v>
      </c>
      <c r="H136" s="18">
        <v>6.32</v>
      </c>
      <c r="I136" s="18" t="s">
        <v>95</v>
      </c>
      <c r="J136" s="18" t="s">
        <v>95</v>
      </c>
      <c r="K136" s="18">
        <f t="shared" si="47"/>
        <v>4.0000000000000008E-2</v>
      </c>
      <c r="L136" s="18" t="s">
        <v>95</v>
      </c>
      <c r="M136" s="18">
        <f t="shared" si="48"/>
        <v>158</v>
      </c>
      <c r="N136" s="18">
        <v>2.3E-2</v>
      </c>
      <c r="O136">
        <f t="shared" si="50"/>
        <v>0.57499999999999984</v>
      </c>
      <c r="P136" s="18">
        <v>14.33</v>
      </c>
      <c r="Q136">
        <f t="shared" si="51"/>
        <v>22.641400000000001</v>
      </c>
      <c r="R136" s="18">
        <v>0.59</v>
      </c>
      <c r="S136">
        <f t="shared" si="52"/>
        <v>0.93220000000000003</v>
      </c>
      <c r="T136">
        <f t="shared" si="53"/>
        <v>24.288135593220339</v>
      </c>
    </row>
    <row r="137" spans="1:20" x14ac:dyDescent="0.2">
      <c r="A137">
        <v>226</v>
      </c>
      <c r="B137" t="s">
        <v>47</v>
      </c>
      <c r="C137" t="s">
        <v>48</v>
      </c>
      <c r="D137">
        <v>16</v>
      </c>
      <c r="E137" t="s">
        <v>58</v>
      </c>
      <c r="F137" s="2" t="s">
        <v>93</v>
      </c>
      <c r="G137" t="s">
        <v>88</v>
      </c>
      <c r="H137" s="18">
        <v>14.04</v>
      </c>
      <c r="I137" s="18" t="s">
        <v>95</v>
      </c>
      <c r="J137" s="18" t="s">
        <v>95</v>
      </c>
      <c r="K137" s="18">
        <f t="shared" si="47"/>
        <v>4.0000000000000008E-2</v>
      </c>
      <c r="L137" s="18" t="s">
        <v>95</v>
      </c>
      <c r="M137" s="18">
        <f t="shared" si="48"/>
        <v>350.99999999999994</v>
      </c>
      <c r="N137" s="18">
        <v>0.65769999999999995</v>
      </c>
      <c r="O137">
        <f t="shared" si="50"/>
        <v>16.442499999999995</v>
      </c>
      <c r="P137" s="18">
        <v>47.71</v>
      </c>
      <c r="Q137">
        <f t="shared" si="51"/>
        <v>167.46209999999999</v>
      </c>
      <c r="R137" s="18">
        <v>1.27</v>
      </c>
      <c r="S137">
        <f t="shared" si="52"/>
        <v>4.4576999999999991</v>
      </c>
      <c r="T137">
        <f t="shared" si="53"/>
        <v>37.566929133858267</v>
      </c>
    </row>
    <row r="138" spans="1:20" x14ac:dyDescent="0.2">
      <c r="A138">
        <v>227</v>
      </c>
      <c r="B138" t="s">
        <v>47</v>
      </c>
      <c r="C138" t="s">
        <v>48</v>
      </c>
      <c r="D138">
        <v>16</v>
      </c>
      <c r="E138" t="s">
        <v>59</v>
      </c>
      <c r="F138" s="2" t="s">
        <v>93</v>
      </c>
      <c r="G138" t="s">
        <v>88</v>
      </c>
      <c r="H138" s="18">
        <v>12.74</v>
      </c>
      <c r="I138" s="18" t="s">
        <v>95</v>
      </c>
      <c r="J138" s="18" t="s">
        <v>95</v>
      </c>
      <c r="K138" s="18">
        <f t="shared" si="47"/>
        <v>4.0000000000000008E-2</v>
      </c>
      <c r="L138" s="18" t="s">
        <v>95</v>
      </c>
      <c r="M138" s="18">
        <f t="shared" si="48"/>
        <v>318.5</v>
      </c>
      <c r="N138" s="18">
        <v>8.8200000000000001E-2</v>
      </c>
      <c r="O138">
        <f t="shared" si="50"/>
        <v>2.2049999999999996</v>
      </c>
      <c r="P138" s="18">
        <v>9.61</v>
      </c>
      <c r="Q138">
        <f t="shared" si="51"/>
        <v>30.607849999999996</v>
      </c>
      <c r="R138" s="18">
        <v>0.28999999999999998</v>
      </c>
      <c r="S138">
        <f t="shared" si="52"/>
        <v>0.92364999999999997</v>
      </c>
      <c r="T138">
        <f t="shared" si="53"/>
        <v>33.137931034482762</v>
      </c>
    </row>
    <row r="139" spans="1:20" x14ac:dyDescent="0.2">
      <c r="A139">
        <v>228</v>
      </c>
      <c r="B139" t="s">
        <v>47</v>
      </c>
      <c r="C139" t="s">
        <v>48</v>
      </c>
      <c r="D139">
        <v>16</v>
      </c>
      <c r="E139" t="s">
        <v>60</v>
      </c>
      <c r="F139" s="2" t="s">
        <v>93</v>
      </c>
      <c r="G139" t="s">
        <v>88</v>
      </c>
      <c r="H139" s="18">
        <v>27.48</v>
      </c>
      <c r="I139" s="18" t="s">
        <v>95</v>
      </c>
      <c r="J139" s="18" t="s">
        <v>95</v>
      </c>
      <c r="K139" s="18">
        <f t="shared" si="47"/>
        <v>4.0000000000000008E-2</v>
      </c>
      <c r="L139" s="18" t="s">
        <v>95</v>
      </c>
      <c r="M139" s="18">
        <f t="shared" si="48"/>
        <v>687</v>
      </c>
      <c r="N139" s="18">
        <v>1.224</v>
      </c>
      <c r="O139">
        <f t="shared" si="50"/>
        <v>30.599999999999994</v>
      </c>
      <c r="P139" s="18">
        <v>47.19</v>
      </c>
      <c r="Q139">
        <f t="shared" si="51"/>
        <v>324.19529999999997</v>
      </c>
      <c r="R139" s="18">
        <v>1.34</v>
      </c>
      <c r="S139">
        <f t="shared" si="52"/>
        <v>9.2058</v>
      </c>
      <c r="T139">
        <f t="shared" si="53"/>
        <v>35.21641791044776</v>
      </c>
    </row>
    <row r="140" spans="1:20" x14ac:dyDescent="0.2">
      <c r="A140">
        <v>229</v>
      </c>
      <c r="B140" t="s">
        <v>47</v>
      </c>
      <c r="C140" t="s">
        <v>48</v>
      </c>
      <c r="D140">
        <v>17</v>
      </c>
      <c r="E140" t="s">
        <v>61</v>
      </c>
      <c r="F140" s="2" t="s">
        <v>93</v>
      </c>
      <c r="G140" t="s">
        <v>88</v>
      </c>
      <c r="H140" s="18">
        <v>6.17</v>
      </c>
      <c r="I140" s="18" t="s">
        <v>95</v>
      </c>
      <c r="J140" s="18" t="s">
        <v>95</v>
      </c>
      <c r="K140" s="18">
        <f t="shared" si="47"/>
        <v>4.0000000000000008E-2</v>
      </c>
      <c r="L140" s="18" t="s">
        <v>95</v>
      </c>
      <c r="M140" s="18">
        <f t="shared" si="48"/>
        <v>154.25</v>
      </c>
      <c r="N140" s="18">
        <v>3.1300000000000001E-2</v>
      </c>
      <c r="O140">
        <f t="shared" si="50"/>
        <v>0.78249999999999986</v>
      </c>
      <c r="P140" s="18">
        <v>27.31</v>
      </c>
      <c r="Q140">
        <f t="shared" si="51"/>
        <v>42.125675000000001</v>
      </c>
      <c r="R140" s="18">
        <v>1.1499999999999999</v>
      </c>
      <c r="S140">
        <f t="shared" si="52"/>
        <v>1.7738749999999999</v>
      </c>
      <c r="T140">
        <f t="shared" si="53"/>
        <v>23.747826086956522</v>
      </c>
    </row>
    <row r="141" spans="1:20" x14ac:dyDescent="0.2">
      <c r="A141">
        <v>230</v>
      </c>
      <c r="B141" t="s">
        <v>47</v>
      </c>
      <c r="C141" t="s">
        <v>48</v>
      </c>
      <c r="D141">
        <v>17</v>
      </c>
      <c r="E141" t="s">
        <v>62</v>
      </c>
      <c r="F141" s="2" t="s">
        <v>93</v>
      </c>
      <c r="G141" t="s">
        <v>88</v>
      </c>
      <c r="H141" s="18">
        <v>15.75</v>
      </c>
      <c r="I141" s="18" t="s">
        <v>95</v>
      </c>
      <c r="J141" s="18" t="s">
        <v>95</v>
      </c>
      <c r="K141" s="18">
        <f t="shared" si="47"/>
        <v>4.0000000000000008E-2</v>
      </c>
      <c r="L141" s="18" t="s">
        <v>95</v>
      </c>
      <c r="M141" s="18">
        <f t="shared" si="48"/>
        <v>393.75</v>
      </c>
      <c r="N141" s="18">
        <v>0.67830000000000001</v>
      </c>
      <c r="O141">
        <f t="shared" si="50"/>
        <v>16.957499999999996</v>
      </c>
      <c r="P141" s="18">
        <v>14.39</v>
      </c>
      <c r="Q141">
        <f t="shared" si="51"/>
        <v>56.660625000000003</v>
      </c>
      <c r="R141" s="18">
        <v>0.79</v>
      </c>
      <c r="S141">
        <f t="shared" si="52"/>
        <v>3.1106250000000002</v>
      </c>
      <c r="T141">
        <f t="shared" si="53"/>
        <v>18.215189873417721</v>
      </c>
    </row>
    <row r="142" spans="1:20" x14ac:dyDescent="0.2">
      <c r="A142">
        <v>231</v>
      </c>
      <c r="B142" t="s">
        <v>47</v>
      </c>
      <c r="C142" t="s">
        <v>48</v>
      </c>
      <c r="D142">
        <v>17</v>
      </c>
      <c r="E142" t="s">
        <v>63</v>
      </c>
      <c r="F142" s="2" t="s">
        <v>93</v>
      </c>
      <c r="G142" t="s">
        <v>88</v>
      </c>
      <c r="H142" s="18">
        <v>10.75</v>
      </c>
      <c r="I142" s="18" t="s">
        <v>95</v>
      </c>
      <c r="J142" s="18" t="s">
        <v>95</v>
      </c>
      <c r="K142" s="18">
        <f t="shared" si="47"/>
        <v>4.0000000000000008E-2</v>
      </c>
      <c r="L142" s="18" t="s">
        <v>95</v>
      </c>
      <c r="M142" s="18">
        <f t="shared" ref="M142:M163" si="54">H142/0.04</f>
        <v>268.75</v>
      </c>
      <c r="N142" s="18">
        <v>1.6199999999999999E-2</v>
      </c>
      <c r="O142">
        <f t="shared" si="50"/>
        <v>0.40499999999999992</v>
      </c>
      <c r="P142" s="18">
        <v>16.489999999999998</v>
      </c>
      <c r="Q142">
        <f t="shared" si="51"/>
        <v>44.316874999999996</v>
      </c>
      <c r="R142" s="18">
        <v>0.83</v>
      </c>
      <c r="S142">
        <f t="shared" si="52"/>
        <v>2.2306249999999999</v>
      </c>
      <c r="T142">
        <f t="shared" si="53"/>
        <v>19.867469879518072</v>
      </c>
    </row>
    <row r="143" spans="1:20" x14ac:dyDescent="0.2">
      <c r="A143">
        <v>232</v>
      </c>
      <c r="B143" t="s">
        <v>47</v>
      </c>
      <c r="C143" t="s">
        <v>48</v>
      </c>
      <c r="D143">
        <v>18</v>
      </c>
      <c r="E143" t="s">
        <v>64</v>
      </c>
      <c r="F143" s="2" t="s">
        <v>93</v>
      </c>
      <c r="G143" t="s">
        <v>88</v>
      </c>
      <c r="H143" s="18">
        <v>9.52</v>
      </c>
      <c r="I143" s="18" t="s">
        <v>95</v>
      </c>
      <c r="J143" s="18" t="s">
        <v>95</v>
      </c>
      <c r="K143" s="18">
        <f t="shared" si="47"/>
        <v>4.0000000000000008E-2</v>
      </c>
      <c r="L143" s="18" t="s">
        <v>95</v>
      </c>
      <c r="M143" s="18">
        <f t="shared" si="54"/>
        <v>237.99999999999997</v>
      </c>
      <c r="N143" s="18">
        <v>3.1399999999999997E-2</v>
      </c>
      <c r="O143">
        <f t="shared" si="50"/>
        <v>0.78499999999999981</v>
      </c>
      <c r="P143" s="18">
        <v>35.33</v>
      </c>
      <c r="Q143">
        <f t="shared" si="51"/>
        <v>84.085399999999993</v>
      </c>
      <c r="R143" s="18">
        <v>1.26</v>
      </c>
      <c r="S143">
        <f t="shared" si="52"/>
        <v>2.9987999999999997</v>
      </c>
      <c r="T143">
        <f t="shared" si="53"/>
        <v>28.039682539682538</v>
      </c>
    </row>
    <row r="144" spans="1:20" x14ac:dyDescent="0.2">
      <c r="A144">
        <v>233</v>
      </c>
      <c r="B144" t="s">
        <v>47</v>
      </c>
      <c r="C144" t="s">
        <v>48</v>
      </c>
      <c r="D144">
        <v>18</v>
      </c>
      <c r="E144" t="s">
        <v>65</v>
      </c>
      <c r="F144" s="2" t="s">
        <v>93</v>
      </c>
      <c r="G144" t="s">
        <v>88</v>
      </c>
      <c r="H144" s="18">
        <v>13.14</v>
      </c>
      <c r="I144" s="18" t="s">
        <v>95</v>
      </c>
      <c r="J144" s="18" t="s">
        <v>95</v>
      </c>
      <c r="K144" s="18">
        <f t="shared" si="47"/>
        <v>4.0000000000000008E-2</v>
      </c>
      <c r="L144" s="18" t="s">
        <v>95</v>
      </c>
      <c r="M144" s="18">
        <f t="shared" si="54"/>
        <v>328.5</v>
      </c>
      <c r="N144" s="18">
        <v>8.6800000000000002E-2</v>
      </c>
      <c r="O144">
        <f t="shared" si="50"/>
        <v>2.1699999999999995</v>
      </c>
      <c r="P144" s="18">
        <v>33.090000000000003</v>
      </c>
      <c r="Q144">
        <f t="shared" si="51"/>
        <v>108.70065000000001</v>
      </c>
      <c r="R144" s="18">
        <v>1.1399999999999999</v>
      </c>
      <c r="S144">
        <f t="shared" si="52"/>
        <v>3.7448999999999995</v>
      </c>
      <c r="T144">
        <f t="shared" si="53"/>
        <v>29.026315789473689</v>
      </c>
    </row>
    <row r="145" spans="1:20" x14ac:dyDescent="0.2">
      <c r="A145">
        <v>234</v>
      </c>
      <c r="B145" t="s">
        <v>47</v>
      </c>
      <c r="C145" t="s">
        <v>48</v>
      </c>
      <c r="D145">
        <v>18</v>
      </c>
      <c r="E145" t="s">
        <v>66</v>
      </c>
      <c r="F145" s="2" t="s">
        <v>93</v>
      </c>
      <c r="G145" t="s">
        <v>88</v>
      </c>
      <c r="H145" s="18">
        <v>5.05</v>
      </c>
      <c r="I145" s="18" t="s">
        <v>95</v>
      </c>
      <c r="J145" s="18" t="s">
        <v>95</v>
      </c>
      <c r="K145" s="18">
        <f t="shared" si="47"/>
        <v>4.0000000000000008E-2</v>
      </c>
      <c r="L145" s="18" t="s">
        <v>95</v>
      </c>
      <c r="M145" s="18">
        <f t="shared" si="54"/>
        <v>126.25</v>
      </c>
      <c r="N145" s="18">
        <v>6.3E-3</v>
      </c>
      <c r="O145">
        <f t="shared" si="50"/>
        <v>0.15749999999999997</v>
      </c>
      <c r="P145" s="18">
        <v>47.43</v>
      </c>
      <c r="Q145">
        <f t="shared" si="51"/>
        <v>59.880375000000001</v>
      </c>
      <c r="R145" s="18">
        <v>1.37</v>
      </c>
      <c r="S145">
        <f t="shared" si="52"/>
        <v>1.729625</v>
      </c>
      <c r="T145">
        <f t="shared" si="53"/>
        <v>34.620437956204377</v>
      </c>
    </row>
    <row r="146" spans="1:20" x14ac:dyDescent="0.2">
      <c r="A146">
        <v>235</v>
      </c>
      <c r="B146" t="s">
        <v>67</v>
      </c>
      <c r="C146" t="s">
        <v>68</v>
      </c>
      <c r="D146">
        <v>19</v>
      </c>
      <c r="E146" t="s">
        <v>69</v>
      </c>
      <c r="F146" s="2" t="s">
        <v>93</v>
      </c>
      <c r="G146" t="s">
        <v>88</v>
      </c>
      <c r="H146" s="18">
        <v>4.5999999999999996</v>
      </c>
      <c r="I146" s="18" t="s">
        <v>95</v>
      </c>
      <c r="J146" s="18" t="s">
        <v>95</v>
      </c>
      <c r="K146" s="18">
        <f t="shared" si="47"/>
        <v>4.0000000000000008E-2</v>
      </c>
      <c r="L146" s="18" t="s">
        <v>95</v>
      </c>
      <c r="M146" s="18">
        <f t="shared" si="54"/>
        <v>114.99999999999999</v>
      </c>
      <c r="N146" s="18">
        <v>9.7299999999999998E-2</v>
      </c>
      <c r="O146">
        <f t="shared" si="50"/>
        <v>2.4324999999999997</v>
      </c>
      <c r="P146" s="18">
        <v>10.67</v>
      </c>
      <c r="Q146">
        <f t="shared" si="51"/>
        <v>12.270499999999998</v>
      </c>
      <c r="R146" s="18">
        <v>0.36</v>
      </c>
      <c r="S146">
        <f t="shared" si="52"/>
        <v>0.41399999999999992</v>
      </c>
      <c r="T146">
        <f t="shared" si="53"/>
        <v>29.638888888888889</v>
      </c>
    </row>
    <row r="147" spans="1:20" x14ac:dyDescent="0.2">
      <c r="A147">
        <v>236</v>
      </c>
      <c r="B147" t="s">
        <v>67</v>
      </c>
      <c r="C147" t="s">
        <v>68</v>
      </c>
      <c r="D147">
        <v>19</v>
      </c>
      <c r="E147" t="s">
        <v>70</v>
      </c>
      <c r="F147" s="2" t="s">
        <v>93</v>
      </c>
      <c r="G147" t="s">
        <v>88</v>
      </c>
      <c r="H147" s="18">
        <v>0.39</v>
      </c>
      <c r="I147" s="18" t="s">
        <v>95</v>
      </c>
      <c r="J147" s="18" t="s">
        <v>95</v>
      </c>
      <c r="K147" s="18">
        <f t="shared" si="47"/>
        <v>4.0000000000000008E-2</v>
      </c>
      <c r="L147" s="18" t="s">
        <v>95</v>
      </c>
      <c r="M147" s="18">
        <f t="shared" si="54"/>
        <v>9.75</v>
      </c>
      <c r="N147" s="18">
        <v>0.21820000000000001</v>
      </c>
      <c r="O147">
        <f t="shared" si="50"/>
        <v>5.4549999999999992</v>
      </c>
      <c r="P147" s="18">
        <v>13.04</v>
      </c>
      <c r="Q147">
        <f t="shared" si="51"/>
        <v>1.2713999999999999</v>
      </c>
      <c r="R147" s="18">
        <v>0.56000000000000005</v>
      </c>
      <c r="S147">
        <f t="shared" si="52"/>
        <v>5.460000000000001E-2</v>
      </c>
      <c r="T147">
        <f t="shared" si="53"/>
        <v>23.285714285714281</v>
      </c>
    </row>
    <row r="148" spans="1:20" x14ac:dyDescent="0.2">
      <c r="A148">
        <v>237</v>
      </c>
      <c r="B148" t="s">
        <v>67</v>
      </c>
      <c r="C148" t="s">
        <v>68</v>
      </c>
      <c r="D148">
        <v>19</v>
      </c>
      <c r="E148" t="s">
        <v>71</v>
      </c>
      <c r="F148" s="2" t="s">
        <v>93</v>
      </c>
      <c r="G148" t="s">
        <v>88</v>
      </c>
      <c r="H148" s="18">
        <v>0.52</v>
      </c>
      <c r="I148" s="18" t="s">
        <v>95</v>
      </c>
      <c r="J148" s="18" t="s">
        <v>95</v>
      </c>
      <c r="K148" s="18">
        <f t="shared" si="47"/>
        <v>4.0000000000000008E-2</v>
      </c>
      <c r="L148" s="18" t="s">
        <v>95</v>
      </c>
      <c r="M148" s="18">
        <f t="shared" si="54"/>
        <v>13</v>
      </c>
      <c r="N148" s="18">
        <v>6.4999999999999997E-3</v>
      </c>
      <c r="O148">
        <f t="shared" si="50"/>
        <v>0.16249999999999995</v>
      </c>
      <c r="P148" s="18">
        <v>36.409999999999997</v>
      </c>
      <c r="Q148">
        <f t="shared" si="51"/>
        <v>4.7332999999999998</v>
      </c>
      <c r="R148" s="18">
        <v>0.83</v>
      </c>
      <c r="S148">
        <f t="shared" si="52"/>
        <v>0.1079</v>
      </c>
      <c r="T148">
        <f t="shared" si="53"/>
        <v>43.867469879518069</v>
      </c>
    </row>
    <row r="149" spans="1:20" x14ac:dyDescent="0.2">
      <c r="A149">
        <v>238</v>
      </c>
      <c r="B149" t="s">
        <v>67</v>
      </c>
      <c r="C149" t="s">
        <v>68</v>
      </c>
      <c r="D149">
        <v>20</v>
      </c>
      <c r="E149" t="s">
        <v>72</v>
      </c>
      <c r="F149" s="2" t="s">
        <v>93</v>
      </c>
      <c r="G149" t="s">
        <v>88</v>
      </c>
      <c r="H149" s="18">
        <v>15.39</v>
      </c>
      <c r="I149" s="18" t="s">
        <v>95</v>
      </c>
      <c r="J149" s="18" t="s">
        <v>95</v>
      </c>
      <c r="K149" s="18">
        <f t="shared" si="47"/>
        <v>4.0000000000000008E-2</v>
      </c>
      <c r="L149" s="18" t="s">
        <v>95</v>
      </c>
      <c r="M149" s="18">
        <f t="shared" si="54"/>
        <v>384.75</v>
      </c>
      <c r="N149" s="18">
        <v>9.7199999999999995E-2</v>
      </c>
      <c r="O149">
        <f t="shared" si="50"/>
        <v>2.4299999999999993</v>
      </c>
      <c r="P149" s="18">
        <v>18.97</v>
      </c>
      <c r="Q149">
        <f t="shared" si="51"/>
        <v>72.98707499999999</v>
      </c>
      <c r="R149" s="18">
        <v>0.88</v>
      </c>
      <c r="S149">
        <f t="shared" si="52"/>
        <v>3.3858000000000001</v>
      </c>
      <c r="T149">
        <f t="shared" si="53"/>
        <v>21.55681818181818</v>
      </c>
    </row>
    <row r="150" spans="1:20" x14ac:dyDescent="0.2">
      <c r="A150">
        <v>239</v>
      </c>
      <c r="B150" t="s">
        <v>67</v>
      </c>
      <c r="C150" t="s">
        <v>68</v>
      </c>
      <c r="D150">
        <v>20</v>
      </c>
      <c r="E150" t="s">
        <v>73</v>
      </c>
      <c r="F150" s="2" t="s">
        <v>93</v>
      </c>
      <c r="G150" t="s">
        <v>88</v>
      </c>
      <c r="H150" s="18">
        <v>4.79</v>
      </c>
      <c r="I150" s="18" t="s">
        <v>95</v>
      </c>
      <c r="J150" s="18" t="s">
        <v>95</v>
      </c>
      <c r="K150" s="18">
        <f t="shared" si="47"/>
        <v>4.0000000000000008E-2</v>
      </c>
      <c r="L150" s="18" t="s">
        <v>95</v>
      </c>
      <c r="M150" s="18">
        <f t="shared" si="54"/>
        <v>119.75</v>
      </c>
      <c r="N150" s="18">
        <v>3.2399999999999998E-2</v>
      </c>
      <c r="O150">
        <f t="shared" si="50"/>
        <v>0.80999999999999983</v>
      </c>
      <c r="P150" s="18">
        <v>8.93</v>
      </c>
      <c r="Q150">
        <f t="shared" si="51"/>
        <v>10.693674999999999</v>
      </c>
      <c r="R150" s="18">
        <v>0.54</v>
      </c>
      <c r="S150">
        <f t="shared" si="52"/>
        <v>0.64665000000000006</v>
      </c>
      <c r="T150">
        <f t="shared" si="53"/>
        <v>16.537037037037035</v>
      </c>
    </row>
    <row r="151" spans="1:20" x14ac:dyDescent="0.2">
      <c r="A151">
        <v>240</v>
      </c>
      <c r="B151" t="s">
        <v>67</v>
      </c>
      <c r="C151" t="s">
        <v>68</v>
      </c>
      <c r="D151">
        <v>20</v>
      </c>
      <c r="E151" t="s">
        <v>74</v>
      </c>
      <c r="F151" s="2" t="s">
        <v>93</v>
      </c>
      <c r="G151" t="s">
        <v>88</v>
      </c>
      <c r="H151" s="18">
        <v>6.41</v>
      </c>
      <c r="I151" s="18" t="s">
        <v>95</v>
      </c>
      <c r="J151" s="18" t="s">
        <v>95</v>
      </c>
      <c r="K151" s="18">
        <f t="shared" si="47"/>
        <v>4.0000000000000008E-2</v>
      </c>
      <c r="L151" s="18" t="s">
        <v>95</v>
      </c>
      <c r="M151" s="18">
        <f t="shared" si="54"/>
        <v>160.25</v>
      </c>
      <c r="N151" s="18">
        <v>3.6200000000000003E-2</v>
      </c>
      <c r="O151">
        <f t="shared" si="50"/>
        <v>0.90499999999999992</v>
      </c>
      <c r="P151" s="18">
        <v>19.78</v>
      </c>
      <c r="Q151">
        <f t="shared" si="51"/>
        <v>31.69745</v>
      </c>
      <c r="R151" s="18">
        <v>0.84</v>
      </c>
      <c r="S151">
        <f t="shared" si="52"/>
        <v>1.3460999999999999</v>
      </c>
      <c r="T151">
        <f t="shared" si="53"/>
        <v>23.547619047619051</v>
      </c>
    </row>
    <row r="152" spans="1:20" x14ac:dyDescent="0.2">
      <c r="A152">
        <v>241</v>
      </c>
      <c r="B152" t="s">
        <v>67</v>
      </c>
      <c r="C152" t="s">
        <v>68</v>
      </c>
      <c r="D152">
        <v>21</v>
      </c>
      <c r="E152" t="s">
        <v>75</v>
      </c>
      <c r="F152" s="2" t="s">
        <v>93</v>
      </c>
      <c r="G152" t="s">
        <v>88</v>
      </c>
      <c r="H152" s="18">
        <v>11.52</v>
      </c>
      <c r="I152" s="18" t="s">
        <v>95</v>
      </c>
      <c r="J152" s="18" t="s">
        <v>95</v>
      </c>
      <c r="K152" s="18">
        <f t="shared" si="47"/>
        <v>4.0000000000000008E-2</v>
      </c>
      <c r="L152" s="18" t="s">
        <v>95</v>
      </c>
      <c r="M152" s="18">
        <f t="shared" si="54"/>
        <v>288</v>
      </c>
      <c r="N152" s="18">
        <v>0.44019999999999998</v>
      </c>
      <c r="O152">
        <f t="shared" si="50"/>
        <v>11.004999999999997</v>
      </c>
      <c r="P152" s="18">
        <v>24.04</v>
      </c>
      <c r="Q152">
        <f t="shared" si="51"/>
        <v>69.235200000000006</v>
      </c>
      <c r="R152" s="18">
        <v>0.98</v>
      </c>
      <c r="S152">
        <f t="shared" si="52"/>
        <v>2.8224</v>
      </c>
      <c r="T152">
        <f t="shared" si="53"/>
        <v>24.530612244897959</v>
      </c>
    </row>
    <row r="153" spans="1:20" x14ac:dyDescent="0.2">
      <c r="A153">
        <v>242</v>
      </c>
      <c r="B153" t="s">
        <v>67</v>
      </c>
      <c r="C153" t="s">
        <v>68</v>
      </c>
      <c r="D153">
        <v>21</v>
      </c>
      <c r="E153" t="s">
        <v>76</v>
      </c>
      <c r="F153" s="2" t="s">
        <v>93</v>
      </c>
      <c r="G153" t="s">
        <v>88</v>
      </c>
      <c r="H153" s="18">
        <v>18.2</v>
      </c>
      <c r="I153" s="18" t="s">
        <v>95</v>
      </c>
      <c r="J153" s="18" t="s">
        <v>95</v>
      </c>
      <c r="K153" s="18">
        <f t="shared" si="47"/>
        <v>4.0000000000000008E-2</v>
      </c>
      <c r="L153" s="18" t="s">
        <v>95</v>
      </c>
      <c r="M153" s="18">
        <f t="shared" si="54"/>
        <v>455</v>
      </c>
      <c r="N153" s="18">
        <v>0.48449999999999999</v>
      </c>
      <c r="O153">
        <f t="shared" si="50"/>
        <v>12.112499999999997</v>
      </c>
      <c r="P153" s="18">
        <v>37.14</v>
      </c>
      <c r="Q153">
        <f t="shared" si="51"/>
        <v>168.98699999999999</v>
      </c>
      <c r="R153" s="18">
        <v>1.24</v>
      </c>
      <c r="S153">
        <f t="shared" si="52"/>
        <v>5.6419999999999995</v>
      </c>
      <c r="T153">
        <f t="shared" si="53"/>
        <v>29.951612903225808</v>
      </c>
    </row>
    <row r="154" spans="1:20" x14ac:dyDescent="0.2">
      <c r="A154">
        <v>243</v>
      </c>
      <c r="B154" t="s">
        <v>67</v>
      </c>
      <c r="C154" t="s">
        <v>68</v>
      </c>
      <c r="D154">
        <v>21</v>
      </c>
      <c r="E154" t="s">
        <v>77</v>
      </c>
      <c r="F154" s="2" t="s">
        <v>93</v>
      </c>
      <c r="G154" t="s">
        <v>88</v>
      </c>
      <c r="H154" s="18">
        <v>12.01</v>
      </c>
      <c r="I154" s="18" t="s">
        <v>95</v>
      </c>
      <c r="J154" s="18" t="s">
        <v>95</v>
      </c>
      <c r="K154" s="18">
        <f t="shared" si="47"/>
        <v>4.0000000000000008E-2</v>
      </c>
      <c r="L154" s="18" t="s">
        <v>95</v>
      </c>
      <c r="M154" s="18">
        <f t="shared" si="54"/>
        <v>300.25</v>
      </c>
      <c r="N154" s="18">
        <v>9.1800000000000007E-2</v>
      </c>
      <c r="O154">
        <f t="shared" si="50"/>
        <v>2.2949999999999999</v>
      </c>
      <c r="P154" s="18">
        <v>43</v>
      </c>
      <c r="Q154">
        <f t="shared" si="51"/>
        <v>129.10749999999999</v>
      </c>
      <c r="R154" s="18">
        <v>1.32</v>
      </c>
      <c r="S154">
        <f t="shared" si="52"/>
        <v>3.9632999999999998</v>
      </c>
      <c r="T154">
        <f t="shared" si="53"/>
        <v>32.575757575757571</v>
      </c>
    </row>
    <row r="155" spans="1:20" x14ac:dyDescent="0.2">
      <c r="A155">
        <v>244</v>
      </c>
      <c r="B155" t="s">
        <v>67</v>
      </c>
      <c r="C155" t="s">
        <v>68</v>
      </c>
      <c r="D155">
        <v>22</v>
      </c>
      <c r="E155" t="s">
        <v>78</v>
      </c>
      <c r="F155" s="2" t="s">
        <v>93</v>
      </c>
      <c r="G155" t="s">
        <v>88</v>
      </c>
      <c r="H155" s="18">
        <v>7.29</v>
      </c>
      <c r="I155" s="18" t="s">
        <v>95</v>
      </c>
      <c r="J155" s="18" t="s">
        <v>95</v>
      </c>
      <c r="K155" s="18">
        <f t="shared" si="47"/>
        <v>4.0000000000000008E-2</v>
      </c>
      <c r="L155" s="18" t="s">
        <v>95</v>
      </c>
      <c r="M155" s="18">
        <f t="shared" si="54"/>
        <v>182.25</v>
      </c>
      <c r="N155" s="18">
        <v>0.25600000000000001</v>
      </c>
      <c r="O155">
        <f t="shared" si="50"/>
        <v>6.3999999999999986</v>
      </c>
      <c r="P155" s="18">
        <v>39.36</v>
      </c>
      <c r="Q155">
        <f t="shared" si="51"/>
        <v>71.733599999999996</v>
      </c>
      <c r="R155" s="18">
        <v>1.37</v>
      </c>
      <c r="S155">
        <f t="shared" si="52"/>
        <v>2.4968249999999999</v>
      </c>
      <c r="T155">
        <f t="shared" si="53"/>
        <v>28.729927007299267</v>
      </c>
    </row>
    <row r="156" spans="1:20" x14ac:dyDescent="0.2">
      <c r="A156">
        <v>245</v>
      </c>
      <c r="B156" t="s">
        <v>67</v>
      </c>
      <c r="C156" t="s">
        <v>68</v>
      </c>
      <c r="D156">
        <v>22</v>
      </c>
      <c r="E156" t="s">
        <v>79</v>
      </c>
      <c r="F156" s="2" t="s">
        <v>93</v>
      </c>
      <c r="G156" t="s">
        <v>88</v>
      </c>
      <c r="H156" s="18">
        <v>6.29</v>
      </c>
      <c r="I156" s="18" t="s">
        <v>95</v>
      </c>
      <c r="J156" s="18" t="s">
        <v>95</v>
      </c>
      <c r="K156" s="18">
        <f t="shared" si="47"/>
        <v>4.0000000000000008E-2</v>
      </c>
      <c r="L156" s="18" t="s">
        <v>95</v>
      </c>
      <c r="M156" s="18">
        <f t="shared" si="54"/>
        <v>157.25</v>
      </c>
      <c r="N156" s="18">
        <v>9.5999999999999992E-3</v>
      </c>
      <c r="O156">
        <f t="shared" si="50"/>
        <v>0.23999999999999994</v>
      </c>
      <c r="P156" s="18">
        <v>26.53</v>
      </c>
      <c r="Q156">
        <f t="shared" si="51"/>
        <v>41.718425000000003</v>
      </c>
      <c r="R156" s="18">
        <v>0.83</v>
      </c>
      <c r="S156">
        <f t="shared" si="52"/>
        <v>1.305175</v>
      </c>
      <c r="T156">
        <f t="shared" si="53"/>
        <v>31.963855421686748</v>
      </c>
    </row>
    <row r="157" spans="1:20" x14ac:dyDescent="0.2">
      <c r="A157">
        <v>246</v>
      </c>
      <c r="B157" t="s">
        <v>67</v>
      </c>
      <c r="C157" t="s">
        <v>68</v>
      </c>
      <c r="D157">
        <v>22</v>
      </c>
      <c r="E157" t="s">
        <v>80</v>
      </c>
      <c r="F157" s="2" t="s">
        <v>93</v>
      </c>
      <c r="G157" t="s">
        <v>88</v>
      </c>
      <c r="H157" s="18">
        <v>3.36</v>
      </c>
      <c r="I157" s="18" t="s">
        <v>95</v>
      </c>
      <c r="J157" s="18" t="s">
        <v>95</v>
      </c>
      <c r="K157" s="18">
        <f t="shared" ref="K157:K163" si="55">0.2*0.2</f>
        <v>4.0000000000000008E-2</v>
      </c>
      <c r="L157" s="18" t="s">
        <v>95</v>
      </c>
      <c r="M157" s="18">
        <f t="shared" si="54"/>
        <v>84</v>
      </c>
      <c r="N157" s="18">
        <v>8.5000000000000006E-3</v>
      </c>
      <c r="O157">
        <f t="shared" si="50"/>
        <v>0.21249999999999997</v>
      </c>
      <c r="P157" s="18">
        <v>40.86</v>
      </c>
      <c r="Q157">
        <f t="shared" si="51"/>
        <v>34.322400000000002</v>
      </c>
      <c r="R157" s="18">
        <v>1.26</v>
      </c>
      <c r="S157">
        <f t="shared" si="52"/>
        <v>1.0584</v>
      </c>
      <c r="T157">
        <f t="shared" si="53"/>
        <v>32.428571428571431</v>
      </c>
    </row>
    <row r="158" spans="1:20" x14ac:dyDescent="0.2">
      <c r="A158">
        <v>247</v>
      </c>
      <c r="B158" t="s">
        <v>67</v>
      </c>
      <c r="C158" t="s">
        <v>68</v>
      </c>
      <c r="D158">
        <v>23</v>
      </c>
      <c r="E158" t="s">
        <v>81</v>
      </c>
      <c r="F158" s="2" t="s">
        <v>93</v>
      </c>
      <c r="G158" t="s">
        <v>88</v>
      </c>
      <c r="H158" s="18">
        <v>4.3099999999999996</v>
      </c>
      <c r="I158" s="18" t="s">
        <v>95</v>
      </c>
      <c r="J158" s="18" t="s">
        <v>95</v>
      </c>
      <c r="K158" s="18">
        <f t="shared" si="55"/>
        <v>4.0000000000000008E-2</v>
      </c>
      <c r="L158" s="18" t="s">
        <v>95</v>
      </c>
      <c r="M158" s="18">
        <f t="shared" si="54"/>
        <v>107.74999999999999</v>
      </c>
      <c r="N158" s="18">
        <v>0.54749999999999999</v>
      </c>
      <c r="O158">
        <f t="shared" si="50"/>
        <v>13.687499999999996</v>
      </c>
      <c r="P158" s="18">
        <v>17.11</v>
      </c>
      <c r="Q158">
        <f t="shared" si="51"/>
        <v>18.436024999999997</v>
      </c>
      <c r="R158" s="18">
        <v>0.72</v>
      </c>
      <c r="S158">
        <f t="shared" si="52"/>
        <v>0.77579999999999982</v>
      </c>
      <c r="T158">
        <f t="shared" si="53"/>
        <v>23.763888888888889</v>
      </c>
    </row>
    <row r="159" spans="1:20" x14ac:dyDescent="0.2">
      <c r="A159">
        <v>248</v>
      </c>
      <c r="B159" t="s">
        <v>67</v>
      </c>
      <c r="C159" t="s">
        <v>68</v>
      </c>
      <c r="D159">
        <v>23</v>
      </c>
      <c r="E159" t="s">
        <v>82</v>
      </c>
      <c r="F159" s="2" t="s">
        <v>93</v>
      </c>
      <c r="G159" t="s">
        <v>88</v>
      </c>
      <c r="H159" s="18">
        <v>18.59</v>
      </c>
      <c r="I159" s="18" t="s">
        <v>95</v>
      </c>
      <c r="J159" s="18" t="s">
        <v>95</v>
      </c>
      <c r="K159" s="18">
        <f t="shared" si="55"/>
        <v>4.0000000000000008E-2</v>
      </c>
      <c r="L159" s="18" t="s">
        <v>95</v>
      </c>
      <c r="M159" s="18">
        <f t="shared" si="54"/>
        <v>464.75</v>
      </c>
      <c r="N159" s="18" t="s">
        <v>95</v>
      </c>
      <c r="O159" s="5" t="s">
        <v>95</v>
      </c>
      <c r="P159" s="18">
        <v>11.72</v>
      </c>
      <c r="Q159">
        <f t="shared" si="51"/>
        <v>54.468700000000005</v>
      </c>
      <c r="R159" s="18">
        <v>0.61</v>
      </c>
      <c r="S159">
        <f t="shared" si="52"/>
        <v>2.8349749999999996</v>
      </c>
      <c r="T159">
        <f t="shared" si="53"/>
        <v>19.213114754098363</v>
      </c>
    </row>
    <row r="160" spans="1:20" x14ac:dyDescent="0.2">
      <c r="A160">
        <v>249</v>
      </c>
      <c r="B160" t="s">
        <v>67</v>
      </c>
      <c r="C160" t="s">
        <v>68</v>
      </c>
      <c r="D160">
        <v>23</v>
      </c>
      <c r="E160" t="s">
        <v>83</v>
      </c>
      <c r="F160" s="2" t="s">
        <v>93</v>
      </c>
      <c r="G160" t="s">
        <v>88</v>
      </c>
      <c r="H160" s="18">
        <v>1.1599999999999999</v>
      </c>
      <c r="I160" s="18" t="s">
        <v>95</v>
      </c>
      <c r="J160" s="18" t="s">
        <v>95</v>
      </c>
      <c r="K160" s="18">
        <f t="shared" si="55"/>
        <v>4.0000000000000008E-2</v>
      </c>
      <c r="L160" s="18" t="s">
        <v>95</v>
      </c>
      <c r="M160" s="18">
        <f t="shared" si="54"/>
        <v>28.999999999999996</v>
      </c>
      <c r="N160" s="18">
        <v>6.9999999999999999E-4</v>
      </c>
      <c r="O160">
        <f>N160/K160</f>
        <v>1.7499999999999995E-2</v>
      </c>
      <c r="P160" s="18">
        <v>40.950000000000003</v>
      </c>
      <c r="Q160">
        <f t="shared" si="51"/>
        <v>11.875499999999999</v>
      </c>
      <c r="R160" s="18">
        <v>1.27</v>
      </c>
      <c r="S160">
        <f t="shared" si="52"/>
        <v>0.36829999999999996</v>
      </c>
      <c r="T160">
        <f t="shared" si="53"/>
        <v>32.244094488188978</v>
      </c>
    </row>
    <row r="161" spans="1:20" x14ac:dyDescent="0.2">
      <c r="A161">
        <v>250</v>
      </c>
      <c r="B161" t="s">
        <v>67</v>
      </c>
      <c r="C161" t="s">
        <v>84</v>
      </c>
      <c r="D161">
        <v>24</v>
      </c>
      <c r="E161" t="s">
        <v>85</v>
      </c>
      <c r="F161" s="2" t="s">
        <v>93</v>
      </c>
      <c r="G161" t="s">
        <v>88</v>
      </c>
      <c r="H161" s="18">
        <v>6.48</v>
      </c>
      <c r="I161" s="18" t="s">
        <v>95</v>
      </c>
      <c r="J161" s="18" t="s">
        <v>95</v>
      </c>
      <c r="K161" s="18">
        <f t="shared" si="55"/>
        <v>4.0000000000000008E-2</v>
      </c>
      <c r="L161" s="18" t="s">
        <v>95</v>
      </c>
      <c r="M161" s="18">
        <f t="shared" si="54"/>
        <v>162</v>
      </c>
      <c r="N161" s="18">
        <v>0.31390000000000001</v>
      </c>
      <c r="O161">
        <f>N161/K161</f>
        <v>7.8474999999999984</v>
      </c>
      <c r="P161" s="18">
        <v>48.45</v>
      </c>
      <c r="Q161">
        <f t="shared" si="51"/>
        <v>78.489000000000004</v>
      </c>
      <c r="R161" s="18">
        <v>1.4</v>
      </c>
      <c r="S161">
        <f t="shared" si="52"/>
        <v>2.2679999999999998</v>
      </c>
      <c r="T161">
        <f t="shared" si="53"/>
        <v>34.607142857142861</v>
      </c>
    </row>
    <row r="162" spans="1:20" x14ac:dyDescent="0.2">
      <c r="A162">
        <v>251</v>
      </c>
      <c r="B162" t="s">
        <v>67</v>
      </c>
      <c r="C162" t="s">
        <v>84</v>
      </c>
      <c r="D162">
        <v>24</v>
      </c>
      <c r="E162" t="s">
        <v>86</v>
      </c>
      <c r="F162" s="2" t="s">
        <v>93</v>
      </c>
      <c r="G162" t="s">
        <v>88</v>
      </c>
      <c r="H162" s="18">
        <v>4.5999999999999996</v>
      </c>
      <c r="I162" s="18" t="s">
        <v>95</v>
      </c>
      <c r="J162" s="18" t="s">
        <v>95</v>
      </c>
      <c r="K162" s="18">
        <f t="shared" si="55"/>
        <v>4.0000000000000008E-2</v>
      </c>
      <c r="L162" s="18" t="s">
        <v>95</v>
      </c>
      <c r="M162" s="18">
        <f t="shared" si="54"/>
        <v>114.99999999999999</v>
      </c>
      <c r="N162" s="18">
        <v>6.5199999999999994E-2</v>
      </c>
      <c r="O162">
        <f>N162/K162</f>
        <v>1.6299999999999994</v>
      </c>
      <c r="P162" s="18">
        <v>47.25</v>
      </c>
      <c r="Q162">
        <f t="shared" ref="Q162:Q193" si="56">M162*(P162/100)</f>
        <v>54.337499999999991</v>
      </c>
      <c r="R162" s="18">
        <v>1.33</v>
      </c>
      <c r="S162">
        <f t="shared" ref="S162:S193" si="57">M162*(R162/100)</f>
        <v>1.5294999999999999</v>
      </c>
      <c r="T162">
        <f t="shared" si="53"/>
        <v>35.526315789473685</v>
      </c>
    </row>
    <row r="163" spans="1:20" x14ac:dyDescent="0.2">
      <c r="A163">
        <v>252</v>
      </c>
      <c r="B163" t="s">
        <v>67</v>
      </c>
      <c r="C163" t="s">
        <v>84</v>
      </c>
      <c r="D163">
        <v>24</v>
      </c>
      <c r="E163" t="s">
        <v>87</v>
      </c>
      <c r="F163" s="2" t="s">
        <v>93</v>
      </c>
      <c r="G163" t="s">
        <v>88</v>
      </c>
      <c r="H163" s="18">
        <v>1.98</v>
      </c>
      <c r="I163" s="18" t="s">
        <v>95</v>
      </c>
      <c r="J163" s="18" t="s">
        <v>95</v>
      </c>
      <c r="K163" s="18">
        <f t="shared" si="55"/>
        <v>4.0000000000000008E-2</v>
      </c>
      <c r="L163" s="18" t="s">
        <v>95</v>
      </c>
      <c r="M163" s="18">
        <f t="shared" si="54"/>
        <v>49.5</v>
      </c>
      <c r="N163" s="18">
        <v>4.6699999999999998E-2</v>
      </c>
      <c r="O163">
        <f>N163/K163</f>
        <v>1.1674999999999998</v>
      </c>
      <c r="P163" s="18">
        <v>43.78</v>
      </c>
      <c r="Q163">
        <f t="shared" si="56"/>
        <v>21.671100000000003</v>
      </c>
      <c r="R163" s="18">
        <v>1.44</v>
      </c>
      <c r="S163">
        <f t="shared" si="57"/>
        <v>0.71279999999999999</v>
      </c>
      <c r="T163">
        <f t="shared" si="53"/>
        <v>30.402777777777779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Used_Data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Philip</dc:creator>
  <cp:lastModifiedBy>Emel Kangi</cp:lastModifiedBy>
  <dcterms:created xsi:type="dcterms:W3CDTF">2025-05-02T14:23:25Z</dcterms:created>
  <dcterms:modified xsi:type="dcterms:W3CDTF">2025-07-29T18:17:19Z</dcterms:modified>
</cp:coreProperties>
</file>