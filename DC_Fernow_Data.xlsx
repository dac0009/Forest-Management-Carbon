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elkangi/Desk_Docs/Research/Cifelli_Fernow/"/>
    </mc:Choice>
  </mc:AlternateContent>
  <xr:revisionPtr revIDLastSave="0" documentId="13_ncr:1_{C0A9FFCF-7FD7-7748-A569-7BBB96AA7086}" xr6:coauthVersionLast="47" xr6:coauthVersionMax="47" xr10:uidLastSave="{00000000-0000-0000-0000-000000000000}"/>
  <bookViews>
    <workbookView xWindow="3520" yWindow="760" windowWidth="23180" windowHeight="17240" xr2:uid="{0A43C295-629C-A344-A00B-0433C7715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" i="1"/>
  <c r="T27" i="1"/>
  <c r="T28" i="1"/>
  <c r="T29" i="1"/>
  <c r="U29" i="1" s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Y27" i="1"/>
  <c r="AE27" i="1" s="1"/>
  <c r="Z27" i="1"/>
  <c r="AF27" i="1" s="1"/>
  <c r="AA27" i="1"/>
  <c r="AG27" i="1" s="1"/>
  <c r="Y28" i="1"/>
  <c r="AE28" i="1" s="1"/>
  <c r="Z28" i="1"/>
  <c r="AF28" i="1" s="1"/>
  <c r="AA28" i="1"/>
  <c r="AG28" i="1" s="1"/>
  <c r="Y29" i="1"/>
  <c r="AE29" i="1" s="1"/>
  <c r="Z29" i="1"/>
  <c r="AF29" i="1" s="1"/>
  <c r="AA29" i="1"/>
  <c r="AG29" i="1" s="1"/>
  <c r="Y30" i="1"/>
  <c r="AE30" i="1" s="1"/>
  <c r="Z30" i="1"/>
  <c r="AF30" i="1" s="1"/>
  <c r="AA30" i="1"/>
  <c r="AG30" i="1" s="1"/>
  <c r="AL30" i="1" s="1"/>
  <c r="Y31" i="1"/>
  <c r="AE31" i="1" s="1"/>
  <c r="Z31" i="1"/>
  <c r="AF31" i="1" s="1"/>
  <c r="AA31" i="1"/>
  <c r="AG31" i="1" s="1"/>
  <c r="Y32" i="1"/>
  <c r="AE32" i="1" s="1"/>
  <c r="Z32" i="1"/>
  <c r="AF32" i="1" s="1"/>
  <c r="AA32" i="1"/>
  <c r="AG32" i="1" s="1"/>
  <c r="Y33" i="1"/>
  <c r="AE33" i="1" s="1"/>
  <c r="Z33" i="1"/>
  <c r="AF33" i="1" s="1"/>
  <c r="AA33" i="1"/>
  <c r="AG33" i="1" s="1"/>
  <c r="Y34" i="1"/>
  <c r="AE34" i="1" s="1"/>
  <c r="Z34" i="1"/>
  <c r="AF34" i="1" s="1"/>
  <c r="AA34" i="1"/>
  <c r="AG34" i="1" s="1"/>
  <c r="Y35" i="1"/>
  <c r="AE35" i="1" s="1"/>
  <c r="Z35" i="1"/>
  <c r="AF35" i="1" s="1"/>
  <c r="AA35" i="1"/>
  <c r="AG35" i="1" s="1"/>
  <c r="Y36" i="1"/>
  <c r="AE36" i="1" s="1"/>
  <c r="Z36" i="1"/>
  <c r="AF36" i="1" s="1"/>
  <c r="AA36" i="1"/>
  <c r="AG36" i="1" s="1"/>
  <c r="Y37" i="1"/>
  <c r="AE37" i="1" s="1"/>
  <c r="Z37" i="1"/>
  <c r="AF37" i="1" s="1"/>
  <c r="AA37" i="1"/>
  <c r="AG37" i="1" s="1"/>
  <c r="Y38" i="1"/>
  <c r="AE38" i="1" s="1"/>
  <c r="Z38" i="1"/>
  <c r="AF38" i="1" s="1"/>
  <c r="AA38" i="1"/>
  <c r="AG38" i="1" s="1"/>
  <c r="Y39" i="1"/>
  <c r="AE39" i="1" s="1"/>
  <c r="Z39" i="1"/>
  <c r="AF39" i="1" s="1"/>
  <c r="AA39" i="1"/>
  <c r="AG39" i="1" s="1"/>
  <c r="Y40" i="1"/>
  <c r="AE40" i="1" s="1"/>
  <c r="Z40" i="1"/>
  <c r="AF40" i="1" s="1"/>
  <c r="AA40" i="1"/>
  <c r="AG40" i="1" s="1"/>
  <c r="Y41" i="1"/>
  <c r="AE41" i="1" s="1"/>
  <c r="Z41" i="1"/>
  <c r="AF41" i="1" s="1"/>
  <c r="AA41" i="1"/>
  <c r="AG41" i="1" s="1"/>
  <c r="Y42" i="1"/>
  <c r="AE42" i="1" s="1"/>
  <c r="Z42" i="1"/>
  <c r="AF42" i="1" s="1"/>
  <c r="AA42" i="1"/>
  <c r="AG42" i="1" s="1"/>
  <c r="Y43" i="1"/>
  <c r="AE43" i="1" s="1"/>
  <c r="Z43" i="1"/>
  <c r="AF43" i="1" s="1"/>
  <c r="AA43" i="1"/>
  <c r="AG43" i="1" s="1"/>
  <c r="Y44" i="1"/>
  <c r="AE44" i="1" s="1"/>
  <c r="Z44" i="1"/>
  <c r="AF44" i="1" s="1"/>
  <c r="AA44" i="1"/>
  <c r="AG44" i="1" s="1"/>
  <c r="Y45" i="1"/>
  <c r="AE45" i="1" s="1"/>
  <c r="Z45" i="1"/>
  <c r="AF45" i="1" s="1"/>
  <c r="AA45" i="1"/>
  <c r="AG45" i="1" s="1"/>
  <c r="Y46" i="1"/>
  <c r="AE46" i="1" s="1"/>
  <c r="Z46" i="1"/>
  <c r="AF46" i="1" s="1"/>
  <c r="AA46" i="1"/>
  <c r="AG46" i="1" s="1"/>
  <c r="Y47" i="1"/>
  <c r="AE47" i="1" s="1"/>
  <c r="Z47" i="1"/>
  <c r="AF47" i="1" s="1"/>
  <c r="AA47" i="1"/>
  <c r="AG47" i="1" s="1"/>
  <c r="Y48" i="1"/>
  <c r="AE48" i="1" s="1"/>
  <c r="Z48" i="1"/>
  <c r="AF48" i="1" s="1"/>
  <c r="AA48" i="1"/>
  <c r="AG48" i="1" s="1"/>
  <c r="Y49" i="1"/>
  <c r="AE49" i="1" s="1"/>
  <c r="Z49" i="1"/>
  <c r="AF49" i="1" s="1"/>
  <c r="AA49" i="1"/>
  <c r="AG49" i="1" s="1"/>
  <c r="Y50" i="1"/>
  <c r="AE50" i="1" s="1"/>
  <c r="Z50" i="1"/>
  <c r="AF50" i="1" s="1"/>
  <c r="AA50" i="1"/>
  <c r="AG50" i="1" s="1"/>
  <c r="AL50" i="1" s="1"/>
  <c r="Y51" i="1"/>
  <c r="AE51" i="1" s="1"/>
  <c r="Z51" i="1"/>
  <c r="AF51" i="1" s="1"/>
  <c r="AA51" i="1"/>
  <c r="AG51" i="1" s="1"/>
  <c r="Y52" i="1"/>
  <c r="AE52" i="1" s="1"/>
  <c r="Z52" i="1"/>
  <c r="AF52" i="1" s="1"/>
  <c r="AA52" i="1"/>
  <c r="AG52" i="1" s="1"/>
  <c r="Y53" i="1"/>
  <c r="AE53" i="1" s="1"/>
  <c r="Z53" i="1"/>
  <c r="AF53" i="1" s="1"/>
  <c r="AA53" i="1"/>
  <c r="AG53" i="1" s="1"/>
  <c r="Y54" i="1"/>
  <c r="AE54" i="1" s="1"/>
  <c r="Z54" i="1"/>
  <c r="AF54" i="1" s="1"/>
  <c r="AA54" i="1"/>
  <c r="AG54" i="1" s="1"/>
  <c r="Y55" i="1"/>
  <c r="AE55" i="1" s="1"/>
  <c r="Z55" i="1"/>
  <c r="AF55" i="1" s="1"/>
  <c r="AA55" i="1"/>
  <c r="AG55" i="1" s="1"/>
  <c r="Y56" i="1"/>
  <c r="AE56" i="1" s="1"/>
  <c r="Z56" i="1"/>
  <c r="AF56" i="1" s="1"/>
  <c r="AA56" i="1"/>
  <c r="AG56" i="1" s="1"/>
  <c r="Y57" i="1"/>
  <c r="AE57" i="1" s="1"/>
  <c r="Z57" i="1"/>
  <c r="AF57" i="1" s="1"/>
  <c r="AA57" i="1"/>
  <c r="AG57" i="1" s="1"/>
  <c r="Y58" i="1"/>
  <c r="AE58" i="1" s="1"/>
  <c r="Z58" i="1"/>
  <c r="AF58" i="1" s="1"/>
  <c r="AH58" i="1" s="1"/>
  <c r="AK58" i="1" s="1"/>
  <c r="AA58" i="1"/>
  <c r="AG58" i="1" s="1"/>
  <c r="Y59" i="1"/>
  <c r="AE59" i="1" s="1"/>
  <c r="Z59" i="1"/>
  <c r="AF59" i="1" s="1"/>
  <c r="AA59" i="1"/>
  <c r="AG59" i="1" s="1"/>
  <c r="Y60" i="1"/>
  <c r="AE60" i="1" s="1"/>
  <c r="Z60" i="1"/>
  <c r="AF60" i="1" s="1"/>
  <c r="AA60" i="1"/>
  <c r="AG60" i="1" s="1"/>
  <c r="Y61" i="1"/>
  <c r="AE61" i="1" s="1"/>
  <c r="Z61" i="1"/>
  <c r="AF61" i="1" s="1"/>
  <c r="AA61" i="1"/>
  <c r="AG61" i="1" s="1"/>
  <c r="Y62" i="1"/>
  <c r="AE62" i="1" s="1"/>
  <c r="Z62" i="1"/>
  <c r="AF62" i="1" s="1"/>
  <c r="AA62" i="1"/>
  <c r="AG62" i="1" s="1"/>
  <c r="Y63" i="1"/>
  <c r="AE63" i="1" s="1"/>
  <c r="Z63" i="1"/>
  <c r="AF63" i="1" s="1"/>
  <c r="AA63" i="1"/>
  <c r="AG63" i="1" s="1"/>
  <c r="AL63" i="1" s="1"/>
  <c r="Y64" i="1"/>
  <c r="AE64" i="1" s="1"/>
  <c r="Z64" i="1"/>
  <c r="AF64" i="1" s="1"/>
  <c r="AA64" i="1"/>
  <c r="AG64" i="1" s="1"/>
  <c r="Y65" i="1"/>
  <c r="AE65" i="1" s="1"/>
  <c r="Z65" i="1"/>
  <c r="AF65" i="1" s="1"/>
  <c r="AA65" i="1"/>
  <c r="AG65" i="1" s="1"/>
  <c r="Y66" i="1"/>
  <c r="AE66" i="1" s="1"/>
  <c r="Z66" i="1"/>
  <c r="AF66" i="1" s="1"/>
  <c r="AA66" i="1"/>
  <c r="AG66" i="1" s="1"/>
  <c r="Y67" i="1"/>
  <c r="AE67" i="1" s="1"/>
  <c r="Z67" i="1"/>
  <c r="AF67" i="1" s="1"/>
  <c r="AA67" i="1"/>
  <c r="AG67" i="1" s="1"/>
  <c r="Y68" i="1"/>
  <c r="AE68" i="1" s="1"/>
  <c r="Z68" i="1"/>
  <c r="AF68" i="1" s="1"/>
  <c r="AA68" i="1"/>
  <c r="AG68" i="1" s="1"/>
  <c r="Y69" i="1"/>
  <c r="AE69" i="1" s="1"/>
  <c r="Z69" i="1"/>
  <c r="AF69" i="1" s="1"/>
  <c r="AA69" i="1"/>
  <c r="AG69" i="1" s="1"/>
  <c r="Y70" i="1"/>
  <c r="AE70" i="1" s="1"/>
  <c r="Z70" i="1"/>
  <c r="AF70" i="1" s="1"/>
  <c r="AH70" i="1" s="1"/>
  <c r="AK70" i="1" s="1"/>
  <c r="AA70" i="1"/>
  <c r="AG70" i="1" s="1"/>
  <c r="Y71" i="1"/>
  <c r="AE71" i="1" s="1"/>
  <c r="Z71" i="1"/>
  <c r="AF71" i="1" s="1"/>
  <c r="AA71" i="1"/>
  <c r="AG71" i="1" s="1"/>
  <c r="Y72" i="1"/>
  <c r="AE72" i="1" s="1"/>
  <c r="Z72" i="1"/>
  <c r="AF72" i="1" s="1"/>
  <c r="AA72" i="1"/>
  <c r="AG72" i="1" s="1"/>
  <c r="Y73" i="1"/>
  <c r="AE73" i="1" s="1"/>
  <c r="Z73" i="1"/>
  <c r="AF73" i="1" s="1"/>
  <c r="AA73" i="1"/>
  <c r="AG73" i="1" s="1"/>
  <c r="Y74" i="1"/>
  <c r="AE74" i="1" s="1"/>
  <c r="Z74" i="1"/>
  <c r="AF74" i="1" s="1"/>
  <c r="AA74" i="1"/>
  <c r="AG74" i="1" s="1"/>
  <c r="Y75" i="1"/>
  <c r="AE75" i="1" s="1"/>
  <c r="Z75" i="1"/>
  <c r="AF75" i="1" s="1"/>
  <c r="AA75" i="1"/>
  <c r="AG75" i="1" s="1"/>
  <c r="AL75" i="1" s="1"/>
  <c r="Y76" i="1"/>
  <c r="AE76" i="1" s="1"/>
  <c r="Z76" i="1"/>
  <c r="AF76" i="1" s="1"/>
  <c r="AA76" i="1"/>
  <c r="AG76" i="1" s="1"/>
  <c r="Y77" i="1"/>
  <c r="AE77" i="1" s="1"/>
  <c r="Z77" i="1"/>
  <c r="AF77" i="1" s="1"/>
  <c r="AA77" i="1"/>
  <c r="AG77" i="1" s="1"/>
  <c r="Y78" i="1"/>
  <c r="AE78" i="1" s="1"/>
  <c r="Z78" i="1"/>
  <c r="AF78" i="1" s="1"/>
  <c r="AH78" i="1" s="1"/>
  <c r="AK78" i="1" s="1"/>
  <c r="AA78" i="1"/>
  <c r="AG78" i="1" s="1"/>
  <c r="Y79" i="1"/>
  <c r="AE79" i="1" s="1"/>
  <c r="Z79" i="1"/>
  <c r="AF79" i="1" s="1"/>
  <c r="AA79" i="1"/>
  <c r="AG79" i="1" s="1"/>
  <c r="Y80" i="1"/>
  <c r="AE80" i="1" s="1"/>
  <c r="Z80" i="1"/>
  <c r="AF80" i="1" s="1"/>
  <c r="AA80" i="1"/>
  <c r="AG80" i="1" s="1"/>
  <c r="Y81" i="1"/>
  <c r="AE81" i="1" s="1"/>
  <c r="Z81" i="1"/>
  <c r="AF81" i="1" s="1"/>
  <c r="AA81" i="1"/>
  <c r="AG81" i="1" s="1"/>
  <c r="Y82" i="1"/>
  <c r="AE82" i="1" s="1"/>
  <c r="Z82" i="1"/>
  <c r="AF82" i="1" s="1"/>
  <c r="AH82" i="1" s="1"/>
  <c r="AK82" i="1" s="1"/>
  <c r="AA82" i="1"/>
  <c r="AG82" i="1" s="1"/>
  <c r="Y83" i="1"/>
  <c r="AE83" i="1" s="1"/>
  <c r="Z83" i="1"/>
  <c r="AF83" i="1" s="1"/>
  <c r="AA83" i="1"/>
  <c r="AG83" i="1" s="1"/>
  <c r="Y84" i="1"/>
  <c r="AE84" i="1" s="1"/>
  <c r="Z84" i="1"/>
  <c r="AF84" i="1" s="1"/>
  <c r="AA84" i="1"/>
  <c r="AG84" i="1" s="1"/>
  <c r="Y85" i="1"/>
  <c r="AE85" i="1" s="1"/>
  <c r="Z85" i="1"/>
  <c r="AF85" i="1" s="1"/>
  <c r="AA85" i="1"/>
  <c r="AG85" i="1" s="1"/>
  <c r="Y86" i="1"/>
  <c r="AE86" i="1" s="1"/>
  <c r="Z86" i="1"/>
  <c r="AF86" i="1" s="1"/>
  <c r="AA86" i="1"/>
  <c r="AG86" i="1" s="1"/>
  <c r="AL86" i="1" s="1"/>
  <c r="Y87" i="1"/>
  <c r="AE87" i="1" s="1"/>
  <c r="Z87" i="1"/>
  <c r="AF87" i="1" s="1"/>
  <c r="AA87" i="1"/>
  <c r="AG87" i="1" s="1"/>
  <c r="AL87" i="1" s="1"/>
  <c r="Y88" i="1"/>
  <c r="AE88" i="1" s="1"/>
  <c r="Z88" i="1"/>
  <c r="AF88" i="1" s="1"/>
  <c r="AA88" i="1"/>
  <c r="AG88" i="1" s="1"/>
  <c r="Y89" i="1"/>
  <c r="AE89" i="1" s="1"/>
  <c r="Z89" i="1"/>
  <c r="AF89" i="1" s="1"/>
  <c r="AA89" i="1"/>
  <c r="AG89" i="1" s="1"/>
  <c r="Y90" i="1"/>
  <c r="AE90" i="1" s="1"/>
  <c r="Z90" i="1"/>
  <c r="AF90" i="1" s="1"/>
  <c r="AH90" i="1" s="1"/>
  <c r="AK90" i="1" s="1"/>
  <c r="AA90" i="1"/>
  <c r="AG90" i="1" s="1"/>
  <c r="Y91" i="1"/>
  <c r="AE91" i="1" s="1"/>
  <c r="Z91" i="1"/>
  <c r="AF91" i="1" s="1"/>
  <c r="AA91" i="1"/>
  <c r="AG91" i="1" s="1"/>
  <c r="Y92" i="1"/>
  <c r="AE92" i="1" s="1"/>
  <c r="Z92" i="1"/>
  <c r="AF92" i="1" s="1"/>
  <c r="AA92" i="1"/>
  <c r="AG92" i="1" s="1"/>
  <c r="Y93" i="1"/>
  <c r="AE93" i="1" s="1"/>
  <c r="Z93" i="1"/>
  <c r="AF93" i="1" s="1"/>
  <c r="AA93" i="1"/>
  <c r="AG93" i="1" s="1"/>
  <c r="Y94" i="1"/>
  <c r="AE94" i="1" s="1"/>
  <c r="Z94" i="1"/>
  <c r="AF94" i="1" s="1"/>
  <c r="AA94" i="1"/>
  <c r="AG94" i="1" s="1"/>
  <c r="Y95" i="1"/>
  <c r="AE95" i="1" s="1"/>
  <c r="Z95" i="1"/>
  <c r="AF95" i="1" s="1"/>
  <c r="AA95" i="1"/>
  <c r="AG95" i="1" s="1"/>
  <c r="AL95" i="1" s="1"/>
  <c r="Y96" i="1"/>
  <c r="AE96" i="1" s="1"/>
  <c r="Z96" i="1"/>
  <c r="AF96" i="1" s="1"/>
  <c r="AA96" i="1"/>
  <c r="AG96" i="1" s="1"/>
  <c r="Y97" i="1"/>
  <c r="AE97" i="1" s="1"/>
  <c r="Z97" i="1"/>
  <c r="AF97" i="1" s="1"/>
  <c r="AA97" i="1"/>
  <c r="AG97" i="1" s="1"/>
  <c r="Y98" i="1"/>
  <c r="AE98" i="1" s="1"/>
  <c r="Z98" i="1"/>
  <c r="AF98" i="1" s="1"/>
  <c r="AH98" i="1" s="1"/>
  <c r="AK98" i="1" s="1"/>
  <c r="AA98" i="1"/>
  <c r="AG98" i="1" s="1"/>
  <c r="Y99" i="1"/>
  <c r="AE99" i="1" s="1"/>
  <c r="Z99" i="1"/>
  <c r="AF99" i="1" s="1"/>
  <c r="AA99" i="1"/>
  <c r="AG99" i="1" s="1"/>
  <c r="AL99" i="1" s="1"/>
  <c r="Y100" i="1"/>
  <c r="AE100" i="1" s="1"/>
  <c r="Z100" i="1"/>
  <c r="AF100" i="1" s="1"/>
  <c r="AA100" i="1"/>
  <c r="AG100" i="1" s="1"/>
  <c r="Y101" i="1"/>
  <c r="AE101" i="1" s="1"/>
  <c r="Z101" i="1"/>
  <c r="AF101" i="1" s="1"/>
  <c r="AA101" i="1"/>
  <c r="AG101" i="1" s="1"/>
  <c r="Y102" i="1"/>
  <c r="AE102" i="1" s="1"/>
  <c r="Z102" i="1"/>
  <c r="AF102" i="1" s="1"/>
  <c r="AA102" i="1"/>
  <c r="AG102" i="1" s="1"/>
  <c r="Y103" i="1"/>
  <c r="AE103" i="1" s="1"/>
  <c r="Z103" i="1"/>
  <c r="AF103" i="1" s="1"/>
  <c r="AA103" i="1"/>
  <c r="AG103" i="1" s="1"/>
  <c r="Y104" i="1"/>
  <c r="AE104" i="1" s="1"/>
  <c r="Z104" i="1"/>
  <c r="AF104" i="1" s="1"/>
  <c r="AA104" i="1"/>
  <c r="AG104" i="1" s="1"/>
  <c r="Y105" i="1"/>
  <c r="AE105" i="1" s="1"/>
  <c r="Z105" i="1"/>
  <c r="AF105" i="1" s="1"/>
  <c r="AA105" i="1"/>
  <c r="AG105" i="1" s="1"/>
  <c r="Y106" i="1"/>
  <c r="AE106" i="1" s="1"/>
  <c r="Z106" i="1"/>
  <c r="AF106" i="1" s="1"/>
  <c r="AA106" i="1"/>
  <c r="AG106" i="1" s="1"/>
  <c r="Y107" i="1"/>
  <c r="AE107" i="1" s="1"/>
  <c r="Z107" i="1"/>
  <c r="AF107" i="1" s="1"/>
  <c r="AA107" i="1"/>
  <c r="AG107" i="1" s="1"/>
  <c r="Y108" i="1"/>
  <c r="AE108" i="1" s="1"/>
  <c r="Z108" i="1"/>
  <c r="AF108" i="1" s="1"/>
  <c r="AA108" i="1"/>
  <c r="AG108" i="1" s="1"/>
  <c r="Y109" i="1"/>
  <c r="AE109" i="1" s="1"/>
  <c r="Z109" i="1"/>
  <c r="AF109" i="1" s="1"/>
  <c r="AA109" i="1"/>
  <c r="AG109" i="1" s="1"/>
  <c r="Y110" i="1"/>
  <c r="AE110" i="1" s="1"/>
  <c r="Z110" i="1"/>
  <c r="AF110" i="1" s="1"/>
  <c r="AA110" i="1"/>
  <c r="AG110" i="1" s="1"/>
  <c r="Y111" i="1"/>
  <c r="AE111" i="1" s="1"/>
  <c r="Z111" i="1"/>
  <c r="AF111" i="1" s="1"/>
  <c r="AA111" i="1"/>
  <c r="AG111" i="1" s="1"/>
  <c r="Y112" i="1"/>
  <c r="AE112" i="1" s="1"/>
  <c r="Z112" i="1"/>
  <c r="AF112" i="1" s="1"/>
  <c r="AA112" i="1"/>
  <c r="AG112" i="1" s="1"/>
  <c r="Y113" i="1"/>
  <c r="AE113" i="1" s="1"/>
  <c r="Z113" i="1"/>
  <c r="AF113" i="1" s="1"/>
  <c r="AA113" i="1"/>
  <c r="AG113" i="1" s="1"/>
  <c r="Y114" i="1"/>
  <c r="AE114" i="1" s="1"/>
  <c r="Z114" i="1"/>
  <c r="AF114" i="1" s="1"/>
  <c r="AA114" i="1"/>
  <c r="AG114" i="1" s="1"/>
  <c r="AL114" i="1" s="1"/>
  <c r="Y115" i="1"/>
  <c r="AE115" i="1" s="1"/>
  <c r="Z115" i="1"/>
  <c r="AF115" i="1" s="1"/>
  <c r="AA115" i="1"/>
  <c r="AG115" i="1" s="1"/>
  <c r="Y116" i="1"/>
  <c r="AE116" i="1" s="1"/>
  <c r="Z116" i="1"/>
  <c r="AF116" i="1" s="1"/>
  <c r="AA116" i="1"/>
  <c r="AG116" i="1" s="1"/>
  <c r="Y117" i="1"/>
  <c r="AE117" i="1" s="1"/>
  <c r="Z117" i="1"/>
  <c r="AF117" i="1" s="1"/>
  <c r="AA117" i="1"/>
  <c r="AG117" i="1" s="1"/>
  <c r="Y118" i="1"/>
  <c r="AE118" i="1" s="1"/>
  <c r="Z118" i="1"/>
  <c r="AF118" i="1" s="1"/>
  <c r="AA118" i="1"/>
  <c r="AG118" i="1" s="1"/>
  <c r="Y119" i="1"/>
  <c r="AE119" i="1" s="1"/>
  <c r="Z119" i="1"/>
  <c r="AF119" i="1" s="1"/>
  <c r="AA119" i="1"/>
  <c r="AG119" i="1" s="1"/>
  <c r="Y120" i="1"/>
  <c r="AE120" i="1" s="1"/>
  <c r="Z120" i="1"/>
  <c r="AF120" i="1" s="1"/>
  <c r="AA120" i="1"/>
  <c r="AG120" i="1" s="1"/>
  <c r="Y121" i="1"/>
  <c r="AE121" i="1" s="1"/>
  <c r="Z121" i="1"/>
  <c r="AF121" i="1" s="1"/>
  <c r="AA121" i="1"/>
  <c r="AG121" i="1" s="1"/>
  <c r="Y122" i="1"/>
  <c r="AE122" i="1" s="1"/>
  <c r="Z122" i="1"/>
  <c r="AF122" i="1" s="1"/>
  <c r="AA122" i="1"/>
  <c r="AG122" i="1" s="1"/>
  <c r="AL122" i="1" s="1"/>
  <c r="Y123" i="1"/>
  <c r="AE123" i="1" s="1"/>
  <c r="Z123" i="1"/>
  <c r="AF123" i="1" s="1"/>
  <c r="AA123" i="1"/>
  <c r="AG123" i="1" s="1"/>
  <c r="AL123" i="1" s="1"/>
  <c r="Y124" i="1"/>
  <c r="AE124" i="1" s="1"/>
  <c r="Z124" i="1"/>
  <c r="AF124" i="1" s="1"/>
  <c r="AA124" i="1"/>
  <c r="AG124" i="1" s="1"/>
  <c r="Y125" i="1"/>
  <c r="AE125" i="1" s="1"/>
  <c r="Z125" i="1"/>
  <c r="AF125" i="1" s="1"/>
  <c r="AA125" i="1"/>
  <c r="AG125" i="1" s="1"/>
  <c r="Y126" i="1"/>
  <c r="AE126" i="1" s="1"/>
  <c r="Z126" i="1"/>
  <c r="AF126" i="1" s="1"/>
  <c r="AA126" i="1"/>
  <c r="AG126" i="1" s="1"/>
  <c r="AL126" i="1" s="1"/>
  <c r="Y127" i="1"/>
  <c r="AE127" i="1" s="1"/>
  <c r="Z127" i="1"/>
  <c r="AF127" i="1" s="1"/>
  <c r="AA127" i="1"/>
  <c r="AG127" i="1" s="1"/>
  <c r="Y128" i="1"/>
  <c r="AE128" i="1" s="1"/>
  <c r="Z128" i="1"/>
  <c r="AF128" i="1" s="1"/>
  <c r="AA128" i="1"/>
  <c r="AG128" i="1" s="1"/>
  <c r="Y129" i="1"/>
  <c r="AE129" i="1" s="1"/>
  <c r="Z129" i="1"/>
  <c r="AF129" i="1" s="1"/>
  <c r="AA129" i="1"/>
  <c r="AG129" i="1" s="1"/>
  <c r="Y130" i="1"/>
  <c r="AE130" i="1" s="1"/>
  <c r="Z130" i="1"/>
  <c r="AF130" i="1" s="1"/>
  <c r="AH130" i="1" s="1"/>
  <c r="AK130" i="1" s="1"/>
  <c r="AA130" i="1"/>
  <c r="AG130" i="1" s="1"/>
  <c r="Y131" i="1"/>
  <c r="AE131" i="1" s="1"/>
  <c r="Z131" i="1"/>
  <c r="AF131" i="1" s="1"/>
  <c r="AH131" i="1" s="1"/>
  <c r="AK131" i="1" s="1"/>
  <c r="AA131" i="1"/>
  <c r="AG131" i="1" s="1"/>
  <c r="Y132" i="1"/>
  <c r="AE132" i="1" s="1"/>
  <c r="Z132" i="1"/>
  <c r="AF132" i="1" s="1"/>
  <c r="AA132" i="1"/>
  <c r="AG132" i="1" s="1"/>
  <c r="Y133" i="1"/>
  <c r="AE133" i="1" s="1"/>
  <c r="Z133" i="1"/>
  <c r="AF133" i="1" s="1"/>
  <c r="AA133" i="1"/>
  <c r="AG133" i="1" s="1"/>
  <c r="Y134" i="1"/>
  <c r="AE134" i="1" s="1"/>
  <c r="Z134" i="1"/>
  <c r="AF134" i="1" s="1"/>
  <c r="AA134" i="1"/>
  <c r="AG134" i="1" s="1"/>
  <c r="AL134" i="1" s="1"/>
  <c r="Y135" i="1"/>
  <c r="AE135" i="1" s="1"/>
  <c r="Z135" i="1"/>
  <c r="AF135" i="1" s="1"/>
  <c r="AA135" i="1"/>
  <c r="AG135" i="1" s="1"/>
  <c r="Y136" i="1"/>
  <c r="AE136" i="1" s="1"/>
  <c r="Z136" i="1"/>
  <c r="AF136" i="1" s="1"/>
  <c r="AA136" i="1"/>
  <c r="AG136" i="1" s="1"/>
  <c r="Y137" i="1"/>
  <c r="AE137" i="1" s="1"/>
  <c r="Z137" i="1"/>
  <c r="AF137" i="1" s="1"/>
  <c r="AA137" i="1"/>
  <c r="AG137" i="1" s="1"/>
  <c r="Y138" i="1"/>
  <c r="AE138" i="1" s="1"/>
  <c r="Z138" i="1"/>
  <c r="AF138" i="1" s="1"/>
  <c r="AA138" i="1"/>
  <c r="AG138" i="1" s="1"/>
  <c r="AL138" i="1" s="1"/>
  <c r="Y139" i="1"/>
  <c r="AE139" i="1" s="1"/>
  <c r="Z139" i="1"/>
  <c r="AF139" i="1" s="1"/>
  <c r="AA139" i="1"/>
  <c r="AG139" i="1" s="1"/>
  <c r="Y140" i="1"/>
  <c r="AE140" i="1" s="1"/>
  <c r="Z140" i="1"/>
  <c r="AF140" i="1" s="1"/>
  <c r="AA140" i="1"/>
  <c r="AG140" i="1" s="1"/>
  <c r="Y141" i="1"/>
  <c r="AE141" i="1" s="1"/>
  <c r="Z141" i="1"/>
  <c r="AF141" i="1" s="1"/>
  <c r="AA141" i="1"/>
  <c r="AG141" i="1" s="1"/>
  <c r="Y142" i="1"/>
  <c r="AE142" i="1" s="1"/>
  <c r="Z142" i="1"/>
  <c r="AF142" i="1" s="1"/>
  <c r="AA142" i="1"/>
  <c r="AG142" i="1" s="1"/>
  <c r="Y143" i="1"/>
  <c r="AE143" i="1" s="1"/>
  <c r="Z143" i="1"/>
  <c r="AF143" i="1" s="1"/>
  <c r="AA143" i="1"/>
  <c r="AG143" i="1" s="1"/>
  <c r="Y144" i="1"/>
  <c r="AE144" i="1" s="1"/>
  <c r="Z144" i="1"/>
  <c r="AF144" i="1" s="1"/>
  <c r="AA144" i="1"/>
  <c r="AG144" i="1" s="1"/>
  <c r="Y145" i="1"/>
  <c r="AE145" i="1" s="1"/>
  <c r="Z145" i="1"/>
  <c r="AF145" i="1" s="1"/>
  <c r="AA145" i="1"/>
  <c r="AG145" i="1" s="1"/>
  <c r="Y146" i="1"/>
  <c r="AE146" i="1" s="1"/>
  <c r="Z146" i="1"/>
  <c r="AF146" i="1" s="1"/>
  <c r="AA146" i="1"/>
  <c r="AG146" i="1" s="1"/>
  <c r="AL146" i="1" s="1"/>
  <c r="Y147" i="1"/>
  <c r="AE147" i="1" s="1"/>
  <c r="Z147" i="1"/>
  <c r="AF147" i="1" s="1"/>
  <c r="AA147" i="1"/>
  <c r="AG147" i="1" s="1"/>
  <c r="AL147" i="1" s="1"/>
  <c r="Y148" i="1"/>
  <c r="AE148" i="1" s="1"/>
  <c r="Z148" i="1"/>
  <c r="AF148" i="1" s="1"/>
  <c r="AA148" i="1"/>
  <c r="AG148" i="1" s="1"/>
  <c r="Y149" i="1"/>
  <c r="AE149" i="1" s="1"/>
  <c r="Z149" i="1"/>
  <c r="AF149" i="1" s="1"/>
  <c r="AA149" i="1"/>
  <c r="AG149" i="1" s="1"/>
  <c r="Y150" i="1"/>
  <c r="AE150" i="1" s="1"/>
  <c r="Z150" i="1"/>
  <c r="AF150" i="1" s="1"/>
  <c r="AA150" i="1"/>
  <c r="AG150" i="1" s="1"/>
  <c r="AL150" i="1" s="1"/>
  <c r="Y151" i="1"/>
  <c r="AE151" i="1" s="1"/>
  <c r="Z151" i="1"/>
  <c r="AF151" i="1" s="1"/>
  <c r="AA151" i="1"/>
  <c r="AG151" i="1" s="1"/>
  <c r="Y152" i="1"/>
  <c r="AE152" i="1" s="1"/>
  <c r="Z152" i="1"/>
  <c r="AF152" i="1" s="1"/>
  <c r="AA152" i="1"/>
  <c r="AG152" i="1" s="1"/>
  <c r="Y153" i="1"/>
  <c r="AE153" i="1" s="1"/>
  <c r="Z153" i="1"/>
  <c r="AF153" i="1" s="1"/>
  <c r="AA153" i="1"/>
  <c r="AG153" i="1" s="1"/>
  <c r="Y154" i="1"/>
  <c r="AE154" i="1" s="1"/>
  <c r="Z154" i="1"/>
  <c r="AF154" i="1" s="1"/>
  <c r="AA154" i="1"/>
  <c r="AG154" i="1" s="1"/>
  <c r="Y155" i="1"/>
  <c r="AE155" i="1" s="1"/>
  <c r="Z155" i="1"/>
  <c r="AF155" i="1" s="1"/>
  <c r="AA155" i="1"/>
  <c r="AG155" i="1" s="1"/>
  <c r="AL155" i="1" s="1"/>
  <c r="Y156" i="1"/>
  <c r="AE156" i="1" s="1"/>
  <c r="Z156" i="1"/>
  <c r="AF156" i="1" s="1"/>
  <c r="AA156" i="1"/>
  <c r="AG156" i="1" s="1"/>
  <c r="Y157" i="1"/>
  <c r="AE157" i="1" s="1"/>
  <c r="Z157" i="1"/>
  <c r="AF157" i="1" s="1"/>
  <c r="AA157" i="1"/>
  <c r="AG157" i="1" s="1"/>
  <c r="Y158" i="1"/>
  <c r="AE158" i="1" s="1"/>
  <c r="Z158" i="1"/>
  <c r="AF158" i="1" s="1"/>
  <c r="AA158" i="1"/>
  <c r="AG158" i="1" s="1"/>
  <c r="Y159" i="1"/>
  <c r="AE159" i="1" s="1"/>
  <c r="Z159" i="1"/>
  <c r="AF159" i="1" s="1"/>
  <c r="AA159" i="1"/>
  <c r="AG159" i="1" s="1"/>
  <c r="Y160" i="1"/>
  <c r="AE160" i="1" s="1"/>
  <c r="Z160" i="1"/>
  <c r="AF160" i="1" s="1"/>
  <c r="AA160" i="1"/>
  <c r="AG160" i="1" s="1"/>
  <c r="Y161" i="1"/>
  <c r="AE161" i="1" s="1"/>
  <c r="Z161" i="1"/>
  <c r="AF161" i="1" s="1"/>
  <c r="AA161" i="1"/>
  <c r="AG161" i="1" s="1"/>
  <c r="AL161" i="1" s="1"/>
  <c r="Y162" i="1"/>
  <c r="AE162" i="1" s="1"/>
  <c r="Z162" i="1"/>
  <c r="AF162" i="1" s="1"/>
  <c r="AA162" i="1"/>
  <c r="AG162" i="1" s="1"/>
  <c r="AL162" i="1" s="1"/>
  <c r="Y163" i="1"/>
  <c r="AE163" i="1" s="1"/>
  <c r="Z163" i="1"/>
  <c r="AF163" i="1" s="1"/>
  <c r="AA163" i="1"/>
  <c r="AG163" i="1" s="1"/>
  <c r="Y164" i="1"/>
  <c r="AE164" i="1" s="1"/>
  <c r="Z164" i="1"/>
  <c r="AF164" i="1" s="1"/>
  <c r="AA164" i="1"/>
  <c r="AG164" i="1" s="1"/>
  <c r="Y165" i="1"/>
  <c r="AE165" i="1" s="1"/>
  <c r="Z165" i="1"/>
  <c r="AF165" i="1" s="1"/>
  <c r="AA165" i="1"/>
  <c r="AG165" i="1" s="1"/>
  <c r="Y166" i="1"/>
  <c r="AE166" i="1" s="1"/>
  <c r="Z166" i="1"/>
  <c r="AF166" i="1" s="1"/>
  <c r="AA166" i="1"/>
  <c r="AG166" i="1" s="1"/>
  <c r="Y167" i="1"/>
  <c r="AE167" i="1" s="1"/>
  <c r="Z167" i="1"/>
  <c r="AF167" i="1" s="1"/>
  <c r="AA167" i="1"/>
  <c r="AG167" i="1" s="1"/>
  <c r="Y168" i="1"/>
  <c r="AE168" i="1" s="1"/>
  <c r="Z168" i="1"/>
  <c r="AF168" i="1" s="1"/>
  <c r="AA168" i="1"/>
  <c r="AG168" i="1" s="1"/>
  <c r="Y169" i="1"/>
  <c r="AE169" i="1" s="1"/>
  <c r="Z169" i="1"/>
  <c r="AF169" i="1" s="1"/>
  <c r="AA169" i="1"/>
  <c r="AG169" i="1" s="1"/>
  <c r="Y170" i="1"/>
  <c r="AE170" i="1" s="1"/>
  <c r="Z170" i="1"/>
  <c r="AF170" i="1" s="1"/>
  <c r="AA170" i="1"/>
  <c r="AG170" i="1" s="1"/>
  <c r="AL170" i="1" s="1"/>
  <c r="Y171" i="1"/>
  <c r="AE171" i="1" s="1"/>
  <c r="Z171" i="1"/>
  <c r="AF171" i="1" s="1"/>
  <c r="AA171" i="1"/>
  <c r="AG171" i="1" s="1"/>
  <c r="AL171" i="1" s="1"/>
  <c r="Y172" i="1"/>
  <c r="AE172" i="1" s="1"/>
  <c r="Z172" i="1"/>
  <c r="AF172" i="1" s="1"/>
  <c r="AA172" i="1"/>
  <c r="AG172" i="1" s="1"/>
  <c r="Y173" i="1"/>
  <c r="AE173" i="1" s="1"/>
  <c r="Z173" i="1"/>
  <c r="AF173" i="1" s="1"/>
  <c r="AA173" i="1"/>
  <c r="AG173" i="1" s="1"/>
  <c r="Y174" i="1"/>
  <c r="AE174" i="1" s="1"/>
  <c r="Z174" i="1"/>
  <c r="AF174" i="1" s="1"/>
  <c r="AH174" i="1" s="1"/>
  <c r="AA174" i="1"/>
  <c r="AG174" i="1" s="1"/>
  <c r="Y175" i="1"/>
  <c r="AE175" i="1" s="1"/>
  <c r="Z175" i="1"/>
  <c r="AF175" i="1" s="1"/>
  <c r="AA175" i="1"/>
  <c r="AG175" i="1" s="1"/>
  <c r="Y176" i="1"/>
  <c r="AE176" i="1" s="1"/>
  <c r="Z176" i="1"/>
  <c r="AF176" i="1" s="1"/>
  <c r="AA176" i="1"/>
  <c r="AG176" i="1" s="1"/>
  <c r="Y177" i="1"/>
  <c r="AE177" i="1" s="1"/>
  <c r="Z177" i="1"/>
  <c r="AF177" i="1" s="1"/>
  <c r="AA177" i="1"/>
  <c r="AG177" i="1" s="1"/>
  <c r="Y178" i="1"/>
  <c r="AE178" i="1" s="1"/>
  <c r="Z178" i="1"/>
  <c r="AF178" i="1" s="1"/>
  <c r="AA178" i="1"/>
  <c r="AG178" i="1" s="1"/>
  <c r="Y179" i="1"/>
  <c r="AE179" i="1" s="1"/>
  <c r="Z179" i="1"/>
  <c r="AF179" i="1" s="1"/>
  <c r="AA179" i="1"/>
  <c r="AG179" i="1" s="1"/>
  <c r="AL179" i="1" s="1"/>
  <c r="Y180" i="1"/>
  <c r="AE180" i="1" s="1"/>
  <c r="Z180" i="1"/>
  <c r="AF180" i="1" s="1"/>
  <c r="AA180" i="1"/>
  <c r="AG180" i="1" s="1"/>
  <c r="Y181" i="1"/>
  <c r="AE181" i="1" s="1"/>
  <c r="Z181" i="1"/>
  <c r="AF181" i="1" s="1"/>
  <c r="AA181" i="1"/>
  <c r="AG181" i="1" s="1"/>
  <c r="Y182" i="1"/>
  <c r="AE182" i="1" s="1"/>
  <c r="Z182" i="1"/>
  <c r="AF182" i="1" s="1"/>
  <c r="AH182" i="1" s="1"/>
  <c r="AA182" i="1"/>
  <c r="AG182" i="1" s="1"/>
  <c r="Y183" i="1"/>
  <c r="AE183" i="1" s="1"/>
  <c r="Z183" i="1"/>
  <c r="AF183" i="1" s="1"/>
  <c r="AA183" i="1"/>
  <c r="AG183" i="1" s="1"/>
  <c r="Y184" i="1"/>
  <c r="AE184" i="1" s="1"/>
  <c r="Z184" i="1"/>
  <c r="AF184" i="1" s="1"/>
  <c r="AA184" i="1"/>
  <c r="AG184" i="1" s="1"/>
  <c r="Y185" i="1"/>
  <c r="AE185" i="1" s="1"/>
  <c r="Z185" i="1"/>
  <c r="AF185" i="1" s="1"/>
  <c r="AA185" i="1"/>
  <c r="AG185" i="1" s="1"/>
  <c r="Y186" i="1"/>
  <c r="AE186" i="1" s="1"/>
  <c r="Z186" i="1"/>
  <c r="AF186" i="1" s="1"/>
  <c r="AA186" i="1"/>
  <c r="AG186" i="1" s="1"/>
  <c r="Y187" i="1"/>
  <c r="AE187" i="1" s="1"/>
  <c r="Z187" i="1"/>
  <c r="AF187" i="1" s="1"/>
  <c r="AA187" i="1"/>
  <c r="AG187" i="1" s="1"/>
  <c r="Y188" i="1"/>
  <c r="AE188" i="1" s="1"/>
  <c r="Z188" i="1"/>
  <c r="AF188" i="1" s="1"/>
  <c r="AA188" i="1"/>
  <c r="AG188" i="1" s="1"/>
  <c r="Y189" i="1"/>
  <c r="AE189" i="1" s="1"/>
  <c r="Z189" i="1"/>
  <c r="AF189" i="1" s="1"/>
  <c r="AA189" i="1"/>
  <c r="AG189" i="1" s="1"/>
  <c r="AL189" i="1" s="1"/>
  <c r="Y190" i="1"/>
  <c r="AE190" i="1" s="1"/>
  <c r="Z190" i="1"/>
  <c r="AF190" i="1" s="1"/>
  <c r="AA190" i="1"/>
  <c r="AG190" i="1" s="1"/>
  <c r="Y191" i="1"/>
  <c r="AE191" i="1" s="1"/>
  <c r="Z191" i="1"/>
  <c r="AF191" i="1" s="1"/>
  <c r="AA191" i="1"/>
  <c r="AG191" i="1" s="1"/>
  <c r="Y192" i="1"/>
  <c r="AE192" i="1" s="1"/>
  <c r="Z192" i="1"/>
  <c r="AF192" i="1" s="1"/>
  <c r="AA192" i="1"/>
  <c r="AG192" i="1" s="1"/>
  <c r="Y193" i="1"/>
  <c r="AE193" i="1" s="1"/>
  <c r="Z193" i="1"/>
  <c r="AF193" i="1" s="1"/>
  <c r="AA193" i="1"/>
  <c r="AG193" i="1" s="1"/>
  <c r="Y194" i="1"/>
  <c r="AE194" i="1" s="1"/>
  <c r="Z194" i="1"/>
  <c r="AF194" i="1" s="1"/>
  <c r="AA194" i="1"/>
  <c r="AG194" i="1" s="1"/>
  <c r="Y195" i="1"/>
  <c r="AE195" i="1" s="1"/>
  <c r="Z195" i="1"/>
  <c r="AF195" i="1" s="1"/>
  <c r="AA195" i="1"/>
  <c r="AG195" i="1" s="1"/>
  <c r="AL195" i="1" s="1"/>
  <c r="Y196" i="1"/>
  <c r="AE196" i="1" s="1"/>
  <c r="Z196" i="1"/>
  <c r="AF196" i="1" s="1"/>
  <c r="AA196" i="1"/>
  <c r="AG196" i="1" s="1"/>
  <c r="Y197" i="1"/>
  <c r="AE197" i="1" s="1"/>
  <c r="Z197" i="1"/>
  <c r="AF197" i="1" s="1"/>
  <c r="AA197" i="1"/>
  <c r="AG197" i="1" s="1"/>
  <c r="AL197" i="1" s="1"/>
  <c r="Y198" i="1"/>
  <c r="AE198" i="1" s="1"/>
  <c r="Z198" i="1"/>
  <c r="AF198" i="1" s="1"/>
  <c r="AA198" i="1"/>
  <c r="AG198" i="1" s="1"/>
  <c r="Y199" i="1"/>
  <c r="AE199" i="1" s="1"/>
  <c r="Z199" i="1"/>
  <c r="AF199" i="1" s="1"/>
  <c r="AA199" i="1"/>
  <c r="AG199" i="1" s="1"/>
  <c r="Y200" i="1"/>
  <c r="AE200" i="1" s="1"/>
  <c r="Z200" i="1"/>
  <c r="AF200" i="1" s="1"/>
  <c r="AA200" i="1"/>
  <c r="AG200" i="1" s="1"/>
  <c r="Y201" i="1"/>
  <c r="AE201" i="1" s="1"/>
  <c r="Z201" i="1"/>
  <c r="AF201" i="1" s="1"/>
  <c r="AA201" i="1"/>
  <c r="AG201" i="1" s="1"/>
  <c r="Y202" i="1"/>
  <c r="AE202" i="1" s="1"/>
  <c r="Z202" i="1"/>
  <c r="AF202" i="1" s="1"/>
  <c r="AA202" i="1"/>
  <c r="AG202" i="1" s="1"/>
  <c r="Y203" i="1"/>
  <c r="AE203" i="1" s="1"/>
  <c r="Z203" i="1"/>
  <c r="AF203" i="1" s="1"/>
  <c r="AH203" i="1" s="1"/>
  <c r="AA203" i="1"/>
  <c r="AG203" i="1" s="1"/>
  <c r="AL203" i="1" s="1"/>
  <c r="Y204" i="1"/>
  <c r="AE204" i="1" s="1"/>
  <c r="Z204" i="1"/>
  <c r="AF204" i="1" s="1"/>
  <c r="AA204" i="1"/>
  <c r="AG204" i="1" s="1"/>
  <c r="Y205" i="1"/>
  <c r="AE205" i="1" s="1"/>
  <c r="Z205" i="1"/>
  <c r="AF205" i="1" s="1"/>
  <c r="AA205" i="1"/>
  <c r="AG205" i="1" s="1"/>
  <c r="Y206" i="1"/>
  <c r="AE206" i="1" s="1"/>
  <c r="Z206" i="1"/>
  <c r="AF206" i="1" s="1"/>
  <c r="AA206" i="1"/>
  <c r="AG206" i="1" s="1"/>
  <c r="Y207" i="1"/>
  <c r="AE207" i="1" s="1"/>
  <c r="Z207" i="1"/>
  <c r="AF207" i="1" s="1"/>
  <c r="AA207" i="1"/>
  <c r="AG207" i="1" s="1"/>
  <c r="Y208" i="1"/>
  <c r="AE208" i="1" s="1"/>
  <c r="Z208" i="1"/>
  <c r="AF208" i="1" s="1"/>
  <c r="AA208" i="1"/>
  <c r="AG208" i="1" s="1"/>
  <c r="Y209" i="1"/>
  <c r="AE209" i="1" s="1"/>
  <c r="Z209" i="1"/>
  <c r="AF209" i="1" s="1"/>
  <c r="AA209" i="1"/>
  <c r="AG209" i="1" s="1"/>
  <c r="Y210" i="1"/>
  <c r="AE210" i="1" s="1"/>
  <c r="Z210" i="1"/>
  <c r="AF210" i="1" s="1"/>
  <c r="AA210" i="1"/>
  <c r="AG210" i="1" s="1"/>
  <c r="AL210" i="1" s="1"/>
  <c r="Y211" i="1"/>
  <c r="AE211" i="1" s="1"/>
  <c r="Z211" i="1"/>
  <c r="AF211" i="1" s="1"/>
  <c r="AA211" i="1"/>
  <c r="AG211" i="1" s="1"/>
  <c r="Y212" i="1"/>
  <c r="AE212" i="1" s="1"/>
  <c r="Z212" i="1"/>
  <c r="AF212" i="1" s="1"/>
  <c r="AA212" i="1"/>
  <c r="AG212" i="1" s="1"/>
  <c r="Y213" i="1"/>
  <c r="AE213" i="1" s="1"/>
  <c r="Z213" i="1"/>
  <c r="AF213" i="1" s="1"/>
  <c r="AA213" i="1"/>
  <c r="AG213" i="1" s="1"/>
  <c r="AL213" i="1" s="1"/>
  <c r="Y214" i="1"/>
  <c r="AE214" i="1" s="1"/>
  <c r="Z214" i="1"/>
  <c r="AF214" i="1" s="1"/>
  <c r="AA214" i="1"/>
  <c r="AG214" i="1" s="1"/>
  <c r="Y215" i="1"/>
  <c r="AE215" i="1" s="1"/>
  <c r="Z215" i="1"/>
  <c r="AF215" i="1" s="1"/>
  <c r="AA215" i="1"/>
  <c r="AG215" i="1" s="1"/>
  <c r="AL215" i="1" s="1"/>
  <c r="Y216" i="1"/>
  <c r="AE216" i="1" s="1"/>
  <c r="Z216" i="1"/>
  <c r="AF216" i="1" s="1"/>
  <c r="AA216" i="1"/>
  <c r="AG216" i="1" s="1"/>
  <c r="Y217" i="1"/>
  <c r="AE217" i="1" s="1"/>
  <c r="Z217" i="1"/>
  <c r="AF217" i="1" s="1"/>
  <c r="AA217" i="1"/>
  <c r="AG217" i="1" s="1"/>
  <c r="Y218" i="1"/>
  <c r="AE218" i="1" s="1"/>
  <c r="Z218" i="1"/>
  <c r="AF218" i="1" s="1"/>
  <c r="AA218" i="1"/>
  <c r="AG218" i="1" s="1"/>
  <c r="AL218" i="1" s="1"/>
  <c r="Y219" i="1"/>
  <c r="AE219" i="1" s="1"/>
  <c r="Z219" i="1"/>
  <c r="AF219" i="1" s="1"/>
  <c r="AA219" i="1"/>
  <c r="AG219" i="1" s="1"/>
  <c r="Y220" i="1"/>
  <c r="AE220" i="1" s="1"/>
  <c r="Z220" i="1"/>
  <c r="AF220" i="1" s="1"/>
  <c r="AA220" i="1"/>
  <c r="AG220" i="1" s="1"/>
  <c r="Y221" i="1"/>
  <c r="AE221" i="1" s="1"/>
  <c r="Z221" i="1"/>
  <c r="AF221" i="1" s="1"/>
  <c r="AA221" i="1"/>
  <c r="AG221" i="1" s="1"/>
  <c r="Y222" i="1"/>
  <c r="AE222" i="1" s="1"/>
  <c r="Z222" i="1"/>
  <c r="AF222" i="1" s="1"/>
  <c r="AH222" i="1" s="1"/>
  <c r="AA222" i="1"/>
  <c r="AG222" i="1" s="1"/>
  <c r="AL222" i="1" s="1"/>
  <c r="Y223" i="1"/>
  <c r="AE223" i="1" s="1"/>
  <c r="Z223" i="1"/>
  <c r="AF223" i="1" s="1"/>
  <c r="AA223" i="1"/>
  <c r="AG223" i="1" s="1"/>
  <c r="Y224" i="1"/>
  <c r="AE224" i="1" s="1"/>
  <c r="Z224" i="1"/>
  <c r="AF224" i="1" s="1"/>
  <c r="AA224" i="1"/>
  <c r="AG224" i="1" s="1"/>
  <c r="Y225" i="1"/>
  <c r="AE225" i="1" s="1"/>
  <c r="Z225" i="1"/>
  <c r="AF225" i="1" s="1"/>
  <c r="AA225" i="1"/>
  <c r="AG225" i="1" s="1"/>
  <c r="Y226" i="1"/>
  <c r="AE226" i="1" s="1"/>
  <c r="Z226" i="1"/>
  <c r="AF226" i="1" s="1"/>
  <c r="AH226" i="1" s="1"/>
  <c r="AK226" i="1" s="1"/>
  <c r="AA226" i="1"/>
  <c r="AG226" i="1" s="1"/>
  <c r="Y227" i="1"/>
  <c r="AE227" i="1" s="1"/>
  <c r="Z227" i="1"/>
  <c r="AF227" i="1" s="1"/>
  <c r="AA227" i="1"/>
  <c r="AG227" i="1" s="1"/>
  <c r="Y228" i="1"/>
  <c r="AE228" i="1" s="1"/>
  <c r="Z228" i="1"/>
  <c r="AF228" i="1" s="1"/>
  <c r="AA228" i="1"/>
  <c r="AG228" i="1" s="1"/>
  <c r="Y229" i="1"/>
  <c r="AE229" i="1" s="1"/>
  <c r="Z229" i="1"/>
  <c r="AF229" i="1" s="1"/>
  <c r="AA229" i="1"/>
  <c r="AG229" i="1" s="1"/>
  <c r="Y230" i="1"/>
  <c r="AE230" i="1" s="1"/>
  <c r="Z230" i="1"/>
  <c r="AF230" i="1" s="1"/>
  <c r="AA230" i="1"/>
  <c r="AG230" i="1" s="1"/>
  <c r="Y231" i="1"/>
  <c r="AE231" i="1" s="1"/>
  <c r="Z231" i="1"/>
  <c r="AF231" i="1" s="1"/>
  <c r="AA231" i="1"/>
  <c r="AG231" i="1" s="1"/>
  <c r="AL231" i="1" s="1"/>
  <c r="Y232" i="1"/>
  <c r="AE232" i="1" s="1"/>
  <c r="Z232" i="1"/>
  <c r="AF232" i="1" s="1"/>
  <c r="AA232" i="1"/>
  <c r="AG232" i="1" s="1"/>
  <c r="Y233" i="1"/>
  <c r="AE233" i="1" s="1"/>
  <c r="Z233" i="1"/>
  <c r="AF233" i="1" s="1"/>
  <c r="AA233" i="1"/>
  <c r="AG233" i="1" s="1"/>
  <c r="Y234" i="1"/>
  <c r="AE234" i="1" s="1"/>
  <c r="Z234" i="1"/>
  <c r="AF234" i="1" s="1"/>
  <c r="AA234" i="1"/>
  <c r="AG234" i="1" s="1"/>
  <c r="Y235" i="1"/>
  <c r="AE235" i="1" s="1"/>
  <c r="Z235" i="1"/>
  <c r="AF235" i="1" s="1"/>
  <c r="AA235" i="1"/>
  <c r="AG235" i="1" s="1"/>
  <c r="Y236" i="1"/>
  <c r="AE236" i="1" s="1"/>
  <c r="Z236" i="1"/>
  <c r="AF236" i="1" s="1"/>
  <c r="AA236" i="1"/>
  <c r="AG236" i="1" s="1"/>
  <c r="AL236" i="1" s="1"/>
  <c r="Y237" i="1"/>
  <c r="AE237" i="1" s="1"/>
  <c r="Z237" i="1"/>
  <c r="AF237" i="1" s="1"/>
  <c r="AA237" i="1"/>
  <c r="AG237" i="1" s="1"/>
  <c r="Y238" i="1"/>
  <c r="AE238" i="1" s="1"/>
  <c r="Z238" i="1"/>
  <c r="AF238" i="1" s="1"/>
  <c r="AA238" i="1"/>
  <c r="AG238" i="1" s="1"/>
  <c r="Y239" i="1"/>
  <c r="AE239" i="1" s="1"/>
  <c r="Z239" i="1"/>
  <c r="AF239" i="1" s="1"/>
  <c r="AA239" i="1"/>
  <c r="AG239" i="1" s="1"/>
  <c r="AL239" i="1" s="1"/>
  <c r="Y240" i="1"/>
  <c r="AE240" i="1" s="1"/>
  <c r="Z240" i="1"/>
  <c r="AF240" i="1" s="1"/>
  <c r="AA240" i="1"/>
  <c r="AG240" i="1" s="1"/>
  <c r="Y241" i="1"/>
  <c r="AE241" i="1" s="1"/>
  <c r="Z241" i="1"/>
  <c r="AF241" i="1" s="1"/>
  <c r="AA241" i="1"/>
  <c r="AG241" i="1" s="1"/>
  <c r="Y242" i="1"/>
  <c r="AE242" i="1" s="1"/>
  <c r="Z242" i="1"/>
  <c r="AF242" i="1" s="1"/>
  <c r="AH242" i="1" s="1"/>
  <c r="AK242" i="1" s="1"/>
  <c r="AA242" i="1"/>
  <c r="AG242" i="1" s="1"/>
  <c r="AL242" i="1" s="1"/>
  <c r="Y243" i="1"/>
  <c r="AE243" i="1" s="1"/>
  <c r="Z243" i="1"/>
  <c r="AF243" i="1" s="1"/>
  <c r="AA243" i="1"/>
  <c r="AG243" i="1" s="1"/>
  <c r="Y244" i="1"/>
  <c r="AE244" i="1" s="1"/>
  <c r="Z244" i="1"/>
  <c r="AF244" i="1" s="1"/>
  <c r="AA244" i="1"/>
  <c r="AG244" i="1" s="1"/>
  <c r="Y245" i="1"/>
  <c r="AE245" i="1" s="1"/>
  <c r="Z245" i="1"/>
  <c r="AF245" i="1" s="1"/>
  <c r="AA245" i="1"/>
  <c r="AG245" i="1" s="1"/>
  <c r="Y246" i="1"/>
  <c r="AE246" i="1" s="1"/>
  <c r="Z246" i="1"/>
  <c r="AF246" i="1" s="1"/>
  <c r="AA246" i="1"/>
  <c r="AG246" i="1" s="1"/>
  <c r="Y247" i="1"/>
  <c r="AE247" i="1" s="1"/>
  <c r="Z247" i="1"/>
  <c r="AF247" i="1" s="1"/>
  <c r="AA247" i="1"/>
  <c r="AG247" i="1" s="1"/>
  <c r="Y248" i="1"/>
  <c r="AE248" i="1" s="1"/>
  <c r="Z248" i="1"/>
  <c r="AF248" i="1" s="1"/>
  <c r="AA248" i="1"/>
  <c r="AG248" i="1" s="1"/>
  <c r="Y249" i="1"/>
  <c r="AE249" i="1" s="1"/>
  <c r="Z249" i="1"/>
  <c r="AF249" i="1" s="1"/>
  <c r="AA249" i="1"/>
  <c r="AG249" i="1" s="1"/>
  <c r="Y250" i="1"/>
  <c r="AE250" i="1" s="1"/>
  <c r="Z250" i="1"/>
  <c r="AF250" i="1" s="1"/>
  <c r="AA250" i="1"/>
  <c r="AG250" i="1" s="1"/>
  <c r="Y251" i="1"/>
  <c r="AE251" i="1" s="1"/>
  <c r="Z251" i="1"/>
  <c r="AF251" i="1" s="1"/>
  <c r="AA251" i="1"/>
  <c r="AG251" i="1" s="1"/>
  <c r="Y252" i="1"/>
  <c r="AE252" i="1" s="1"/>
  <c r="Z252" i="1"/>
  <c r="AF252" i="1" s="1"/>
  <c r="AA252" i="1"/>
  <c r="AG252" i="1" s="1"/>
  <c r="Y253" i="1"/>
  <c r="AE253" i="1" s="1"/>
  <c r="Z253" i="1"/>
  <c r="AF253" i="1" s="1"/>
  <c r="AA253" i="1"/>
  <c r="AG253" i="1" s="1"/>
  <c r="Y254" i="1"/>
  <c r="AE254" i="1" s="1"/>
  <c r="Z254" i="1"/>
  <c r="AF254" i="1" s="1"/>
  <c r="AA254" i="1"/>
  <c r="AG254" i="1" s="1"/>
  <c r="AL254" i="1" s="1"/>
  <c r="Y255" i="1"/>
  <c r="AE255" i="1" s="1"/>
  <c r="Z255" i="1"/>
  <c r="AF255" i="1" s="1"/>
  <c r="AA255" i="1"/>
  <c r="AG255" i="1" s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AH150" i="1" l="1"/>
  <c r="AK150" i="1" s="1"/>
  <c r="AH162" i="1"/>
  <c r="AK162" i="1" s="1"/>
  <c r="AI222" i="1"/>
  <c r="AH111" i="1"/>
  <c r="AK111" i="1" s="1"/>
  <c r="AJ150" i="1"/>
  <c r="AH103" i="1"/>
  <c r="AK103" i="1" s="1"/>
  <c r="AJ222" i="1"/>
  <c r="AH56" i="1"/>
  <c r="AI56" i="1" s="1"/>
  <c r="AH48" i="1"/>
  <c r="AK48" i="1" s="1"/>
  <c r="AH44" i="1"/>
  <c r="AK44" i="1" s="1"/>
  <c r="AH36" i="1"/>
  <c r="AK36" i="1" s="1"/>
  <c r="AH185" i="1"/>
  <c r="AI185" i="1" s="1"/>
  <c r="AH91" i="1"/>
  <c r="AK91" i="1" s="1"/>
  <c r="AJ98" i="1"/>
  <c r="AH230" i="1"/>
  <c r="AK230" i="1" s="1"/>
  <c r="AH158" i="1"/>
  <c r="AK158" i="1" s="1"/>
  <c r="AH250" i="1"/>
  <c r="AK250" i="1" s="1"/>
  <c r="AH232" i="1"/>
  <c r="AK232" i="1" s="1"/>
  <c r="AH216" i="1"/>
  <c r="AK216" i="1" s="1"/>
  <c r="AH192" i="1"/>
  <c r="AK192" i="1" s="1"/>
  <c r="AH128" i="1"/>
  <c r="AK128" i="1" s="1"/>
  <c r="AH104" i="1"/>
  <c r="AK104" i="1" s="1"/>
  <c r="AH72" i="1"/>
  <c r="AK72" i="1" s="1"/>
  <c r="AH64" i="1"/>
  <c r="AK64" i="1" s="1"/>
  <c r="AH40" i="1"/>
  <c r="AK40" i="1" s="1"/>
  <c r="AH53" i="1"/>
  <c r="AK53" i="1" s="1"/>
  <c r="AH208" i="1"/>
  <c r="AK208" i="1" s="1"/>
  <c r="AH188" i="1"/>
  <c r="AK188" i="1" s="1"/>
  <c r="AH172" i="1"/>
  <c r="AK172" i="1" s="1"/>
  <c r="AH96" i="1"/>
  <c r="AK96" i="1" s="1"/>
  <c r="AH88" i="1"/>
  <c r="AK88" i="1" s="1"/>
  <c r="AH76" i="1"/>
  <c r="AK76" i="1" s="1"/>
  <c r="AH68" i="1"/>
  <c r="AI68" i="1" s="1"/>
  <c r="AH60" i="1"/>
  <c r="AK60" i="1" s="1"/>
  <c r="AH52" i="1"/>
  <c r="AK52" i="1" s="1"/>
  <c r="AH28" i="1"/>
  <c r="AK28" i="1" s="1"/>
  <c r="AH27" i="1"/>
  <c r="AK27" i="1" s="1"/>
  <c r="AH178" i="1"/>
  <c r="AK178" i="1" s="1"/>
  <c r="AH220" i="1"/>
  <c r="AK220" i="1" s="1"/>
  <c r="AH184" i="1"/>
  <c r="AK184" i="1" s="1"/>
  <c r="AH155" i="1"/>
  <c r="AK155" i="1" s="1"/>
  <c r="AH107" i="1"/>
  <c r="AK107" i="1" s="1"/>
  <c r="AH234" i="1"/>
  <c r="AK234" i="1" s="1"/>
  <c r="AH214" i="1"/>
  <c r="AK214" i="1" s="1"/>
  <c r="AH202" i="1"/>
  <c r="AK202" i="1" s="1"/>
  <c r="AH142" i="1"/>
  <c r="AK142" i="1" s="1"/>
  <c r="AH86" i="1"/>
  <c r="AK86" i="1" s="1"/>
  <c r="AH211" i="1"/>
  <c r="AK211" i="1" s="1"/>
  <c r="AH139" i="1"/>
  <c r="AK139" i="1" s="1"/>
  <c r="AH119" i="1"/>
  <c r="AK119" i="1" s="1"/>
  <c r="AH99" i="1"/>
  <c r="AK99" i="1" s="1"/>
  <c r="AH255" i="1"/>
  <c r="AK255" i="1" s="1"/>
  <c r="AL246" i="1"/>
  <c r="AL234" i="1"/>
  <c r="AL158" i="1"/>
  <c r="AH246" i="1"/>
  <c r="AK246" i="1" s="1"/>
  <c r="AH198" i="1"/>
  <c r="AK198" i="1" s="1"/>
  <c r="AH154" i="1"/>
  <c r="AK154" i="1" s="1"/>
  <c r="AH106" i="1"/>
  <c r="AK106" i="1" s="1"/>
  <c r="AH94" i="1"/>
  <c r="AK94" i="1" s="1"/>
  <c r="AH196" i="1"/>
  <c r="AK196" i="1" s="1"/>
  <c r="AH176" i="1"/>
  <c r="AI176" i="1" s="1"/>
  <c r="AH136" i="1"/>
  <c r="AK136" i="1" s="1"/>
  <c r="AH108" i="1"/>
  <c r="AK108" i="1" s="1"/>
  <c r="AH186" i="1"/>
  <c r="AI186" i="1" s="1"/>
  <c r="AH239" i="1"/>
  <c r="AK239" i="1" s="1"/>
  <c r="AH227" i="1"/>
  <c r="AK227" i="1" s="1"/>
  <c r="AH195" i="1"/>
  <c r="AI195" i="1" s="1"/>
  <c r="AH191" i="1"/>
  <c r="AK191" i="1" s="1"/>
  <c r="AH187" i="1"/>
  <c r="AK187" i="1" s="1"/>
  <c r="AH183" i="1"/>
  <c r="AK183" i="1" s="1"/>
  <c r="AH171" i="1"/>
  <c r="AK171" i="1" s="1"/>
  <c r="AH167" i="1"/>
  <c r="AK167" i="1" s="1"/>
  <c r="AH151" i="1"/>
  <c r="AK151" i="1" s="1"/>
  <c r="AH83" i="1"/>
  <c r="AK83" i="1" s="1"/>
  <c r="AH71" i="1"/>
  <c r="AK71" i="1" s="1"/>
  <c r="AH63" i="1"/>
  <c r="AK63" i="1" s="1"/>
  <c r="AH35" i="1"/>
  <c r="AK35" i="1" s="1"/>
  <c r="AH238" i="1"/>
  <c r="AK238" i="1" s="1"/>
  <c r="AH114" i="1"/>
  <c r="AK114" i="1" s="1"/>
  <c r="AH228" i="1"/>
  <c r="AK228" i="1" s="1"/>
  <c r="AH212" i="1"/>
  <c r="AK212" i="1" s="1"/>
  <c r="AH200" i="1"/>
  <c r="AK200" i="1" s="1"/>
  <c r="AH152" i="1"/>
  <c r="AK152" i="1" s="1"/>
  <c r="AH116" i="1"/>
  <c r="AK116" i="1" s="1"/>
  <c r="AH248" i="1"/>
  <c r="AK248" i="1" s="1"/>
  <c r="AH236" i="1"/>
  <c r="AK236" i="1" s="1"/>
  <c r="AH164" i="1"/>
  <c r="AK164" i="1" s="1"/>
  <c r="AH124" i="1"/>
  <c r="AK124" i="1" s="1"/>
  <c r="AH100" i="1"/>
  <c r="AK100" i="1" s="1"/>
  <c r="AI111" i="1"/>
  <c r="AH194" i="1"/>
  <c r="AK194" i="1" s="1"/>
  <c r="AH225" i="1"/>
  <c r="AK225" i="1" s="1"/>
  <c r="AK56" i="1"/>
  <c r="AH38" i="1"/>
  <c r="AK38" i="1" s="1"/>
  <c r="AH249" i="1"/>
  <c r="AK249" i="1" s="1"/>
  <c r="AH229" i="1"/>
  <c r="AK229" i="1" s="1"/>
  <c r="AH221" i="1"/>
  <c r="AK221" i="1" s="1"/>
  <c r="AH205" i="1"/>
  <c r="AK205" i="1" s="1"/>
  <c r="AH193" i="1"/>
  <c r="AK193" i="1" s="1"/>
  <c r="AH177" i="1"/>
  <c r="AK177" i="1" s="1"/>
  <c r="AH121" i="1"/>
  <c r="AK121" i="1" s="1"/>
  <c r="AH101" i="1"/>
  <c r="AK101" i="1" s="1"/>
  <c r="AH97" i="1"/>
  <c r="AK97" i="1" s="1"/>
  <c r="AH93" i="1"/>
  <c r="AK93" i="1" s="1"/>
  <c r="AH89" i="1"/>
  <c r="AK89" i="1" s="1"/>
  <c r="AH85" i="1"/>
  <c r="AK85" i="1" s="1"/>
  <c r="AH81" i="1"/>
  <c r="AK81" i="1" s="1"/>
  <c r="AH73" i="1"/>
  <c r="AK73" i="1" s="1"/>
  <c r="AH69" i="1"/>
  <c r="AK69" i="1" s="1"/>
  <c r="AH61" i="1"/>
  <c r="AK61" i="1" s="1"/>
  <c r="AH49" i="1"/>
  <c r="AK49" i="1" s="1"/>
  <c r="AH45" i="1"/>
  <c r="AK45" i="1" s="1"/>
  <c r="AH37" i="1"/>
  <c r="AK37" i="1" s="1"/>
  <c r="AH252" i="1"/>
  <c r="AK252" i="1" s="1"/>
  <c r="AH240" i="1"/>
  <c r="AK240" i="1" s="1"/>
  <c r="AH224" i="1"/>
  <c r="AK224" i="1" s="1"/>
  <c r="AH204" i="1"/>
  <c r="AK204" i="1" s="1"/>
  <c r="AH160" i="1"/>
  <c r="AK160" i="1" s="1"/>
  <c r="AH144" i="1"/>
  <c r="AK144" i="1" s="1"/>
  <c r="AH132" i="1"/>
  <c r="AK132" i="1" s="1"/>
  <c r="AH80" i="1"/>
  <c r="AK80" i="1" s="1"/>
  <c r="AI82" i="1"/>
  <c r="AH74" i="1"/>
  <c r="AK74" i="1" s="1"/>
  <c r="AH50" i="1"/>
  <c r="AK50" i="1" s="1"/>
  <c r="AK222" i="1"/>
  <c r="AI162" i="1"/>
  <c r="AL83" i="1"/>
  <c r="AK203" i="1"/>
  <c r="AJ203" i="1"/>
  <c r="AL251" i="1"/>
  <c r="AK174" i="1"/>
  <c r="AI174" i="1"/>
  <c r="AK182" i="1"/>
  <c r="AI182" i="1"/>
  <c r="AL225" i="1"/>
  <c r="AL255" i="1"/>
  <c r="AI255" i="1"/>
  <c r="AL237" i="1"/>
  <c r="AH213" i="1"/>
  <c r="AK213" i="1" s="1"/>
  <c r="AH209" i="1"/>
  <c r="AK209" i="1" s="1"/>
  <c r="AH201" i="1"/>
  <c r="AK201" i="1" s="1"/>
  <c r="AH33" i="1"/>
  <c r="AK33" i="1" s="1"/>
  <c r="AL200" i="1"/>
  <c r="AL219" i="1"/>
  <c r="AL191" i="1"/>
  <c r="AL51" i="1"/>
  <c r="AL35" i="1"/>
  <c r="AH237" i="1"/>
  <c r="AK237" i="1" s="1"/>
  <c r="AH223" i="1"/>
  <c r="AK223" i="1" s="1"/>
  <c r="AL111" i="1"/>
  <c r="AH243" i="1"/>
  <c r="AK243" i="1" s="1"/>
  <c r="AH235" i="1"/>
  <c r="AK235" i="1" s="1"/>
  <c r="AH219" i="1"/>
  <c r="AK219" i="1" s="1"/>
  <c r="AH199" i="1"/>
  <c r="AK199" i="1" s="1"/>
  <c r="AH175" i="1"/>
  <c r="AK175" i="1" s="1"/>
  <c r="AH159" i="1"/>
  <c r="AK159" i="1" s="1"/>
  <c r="AH51" i="1"/>
  <c r="AK51" i="1" s="1"/>
  <c r="AH47" i="1"/>
  <c r="AK47" i="1" s="1"/>
  <c r="AH43" i="1"/>
  <c r="AK43" i="1" s="1"/>
  <c r="AH39" i="1"/>
  <c r="AK39" i="1" s="1"/>
  <c r="AH31" i="1"/>
  <c r="AK31" i="1" s="1"/>
  <c r="AL119" i="1"/>
  <c r="AJ111" i="1"/>
  <c r="AL96" i="1"/>
  <c r="AL41" i="1"/>
  <c r="AI242" i="1"/>
  <c r="AL198" i="1"/>
  <c r="AI78" i="1"/>
  <c r="AL78" i="1"/>
  <c r="AJ78" i="1"/>
  <c r="AI70" i="1"/>
  <c r="AL62" i="1"/>
  <c r="AL54" i="1"/>
  <c r="AL42" i="1"/>
  <c r="AH251" i="1"/>
  <c r="AK251" i="1" s="1"/>
  <c r="AI203" i="1"/>
  <c r="AH190" i="1"/>
  <c r="AK190" i="1" s="1"/>
  <c r="AL107" i="1"/>
  <c r="AL59" i="1"/>
  <c r="AL47" i="1"/>
  <c r="AL80" i="1"/>
  <c r="AH29" i="1"/>
  <c r="AK29" i="1" s="1"/>
  <c r="AH231" i="1"/>
  <c r="AK231" i="1" s="1"/>
  <c r="AH215" i="1"/>
  <c r="AI215" i="1" s="1"/>
  <c r="AH207" i="1"/>
  <c r="AK207" i="1" s="1"/>
  <c r="AH59" i="1"/>
  <c r="AK59" i="1" s="1"/>
  <c r="AL227" i="1"/>
  <c r="AH254" i="1"/>
  <c r="AK254" i="1" s="1"/>
  <c r="AH170" i="1"/>
  <c r="AH166" i="1"/>
  <c r="AK166" i="1" s="1"/>
  <c r="AL183" i="1"/>
  <c r="AL27" i="1"/>
  <c r="AH218" i="1"/>
  <c r="AI131" i="1"/>
  <c r="AJ131" i="1"/>
  <c r="AL249" i="1"/>
  <c r="AL245" i="1"/>
  <c r="AL233" i="1"/>
  <c r="AL221" i="1"/>
  <c r="AL209" i="1"/>
  <c r="AL201" i="1"/>
  <c r="AL185" i="1"/>
  <c r="AL177" i="1"/>
  <c r="AL173" i="1"/>
  <c r="AL153" i="1"/>
  <c r="AL149" i="1"/>
  <c r="AL141" i="1"/>
  <c r="AL137" i="1"/>
  <c r="AL129" i="1"/>
  <c r="AL125" i="1"/>
  <c r="AL117" i="1"/>
  <c r="AL113" i="1"/>
  <c r="AL105" i="1"/>
  <c r="AL101" i="1"/>
  <c r="AL93" i="1"/>
  <c r="AL89" i="1"/>
  <c r="AL81" i="1"/>
  <c r="AL77" i="1"/>
  <c r="AL69" i="1"/>
  <c r="AL65" i="1"/>
  <c r="AL57" i="1"/>
  <c r="AL53" i="1"/>
  <c r="AL45" i="1"/>
  <c r="AL33" i="1"/>
  <c r="AJ33" i="1"/>
  <c r="AL29" i="1"/>
  <c r="AL182" i="1"/>
  <c r="AJ182" i="1"/>
  <c r="AL116" i="1"/>
  <c r="AL135" i="1"/>
  <c r="AL39" i="1"/>
  <c r="AH247" i="1"/>
  <c r="AK247" i="1" s="1"/>
  <c r="AH173" i="1"/>
  <c r="AK173" i="1" s="1"/>
  <c r="AH65" i="1"/>
  <c r="AK65" i="1" s="1"/>
  <c r="AH57" i="1"/>
  <c r="AK57" i="1" s="1"/>
  <c r="AL207" i="1"/>
  <c r="AL108" i="1"/>
  <c r="AL72" i="1"/>
  <c r="AL60" i="1"/>
  <c r="AH253" i="1"/>
  <c r="AK253" i="1" s="1"/>
  <c r="AH241" i="1"/>
  <c r="AK241" i="1" s="1"/>
  <c r="AH197" i="1"/>
  <c r="AK197" i="1" s="1"/>
  <c r="AH169" i="1"/>
  <c r="AK169" i="1" s="1"/>
  <c r="AH161" i="1"/>
  <c r="AK161" i="1" s="1"/>
  <c r="AH149" i="1"/>
  <c r="AK149" i="1" s="1"/>
  <c r="AH137" i="1"/>
  <c r="AK137" i="1" s="1"/>
  <c r="AH133" i="1"/>
  <c r="AK133" i="1" s="1"/>
  <c r="AH117" i="1"/>
  <c r="AK117" i="1" s="1"/>
  <c r="AL240" i="1"/>
  <c r="AL228" i="1"/>
  <c r="AL204" i="1"/>
  <c r="AL188" i="1"/>
  <c r="AI188" i="1"/>
  <c r="AJ188" i="1"/>
  <c r="AL180" i="1"/>
  <c r="AL176" i="1"/>
  <c r="AL168" i="1"/>
  <c r="AL164" i="1"/>
  <c r="AL156" i="1"/>
  <c r="AL144" i="1"/>
  <c r="AL140" i="1"/>
  <c r="AL132" i="1"/>
  <c r="AL128" i="1"/>
  <c r="AL120" i="1"/>
  <c r="AL104" i="1"/>
  <c r="AL92" i="1"/>
  <c r="AL84" i="1"/>
  <c r="AL68" i="1"/>
  <c r="AL56" i="1"/>
  <c r="AL48" i="1"/>
  <c r="AL36" i="1"/>
  <c r="AL32" i="1"/>
  <c r="AL248" i="1"/>
  <c r="AH244" i="1"/>
  <c r="AK244" i="1" s="1"/>
  <c r="AH180" i="1"/>
  <c r="AK180" i="1" s="1"/>
  <c r="AH92" i="1"/>
  <c r="AI92" i="1" s="1"/>
  <c r="AH245" i="1"/>
  <c r="AK245" i="1" s="1"/>
  <c r="AH189" i="1"/>
  <c r="AK189" i="1" s="1"/>
  <c r="AH181" i="1"/>
  <c r="AK181" i="1" s="1"/>
  <c r="AH165" i="1"/>
  <c r="AH153" i="1"/>
  <c r="AK153" i="1" s="1"/>
  <c r="AH141" i="1"/>
  <c r="AK141" i="1" s="1"/>
  <c r="AH125" i="1"/>
  <c r="AK125" i="1" s="1"/>
  <c r="AH113" i="1"/>
  <c r="AK113" i="1" s="1"/>
  <c r="AH105" i="1"/>
  <c r="AK105" i="1" s="1"/>
  <c r="AH77" i="1"/>
  <c r="AK77" i="1" s="1"/>
  <c r="AL252" i="1"/>
  <c r="AL224" i="1"/>
  <c r="AL216" i="1"/>
  <c r="AL212" i="1"/>
  <c r="AL152" i="1"/>
  <c r="AL243" i="1"/>
  <c r="AH206" i="1"/>
  <c r="AK206" i="1" s="1"/>
  <c r="AL165" i="1"/>
  <c r="AI99" i="1"/>
  <c r="AH233" i="1"/>
  <c r="AK233" i="1" s="1"/>
  <c r="AH217" i="1"/>
  <c r="AK217" i="1" s="1"/>
  <c r="AH157" i="1"/>
  <c r="AK157" i="1" s="1"/>
  <c r="AH145" i="1"/>
  <c r="AK145" i="1" s="1"/>
  <c r="AH129" i="1"/>
  <c r="AK129" i="1" s="1"/>
  <c r="AH109" i="1"/>
  <c r="AK109" i="1" s="1"/>
  <c r="AH41" i="1"/>
  <c r="AJ41" i="1" s="1"/>
  <c r="AH112" i="1"/>
  <c r="AK112" i="1" s="1"/>
  <c r="AL192" i="1"/>
  <c r="AL174" i="1"/>
  <c r="AJ174" i="1"/>
  <c r="AL143" i="1"/>
  <c r="AL131" i="1"/>
  <c r="AI90" i="1"/>
  <c r="AL44" i="1"/>
  <c r="AH143" i="1"/>
  <c r="AI143" i="1" s="1"/>
  <c r="AH135" i="1"/>
  <c r="AK135" i="1" s="1"/>
  <c r="AH123" i="1"/>
  <c r="AK123" i="1" s="1"/>
  <c r="AH115" i="1"/>
  <c r="AK115" i="1" s="1"/>
  <c r="AI103" i="1"/>
  <c r="AH168" i="1"/>
  <c r="AK168" i="1" s="1"/>
  <c r="AH156" i="1"/>
  <c r="AK156" i="1" s="1"/>
  <c r="AH148" i="1"/>
  <c r="AK148" i="1" s="1"/>
  <c r="AH140" i="1"/>
  <c r="AK140" i="1" s="1"/>
  <c r="AH120" i="1"/>
  <c r="AK120" i="1" s="1"/>
  <c r="AH84" i="1"/>
  <c r="AI84" i="1" s="1"/>
  <c r="AL167" i="1"/>
  <c r="AL110" i="1"/>
  <c r="AL102" i="1"/>
  <c r="AL74" i="1"/>
  <c r="AL66" i="1"/>
  <c r="AL159" i="1"/>
  <c r="AL71" i="1"/>
  <c r="AH210" i="1"/>
  <c r="AL194" i="1"/>
  <c r="AH110" i="1"/>
  <c r="AK110" i="1" s="1"/>
  <c r="AI98" i="1"/>
  <c r="AL98" i="1"/>
  <c r="AL90" i="1"/>
  <c r="AJ90" i="1"/>
  <c r="AI226" i="1"/>
  <c r="AL38" i="1"/>
  <c r="AH87" i="1"/>
  <c r="AK87" i="1" s="1"/>
  <c r="AH67" i="1"/>
  <c r="AK67" i="1" s="1"/>
  <c r="AL186" i="1"/>
  <c r="AI150" i="1"/>
  <c r="AI130" i="1"/>
  <c r="AI58" i="1"/>
  <c r="AL230" i="1"/>
  <c r="AH127" i="1"/>
  <c r="AK127" i="1" s="1"/>
  <c r="AH95" i="1"/>
  <c r="AK95" i="1" s="1"/>
  <c r="AH79" i="1"/>
  <c r="AK79" i="1" s="1"/>
  <c r="AH55" i="1"/>
  <c r="AK55" i="1" s="1"/>
  <c r="AJ242" i="1"/>
  <c r="AL206" i="1"/>
  <c r="AH179" i="1"/>
  <c r="AI179" i="1" s="1"/>
  <c r="AH163" i="1"/>
  <c r="AK163" i="1" s="1"/>
  <c r="AH147" i="1"/>
  <c r="AJ147" i="1" s="1"/>
  <c r="AH75" i="1"/>
  <c r="AK75" i="1" s="1"/>
  <c r="AH146" i="1"/>
  <c r="AH138" i="1"/>
  <c r="AH134" i="1"/>
  <c r="AK134" i="1" s="1"/>
  <c r="AH126" i="1"/>
  <c r="AK126" i="1" s="1"/>
  <c r="AH122" i="1"/>
  <c r="AK122" i="1" s="1"/>
  <c r="AH118" i="1"/>
  <c r="AK118" i="1" s="1"/>
  <c r="AH102" i="1"/>
  <c r="AK102" i="1" s="1"/>
  <c r="AH66" i="1"/>
  <c r="AK66" i="1" s="1"/>
  <c r="AH62" i="1"/>
  <c r="AK62" i="1" s="1"/>
  <c r="AH54" i="1"/>
  <c r="AK54" i="1" s="1"/>
  <c r="AH46" i="1"/>
  <c r="AK46" i="1" s="1"/>
  <c r="AH42" i="1"/>
  <c r="AK42" i="1" s="1"/>
  <c r="AH34" i="1"/>
  <c r="AK34" i="1" s="1"/>
  <c r="AH30" i="1"/>
  <c r="AK30" i="1" s="1"/>
  <c r="AJ162" i="1"/>
  <c r="AH32" i="1"/>
  <c r="AK32" i="1" s="1"/>
  <c r="AL253" i="1"/>
  <c r="AL250" i="1"/>
  <c r="AL247" i="1"/>
  <c r="AL244" i="1"/>
  <c r="AL241" i="1"/>
  <c r="AL238" i="1"/>
  <c r="AL235" i="1"/>
  <c r="AL232" i="1"/>
  <c r="AL229" i="1"/>
  <c r="AL226" i="1"/>
  <c r="AL223" i="1"/>
  <c r="AL220" i="1"/>
  <c r="AL217" i="1"/>
  <c r="AL214" i="1"/>
  <c r="AL211" i="1"/>
  <c r="AL208" i="1"/>
  <c r="AL205" i="1"/>
  <c r="AL202" i="1"/>
  <c r="AL199" i="1"/>
  <c r="AL196" i="1"/>
  <c r="AL193" i="1"/>
  <c r="AL190" i="1"/>
  <c r="AL187" i="1"/>
  <c r="AL184" i="1"/>
  <c r="AL181" i="1"/>
  <c r="AL178" i="1"/>
  <c r="AL175" i="1"/>
  <c r="AL172" i="1"/>
  <c r="AL169" i="1"/>
  <c r="AL166" i="1"/>
  <c r="AL163" i="1"/>
  <c r="AL160" i="1"/>
  <c r="AL157" i="1"/>
  <c r="AL154" i="1"/>
  <c r="AL151" i="1"/>
  <c r="AL148" i="1"/>
  <c r="AL145" i="1"/>
  <c r="AL142" i="1"/>
  <c r="AL139" i="1"/>
  <c r="AL136" i="1"/>
  <c r="AL133" i="1"/>
  <c r="AL130" i="1"/>
  <c r="AL127" i="1"/>
  <c r="AL124" i="1"/>
  <c r="AL121" i="1"/>
  <c r="AL118" i="1"/>
  <c r="AL115" i="1"/>
  <c r="AL112" i="1"/>
  <c r="AL109" i="1"/>
  <c r="AL106" i="1"/>
  <c r="AL103" i="1"/>
  <c r="AL100" i="1"/>
  <c r="AL97" i="1"/>
  <c r="AL94" i="1"/>
  <c r="AL91" i="1"/>
  <c r="AL88" i="1"/>
  <c r="AL85" i="1"/>
  <c r="AL82" i="1"/>
  <c r="AL79" i="1"/>
  <c r="AL76" i="1"/>
  <c r="AL73" i="1"/>
  <c r="AL70" i="1"/>
  <c r="AL67" i="1"/>
  <c r="AL64" i="1"/>
  <c r="AL61" i="1"/>
  <c r="AL58" i="1"/>
  <c r="AL55" i="1"/>
  <c r="AL52" i="1"/>
  <c r="AL49" i="1"/>
  <c r="AL46" i="1"/>
  <c r="AL43" i="1"/>
  <c r="AL40" i="1"/>
  <c r="AL37" i="1"/>
  <c r="AL34" i="1"/>
  <c r="AL31" i="1"/>
  <c r="AL28" i="1"/>
  <c r="AJ226" i="1"/>
  <c r="AJ172" i="1"/>
  <c r="AJ130" i="1"/>
  <c r="AJ103" i="1"/>
  <c r="AJ82" i="1"/>
  <c r="AJ70" i="1"/>
  <c r="AJ58" i="1"/>
  <c r="AJ166" i="1" l="1"/>
  <c r="AJ199" i="1"/>
  <c r="AI155" i="1"/>
  <c r="AI33" i="1"/>
  <c r="AJ155" i="1"/>
  <c r="AJ48" i="1"/>
  <c r="AJ192" i="1"/>
  <c r="AJ255" i="1"/>
  <c r="AI36" i="1"/>
  <c r="AI192" i="1"/>
  <c r="AJ56" i="1"/>
  <c r="AJ44" i="1"/>
  <c r="AI44" i="1"/>
  <c r="AI202" i="1"/>
  <c r="AI250" i="1"/>
  <c r="AI48" i="1"/>
  <c r="AJ106" i="1"/>
  <c r="AI93" i="1"/>
  <c r="AJ185" i="1"/>
  <c r="AJ212" i="1"/>
  <c r="AI212" i="1"/>
  <c r="AK185" i="1"/>
  <c r="AJ93" i="1"/>
  <c r="AJ202" i="1"/>
  <c r="AJ250" i="1"/>
  <c r="AJ107" i="1"/>
  <c r="AI184" i="1"/>
  <c r="AI107" i="1"/>
  <c r="AJ73" i="1"/>
  <c r="AJ230" i="1"/>
  <c r="AJ214" i="1"/>
  <c r="AI142" i="1"/>
  <c r="AI216" i="1"/>
  <c r="AJ89" i="1"/>
  <c r="AI214" i="1"/>
  <c r="AJ76" i="1"/>
  <c r="AJ85" i="1"/>
  <c r="AJ96" i="1"/>
  <c r="AJ200" i="1"/>
  <c r="AI151" i="1"/>
  <c r="AJ151" i="1"/>
  <c r="AJ87" i="1"/>
  <c r="AI132" i="1"/>
  <c r="AJ88" i="1"/>
  <c r="AJ167" i="1"/>
  <c r="AJ91" i="1"/>
  <c r="AJ224" i="1"/>
  <c r="AI194" i="1"/>
  <c r="AI89" i="1"/>
  <c r="AI91" i="1"/>
  <c r="AJ158" i="1"/>
  <c r="AJ196" i="1"/>
  <c r="AJ119" i="1"/>
  <c r="AI254" i="1"/>
  <c r="AJ220" i="1"/>
  <c r="AJ50" i="1"/>
  <c r="AI106" i="1"/>
  <c r="AJ144" i="1"/>
  <c r="AJ204" i="1"/>
  <c r="AJ251" i="1"/>
  <c r="AJ38" i="1"/>
  <c r="AJ40" i="1"/>
  <c r="AI159" i="1"/>
  <c r="AI224" i="1"/>
  <c r="AI94" i="1"/>
  <c r="AI114" i="1"/>
  <c r="AJ68" i="1"/>
  <c r="AI144" i="1"/>
  <c r="AI208" i="1"/>
  <c r="AI171" i="1"/>
  <c r="AI251" i="1"/>
  <c r="AJ141" i="1"/>
  <c r="AJ94" i="1"/>
  <c r="AJ208" i="1"/>
  <c r="AI200" i="1"/>
  <c r="AJ109" i="1"/>
  <c r="AJ142" i="1"/>
  <c r="AI175" i="1"/>
  <c r="AI119" i="1"/>
  <c r="AJ160" i="1"/>
  <c r="AI76" i="1"/>
  <c r="AI220" i="1"/>
  <c r="AJ237" i="1"/>
  <c r="AI27" i="1"/>
  <c r="AJ53" i="1"/>
  <c r="AI229" i="1"/>
  <c r="AI191" i="1"/>
  <c r="AI158" i="1"/>
  <c r="AI230" i="1"/>
  <c r="AJ209" i="1"/>
  <c r="AI221" i="1"/>
  <c r="AJ191" i="1"/>
  <c r="AJ154" i="1"/>
  <c r="AI178" i="1"/>
  <c r="AI42" i="1"/>
  <c r="AJ27" i="1"/>
  <c r="AJ211" i="1"/>
  <c r="AJ75" i="1"/>
  <c r="AI53" i="1"/>
  <c r="AI247" i="1"/>
  <c r="AJ80" i="1"/>
  <c r="AK68" i="1"/>
  <c r="AJ43" i="1"/>
  <c r="AJ139" i="1"/>
  <c r="AJ228" i="1"/>
  <c r="AI80" i="1"/>
  <c r="AI40" i="1"/>
  <c r="AJ253" i="1"/>
  <c r="AI228" i="1"/>
  <c r="AI60" i="1"/>
  <c r="AI249" i="1"/>
  <c r="AI246" i="1"/>
  <c r="AI73" i="1"/>
  <c r="AI167" i="1"/>
  <c r="AJ36" i="1"/>
  <c r="AI209" i="1"/>
  <c r="AJ178" i="1"/>
  <c r="AJ66" i="1"/>
  <c r="AI139" i="1"/>
  <c r="AI85" i="1"/>
  <c r="AI211" i="1"/>
  <c r="AJ193" i="1"/>
  <c r="AJ114" i="1"/>
  <c r="AI128" i="1"/>
  <c r="AJ69" i="1"/>
  <c r="AI213" i="1"/>
  <c r="AJ97" i="1"/>
  <c r="AJ216" i="1"/>
  <c r="AI28" i="1"/>
  <c r="AJ180" i="1"/>
  <c r="AJ116" i="1"/>
  <c r="AI61" i="1"/>
  <c r="AJ54" i="1"/>
  <c r="AI97" i="1"/>
  <c r="AI234" i="1"/>
  <c r="AJ61" i="1"/>
  <c r="AJ163" i="1"/>
  <c r="AJ205" i="1"/>
  <c r="AJ240" i="1"/>
  <c r="AJ60" i="1"/>
  <c r="AJ221" i="1"/>
  <c r="AI96" i="1"/>
  <c r="AI207" i="1"/>
  <c r="AI64" i="1"/>
  <c r="AI180" i="1"/>
  <c r="AJ213" i="1"/>
  <c r="AI46" i="1"/>
  <c r="AJ52" i="1"/>
  <c r="AJ63" i="1"/>
  <c r="AJ104" i="1"/>
  <c r="AJ175" i="1"/>
  <c r="AI72" i="1"/>
  <c r="AI88" i="1"/>
  <c r="AJ181" i="1"/>
  <c r="AJ71" i="1"/>
  <c r="AJ108" i="1"/>
  <c r="AI81" i="1"/>
  <c r="AJ234" i="1"/>
  <c r="AI190" i="1"/>
  <c r="AI196" i="1"/>
  <c r="AJ72" i="1"/>
  <c r="AI86" i="1"/>
  <c r="AJ64" i="1"/>
  <c r="AI240" i="1"/>
  <c r="AI157" i="1"/>
  <c r="AI69" i="1"/>
  <c r="AI181" i="1"/>
  <c r="AJ136" i="1"/>
  <c r="AI71" i="1"/>
  <c r="AJ99" i="1"/>
  <c r="AI172" i="1"/>
  <c r="AI108" i="1"/>
  <c r="AI199" i="1"/>
  <c r="AJ183" i="1"/>
  <c r="AI232" i="1"/>
  <c r="AI52" i="1"/>
  <c r="AJ46" i="1"/>
  <c r="AI50" i="1"/>
  <c r="AJ74" i="1"/>
  <c r="AJ86" i="1"/>
  <c r="AJ115" i="1"/>
  <c r="AI67" i="1"/>
  <c r="AJ252" i="1"/>
  <c r="AI104" i="1"/>
  <c r="AJ233" i="1"/>
  <c r="AJ28" i="1"/>
  <c r="AI117" i="1"/>
  <c r="AI136" i="1"/>
  <c r="AJ31" i="1"/>
  <c r="AJ79" i="1"/>
  <c r="AJ133" i="1"/>
  <c r="AJ37" i="1"/>
  <c r="AJ184" i="1"/>
  <c r="AJ229" i="1"/>
  <c r="AJ159" i="1"/>
  <c r="AI166" i="1"/>
  <c r="AI154" i="1"/>
  <c r="AJ152" i="1"/>
  <c r="AJ187" i="1"/>
  <c r="AJ232" i="1"/>
  <c r="AI152" i="1"/>
  <c r="AI123" i="1"/>
  <c r="AJ128" i="1"/>
  <c r="AI187" i="1"/>
  <c r="AJ135" i="1"/>
  <c r="AJ249" i="1"/>
  <c r="AI183" i="1"/>
  <c r="AI248" i="1"/>
  <c r="AI37" i="1"/>
  <c r="AI137" i="1"/>
  <c r="AI127" i="1"/>
  <c r="AI163" i="1"/>
  <c r="AI54" i="1"/>
  <c r="AJ225" i="1"/>
  <c r="AK195" i="1"/>
  <c r="AI160" i="1"/>
  <c r="AI227" i="1"/>
  <c r="AI121" i="1"/>
  <c r="AJ236" i="1"/>
  <c r="AI101" i="1"/>
  <c r="AI35" i="1"/>
  <c r="AJ189" i="1"/>
  <c r="AI225" i="1"/>
  <c r="AJ239" i="1"/>
  <c r="AI177" i="1"/>
  <c r="AJ227" i="1"/>
  <c r="AJ62" i="1"/>
  <c r="AI239" i="1"/>
  <c r="AK176" i="1"/>
  <c r="AJ176" i="1"/>
  <c r="AI62" i="1"/>
  <c r="AJ238" i="1"/>
  <c r="AI252" i="1"/>
  <c r="AI198" i="1"/>
  <c r="AJ127" i="1"/>
  <c r="AI63" i="1"/>
  <c r="AI148" i="1"/>
  <c r="AJ206" i="1"/>
  <c r="AJ164" i="1"/>
  <c r="AJ59" i="1"/>
  <c r="AJ121" i="1"/>
  <c r="AJ124" i="1"/>
  <c r="AJ177" i="1"/>
  <c r="AI45" i="1"/>
  <c r="AJ120" i="1"/>
  <c r="AI206" i="1"/>
  <c r="AJ45" i="1"/>
  <c r="AJ217" i="1"/>
  <c r="AI105" i="1"/>
  <c r="AI233" i="1"/>
  <c r="AJ100" i="1"/>
  <c r="AI83" i="1"/>
  <c r="AK186" i="1"/>
  <c r="AI116" i="1"/>
  <c r="AJ81" i="1"/>
  <c r="AJ149" i="1"/>
  <c r="AJ47" i="1"/>
  <c r="AJ246" i="1"/>
  <c r="AI124" i="1"/>
  <c r="AJ35" i="1"/>
  <c r="AJ186" i="1"/>
  <c r="AI193" i="1"/>
  <c r="AI164" i="1"/>
  <c r="AI49" i="1"/>
  <c r="AI149" i="1"/>
  <c r="AI87" i="1"/>
  <c r="AJ132" i="1"/>
  <c r="AI113" i="1"/>
  <c r="AJ201" i="1"/>
  <c r="AI43" i="1"/>
  <c r="AJ171" i="1"/>
  <c r="AI47" i="1"/>
  <c r="AI38" i="1"/>
  <c r="AI100" i="1"/>
  <c r="AJ83" i="1"/>
  <c r="AI223" i="1"/>
  <c r="AJ198" i="1"/>
  <c r="AJ195" i="1"/>
  <c r="AJ49" i="1"/>
  <c r="AI236" i="1"/>
  <c r="AJ101" i="1"/>
  <c r="AI238" i="1"/>
  <c r="AJ197" i="1"/>
  <c r="AI31" i="1"/>
  <c r="AI110" i="1"/>
  <c r="AJ67" i="1"/>
  <c r="AJ145" i="1"/>
  <c r="AJ223" i="1"/>
  <c r="AJ194" i="1"/>
  <c r="AJ148" i="1"/>
  <c r="AJ190" i="1"/>
  <c r="AI95" i="1"/>
  <c r="AJ248" i="1"/>
  <c r="AJ32" i="1"/>
  <c r="AI204" i="1"/>
  <c r="AI205" i="1"/>
  <c r="AJ117" i="1"/>
  <c r="AI201" i="1"/>
  <c r="AJ42" i="1"/>
  <c r="AJ207" i="1"/>
  <c r="AI237" i="1"/>
  <c r="AI74" i="1"/>
  <c r="AJ210" i="1"/>
  <c r="AK210" i="1"/>
  <c r="AI32" i="1"/>
  <c r="AJ118" i="1"/>
  <c r="AI55" i="1"/>
  <c r="AI156" i="1"/>
  <c r="AK218" i="1"/>
  <c r="AI218" i="1"/>
  <c r="AJ218" i="1"/>
  <c r="AI169" i="1"/>
  <c r="AJ157" i="1"/>
  <c r="AJ110" i="1"/>
  <c r="AJ231" i="1"/>
  <c r="AJ123" i="1"/>
  <c r="AI235" i="1"/>
  <c r="AJ29" i="1"/>
  <c r="AJ77" i="1"/>
  <c r="AI141" i="1"/>
  <c r="AJ173" i="1"/>
  <c r="AI138" i="1"/>
  <c r="AJ138" i="1"/>
  <c r="AK138" i="1"/>
  <c r="AI118" i="1"/>
  <c r="AJ122" i="1"/>
  <c r="AI115" i="1"/>
  <c r="AI29" i="1"/>
  <c r="AI77" i="1"/>
  <c r="AJ125" i="1"/>
  <c r="AI145" i="1"/>
  <c r="AI173" i="1"/>
  <c r="AI245" i="1"/>
  <c r="AI241" i="1"/>
  <c r="AJ55" i="1"/>
  <c r="AJ126" i="1"/>
  <c r="AI122" i="1"/>
  <c r="AJ168" i="1"/>
  <c r="AJ140" i="1"/>
  <c r="AJ57" i="1"/>
  <c r="AI125" i="1"/>
  <c r="AI170" i="1"/>
  <c r="AJ170" i="1"/>
  <c r="AK170" i="1"/>
  <c r="AJ219" i="1"/>
  <c r="AI168" i="1"/>
  <c r="AI57" i="1"/>
  <c r="AJ105" i="1"/>
  <c r="AJ129" i="1"/>
  <c r="AJ245" i="1"/>
  <c r="AI219" i="1"/>
  <c r="AK147" i="1"/>
  <c r="AI147" i="1"/>
  <c r="AJ95" i="1"/>
  <c r="AI253" i="1"/>
  <c r="AJ102" i="1"/>
  <c r="AJ161" i="1"/>
  <c r="AK92" i="1"/>
  <c r="AJ92" i="1"/>
  <c r="AJ156" i="1"/>
  <c r="AI161" i="1"/>
  <c r="AJ235" i="1"/>
  <c r="AI146" i="1"/>
  <c r="AJ146" i="1"/>
  <c r="AK146" i="1"/>
  <c r="AI126" i="1"/>
  <c r="AJ169" i="1"/>
  <c r="AI129" i="1"/>
  <c r="AJ244" i="1"/>
  <c r="AI30" i="1"/>
  <c r="AJ134" i="1"/>
  <c r="AJ254" i="1"/>
  <c r="AK165" i="1"/>
  <c r="AI165" i="1"/>
  <c r="AI244" i="1"/>
  <c r="AI109" i="1"/>
  <c r="AI153" i="1"/>
  <c r="AI217" i="1"/>
  <c r="AI66" i="1"/>
  <c r="AJ243" i="1"/>
  <c r="AJ112" i="1"/>
  <c r="AI210" i="1"/>
  <c r="AI231" i="1"/>
  <c r="AI112" i="1"/>
  <c r="AJ247" i="1"/>
  <c r="AK179" i="1"/>
  <c r="AJ179" i="1"/>
  <c r="AI134" i="1"/>
  <c r="AI75" i="1"/>
  <c r="AK84" i="1"/>
  <c r="AJ84" i="1"/>
  <c r="AK143" i="1"/>
  <c r="AJ143" i="1"/>
  <c r="AJ39" i="1"/>
  <c r="AJ65" i="1"/>
  <c r="AI133" i="1"/>
  <c r="AI59" i="1"/>
  <c r="AI34" i="1"/>
  <c r="AJ51" i="1"/>
  <c r="AI243" i="1"/>
  <c r="AJ165" i="1"/>
  <c r="AJ215" i="1"/>
  <c r="AK215" i="1"/>
  <c r="AK41" i="1"/>
  <c r="AI41" i="1"/>
  <c r="AI197" i="1"/>
  <c r="AJ241" i="1"/>
  <c r="AJ30" i="1"/>
  <c r="AI140" i="1"/>
  <c r="AJ34" i="1"/>
  <c r="AI79" i="1"/>
  <c r="AI102" i="1"/>
  <c r="AI120" i="1"/>
  <c r="AI39" i="1"/>
  <c r="AI65" i="1"/>
  <c r="AJ113" i="1"/>
  <c r="AJ137" i="1"/>
  <c r="AJ153" i="1"/>
  <c r="AI189" i="1"/>
  <c r="AI51" i="1"/>
  <c r="AI135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J26" i="1"/>
  <c r="T26" i="1" s="1"/>
  <c r="J25" i="1"/>
  <c r="T25" i="1" s="1"/>
  <c r="J24" i="1"/>
  <c r="T24" i="1" s="1"/>
  <c r="J23" i="1"/>
  <c r="T23" i="1" s="1"/>
  <c r="J22" i="1"/>
  <c r="T22" i="1" s="1"/>
  <c r="J21" i="1"/>
  <c r="T21" i="1" s="1"/>
  <c r="J20" i="1"/>
  <c r="T20" i="1" s="1"/>
  <c r="J19" i="1"/>
  <c r="T19" i="1" s="1"/>
  <c r="J18" i="1"/>
  <c r="T18" i="1" s="1"/>
  <c r="J17" i="1"/>
  <c r="T17" i="1" s="1"/>
  <c r="J16" i="1"/>
  <c r="T16" i="1" s="1"/>
  <c r="J15" i="1"/>
  <c r="T15" i="1" s="1"/>
  <c r="J14" i="1"/>
  <c r="T14" i="1" s="1"/>
  <c r="J13" i="1"/>
  <c r="T13" i="1" s="1"/>
  <c r="J12" i="1"/>
  <c r="T12" i="1" s="1"/>
  <c r="J11" i="1"/>
  <c r="T11" i="1" s="1"/>
  <c r="J10" i="1"/>
  <c r="T10" i="1" s="1"/>
  <c r="J9" i="1"/>
  <c r="T9" i="1" s="1"/>
  <c r="J8" i="1"/>
  <c r="T8" i="1" s="1"/>
  <c r="J7" i="1"/>
  <c r="T7" i="1" s="1"/>
  <c r="J6" i="1"/>
  <c r="T6" i="1" s="1"/>
  <c r="J5" i="1"/>
  <c r="T5" i="1" s="1"/>
  <c r="J4" i="1"/>
  <c r="T4" i="1" s="1"/>
  <c r="J3" i="1"/>
  <c r="T3" i="1" s="1"/>
  <c r="J2" i="1"/>
  <c r="T2" i="1" s="1"/>
  <c r="I26" i="1"/>
  <c r="Y26" i="1" s="1"/>
  <c r="AE26" i="1" s="1"/>
  <c r="AH26" i="1" s="1"/>
  <c r="AK26" i="1" s="1"/>
  <c r="I25" i="1"/>
  <c r="I24" i="1"/>
  <c r="M24" i="1" s="1"/>
  <c r="I23" i="1"/>
  <c r="M23" i="1" s="1"/>
  <c r="I22" i="1"/>
  <c r="M22" i="1" s="1"/>
  <c r="I21" i="1"/>
  <c r="P21" i="1" s="1"/>
  <c r="I20" i="1"/>
  <c r="M20" i="1" s="1"/>
  <c r="I19" i="1"/>
  <c r="M19" i="1" s="1"/>
  <c r="I18" i="1"/>
  <c r="M18" i="1" s="1"/>
  <c r="I17" i="1"/>
  <c r="P17" i="1" s="1"/>
  <c r="I16" i="1"/>
  <c r="P16" i="1" s="1"/>
  <c r="I15" i="1"/>
  <c r="P15" i="1" s="1"/>
  <c r="I14" i="1"/>
  <c r="Y14" i="1" s="1"/>
  <c r="AE14" i="1" s="1"/>
  <c r="I13" i="1"/>
  <c r="I12" i="1"/>
  <c r="P12" i="1" s="1"/>
  <c r="I11" i="1"/>
  <c r="M11" i="1" s="1"/>
  <c r="I10" i="1"/>
  <c r="M10" i="1" s="1"/>
  <c r="I9" i="1"/>
  <c r="P9" i="1" s="1"/>
  <c r="I8" i="1"/>
  <c r="P8" i="1" s="1"/>
  <c r="I7" i="1"/>
  <c r="M7" i="1" s="1"/>
  <c r="I6" i="1"/>
  <c r="P6" i="1" s="1"/>
  <c r="I5" i="1"/>
  <c r="P5" i="1" s="1"/>
  <c r="I4" i="1"/>
  <c r="P4" i="1" s="1"/>
  <c r="I3" i="1"/>
  <c r="P3" i="1" s="1"/>
  <c r="I2" i="1"/>
  <c r="Z20" i="1" l="1"/>
  <c r="AF20" i="1" s="1"/>
  <c r="Y20" i="1"/>
  <c r="AE20" i="1" s="1"/>
  <c r="AH20" i="1" s="1"/>
  <c r="AK20" i="1" s="1"/>
  <c r="Z24" i="1"/>
  <c r="AF24" i="1" s="1"/>
  <c r="Y18" i="1"/>
  <c r="AE18" i="1" s="1"/>
  <c r="AH18" i="1" s="1"/>
  <c r="AK18" i="1" s="1"/>
  <c r="Y10" i="1"/>
  <c r="AE10" i="1" s="1"/>
  <c r="AA8" i="1"/>
  <c r="AG8" i="1" s="1"/>
  <c r="Z8" i="1"/>
  <c r="AF8" i="1" s="1"/>
  <c r="AA17" i="1"/>
  <c r="AG17" i="1" s="1"/>
  <c r="Z17" i="1"/>
  <c r="AF17" i="1" s="1"/>
  <c r="Y17" i="1"/>
  <c r="AE17" i="1" s="1"/>
  <c r="AH17" i="1" s="1"/>
  <c r="AK17" i="1" s="1"/>
  <c r="Y8" i="1"/>
  <c r="AE8" i="1" s="1"/>
  <c r="AH8" i="1" s="1"/>
  <c r="AK8" i="1" s="1"/>
  <c r="AA24" i="1"/>
  <c r="AG24" i="1" s="1"/>
  <c r="Y6" i="1"/>
  <c r="AE6" i="1" s="1"/>
  <c r="Y9" i="1"/>
  <c r="AE9" i="1" s="1"/>
  <c r="AH9" i="1" s="1"/>
  <c r="AK9" i="1" s="1"/>
  <c r="AA12" i="1"/>
  <c r="AG12" i="1" s="1"/>
  <c r="Z12" i="1"/>
  <c r="AF12" i="1" s="1"/>
  <c r="Z21" i="1"/>
  <c r="AF21" i="1" s="1"/>
  <c r="AA11" i="1"/>
  <c r="AG11" i="1" s="1"/>
  <c r="Z5" i="1"/>
  <c r="AF5" i="1" s="1"/>
  <c r="Y24" i="1"/>
  <c r="AE24" i="1" s="1"/>
  <c r="AH24" i="1" s="1"/>
  <c r="AK24" i="1" s="1"/>
  <c r="AA23" i="1"/>
  <c r="AG23" i="1" s="1"/>
  <c r="Z23" i="1"/>
  <c r="AF23" i="1" s="1"/>
  <c r="Y22" i="1"/>
  <c r="AE22" i="1" s="1"/>
  <c r="AH22" i="1" s="1"/>
  <c r="AK22" i="1" s="1"/>
  <c r="AA9" i="1"/>
  <c r="AG9" i="1" s="1"/>
  <c r="Z9" i="1"/>
  <c r="AF9" i="1" s="1"/>
  <c r="Y23" i="1"/>
  <c r="AE23" i="1" s="1"/>
  <c r="AH23" i="1" s="1"/>
  <c r="AK23" i="1" s="1"/>
  <c r="M12" i="1"/>
  <c r="P24" i="1"/>
  <c r="AA21" i="1"/>
  <c r="AG21" i="1" s="1"/>
  <c r="Y12" i="1"/>
  <c r="AE12" i="1" s="1"/>
  <c r="AH12" i="1" s="1"/>
  <c r="AK12" i="1" s="1"/>
  <c r="AA5" i="1"/>
  <c r="AG5" i="1" s="1"/>
  <c r="Y21" i="1"/>
  <c r="AE21" i="1" s="1"/>
  <c r="AH21" i="1" s="1"/>
  <c r="AK21" i="1" s="1"/>
  <c r="Z11" i="1"/>
  <c r="AF11" i="1" s="1"/>
  <c r="Y5" i="1"/>
  <c r="AE5" i="1" s="1"/>
  <c r="AH5" i="1" s="1"/>
  <c r="AK5" i="1" s="1"/>
  <c r="AA20" i="1"/>
  <c r="AG20" i="1" s="1"/>
  <c r="Y11" i="1"/>
  <c r="AE11" i="1" s="1"/>
  <c r="M25" i="1"/>
  <c r="Y25" i="1"/>
  <c r="AE25" i="1" s="1"/>
  <c r="AH25" i="1" s="1"/>
  <c r="AK25" i="1" s="1"/>
  <c r="Z25" i="1"/>
  <c r="AF25" i="1" s="1"/>
  <c r="P25" i="1"/>
  <c r="P2" i="1"/>
  <c r="AA2" i="1"/>
  <c r="Z2" i="1"/>
  <c r="Y2" i="1"/>
  <c r="M13" i="1"/>
  <c r="Z13" i="1"/>
  <c r="AF13" i="1" s="1"/>
  <c r="P13" i="1"/>
  <c r="Y13" i="1"/>
  <c r="AE13" i="1" s="1"/>
  <c r="AH13" i="1" s="1"/>
  <c r="AK13" i="1" s="1"/>
  <c r="AA13" i="1"/>
  <c r="AG13" i="1" s="1"/>
  <c r="M14" i="1"/>
  <c r="Z14" i="1"/>
  <c r="AF14" i="1" s="1"/>
  <c r="AH14" i="1" s="1"/>
  <c r="AK14" i="1" s="1"/>
  <c r="AA14" i="1"/>
  <c r="AG14" i="1" s="1"/>
  <c r="M26" i="1"/>
  <c r="Z26" i="1"/>
  <c r="AF26" i="1" s="1"/>
  <c r="AA26" i="1"/>
  <c r="AG26" i="1" s="1"/>
  <c r="AA25" i="1"/>
  <c r="AG25" i="1" s="1"/>
  <c r="Z4" i="1"/>
  <c r="AF4" i="1" s="1"/>
  <c r="AA4" i="1"/>
  <c r="AG4" i="1" s="1"/>
  <c r="Z16" i="1"/>
  <c r="AF16" i="1" s="1"/>
  <c r="AA3" i="1"/>
  <c r="AG3" i="1" s="1"/>
  <c r="AA16" i="1"/>
  <c r="AG16" i="1" s="1"/>
  <c r="Y16" i="1"/>
  <c r="AE16" i="1" s="1"/>
  <c r="Y4" i="1"/>
  <c r="AE4" i="1" s="1"/>
  <c r="AA19" i="1"/>
  <c r="AG19" i="1" s="1"/>
  <c r="AA15" i="1"/>
  <c r="AG15" i="1" s="1"/>
  <c r="AA7" i="1"/>
  <c r="AG7" i="1" s="1"/>
  <c r="Z19" i="1"/>
  <c r="AF19" i="1" s="1"/>
  <c r="Z15" i="1"/>
  <c r="AF15" i="1" s="1"/>
  <c r="Z7" i="1"/>
  <c r="AF7" i="1" s="1"/>
  <c r="Z3" i="1"/>
  <c r="AF3" i="1" s="1"/>
  <c r="Y19" i="1"/>
  <c r="AE19" i="1" s="1"/>
  <c r="AH19" i="1" s="1"/>
  <c r="AK19" i="1" s="1"/>
  <c r="Y15" i="1"/>
  <c r="AE15" i="1" s="1"/>
  <c r="Y7" i="1"/>
  <c r="AE7" i="1" s="1"/>
  <c r="Y3" i="1"/>
  <c r="AE3" i="1" s="1"/>
  <c r="AA22" i="1"/>
  <c r="AG22" i="1" s="1"/>
  <c r="AA18" i="1"/>
  <c r="AG18" i="1" s="1"/>
  <c r="AA10" i="1"/>
  <c r="AG10" i="1" s="1"/>
  <c r="AA6" i="1"/>
  <c r="AG6" i="1" s="1"/>
  <c r="Z22" i="1"/>
  <c r="AF22" i="1" s="1"/>
  <c r="Z18" i="1"/>
  <c r="AF18" i="1" s="1"/>
  <c r="Z10" i="1"/>
  <c r="AF10" i="1" s="1"/>
  <c r="Z6" i="1"/>
  <c r="AF6" i="1" s="1"/>
  <c r="P26" i="1"/>
  <c r="P20" i="1"/>
  <c r="P14" i="1"/>
  <c r="M4" i="1"/>
  <c r="M5" i="1"/>
  <c r="M6" i="1"/>
  <c r="K7" i="1"/>
  <c r="M8" i="1"/>
  <c r="P19" i="1"/>
  <c r="K8" i="1"/>
  <c r="Q8" i="1" s="1"/>
  <c r="K20" i="1"/>
  <c r="Q20" i="1" s="1"/>
  <c r="P18" i="1"/>
  <c r="M16" i="1"/>
  <c r="M17" i="1"/>
  <c r="P7" i="1"/>
  <c r="K21" i="1"/>
  <c r="P11" i="1"/>
  <c r="K9" i="1"/>
  <c r="K22" i="1"/>
  <c r="K10" i="1"/>
  <c r="K11" i="1"/>
  <c r="P23" i="1"/>
  <c r="K12" i="1"/>
  <c r="M9" i="1"/>
  <c r="P10" i="1"/>
  <c r="K13" i="1"/>
  <c r="K26" i="1"/>
  <c r="M2" i="1"/>
  <c r="K5" i="1"/>
  <c r="K17" i="1"/>
  <c r="K6" i="1"/>
  <c r="K18" i="1"/>
  <c r="M3" i="1"/>
  <c r="M15" i="1"/>
  <c r="K23" i="1"/>
  <c r="K24" i="1"/>
  <c r="M21" i="1"/>
  <c r="P22" i="1"/>
  <c r="K25" i="1"/>
  <c r="K2" i="1"/>
  <c r="K14" i="1"/>
  <c r="K3" i="1"/>
  <c r="K15" i="1"/>
  <c r="K4" i="1"/>
  <c r="K16" i="1"/>
  <c r="K19" i="1"/>
  <c r="AL4" i="1" l="1"/>
  <c r="AI20" i="1"/>
  <c r="AJ20" i="1"/>
  <c r="AL20" i="1"/>
  <c r="AL10" i="1"/>
  <c r="AI19" i="1"/>
  <c r="AL19" i="1"/>
  <c r="AJ19" i="1"/>
  <c r="AL23" i="1"/>
  <c r="AI23" i="1"/>
  <c r="AJ23" i="1"/>
  <c r="AI25" i="1"/>
  <c r="AL25" i="1"/>
  <c r="AJ25" i="1"/>
  <c r="AI17" i="1"/>
  <c r="AJ17" i="1"/>
  <c r="AL17" i="1"/>
  <c r="AI5" i="1"/>
  <c r="AJ5" i="1"/>
  <c r="AL5" i="1"/>
  <c r="AL11" i="1"/>
  <c r="AL15" i="1"/>
  <c r="AI21" i="1"/>
  <c r="AJ21" i="1"/>
  <c r="AL21" i="1"/>
  <c r="AL16" i="1"/>
  <c r="AH6" i="1"/>
  <c r="AK6" i="1" s="1"/>
  <c r="AI26" i="1"/>
  <c r="AJ26" i="1"/>
  <c r="AL26" i="1"/>
  <c r="AL6" i="1"/>
  <c r="AI7" i="1"/>
  <c r="AL7" i="1"/>
  <c r="AI8" i="1"/>
  <c r="AJ8" i="1"/>
  <c r="AL8" i="1"/>
  <c r="AH10" i="1"/>
  <c r="AK10" i="1" s="1"/>
  <c r="AI18" i="1"/>
  <c r="AL18" i="1"/>
  <c r="AJ18" i="1"/>
  <c r="AI14" i="1"/>
  <c r="AJ14" i="1"/>
  <c r="AL14" i="1"/>
  <c r="AI22" i="1"/>
  <c r="AJ22" i="1"/>
  <c r="AL22" i="1"/>
  <c r="AH4" i="1"/>
  <c r="AK4" i="1" s="1"/>
  <c r="AL12" i="1"/>
  <c r="AJ12" i="1"/>
  <c r="AI12" i="1"/>
  <c r="AH3" i="1"/>
  <c r="AK3" i="1" s="1"/>
  <c r="AH16" i="1"/>
  <c r="AK16" i="1" s="1"/>
  <c r="AH7" i="1"/>
  <c r="AK7" i="1" s="1"/>
  <c r="AI13" i="1"/>
  <c r="AL13" i="1"/>
  <c r="AJ13" i="1"/>
  <c r="AH15" i="1"/>
  <c r="AK15" i="1" s="1"/>
  <c r="AL3" i="1"/>
  <c r="AH11" i="1"/>
  <c r="AK11" i="1" s="1"/>
  <c r="AI9" i="1"/>
  <c r="AJ9" i="1"/>
  <c r="AL9" i="1"/>
  <c r="AI24" i="1"/>
  <c r="AJ24" i="1"/>
  <c r="AL24" i="1"/>
  <c r="AF2" i="1"/>
  <c r="AG2" i="1"/>
  <c r="AE2" i="1"/>
  <c r="N8" i="1"/>
  <c r="N20" i="1"/>
  <c r="Q7" i="1"/>
  <c r="N7" i="1"/>
  <c r="N24" i="1"/>
  <c r="Q24" i="1"/>
  <c r="N12" i="1"/>
  <c r="Q12" i="1"/>
  <c r="Q19" i="1"/>
  <c r="N19" i="1"/>
  <c r="Q18" i="1"/>
  <c r="N18" i="1"/>
  <c r="Q15" i="1"/>
  <c r="N15" i="1"/>
  <c r="N11" i="1"/>
  <c r="Q11" i="1"/>
  <c r="Q17" i="1"/>
  <c r="N17" i="1"/>
  <c r="Q14" i="1"/>
  <c r="N14" i="1"/>
  <c r="N25" i="1"/>
  <c r="Q25" i="1"/>
  <c r="Q26" i="1"/>
  <c r="N26" i="1"/>
  <c r="Q23" i="1"/>
  <c r="N23" i="1"/>
  <c r="N16" i="1"/>
  <c r="Q16" i="1"/>
  <c r="Q4" i="1"/>
  <c r="N4" i="1"/>
  <c r="N6" i="1"/>
  <c r="Q6" i="1"/>
  <c r="Q3" i="1"/>
  <c r="N3" i="1"/>
  <c r="Q10" i="1"/>
  <c r="N10" i="1"/>
  <c r="Q5" i="1"/>
  <c r="N5" i="1"/>
  <c r="N22" i="1"/>
  <c r="Q22" i="1"/>
  <c r="N2" i="1"/>
  <c r="Q2" i="1"/>
  <c r="N9" i="1"/>
  <c r="Q9" i="1"/>
  <c r="N13" i="1"/>
  <c r="Q13" i="1"/>
  <c r="N21" i="1"/>
  <c r="Q21" i="1"/>
  <c r="AI11" i="1" l="1"/>
  <c r="AJ16" i="1"/>
  <c r="AI16" i="1"/>
  <c r="AJ7" i="1"/>
  <c r="AJ3" i="1"/>
  <c r="AI10" i="1"/>
  <c r="AI3" i="1"/>
  <c r="AJ6" i="1"/>
  <c r="AJ10" i="1"/>
  <c r="AI6" i="1"/>
  <c r="AJ11" i="1"/>
  <c r="AJ15" i="1"/>
  <c r="AI15" i="1"/>
  <c r="AJ4" i="1"/>
  <c r="AI4" i="1"/>
  <c r="AH2" i="1"/>
  <c r="AL2" i="1"/>
  <c r="AK2" i="1" l="1"/>
  <c r="AI2" i="1"/>
  <c r="AJ2" i="1"/>
</calcChain>
</file>

<file path=xl/sharedStrings.xml><?xml version="1.0" encoding="utf-8"?>
<sst xmlns="http://schemas.openxmlformats.org/spreadsheetml/2006/main" count="92" uniqueCount="54">
  <si>
    <t>Depth</t>
  </si>
  <si>
    <t>Wet/Dry Conversion</t>
  </si>
  <si>
    <r>
      <t>Bulk Density (g · cm</t>
    </r>
    <r>
      <rPr>
        <b/>
        <vertAlign val="superscript"/>
        <sz val="12"/>
        <color theme="1"/>
        <rFont val="Aptos Narrow (Body)"/>
      </rPr>
      <t>-3</t>
    </r>
    <r>
      <rPr>
        <b/>
        <sz val="12"/>
        <color theme="1"/>
        <rFont val="Aptos Narrow"/>
        <family val="2"/>
        <scheme val="minor"/>
      </rPr>
      <t>)</t>
    </r>
  </si>
  <si>
    <t>Soil C:N</t>
  </si>
  <si>
    <t>Soil C (%)</t>
  </si>
  <si>
    <t>Total Soil C (g)</t>
  </si>
  <si>
    <r>
      <t>Soil C (g · cm</t>
    </r>
    <r>
      <rPr>
        <b/>
        <vertAlign val="superscript"/>
        <sz val="12"/>
        <color theme="1"/>
        <rFont val="Aptos Narrow (Body)"/>
      </rPr>
      <t>-3</t>
    </r>
    <r>
      <rPr>
        <b/>
        <sz val="12"/>
        <color theme="1"/>
        <rFont val="Aptos Narrow"/>
        <family val="2"/>
        <scheme val="minor"/>
      </rPr>
      <t xml:space="preserve"> soil)</t>
    </r>
  </si>
  <si>
    <t>Soil N (%)</t>
  </si>
  <si>
    <t>Total Soil N (g)</t>
  </si>
  <si>
    <r>
      <t>Soil N (g · cm</t>
    </r>
    <r>
      <rPr>
        <b/>
        <vertAlign val="superscript"/>
        <sz val="12"/>
        <color theme="1"/>
        <rFont val="Aptos Narrow (Body)"/>
      </rPr>
      <t>-3</t>
    </r>
    <r>
      <rPr>
        <b/>
        <sz val="12"/>
        <color theme="1"/>
        <rFont val="Aptos Narrow"/>
        <family val="2"/>
        <scheme val="minor"/>
      </rPr>
      <t xml:space="preserve"> soil)</t>
    </r>
  </si>
  <si>
    <t>NA</t>
  </si>
  <si>
    <r>
      <t>Soil Volume (cm</t>
    </r>
    <r>
      <rPr>
        <b/>
        <vertAlign val="super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>)</t>
    </r>
  </si>
  <si>
    <t>Total Fine Root Biomass (g)</t>
  </si>
  <si>
    <r>
      <t>Fine Root Biomass (g · cm</t>
    </r>
    <r>
      <rPr>
        <b/>
        <vertAlign val="superscript"/>
        <sz val="12"/>
        <color theme="1"/>
        <rFont val="Aptos Narrow (Body)"/>
      </rPr>
      <t>-3</t>
    </r>
    <r>
      <rPr>
        <b/>
        <sz val="12"/>
        <color theme="1"/>
        <rFont val="Aptos Narrow"/>
        <family val="2"/>
        <scheme val="minor"/>
      </rPr>
      <t xml:space="preserve"> soil)</t>
    </r>
  </si>
  <si>
    <t>Field Moist Soil Weight (g)</t>
  </si>
  <si>
    <t>Dry Soil Weight (g)</t>
  </si>
  <si>
    <t>LF %C</t>
  </si>
  <si>
    <t xml:space="preserve">POM %C </t>
  </si>
  <si>
    <t>MAOM %C</t>
  </si>
  <si>
    <t>MAOC:POC</t>
  </si>
  <si>
    <t>Light Fraction Scaled (to 1)</t>
  </si>
  <si>
    <t>POM Scaled (to 1)</t>
  </si>
  <si>
    <t>Silt-Clay Scaled (to 1)</t>
  </si>
  <si>
    <t>Total Light Fraction (g)</t>
  </si>
  <si>
    <t>Total POM (g)</t>
  </si>
  <si>
    <t>Total MAOM (g)</t>
  </si>
  <si>
    <t>POM C (g)</t>
  </si>
  <si>
    <t>MAOM C (g)</t>
  </si>
  <si>
    <t>LF C (g)</t>
  </si>
  <si>
    <t>Light-Heavy POM C (g)</t>
  </si>
  <si>
    <t>Total C from Fractions (g)</t>
  </si>
  <si>
    <t>Soil C, N and Fractions</t>
  </si>
  <si>
    <t>Basic Soil Data</t>
  </si>
  <si>
    <t>Nitrogen Cycling Processes</t>
  </si>
  <si>
    <t>Above &amp; Belowground (Roots) Biomass</t>
  </si>
  <si>
    <t>0 to 15</t>
  </si>
  <si>
    <t>15 to 30</t>
  </si>
  <si>
    <t>30 to 50</t>
  </si>
  <si>
    <t>Respiration</t>
  </si>
  <si>
    <r>
      <t>POM C (g · cm</t>
    </r>
    <r>
      <rPr>
        <b/>
        <vertAlign val="superscript"/>
        <sz val="12"/>
        <color theme="1"/>
        <rFont val="Aptos Narrow (Body)"/>
      </rPr>
      <t>-3</t>
    </r>
    <r>
      <rPr>
        <b/>
        <sz val="12"/>
        <color theme="1"/>
        <rFont val="Aptos Narrow"/>
        <family val="2"/>
        <scheme val="minor"/>
      </rPr>
      <t xml:space="preserve"> soil)</t>
    </r>
  </si>
  <si>
    <r>
      <t>MAOM C (g · cm</t>
    </r>
    <r>
      <rPr>
        <b/>
        <vertAlign val="superscript"/>
        <sz val="12"/>
        <color theme="1"/>
        <rFont val="Aptos Narrow (Body)"/>
      </rPr>
      <t>-3</t>
    </r>
    <r>
      <rPr>
        <b/>
        <sz val="12"/>
        <color theme="1"/>
        <rFont val="Aptos Narrow"/>
        <family val="2"/>
        <scheme val="minor"/>
      </rPr>
      <t xml:space="preserve"> soil)</t>
    </r>
  </si>
  <si>
    <t>Enzyme activity</t>
  </si>
  <si>
    <t>50 to 70</t>
  </si>
  <si>
    <t>70 to 100</t>
  </si>
  <si>
    <t>exc</t>
  </si>
  <si>
    <t>Included or excluded var from analysis:</t>
  </si>
  <si>
    <t>Incubation Fracs (incorporation of 13C in different C fractions)</t>
  </si>
  <si>
    <t>Incubation Fracs (C in control and 13C-labeled glucose jars)</t>
  </si>
  <si>
    <t>ID</t>
  </si>
  <si>
    <t>Watershed</t>
  </si>
  <si>
    <t>Subcomp</t>
  </si>
  <si>
    <t>Plot</t>
  </si>
  <si>
    <t>Subplot</t>
  </si>
  <si>
    <r>
      <t>Fine Root C (g · cm</t>
    </r>
    <r>
      <rPr>
        <b/>
        <vertAlign val="superscript"/>
        <sz val="12"/>
        <color theme="1"/>
        <rFont val="Aptos Narrow (Body)"/>
      </rPr>
      <t>-3</t>
    </r>
    <r>
      <rPr>
        <b/>
        <sz val="12"/>
        <color theme="1"/>
        <rFont val="Aptos Narrow"/>
        <family val="2"/>
        <scheme val="minor"/>
      </rPr>
      <t xml:space="preserve"> soil)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</si>
</sst>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perscript"/>
      <sz val="12"/>
      <color theme="1"/>
      <name val="Aptos Narrow (Body)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DCCAFF"/>
        <bgColor indexed="64"/>
      </patternFill>
    </fill>
    <fill>
      <patternFill patternType="solid">
        <fgColor rgb="FFFDFFC6"/>
        <bgColor indexed="64"/>
      </patternFill>
    </fill>
    <fill>
      <patternFill patternType="solid">
        <fgColor rgb="FF9DECFE"/>
        <bgColor indexed="64"/>
      </patternFill>
    </fill>
    <fill>
      <patternFill patternType="solid">
        <fgColor rgb="FFC1C1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3" fillId="6" borderId="0" xfId="0" applyFont="1" applyFill="1" applyAlignment="1">
      <alignment horizontal="center" wrapText="1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C1C1"/>
      <color rgb="FF9DECFE"/>
      <color rgb="FFB09DFE"/>
      <color rgb="FF7A81FF"/>
      <color rgb="FFBEFFC2"/>
      <color rgb="FF8BDDFF"/>
      <color rgb="FFFDFFC6"/>
      <color rgb="FFDCCAFF"/>
      <color rgb="FFD3B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F892-347C-BA4F-A9E6-E27FBD110FA7}">
  <dimension ref="A1:AO256"/>
  <sheetViews>
    <sheetView tabSelected="1" topLeftCell="C1" zoomScale="85" workbookViewId="0">
      <selection activeCell="R2" sqref="R2"/>
    </sheetView>
  </sheetViews>
  <sheetFormatPr baseColWidth="10" defaultRowHeight="16" x14ac:dyDescent="0.2"/>
  <cols>
    <col min="1" max="5" width="13.33203125" customWidth="1"/>
    <col min="7" max="7" width="10.83203125" customWidth="1"/>
  </cols>
  <sheetData>
    <row r="1" spans="1:41" s="3" customFormat="1" ht="68" x14ac:dyDescent="0.2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0</v>
      </c>
      <c r="G1" s="2" t="s">
        <v>14</v>
      </c>
      <c r="H1" s="2" t="s">
        <v>1</v>
      </c>
      <c r="I1" s="2" t="s">
        <v>15</v>
      </c>
      <c r="J1" s="2" t="s">
        <v>11</v>
      </c>
      <c r="K1" s="2" t="s">
        <v>2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3</v>
      </c>
      <c r="S1" s="5" t="s">
        <v>12</v>
      </c>
      <c r="T1" s="5" t="s">
        <v>13</v>
      </c>
      <c r="U1" s="5" t="s">
        <v>53</v>
      </c>
      <c r="V1" s="4" t="s">
        <v>20</v>
      </c>
      <c r="W1" s="4" t="s">
        <v>21</v>
      </c>
      <c r="X1" s="6" t="s">
        <v>22</v>
      </c>
      <c r="Y1" s="4" t="s">
        <v>23</v>
      </c>
      <c r="Z1" s="4" t="s">
        <v>24</v>
      </c>
      <c r="AA1" s="4" t="s">
        <v>25</v>
      </c>
      <c r="AB1" s="4" t="s">
        <v>16</v>
      </c>
      <c r="AC1" s="4" t="s">
        <v>17</v>
      </c>
      <c r="AD1" s="4" t="s">
        <v>18</v>
      </c>
      <c r="AE1" s="4" t="s">
        <v>28</v>
      </c>
      <c r="AF1" s="4" t="s">
        <v>26</v>
      </c>
      <c r="AG1" s="4" t="s">
        <v>27</v>
      </c>
      <c r="AH1" s="4" t="s">
        <v>29</v>
      </c>
      <c r="AI1" s="4" t="s">
        <v>19</v>
      </c>
      <c r="AJ1" s="4" t="s">
        <v>30</v>
      </c>
      <c r="AK1" s="4" t="s">
        <v>39</v>
      </c>
      <c r="AL1" s="4" t="s">
        <v>40</v>
      </c>
    </row>
    <row r="2" spans="1:41" x14ac:dyDescent="0.2">
      <c r="A2" s="1">
        <v>1</v>
      </c>
      <c r="B2" s="1"/>
      <c r="C2" s="1"/>
      <c r="D2" s="1"/>
      <c r="E2" s="1"/>
      <c r="F2" s="1" t="s">
        <v>35</v>
      </c>
      <c r="G2" s="11">
        <v>37962.282200000001</v>
      </c>
      <c r="H2" s="11">
        <v>0.71119842829076618</v>
      </c>
      <c r="I2" s="11">
        <f t="shared" ref="I2:I26" si="0">G2*H2</f>
        <v>26998.715434970531</v>
      </c>
      <c r="J2" s="11">
        <f t="shared" ref="J2:J11" si="1">30*100*15</f>
        <v>45000</v>
      </c>
      <c r="K2" s="11">
        <f t="shared" ref="K2:K26" si="2">I2/J2</f>
        <v>0.59997145411045627</v>
      </c>
      <c r="L2" s="11">
        <v>3.7530000000000001</v>
      </c>
      <c r="M2" s="11">
        <f>(L2/100)*I2</f>
        <v>1013.261790274444</v>
      </c>
      <c r="N2" s="11">
        <f>K2*(L2/100)</f>
        <v>2.2516928672765425E-2</v>
      </c>
      <c r="O2" s="11">
        <v>0.34066666666666667</v>
      </c>
      <c r="P2" s="11">
        <f>(O2/100)*I2</f>
        <v>91.975623915132942</v>
      </c>
      <c r="Q2" s="11">
        <f>K2*(O2/100)</f>
        <v>2.0439027536696213E-3</v>
      </c>
      <c r="R2" s="11">
        <f>L2/O2</f>
        <v>11.016634050880626</v>
      </c>
      <c r="S2" s="11">
        <v>79.7</v>
      </c>
      <c r="T2" s="11">
        <f>S2/J2</f>
        <v>1.7711111111111111E-3</v>
      </c>
      <c r="U2">
        <f>T2*0.48</f>
        <v>8.5013333333333325E-4</v>
      </c>
      <c r="V2" s="12">
        <v>2.008608321377334E-2</v>
      </c>
      <c r="W2" s="12">
        <v>0.14418938307030138</v>
      </c>
      <c r="X2" s="12">
        <v>0.83572453371592537</v>
      </c>
      <c r="Y2" s="11">
        <f>V2*I2</f>
        <v>542.29844489180482</v>
      </c>
      <c r="Z2" s="12">
        <f>W2*I2</f>
        <v>3892.9281222590243</v>
      </c>
      <c r="AA2" s="12">
        <f>X2*I2</f>
        <v>22563.488867819702</v>
      </c>
      <c r="AB2" s="12">
        <v>28.79</v>
      </c>
      <c r="AC2" s="12">
        <v>2.5697703615381471</v>
      </c>
      <c r="AD2" s="12">
        <v>3.2570000000000001</v>
      </c>
      <c r="AE2" s="12">
        <f t="shared" ref="AE2:AG2" si="3">Y2*AB2/100</f>
        <v>156.1277222843506</v>
      </c>
      <c r="AF2" s="12">
        <f t="shared" si="3"/>
        <v>100.03931308179594</v>
      </c>
      <c r="AG2" s="12">
        <f t="shared" si="3"/>
        <v>734.89283242488773</v>
      </c>
      <c r="AH2" s="12">
        <f t="shared" ref="AH2" si="4">SUM(AE2:AF2)</f>
        <v>256.16703536614654</v>
      </c>
      <c r="AI2" s="12">
        <f t="shared" ref="AI2" si="5">AG2/AH2</f>
        <v>2.8688032844447973</v>
      </c>
      <c r="AJ2" s="12">
        <f>SUM(AG2:AH2)</f>
        <v>991.05986779103432</v>
      </c>
      <c r="AK2" s="11">
        <f>AH2/J2</f>
        <v>5.6926007859143674E-3</v>
      </c>
      <c r="AL2" s="11">
        <f>AG2/J2</f>
        <v>1.6330951831664171E-2</v>
      </c>
      <c r="AM2" s="11"/>
      <c r="AN2" s="2"/>
      <c r="AO2" s="8" t="s">
        <v>32</v>
      </c>
    </row>
    <row r="3" spans="1:41" x14ac:dyDescent="0.2">
      <c r="A3" s="1">
        <v>2</v>
      </c>
      <c r="B3" s="1"/>
      <c r="C3" s="1"/>
      <c r="D3" s="1"/>
      <c r="E3" s="1"/>
      <c r="F3" s="1" t="s">
        <v>35</v>
      </c>
      <c r="G3" s="11">
        <v>57935.098000000005</v>
      </c>
      <c r="H3" s="11">
        <v>0.85742971887550201</v>
      </c>
      <c r="I3" s="11">
        <f t="shared" si="0"/>
        <v>49675.274791164666</v>
      </c>
      <c r="J3" s="11">
        <f t="shared" si="1"/>
        <v>45000</v>
      </c>
      <c r="K3" s="11">
        <f t="shared" si="2"/>
        <v>1.1038949953592148</v>
      </c>
      <c r="L3" s="11">
        <v>3.8867323452363927</v>
      </c>
      <c r="M3" s="11">
        <f>(L3/100)*I3</f>
        <v>1930.744972893257</v>
      </c>
      <c r="N3" s="11">
        <f>K3*(L3/100)</f>
        <v>4.2905443842072379E-2</v>
      </c>
      <c r="O3" s="11">
        <v>0.33574701678168278</v>
      </c>
      <c r="P3" s="11">
        <f>(O3/100)*I3</f>
        <v>166.78325318943865</v>
      </c>
      <c r="Q3" s="11">
        <f>K3*(O3/100)</f>
        <v>3.7062945153208591E-3</v>
      </c>
      <c r="R3" s="11">
        <f t="shared" ref="R3:R66" si="6">L3/O3</f>
        <v>11.576371943652187</v>
      </c>
      <c r="S3" s="11">
        <v>111.51</v>
      </c>
      <c r="T3" s="11">
        <f>S3/J3</f>
        <v>2.4780000000000002E-3</v>
      </c>
      <c r="U3">
        <f t="shared" ref="U3:U66" si="7">T3*0.48</f>
        <v>1.1894399999999999E-3</v>
      </c>
      <c r="V3" s="12">
        <v>2.3392890034997359E-2</v>
      </c>
      <c r="W3" s="12">
        <v>9.7992263768649848E-2</v>
      </c>
      <c r="X3" s="12">
        <v>0.87861484619635277</v>
      </c>
      <c r="Y3" s="11">
        <f>V3*I3</f>
        <v>1162.0482406479914</v>
      </c>
      <c r="Z3" s="12">
        <f>W3*I3</f>
        <v>4867.7926301159705</v>
      </c>
      <c r="AA3" s="12">
        <f>X3*I3</f>
        <v>43645.433920400705</v>
      </c>
      <c r="AB3" s="12">
        <v>29.03</v>
      </c>
      <c r="AC3" s="12">
        <v>7.4075274981658525</v>
      </c>
      <c r="AD3" s="12">
        <v>3.1</v>
      </c>
      <c r="AE3" s="12">
        <f t="shared" ref="AE3:AE66" si="8">Y3*AB3/100</f>
        <v>337.3426042601119</v>
      </c>
      <c r="AF3" s="12">
        <f t="shared" ref="AF3:AF66" si="9">Z3*AC3/100</f>
        <v>360.58307762953132</v>
      </c>
      <c r="AG3" s="12">
        <f t="shared" ref="AG3:AG66" si="10">AA3*AD3/100</f>
        <v>1353.0084515324218</v>
      </c>
      <c r="AH3" s="12">
        <f t="shared" ref="AH3:AH66" si="11">SUM(AE3:AF3)</f>
        <v>697.92568188964322</v>
      </c>
      <c r="AI3" s="12">
        <f t="shared" ref="AI3:AI66" si="12">AG3/AH3</f>
        <v>1.9386139336055568</v>
      </c>
      <c r="AJ3" s="12">
        <f t="shared" ref="AJ3:AJ66" si="13">SUM(AG3:AH3)</f>
        <v>2050.9341334220649</v>
      </c>
      <c r="AK3" s="11">
        <f>AH3/J3</f>
        <v>1.5509459597547627E-2</v>
      </c>
      <c r="AL3" s="11">
        <f>AG3/J3</f>
        <v>3.0066854478498262E-2</v>
      </c>
      <c r="AM3" s="11"/>
      <c r="AN3" s="14"/>
      <c r="AO3" s="8" t="s">
        <v>41</v>
      </c>
    </row>
    <row r="4" spans="1:41" x14ac:dyDescent="0.2">
      <c r="A4" s="1">
        <v>3</v>
      </c>
      <c r="B4" s="1"/>
      <c r="C4" s="1"/>
      <c r="D4" s="1"/>
      <c r="E4" s="1"/>
      <c r="F4" s="1" t="s">
        <v>35</v>
      </c>
      <c r="G4" s="11">
        <v>56473.864000000001</v>
      </c>
      <c r="H4" s="11">
        <v>0.8675889328063241</v>
      </c>
      <c r="I4" s="11">
        <f t="shared" si="0"/>
        <v>48996.099399209488</v>
      </c>
      <c r="J4" s="11">
        <f t="shared" si="1"/>
        <v>45000</v>
      </c>
      <c r="K4" s="11">
        <f t="shared" si="2"/>
        <v>1.0888022088713221</v>
      </c>
      <c r="L4" s="11">
        <v>3.3823333587162563</v>
      </c>
      <c r="M4" s="11">
        <f>(L4/100)*I4</f>
        <v>1657.211414449238</v>
      </c>
      <c r="N4" s="11">
        <f>K4*(L4/100)</f>
        <v>3.6826920321094178E-2</v>
      </c>
      <c r="O4" s="11">
        <v>0.28719298807536814</v>
      </c>
      <c r="P4" s="11">
        <f>(O4/100)*I4</f>
        <v>140.71336190496723</v>
      </c>
      <c r="Q4" s="11">
        <f>K4*(O4/100)</f>
        <v>3.1269635978881608E-3</v>
      </c>
      <c r="R4" s="11">
        <f t="shared" si="6"/>
        <v>11.777214274565191</v>
      </c>
      <c r="S4" s="11">
        <v>110.58</v>
      </c>
      <c r="T4" s="11">
        <f>S4/J4</f>
        <v>2.4573333333333335E-3</v>
      </c>
      <c r="U4">
        <f t="shared" si="7"/>
        <v>1.1795200000000001E-3</v>
      </c>
      <c r="V4" s="12">
        <v>1.4108448070712107E-2</v>
      </c>
      <c r="W4" s="12">
        <v>9.3659697433282396E-2</v>
      </c>
      <c r="X4" s="12">
        <v>0.89223185449600551</v>
      </c>
      <c r="Y4" s="11">
        <f>V4*I4</f>
        <v>691.25892404119577</v>
      </c>
      <c r="Z4" s="12">
        <f>W4*I4</f>
        <v>4588.9598451409902</v>
      </c>
      <c r="AA4" s="12">
        <f>X4*I4</f>
        <v>43715.880630027306</v>
      </c>
      <c r="AB4" s="12">
        <v>29.44</v>
      </c>
      <c r="AC4" s="12">
        <v>3.3362314707963296</v>
      </c>
      <c r="AD4" s="12">
        <v>2.66</v>
      </c>
      <c r="AE4" s="12">
        <f t="shared" si="8"/>
        <v>203.50662723772803</v>
      </c>
      <c r="AF4" s="12">
        <f t="shared" si="9"/>
        <v>153.09832253580024</v>
      </c>
      <c r="AG4" s="12">
        <f t="shared" si="10"/>
        <v>1162.8424247587263</v>
      </c>
      <c r="AH4" s="12">
        <f t="shared" si="11"/>
        <v>356.60494977352823</v>
      </c>
      <c r="AI4" s="12">
        <f t="shared" si="12"/>
        <v>3.2608701183122144</v>
      </c>
      <c r="AJ4" s="12">
        <f t="shared" si="13"/>
        <v>1519.4473745322546</v>
      </c>
      <c r="AK4" s="11">
        <f>AH4/J4</f>
        <v>7.9245544394117382E-3</v>
      </c>
      <c r="AL4" s="11">
        <f>AG4/J4</f>
        <v>2.584094277241614E-2</v>
      </c>
      <c r="AM4" s="11"/>
      <c r="AN4" s="7"/>
      <c r="AO4" s="8" t="s">
        <v>31</v>
      </c>
    </row>
    <row r="5" spans="1:41" x14ac:dyDescent="0.2">
      <c r="A5" s="1">
        <v>4</v>
      </c>
      <c r="B5" s="1"/>
      <c r="C5" s="1"/>
      <c r="D5" s="1"/>
      <c r="E5" s="1"/>
      <c r="F5" s="1" t="s">
        <v>35</v>
      </c>
      <c r="G5" s="11">
        <v>50287.138000000006</v>
      </c>
      <c r="H5" s="11">
        <v>0.39999999999999991</v>
      </c>
      <c r="I5" s="11">
        <f t="shared" si="0"/>
        <v>20114.855199999998</v>
      </c>
      <c r="J5" s="11">
        <f t="shared" si="1"/>
        <v>45000</v>
      </c>
      <c r="K5" s="11">
        <f t="shared" si="2"/>
        <v>0.44699678222222217</v>
      </c>
      <c r="L5" s="11">
        <v>5.1334155822291558</v>
      </c>
      <c r="M5" s="11">
        <f>(L5/100)*I5</f>
        <v>1032.5791111796316</v>
      </c>
      <c r="N5" s="11">
        <f>K5*(L5/100)</f>
        <v>2.294620247065848E-2</v>
      </c>
      <c r="O5" s="11">
        <v>0.38536769673959576</v>
      </c>
      <c r="P5" s="11">
        <f>(O5/100)*I5</f>
        <v>77.516154186744799</v>
      </c>
      <c r="Q5" s="11">
        <f>K5*(O5/100)</f>
        <v>1.7225812041498844E-3</v>
      </c>
      <c r="R5" s="11">
        <f t="shared" si="6"/>
        <v>13.320824826939127</v>
      </c>
      <c r="S5" s="11">
        <v>117.82</v>
      </c>
      <c r="T5" s="11">
        <f>S5/J5</f>
        <v>2.6182222222222219E-3</v>
      </c>
      <c r="U5">
        <f t="shared" si="7"/>
        <v>1.2567466666666665E-3</v>
      </c>
      <c r="V5" s="12">
        <v>1.1705685618729041E-2</v>
      </c>
      <c r="W5" s="12">
        <v>9.2716462281679735E-2</v>
      </c>
      <c r="X5" s="12">
        <v>0.89557785209959129</v>
      </c>
      <c r="Y5" s="11">
        <f>V5*I5</f>
        <v>235.45817123745704</v>
      </c>
      <c r="Z5" s="12">
        <f>W5*I5</f>
        <v>1864.9782134522493</v>
      </c>
      <c r="AA5" s="12">
        <f>X5*I5</f>
        <v>18014.418815310291</v>
      </c>
      <c r="AB5" s="12">
        <v>28.88</v>
      </c>
      <c r="AC5" s="12">
        <v>7.4177014389758114</v>
      </c>
      <c r="AD5" s="12">
        <v>3.5230000000000001</v>
      </c>
      <c r="AE5" s="12">
        <f t="shared" si="8"/>
        <v>68.00031985337759</v>
      </c>
      <c r="AF5" s="12">
        <f t="shared" si="9"/>
        <v>138.33851577583289</v>
      </c>
      <c r="AG5" s="12">
        <f t="shared" si="10"/>
        <v>634.64797486338159</v>
      </c>
      <c r="AH5" s="12">
        <f t="shared" si="11"/>
        <v>206.33883562921048</v>
      </c>
      <c r="AI5" s="12">
        <f t="shared" si="12"/>
        <v>3.0757563060200641</v>
      </c>
      <c r="AJ5" s="12">
        <f t="shared" si="13"/>
        <v>840.9868104925921</v>
      </c>
      <c r="AK5" s="11">
        <f>AH5/J5</f>
        <v>4.5853074584268991E-3</v>
      </c>
      <c r="AL5" s="11">
        <f>AG5/J5</f>
        <v>1.4103288330297368E-2</v>
      </c>
      <c r="AM5" s="11"/>
      <c r="AN5" s="9"/>
      <c r="AO5" s="8" t="s">
        <v>33</v>
      </c>
    </row>
    <row r="6" spans="1:41" x14ac:dyDescent="0.2">
      <c r="A6" s="1">
        <v>5</v>
      </c>
      <c r="B6" s="1"/>
      <c r="C6" s="1"/>
      <c r="D6" s="1"/>
      <c r="E6" s="1"/>
      <c r="F6" s="1" t="s">
        <v>35</v>
      </c>
      <c r="G6" s="11">
        <v>57763.284800000001</v>
      </c>
      <c r="H6" s="11">
        <v>0.84615384615384615</v>
      </c>
      <c r="I6" s="11">
        <f t="shared" si="0"/>
        <v>48876.625599999999</v>
      </c>
      <c r="J6" s="11">
        <f t="shared" si="1"/>
        <v>45000</v>
      </c>
      <c r="K6" s="11">
        <f t="shared" si="2"/>
        <v>1.0861472355555555</v>
      </c>
      <c r="L6" s="11">
        <v>3.2424967127693249</v>
      </c>
      <c r="M6" s="11">
        <f>(L6/100)*I6</f>
        <v>1584.8229783925703</v>
      </c>
      <c r="N6" s="11">
        <f>K6*(L6/100)</f>
        <v>3.5218288408723784E-2</v>
      </c>
      <c r="O6" s="11">
        <v>0.26491753099141374</v>
      </c>
      <c r="P6" s="11">
        <f>(O6/100)*I6</f>
        <v>129.48274977143726</v>
      </c>
      <c r="Q6" s="11">
        <f>K6*(O6/100)</f>
        <v>2.8773944393652722E-3</v>
      </c>
      <c r="R6" s="11">
        <f t="shared" si="6"/>
        <v>12.239645676278093</v>
      </c>
      <c r="S6" s="11">
        <v>153.38999999999999</v>
      </c>
      <c r="T6" s="11">
        <f>S6/J6</f>
        <v>3.4086666666666662E-3</v>
      </c>
      <c r="U6">
        <f t="shared" si="7"/>
        <v>1.6361599999999998E-3</v>
      </c>
      <c r="V6" s="12">
        <v>3.0154158902253082E-2</v>
      </c>
      <c r="W6" s="12">
        <v>7.1997289513806503E-2</v>
      </c>
      <c r="X6" s="12">
        <v>0.8978485515839405</v>
      </c>
      <c r="Y6" s="11">
        <f>V6*I6</f>
        <v>1473.8335349483309</v>
      </c>
      <c r="Z6" s="12">
        <f>W6*I6</f>
        <v>3518.9845637811263</v>
      </c>
      <c r="AA6" s="12">
        <f>X6*I6</f>
        <v>43883.807501270545</v>
      </c>
      <c r="AB6" s="12">
        <v>21.84</v>
      </c>
      <c r="AC6" s="12">
        <v>0.30232102606760636</v>
      </c>
      <c r="AD6" s="12">
        <v>0.78200000000000003</v>
      </c>
      <c r="AE6" s="12">
        <f t="shared" si="8"/>
        <v>321.88524403271543</v>
      </c>
      <c r="AF6" s="12">
        <f t="shared" si="9"/>
        <v>10.638630240383781</v>
      </c>
      <c r="AG6" s="12">
        <f t="shared" si="10"/>
        <v>343.17137465993568</v>
      </c>
      <c r="AH6" s="12">
        <f t="shared" si="11"/>
        <v>332.52387427309924</v>
      </c>
      <c r="AI6" s="12">
        <f t="shared" si="12"/>
        <v>1.0320202584253897</v>
      </c>
      <c r="AJ6" s="12">
        <f t="shared" si="13"/>
        <v>675.69524893303492</v>
      </c>
      <c r="AK6" s="11">
        <f>AH6/J6</f>
        <v>7.3894194282910939E-3</v>
      </c>
      <c r="AL6" s="11">
        <f>AG6/J6</f>
        <v>7.6260305479985708E-3</v>
      </c>
      <c r="AM6" s="11"/>
      <c r="AN6" s="10"/>
      <c r="AO6" s="8" t="s">
        <v>34</v>
      </c>
    </row>
    <row r="7" spans="1:41" x14ac:dyDescent="0.2">
      <c r="A7" s="1">
        <v>1</v>
      </c>
      <c r="B7" s="1"/>
      <c r="C7" s="1"/>
      <c r="D7" s="1"/>
      <c r="E7" s="1"/>
      <c r="F7" s="1" t="s">
        <v>36</v>
      </c>
      <c r="G7" s="11">
        <v>48657.201800000003</v>
      </c>
      <c r="H7" s="11">
        <v>0.65815324165029476</v>
      </c>
      <c r="I7" s="11">
        <f t="shared" si="0"/>
        <v>32023.895094302559</v>
      </c>
      <c r="J7" s="11">
        <f t="shared" si="1"/>
        <v>45000</v>
      </c>
      <c r="K7" s="11">
        <f t="shared" si="2"/>
        <v>0.71164211320672355</v>
      </c>
      <c r="L7" s="11">
        <v>2.7603333333333335</v>
      </c>
      <c r="M7" s="11">
        <f>(L7/100)*I7</f>
        <v>883.96625091973169</v>
      </c>
      <c r="N7" s="11">
        <f>K7*(L7/100)</f>
        <v>1.9643694464882927E-2</v>
      </c>
      <c r="O7" s="11">
        <v>0.23899999999999999</v>
      </c>
      <c r="P7" s="11">
        <f>(O7/100)*I7</f>
        <v>76.537109275383102</v>
      </c>
      <c r="Q7" s="11">
        <f>K7*(O7/100)</f>
        <v>1.7008246505640691E-3</v>
      </c>
      <c r="R7" s="11">
        <f t="shared" si="6"/>
        <v>11.549511854951186</v>
      </c>
      <c r="S7" s="11">
        <v>16.489999999999998</v>
      </c>
      <c r="T7" s="11">
        <f>S7/J7</f>
        <v>3.6644444444444441E-4</v>
      </c>
      <c r="U7">
        <f t="shared" si="7"/>
        <v>1.7589333333333331E-4</v>
      </c>
      <c r="V7" s="12">
        <v>6.9395017793593772E-3</v>
      </c>
      <c r="W7" s="12">
        <v>0.15142348754448398</v>
      </c>
      <c r="X7" s="12">
        <v>0.84163701067615659</v>
      </c>
      <c r="Y7" s="11">
        <f>V7*I7</f>
        <v>222.22987698893064</v>
      </c>
      <c r="Z7" s="12">
        <f>W7*I7</f>
        <v>4849.1698799379856</v>
      </c>
      <c r="AA7" s="12">
        <f>X7*I7</f>
        <v>26952.495337375643</v>
      </c>
      <c r="AB7" s="12">
        <v>31.31</v>
      </c>
      <c r="AC7" s="12">
        <v>0.56609544351935026</v>
      </c>
      <c r="AD7" s="12">
        <v>2.633</v>
      </c>
      <c r="AE7" s="12">
        <f t="shared" si="8"/>
        <v>69.580174485234181</v>
      </c>
      <c r="AF7" s="12">
        <f t="shared" si="9"/>
        <v>27.450929738841683</v>
      </c>
      <c r="AG7" s="12">
        <f t="shared" si="10"/>
        <v>709.6592022331007</v>
      </c>
      <c r="AH7" s="12">
        <f t="shared" si="11"/>
        <v>97.031104224075861</v>
      </c>
      <c r="AI7" s="12">
        <f t="shared" si="12"/>
        <v>7.3137290140929512</v>
      </c>
      <c r="AJ7" s="12">
        <f t="shared" si="13"/>
        <v>806.69030645717658</v>
      </c>
      <c r="AK7" s="11">
        <f>AH7/J7</f>
        <v>2.1562467605350192E-3</v>
      </c>
      <c r="AL7" s="11">
        <f>AG7/J7</f>
        <v>1.5770204494068903E-2</v>
      </c>
      <c r="AM7" s="11"/>
      <c r="AN7" s="13"/>
      <c r="AO7" s="8" t="s">
        <v>38</v>
      </c>
    </row>
    <row r="8" spans="1:41" x14ac:dyDescent="0.2">
      <c r="A8" s="1">
        <v>2</v>
      </c>
      <c r="B8" s="1"/>
      <c r="C8" s="1"/>
      <c r="D8" s="1"/>
      <c r="E8" s="1"/>
      <c r="F8" s="1" t="s">
        <v>36</v>
      </c>
      <c r="G8" s="11">
        <v>72903.200400000002</v>
      </c>
      <c r="H8" s="11">
        <v>0.8814229249011859</v>
      </c>
      <c r="I8" s="11">
        <f t="shared" si="0"/>
        <v>64258.552131225304</v>
      </c>
      <c r="J8" s="11">
        <f t="shared" si="1"/>
        <v>45000</v>
      </c>
      <c r="K8" s="11">
        <f t="shared" si="2"/>
        <v>1.4279678251383401</v>
      </c>
      <c r="L8" s="11">
        <v>2.7980198391189757</v>
      </c>
      <c r="M8" s="11">
        <f>(L8/100)*I8</f>
        <v>1797.9670369622934</v>
      </c>
      <c r="N8" s="11">
        <f>K8*(L8/100)</f>
        <v>3.9954823043606515E-2</v>
      </c>
      <c r="O8" s="11">
        <v>0.22520211618348437</v>
      </c>
      <c r="P8" s="11">
        <f>(O8/100)*I8</f>
        <v>144.71161922838687</v>
      </c>
      <c r="Q8" s="11">
        <f>K8*(O8/100)</f>
        <v>3.2158137606308193E-3</v>
      </c>
      <c r="R8" s="11">
        <f t="shared" si="6"/>
        <v>12.424482889136252</v>
      </c>
      <c r="S8" s="11">
        <v>26.02</v>
      </c>
      <c r="T8" s="11">
        <f>S8/J8</f>
        <v>5.7822222222222227E-4</v>
      </c>
      <c r="U8">
        <f t="shared" si="7"/>
        <v>2.7754666666666668E-4</v>
      </c>
      <c r="V8" s="12">
        <v>6.4274236743439486E-3</v>
      </c>
      <c r="W8" s="12">
        <v>8.3020889126941708E-2</v>
      </c>
      <c r="X8" s="12">
        <v>0.91055168719871438</v>
      </c>
      <c r="Y8" s="11">
        <f>V8*I8</f>
        <v>413.01693924730233</v>
      </c>
      <c r="Z8" s="12">
        <f>W8*I8</f>
        <v>5334.8021319442596</v>
      </c>
      <c r="AA8" s="12">
        <f>X8*I8</f>
        <v>58510.733060033745</v>
      </c>
      <c r="AB8" s="12">
        <v>20.53</v>
      </c>
      <c r="AC8" s="12">
        <v>0.65818152112811379</v>
      </c>
      <c r="AD8" s="12">
        <v>2.7429999999999999</v>
      </c>
      <c r="AE8" s="12">
        <f t="shared" si="8"/>
        <v>84.792377627471183</v>
      </c>
      <c r="AF8" s="12">
        <f t="shared" si="9"/>
        <v>35.112681821205769</v>
      </c>
      <c r="AG8" s="12">
        <f t="shared" si="10"/>
        <v>1604.9494078367256</v>
      </c>
      <c r="AH8" s="12">
        <f t="shared" si="11"/>
        <v>119.90505944867695</v>
      </c>
      <c r="AI8" s="12">
        <f t="shared" si="12"/>
        <v>13.385168359169141</v>
      </c>
      <c r="AJ8" s="12">
        <f t="shared" si="13"/>
        <v>1724.8544672854025</v>
      </c>
      <c r="AK8" s="11">
        <f>AH8/J8</f>
        <v>2.6645568766372656E-3</v>
      </c>
      <c r="AL8" s="11">
        <f>AG8/J8</f>
        <v>3.566554239637168E-2</v>
      </c>
      <c r="AM8" s="11"/>
      <c r="AN8" s="15"/>
      <c r="AO8" s="8" t="s">
        <v>47</v>
      </c>
    </row>
    <row r="9" spans="1:41" x14ac:dyDescent="0.2">
      <c r="A9" s="1">
        <v>3</v>
      </c>
      <c r="B9" s="1"/>
      <c r="C9" s="1"/>
      <c r="D9" s="1"/>
      <c r="E9" s="1"/>
      <c r="F9" s="1" t="s">
        <v>36</v>
      </c>
      <c r="G9" s="11">
        <v>71845.070000000007</v>
      </c>
      <c r="H9" s="11">
        <v>0.85884691848906558</v>
      </c>
      <c r="I9" s="11">
        <f t="shared" si="0"/>
        <v>61703.916978131216</v>
      </c>
      <c r="J9" s="11">
        <f t="shared" si="1"/>
        <v>45000</v>
      </c>
      <c r="K9" s="11">
        <f t="shared" si="2"/>
        <v>1.3711981550695826</v>
      </c>
      <c r="L9" s="11">
        <v>2.4762666688219563</v>
      </c>
      <c r="M9" s="11">
        <f>(L9/100)*I9</f>
        <v>1527.9535294870354</v>
      </c>
      <c r="N9" s="11">
        <f>K9*(L9/100)</f>
        <v>3.3954522877489679E-2</v>
      </c>
      <c r="O9" s="11">
        <v>0.20407678681709504</v>
      </c>
      <c r="P9" s="11">
        <f>(O9/100)*I9</f>
        <v>125.92337110925814</v>
      </c>
      <c r="Q9" s="11">
        <f>K9*(O9/100)</f>
        <v>2.7982971357612923E-3</v>
      </c>
      <c r="R9" s="11">
        <f t="shared" si="6"/>
        <v>12.133994794034679</v>
      </c>
      <c r="S9" s="11">
        <v>19.23</v>
      </c>
      <c r="T9" s="11">
        <f>S9/J9</f>
        <v>4.2733333333333333E-4</v>
      </c>
      <c r="U9">
        <f t="shared" si="7"/>
        <v>2.0511999999999999E-4</v>
      </c>
      <c r="V9" s="12">
        <v>9.2004014720643377E-3</v>
      </c>
      <c r="W9" s="12">
        <v>6.8752091000334498E-2</v>
      </c>
      <c r="X9" s="12">
        <v>0.92204750752760112</v>
      </c>
      <c r="Y9" s="11">
        <f>V9*I9</f>
        <v>567.70080859773407</v>
      </c>
      <c r="Z9" s="12">
        <f>W9*I9</f>
        <v>4242.2733151575621</v>
      </c>
      <c r="AA9" s="12">
        <f>X9*I9</f>
        <v>56893.942854375913</v>
      </c>
      <c r="AB9" s="12">
        <v>16.73</v>
      </c>
      <c r="AC9" s="12">
        <v>0.66581888602125716</v>
      </c>
      <c r="AD9" s="12">
        <v>2.3050000000000002</v>
      </c>
      <c r="AE9" s="12">
        <f t="shared" si="8"/>
        <v>94.976345278400913</v>
      </c>
      <c r="AF9" s="12">
        <f t="shared" si="9"/>
        <v>28.245856928959139</v>
      </c>
      <c r="AG9" s="12">
        <f t="shared" si="10"/>
        <v>1311.4053827933649</v>
      </c>
      <c r="AH9" s="12">
        <f t="shared" si="11"/>
        <v>123.22220220736006</v>
      </c>
      <c r="AI9" s="12">
        <f t="shared" si="12"/>
        <v>10.642606277937748</v>
      </c>
      <c r="AJ9" s="12">
        <f t="shared" si="13"/>
        <v>1434.627585000725</v>
      </c>
      <c r="AK9" s="11">
        <f>AH9/J9</f>
        <v>2.7382711601635569E-3</v>
      </c>
      <c r="AL9" s="11">
        <f>AG9/J9</f>
        <v>2.9142341839852554E-2</v>
      </c>
      <c r="AM9" s="11"/>
      <c r="AN9" s="16"/>
      <c r="AO9" s="8" t="s">
        <v>46</v>
      </c>
    </row>
    <row r="10" spans="1:41" x14ac:dyDescent="0.2">
      <c r="A10" s="1">
        <v>4</v>
      </c>
      <c r="B10" s="1"/>
      <c r="C10" s="1"/>
      <c r="D10" s="1"/>
      <c r="E10" s="1"/>
      <c r="F10" s="1" t="s">
        <v>36</v>
      </c>
      <c r="G10" s="11">
        <v>68460.383600000016</v>
      </c>
      <c r="H10" s="11">
        <v>0.48242187499999994</v>
      </c>
      <c r="I10" s="11">
        <f t="shared" si="0"/>
        <v>33026.786619531253</v>
      </c>
      <c r="J10" s="11">
        <f t="shared" si="1"/>
        <v>45000</v>
      </c>
      <c r="K10" s="11">
        <f t="shared" si="2"/>
        <v>0.7339285915451389</v>
      </c>
      <c r="L10" s="11">
        <v>3.3311849189574558</v>
      </c>
      <c r="M10" s="11">
        <f>(L10/100)*I10</f>
        <v>1100.1833350860838</v>
      </c>
      <c r="N10" s="11">
        <f>K10*(L10/100)</f>
        <v>2.4448518557468529E-2</v>
      </c>
      <c r="O10" s="11">
        <v>0.25658237525905664</v>
      </c>
      <c r="P10" s="11">
        <f>(O10/100)*I10</f>
        <v>84.740913580133579</v>
      </c>
      <c r="Q10" s="11">
        <f>K10*(O10/100)</f>
        <v>1.8831314128918573E-3</v>
      </c>
      <c r="R10" s="11">
        <f t="shared" si="6"/>
        <v>12.982906232722133</v>
      </c>
      <c r="S10" s="11">
        <v>42.95</v>
      </c>
      <c r="T10" s="11">
        <f>S10/J10</f>
        <v>9.544444444444445E-4</v>
      </c>
      <c r="U10">
        <f t="shared" si="7"/>
        <v>4.5813333333333332E-4</v>
      </c>
      <c r="V10" s="12">
        <v>1.4468245020668923E-2</v>
      </c>
      <c r="W10" s="12">
        <v>7.6099210822998808E-2</v>
      </c>
      <c r="X10" s="12">
        <v>0.90943254415633235</v>
      </c>
      <c r="Y10" s="11">
        <f>V10*I10</f>
        <v>477.83964105672806</v>
      </c>
      <c r="Z10" s="12">
        <f>W10*I10</f>
        <v>2513.3123977659047</v>
      </c>
      <c r="AA10" s="12">
        <f>X10*I10</f>
        <v>30035.634580708622</v>
      </c>
      <c r="AB10" s="12">
        <v>9.4740000000000002</v>
      </c>
      <c r="AC10" s="12">
        <v>2.0953989013366057</v>
      </c>
      <c r="AD10" s="12">
        <v>2.6059999999999999</v>
      </c>
      <c r="AE10" s="12">
        <f t="shared" si="8"/>
        <v>45.270527593714412</v>
      </c>
      <c r="AF10" s="12">
        <f t="shared" si="9"/>
        <v>52.663920369943469</v>
      </c>
      <c r="AG10" s="12">
        <f t="shared" si="10"/>
        <v>782.72863717326663</v>
      </c>
      <c r="AH10" s="12">
        <f t="shared" si="11"/>
        <v>97.934447963657874</v>
      </c>
      <c r="AI10" s="12">
        <f t="shared" si="12"/>
        <v>7.992372994880478</v>
      </c>
      <c r="AJ10" s="12">
        <f t="shared" si="13"/>
        <v>880.66308513692456</v>
      </c>
      <c r="AK10" s="11">
        <f>AH10/J10</f>
        <v>2.176321065859064E-3</v>
      </c>
      <c r="AL10" s="11">
        <f>AG10/J10</f>
        <v>1.7393969714961481E-2</v>
      </c>
      <c r="AM10" s="11"/>
      <c r="AN10" s="11"/>
    </row>
    <row r="11" spans="1:41" x14ac:dyDescent="0.2">
      <c r="A11" s="1">
        <v>5</v>
      </c>
      <c r="B11" s="1"/>
      <c r="C11" s="1"/>
      <c r="D11" s="1"/>
      <c r="E11" s="1"/>
      <c r="F11" s="1" t="s">
        <v>36</v>
      </c>
      <c r="G11" s="11">
        <v>70644.623200000016</v>
      </c>
      <c r="H11" s="11">
        <v>0.84722222222222199</v>
      </c>
      <c r="I11" s="11">
        <f t="shared" si="0"/>
        <v>59851.694655555555</v>
      </c>
      <c r="J11" s="11">
        <f t="shared" si="1"/>
        <v>45000</v>
      </c>
      <c r="K11" s="11">
        <f t="shared" si="2"/>
        <v>1.3300376590123457</v>
      </c>
      <c r="L11" s="11">
        <v>2.5974036194045236</v>
      </c>
      <c r="M11" s="11">
        <f>(L11/100)*I11</f>
        <v>1554.5900832583438</v>
      </c>
      <c r="N11" s="11">
        <f>K11*(L11/100)</f>
        <v>3.4546446294629864E-2</v>
      </c>
      <c r="O11" s="11">
        <v>0.20018497449049058</v>
      </c>
      <c r="P11" s="11">
        <f>(O11/100)*I11</f>
        <v>119.81409967835022</v>
      </c>
      <c r="Q11" s="11">
        <f>K11*(O11/100)</f>
        <v>2.6625355484077825E-3</v>
      </c>
      <c r="R11" s="11">
        <f t="shared" si="6"/>
        <v>12.975017860433418</v>
      </c>
      <c r="S11" s="11">
        <v>41.48</v>
      </c>
      <c r="T11" s="11">
        <f>S11/J11</f>
        <v>9.2177777777777766E-4</v>
      </c>
      <c r="U11">
        <f t="shared" si="7"/>
        <v>4.4245333333333325E-4</v>
      </c>
      <c r="V11" s="12">
        <v>7.1254453403338204E-3</v>
      </c>
      <c r="W11" s="12">
        <v>9.563097693605864E-2</v>
      </c>
      <c r="X11" s="12">
        <v>0.89724357772360752</v>
      </c>
      <c r="Y11" s="11">
        <f>V11*I11</f>
        <v>426.46997879451095</v>
      </c>
      <c r="Z11" s="12">
        <f>W11*I11</f>
        <v>5723.6760311894577</v>
      </c>
      <c r="AA11" s="12">
        <f>X11*I11</f>
        <v>53701.548645571587</v>
      </c>
      <c r="AB11" s="12">
        <v>26.98</v>
      </c>
      <c r="AC11" s="12">
        <v>0.6552896610864527</v>
      </c>
      <c r="AD11" s="12">
        <v>2.6080000000000001</v>
      </c>
      <c r="AE11" s="12">
        <f t="shared" si="8"/>
        <v>115.06160027875904</v>
      </c>
      <c r="AF11" s="12">
        <f t="shared" si="9"/>
        <v>37.506657266467926</v>
      </c>
      <c r="AG11" s="12">
        <f t="shared" si="10"/>
        <v>1400.5363886765072</v>
      </c>
      <c r="AH11" s="12">
        <f t="shared" si="11"/>
        <v>152.56825754522697</v>
      </c>
      <c r="AI11" s="12">
        <f t="shared" si="12"/>
        <v>9.1797364092025209</v>
      </c>
      <c r="AJ11" s="12">
        <f t="shared" si="13"/>
        <v>1553.1046462217341</v>
      </c>
      <c r="AK11" s="11">
        <f>AH11/J11</f>
        <v>3.3904057232272658E-3</v>
      </c>
      <c r="AL11" s="11">
        <f>AG11/J11</f>
        <v>3.1123030859477936E-2</v>
      </c>
      <c r="AM11" s="11"/>
      <c r="AN11" s="11"/>
    </row>
    <row r="12" spans="1:41" x14ac:dyDescent="0.2">
      <c r="A12" s="1">
        <v>1</v>
      </c>
      <c r="B12" s="1"/>
      <c r="C12" s="1"/>
      <c r="D12" s="1"/>
      <c r="E12" s="1"/>
      <c r="F12" s="1" t="s">
        <v>37</v>
      </c>
      <c r="G12" s="11">
        <v>61861.968000000008</v>
      </c>
      <c r="H12" s="11">
        <v>0.64729458917835669</v>
      </c>
      <c r="I12" s="11">
        <f t="shared" si="0"/>
        <v>40042.917162324651</v>
      </c>
      <c r="J12" s="11">
        <f>30*100*20</f>
        <v>60000</v>
      </c>
      <c r="K12" s="11">
        <f t="shared" si="2"/>
        <v>0.6673819527054109</v>
      </c>
      <c r="L12" s="11">
        <v>1.3790000000000002</v>
      </c>
      <c r="M12" s="11">
        <f>(L12/100)*I12</f>
        <v>552.19182766845699</v>
      </c>
      <c r="N12" s="11">
        <f>K12*(L12/100)</f>
        <v>9.2031971278076167E-3</v>
      </c>
      <c r="O12" s="11">
        <v>0.121</v>
      </c>
      <c r="P12" s="11">
        <f>(O12/100)*I12</f>
        <v>48.451929766412825</v>
      </c>
      <c r="Q12" s="11">
        <f>K12*(O12/100)</f>
        <v>8.0753216277354716E-4</v>
      </c>
      <c r="R12" s="11">
        <f t="shared" si="6"/>
        <v>11.396694214876035</v>
      </c>
      <c r="S12" s="11">
        <v>7.57</v>
      </c>
      <c r="T12" s="11">
        <f>S12/J12</f>
        <v>1.2616666666666668E-4</v>
      </c>
      <c r="U12">
        <f t="shared" si="7"/>
        <v>6.0560000000000003E-5</v>
      </c>
      <c r="V12" s="12">
        <v>4.3645251396647114E-3</v>
      </c>
      <c r="W12" s="12">
        <v>0.12971368715083789</v>
      </c>
      <c r="X12" s="12">
        <v>0.86592178770949746</v>
      </c>
      <c r="Y12" s="11">
        <f>V12*I12</f>
        <v>174.76831862047746</v>
      </c>
      <c r="Z12" s="12">
        <f>W12*I12</f>
        <v>5194.1144294006972</v>
      </c>
      <c r="AA12" s="12">
        <f>X12*I12</f>
        <v>34674.034414303482</v>
      </c>
      <c r="AB12" s="12">
        <v>28.87</v>
      </c>
      <c r="AC12" s="12">
        <v>0.22418650370439763</v>
      </c>
      <c r="AD12" s="12">
        <v>1.4019999999999999</v>
      </c>
      <c r="AE12" s="12">
        <f t="shared" si="8"/>
        <v>50.455613585731847</v>
      </c>
      <c r="AF12" s="12">
        <f t="shared" si="9"/>
        <v>11.644503537679045</v>
      </c>
      <c r="AG12" s="12">
        <f t="shared" si="10"/>
        <v>486.12996248853483</v>
      </c>
      <c r="AH12" s="12">
        <f t="shared" si="11"/>
        <v>62.10011712341089</v>
      </c>
      <c r="AI12" s="12">
        <f t="shared" si="12"/>
        <v>7.8281649859444551</v>
      </c>
      <c r="AJ12" s="12">
        <f t="shared" si="13"/>
        <v>548.23007961194571</v>
      </c>
      <c r="AK12" s="11">
        <f>AH12/J12</f>
        <v>1.0350019520568481E-3</v>
      </c>
      <c r="AL12" s="11">
        <f>AG12/J12</f>
        <v>8.1021660414755808E-3</v>
      </c>
      <c r="AM12" s="11"/>
      <c r="AN12" s="11"/>
    </row>
    <row r="13" spans="1:41" x14ac:dyDescent="0.2">
      <c r="A13" s="1">
        <v>2</v>
      </c>
      <c r="B13" s="1"/>
      <c r="C13" s="1"/>
      <c r="D13" s="1"/>
      <c r="E13" s="1"/>
      <c r="F13" s="1" t="s">
        <v>37</v>
      </c>
      <c r="G13" s="11">
        <v>68574.018000000011</v>
      </c>
      <c r="H13" s="11">
        <v>0.85854616895874247</v>
      </c>
      <c r="I13" s="11">
        <f t="shared" si="0"/>
        <v>58873.960444007855</v>
      </c>
      <c r="J13" s="11">
        <f>30*100*20</f>
        <v>60000</v>
      </c>
      <c r="K13" s="11">
        <f t="shared" si="2"/>
        <v>0.98123267406679759</v>
      </c>
      <c r="L13" s="11">
        <v>2.1616073608115971</v>
      </c>
      <c r="M13" s="11">
        <f>(L13/100)*I13</f>
        <v>1272.6238625589817</v>
      </c>
      <c r="N13" s="11">
        <f>K13*(L13/100)</f>
        <v>2.1210397709316365E-2</v>
      </c>
      <c r="O13" s="11">
        <v>0.17620303777576274</v>
      </c>
      <c r="P13" s="11">
        <f>(O13/100)*I13</f>
        <v>103.73770676124278</v>
      </c>
      <c r="Q13" s="11">
        <f>K13*(O13/100)</f>
        <v>1.7289617793540464E-3</v>
      </c>
      <c r="R13" s="11">
        <f t="shared" si="6"/>
        <v>12.267707685962113</v>
      </c>
      <c r="S13" s="11">
        <v>6.42</v>
      </c>
      <c r="T13" s="11">
        <f>S13/J13</f>
        <v>1.07E-4</v>
      </c>
      <c r="U13">
        <f t="shared" si="7"/>
        <v>5.1359999999999996E-5</v>
      </c>
      <c r="V13" s="12">
        <v>3.4773060029282803E-3</v>
      </c>
      <c r="W13" s="12">
        <v>8.8762811127379243E-2</v>
      </c>
      <c r="X13" s="12">
        <v>0.90775988286969245</v>
      </c>
      <c r="Y13" s="11">
        <f>V13*I13</f>
        <v>204.72277606811065</v>
      </c>
      <c r="Z13" s="12">
        <f>W13*I13</f>
        <v>5225.8182312122663</v>
      </c>
      <c r="AA13" s="12">
        <f>X13*I13</f>
        <v>53443.419436727476</v>
      </c>
      <c r="AB13" s="11" t="s">
        <v>10</v>
      </c>
      <c r="AC13" s="12">
        <v>0.33940240813255168</v>
      </c>
      <c r="AD13" s="12">
        <v>1.9570000000000001</v>
      </c>
      <c r="AE13" s="12" t="e">
        <f t="shared" si="8"/>
        <v>#VALUE!</v>
      </c>
      <c r="AF13" s="12">
        <f t="shared" si="9"/>
        <v>17.73655292136435</v>
      </c>
      <c r="AG13" s="12">
        <f t="shared" si="10"/>
        <v>1045.8877183767568</v>
      </c>
      <c r="AH13" s="12" t="e">
        <f t="shared" si="11"/>
        <v>#VALUE!</v>
      </c>
      <c r="AI13" s="12" t="e">
        <f t="shared" si="12"/>
        <v>#VALUE!</v>
      </c>
      <c r="AJ13" s="12" t="e">
        <f t="shared" si="13"/>
        <v>#VALUE!</v>
      </c>
      <c r="AK13" s="11" t="e">
        <f>AH13/J13</f>
        <v>#VALUE!</v>
      </c>
      <c r="AL13" s="11">
        <f>AG13/J13</f>
        <v>1.7431461972945945E-2</v>
      </c>
      <c r="AM13" s="11"/>
      <c r="AN13" s="11"/>
    </row>
    <row r="14" spans="1:41" x14ac:dyDescent="0.2">
      <c r="A14" s="1">
        <v>3</v>
      </c>
      <c r="B14" s="1"/>
      <c r="C14" s="1"/>
      <c r="D14" s="1"/>
      <c r="E14" s="1"/>
      <c r="F14" s="1" t="s">
        <v>37</v>
      </c>
      <c r="G14" s="11">
        <v>79158.1584</v>
      </c>
      <c r="H14" s="11">
        <v>0.85288270377733599</v>
      </c>
      <c r="I14" s="11">
        <f t="shared" si="0"/>
        <v>67512.624162226639</v>
      </c>
      <c r="J14" s="11">
        <f>30*100*20</f>
        <v>60000</v>
      </c>
      <c r="K14" s="11">
        <f t="shared" si="2"/>
        <v>1.1252104027037773</v>
      </c>
      <c r="L14" s="11">
        <v>1.8150587060728502</v>
      </c>
      <c r="M14" s="11">
        <f>(L14/100)*I14</f>
        <v>1225.3937625547371</v>
      </c>
      <c r="N14" s="11">
        <f>K14*(L14/100)</f>
        <v>2.0423229375912285E-2</v>
      </c>
      <c r="O14" s="11">
        <v>0.15437898349049337</v>
      </c>
      <c r="P14" s="11">
        <f>(O14/100)*I14</f>
        <v>104.2253029094027</v>
      </c>
      <c r="Q14" s="11">
        <f>K14*(O14/100)</f>
        <v>1.7370883818233782E-3</v>
      </c>
      <c r="R14" s="11">
        <f t="shared" si="6"/>
        <v>11.757161920842815</v>
      </c>
      <c r="S14" s="11">
        <v>11.8</v>
      </c>
      <c r="T14" s="11">
        <f>S14/J14</f>
        <v>1.9666666666666669E-4</v>
      </c>
      <c r="U14">
        <f t="shared" si="7"/>
        <v>9.4400000000000004E-5</v>
      </c>
      <c r="V14" s="12">
        <v>7.2319652865666315E-3</v>
      </c>
      <c r="W14" s="12">
        <v>5.2612547459772264E-2</v>
      </c>
      <c r="X14" s="12">
        <v>0.94015548725366116</v>
      </c>
      <c r="Y14" s="11">
        <f>V14*I14</f>
        <v>488.24895434624267</v>
      </c>
      <c r="Z14" s="12">
        <f>W14*I14</f>
        <v>3552.011142868917</v>
      </c>
      <c r="AA14" s="12">
        <f>X14*I14</f>
        <v>63472.364065011483</v>
      </c>
      <c r="AB14" s="12">
        <v>21.2</v>
      </c>
      <c r="AC14" s="12">
        <v>0.46996028274103385</v>
      </c>
      <c r="AD14" s="12">
        <v>1.5589999999999999</v>
      </c>
      <c r="AE14" s="12">
        <f t="shared" si="8"/>
        <v>103.50877832140344</v>
      </c>
      <c r="AF14" s="12">
        <f t="shared" si="9"/>
        <v>16.69304161001979</v>
      </c>
      <c r="AG14" s="12">
        <f t="shared" si="10"/>
        <v>989.53415577352905</v>
      </c>
      <c r="AH14" s="12">
        <f t="shared" si="11"/>
        <v>120.20181993142323</v>
      </c>
      <c r="AI14" s="12">
        <f t="shared" si="12"/>
        <v>8.2322726589170756</v>
      </c>
      <c r="AJ14" s="12">
        <f t="shared" si="13"/>
        <v>1109.7359757049524</v>
      </c>
      <c r="AK14" s="11">
        <f>AH14/J14</f>
        <v>2.0033636655237205E-3</v>
      </c>
      <c r="AL14" s="11">
        <f>AG14/J14</f>
        <v>1.6492235929558816E-2</v>
      </c>
      <c r="AM14" s="11"/>
      <c r="AN14" s="11"/>
    </row>
    <row r="15" spans="1:41" x14ac:dyDescent="0.2">
      <c r="A15" s="1">
        <v>4</v>
      </c>
      <c r="B15" s="1"/>
      <c r="C15" s="1"/>
      <c r="D15" s="1"/>
      <c r="E15" s="1"/>
      <c r="F15" s="1" t="s">
        <v>37</v>
      </c>
      <c r="G15" s="11">
        <v>93955.362000000008</v>
      </c>
      <c r="H15" s="11">
        <v>0.49411764705882355</v>
      </c>
      <c r="I15" s="11">
        <f t="shared" si="0"/>
        <v>46425.002400000005</v>
      </c>
      <c r="J15" s="11">
        <f>30*100*20</f>
        <v>60000</v>
      </c>
      <c r="K15" s="11">
        <f t="shared" si="2"/>
        <v>0.77375004000000003</v>
      </c>
      <c r="L15" s="11">
        <v>1.9854417977210972</v>
      </c>
      <c r="M15" s="11">
        <f>(L15/100)*I15</f>
        <v>921.7414022426226</v>
      </c>
      <c r="N15" s="11">
        <f>K15*(L15/100)</f>
        <v>1.5362356704043709E-2</v>
      </c>
      <c r="O15" s="11">
        <v>0.16461280757334232</v>
      </c>
      <c r="P15" s="11">
        <f>(O15/100)*I15</f>
        <v>76.421499866631564</v>
      </c>
      <c r="Q15" s="11">
        <f>K15*(O15/100)</f>
        <v>1.2736916644438593E-3</v>
      </c>
      <c r="R15" s="11">
        <f t="shared" si="6"/>
        <v>12.061283851419001</v>
      </c>
      <c r="S15" s="11">
        <v>22.22</v>
      </c>
      <c r="T15" s="11">
        <f>S15/J15</f>
        <v>3.703333333333333E-4</v>
      </c>
      <c r="U15">
        <f t="shared" si="7"/>
        <v>1.7775999999999998E-4</v>
      </c>
      <c r="V15" s="12">
        <v>2.6593382189651328E-2</v>
      </c>
      <c r="W15" s="12">
        <v>0.12767414316381664</v>
      </c>
      <c r="X15" s="12">
        <v>0.84573247464653201</v>
      </c>
      <c r="Y15" s="11">
        <f>V15*I15</f>
        <v>1234.5978319786802</v>
      </c>
      <c r="Z15" s="12">
        <f>W15*I15</f>
        <v>5927.2724027981321</v>
      </c>
      <c r="AA15" s="12">
        <f>X15*I15</f>
        <v>39263.132165223193</v>
      </c>
      <c r="AB15" s="12">
        <v>3.79</v>
      </c>
      <c r="AC15" s="12">
        <v>0.39</v>
      </c>
      <c r="AD15" s="12">
        <v>1.97</v>
      </c>
      <c r="AE15" s="12">
        <f t="shared" si="8"/>
        <v>46.791257831991977</v>
      </c>
      <c r="AF15" s="12">
        <f t="shared" si="9"/>
        <v>23.116362370912714</v>
      </c>
      <c r="AG15" s="12">
        <f t="shared" si="10"/>
        <v>773.48370365489677</v>
      </c>
      <c r="AH15" s="12">
        <f t="shared" si="11"/>
        <v>69.907620202904695</v>
      </c>
      <c r="AI15" s="12">
        <f t="shared" si="12"/>
        <v>11.064368968788873</v>
      </c>
      <c r="AJ15" s="12">
        <f t="shared" si="13"/>
        <v>843.39132385780147</v>
      </c>
      <c r="AK15" s="11">
        <f>AH15/J15</f>
        <v>1.1651270033817449E-3</v>
      </c>
      <c r="AL15" s="11">
        <f>AG15/J15</f>
        <v>1.2891395060914947E-2</v>
      </c>
      <c r="AM15" s="11"/>
      <c r="AN15" s="11"/>
    </row>
    <row r="16" spans="1:41" x14ac:dyDescent="0.2">
      <c r="A16" s="1">
        <v>5</v>
      </c>
      <c r="B16" s="1"/>
      <c r="C16" s="1"/>
      <c r="D16" s="1"/>
      <c r="E16" s="1"/>
      <c r="F16" s="1" t="s">
        <v>37</v>
      </c>
      <c r="G16" s="11">
        <v>104220.81</v>
      </c>
      <c r="H16" s="11">
        <v>0.8493975903614458</v>
      </c>
      <c r="I16" s="11">
        <f t="shared" si="0"/>
        <v>88524.904879518072</v>
      </c>
      <c r="J16" s="11">
        <f>30*100*20</f>
        <v>60000</v>
      </c>
      <c r="K16" s="11">
        <f t="shared" si="2"/>
        <v>1.4754150813253013</v>
      </c>
      <c r="L16" s="11">
        <v>1.5929004415864501</v>
      </c>
      <c r="M16" s="11">
        <f>(L16/100)*I16</f>
        <v>1410.1136007398281</v>
      </c>
      <c r="N16" s="11">
        <f>K16*(L16/100)</f>
        <v>2.3501893345663803E-2</v>
      </c>
      <c r="O16" s="11">
        <v>0.12359480462472823</v>
      </c>
      <c r="P16" s="11">
        <f>(O16/100)*I16</f>
        <v>109.41218323006686</v>
      </c>
      <c r="Q16" s="11">
        <f>K16*(O16/100)</f>
        <v>1.8235363871677811E-3</v>
      </c>
      <c r="R16" s="11">
        <f t="shared" si="6"/>
        <v>12.888085760748478</v>
      </c>
      <c r="S16" s="11">
        <v>25.29</v>
      </c>
      <c r="T16" s="11">
        <f>S16/J16</f>
        <v>4.215E-4</v>
      </c>
      <c r="U16">
        <f t="shared" si="7"/>
        <v>2.0232E-4</v>
      </c>
      <c r="V16" s="12">
        <v>4.1578154571086476E-2</v>
      </c>
      <c r="W16" s="12">
        <v>0.18402147464369861</v>
      </c>
      <c r="X16" s="12">
        <v>0.77440037078521495</v>
      </c>
      <c r="Y16" s="11">
        <f>V16*I16</f>
        <v>3680.7021784713297</v>
      </c>
      <c r="Z16" s="12">
        <f>W16*I16</f>
        <v>16290.483538622066</v>
      </c>
      <c r="AA16" s="12">
        <f>X16*I16</f>
        <v>68553.719162424677</v>
      </c>
      <c r="AB16" s="12">
        <v>23.64</v>
      </c>
      <c r="AC16" s="12">
        <v>0.2</v>
      </c>
      <c r="AD16" s="12">
        <v>1.97</v>
      </c>
      <c r="AE16" s="12">
        <f t="shared" si="8"/>
        <v>870.11799499062238</v>
      </c>
      <c r="AF16" s="12">
        <f t="shared" si="9"/>
        <v>32.580967077244132</v>
      </c>
      <c r="AG16" s="12">
        <f t="shared" si="10"/>
        <v>1350.5082674997661</v>
      </c>
      <c r="AH16" s="12">
        <f t="shared" si="11"/>
        <v>902.69896206786655</v>
      </c>
      <c r="AI16" s="12">
        <f t="shared" si="12"/>
        <v>1.4960782323334858</v>
      </c>
      <c r="AJ16" s="12">
        <f t="shared" si="13"/>
        <v>2253.2072295676326</v>
      </c>
      <c r="AK16" s="11">
        <f>AH16/J16</f>
        <v>1.504498270113111E-2</v>
      </c>
      <c r="AL16" s="11">
        <f>AG16/J16</f>
        <v>2.2508471124996102E-2</v>
      </c>
      <c r="AM16" s="11"/>
      <c r="AN16" s="11"/>
    </row>
    <row r="17" spans="1:40" x14ac:dyDescent="0.2">
      <c r="A17" s="1">
        <v>1</v>
      </c>
      <c r="B17" s="1"/>
      <c r="C17" s="1"/>
      <c r="D17" s="1"/>
      <c r="E17" s="1"/>
      <c r="F17" s="1" t="s">
        <v>42</v>
      </c>
      <c r="G17" s="11">
        <v>87287.745999999999</v>
      </c>
      <c r="H17" s="11">
        <v>0.70399999999999996</v>
      </c>
      <c r="I17" s="11">
        <f t="shared" si="0"/>
        <v>61450.573183999993</v>
      </c>
      <c r="J17" s="11">
        <f t="shared" ref="J17:J26" si="14">30*100*25</f>
        <v>75000</v>
      </c>
      <c r="K17" s="11">
        <f t="shared" si="2"/>
        <v>0.81934097578666654</v>
      </c>
      <c r="L17" s="11">
        <v>0.82133333333333336</v>
      </c>
      <c r="M17" s="11">
        <f>(L17/100)*I17</f>
        <v>504.7140410845866</v>
      </c>
      <c r="N17" s="11">
        <f>K17*(L17/100)</f>
        <v>6.7295205477944878E-3</v>
      </c>
      <c r="O17" s="11">
        <v>7.4333333333333335E-2</v>
      </c>
      <c r="P17" s="11">
        <f>(O17/100)*I17</f>
        <v>45.678259400106661</v>
      </c>
      <c r="Q17" s="11">
        <f>K17*(O17/100)</f>
        <v>6.0904345866808884E-4</v>
      </c>
      <c r="R17" s="11">
        <f t="shared" si="6"/>
        <v>11.04932735426009</v>
      </c>
      <c r="S17" s="11">
        <v>4.53</v>
      </c>
      <c r="T17" s="11">
        <f>S17/J17</f>
        <v>6.0400000000000004E-5</v>
      </c>
      <c r="U17">
        <f t="shared" si="7"/>
        <v>2.8992E-5</v>
      </c>
      <c r="V17" s="12">
        <v>4.0181691125088358E-3</v>
      </c>
      <c r="W17" s="12">
        <v>0.10499650593990216</v>
      </c>
      <c r="X17" s="12">
        <v>0.89098532494758909</v>
      </c>
      <c r="Y17" s="11">
        <f>V17*I17</f>
        <v>246.91879511391252</v>
      </c>
      <c r="Z17" s="12">
        <f>W17*I17</f>
        <v>6452.0954723242476</v>
      </c>
      <c r="AA17" s="12">
        <f>X17*I17</f>
        <v>54751.558916561837</v>
      </c>
      <c r="AB17" s="11" t="s">
        <v>10</v>
      </c>
      <c r="AC17" s="12">
        <v>0.17280188784084788</v>
      </c>
      <c r="AD17" s="12">
        <v>0.64500000000000002</v>
      </c>
      <c r="AE17" s="12" t="e">
        <f t="shared" si="8"/>
        <v>#VALUE!</v>
      </c>
      <c r="AF17" s="12">
        <f t="shared" si="9"/>
        <v>11.149342781470171</v>
      </c>
      <c r="AG17" s="12">
        <f t="shared" si="10"/>
        <v>353.14755501182384</v>
      </c>
      <c r="AH17" s="12" t="e">
        <f t="shared" si="11"/>
        <v>#VALUE!</v>
      </c>
      <c r="AI17" s="12" t="e">
        <f t="shared" si="12"/>
        <v>#VALUE!</v>
      </c>
      <c r="AJ17" s="12" t="e">
        <f t="shared" si="13"/>
        <v>#VALUE!</v>
      </c>
      <c r="AK17" s="11" t="e">
        <f>AH17/J17</f>
        <v>#VALUE!</v>
      </c>
      <c r="AL17" s="11">
        <f>AG17/J17</f>
        <v>4.7086340668243175E-3</v>
      </c>
      <c r="AM17" s="11"/>
      <c r="AN17" s="11"/>
    </row>
    <row r="18" spans="1:40" x14ac:dyDescent="0.2">
      <c r="A18" s="1">
        <v>2</v>
      </c>
      <c r="B18" s="1"/>
      <c r="C18" s="1"/>
      <c r="D18" s="1"/>
      <c r="E18" s="1"/>
      <c r="F18" s="1" t="s">
        <v>42</v>
      </c>
      <c r="G18" s="11">
        <v>56187.778000000013</v>
      </c>
      <c r="H18" s="11">
        <v>0.82936507936507942</v>
      </c>
      <c r="I18" s="11">
        <f t="shared" si="0"/>
        <v>46600.180960317477</v>
      </c>
      <c r="J18" s="11">
        <f t="shared" si="14"/>
        <v>75000</v>
      </c>
      <c r="K18" s="11">
        <f t="shared" si="2"/>
        <v>0.62133574613756637</v>
      </c>
      <c r="L18" s="11">
        <v>1.2070149903775944</v>
      </c>
      <c r="M18" s="11">
        <f>(L18/100)*I18</f>
        <v>562.47116973411755</v>
      </c>
      <c r="N18" s="11">
        <f>K18*(L18/100)</f>
        <v>7.4996155964549005E-3</v>
      </c>
      <c r="O18" s="11">
        <v>0.10534535843058331</v>
      </c>
      <c r="P18" s="11">
        <f>(O18/100)*I18</f>
        <v>49.091127661946885</v>
      </c>
      <c r="Q18" s="11">
        <f>K18*(O18/100)</f>
        <v>6.5454836882595851E-4</v>
      </c>
      <c r="R18" s="11">
        <f t="shared" si="6"/>
        <v>11.457695036207502</v>
      </c>
      <c r="S18" s="11">
        <v>16.940000000000001</v>
      </c>
      <c r="T18" s="11">
        <f>S18/J18</f>
        <v>2.2586666666666669E-4</v>
      </c>
      <c r="U18">
        <f t="shared" si="7"/>
        <v>1.0841600000000001E-4</v>
      </c>
      <c r="V18" s="12">
        <v>3.435301815802374E-3</v>
      </c>
      <c r="W18" s="12">
        <v>7.8848355962702329E-2</v>
      </c>
      <c r="X18" s="12">
        <v>0.91771634222149534</v>
      </c>
      <c r="Y18" s="11">
        <f>V18*I18</f>
        <v>160.08568626969785</v>
      </c>
      <c r="Z18" s="12">
        <f>W18*I18</f>
        <v>3674.3476562854562</v>
      </c>
      <c r="AA18" s="12">
        <f>X18*I18</f>
        <v>42765.747617762325</v>
      </c>
      <c r="AB18" s="11" t="s">
        <v>10</v>
      </c>
      <c r="AC18" s="12">
        <v>0.46327908589423167</v>
      </c>
      <c r="AD18" s="12">
        <v>0.88400000000000001</v>
      </c>
      <c r="AE18" s="12" t="e">
        <f t="shared" si="8"/>
        <v>#VALUE!</v>
      </c>
      <c r="AF18" s="12">
        <f t="shared" si="9"/>
        <v>17.022484234615387</v>
      </c>
      <c r="AG18" s="12">
        <f t="shared" si="10"/>
        <v>378.04920894101895</v>
      </c>
      <c r="AH18" s="12" t="e">
        <f t="shared" si="11"/>
        <v>#VALUE!</v>
      </c>
      <c r="AI18" s="12" t="e">
        <f t="shared" si="12"/>
        <v>#VALUE!</v>
      </c>
      <c r="AJ18" s="12" t="e">
        <f t="shared" si="13"/>
        <v>#VALUE!</v>
      </c>
      <c r="AK18" s="11" t="e">
        <f>AH18/J18</f>
        <v>#VALUE!</v>
      </c>
      <c r="AL18" s="11">
        <f>AG18/J18</f>
        <v>5.0406561192135862E-3</v>
      </c>
      <c r="AM18" s="11"/>
      <c r="AN18" s="11"/>
    </row>
    <row r="19" spans="1:40" x14ac:dyDescent="0.2">
      <c r="A19" s="1">
        <v>3</v>
      </c>
      <c r="B19" s="1"/>
      <c r="C19" s="1"/>
      <c r="D19" s="1"/>
      <c r="E19" s="1"/>
      <c r="F19" s="1" t="s">
        <v>42</v>
      </c>
      <c r="G19" s="11">
        <v>103252.89200000001</v>
      </c>
      <c r="H19" s="11">
        <v>0.84738955823293161</v>
      </c>
      <c r="I19" s="11">
        <f t="shared" si="0"/>
        <v>87495.422538152605</v>
      </c>
      <c r="J19" s="11">
        <f t="shared" si="14"/>
        <v>75000</v>
      </c>
      <c r="K19" s="11">
        <f t="shared" si="2"/>
        <v>1.1666056338420348</v>
      </c>
      <c r="L19" s="11">
        <v>0.62920431951546285</v>
      </c>
      <c r="M19" s="11">
        <f>(L19/100)*I19</f>
        <v>550.52497798836202</v>
      </c>
      <c r="N19" s="11">
        <f>K19*(L19/100)</f>
        <v>7.3403330398448263E-3</v>
      </c>
      <c r="O19" s="11">
        <v>6.3477713615310044E-2</v>
      </c>
      <c r="P19" s="11">
        <f>(O19/100)*I19</f>
        <v>55.540093745273943</v>
      </c>
      <c r="Q19" s="11">
        <f>K19*(O19/100)</f>
        <v>7.4053458327031925E-4</v>
      </c>
      <c r="R19" s="11">
        <f t="shared" si="6"/>
        <v>9.9122082961051472</v>
      </c>
      <c r="S19" s="11">
        <v>20.149999999999999</v>
      </c>
      <c r="T19" s="11">
        <f>S19/J19</f>
        <v>2.6866666666666667E-4</v>
      </c>
      <c r="U19">
        <f t="shared" si="7"/>
        <v>1.2896000000000001E-4</v>
      </c>
      <c r="V19" s="12">
        <v>3.2390044323217268E-3</v>
      </c>
      <c r="W19" s="12">
        <v>4.551653596999667E-2</v>
      </c>
      <c r="X19" s="12">
        <v>0.95124445959768167</v>
      </c>
      <c r="Y19" s="11">
        <f>V19*I19</f>
        <v>283.39806140893859</v>
      </c>
      <c r="Z19" s="12">
        <f>W19*I19</f>
        <v>3982.4885471678804</v>
      </c>
      <c r="AA19" s="12">
        <f>X19*I19</f>
        <v>83229.535929575795</v>
      </c>
      <c r="AB19" s="11" t="s">
        <v>10</v>
      </c>
      <c r="AC19" s="12">
        <v>0.24771075234215667</v>
      </c>
      <c r="AD19" s="12">
        <v>0.55500000000000005</v>
      </c>
      <c r="AE19" s="12" t="e">
        <f t="shared" si="8"/>
        <v>#VALUE!</v>
      </c>
      <c r="AF19" s="12">
        <f t="shared" si="9"/>
        <v>9.8650523421297809</v>
      </c>
      <c r="AG19" s="12">
        <f t="shared" si="10"/>
        <v>461.92392440914568</v>
      </c>
      <c r="AH19" s="12" t="e">
        <f t="shared" si="11"/>
        <v>#VALUE!</v>
      </c>
      <c r="AI19" s="12" t="e">
        <f t="shared" si="12"/>
        <v>#VALUE!</v>
      </c>
      <c r="AJ19" s="12" t="e">
        <f t="shared" si="13"/>
        <v>#VALUE!</v>
      </c>
      <c r="AK19" s="11" t="e">
        <f>AH19/J19</f>
        <v>#VALUE!</v>
      </c>
      <c r="AL19" s="11">
        <f>AG19/J19</f>
        <v>6.1589856587886092E-3</v>
      </c>
      <c r="AM19" s="11"/>
      <c r="AN19" s="11"/>
    </row>
    <row r="20" spans="1:40" x14ac:dyDescent="0.2">
      <c r="A20" s="1">
        <v>4</v>
      </c>
      <c r="B20" s="1"/>
      <c r="C20" s="1"/>
      <c r="D20" s="1"/>
      <c r="E20" s="1"/>
      <c r="F20" s="1" t="s">
        <v>42</v>
      </c>
      <c r="G20" s="11">
        <v>103107.016</v>
      </c>
      <c r="H20" s="11">
        <v>0.48323471400394469</v>
      </c>
      <c r="I20" s="11">
        <f t="shared" si="0"/>
        <v>49824.88938856015</v>
      </c>
      <c r="J20" s="11">
        <f t="shared" si="14"/>
        <v>75000</v>
      </c>
      <c r="K20" s="11">
        <f t="shared" si="2"/>
        <v>0.66433185851413534</v>
      </c>
      <c r="L20" s="11">
        <v>0.865369424626666</v>
      </c>
      <c r="M20" s="11">
        <f>(L20/100)*I20</f>
        <v>431.16935862265575</v>
      </c>
      <c r="N20" s="11">
        <f>K20*(L20/100)</f>
        <v>5.7489247816354099E-3</v>
      </c>
      <c r="O20" s="11">
        <v>8.0260997598598158E-2</v>
      </c>
      <c r="P20" s="11">
        <f>(O20/100)*I20</f>
        <v>39.989953275656454</v>
      </c>
      <c r="Q20" s="11">
        <f>K20*(O20/100)</f>
        <v>5.3319937700875271E-4</v>
      </c>
      <c r="R20" s="11">
        <f t="shared" si="6"/>
        <v>10.781942045556889</v>
      </c>
      <c r="S20" s="11">
        <v>12.05</v>
      </c>
      <c r="T20" s="11">
        <f>S20/J20</f>
        <v>1.6066666666666668E-4</v>
      </c>
      <c r="U20">
        <f t="shared" si="7"/>
        <v>7.7120000000000007E-5</v>
      </c>
      <c r="V20" s="12">
        <v>5.3018642038651764E-3</v>
      </c>
      <c r="W20" s="12">
        <v>3.8652300324952947E-2</v>
      </c>
      <c r="X20" s="12">
        <v>0.95604583547118194</v>
      </c>
      <c r="Y20" s="11">
        <f>V20*I20</f>
        <v>264.16479751074894</v>
      </c>
      <c r="Z20" s="12">
        <f>W20*I20</f>
        <v>1925.8465883041881</v>
      </c>
      <c r="AA20" s="12">
        <f>X20*I20</f>
        <v>47634.878002745216</v>
      </c>
      <c r="AB20" s="11" t="s">
        <v>10</v>
      </c>
      <c r="AC20" s="12">
        <v>0.52028878753015262</v>
      </c>
      <c r="AD20" s="12">
        <v>0.76600000000000001</v>
      </c>
      <c r="AE20" s="12" t="e">
        <f t="shared" si="8"/>
        <v>#VALUE!</v>
      </c>
      <c r="AF20" s="12">
        <f t="shared" si="9"/>
        <v>10.019963863978671</v>
      </c>
      <c r="AG20" s="12">
        <f t="shared" si="10"/>
        <v>364.88316550102832</v>
      </c>
      <c r="AH20" s="12" t="e">
        <f t="shared" si="11"/>
        <v>#VALUE!</v>
      </c>
      <c r="AI20" s="12" t="e">
        <f t="shared" si="12"/>
        <v>#VALUE!</v>
      </c>
      <c r="AJ20" s="12" t="e">
        <f t="shared" si="13"/>
        <v>#VALUE!</v>
      </c>
      <c r="AK20" s="11" t="e">
        <f>AH20/J20</f>
        <v>#VALUE!</v>
      </c>
      <c r="AL20" s="11">
        <f>AG20/J20</f>
        <v>4.8651088733470439E-3</v>
      </c>
      <c r="AM20" s="11"/>
      <c r="AN20" s="11"/>
    </row>
    <row r="21" spans="1:40" x14ac:dyDescent="0.2">
      <c r="A21" s="1">
        <v>5</v>
      </c>
      <c r="B21" s="1"/>
      <c r="C21" s="1"/>
      <c r="D21" s="1"/>
      <c r="E21" s="1"/>
      <c r="F21" s="1" t="s">
        <v>42</v>
      </c>
      <c r="G21" s="11">
        <v>66953.8992</v>
      </c>
      <c r="H21" s="11">
        <v>0.86138613861386115</v>
      </c>
      <c r="I21" s="11">
        <f t="shared" si="0"/>
        <v>57673.160697029685</v>
      </c>
      <c r="J21" s="11">
        <f t="shared" si="14"/>
        <v>75000</v>
      </c>
      <c r="K21" s="11">
        <f t="shared" si="2"/>
        <v>0.76897547596039584</v>
      </c>
      <c r="L21" s="11">
        <v>0.85868258111383222</v>
      </c>
      <c r="M21" s="11">
        <f>(L21/100)*I21</f>
        <v>495.22938488318277</v>
      </c>
      <c r="N21" s="11">
        <f>K21*(L21/100)</f>
        <v>6.6030584651091033E-3</v>
      </c>
      <c r="O21" s="11">
        <v>7.4454871592352978E-2</v>
      </c>
      <c r="P21" s="11">
        <f>(O21/100)*I21</f>
        <v>42.940477740224843</v>
      </c>
      <c r="Q21" s="11">
        <f>K21*(O21/100)</f>
        <v>5.7253970320299784E-4</v>
      </c>
      <c r="R21" s="11">
        <f t="shared" si="6"/>
        <v>11.532926761531408</v>
      </c>
      <c r="S21" s="11">
        <v>11.65</v>
      </c>
      <c r="T21" s="11">
        <f>S21/J21</f>
        <v>1.5533333333333333E-4</v>
      </c>
      <c r="U21">
        <f t="shared" si="7"/>
        <v>7.4559999999999991E-5</v>
      </c>
      <c r="V21" s="12">
        <v>6.7415730337079521E-3</v>
      </c>
      <c r="W21" s="12">
        <v>9.4382022471910007E-2</v>
      </c>
      <c r="X21" s="12">
        <v>0.89887640449438211</v>
      </c>
      <c r="Y21" s="11">
        <f>V21*I21</f>
        <v>388.80782492380064</v>
      </c>
      <c r="Z21" s="12">
        <f>W21*I21</f>
        <v>5443.3095489331326</v>
      </c>
      <c r="AA21" s="12">
        <f>X21*I21</f>
        <v>51841.043323172758</v>
      </c>
      <c r="AB21" s="11" t="s">
        <v>10</v>
      </c>
      <c r="AC21" s="12">
        <v>3.4924873591228325</v>
      </c>
      <c r="AD21" s="12">
        <v>2.8610000000000002</v>
      </c>
      <c r="AE21" s="12" t="e">
        <f t="shared" si="8"/>
        <v>#VALUE!</v>
      </c>
      <c r="AF21" s="12">
        <f t="shared" si="9"/>
        <v>190.10689791441573</v>
      </c>
      <c r="AG21" s="12">
        <f t="shared" si="10"/>
        <v>1483.1722494759729</v>
      </c>
      <c r="AH21" s="12" t="e">
        <f t="shared" si="11"/>
        <v>#VALUE!</v>
      </c>
      <c r="AI21" s="12" t="e">
        <f t="shared" si="12"/>
        <v>#VALUE!</v>
      </c>
      <c r="AJ21" s="12" t="e">
        <f t="shared" si="13"/>
        <v>#VALUE!</v>
      </c>
      <c r="AK21" s="11" t="e">
        <f>AH21/J21</f>
        <v>#VALUE!</v>
      </c>
      <c r="AL21" s="11">
        <f>AG21/J21</f>
        <v>1.9775629993012973E-2</v>
      </c>
      <c r="AM21" s="11"/>
      <c r="AN21" s="11"/>
    </row>
    <row r="22" spans="1:40" x14ac:dyDescent="0.2">
      <c r="A22" s="1">
        <v>1</v>
      </c>
      <c r="B22" s="1"/>
      <c r="C22" s="1"/>
      <c r="D22" s="1"/>
      <c r="E22" s="1"/>
      <c r="F22" s="1" t="s">
        <v>43</v>
      </c>
      <c r="G22" s="11">
        <v>95243.245999999999</v>
      </c>
      <c r="H22" s="11">
        <v>0.65422396856581533</v>
      </c>
      <c r="I22" s="11">
        <f t="shared" si="0"/>
        <v>62310.414377210218</v>
      </c>
      <c r="J22" s="11">
        <f t="shared" si="14"/>
        <v>75000</v>
      </c>
      <c r="K22" s="11">
        <f t="shared" si="2"/>
        <v>0.83080552502946958</v>
      </c>
      <c r="L22" s="11">
        <v>0.45700000000000002</v>
      </c>
      <c r="M22" s="11">
        <f>(L22/100)*I22</f>
        <v>284.75859370385069</v>
      </c>
      <c r="N22" s="11">
        <f>K22*(L22/100)</f>
        <v>3.796781249384676E-3</v>
      </c>
      <c r="O22" s="11">
        <v>4.4000000000000004E-2</v>
      </c>
      <c r="P22" s="11">
        <f>(O22/100)*I22</f>
        <v>27.416582325972499</v>
      </c>
      <c r="Q22" s="11">
        <f>K22*(O22/100)</f>
        <v>3.6555443101296667E-4</v>
      </c>
      <c r="R22" s="11">
        <f t="shared" si="6"/>
        <v>10.386363636363635</v>
      </c>
      <c r="S22" s="11">
        <v>7.33</v>
      </c>
      <c r="T22" s="11">
        <f>S22/J22</f>
        <v>9.7733333333333328E-5</v>
      </c>
      <c r="U22">
        <f t="shared" si="7"/>
        <v>4.6911999999999994E-5</v>
      </c>
      <c r="V22" s="12">
        <v>5.2539404553413934E-3</v>
      </c>
      <c r="W22" s="12">
        <v>0.17338003502626972</v>
      </c>
      <c r="X22" s="12">
        <v>0.82136602451838892</v>
      </c>
      <c r="Y22" s="11">
        <f>V22*I22</f>
        <v>327.37520688551075</v>
      </c>
      <c r="Z22" s="12">
        <f>W22*I22</f>
        <v>10803.381827222089</v>
      </c>
      <c r="AA22" s="12">
        <f>X22*I22</f>
        <v>51179.657343102619</v>
      </c>
      <c r="AB22" s="11" t="s">
        <v>10</v>
      </c>
      <c r="AC22" s="12">
        <v>8.996829973330292E-2</v>
      </c>
      <c r="AD22" s="12">
        <v>0.496</v>
      </c>
      <c r="AE22" s="12" t="e">
        <f t="shared" si="8"/>
        <v>#VALUE!</v>
      </c>
      <c r="AF22" s="12">
        <f t="shared" si="9"/>
        <v>9.7196189436483458</v>
      </c>
      <c r="AG22" s="12">
        <f t="shared" si="10"/>
        <v>253.85110042178897</v>
      </c>
      <c r="AH22" s="12" t="e">
        <f t="shared" si="11"/>
        <v>#VALUE!</v>
      </c>
      <c r="AI22" s="12" t="e">
        <f t="shared" si="12"/>
        <v>#VALUE!</v>
      </c>
      <c r="AJ22" s="12" t="e">
        <f t="shared" si="13"/>
        <v>#VALUE!</v>
      </c>
      <c r="AK22" s="11" t="e">
        <f>AH22/J22</f>
        <v>#VALUE!</v>
      </c>
      <c r="AL22" s="11">
        <f>AG22/J22</f>
        <v>3.3846813389571862E-3</v>
      </c>
      <c r="AM22" s="11"/>
      <c r="AN22" s="11"/>
    </row>
    <row r="23" spans="1:40" x14ac:dyDescent="0.2">
      <c r="A23" s="1">
        <v>2</v>
      </c>
      <c r="B23" s="1"/>
      <c r="C23" s="1"/>
      <c r="D23" s="1"/>
      <c r="E23" s="1"/>
      <c r="F23" s="1" t="s">
        <v>43</v>
      </c>
      <c r="G23" s="11">
        <v>109195.71</v>
      </c>
      <c r="H23" s="11">
        <v>0.87673956262425445</v>
      </c>
      <c r="I23" s="11">
        <f t="shared" si="0"/>
        <v>95736.199025844937</v>
      </c>
      <c r="J23" s="11">
        <f t="shared" si="14"/>
        <v>75000</v>
      </c>
      <c r="K23" s="11">
        <f t="shared" si="2"/>
        <v>1.2764826536779326</v>
      </c>
      <c r="L23" s="11">
        <v>0.67143093711573965</v>
      </c>
      <c r="M23" s="11">
        <f>(L23/100)*I23</f>
        <v>642.80245827822023</v>
      </c>
      <c r="N23" s="11">
        <f>K23*(L23/100)</f>
        <v>8.5706994437096048E-3</v>
      </c>
      <c r="O23" s="11">
        <v>6.4309984004490464E-2</v>
      </c>
      <c r="P23" s="11">
        <f>(O23/100)*I23</f>
        <v>61.567934280028041</v>
      </c>
      <c r="Q23" s="11">
        <f>K23*(O23/100)</f>
        <v>8.2090579040037387E-4</v>
      </c>
      <c r="R23" s="11">
        <f t="shared" si="6"/>
        <v>10.440539637964406</v>
      </c>
      <c r="S23" s="11">
        <v>9.9499999999999993</v>
      </c>
      <c r="T23" s="11">
        <f>S23/J23</f>
        <v>1.3266666666666665E-4</v>
      </c>
      <c r="U23">
        <f t="shared" si="7"/>
        <v>6.3679999999999987E-5</v>
      </c>
      <c r="V23" s="12">
        <v>3.8569424964937297E-3</v>
      </c>
      <c r="W23" s="12">
        <v>5.8204768583450313E-2</v>
      </c>
      <c r="X23" s="12">
        <v>0.93793828892005593</v>
      </c>
      <c r="Y23" s="11">
        <f>V23*I23</f>
        <v>369.24901447556294</v>
      </c>
      <c r="Z23" s="12">
        <f>W23*I23</f>
        <v>5572.3033093584454</v>
      </c>
      <c r="AA23" s="12">
        <f>X23*I23</f>
        <v>89794.646702010927</v>
      </c>
      <c r="AB23" s="11" t="s">
        <v>10</v>
      </c>
      <c r="AC23" s="12">
        <v>0.18512020329533013</v>
      </c>
      <c r="AD23" s="12">
        <v>0.502</v>
      </c>
      <c r="AE23" s="12" t="e">
        <f t="shared" si="8"/>
        <v>#VALUE!</v>
      </c>
      <c r="AF23" s="12">
        <f t="shared" si="9"/>
        <v>10.315459214516764</v>
      </c>
      <c r="AG23" s="12">
        <f t="shared" si="10"/>
        <v>450.76912644409487</v>
      </c>
      <c r="AH23" s="12" t="e">
        <f t="shared" si="11"/>
        <v>#VALUE!</v>
      </c>
      <c r="AI23" s="12" t="e">
        <f t="shared" si="12"/>
        <v>#VALUE!</v>
      </c>
      <c r="AJ23" s="12" t="e">
        <f t="shared" si="13"/>
        <v>#VALUE!</v>
      </c>
      <c r="AK23" s="11" t="e">
        <f>AH23/J23</f>
        <v>#VALUE!</v>
      </c>
      <c r="AL23" s="11">
        <f>AG23/J23</f>
        <v>6.0102550192545979E-3</v>
      </c>
      <c r="AM23" s="11"/>
      <c r="AN23" s="11"/>
    </row>
    <row r="24" spans="1:40" x14ac:dyDescent="0.2">
      <c r="A24" s="1">
        <v>3</v>
      </c>
      <c r="B24" s="1"/>
      <c r="C24" s="1"/>
      <c r="D24" s="1"/>
      <c r="E24" s="1"/>
      <c r="F24" s="1" t="s">
        <v>43</v>
      </c>
      <c r="G24" s="11">
        <v>69904.606400000019</v>
      </c>
      <c r="H24" s="11">
        <v>0.84431137724550909</v>
      </c>
      <c r="I24" s="11">
        <f t="shared" si="0"/>
        <v>59021.254505389246</v>
      </c>
      <c r="J24" s="11">
        <f t="shared" si="14"/>
        <v>75000</v>
      </c>
      <c r="K24" s="11">
        <f t="shared" si="2"/>
        <v>0.78695006007185664</v>
      </c>
      <c r="L24" s="11">
        <v>0.40496882701931097</v>
      </c>
      <c r="M24" s="11">
        <f>(L24/100)*I24</f>
        <v>239.0176820625571</v>
      </c>
      <c r="N24" s="11">
        <f>K24*(L24/100)</f>
        <v>3.1869024275007611E-3</v>
      </c>
      <c r="O24" s="11">
        <v>4.6297024421037884E-2</v>
      </c>
      <c r="P24" s="11">
        <f>(O24/100)*I24</f>
        <v>27.325084611962982</v>
      </c>
      <c r="Q24" s="11">
        <f>K24*(O24/100)</f>
        <v>3.6433446149283978E-4</v>
      </c>
      <c r="R24" s="11">
        <f t="shared" si="6"/>
        <v>8.7471890922494921</v>
      </c>
      <c r="S24" s="11">
        <v>6.85</v>
      </c>
      <c r="T24" s="11">
        <f>S24/J24</f>
        <v>9.1333333333333335E-5</v>
      </c>
      <c r="U24">
        <f t="shared" si="7"/>
        <v>4.384E-5</v>
      </c>
      <c r="V24" s="12">
        <v>4.1981528127622951E-3</v>
      </c>
      <c r="W24" s="12">
        <v>5.541561712846349E-2</v>
      </c>
      <c r="X24" s="12">
        <v>0.9403862300587742</v>
      </c>
      <c r="Y24" s="11">
        <f>V24*I24</f>
        <v>247.78024561455913</v>
      </c>
      <c r="Z24" s="12">
        <f>W24*I24</f>
        <v>3270.6992421122513</v>
      </c>
      <c r="AA24" s="12">
        <f>X24*I24</f>
        <v>55502.775017662432</v>
      </c>
      <c r="AB24" s="11" t="s">
        <v>10</v>
      </c>
      <c r="AC24" s="12">
        <v>0.15939639096034405</v>
      </c>
      <c r="AD24" s="12">
        <v>0.38700000000000001</v>
      </c>
      <c r="AE24" s="12" t="e">
        <f t="shared" si="8"/>
        <v>#VALUE!</v>
      </c>
      <c r="AF24" s="12">
        <f t="shared" si="9"/>
        <v>5.213376551094254</v>
      </c>
      <c r="AG24" s="12">
        <f t="shared" si="10"/>
        <v>214.79573931835364</v>
      </c>
      <c r="AH24" s="12" t="e">
        <f t="shared" si="11"/>
        <v>#VALUE!</v>
      </c>
      <c r="AI24" s="12" t="e">
        <f t="shared" si="12"/>
        <v>#VALUE!</v>
      </c>
      <c r="AJ24" s="12" t="e">
        <f t="shared" si="13"/>
        <v>#VALUE!</v>
      </c>
      <c r="AK24" s="11" t="e">
        <f>AH24/J24</f>
        <v>#VALUE!</v>
      </c>
      <c r="AL24" s="11">
        <f>AG24/J24</f>
        <v>2.8639431909113821E-3</v>
      </c>
      <c r="AM24" s="11"/>
      <c r="AN24" s="11"/>
    </row>
    <row r="25" spans="1:40" x14ac:dyDescent="0.2">
      <c r="A25" s="1">
        <v>4</v>
      </c>
      <c r="B25" s="1"/>
      <c r="C25" s="1"/>
      <c r="D25" s="1"/>
      <c r="E25" s="1"/>
      <c r="F25" s="1" t="s">
        <v>43</v>
      </c>
      <c r="G25" s="11">
        <v>110215.3784</v>
      </c>
      <c r="H25" s="11">
        <v>0.49607843137254909</v>
      </c>
      <c r="I25" s="11">
        <f t="shared" si="0"/>
        <v>54675.472029803932</v>
      </c>
      <c r="J25" s="11">
        <f t="shared" si="14"/>
        <v>75000</v>
      </c>
      <c r="K25" s="11">
        <f t="shared" si="2"/>
        <v>0.72900629373071912</v>
      </c>
      <c r="L25" s="11">
        <v>0.42120141162285202</v>
      </c>
      <c r="M25" s="11">
        <f>(L25/100)*I25</f>
        <v>230.29386000099177</v>
      </c>
      <c r="N25" s="11">
        <f>K25*(L25/100)</f>
        <v>3.0705848000132235E-3</v>
      </c>
      <c r="O25" s="11">
        <v>4.6369543314388161E-2</v>
      </c>
      <c r="P25" s="11">
        <f>(O25/100)*I25</f>
        <v>25.35276668520612</v>
      </c>
      <c r="Q25" s="11">
        <f>K25*(O25/100)</f>
        <v>3.380368891360816E-4</v>
      </c>
      <c r="R25" s="11">
        <f t="shared" si="6"/>
        <v>9.0835790373668832</v>
      </c>
      <c r="S25" s="11">
        <v>10.07</v>
      </c>
      <c r="T25" s="11">
        <f>S25/J25</f>
        <v>1.3426666666666666E-4</v>
      </c>
      <c r="U25">
        <f t="shared" si="7"/>
        <v>6.444799999999999E-5</v>
      </c>
      <c r="V25" s="12">
        <v>4.6624071835607217E-3</v>
      </c>
      <c r="W25" s="12">
        <v>6.1129338628906932E-2</v>
      </c>
      <c r="X25" s="12">
        <v>0.93420825418753239</v>
      </c>
      <c r="Y25" s="11">
        <f>V25*I25</f>
        <v>254.91931355633116</v>
      </c>
      <c r="Z25" s="12">
        <f>W25*I25</f>
        <v>3342.2754444052139</v>
      </c>
      <c r="AA25" s="12">
        <f>X25*I25</f>
        <v>51078.277271842388</v>
      </c>
      <c r="AB25" s="11" t="s">
        <v>10</v>
      </c>
      <c r="AC25" s="12">
        <v>0.31637987869563411</v>
      </c>
      <c r="AD25" s="12">
        <v>0.501</v>
      </c>
      <c r="AE25" s="12" t="e">
        <f t="shared" si="8"/>
        <v>#VALUE!</v>
      </c>
      <c r="AF25" s="12">
        <f t="shared" si="9"/>
        <v>10.574286996683181</v>
      </c>
      <c r="AG25" s="12">
        <f t="shared" si="10"/>
        <v>255.90216913193035</v>
      </c>
      <c r="AH25" s="12" t="e">
        <f t="shared" si="11"/>
        <v>#VALUE!</v>
      </c>
      <c r="AI25" s="12" t="e">
        <f t="shared" si="12"/>
        <v>#VALUE!</v>
      </c>
      <c r="AJ25" s="12" t="e">
        <f t="shared" si="13"/>
        <v>#VALUE!</v>
      </c>
      <c r="AK25" s="11" t="e">
        <f>AH25/J25</f>
        <v>#VALUE!</v>
      </c>
      <c r="AL25" s="11">
        <f>AG25/J25</f>
        <v>3.4120289217590715E-3</v>
      </c>
      <c r="AM25" s="11"/>
      <c r="AN25" s="11"/>
    </row>
    <row r="26" spans="1:40" x14ac:dyDescent="0.2">
      <c r="A26" s="1">
        <v>5</v>
      </c>
      <c r="B26" s="1"/>
      <c r="C26" s="1"/>
      <c r="D26" s="1"/>
      <c r="E26" s="1"/>
      <c r="F26" s="1" t="s">
        <v>43</v>
      </c>
      <c r="G26" s="11">
        <v>104285.32800000001</v>
      </c>
      <c r="H26" s="11">
        <v>0.85317460317460314</v>
      </c>
      <c r="I26" s="11">
        <f t="shared" si="0"/>
        <v>88973.593333333338</v>
      </c>
      <c r="J26" s="11">
        <f t="shared" si="14"/>
        <v>75000</v>
      </c>
      <c r="K26" s="11">
        <f t="shared" si="2"/>
        <v>1.1863145777777779</v>
      </c>
      <c r="L26" s="11">
        <v>0.5014934937517731</v>
      </c>
      <c r="M26" s="11">
        <f>(L26/100)*I26</f>
        <v>446.19678172382805</v>
      </c>
      <c r="N26" s="11">
        <f>K26*(L26/100)</f>
        <v>5.9492904229843744E-3</v>
      </c>
      <c r="O26" s="11">
        <v>5.1314316381822961E-2</v>
      </c>
      <c r="P26" s="11">
        <f>(O26/100)*I26</f>
        <v>45.65619117934321</v>
      </c>
      <c r="Q26" s="11">
        <f>K26*(O26/100)</f>
        <v>6.0874921572457612E-4</v>
      </c>
      <c r="R26" s="11">
        <f t="shared" si="6"/>
        <v>9.7729742713559133</v>
      </c>
      <c r="S26" s="11">
        <v>9.5</v>
      </c>
      <c r="T26" s="11">
        <f>S26/J26</f>
        <v>1.2666666666666666E-4</v>
      </c>
      <c r="U26">
        <f t="shared" si="7"/>
        <v>6.0799999999999994E-5</v>
      </c>
      <c r="V26" s="12">
        <v>4.2742653606411439E-3</v>
      </c>
      <c r="W26" s="12">
        <v>6.7853962600177981E-2</v>
      </c>
      <c r="X26" s="12">
        <v>0.92787177203918092</v>
      </c>
      <c r="Y26" s="11">
        <f>V26*I26</f>
        <v>380.29674799643851</v>
      </c>
      <c r="Z26" s="12">
        <f>W26*I26</f>
        <v>6037.2108744434454</v>
      </c>
      <c r="AA26" s="12">
        <f>X26*I26</f>
        <v>82556.085710893458</v>
      </c>
      <c r="AB26" s="11" t="s">
        <v>10</v>
      </c>
      <c r="AC26" s="12">
        <v>0.29485939091843794</v>
      </c>
      <c r="AD26" s="12">
        <v>0.57499999999999996</v>
      </c>
      <c r="AE26" s="12" t="e">
        <f t="shared" si="8"/>
        <v>#VALUE!</v>
      </c>
      <c r="AF26" s="12">
        <f t="shared" si="9"/>
        <v>17.801283212845643</v>
      </c>
      <c r="AG26" s="12">
        <f t="shared" si="10"/>
        <v>474.69749283763736</v>
      </c>
      <c r="AH26" s="12" t="e">
        <f t="shared" si="11"/>
        <v>#VALUE!</v>
      </c>
      <c r="AI26" s="12" t="e">
        <f t="shared" si="12"/>
        <v>#VALUE!</v>
      </c>
      <c r="AJ26" s="12" t="e">
        <f t="shared" si="13"/>
        <v>#VALUE!</v>
      </c>
      <c r="AK26" s="11" t="e">
        <f>AH26/J26</f>
        <v>#VALUE!</v>
      </c>
      <c r="AL26" s="11">
        <f>AG26/J26</f>
        <v>6.3292999045018311E-3</v>
      </c>
      <c r="AM26" s="11"/>
      <c r="AN26" s="11"/>
    </row>
    <row r="27" spans="1:40" x14ac:dyDescent="0.2">
      <c r="A27" s="1"/>
      <c r="B27" s="1"/>
      <c r="C27" s="1"/>
      <c r="D27" s="1"/>
      <c r="E27" s="1"/>
      <c r="F27" s="1"/>
      <c r="G27" s="11"/>
      <c r="H27" s="11"/>
      <c r="I27" s="11"/>
      <c r="J27" s="11"/>
      <c r="K27" s="11"/>
      <c r="L27" s="11"/>
      <c r="M27" s="11">
        <f>(L27/100)*I27</f>
        <v>0</v>
      </c>
      <c r="N27" s="11">
        <f>K27*(L27/100)</f>
        <v>0</v>
      </c>
      <c r="O27" s="11"/>
      <c r="P27" s="11">
        <f>(O27/100)*I27</f>
        <v>0</v>
      </c>
      <c r="Q27" s="11">
        <f>K27*(O27/100)</f>
        <v>0</v>
      </c>
      <c r="R27" s="11" t="e">
        <f t="shared" si="6"/>
        <v>#DIV/0!</v>
      </c>
      <c r="S27" s="11"/>
      <c r="T27" s="11" t="e">
        <f t="shared" ref="T27:T90" si="15">S27/J27</f>
        <v>#DIV/0!</v>
      </c>
      <c r="U27" t="e">
        <f t="shared" si="7"/>
        <v>#DIV/0!</v>
      </c>
      <c r="V27" s="12"/>
      <c r="W27" s="12"/>
      <c r="X27" s="12"/>
      <c r="Y27" s="11">
        <f>V27*I27</f>
        <v>0</v>
      </c>
      <c r="Z27" s="12">
        <f>W27*I27</f>
        <v>0</v>
      </c>
      <c r="AA27" s="12">
        <f>X27*I27</f>
        <v>0</v>
      </c>
      <c r="AB27" s="11"/>
      <c r="AC27" s="12"/>
      <c r="AD27" s="12"/>
      <c r="AE27" s="12">
        <f t="shared" si="8"/>
        <v>0</v>
      </c>
      <c r="AF27" s="12">
        <f t="shared" si="9"/>
        <v>0</v>
      </c>
      <c r="AG27" s="12">
        <f t="shared" si="10"/>
        <v>0</v>
      </c>
      <c r="AH27" s="12">
        <f t="shared" si="11"/>
        <v>0</v>
      </c>
      <c r="AI27" s="12" t="e">
        <f t="shared" si="12"/>
        <v>#DIV/0!</v>
      </c>
      <c r="AJ27" s="12">
        <f t="shared" si="13"/>
        <v>0</v>
      </c>
      <c r="AK27" s="11" t="e">
        <f>AH27/J27</f>
        <v>#DIV/0!</v>
      </c>
      <c r="AL27" s="11" t="e">
        <f>AG27/J27</f>
        <v>#DIV/0!</v>
      </c>
      <c r="AM27" s="11"/>
      <c r="AN27" s="11"/>
    </row>
    <row r="28" spans="1:40" x14ac:dyDescent="0.2">
      <c r="A28" s="1"/>
      <c r="B28" s="1"/>
      <c r="C28" s="1"/>
      <c r="D28" s="1"/>
      <c r="E28" s="1"/>
      <c r="F28" s="1"/>
      <c r="G28" s="11"/>
      <c r="H28" s="11"/>
      <c r="I28" s="11"/>
      <c r="J28" s="11"/>
      <c r="K28" s="11"/>
      <c r="L28" s="11"/>
      <c r="M28" s="11">
        <f>(L28/100)*I28</f>
        <v>0</v>
      </c>
      <c r="N28" s="11">
        <f>K28*(L28/100)</f>
        <v>0</v>
      </c>
      <c r="O28" s="11"/>
      <c r="P28" s="11">
        <f>(O28/100)*I28</f>
        <v>0</v>
      </c>
      <c r="Q28" s="11">
        <f>K28*(O28/100)</f>
        <v>0</v>
      </c>
      <c r="R28" s="11" t="e">
        <f t="shared" si="6"/>
        <v>#DIV/0!</v>
      </c>
      <c r="S28" s="11"/>
      <c r="T28" s="11" t="e">
        <f t="shared" si="15"/>
        <v>#DIV/0!</v>
      </c>
      <c r="U28" t="e">
        <f t="shared" si="7"/>
        <v>#DIV/0!</v>
      </c>
      <c r="V28" s="12"/>
      <c r="W28" s="12"/>
      <c r="X28" s="12"/>
      <c r="Y28" s="11">
        <f>V28*I28</f>
        <v>0</v>
      </c>
      <c r="Z28" s="12">
        <f>W28*I28</f>
        <v>0</v>
      </c>
      <c r="AA28" s="12">
        <f>X28*I28</f>
        <v>0</v>
      </c>
      <c r="AB28" s="11"/>
      <c r="AC28" s="12"/>
      <c r="AD28" s="12"/>
      <c r="AE28" s="12">
        <f t="shared" si="8"/>
        <v>0</v>
      </c>
      <c r="AF28" s="12">
        <f t="shared" si="9"/>
        <v>0</v>
      </c>
      <c r="AG28" s="12">
        <f t="shared" si="10"/>
        <v>0</v>
      </c>
      <c r="AH28" s="12">
        <f t="shared" si="11"/>
        <v>0</v>
      </c>
      <c r="AI28" s="12" t="e">
        <f t="shared" si="12"/>
        <v>#DIV/0!</v>
      </c>
      <c r="AJ28" s="12">
        <f t="shared" si="13"/>
        <v>0</v>
      </c>
      <c r="AK28" s="11" t="e">
        <f>AH28/J28</f>
        <v>#DIV/0!</v>
      </c>
      <c r="AL28" s="11" t="e">
        <f>AG28/J28</f>
        <v>#DIV/0!</v>
      </c>
      <c r="AM28" s="11"/>
      <c r="AN28" s="11"/>
    </row>
    <row r="29" spans="1:40" x14ac:dyDescent="0.2">
      <c r="A29" s="1"/>
      <c r="B29" s="1"/>
      <c r="C29" s="1"/>
      <c r="D29" s="1"/>
      <c r="E29" s="1"/>
      <c r="F29" s="1"/>
      <c r="G29" s="11"/>
      <c r="H29" s="11"/>
      <c r="I29" s="11"/>
      <c r="J29" s="11"/>
      <c r="K29" s="11"/>
      <c r="L29" s="11"/>
      <c r="M29" s="11">
        <f>(L29/100)*I29</f>
        <v>0</v>
      </c>
      <c r="N29" s="11">
        <f>K29*(L29/100)</f>
        <v>0</v>
      </c>
      <c r="O29" s="11"/>
      <c r="P29" s="11">
        <f>(O29/100)*I29</f>
        <v>0</v>
      </c>
      <c r="Q29" s="11">
        <f>K29*(O29/100)</f>
        <v>0</v>
      </c>
      <c r="R29" s="11" t="e">
        <f t="shared" si="6"/>
        <v>#DIV/0!</v>
      </c>
      <c r="S29" s="11"/>
      <c r="T29" s="11" t="e">
        <f t="shared" si="15"/>
        <v>#DIV/0!</v>
      </c>
      <c r="U29" t="e">
        <f t="shared" si="7"/>
        <v>#DIV/0!</v>
      </c>
      <c r="V29" s="12"/>
      <c r="W29" s="12"/>
      <c r="X29" s="12"/>
      <c r="Y29" s="11">
        <f>V29*I29</f>
        <v>0</v>
      </c>
      <c r="Z29" s="12">
        <f>W29*I29</f>
        <v>0</v>
      </c>
      <c r="AA29" s="12">
        <f>X29*I29</f>
        <v>0</v>
      </c>
      <c r="AB29" s="11"/>
      <c r="AC29" s="12"/>
      <c r="AD29" s="12"/>
      <c r="AE29" s="12">
        <f t="shared" si="8"/>
        <v>0</v>
      </c>
      <c r="AF29" s="12">
        <f t="shared" si="9"/>
        <v>0</v>
      </c>
      <c r="AG29" s="12">
        <f t="shared" si="10"/>
        <v>0</v>
      </c>
      <c r="AH29" s="12">
        <f t="shared" si="11"/>
        <v>0</v>
      </c>
      <c r="AI29" s="12" t="e">
        <f t="shared" si="12"/>
        <v>#DIV/0!</v>
      </c>
      <c r="AJ29" s="12">
        <f t="shared" si="13"/>
        <v>0</v>
      </c>
      <c r="AK29" s="11" t="e">
        <f>AH29/J29</f>
        <v>#DIV/0!</v>
      </c>
      <c r="AL29" s="11" t="e">
        <f>AG29/J29</f>
        <v>#DIV/0!</v>
      </c>
      <c r="AM29" s="11"/>
      <c r="AN29" s="11"/>
    </row>
    <row r="30" spans="1:40" x14ac:dyDescent="0.2">
      <c r="A30" s="1"/>
      <c r="B30" s="1"/>
      <c r="C30" s="1"/>
      <c r="D30" s="1"/>
      <c r="E30" s="1"/>
      <c r="F30" s="1"/>
      <c r="G30" s="11"/>
      <c r="H30" s="11"/>
      <c r="I30" s="11"/>
      <c r="J30" s="11"/>
      <c r="K30" s="11"/>
      <c r="L30" s="11"/>
      <c r="M30" s="11">
        <f>(L30/100)*I30</f>
        <v>0</v>
      </c>
      <c r="N30" s="11">
        <f>K30*(L30/100)</f>
        <v>0</v>
      </c>
      <c r="O30" s="11"/>
      <c r="P30" s="11">
        <f>(O30/100)*I30</f>
        <v>0</v>
      </c>
      <c r="Q30" s="11">
        <f>K30*(O30/100)</f>
        <v>0</v>
      </c>
      <c r="R30" s="11" t="e">
        <f t="shared" si="6"/>
        <v>#DIV/0!</v>
      </c>
      <c r="S30" s="11"/>
      <c r="T30" s="11" t="e">
        <f t="shared" si="15"/>
        <v>#DIV/0!</v>
      </c>
      <c r="U30" t="e">
        <f t="shared" si="7"/>
        <v>#DIV/0!</v>
      </c>
      <c r="V30" s="12"/>
      <c r="W30" s="12"/>
      <c r="X30" s="12"/>
      <c r="Y30" s="11">
        <f>V30*I30</f>
        <v>0</v>
      </c>
      <c r="Z30" s="12">
        <f>W30*I30</f>
        <v>0</v>
      </c>
      <c r="AA30" s="12">
        <f>X30*I30</f>
        <v>0</v>
      </c>
      <c r="AB30" s="11"/>
      <c r="AC30" s="12"/>
      <c r="AD30" s="12"/>
      <c r="AE30" s="12">
        <f t="shared" si="8"/>
        <v>0</v>
      </c>
      <c r="AF30" s="12">
        <f t="shared" si="9"/>
        <v>0</v>
      </c>
      <c r="AG30" s="12">
        <f t="shared" si="10"/>
        <v>0</v>
      </c>
      <c r="AH30" s="12">
        <f t="shared" si="11"/>
        <v>0</v>
      </c>
      <c r="AI30" s="12" t="e">
        <f t="shared" si="12"/>
        <v>#DIV/0!</v>
      </c>
      <c r="AJ30" s="12">
        <f t="shared" si="13"/>
        <v>0</v>
      </c>
      <c r="AK30" s="11" t="e">
        <f>AH30/J30</f>
        <v>#DIV/0!</v>
      </c>
      <c r="AL30" s="11" t="e">
        <f>AG30/J30</f>
        <v>#DIV/0!</v>
      </c>
      <c r="AM30" s="11"/>
      <c r="AN30" s="11"/>
    </row>
    <row r="31" spans="1:40" x14ac:dyDescent="0.2">
      <c r="A31" s="1"/>
      <c r="B31" s="1"/>
      <c r="C31" s="1"/>
      <c r="D31" s="1"/>
      <c r="E31" s="1"/>
      <c r="F31" s="1"/>
      <c r="G31" s="11"/>
      <c r="H31" s="11"/>
      <c r="I31" s="11"/>
      <c r="J31" s="11"/>
      <c r="K31" s="11"/>
      <c r="L31" s="11"/>
      <c r="M31" s="11">
        <f>(L31/100)*I31</f>
        <v>0</v>
      </c>
      <c r="N31" s="11">
        <f>K31*(L31/100)</f>
        <v>0</v>
      </c>
      <c r="O31" s="11"/>
      <c r="P31" s="11">
        <f>(O31/100)*I31</f>
        <v>0</v>
      </c>
      <c r="Q31" s="11">
        <f>K31*(O31/100)</f>
        <v>0</v>
      </c>
      <c r="R31" s="11" t="e">
        <f t="shared" si="6"/>
        <v>#DIV/0!</v>
      </c>
      <c r="S31" s="11"/>
      <c r="T31" s="11" t="e">
        <f t="shared" si="15"/>
        <v>#DIV/0!</v>
      </c>
      <c r="U31" t="e">
        <f t="shared" si="7"/>
        <v>#DIV/0!</v>
      </c>
      <c r="V31" s="12"/>
      <c r="W31" s="12"/>
      <c r="X31" s="12"/>
      <c r="Y31" s="11">
        <f>V31*I31</f>
        <v>0</v>
      </c>
      <c r="Z31" s="12">
        <f>W31*I31</f>
        <v>0</v>
      </c>
      <c r="AA31" s="12">
        <f>X31*I31</f>
        <v>0</v>
      </c>
      <c r="AB31" s="11"/>
      <c r="AC31" s="12"/>
      <c r="AD31" s="12"/>
      <c r="AE31" s="12">
        <f t="shared" si="8"/>
        <v>0</v>
      </c>
      <c r="AF31" s="12">
        <f t="shared" si="9"/>
        <v>0</v>
      </c>
      <c r="AG31" s="12">
        <f t="shared" si="10"/>
        <v>0</v>
      </c>
      <c r="AH31" s="12">
        <f t="shared" si="11"/>
        <v>0</v>
      </c>
      <c r="AI31" s="12" t="e">
        <f t="shared" si="12"/>
        <v>#DIV/0!</v>
      </c>
      <c r="AJ31" s="12">
        <f t="shared" si="13"/>
        <v>0</v>
      </c>
      <c r="AK31" s="11" t="e">
        <f>AH31/J31</f>
        <v>#DIV/0!</v>
      </c>
      <c r="AL31" s="11" t="e">
        <f>AG31/J31</f>
        <v>#DIV/0!</v>
      </c>
      <c r="AM31" s="11"/>
      <c r="AN31" s="11"/>
    </row>
    <row r="32" spans="1:40" x14ac:dyDescent="0.2">
      <c r="A32" s="1"/>
      <c r="B32" s="1"/>
      <c r="C32" s="1"/>
      <c r="D32" s="1"/>
      <c r="E32" s="1"/>
      <c r="F32" s="1"/>
      <c r="G32" s="11"/>
      <c r="H32" s="11"/>
      <c r="I32" s="11"/>
      <c r="J32" s="11"/>
      <c r="K32" s="11"/>
      <c r="L32" s="11"/>
      <c r="M32" s="11">
        <f>(L32/100)*I32</f>
        <v>0</v>
      </c>
      <c r="N32" s="11">
        <f>K32*(L32/100)</f>
        <v>0</v>
      </c>
      <c r="O32" s="11"/>
      <c r="P32" s="11">
        <f>(O32/100)*I32</f>
        <v>0</v>
      </c>
      <c r="Q32" s="11">
        <f>K32*(O32/100)</f>
        <v>0</v>
      </c>
      <c r="R32" s="11" t="e">
        <f t="shared" si="6"/>
        <v>#DIV/0!</v>
      </c>
      <c r="S32" s="11"/>
      <c r="T32" s="11" t="e">
        <f t="shared" si="15"/>
        <v>#DIV/0!</v>
      </c>
      <c r="U32" t="e">
        <f t="shared" si="7"/>
        <v>#DIV/0!</v>
      </c>
      <c r="V32" s="12"/>
      <c r="W32" s="12"/>
      <c r="X32" s="12"/>
      <c r="Y32" s="11">
        <f>V32*I32</f>
        <v>0</v>
      </c>
      <c r="Z32" s="12">
        <f>W32*I32</f>
        <v>0</v>
      </c>
      <c r="AA32" s="12">
        <f>X32*I32</f>
        <v>0</v>
      </c>
      <c r="AB32" s="11"/>
      <c r="AC32" s="12"/>
      <c r="AD32" s="12"/>
      <c r="AE32" s="12">
        <f t="shared" si="8"/>
        <v>0</v>
      </c>
      <c r="AF32" s="12">
        <f t="shared" si="9"/>
        <v>0</v>
      </c>
      <c r="AG32" s="12">
        <f t="shared" si="10"/>
        <v>0</v>
      </c>
      <c r="AH32" s="12">
        <f t="shared" si="11"/>
        <v>0</v>
      </c>
      <c r="AI32" s="12" t="e">
        <f t="shared" si="12"/>
        <v>#DIV/0!</v>
      </c>
      <c r="AJ32" s="12">
        <f t="shared" si="13"/>
        <v>0</v>
      </c>
      <c r="AK32" s="11" t="e">
        <f>AH32/J32</f>
        <v>#DIV/0!</v>
      </c>
      <c r="AL32" s="11" t="e">
        <f>AG32/J32</f>
        <v>#DIV/0!</v>
      </c>
      <c r="AM32" s="11"/>
      <c r="AN32" s="11"/>
    </row>
    <row r="33" spans="1:40" x14ac:dyDescent="0.2">
      <c r="A33" s="1"/>
      <c r="B33" s="1"/>
      <c r="C33" s="1"/>
      <c r="D33" s="1"/>
      <c r="E33" s="1"/>
      <c r="F33" s="1"/>
      <c r="G33" s="11"/>
      <c r="H33" s="11"/>
      <c r="I33" s="11"/>
      <c r="J33" s="11"/>
      <c r="K33" s="11"/>
      <c r="L33" s="11"/>
      <c r="M33" s="11">
        <f>(L33/100)*I33</f>
        <v>0</v>
      </c>
      <c r="N33" s="11">
        <f>K33*(L33/100)</f>
        <v>0</v>
      </c>
      <c r="O33" s="11"/>
      <c r="P33" s="11">
        <f>(O33/100)*I33</f>
        <v>0</v>
      </c>
      <c r="Q33" s="11">
        <f>K33*(O33/100)</f>
        <v>0</v>
      </c>
      <c r="R33" s="11" t="e">
        <f t="shared" si="6"/>
        <v>#DIV/0!</v>
      </c>
      <c r="S33" s="11"/>
      <c r="T33" s="11" t="e">
        <f t="shared" si="15"/>
        <v>#DIV/0!</v>
      </c>
      <c r="U33" t="e">
        <f t="shared" si="7"/>
        <v>#DIV/0!</v>
      </c>
      <c r="V33" s="12"/>
      <c r="W33" s="12"/>
      <c r="X33" s="12"/>
      <c r="Y33" s="11">
        <f>V33*I33</f>
        <v>0</v>
      </c>
      <c r="Z33" s="12">
        <f>W33*I33</f>
        <v>0</v>
      </c>
      <c r="AA33" s="12">
        <f>X33*I33</f>
        <v>0</v>
      </c>
      <c r="AB33" s="11"/>
      <c r="AC33" s="12"/>
      <c r="AD33" s="12"/>
      <c r="AE33" s="12">
        <f t="shared" si="8"/>
        <v>0</v>
      </c>
      <c r="AF33" s="12">
        <f t="shared" si="9"/>
        <v>0</v>
      </c>
      <c r="AG33" s="12">
        <f t="shared" si="10"/>
        <v>0</v>
      </c>
      <c r="AH33" s="12">
        <f t="shared" si="11"/>
        <v>0</v>
      </c>
      <c r="AI33" s="12" t="e">
        <f t="shared" si="12"/>
        <v>#DIV/0!</v>
      </c>
      <c r="AJ33" s="12">
        <f t="shared" si="13"/>
        <v>0</v>
      </c>
      <c r="AK33" s="11" t="e">
        <f>AH33/J33</f>
        <v>#DIV/0!</v>
      </c>
      <c r="AL33" s="11" t="e">
        <f>AG33/J33</f>
        <v>#DIV/0!</v>
      </c>
      <c r="AM33" s="11"/>
      <c r="AN33" s="11"/>
    </row>
    <row r="34" spans="1:40" x14ac:dyDescent="0.2">
      <c r="M34" s="11">
        <f>(L34/100)*I34</f>
        <v>0</v>
      </c>
      <c r="N34" s="11">
        <f>K34*(L34/100)</f>
        <v>0</v>
      </c>
      <c r="P34" s="11">
        <f>(O34/100)*I34</f>
        <v>0</v>
      </c>
      <c r="Q34" s="11">
        <f>K34*(O34/100)</f>
        <v>0</v>
      </c>
      <c r="R34" s="11" t="e">
        <f t="shared" si="6"/>
        <v>#DIV/0!</v>
      </c>
      <c r="T34" s="11" t="e">
        <f t="shared" si="15"/>
        <v>#DIV/0!</v>
      </c>
      <c r="U34" t="e">
        <f t="shared" si="7"/>
        <v>#DIV/0!</v>
      </c>
      <c r="Y34" s="11">
        <f>V34*I34</f>
        <v>0</v>
      </c>
      <c r="Z34" s="12">
        <f>W34*I34</f>
        <v>0</v>
      </c>
      <c r="AA34" s="12">
        <f>X34*I34</f>
        <v>0</v>
      </c>
      <c r="AE34" s="12">
        <f t="shared" si="8"/>
        <v>0</v>
      </c>
      <c r="AF34" s="12">
        <f t="shared" si="9"/>
        <v>0</v>
      </c>
      <c r="AG34" s="12">
        <f t="shared" si="10"/>
        <v>0</v>
      </c>
      <c r="AH34" s="12">
        <f t="shared" si="11"/>
        <v>0</v>
      </c>
      <c r="AI34" s="12" t="e">
        <f t="shared" si="12"/>
        <v>#DIV/0!</v>
      </c>
      <c r="AJ34" s="12">
        <f t="shared" si="13"/>
        <v>0</v>
      </c>
      <c r="AK34" s="11" t="e">
        <f>AH34/J34</f>
        <v>#DIV/0!</v>
      </c>
      <c r="AL34" s="11" t="e">
        <f>AG34/J34</f>
        <v>#DIV/0!</v>
      </c>
    </row>
    <row r="35" spans="1:40" x14ac:dyDescent="0.2">
      <c r="M35" s="11">
        <f>(L35/100)*I35</f>
        <v>0</v>
      </c>
      <c r="N35" s="11">
        <f>K35*(L35/100)</f>
        <v>0</v>
      </c>
      <c r="P35" s="11">
        <f>(O35/100)*I35</f>
        <v>0</v>
      </c>
      <c r="Q35" s="11">
        <f>K35*(O35/100)</f>
        <v>0</v>
      </c>
      <c r="R35" s="11" t="e">
        <f t="shared" si="6"/>
        <v>#DIV/0!</v>
      </c>
      <c r="T35" s="11" t="e">
        <f t="shared" si="15"/>
        <v>#DIV/0!</v>
      </c>
      <c r="U35" t="e">
        <f t="shared" si="7"/>
        <v>#DIV/0!</v>
      </c>
      <c r="Y35" s="11">
        <f>V35*I35</f>
        <v>0</v>
      </c>
      <c r="Z35" s="12">
        <f>W35*I35</f>
        <v>0</v>
      </c>
      <c r="AA35" s="12">
        <f>X35*I35</f>
        <v>0</v>
      </c>
      <c r="AE35" s="12">
        <f t="shared" si="8"/>
        <v>0</v>
      </c>
      <c r="AF35" s="12">
        <f t="shared" si="9"/>
        <v>0</v>
      </c>
      <c r="AG35" s="12">
        <f t="shared" si="10"/>
        <v>0</v>
      </c>
      <c r="AH35" s="12">
        <f t="shared" si="11"/>
        <v>0</v>
      </c>
      <c r="AI35" s="12" t="e">
        <f t="shared" si="12"/>
        <v>#DIV/0!</v>
      </c>
      <c r="AJ35" s="12">
        <f t="shared" si="13"/>
        <v>0</v>
      </c>
      <c r="AK35" s="11" t="e">
        <f>AH35/J35</f>
        <v>#DIV/0!</v>
      </c>
      <c r="AL35" s="11" t="e">
        <f>AG35/J35</f>
        <v>#DIV/0!</v>
      </c>
    </row>
    <row r="36" spans="1:40" x14ac:dyDescent="0.2">
      <c r="M36" s="11">
        <f>(L36/100)*I36</f>
        <v>0</v>
      </c>
      <c r="N36" s="11">
        <f>K36*(L36/100)</f>
        <v>0</v>
      </c>
      <c r="P36" s="11">
        <f>(O36/100)*I36</f>
        <v>0</v>
      </c>
      <c r="Q36" s="11">
        <f>K36*(O36/100)</f>
        <v>0</v>
      </c>
      <c r="R36" s="11" t="e">
        <f t="shared" si="6"/>
        <v>#DIV/0!</v>
      </c>
      <c r="T36" s="11" t="e">
        <f t="shared" si="15"/>
        <v>#DIV/0!</v>
      </c>
      <c r="U36" t="e">
        <f t="shared" si="7"/>
        <v>#DIV/0!</v>
      </c>
      <c r="Y36" s="11">
        <f>V36*I36</f>
        <v>0</v>
      </c>
      <c r="Z36" s="12">
        <f>W36*I36</f>
        <v>0</v>
      </c>
      <c r="AA36" s="12">
        <f>X36*I36</f>
        <v>0</v>
      </c>
      <c r="AE36" s="12">
        <f t="shared" si="8"/>
        <v>0</v>
      </c>
      <c r="AF36" s="12">
        <f t="shared" si="9"/>
        <v>0</v>
      </c>
      <c r="AG36" s="12">
        <f t="shared" si="10"/>
        <v>0</v>
      </c>
      <c r="AH36" s="12">
        <f t="shared" si="11"/>
        <v>0</v>
      </c>
      <c r="AI36" s="12" t="e">
        <f t="shared" si="12"/>
        <v>#DIV/0!</v>
      </c>
      <c r="AJ36" s="12">
        <f t="shared" si="13"/>
        <v>0</v>
      </c>
      <c r="AK36" s="11" t="e">
        <f>AH36/J36</f>
        <v>#DIV/0!</v>
      </c>
      <c r="AL36" s="11" t="e">
        <f>AG36/J36</f>
        <v>#DIV/0!</v>
      </c>
    </row>
    <row r="37" spans="1:40" x14ac:dyDescent="0.2">
      <c r="M37" s="11">
        <f>(L37/100)*I37</f>
        <v>0</v>
      </c>
      <c r="N37" s="11">
        <f>K37*(L37/100)</f>
        <v>0</v>
      </c>
      <c r="P37" s="11">
        <f>(O37/100)*I37</f>
        <v>0</v>
      </c>
      <c r="Q37" s="11">
        <f>K37*(O37/100)</f>
        <v>0</v>
      </c>
      <c r="R37" s="11" t="e">
        <f t="shared" si="6"/>
        <v>#DIV/0!</v>
      </c>
      <c r="T37" s="11" t="e">
        <f t="shared" si="15"/>
        <v>#DIV/0!</v>
      </c>
      <c r="U37" t="e">
        <f t="shared" si="7"/>
        <v>#DIV/0!</v>
      </c>
      <c r="Y37" s="11">
        <f>V37*I37</f>
        <v>0</v>
      </c>
      <c r="Z37" s="12">
        <f>W37*I37</f>
        <v>0</v>
      </c>
      <c r="AA37" s="12">
        <f>X37*I37</f>
        <v>0</v>
      </c>
      <c r="AE37" s="12">
        <f t="shared" si="8"/>
        <v>0</v>
      </c>
      <c r="AF37" s="12">
        <f t="shared" si="9"/>
        <v>0</v>
      </c>
      <c r="AG37" s="12">
        <f t="shared" si="10"/>
        <v>0</v>
      </c>
      <c r="AH37" s="12">
        <f t="shared" si="11"/>
        <v>0</v>
      </c>
      <c r="AI37" s="12" t="e">
        <f t="shared" si="12"/>
        <v>#DIV/0!</v>
      </c>
      <c r="AJ37" s="12">
        <f t="shared" si="13"/>
        <v>0</v>
      </c>
      <c r="AK37" s="11" t="e">
        <f>AH37/J37</f>
        <v>#DIV/0!</v>
      </c>
      <c r="AL37" s="11" t="e">
        <f>AG37/J37</f>
        <v>#DIV/0!</v>
      </c>
    </row>
    <row r="38" spans="1:40" x14ac:dyDescent="0.2">
      <c r="M38" s="11">
        <f>(L38/100)*I38</f>
        <v>0</v>
      </c>
      <c r="N38" s="11">
        <f>K38*(L38/100)</f>
        <v>0</v>
      </c>
      <c r="P38" s="11">
        <f>(O38/100)*I38</f>
        <v>0</v>
      </c>
      <c r="Q38" s="11">
        <f>K38*(O38/100)</f>
        <v>0</v>
      </c>
      <c r="R38" s="11" t="e">
        <f t="shared" si="6"/>
        <v>#DIV/0!</v>
      </c>
      <c r="T38" s="11" t="e">
        <f t="shared" si="15"/>
        <v>#DIV/0!</v>
      </c>
      <c r="U38" t="e">
        <f t="shared" si="7"/>
        <v>#DIV/0!</v>
      </c>
      <c r="Y38" s="11">
        <f>V38*I38</f>
        <v>0</v>
      </c>
      <c r="Z38" s="12">
        <f>W38*I38</f>
        <v>0</v>
      </c>
      <c r="AA38" s="12">
        <f>X38*I38</f>
        <v>0</v>
      </c>
      <c r="AE38" s="12">
        <f t="shared" si="8"/>
        <v>0</v>
      </c>
      <c r="AF38" s="12">
        <f t="shared" si="9"/>
        <v>0</v>
      </c>
      <c r="AG38" s="12">
        <f t="shared" si="10"/>
        <v>0</v>
      </c>
      <c r="AH38" s="12">
        <f t="shared" si="11"/>
        <v>0</v>
      </c>
      <c r="AI38" s="12" t="e">
        <f t="shared" si="12"/>
        <v>#DIV/0!</v>
      </c>
      <c r="AJ38" s="12">
        <f t="shared" si="13"/>
        <v>0</v>
      </c>
      <c r="AK38" s="11" t="e">
        <f>AH38/J38</f>
        <v>#DIV/0!</v>
      </c>
      <c r="AL38" s="11" t="e">
        <f>AG38/J38</f>
        <v>#DIV/0!</v>
      </c>
    </row>
    <row r="39" spans="1:40" x14ac:dyDescent="0.2">
      <c r="M39" s="11">
        <f>(L39/100)*I39</f>
        <v>0</v>
      </c>
      <c r="N39" s="11">
        <f>K39*(L39/100)</f>
        <v>0</v>
      </c>
      <c r="P39" s="11">
        <f>(O39/100)*I39</f>
        <v>0</v>
      </c>
      <c r="Q39" s="11">
        <f>K39*(O39/100)</f>
        <v>0</v>
      </c>
      <c r="R39" s="11" t="e">
        <f t="shared" si="6"/>
        <v>#DIV/0!</v>
      </c>
      <c r="T39" s="11" t="e">
        <f t="shared" si="15"/>
        <v>#DIV/0!</v>
      </c>
      <c r="U39" t="e">
        <f t="shared" si="7"/>
        <v>#DIV/0!</v>
      </c>
      <c r="Y39" s="11">
        <f>V39*I39</f>
        <v>0</v>
      </c>
      <c r="Z39" s="12">
        <f>W39*I39</f>
        <v>0</v>
      </c>
      <c r="AA39" s="12">
        <f>X39*I39</f>
        <v>0</v>
      </c>
      <c r="AE39" s="12">
        <f t="shared" si="8"/>
        <v>0</v>
      </c>
      <c r="AF39" s="12">
        <f t="shared" si="9"/>
        <v>0</v>
      </c>
      <c r="AG39" s="12">
        <f t="shared" si="10"/>
        <v>0</v>
      </c>
      <c r="AH39" s="12">
        <f t="shared" si="11"/>
        <v>0</v>
      </c>
      <c r="AI39" s="12" t="e">
        <f t="shared" si="12"/>
        <v>#DIV/0!</v>
      </c>
      <c r="AJ39" s="12">
        <f t="shared" si="13"/>
        <v>0</v>
      </c>
      <c r="AK39" s="11" t="e">
        <f>AH39/J39</f>
        <v>#DIV/0!</v>
      </c>
      <c r="AL39" s="11" t="e">
        <f>AG39/J39</f>
        <v>#DIV/0!</v>
      </c>
    </row>
    <row r="40" spans="1:40" x14ac:dyDescent="0.2">
      <c r="M40" s="11">
        <f>(L40/100)*I40</f>
        <v>0</v>
      </c>
      <c r="N40" s="11">
        <f>K40*(L40/100)</f>
        <v>0</v>
      </c>
      <c r="P40" s="11">
        <f>(O40/100)*I40</f>
        <v>0</v>
      </c>
      <c r="Q40" s="11">
        <f>K40*(O40/100)</f>
        <v>0</v>
      </c>
      <c r="R40" s="11" t="e">
        <f t="shared" si="6"/>
        <v>#DIV/0!</v>
      </c>
      <c r="T40" s="11" t="e">
        <f t="shared" si="15"/>
        <v>#DIV/0!</v>
      </c>
      <c r="U40" t="e">
        <f t="shared" si="7"/>
        <v>#DIV/0!</v>
      </c>
      <c r="Y40" s="11">
        <f>V40*I40</f>
        <v>0</v>
      </c>
      <c r="Z40" s="12">
        <f>W40*I40</f>
        <v>0</v>
      </c>
      <c r="AA40" s="12">
        <f>X40*I40</f>
        <v>0</v>
      </c>
      <c r="AE40" s="12">
        <f t="shared" si="8"/>
        <v>0</v>
      </c>
      <c r="AF40" s="12">
        <f t="shared" si="9"/>
        <v>0</v>
      </c>
      <c r="AG40" s="12">
        <f t="shared" si="10"/>
        <v>0</v>
      </c>
      <c r="AH40" s="12">
        <f t="shared" si="11"/>
        <v>0</v>
      </c>
      <c r="AI40" s="12" t="e">
        <f t="shared" si="12"/>
        <v>#DIV/0!</v>
      </c>
      <c r="AJ40" s="12">
        <f t="shared" si="13"/>
        <v>0</v>
      </c>
      <c r="AK40" s="11" t="e">
        <f>AH40/J40</f>
        <v>#DIV/0!</v>
      </c>
      <c r="AL40" s="11" t="e">
        <f>AG40/J40</f>
        <v>#DIV/0!</v>
      </c>
    </row>
    <row r="41" spans="1:40" x14ac:dyDescent="0.2">
      <c r="M41" s="11">
        <f>(L41/100)*I41</f>
        <v>0</v>
      </c>
      <c r="N41" s="11">
        <f>K41*(L41/100)</f>
        <v>0</v>
      </c>
      <c r="P41" s="11">
        <f>(O41/100)*I41</f>
        <v>0</v>
      </c>
      <c r="Q41" s="11">
        <f>K41*(O41/100)</f>
        <v>0</v>
      </c>
      <c r="R41" s="11" t="e">
        <f t="shared" si="6"/>
        <v>#DIV/0!</v>
      </c>
      <c r="T41" s="11" t="e">
        <f t="shared" si="15"/>
        <v>#DIV/0!</v>
      </c>
      <c r="U41" t="e">
        <f t="shared" si="7"/>
        <v>#DIV/0!</v>
      </c>
      <c r="Y41" s="11">
        <f>V41*I41</f>
        <v>0</v>
      </c>
      <c r="Z41" s="12">
        <f>W41*I41</f>
        <v>0</v>
      </c>
      <c r="AA41" s="12">
        <f>X41*I41</f>
        <v>0</v>
      </c>
      <c r="AE41" s="12">
        <f t="shared" si="8"/>
        <v>0</v>
      </c>
      <c r="AF41" s="12">
        <f t="shared" si="9"/>
        <v>0</v>
      </c>
      <c r="AG41" s="12">
        <f t="shared" si="10"/>
        <v>0</v>
      </c>
      <c r="AH41" s="12">
        <f t="shared" si="11"/>
        <v>0</v>
      </c>
      <c r="AI41" s="12" t="e">
        <f t="shared" si="12"/>
        <v>#DIV/0!</v>
      </c>
      <c r="AJ41" s="12">
        <f t="shared" si="13"/>
        <v>0</v>
      </c>
      <c r="AK41" s="11" t="e">
        <f>AH41/J41</f>
        <v>#DIV/0!</v>
      </c>
      <c r="AL41" s="11" t="e">
        <f>AG41/J41</f>
        <v>#DIV/0!</v>
      </c>
    </row>
    <row r="42" spans="1:40" x14ac:dyDescent="0.2">
      <c r="M42" s="11">
        <f>(L42/100)*I42</f>
        <v>0</v>
      </c>
      <c r="N42" s="11">
        <f>K42*(L42/100)</f>
        <v>0</v>
      </c>
      <c r="P42" s="11">
        <f>(O42/100)*I42</f>
        <v>0</v>
      </c>
      <c r="Q42" s="11">
        <f>K42*(O42/100)</f>
        <v>0</v>
      </c>
      <c r="R42" s="11" t="e">
        <f t="shared" si="6"/>
        <v>#DIV/0!</v>
      </c>
      <c r="T42" s="11" t="e">
        <f t="shared" si="15"/>
        <v>#DIV/0!</v>
      </c>
      <c r="U42" t="e">
        <f t="shared" si="7"/>
        <v>#DIV/0!</v>
      </c>
      <c r="Y42" s="11">
        <f>V42*I42</f>
        <v>0</v>
      </c>
      <c r="Z42" s="12">
        <f>W42*I42</f>
        <v>0</v>
      </c>
      <c r="AA42" s="12">
        <f>X42*I42</f>
        <v>0</v>
      </c>
      <c r="AE42" s="12">
        <f t="shared" si="8"/>
        <v>0</v>
      </c>
      <c r="AF42" s="12">
        <f t="shared" si="9"/>
        <v>0</v>
      </c>
      <c r="AG42" s="12">
        <f t="shared" si="10"/>
        <v>0</v>
      </c>
      <c r="AH42" s="12">
        <f t="shared" si="11"/>
        <v>0</v>
      </c>
      <c r="AI42" s="12" t="e">
        <f t="shared" si="12"/>
        <v>#DIV/0!</v>
      </c>
      <c r="AJ42" s="12">
        <f t="shared" si="13"/>
        <v>0</v>
      </c>
      <c r="AK42" s="11" t="e">
        <f>AH42/J42</f>
        <v>#DIV/0!</v>
      </c>
      <c r="AL42" s="11" t="e">
        <f>AG42/J42</f>
        <v>#DIV/0!</v>
      </c>
    </row>
    <row r="43" spans="1:40" x14ac:dyDescent="0.2">
      <c r="M43" s="11">
        <f>(L43/100)*I43</f>
        <v>0</v>
      </c>
      <c r="N43" s="11">
        <f>K43*(L43/100)</f>
        <v>0</v>
      </c>
      <c r="P43" s="11">
        <f>(O43/100)*I43</f>
        <v>0</v>
      </c>
      <c r="Q43" s="11">
        <f>K43*(O43/100)</f>
        <v>0</v>
      </c>
      <c r="R43" s="11" t="e">
        <f t="shared" si="6"/>
        <v>#DIV/0!</v>
      </c>
      <c r="T43" s="11" t="e">
        <f t="shared" si="15"/>
        <v>#DIV/0!</v>
      </c>
      <c r="U43" t="e">
        <f t="shared" si="7"/>
        <v>#DIV/0!</v>
      </c>
      <c r="Y43" s="11">
        <f>V43*I43</f>
        <v>0</v>
      </c>
      <c r="Z43" s="12">
        <f>W43*I43</f>
        <v>0</v>
      </c>
      <c r="AA43" s="12">
        <f>X43*I43</f>
        <v>0</v>
      </c>
      <c r="AE43" s="12">
        <f t="shared" si="8"/>
        <v>0</v>
      </c>
      <c r="AF43" s="12">
        <f t="shared" si="9"/>
        <v>0</v>
      </c>
      <c r="AG43" s="12">
        <f t="shared" si="10"/>
        <v>0</v>
      </c>
      <c r="AH43" s="12">
        <f t="shared" si="11"/>
        <v>0</v>
      </c>
      <c r="AI43" s="12" t="e">
        <f t="shared" si="12"/>
        <v>#DIV/0!</v>
      </c>
      <c r="AJ43" s="12">
        <f t="shared" si="13"/>
        <v>0</v>
      </c>
      <c r="AK43" s="11" t="e">
        <f>AH43/J43</f>
        <v>#DIV/0!</v>
      </c>
      <c r="AL43" s="11" t="e">
        <f>AG43/J43</f>
        <v>#DIV/0!</v>
      </c>
    </row>
    <row r="44" spans="1:40" x14ac:dyDescent="0.2">
      <c r="M44" s="11">
        <f>(L44/100)*I44</f>
        <v>0</v>
      </c>
      <c r="N44" s="11">
        <f>K44*(L44/100)</f>
        <v>0</v>
      </c>
      <c r="P44" s="11">
        <f>(O44/100)*I44</f>
        <v>0</v>
      </c>
      <c r="Q44" s="11">
        <f>K44*(O44/100)</f>
        <v>0</v>
      </c>
      <c r="R44" s="11" t="e">
        <f t="shared" si="6"/>
        <v>#DIV/0!</v>
      </c>
      <c r="T44" s="11" t="e">
        <f t="shared" si="15"/>
        <v>#DIV/0!</v>
      </c>
      <c r="U44" t="e">
        <f t="shared" si="7"/>
        <v>#DIV/0!</v>
      </c>
      <c r="Y44" s="11">
        <f>V44*I44</f>
        <v>0</v>
      </c>
      <c r="Z44" s="12">
        <f>W44*I44</f>
        <v>0</v>
      </c>
      <c r="AA44" s="12">
        <f>X44*I44</f>
        <v>0</v>
      </c>
      <c r="AE44" s="12">
        <f t="shared" si="8"/>
        <v>0</v>
      </c>
      <c r="AF44" s="12">
        <f t="shared" si="9"/>
        <v>0</v>
      </c>
      <c r="AG44" s="12">
        <f t="shared" si="10"/>
        <v>0</v>
      </c>
      <c r="AH44" s="12">
        <f t="shared" si="11"/>
        <v>0</v>
      </c>
      <c r="AI44" s="12" t="e">
        <f t="shared" si="12"/>
        <v>#DIV/0!</v>
      </c>
      <c r="AJ44" s="12">
        <f t="shared" si="13"/>
        <v>0</v>
      </c>
      <c r="AK44" s="11" t="e">
        <f>AH44/J44</f>
        <v>#DIV/0!</v>
      </c>
      <c r="AL44" s="11" t="e">
        <f>AG44/J44</f>
        <v>#DIV/0!</v>
      </c>
    </row>
    <row r="45" spans="1:40" x14ac:dyDescent="0.2">
      <c r="M45" s="11">
        <f>(L45/100)*I45</f>
        <v>0</v>
      </c>
      <c r="N45" s="11">
        <f>K45*(L45/100)</f>
        <v>0</v>
      </c>
      <c r="P45" s="11">
        <f>(O45/100)*I45</f>
        <v>0</v>
      </c>
      <c r="Q45" s="11">
        <f>K45*(O45/100)</f>
        <v>0</v>
      </c>
      <c r="R45" s="11" t="e">
        <f t="shared" si="6"/>
        <v>#DIV/0!</v>
      </c>
      <c r="T45" s="11" t="e">
        <f t="shared" si="15"/>
        <v>#DIV/0!</v>
      </c>
      <c r="U45" t="e">
        <f t="shared" si="7"/>
        <v>#DIV/0!</v>
      </c>
      <c r="Y45" s="11">
        <f>V45*I45</f>
        <v>0</v>
      </c>
      <c r="Z45" s="12">
        <f>W45*I45</f>
        <v>0</v>
      </c>
      <c r="AA45" s="12">
        <f>X45*I45</f>
        <v>0</v>
      </c>
      <c r="AE45" s="12">
        <f t="shared" si="8"/>
        <v>0</v>
      </c>
      <c r="AF45" s="12">
        <f t="shared" si="9"/>
        <v>0</v>
      </c>
      <c r="AG45" s="12">
        <f t="shared" si="10"/>
        <v>0</v>
      </c>
      <c r="AH45" s="12">
        <f t="shared" si="11"/>
        <v>0</v>
      </c>
      <c r="AI45" s="12" t="e">
        <f t="shared" si="12"/>
        <v>#DIV/0!</v>
      </c>
      <c r="AJ45" s="12">
        <f t="shared" si="13"/>
        <v>0</v>
      </c>
      <c r="AK45" s="11" t="e">
        <f>AH45/J45</f>
        <v>#DIV/0!</v>
      </c>
      <c r="AL45" s="11" t="e">
        <f>AG45/J45</f>
        <v>#DIV/0!</v>
      </c>
    </row>
    <row r="46" spans="1:40" x14ac:dyDescent="0.2">
      <c r="M46" s="11">
        <f>(L46/100)*I46</f>
        <v>0</v>
      </c>
      <c r="N46" s="11">
        <f>K46*(L46/100)</f>
        <v>0</v>
      </c>
      <c r="P46" s="11">
        <f>(O46/100)*I46</f>
        <v>0</v>
      </c>
      <c r="Q46" s="11">
        <f>K46*(O46/100)</f>
        <v>0</v>
      </c>
      <c r="R46" s="11" t="e">
        <f t="shared" si="6"/>
        <v>#DIV/0!</v>
      </c>
      <c r="T46" s="11" t="e">
        <f t="shared" si="15"/>
        <v>#DIV/0!</v>
      </c>
      <c r="U46" t="e">
        <f t="shared" si="7"/>
        <v>#DIV/0!</v>
      </c>
      <c r="Y46" s="11">
        <f>V46*I46</f>
        <v>0</v>
      </c>
      <c r="Z46" s="12">
        <f>W46*I46</f>
        <v>0</v>
      </c>
      <c r="AA46" s="12">
        <f>X46*I46</f>
        <v>0</v>
      </c>
      <c r="AE46" s="12">
        <f t="shared" si="8"/>
        <v>0</v>
      </c>
      <c r="AF46" s="12">
        <f t="shared" si="9"/>
        <v>0</v>
      </c>
      <c r="AG46" s="12">
        <f t="shared" si="10"/>
        <v>0</v>
      </c>
      <c r="AH46" s="12">
        <f t="shared" si="11"/>
        <v>0</v>
      </c>
      <c r="AI46" s="12" t="e">
        <f t="shared" si="12"/>
        <v>#DIV/0!</v>
      </c>
      <c r="AJ46" s="12">
        <f t="shared" si="13"/>
        <v>0</v>
      </c>
      <c r="AK46" s="11" t="e">
        <f>AH46/J46</f>
        <v>#DIV/0!</v>
      </c>
      <c r="AL46" s="11" t="e">
        <f>AG46/J46</f>
        <v>#DIV/0!</v>
      </c>
    </row>
    <row r="47" spans="1:40" x14ac:dyDescent="0.2">
      <c r="M47" s="11">
        <f>(L47/100)*I47</f>
        <v>0</v>
      </c>
      <c r="N47" s="11">
        <f>K47*(L47/100)</f>
        <v>0</v>
      </c>
      <c r="P47" s="11">
        <f>(O47/100)*I47</f>
        <v>0</v>
      </c>
      <c r="Q47" s="11">
        <f>K47*(O47/100)</f>
        <v>0</v>
      </c>
      <c r="R47" s="11" t="e">
        <f t="shared" si="6"/>
        <v>#DIV/0!</v>
      </c>
      <c r="T47" s="11" t="e">
        <f t="shared" si="15"/>
        <v>#DIV/0!</v>
      </c>
      <c r="U47" t="e">
        <f t="shared" si="7"/>
        <v>#DIV/0!</v>
      </c>
      <c r="Y47" s="11">
        <f>V47*I47</f>
        <v>0</v>
      </c>
      <c r="Z47" s="12">
        <f>W47*I47</f>
        <v>0</v>
      </c>
      <c r="AA47" s="12">
        <f>X47*I47</f>
        <v>0</v>
      </c>
      <c r="AE47" s="12">
        <f t="shared" si="8"/>
        <v>0</v>
      </c>
      <c r="AF47" s="12">
        <f t="shared" si="9"/>
        <v>0</v>
      </c>
      <c r="AG47" s="12">
        <f t="shared" si="10"/>
        <v>0</v>
      </c>
      <c r="AH47" s="12">
        <f t="shared" si="11"/>
        <v>0</v>
      </c>
      <c r="AI47" s="12" t="e">
        <f t="shared" si="12"/>
        <v>#DIV/0!</v>
      </c>
      <c r="AJ47" s="12">
        <f t="shared" si="13"/>
        <v>0</v>
      </c>
      <c r="AK47" s="11" t="e">
        <f>AH47/J47</f>
        <v>#DIV/0!</v>
      </c>
      <c r="AL47" s="11" t="e">
        <f>AG47/J47</f>
        <v>#DIV/0!</v>
      </c>
    </row>
    <row r="48" spans="1:40" x14ac:dyDescent="0.2">
      <c r="M48" s="11">
        <f>(L48/100)*I48</f>
        <v>0</v>
      </c>
      <c r="N48" s="11">
        <f>K48*(L48/100)</f>
        <v>0</v>
      </c>
      <c r="P48" s="11">
        <f>(O48/100)*I48</f>
        <v>0</v>
      </c>
      <c r="Q48" s="11">
        <f>K48*(O48/100)</f>
        <v>0</v>
      </c>
      <c r="R48" s="11" t="e">
        <f t="shared" si="6"/>
        <v>#DIV/0!</v>
      </c>
      <c r="T48" s="11" t="e">
        <f t="shared" si="15"/>
        <v>#DIV/0!</v>
      </c>
      <c r="U48" t="e">
        <f t="shared" si="7"/>
        <v>#DIV/0!</v>
      </c>
      <c r="Y48" s="11">
        <f>V48*I48</f>
        <v>0</v>
      </c>
      <c r="Z48" s="12">
        <f>W48*I48</f>
        <v>0</v>
      </c>
      <c r="AA48" s="12">
        <f>X48*I48</f>
        <v>0</v>
      </c>
      <c r="AE48" s="12">
        <f t="shared" si="8"/>
        <v>0</v>
      </c>
      <c r="AF48" s="12">
        <f t="shared" si="9"/>
        <v>0</v>
      </c>
      <c r="AG48" s="12">
        <f t="shared" si="10"/>
        <v>0</v>
      </c>
      <c r="AH48" s="12">
        <f t="shared" si="11"/>
        <v>0</v>
      </c>
      <c r="AI48" s="12" t="e">
        <f t="shared" si="12"/>
        <v>#DIV/0!</v>
      </c>
      <c r="AJ48" s="12">
        <f t="shared" si="13"/>
        <v>0</v>
      </c>
      <c r="AK48" s="11" t="e">
        <f>AH48/J48</f>
        <v>#DIV/0!</v>
      </c>
      <c r="AL48" s="11" t="e">
        <f>AG48/J48</f>
        <v>#DIV/0!</v>
      </c>
    </row>
    <row r="49" spans="13:38" x14ac:dyDescent="0.2">
      <c r="M49" s="11">
        <f>(L49/100)*I49</f>
        <v>0</v>
      </c>
      <c r="N49" s="11">
        <f>K49*(L49/100)</f>
        <v>0</v>
      </c>
      <c r="P49" s="11">
        <f>(O49/100)*I49</f>
        <v>0</v>
      </c>
      <c r="Q49" s="11">
        <f>K49*(O49/100)</f>
        <v>0</v>
      </c>
      <c r="R49" s="11" t="e">
        <f t="shared" si="6"/>
        <v>#DIV/0!</v>
      </c>
      <c r="T49" s="11" t="e">
        <f t="shared" si="15"/>
        <v>#DIV/0!</v>
      </c>
      <c r="U49" t="e">
        <f t="shared" si="7"/>
        <v>#DIV/0!</v>
      </c>
      <c r="Y49" s="11">
        <f>V49*I49</f>
        <v>0</v>
      </c>
      <c r="Z49" s="12">
        <f>W49*I49</f>
        <v>0</v>
      </c>
      <c r="AA49" s="12">
        <f>X49*I49</f>
        <v>0</v>
      </c>
      <c r="AE49" s="12">
        <f t="shared" si="8"/>
        <v>0</v>
      </c>
      <c r="AF49" s="12">
        <f t="shared" si="9"/>
        <v>0</v>
      </c>
      <c r="AG49" s="12">
        <f t="shared" si="10"/>
        <v>0</v>
      </c>
      <c r="AH49" s="12">
        <f t="shared" si="11"/>
        <v>0</v>
      </c>
      <c r="AI49" s="12" t="e">
        <f t="shared" si="12"/>
        <v>#DIV/0!</v>
      </c>
      <c r="AJ49" s="12">
        <f t="shared" si="13"/>
        <v>0</v>
      </c>
      <c r="AK49" s="11" t="e">
        <f>AH49/J49</f>
        <v>#DIV/0!</v>
      </c>
      <c r="AL49" s="11" t="e">
        <f>AG49/J49</f>
        <v>#DIV/0!</v>
      </c>
    </row>
    <row r="50" spans="13:38" x14ac:dyDescent="0.2">
      <c r="M50" s="11">
        <f>(L50/100)*I50</f>
        <v>0</v>
      </c>
      <c r="N50" s="11">
        <f>K50*(L50/100)</f>
        <v>0</v>
      </c>
      <c r="P50" s="11">
        <f>(O50/100)*I50</f>
        <v>0</v>
      </c>
      <c r="Q50" s="11">
        <f>K50*(O50/100)</f>
        <v>0</v>
      </c>
      <c r="R50" s="11" t="e">
        <f t="shared" si="6"/>
        <v>#DIV/0!</v>
      </c>
      <c r="T50" s="11" t="e">
        <f t="shared" si="15"/>
        <v>#DIV/0!</v>
      </c>
      <c r="U50" t="e">
        <f t="shared" si="7"/>
        <v>#DIV/0!</v>
      </c>
      <c r="Y50" s="11">
        <f>V50*I50</f>
        <v>0</v>
      </c>
      <c r="Z50" s="12">
        <f>W50*I50</f>
        <v>0</v>
      </c>
      <c r="AA50" s="12">
        <f>X50*I50</f>
        <v>0</v>
      </c>
      <c r="AE50" s="12">
        <f t="shared" si="8"/>
        <v>0</v>
      </c>
      <c r="AF50" s="12">
        <f t="shared" si="9"/>
        <v>0</v>
      </c>
      <c r="AG50" s="12">
        <f t="shared" si="10"/>
        <v>0</v>
      </c>
      <c r="AH50" s="12">
        <f t="shared" si="11"/>
        <v>0</v>
      </c>
      <c r="AI50" s="12" t="e">
        <f t="shared" si="12"/>
        <v>#DIV/0!</v>
      </c>
      <c r="AJ50" s="12">
        <f t="shared" si="13"/>
        <v>0</v>
      </c>
      <c r="AK50" s="11" t="e">
        <f>AH50/J50</f>
        <v>#DIV/0!</v>
      </c>
      <c r="AL50" s="11" t="e">
        <f>AG50/J50</f>
        <v>#DIV/0!</v>
      </c>
    </row>
    <row r="51" spans="13:38" x14ac:dyDescent="0.2">
      <c r="M51" s="11">
        <f>(L51/100)*I51</f>
        <v>0</v>
      </c>
      <c r="N51" s="11">
        <f>K51*(L51/100)</f>
        <v>0</v>
      </c>
      <c r="P51" s="11">
        <f>(O51/100)*I51</f>
        <v>0</v>
      </c>
      <c r="Q51" s="11">
        <f>K51*(O51/100)</f>
        <v>0</v>
      </c>
      <c r="R51" s="11" t="e">
        <f t="shared" si="6"/>
        <v>#DIV/0!</v>
      </c>
      <c r="T51" s="11" t="e">
        <f t="shared" si="15"/>
        <v>#DIV/0!</v>
      </c>
      <c r="U51" t="e">
        <f t="shared" si="7"/>
        <v>#DIV/0!</v>
      </c>
      <c r="Y51" s="11">
        <f>V51*I51</f>
        <v>0</v>
      </c>
      <c r="Z51" s="12">
        <f>W51*I51</f>
        <v>0</v>
      </c>
      <c r="AA51" s="12">
        <f>X51*I51</f>
        <v>0</v>
      </c>
      <c r="AE51" s="12">
        <f t="shared" si="8"/>
        <v>0</v>
      </c>
      <c r="AF51" s="12">
        <f t="shared" si="9"/>
        <v>0</v>
      </c>
      <c r="AG51" s="12">
        <f t="shared" si="10"/>
        <v>0</v>
      </c>
      <c r="AH51" s="12">
        <f t="shared" si="11"/>
        <v>0</v>
      </c>
      <c r="AI51" s="12" t="e">
        <f t="shared" si="12"/>
        <v>#DIV/0!</v>
      </c>
      <c r="AJ51" s="12">
        <f t="shared" si="13"/>
        <v>0</v>
      </c>
      <c r="AK51" s="11" t="e">
        <f>AH51/J51</f>
        <v>#DIV/0!</v>
      </c>
      <c r="AL51" s="11" t="e">
        <f>AG51/J51</f>
        <v>#DIV/0!</v>
      </c>
    </row>
    <row r="52" spans="13:38" x14ac:dyDescent="0.2">
      <c r="M52" s="11">
        <f>(L52/100)*I52</f>
        <v>0</v>
      </c>
      <c r="N52" s="11">
        <f>K52*(L52/100)</f>
        <v>0</v>
      </c>
      <c r="P52" s="11">
        <f>(O52/100)*I52</f>
        <v>0</v>
      </c>
      <c r="Q52" s="11">
        <f>K52*(O52/100)</f>
        <v>0</v>
      </c>
      <c r="R52" s="11" t="e">
        <f t="shared" si="6"/>
        <v>#DIV/0!</v>
      </c>
      <c r="T52" s="11" t="e">
        <f t="shared" si="15"/>
        <v>#DIV/0!</v>
      </c>
      <c r="U52" t="e">
        <f t="shared" si="7"/>
        <v>#DIV/0!</v>
      </c>
      <c r="Y52" s="11">
        <f>V52*I52</f>
        <v>0</v>
      </c>
      <c r="Z52" s="12">
        <f>W52*I52</f>
        <v>0</v>
      </c>
      <c r="AA52" s="12">
        <f>X52*I52</f>
        <v>0</v>
      </c>
      <c r="AE52" s="12">
        <f t="shared" si="8"/>
        <v>0</v>
      </c>
      <c r="AF52" s="12">
        <f t="shared" si="9"/>
        <v>0</v>
      </c>
      <c r="AG52" s="12">
        <f t="shared" si="10"/>
        <v>0</v>
      </c>
      <c r="AH52" s="12">
        <f t="shared" si="11"/>
        <v>0</v>
      </c>
      <c r="AI52" s="12" t="e">
        <f t="shared" si="12"/>
        <v>#DIV/0!</v>
      </c>
      <c r="AJ52" s="12">
        <f t="shared" si="13"/>
        <v>0</v>
      </c>
      <c r="AK52" s="11" t="e">
        <f>AH52/J52</f>
        <v>#DIV/0!</v>
      </c>
      <c r="AL52" s="11" t="e">
        <f>AG52/J52</f>
        <v>#DIV/0!</v>
      </c>
    </row>
    <row r="53" spans="13:38" x14ac:dyDescent="0.2">
      <c r="M53" s="11">
        <f>(L53/100)*I53</f>
        <v>0</v>
      </c>
      <c r="N53" s="11">
        <f>K53*(L53/100)</f>
        <v>0</v>
      </c>
      <c r="P53" s="11">
        <f>(O53/100)*I53</f>
        <v>0</v>
      </c>
      <c r="Q53" s="11">
        <f>K53*(O53/100)</f>
        <v>0</v>
      </c>
      <c r="R53" s="11" t="e">
        <f t="shared" si="6"/>
        <v>#DIV/0!</v>
      </c>
      <c r="T53" s="11" t="e">
        <f t="shared" si="15"/>
        <v>#DIV/0!</v>
      </c>
      <c r="U53" t="e">
        <f t="shared" si="7"/>
        <v>#DIV/0!</v>
      </c>
      <c r="Y53" s="11">
        <f>V53*I53</f>
        <v>0</v>
      </c>
      <c r="Z53" s="12">
        <f>W53*I53</f>
        <v>0</v>
      </c>
      <c r="AA53" s="12">
        <f>X53*I53</f>
        <v>0</v>
      </c>
      <c r="AE53" s="12">
        <f t="shared" si="8"/>
        <v>0</v>
      </c>
      <c r="AF53" s="12">
        <f t="shared" si="9"/>
        <v>0</v>
      </c>
      <c r="AG53" s="12">
        <f t="shared" si="10"/>
        <v>0</v>
      </c>
      <c r="AH53" s="12">
        <f t="shared" si="11"/>
        <v>0</v>
      </c>
      <c r="AI53" s="12" t="e">
        <f t="shared" si="12"/>
        <v>#DIV/0!</v>
      </c>
      <c r="AJ53" s="12">
        <f t="shared" si="13"/>
        <v>0</v>
      </c>
      <c r="AK53" s="11" t="e">
        <f>AH53/J53</f>
        <v>#DIV/0!</v>
      </c>
      <c r="AL53" s="11" t="e">
        <f>AG53/J53</f>
        <v>#DIV/0!</v>
      </c>
    </row>
    <row r="54" spans="13:38" x14ac:dyDescent="0.2">
      <c r="M54" s="11">
        <f>(L54/100)*I54</f>
        <v>0</v>
      </c>
      <c r="N54" s="11">
        <f>K54*(L54/100)</f>
        <v>0</v>
      </c>
      <c r="P54" s="11">
        <f>(O54/100)*I54</f>
        <v>0</v>
      </c>
      <c r="Q54" s="11">
        <f>K54*(O54/100)</f>
        <v>0</v>
      </c>
      <c r="R54" s="11" t="e">
        <f t="shared" si="6"/>
        <v>#DIV/0!</v>
      </c>
      <c r="T54" s="11" t="e">
        <f t="shared" si="15"/>
        <v>#DIV/0!</v>
      </c>
      <c r="U54" t="e">
        <f t="shared" si="7"/>
        <v>#DIV/0!</v>
      </c>
      <c r="Y54" s="11">
        <f>V54*I54</f>
        <v>0</v>
      </c>
      <c r="Z54" s="12">
        <f>W54*I54</f>
        <v>0</v>
      </c>
      <c r="AA54" s="12">
        <f>X54*I54</f>
        <v>0</v>
      </c>
      <c r="AE54" s="12">
        <f t="shared" si="8"/>
        <v>0</v>
      </c>
      <c r="AF54" s="12">
        <f t="shared" si="9"/>
        <v>0</v>
      </c>
      <c r="AG54" s="12">
        <f t="shared" si="10"/>
        <v>0</v>
      </c>
      <c r="AH54" s="12">
        <f t="shared" si="11"/>
        <v>0</v>
      </c>
      <c r="AI54" s="12" t="e">
        <f t="shared" si="12"/>
        <v>#DIV/0!</v>
      </c>
      <c r="AJ54" s="12">
        <f t="shared" si="13"/>
        <v>0</v>
      </c>
      <c r="AK54" s="11" t="e">
        <f>AH54/J54</f>
        <v>#DIV/0!</v>
      </c>
      <c r="AL54" s="11" t="e">
        <f>AG54/J54</f>
        <v>#DIV/0!</v>
      </c>
    </row>
    <row r="55" spans="13:38" x14ac:dyDescent="0.2">
      <c r="M55" s="11">
        <f>(L55/100)*I55</f>
        <v>0</v>
      </c>
      <c r="N55" s="11">
        <f>K55*(L55/100)</f>
        <v>0</v>
      </c>
      <c r="P55" s="11">
        <f>(O55/100)*I55</f>
        <v>0</v>
      </c>
      <c r="Q55" s="11">
        <f>K55*(O55/100)</f>
        <v>0</v>
      </c>
      <c r="R55" s="11" t="e">
        <f t="shared" si="6"/>
        <v>#DIV/0!</v>
      </c>
      <c r="T55" s="11" t="e">
        <f t="shared" si="15"/>
        <v>#DIV/0!</v>
      </c>
      <c r="U55" t="e">
        <f t="shared" si="7"/>
        <v>#DIV/0!</v>
      </c>
      <c r="Y55" s="11">
        <f>V55*I55</f>
        <v>0</v>
      </c>
      <c r="Z55" s="12">
        <f>W55*I55</f>
        <v>0</v>
      </c>
      <c r="AA55" s="12">
        <f>X55*I55</f>
        <v>0</v>
      </c>
      <c r="AE55" s="12">
        <f t="shared" si="8"/>
        <v>0</v>
      </c>
      <c r="AF55" s="12">
        <f t="shared" si="9"/>
        <v>0</v>
      </c>
      <c r="AG55" s="12">
        <f t="shared" si="10"/>
        <v>0</v>
      </c>
      <c r="AH55" s="12">
        <f t="shared" si="11"/>
        <v>0</v>
      </c>
      <c r="AI55" s="12" t="e">
        <f t="shared" si="12"/>
        <v>#DIV/0!</v>
      </c>
      <c r="AJ55" s="12">
        <f t="shared" si="13"/>
        <v>0</v>
      </c>
      <c r="AK55" s="11" t="e">
        <f>AH55/J55</f>
        <v>#DIV/0!</v>
      </c>
      <c r="AL55" s="11" t="e">
        <f>AG55/J55</f>
        <v>#DIV/0!</v>
      </c>
    </row>
    <row r="56" spans="13:38" x14ac:dyDescent="0.2">
      <c r="M56" s="11">
        <f>(L56/100)*I56</f>
        <v>0</v>
      </c>
      <c r="N56" s="11">
        <f>K56*(L56/100)</f>
        <v>0</v>
      </c>
      <c r="P56" s="11">
        <f>(O56/100)*I56</f>
        <v>0</v>
      </c>
      <c r="Q56" s="11">
        <f>K56*(O56/100)</f>
        <v>0</v>
      </c>
      <c r="R56" s="11" t="e">
        <f t="shared" si="6"/>
        <v>#DIV/0!</v>
      </c>
      <c r="T56" s="11" t="e">
        <f t="shared" si="15"/>
        <v>#DIV/0!</v>
      </c>
      <c r="U56" t="e">
        <f t="shared" si="7"/>
        <v>#DIV/0!</v>
      </c>
      <c r="Y56" s="11">
        <f>V56*I56</f>
        <v>0</v>
      </c>
      <c r="Z56" s="12">
        <f>W56*I56</f>
        <v>0</v>
      </c>
      <c r="AA56" s="12">
        <f>X56*I56</f>
        <v>0</v>
      </c>
      <c r="AE56" s="12">
        <f t="shared" si="8"/>
        <v>0</v>
      </c>
      <c r="AF56" s="12">
        <f t="shared" si="9"/>
        <v>0</v>
      </c>
      <c r="AG56" s="12">
        <f t="shared" si="10"/>
        <v>0</v>
      </c>
      <c r="AH56" s="12">
        <f t="shared" si="11"/>
        <v>0</v>
      </c>
      <c r="AI56" s="12" t="e">
        <f t="shared" si="12"/>
        <v>#DIV/0!</v>
      </c>
      <c r="AJ56" s="12">
        <f t="shared" si="13"/>
        <v>0</v>
      </c>
      <c r="AK56" s="11" t="e">
        <f>AH56/J56</f>
        <v>#DIV/0!</v>
      </c>
      <c r="AL56" s="11" t="e">
        <f>AG56/J56</f>
        <v>#DIV/0!</v>
      </c>
    </row>
    <row r="57" spans="13:38" x14ac:dyDescent="0.2">
      <c r="M57" s="11">
        <f>(L57/100)*I57</f>
        <v>0</v>
      </c>
      <c r="N57" s="11">
        <f>K57*(L57/100)</f>
        <v>0</v>
      </c>
      <c r="P57" s="11">
        <f>(O57/100)*I57</f>
        <v>0</v>
      </c>
      <c r="Q57" s="11">
        <f>K57*(O57/100)</f>
        <v>0</v>
      </c>
      <c r="R57" s="11" t="e">
        <f t="shared" si="6"/>
        <v>#DIV/0!</v>
      </c>
      <c r="T57" s="11" t="e">
        <f t="shared" si="15"/>
        <v>#DIV/0!</v>
      </c>
      <c r="U57" t="e">
        <f t="shared" si="7"/>
        <v>#DIV/0!</v>
      </c>
      <c r="Y57" s="11">
        <f>V57*I57</f>
        <v>0</v>
      </c>
      <c r="Z57" s="12">
        <f>W57*I57</f>
        <v>0</v>
      </c>
      <c r="AA57" s="12">
        <f>X57*I57</f>
        <v>0</v>
      </c>
      <c r="AE57" s="12">
        <f t="shared" si="8"/>
        <v>0</v>
      </c>
      <c r="AF57" s="12">
        <f t="shared" si="9"/>
        <v>0</v>
      </c>
      <c r="AG57" s="12">
        <f t="shared" si="10"/>
        <v>0</v>
      </c>
      <c r="AH57" s="12">
        <f t="shared" si="11"/>
        <v>0</v>
      </c>
      <c r="AI57" s="12" t="e">
        <f t="shared" si="12"/>
        <v>#DIV/0!</v>
      </c>
      <c r="AJ57" s="12">
        <f t="shared" si="13"/>
        <v>0</v>
      </c>
      <c r="AK57" s="11" t="e">
        <f>AH57/J57</f>
        <v>#DIV/0!</v>
      </c>
      <c r="AL57" s="11" t="e">
        <f>AG57/J57</f>
        <v>#DIV/0!</v>
      </c>
    </row>
    <row r="58" spans="13:38" x14ac:dyDescent="0.2">
      <c r="M58" s="11">
        <f>(L58/100)*I58</f>
        <v>0</v>
      </c>
      <c r="N58" s="11">
        <f>K58*(L58/100)</f>
        <v>0</v>
      </c>
      <c r="P58" s="11">
        <f>(O58/100)*I58</f>
        <v>0</v>
      </c>
      <c r="Q58" s="11">
        <f>K58*(O58/100)</f>
        <v>0</v>
      </c>
      <c r="R58" s="11" t="e">
        <f t="shared" si="6"/>
        <v>#DIV/0!</v>
      </c>
      <c r="T58" s="11" t="e">
        <f t="shared" si="15"/>
        <v>#DIV/0!</v>
      </c>
      <c r="U58" t="e">
        <f t="shared" si="7"/>
        <v>#DIV/0!</v>
      </c>
      <c r="Y58" s="11">
        <f>V58*I58</f>
        <v>0</v>
      </c>
      <c r="Z58" s="12">
        <f>W58*I58</f>
        <v>0</v>
      </c>
      <c r="AA58" s="12">
        <f>X58*I58</f>
        <v>0</v>
      </c>
      <c r="AE58" s="12">
        <f t="shared" si="8"/>
        <v>0</v>
      </c>
      <c r="AF58" s="12">
        <f t="shared" si="9"/>
        <v>0</v>
      </c>
      <c r="AG58" s="12">
        <f t="shared" si="10"/>
        <v>0</v>
      </c>
      <c r="AH58" s="12">
        <f t="shared" si="11"/>
        <v>0</v>
      </c>
      <c r="AI58" s="12" t="e">
        <f t="shared" si="12"/>
        <v>#DIV/0!</v>
      </c>
      <c r="AJ58" s="12">
        <f t="shared" si="13"/>
        <v>0</v>
      </c>
      <c r="AK58" s="11" t="e">
        <f>AH58/J58</f>
        <v>#DIV/0!</v>
      </c>
      <c r="AL58" s="11" t="e">
        <f>AG58/J58</f>
        <v>#DIV/0!</v>
      </c>
    </row>
    <row r="59" spans="13:38" x14ac:dyDescent="0.2">
      <c r="M59" s="11">
        <f>(L59/100)*I59</f>
        <v>0</v>
      </c>
      <c r="N59" s="11">
        <f>K59*(L59/100)</f>
        <v>0</v>
      </c>
      <c r="P59" s="11">
        <f>(O59/100)*I59</f>
        <v>0</v>
      </c>
      <c r="Q59" s="11">
        <f>K59*(O59/100)</f>
        <v>0</v>
      </c>
      <c r="R59" s="11" t="e">
        <f t="shared" si="6"/>
        <v>#DIV/0!</v>
      </c>
      <c r="T59" s="11" t="e">
        <f t="shared" si="15"/>
        <v>#DIV/0!</v>
      </c>
      <c r="U59" t="e">
        <f t="shared" si="7"/>
        <v>#DIV/0!</v>
      </c>
      <c r="Y59" s="11">
        <f>V59*I59</f>
        <v>0</v>
      </c>
      <c r="Z59" s="12">
        <f>W59*I59</f>
        <v>0</v>
      </c>
      <c r="AA59" s="12">
        <f>X59*I59</f>
        <v>0</v>
      </c>
      <c r="AE59" s="12">
        <f t="shared" si="8"/>
        <v>0</v>
      </c>
      <c r="AF59" s="12">
        <f t="shared" si="9"/>
        <v>0</v>
      </c>
      <c r="AG59" s="12">
        <f t="shared" si="10"/>
        <v>0</v>
      </c>
      <c r="AH59" s="12">
        <f t="shared" si="11"/>
        <v>0</v>
      </c>
      <c r="AI59" s="12" t="e">
        <f t="shared" si="12"/>
        <v>#DIV/0!</v>
      </c>
      <c r="AJ59" s="12">
        <f t="shared" si="13"/>
        <v>0</v>
      </c>
      <c r="AK59" s="11" t="e">
        <f>AH59/J59</f>
        <v>#DIV/0!</v>
      </c>
      <c r="AL59" s="11" t="e">
        <f>AG59/J59</f>
        <v>#DIV/0!</v>
      </c>
    </row>
    <row r="60" spans="13:38" x14ac:dyDescent="0.2">
      <c r="M60" s="11">
        <f>(L60/100)*I60</f>
        <v>0</v>
      </c>
      <c r="N60" s="11">
        <f>K60*(L60/100)</f>
        <v>0</v>
      </c>
      <c r="P60" s="11">
        <f>(O60/100)*I60</f>
        <v>0</v>
      </c>
      <c r="Q60" s="11">
        <f>K60*(O60/100)</f>
        <v>0</v>
      </c>
      <c r="R60" s="11" t="e">
        <f t="shared" si="6"/>
        <v>#DIV/0!</v>
      </c>
      <c r="T60" s="11" t="e">
        <f t="shared" si="15"/>
        <v>#DIV/0!</v>
      </c>
      <c r="U60" t="e">
        <f t="shared" si="7"/>
        <v>#DIV/0!</v>
      </c>
      <c r="Y60" s="11">
        <f>V60*I60</f>
        <v>0</v>
      </c>
      <c r="Z60" s="12">
        <f>W60*I60</f>
        <v>0</v>
      </c>
      <c r="AA60" s="12">
        <f>X60*I60</f>
        <v>0</v>
      </c>
      <c r="AE60" s="12">
        <f t="shared" si="8"/>
        <v>0</v>
      </c>
      <c r="AF60" s="12">
        <f t="shared" si="9"/>
        <v>0</v>
      </c>
      <c r="AG60" s="12">
        <f t="shared" si="10"/>
        <v>0</v>
      </c>
      <c r="AH60" s="12">
        <f t="shared" si="11"/>
        <v>0</v>
      </c>
      <c r="AI60" s="12" t="e">
        <f t="shared" si="12"/>
        <v>#DIV/0!</v>
      </c>
      <c r="AJ60" s="12">
        <f t="shared" si="13"/>
        <v>0</v>
      </c>
      <c r="AK60" s="11" t="e">
        <f>AH60/J60</f>
        <v>#DIV/0!</v>
      </c>
      <c r="AL60" s="11" t="e">
        <f>AG60/J60</f>
        <v>#DIV/0!</v>
      </c>
    </row>
    <row r="61" spans="13:38" x14ac:dyDescent="0.2">
      <c r="M61" s="11">
        <f>(L61/100)*I61</f>
        <v>0</v>
      </c>
      <c r="N61" s="11">
        <f>K61*(L61/100)</f>
        <v>0</v>
      </c>
      <c r="P61" s="11">
        <f>(O61/100)*I61</f>
        <v>0</v>
      </c>
      <c r="Q61" s="11">
        <f>K61*(O61/100)</f>
        <v>0</v>
      </c>
      <c r="R61" s="11" t="e">
        <f t="shared" si="6"/>
        <v>#DIV/0!</v>
      </c>
      <c r="T61" s="11" t="e">
        <f t="shared" si="15"/>
        <v>#DIV/0!</v>
      </c>
      <c r="U61" t="e">
        <f t="shared" si="7"/>
        <v>#DIV/0!</v>
      </c>
      <c r="Y61" s="11">
        <f>V61*I61</f>
        <v>0</v>
      </c>
      <c r="Z61" s="12">
        <f>W61*I61</f>
        <v>0</v>
      </c>
      <c r="AA61" s="12">
        <f>X61*I61</f>
        <v>0</v>
      </c>
      <c r="AE61" s="12">
        <f t="shared" si="8"/>
        <v>0</v>
      </c>
      <c r="AF61" s="12">
        <f t="shared" si="9"/>
        <v>0</v>
      </c>
      <c r="AG61" s="12">
        <f t="shared" si="10"/>
        <v>0</v>
      </c>
      <c r="AH61" s="12">
        <f t="shared" si="11"/>
        <v>0</v>
      </c>
      <c r="AI61" s="12" t="e">
        <f t="shared" si="12"/>
        <v>#DIV/0!</v>
      </c>
      <c r="AJ61" s="12">
        <f t="shared" si="13"/>
        <v>0</v>
      </c>
      <c r="AK61" s="11" t="e">
        <f>AH61/J61</f>
        <v>#DIV/0!</v>
      </c>
      <c r="AL61" s="11" t="e">
        <f>AG61/J61</f>
        <v>#DIV/0!</v>
      </c>
    </row>
    <row r="62" spans="13:38" x14ac:dyDescent="0.2">
      <c r="M62" s="11">
        <f>(L62/100)*I62</f>
        <v>0</v>
      </c>
      <c r="N62" s="11">
        <f>K62*(L62/100)</f>
        <v>0</v>
      </c>
      <c r="P62" s="11">
        <f>(O62/100)*I62</f>
        <v>0</v>
      </c>
      <c r="Q62" s="11">
        <f>K62*(O62/100)</f>
        <v>0</v>
      </c>
      <c r="R62" s="11" t="e">
        <f t="shared" si="6"/>
        <v>#DIV/0!</v>
      </c>
      <c r="T62" s="11" t="e">
        <f t="shared" si="15"/>
        <v>#DIV/0!</v>
      </c>
      <c r="U62" t="e">
        <f t="shared" si="7"/>
        <v>#DIV/0!</v>
      </c>
      <c r="Y62" s="11">
        <f>V62*I62</f>
        <v>0</v>
      </c>
      <c r="Z62" s="12">
        <f>W62*I62</f>
        <v>0</v>
      </c>
      <c r="AA62" s="12">
        <f>X62*I62</f>
        <v>0</v>
      </c>
      <c r="AE62" s="12">
        <f t="shared" si="8"/>
        <v>0</v>
      </c>
      <c r="AF62" s="12">
        <f t="shared" si="9"/>
        <v>0</v>
      </c>
      <c r="AG62" s="12">
        <f t="shared" si="10"/>
        <v>0</v>
      </c>
      <c r="AH62" s="12">
        <f t="shared" si="11"/>
        <v>0</v>
      </c>
      <c r="AI62" s="12" t="e">
        <f t="shared" si="12"/>
        <v>#DIV/0!</v>
      </c>
      <c r="AJ62" s="12">
        <f t="shared" si="13"/>
        <v>0</v>
      </c>
      <c r="AK62" s="11" t="e">
        <f>AH62/J62</f>
        <v>#DIV/0!</v>
      </c>
      <c r="AL62" s="11" t="e">
        <f>AG62/J62</f>
        <v>#DIV/0!</v>
      </c>
    </row>
    <row r="63" spans="13:38" x14ac:dyDescent="0.2">
      <c r="M63" s="11">
        <f>(L63/100)*I63</f>
        <v>0</v>
      </c>
      <c r="N63" s="11">
        <f>K63*(L63/100)</f>
        <v>0</v>
      </c>
      <c r="P63" s="11">
        <f>(O63/100)*I63</f>
        <v>0</v>
      </c>
      <c r="Q63" s="11">
        <f>K63*(O63/100)</f>
        <v>0</v>
      </c>
      <c r="R63" s="11" t="e">
        <f t="shared" si="6"/>
        <v>#DIV/0!</v>
      </c>
      <c r="T63" s="11" t="e">
        <f t="shared" si="15"/>
        <v>#DIV/0!</v>
      </c>
      <c r="U63" t="e">
        <f t="shared" si="7"/>
        <v>#DIV/0!</v>
      </c>
      <c r="Y63" s="11">
        <f>V63*I63</f>
        <v>0</v>
      </c>
      <c r="Z63" s="12">
        <f>W63*I63</f>
        <v>0</v>
      </c>
      <c r="AA63" s="12">
        <f>X63*I63</f>
        <v>0</v>
      </c>
      <c r="AE63" s="12">
        <f t="shared" si="8"/>
        <v>0</v>
      </c>
      <c r="AF63" s="12">
        <f t="shared" si="9"/>
        <v>0</v>
      </c>
      <c r="AG63" s="12">
        <f t="shared" si="10"/>
        <v>0</v>
      </c>
      <c r="AH63" s="12">
        <f t="shared" si="11"/>
        <v>0</v>
      </c>
      <c r="AI63" s="12" t="e">
        <f t="shared" si="12"/>
        <v>#DIV/0!</v>
      </c>
      <c r="AJ63" s="12">
        <f t="shared" si="13"/>
        <v>0</v>
      </c>
      <c r="AK63" s="11" t="e">
        <f>AH63/J63</f>
        <v>#DIV/0!</v>
      </c>
      <c r="AL63" s="11" t="e">
        <f>AG63/J63</f>
        <v>#DIV/0!</v>
      </c>
    </row>
    <row r="64" spans="13:38" x14ac:dyDescent="0.2">
      <c r="M64" s="11">
        <f>(L64/100)*I64</f>
        <v>0</v>
      </c>
      <c r="N64" s="11">
        <f>K64*(L64/100)</f>
        <v>0</v>
      </c>
      <c r="P64" s="11">
        <f>(O64/100)*I64</f>
        <v>0</v>
      </c>
      <c r="Q64" s="11">
        <f>K64*(O64/100)</f>
        <v>0</v>
      </c>
      <c r="R64" s="11" t="e">
        <f t="shared" si="6"/>
        <v>#DIV/0!</v>
      </c>
      <c r="T64" s="11" t="e">
        <f t="shared" si="15"/>
        <v>#DIV/0!</v>
      </c>
      <c r="U64" t="e">
        <f t="shared" si="7"/>
        <v>#DIV/0!</v>
      </c>
      <c r="Y64" s="11">
        <f>V64*I64</f>
        <v>0</v>
      </c>
      <c r="Z64" s="12">
        <f>W64*I64</f>
        <v>0</v>
      </c>
      <c r="AA64" s="12">
        <f>X64*I64</f>
        <v>0</v>
      </c>
      <c r="AE64" s="12">
        <f t="shared" si="8"/>
        <v>0</v>
      </c>
      <c r="AF64" s="12">
        <f t="shared" si="9"/>
        <v>0</v>
      </c>
      <c r="AG64" s="12">
        <f t="shared" si="10"/>
        <v>0</v>
      </c>
      <c r="AH64" s="12">
        <f t="shared" si="11"/>
        <v>0</v>
      </c>
      <c r="AI64" s="12" t="e">
        <f t="shared" si="12"/>
        <v>#DIV/0!</v>
      </c>
      <c r="AJ64" s="12">
        <f t="shared" si="13"/>
        <v>0</v>
      </c>
      <c r="AK64" s="11" t="e">
        <f>AH64/J64</f>
        <v>#DIV/0!</v>
      </c>
      <c r="AL64" s="11" t="e">
        <f>AG64/J64</f>
        <v>#DIV/0!</v>
      </c>
    </row>
    <row r="65" spans="13:38" x14ac:dyDescent="0.2">
      <c r="M65" s="11">
        <f>(L65/100)*I65</f>
        <v>0</v>
      </c>
      <c r="N65" s="11">
        <f>K65*(L65/100)</f>
        <v>0</v>
      </c>
      <c r="P65" s="11">
        <f>(O65/100)*I65</f>
        <v>0</v>
      </c>
      <c r="Q65" s="11">
        <f>K65*(O65/100)</f>
        <v>0</v>
      </c>
      <c r="R65" s="11" t="e">
        <f t="shared" si="6"/>
        <v>#DIV/0!</v>
      </c>
      <c r="T65" s="11" t="e">
        <f t="shared" si="15"/>
        <v>#DIV/0!</v>
      </c>
      <c r="U65" t="e">
        <f t="shared" si="7"/>
        <v>#DIV/0!</v>
      </c>
      <c r="Y65" s="11">
        <f>V65*I65</f>
        <v>0</v>
      </c>
      <c r="Z65" s="12">
        <f>W65*I65</f>
        <v>0</v>
      </c>
      <c r="AA65" s="12">
        <f>X65*I65</f>
        <v>0</v>
      </c>
      <c r="AE65" s="12">
        <f t="shared" si="8"/>
        <v>0</v>
      </c>
      <c r="AF65" s="12">
        <f t="shared" si="9"/>
        <v>0</v>
      </c>
      <c r="AG65" s="12">
        <f t="shared" si="10"/>
        <v>0</v>
      </c>
      <c r="AH65" s="12">
        <f t="shared" si="11"/>
        <v>0</v>
      </c>
      <c r="AI65" s="12" t="e">
        <f t="shared" si="12"/>
        <v>#DIV/0!</v>
      </c>
      <c r="AJ65" s="12">
        <f t="shared" si="13"/>
        <v>0</v>
      </c>
      <c r="AK65" s="11" t="e">
        <f>AH65/J65</f>
        <v>#DIV/0!</v>
      </c>
      <c r="AL65" s="11" t="e">
        <f>AG65/J65</f>
        <v>#DIV/0!</v>
      </c>
    </row>
    <row r="66" spans="13:38" x14ac:dyDescent="0.2">
      <c r="M66" s="11">
        <f>(L66/100)*I66</f>
        <v>0</v>
      </c>
      <c r="N66" s="11">
        <f>K66*(L66/100)</f>
        <v>0</v>
      </c>
      <c r="P66" s="11">
        <f>(O66/100)*I66</f>
        <v>0</v>
      </c>
      <c r="Q66" s="11">
        <f>K66*(O66/100)</f>
        <v>0</v>
      </c>
      <c r="R66" s="11" t="e">
        <f t="shared" si="6"/>
        <v>#DIV/0!</v>
      </c>
      <c r="T66" s="11" t="e">
        <f t="shared" si="15"/>
        <v>#DIV/0!</v>
      </c>
      <c r="U66" t="e">
        <f t="shared" si="7"/>
        <v>#DIV/0!</v>
      </c>
      <c r="Y66" s="11">
        <f>V66*I66</f>
        <v>0</v>
      </c>
      <c r="Z66" s="12">
        <f>W66*I66</f>
        <v>0</v>
      </c>
      <c r="AA66" s="12">
        <f>X66*I66</f>
        <v>0</v>
      </c>
      <c r="AE66" s="12">
        <f t="shared" si="8"/>
        <v>0</v>
      </c>
      <c r="AF66" s="12">
        <f t="shared" si="9"/>
        <v>0</v>
      </c>
      <c r="AG66" s="12">
        <f t="shared" si="10"/>
        <v>0</v>
      </c>
      <c r="AH66" s="12">
        <f t="shared" si="11"/>
        <v>0</v>
      </c>
      <c r="AI66" s="12" t="e">
        <f t="shared" si="12"/>
        <v>#DIV/0!</v>
      </c>
      <c r="AJ66" s="12">
        <f t="shared" si="13"/>
        <v>0</v>
      </c>
      <c r="AK66" s="11" t="e">
        <f>AH66/J66</f>
        <v>#DIV/0!</v>
      </c>
      <c r="AL66" s="11" t="e">
        <f>AG66/J66</f>
        <v>#DIV/0!</v>
      </c>
    </row>
    <row r="67" spans="13:38" x14ac:dyDescent="0.2">
      <c r="M67" s="11">
        <f>(L67/100)*I67</f>
        <v>0</v>
      </c>
      <c r="N67" s="11">
        <f>K67*(L67/100)</f>
        <v>0</v>
      </c>
      <c r="P67" s="11">
        <f>(O67/100)*I67</f>
        <v>0</v>
      </c>
      <c r="Q67" s="11">
        <f>K67*(O67/100)</f>
        <v>0</v>
      </c>
      <c r="R67" s="11" t="e">
        <f t="shared" ref="R67:R130" si="16">L67/O67</f>
        <v>#DIV/0!</v>
      </c>
      <c r="T67" s="11" t="e">
        <f t="shared" si="15"/>
        <v>#DIV/0!</v>
      </c>
      <c r="U67" t="e">
        <f t="shared" ref="U67:U130" si="17">T67*0.48</f>
        <v>#DIV/0!</v>
      </c>
      <c r="Y67" s="11">
        <f>V67*I67</f>
        <v>0</v>
      </c>
      <c r="Z67" s="12">
        <f>W67*I67</f>
        <v>0</v>
      </c>
      <c r="AA67" s="12">
        <f>X67*I67</f>
        <v>0</v>
      </c>
      <c r="AE67" s="12">
        <f t="shared" ref="AE67:AE130" si="18">Y67*AB67/100</f>
        <v>0</v>
      </c>
      <c r="AF67" s="12">
        <f t="shared" ref="AF67:AF130" si="19">Z67*AC67/100</f>
        <v>0</v>
      </c>
      <c r="AG67" s="12">
        <f t="shared" ref="AG67:AG130" si="20">AA67*AD67/100</f>
        <v>0</v>
      </c>
      <c r="AH67" s="12">
        <f t="shared" ref="AH67:AH130" si="21">SUM(AE67:AF67)</f>
        <v>0</v>
      </c>
      <c r="AI67" s="12" t="e">
        <f t="shared" ref="AI67:AI130" si="22">AG67/AH67</f>
        <v>#DIV/0!</v>
      </c>
      <c r="AJ67" s="12">
        <f t="shared" ref="AJ67:AJ130" si="23">SUM(AG67:AH67)</f>
        <v>0</v>
      </c>
      <c r="AK67" s="11" t="e">
        <f>AH67/J67</f>
        <v>#DIV/0!</v>
      </c>
      <c r="AL67" s="11" t="e">
        <f>AG67/J67</f>
        <v>#DIV/0!</v>
      </c>
    </row>
    <row r="68" spans="13:38" x14ac:dyDescent="0.2">
      <c r="M68" s="11">
        <f>(L68/100)*I68</f>
        <v>0</v>
      </c>
      <c r="N68" s="11">
        <f>K68*(L68/100)</f>
        <v>0</v>
      </c>
      <c r="P68" s="11">
        <f>(O68/100)*I68</f>
        <v>0</v>
      </c>
      <c r="Q68" s="11">
        <f>K68*(O68/100)</f>
        <v>0</v>
      </c>
      <c r="R68" s="11" t="e">
        <f t="shared" si="16"/>
        <v>#DIV/0!</v>
      </c>
      <c r="T68" s="11" t="e">
        <f t="shared" si="15"/>
        <v>#DIV/0!</v>
      </c>
      <c r="U68" t="e">
        <f t="shared" si="17"/>
        <v>#DIV/0!</v>
      </c>
      <c r="Y68" s="11">
        <f>V68*I68</f>
        <v>0</v>
      </c>
      <c r="Z68" s="12">
        <f>W68*I68</f>
        <v>0</v>
      </c>
      <c r="AA68" s="12">
        <f>X68*I68</f>
        <v>0</v>
      </c>
      <c r="AE68" s="12">
        <f t="shared" si="18"/>
        <v>0</v>
      </c>
      <c r="AF68" s="12">
        <f t="shared" si="19"/>
        <v>0</v>
      </c>
      <c r="AG68" s="12">
        <f t="shared" si="20"/>
        <v>0</v>
      </c>
      <c r="AH68" s="12">
        <f t="shared" si="21"/>
        <v>0</v>
      </c>
      <c r="AI68" s="12" t="e">
        <f t="shared" si="22"/>
        <v>#DIV/0!</v>
      </c>
      <c r="AJ68" s="12">
        <f t="shared" si="23"/>
        <v>0</v>
      </c>
      <c r="AK68" s="11" t="e">
        <f>AH68/J68</f>
        <v>#DIV/0!</v>
      </c>
      <c r="AL68" s="11" t="e">
        <f>AG68/J68</f>
        <v>#DIV/0!</v>
      </c>
    </row>
    <row r="69" spans="13:38" x14ac:dyDescent="0.2">
      <c r="M69" s="11">
        <f>(L69/100)*I69</f>
        <v>0</v>
      </c>
      <c r="N69" s="11">
        <f>K69*(L69/100)</f>
        <v>0</v>
      </c>
      <c r="P69" s="11">
        <f>(O69/100)*I69</f>
        <v>0</v>
      </c>
      <c r="Q69" s="11">
        <f>K69*(O69/100)</f>
        <v>0</v>
      </c>
      <c r="R69" s="11" t="e">
        <f t="shared" si="16"/>
        <v>#DIV/0!</v>
      </c>
      <c r="T69" s="11" t="e">
        <f t="shared" si="15"/>
        <v>#DIV/0!</v>
      </c>
      <c r="U69" t="e">
        <f t="shared" si="17"/>
        <v>#DIV/0!</v>
      </c>
      <c r="Y69" s="11">
        <f>V69*I69</f>
        <v>0</v>
      </c>
      <c r="Z69" s="12">
        <f>W69*I69</f>
        <v>0</v>
      </c>
      <c r="AA69" s="12">
        <f>X69*I69</f>
        <v>0</v>
      </c>
      <c r="AE69" s="12">
        <f t="shared" si="18"/>
        <v>0</v>
      </c>
      <c r="AF69" s="12">
        <f t="shared" si="19"/>
        <v>0</v>
      </c>
      <c r="AG69" s="12">
        <f t="shared" si="20"/>
        <v>0</v>
      </c>
      <c r="AH69" s="12">
        <f t="shared" si="21"/>
        <v>0</v>
      </c>
      <c r="AI69" s="12" t="e">
        <f t="shared" si="22"/>
        <v>#DIV/0!</v>
      </c>
      <c r="AJ69" s="12">
        <f t="shared" si="23"/>
        <v>0</v>
      </c>
      <c r="AK69" s="11" t="e">
        <f>AH69/J69</f>
        <v>#DIV/0!</v>
      </c>
      <c r="AL69" s="11" t="e">
        <f>AG69/J69</f>
        <v>#DIV/0!</v>
      </c>
    </row>
    <row r="70" spans="13:38" x14ac:dyDescent="0.2">
      <c r="M70" s="11">
        <f>(L70/100)*I70</f>
        <v>0</v>
      </c>
      <c r="N70" s="11">
        <f>K70*(L70/100)</f>
        <v>0</v>
      </c>
      <c r="P70" s="11">
        <f>(O70/100)*I70</f>
        <v>0</v>
      </c>
      <c r="Q70" s="11">
        <f>K70*(O70/100)</f>
        <v>0</v>
      </c>
      <c r="R70" s="11" t="e">
        <f t="shared" si="16"/>
        <v>#DIV/0!</v>
      </c>
      <c r="T70" s="11" t="e">
        <f t="shared" si="15"/>
        <v>#DIV/0!</v>
      </c>
      <c r="U70" t="e">
        <f t="shared" si="17"/>
        <v>#DIV/0!</v>
      </c>
      <c r="Y70" s="11">
        <f>V70*I70</f>
        <v>0</v>
      </c>
      <c r="Z70" s="12">
        <f>W70*I70</f>
        <v>0</v>
      </c>
      <c r="AA70" s="12">
        <f>X70*I70</f>
        <v>0</v>
      </c>
      <c r="AE70" s="12">
        <f t="shared" si="18"/>
        <v>0</v>
      </c>
      <c r="AF70" s="12">
        <f t="shared" si="19"/>
        <v>0</v>
      </c>
      <c r="AG70" s="12">
        <f t="shared" si="20"/>
        <v>0</v>
      </c>
      <c r="AH70" s="12">
        <f t="shared" si="21"/>
        <v>0</v>
      </c>
      <c r="AI70" s="12" t="e">
        <f t="shared" si="22"/>
        <v>#DIV/0!</v>
      </c>
      <c r="AJ70" s="12">
        <f t="shared" si="23"/>
        <v>0</v>
      </c>
      <c r="AK70" s="11" t="e">
        <f>AH70/J70</f>
        <v>#DIV/0!</v>
      </c>
      <c r="AL70" s="11" t="e">
        <f>AG70/J70</f>
        <v>#DIV/0!</v>
      </c>
    </row>
    <row r="71" spans="13:38" x14ac:dyDescent="0.2">
      <c r="M71" s="11">
        <f>(L71/100)*I71</f>
        <v>0</v>
      </c>
      <c r="N71" s="11">
        <f>K71*(L71/100)</f>
        <v>0</v>
      </c>
      <c r="P71" s="11">
        <f>(O71/100)*I71</f>
        <v>0</v>
      </c>
      <c r="Q71" s="11">
        <f>K71*(O71/100)</f>
        <v>0</v>
      </c>
      <c r="R71" s="11" t="e">
        <f t="shared" si="16"/>
        <v>#DIV/0!</v>
      </c>
      <c r="T71" s="11" t="e">
        <f t="shared" si="15"/>
        <v>#DIV/0!</v>
      </c>
      <c r="U71" t="e">
        <f t="shared" si="17"/>
        <v>#DIV/0!</v>
      </c>
      <c r="Y71" s="11">
        <f>V71*I71</f>
        <v>0</v>
      </c>
      <c r="Z71" s="12">
        <f>W71*I71</f>
        <v>0</v>
      </c>
      <c r="AA71" s="12">
        <f>X71*I71</f>
        <v>0</v>
      </c>
      <c r="AE71" s="12">
        <f t="shared" si="18"/>
        <v>0</v>
      </c>
      <c r="AF71" s="12">
        <f t="shared" si="19"/>
        <v>0</v>
      </c>
      <c r="AG71" s="12">
        <f t="shared" si="20"/>
        <v>0</v>
      </c>
      <c r="AH71" s="12">
        <f t="shared" si="21"/>
        <v>0</v>
      </c>
      <c r="AI71" s="12" t="e">
        <f t="shared" si="22"/>
        <v>#DIV/0!</v>
      </c>
      <c r="AJ71" s="12">
        <f t="shared" si="23"/>
        <v>0</v>
      </c>
      <c r="AK71" s="11" t="e">
        <f>AH71/J71</f>
        <v>#DIV/0!</v>
      </c>
      <c r="AL71" s="11" t="e">
        <f>AG71/J71</f>
        <v>#DIV/0!</v>
      </c>
    </row>
    <row r="72" spans="13:38" x14ac:dyDescent="0.2">
      <c r="M72" s="11">
        <f>(L72/100)*I72</f>
        <v>0</v>
      </c>
      <c r="N72" s="11">
        <f>K72*(L72/100)</f>
        <v>0</v>
      </c>
      <c r="P72" s="11">
        <f>(O72/100)*I72</f>
        <v>0</v>
      </c>
      <c r="Q72" s="11">
        <f>K72*(O72/100)</f>
        <v>0</v>
      </c>
      <c r="R72" s="11" t="e">
        <f t="shared" si="16"/>
        <v>#DIV/0!</v>
      </c>
      <c r="T72" s="11" t="e">
        <f t="shared" si="15"/>
        <v>#DIV/0!</v>
      </c>
      <c r="U72" t="e">
        <f t="shared" si="17"/>
        <v>#DIV/0!</v>
      </c>
      <c r="Y72" s="11">
        <f>V72*I72</f>
        <v>0</v>
      </c>
      <c r="Z72" s="12">
        <f>W72*I72</f>
        <v>0</v>
      </c>
      <c r="AA72" s="12">
        <f>X72*I72</f>
        <v>0</v>
      </c>
      <c r="AE72" s="12">
        <f t="shared" si="18"/>
        <v>0</v>
      </c>
      <c r="AF72" s="12">
        <f t="shared" si="19"/>
        <v>0</v>
      </c>
      <c r="AG72" s="12">
        <f t="shared" si="20"/>
        <v>0</v>
      </c>
      <c r="AH72" s="12">
        <f t="shared" si="21"/>
        <v>0</v>
      </c>
      <c r="AI72" s="12" t="e">
        <f t="shared" si="22"/>
        <v>#DIV/0!</v>
      </c>
      <c r="AJ72" s="12">
        <f t="shared" si="23"/>
        <v>0</v>
      </c>
      <c r="AK72" s="11" t="e">
        <f>AH72/J72</f>
        <v>#DIV/0!</v>
      </c>
      <c r="AL72" s="11" t="e">
        <f>AG72/J72</f>
        <v>#DIV/0!</v>
      </c>
    </row>
    <row r="73" spans="13:38" x14ac:dyDescent="0.2">
      <c r="M73" s="11">
        <f>(L73/100)*I73</f>
        <v>0</v>
      </c>
      <c r="N73" s="11">
        <f>K73*(L73/100)</f>
        <v>0</v>
      </c>
      <c r="P73" s="11">
        <f>(O73/100)*I73</f>
        <v>0</v>
      </c>
      <c r="Q73" s="11">
        <f>K73*(O73/100)</f>
        <v>0</v>
      </c>
      <c r="R73" s="11" t="e">
        <f t="shared" si="16"/>
        <v>#DIV/0!</v>
      </c>
      <c r="T73" s="11" t="e">
        <f t="shared" si="15"/>
        <v>#DIV/0!</v>
      </c>
      <c r="U73" t="e">
        <f t="shared" si="17"/>
        <v>#DIV/0!</v>
      </c>
      <c r="Y73" s="11">
        <f>V73*I73</f>
        <v>0</v>
      </c>
      <c r="Z73" s="12">
        <f>W73*I73</f>
        <v>0</v>
      </c>
      <c r="AA73" s="12">
        <f>X73*I73</f>
        <v>0</v>
      </c>
      <c r="AE73" s="12">
        <f t="shared" si="18"/>
        <v>0</v>
      </c>
      <c r="AF73" s="12">
        <f t="shared" si="19"/>
        <v>0</v>
      </c>
      <c r="AG73" s="12">
        <f t="shared" si="20"/>
        <v>0</v>
      </c>
      <c r="AH73" s="12">
        <f t="shared" si="21"/>
        <v>0</v>
      </c>
      <c r="AI73" s="12" t="e">
        <f t="shared" si="22"/>
        <v>#DIV/0!</v>
      </c>
      <c r="AJ73" s="12">
        <f t="shared" si="23"/>
        <v>0</v>
      </c>
      <c r="AK73" s="11" t="e">
        <f>AH73/J73</f>
        <v>#DIV/0!</v>
      </c>
      <c r="AL73" s="11" t="e">
        <f>AG73/J73</f>
        <v>#DIV/0!</v>
      </c>
    </row>
    <row r="74" spans="13:38" x14ac:dyDescent="0.2">
      <c r="M74" s="11">
        <f>(L74/100)*I74</f>
        <v>0</v>
      </c>
      <c r="N74" s="11">
        <f>K74*(L74/100)</f>
        <v>0</v>
      </c>
      <c r="P74" s="11">
        <f>(O74/100)*I74</f>
        <v>0</v>
      </c>
      <c r="Q74" s="11">
        <f>K74*(O74/100)</f>
        <v>0</v>
      </c>
      <c r="R74" s="11" t="e">
        <f t="shared" si="16"/>
        <v>#DIV/0!</v>
      </c>
      <c r="T74" s="11" t="e">
        <f t="shared" si="15"/>
        <v>#DIV/0!</v>
      </c>
      <c r="U74" t="e">
        <f t="shared" si="17"/>
        <v>#DIV/0!</v>
      </c>
      <c r="Y74" s="11">
        <f>V74*I74</f>
        <v>0</v>
      </c>
      <c r="Z74" s="12">
        <f>W74*I74</f>
        <v>0</v>
      </c>
      <c r="AA74" s="12">
        <f>X74*I74</f>
        <v>0</v>
      </c>
      <c r="AE74" s="12">
        <f t="shared" si="18"/>
        <v>0</v>
      </c>
      <c r="AF74" s="12">
        <f t="shared" si="19"/>
        <v>0</v>
      </c>
      <c r="AG74" s="12">
        <f t="shared" si="20"/>
        <v>0</v>
      </c>
      <c r="AH74" s="12">
        <f t="shared" si="21"/>
        <v>0</v>
      </c>
      <c r="AI74" s="12" t="e">
        <f t="shared" si="22"/>
        <v>#DIV/0!</v>
      </c>
      <c r="AJ74" s="12">
        <f t="shared" si="23"/>
        <v>0</v>
      </c>
      <c r="AK74" s="11" t="e">
        <f>AH74/J74</f>
        <v>#DIV/0!</v>
      </c>
      <c r="AL74" s="11" t="e">
        <f>AG74/J74</f>
        <v>#DIV/0!</v>
      </c>
    </row>
    <row r="75" spans="13:38" x14ac:dyDescent="0.2">
      <c r="M75" s="11">
        <f>(L75/100)*I75</f>
        <v>0</v>
      </c>
      <c r="N75" s="11">
        <f>K75*(L75/100)</f>
        <v>0</v>
      </c>
      <c r="P75" s="11">
        <f>(O75/100)*I75</f>
        <v>0</v>
      </c>
      <c r="Q75" s="11">
        <f>K75*(O75/100)</f>
        <v>0</v>
      </c>
      <c r="R75" s="11" t="e">
        <f t="shared" si="16"/>
        <v>#DIV/0!</v>
      </c>
      <c r="T75" s="11" t="e">
        <f t="shared" si="15"/>
        <v>#DIV/0!</v>
      </c>
      <c r="U75" t="e">
        <f t="shared" si="17"/>
        <v>#DIV/0!</v>
      </c>
      <c r="Y75" s="11">
        <f>V75*I75</f>
        <v>0</v>
      </c>
      <c r="Z75" s="12">
        <f>W75*I75</f>
        <v>0</v>
      </c>
      <c r="AA75" s="12">
        <f>X75*I75</f>
        <v>0</v>
      </c>
      <c r="AE75" s="12">
        <f t="shared" si="18"/>
        <v>0</v>
      </c>
      <c r="AF75" s="12">
        <f t="shared" si="19"/>
        <v>0</v>
      </c>
      <c r="AG75" s="12">
        <f t="shared" si="20"/>
        <v>0</v>
      </c>
      <c r="AH75" s="12">
        <f t="shared" si="21"/>
        <v>0</v>
      </c>
      <c r="AI75" s="12" t="e">
        <f t="shared" si="22"/>
        <v>#DIV/0!</v>
      </c>
      <c r="AJ75" s="12">
        <f t="shared" si="23"/>
        <v>0</v>
      </c>
      <c r="AK75" s="11" t="e">
        <f>AH75/J75</f>
        <v>#DIV/0!</v>
      </c>
      <c r="AL75" s="11" t="e">
        <f>AG75/J75</f>
        <v>#DIV/0!</v>
      </c>
    </row>
    <row r="76" spans="13:38" x14ac:dyDescent="0.2">
      <c r="M76" s="11">
        <f>(L76/100)*I76</f>
        <v>0</v>
      </c>
      <c r="N76" s="11">
        <f>K76*(L76/100)</f>
        <v>0</v>
      </c>
      <c r="P76" s="11">
        <f>(O76/100)*I76</f>
        <v>0</v>
      </c>
      <c r="Q76" s="11">
        <f>K76*(O76/100)</f>
        <v>0</v>
      </c>
      <c r="R76" s="11" t="e">
        <f t="shared" si="16"/>
        <v>#DIV/0!</v>
      </c>
      <c r="T76" s="11" t="e">
        <f t="shared" si="15"/>
        <v>#DIV/0!</v>
      </c>
      <c r="U76" t="e">
        <f t="shared" si="17"/>
        <v>#DIV/0!</v>
      </c>
      <c r="Y76" s="11">
        <f>V76*I76</f>
        <v>0</v>
      </c>
      <c r="Z76" s="12">
        <f>W76*I76</f>
        <v>0</v>
      </c>
      <c r="AA76" s="12">
        <f>X76*I76</f>
        <v>0</v>
      </c>
      <c r="AE76" s="12">
        <f t="shared" si="18"/>
        <v>0</v>
      </c>
      <c r="AF76" s="12">
        <f t="shared" si="19"/>
        <v>0</v>
      </c>
      <c r="AG76" s="12">
        <f t="shared" si="20"/>
        <v>0</v>
      </c>
      <c r="AH76" s="12">
        <f t="shared" si="21"/>
        <v>0</v>
      </c>
      <c r="AI76" s="12" t="e">
        <f t="shared" si="22"/>
        <v>#DIV/0!</v>
      </c>
      <c r="AJ76" s="12">
        <f t="shared" si="23"/>
        <v>0</v>
      </c>
      <c r="AK76" s="11" t="e">
        <f>AH76/J76</f>
        <v>#DIV/0!</v>
      </c>
      <c r="AL76" s="11" t="e">
        <f>AG76/J76</f>
        <v>#DIV/0!</v>
      </c>
    </row>
    <row r="77" spans="13:38" x14ac:dyDescent="0.2">
      <c r="M77" s="11">
        <f>(L77/100)*I77</f>
        <v>0</v>
      </c>
      <c r="N77" s="11">
        <f>K77*(L77/100)</f>
        <v>0</v>
      </c>
      <c r="P77" s="11">
        <f>(O77/100)*I77</f>
        <v>0</v>
      </c>
      <c r="Q77" s="11">
        <f>K77*(O77/100)</f>
        <v>0</v>
      </c>
      <c r="R77" s="11" t="e">
        <f t="shared" si="16"/>
        <v>#DIV/0!</v>
      </c>
      <c r="T77" s="11" t="e">
        <f t="shared" si="15"/>
        <v>#DIV/0!</v>
      </c>
      <c r="U77" t="e">
        <f t="shared" si="17"/>
        <v>#DIV/0!</v>
      </c>
      <c r="Y77" s="11">
        <f>V77*I77</f>
        <v>0</v>
      </c>
      <c r="Z77" s="12">
        <f>W77*I77</f>
        <v>0</v>
      </c>
      <c r="AA77" s="12">
        <f>X77*I77</f>
        <v>0</v>
      </c>
      <c r="AE77" s="12">
        <f t="shared" si="18"/>
        <v>0</v>
      </c>
      <c r="AF77" s="12">
        <f t="shared" si="19"/>
        <v>0</v>
      </c>
      <c r="AG77" s="12">
        <f t="shared" si="20"/>
        <v>0</v>
      </c>
      <c r="AH77" s="12">
        <f t="shared" si="21"/>
        <v>0</v>
      </c>
      <c r="AI77" s="12" t="e">
        <f t="shared" si="22"/>
        <v>#DIV/0!</v>
      </c>
      <c r="AJ77" s="12">
        <f t="shared" si="23"/>
        <v>0</v>
      </c>
      <c r="AK77" s="11" t="e">
        <f>AH77/J77</f>
        <v>#DIV/0!</v>
      </c>
      <c r="AL77" s="11" t="e">
        <f>AG77/J77</f>
        <v>#DIV/0!</v>
      </c>
    </row>
    <row r="78" spans="13:38" x14ac:dyDescent="0.2">
      <c r="M78" s="11">
        <f>(L78/100)*I78</f>
        <v>0</v>
      </c>
      <c r="N78" s="11">
        <f>K78*(L78/100)</f>
        <v>0</v>
      </c>
      <c r="P78" s="11">
        <f>(O78/100)*I78</f>
        <v>0</v>
      </c>
      <c r="Q78" s="11">
        <f>K78*(O78/100)</f>
        <v>0</v>
      </c>
      <c r="R78" s="11" t="e">
        <f t="shared" si="16"/>
        <v>#DIV/0!</v>
      </c>
      <c r="T78" s="11" t="e">
        <f t="shared" si="15"/>
        <v>#DIV/0!</v>
      </c>
      <c r="U78" t="e">
        <f t="shared" si="17"/>
        <v>#DIV/0!</v>
      </c>
      <c r="Y78" s="11">
        <f>V78*I78</f>
        <v>0</v>
      </c>
      <c r="Z78" s="12">
        <f>W78*I78</f>
        <v>0</v>
      </c>
      <c r="AA78" s="12">
        <f>X78*I78</f>
        <v>0</v>
      </c>
      <c r="AE78" s="12">
        <f t="shared" si="18"/>
        <v>0</v>
      </c>
      <c r="AF78" s="12">
        <f t="shared" si="19"/>
        <v>0</v>
      </c>
      <c r="AG78" s="12">
        <f t="shared" si="20"/>
        <v>0</v>
      </c>
      <c r="AH78" s="12">
        <f t="shared" si="21"/>
        <v>0</v>
      </c>
      <c r="AI78" s="12" t="e">
        <f t="shared" si="22"/>
        <v>#DIV/0!</v>
      </c>
      <c r="AJ78" s="12">
        <f t="shared" si="23"/>
        <v>0</v>
      </c>
      <c r="AK78" s="11" t="e">
        <f>AH78/J78</f>
        <v>#DIV/0!</v>
      </c>
      <c r="AL78" s="11" t="e">
        <f>AG78/J78</f>
        <v>#DIV/0!</v>
      </c>
    </row>
    <row r="79" spans="13:38" x14ac:dyDescent="0.2">
      <c r="M79" s="11">
        <f>(L79/100)*I79</f>
        <v>0</v>
      </c>
      <c r="N79" s="11">
        <f>K79*(L79/100)</f>
        <v>0</v>
      </c>
      <c r="P79" s="11">
        <f>(O79/100)*I79</f>
        <v>0</v>
      </c>
      <c r="Q79" s="11">
        <f>K79*(O79/100)</f>
        <v>0</v>
      </c>
      <c r="R79" s="11" t="e">
        <f t="shared" si="16"/>
        <v>#DIV/0!</v>
      </c>
      <c r="T79" s="11" t="e">
        <f t="shared" si="15"/>
        <v>#DIV/0!</v>
      </c>
      <c r="U79" t="e">
        <f t="shared" si="17"/>
        <v>#DIV/0!</v>
      </c>
      <c r="Y79" s="11">
        <f>V79*I79</f>
        <v>0</v>
      </c>
      <c r="Z79" s="12">
        <f>W79*I79</f>
        <v>0</v>
      </c>
      <c r="AA79" s="12">
        <f>X79*I79</f>
        <v>0</v>
      </c>
      <c r="AE79" s="12">
        <f t="shared" si="18"/>
        <v>0</v>
      </c>
      <c r="AF79" s="12">
        <f t="shared" si="19"/>
        <v>0</v>
      </c>
      <c r="AG79" s="12">
        <f t="shared" si="20"/>
        <v>0</v>
      </c>
      <c r="AH79" s="12">
        <f t="shared" si="21"/>
        <v>0</v>
      </c>
      <c r="AI79" s="12" t="e">
        <f t="shared" si="22"/>
        <v>#DIV/0!</v>
      </c>
      <c r="AJ79" s="12">
        <f t="shared" si="23"/>
        <v>0</v>
      </c>
      <c r="AK79" s="11" t="e">
        <f>AH79/J79</f>
        <v>#DIV/0!</v>
      </c>
      <c r="AL79" s="11" t="e">
        <f>AG79/J79</f>
        <v>#DIV/0!</v>
      </c>
    </row>
    <row r="80" spans="13:38" x14ac:dyDescent="0.2">
      <c r="M80" s="11">
        <f>(L80/100)*I80</f>
        <v>0</v>
      </c>
      <c r="N80" s="11">
        <f>K80*(L80/100)</f>
        <v>0</v>
      </c>
      <c r="P80" s="11">
        <f>(O80/100)*I80</f>
        <v>0</v>
      </c>
      <c r="Q80" s="11">
        <f>K80*(O80/100)</f>
        <v>0</v>
      </c>
      <c r="R80" s="11" t="e">
        <f t="shared" si="16"/>
        <v>#DIV/0!</v>
      </c>
      <c r="T80" s="11" t="e">
        <f t="shared" si="15"/>
        <v>#DIV/0!</v>
      </c>
      <c r="U80" t="e">
        <f t="shared" si="17"/>
        <v>#DIV/0!</v>
      </c>
      <c r="Y80" s="11">
        <f>V80*I80</f>
        <v>0</v>
      </c>
      <c r="Z80" s="12">
        <f>W80*I80</f>
        <v>0</v>
      </c>
      <c r="AA80" s="12">
        <f>X80*I80</f>
        <v>0</v>
      </c>
      <c r="AE80" s="12">
        <f t="shared" si="18"/>
        <v>0</v>
      </c>
      <c r="AF80" s="12">
        <f t="shared" si="19"/>
        <v>0</v>
      </c>
      <c r="AG80" s="12">
        <f t="shared" si="20"/>
        <v>0</v>
      </c>
      <c r="AH80" s="12">
        <f t="shared" si="21"/>
        <v>0</v>
      </c>
      <c r="AI80" s="12" t="e">
        <f t="shared" si="22"/>
        <v>#DIV/0!</v>
      </c>
      <c r="AJ80" s="12">
        <f t="shared" si="23"/>
        <v>0</v>
      </c>
      <c r="AK80" s="11" t="e">
        <f>AH80/J80</f>
        <v>#DIV/0!</v>
      </c>
      <c r="AL80" s="11" t="e">
        <f>AG80/J80</f>
        <v>#DIV/0!</v>
      </c>
    </row>
    <row r="81" spans="13:38" x14ac:dyDescent="0.2">
      <c r="M81" s="11">
        <f>(L81/100)*I81</f>
        <v>0</v>
      </c>
      <c r="N81" s="11">
        <f>K81*(L81/100)</f>
        <v>0</v>
      </c>
      <c r="P81" s="11">
        <f>(O81/100)*I81</f>
        <v>0</v>
      </c>
      <c r="Q81" s="11">
        <f>K81*(O81/100)</f>
        <v>0</v>
      </c>
      <c r="R81" s="11" t="e">
        <f t="shared" si="16"/>
        <v>#DIV/0!</v>
      </c>
      <c r="T81" s="11" t="e">
        <f t="shared" si="15"/>
        <v>#DIV/0!</v>
      </c>
      <c r="U81" t="e">
        <f t="shared" si="17"/>
        <v>#DIV/0!</v>
      </c>
      <c r="Y81" s="11">
        <f>V81*I81</f>
        <v>0</v>
      </c>
      <c r="Z81" s="12">
        <f>W81*I81</f>
        <v>0</v>
      </c>
      <c r="AA81" s="12">
        <f>X81*I81</f>
        <v>0</v>
      </c>
      <c r="AE81" s="12">
        <f t="shared" si="18"/>
        <v>0</v>
      </c>
      <c r="AF81" s="12">
        <f t="shared" si="19"/>
        <v>0</v>
      </c>
      <c r="AG81" s="12">
        <f t="shared" si="20"/>
        <v>0</v>
      </c>
      <c r="AH81" s="12">
        <f t="shared" si="21"/>
        <v>0</v>
      </c>
      <c r="AI81" s="12" t="e">
        <f t="shared" si="22"/>
        <v>#DIV/0!</v>
      </c>
      <c r="AJ81" s="12">
        <f t="shared" si="23"/>
        <v>0</v>
      </c>
      <c r="AK81" s="11" t="e">
        <f>AH81/J81</f>
        <v>#DIV/0!</v>
      </c>
      <c r="AL81" s="11" t="e">
        <f>AG81/J81</f>
        <v>#DIV/0!</v>
      </c>
    </row>
    <row r="82" spans="13:38" x14ac:dyDescent="0.2">
      <c r="M82" s="11">
        <f>(L82/100)*I82</f>
        <v>0</v>
      </c>
      <c r="N82" s="11">
        <f>K82*(L82/100)</f>
        <v>0</v>
      </c>
      <c r="P82" s="11">
        <f>(O82/100)*I82</f>
        <v>0</v>
      </c>
      <c r="Q82" s="11">
        <f>K82*(O82/100)</f>
        <v>0</v>
      </c>
      <c r="R82" s="11" t="e">
        <f t="shared" si="16"/>
        <v>#DIV/0!</v>
      </c>
      <c r="T82" s="11" t="e">
        <f t="shared" si="15"/>
        <v>#DIV/0!</v>
      </c>
      <c r="U82" t="e">
        <f t="shared" si="17"/>
        <v>#DIV/0!</v>
      </c>
      <c r="Y82" s="11">
        <f>V82*I82</f>
        <v>0</v>
      </c>
      <c r="Z82" s="12">
        <f>W82*I82</f>
        <v>0</v>
      </c>
      <c r="AA82" s="12">
        <f>X82*I82</f>
        <v>0</v>
      </c>
      <c r="AE82" s="12">
        <f t="shared" si="18"/>
        <v>0</v>
      </c>
      <c r="AF82" s="12">
        <f t="shared" si="19"/>
        <v>0</v>
      </c>
      <c r="AG82" s="12">
        <f t="shared" si="20"/>
        <v>0</v>
      </c>
      <c r="AH82" s="12">
        <f t="shared" si="21"/>
        <v>0</v>
      </c>
      <c r="AI82" s="12" t="e">
        <f t="shared" si="22"/>
        <v>#DIV/0!</v>
      </c>
      <c r="AJ82" s="12">
        <f t="shared" si="23"/>
        <v>0</v>
      </c>
      <c r="AK82" s="11" t="e">
        <f>AH82/J82</f>
        <v>#DIV/0!</v>
      </c>
      <c r="AL82" s="11" t="e">
        <f>AG82/J82</f>
        <v>#DIV/0!</v>
      </c>
    </row>
    <row r="83" spans="13:38" x14ac:dyDescent="0.2">
      <c r="M83" s="11">
        <f>(L83/100)*I83</f>
        <v>0</v>
      </c>
      <c r="N83" s="11">
        <f>K83*(L83/100)</f>
        <v>0</v>
      </c>
      <c r="P83" s="11">
        <f>(O83/100)*I83</f>
        <v>0</v>
      </c>
      <c r="Q83" s="11">
        <f>K83*(O83/100)</f>
        <v>0</v>
      </c>
      <c r="R83" s="11" t="e">
        <f t="shared" si="16"/>
        <v>#DIV/0!</v>
      </c>
      <c r="T83" s="11" t="e">
        <f t="shared" si="15"/>
        <v>#DIV/0!</v>
      </c>
      <c r="U83" t="e">
        <f t="shared" si="17"/>
        <v>#DIV/0!</v>
      </c>
      <c r="Y83" s="11">
        <f>V83*I83</f>
        <v>0</v>
      </c>
      <c r="Z83" s="12">
        <f>W83*I83</f>
        <v>0</v>
      </c>
      <c r="AA83" s="12">
        <f>X83*I83</f>
        <v>0</v>
      </c>
      <c r="AE83" s="12">
        <f t="shared" si="18"/>
        <v>0</v>
      </c>
      <c r="AF83" s="12">
        <f t="shared" si="19"/>
        <v>0</v>
      </c>
      <c r="AG83" s="12">
        <f t="shared" si="20"/>
        <v>0</v>
      </c>
      <c r="AH83" s="12">
        <f t="shared" si="21"/>
        <v>0</v>
      </c>
      <c r="AI83" s="12" t="e">
        <f t="shared" si="22"/>
        <v>#DIV/0!</v>
      </c>
      <c r="AJ83" s="12">
        <f t="shared" si="23"/>
        <v>0</v>
      </c>
      <c r="AK83" s="11" t="e">
        <f>AH83/J83</f>
        <v>#DIV/0!</v>
      </c>
      <c r="AL83" s="11" t="e">
        <f>AG83/J83</f>
        <v>#DIV/0!</v>
      </c>
    </row>
    <row r="84" spans="13:38" x14ac:dyDescent="0.2">
      <c r="M84" s="11">
        <f>(L84/100)*I84</f>
        <v>0</v>
      </c>
      <c r="N84" s="11">
        <f>K84*(L84/100)</f>
        <v>0</v>
      </c>
      <c r="P84" s="11">
        <f>(O84/100)*I84</f>
        <v>0</v>
      </c>
      <c r="Q84" s="11">
        <f>K84*(O84/100)</f>
        <v>0</v>
      </c>
      <c r="R84" s="11" t="e">
        <f t="shared" si="16"/>
        <v>#DIV/0!</v>
      </c>
      <c r="T84" s="11" t="e">
        <f t="shared" si="15"/>
        <v>#DIV/0!</v>
      </c>
      <c r="U84" t="e">
        <f t="shared" si="17"/>
        <v>#DIV/0!</v>
      </c>
      <c r="Y84" s="11">
        <f>V84*I84</f>
        <v>0</v>
      </c>
      <c r="Z84" s="12">
        <f>W84*I84</f>
        <v>0</v>
      </c>
      <c r="AA84" s="12">
        <f>X84*I84</f>
        <v>0</v>
      </c>
      <c r="AE84" s="12">
        <f t="shared" si="18"/>
        <v>0</v>
      </c>
      <c r="AF84" s="12">
        <f t="shared" si="19"/>
        <v>0</v>
      </c>
      <c r="AG84" s="12">
        <f t="shared" si="20"/>
        <v>0</v>
      </c>
      <c r="AH84" s="12">
        <f t="shared" si="21"/>
        <v>0</v>
      </c>
      <c r="AI84" s="12" t="e">
        <f t="shared" si="22"/>
        <v>#DIV/0!</v>
      </c>
      <c r="AJ84" s="12">
        <f t="shared" si="23"/>
        <v>0</v>
      </c>
      <c r="AK84" s="11" t="e">
        <f>AH84/J84</f>
        <v>#DIV/0!</v>
      </c>
      <c r="AL84" s="11" t="e">
        <f>AG84/J84</f>
        <v>#DIV/0!</v>
      </c>
    </row>
    <row r="85" spans="13:38" x14ac:dyDescent="0.2">
      <c r="M85" s="11">
        <f>(L85/100)*I85</f>
        <v>0</v>
      </c>
      <c r="N85" s="11">
        <f>K85*(L85/100)</f>
        <v>0</v>
      </c>
      <c r="P85" s="11">
        <f>(O85/100)*I85</f>
        <v>0</v>
      </c>
      <c r="Q85" s="11">
        <f>K85*(O85/100)</f>
        <v>0</v>
      </c>
      <c r="R85" s="11" t="e">
        <f t="shared" si="16"/>
        <v>#DIV/0!</v>
      </c>
      <c r="T85" s="11" t="e">
        <f t="shared" si="15"/>
        <v>#DIV/0!</v>
      </c>
      <c r="U85" t="e">
        <f t="shared" si="17"/>
        <v>#DIV/0!</v>
      </c>
      <c r="Y85" s="11">
        <f>V85*I85</f>
        <v>0</v>
      </c>
      <c r="Z85" s="12">
        <f>W85*I85</f>
        <v>0</v>
      </c>
      <c r="AA85" s="12">
        <f>X85*I85</f>
        <v>0</v>
      </c>
      <c r="AE85" s="12">
        <f t="shared" si="18"/>
        <v>0</v>
      </c>
      <c r="AF85" s="12">
        <f t="shared" si="19"/>
        <v>0</v>
      </c>
      <c r="AG85" s="12">
        <f t="shared" si="20"/>
        <v>0</v>
      </c>
      <c r="AH85" s="12">
        <f t="shared" si="21"/>
        <v>0</v>
      </c>
      <c r="AI85" s="12" t="e">
        <f t="shared" si="22"/>
        <v>#DIV/0!</v>
      </c>
      <c r="AJ85" s="12">
        <f t="shared" si="23"/>
        <v>0</v>
      </c>
      <c r="AK85" s="11" t="e">
        <f>AH85/J85</f>
        <v>#DIV/0!</v>
      </c>
      <c r="AL85" s="11" t="e">
        <f>AG85/J85</f>
        <v>#DIV/0!</v>
      </c>
    </row>
    <row r="86" spans="13:38" x14ac:dyDescent="0.2">
      <c r="M86" s="11">
        <f>(L86/100)*I86</f>
        <v>0</v>
      </c>
      <c r="N86" s="11">
        <f>K86*(L86/100)</f>
        <v>0</v>
      </c>
      <c r="P86" s="11">
        <f>(O86/100)*I86</f>
        <v>0</v>
      </c>
      <c r="Q86" s="11">
        <f>K86*(O86/100)</f>
        <v>0</v>
      </c>
      <c r="R86" s="11" t="e">
        <f t="shared" si="16"/>
        <v>#DIV/0!</v>
      </c>
      <c r="T86" s="11" t="e">
        <f t="shared" si="15"/>
        <v>#DIV/0!</v>
      </c>
      <c r="U86" t="e">
        <f t="shared" si="17"/>
        <v>#DIV/0!</v>
      </c>
      <c r="Y86" s="11">
        <f>V86*I86</f>
        <v>0</v>
      </c>
      <c r="Z86" s="12">
        <f>W86*I86</f>
        <v>0</v>
      </c>
      <c r="AA86" s="12">
        <f>X86*I86</f>
        <v>0</v>
      </c>
      <c r="AE86" s="12">
        <f t="shared" si="18"/>
        <v>0</v>
      </c>
      <c r="AF86" s="12">
        <f t="shared" si="19"/>
        <v>0</v>
      </c>
      <c r="AG86" s="12">
        <f t="shared" si="20"/>
        <v>0</v>
      </c>
      <c r="AH86" s="12">
        <f t="shared" si="21"/>
        <v>0</v>
      </c>
      <c r="AI86" s="12" t="e">
        <f t="shared" si="22"/>
        <v>#DIV/0!</v>
      </c>
      <c r="AJ86" s="12">
        <f t="shared" si="23"/>
        <v>0</v>
      </c>
      <c r="AK86" s="11" t="e">
        <f>AH86/J86</f>
        <v>#DIV/0!</v>
      </c>
      <c r="AL86" s="11" t="e">
        <f>AG86/J86</f>
        <v>#DIV/0!</v>
      </c>
    </row>
    <row r="87" spans="13:38" x14ac:dyDescent="0.2">
      <c r="M87" s="11">
        <f>(L87/100)*I87</f>
        <v>0</v>
      </c>
      <c r="N87" s="11">
        <f>K87*(L87/100)</f>
        <v>0</v>
      </c>
      <c r="P87" s="11">
        <f>(O87/100)*I87</f>
        <v>0</v>
      </c>
      <c r="Q87" s="11">
        <f>K87*(O87/100)</f>
        <v>0</v>
      </c>
      <c r="R87" s="11" t="e">
        <f t="shared" si="16"/>
        <v>#DIV/0!</v>
      </c>
      <c r="T87" s="11" t="e">
        <f t="shared" si="15"/>
        <v>#DIV/0!</v>
      </c>
      <c r="U87" t="e">
        <f t="shared" si="17"/>
        <v>#DIV/0!</v>
      </c>
      <c r="Y87" s="11">
        <f>V87*I87</f>
        <v>0</v>
      </c>
      <c r="Z87" s="12">
        <f>W87*I87</f>
        <v>0</v>
      </c>
      <c r="AA87" s="12">
        <f>X87*I87</f>
        <v>0</v>
      </c>
      <c r="AE87" s="12">
        <f t="shared" si="18"/>
        <v>0</v>
      </c>
      <c r="AF87" s="12">
        <f t="shared" si="19"/>
        <v>0</v>
      </c>
      <c r="AG87" s="12">
        <f t="shared" si="20"/>
        <v>0</v>
      </c>
      <c r="AH87" s="12">
        <f t="shared" si="21"/>
        <v>0</v>
      </c>
      <c r="AI87" s="12" t="e">
        <f t="shared" si="22"/>
        <v>#DIV/0!</v>
      </c>
      <c r="AJ87" s="12">
        <f t="shared" si="23"/>
        <v>0</v>
      </c>
      <c r="AK87" s="11" t="e">
        <f>AH87/J87</f>
        <v>#DIV/0!</v>
      </c>
      <c r="AL87" s="11" t="e">
        <f>AG87/J87</f>
        <v>#DIV/0!</v>
      </c>
    </row>
    <row r="88" spans="13:38" x14ac:dyDescent="0.2">
      <c r="M88" s="11">
        <f>(L88/100)*I88</f>
        <v>0</v>
      </c>
      <c r="N88" s="11">
        <f>K88*(L88/100)</f>
        <v>0</v>
      </c>
      <c r="P88" s="11">
        <f>(O88/100)*I88</f>
        <v>0</v>
      </c>
      <c r="Q88" s="11">
        <f>K88*(O88/100)</f>
        <v>0</v>
      </c>
      <c r="R88" s="11" t="e">
        <f t="shared" si="16"/>
        <v>#DIV/0!</v>
      </c>
      <c r="T88" s="11" t="e">
        <f t="shared" si="15"/>
        <v>#DIV/0!</v>
      </c>
      <c r="U88" t="e">
        <f t="shared" si="17"/>
        <v>#DIV/0!</v>
      </c>
      <c r="Y88" s="11">
        <f>V88*I88</f>
        <v>0</v>
      </c>
      <c r="Z88" s="12">
        <f>W88*I88</f>
        <v>0</v>
      </c>
      <c r="AA88" s="12">
        <f>X88*I88</f>
        <v>0</v>
      </c>
      <c r="AE88" s="12">
        <f t="shared" si="18"/>
        <v>0</v>
      </c>
      <c r="AF88" s="12">
        <f t="shared" si="19"/>
        <v>0</v>
      </c>
      <c r="AG88" s="12">
        <f t="shared" si="20"/>
        <v>0</v>
      </c>
      <c r="AH88" s="12">
        <f t="shared" si="21"/>
        <v>0</v>
      </c>
      <c r="AI88" s="12" t="e">
        <f t="shared" si="22"/>
        <v>#DIV/0!</v>
      </c>
      <c r="AJ88" s="12">
        <f t="shared" si="23"/>
        <v>0</v>
      </c>
      <c r="AK88" s="11" t="e">
        <f>AH88/J88</f>
        <v>#DIV/0!</v>
      </c>
      <c r="AL88" s="11" t="e">
        <f>AG88/J88</f>
        <v>#DIV/0!</v>
      </c>
    </row>
    <row r="89" spans="13:38" x14ac:dyDescent="0.2">
      <c r="M89" s="11">
        <f>(L89/100)*I89</f>
        <v>0</v>
      </c>
      <c r="N89" s="11">
        <f>K89*(L89/100)</f>
        <v>0</v>
      </c>
      <c r="P89" s="11">
        <f>(O89/100)*I89</f>
        <v>0</v>
      </c>
      <c r="Q89" s="11">
        <f>K89*(O89/100)</f>
        <v>0</v>
      </c>
      <c r="R89" s="11" t="e">
        <f t="shared" si="16"/>
        <v>#DIV/0!</v>
      </c>
      <c r="T89" s="11" t="e">
        <f t="shared" si="15"/>
        <v>#DIV/0!</v>
      </c>
      <c r="U89" t="e">
        <f t="shared" si="17"/>
        <v>#DIV/0!</v>
      </c>
      <c r="Y89" s="11">
        <f>V89*I89</f>
        <v>0</v>
      </c>
      <c r="Z89" s="12">
        <f>W89*I89</f>
        <v>0</v>
      </c>
      <c r="AA89" s="12">
        <f>X89*I89</f>
        <v>0</v>
      </c>
      <c r="AE89" s="12">
        <f t="shared" si="18"/>
        <v>0</v>
      </c>
      <c r="AF89" s="12">
        <f t="shared" si="19"/>
        <v>0</v>
      </c>
      <c r="AG89" s="12">
        <f t="shared" si="20"/>
        <v>0</v>
      </c>
      <c r="AH89" s="12">
        <f t="shared" si="21"/>
        <v>0</v>
      </c>
      <c r="AI89" s="12" t="e">
        <f t="shared" si="22"/>
        <v>#DIV/0!</v>
      </c>
      <c r="AJ89" s="12">
        <f t="shared" si="23"/>
        <v>0</v>
      </c>
      <c r="AK89" s="11" t="e">
        <f>AH89/J89</f>
        <v>#DIV/0!</v>
      </c>
      <c r="AL89" s="11" t="e">
        <f>AG89/J89</f>
        <v>#DIV/0!</v>
      </c>
    </row>
    <row r="90" spans="13:38" x14ac:dyDescent="0.2">
      <c r="M90" s="11">
        <f>(L90/100)*I90</f>
        <v>0</v>
      </c>
      <c r="N90" s="11">
        <f>K90*(L90/100)</f>
        <v>0</v>
      </c>
      <c r="P90" s="11">
        <f>(O90/100)*I90</f>
        <v>0</v>
      </c>
      <c r="Q90" s="11">
        <f>K90*(O90/100)</f>
        <v>0</v>
      </c>
      <c r="R90" s="11" t="e">
        <f t="shared" si="16"/>
        <v>#DIV/0!</v>
      </c>
      <c r="T90" s="11" t="e">
        <f t="shared" si="15"/>
        <v>#DIV/0!</v>
      </c>
      <c r="U90" t="e">
        <f t="shared" si="17"/>
        <v>#DIV/0!</v>
      </c>
      <c r="Y90" s="11">
        <f>V90*I90</f>
        <v>0</v>
      </c>
      <c r="Z90" s="12">
        <f>W90*I90</f>
        <v>0</v>
      </c>
      <c r="AA90" s="12">
        <f>X90*I90</f>
        <v>0</v>
      </c>
      <c r="AE90" s="12">
        <f t="shared" si="18"/>
        <v>0</v>
      </c>
      <c r="AF90" s="12">
        <f t="shared" si="19"/>
        <v>0</v>
      </c>
      <c r="AG90" s="12">
        <f t="shared" si="20"/>
        <v>0</v>
      </c>
      <c r="AH90" s="12">
        <f t="shared" si="21"/>
        <v>0</v>
      </c>
      <c r="AI90" s="12" t="e">
        <f t="shared" si="22"/>
        <v>#DIV/0!</v>
      </c>
      <c r="AJ90" s="12">
        <f t="shared" si="23"/>
        <v>0</v>
      </c>
      <c r="AK90" s="11" t="e">
        <f>AH90/J90</f>
        <v>#DIV/0!</v>
      </c>
      <c r="AL90" s="11" t="e">
        <f>AG90/J90</f>
        <v>#DIV/0!</v>
      </c>
    </row>
    <row r="91" spans="13:38" x14ac:dyDescent="0.2">
      <c r="M91" s="11">
        <f>(L91/100)*I91</f>
        <v>0</v>
      </c>
      <c r="N91" s="11">
        <f>K91*(L91/100)</f>
        <v>0</v>
      </c>
      <c r="P91" s="11">
        <f>(O91/100)*I91</f>
        <v>0</v>
      </c>
      <c r="Q91" s="11">
        <f>K91*(O91/100)</f>
        <v>0</v>
      </c>
      <c r="R91" s="11" t="e">
        <f t="shared" si="16"/>
        <v>#DIV/0!</v>
      </c>
      <c r="T91" s="11" t="e">
        <f t="shared" ref="T91:T154" si="24">S91/J91</f>
        <v>#DIV/0!</v>
      </c>
      <c r="U91" t="e">
        <f t="shared" si="17"/>
        <v>#DIV/0!</v>
      </c>
      <c r="Y91" s="11">
        <f>V91*I91</f>
        <v>0</v>
      </c>
      <c r="Z91" s="12">
        <f>W91*I91</f>
        <v>0</v>
      </c>
      <c r="AA91" s="12">
        <f>X91*I91</f>
        <v>0</v>
      </c>
      <c r="AE91" s="12">
        <f t="shared" si="18"/>
        <v>0</v>
      </c>
      <c r="AF91" s="12">
        <f t="shared" si="19"/>
        <v>0</v>
      </c>
      <c r="AG91" s="12">
        <f t="shared" si="20"/>
        <v>0</v>
      </c>
      <c r="AH91" s="12">
        <f t="shared" si="21"/>
        <v>0</v>
      </c>
      <c r="AI91" s="12" t="e">
        <f t="shared" si="22"/>
        <v>#DIV/0!</v>
      </c>
      <c r="AJ91" s="12">
        <f t="shared" si="23"/>
        <v>0</v>
      </c>
      <c r="AK91" s="11" t="e">
        <f>AH91/J91</f>
        <v>#DIV/0!</v>
      </c>
      <c r="AL91" s="11" t="e">
        <f>AG91/J91</f>
        <v>#DIV/0!</v>
      </c>
    </row>
    <row r="92" spans="13:38" x14ac:dyDescent="0.2">
      <c r="M92" s="11">
        <f>(L92/100)*I92</f>
        <v>0</v>
      </c>
      <c r="N92" s="11">
        <f>K92*(L92/100)</f>
        <v>0</v>
      </c>
      <c r="P92" s="11">
        <f>(O92/100)*I92</f>
        <v>0</v>
      </c>
      <c r="Q92" s="11">
        <f>K92*(O92/100)</f>
        <v>0</v>
      </c>
      <c r="R92" s="11" t="e">
        <f t="shared" si="16"/>
        <v>#DIV/0!</v>
      </c>
      <c r="T92" s="11" t="e">
        <f t="shared" si="24"/>
        <v>#DIV/0!</v>
      </c>
      <c r="U92" t="e">
        <f t="shared" si="17"/>
        <v>#DIV/0!</v>
      </c>
      <c r="Y92" s="11">
        <f>V92*I92</f>
        <v>0</v>
      </c>
      <c r="Z92" s="12">
        <f>W92*I92</f>
        <v>0</v>
      </c>
      <c r="AA92" s="12">
        <f>X92*I92</f>
        <v>0</v>
      </c>
      <c r="AE92" s="12">
        <f t="shared" si="18"/>
        <v>0</v>
      </c>
      <c r="AF92" s="12">
        <f t="shared" si="19"/>
        <v>0</v>
      </c>
      <c r="AG92" s="12">
        <f t="shared" si="20"/>
        <v>0</v>
      </c>
      <c r="AH92" s="12">
        <f t="shared" si="21"/>
        <v>0</v>
      </c>
      <c r="AI92" s="12" t="e">
        <f t="shared" si="22"/>
        <v>#DIV/0!</v>
      </c>
      <c r="AJ92" s="12">
        <f t="shared" si="23"/>
        <v>0</v>
      </c>
      <c r="AK92" s="11" t="e">
        <f>AH92/J92</f>
        <v>#DIV/0!</v>
      </c>
      <c r="AL92" s="11" t="e">
        <f>AG92/J92</f>
        <v>#DIV/0!</v>
      </c>
    </row>
    <row r="93" spans="13:38" x14ac:dyDescent="0.2">
      <c r="M93" s="11">
        <f>(L93/100)*I93</f>
        <v>0</v>
      </c>
      <c r="N93" s="11">
        <f>K93*(L93/100)</f>
        <v>0</v>
      </c>
      <c r="P93" s="11">
        <f>(O93/100)*I93</f>
        <v>0</v>
      </c>
      <c r="Q93" s="11">
        <f>K93*(O93/100)</f>
        <v>0</v>
      </c>
      <c r="R93" s="11" t="e">
        <f t="shared" si="16"/>
        <v>#DIV/0!</v>
      </c>
      <c r="T93" s="11" t="e">
        <f t="shared" si="24"/>
        <v>#DIV/0!</v>
      </c>
      <c r="U93" t="e">
        <f t="shared" si="17"/>
        <v>#DIV/0!</v>
      </c>
      <c r="Y93" s="11">
        <f>V93*I93</f>
        <v>0</v>
      </c>
      <c r="Z93" s="12">
        <f>W93*I93</f>
        <v>0</v>
      </c>
      <c r="AA93" s="12">
        <f>X93*I93</f>
        <v>0</v>
      </c>
      <c r="AE93" s="12">
        <f t="shared" si="18"/>
        <v>0</v>
      </c>
      <c r="AF93" s="12">
        <f t="shared" si="19"/>
        <v>0</v>
      </c>
      <c r="AG93" s="12">
        <f t="shared" si="20"/>
        <v>0</v>
      </c>
      <c r="AH93" s="12">
        <f t="shared" si="21"/>
        <v>0</v>
      </c>
      <c r="AI93" s="12" t="e">
        <f t="shared" si="22"/>
        <v>#DIV/0!</v>
      </c>
      <c r="AJ93" s="12">
        <f t="shared" si="23"/>
        <v>0</v>
      </c>
      <c r="AK93" s="11" t="e">
        <f>AH93/J93</f>
        <v>#DIV/0!</v>
      </c>
      <c r="AL93" s="11" t="e">
        <f>AG93/J93</f>
        <v>#DIV/0!</v>
      </c>
    </row>
    <row r="94" spans="13:38" x14ac:dyDescent="0.2">
      <c r="M94" s="11">
        <f>(L94/100)*I94</f>
        <v>0</v>
      </c>
      <c r="N94" s="11">
        <f>K94*(L94/100)</f>
        <v>0</v>
      </c>
      <c r="P94" s="11">
        <f>(O94/100)*I94</f>
        <v>0</v>
      </c>
      <c r="Q94" s="11">
        <f>K94*(O94/100)</f>
        <v>0</v>
      </c>
      <c r="R94" s="11" t="e">
        <f t="shared" si="16"/>
        <v>#DIV/0!</v>
      </c>
      <c r="T94" s="11" t="e">
        <f t="shared" si="24"/>
        <v>#DIV/0!</v>
      </c>
      <c r="U94" t="e">
        <f t="shared" si="17"/>
        <v>#DIV/0!</v>
      </c>
      <c r="Y94" s="11">
        <f>V94*I94</f>
        <v>0</v>
      </c>
      <c r="Z94" s="12">
        <f>W94*I94</f>
        <v>0</v>
      </c>
      <c r="AA94" s="12">
        <f>X94*I94</f>
        <v>0</v>
      </c>
      <c r="AE94" s="12">
        <f t="shared" si="18"/>
        <v>0</v>
      </c>
      <c r="AF94" s="12">
        <f t="shared" si="19"/>
        <v>0</v>
      </c>
      <c r="AG94" s="12">
        <f t="shared" si="20"/>
        <v>0</v>
      </c>
      <c r="AH94" s="12">
        <f t="shared" si="21"/>
        <v>0</v>
      </c>
      <c r="AI94" s="12" t="e">
        <f t="shared" si="22"/>
        <v>#DIV/0!</v>
      </c>
      <c r="AJ94" s="12">
        <f t="shared" si="23"/>
        <v>0</v>
      </c>
      <c r="AK94" s="11" t="e">
        <f>AH94/J94</f>
        <v>#DIV/0!</v>
      </c>
      <c r="AL94" s="11" t="e">
        <f>AG94/J94</f>
        <v>#DIV/0!</v>
      </c>
    </row>
    <row r="95" spans="13:38" x14ac:dyDescent="0.2">
      <c r="M95" s="11">
        <f>(L95/100)*I95</f>
        <v>0</v>
      </c>
      <c r="N95" s="11">
        <f>K95*(L95/100)</f>
        <v>0</v>
      </c>
      <c r="P95" s="11">
        <f>(O95/100)*I95</f>
        <v>0</v>
      </c>
      <c r="Q95" s="11">
        <f>K95*(O95/100)</f>
        <v>0</v>
      </c>
      <c r="R95" s="11" t="e">
        <f t="shared" si="16"/>
        <v>#DIV/0!</v>
      </c>
      <c r="T95" s="11" t="e">
        <f t="shared" si="24"/>
        <v>#DIV/0!</v>
      </c>
      <c r="U95" t="e">
        <f t="shared" si="17"/>
        <v>#DIV/0!</v>
      </c>
      <c r="Y95" s="11">
        <f>V95*I95</f>
        <v>0</v>
      </c>
      <c r="Z95" s="12">
        <f>W95*I95</f>
        <v>0</v>
      </c>
      <c r="AA95" s="12">
        <f>X95*I95</f>
        <v>0</v>
      </c>
      <c r="AE95" s="12">
        <f t="shared" si="18"/>
        <v>0</v>
      </c>
      <c r="AF95" s="12">
        <f t="shared" si="19"/>
        <v>0</v>
      </c>
      <c r="AG95" s="12">
        <f t="shared" si="20"/>
        <v>0</v>
      </c>
      <c r="AH95" s="12">
        <f t="shared" si="21"/>
        <v>0</v>
      </c>
      <c r="AI95" s="12" t="e">
        <f t="shared" si="22"/>
        <v>#DIV/0!</v>
      </c>
      <c r="AJ95" s="12">
        <f t="shared" si="23"/>
        <v>0</v>
      </c>
      <c r="AK95" s="11" t="e">
        <f>AH95/J95</f>
        <v>#DIV/0!</v>
      </c>
      <c r="AL95" s="11" t="e">
        <f>AG95/J95</f>
        <v>#DIV/0!</v>
      </c>
    </row>
    <row r="96" spans="13:38" x14ac:dyDescent="0.2">
      <c r="M96" s="11">
        <f>(L96/100)*I96</f>
        <v>0</v>
      </c>
      <c r="N96" s="11">
        <f>K96*(L96/100)</f>
        <v>0</v>
      </c>
      <c r="P96" s="11">
        <f>(O96/100)*I96</f>
        <v>0</v>
      </c>
      <c r="Q96" s="11">
        <f>K96*(O96/100)</f>
        <v>0</v>
      </c>
      <c r="R96" s="11" t="e">
        <f t="shared" si="16"/>
        <v>#DIV/0!</v>
      </c>
      <c r="T96" s="11" t="e">
        <f t="shared" si="24"/>
        <v>#DIV/0!</v>
      </c>
      <c r="U96" t="e">
        <f t="shared" si="17"/>
        <v>#DIV/0!</v>
      </c>
      <c r="Y96" s="11">
        <f>V96*I96</f>
        <v>0</v>
      </c>
      <c r="Z96" s="12">
        <f>W96*I96</f>
        <v>0</v>
      </c>
      <c r="AA96" s="12">
        <f>X96*I96</f>
        <v>0</v>
      </c>
      <c r="AE96" s="12">
        <f t="shared" si="18"/>
        <v>0</v>
      </c>
      <c r="AF96" s="12">
        <f t="shared" si="19"/>
        <v>0</v>
      </c>
      <c r="AG96" s="12">
        <f t="shared" si="20"/>
        <v>0</v>
      </c>
      <c r="AH96" s="12">
        <f t="shared" si="21"/>
        <v>0</v>
      </c>
      <c r="AI96" s="12" t="e">
        <f t="shared" si="22"/>
        <v>#DIV/0!</v>
      </c>
      <c r="AJ96" s="12">
        <f t="shared" si="23"/>
        <v>0</v>
      </c>
      <c r="AK96" s="11" t="e">
        <f>AH96/J96</f>
        <v>#DIV/0!</v>
      </c>
      <c r="AL96" s="11" t="e">
        <f>AG96/J96</f>
        <v>#DIV/0!</v>
      </c>
    </row>
    <row r="97" spans="13:38" x14ac:dyDescent="0.2">
      <c r="M97" s="11">
        <f>(L97/100)*I97</f>
        <v>0</v>
      </c>
      <c r="N97" s="11">
        <f>K97*(L97/100)</f>
        <v>0</v>
      </c>
      <c r="P97" s="11">
        <f>(O97/100)*I97</f>
        <v>0</v>
      </c>
      <c r="Q97" s="11">
        <f>K97*(O97/100)</f>
        <v>0</v>
      </c>
      <c r="R97" s="11" t="e">
        <f t="shared" si="16"/>
        <v>#DIV/0!</v>
      </c>
      <c r="T97" s="11" t="e">
        <f t="shared" si="24"/>
        <v>#DIV/0!</v>
      </c>
      <c r="U97" t="e">
        <f t="shared" si="17"/>
        <v>#DIV/0!</v>
      </c>
      <c r="Y97" s="11">
        <f>V97*I97</f>
        <v>0</v>
      </c>
      <c r="Z97" s="12">
        <f>W97*I97</f>
        <v>0</v>
      </c>
      <c r="AA97" s="12">
        <f>X97*I97</f>
        <v>0</v>
      </c>
      <c r="AE97" s="12">
        <f t="shared" si="18"/>
        <v>0</v>
      </c>
      <c r="AF97" s="12">
        <f t="shared" si="19"/>
        <v>0</v>
      </c>
      <c r="AG97" s="12">
        <f t="shared" si="20"/>
        <v>0</v>
      </c>
      <c r="AH97" s="12">
        <f t="shared" si="21"/>
        <v>0</v>
      </c>
      <c r="AI97" s="12" t="e">
        <f t="shared" si="22"/>
        <v>#DIV/0!</v>
      </c>
      <c r="AJ97" s="12">
        <f t="shared" si="23"/>
        <v>0</v>
      </c>
      <c r="AK97" s="11" t="e">
        <f>AH97/J97</f>
        <v>#DIV/0!</v>
      </c>
      <c r="AL97" s="11" t="e">
        <f>AG97/J97</f>
        <v>#DIV/0!</v>
      </c>
    </row>
    <row r="98" spans="13:38" x14ac:dyDescent="0.2">
      <c r="M98" s="11">
        <f>(L98/100)*I98</f>
        <v>0</v>
      </c>
      <c r="N98" s="11">
        <f>K98*(L98/100)</f>
        <v>0</v>
      </c>
      <c r="P98" s="11">
        <f>(O98/100)*I98</f>
        <v>0</v>
      </c>
      <c r="Q98" s="11">
        <f>K98*(O98/100)</f>
        <v>0</v>
      </c>
      <c r="R98" s="11" t="e">
        <f t="shared" si="16"/>
        <v>#DIV/0!</v>
      </c>
      <c r="T98" s="11" t="e">
        <f t="shared" si="24"/>
        <v>#DIV/0!</v>
      </c>
      <c r="U98" t="e">
        <f t="shared" si="17"/>
        <v>#DIV/0!</v>
      </c>
      <c r="Y98" s="11">
        <f>V98*I98</f>
        <v>0</v>
      </c>
      <c r="Z98" s="12">
        <f>W98*I98</f>
        <v>0</v>
      </c>
      <c r="AA98" s="12">
        <f>X98*I98</f>
        <v>0</v>
      </c>
      <c r="AE98" s="12">
        <f t="shared" si="18"/>
        <v>0</v>
      </c>
      <c r="AF98" s="12">
        <f t="shared" si="19"/>
        <v>0</v>
      </c>
      <c r="AG98" s="12">
        <f t="shared" si="20"/>
        <v>0</v>
      </c>
      <c r="AH98" s="12">
        <f t="shared" si="21"/>
        <v>0</v>
      </c>
      <c r="AI98" s="12" t="e">
        <f t="shared" si="22"/>
        <v>#DIV/0!</v>
      </c>
      <c r="AJ98" s="12">
        <f t="shared" si="23"/>
        <v>0</v>
      </c>
      <c r="AK98" s="11" t="e">
        <f>AH98/J98</f>
        <v>#DIV/0!</v>
      </c>
      <c r="AL98" s="11" t="e">
        <f>AG98/J98</f>
        <v>#DIV/0!</v>
      </c>
    </row>
    <row r="99" spans="13:38" x14ac:dyDescent="0.2">
      <c r="M99" s="11">
        <f>(L99/100)*I99</f>
        <v>0</v>
      </c>
      <c r="N99" s="11">
        <f>K99*(L99/100)</f>
        <v>0</v>
      </c>
      <c r="P99" s="11">
        <f>(O99/100)*I99</f>
        <v>0</v>
      </c>
      <c r="Q99" s="11">
        <f>K99*(O99/100)</f>
        <v>0</v>
      </c>
      <c r="R99" s="11" t="e">
        <f t="shared" si="16"/>
        <v>#DIV/0!</v>
      </c>
      <c r="T99" s="11" t="e">
        <f t="shared" si="24"/>
        <v>#DIV/0!</v>
      </c>
      <c r="U99" t="e">
        <f t="shared" si="17"/>
        <v>#DIV/0!</v>
      </c>
      <c r="Y99" s="11">
        <f>V99*I99</f>
        <v>0</v>
      </c>
      <c r="Z99" s="12">
        <f>W99*I99</f>
        <v>0</v>
      </c>
      <c r="AA99" s="12">
        <f>X99*I99</f>
        <v>0</v>
      </c>
      <c r="AE99" s="12">
        <f t="shared" si="18"/>
        <v>0</v>
      </c>
      <c r="AF99" s="12">
        <f t="shared" si="19"/>
        <v>0</v>
      </c>
      <c r="AG99" s="12">
        <f t="shared" si="20"/>
        <v>0</v>
      </c>
      <c r="AH99" s="12">
        <f t="shared" si="21"/>
        <v>0</v>
      </c>
      <c r="AI99" s="12" t="e">
        <f t="shared" si="22"/>
        <v>#DIV/0!</v>
      </c>
      <c r="AJ99" s="12">
        <f t="shared" si="23"/>
        <v>0</v>
      </c>
      <c r="AK99" s="11" t="e">
        <f>AH99/J99</f>
        <v>#DIV/0!</v>
      </c>
      <c r="AL99" s="11" t="e">
        <f>AG99/J99</f>
        <v>#DIV/0!</v>
      </c>
    </row>
    <row r="100" spans="13:38" x14ac:dyDescent="0.2">
      <c r="M100" s="11">
        <f>(L100/100)*I100</f>
        <v>0</v>
      </c>
      <c r="N100" s="11">
        <f>K100*(L100/100)</f>
        <v>0</v>
      </c>
      <c r="P100" s="11">
        <f>(O100/100)*I100</f>
        <v>0</v>
      </c>
      <c r="Q100" s="11">
        <f>K100*(O100/100)</f>
        <v>0</v>
      </c>
      <c r="R100" s="11" t="e">
        <f t="shared" si="16"/>
        <v>#DIV/0!</v>
      </c>
      <c r="T100" s="11" t="e">
        <f t="shared" si="24"/>
        <v>#DIV/0!</v>
      </c>
      <c r="U100" t="e">
        <f t="shared" si="17"/>
        <v>#DIV/0!</v>
      </c>
      <c r="Y100" s="11">
        <f>V100*I100</f>
        <v>0</v>
      </c>
      <c r="Z100" s="12">
        <f>W100*I100</f>
        <v>0</v>
      </c>
      <c r="AA100" s="12">
        <f>X100*I100</f>
        <v>0</v>
      </c>
      <c r="AE100" s="12">
        <f t="shared" si="18"/>
        <v>0</v>
      </c>
      <c r="AF100" s="12">
        <f t="shared" si="19"/>
        <v>0</v>
      </c>
      <c r="AG100" s="12">
        <f t="shared" si="20"/>
        <v>0</v>
      </c>
      <c r="AH100" s="12">
        <f t="shared" si="21"/>
        <v>0</v>
      </c>
      <c r="AI100" s="12" t="e">
        <f t="shared" si="22"/>
        <v>#DIV/0!</v>
      </c>
      <c r="AJ100" s="12">
        <f t="shared" si="23"/>
        <v>0</v>
      </c>
      <c r="AK100" s="11" t="e">
        <f>AH100/J100</f>
        <v>#DIV/0!</v>
      </c>
      <c r="AL100" s="11" t="e">
        <f>AG100/J100</f>
        <v>#DIV/0!</v>
      </c>
    </row>
    <row r="101" spans="13:38" x14ac:dyDescent="0.2">
      <c r="M101" s="11">
        <f>(L101/100)*I101</f>
        <v>0</v>
      </c>
      <c r="N101" s="11">
        <f>K101*(L101/100)</f>
        <v>0</v>
      </c>
      <c r="P101" s="11">
        <f>(O101/100)*I101</f>
        <v>0</v>
      </c>
      <c r="Q101" s="11">
        <f>K101*(O101/100)</f>
        <v>0</v>
      </c>
      <c r="R101" s="11" t="e">
        <f t="shared" si="16"/>
        <v>#DIV/0!</v>
      </c>
      <c r="T101" s="11" t="e">
        <f t="shared" si="24"/>
        <v>#DIV/0!</v>
      </c>
      <c r="U101" t="e">
        <f t="shared" si="17"/>
        <v>#DIV/0!</v>
      </c>
      <c r="Y101" s="11">
        <f>V101*I101</f>
        <v>0</v>
      </c>
      <c r="Z101" s="12">
        <f>W101*I101</f>
        <v>0</v>
      </c>
      <c r="AA101" s="12">
        <f>X101*I101</f>
        <v>0</v>
      </c>
      <c r="AE101" s="12">
        <f t="shared" si="18"/>
        <v>0</v>
      </c>
      <c r="AF101" s="12">
        <f t="shared" si="19"/>
        <v>0</v>
      </c>
      <c r="AG101" s="12">
        <f t="shared" si="20"/>
        <v>0</v>
      </c>
      <c r="AH101" s="12">
        <f t="shared" si="21"/>
        <v>0</v>
      </c>
      <c r="AI101" s="12" t="e">
        <f t="shared" si="22"/>
        <v>#DIV/0!</v>
      </c>
      <c r="AJ101" s="12">
        <f t="shared" si="23"/>
        <v>0</v>
      </c>
      <c r="AK101" s="11" t="e">
        <f>AH101/J101</f>
        <v>#DIV/0!</v>
      </c>
      <c r="AL101" s="11" t="e">
        <f>AG101/J101</f>
        <v>#DIV/0!</v>
      </c>
    </row>
    <row r="102" spans="13:38" x14ac:dyDescent="0.2">
      <c r="M102" s="11">
        <f>(L102/100)*I102</f>
        <v>0</v>
      </c>
      <c r="N102" s="11">
        <f>K102*(L102/100)</f>
        <v>0</v>
      </c>
      <c r="P102" s="11">
        <f>(O102/100)*I102</f>
        <v>0</v>
      </c>
      <c r="Q102" s="11">
        <f>K102*(O102/100)</f>
        <v>0</v>
      </c>
      <c r="R102" s="11" t="e">
        <f t="shared" si="16"/>
        <v>#DIV/0!</v>
      </c>
      <c r="T102" s="11" t="e">
        <f t="shared" si="24"/>
        <v>#DIV/0!</v>
      </c>
      <c r="U102" t="e">
        <f t="shared" si="17"/>
        <v>#DIV/0!</v>
      </c>
      <c r="Y102" s="11">
        <f>V102*I102</f>
        <v>0</v>
      </c>
      <c r="Z102" s="12">
        <f>W102*I102</f>
        <v>0</v>
      </c>
      <c r="AA102" s="12">
        <f>X102*I102</f>
        <v>0</v>
      </c>
      <c r="AE102" s="12">
        <f t="shared" si="18"/>
        <v>0</v>
      </c>
      <c r="AF102" s="12">
        <f t="shared" si="19"/>
        <v>0</v>
      </c>
      <c r="AG102" s="12">
        <f t="shared" si="20"/>
        <v>0</v>
      </c>
      <c r="AH102" s="12">
        <f t="shared" si="21"/>
        <v>0</v>
      </c>
      <c r="AI102" s="12" t="e">
        <f t="shared" si="22"/>
        <v>#DIV/0!</v>
      </c>
      <c r="AJ102" s="12">
        <f t="shared" si="23"/>
        <v>0</v>
      </c>
      <c r="AK102" s="11" t="e">
        <f>AH102/J102</f>
        <v>#DIV/0!</v>
      </c>
      <c r="AL102" s="11" t="e">
        <f>AG102/J102</f>
        <v>#DIV/0!</v>
      </c>
    </row>
    <row r="103" spans="13:38" x14ac:dyDescent="0.2">
      <c r="M103" s="11">
        <f>(L103/100)*I103</f>
        <v>0</v>
      </c>
      <c r="N103" s="11">
        <f>K103*(L103/100)</f>
        <v>0</v>
      </c>
      <c r="P103" s="11">
        <f>(O103/100)*I103</f>
        <v>0</v>
      </c>
      <c r="Q103" s="11">
        <f>K103*(O103/100)</f>
        <v>0</v>
      </c>
      <c r="R103" s="11" t="e">
        <f t="shared" si="16"/>
        <v>#DIV/0!</v>
      </c>
      <c r="T103" s="11" t="e">
        <f t="shared" si="24"/>
        <v>#DIV/0!</v>
      </c>
      <c r="U103" t="e">
        <f t="shared" si="17"/>
        <v>#DIV/0!</v>
      </c>
      <c r="Y103" s="11">
        <f>V103*I103</f>
        <v>0</v>
      </c>
      <c r="Z103" s="12">
        <f>W103*I103</f>
        <v>0</v>
      </c>
      <c r="AA103" s="12">
        <f>X103*I103</f>
        <v>0</v>
      </c>
      <c r="AE103" s="12">
        <f t="shared" si="18"/>
        <v>0</v>
      </c>
      <c r="AF103" s="12">
        <f t="shared" si="19"/>
        <v>0</v>
      </c>
      <c r="AG103" s="12">
        <f t="shared" si="20"/>
        <v>0</v>
      </c>
      <c r="AH103" s="12">
        <f t="shared" si="21"/>
        <v>0</v>
      </c>
      <c r="AI103" s="12" t="e">
        <f t="shared" si="22"/>
        <v>#DIV/0!</v>
      </c>
      <c r="AJ103" s="12">
        <f t="shared" si="23"/>
        <v>0</v>
      </c>
      <c r="AK103" s="11" t="e">
        <f>AH103/J103</f>
        <v>#DIV/0!</v>
      </c>
      <c r="AL103" s="11" t="e">
        <f>AG103/J103</f>
        <v>#DIV/0!</v>
      </c>
    </row>
    <row r="104" spans="13:38" x14ac:dyDescent="0.2">
      <c r="M104" s="11">
        <f>(L104/100)*I104</f>
        <v>0</v>
      </c>
      <c r="N104" s="11">
        <f>K104*(L104/100)</f>
        <v>0</v>
      </c>
      <c r="P104" s="11">
        <f>(O104/100)*I104</f>
        <v>0</v>
      </c>
      <c r="Q104" s="11">
        <f>K104*(O104/100)</f>
        <v>0</v>
      </c>
      <c r="R104" s="11" t="e">
        <f t="shared" si="16"/>
        <v>#DIV/0!</v>
      </c>
      <c r="T104" s="11" t="e">
        <f t="shared" si="24"/>
        <v>#DIV/0!</v>
      </c>
      <c r="U104" t="e">
        <f t="shared" si="17"/>
        <v>#DIV/0!</v>
      </c>
      <c r="Y104" s="11">
        <f>V104*I104</f>
        <v>0</v>
      </c>
      <c r="Z104" s="12">
        <f>W104*I104</f>
        <v>0</v>
      </c>
      <c r="AA104" s="12">
        <f>X104*I104</f>
        <v>0</v>
      </c>
      <c r="AE104" s="12">
        <f t="shared" si="18"/>
        <v>0</v>
      </c>
      <c r="AF104" s="12">
        <f t="shared" si="19"/>
        <v>0</v>
      </c>
      <c r="AG104" s="12">
        <f t="shared" si="20"/>
        <v>0</v>
      </c>
      <c r="AH104" s="12">
        <f t="shared" si="21"/>
        <v>0</v>
      </c>
      <c r="AI104" s="12" t="e">
        <f t="shared" si="22"/>
        <v>#DIV/0!</v>
      </c>
      <c r="AJ104" s="12">
        <f t="shared" si="23"/>
        <v>0</v>
      </c>
      <c r="AK104" s="11" t="e">
        <f>AH104/J104</f>
        <v>#DIV/0!</v>
      </c>
      <c r="AL104" s="11" t="e">
        <f>AG104/J104</f>
        <v>#DIV/0!</v>
      </c>
    </row>
    <row r="105" spans="13:38" x14ac:dyDescent="0.2">
      <c r="M105" s="11">
        <f>(L105/100)*I105</f>
        <v>0</v>
      </c>
      <c r="N105" s="11">
        <f>K105*(L105/100)</f>
        <v>0</v>
      </c>
      <c r="P105" s="11">
        <f>(O105/100)*I105</f>
        <v>0</v>
      </c>
      <c r="Q105" s="11">
        <f>K105*(O105/100)</f>
        <v>0</v>
      </c>
      <c r="R105" s="11" t="e">
        <f t="shared" si="16"/>
        <v>#DIV/0!</v>
      </c>
      <c r="T105" s="11" t="e">
        <f t="shared" si="24"/>
        <v>#DIV/0!</v>
      </c>
      <c r="U105" t="e">
        <f t="shared" si="17"/>
        <v>#DIV/0!</v>
      </c>
      <c r="Y105" s="11">
        <f>V105*I105</f>
        <v>0</v>
      </c>
      <c r="Z105" s="12">
        <f>W105*I105</f>
        <v>0</v>
      </c>
      <c r="AA105" s="12">
        <f>X105*I105</f>
        <v>0</v>
      </c>
      <c r="AE105" s="12">
        <f t="shared" si="18"/>
        <v>0</v>
      </c>
      <c r="AF105" s="12">
        <f t="shared" si="19"/>
        <v>0</v>
      </c>
      <c r="AG105" s="12">
        <f t="shared" si="20"/>
        <v>0</v>
      </c>
      <c r="AH105" s="12">
        <f t="shared" si="21"/>
        <v>0</v>
      </c>
      <c r="AI105" s="12" t="e">
        <f t="shared" si="22"/>
        <v>#DIV/0!</v>
      </c>
      <c r="AJ105" s="12">
        <f t="shared" si="23"/>
        <v>0</v>
      </c>
      <c r="AK105" s="11" t="e">
        <f>AH105/J105</f>
        <v>#DIV/0!</v>
      </c>
      <c r="AL105" s="11" t="e">
        <f>AG105/J105</f>
        <v>#DIV/0!</v>
      </c>
    </row>
    <row r="106" spans="13:38" x14ac:dyDescent="0.2">
      <c r="M106" s="11">
        <f>(L106/100)*I106</f>
        <v>0</v>
      </c>
      <c r="N106" s="11">
        <f>K106*(L106/100)</f>
        <v>0</v>
      </c>
      <c r="P106" s="11">
        <f>(O106/100)*I106</f>
        <v>0</v>
      </c>
      <c r="Q106" s="11">
        <f>K106*(O106/100)</f>
        <v>0</v>
      </c>
      <c r="R106" s="11" t="e">
        <f t="shared" si="16"/>
        <v>#DIV/0!</v>
      </c>
      <c r="T106" s="11" t="e">
        <f t="shared" si="24"/>
        <v>#DIV/0!</v>
      </c>
      <c r="U106" t="e">
        <f t="shared" si="17"/>
        <v>#DIV/0!</v>
      </c>
      <c r="Y106" s="11">
        <f>V106*I106</f>
        <v>0</v>
      </c>
      <c r="Z106" s="12">
        <f>W106*I106</f>
        <v>0</v>
      </c>
      <c r="AA106" s="12">
        <f>X106*I106</f>
        <v>0</v>
      </c>
      <c r="AE106" s="12">
        <f t="shared" si="18"/>
        <v>0</v>
      </c>
      <c r="AF106" s="12">
        <f t="shared" si="19"/>
        <v>0</v>
      </c>
      <c r="AG106" s="12">
        <f t="shared" si="20"/>
        <v>0</v>
      </c>
      <c r="AH106" s="12">
        <f t="shared" si="21"/>
        <v>0</v>
      </c>
      <c r="AI106" s="12" t="e">
        <f t="shared" si="22"/>
        <v>#DIV/0!</v>
      </c>
      <c r="AJ106" s="12">
        <f t="shared" si="23"/>
        <v>0</v>
      </c>
      <c r="AK106" s="11" t="e">
        <f>AH106/J106</f>
        <v>#DIV/0!</v>
      </c>
      <c r="AL106" s="11" t="e">
        <f>AG106/J106</f>
        <v>#DIV/0!</v>
      </c>
    </row>
    <row r="107" spans="13:38" x14ac:dyDescent="0.2">
      <c r="M107" s="11">
        <f>(L107/100)*I107</f>
        <v>0</v>
      </c>
      <c r="N107" s="11">
        <f>K107*(L107/100)</f>
        <v>0</v>
      </c>
      <c r="P107" s="11">
        <f>(O107/100)*I107</f>
        <v>0</v>
      </c>
      <c r="Q107" s="11">
        <f>K107*(O107/100)</f>
        <v>0</v>
      </c>
      <c r="R107" s="11" t="e">
        <f t="shared" si="16"/>
        <v>#DIV/0!</v>
      </c>
      <c r="T107" s="11" t="e">
        <f t="shared" si="24"/>
        <v>#DIV/0!</v>
      </c>
      <c r="U107" t="e">
        <f t="shared" si="17"/>
        <v>#DIV/0!</v>
      </c>
      <c r="Y107" s="11">
        <f>V107*I107</f>
        <v>0</v>
      </c>
      <c r="Z107" s="12">
        <f>W107*I107</f>
        <v>0</v>
      </c>
      <c r="AA107" s="12">
        <f>X107*I107</f>
        <v>0</v>
      </c>
      <c r="AE107" s="12">
        <f t="shared" si="18"/>
        <v>0</v>
      </c>
      <c r="AF107" s="12">
        <f t="shared" si="19"/>
        <v>0</v>
      </c>
      <c r="AG107" s="12">
        <f t="shared" si="20"/>
        <v>0</v>
      </c>
      <c r="AH107" s="12">
        <f t="shared" si="21"/>
        <v>0</v>
      </c>
      <c r="AI107" s="12" t="e">
        <f t="shared" si="22"/>
        <v>#DIV/0!</v>
      </c>
      <c r="AJ107" s="12">
        <f t="shared" si="23"/>
        <v>0</v>
      </c>
      <c r="AK107" s="11" t="e">
        <f>AH107/J107</f>
        <v>#DIV/0!</v>
      </c>
      <c r="AL107" s="11" t="e">
        <f>AG107/J107</f>
        <v>#DIV/0!</v>
      </c>
    </row>
    <row r="108" spans="13:38" x14ac:dyDescent="0.2">
      <c r="M108" s="11">
        <f>(L108/100)*I108</f>
        <v>0</v>
      </c>
      <c r="N108" s="11">
        <f>K108*(L108/100)</f>
        <v>0</v>
      </c>
      <c r="P108" s="11">
        <f>(O108/100)*I108</f>
        <v>0</v>
      </c>
      <c r="Q108" s="11">
        <f>K108*(O108/100)</f>
        <v>0</v>
      </c>
      <c r="R108" s="11" t="e">
        <f t="shared" si="16"/>
        <v>#DIV/0!</v>
      </c>
      <c r="T108" s="11" t="e">
        <f t="shared" si="24"/>
        <v>#DIV/0!</v>
      </c>
      <c r="U108" t="e">
        <f t="shared" si="17"/>
        <v>#DIV/0!</v>
      </c>
      <c r="Y108" s="11">
        <f>V108*I108</f>
        <v>0</v>
      </c>
      <c r="Z108" s="12">
        <f>W108*I108</f>
        <v>0</v>
      </c>
      <c r="AA108" s="12">
        <f>X108*I108</f>
        <v>0</v>
      </c>
      <c r="AE108" s="12">
        <f t="shared" si="18"/>
        <v>0</v>
      </c>
      <c r="AF108" s="12">
        <f t="shared" si="19"/>
        <v>0</v>
      </c>
      <c r="AG108" s="12">
        <f t="shared" si="20"/>
        <v>0</v>
      </c>
      <c r="AH108" s="12">
        <f t="shared" si="21"/>
        <v>0</v>
      </c>
      <c r="AI108" s="12" t="e">
        <f t="shared" si="22"/>
        <v>#DIV/0!</v>
      </c>
      <c r="AJ108" s="12">
        <f t="shared" si="23"/>
        <v>0</v>
      </c>
      <c r="AK108" s="11" t="e">
        <f>AH108/J108</f>
        <v>#DIV/0!</v>
      </c>
      <c r="AL108" s="11" t="e">
        <f>AG108/J108</f>
        <v>#DIV/0!</v>
      </c>
    </row>
    <row r="109" spans="13:38" x14ac:dyDescent="0.2">
      <c r="M109" s="11">
        <f>(L109/100)*I109</f>
        <v>0</v>
      </c>
      <c r="N109" s="11">
        <f>K109*(L109/100)</f>
        <v>0</v>
      </c>
      <c r="P109" s="11">
        <f>(O109/100)*I109</f>
        <v>0</v>
      </c>
      <c r="Q109" s="11">
        <f>K109*(O109/100)</f>
        <v>0</v>
      </c>
      <c r="R109" s="11" t="e">
        <f t="shared" si="16"/>
        <v>#DIV/0!</v>
      </c>
      <c r="T109" s="11" t="e">
        <f t="shared" si="24"/>
        <v>#DIV/0!</v>
      </c>
      <c r="U109" t="e">
        <f t="shared" si="17"/>
        <v>#DIV/0!</v>
      </c>
      <c r="Y109" s="11">
        <f>V109*I109</f>
        <v>0</v>
      </c>
      <c r="Z109" s="12">
        <f>W109*I109</f>
        <v>0</v>
      </c>
      <c r="AA109" s="12">
        <f>X109*I109</f>
        <v>0</v>
      </c>
      <c r="AE109" s="12">
        <f t="shared" si="18"/>
        <v>0</v>
      </c>
      <c r="AF109" s="12">
        <f t="shared" si="19"/>
        <v>0</v>
      </c>
      <c r="AG109" s="12">
        <f t="shared" si="20"/>
        <v>0</v>
      </c>
      <c r="AH109" s="12">
        <f t="shared" si="21"/>
        <v>0</v>
      </c>
      <c r="AI109" s="12" t="e">
        <f t="shared" si="22"/>
        <v>#DIV/0!</v>
      </c>
      <c r="AJ109" s="12">
        <f t="shared" si="23"/>
        <v>0</v>
      </c>
      <c r="AK109" s="11" t="e">
        <f>AH109/J109</f>
        <v>#DIV/0!</v>
      </c>
      <c r="AL109" s="11" t="e">
        <f>AG109/J109</f>
        <v>#DIV/0!</v>
      </c>
    </row>
    <row r="110" spans="13:38" x14ac:dyDescent="0.2">
      <c r="M110" s="11">
        <f>(L110/100)*I110</f>
        <v>0</v>
      </c>
      <c r="N110" s="11">
        <f>K110*(L110/100)</f>
        <v>0</v>
      </c>
      <c r="P110" s="11">
        <f>(O110/100)*I110</f>
        <v>0</v>
      </c>
      <c r="Q110" s="11">
        <f>K110*(O110/100)</f>
        <v>0</v>
      </c>
      <c r="R110" s="11" t="e">
        <f t="shared" si="16"/>
        <v>#DIV/0!</v>
      </c>
      <c r="T110" s="11" t="e">
        <f t="shared" si="24"/>
        <v>#DIV/0!</v>
      </c>
      <c r="U110" t="e">
        <f t="shared" si="17"/>
        <v>#DIV/0!</v>
      </c>
      <c r="Y110" s="11">
        <f>V110*I110</f>
        <v>0</v>
      </c>
      <c r="Z110" s="12">
        <f>W110*I110</f>
        <v>0</v>
      </c>
      <c r="AA110" s="12">
        <f>X110*I110</f>
        <v>0</v>
      </c>
      <c r="AE110" s="12">
        <f t="shared" si="18"/>
        <v>0</v>
      </c>
      <c r="AF110" s="12">
        <f t="shared" si="19"/>
        <v>0</v>
      </c>
      <c r="AG110" s="12">
        <f t="shared" si="20"/>
        <v>0</v>
      </c>
      <c r="AH110" s="12">
        <f t="shared" si="21"/>
        <v>0</v>
      </c>
      <c r="AI110" s="12" t="e">
        <f t="shared" si="22"/>
        <v>#DIV/0!</v>
      </c>
      <c r="AJ110" s="12">
        <f t="shared" si="23"/>
        <v>0</v>
      </c>
      <c r="AK110" s="11" t="e">
        <f>AH110/J110</f>
        <v>#DIV/0!</v>
      </c>
      <c r="AL110" s="11" t="e">
        <f>AG110/J110</f>
        <v>#DIV/0!</v>
      </c>
    </row>
    <row r="111" spans="13:38" x14ac:dyDescent="0.2">
      <c r="M111" s="11">
        <f>(L111/100)*I111</f>
        <v>0</v>
      </c>
      <c r="N111" s="11">
        <f>K111*(L111/100)</f>
        <v>0</v>
      </c>
      <c r="P111" s="11">
        <f>(O111/100)*I111</f>
        <v>0</v>
      </c>
      <c r="Q111" s="11">
        <f>K111*(O111/100)</f>
        <v>0</v>
      </c>
      <c r="R111" s="11" t="e">
        <f t="shared" si="16"/>
        <v>#DIV/0!</v>
      </c>
      <c r="T111" s="11" t="e">
        <f t="shared" si="24"/>
        <v>#DIV/0!</v>
      </c>
      <c r="U111" t="e">
        <f t="shared" si="17"/>
        <v>#DIV/0!</v>
      </c>
      <c r="Y111" s="11">
        <f>V111*I111</f>
        <v>0</v>
      </c>
      <c r="Z111" s="12">
        <f>W111*I111</f>
        <v>0</v>
      </c>
      <c r="AA111" s="12">
        <f>X111*I111</f>
        <v>0</v>
      </c>
      <c r="AE111" s="12">
        <f t="shared" si="18"/>
        <v>0</v>
      </c>
      <c r="AF111" s="12">
        <f t="shared" si="19"/>
        <v>0</v>
      </c>
      <c r="AG111" s="12">
        <f t="shared" si="20"/>
        <v>0</v>
      </c>
      <c r="AH111" s="12">
        <f t="shared" si="21"/>
        <v>0</v>
      </c>
      <c r="AI111" s="12" t="e">
        <f t="shared" si="22"/>
        <v>#DIV/0!</v>
      </c>
      <c r="AJ111" s="12">
        <f t="shared" si="23"/>
        <v>0</v>
      </c>
      <c r="AK111" s="11" t="e">
        <f>AH111/J111</f>
        <v>#DIV/0!</v>
      </c>
      <c r="AL111" s="11" t="e">
        <f>AG111/J111</f>
        <v>#DIV/0!</v>
      </c>
    </row>
    <row r="112" spans="13:38" x14ac:dyDescent="0.2">
      <c r="M112" s="11">
        <f>(L112/100)*I112</f>
        <v>0</v>
      </c>
      <c r="N112" s="11">
        <f>K112*(L112/100)</f>
        <v>0</v>
      </c>
      <c r="P112" s="11">
        <f>(O112/100)*I112</f>
        <v>0</v>
      </c>
      <c r="Q112" s="11">
        <f>K112*(O112/100)</f>
        <v>0</v>
      </c>
      <c r="R112" s="11" t="e">
        <f t="shared" si="16"/>
        <v>#DIV/0!</v>
      </c>
      <c r="T112" s="11" t="e">
        <f t="shared" si="24"/>
        <v>#DIV/0!</v>
      </c>
      <c r="U112" t="e">
        <f t="shared" si="17"/>
        <v>#DIV/0!</v>
      </c>
      <c r="Y112" s="11">
        <f>V112*I112</f>
        <v>0</v>
      </c>
      <c r="Z112" s="12">
        <f>W112*I112</f>
        <v>0</v>
      </c>
      <c r="AA112" s="12">
        <f>X112*I112</f>
        <v>0</v>
      </c>
      <c r="AE112" s="12">
        <f t="shared" si="18"/>
        <v>0</v>
      </c>
      <c r="AF112" s="12">
        <f t="shared" si="19"/>
        <v>0</v>
      </c>
      <c r="AG112" s="12">
        <f t="shared" si="20"/>
        <v>0</v>
      </c>
      <c r="AH112" s="12">
        <f t="shared" si="21"/>
        <v>0</v>
      </c>
      <c r="AI112" s="12" t="e">
        <f t="shared" si="22"/>
        <v>#DIV/0!</v>
      </c>
      <c r="AJ112" s="12">
        <f t="shared" si="23"/>
        <v>0</v>
      </c>
      <c r="AK112" s="11" t="e">
        <f>AH112/J112</f>
        <v>#DIV/0!</v>
      </c>
      <c r="AL112" s="11" t="e">
        <f>AG112/J112</f>
        <v>#DIV/0!</v>
      </c>
    </row>
    <row r="113" spans="13:38" x14ac:dyDescent="0.2">
      <c r="M113" s="11">
        <f>(L113/100)*I113</f>
        <v>0</v>
      </c>
      <c r="N113" s="11">
        <f>K113*(L113/100)</f>
        <v>0</v>
      </c>
      <c r="P113" s="11">
        <f>(O113/100)*I113</f>
        <v>0</v>
      </c>
      <c r="Q113" s="11">
        <f>K113*(O113/100)</f>
        <v>0</v>
      </c>
      <c r="R113" s="11" t="e">
        <f t="shared" si="16"/>
        <v>#DIV/0!</v>
      </c>
      <c r="T113" s="11" t="e">
        <f t="shared" si="24"/>
        <v>#DIV/0!</v>
      </c>
      <c r="U113" t="e">
        <f t="shared" si="17"/>
        <v>#DIV/0!</v>
      </c>
      <c r="Y113" s="11">
        <f>V113*I113</f>
        <v>0</v>
      </c>
      <c r="Z113" s="12">
        <f>W113*I113</f>
        <v>0</v>
      </c>
      <c r="AA113" s="12">
        <f>X113*I113</f>
        <v>0</v>
      </c>
      <c r="AE113" s="12">
        <f t="shared" si="18"/>
        <v>0</v>
      </c>
      <c r="AF113" s="12">
        <f t="shared" si="19"/>
        <v>0</v>
      </c>
      <c r="AG113" s="12">
        <f t="shared" si="20"/>
        <v>0</v>
      </c>
      <c r="AH113" s="12">
        <f t="shared" si="21"/>
        <v>0</v>
      </c>
      <c r="AI113" s="12" t="e">
        <f t="shared" si="22"/>
        <v>#DIV/0!</v>
      </c>
      <c r="AJ113" s="12">
        <f t="shared" si="23"/>
        <v>0</v>
      </c>
      <c r="AK113" s="11" t="e">
        <f>AH113/J113</f>
        <v>#DIV/0!</v>
      </c>
      <c r="AL113" s="11" t="e">
        <f>AG113/J113</f>
        <v>#DIV/0!</v>
      </c>
    </row>
    <row r="114" spans="13:38" x14ac:dyDescent="0.2">
      <c r="M114" s="11">
        <f>(L114/100)*I114</f>
        <v>0</v>
      </c>
      <c r="N114" s="11">
        <f>K114*(L114/100)</f>
        <v>0</v>
      </c>
      <c r="P114" s="11">
        <f>(O114/100)*I114</f>
        <v>0</v>
      </c>
      <c r="Q114" s="11">
        <f>K114*(O114/100)</f>
        <v>0</v>
      </c>
      <c r="R114" s="11" t="e">
        <f t="shared" si="16"/>
        <v>#DIV/0!</v>
      </c>
      <c r="T114" s="11" t="e">
        <f t="shared" si="24"/>
        <v>#DIV/0!</v>
      </c>
      <c r="U114" t="e">
        <f t="shared" si="17"/>
        <v>#DIV/0!</v>
      </c>
      <c r="Y114" s="11">
        <f>V114*I114</f>
        <v>0</v>
      </c>
      <c r="Z114" s="12">
        <f>W114*I114</f>
        <v>0</v>
      </c>
      <c r="AA114" s="12">
        <f>X114*I114</f>
        <v>0</v>
      </c>
      <c r="AE114" s="12">
        <f t="shared" si="18"/>
        <v>0</v>
      </c>
      <c r="AF114" s="12">
        <f t="shared" si="19"/>
        <v>0</v>
      </c>
      <c r="AG114" s="12">
        <f t="shared" si="20"/>
        <v>0</v>
      </c>
      <c r="AH114" s="12">
        <f t="shared" si="21"/>
        <v>0</v>
      </c>
      <c r="AI114" s="12" t="e">
        <f t="shared" si="22"/>
        <v>#DIV/0!</v>
      </c>
      <c r="AJ114" s="12">
        <f t="shared" si="23"/>
        <v>0</v>
      </c>
      <c r="AK114" s="11" t="e">
        <f>AH114/J114</f>
        <v>#DIV/0!</v>
      </c>
      <c r="AL114" s="11" t="e">
        <f>AG114/J114</f>
        <v>#DIV/0!</v>
      </c>
    </row>
    <row r="115" spans="13:38" x14ac:dyDescent="0.2">
      <c r="M115" s="11">
        <f>(L115/100)*I115</f>
        <v>0</v>
      </c>
      <c r="N115" s="11">
        <f>K115*(L115/100)</f>
        <v>0</v>
      </c>
      <c r="P115" s="11">
        <f>(O115/100)*I115</f>
        <v>0</v>
      </c>
      <c r="Q115" s="11">
        <f>K115*(O115/100)</f>
        <v>0</v>
      </c>
      <c r="R115" s="11" t="e">
        <f t="shared" si="16"/>
        <v>#DIV/0!</v>
      </c>
      <c r="T115" s="11" t="e">
        <f t="shared" si="24"/>
        <v>#DIV/0!</v>
      </c>
      <c r="U115" t="e">
        <f t="shared" si="17"/>
        <v>#DIV/0!</v>
      </c>
      <c r="Y115" s="11">
        <f>V115*I115</f>
        <v>0</v>
      </c>
      <c r="Z115" s="12">
        <f>W115*I115</f>
        <v>0</v>
      </c>
      <c r="AA115" s="12">
        <f>X115*I115</f>
        <v>0</v>
      </c>
      <c r="AE115" s="12">
        <f t="shared" si="18"/>
        <v>0</v>
      </c>
      <c r="AF115" s="12">
        <f t="shared" si="19"/>
        <v>0</v>
      </c>
      <c r="AG115" s="12">
        <f t="shared" si="20"/>
        <v>0</v>
      </c>
      <c r="AH115" s="12">
        <f t="shared" si="21"/>
        <v>0</v>
      </c>
      <c r="AI115" s="12" t="e">
        <f t="shared" si="22"/>
        <v>#DIV/0!</v>
      </c>
      <c r="AJ115" s="12">
        <f t="shared" si="23"/>
        <v>0</v>
      </c>
      <c r="AK115" s="11" t="e">
        <f>AH115/J115</f>
        <v>#DIV/0!</v>
      </c>
      <c r="AL115" s="11" t="e">
        <f>AG115/J115</f>
        <v>#DIV/0!</v>
      </c>
    </row>
    <row r="116" spans="13:38" x14ac:dyDescent="0.2">
      <c r="M116" s="11">
        <f>(L116/100)*I116</f>
        <v>0</v>
      </c>
      <c r="N116" s="11">
        <f>K116*(L116/100)</f>
        <v>0</v>
      </c>
      <c r="P116" s="11">
        <f>(O116/100)*I116</f>
        <v>0</v>
      </c>
      <c r="Q116" s="11">
        <f>K116*(O116/100)</f>
        <v>0</v>
      </c>
      <c r="R116" s="11" t="e">
        <f t="shared" si="16"/>
        <v>#DIV/0!</v>
      </c>
      <c r="T116" s="11" t="e">
        <f t="shared" si="24"/>
        <v>#DIV/0!</v>
      </c>
      <c r="U116" t="e">
        <f t="shared" si="17"/>
        <v>#DIV/0!</v>
      </c>
      <c r="Y116" s="11">
        <f>V116*I116</f>
        <v>0</v>
      </c>
      <c r="Z116" s="12">
        <f>W116*I116</f>
        <v>0</v>
      </c>
      <c r="AA116" s="12">
        <f>X116*I116</f>
        <v>0</v>
      </c>
      <c r="AE116" s="12">
        <f t="shared" si="18"/>
        <v>0</v>
      </c>
      <c r="AF116" s="12">
        <f t="shared" si="19"/>
        <v>0</v>
      </c>
      <c r="AG116" s="12">
        <f t="shared" si="20"/>
        <v>0</v>
      </c>
      <c r="AH116" s="12">
        <f t="shared" si="21"/>
        <v>0</v>
      </c>
      <c r="AI116" s="12" t="e">
        <f t="shared" si="22"/>
        <v>#DIV/0!</v>
      </c>
      <c r="AJ116" s="12">
        <f t="shared" si="23"/>
        <v>0</v>
      </c>
      <c r="AK116" s="11" t="e">
        <f>AH116/J116</f>
        <v>#DIV/0!</v>
      </c>
      <c r="AL116" s="11" t="e">
        <f>AG116/J116</f>
        <v>#DIV/0!</v>
      </c>
    </row>
    <row r="117" spans="13:38" x14ac:dyDescent="0.2">
      <c r="M117" s="11">
        <f>(L117/100)*I117</f>
        <v>0</v>
      </c>
      <c r="N117" s="11">
        <f>K117*(L117/100)</f>
        <v>0</v>
      </c>
      <c r="P117" s="11">
        <f>(O117/100)*I117</f>
        <v>0</v>
      </c>
      <c r="Q117" s="11">
        <f>K117*(O117/100)</f>
        <v>0</v>
      </c>
      <c r="R117" s="11" t="e">
        <f t="shared" si="16"/>
        <v>#DIV/0!</v>
      </c>
      <c r="T117" s="11" t="e">
        <f t="shared" si="24"/>
        <v>#DIV/0!</v>
      </c>
      <c r="U117" t="e">
        <f t="shared" si="17"/>
        <v>#DIV/0!</v>
      </c>
      <c r="Y117" s="11">
        <f>V117*I117</f>
        <v>0</v>
      </c>
      <c r="Z117" s="12">
        <f>W117*I117</f>
        <v>0</v>
      </c>
      <c r="AA117" s="12">
        <f>X117*I117</f>
        <v>0</v>
      </c>
      <c r="AE117" s="12">
        <f t="shared" si="18"/>
        <v>0</v>
      </c>
      <c r="AF117" s="12">
        <f t="shared" si="19"/>
        <v>0</v>
      </c>
      <c r="AG117" s="12">
        <f t="shared" si="20"/>
        <v>0</v>
      </c>
      <c r="AH117" s="12">
        <f t="shared" si="21"/>
        <v>0</v>
      </c>
      <c r="AI117" s="12" t="e">
        <f t="shared" si="22"/>
        <v>#DIV/0!</v>
      </c>
      <c r="AJ117" s="12">
        <f t="shared" si="23"/>
        <v>0</v>
      </c>
      <c r="AK117" s="11" t="e">
        <f>AH117/J117</f>
        <v>#DIV/0!</v>
      </c>
      <c r="AL117" s="11" t="e">
        <f>AG117/J117</f>
        <v>#DIV/0!</v>
      </c>
    </row>
    <row r="118" spans="13:38" x14ac:dyDescent="0.2">
      <c r="M118" s="11">
        <f>(L118/100)*I118</f>
        <v>0</v>
      </c>
      <c r="N118" s="11">
        <f>K118*(L118/100)</f>
        <v>0</v>
      </c>
      <c r="P118" s="11">
        <f>(O118/100)*I118</f>
        <v>0</v>
      </c>
      <c r="Q118" s="11">
        <f>K118*(O118/100)</f>
        <v>0</v>
      </c>
      <c r="R118" s="11" t="e">
        <f t="shared" si="16"/>
        <v>#DIV/0!</v>
      </c>
      <c r="T118" s="11" t="e">
        <f t="shared" si="24"/>
        <v>#DIV/0!</v>
      </c>
      <c r="U118" t="e">
        <f t="shared" si="17"/>
        <v>#DIV/0!</v>
      </c>
      <c r="Y118" s="11">
        <f>V118*I118</f>
        <v>0</v>
      </c>
      <c r="Z118" s="12">
        <f>W118*I118</f>
        <v>0</v>
      </c>
      <c r="AA118" s="12">
        <f>X118*I118</f>
        <v>0</v>
      </c>
      <c r="AE118" s="12">
        <f t="shared" si="18"/>
        <v>0</v>
      </c>
      <c r="AF118" s="12">
        <f t="shared" si="19"/>
        <v>0</v>
      </c>
      <c r="AG118" s="12">
        <f t="shared" si="20"/>
        <v>0</v>
      </c>
      <c r="AH118" s="12">
        <f t="shared" si="21"/>
        <v>0</v>
      </c>
      <c r="AI118" s="12" t="e">
        <f t="shared" si="22"/>
        <v>#DIV/0!</v>
      </c>
      <c r="AJ118" s="12">
        <f t="shared" si="23"/>
        <v>0</v>
      </c>
      <c r="AK118" s="11" t="e">
        <f>AH118/J118</f>
        <v>#DIV/0!</v>
      </c>
      <c r="AL118" s="11" t="e">
        <f>AG118/J118</f>
        <v>#DIV/0!</v>
      </c>
    </row>
    <row r="119" spans="13:38" x14ac:dyDescent="0.2">
      <c r="M119" s="11">
        <f>(L119/100)*I119</f>
        <v>0</v>
      </c>
      <c r="N119" s="11">
        <f>K119*(L119/100)</f>
        <v>0</v>
      </c>
      <c r="P119" s="11">
        <f>(O119/100)*I119</f>
        <v>0</v>
      </c>
      <c r="Q119" s="11">
        <f>K119*(O119/100)</f>
        <v>0</v>
      </c>
      <c r="R119" s="11" t="e">
        <f t="shared" si="16"/>
        <v>#DIV/0!</v>
      </c>
      <c r="T119" s="11" t="e">
        <f t="shared" si="24"/>
        <v>#DIV/0!</v>
      </c>
      <c r="U119" t="e">
        <f t="shared" si="17"/>
        <v>#DIV/0!</v>
      </c>
      <c r="Y119" s="11">
        <f>V119*I119</f>
        <v>0</v>
      </c>
      <c r="Z119" s="12">
        <f>W119*I119</f>
        <v>0</v>
      </c>
      <c r="AA119" s="12">
        <f>X119*I119</f>
        <v>0</v>
      </c>
      <c r="AE119" s="12">
        <f t="shared" si="18"/>
        <v>0</v>
      </c>
      <c r="AF119" s="12">
        <f t="shared" si="19"/>
        <v>0</v>
      </c>
      <c r="AG119" s="12">
        <f t="shared" si="20"/>
        <v>0</v>
      </c>
      <c r="AH119" s="12">
        <f t="shared" si="21"/>
        <v>0</v>
      </c>
      <c r="AI119" s="12" t="e">
        <f t="shared" si="22"/>
        <v>#DIV/0!</v>
      </c>
      <c r="AJ119" s="12">
        <f t="shared" si="23"/>
        <v>0</v>
      </c>
      <c r="AK119" s="11" t="e">
        <f>AH119/J119</f>
        <v>#DIV/0!</v>
      </c>
      <c r="AL119" s="11" t="e">
        <f>AG119/J119</f>
        <v>#DIV/0!</v>
      </c>
    </row>
    <row r="120" spans="13:38" x14ac:dyDescent="0.2">
      <c r="M120" s="11">
        <f>(L120/100)*I120</f>
        <v>0</v>
      </c>
      <c r="N120" s="11">
        <f>K120*(L120/100)</f>
        <v>0</v>
      </c>
      <c r="P120" s="11">
        <f>(O120/100)*I120</f>
        <v>0</v>
      </c>
      <c r="Q120" s="11">
        <f>K120*(O120/100)</f>
        <v>0</v>
      </c>
      <c r="R120" s="11" t="e">
        <f t="shared" si="16"/>
        <v>#DIV/0!</v>
      </c>
      <c r="T120" s="11" t="e">
        <f t="shared" si="24"/>
        <v>#DIV/0!</v>
      </c>
      <c r="U120" t="e">
        <f t="shared" si="17"/>
        <v>#DIV/0!</v>
      </c>
      <c r="Y120" s="11">
        <f>V120*I120</f>
        <v>0</v>
      </c>
      <c r="Z120" s="12">
        <f>W120*I120</f>
        <v>0</v>
      </c>
      <c r="AA120" s="12">
        <f>X120*I120</f>
        <v>0</v>
      </c>
      <c r="AE120" s="12">
        <f t="shared" si="18"/>
        <v>0</v>
      </c>
      <c r="AF120" s="12">
        <f t="shared" si="19"/>
        <v>0</v>
      </c>
      <c r="AG120" s="12">
        <f t="shared" si="20"/>
        <v>0</v>
      </c>
      <c r="AH120" s="12">
        <f t="shared" si="21"/>
        <v>0</v>
      </c>
      <c r="AI120" s="12" t="e">
        <f t="shared" si="22"/>
        <v>#DIV/0!</v>
      </c>
      <c r="AJ120" s="12">
        <f t="shared" si="23"/>
        <v>0</v>
      </c>
      <c r="AK120" s="11" t="e">
        <f>AH120/J120</f>
        <v>#DIV/0!</v>
      </c>
      <c r="AL120" s="11" t="e">
        <f>AG120/J120</f>
        <v>#DIV/0!</v>
      </c>
    </row>
    <row r="121" spans="13:38" x14ac:dyDescent="0.2">
      <c r="M121" s="11">
        <f>(L121/100)*I121</f>
        <v>0</v>
      </c>
      <c r="N121" s="11">
        <f>K121*(L121/100)</f>
        <v>0</v>
      </c>
      <c r="P121" s="11">
        <f>(O121/100)*I121</f>
        <v>0</v>
      </c>
      <c r="Q121" s="11">
        <f>K121*(O121/100)</f>
        <v>0</v>
      </c>
      <c r="R121" s="11" t="e">
        <f t="shared" si="16"/>
        <v>#DIV/0!</v>
      </c>
      <c r="T121" s="11" t="e">
        <f t="shared" si="24"/>
        <v>#DIV/0!</v>
      </c>
      <c r="U121" t="e">
        <f t="shared" si="17"/>
        <v>#DIV/0!</v>
      </c>
      <c r="Y121" s="11">
        <f>V121*I121</f>
        <v>0</v>
      </c>
      <c r="Z121" s="12">
        <f>W121*I121</f>
        <v>0</v>
      </c>
      <c r="AA121" s="12">
        <f>X121*I121</f>
        <v>0</v>
      </c>
      <c r="AE121" s="12">
        <f t="shared" si="18"/>
        <v>0</v>
      </c>
      <c r="AF121" s="12">
        <f t="shared" si="19"/>
        <v>0</v>
      </c>
      <c r="AG121" s="12">
        <f t="shared" si="20"/>
        <v>0</v>
      </c>
      <c r="AH121" s="12">
        <f t="shared" si="21"/>
        <v>0</v>
      </c>
      <c r="AI121" s="12" t="e">
        <f t="shared" si="22"/>
        <v>#DIV/0!</v>
      </c>
      <c r="AJ121" s="12">
        <f t="shared" si="23"/>
        <v>0</v>
      </c>
      <c r="AK121" s="11" t="e">
        <f>AH121/J121</f>
        <v>#DIV/0!</v>
      </c>
      <c r="AL121" s="11" t="e">
        <f>AG121/J121</f>
        <v>#DIV/0!</v>
      </c>
    </row>
    <row r="122" spans="13:38" x14ac:dyDescent="0.2">
      <c r="M122" s="11">
        <f>(L122/100)*I122</f>
        <v>0</v>
      </c>
      <c r="N122" s="11">
        <f>K122*(L122/100)</f>
        <v>0</v>
      </c>
      <c r="P122" s="11">
        <f>(O122/100)*I122</f>
        <v>0</v>
      </c>
      <c r="Q122" s="11">
        <f>K122*(O122/100)</f>
        <v>0</v>
      </c>
      <c r="R122" s="11" t="e">
        <f t="shared" si="16"/>
        <v>#DIV/0!</v>
      </c>
      <c r="T122" s="11" t="e">
        <f t="shared" si="24"/>
        <v>#DIV/0!</v>
      </c>
      <c r="U122" t="e">
        <f t="shared" si="17"/>
        <v>#DIV/0!</v>
      </c>
      <c r="Y122" s="11">
        <f>V122*I122</f>
        <v>0</v>
      </c>
      <c r="Z122" s="12">
        <f>W122*I122</f>
        <v>0</v>
      </c>
      <c r="AA122" s="12">
        <f>X122*I122</f>
        <v>0</v>
      </c>
      <c r="AE122" s="12">
        <f t="shared" si="18"/>
        <v>0</v>
      </c>
      <c r="AF122" s="12">
        <f t="shared" si="19"/>
        <v>0</v>
      </c>
      <c r="AG122" s="12">
        <f t="shared" si="20"/>
        <v>0</v>
      </c>
      <c r="AH122" s="12">
        <f t="shared" si="21"/>
        <v>0</v>
      </c>
      <c r="AI122" s="12" t="e">
        <f t="shared" si="22"/>
        <v>#DIV/0!</v>
      </c>
      <c r="AJ122" s="12">
        <f t="shared" si="23"/>
        <v>0</v>
      </c>
      <c r="AK122" s="11" t="e">
        <f>AH122/J122</f>
        <v>#DIV/0!</v>
      </c>
      <c r="AL122" s="11" t="e">
        <f>AG122/J122</f>
        <v>#DIV/0!</v>
      </c>
    </row>
    <row r="123" spans="13:38" x14ac:dyDescent="0.2">
      <c r="M123" s="11">
        <f>(L123/100)*I123</f>
        <v>0</v>
      </c>
      <c r="N123" s="11">
        <f>K123*(L123/100)</f>
        <v>0</v>
      </c>
      <c r="P123" s="11">
        <f>(O123/100)*I123</f>
        <v>0</v>
      </c>
      <c r="Q123" s="11">
        <f>K123*(O123/100)</f>
        <v>0</v>
      </c>
      <c r="R123" s="11" t="e">
        <f t="shared" si="16"/>
        <v>#DIV/0!</v>
      </c>
      <c r="T123" s="11" t="e">
        <f t="shared" si="24"/>
        <v>#DIV/0!</v>
      </c>
      <c r="U123" t="e">
        <f t="shared" si="17"/>
        <v>#DIV/0!</v>
      </c>
      <c r="Y123" s="11">
        <f>V123*I123</f>
        <v>0</v>
      </c>
      <c r="Z123" s="12">
        <f>W123*I123</f>
        <v>0</v>
      </c>
      <c r="AA123" s="12">
        <f>X123*I123</f>
        <v>0</v>
      </c>
      <c r="AE123" s="12">
        <f t="shared" si="18"/>
        <v>0</v>
      </c>
      <c r="AF123" s="12">
        <f t="shared" si="19"/>
        <v>0</v>
      </c>
      <c r="AG123" s="12">
        <f t="shared" si="20"/>
        <v>0</v>
      </c>
      <c r="AH123" s="12">
        <f t="shared" si="21"/>
        <v>0</v>
      </c>
      <c r="AI123" s="12" t="e">
        <f t="shared" si="22"/>
        <v>#DIV/0!</v>
      </c>
      <c r="AJ123" s="12">
        <f t="shared" si="23"/>
        <v>0</v>
      </c>
      <c r="AK123" s="11" t="e">
        <f>AH123/J123</f>
        <v>#DIV/0!</v>
      </c>
      <c r="AL123" s="11" t="e">
        <f>AG123/J123</f>
        <v>#DIV/0!</v>
      </c>
    </row>
    <row r="124" spans="13:38" x14ac:dyDescent="0.2">
      <c r="M124" s="11">
        <f>(L124/100)*I124</f>
        <v>0</v>
      </c>
      <c r="N124" s="11">
        <f>K124*(L124/100)</f>
        <v>0</v>
      </c>
      <c r="P124" s="11">
        <f>(O124/100)*I124</f>
        <v>0</v>
      </c>
      <c r="Q124" s="11">
        <f>K124*(O124/100)</f>
        <v>0</v>
      </c>
      <c r="R124" s="11" t="e">
        <f t="shared" si="16"/>
        <v>#DIV/0!</v>
      </c>
      <c r="T124" s="11" t="e">
        <f t="shared" si="24"/>
        <v>#DIV/0!</v>
      </c>
      <c r="U124" t="e">
        <f t="shared" si="17"/>
        <v>#DIV/0!</v>
      </c>
      <c r="Y124" s="11">
        <f>V124*I124</f>
        <v>0</v>
      </c>
      <c r="Z124" s="12">
        <f>W124*I124</f>
        <v>0</v>
      </c>
      <c r="AA124" s="12">
        <f>X124*I124</f>
        <v>0</v>
      </c>
      <c r="AE124" s="12">
        <f t="shared" si="18"/>
        <v>0</v>
      </c>
      <c r="AF124" s="12">
        <f t="shared" si="19"/>
        <v>0</v>
      </c>
      <c r="AG124" s="12">
        <f t="shared" si="20"/>
        <v>0</v>
      </c>
      <c r="AH124" s="12">
        <f t="shared" si="21"/>
        <v>0</v>
      </c>
      <c r="AI124" s="12" t="e">
        <f t="shared" si="22"/>
        <v>#DIV/0!</v>
      </c>
      <c r="AJ124" s="12">
        <f t="shared" si="23"/>
        <v>0</v>
      </c>
      <c r="AK124" s="11" t="e">
        <f>AH124/J124</f>
        <v>#DIV/0!</v>
      </c>
      <c r="AL124" s="11" t="e">
        <f>AG124/J124</f>
        <v>#DIV/0!</v>
      </c>
    </row>
    <row r="125" spans="13:38" x14ac:dyDescent="0.2">
      <c r="M125" s="11">
        <f>(L125/100)*I125</f>
        <v>0</v>
      </c>
      <c r="N125" s="11">
        <f>K125*(L125/100)</f>
        <v>0</v>
      </c>
      <c r="P125" s="11">
        <f>(O125/100)*I125</f>
        <v>0</v>
      </c>
      <c r="Q125" s="11">
        <f>K125*(O125/100)</f>
        <v>0</v>
      </c>
      <c r="R125" s="11" t="e">
        <f t="shared" si="16"/>
        <v>#DIV/0!</v>
      </c>
      <c r="T125" s="11" t="e">
        <f t="shared" si="24"/>
        <v>#DIV/0!</v>
      </c>
      <c r="U125" t="e">
        <f t="shared" si="17"/>
        <v>#DIV/0!</v>
      </c>
      <c r="Y125" s="11">
        <f>V125*I125</f>
        <v>0</v>
      </c>
      <c r="Z125" s="12">
        <f>W125*I125</f>
        <v>0</v>
      </c>
      <c r="AA125" s="12">
        <f>X125*I125</f>
        <v>0</v>
      </c>
      <c r="AE125" s="12">
        <f t="shared" si="18"/>
        <v>0</v>
      </c>
      <c r="AF125" s="12">
        <f t="shared" si="19"/>
        <v>0</v>
      </c>
      <c r="AG125" s="12">
        <f t="shared" si="20"/>
        <v>0</v>
      </c>
      <c r="AH125" s="12">
        <f t="shared" si="21"/>
        <v>0</v>
      </c>
      <c r="AI125" s="12" t="e">
        <f t="shared" si="22"/>
        <v>#DIV/0!</v>
      </c>
      <c r="AJ125" s="12">
        <f t="shared" si="23"/>
        <v>0</v>
      </c>
      <c r="AK125" s="11" t="e">
        <f>AH125/J125</f>
        <v>#DIV/0!</v>
      </c>
      <c r="AL125" s="11" t="e">
        <f>AG125/J125</f>
        <v>#DIV/0!</v>
      </c>
    </row>
    <row r="126" spans="13:38" x14ac:dyDescent="0.2">
      <c r="M126" s="11">
        <f>(L126/100)*I126</f>
        <v>0</v>
      </c>
      <c r="N126" s="11">
        <f>K126*(L126/100)</f>
        <v>0</v>
      </c>
      <c r="P126" s="11">
        <f>(O126/100)*I126</f>
        <v>0</v>
      </c>
      <c r="Q126" s="11">
        <f>K126*(O126/100)</f>
        <v>0</v>
      </c>
      <c r="R126" s="11" t="e">
        <f t="shared" si="16"/>
        <v>#DIV/0!</v>
      </c>
      <c r="T126" s="11" t="e">
        <f t="shared" si="24"/>
        <v>#DIV/0!</v>
      </c>
      <c r="U126" t="e">
        <f t="shared" si="17"/>
        <v>#DIV/0!</v>
      </c>
      <c r="Y126" s="11">
        <f>V126*I126</f>
        <v>0</v>
      </c>
      <c r="Z126" s="12">
        <f>W126*I126</f>
        <v>0</v>
      </c>
      <c r="AA126" s="12">
        <f>X126*I126</f>
        <v>0</v>
      </c>
      <c r="AE126" s="12">
        <f t="shared" si="18"/>
        <v>0</v>
      </c>
      <c r="AF126" s="12">
        <f t="shared" si="19"/>
        <v>0</v>
      </c>
      <c r="AG126" s="12">
        <f t="shared" si="20"/>
        <v>0</v>
      </c>
      <c r="AH126" s="12">
        <f t="shared" si="21"/>
        <v>0</v>
      </c>
      <c r="AI126" s="12" t="e">
        <f t="shared" si="22"/>
        <v>#DIV/0!</v>
      </c>
      <c r="AJ126" s="12">
        <f t="shared" si="23"/>
        <v>0</v>
      </c>
      <c r="AK126" s="11" t="e">
        <f>AH126/J126</f>
        <v>#DIV/0!</v>
      </c>
      <c r="AL126" s="11" t="e">
        <f>AG126/J126</f>
        <v>#DIV/0!</v>
      </c>
    </row>
    <row r="127" spans="13:38" x14ac:dyDescent="0.2">
      <c r="M127" s="11">
        <f>(L127/100)*I127</f>
        <v>0</v>
      </c>
      <c r="N127" s="11">
        <f>K127*(L127/100)</f>
        <v>0</v>
      </c>
      <c r="P127" s="11">
        <f>(O127/100)*I127</f>
        <v>0</v>
      </c>
      <c r="Q127" s="11">
        <f>K127*(O127/100)</f>
        <v>0</v>
      </c>
      <c r="R127" s="11" t="e">
        <f t="shared" si="16"/>
        <v>#DIV/0!</v>
      </c>
      <c r="T127" s="11" t="e">
        <f t="shared" si="24"/>
        <v>#DIV/0!</v>
      </c>
      <c r="U127" t="e">
        <f t="shared" si="17"/>
        <v>#DIV/0!</v>
      </c>
      <c r="Y127" s="11">
        <f>V127*I127</f>
        <v>0</v>
      </c>
      <c r="Z127" s="12">
        <f>W127*I127</f>
        <v>0</v>
      </c>
      <c r="AA127" s="12">
        <f>X127*I127</f>
        <v>0</v>
      </c>
      <c r="AE127" s="12">
        <f t="shared" si="18"/>
        <v>0</v>
      </c>
      <c r="AF127" s="12">
        <f t="shared" si="19"/>
        <v>0</v>
      </c>
      <c r="AG127" s="12">
        <f t="shared" si="20"/>
        <v>0</v>
      </c>
      <c r="AH127" s="12">
        <f t="shared" si="21"/>
        <v>0</v>
      </c>
      <c r="AI127" s="12" t="e">
        <f t="shared" si="22"/>
        <v>#DIV/0!</v>
      </c>
      <c r="AJ127" s="12">
        <f t="shared" si="23"/>
        <v>0</v>
      </c>
      <c r="AK127" s="11" t="e">
        <f>AH127/J127</f>
        <v>#DIV/0!</v>
      </c>
      <c r="AL127" s="11" t="e">
        <f>AG127/J127</f>
        <v>#DIV/0!</v>
      </c>
    </row>
    <row r="128" spans="13:38" x14ac:dyDescent="0.2">
      <c r="M128" s="11">
        <f>(L128/100)*I128</f>
        <v>0</v>
      </c>
      <c r="N128" s="11">
        <f>K128*(L128/100)</f>
        <v>0</v>
      </c>
      <c r="P128" s="11">
        <f>(O128/100)*I128</f>
        <v>0</v>
      </c>
      <c r="Q128" s="11">
        <f>K128*(O128/100)</f>
        <v>0</v>
      </c>
      <c r="R128" s="11" t="e">
        <f t="shared" si="16"/>
        <v>#DIV/0!</v>
      </c>
      <c r="T128" s="11" t="e">
        <f t="shared" si="24"/>
        <v>#DIV/0!</v>
      </c>
      <c r="U128" t="e">
        <f t="shared" si="17"/>
        <v>#DIV/0!</v>
      </c>
      <c r="Y128" s="11">
        <f>V128*I128</f>
        <v>0</v>
      </c>
      <c r="Z128" s="12">
        <f>W128*I128</f>
        <v>0</v>
      </c>
      <c r="AA128" s="12">
        <f>X128*I128</f>
        <v>0</v>
      </c>
      <c r="AE128" s="12">
        <f t="shared" si="18"/>
        <v>0</v>
      </c>
      <c r="AF128" s="12">
        <f t="shared" si="19"/>
        <v>0</v>
      </c>
      <c r="AG128" s="12">
        <f t="shared" si="20"/>
        <v>0</v>
      </c>
      <c r="AH128" s="12">
        <f t="shared" si="21"/>
        <v>0</v>
      </c>
      <c r="AI128" s="12" t="e">
        <f t="shared" si="22"/>
        <v>#DIV/0!</v>
      </c>
      <c r="AJ128" s="12">
        <f t="shared" si="23"/>
        <v>0</v>
      </c>
      <c r="AK128" s="11" t="e">
        <f>AH128/J128</f>
        <v>#DIV/0!</v>
      </c>
      <c r="AL128" s="11" t="e">
        <f>AG128/J128</f>
        <v>#DIV/0!</v>
      </c>
    </row>
    <row r="129" spans="13:38" x14ac:dyDescent="0.2">
      <c r="M129" s="11">
        <f>(L129/100)*I129</f>
        <v>0</v>
      </c>
      <c r="N129" s="11">
        <f>K129*(L129/100)</f>
        <v>0</v>
      </c>
      <c r="P129" s="11">
        <f>(O129/100)*I129</f>
        <v>0</v>
      </c>
      <c r="Q129" s="11">
        <f>K129*(O129/100)</f>
        <v>0</v>
      </c>
      <c r="R129" s="11" t="e">
        <f t="shared" si="16"/>
        <v>#DIV/0!</v>
      </c>
      <c r="T129" s="11" t="e">
        <f t="shared" si="24"/>
        <v>#DIV/0!</v>
      </c>
      <c r="U129" t="e">
        <f t="shared" si="17"/>
        <v>#DIV/0!</v>
      </c>
      <c r="Y129" s="11">
        <f>V129*I129</f>
        <v>0</v>
      </c>
      <c r="Z129" s="12">
        <f>W129*I129</f>
        <v>0</v>
      </c>
      <c r="AA129" s="12">
        <f>X129*I129</f>
        <v>0</v>
      </c>
      <c r="AE129" s="12">
        <f t="shared" si="18"/>
        <v>0</v>
      </c>
      <c r="AF129" s="12">
        <f t="shared" si="19"/>
        <v>0</v>
      </c>
      <c r="AG129" s="12">
        <f t="shared" si="20"/>
        <v>0</v>
      </c>
      <c r="AH129" s="12">
        <f t="shared" si="21"/>
        <v>0</v>
      </c>
      <c r="AI129" s="12" t="e">
        <f t="shared" si="22"/>
        <v>#DIV/0!</v>
      </c>
      <c r="AJ129" s="12">
        <f t="shared" si="23"/>
        <v>0</v>
      </c>
      <c r="AK129" s="11" t="e">
        <f>AH129/J129</f>
        <v>#DIV/0!</v>
      </c>
      <c r="AL129" s="11" t="e">
        <f>AG129/J129</f>
        <v>#DIV/0!</v>
      </c>
    </row>
    <row r="130" spans="13:38" x14ac:dyDescent="0.2">
      <c r="M130" s="11">
        <f>(L130/100)*I130</f>
        <v>0</v>
      </c>
      <c r="N130" s="11">
        <f>K130*(L130/100)</f>
        <v>0</v>
      </c>
      <c r="P130" s="11">
        <f>(O130/100)*I130</f>
        <v>0</v>
      </c>
      <c r="Q130" s="11">
        <f>K130*(O130/100)</f>
        <v>0</v>
      </c>
      <c r="R130" s="11" t="e">
        <f t="shared" si="16"/>
        <v>#DIV/0!</v>
      </c>
      <c r="T130" s="11" t="e">
        <f t="shared" si="24"/>
        <v>#DIV/0!</v>
      </c>
      <c r="U130" t="e">
        <f t="shared" si="17"/>
        <v>#DIV/0!</v>
      </c>
      <c r="Y130" s="11">
        <f>V130*I130</f>
        <v>0</v>
      </c>
      <c r="Z130" s="12">
        <f>W130*I130</f>
        <v>0</v>
      </c>
      <c r="AA130" s="12">
        <f>X130*I130</f>
        <v>0</v>
      </c>
      <c r="AE130" s="12">
        <f t="shared" si="18"/>
        <v>0</v>
      </c>
      <c r="AF130" s="12">
        <f t="shared" si="19"/>
        <v>0</v>
      </c>
      <c r="AG130" s="12">
        <f t="shared" si="20"/>
        <v>0</v>
      </c>
      <c r="AH130" s="12">
        <f t="shared" si="21"/>
        <v>0</v>
      </c>
      <c r="AI130" s="12" t="e">
        <f t="shared" si="22"/>
        <v>#DIV/0!</v>
      </c>
      <c r="AJ130" s="12">
        <f t="shared" si="23"/>
        <v>0</v>
      </c>
      <c r="AK130" s="11" t="e">
        <f>AH130/J130</f>
        <v>#DIV/0!</v>
      </c>
      <c r="AL130" s="11" t="e">
        <f>AG130/J130</f>
        <v>#DIV/0!</v>
      </c>
    </row>
    <row r="131" spans="13:38" x14ac:dyDescent="0.2">
      <c r="M131" s="11">
        <f>(L131/100)*I131</f>
        <v>0</v>
      </c>
      <c r="N131" s="11">
        <f>K131*(L131/100)</f>
        <v>0</v>
      </c>
      <c r="P131" s="11">
        <f>(O131/100)*I131</f>
        <v>0</v>
      </c>
      <c r="Q131" s="11">
        <f>K131*(O131/100)</f>
        <v>0</v>
      </c>
      <c r="R131" s="11" t="e">
        <f t="shared" ref="R131:R194" si="25">L131/O131</f>
        <v>#DIV/0!</v>
      </c>
      <c r="T131" s="11" t="e">
        <f t="shared" si="24"/>
        <v>#DIV/0!</v>
      </c>
      <c r="U131" t="e">
        <f t="shared" ref="U131:U194" si="26">T131*0.48</f>
        <v>#DIV/0!</v>
      </c>
      <c r="Y131" s="11">
        <f>V131*I131</f>
        <v>0</v>
      </c>
      <c r="Z131" s="12">
        <f>W131*I131</f>
        <v>0</v>
      </c>
      <c r="AA131" s="12">
        <f>X131*I131</f>
        <v>0</v>
      </c>
      <c r="AE131" s="12">
        <f t="shared" ref="AE131:AE194" si="27">Y131*AB131/100</f>
        <v>0</v>
      </c>
      <c r="AF131" s="12">
        <f t="shared" ref="AF131:AF194" si="28">Z131*AC131/100</f>
        <v>0</v>
      </c>
      <c r="AG131" s="12">
        <f t="shared" ref="AG131:AG194" si="29">AA131*AD131/100</f>
        <v>0</v>
      </c>
      <c r="AH131" s="12">
        <f t="shared" ref="AH131:AH194" si="30">SUM(AE131:AF131)</f>
        <v>0</v>
      </c>
      <c r="AI131" s="12" t="e">
        <f t="shared" ref="AI131:AI194" si="31">AG131/AH131</f>
        <v>#DIV/0!</v>
      </c>
      <c r="AJ131" s="12">
        <f t="shared" ref="AJ131:AJ194" si="32">SUM(AG131:AH131)</f>
        <v>0</v>
      </c>
      <c r="AK131" s="11" t="e">
        <f>AH131/J131</f>
        <v>#DIV/0!</v>
      </c>
      <c r="AL131" s="11" t="e">
        <f>AG131/J131</f>
        <v>#DIV/0!</v>
      </c>
    </row>
    <row r="132" spans="13:38" x14ac:dyDescent="0.2">
      <c r="M132" s="11">
        <f>(L132/100)*I132</f>
        <v>0</v>
      </c>
      <c r="N132" s="11">
        <f>K132*(L132/100)</f>
        <v>0</v>
      </c>
      <c r="P132" s="11">
        <f>(O132/100)*I132</f>
        <v>0</v>
      </c>
      <c r="Q132" s="11">
        <f>K132*(O132/100)</f>
        <v>0</v>
      </c>
      <c r="R132" s="11" t="e">
        <f t="shared" si="25"/>
        <v>#DIV/0!</v>
      </c>
      <c r="T132" s="11" t="e">
        <f t="shared" si="24"/>
        <v>#DIV/0!</v>
      </c>
      <c r="U132" t="e">
        <f t="shared" si="26"/>
        <v>#DIV/0!</v>
      </c>
      <c r="Y132" s="11">
        <f>V132*I132</f>
        <v>0</v>
      </c>
      <c r="Z132" s="12">
        <f>W132*I132</f>
        <v>0</v>
      </c>
      <c r="AA132" s="12">
        <f>X132*I132</f>
        <v>0</v>
      </c>
      <c r="AE132" s="12">
        <f t="shared" si="27"/>
        <v>0</v>
      </c>
      <c r="AF132" s="12">
        <f t="shared" si="28"/>
        <v>0</v>
      </c>
      <c r="AG132" s="12">
        <f t="shared" si="29"/>
        <v>0</v>
      </c>
      <c r="AH132" s="12">
        <f t="shared" si="30"/>
        <v>0</v>
      </c>
      <c r="AI132" s="12" t="e">
        <f t="shared" si="31"/>
        <v>#DIV/0!</v>
      </c>
      <c r="AJ132" s="12">
        <f t="shared" si="32"/>
        <v>0</v>
      </c>
      <c r="AK132" s="11" t="e">
        <f>AH132/J132</f>
        <v>#DIV/0!</v>
      </c>
      <c r="AL132" s="11" t="e">
        <f>AG132/J132</f>
        <v>#DIV/0!</v>
      </c>
    </row>
    <row r="133" spans="13:38" x14ac:dyDescent="0.2">
      <c r="M133" s="11">
        <f>(L133/100)*I133</f>
        <v>0</v>
      </c>
      <c r="N133" s="11">
        <f>K133*(L133/100)</f>
        <v>0</v>
      </c>
      <c r="P133" s="11">
        <f>(O133/100)*I133</f>
        <v>0</v>
      </c>
      <c r="Q133" s="11">
        <f>K133*(O133/100)</f>
        <v>0</v>
      </c>
      <c r="R133" s="11" t="e">
        <f t="shared" si="25"/>
        <v>#DIV/0!</v>
      </c>
      <c r="T133" s="11" t="e">
        <f t="shared" si="24"/>
        <v>#DIV/0!</v>
      </c>
      <c r="U133" t="e">
        <f t="shared" si="26"/>
        <v>#DIV/0!</v>
      </c>
      <c r="Y133" s="11">
        <f>V133*I133</f>
        <v>0</v>
      </c>
      <c r="Z133" s="12">
        <f>W133*I133</f>
        <v>0</v>
      </c>
      <c r="AA133" s="12">
        <f>X133*I133</f>
        <v>0</v>
      </c>
      <c r="AE133" s="12">
        <f t="shared" si="27"/>
        <v>0</v>
      </c>
      <c r="AF133" s="12">
        <f t="shared" si="28"/>
        <v>0</v>
      </c>
      <c r="AG133" s="12">
        <f t="shared" si="29"/>
        <v>0</v>
      </c>
      <c r="AH133" s="12">
        <f t="shared" si="30"/>
        <v>0</v>
      </c>
      <c r="AI133" s="12" t="e">
        <f t="shared" si="31"/>
        <v>#DIV/0!</v>
      </c>
      <c r="AJ133" s="12">
        <f t="shared" si="32"/>
        <v>0</v>
      </c>
      <c r="AK133" s="11" t="e">
        <f>AH133/J133</f>
        <v>#DIV/0!</v>
      </c>
      <c r="AL133" s="11" t="e">
        <f>AG133/J133</f>
        <v>#DIV/0!</v>
      </c>
    </row>
    <row r="134" spans="13:38" x14ac:dyDescent="0.2">
      <c r="M134" s="11">
        <f>(L134/100)*I134</f>
        <v>0</v>
      </c>
      <c r="N134" s="11">
        <f>K134*(L134/100)</f>
        <v>0</v>
      </c>
      <c r="P134" s="11">
        <f>(O134/100)*I134</f>
        <v>0</v>
      </c>
      <c r="Q134" s="11">
        <f>K134*(O134/100)</f>
        <v>0</v>
      </c>
      <c r="R134" s="11" t="e">
        <f t="shared" si="25"/>
        <v>#DIV/0!</v>
      </c>
      <c r="T134" s="11" t="e">
        <f t="shared" si="24"/>
        <v>#DIV/0!</v>
      </c>
      <c r="U134" t="e">
        <f t="shared" si="26"/>
        <v>#DIV/0!</v>
      </c>
      <c r="Y134" s="11">
        <f>V134*I134</f>
        <v>0</v>
      </c>
      <c r="Z134" s="12">
        <f>W134*I134</f>
        <v>0</v>
      </c>
      <c r="AA134" s="12">
        <f>X134*I134</f>
        <v>0</v>
      </c>
      <c r="AE134" s="12">
        <f t="shared" si="27"/>
        <v>0</v>
      </c>
      <c r="AF134" s="12">
        <f t="shared" si="28"/>
        <v>0</v>
      </c>
      <c r="AG134" s="12">
        <f t="shared" si="29"/>
        <v>0</v>
      </c>
      <c r="AH134" s="12">
        <f t="shared" si="30"/>
        <v>0</v>
      </c>
      <c r="AI134" s="12" t="e">
        <f t="shared" si="31"/>
        <v>#DIV/0!</v>
      </c>
      <c r="AJ134" s="12">
        <f t="shared" si="32"/>
        <v>0</v>
      </c>
      <c r="AK134" s="11" t="e">
        <f>AH134/J134</f>
        <v>#DIV/0!</v>
      </c>
      <c r="AL134" s="11" t="e">
        <f>AG134/J134</f>
        <v>#DIV/0!</v>
      </c>
    </row>
    <row r="135" spans="13:38" x14ac:dyDescent="0.2">
      <c r="M135" s="11">
        <f>(L135/100)*I135</f>
        <v>0</v>
      </c>
      <c r="N135" s="11">
        <f>K135*(L135/100)</f>
        <v>0</v>
      </c>
      <c r="P135" s="11">
        <f>(O135/100)*I135</f>
        <v>0</v>
      </c>
      <c r="Q135" s="11">
        <f>K135*(O135/100)</f>
        <v>0</v>
      </c>
      <c r="R135" s="11" t="e">
        <f t="shared" si="25"/>
        <v>#DIV/0!</v>
      </c>
      <c r="T135" s="11" t="e">
        <f t="shared" si="24"/>
        <v>#DIV/0!</v>
      </c>
      <c r="U135" t="e">
        <f t="shared" si="26"/>
        <v>#DIV/0!</v>
      </c>
      <c r="Y135" s="11">
        <f>V135*I135</f>
        <v>0</v>
      </c>
      <c r="Z135" s="12">
        <f>W135*I135</f>
        <v>0</v>
      </c>
      <c r="AA135" s="12">
        <f>X135*I135</f>
        <v>0</v>
      </c>
      <c r="AE135" s="12">
        <f t="shared" si="27"/>
        <v>0</v>
      </c>
      <c r="AF135" s="12">
        <f t="shared" si="28"/>
        <v>0</v>
      </c>
      <c r="AG135" s="12">
        <f t="shared" si="29"/>
        <v>0</v>
      </c>
      <c r="AH135" s="12">
        <f t="shared" si="30"/>
        <v>0</v>
      </c>
      <c r="AI135" s="12" t="e">
        <f t="shared" si="31"/>
        <v>#DIV/0!</v>
      </c>
      <c r="AJ135" s="12">
        <f t="shared" si="32"/>
        <v>0</v>
      </c>
      <c r="AK135" s="11" t="e">
        <f>AH135/J135</f>
        <v>#DIV/0!</v>
      </c>
      <c r="AL135" s="11" t="e">
        <f>AG135/J135</f>
        <v>#DIV/0!</v>
      </c>
    </row>
    <row r="136" spans="13:38" x14ac:dyDescent="0.2">
      <c r="M136" s="11">
        <f>(L136/100)*I136</f>
        <v>0</v>
      </c>
      <c r="N136" s="11">
        <f>K136*(L136/100)</f>
        <v>0</v>
      </c>
      <c r="P136" s="11">
        <f>(O136/100)*I136</f>
        <v>0</v>
      </c>
      <c r="Q136" s="11">
        <f>K136*(O136/100)</f>
        <v>0</v>
      </c>
      <c r="R136" s="11" t="e">
        <f t="shared" si="25"/>
        <v>#DIV/0!</v>
      </c>
      <c r="T136" s="11" t="e">
        <f t="shared" si="24"/>
        <v>#DIV/0!</v>
      </c>
      <c r="U136" t="e">
        <f t="shared" si="26"/>
        <v>#DIV/0!</v>
      </c>
      <c r="Y136" s="11">
        <f>V136*I136</f>
        <v>0</v>
      </c>
      <c r="Z136" s="12">
        <f>W136*I136</f>
        <v>0</v>
      </c>
      <c r="AA136" s="12">
        <f>X136*I136</f>
        <v>0</v>
      </c>
      <c r="AE136" s="12">
        <f t="shared" si="27"/>
        <v>0</v>
      </c>
      <c r="AF136" s="12">
        <f t="shared" si="28"/>
        <v>0</v>
      </c>
      <c r="AG136" s="12">
        <f t="shared" si="29"/>
        <v>0</v>
      </c>
      <c r="AH136" s="12">
        <f t="shared" si="30"/>
        <v>0</v>
      </c>
      <c r="AI136" s="12" t="e">
        <f t="shared" si="31"/>
        <v>#DIV/0!</v>
      </c>
      <c r="AJ136" s="12">
        <f t="shared" si="32"/>
        <v>0</v>
      </c>
      <c r="AK136" s="11" t="e">
        <f>AH136/J136</f>
        <v>#DIV/0!</v>
      </c>
      <c r="AL136" s="11" t="e">
        <f>AG136/J136</f>
        <v>#DIV/0!</v>
      </c>
    </row>
    <row r="137" spans="13:38" x14ac:dyDescent="0.2">
      <c r="M137" s="11">
        <f>(L137/100)*I137</f>
        <v>0</v>
      </c>
      <c r="N137" s="11">
        <f>K137*(L137/100)</f>
        <v>0</v>
      </c>
      <c r="P137" s="11">
        <f>(O137/100)*I137</f>
        <v>0</v>
      </c>
      <c r="Q137" s="11">
        <f>K137*(O137/100)</f>
        <v>0</v>
      </c>
      <c r="R137" s="11" t="e">
        <f t="shared" si="25"/>
        <v>#DIV/0!</v>
      </c>
      <c r="T137" s="11" t="e">
        <f t="shared" si="24"/>
        <v>#DIV/0!</v>
      </c>
      <c r="U137" t="e">
        <f t="shared" si="26"/>
        <v>#DIV/0!</v>
      </c>
      <c r="Y137" s="11">
        <f>V137*I137</f>
        <v>0</v>
      </c>
      <c r="Z137" s="12">
        <f>W137*I137</f>
        <v>0</v>
      </c>
      <c r="AA137" s="12">
        <f>X137*I137</f>
        <v>0</v>
      </c>
      <c r="AE137" s="12">
        <f t="shared" si="27"/>
        <v>0</v>
      </c>
      <c r="AF137" s="12">
        <f t="shared" si="28"/>
        <v>0</v>
      </c>
      <c r="AG137" s="12">
        <f t="shared" si="29"/>
        <v>0</v>
      </c>
      <c r="AH137" s="12">
        <f t="shared" si="30"/>
        <v>0</v>
      </c>
      <c r="AI137" s="12" t="e">
        <f t="shared" si="31"/>
        <v>#DIV/0!</v>
      </c>
      <c r="AJ137" s="12">
        <f t="shared" si="32"/>
        <v>0</v>
      </c>
      <c r="AK137" s="11" t="e">
        <f>AH137/J137</f>
        <v>#DIV/0!</v>
      </c>
      <c r="AL137" s="11" t="e">
        <f>AG137/J137</f>
        <v>#DIV/0!</v>
      </c>
    </row>
    <row r="138" spans="13:38" x14ac:dyDescent="0.2">
      <c r="M138" s="11">
        <f>(L138/100)*I138</f>
        <v>0</v>
      </c>
      <c r="N138" s="11">
        <f>K138*(L138/100)</f>
        <v>0</v>
      </c>
      <c r="P138" s="11">
        <f>(O138/100)*I138</f>
        <v>0</v>
      </c>
      <c r="Q138" s="11">
        <f>K138*(O138/100)</f>
        <v>0</v>
      </c>
      <c r="R138" s="11" t="e">
        <f t="shared" si="25"/>
        <v>#DIV/0!</v>
      </c>
      <c r="T138" s="11" t="e">
        <f t="shared" si="24"/>
        <v>#DIV/0!</v>
      </c>
      <c r="U138" t="e">
        <f t="shared" si="26"/>
        <v>#DIV/0!</v>
      </c>
      <c r="Y138" s="11">
        <f>V138*I138</f>
        <v>0</v>
      </c>
      <c r="Z138" s="12">
        <f>W138*I138</f>
        <v>0</v>
      </c>
      <c r="AA138" s="12">
        <f>X138*I138</f>
        <v>0</v>
      </c>
      <c r="AE138" s="12">
        <f t="shared" si="27"/>
        <v>0</v>
      </c>
      <c r="AF138" s="12">
        <f t="shared" si="28"/>
        <v>0</v>
      </c>
      <c r="AG138" s="12">
        <f t="shared" si="29"/>
        <v>0</v>
      </c>
      <c r="AH138" s="12">
        <f t="shared" si="30"/>
        <v>0</v>
      </c>
      <c r="AI138" s="12" t="e">
        <f t="shared" si="31"/>
        <v>#DIV/0!</v>
      </c>
      <c r="AJ138" s="12">
        <f t="shared" si="32"/>
        <v>0</v>
      </c>
      <c r="AK138" s="11" t="e">
        <f>AH138/J138</f>
        <v>#DIV/0!</v>
      </c>
      <c r="AL138" s="11" t="e">
        <f>AG138/J138</f>
        <v>#DIV/0!</v>
      </c>
    </row>
    <row r="139" spans="13:38" x14ac:dyDescent="0.2">
      <c r="M139" s="11">
        <f>(L139/100)*I139</f>
        <v>0</v>
      </c>
      <c r="N139" s="11">
        <f>K139*(L139/100)</f>
        <v>0</v>
      </c>
      <c r="P139" s="11">
        <f>(O139/100)*I139</f>
        <v>0</v>
      </c>
      <c r="Q139" s="11">
        <f>K139*(O139/100)</f>
        <v>0</v>
      </c>
      <c r="R139" s="11" t="e">
        <f t="shared" si="25"/>
        <v>#DIV/0!</v>
      </c>
      <c r="T139" s="11" t="e">
        <f t="shared" si="24"/>
        <v>#DIV/0!</v>
      </c>
      <c r="U139" t="e">
        <f t="shared" si="26"/>
        <v>#DIV/0!</v>
      </c>
      <c r="Y139" s="11">
        <f>V139*I139</f>
        <v>0</v>
      </c>
      <c r="Z139" s="12">
        <f>W139*I139</f>
        <v>0</v>
      </c>
      <c r="AA139" s="12">
        <f>X139*I139</f>
        <v>0</v>
      </c>
      <c r="AE139" s="12">
        <f t="shared" si="27"/>
        <v>0</v>
      </c>
      <c r="AF139" s="12">
        <f t="shared" si="28"/>
        <v>0</v>
      </c>
      <c r="AG139" s="12">
        <f t="shared" si="29"/>
        <v>0</v>
      </c>
      <c r="AH139" s="12">
        <f t="shared" si="30"/>
        <v>0</v>
      </c>
      <c r="AI139" s="12" t="e">
        <f t="shared" si="31"/>
        <v>#DIV/0!</v>
      </c>
      <c r="AJ139" s="12">
        <f t="shared" si="32"/>
        <v>0</v>
      </c>
      <c r="AK139" s="11" t="e">
        <f>AH139/J139</f>
        <v>#DIV/0!</v>
      </c>
      <c r="AL139" s="11" t="e">
        <f>AG139/J139</f>
        <v>#DIV/0!</v>
      </c>
    </row>
    <row r="140" spans="13:38" x14ac:dyDescent="0.2">
      <c r="M140" s="11">
        <f>(L140/100)*I140</f>
        <v>0</v>
      </c>
      <c r="N140" s="11">
        <f>K140*(L140/100)</f>
        <v>0</v>
      </c>
      <c r="P140" s="11">
        <f>(O140/100)*I140</f>
        <v>0</v>
      </c>
      <c r="Q140" s="11">
        <f>K140*(O140/100)</f>
        <v>0</v>
      </c>
      <c r="R140" s="11" t="e">
        <f t="shared" si="25"/>
        <v>#DIV/0!</v>
      </c>
      <c r="T140" s="11" t="e">
        <f t="shared" si="24"/>
        <v>#DIV/0!</v>
      </c>
      <c r="U140" t="e">
        <f t="shared" si="26"/>
        <v>#DIV/0!</v>
      </c>
      <c r="Y140" s="11">
        <f>V140*I140</f>
        <v>0</v>
      </c>
      <c r="Z140" s="12">
        <f>W140*I140</f>
        <v>0</v>
      </c>
      <c r="AA140" s="12">
        <f>X140*I140</f>
        <v>0</v>
      </c>
      <c r="AE140" s="12">
        <f t="shared" si="27"/>
        <v>0</v>
      </c>
      <c r="AF140" s="12">
        <f t="shared" si="28"/>
        <v>0</v>
      </c>
      <c r="AG140" s="12">
        <f t="shared" si="29"/>
        <v>0</v>
      </c>
      <c r="AH140" s="12">
        <f t="shared" si="30"/>
        <v>0</v>
      </c>
      <c r="AI140" s="12" t="e">
        <f t="shared" si="31"/>
        <v>#DIV/0!</v>
      </c>
      <c r="AJ140" s="12">
        <f t="shared" si="32"/>
        <v>0</v>
      </c>
      <c r="AK140" s="11" t="e">
        <f>AH140/J140</f>
        <v>#DIV/0!</v>
      </c>
      <c r="AL140" s="11" t="e">
        <f>AG140/J140</f>
        <v>#DIV/0!</v>
      </c>
    </row>
    <row r="141" spans="13:38" x14ac:dyDescent="0.2">
      <c r="M141" s="11">
        <f>(L141/100)*I141</f>
        <v>0</v>
      </c>
      <c r="N141" s="11">
        <f>K141*(L141/100)</f>
        <v>0</v>
      </c>
      <c r="P141" s="11">
        <f>(O141/100)*I141</f>
        <v>0</v>
      </c>
      <c r="Q141" s="11">
        <f>K141*(O141/100)</f>
        <v>0</v>
      </c>
      <c r="R141" s="11" t="e">
        <f t="shared" si="25"/>
        <v>#DIV/0!</v>
      </c>
      <c r="T141" s="11" t="e">
        <f t="shared" si="24"/>
        <v>#DIV/0!</v>
      </c>
      <c r="U141" t="e">
        <f t="shared" si="26"/>
        <v>#DIV/0!</v>
      </c>
      <c r="Y141" s="11">
        <f>V141*I141</f>
        <v>0</v>
      </c>
      <c r="Z141" s="12">
        <f>W141*I141</f>
        <v>0</v>
      </c>
      <c r="AA141" s="12">
        <f>X141*I141</f>
        <v>0</v>
      </c>
      <c r="AE141" s="12">
        <f t="shared" si="27"/>
        <v>0</v>
      </c>
      <c r="AF141" s="12">
        <f t="shared" si="28"/>
        <v>0</v>
      </c>
      <c r="AG141" s="12">
        <f t="shared" si="29"/>
        <v>0</v>
      </c>
      <c r="AH141" s="12">
        <f t="shared" si="30"/>
        <v>0</v>
      </c>
      <c r="AI141" s="12" t="e">
        <f t="shared" si="31"/>
        <v>#DIV/0!</v>
      </c>
      <c r="AJ141" s="12">
        <f t="shared" si="32"/>
        <v>0</v>
      </c>
      <c r="AK141" s="11" t="e">
        <f>AH141/J141</f>
        <v>#DIV/0!</v>
      </c>
      <c r="AL141" s="11" t="e">
        <f>AG141/J141</f>
        <v>#DIV/0!</v>
      </c>
    </row>
    <row r="142" spans="13:38" x14ac:dyDescent="0.2">
      <c r="M142" s="11">
        <f>(L142/100)*I142</f>
        <v>0</v>
      </c>
      <c r="N142" s="11">
        <f>K142*(L142/100)</f>
        <v>0</v>
      </c>
      <c r="P142" s="11">
        <f>(O142/100)*I142</f>
        <v>0</v>
      </c>
      <c r="Q142" s="11">
        <f>K142*(O142/100)</f>
        <v>0</v>
      </c>
      <c r="R142" s="11" t="e">
        <f t="shared" si="25"/>
        <v>#DIV/0!</v>
      </c>
      <c r="T142" s="11" t="e">
        <f t="shared" si="24"/>
        <v>#DIV/0!</v>
      </c>
      <c r="U142" t="e">
        <f t="shared" si="26"/>
        <v>#DIV/0!</v>
      </c>
      <c r="Y142" s="11">
        <f>V142*I142</f>
        <v>0</v>
      </c>
      <c r="Z142" s="12">
        <f>W142*I142</f>
        <v>0</v>
      </c>
      <c r="AA142" s="12">
        <f>X142*I142</f>
        <v>0</v>
      </c>
      <c r="AE142" s="12">
        <f t="shared" si="27"/>
        <v>0</v>
      </c>
      <c r="AF142" s="12">
        <f t="shared" si="28"/>
        <v>0</v>
      </c>
      <c r="AG142" s="12">
        <f t="shared" si="29"/>
        <v>0</v>
      </c>
      <c r="AH142" s="12">
        <f t="shared" si="30"/>
        <v>0</v>
      </c>
      <c r="AI142" s="12" t="e">
        <f t="shared" si="31"/>
        <v>#DIV/0!</v>
      </c>
      <c r="AJ142" s="12">
        <f t="shared" si="32"/>
        <v>0</v>
      </c>
      <c r="AK142" s="11" t="e">
        <f>AH142/J142</f>
        <v>#DIV/0!</v>
      </c>
      <c r="AL142" s="11" t="e">
        <f>AG142/J142</f>
        <v>#DIV/0!</v>
      </c>
    </row>
    <row r="143" spans="13:38" x14ac:dyDescent="0.2">
      <c r="M143" s="11">
        <f>(L143/100)*I143</f>
        <v>0</v>
      </c>
      <c r="N143" s="11">
        <f>K143*(L143/100)</f>
        <v>0</v>
      </c>
      <c r="P143" s="11">
        <f>(O143/100)*I143</f>
        <v>0</v>
      </c>
      <c r="Q143" s="11">
        <f>K143*(O143/100)</f>
        <v>0</v>
      </c>
      <c r="R143" s="11" t="e">
        <f t="shared" si="25"/>
        <v>#DIV/0!</v>
      </c>
      <c r="T143" s="11" t="e">
        <f t="shared" si="24"/>
        <v>#DIV/0!</v>
      </c>
      <c r="U143" t="e">
        <f t="shared" si="26"/>
        <v>#DIV/0!</v>
      </c>
      <c r="Y143" s="11">
        <f>V143*I143</f>
        <v>0</v>
      </c>
      <c r="Z143" s="12">
        <f>W143*I143</f>
        <v>0</v>
      </c>
      <c r="AA143" s="12">
        <f>X143*I143</f>
        <v>0</v>
      </c>
      <c r="AE143" s="12">
        <f t="shared" si="27"/>
        <v>0</v>
      </c>
      <c r="AF143" s="12">
        <f t="shared" si="28"/>
        <v>0</v>
      </c>
      <c r="AG143" s="12">
        <f t="shared" si="29"/>
        <v>0</v>
      </c>
      <c r="AH143" s="12">
        <f t="shared" si="30"/>
        <v>0</v>
      </c>
      <c r="AI143" s="12" t="e">
        <f t="shared" si="31"/>
        <v>#DIV/0!</v>
      </c>
      <c r="AJ143" s="12">
        <f t="shared" si="32"/>
        <v>0</v>
      </c>
      <c r="AK143" s="11" t="e">
        <f>AH143/J143</f>
        <v>#DIV/0!</v>
      </c>
      <c r="AL143" s="11" t="e">
        <f>AG143/J143</f>
        <v>#DIV/0!</v>
      </c>
    </row>
    <row r="144" spans="13:38" x14ac:dyDescent="0.2">
      <c r="M144" s="11">
        <f>(L144/100)*I144</f>
        <v>0</v>
      </c>
      <c r="N144" s="11">
        <f>K144*(L144/100)</f>
        <v>0</v>
      </c>
      <c r="P144" s="11">
        <f>(O144/100)*I144</f>
        <v>0</v>
      </c>
      <c r="Q144" s="11">
        <f>K144*(O144/100)</f>
        <v>0</v>
      </c>
      <c r="R144" s="11" t="e">
        <f t="shared" si="25"/>
        <v>#DIV/0!</v>
      </c>
      <c r="T144" s="11" t="e">
        <f t="shared" si="24"/>
        <v>#DIV/0!</v>
      </c>
      <c r="U144" t="e">
        <f t="shared" si="26"/>
        <v>#DIV/0!</v>
      </c>
      <c r="Y144" s="11">
        <f>V144*I144</f>
        <v>0</v>
      </c>
      <c r="Z144" s="12">
        <f>W144*I144</f>
        <v>0</v>
      </c>
      <c r="AA144" s="12">
        <f>X144*I144</f>
        <v>0</v>
      </c>
      <c r="AE144" s="12">
        <f t="shared" si="27"/>
        <v>0</v>
      </c>
      <c r="AF144" s="12">
        <f t="shared" si="28"/>
        <v>0</v>
      </c>
      <c r="AG144" s="12">
        <f t="shared" si="29"/>
        <v>0</v>
      </c>
      <c r="AH144" s="12">
        <f t="shared" si="30"/>
        <v>0</v>
      </c>
      <c r="AI144" s="12" t="e">
        <f t="shared" si="31"/>
        <v>#DIV/0!</v>
      </c>
      <c r="AJ144" s="12">
        <f t="shared" si="32"/>
        <v>0</v>
      </c>
      <c r="AK144" s="11" t="e">
        <f>AH144/J144</f>
        <v>#DIV/0!</v>
      </c>
      <c r="AL144" s="11" t="e">
        <f>AG144/J144</f>
        <v>#DIV/0!</v>
      </c>
    </row>
    <row r="145" spans="13:38" x14ac:dyDescent="0.2">
      <c r="M145" s="11">
        <f>(L145/100)*I145</f>
        <v>0</v>
      </c>
      <c r="N145" s="11">
        <f>K145*(L145/100)</f>
        <v>0</v>
      </c>
      <c r="P145" s="11">
        <f>(O145/100)*I145</f>
        <v>0</v>
      </c>
      <c r="Q145" s="11">
        <f>K145*(O145/100)</f>
        <v>0</v>
      </c>
      <c r="R145" s="11" t="e">
        <f t="shared" si="25"/>
        <v>#DIV/0!</v>
      </c>
      <c r="T145" s="11" t="e">
        <f t="shared" si="24"/>
        <v>#DIV/0!</v>
      </c>
      <c r="U145" t="e">
        <f t="shared" si="26"/>
        <v>#DIV/0!</v>
      </c>
      <c r="Y145" s="11">
        <f>V145*I145</f>
        <v>0</v>
      </c>
      <c r="Z145" s="12">
        <f>W145*I145</f>
        <v>0</v>
      </c>
      <c r="AA145" s="12">
        <f>X145*I145</f>
        <v>0</v>
      </c>
      <c r="AE145" s="12">
        <f t="shared" si="27"/>
        <v>0</v>
      </c>
      <c r="AF145" s="12">
        <f t="shared" si="28"/>
        <v>0</v>
      </c>
      <c r="AG145" s="12">
        <f t="shared" si="29"/>
        <v>0</v>
      </c>
      <c r="AH145" s="12">
        <f t="shared" si="30"/>
        <v>0</v>
      </c>
      <c r="AI145" s="12" t="e">
        <f t="shared" si="31"/>
        <v>#DIV/0!</v>
      </c>
      <c r="AJ145" s="12">
        <f t="shared" si="32"/>
        <v>0</v>
      </c>
      <c r="AK145" s="11" t="e">
        <f>AH145/J145</f>
        <v>#DIV/0!</v>
      </c>
      <c r="AL145" s="11" t="e">
        <f>AG145/J145</f>
        <v>#DIV/0!</v>
      </c>
    </row>
    <row r="146" spans="13:38" x14ac:dyDescent="0.2">
      <c r="M146" s="11">
        <f>(L146/100)*I146</f>
        <v>0</v>
      </c>
      <c r="N146" s="11">
        <f>K146*(L146/100)</f>
        <v>0</v>
      </c>
      <c r="P146" s="11">
        <f>(O146/100)*I146</f>
        <v>0</v>
      </c>
      <c r="Q146" s="11">
        <f>K146*(O146/100)</f>
        <v>0</v>
      </c>
      <c r="R146" s="11" t="e">
        <f t="shared" si="25"/>
        <v>#DIV/0!</v>
      </c>
      <c r="T146" s="11" t="e">
        <f t="shared" si="24"/>
        <v>#DIV/0!</v>
      </c>
      <c r="U146" t="e">
        <f t="shared" si="26"/>
        <v>#DIV/0!</v>
      </c>
      <c r="Y146" s="11">
        <f>V146*I146</f>
        <v>0</v>
      </c>
      <c r="Z146" s="12">
        <f>W146*I146</f>
        <v>0</v>
      </c>
      <c r="AA146" s="12">
        <f>X146*I146</f>
        <v>0</v>
      </c>
      <c r="AE146" s="12">
        <f t="shared" si="27"/>
        <v>0</v>
      </c>
      <c r="AF146" s="12">
        <f t="shared" si="28"/>
        <v>0</v>
      </c>
      <c r="AG146" s="12">
        <f t="shared" si="29"/>
        <v>0</v>
      </c>
      <c r="AH146" s="12">
        <f t="shared" si="30"/>
        <v>0</v>
      </c>
      <c r="AI146" s="12" t="e">
        <f t="shared" si="31"/>
        <v>#DIV/0!</v>
      </c>
      <c r="AJ146" s="12">
        <f t="shared" si="32"/>
        <v>0</v>
      </c>
      <c r="AK146" s="11" t="e">
        <f>AH146/J146</f>
        <v>#DIV/0!</v>
      </c>
      <c r="AL146" s="11" t="e">
        <f>AG146/J146</f>
        <v>#DIV/0!</v>
      </c>
    </row>
    <row r="147" spans="13:38" x14ac:dyDescent="0.2">
      <c r="M147" s="11">
        <f>(L147/100)*I147</f>
        <v>0</v>
      </c>
      <c r="N147" s="11">
        <f>K147*(L147/100)</f>
        <v>0</v>
      </c>
      <c r="P147" s="11">
        <f>(O147/100)*I147</f>
        <v>0</v>
      </c>
      <c r="Q147" s="11">
        <f>K147*(O147/100)</f>
        <v>0</v>
      </c>
      <c r="R147" s="11" t="e">
        <f t="shared" si="25"/>
        <v>#DIV/0!</v>
      </c>
      <c r="T147" s="11" t="e">
        <f t="shared" si="24"/>
        <v>#DIV/0!</v>
      </c>
      <c r="U147" t="e">
        <f t="shared" si="26"/>
        <v>#DIV/0!</v>
      </c>
      <c r="Y147" s="11">
        <f>V147*I147</f>
        <v>0</v>
      </c>
      <c r="Z147" s="12">
        <f>W147*I147</f>
        <v>0</v>
      </c>
      <c r="AA147" s="12">
        <f>X147*I147</f>
        <v>0</v>
      </c>
      <c r="AE147" s="12">
        <f t="shared" si="27"/>
        <v>0</v>
      </c>
      <c r="AF147" s="12">
        <f t="shared" si="28"/>
        <v>0</v>
      </c>
      <c r="AG147" s="12">
        <f t="shared" si="29"/>
        <v>0</v>
      </c>
      <c r="AH147" s="12">
        <f t="shared" si="30"/>
        <v>0</v>
      </c>
      <c r="AI147" s="12" t="e">
        <f t="shared" si="31"/>
        <v>#DIV/0!</v>
      </c>
      <c r="AJ147" s="12">
        <f t="shared" si="32"/>
        <v>0</v>
      </c>
      <c r="AK147" s="11" t="e">
        <f>AH147/J147</f>
        <v>#DIV/0!</v>
      </c>
      <c r="AL147" s="11" t="e">
        <f>AG147/J147</f>
        <v>#DIV/0!</v>
      </c>
    </row>
    <row r="148" spans="13:38" x14ac:dyDescent="0.2">
      <c r="M148" s="11">
        <f>(L148/100)*I148</f>
        <v>0</v>
      </c>
      <c r="N148" s="11">
        <f>K148*(L148/100)</f>
        <v>0</v>
      </c>
      <c r="P148" s="11">
        <f>(O148/100)*I148</f>
        <v>0</v>
      </c>
      <c r="Q148" s="11">
        <f>K148*(O148/100)</f>
        <v>0</v>
      </c>
      <c r="R148" s="11" t="e">
        <f t="shared" si="25"/>
        <v>#DIV/0!</v>
      </c>
      <c r="T148" s="11" t="e">
        <f t="shared" si="24"/>
        <v>#DIV/0!</v>
      </c>
      <c r="U148" t="e">
        <f t="shared" si="26"/>
        <v>#DIV/0!</v>
      </c>
      <c r="Y148" s="11">
        <f>V148*I148</f>
        <v>0</v>
      </c>
      <c r="Z148" s="12">
        <f>W148*I148</f>
        <v>0</v>
      </c>
      <c r="AA148" s="12">
        <f>X148*I148</f>
        <v>0</v>
      </c>
      <c r="AE148" s="12">
        <f t="shared" si="27"/>
        <v>0</v>
      </c>
      <c r="AF148" s="12">
        <f t="shared" si="28"/>
        <v>0</v>
      </c>
      <c r="AG148" s="12">
        <f t="shared" si="29"/>
        <v>0</v>
      </c>
      <c r="AH148" s="12">
        <f t="shared" si="30"/>
        <v>0</v>
      </c>
      <c r="AI148" s="12" t="e">
        <f t="shared" si="31"/>
        <v>#DIV/0!</v>
      </c>
      <c r="AJ148" s="12">
        <f t="shared" si="32"/>
        <v>0</v>
      </c>
      <c r="AK148" s="11" t="e">
        <f>AH148/J148</f>
        <v>#DIV/0!</v>
      </c>
      <c r="AL148" s="11" t="e">
        <f>AG148/J148</f>
        <v>#DIV/0!</v>
      </c>
    </row>
    <row r="149" spans="13:38" x14ac:dyDescent="0.2">
      <c r="M149" s="11">
        <f>(L149/100)*I149</f>
        <v>0</v>
      </c>
      <c r="N149" s="11">
        <f>K149*(L149/100)</f>
        <v>0</v>
      </c>
      <c r="P149" s="11">
        <f>(O149/100)*I149</f>
        <v>0</v>
      </c>
      <c r="Q149" s="11">
        <f>K149*(O149/100)</f>
        <v>0</v>
      </c>
      <c r="R149" s="11" t="e">
        <f t="shared" si="25"/>
        <v>#DIV/0!</v>
      </c>
      <c r="T149" s="11" t="e">
        <f t="shared" si="24"/>
        <v>#DIV/0!</v>
      </c>
      <c r="U149" t="e">
        <f t="shared" si="26"/>
        <v>#DIV/0!</v>
      </c>
      <c r="Y149" s="11">
        <f>V149*I149</f>
        <v>0</v>
      </c>
      <c r="Z149" s="12">
        <f>W149*I149</f>
        <v>0</v>
      </c>
      <c r="AA149" s="12">
        <f>X149*I149</f>
        <v>0</v>
      </c>
      <c r="AE149" s="12">
        <f t="shared" si="27"/>
        <v>0</v>
      </c>
      <c r="AF149" s="12">
        <f t="shared" si="28"/>
        <v>0</v>
      </c>
      <c r="AG149" s="12">
        <f t="shared" si="29"/>
        <v>0</v>
      </c>
      <c r="AH149" s="12">
        <f t="shared" si="30"/>
        <v>0</v>
      </c>
      <c r="AI149" s="12" t="e">
        <f t="shared" si="31"/>
        <v>#DIV/0!</v>
      </c>
      <c r="AJ149" s="12">
        <f t="shared" si="32"/>
        <v>0</v>
      </c>
      <c r="AK149" s="11" t="e">
        <f>AH149/J149</f>
        <v>#DIV/0!</v>
      </c>
      <c r="AL149" s="11" t="e">
        <f>AG149/J149</f>
        <v>#DIV/0!</v>
      </c>
    </row>
    <row r="150" spans="13:38" x14ac:dyDescent="0.2">
      <c r="M150" s="11">
        <f>(L150/100)*I150</f>
        <v>0</v>
      </c>
      <c r="N150" s="11">
        <f>K150*(L150/100)</f>
        <v>0</v>
      </c>
      <c r="P150" s="11">
        <f>(O150/100)*I150</f>
        <v>0</v>
      </c>
      <c r="Q150" s="11">
        <f>K150*(O150/100)</f>
        <v>0</v>
      </c>
      <c r="R150" s="11" t="e">
        <f t="shared" si="25"/>
        <v>#DIV/0!</v>
      </c>
      <c r="T150" s="11" t="e">
        <f t="shared" si="24"/>
        <v>#DIV/0!</v>
      </c>
      <c r="U150" t="e">
        <f t="shared" si="26"/>
        <v>#DIV/0!</v>
      </c>
      <c r="Y150" s="11">
        <f>V150*I150</f>
        <v>0</v>
      </c>
      <c r="Z150" s="12">
        <f>W150*I150</f>
        <v>0</v>
      </c>
      <c r="AA150" s="12">
        <f>X150*I150</f>
        <v>0</v>
      </c>
      <c r="AE150" s="12">
        <f t="shared" si="27"/>
        <v>0</v>
      </c>
      <c r="AF150" s="12">
        <f t="shared" si="28"/>
        <v>0</v>
      </c>
      <c r="AG150" s="12">
        <f t="shared" si="29"/>
        <v>0</v>
      </c>
      <c r="AH150" s="12">
        <f t="shared" si="30"/>
        <v>0</v>
      </c>
      <c r="AI150" s="12" t="e">
        <f t="shared" si="31"/>
        <v>#DIV/0!</v>
      </c>
      <c r="AJ150" s="12">
        <f t="shared" si="32"/>
        <v>0</v>
      </c>
      <c r="AK150" s="11" t="e">
        <f>AH150/J150</f>
        <v>#DIV/0!</v>
      </c>
      <c r="AL150" s="11" t="e">
        <f>AG150/J150</f>
        <v>#DIV/0!</v>
      </c>
    </row>
    <row r="151" spans="13:38" x14ac:dyDescent="0.2">
      <c r="M151" s="11">
        <f>(L151/100)*I151</f>
        <v>0</v>
      </c>
      <c r="N151" s="11">
        <f>K151*(L151/100)</f>
        <v>0</v>
      </c>
      <c r="P151" s="11">
        <f>(O151/100)*I151</f>
        <v>0</v>
      </c>
      <c r="Q151" s="11">
        <f>K151*(O151/100)</f>
        <v>0</v>
      </c>
      <c r="R151" s="11" t="e">
        <f t="shared" si="25"/>
        <v>#DIV/0!</v>
      </c>
      <c r="T151" s="11" t="e">
        <f t="shared" si="24"/>
        <v>#DIV/0!</v>
      </c>
      <c r="U151" t="e">
        <f t="shared" si="26"/>
        <v>#DIV/0!</v>
      </c>
      <c r="Y151" s="11">
        <f>V151*I151</f>
        <v>0</v>
      </c>
      <c r="Z151" s="12">
        <f>W151*I151</f>
        <v>0</v>
      </c>
      <c r="AA151" s="12">
        <f>X151*I151</f>
        <v>0</v>
      </c>
      <c r="AE151" s="12">
        <f t="shared" si="27"/>
        <v>0</v>
      </c>
      <c r="AF151" s="12">
        <f t="shared" si="28"/>
        <v>0</v>
      </c>
      <c r="AG151" s="12">
        <f t="shared" si="29"/>
        <v>0</v>
      </c>
      <c r="AH151" s="12">
        <f t="shared" si="30"/>
        <v>0</v>
      </c>
      <c r="AI151" s="12" t="e">
        <f t="shared" si="31"/>
        <v>#DIV/0!</v>
      </c>
      <c r="AJ151" s="12">
        <f t="shared" si="32"/>
        <v>0</v>
      </c>
      <c r="AK151" s="11" t="e">
        <f>AH151/J151</f>
        <v>#DIV/0!</v>
      </c>
      <c r="AL151" s="11" t="e">
        <f>AG151/J151</f>
        <v>#DIV/0!</v>
      </c>
    </row>
    <row r="152" spans="13:38" x14ac:dyDescent="0.2">
      <c r="M152" s="11">
        <f>(L152/100)*I152</f>
        <v>0</v>
      </c>
      <c r="N152" s="11">
        <f>K152*(L152/100)</f>
        <v>0</v>
      </c>
      <c r="P152" s="11">
        <f>(O152/100)*I152</f>
        <v>0</v>
      </c>
      <c r="Q152" s="11">
        <f>K152*(O152/100)</f>
        <v>0</v>
      </c>
      <c r="R152" s="11" t="e">
        <f t="shared" si="25"/>
        <v>#DIV/0!</v>
      </c>
      <c r="T152" s="11" t="e">
        <f t="shared" si="24"/>
        <v>#DIV/0!</v>
      </c>
      <c r="U152" t="e">
        <f t="shared" si="26"/>
        <v>#DIV/0!</v>
      </c>
      <c r="Y152" s="11">
        <f>V152*I152</f>
        <v>0</v>
      </c>
      <c r="Z152" s="12">
        <f>W152*I152</f>
        <v>0</v>
      </c>
      <c r="AA152" s="12">
        <f>X152*I152</f>
        <v>0</v>
      </c>
      <c r="AE152" s="12">
        <f t="shared" si="27"/>
        <v>0</v>
      </c>
      <c r="AF152" s="12">
        <f t="shared" si="28"/>
        <v>0</v>
      </c>
      <c r="AG152" s="12">
        <f t="shared" si="29"/>
        <v>0</v>
      </c>
      <c r="AH152" s="12">
        <f t="shared" si="30"/>
        <v>0</v>
      </c>
      <c r="AI152" s="12" t="e">
        <f t="shared" si="31"/>
        <v>#DIV/0!</v>
      </c>
      <c r="AJ152" s="12">
        <f t="shared" si="32"/>
        <v>0</v>
      </c>
      <c r="AK152" s="11" t="e">
        <f>AH152/J152</f>
        <v>#DIV/0!</v>
      </c>
      <c r="AL152" s="11" t="e">
        <f>AG152/J152</f>
        <v>#DIV/0!</v>
      </c>
    </row>
    <row r="153" spans="13:38" x14ac:dyDescent="0.2">
      <c r="M153" s="11">
        <f>(L153/100)*I153</f>
        <v>0</v>
      </c>
      <c r="N153" s="11">
        <f>K153*(L153/100)</f>
        <v>0</v>
      </c>
      <c r="P153" s="11">
        <f>(O153/100)*I153</f>
        <v>0</v>
      </c>
      <c r="Q153" s="11">
        <f>K153*(O153/100)</f>
        <v>0</v>
      </c>
      <c r="R153" s="11" t="e">
        <f t="shared" si="25"/>
        <v>#DIV/0!</v>
      </c>
      <c r="T153" s="11" t="e">
        <f t="shared" si="24"/>
        <v>#DIV/0!</v>
      </c>
      <c r="U153" t="e">
        <f t="shared" si="26"/>
        <v>#DIV/0!</v>
      </c>
      <c r="Y153" s="11">
        <f>V153*I153</f>
        <v>0</v>
      </c>
      <c r="Z153" s="12">
        <f>W153*I153</f>
        <v>0</v>
      </c>
      <c r="AA153" s="12">
        <f>X153*I153</f>
        <v>0</v>
      </c>
      <c r="AE153" s="12">
        <f t="shared" si="27"/>
        <v>0</v>
      </c>
      <c r="AF153" s="12">
        <f t="shared" si="28"/>
        <v>0</v>
      </c>
      <c r="AG153" s="12">
        <f t="shared" si="29"/>
        <v>0</v>
      </c>
      <c r="AH153" s="12">
        <f t="shared" si="30"/>
        <v>0</v>
      </c>
      <c r="AI153" s="12" t="e">
        <f t="shared" si="31"/>
        <v>#DIV/0!</v>
      </c>
      <c r="AJ153" s="12">
        <f t="shared" si="32"/>
        <v>0</v>
      </c>
      <c r="AK153" s="11" t="e">
        <f>AH153/J153</f>
        <v>#DIV/0!</v>
      </c>
      <c r="AL153" s="11" t="e">
        <f>AG153/J153</f>
        <v>#DIV/0!</v>
      </c>
    </row>
    <row r="154" spans="13:38" x14ac:dyDescent="0.2">
      <c r="M154" s="11">
        <f>(L154/100)*I154</f>
        <v>0</v>
      </c>
      <c r="N154" s="11">
        <f>K154*(L154/100)</f>
        <v>0</v>
      </c>
      <c r="P154" s="11">
        <f>(O154/100)*I154</f>
        <v>0</v>
      </c>
      <c r="Q154" s="11">
        <f>K154*(O154/100)</f>
        <v>0</v>
      </c>
      <c r="R154" s="11" t="e">
        <f t="shared" si="25"/>
        <v>#DIV/0!</v>
      </c>
      <c r="T154" s="11" t="e">
        <f t="shared" si="24"/>
        <v>#DIV/0!</v>
      </c>
      <c r="U154" t="e">
        <f t="shared" si="26"/>
        <v>#DIV/0!</v>
      </c>
      <c r="Y154" s="11">
        <f>V154*I154</f>
        <v>0</v>
      </c>
      <c r="Z154" s="12">
        <f>W154*I154</f>
        <v>0</v>
      </c>
      <c r="AA154" s="12">
        <f>X154*I154</f>
        <v>0</v>
      </c>
      <c r="AE154" s="12">
        <f t="shared" si="27"/>
        <v>0</v>
      </c>
      <c r="AF154" s="12">
        <f t="shared" si="28"/>
        <v>0</v>
      </c>
      <c r="AG154" s="12">
        <f t="shared" si="29"/>
        <v>0</v>
      </c>
      <c r="AH154" s="12">
        <f t="shared" si="30"/>
        <v>0</v>
      </c>
      <c r="AI154" s="12" t="e">
        <f t="shared" si="31"/>
        <v>#DIV/0!</v>
      </c>
      <c r="AJ154" s="12">
        <f t="shared" si="32"/>
        <v>0</v>
      </c>
      <c r="AK154" s="11" t="e">
        <f>AH154/J154</f>
        <v>#DIV/0!</v>
      </c>
      <c r="AL154" s="11" t="e">
        <f>AG154/J154</f>
        <v>#DIV/0!</v>
      </c>
    </row>
    <row r="155" spans="13:38" x14ac:dyDescent="0.2">
      <c r="M155" s="11">
        <f>(L155/100)*I155</f>
        <v>0</v>
      </c>
      <c r="N155" s="11">
        <f>K155*(L155/100)</f>
        <v>0</v>
      </c>
      <c r="P155" s="11">
        <f>(O155/100)*I155</f>
        <v>0</v>
      </c>
      <c r="Q155" s="11">
        <f>K155*(O155/100)</f>
        <v>0</v>
      </c>
      <c r="R155" s="11" t="e">
        <f t="shared" si="25"/>
        <v>#DIV/0!</v>
      </c>
      <c r="T155" s="11" t="e">
        <f t="shared" ref="T155:T218" si="33">S155/J155</f>
        <v>#DIV/0!</v>
      </c>
      <c r="U155" t="e">
        <f t="shared" si="26"/>
        <v>#DIV/0!</v>
      </c>
      <c r="Y155" s="11">
        <f>V155*I155</f>
        <v>0</v>
      </c>
      <c r="Z155" s="12">
        <f>W155*I155</f>
        <v>0</v>
      </c>
      <c r="AA155" s="12">
        <f>X155*I155</f>
        <v>0</v>
      </c>
      <c r="AE155" s="12">
        <f t="shared" si="27"/>
        <v>0</v>
      </c>
      <c r="AF155" s="12">
        <f t="shared" si="28"/>
        <v>0</v>
      </c>
      <c r="AG155" s="12">
        <f t="shared" si="29"/>
        <v>0</v>
      </c>
      <c r="AH155" s="12">
        <f t="shared" si="30"/>
        <v>0</v>
      </c>
      <c r="AI155" s="12" t="e">
        <f t="shared" si="31"/>
        <v>#DIV/0!</v>
      </c>
      <c r="AJ155" s="12">
        <f t="shared" si="32"/>
        <v>0</v>
      </c>
      <c r="AK155" s="11" t="e">
        <f>AH155/J155</f>
        <v>#DIV/0!</v>
      </c>
      <c r="AL155" s="11" t="e">
        <f>AG155/J155</f>
        <v>#DIV/0!</v>
      </c>
    </row>
    <row r="156" spans="13:38" x14ac:dyDescent="0.2">
      <c r="M156" s="11">
        <f>(L156/100)*I156</f>
        <v>0</v>
      </c>
      <c r="N156" s="11">
        <f>K156*(L156/100)</f>
        <v>0</v>
      </c>
      <c r="P156" s="11">
        <f>(O156/100)*I156</f>
        <v>0</v>
      </c>
      <c r="Q156" s="11">
        <f>K156*(O156/100)</f>
        <v>0</v>
      </c>
      <c r="R156" s="11" t="e">
        <f t="shared" si="25"/>
        <v>#DIV/0!</v>
      </c>
      <c r="T156" s="11" t="e">
        <f t="shared" si="33"/>
        <v>#DIV/0!</v>
      </c>
      <c r="U156" t="e">
        <f t="shared" si="26"/>
        <v>#DIV/0!</v>
      </c>
      <c r="Y156" s="11">
        <f>V156*I156</f>
        <v>0</v>
      </c>
      <c r="Z156" s="12">
        <f>W156*I156</f>
        <v>0</v>
      </c>
      <c r="AA156" s="12">
        <f>X156*I156</f>
        <v>0</v>
      </c>
      <c r="AE156" s="12">
        <f t="shared" si="27"/>
        <v>0</v>
      </c>
      <c r="AF156" s="12">
        <f t="shared" si="28"/>
        <v>0</v>
      </c>
      <c r="AG156" s="12">
        <f t="shared" si="29"/>
        <v>0</v>
      </c>
      <c r="AH156" s="12">
        <f t="shared" si="30"/>
        <v>0</v>
      </c>
      <c r="AI156" s="12" t="e">
        <f t="shared" si="31"/>
        <v>#DIV/0!</v>
      </c>
      <c r="AJ156" s="12">
        <f t="shared" si="32"/>
        <v>0</v>
      </c>
      <c r="AK156" s="11" t="e">
        <f>AH156/J156</f>
        <v>#DIV/0!</v>
      </c>
      <c r="AL156" s="11" t="e">
        <f>AG156/J156</f>
        <v>#DIV/0!</v>
      </c>
    </row>
    <row r="157" spans="13:38" x14ac:dyDescent="0.2">
      <c r="M157" s="11">
        <f>(L157/100)*I157</f>
        <v>0</v>
      </c>
      <c r="N157" s="11">
        <f>K157*(L157/100)</f>
        <v>0</v>
      </c>
      <c r="P157" s="11">
        <f>(O157/100)*I157</f>
        <v>0</v>
      </c>
      <c r="Q157" s="11">
        <f>K157*(O157/100)</f>
        <v>0</v>
      </c>
      <c r="R157" s="11" t="e">
        <f t="shared" si="25"/>
        <v>#DIV/0!</v>
      </c>
      <c r="T157" s="11" t="e">
        <f t="shared" si="33"/>
        <v>#DIV/0!</v>
      </c>
      <c r="U157" t="e">
        <f t="shared" si="26"/>
        <v>#DIV/0!</v>
      </c>
      <c r="Y157" s="11">
        <f>V157*I157</f>
        <v>0</v>
      </c>
      <c r="Z157" s="12">
        <f>W157*I157</f>
        <v>0</v>
      </c>
      <c r="AA157" s="12">
        <f>X157*I157</f>
        <v>0</v>
      </c>
      <c r="AE157" s="12">
        <f t="shared" si="27"/>
        <v>0</v>
      </c>
      <c r="AF157" s="12">
        <f t="shared" si="28"/>
        <v>0</v>
      </c>
      <c r="AG157" s="12">
        <f t="shared" si="29"/>
        <v>0</v>
      </c>
      <c r="AH157" s="12">
        <f t="shared" si="30"/>
        <v>0</v>
      </c>
      <c r="AI157" s="12" t="e">
        <f t="shared" si="31"/>
        <v>#DIV/0!</v>
      </c>
      <c r="AJ157" s="12">
        <f t="shared" si="32"/>
        <v>0</v>
      </c>
      <c r="AK157" s="11" t="e">
        <f>AH157/J157</f>
        <v>#DIV/0!</v>
      </c>
      <c r="AL157" s="11" t="e">
        <f>AG157/J157</f>
        <v>#DIV/0!</v>
      </c>
    </row>
    <row r="158" spans="13:38" x14ac:dyDescent="0.2">
      <c r="M158" s="11">
        <f>(L158/100)*I158</f>
        <v>0</v>
      </c>
      <c r="N158" s="11">
        <f>K158*(L158/100)</f>
        <v>0</v>
      </c>
      <c r="P158" s="11">
        <f>(O158/100)*I158</f>
        <v>0</v>
      </c>
      <c r="Q158" s="11">
        <f>K158*(O158/100)</f>
        <v>0</v>
      </c>
      <c r="R158" s="11" t="e">
        <f t="shared" si="25"/>
        <v>#DIV/0!</v>
      </c>
      <c r="T158" s="11" t="e">
        <f t="shared" si="33"/>
        <v>#DIV/0!</v>
      </c>
      <c r="U158" t="e">
        <f t="shared" si="26"/>
        <v>#DIV/0!</v>
      </c>
      <c r="Y158" s="11">
        <f>V158*I158</f>
        <v>0</v>
      </c>
      <c r="Z158" s="12">
        <f>W158*I158</f>
        <v>0</v>
      </c>
      <c r="AA158" s="12">
        <f>X158*I158</f>
        <v>0</v>
      </c>
      <c r="AE158" s="12">
        <f t="shared" si="27"/>
        <v>0</v>
      </c>
      <c r="AF158" s="12">
        <f t="shared" si="28"/>
        <v>0</v>
      </c>
      <c r="AG158" s="12">
        <f t="shared" si="29"/>
        <v>0</v>
      </c>
      <c r="AH158" s="12">
        <f t="shared" si="30"/>
        <v>0</v>
      </c>
      <c r="AI158" s="12" t="e">
        <f t="shared" si="31"/>
        <v>#DIV/0!</v>
      </c>
      <c r="AJ158" s="12">
        <f t="shared" si="32"/>
        <v>0</v>
      </c>
      <c r="AK158" s="11" t="e">
        <f>AH158/J158</f>
        <v>#DIV/0!</v>
      </c>
      <c r="AL158" s="11" t="e">
        <f>AG158/J158</f>
        <v>#DIV/0!</v>
      </c>
    </row>
    <row r="159" spans="13:38" x14ac:dyDescent="0.2">
      <c r="M159" s="11">
        <f>(L159/100)*I159</f>
        <v>0</v>
      </c>
      <c r="N159" s="11">
        <f>K159*(L159/100)</f>
        <v>0</v>
      </c>
      <c r="P159" s="11">
        <f>(O159/100)*I159</f>
        <v>0</v>
      </c>
      <c r="Q159" s="11">
        <f>K159*(O159/100)</f>
        <v>0</v>
      </c>
      <c r="R159" s="11" t="e">
        <f t="shared" si="25"/>
        <v>#DIV/0!</v>
      </c>
      <c r="T159" s="11" t="e">
        <f t="shared" si="33"/>
        <v>#DIV/0!</v>
      </c>
      <c r="U159" t="e">
        <f t="shared" si="26"/>
        <v>#DIV/0!</v>
      </c>
      <c r="Y159" s="11">
        <f>V159*I159</f>
        <v>0</v>
      </c>
      <c r="Z159" s="12">
        <f>W159*I159</f>
        <v>0</v>
      </c>
      <c r="AA159" s="12">
        <f>X159*I159</f>
        <v>0</v>
      </c>
      <c r="AE159" s="12">
        <f t="shared" si="27"/>
        <v>0</v>
      </c>
      <c r="AF159" s="12">
        <f t="shared" si="28"/>
        <v>0</v>
      </c>
      <c r="AG159" s="12">
        <f t="shared" si="29"/>
        <v>0</v>
      </c>
      <c r="AH159" s="12">
        <f t="shared" si="30"/>
        <v>0</v>
      </c>
      <c r="AI159" s="12" t="e">
        <f t="shared" si="31"/>
        <v>#DIV/0!</v>
      </c>
      <c r="AJ159" s="12">
        <f t="shared" si="32"/>
        <v>0</v>
      </c>
      <c r="AK159" s="11" t="e">
        <f>AH159/J159</f>
        <v>#DIV/0!</v>
      </c>
      <c r="AL159" s="11" t="e">
        <f>AG159/J159</f>
        <v>#DIV/0!</v>
      </c>
    </row>
    <row r="160" spans="13:38" x14ac:dyDescent="0.2">
      <c r="M160" s="11">
        <f>(L160/100)*I160</f>
        <v>0</v>
      </c>
      <c r="N160" s="11">
        <f>K160*(L160/100)</f>
        <v>0</v>
      </c>
      <c r="P160" s="11">
        <f>(O160/100)*I160</f>
        <v>0</v>
      </c>
      <c r="Q160" s="11">
        <f>K160*(O160/100)</f>
        <v>0</v>
      </c>
      <c r="R160" s="11" t="e">
        <f t="shared" si="25"/>
        <v>#DIV/0!</v>
      </c>
      <c r="T160" s="11" t="e">
        <f t="shared" si="33"/>
        <v>#DIV/0!</v>
      </c>
      <c r="U160" t="e">
        <f t="shared" si="26"/>
        <v>#DIV/0!</v>
      </c>
      <c r="Y160" s="11">
        <f>V160*I160</f>
        <v>0</v>
      </c>
      <c r="Z160" s="12">
        <f>W160*I160</f>
        <v>0</v>
      </c>
      <c r="AA160" s="12">
        <f>X160*I160</f>
        <v>0</v>
      </c>
      <c r="AE160" s="12">
        <f t="shared" si="27"/>
        <v>0</v>
      </c>
      <c r="AF160" s="12">
        <f t="shared" si="28"/>
        <v>0</v>
      </c>
      <c r="AG160" s="12">
        <f t="shared" si="29"/>
        <v>0</v>
      </c>
      <c r="AH160" s="12">
        <f t="shared" si="30"/>
        <v>0</v>
      </c>
      <c r="AI160" s="12" t="e">
        <f t="shared" si="31"/>
        <v>#DIV/0!</v>
      </c>
      <c r="AJ160" s="12">
        <f t="shared" si="32"/>
        <v>0</v>
      </c>
      <c r="AK160" s="11" t="e">
        <f>AH160/J160</f>
        <v>#DIV/0!</v>
      </c>
      <c r="AL160" s="11" t="e">
        <f>AG160/J160</f>
        <v>#DIV/0!</v>
      </c>
    </row>
    <row r="161" spans="13:38" x14ac:dyDescent="0.2">
      <c r="M161" s="11">
        <f>(L161/100)*I161</f>
        <v>0</v>
      </c>
      <c r="N161" s="11">
        <f>K161*(L161/100)</f>
        <v>0</v>
      </c>
      <c r="P161" s="11">
        <f>(O161/100)*I161</f>
        <v>0</v>
      </c>
      <c r="Q161" s="11">
        <f>K161*(O161/100)</f>
        <v>0</v>
      </c>
      <c r="R161" s="11" t="e">
        <f t="shared" si="25"/>
        <v>#DIV/0!</v>
      </c>
      <c r="T161" s="11" t="e">
        <f t="shared" si="33"/>
        <v>#DIV/0!</v>
      </c>
      <c r="U161" t="e">
        <f t="shared" si="26"/>
        <v>#DIV/0!</v>
      </c>
      <c r="Y161" s="11">
        <f>V161*I161</f>
        <v>0</v>
      </c>
      <c r="Z161" s="12">
        <f>W161*I161</f>
        <v>0</v>
      </c>
      <c r="AA161" s="12">
        <f>X161*I161</f>
        <v>0</v>
      </c>
      <c r="AE161" s="12">
        <f t="shared" si="27"/>
        <v>0</v>
      </c>
      <c r="AF161" s="12">
        <f t="shared" si="28"/>
        <v>0</v>
      </c>
      <c r="AG161" s="12">
        <f t="shared" si="29"/>
        <v>0</v>
      </c>
      <c r="AH161" s="12">
        <f t="shared" si="30"/>
        <v>0</v>
      </c>
      <c r="AI161" s="12" t="e">
        <f t="shared" si="31"/>
        <v>#DIV/0!</v>
      </c>
      <c r="AJ161" s="12">
        <f t="shared" si="32"/>
        <v>0</v>
      </c>
      <c r="AK161" s="11" t="e">
        <f>AH161/J161</f>
        <v>#DIV/0!</v>
      </c>
      <c r="AL161" s="11" t="e">
        <f>AG161/J161</f>
        <v>#DIV/0!</v>
      </c>
    </row>
    <row r="162" spans="13:38" x14ac:dyDescent="0.2">
      <c r="M162" s="11">
        <f>(L162/100)*I162</f>
        <v>0</v>
      </c>
      <c r="N162" s="11">
        <f>K162*(L162/100)</f>
        <v>0</v>
      </c>
      <c r="P162" s="11">
        <f>(O162/100)*I162</f>
        <v>0</v>
      </c>
      <c r="Q162" s="11">
        <f>K162*(O162/100)</f>
        <v>0</v>
      </c>
      <c r="R162" s="11" t="e">
        <f t="shared" si="25"/>
        <v>#DIV/0!</v>
      </c>
      <c r="T162" s="11" t="e">
        <f t="shared" si="33"/>
        <v>#DIV/0!</v>
      </c>
      <c r="U162" t="e">
        <f t="shared" si="26"/>
        <v>#DIV/0!</v>
      </c>
      <c r="Y162" s="11">
        <f>V162*I162</f>
        <v>0</v>
      </c>
      <c r="Z162" s="12">
        <f>W162*I162</f>
        <v>0</v>
      </c>
      <c r="AA162" s="12">
        <f>X162*I162</f>
        <v>0</v>
      </c>
      <c r="AE162" s="12">
        <f t="shared" si="27"/>
        <v>0</v>
      </c>
      <c r="AF162" s="12">
        <f t="shared" si="28"/>
        <v>0</v>
      </c>
      <c r="AG162" s="12">
        <f t="shared" si="29"/>
        <v>0</v>
      </c>
      <c r="AH162" s="12">
        <f t="shared" si="30"/>
        <v>0</v>
      </c>
      <c r="AI162" s="12" t="e">
        <f t="shared" si="31"/>
        <v>#DIV/0!</v>
      </c>
      <c r="AJ162" s="12">
        <f t="shared" si="32"/>
        <v>0</v>
      </c>
      <c r="AK162" s="11" t="e">
        <f>AH162/J162</f>
        <v>#DIV/0!</v>
      </c>
      <c r="AL162" s="11" t="e">
        <f>AG162/J162</f>
        <v>#DIV/0!</v>
      </c>
    </row>
    <row r="163" spans="13:38" x14ac:dyDescent="0.2">
      <c r="M163" s="11">
        <f>(L163/100)*I163</f>
        <v>0</v>
      </c>
      <c r="N163" s="11">
        <f>K163*(L163/100)</f>
        <v>0</v>
      </c>
      <c r="P163" s="11">
        <f>(O163/100)*I163</f>
        <v>0</v>
      </c>
      <c r="Q163" s="11">
        <f>K163*(O163/100)</f>
        <v>0</v>
      </c>
      <c r="R163" s="11" t="e">
        <f t="shared" si="25"/>
        <v>#DIV/0!</v>
      </c>
      <c r="T163" s="11" t="e">
        <f t="shared" si="33"/>
        <v>#DIV/0!</v>
      </c>
      <c r="U163" t="e">
        <f t="shared" si="26"/>
        <v>#DIV/0!</v>
      </c>
      <c r="Y163" s="11">
        <f>V163*I163</f>
        <v>0</v>
      </c>
      <c r="Z163" s="12">
        <f>W163*I163</f>
        <v>0</v>
      </c>
      <c r="AA163" s="12">
        <f>X163*I163</f>
        <v>0</v>
      </c>
      <c r="AE163" s="12">
        <f t="shared" si="27"/>
        <v>0</v>
      </c>
      <c r="AF163" s="12">
        <f t="shared" si="28"/>
        <v>0</v>
      </c>
      <c r="AG163" s="12">
        <f t="shared" si="29"/>
        <v>0</v>
      </c>
      <c r="AH163" s="12">
        <f t="shared" si="30"/>
        <v>0</v>
      </c>
      <c r="AI163" s="12" t="e">
        <f t="shared" si="31"/>
        <v>#DIV/0!</v>
      </c>
      <c r="AJ163" s="12">
        <f t="shared" si="32"/>
        <v>0</v>
      </c>
      <c r="AK163" s="11" t="e">
        <f>AH163/J163</f>
        <v>#DIV/0!</v>
      </c>
      <c r="AL163" s="11" t="e">
        <f>AG163/J163</f>
        <v>#DIV/0!</v>
      </c>
    </row>
    <row r="164" spans="13:38" x14ac:dyDescent="0.2">
      <c r="M164" s="11">
        <f>(L164/100)*I164</f>
        <v>0</v>
      </c>
      <c r="N164" s="11">
        <f>K164*(L164/100)</f>
        <v>0</v>
      </c>
      <c r="P164" s="11">
        <f>(O164/100)*I164</f>
        <v>0</v>
      </c>
      <c r="Q164" s="11">
        <f>K164*(O164/100)</f>
        <v>0</v>
      </c>
      <c r="R164" s="11" t="e">
        <f t="shared" si="25"/>
        <v>#DIV/0!</v>
      </c>
      <c r="T164" s="11" t="e">
        <f t="shared" si="33"/>
        <v>#DIV/0!</v>
      </c>
      <c r="U164" t="e">
        <f t="shared" si="26"/>
        <v>#DIV/0!</v>
      </c>
      <c r="Y164" s="11">
        <f>V164*I164</f>
        <v>0</v>
      </c>
      <c r="Z164" s="12">
        <f>W164*I164</f>
        <v>0</v>
      </c>
      <c r="AA164" s="12">
        <f>X164*I164</f>
        <v>0</v>
      </c>
      <c r="AE164" s="12">
        <f t="shared" si="27"/>
        <v>0</v>
      </c>
      <c r="AF164" s="12">
        <f t="shared" si="28"/>
        <v>0</v>
      </c>
      <c r="AG164" s="12">
        <f t="shared" si="29"/>
        <v>0</v>
      </c>
      <c r="AH164" s="12">
        <f t="shared" si="30"/>
        <v>0</v>
      </c>
      <c r="AI164" s="12" t="e">
        <f t="shared" si="31"/>
        <v>#DIV/0!</v>
      </c>
      <c r="AJ164" s="12">
        <f t="shared" si="32"/>
        <v>0</v>
      </c>
      <c r="AK164" s="11" t="e">
        <f>AH164/J164</f>
        <v>#DIV/0!</v>
      </c>
      <c r="AL164" s="11" t="e">
        <f>AG164/J164</f>
        <v>#DIV/0!</v>
      </c>
    </row>
    <row r="165" spans="13:38" x14ac:dyDescent="0.2">
      <c r="M165" s="11">
        <f>(L165/100)*I165</f>
        <v>0</v>
      </c>
      <c r="N165" s="11">
        <f>K165*(L165/100)</f>
        <v>0</v>
      </c>
      <c r="P165" s="11">
        <f>(O165/100)*I165</f>
        <v>0</v>
      </c>
      <c r="Q165" s="11">
        <f>K165*(O165/100)</f>
        <v>0</v>
      </c>
      <c r="R165" s="11" t="e">
        <f t="shared" si="25"/>
        <v>#DIV/0!</v>
      </c>
      <c r="T165" s="11" t="e">
        <f t="shared" si="33"/>
        <v>#DIV/0!</v>
      </c>
      <c r="U165" t="e">
        <f t="shared" si="26"/>
        <v>#DIV/0!</v>
      </c>
      <c r="Y165" s="11">
        <f>V165*I165</f>
        <v>0</v>
      </c>
      <c r="Z165" s="12">
        <f>W165*I165</f>
        <v>0</v>
      </c>
      <c r="AA165" s="12">
        <f>X165*I165</f>
        <v>0</v>
      </c>
      <c r="AE165" s="12">
        <f t="shared" si="27"/>
        <v>0</v>
      </c>
      <c r="AF165" s="12">
        <f t="shared" si="28"/>
        <v>0</v>
      </c>
      <c r="AG165" s="12">
        <f t="shared" si="29"/>
        <v>0</v>
      </c>
      <c r="AH165" s="12">
        <f t="shared" si="30"/>
        <v>0</v>
      </c>
      <c r="AI165" s="12" t="e">
        <f t="shared" si="31"/>
        <v>#DIV/0!</v>
      </c>
      <c r="AJ165" s="12">
        <f t="shared" si="32"/>
        <v>0</v>
      </c>
      <c r="AK165" s="11" t="e">
        <f>AH165/J165</f>
        <v>#DIV/0!</v>
      </c>
      <c r="AL165" s="11" t="e">
        <f>AG165/J165</f>
        <v>#DIV/0!</v>
      </c>
    </row>
    <row r="166" spans="13:38" x14ac:dyDescent="0.2">
      <c r="M166" s="11">
        <f>(L166/100)*I166</f>
        <v>0</v>
      </c>
      <c r="N166" s="11">
        <f>K166*(L166/100)</f>
        <v>0</v>
      </c>
      <c r="P166" s="11">
        <f>(O166/100)*I166</f>
        <v>0</v>
      </c>
      <c r="Q166" s="11">
        <f>K166*(O166/100)</f>
        <v>0</v>
      </c>
      <c r="R166" s="11" t="e">
        <f t="shared" si="25"/>
        <v>#DIV/0!</v>
      </c>
      <c r="T166" s="11" t="e">
        <f t="shared" si="33"/>
        <v>#DIV/0!</v>
      </c>
      <c r="U166" t="e">
        <f t="shared" si="26"/>
        <v>#DIV/0!</v>
      </c>
      <c r="Y166" s="11">
        <f>V166*I166</f>
        <v>0</v>
      </c>
      <c r="Z166" s="12">
        <f>W166*I166</f>
        <v>0</v>
      </c>
      <c r="AA166" s="12">
        <f>X166*I166</f>
        <v>0</v>
      </c>
      <c r="AE166" s="12">
        <f t="shared" si="27"/>
        <v>0</v>
      </c>
      <c r="AF166" s="12">
        <f t="shared" si="28"/>
        <v>0</v>
      </c>
      <c r="AG166" s="12">
        <f t="shared" si="29"/>
        <v>0</v>
      </c>
      <c r="AH166" s="12">
        <f t="shared" si="30"/>
        <v>0</v>
      </c>
      <c r="AI166" s="12" t="e">
        <f t="shared" si="31"/>
        <v>#DIV/0!</v>
      </c>
      <c r="AJ166" s="12">
        <f t="shared" si="32"/>
        <v>0</v>
      </c>
      <c r="AK166" s="11" t="e">
        <f>AH166/J166</f>
        <v>#DIV/0!</v>
      </c>
      <c r="AL166" s="11" t="e">
        <f>AG166/J166</f>
        <v>#DIV/0!</v>
      </c>
    </row>
    <row r="167" spans="13:38" x14ac:dyDescent="0.2">
      <c r="M167" s="11">
        <f>(L167/100)*I167</f>
        <v>0</v>
      </c>
      <c r="N167" s="11">
        <f>K167*(L167/100)</f>
        <v>0</v>
      </c>
      <c r="P167" s="11">
        <f>(O167/100)*I167</f>
        <v>0</v>
      </c>
      <c r="Q167" s="11">
        <f>K167*(O167/100)</f>
        <v>0</v>
      </c>
      <c r="R167" s="11" t="e">
        <f t="shared" si="25"/>
        <v>#DIV/0!</v>
      </c>
      <c r="T167" s="11" t="e">
        <f t="shared" si="33"/>
        <v>#DIV/0!</v>
      </c>
      <c r="U167" t="e">
        <f t="shared" si="26"/>
        <v>#DIV/0!</v>
      </c>
      <c r="Y167" s="11">
        <f>V167*I167</f>
        <v>0</v>
      </c>
      <c r="Z167" s="12">
        <f>W167*I167</f>
        <v>0</v>
      </c>
      <c r="AA167" s="12">
        <f>X167*I167</f>
        <v>0</v>
      </c>
      <c r="AE167" s="12">
        <f t="shared" si="27"/>
        <v>0</v>
      </c>
      <c r="AF167" s="12">
        <f t="shared" si="28"/>
        <v>0</v>
      </c>
      <c r="AG167" s="12">
        <f t="shared" si="29"/>
        <v>0</v>
      </c>
      <c r="AH167" s="12">
        <f t="shared" si="30"/>
        <v>0</v>
      </c>
      <c r="AI167" s="12" t="e">
        <f t="shared" si="31"/>
        <v>#DIV/0!</v>
      </c>
      <c r="AJ167" s="12">
        <f t="shared" si="32"/>
        <v>0</v>
      </c>
      <c r="AK167" s="11" t="e">
        <f>AH167/J167</f>
        <v>#DIV/0!</v>
      </c>
      <c r="AL167" s="11" t="e">
        <f>AG167/J167</f>
        <v>#DIV/0!</v>
      </c>
    </row>
    <row r="168" spans="13:38" x14ac:dyDescent="0.2">
      <c r="M168" s="11">
        <f>(L168/100)*I168</f>
        <v>0</v>
      </c>
      <c r="N168" s="11">
        <f>K168*(L168/100)</f>
        <v>0</v>
      </c>
      <c r="P168" s="11">
        <f>(O168/100)*I168</f>
        <v>0</v>
      </c>
      <c r="Q168" s="11">
        <f>K168*(O168/100)</f>
        <v>0</v>
      </c>
      <c r="R168" s="11" t="e">
        <f t="shared" si="25"/>
        <v>#DIV/0!</v>
      </c>
      <c r="T168" s="11" t="e">
        <f t="shared" si="33"/>
        <v>#DIV/0!</v>
      </c>
      <c r="U168" t="e">
        <f t="shared" si="26"/>
        <v>#DIV/0!</v>
      </c>
      <c r="Y168" s="11">
        <f>V168*I168</f>
        <v>0</v>
      </c>
      <c r="Z168" s="12">
        <f>W168*I168</f>
        <v>0</v>
      </c>
      <c r="AA168" s="12">
        <f>X168*I168</f>
        <v>0</v>
      </c>
      <c r="AE168" s="12">
        <f t="shared" si="27"/>
        <v>0</v>
      </c>
      <c r="AF168" s="12">
        <f t="shared" si="28"/>
        <v>0</v>
      </c>
      <c r="AG168" s="12">
        <f t="shared" si="29"/>
        <v>0</v>
      </c>
      <c r="AH168" s="12">
        <f t="shared" si="30"/>
        <v>0</v>
      </c>
      <c r="AI168" s="12" t="e">
        <f t="shared" si="31"/>
        <v>#DIV/0!</v>
      </c>
      <c r="AJ168" s="12">
        <f t="shared" si="32"/>
        <v>0</v>
      </c>
      <c r="AK168" s="11" t="e">
        <f>AH168/J168</f>
        <v>#DIV/0!</v>
      </c>
      <c r="AL168" s="11" t="e">
        <f>AG168/J168</f>
        <v>#DIV/0!</v>
      </c>
    </row>
    <row r="169" spans="13:38" x14ac:dyDescent="0.2">
      <c r="M169" s="11">
        <f>(L169/100)*I169</f>
        <v>0</v>
      </c>
      <c r="N169" s="11">
        <f>K169*(L169/100)</f>
        <v>0</v>
      </c>
      <c r="P169" s="11">
        <f>(O169/100)*I169</f>
        <v>0</v>
      </c>
      <c r="Q169" s="11">
        <f>K169*(O169/100)</f>
        <v>0</v>
      </c>
      <c r="R169" s="11" t="e">
        <f t="shared" si="25"/>
        <v>#DIV/0!</v>
      </c>
      <c r="T169" s="11" t="e">
        <f t="shared" si="33"/>
        <v>#DIV/0!</v>
      </c>
      <c r="U169" t="e">
        <f t="shared" si="26"/>
        <v>#DIV/0!</v>
      </c>
      <c r="Y169" s="11">
        <f>V169*I169</f>
        <v>0</v>
      </c>
      <c r="Z169" s="12">
        <f>W169*I169</f>
        <v>0</v>
      </c>
      <c r="AA169" s="12">
        <f>X169*I169</f>
        <v>0</v>
      </c>
      <c r="AE169" s="12">
        <f t="shared" si="27"/>
        <v>0</v>
      </c>
      <c r="AF169" s="12">
        <f t="shared" si="28"/>
        <v>0</v>
      </c>
      <c r="AG169" s="12">
        <f t="shared" si="29"/>
        <v>0</v>
      </c>
      <c r="AH169" s="12">
        <f t="shared" si="30"/>
        <v>0</v>
      </c>
      <c r="AI169" s="12" t="e">
        <f t="shared" si="31"/>
        <v>#DIV/0!</v>
      </c>
      <c r="AJ169" s="12">
        <f t="shared" si="32"/>
        <v>0</v>
      </c>
      <c r="AK169" s="11" t="e">
        <f>AH169/J169</f>
        <v>#DIV/0!</v>
      </c>
      <c r="AL169" s="11" t="e">
        <f>AG169/J169</f>
        <v>#DIV/0!</v>
      </c>
    </row>
    <row r="170" spans="13:38" x14ac:dyDescent="0.2">
      <c r="M170" s="11">
        <f>(L170/100)*I170</f>
        <v>0</v>
      </c>
      <c r="N170" s="11">
        <f>K170*(L170/100)</f>
        <v>0</v>
      </c>
      <c r="P170" s="11">
        <f>(O170/100)*I170</f>
        <v>0</v>
      </c>
      <c r="Q170" s="11">
        <f>K170*(O170/100)</f>
        <v>0</v>
      </c>
      <c r="R170" s="11" t="e">
        <f t="shared" si="25"/>
        <v>#DIV/0!</v>
      </c>
      <c r="T170" s="11" t="e">
        <f t="shared" si="33"/>
        <v>#DIV/0!</v>
      </c>
      <c r="U170" t="e">
        <f t="shared" si="26"/>
        <v>#DIV/0!</v>
      </c>
      <c r="Y170" s="11">
        <f>V170*I170</f>
        <v>0</v>
      </c>
      <c r="Z170" s="12">
        <f>W170*I170</f>
        <v>0</v>
      </c>
      <c r="AA170" s="12">
        <f>X170*I170</f>
        <v>0</v>
      </c>
      <c r="AE170" s="12">
        <f t="shared" si="27"/>
        <v>0</v>
      </c>
      <c r="AF170" s="12">
        <f t="shared" si="28"/>
        <v>0</v>
      </c>
      <c r="AG170" s="12">
        <f t="shared" si="29"/>
        <v>0</v>
      </c>
      <c r="AH170" s="12">
        <f t="shared" si="30"/>
        <v>0</v>
      </c>
      <c r="AI170" s="12" t="e">
        <f t="shared" si="31"/>
        <v>#DIV/0!</v>
      </c>
      <c r="AJ170" s="12">
        <f t="shared" si="32"/>
        <v>0</v>
      </c>
      <c r="AK170" s="11" t="e">
        <f>AH170/J170</f>
        <v>#DIV/0!</v>
      </c>
      <c r="AL170" s="11" t="e">
        <f>AG170/J170</f>
        <v>#DIV/0!</v>
      </c>
    </row>
    <row r="171" spans="13:38" x14ac:dyDescent="0.2">
      <c r="M171" s="11">
        <f>(L171/100)*I171</f>
        <v>0</v>
      </c>
      <c r="N171" s="11">
        <f>K171*(L171/100)</f>
        <v>0</v>
      </c>
      <c r="P171" s="11">
        <f>(O171/100)*I171</f>
        <v>0</v>
      </c>
      <c r="Q171" s="11">
        <f>K171*(O171/100)</f>
        <v>0</v>
      </c>
      <c r="R171" s="11" t="e">
        <f t="shared" si="25"/>
        <v>#DIV/0!</v>
      </c>
      <c r="T171" s="11" t="e">
        <f t="shared" si="33"/>
        <v>#DIV/0!</v>
      </c>
      <c r="U171" t="e">
        <f t="shared" si="26"/>
        <v>#DIV/0!</v>
      </c>
      <c r="Y171" s="11">
        <f>V171*I171</f>
        <v>0</v>
      </c>
      <c r="Z171" s="12">
        <f>W171*I171</f>
        <v>0</v>
      </c>
      <c r="AA171" s="12">
        <f>X171*I171</f>
        <v>0</v>
      </c>
      <c r="AE171" s="12">
        <f t="shared" si="27"/>
        <v>0</v>
      </c>
      <c r="AF171" s="12">
        <f t="shared" si="28"/>
        <v>0</v>
      </c>
      <c r="AG171" s="12">
        <f t="shared" si="29"/>
        <v>0</v>
      </c>
      <c r="AH171" s="12">
        <f t="shared" si="30"/>
        <v>0</v>
      </c>
      <c r="AI171" s="12" t="e">
        <f t="shared" si="31"/>
        <v>#DIV/0!</v>
      </c>
      <c r="AJ171" s="12">
        <f t="shared" si="32"/>
        <v>0</v>
      </c>
      <c r="AK171" s="11" t="e">
        <f>AH171/J171</f>
        <v>#DIV/0!</v>
      </c>
      <c r="AL171" s="11" t="e">
        <f>AG171/J171</f>
        <v>#DIV/0!</v>
      </c>
    </row>
    <row r="172" spans="13:38" x14ac:dyDescent="0.2">
      <c r="M172" s="11">
        <f>(L172/100)*I172</f>
        <v>0</v>
      </c>
      <c r="N172" s="11">
        <f>K172*(L172/100)</f>
        <v>0</v>
      </c>
      <c r="P172" s="11">
        <f>(O172/100)*I172</f>
        <v>0</v>
      </c>
      <c r="Q172" s="11">
        <f>K172*(O172/100)</f>
        <v>0</v>
      </c>
      <c r="R172" s="11" t="e">
        <f t="shared" si="25"/>
        <v>#DIV/0!</v>
      </c>
      <c r="T172" s="11" t="e">
        <f t="shared" si="33"/>
        <v>#DIV/0!</v>
      </c>
      <c r="U172" t="e">
        <f t="shared" si="26"/>
        <v>#DIV/0!</v>
      </c>
      <c r="Y172" s="11">
        <f>V172*I172</f>
        <v>0</v>
      </c>
      <c r="Z172" s="12">
        <f>W172*I172</f>
        <v>0</v>
      </c>
      <c r="AA172" s="12">
        <f>X172*I172</f>
        <v>0</v>
      </c>
      <c r="AE172" s="12">
        <f t="shared" si="27"/>
        <v>0</v>
      </c>
      <c r="AF172" s="12">
        <f t="shared" si="28"/>
        <v>0</v>
      </c>
      <c r="AG172" s="12">
        <f t="shared" si="29"/>
        <v>0</v>
      </c>
      <c r="AH172" s="12">
        <f t="shared" si="30"/>
        <v>0</v>
      </c>
      <c r="AI172" s="12" t="e">
        <f t="shared" si="31"/>
        <v>#DIV/0!</v>
      </c>
      <c r="AJ172" s="12">
        <f t="shared" si="32"/>
        <v>0</v>
      </c>
      <c r="AK172" s="11" t="e">
        <f>AH172/J172</f>
        <v>#DIV/0!</v>
      </c>
      <c r="AL172" s="11" t="e">
        <f>AG172/J172</f>
        <v>#DIV/0!</v>
      </c>
    </row>
    <row r="173" spans="13:38" x14ac:dyDescent="0.2">
      <c r="M173" s="11">
        <f>(L173/100)*I173</f>
        <v>0</v>
      </c>
      <c r="N173" s="11">
        <f>K173*(L173/100)</f>
        <v>0</v>
      </c>
      <c r="P173" s="11">
        <f>(O173/100)*I173</f>
        <v>0</v>
      </c>
      <c r="Q173" s="11">
        <f>K173*(O173/100)</f>
        <v>0</v>
      </c>
      <c r="R173" s="11" t="e">
        <f t="shared" si="25"/>
        <v>#DIV/0!</v>
      </c>
      <c r="T173" s="11" t="e">
        <f t="shared" si="33"/>
        <v>#DIV/0!</v>
      </c>
      <c r="U173" t="e">
        <f t="shared" si="26"/>
        <v>#DIV/0!</v>
      </c>
      <c r="Y173" s="11">
        <f>V173*I173</f>
        <v>0</v>
      </c>
      <c r="Z173" s="12">
        <f>W173*I173</f>
        <v>0</v>
      </c>
      <c r="AA173" s="12">
        <f>X173*I173</f>
        <v>0</v>
      </c>
      <c r="AE173" s="12">
        <f t="shared" si="27"/>
        <v>0</v>
      </c>
      <c r="AF173" s="12">
        <f t="shared" si="28"/>
        <v>0</v>
      </c>
      <c r="AG173" s="12">
        <f t="shared" si="29"/>
        <v>0</v>
      </c>
      <c r="AH173" s="12">
        <f t="shared" si="30"/>
        <v>0</v>
      </c>
      <c r="AI173" s="12" t="e">
        <f t="shared" si="31"/>
        <v>#DIV/0!</v>
      </c>
      <c r="AJ173" s="12">
        <f t="shared" si="32"/>
        <v>0</v>
      </c>
      <c r="AK173" s="11" t="e">
        <f>AH173/J173</f>
        <v>#DIV/0!</v>
      </c>
      <c r="AL173" s="11" t="e">
        <f>AG173/J173</f>
        <v>#DIV/0!</v>
      </c>
    </row>
    <row r="174" spans="13:38" x14ac:dyDescent="0.2">
      <c r="M174" s="11">
        <f>(L174/100)*I174</f>
        <v>0</v>
      </c>
      <c r="N174" s="11">
        <f>K174*(L174/100)</f>
        <v>0</v>
      </c>
      <c r="P174" s="11">
        <f>(O174/100)*I174</f>
        <v>0</v>
      </c>
      <c r="Q174" s="11">
        <f>K174*(O174/100)</f>
        <v>0</v>
      </c>
      <c r="R174" s="11" t="e">
        <f t="shared" si="25"/>
        <v>#DIV/0!</v>
      </c>
      <c r="T174" s="11" t="e">
        <f t="shared" si="33"/>
        <v>#DIV/0!</v>
      </c>
      <c r="U174" t="e">
        <f t="shared" si="26"/>
        <v>#DIV/0!</v>
      </c>
      <c r="Y174" s="11">
        <f>V174*I174</f>
        <v>0</v>
      </c>
      <c r="Z174" s="12">
        <f>W174*I174</f>
        <v>0</v>
      </c>
      <c r="AA174" s="12">
        <f>X174*I174</f>
        <v>0</v>
      </c>
      <c r="AE174" s="12">
        <f t="shared" si="27"/>
        <v>0</v>
      </c>
      <c r="AF174" s="12">
        <f t="shared" si="28"/>
        <v>0</v>
      </c>
      <c r="AG174" s="12">
        <f t="shared" si="29"/>
        <v>0</v>
      </c>
      <c r="AH174" s="12">
        <f t="shared" si="30"/>
        <v>0</v>
      </c>
      <c r="AI174" s="12" t="e">
        <f t="shared" si="31"/>
        <v>#DIV/0!</v>
      </c>
      <c r="AJ174" s="12">
        <f t="shared" si="32"/>
        <v>0</v>
      </c>
      <c r="AK174" s="11" t="e">
        <f>AH174/J174</f>
        <v>#DIV/0!</v>
      </c>
      <c r="AL174" s="11" t="e">
        <f>AG174/J174</f>
        <v>#DIV/0!</v>
      </c>
    </row>
    <row r="175" spans="13:38" x14ac:dyDescent="0.2">
      <c r="M175" s="11">
        <f>(L175/100)*I175</f>
        <v>0</v>
      </c>
      <c r="N175" s="11">
        <f>K175*(L175/100)</f>
        <v>0</v>
      </c>
      <c r="P175" s="11">
        <f>(O175/100)*I175</f>
        <v>0</v>
      </c>
      <c r="Q175" s="11">
        <f>K175*(O175/100)</f>
        <v>0</v>
      </c>
      <c r="R175" s="11" t="e">
        <f t="shared" si="25"/>
        <v>#DIV/0!</v>
      </c>
      <c r="T175" s="11" t="e">
        <f t="shared" si="33"/>
        <v>#DIV/0!</v>
      </c>
      <c r="U175" t="e">
        <f t="shared" si="26"/>
        <v>#DIV/0!</v>
      </c>
      <c r="Y175" s="11">
        <f>V175*I175</f>
        <v>0</v>
      </c>
      <c r="Z175" s="12">
        <f>W175*I175</f>
        <v>0</v>
      </c>
      <c r="AA175" s="12">
        <f>X175*I175</f>
        <v>0</v>
      </c>
      <c r="AE175" s="12">
        <f t="shared" si="27"/>
        <v>0</v>
      </c>
      <c r="AF175" s="12">
        <f t="shared" si="28"/>
        <v>0</v>
      </c>
      <c r="AG175" s="12">
        <f t="shared" si="29"/>
        <v>0</v>
      </c>
      <c r="AH175" s="12">
        <f t="shared" si="30"/>
        <v>0</v>
      </c>
      <c r="AI175" s="12" t="e">
        <f t="shared" si="31"/>
        <v>#DIV/0!</v>
      </c>
      <c r="AJ175" s="12">
        <f t="shared" si="32"/>
        <v>0</v>
      </c>
      <c r="AK175" s="11" t="e">
        <f>AH175/J175</f>
        <v>#DIV/0!</v>
      </c>
      <c r="AL175" s="11" t="e">
        <f>AG175/J175</f>
        <v>#DIV/0!</v>
      </c>
    </row>
    <row r="176" spans="13:38" x14ac:dyDescent="0.2">
      <c r="M176" s="11">
        <f>(L176/100)*I176</f>
        <v>0</v>
      </c>
      <c r="N176" s="11">
        <f>K176*(L176/100)</f>
        <v>0</v>
      </c>
      <c r="P176" s="11">
        <f>(O176/100)*I176</f>
        <v>0</v>
      </c>
      <c r="Q176" s="11">
        <f>K176*(O176/100)</f>
        <v>0</v>
      </c>
      <c r="R176" s="11" t="e">
        <f t="shared" si="25"/>
        <v>#DIV/0!</v>
      </c>
      <c r="T176" s="11" t="e">
        <f t="shared" si="33"/>
        <v>#DIV/0!</v>
      </c>
      <c r="U176" t="e">
        <f t="shared" si="26"/>
        <v>#DIV/0!</v>
      </c>
      <c r="Y176" s="11">
        <f>V176*I176</f>
        <v>0</v>
      </c>
      <c r="Z176" s="12">
        <f>W176*I176</f>
        <v>0</v>
      </c>
      <c r="AA176" s="12">
        <f>X176*I176</f>
        <v>0</v>
      </c>
      <c r="AE176" s="12">
        <f t="shared" si="27"/>
        <v>0</v>
      </c>
      <c r="AF176" s="12">
        <f t="shared" si="28"/>
        <v>0</v>
      </c>
      <c r="AG176" s="12">
        <f t="shared" si="29"/>
        <v>0</v>
      </c>
      <c r="AH176" s="12">
        <f t="shared" si="30"/>
        <v>0</v>
      </c>
      <c r="AI176" s="12" t="e">
        <f t="shared" si="31"/>
        <v>#DIV/0!</v>
      </c>
      <c r="AJ176" s="12">
        <f t="shared" si="32"/>
        <v>0</v>
      </c>
      <c r="AK176" s="11" t="e">
        <f>AH176/J176</f>
        <v>#DIV/0!</v>
      </c>
      <c r="AL176" s="11" t="e">
        <f>AG176/J176</f>
        <v>#DIV/0!</v>
      </c>
    </row>
    <row r="177" spans="13:38" x14ac:dyDescent="0.2">
      <c r="M177" s="11">
        <f>(L177/100)*I177</f>
        <v>0</v>
      </c>
      <c r="N177" s="11">
        <f>K177*(L177/100)</f>
        <v>0</v>
      </c>
      <c r="P177" s="11">
        <f>(O177/100)*I177</f>
        <v>0</v>
      </c>
      <c r="Q177" s="11">
        <f>K177*(O177/100)</f>
        <v>0</v>
      </c>
      <c r="R177" s="11" t="e">
        <f t="shared" si="25"/>
        <v>#DIV/0!</v>
      </c>
      <c r="T177" s="11" t="e">
        <f t="shared" si="33"/>
        <v>#DIV/0!</v>
      </c>
      <c r="U177" t="e">
        <f t="shared" si="26"/>
        <v>#DIV/0!</v>
      </c>
      <c r="Y177" s="11">
        <f>V177*I177</f>
        <v>0</v>
      </c>
      <c r="Z177" s="12">
        <f>W177*I177</f>
        <v>0</v>
      </c>
      <c r="AA177" s="12">
        <f>X177*I177</f>
        <v>0</v>
      </c>
      <c r="AE177" s="12">
        <f t="shared" si="27"/>
        <v>0</v>
      </c>
      <c r="AF177" s="12">
        <f t="shared" si="28"/>
        <v>0</v>
      </c>
      <c r="AG177" s="12">
        <f t="shared" si="29"/>
        <v>0</v>
      </c>
      <c r="AH177" s="12">
        <f t="shared" si="30"/>
        <v>0</v>
      </c>
      <c r="AI177" s="12" t="e">
        <f t="shared" si="31"/>
        <v>#DIV/0!</v>
      </c>
      <c r="AJ177" s="12">
        <f t="shared" si="32"/>
        <v>0</v>
      </c>
      <c r="AK177" s="11" t="e">
        <f>AH177/J177</f>
        <v>#DIV/0!</v>
      </c>
      <c r="AL177" s="11" t="e">
        <f>AG177/J177</f>
        <v>#DIV/0!</v>
      </c>
    </row>
    <row r="178" spans="13:38" x14ac:dyDescent="0.2">
      <c r="M178" s="11">
        <f>(L178/100)*I178</f>
        <v>0</v>
      </c>
      <c r="N178" s="11">
        <f>K178*(L178/100)</f>
        <v>0</v>
      </c>
      <c r="P178" s="11">
        <f>(O178/100)*I178</f>
        <v>0</v>
      </c>
      <c r="Q178" s="11">
        <f>K178*(O178/100)</f>
        <v>0</v>
      </c>
      <c r="R178" s="11" t="e">
        <f t="shared" si="25"/>
        <v>#DIV/0!</v>
      </c>
      <c r="T178" s="11" t="e">
        <f t="shared" si="33"/>
        <v>#DIV/0!</v>
      </c>
      <c r="U178" t="e">
        <f t="shared" si="26"/>
        <v>#DIV/0!</v>
      </c>
      <c r="Y178" s="11">
        <f>V178*I178</f>
        <v>0</v>
      </c>
      <c r="Z178" s="12">
        <f>W178*I178</f>
        <v>0</v>
      </c>
      <c r="AA178" s="12">
        <f>X178*I178</f>
        <v>0</v>
      </c>
      <c r="AE178" s="12">
        <f t="shared" si="27"/>
        <v>0</v>
      </c>
      <c r="AF178" s="12">
        <f t="shared" si="28"/>
        <v>0</v>
      </c>
      <c r="AG178" s="12">
        <f t="shared" si="29"/>
        <v>0</v>
      </c>
      <c r="AH178" s="12">
        <f t="shared" si="30"/>
        <v>0</v>
      </c>
      <c r="AI178" s="12" t="e">
        <f t="shared" si="31"/>
        <v>#DIV/0!</v>
      </c>
      <c r="AJ178" s="12">
        <f t="shared" si="32"/>
        <v>0</v>
      </c>
      <c r="AK178" s="11" t="e">
        <f>AH178/J178</f>
        <v>#DIV/0!</v>
      </c>
      <c r="AL178" s="11" t="e">
        <f>AG178/J178</f>
        <v>#DIV/0!</v>
      </c>
    </row>
    <row r="179" spans="13:38" x14ac:dyDescent="0.2">
      <c r="M179" s="11">
        <f>(L179/100)*I179</f>
        <v>0</v>
      </c>
      <c r="N179" s="11">
        <f>K179*(L179/100)</f>
        <v>0</v>
      </c>
      <c r="P179" s="11">
        <f>(O179/100)*I179</f>
        <v>0</v>
      </c>
      <c r="Q179" s="11">
        <f>K179*(O179/100)</f>
        <v>0</v>
      </c>
      <c r="R179" s="11" t="e">
        <f t="shared" si="25"/>
        <v>#DIV/0!</v>
      </c>
      <c r="T179" s="11" t="e">
        <f t="shared" si="33"/>
        <v>#DIV/0!</v>
      </c>
      <c r="U179" t="e">
        <f t="shared" si="26"/>
        <v>#DIV/0!</v>
      </c>
      <c r="Y179" s="11">
        <f>V179*I179</f>
        <v>0</v>
      </c>
      <c r="Z179" s="12">
        <f>W179*I179</f>
        <v>0</v>
      </c>
      <c r="AA179" s="12">
        <f>X179*I179</f>
        <v>0</v>
      </c>
      <c r="AE179" s="12">
        <f t="shared" si="27"/>
        <v>0</v>
      </c>
      <c r="AF179" s="12">
        <f t="shared" si="28"/>
        <v>0</v>
      </c>
      <c r="AG179" s="12">
        <f t="shared" si="29"/>
        <v>0</v>
      </c>
      <c r="AH179" s="12">
        <f t="shared" si="30"/>
        <v>0</v>
      </c>
      <c r="AI179" s="12" t="e">
        <f t="shared" si="31"/>
        <v>#DIV/0!</v>
      </c>
      <c r="AJ179" s="12">
        <f t="shared" si="32"/>
        <v>0</v>
      </c>
      <c r="AK179" s="11" t="e">
        <f>AH179/J179</f>
        <v>#DIV/0!</v>
      </c>
      <c r="AL179" s="11" t="e">
        <f>AG179/J179</f>
        <v>#DIV/0!</v>
      </c>
    </row>
    <row r="180" spans="13:38" x14ac:dyDescent="0.2">
      <c r="M180" s="11">
        <f>(L180/100)*I180</f>
        <v>0</v>
      </c>
      <c r="N180" s="11">
        <f>K180*(L180/100)</f>
        <v>0</v>
      </c>
      <c r="P180" s="11">
        <f>(O180/100)*I180</f>
        <v>0</v>
      </c>
      <c r="Q180" s="11">
        <f>K180*(O180/100)</f>
        <v>0</v>
      </c>
      <c r="R180" s="11" t="e">
        <f t="shared" si="25"/>
        <v>#DIV/0!</v>
      </c>
      <c r="T180" s="11" t="e">
        <f t="shared" si="33"/>
        <v>#DIV/0!</v>
      </c>
      <c r="U180" t="e">
        <f t="shared" si="26"/>
        <v>#DIV/0!</v>
      </c>
      <c r="Y180" s="11">
        <f>V180*I180</f>
        <v>0</v>
      </c>
      <c r="Z180" s="12">
        <f>W180*I180</f>
        <v>0</v>
      </c>
      <c r="AA180" s="12">
        <f>X180*I180</f>
        <v>0</v>
      </c>
      <c r="AE180" s="12">
        <f t="shared" si="27"/>
        <v>0</v>
      </c>
      <c r="AF180" s="12">
        <f t="shared" si="28"/>
        <v>0</v>
      </c>
      <c r="AG180" s="12">
        <f t="shared" si="29"/>
        <v>0</v>
      </c>
      <c r="AH180" s="12">
        <f t="shared" si="30"/>
        <v>0</v>
      </c>
      <c r="AI180" s="12" t="e">
        <f t="shared" si="31"/>
        <v>#DIV/0!</v>
      </c>
      <c r="AJ180" s="12">
        <f t="shared" si="32"/>
        <v>0</v>
      </c>
      <c r="AK180" s="11" t="e">
        <f>AH180/J180</f>
        <v>#DIV/0!</v>
      </c>
      <c r="AL180" s="11" t="e">
        <f>AG180/J180</f>
        <v>#DIV/0!</v>
      </c>
    </row>
    <row r="181" spans="13:38" x14ac:dyDescent="0.2">
      <c r="M181" s="11">
        <f>(L181/100)*I181</f>
        <v>0</v>
      </c>
      <c r="N181" s="11">
        <f>K181*(L181/100)</f>
        <v>0</v>
      </c>
      <c r="P181" s="11">
        <f>(O181/100)*I181</f>
        <v>0</v>
      </c>
      <c r="Q181" s="11">
        <f>K181*(O181/100)</f>
        <v>0</v>
      </c>
      <c r="R181" s="11" t="e">
        <f t="shared" si="25"/>
        <v>#DIV/0!</v>
      </c>
      <c r="T181" s="11" t="e">
        <f t="shared" si="33"/>
        <v>#DIV/0!</v>
      </c>
      <c r="U181" t="e">
        <f t="shared" si="26"/>
        <v>#DIV/0!</v>
      </c>
      <c r="Y181" s="11">
        <f>V181*I181</f>
        <v>0</v>
      </c>
      <c r="Z181" s="12">
        <f>W181*I181</f>
        <v>0</v>
      </c>
      <c r="AA181" s="12">
        <f>X181*I181</f>
        <v>0</v>
      </c>
      <c r="AE181" s="12">
        <f t="shared" si="27"/>
        <v>0</v>
      </c>
      <c r="AF181" s="12">
        <f t="shared" si="28"/>
        <v>0</v>
      </c>
      <c r="AG181" s="12">
        <f t="shared" si="29"/>
        <v>0</v>
      </c>
      <c r="AH181" s="12">
        <f t="shared" si="30"/>
        <v>0</v>
      </c>
      <c r="AI181" s="12" t="e">
        <f t="shared" si="31"/>
        <v>#DIV/0!</v>
      </c>
      <c r="AJ181" s="12">
        <f t="shared" si="32"/>
        <v>0</v>
      </c>
      <c r="AK181" s="11" t="e">
        <f>AH181/J181</f>
        <v>#DIV/0!</v>
      </c>
      <c r="AL181" s="11" t="e">
        <f>AG181/J181</f>
        <v>#DIV/0!</v>
      </c>
    </row>
    <row r="182" spans="13:38" x14ac:dyDescent="0.2">
      <c r="M182" s="11">
        <f>(L182/100)*I182</f>
        <v>0</v>
      </c>
      <c r="N182" s="11">
        <f>K182*(L182/100)</f>
        <v>0</v>
      </c>
      <c r="P182" s="11">
        <f>(O182/100)*I182</f>
        <v>0</v>
      </c>
      <c r="Q182" s="11">
        <f>K182*(O182/100)</f>
        <v>0</v>
      </c>
      <c r="R182" s="11" t="e">
        <f t="shared" si="25"/>
        <v>#DIV/0!</v>
      </c>
      <c r="T182" s="11" t="e">
        <f t="shared" si="33"/>
        <v>#DIV/0!</v>
      </c>
      <c r="U182" t="e">
        <f t="shared" si="26"/>
        <v>#DIV/0!</v>
      </c>
      <c r="Y182" s="11">
        <f>V182*I182</f>
        <v>0</v>
      </c>
      <c r="Z182" s="12">
        <f>W182*I182</f>
        <v>0</v>
      </c>
      <c r="AA182" s="12">
        <f>X182*I182</f>
        <v>0</v>
      </c>
      <c r="AE182" s="12">
        <f t="shared" si="27"/>
        <v>0</v>
      </c>
      <c r="AF182" s="12">
        <f t="shared" si="28"/>
        <v>0</v>
      </c>
      <c r="AG182" s="12">
        <f t="shared" si="29"/>
        <v>0</v>
      </c>
      <c r="AH182" s="12">
        <f t="shared" si="30"/>
        <v>0</v>
      </c>
      <c r="AI182" s="12" t="e">
        <f t="shared" si="31"/>
        <v>#DIV/0!</v>
      </c>
      <c r="AJ182" s="12">
        <f t="shared" si="32"/>
        <v>0</v>
      </c>
      <c r="AK182" s="11" t="e">
        <f>AH182/J182</f>
        <v>#DIV/0!</v>
      </c>
      <c r="AL182" s="11" t="e">
        <f>AG182/J182</f>
        <v>#DIV/0!</v>
      </c>
    </row>
    <row r="183" spans="13:38" x14ac:dyDescent="0.2">
      <c r="M183" s="11">
        <f>(L183/100)*I183</f>
        <v>0</v>
      </c>
      <c r="N183" s="11">
        <f>K183*(L183/100)</f>
        <v>0</v>
      </c>
      <c r="P183" s="11">
        <f>(O183/100)*I183</f>
        <v>0</v>
      </c>
      <c r="Q183" s="11">
        <f>K183*(O183/100)</f>
        <v>0</v>
      </c>
      <c r="R183" s="11" t="e">
        <f t="shared" si="25"/>
        <v>#DIV/0!</v>
      </c>
      <c r="T183" s="11" t="e">
        <f t="shared" si="33"/>
        <v>#DIV/0!</v>
      </c>
      <c r="U183" t="e">
        <f t="shared" si="26"/>
        <v>#DIV/0!</v>
      </c>
      <c r="Y183" s="11">
        <f>V183*I183</f>
        <v>0</v>
      </c>
      <c r="Z183" s="12">
        <f>W183*I183</f>
        <v>0</v>
      </c>
      <c r="AA183" s="12">
        <f>X183*I183</f>
        <v>0</v>
      </c>
      <c r="AE183" s="12">
        <f t="shared" si="27"/>
        <v>0</v>
      </c>
      <c r="AF183" s="12">
        <f t="shared" si="28"/>
        <v>0</v>
      </c>
      <c r="AG183" s="12">
        <f t="shared" si="29"/>
        <v>0</v>
      </c>
      <c r="AH183" s="12">
        <f t="shared" si="30"/>
        <v>0</v>
      </c>
      <c r="AI183" s="12" t="e">
        <f t="shared" si="31"/>
        <v>#DIV/0!</v>
      </c>
      <c r="AJ183" s="12">
        <f t="shared" si="32"/>
        <v>0</v>
      </c>
      <c r="AK183" s="11" t="e">
        <f>AH183/J183</f>
        <v>#DIV/0!</v>
      </c>
      <c r="AL183" s="11" t="e">
        <f>AG183/J183</f>
        <v>#DIV/0!</v>
      </c>
    </row>
    <row r="184" spans="13:38" x14ac:dyDescent="0.2">
      <c r="M184" s="11">
        <f>(L184/100)*I184</f>
        <v>0</v>
      </c>
      <c r="N184" s="11">
        <f>K184*(L184/100)</f>
        <v>0</v>
      </c>
      <c r="P184" s="11">
        <f>(O184/100)*I184</f>
        <v>0</v>
      </c>
      <c r="Q184" s="11">
        <f>K184*(O184/100)</f>
        <v>0</v>
      </c>
      <c r="R184" s="11" t="e">
        <f t="shared" si="25"/>
        <v>#DIV/0!</v>
      </c>
      <c r="T184" s="11" t="e">
        <f t="shared" si="33"/>
        <v>#DIV/0!</v>
      </c>
      <c r="U184" t="e">
        <f t="shared" si="26"/>
        <v>#DIV/0!</v>
      </c>
      <c r="Y184" s="11">
        <f>V184*I184</f>
        <v>0</v>
      </c>
      <c r="Z184" s="12">
        <f>W184*I184</f>
        <v>0</v>
      </c>
      <c r="AA184" s="12">
        <f>X184*I184</f>
        <v>0</v>
      </c>
      <c r="AE184" s="12">
        <f t="shared" si="27"/>
        <v>0</v>
      </c>
      <c r="AF184" s="12">
        <f t="shared" si="28"/>
        <v>0</v>
      </c>
      <c r="AG184" s="12">
        <f t="shared" si="29"/>
        <v>0</v>
      </c>
      <c r="AH184" s="12">
        <f t="shared" si="30"/>
        <v>0</v>
      </c>
      <c r="AI184" s="12" t="e">
        <f t="shared" si="31"/>
        <v>#DIV/0!</v>
      </c>
      <c r="AJ184" s="12">
        <f t="shared" si="32"/>
        <v>0</v>
      </c>
      <c r="AK184" s="11" t="e">
        <f>AH184/J184</f>
        <v>#DIV/0!</v>
      </c>
      <c r="AL184" s="11" t="e">
        <f>AG184/J184</f>
        <v>#DIV/0!</v>
      </c>
    </row>
    <row r="185" spans="13:38" x14ac:dyDescent="0.2">
      <c r="M185" s="11">
        <f>(L185/100)*I185</f>
        <v>0</v>
      </c>
      <c r="N185" s="11">
        <f>K185*(L185/100)</f>
        <v>0</v>
      </c>
      <c r="P185" s="11">
        <f>(O185/100)*I185</f>
        <v>0</v>
      </c>
      <c r="Q185" s="11">
        <f>K185*(O185/100)</f>
        <v>0</v>
      </c>
      <c r="R185" s="11" t="e">
        <f t="shared" si="25"/>
        <v>#DIV/0!</v>
      </c>
      <c r="T185" s="11" t="e">
        <f t="shared" si="33"/>
        <v>#DIV/0!</v>
      </c>
      <c r="U185" t="e">
        <f t="shared" si="26"/>
        <v>#DIV/0!</v>
      </c>
      <c r="Y185" s="11">
        <f>V185*I185</f>
        <v>0</v>
      </c>
      <c r="Z185" s="12">
        <f>W185*I185</f>
        <v>0</v>
      </c>
      <c r="AA185" s="12">
        <f>X185*I185</f>
        <v>0</v>
      </c>
      <c r="AE185" s="12">
        <f t="shared" si="27"/>
        <v>0</v>
      </c>
      <c r="AF185" s="12">
        <f t="shared" si="28"/>
        <v>0</v>
      </c>
      <c r="AG185" s="12">
        <f t="shared" si="29"/>
        <v>0</v>
      </c>
      <c r="AH185" s="12">
        <f t="shared" si="30"/>
        <v>0</v>
      </c>
      <c r="AI185" s="12" t="e">
        <f t="shared" si="31"/>
        <v>#DIV/0!</v>
      </c>
      <c r="AJ185" s="12">
        <f t="shared" si="32"/>
        <v>0</v>
      </c>
      <c r="AK185" s="11" t="e">
        <f>AH185/J185</f>
        <v>#DIV/0!</v>
      </c>
      <c r="AL185" s="11" t="e">
        <f>AG185/J185</f>
        <v>#DIV/0!</v>
      </c>
    </row>
    <row r="186" spans="13:38" x14ac:dyDescent="0.2">
      <c r="M186" s="11">
        <f>(L186/100)*I186</f>
        <v>0</v>
      </c>
      <c r="N186" s="11">
        <f>K186*(L186/100)</f>
        <v>0</v>
      </c>
      <c r="P186" s="11">
        <f>(O186/100)*I186</f>
        <v>0</v>
      </c>
      <c r="Q186" s="11">
        <f>K186*(O186/100)</f>
        <v>0</v>
      </c>
      <c r="R186" s="11" t="e">
        <f t="shared" si="25"/>
        <v>#DIV/0!</v>
      </c>
      <c r="T186" s="11" t="e">
        <f t="shared" si="33"/>
        <v>#DIV/0!</v>
      </c>
      <c r="U186" t="e">
        <f t="shared" si="26"/>
        <v>#DIV/0!</v>
      </c>
      <c r="Y186" s="11">
        <f>V186*I186</f>
        <v>0</v>
      </c>
      <c r="Z186" s="12">
        <f>W186*I186</f>
        <v>0</v>
      </c>
      <c r="AA186" s="12">
        <f>X186*I186</f>
        <v>0</v>
      </c>
      <c r="AE186" s="12">
        <f t="shared" si="27"/>
        <v>0</v>
      </c>
      <c r="AF186" s="12">
        <f t="shared" si="28"/>
        <v>0</v>
      </c>
      <c r="AG186" s="12">
        <f t="shared" si="29"/>
        <v>0</v>
      </c>
      <c r="AH186" s="12">
        <f t="shared" si="30"/>
        <v>0</v>
      </c>
      <c r="AI186" s="12" t="e">
        <f t="shared" si="31"/>
        <v>#DIV/0!</v>
      </c>
      <c r="AJ186" s="12">
        <f t="shared" si="32"/>
        <v>0</v>
      </c>
      <c r="AK186" s="11" t="e">
        <f>AH186/J186</f>
        <v>#DIV/0!</v>
      </c>
      <c r="AL186" s="11" t="e">
        <f>AG186/J186</f>
        <v>#DIV/0!</v>
      </c>
    </row>
    <row r="187" spans="13:38" x14ac:dyDescent="0.2">
      <c r="M187" s="11">
        <f>(L187/100)*I187</f>
        <v>0</v>
      </c>
      <c r="N187" s="11">
        <f>K187*(L187/100)</f>
        <v>0</v>
      </c>
      <c r="P187" s="11">
        <f>(O187/100)*I187</f>
        <v>0</v>
      </c>
      <c r="Q187" s="11">
        <f>K187*(O187/100)</f>
        <v>0</v>
      </c>
      <c r="R187" s="11" t="e">
        <f t="shared" si="25"/>
        <v>#DIV/0!</v>
      </c>
      <c r="T187" s="11" t="e">
        <f t="shared" si="33"/>
        <v>#DIV/0!</v>
      </c>
      <c r="U187" t="e">
        <f t="shared" si="26"/>
        <v>#DIV/0!</v>
      </c>
      <c r="Y187" s="11">
        <f>V187*I187</f>
        <v>0</v>
      </c>
      <c r="Z187" s="12">
        <f>W187*I187</f>
        <v>0</v>
      </c>
      <c r="AA187" s="12">
        <f>X187*I187</f>
        <v>0</v>
      </c>
      <c r="AE187" s="12">
        <f t="shared" si="27"/>
        <v>0</v>
      </c>
      <c r="AF187" s="12">
        <f t="shared" si="28"/>
        <v>0</v>
      </c>
      <c r="AG187" s="12">
        <f t="shared" si="29"/>
        <v>0</v>
      </c>
      <c r="AH187" s="12">
        <f t="shared" si="30"/>
        <v>0</v>
      </c>
      <c r="AI187" s="12" t="e">
        <f t="shared" si="31"/>
        <v>#DIV/0!</v>
      </c>
      <c r="AJ187" s="12">
        <f t="shared" si="32"/>
        <v>0</v>
      </c>
      <c r="AK187" s="11" t="e">
        <f>AH187/J187</f>
        <v>#DIV/0!</v>
      </c>
      <c r="AL187" s="11" t="e">
        <f>AG187/J187</f>
        <v>#DIV/0!</v>
      </c>
    </row>
    <row r="188" spans="13:38" x14ac:dyDescent="0.2">
      <c r="M188" s="11">
        <f>(L188/100)*I188</f>
        <v>0</v>
      </c>
      <c r="N188" s="11">
        <f>K188*(L188/100)</f>
        <v>0</v>
      </c>
      <c r="P188" s="11">
        <f>(O188/100)*I188</f>
        <v>0</v>
      </c>
      <c r="Q188" s="11">
        <f>K188*(O188/100)</f>
        <v>0</v>
      </c>
      <c r="R188" s="11" t="e">
        <f t="shared" si="25"/>
        <v>#DIV/0!</v>
      </c>
      <c r="T188" s="11" t="e">
        <f t="shared" si="33"/>
        <v>#DIV/0!</v>
      </c>
      <c r="U188" t="e">
        <f t="shared" si="26"/>
        <v>#DIV/0!</v>
      </c>
      <c r="Y188" s="11">
        <f>V188*I188</f>
        <v>0</v>
      </c>
      <c r="Z188" s="12">
        <f>W188*I188</f>
        <v>0</v>
      </c>
      <c r="AA188" s="12">
        <f>X188*I188</f>
        <v>0</v>
      </c>
      <c r="AE188" s="12">
        <f t="shared" si="27"/>
        <v>0</v>
      </c>
      <c r="AF188" s="12">
        <f t="shared" si="28"/>
        <v>0</v>
      </c>
      <c r="AG188" s="12">
        <f t="shared" si="29"/>
        <v>0</v>
      </c>
      <c r="AH188" s="12">
        <f t="shared" si="30"/>
        <v>0</v>
      </c>
      <c r="AI188" s="12" t="e">
        <f t="shared" si="31"/>
        <v>#DIV/0!</v>
      </c>
      <c r="AJ188" s="12">
        <f t="shared" si="32"/>
        <v>0</v>
      </c>
      <c r="AK188" s="11" t="e">
        <f>AH188/J188</f>
        <v>#DIV/0!</v>
      </c>
      <c r="AL188" s="11" t="e">
        <f>AG188/J188</f>
        <v>#DIV/0!</v>
      </c>
    </row>
    <row r="189" spans="13:38" x14ac:dyDescent="0.2">
      <c r="M189" s="11">
        <f>(L189/100)*I189</f>
        <v>0</v>
      </c>
      <c r="N189" s="11">
        <f>K189*(L189/100)</f>
        <v>0</v>
      </c>
      <c r="P189" s="11">
        <f>(O189/100)*I189</f>
        <v>0</v>
      </c>
      <c r="Q189" s="11">
        <f>K189*(O189/100)</f>
        <v>0</v>
      </c>
      <c r="R189" s="11" t="e">
        <f t="shared" si="25"/>
        <v>#DIV/0!</v>
      </c>
      <c r="T189" s="11" t="e">
        <f t="shared" si="33"/>
        <v>#DIV/0!</v>
      </c>
      <c r="U189" t="e">
        <f t="shared" si="26"/>
        <v>#DIV/0!</v>
      </c>
      <c r="Y189" s="11">
        <f>V189*I189</f>
        <v>0</v>
      </c>
      <c r="Z189" s="12">
        <f>W189*I189</f>
        <v>0</v>
      </c>
      <c r="AA189" s="12">
        <f>X189*I189</f>
        <v>0</v>
      </c>
      <c r="AE189" s="12">
        <f t="shared" si="27"/>
        <v>0</v>
      </c>
      <c r="AF189" s="12">
        <f t="shared" si="28"/>
        <v>0</v>
      </c>
      <c r="AG189" s="12">
        <f t="shared" si="29"/>
        <v>0</v>
      </c>
      <c r="AH189" s="12">
        <f t="shared" si="30"/>
        <v>0</v>
      </c>
      <c r="AI189" s="12" t="e">
        <f t="shared" si="31"/>
        <v>#DIV/0!</v>
      </c>
      <c r="AJ189" s="12">
        <f t="shared" si="32"/>
        <v>0</v>
      </c>
      <c r="AK189" s="11" t="e">
        <f>AH189/J189</f>
        <v>#DIV/0!</v>
      </c>
      <c r="AL189" s="11" t="e">
        <f>AG189/J189</f>
        <v>#DIV/0!</v>
      </c>
    </row>
    <row r="190" spans="13:38" x14ac:dyDescent="0.2">
      <c r="M190" s="11">
        <f>(L190/100)*I190</f>
        <v>0</v>
      </c>
      <c r="N190" s="11">
        <f>K190*(L190/100)</f>
        <v>0</v>
      </c>
      <c r="P190" s="11">
        <f>(O190/100)*I190</f>
        <v>0</v>
      </c>
      <c r="Q190" s="11">
        <f>K190*(O190/100)</f>
        <v>0</v>
      </c>
      <c r="R190" s="11" t="e">
        <f t="shared" si="25"/>
        <v>#DIV/0!</v>
      </c>
      <c r="T190" s="11" t="e">
        <f t="shared" si="33"/>
        <v>#DIV/0!</v>
      </c>
      <c r="U190" t="e">
        <f t="shared" si="26"/>
        <v>#DIV/0!</v>
      </c>
      <c r="Y190" s="11">
        <f>V190*I190</f>
        <v>0</v>
      </c>
      <c r="Z190" s="12">
        <f>W190*I190</f>
        <v>0</v>
      </c>
      <c r="AA190" s="12">
        <f>X190*I190</f>
        <v>0</v>
      </c>
      <c r="AE190" s="12">
        <f t="shared" si="27"/>
        <v>0</v>
      </c>
      <c r="AF190" s="12">
        <f t="shared" si="28"/>
        <v>0</v>
      </c>
      <c r="AG190" s="12">
        <f t="shared" si="29"/>
        <v>0</v>
      </c>
      <c r="AH190" s="12">
        <f t="shared" si="30"/>
        <v>0</v>
      </c>
      <c r="AI190" s="12" t="e">
        <f t="shared" si="31"/>
        <v>#DIV/0!</v>
      </c>
      <c r="AJ190" s="12">
        <f t="shared" si="32"/>
        <v>0</v>
      </c>
      <c r="AK190" s="11" t="e">
        <f>AH190/J190</f>
        <v>#DIV/0!</v>
      </c>
      <c r="AL190" s="11" t="e">
        <f>AG190/J190</f>
        <v>#DIV/0!</v>
      </c>
    </row>
    <row r="191" spans="13:38" x14ac:dyDescent="0.2">
      <c r="M191" s="11">
        <f>(L191/100)*I191</f>
        <v>0</v>
      </c>
      <c r="N191" s="11">
        <f>K191*(L191/100)</f>
        <v>0</v>
      </c>
      <c r="P191" s="11">
        <f>(O191/100)*I191</f>
        <v>0</v>
      </c>
      <c r="Q191" s="11">
        <f>K191*(O191/100)</f>
        <v>0</v>
      </c>
      <c r="R191" s="11" t="e">
        <f t="shared" si="25"/>
        <v>#DIV/0!</v>
      </c>
      <c r="T191" s="11" t="e">
        <f t="shared" si="33"/>
        <v>#DIV/0!</v>
      </c>
      <c r="U191" t="e">
        <f t="shared" si="26"/>
        <v>#DIV/0!</v>
      </c>
      <c r="Y191" s="11">
        <f>V191*I191</f>
        <v>0</v>
      </c>
      <c r="Z191" s="12">
        <f>W191*I191</f>
        <v>0</v>
      </c>
      <c r="AA191" s="12">
        <f>X191*I191</f>
        <v>0</v>
      </c>
      <c r="AE191" s="12">
        <f t="shared" si="27"/>
        <v>0</v>
      </c>
      <c r="AF191" s="12">
        <f t="shared" si="28"/>
        <v>0</v>
      </c>
      <c r="AG191" s="12">
        <f t="shared" si="29"/>
        <v>0</v>
      </c>
      <c r="AH191" s="12">
        <f t="shared" si="30"/>
        <v>0</v>
      </c>
      <c r="AI191" s="12" t="e">
        <f t="shared" si="31"/>
        <v>#DIV/0!</v>
      </c>
      <c r="AJ191" s="12">
        <f t="shared" si="32"/>
        <v>0</v>
      </c>
      <c r="AK191" s="11" t="e">
        <f>AH191/J191</f>
        <v>#DIV/0!</v>
      </c>
      <c r="AL191" s="11" t="e">
        <f>AG191/J191</f>
        <v>#DIV/0!</v>
      </c>
    </row>
    <row r="192" spans="13:38" x14ac:dyDescent="0.2">
      <c r="M192" s="11">
        <f>(L192/100)*I192</f>
        <v>0</v>
      </c>
      <c r="N192" s="11">
        <f>K192*(L192/100)</f>
        <v>0</v>
      </c>
      <c r="P192" s="11">
        <f>(O192/100)*I192</f>
        <v>0</v>
      </c>
      <c r="Q192" s="11">
        <f>K192*(O192/100)</f>
        <v>0</v>
      </c>
      <c r="R192" s="11" t="e">
        <f t="shared" si="25"/>
        <v>#DIV/0!</v>
      </c>
      <c r="T192" s="11" t="e">
        <f t="shared" si="33"/>
        <v>#DIV/0!</v>
      </c>
      <c r="U192" t="e">
        <f t="shared" si="26"/>
        <v>#DIV/0!</v>
      </c>
      <c r="Y192" s="11">
        <f>V192*I192</f>
        <v>0</v>
      </c>
      <c r="Z192" s="12">
        <f>W192*I192</f>
        <v>0</v>
      </c>
      <c r="AA192" s="12">
        <f>X192*I192</f>
        <v>0</v>
      </c>
      <c r="AE192" s="12">
        <f t="shared" si="27"/>
        <v>0</v>
      </c>
      <c r="AF192" s="12">
        <f t="shared" si="28"/>
        <v>0</v>
      </c>
      <c r="AG192" s="12">
        <f t="shared" si="29"/>
        <v>0</v>
      </c>
      <c r="AH192" s="12">
        <f t="shared" si="30"/>
        <v>0</v>
      </c>
      <c r="AI192" s="12" t="e">
        <f t="shared" si="31"/>
        <v>#DIV/0!</v>
      </c>
      <c r="AJ192" s="12">
        <f t="shared" si="32"/>
        <v>0</v>
      </c>
      <c r="AK192" s="11" t="e">
        <f>AH192/J192</f>
        <v>#DIV/0!</v>
      </c>
      <c r="AL192" s="11" t="e">
        <f>AG192/J192</f>
        <v>#DIV/0!</v>
      </c>
    </row>
    <row r="193" spans="13:38" x14ac:dyDescent="0.2">
      <c r="M193" s="11">
        <f>(L193/100)*I193</f>
        <v>0</v>
      </c>
      <c r="N193" s="11">
        <f>K193*(L193/100)</f>
        <v>0</v>
      </c>
      <c r="P193" s="11">
        <f>(O193/100)*I193</f>
        <v>0</v>
      </c>
      <c r="Q193" s="11">
        <f>K193*(O193/100)</f>
        <v>0</v>
      </c>
      <c r="R193" s="11" t="e">
        <f t="shared" si="25"/>
        <v>#DIV/0!</v>
      </c>
      <c r="T193" s="11" t="e">
        <f t="shared" si="33"/>
        <v>#DIV/0!</v>
      </c>
      <c r="U193" t="e">
        <f t="shared" si="26"/>
        <v>#DIV/0!</v>
      </c>
      <c r="Y193" s="11">
        <f>V193*I193</f>
        <v>0</v>
      </c>
      <c r="Z193" s="12">
        <f>W193*I193</f>
        <v>0</v>
      </c>
      <c r="AA193" s="12">
        <f>X193*I193</f>
        <v>0</v>
      </c>
      <c r="AE193" s="12">
        <f t="shared" si="27"/>
        <v>0</v>
      </c>
      <c r="AF193" s="12">
        <f t="shared" si="28"/>
        <v>0</v>
      </c>
      <c r="AG193" s="12">
        <f t="shared" si="29"/>
        <v>0</v>
      </c>
      <c r="AH193" s="12">
        <f t="shared" si="30"/>
        <v>0</v>
      </c>
      <c r="AI193" s="12" t="e">
        <f t="shared" si="31"/>
        <v>#DIV/0!</v>
      </c>
      <c r="AJ193" s="12">
        <f t="shared" si="32"/>
        <v>0</v>
      </c>
      <c r="AK193" s="11" t="e">
        <f>AH193/J193</f>
        <v>#DIV/0!</v>
      </c>
      <c r="AL193" s="11" t="e">
        <f>AG193/J193</f>
        <v>#DIV/0!</v>
      </c>
    </row>
    <row r="194" spans="13:38" x14ac:dyDescent="0.2">
      <c r="M194" s="11">
        <f>(L194/100)*I194</f>
        <v>0</v>
      </c>
      <c r="N194" s="11">
        <f>K194*(L194/100)</f>
        <v>0</v>
      </c>
      <c r="P194" s="11">
        <f>(O194/100)*I194</f>
        <v>0</v>
      </c>
      <c r="Q194" s="11">
        <f>K194*(O194/100)</f>
        <v>0</v>
      </c>
      <c r="R194" s="11" t="e">
        <f t="shared" si="25"/>
        <v>#DIV/0!</v>
      </c>
      <c r="T194" s="11" t="e">
        <f t="shared" si="33"/>
        <v>#DIV/0!</v>
      </c>
      <c r="U194" t="e">
        <f t="shared" si="26"/>
        <v>#DIV/0!</v>
      </c>
      <c r="Y194" s="11">
        <f>V194*I194</f>
        <v>0</v>
      </c>
      <c r="Z194" s="12">
        <f>W194*I194</f>
        <v>0</v>
      </c>
      <c r="AA194" s="12">
        <f>X194*I194</f>
        <v>0</v>
      </c>
      <c r="AE194" s="12">
        <f t="shared" si="27"/>
        <v>0</v>
      </c>
      <c r="AF194" s="12">
        <f t="shared" si="28"/>
        <v>0</v>
      </c>
      <c r="AG194" s="12">
        <f t="shared" si="29"/>
        <v>0</v>
      </c>
      <c r="AH194" s="12">
        <f t="shared" si="30"/>
        <v>0</v>
      </c>
      <c r="AI194" s="12" t="e">
        <f t="shared" si="31"/>
        <v>#DIV/0!</v>
      </c>
      <c r="AJ194" s="12">
        <f t="shared" si="32"/>
        <v>0</v>
      </c>
      <c r="AK194" s="11" t="e">
        <f>AH194/J194</f>
        <v>#DIV/0!</v>
      </c>
      <c r="AL194" s="11" t="e">
        <f>AG194/J194</f>
        <v>#DIV/0!</v>
      </c>
    </row>
    <row r="195" spans="13:38" x14ac:dyDescent="0.2">
      <c r="M195" s="11">
        <f>(L195/100)*I195</f>
        <v>0</v>
      </c>
      <c r="N195" s="11">
        <f>K195*(L195/100)</f>
        <v>0</v>
      </c>
      <c r="P195" s="11">
        <f>(O195/100)*I195</f>
        <v>0</v>
      </c>
      <c r="Q195" s="11">
        <f>K195*(O195/100)</f>
        <v>0</v>
      </c>
      <c r="R195" s="11" t="e">
        <f t="shared" ref="R195:R255" si="34">L195/O195</f>
        <v>#DIV/0!</v>
      </c>
      <c r="T195" s="11" t="e">
        <f t="shared" si="33"/>
        <v>#DIV/0!</v>
      </c>
      <c r="U195" t="e">
        <f t="shared" ref="U195:U255" si="35">T195*0.48</f>
        <v>#DIV/0!</v>
      </c>
      <c r="Y195" s="11">
        <f>V195*I195</f>
        <v>0</v>
      </c>
      <c r="Z195" s="12">
        <f>W195*I195</f>
        <v>0</v>
      </c>
      <c r="AA195" s="12">
        <f>X195*I195</f>
        <v>0</v>
      </c>
      <c r="AE195" s="12">
        <f t="shared" ref="AE195:AE255" si="36">Y195*AB195/100</f>
        <v>0</v>
      </c>
      <c r="AF195" s="12">
        <f t="shared" ref="AF195:AF255" si="37">Z195*AC195/100</f>
        <v>0</v>
      </c>
      <c r="AG195" s="12">
        <f t="shared" ref="AG195:AG255" si="38">AA195*AD195/100</f>
        <v>0</v>
      </c>
      <c r="AH195" s="12">
        <f t="shared" ref="AH195:AH255" si="39">SUM(AE195:AF195)</f>
        <v>0</v>
      </c>
      <c r="AI195" s="12" t="e">
        <f t="shared" ref="AI195:AI255" si="40">AG195/AH195</f>
        <v>#DIV/0!</v>
      </c>
      <c r="AJ195" s="12">
        <f t="shared" ref="AJ195:AJ255" si="41">SUM(AG195:AH195)</f>
        <v>0</v>
      </c>
      <c r="AK195" s="11" t="e">
        <f>AH195/J195</f>
        <v>#DIV/0!</v>
      </c>
      <c r="AL195" s="11" t="e">
        <f>AG195/J195</f>
        <v>#DIV/0!</v>
      </c>
    </row>
    <row r="196" spans="13:38" x14ac:dyDescent="0.2">
      <c r="M196" s="11">
        <f>(L196/100)*I196</f>
        <v>0</v>
      </c>
      <c r="N196" s="11">
        <f>K196*(L196/100)</f>
        <v>0</v>
      </c>
      <c r="P196" s="11">
        <f>(O196/100)*I196</f>
        <v>0</v>
      </c>
      <c r="Q196" s="11">
        <f>K196*(O196/100)</f>
        <v>0</v>
      </c>
      <c r="R196" s="11" t="e">
        <f t="shared" si="34"/>
        <v>#DIV/0!</v>
      </c>
      <c r="T196" s="11" t="e">
        <f t="shared" si="33"/>
        <v>#DIV/0!</v>
      </c>
      <c r="U196" t="e">
        <f t="shared" si="35"/>
        <v>#DIV/0!</v>
      </c>
      <c r="Y196" s="11">
        <f>V196*I196</f>
        <v>0</v>
      </c>
      <c r="Z196" s="12">
        <f>W196*I196</f>
        <v>0</v>
      </c>
      <c r="AA196" s="12">
        <f>X196*I196</f>
        <v>0</v>
      </c>
      <c r="AE196" s="12">
        <f t="shared" si="36"/>
        <v>0</v>
      </c>
      <c r="AF196" s="12">
        <f t="shared" si="37"/>
        <v>0</v>
      </c>
      <c r="AG196" s="12">
        <f t="shared" si="38"/>
        <v>0</v>
      </c>
      <c r="AH196" s="12">
        <f t="shared" si="39"/>
        <v>0</v>
      </c>
      <c r="AI196" s="12" t="e">
        <f t="shared" si="40"/>
        <v>#DIV/0!</v>
      </c>
      <c r="AJ196" s="12">
        <f t="shared" si="41"/>
        <v>0</v>
      </c>
      <c r="AK196" s="11" t="e">
        <f>AH196/J196</f>
        <v>#DIV/0!</v>
      </c>
      <c r="AL196" s="11" t="e">
        <f>AG196/J196</f>
        <v>#DIV/0!</v>
      </c>
    </row>
    <row r="197" spans="13:38" x14ac:dyDescent="0.2">
      <c r="M197" s="11">
        <f>(L197/100)*I197</f>
        <v>0</v>
      </c>
      <c r="N197" s="11">
        <f>K197*(L197/100)</f>
        <v>0</v>
      </c>
      <c r="P197" s="11">
        <f>(O197/100)*I197</f>
        <v>0</v>
      </c>
      <c r="Q197" s="11">
        <f>K197*(O197/100)</f>
        <v>0</v>
      </c>
      <c r="R197" s="11" t="e">
        <f t="shared" si="34"/>
        <v>#DIV/0!</v>
      </c>
      <c r="T197" s="11" t="e">
        <f t="shared" si="33"/>
        <v>#DIV/0!</v>
      </c>
      <c r="U197" t="e">
        <f t="shared" si="35"/>
        <v>#DIV/0!</v>
      </c>
      <c r="Y197" s="11">
        <f>V197*I197</f>
        <v>0</v>
      </c>
      <c r="Z197" s="12">
        <f>W197*I197</f>
        <v>0</v>
      </c>
      <c r="AA197" s="12">
        <f>X197*I197</f>
        <v>0</v>
      </c>
      <c r="AE197" s="12">
        <f t="shared" si="36"/>
        <v>0</v>
      </c>
      <c r="AF197" s="12">
        <f t="shared" si="37"/>
        <v>0</v>
      </c>
      <c r="AG197" s="12">
        <f t="shared" si="38"/>
        <v>0</v>
      </c>
      <c r="AH197" s="12">
        <f t="shared" si="39"/>
        <v>0</v>
      </c>
      <c r="AI197" s="12" t="e">
        <f t="shared" si="40"/>
        <v>#DIV/0!</v>
      </c>
      <c r="AJ197" s="12">
        <f t="shared" si="41"/>
        <v>0</v>
      </c>
      <c r="AK197" s="11" t="e">
        <f>AH197/J197</f>
        <v>#DIV/0!</v>
      </c>
      <c r="AL197" s="11" t="e">
        <f>AG197/J197</f>
        <v>#DIV/0!</v>
      </c>
    </row>
    <row r="198" spans="13:38" x14ac:dyDescent="0.2">
      <c r="M198" s="11">
        <f>(L198/100)*I198</f>
        <v>0</v>
      </c>
      <c r="N198" s="11">
        <f>K198*(L198/100)</f>
        <v>0</v>
      </c>
      <c r="P198" s="11">
        <f>(O198/100)*I198</f>
        <v>0</v>
      </c>
      <c r="Q198" s="11">
        <f>K198*(O198/100)</f>
        <v>0</v>
      </c>
      <c r="R198" s="11" t="e">
        <f t="shared" si="34"/>
        <v>#DIV/0!</v>
      </c>
      <c r="T198" s="11" t="e">
        <f t="shared" si="33"/>
        <v>#DIV/0!</v>
      </c>
      <c r="U198" t="e">
        <f t="shared" si="35"/>
        <v>#DIV/0!</v>
      </c>
      <c r="Y198" s="11">
        <f>V198*I198</f>
        <v>0</v>
      </c>
      <c r="Z198" s="12">
        <f>W198*I198</f>
        <v>0</v>
      </c>
      <c r="AA198" s="12">
        <f>X198*I198</f>
        <v>0</v>
      </c>
      <c r="AE198" s="12">
        <f t="shared" si="36"/>
        <v>0</v>
      </c>
      <c r="AF198" s="12">
        <f t="shared" si="37"/>
        <v>0</v>
      </c>
      <c r="AG198" s="12">
        <f t="shared" si="38"/>
        <v>0</v>
      </c>
      <c r="AH198" s="12">
        <f t="shared" si="39"/>
        <v>0</v>
      </c>
      <c r="AI198" s="12" t="e">
        <f t="shared" si="40"/>
        <v>#DIV/0!</v>
      </c>
      <c r="AJ198" s="12">
        <f t="shared" si="41"/>
        <v>0</v>
      </c>
      <c r="AK198" s="11" t="e">
        <f>AH198/J198</f>
        <v>#DIV/0!</v>
      </c>
      <c r="AL198" s="11" t="e">
        <f>AG198/J198</f>
        <v>#DIV/0!</v>
      </c>
    </row>
    <row r="199" spans="13:38" x14ac:dyDescent="0.2">
      <c r="M199" s="11">
        <f>(L199/100)*I199</f>
        <v>0</v>
      </c>
      <c r="N199" s="11">
        <f>K199*(L199/100)</f>
        <v>0</v>
      </c>
      <c r="P199" s="11">
        <f>(O199/100)*I199</f>
        <v>0</v>
      </c>
      <c r="Q199" s="11">
        <f>K199*(O199/100)</f>
        <v>0</v>
      </c>
      <c r="R199" s="11" t="e">
        <f t="shared" si="34"/>
        <v>#DIV/0!</v>
      </c>
      <c r="T199" s="11" t="e">
        <f t="shared" si="33"/>
        <v>#DIV/0!</v>
      </c>
      <c r="U199" t="e">
        <f t="shared" si="35"/>
        <v>#DIV/0!</v>
      </c>
      <c r="Y199" s="11">
        <f>V199*I199</f>
        <v>0</v>
      </c>
      <c r="Z199" s="12">
        <f>W199*I199</f>
        <v>0</v>
      </c>
      <c r="AA199" s="12">
        <f>X199*I199</f>
        <v>0</v>
      </c>
      <c r="AE199" s="12">
        <f t="shared" si="36"/>
        <v>0</v>
      </c>
      <c r="AF199" s="12">
        <f t="shared" si="37"/>
        <v>0</v>
      </c>
      <c r="AG199" s="12">
        <f t="shared" si="38"/>
        <v>0</v>
      </c>
      <c r="AH199" s="12">
        <f t="shared" si="39"/>
        <v>0</v>
      </c>
      <c r="AI199" s="12" t="e">
        <f t="shared" si="40"/>
        <v>#DIV/0!</v>
      </c>
      <c r="AJ199" s="12">
        <f t="shared" si="41"/>
        <v>0</v>
      </c>
      <c r="AK199" s="11" t="e">
        <f>AH199/J199</f>
        <v>#DIV/0!</v>
      </c>
      <c r="AL199" s="11" t="e">
        <f>AG199/J199</f>
        <v>#DIV/0!</v>
      </c>
    </row>
    <row r="200" spans="13:38" x14ac:dyDescent="0.2">
      <c r="M200" s="11">
        <f>(L200/100)*I200</f>
        <v>0</v>
      </c>
      <c r="N200" s="11">
        <f>K200*(L200/100)</f>
        <v>0</v>
      </c>
      <c r="P200" s="11">
        <f>(O200/100)*I200</f>
        <v>0</v>
      </c>
      <c r="Q200" s="11">
        <f>K200*(O200/100)</f>
        <v>0</v>
      </c>
      <c r="R200" s="11" t="e">
        <f t="shared" si="34"/>
        <v>#DIV/0!</v>
      </c>
      <c r="T200" s="11" t="e">
        <f t="shared" si="33"/>
        <v>#DIV/0!</v>
      </c>
      <c r="U200" t="e">
        <f t="shared" si="35"/>
        <v>#DIV/0!</v>
      </c>
      <c r="Y200" s="11">
        <f>V200*I200</f>
        <v>0</v>
      </c>
      <c r="Z200" s="12">
        <f>W200*I200</f>
        <v>0</v>
      </c>
      <c r="AA200" s="12">
        <f>X200*I200</f>
        <v>0</v>
      </c>
      <c r="AE200" s="12">
        <f t="shared" si="36"/>
        <v>0</v>
      </c>
      <c r="AF200" s="12">
        <f t="shared" si="37"/>
        <v>0</v>
      </c>
      <c r="AG200" s="12">
        <f t="shared" si="38"/>
        <v>0</v>
      </c>
      <c r="AH200" s="12">
        <f t="shared" si="39"/>
        <v>0</v>
      </c>
      <c r="AI200" s="12" t="e">
        <f t="shared" si="40"/>
        <v>#DIV/0!</v>
      </c>
      <c r="AJ200" s="12">
        <f t="shared" si="41"/>
        <v>0</v>
      </c>
      <c r="AK200" s="11" t="e">
        <f>AH200/J200</f>
        <v>#DIV/0!</v>
      </c>
      <c r="AL200" s="11" t="e">
        <f>AG200/J200</f>
        <v>#DIV/0!</v>
      </c>
    </row>
    <row r="201" spans="13:38" x14ac:dyDescent="0.2">
      <c r="M201" s="11">
        <f>(L201/100)*I201</f>
        <v>0</v>
      </c>
      <c r="N201" s="11">
        <f>K201*(L201/100)</f>
        <v>0</v>
      </c>
      <c r="P201" s="11">
        <f>(O201/100)*I201</f>
        <v>0</v>
      </c>
      <c r="Q201" s="11">
        <f>K201*(O201/100)</f>
        <v>0</v>
      </c>
      <c r="R201" s="11" t="e">
        <f t="shared" si="34"/>
        <v>#DIV/0!</v>
      </c>
      <c r="T201" s="11" t="e">
        <f t="shared" si="33"/>
        <v>#DIV/0!</v>
      </c>
      <c r="U201" t="e">
        <f t="shared" si="35"/>
        <v>#DIV/0!</v>
      </c>
      <c r="Y201" s="11">
        <f>V201*I201</f>
        <v>0</v>
      </c>
      <c r="Z201" s="12">
        <f>W201*I201</f>
        <v>0</v>
      </c>
      <c r="AA201" s="12">
        <f>X201*I201</f>
        <v>0</v>
      </c>
      <c r="AE201" s="12">
        <f t="shared" si="36"/>
        <v>0</v>
      </c>
      <c r="AF201" s="12">
        <f t="shared" si="37"/>
        <v>0</v>
      </c>
      <c r="AG201" s="12">
        <f t="shared" si="38"/>
        <v>0</v>
      </c>
      <c r="AH201" s="12">
        <f t="shared" si="39"/>
        <v>0</v>
      </c>
      <c r="AI201" s="12" t="e">
        <f t="shared" si="40"/>
        <v>#DIV/0!</v>
      </c>
      <c r="AJ201" s="12">
        <f t="shared" si="41"/>
        <v>0</v>
      </c>
      <c r="AK201" s="11" t="e">
        <f>AH201/J201</f>
        <v>#DIV/0!</v>
      </c>
      <c r="AL201" s="11" t="e">
        <f>AG201/J201</f>
        <v>#DIV/0!</v>
      </c>
    </row>
    <row r="202" spans="13:38" x14ac:dyDescent="0.2">
      <c r="M202" s="11">
        <f>(L202/100)*I202</f>
        <v>0</v>
      </c>
      <c r="N202" s="11">
        <f>K202*(L202/100)</f>
        <v>0</v>
      </c>
      <c r="P202" s="11">
        <f>(O202/100)*I202</f>
        <v>0</v>
      </c>
      <c r="Q202" s="11">
        <f>K202*(O202/100)</f>
        <v>0</v>
      </c>
      <c r="R202" s="11" t="e">
        <f t="shared" si="34"/>
        <v>#DIV/0!</v>
      </c>
      <c r="T202" s="11" t="e">
        <f t="shared" si="33"/>
        <v>#DIV/0!</v>
      </c>
      <c r="U202" t="e">
        <f t="shared" si="35"/>
        <v>#DIV/0!</v>
      </c>
      <c r="Y202" s="11">
        <f>V202*I202</f>
        <v>0</v>
      </c>
      <c r="Z202" s="12">
        <f>W202*I202</f>
        <v>0</v>
      </c>
      <c r="AA202" s="12">
        <f>X202*I202</f>
        <v>0</v>
      </c>
      <c r="AE202" s="12">
        <f t="shared" si="36"/>
        <v>0</v>
      </c>
      <c r="AF202" s="12">
        <f t="shared" si="37"/>
        <v>0</v>
      </c>
      <c r="AG202" s="12">
        <f t="shared" si="38"/>
        <v>0</v>
      </c>
      <c r="AH202" s="12">
        <f t="shared" si="39"/>
        <v>0</v>
      </c>
      <c r="AI202" s="12" t="e">
        <f t="shared" si="40"/>
        <v>#DIV/0!</v>
      </c>
      <c r="AJ202" s="12">
        <f t="shared" si="41"/>
        <v>0</v>
      </c>
      <c r="AK202" s="11" t="e">
        <f>AH202/J202</f>
        <v>#DIV/0!</v>
      </c>
      <c r="AL202" s="11" t="e">
        <f>AG202/J202</f>
        <v>#DIV/0!</v>
      </c>
    </row>
    <row r="203" spans="13:38" x14ac:dyDescent="0.2">
      <c r="M203" s="11">
        <f>(L203/100)*I203</f>
        <v>0</v>
      </c>
      <c r="N203" s="11">
        <f>K203*(L203/100)</f>
        <v>0</v>
      </c>
      <c r="P203" s="11">
        <f>(O203/100)*I203</f>
        <v>0</v>
      </c>
      <c r="Q203" s="11">
        <f>K203*(O203/100)</f>
        <v>0</v>
      </c>
      <c r="R203" s="11" t="e">
        <f t="shared" si="34"/>
        <v>#DIV/0!</v>
      </c>
      <c r="T203" s="11" t="e">
        <f t="shared" si="33"/>
        <v>#DIV/0!</v>
      </c>
      <c r="U203" t="e">
        <f t="shared" si="35"/>
        <v>#DIV/0!</v>
      </c>
      <c r="Y203" s="11">
        <f>V203*I203</f>
        <v>0</v>
      </c>
      <c r="Z203" s="12">
        <f>W203*I203</f>
        <v>0</v>
      </c>
      <c r="AA203" s="12">
        <f>X203*I203</f>
        <v>0</v>
      </c>
      <c r="AE203" s="12">
        <f t="shared" si="36"/>
        <v>0</v>
      </c>
      <c r="AF203" s="12">
        <f t="shared" si="37"/>
        <v>0</v>
      </c>
      <c r="AG203" s="12">
        <f t="shared" si="38"/>
        <v>0</v>
      </c>
      <c r="AH203" s="12">
        <f t="shared" si="39"/>
        <v>0</v>
      </c>
      <c r="AI203" s="12" t="e">
        <f t="shared" si="40"/>
        <v>#DIV/0!</v>
      </c>
      <c r="AJ203" s="12">
        <f t="shared" si="41"/>
        <v>0</v>
      </c>
      <c r="AK203" s="11" t="e">
        <f>AH203/J203</f>
        <v>#DIV/0!</v>
      </c>
      <c r="AL203" s="11" t="e">
        <f>AG203/J203</f>
        <v>#DIV/0!</v>
      </c>
    </row>
    <row r="204" spans="13:38" x14ac:dyDescent="0.2">
      <c r="M204" s="11">
        <f>(L204/100)*I204</f>
        <v>0</v>
      </c>
      <c r="N204" s="11">
        <f>K204*(L204/100)</f>
        <v>0</v>
      </c>
      <c r="P204" s="11">
        <f>(O204/100)*I204</f>
        <v>0</v>
      </c>
      <c r="Q204" s="11">
        <f>K204*(O204/100)</f>
        <v>0</v>
      </c>
      <c r="R204" s="11" t="e">
        <f t="shared" si="34"/>
        <v>#DIV/0!</v>
      </c>
      <c r="T204" s="11" t="e">
        <f t="shared" si="33"/>
        <v>#DIV/0!</v>
      </c>
      <c r="U204" t="e">
        <f t="shared" si="35"/>
        <v>#DIV/0!</v>
      </c>
      <c r="Y204" s="11">
        <f>V204*I204</f>
        <v>0</v>
      </c>
      <c r="Z204" s="12">
        <f>W204*I204</f>
        <v>0</v>
      </c>
      <c r="AA204" s="12">
        <f>X204*I204</f>
        <v>0</v>
      </c>
      <c r="AE204" s="12">
        <f t="shared" si="36"/>
        <v>0</v>
      </c>
      <c r="AF204" s="12">
        <f t="shared" si="37"/>
        <v>0</v>
      </c>
      <c r="AG204" s="12">
        <f t="shared" si="38"/>
        <v>0</v>
      </c>
      <c r="AH204" s="12">
        <f t="shared" si="39"/>
        <v>0</v>
      </c>
      <c r="AI204" s="12" t="e">
        <f t="shared" si="40"/>
        <v>#DIV/0!</v>
      </c>
      <c r="AJ204" s="12">
        <f t="shared" si="41"/>
        <v>0</v>
      </c>
      <c r="AK204" s="11" t="e">
        <f>AH204/J204</f>
        <v>#DIV/0!</v>
      </c>
      <c r="AL204" s="11" t="e">
        <f>AG204/J204</f>
        <v>#DIV/0!</v>
      </c>
    </row>
    <row r="205" spans="13:38" x14ac:dyDescent="0.2">
      <c r="M205" s="11">
        <f>(L205/100)*I205</f>
        <v>0</v>
      </c>
      <c r="N205" s="11">
        <f>K205*(L205/100)</f>
        <v>0</v>
      </c>
      <c r="P205" s="11">
        <f>(O205/100)*I205</f>
        <v>0</v>
      </c>
      <c r="Q205" s="11">
        <f>K205*(O205/100)</f>
        <v>0</v>
      </c>
      <c r="R205" s="11" t="e">
        <f t="shared" si="34"/>
        <v>#DIV/0!</v>
      </c>
      <c r="T205" s="11" t="e">
        <f t="shared" si="33"/>
        <v>#DIV/0!</v>
      </c>
      <c r="U205" t="e">
        <f t="shared" si="35"/>
        <v>#DIV/0!</v>
      </c>
      <c r="Y205" s="11">
        <f>V205*I205</f>
        <v>0</v>
      </c>
      <c r="Z205" s="12">
        <f>W205*I205</f>
        <v>0</v>
      </c>
      <c r="AA205" s="12">
        <f>X205*I205</f>
        <v>0</v>
      </c>
      <c r="AE205" s="12">
        <f t="shared" si="36"/>
        <v>0</v>
      </c>
      <c r="AF205" s="12">
        <f t="shared" si="37"/>
        <v>0</v>
      </c>
      <c r="AG205" s="12">
        <f t="shared" si="38"/>
        <v>0</v>
      </c>
      <c r="AH205" s="12">
        <f t="shared" si="39"/>
        <v>0</v>
      </c>
      <c r="AI205" s="12" t="e">
        <f t="shared" si="40"/>
        <v>#DIV/0!</v>
      </c>
      <c r="AJ205" s="12">
        <f t="shared" si="41"/>
        <v>0</v>
      </c>
      <c r="AK205" s="11" t="e">
        <f>AH205/J205</f>
        <v>#DIV/0!</v>
      </c>
      <c r="AL205" s="11" t="e">
        <f>AG205/J205</f>
        <v>#DIV/0!</v>
      </c>
    </row>
    <row r="206" spans="13:38" x14ac:dyDescent="0.2">
      <c r="M206" s="11">
        <f>(L206/100)*I206</f>
        <v>0</v>
      </c>
      <c r="N206" s="11">
        <f>K206*(L206/100)</f>
        <v>0</v>
      </c>
      <c r="P206" s="11">
        <f>(O206/100)*I206</f>
        <v>0</v>
      </c>
      <c r="Q206" s="11">
        <f>K206*(O206/100)</f>
        <v>0</v>
      </c>
      <c r="R206" s="11" t="e">
        <f t="shared" si="34"/>
        <v>#DIV/0!</v>
      </c>
      <c r="T206" s="11" t="e">
        <f t="shared" si="33"/>
        <v>#DIV/0!</v>
      </c>
      <c r="U206" t="e">
        <f t="shared" si="35"/>
        <v>#DIV/0!</v>
      </c>
      <c r="Y206" s="11">
        <f>V206*I206</f>
        <v>0</v>
      </c>
      <c r="Z206" s="12">
        <f>W206*I206</f>
        <v>0</v>
      </c>
      <c r="AA206" s="12">
        <f>X206*I206</f>
        <v>0</v>
      </c>
      <c r="AE206" s="12">
        <f t="shared" si="36"/>
        <v>0</v>
      </c>
      <c r="AF206" s="12">
        <f t="shared" si="37"/>
        <v>0</v>
      </c>
      <c r="AG206" s="12">
        <f t="shared" si="38"/>
        <v>0</v>
      </c>
      <c r="AH206" s="12">
        <f t="shared" si="39"/>
        <v>0</v>
      </c>
      <c r="AI206" s="12" t="e">
        <f t="shared" si="40"/>
        <v>#DIV/0!</v>
      </c>
      <c r="AJ206" s="12">
        <f t="shared" si="41"/>
        <v>0</v>
      </c>
      <c r="AK206" s="11" t="e">
        <f>AH206/J206</f>
        <v>#DIV/0!</v>
      </c>
      <c r="AL206" s="11" t="e">
        <f>AG206/J206</f>
        <v>#DIV/0!</v>
      </c>
    </row>
    <row r="207" spans="13:38" x14ac:dyDescent="0.2">
      <c r="M207" s="11">
        <f>(L207/100)*I207</f>
        <v>0</v>
      </c>
      <c r="N207" s="11">
        <f>K207*(L207/100)</f>
        <v>0</v>
      </c>
      <c r="P207" s="11">
        <f>(O207/100)*I207</f>
        <v>0</v>
      </c>
      <c r="Q207" s="11">
        <f>K207*(O207/100)</f>
        <v>0</v>
      </c>
      <c r="R207" s="11" t="e">
        <f t="shared" si="34"/>
        <v>#DIV/0!</v>
      </c>
      <c r="T207" s="11" t="e">
        <f t="shared" si="33"/>
        <v>#DIV/0!</v>
      </c>
      <c r="U207" t="e">
        <f t="shared" si="35"/>
        <v>#DIV/0!</v>
      </c>
      <c r="Y207" s="11">
        <f>V207*I207</f>
        <v>0</v>
      </c>
      <c r="Z207" s="12">
        <f>W207*I207</f>
        <v>0</v>
      </c>
      <c r="AA207" s="12">
        <f>X207*I207</f>
        <v>0</v>
      </c>
      <c r="AE207" s="12">
        <f t="shared" si="36"/>
        <v>0</v>
      </c>
      <c r="AF207" s="12">
        <f t="shared" si="37"/>
        <v>0</v>
      </c>
      <c r="AG207" s="12">
        <f t="shared" si="38"/>
        <v>0</v>
      </c>
      <c r="AH207" s="12">
        <f t="shared" si="39"/>
        <v>0</v>
      </c>
      <c r="AI207" s="12" t="e">
        <f t="shared" si="40"/>
        <v>#DIV/0!</v>
      </c>
      <c r="AJ207" s="12">
        <f t="shared" si="41"/>
        <v>0</v>
      </c>
      <c r="AK207" s="11" t="e">
        <f>AH207/J207</f>
        <v>#DIV/0!</v>
      </c>
      <c r="AL207" s="11" t="e">
        <f>AG207/J207</f>
        <v>#DIV/0!</v>
      </c>
    </row>
    <row r="208" spans="13:38" x14ac:dyDescent="0.2">
      <c r="M208" s="11">
        <f>(L208/100)*I208</f>
        <v>0</v>
      </c>
      <c r="N208" s="11">
        <f>K208*(L208/100)</f>
        <v>0</v>
      </c>
      <c r="P208" s="11">
        <f>(O208/100)*I208</f>
        <v>0</v>
      </c>
      <c r="Q208" s="11">
        <f>K208*(O208/100)</f>
        <v>0</v>
      </c>
      <c r="R208" s="11" t="e">
        <f t="shared" si="34"/>
        <v>#DIV/0!</v>
      </c>
      <c r="T208" s="11" t="e">
        <f t="shared" si="33"/>
        <v>#DIV/0!</v>
      </c>
      <c r="U208" t="e">
        <f t="shared" si="35"/>
        <v>#DIV/0!</v>
      </c>
      <c r="Y208" s="11">
        <f>V208*I208</f>
        <v>0</v>
      </c>
      <c r="Z208" s="12">
        <f>W208*I208</f>
        <v>0</v>
      </c>
      <c r="AA208" s="12">
        <f>X208*I208</f>
        <v>0</v>
      </c>
      <c r="AE208" s="12">
        <f t="shared" si="36"/>
        <v>0</v>
      </c>
      <c r="AF208" s="12">
        <f t="shared" si="37"/>
        <v>0</v>
      </c>
      <c r="AG208" s="12">
        <f t="shared" si="38"/>
        <v>0</v>
      </c>
      <c r="AH208" s="12">
        <f t="shared" si="39"/>
        <v>0</v>
      </c>
      <c r="AI208" s="12" t="e">
        <f t="shared" si="40"/>
        <v>#DIV/0!</v>
      </c>
      <c r="AJ208" s="12">
        <f t="shared" si="41"/>
        <v>0</v>
      </c>
      <c r="AK208" s="11" t="e">
        <f>AH208/J208</f>
        <v>#DIV/0!</v>
      </c>
      <c r="AL208" s="11" t="e">
        <f>AG208/J208</f>
        <v>#DIV/0!</v>
      </c>
    </row>
    <row r="209" spans="13:38" x14ac:dyDescent="0.2">
      <c r="M209" s="11">
        <f>(L209/100)*I209</f>
        <v>0</v>
      </c>
      <c r="N209" s="11">
        <f>K209*(L209/100)</f>
        <v>0</v>
      </c>
      <c r="P209" s="11">
        <f>(O209/100)*I209</f>
        <v>0</v>
      </c>
      <c r="Q209" s="11">
        <f>K209*(O209/100)</f>
        <v>0</v>
      </c>
      <c r="R209" s="11" t="e">
        <f t="shared" si="34"/>
        <v>#DIV/0!</v>
      </c>
      <c r="T209" s="11" t="e">
        <f t="shared" si="33"/>
        <v>#DIV/0!</v>
      </c>
      <c r="U209" t="e">
        <f t="shared" si="35"/>
        <v>#DIV/0!</v>
      </c>
      <c r="Y209" s="11">
        <f>V209*I209</f>
        <v>0</v>
      </c>
      <c r="Z209" s="12">
        <f>W209*I209</f>
        <v>0</v>
      </c>
      <c r="AA209" s="12">
        <f>X209*I209</f>
        <v>0</v>
      </c>
      <c r="AE209" s="12">
        <f t="shared" si="36"/>
        <v>0</v>
      </c>
      <c r="AF209" s="12">
        <f t="shared" si="37"/>
        <v>0</v>
      </c>
      <c r="AG209" s="12">
        <f t="shared" si="38"/>
        <v>0</v>
      </c>
      <c r="AH209" s="12">
        <f t="shared" si="39"/>
        <v>0</v>
      </c>
      <c r="AI209" s="12" t="e">
        <f t="shared" si="40"/>
        <v>#DIV/0!</v>
      </c>
      <c r="AJ209" s="12">
        <f t="shared" si="41"/>
        <v>0</v>
      </c>
      <c r="AK209" s="11" t="e">
        <f>AH209/J209</f>
        <v>#DIV/0!</v>
      </c>
      <c r="AL209" s="11" t="e">
        <f>AG209/J209</f>
        <v>#DIV/0!</v>
      </c>
    </row>
    <row r="210" spans="13:38" x14ac:dyDescent="0.2">
      <c r="M210" s="11">
        <f>(L210/100)*I210</f>
        <v>0</v>
      </c>
      <c r="N210" s="11">
        <f>K210*(L210/100)</f>
        <v>0</v>
      </c>
      <c r="P210" s="11">
        <f>(O210/100)*I210</f>
        <v>0</v>
      </c>
      <c r="Q210" s="11">
        <f>K210*(O210/100)</f>
        <v>0</v>
      </c>
      <c r="R210" s="11" t="e">
        <f t="shared" si="34"/>
        <v>#DIV/0!</v>
      </c>
      <c r="T210" s="11" t="e">
        <f t="shared" si="33"/>
        <v>#DIV/0!</v>
      </c>
      <c r="U210" t="e">
        <f t="shared" si="35"/>
        <v>#DIV/0!</v>
      </c>
      <c r="Y210" s="11">
        <f>V210*I210</f>
        <v>0</v>
      </c>
      <c r="Z210" s="12">
        <f>W210*I210</f>
        <v>0</v>
      </c>
      <c r="AA210" s="12">
        <f>X210*I210</f>
        <v>0</v>
      </c>
      <c r="AE210" s="12">
        <f t="shared" si="36"/>
        <v>0</v>
      </c>
      <c r="AF210" s="12">
        <f t="shared" si="37"/>
        <v>0</v>
      </c>
      <c r="AG210" s="12">
        <f t="shared" si="38"/>
        <v>0</v>
      </c>
      <c r="AH210" s="12">
        <f t="shared" si="39"/>
        <v>0</v>
      </c>
      <c r="AI210" s="12" t="e">
        <f t="shared" si="40"/>
        <v>#DIV/0!</v>
      </c>
      <c r="AJ210" s="12">
        <f t="shared" si="41"/>
        <v>0</v>
      </c>
      <c r="AK210" s="11" t="e">
        <f>AH210/J210</f>
        <v>#DIV/0!</v>
      </c>
      <c r="AL210" s="11" t="e">
        <f>AG210/J210</f>
        <v>#DIV/0!</v>
      </c>
    </row>
    <row r="211" spans="13:38" x14ac:dyDescent="0.2">
      <c r="M211" s="11">
        <f>(L211/100)*I211</f>
        <v>0</v>
      </c>
      <c r="N211" s="11">
        <f>K211*(L211/100)</f>
        <v>0</v>
      </c>
      <c r="P211" s="11">
        <f>(O211/100)*I211</f>
        <v>0</v>
      </c>
      <c r="Q211" s="11">
        <f>K211*(O211/100)</f>
        <v>0</v>
      </c>
      <c r="R211" s="11" t="e">
        <f t="shared" si="34"/>
        <v>#DIV/0!</v>
      </c>
      <c r="T211" s="11" t="e">
        <f t="shared" si="33"/>
        <v>#DIV/0!</v>
      </c>
      <c r="U211" t="e">
        <f t="shared" si="35"/>
        <v>#DIV/0!</v>
      </c>
      <c r="Y211" s="11">
        <f>V211*I211</f>
        <v>0</v>
      </c>
      <c r="Z211" s="12">
        <f>W211*I211</f>
        <v>0</v>
      </c>
      <c r="AA211" s="12">
        <f>X211*I211</f>
        <v>0</v>
      </c>
      <c r="AE211" s="12">
        <f t="shared" si="36"/>
        <v>0</v>
      </c>
      <c r="AF211" s="12">
        <f t="shared" si="37"/>
        <v>0</v>
      </c>
      <c r="AG211" s="12">
        <f t="shared" si="38"/>
        <v>0</v>
      </c>
      <c r="AH211" s="12">
        <f t="shared" si="39"/>
        <v>0</v>
      </c>
      <c r="AI211" s="12" t="e">
        <f t="shared" si="40"/>
        <v>#DIV/0!</v>
      </c>
      <c r="AJ211" s="12">
        <f t="shared" si="41"/>
        <v>0</v>
      </c>
      <c r="AK211" s="11" t="e">
        <f>AH211/J211</f>
        <v>#DIV/0!</v>
      </c>
      <c r="AL211" s="11" t="e">
        <f>AG211/J211</f>
        <v>#DIV/0!</v>
      </c>
    </row>
    <row r="212" spans="13:38" x14ac:dyDescent="0.2">
      <c r="M212" s="11">
        <f>(L212/100)*I212</f>
        <v>0</v>
      </c>
      <c r="N212" s="11">
        <f>K212*(L212/100)</f>
        <v>0</v>
      </c>
      <c r="P212" s="11">
        <f>(O212/100)*I212</f>
        <v>0</v>
      </c>
      <c r="Q212" s="11">
        <f>K212*(O212/100)</f>
        <v>0</v>
      </c>
      <c r="R212" s="11" t="e">
        <f t="shared" si="34"/>
        <v>#DIV/0!</v>
      </c>
      <c r="T212" s="11" t="e">
        <f t="shared" si="33"/>
        <v>#DIV/0!</v>
      </c>
      <c r="U212" t="e">
        <f t="shared" si="35"/>
        <v>#DIV/0!</v>
      </c>
      <c r="Y212" s="11">
        <f>V212*I212</f>
        <v>0</v>
      </c>
      <c r="Z212" s="12">
        <f>W212*I212</f>
        <v>0</v>
      </c>
      <c r="AA212" s="12">
        <f>X212*I212</f>
        <v>0</v>
      </c>
      <c r="AE212" s="12">
        <f t="shared" si="36"/>
        <v>0</v>
      </c>
      <c r="AF212" s="12">
        <f t="shared" si="37"/>
        <v>0</v>
      </c>
      <c r="AG212" s="12">
        <f t="shared" si="38"/>
        <v>0</v>
      </c>
      <c r="AH212" s="12">
        <f t="shared" si="39"/>
        <v>0</v>
      </c>
      <c r="AI212" s="12" t="e">
        <f t="shared" si="40"/>
        <v>#DIV/0!</v>
      </c>
      <c r="AJ212" s="12">
        <f t="shared" si="41"/>
        <v>0</v>
      </c>
      <c r="AK212" s="11" t="e">
        <f>AH212/J212</f>
        <v>#DIV/0!</v>
      </c>
      <c r="AL212" s="11" t="e">
        <f>AG212/J212</f>
        <v>#DIV/0!</v>
      </c>
    </row>
    <row r="213" spans="13:38" x14ac:dyDescent="0.2">
      <c r="M213" s="11">
        <f>(L213/100)*I213</f>
        <v>0</v>
      </c>
      <c r="N213" s="11">
        <f>K213*(L213/100)</f>
        <v>0</v>
      </c>
      <c r="P213" s="11">
        <f>(O213/100)*I213</f>
        <v>0</v>
      </c>
      <c r="Q213" s="11">
        <f>K213*(O213/100)</f>
        <v>0</v>
      </c>
      <c r="R213" s="11" t="e">
        <f t="shared" si="34"/>
        <v>#DIV/0!</v>
      </c>
      <c r="T213" s="11" t="e">
        <f t="shared" si="33"/>
        <v>#DIV/0!</v>
      </c>
      <c r="U213" t="e">
        <f t="shared" si="35"/>
        <v>#DIV/0!</v>
      </c>
      <c r="Y213" s="11">
        <f>V213*I213</f>
        <v>0</v>
      </c>
      <c r="Z213" s="12">
        <f>W213*I213</f>
        <v>0</v>
      </c>
      <c r="AA213" s="12">
        <f>X213*I213</f>
        <v>0</v>
      </c>
      <c r="AE213" s="12">
        <f t="shared" si="36"/>
        <v>0</v>
      </c>
      <c r="AF213" s="12">
        <f t="shared" si="37"/>
        <v>0</v>
      </c>
      <c r="AG213" s="12">
        <f t="shared" si="38"/>
        <v>0</v>
      </c>
      <c r="AH213" s="12">
        <f t="shared" si="39"/>
        <v>0</v>
      </c>
      <c r="AI213" s="12" t="e">
        <f t="shared" si="40"/>
        <v>#DIV/0!</v>
      </c>
      <c r="AJ213" s="12">
        <f t="shared" si="41"/>
        <v>0</v>
      </c>
      <c r="AK213" s="11" t="e">
        <f>AH213/J213</f>
        <v>#DIV/0!</v>
      </c>
      <c r="AL213" s="11" t="e">
        <f>AG213/J213</f>
        <v>#DIV/0!</v>
      </c>
    </row>
    <row r="214" spans="13:38" x14ac:dyDescent="0.2">
      <c r="M214" s="11">
        <f>(L214/100)*I214</f>
        <v>0</v>
      </c>
      <c r="N214" s="11">
        <f>K214*(L214/100)</f>
        <v>0</v>
      </c>
      <c r="P214" s="11">
        <f>(O214/100)*I214</f>
        <v>0</v>
      </c>
      <c r="Q214" s="11">
        <f>K214*(O214/100)</f>
        <v>0</v>
      </c>
      <c r="R214" s="11" t="e">
        <f t="shared" si="34"/>
        <v>#DIV/0!</v>
      </c>
      <c r="T214" s="11" t="e">
        <f t="shared" si="33"/>
        <v>#DIV/0!</v>
      </c>
      <c r="U214" t="e">
        <f t="shared" si="35"/>
        <v>#DIV/0!</v>
      </c>
      <c r="Y214" s="11">
        <f>V214*I214</f>
        <v>0</v>
      </c>
      <c r="Z214" s="12">
        <f>W214*I214</f>
        <v>0</v>
      </c>
      <c r="AA214" s="12">
        <f>X214*I214</f>
        <v>0</v>
      </c>
      <c r="AE214" s="12">
        <f t="shared" si="36"/>
        <v>0</v>
      </c>
      <c r="AF214" s="12">
        <f t="shared" si="37"/>
        <v>0</v>
      </c>
      <c r="AG214" s="12">
        <f t="shared" si="38"/>
        <v>0</v>
      </c>
      <c r="AH214" s="12">
        <f t="shared" si="39"/>
        <v>0</v>
      </c>
      <c r="AI214" s="12" t="e">
        <f t="shared" si="40"/>
        <v>#DIV/0!</v>
      </c>
      <c r="AJ214" s="12">
        <f t="shared" si="41"/>
        <v>0</v>
      </c>
      <c r="AK214" s="11" t="e">
        <f>AH214/J214</f>
        <v>#DIV/0!</v>
      </c>
      <c r="AL214" s="11" t="e">
        <f>AG214/J214</f>
        <v>#DIV/0!</v>
      </c>
    </row>
    <row r="215" spans="13:38" x14ac:dyDescent="0.2">
      <c r="M215" s="11">
        <f>(L215/100)*I215</f>
        <v>0</v>
      </c>
      <c r="N215" s="11">
        <f>K215*(L215/100)</f>
        <v>0</v>
      </c>
      <c r="P215" s="11">
        <f>(O215/100)*I215</f>
        <v>0</v>
      </c>
      <c r="Q215" s="11">
        <f>K215*(O215/100)</f>
        <v>0</v>
      </c>
      <c r="R215" s="11" t="e">
        <f t="shared" si="34"/>
        <v>#DIV/0!</v>
      </c>
      <c r="T215" s="11" t="e">
        <f t="shared" si="33"/>
        <v>#DIV/0!</v>
      </c>
      <c r="U215" t="e">
        <f t="shared" si="35"/>
        <v>#DIV/0!</v>
      </c>
      <c r="Y215" s="11">
        <f>V215*I215</f>
        <v>0</v>
      </c>
      <c r="Z215" s="12">
        <f>W215*I215</f>
        <v>0</v>
      </c>
      <c r="AA215" s="12">
        <f>X215*I215</f>
        <v>0</v>
      </c>
      <c r="AE215" s="12">
        <f t="shared" si="36"/>
        <v>0</v>
      </c>
      <c r="AF215" s="12">
        <f t="shared" si="37"/>
        <v>0</v>
      </c>
      <c r="AG215" s="12">
        <f t="shared" si="38"/>
        <v>0</v>
      </c>
      <c r="AH215" s="12">
        <f t="shared" si="39"/>
        <v>0</v>
      </c>
      <c r="AI215" s="12" t="e">
        <f t="shared" si="40"/>
        <v>#DIV/0!</v>
      </c>
      <c r="AJ215" s="12">
        <f t="shared" si="41"/>
        <v>0</v>
      </c>
      <c r="AK215" s="11" t="e">
        <f>AH215/J215</f>
        <v>#DIV/0!</v>
      </c>
      <c r="AL215" s="11" t="e">
        <f>AG215/J215</f>
        <v>#DIV/0!</v>
      </c>
    </row>
    <row r="216" spans="13:38" x14ac:dyDescent="0.2">
      <c r="M216" s="11">
        <f>(L216/100)*I216</f>
        <v>0</v>
      </c>
      <c r="N216" s="11">
        <f>K216*(L216/100)</f>
        <v>0</v>
      </c>
      <c r="P216" s="11">
        <f>(O216/100)*I216</f>
        <v>0</v>
      </c>
      <c r="Q216" s="11">
        <f>K216*(O216/100)</f>
        <v>0</v>
      </c>
      <c r="R216" s="11" t="e">
        <f t="shared" si="34"/>
        <v>#DIV/0!</v>
      </c>
      <c r="T216" s="11" t="e">
        <f t="shared" si="33"/>
        <v>#DIV/0!</v>
      </c>
      <c r="U216" t="e">
        <f t="shared" si="35"/>
        <v>#DIV/0!</v>
      </c>
      <c r="Y216" s="11">
        <f>V216*I216</f>
        <v>0</v>
      </c>
      <c r="Z216" s="12">
        <f>W216*I216</f>
        <v>0</v>
      </c>
      <c r="AA216" s="12">
        <f>X216*I216</f>
        <v>0</v>
      </c>
      <c r="AE216" s="12">
        <f t="shared" si="36"/>
        <v>0</v>
      </c>
      <c r="AF216" s="12">
        <f t="shared" si="37"/>
        <v>0</v>
      </c>
      <c r="AG216" s="12">
        <f t="shared" si="38"/>
        <v>0</v>
      </c>
      <c r="AH216" s="12">
        <f t="shared" si="39"/>
        <v>0</v>
      </c>
      <c r="AI216" s="12" t="e">
        <f t="shared" si="40"/>
        <v>#DIV/0!</v>
      </c>
      <c r="AJ216" s="12">
        <f t="shared" si="41"/>
        <v>0</v>
      </c>
      <c r="AK216" s="11" t="e">
        <f>AH216/J216</f>
        <v>#DIV/0!</v>
      </c>
      <c r="AL216" s="11" t="e">
        <f>AG216/J216</f>
        <v>#DIV/0!</v>
      </c>
    </row>
    <row r="217" spans="13:38" x14ac:dyDescent="0.2">
      <c r="M217" s="11">
        <f>(L217/100)*I217</f>
        <v>0</v>
      </c>
      <c r="N217" s="11">
        <f>K217*(L217/100)</f>
        <v>0</v>
      </c>
      <c r="P217" s="11">
        <f>(O217/100)*I217</f>
        <v>0</v>
      </c>
      <c r="Q217" s="11">
        <f>K217*(O217/100)</f>
        <v>0</v>
      </c>
      <c r="R217" s="11" t="e">
        <f t="shared" si="34"/>
        <v>#DIV/0!</v>
      </c>
      <c r="T217" s="11" t="e">
        <f t="shared" si="33"/>
        <v>#DIV/0!</v>
      </c>
      <c r="U217" t="e">
        <f t="shared" si="35"/>
        <v>#DIV/0!</v>
      </c>
      <c r="Y217" s="11">
        <f>V217*I217</f>
        <v>0</v>
      </c>
      <c r="Z217" s="12">
        <f>W217*I217</f>
        <v>0</v>
      </c>
      <c r="AA217" s="12">
        <f>X217*I217</f>
        <v>0</v>
      </c>
      <c r="AE217" s="12">
        <f t="shared" si="36"/>
        <v>0</v>
      </c>
      <c r="AF217" s="12">
        <f t="shared" si="37"/>
        <v>0</v>
      </c>
      <c r="AG217" s="12">
        <f t="shared" si="38"/>
        <v>0</v>
      </c>
      <c r="AH217" s="12">
        <f t="shared" si="39"/>
        <v>0</v>
      </c>
      <c r="AI217" s="12" t="e">
        <f t="shared" si="40"/>
        <v>#DIV/0!</v>
      </c>
      <c r="AJ217" s="12">
        <f t="shared" si="41"/>
        <v>0</v>
      </c>
      <c r="AK217" s="11" t="e">
        <f>AH217/J217</f>
        <v>#DIV/0!</v>
      </c>
      <c r="AL217" s="11" t="e">
        <f>AG217/J217</f>
        <v>#DIV/0!</v>
      </c>
    </row>
    <row r="218" spans="13:38" x14ac:dyDescent="0.2">
      <c r="M218" s="11">
        <f>(L218/100)*I218</f>
        <v>0</v>
      </c>
      <c r="N218" s="11">
        <f>K218*(L218/100)</f>
        <v>0</v>
      </c>
      <c r="P218" s="11">
        <f>(O218/100)*I218</f>
        <v>0</v>
      </c>
      <c r="Q218" s="11">
        <f>K218*(O218/100)</f>
        <v>0</v>
      </c>
      <c r="R218" s="11" t="e">
        <f t="shared" si="34"/>
        <v>#DIV/0!</v>
      </c>
      <c r="T218" s="11" t="e">
        <f t="shared" si="33"/>
        <v>#DIV/0!</v>
      </c>
      <c r="U218" t="e">
        <f t="shared" si="35"/>
        <v>#DIV/0!</v>
      </c>
      <c r="Y218" s="11">
        <f>V218*I218</f>
        <v>0</v>
      </c>
      <c r="Z218" s="12">
        <f>W218*I218</f>
        <v>0</v>
      </c>
      <c r="AA218" s="12">
        <f>X218*I218</f>
        <v>0</v>
      </c>
      <c r="AE218" s="12">
        <f t="shared" si="36"/>
        <v>0</v>
      </c>
      <c r="AF218" s="12">
        <f t="shared" si="37"/>
        <v>0</v>
      </c>
      <c r="AG218" s="12">
        <f t="shared" si="38"/>
        <v>0</v>
      </c>
      <c r="AH218" s="12">
        <f t="shared" si="39"/>
        <v>0</v>
      </c>
      <c r="AI218" s="12" t="e">
        <f t="shared" si="40"/>
        <v>#DIV/0!</v>
      </c>
      <c r="AJ218" s="12">
        <f t="shared" si="41"/>
        <v>0</v>
      </c>
      <c r="AK218" s="11" t="e">
        <f>AH218/J218</f>
        <v>#DIV/0!</v>
      </c>
      <c r="AL218" s="11" t="e">
        <f>AG218/J218</f>
        <v>#DIV/0!</v>
      </c>
    </row>
    <row r="219" spans="13:38" x14ac:dyDescent="0.2">
      <c r="M219" s="11">
        <f>(L219/100)*I219</f>
        <v>0</v>
      </c>
      <c r="N219" s="11">
        <f>K219*(L219/100)</f>
        <v>0</v>
      </c>
      <c r="P219" s="11">
        <f>(O219/100)*I219</f>
        <v>0</v>
      </c>
      <c r="Q219" s="11">
        <f>K219*(O219/100)</f>
        <v>0</v>
      </c>
      <c r="R219" s="11" t="e">
        <f t="shared" si="34"/>
        <v>#DIV/0!</v>
      </c>
      <c r="T219" s="11" t="e">
        <f t="shared" ref="T219:T255" si="42">S219/J219</f>
        <v>#DIV/0!</v>
      </c>
      <c r="U219" t="e">
        <f t="shared" si="35"/>
        <v>#DIV/0!</v>
      </c>
      <c r="Y219" s="11">
        <f>V219*I219</f>
        <v>0</v>
      </c>
      <c r="Z219" s="12">
        <f>W219*I219</f>
        <v>0</v>
      </c>
      <c r="AA219" s="12">
        <f>X219*I219</f>
        <v>0</v>
      </c>
      <c r="AE219" s="12">
        <f t="shared" si="36"/>
        <v>0</v>
      </c>
      <c r="AF219" s="12">
        <f t="shared" si="37"/>
        <v>0</v>
      </c>
      <c r="AG219" s="12">
        <f t="shared" si="38"/>
        <v>0</v>
      </c>
      <c r="AH219" s="12">
        <f t="shared" si="39"/>
        <v>0</v>
      </c>
      <c r="AI219" s="12" t="e">
        <f t="shared" si="40"/>
        <v>#DIV/0!</v>
      </c>
      <c r="AJ219" s="12">
        <f t="shared" si="41"/>
        <v>0</v>
      </c>
      <c r="AK219" s="11" t="e">
        <f>AH219/J219</f>
        <v>#DIV/0!</v>
      </c>
      <c r="AL219" s="11" t="e">
        <f>AG219/J219</f>
        <v>#DIV/0!</v>
      </c>
    </row>
    <row r="220" spans="13:38" x14ac:dyDescent="0.2">
      <c r="M220" s="11">
        <f>(L220/100)*I220</f>
        <v>0</v>
      </c>
      <c r="N220" s="11">
        <f>K220*(L220/100)</f>
        <v>0</v>
      </c>
      <c r="P220" s="11">
        <f>(O220/100)*I220</f>
        <v>0</v>
      </c>
      <c r="Q220" s="11">
        <f>K220*(O220/100)</f>
        <v>0</v>
      </c>
      <c r="R220" s="11" t="e">
        <f t="shared" si="34"/>
        <v>#DIV/0!</v>
      </c>
      <c r="T220" s="11" t="e">
        <f t="shared" si="42"/>
        <v>#DIV/0!</v>
      </c>
      <c r="U220" t="e">
        <f t="shared" si="35"/>
        <v>#DIV/0!</v>
      </c>
      <c r="Y220" s="11">
        <f>V220*I220</f>
        <v>0</v>
      </c>
      <c r="Z220" s="12">
        <f>W220*I220</f>
        <v>0</v>
      </c>
      <c r="AA220" s="12">
        <f>X220*I220</f>
        <v>0</v>
      </c>
      <c r="AE220" s="12">
        <f t="shared" si="36"/>
        <v>0</v>
      </c>
      <c r="AF220" s="12">
        <f t="shared" si="37"/>
        <v>0</v>
      </c>
      <c r="AG220" s="12">
        <f t="shared" si="38"/>
        <v>0</v>
      </c>
      <c r="AH220" s="12">
        <f t="shared" si="39"/>
        <v>0</v>
      </c>
      <c r="AI220" s="12" t="e">
        <f t="shared" si="40"/>
        <v>#DIV/0!</v>
      </c>
      <c r="AJ220" s="12">
        <f t="shared" si="41"/>
        <v>0</v>
      </c>
      <c r="AK220" s="11" t="e">
        <f>AH220/J220</f>
        <v>#DIV/0!</v>
      </c>
      <c r="AL220" s="11" t="e">
        <f>AG220/J220</f>
        <v>#DIV/0!</v>
      </c>
    </row>
    <row r="221" spans="13:38" x14ac:dyDescent="0.2">
      <c r="M221" s="11">
        <f>(L221/100)*I221</f>
        <v>0</v>
      </c>
      <c r="N221" s="11">
        <f>K221*(L221/100)</f>
        <v>0</v>
      </c>
      <c r="P221" s="11">
        <f>(O221/100)*I221</f>
        <v>0</v>
      </c>
      <c r="Q221" s="11">
        <f>K221*(O221/100)</f>
        <v>0</v>
      </c>
      <c r="R221" s="11" t="e">
        <f t="shared" si="34"/>
        <v>#DIV/0!</v>
      </c>
      <c r="T221" s="11" t="e">
        <f t="shared" si="42"/>
        <v>#DIV/0!</v>
      </c>
      <c r="U221" t="e">
        <f t="shared" si="35"/>
        <v>#DIV/0!</v>
      </c>
      <c r="Y221" s="11">
        <f>V221*I221</f>
        <v>0</v>
      </c>
      <c r="Z221" s="12">
        <f>W221*I221</f>
        <v>0</v>
      </c>
      <c r="AA221" s="12">
        <f>X221*I221</f>
        <v>0</v>
      </c>
      <c r="AE221" s="12">
        <f t="shared" si="36"/>
        <v>0</v>
      </c>
      <c r="AF221" s="12">
        <f t="shared" si="37"/>
        <v>0</v>
      </c>
      <c r="AG221" s="12">
        <f t="shared" si="38"/>
        <v>0</v>
      </c>
      <c r="AH221" s="12">
        <f t="shared" si="39"/>
        <v>0</v>
      </c>
      <c r="AI221" s="12" t="e">
        <f t="shared" si="40"/>
        <v>#DIV/0!</v>
      </c>
      <c r="AJ221" s="12">
        <f t="shared" si="41"/>
        <v>0</v>
      </c>
      <c r="AK221" s="11" t="e">
        <f>AH221/J221</f>
        <v>#DIV/0!</v>
      </c>
      <c r="AL221" s="11" t="e">
        <f>AG221/J221</f>
        <v>#DIV/0!</v>
      </c>
    </row>
    <row r="222" spans="13:38" x14ac:dyDescent="0.2">
      <c r="M222" s="11">
        <f>(L222/100)*I222</f>
        <v>0</v>
      </c>
      <c r="N222" s="11">
        <f>K222*(L222/100)</f>
        <v>0</v>
      </c>
      <c r="P222" s="11">
        <f>(O222/100)*I222</f>
        <v>0</v>
      </c>
      <c r="Q222" s="11">
        <f>K222*(O222/100)</f>
        <v>0</v>
      </c>
      <c r="R222" s="11" t="e">
        <f t="shared" si="34"/>
        <v>#DIV/0!</v>
      </c>
      <c r="T222" s="11" t="e">
        <f t="shared" si="42"/>
        <v>#DIV/0!</v>
      </c>
      <c r="U222" t="e">
        <f t="shared" si="35"/>
        <v>#DIV/0!</v>
      </c>
      <c r="Y222" s="11">
        <f>V222*I222</f>
        <v>0</v>
      </c>
      <c r="Z222" s="12">
        <f>W222*I222</f>
        <v>0</v>
      </c>
      <c r="AA222" s="12">
        <f>X222*I222</f>
        <v>0</v>
      </c>
      <c r="AE222" s="12">
        <f t="shared" si="36"/>
        <v>0</v>
      </c>
      <c r="AF222" s="12">
        <f t="shared" si="37"/>
        <v>0</v>
      </c>
      <c r="AG222" s="12">
        <f t="shared" si="38"/>
        <v>0</v>
      </c>
      <c r="AH222" s="12">
        <f t="shared" si="39"/>
        <v>0</v>
      </c>
      <c r="AI222" s="12" t="e">
        <f t="shared" si="40"/>
        <v>#DIV/0!</v>
      </c>
      <c r="AJ222" s="12">
        <f t="shared" si="41"/>
        <v>0</v>
      </c>
      <c r="AK222" s="11" t="e">
        <f>AH222/J222</f>
        <v>#DIV/0!</v>
      </c>
      <c r="AL222" s="11" t="e">
        <f>AG222/J222</f>
        <v>#DIV/0!</v>
      </c>
    </row>
    <row r="223" spans="13:38" x14ac:dyDescent="0.2">
      <c r="M223" s="11">
        <f>(L223/100)*I223</f>
        <v>0</v>
      </c>
      <c r="N223" s="11">
        <f>K223*(L223/100)</f>
        <v>0</v>
      </c>
      <c r="P223" s="11">
        <f>(O223/100)*I223</f>
        <v>0</v>
      </c>
      <c r="Q223" s="11">
        <f>K223*(O223/100)</f>
        <v>0</v>
      </c>
      <c r="R223" s="11" t="e">
        <f t="shared" si="34"/>
        <v>#DIV/0!</v>
      </c>
      <c r="T223" s="11" t="e">
        <f t="shared" si="42"/>
        <v>#DIV/0!</v>
      </c>
      <c r="U223" t="e">
        <f t="shared" si="35"/>
        <v>#DIV/0!</v>
      </c>
      <c r="Y223" s="11">
        <f>V223*I223</f>
        <v>0</v>
      </c>
      <c r="Z223" s="12">
        <f>W223*I223</f>
        <v>0</v>
      </c>
      <c r="AA223" s="12">
        <f>X223*I223</f>
        <v>0</v>
      </c>
      <c r="AE223" s="12">
        <f t="shared" si="36"/>
        <v>0</v>
      </c>
      <c r="AF223" s="12">
        <f t="shared" si="37"/>
        <v>0</v>
      </c>
      <c r="AG223" s="12">
        <f t="shared" si="38"/>
        <v>0</v>
      </c>
      <c r="AH223" s="12">
        <f t="shared" si="39"/>
        <v>0</v>
      </c>
      <c r="AI223" s="12" t="e">
        <f t="shared" si="40"/>
        <v>#DIV/0!</v>
      </c>
      <c r="AJ223" s="12">
        <f t="shared" si="41"/>
        <v>0</v>
      </c>
      <c r="AK223" s="11" t="e">
        <f>AH223/J223</f>
        <v>#DIV/0!</v>
      </c>
      <c r="AL223" s="11" t="e">
        <f>AG223/J223</f>
        <v>#DIV/0!</v>
      </c>
    </row>
    <row r="224" spans="13:38" x14ac:dyDescent="0.2">
      <c r="M224" s="11">
        <f>(L224/100)*I224</f>
        <v>0</v>
      </c>
      <c r="N224" s="11">
        <f>K224*(L224/100)</f>
        <v>0</v>
      </c>
      <c r="P224" s="11">
        <f>(O224/100)*I224</f>
        <v>0</v>
      </c>
      <c r="Q224" s="11">
        <f>K224*(O224/100)</f>
        <v>0</v>
      </c>
      <c r="R224" s="11" t="e">
        <f t="shared" si="34"/>
        <v>#DIV/0!</v>
      </c>
      <c r="T224" s="11" t="e">
        <f t="shared" si="42"/>
        <v>#DIV/0!</v>
      </c>
      <c r="U224" t="e">
        <f t="shared" si="35"/>
        <v>#DIV/0!</v>
      </c>
      <c r="Y224" s="11">
        <f>V224*I224</f>
        <v>0</v>
      </c>
      <c r="Z224" s="12">
        <f>W224*I224</f>
        <v>0</v>
      </c>
      <c r="AA224" s="12">
        <f>X224*I224</f>
        <v>0</v>
      </c>
      <c r="AE224" s="12">
        <f t="shared" si="36"/>
        <v>0</v>
      </c>
      <c r="AF224" s="12">
        <f t="shared" si="37"/>
        <v>0</v>
      </c>
      <c r="AG224" s="12">
        <f t="shared" si="38"/>
        <v>0</v>
      </c>
      <c r="AH224" s="12">
        <f t="shared" si="39"/>
        <v>0</v>
      </c>
      <c r="AI224" s="12" t="e">
        <f t="shared" si="40"/>
        <v>#DIV/0!</v>
      </c>
      <c r="AJ224" s="12">
        <f t="shared" si="41"/>
        <v>0</v>
      </c>
      <c r="AK224" s="11" t="e">
        <f>AH224/J224</f>
        <v>#DIV/0!</v>
      </c>
      <c r="AL224" s="11" t="e">
        <f>AG224/J224</f>
        <v>#DIV/0!</v>
      </c>
    </row>
    <row r="225" spans="13:38" x14ac:dyDescent="0.2">
      <c r="M225" s="11">
        <f>(L225/100)*I225</f>
        <v>0</v>
      </c>
      <c r="N225" s="11">
        <f>K225*(L225/100)</f>
        <v>0</v>
      </c>
      <c r="P225" s="11">
        <f>(O225/100)*I225</f>
        <v>0</v>
      </c>
      <c r="Q225" s="11">
        <f>K225*(O225/100)</f>
        <v>0</v>
      </c>
      <c r="R225" s="11" t="e">
        <f t="shared" si="34"/>
        <v>#DIV/0!</v>
      </c>
      <c r="T225" s="11" t="e">
        <f t="shared" si="42"/>
        <v>#DIV/0!</v>
      </c>
      <c r="U225" t="e">
        <f t="shared" si="35"/>
        <v>#DIV/0!</v>
      </c>
      <c r="Y225" s="11">
        <f>V225*I225</f>
        <v>0</v>
      </c>
      <c r="Z225" s="12">
        <f>W225*I225</f>
        <v>0</v>
      </c>
      <c r="AA225" s="12">
        <f>X225*I225</f>
        <v>0</v>
      </c>
      <c r="AE225" s="12">
        <f t="shared" si="36"/>
        <v>0</v>
      </c>
      <c r="AF225" s="12">
        <f t="shared" si="37"/>
        <v>0</v>
      </c>
      <c r="AG225" s="12">
        <f t="shared" si="38"/>
        <v>0</v>
      </c>
      <c r="AH225" s="12">
        <f t="shared" si="39"/>
        <v>0</v>
      </c>
      <c r="AI225" s="12" t="e">
        <f t="shared" si="40"/>
        <v>#DIV/0!</v>
      </c>
      <c r="AJ225" s="12">
        <f t="shared" si="41"/>
        <v>0</v>
      </c>
      <c r="AK225" s="11" t="e">
        <f>AH225/J225</f>
        <v>#DIV/0!</v>
      </c>
      <c r="AL225" s="11" t="e">
        <f>AG225/J225</f>
        <v>#DIV/0!</v>
      </c>
    </row>
    <row r="226" spans="13:38" x14ac:dyDescent="0.2">
      <c r="M226" s="11">
        <f>(L226/100)*I226</f>
        <v>0</v>
      </c>
      <c r="N226" s="11">
        <f>K226*(L226/100)</f>
        <v>0</v>
      </c>
      <c r="P226" s="11">
        <f>(O226/100)*I226</f>
        <v>0</v>
      </c>
      <c r="Q226" s="11">
        <f>K226*(O226/100)</f>
        <v>0</v>
      </c>
      <c r="R226" s="11" t="e">
        <f t="shared" si="34"/>
        <v>#DIV/0!</v>
      </c>
      <c r="T226" s="11" t="e">
        <f t="shared" si="42"/>
        <v>#DIV/0!</v>
      </c>
      <c r="U226" t="e">
        <f t="shared" si="35"/>
        <v>#DIV/0!</v>
      </c>
      <c r="Y226" s="11">
        <f>V226*I226</f>
        <v>0</v>
      </c>
      <c r="Z226" s="12">
        <f>W226*I226</f>
        <v>0</v>
      </c>
      <c r="AA226" s="12">
        <f>X226*I226</f>
        <v>0</v>
      </c>
      <c r="AE226" s="12">
        <f t="shared" si="36"/>
        <v>0</v>
      </c>
      <c r="AF226" s="12">
        <f t="shared" si="37"/>
        <v>0</v>
      </c>
      <c r="AG226" s="12">
        <f t="shared" si="38"/>
        <v>0</v>
      </c>
      <c r="AH226" s="12">
        <f t="shared" si="39"/>
        <v>0</v>
      </c>
      <c r="AI226" s="12" t="e">
        <f t="shared" si="40"/>
        <v>#DIV/0!</v>
      </c>
      <c r="AJ226" s="12">
        <f t="shared" si="41"/>
        <v>0</v>
      </c>
      <c r="AK226" s="11" t="e">
        <f>AH226/J226</f>
        <v>#DIV/0!</v>
      </c>
      <c r="AL226" s="11" t="e">
        <f>AG226/J226</f>
        <v>#DIV/0!</v>
      </c>
    </row>
    <row r="227" spans="13:38" x14ac:dyDescent="0.2">
      <c r="M227" s="11">
        <f>(L227/100)*I227</f>
        <v>0</v>
      </c>
      <c r="N227" s="11">
        <f>K227*(L227/100)</f>
        <v>0</v>
      </c>
      <c r="P227" s="11">
        <f>(O227/100)*I227</f>
        <v>0</v>
      </c>
      <c r="Q227" s="11">
        <f>K227*(O227/100)</f>
        <v>0</v>
      </c>
      <c r="R227" s="11" t="e">
        <f t="shared" si="34"/>
        <v>#DIV/0!</v>
      </c>
      <c r="T227" s="11" t="e">
        <f t="shared" si="42"/>
        <v>#DIV/0!</v>
      </c>
      <c r="U227" t="e">
        <f t="shared" si="35"/>
        <v>#DIV/0!</v>
      </c>
      <c r="Y227" s="11">
        <f>V227*I227</f>
        <v>0</v>
      </c>
      <c r="Z227" s="12">
        <f>W227*I227</f>
        <v>0</v>
      </c>
      <c r="AA227" s="12">
        <f>X227*I227</f>
        <v>0</v>
      </c>
      <c r="AE227" s="12">
        <f t="shared" si="36"/>
        <v>0</v>
      </c>
      <c r="AF227" s="12">
        <f t="shared" si="37"/>
        <v>0</v>
      </c>
      <c r="AG227" s="12">
        <f t="shared" si="38"/>
        <v>0</v>
      </c>
      <c r="AH227" s="12">
        <f t="shared" si="39"/>
        <v>0</v>
      </c>
      <c r="AI227" s="12" t="e">
        <f t="shared" si="40"/>
        <v>#DIV/0!</v>
      </c>
      <c r="AJ227" s="12">
        <f t="shared" si="41"/>
        <v>0</v>
      </c>
      <c r="AK227" s="11" t="e">
        <f>AH227/J227</f>
        <v>#DIV/0!</v>
      </c>
      <c r="AL227" s="11" t="e">
        <f>AG227/J227</f>
        <v>#DIV/0!</v>
      </c>
    </row>
    <row r="228" spans="13:38" x14ac:dyDescent="0.2">
      <c r="M228" s="11">
        <f>(L228/100)*I228</f>
        <v>0</v>
      </c>
      <c r="N228" s="11">
        <f>K228*(L228/100)</f>
        <v>0</v>
      </c>
      <c r="P228" s="11">
        <f>(O228/100)*I228</f>
        <v>0</v>
      </c>
      <c r="Q228" s="11">
        <f>K228*(O228/100)</f>
        <v>0</v>
      </c>
      <c r="R228" s="11" t="e">
        <f t="shared" si="34"/>
        <v>#DIV/0!</v>
      </c>
      <c r="T228" s="11" t="e">
        <f t="shared" si="42"/>
        <v>#DIV/0!</v>
      </c>
      <c r="U228" t="e">
        <f t="shared" si="35"/>
        <v>#DIV/0!</v>
      </c>
      <c r="Y228" s="11">
        <f>V228*I228</f>
        <v>0</v>
      </c>
      <c r="Z228" s="12">
        <f>W228*I228</f>
        <v>0</v>
      </c>
      <c r="AA228" s="12">
        <f>X228*I228</f>
        <v>0</v>
      </c>
      <c r="AE228" s="12">
        <f t="shared" si="36"/>
        <v>0</v>
      </c>
      <c r="AF228" s="12">
        <f t="shared" si="37"/>
        <v>0</v>
      </c>
      <c r="AG228" s="12">
        <f t="shared" si="38"/>
        <v>0</v>
      </c>
      <c r="AH228" s="12">
        <f t="shared" si="39"/>
        <v>0</v>
      </c>
      <c r="AI228" s="12" t="e">
        <f t="shared" si="40"/>
        <v>#DIV/0!</v>
      </c>
      <c r="AJ228" s="12">
        <f t="shared" si="41"/>
        <v>0</v>
      </c>
      <c r="AK228" s="11" t="e">
        <f>AH228/J228</f>
        <v>#DIV/0!</v>
      </c>
      <c r="AL228" s="11" t="e">
        <f>AG228/J228</f>
        <v>#DIV/0!</v>
      </c>
    </row>
    <row r="229" spans="13:38" x14ac:dyDescent="0.2">
      <c r="M229" s="11">
        <f>(L229/100)*I229</f>
        <v>0</v>
      </c>
      <c r="N229" s="11">
        <f>K229*(L229/100)</f>
        <v>0</v>
      </c>
      <c r="P229" s="11">
        <f>(O229/100)*I229</f>
        <v>0</v>
      </c>
      <c r="Q229" s="11">
        <f>K229*(O229/100)</f>
        <v>0</v>
      </c>
      <c r="R229" s="11" t="e">
        <f t="shared" si="34"/>
        <v>#DIV/0!</v>
      </c>
      <c r="T229" s="11" t="e">
        <f t="shared" si="42"/>
        <v>#DIV/0!</v>
      </c>
      <c r="U229" t="e">
        <f t="shared" si="35"/>
        <v>#DIV/0!</v>
      </c>
      <c r="Y229" s="11">
        <f>V229*I229</f>
        <v>0</v>
      </c>
      <c r="Z229" s="12">
        <f>W229*I229</f>
        <v>0</v>
      </c>
      <c r="AA229" s="12">
        <f>X229*I229</f>
        <v>0</v>
      </c>
      <c r="AE229" s="12">
        <f t="shared" si="36"/>
        <v>0</v>
      </c>
      <c r="AF229" s="12">
        <f t="shared" si="37"/>
        <v>0</v>
      </c>
      <c r="AG229" s="12">
        <f t="shared" si="38"/>
        <v>0</v>
      </c>
      <c r="AH229" s="12">
        <f t="shared" si="39"/>
        <v>0</v>
      </c>
      <c r="AI229" s="12" t="e">
        <f t="shared" si="40"/>
        <v>#DIV/0!</v>
      </c>
      <c r="AJ229" s="12">
        <f t="shared" si="41"/>
        <v>0</v>
      </c>
      <c r="AK229" s="11" t="e">
        <f>AH229/J229</f>
        <v>#DIV/0!</v>
      </c>
      <c r="AL229" s="11" t="e">
        <f>AG229/J229</f>
        <v>#DIV/0!</v>
      </c>
    </row>
    <row r="230" spans="13:38" x14ac:dyDescent="0.2">
      <c r="M230" s="11">
        <f>(L230/100)*I230</f>
        <v>0</v>
      </c>
      <c r="N230" s="11">
        <f>K230*(L230/100)</f>
        <v>0</v>
      </c>
      <c r="P230" s="11">
        <f>(O230/100)*I230</f>
        <v>0</v>
      </c>
      <c r="Q230" s="11">
        <f>K230*(O230/100)</f>
        <v>0</v>
      </c>
      <c r="R230" s="11" t="e">
        <f t="shared" si="34"/>
        <v>#DIV/0!</v>
      </c>
      <c r="T230" s="11" t="e">
        <f t="shared" si="42"/>
        <v>#DIV/0!</v>
      </c>
      <c r="U230" t="e">
        <f t="shared" si="35"/>
        <v>#DIV/0!</v>
      </c>
      <c r="Y230" s="11">
        <f>V230*I230</f>
        <v>0</v>
      </c>
      <c r="Z230" s="12">
        <f>W230*I230</f>
        <v>0</v>
      </c>
      <c r="AA230" s="12">
        <f>X230*I230</f>
        <v>0</v>
      </c>
      <c r="AE230" s="12">
        <f t="shared" si="36"/>
        <v>0</v>
      </c>
      <c r="AF230" s="12">
        <f t="shared" si="37"/>
        <v>0</v>
      </c>
      <c r="AG230" s="12">
        <f t="shared" si="38"/>
        <v>0</v>
      </c>
      <c r="AH230" s="12">
        <f t="shared" si="39"/>
        <v>0</v>
      </c>
      <c r="AI230" s="12" t="e">
        <f t="shared" si="40"/>
        <v>#DIV/0!</v>
      </c>
      <c r="AJ230" s="12">
        <f t="shared" si="41"/>
        <v>0</v>
      </c>
      <c r="AK230" s="11" t="e">
        <f>AH230/J230</f>
        <v>#DIV/0!</v>
      </c>
      <c r="AL230" s="11" t="e">
        <f>AG230/J230</f>
        <v>#DIV/0!</v>
      </c>
    </row>
    <row r="231" spans="13:38" x14ac:dyDescent="0.2">
      <c r="M231" s="11">
        <f>(L231/100)*I231</f>
        <v>0</v>
      </c>
      <c r="N231" s="11">
        <f>K231*(L231/100)</f>
        <v>0</v>
      </c>
      <c r="P231" s="11">
        <f>(O231/100)*I231</f>
        <v>0</v>
      </c>
      <c r="Q231" s="11">
        <f>K231*(O231/100)</f>
        <v>0</v>
      </c>
      <c r="R231" s="11" t="e">
        <f t="shared" si="34"/>
        <v>#DIV/0!</v>
      </c>
      <c r="T231" s="11" t="e">
        <f t="shared" si="42"/>
        <v>#DIV/0!</v>
      </c>
      <c r="U231" t="e">
        <f t="shared" si="35"/>
        <v>#DIV/0!</v>
      </c>
      <c r="Y231" s="11">
        <f>V231*I231</f>
        <v>0</v>
      </c>
      <c r="Z231" s="12">
        <f>W231*I231</f>
        <v>0</v>
      </c>
      <c r="AA231" s="12">
        <f>X231*I231</f>
        <v>0</v>
      </c>
      <c r="AE231" s="12">
        <f t="shared" si="36"/>
        <v>0</v>
      </c>
      <c r="AF231" s="12">
        <f t="shared" si="37"/>
        <v>0</v>
      </c>
      <c r="AG231" s="12">
        <f t="shared" si="38"/>
        <v>0</v>
      </c>
      <c r="AH231" s="12">
        <f t="shared" si="39"/>
        <v>0</v>
      </c>
      <c r="AI231" s="12" t="e">
        <f t="shared" si="40"/>
        <v>#DIV/0!</v>
      </c>
      <c r="AJ231" s="12">
        <f t="shared" si="41"/>
        <v>0</v>
      </c>
      <c r="AK231" s="11" t="e">
        <f>AH231/J231</f>
        <v>#DIV/0!</v>
      </c>
      <c r="AL231" s="11" t="e">
        <f>AG231/J231</f>
        <v>#DIV/0!</v>
      </c>
    </row>
    <row r="232" spans="13:38" x14ac:dyDescent="0.2">
      <c r="M232" s="11">
        <f>(L232/100)*I232</f>
        <v>0</v>
      </c>
      <c r="N232" s="11">
        <f>K232*(L232/100)</f>
        <v>0</v>
      </c>
      <c r="P232" s="11">
        <f>(O232/100)*I232</f>
        <v>0</v>
      </c>
      <c r="Q232" s="11">
        <f>K232*(O232/100)</f>
        <v>0</v>
      </c>
      <c r="R232" s="11" t="e">
        <f t="shared" si="34"/>
        <v>#DIV/0!</v>
      </c>
      <c r="T232" s="11" t="e">
        <f t="shared" si="42"/>
        <v>#DIV/0!</v>
      </c>
      <c r="U232" t="e">
        <f t="shared" si="35"/>
        <v>#DIV/0!</v>
      </c>
      <c r="Y232" s="11">
        <f>V232*I232</f>
        <v>0</v>
      </c>
      <c r="Z232" s="12">
        <f>W232*I232</f>
        <v>0</v>
      </c>
      <c r="AA232" s="12">
        <f>X232*I232</f>
        <v>0</v>
      </c>
      <c r="AE232" s="12">
        <f t="shared" si="36"/>
        <v>0</v>
      </c>
      <c r="AF232" s="12">
        <f t="shared" si="37"/>
        <v>0</v>
      </c>
      <c r="AG232" s="12">
        <f t="shared" si="38"/>
        <v>0</v>
      </c>
      <c r="AH232" s="12">
        <f t="shared" si="39"/>
        <v>0</v>
      </c>
      <c r="AI232" s="12" t="e">
        <f t="shared" si="40"/>
        <v>#DIV/0!</v>
      </c>
      <c r="AJ232" s="12">
        <f t="shared" si="41"/>
        <v>0</v>
      </c>
      <c r="AK232" s="11" t="e">
        <f>AH232/J232</f>
        <v>#DIV/0!</v>
      </c>
      <c r="AL232" s="11" t="e">
        <f>AG232/J232</f>
        <v>#DIV/0!</v>
      </c>
    </row>
    <row r="233" spans="13:38" x14ac:dyDescent="0.2">
      <c r="M233" s="11">
        <f>(L233/100)*I233</f>
        <v>0</v>
      </c>
      <c r="N233" s="11">
        <f>K233*(L233/100)</f>
        <v>0</v>
      </c>
      <c r="P233" s="11">
        <f>(O233/100)*I233</f>
        <v>0</v>
      </c>
      <c r="Q233" s="11">
        <f>K233*(O233/100)</f>
        <v>0</v>
      </c>
      <c r="R233" s="11" t="e">
        <f t="shared" si="34"/>
        <v>#DIV/0!</v>
      </c>
      <c r="T233" s="11" t="e">
        <f t="shared" si="42"/>
        <v>#DIV/0!</v>
      </c>
      <c r="U233" t="e">
        <f t="shared" si="35"/>
        <v>#DIV/0!</v>
      </c>
      <c r="Y233" s="11">
        <f>V233*I233</f>
        <v>0</v>
      </c>
      <c r="Z233" s="12">
        <f>W233*I233</f>
        <v>0</v>
      </c>
      <c r="AA233" s="12">
        <f>X233*I233</f>
        <v>0</v>
      </c>
      <c r="AE233" s="12">
        <f t="shared" si="36"/>
        <v>0</v>
      </c>
      <c r="AF233" s="12">
        <f t="shared" si="37"/>
        <v>0</v>
      </c>
      <c r="AG233" s="12">
        <f t="shared" si="38"/>
        <v>0</v>
      </c>
      <c r="AH233" s="12">
        <f t="shared" si="39"/>
        <v>0</v>
      </c>
      <c r="AI233" s="12" t="e">
        <f t="shared" si="40"/>
        <v>#DIV/0!</v>
      </c>
      <c r="AJ233" s="12">
        <f t="shared" si="41"/>
        <v>0</v>
      </c>
      <c r="AK233" s="11" t="e">
        <f>AH233/J233</f>
        <v>#DIV/0!</v>
      </c>
      <c r="AL233" s="11" t="e">
        <f>AG233/J233</f>
        <v>#DIV/0!</v>
      </c>
    </row>
    <row r="234" spans="13:38" x14ac:dyDescent="0.2">
      <c r="M234" s="11">
        <f>(L234/100)*I234</f>
        <v>0</v>
      </c>
      <c r="N234" s="11">
        <f>K234*(L234/100)</f>
        <v>0</v>
      </c>
      <c r="P234" s="11">
        <f>(O234/100)*I234</f>
        <v>0</v>
      </c>
      <c r="Q234" s="11">
        <f>K234*(O234/100)</f>
        <v>0</v>
      </c>
      <c r="R234" s="11" t="e">
        <f t="shared" si="34"/>
        <v>#DIV/0!</v>
      </c>
      <c r="T234" s="11" t="e">
        <f t="shared" si="42"/>
        <v>#DIV/0!</v>
      </c>
      <c r="U234" t="e">
        <f t="shared" si="35"/>
        <v>#DIV/0!</v>
      </c>
      <c r="Y234" s="11">
        <f>V234*I234</f>
        <v>0</v>
      </c>
      <c r="Z234" s="12">
        <f>W234*I234</f>
        <v>0</v>
      </c>
      <c r="AA234" s="12">
        <f>X234*I234</f>
        <v>0</v>
      </c>
      <c r="AE234" s="12">
        <f t="shared" si="36"/>
        <v>0</v>
      </c>
      <c r="AF234" s="12">
        <f t="shared" si="37"/>
        <v>0</v>
      </c>
      <c r="AG234" s="12">
        <f t="shared" si="38"/>
        <v>0</v>
      </c>
      <c r="AH234" s="12">
        <f t="shared" si="39"/>
        <v>0</v>
      </c>
      <c r="AI234" s="12" t="e">
        <f t="shared" si="40"/>
        <v>#DIV/0!</v>
      </c>
      <c r="AJ234" s="12">
        <f t="shared" si="41"/>
        <v>0</v>
      </c>
      <c r="AK234" s="11" t="e">
        <f>AH234/J234</f>
        <v>#DIV/0!</v>
      </c>
      <c r="AL234" s="11" t="e">
        <f>AG234/J234</f>
        <v>#DIV/0!</v>
      </c>
    </row>
    <row r="235" spans="13:38" x14ac:dyDescent="0.2">
      <c r="M235" s="11">
        <f>(L235/100)*I235</f>
        <v>0</v>
      </c>
      <c r="N235" s="11">
        <f>K235*(L235/100)</f>
        <v>0</v>
      </c>
      <c r="P235" s="11">
        <f>(O235/100)*I235</f>
        <v>0</v>
      </c>
      <c r="Q235" s="11">
        <f>K235*(O235/100)</f>
        <v>0</v>
      </c>
      <c r="R235" s="11" t="e">
        <f t="shared" si="34"/>
        <v>#DIV/0!</v>
      </c>
      <c r="T235" s="11" t="e">
        <f t="shared" si="42"/>
        <v>#DIV/0!</v>
      </c>
      <c r="U235" t="e">
        <f t="shared" si="35"/>
        <v>#DIV/0!</v>
      </c>
      <c r="Y235" s="11">
        <f>V235*I235</f>
        <v>0</v>
      </c>
      <c r="Z235" s="12">
        <f>W235*I235</f>
        <v>0</v>
      </c>
      <c r="AA235" s="12">
        <f>X235*I235</f>
        <v>0</v>
      </c>
      <c r="AE235" s="12">
        <f t="shared" si="36"/>
        <v>0</v>
      </c>
      <c r="AF235" s="12">
        <f t="shared" si="37"/>
        <v>0</v>
      </c>
      <c r="AG235" s="12">
        <f t="shared" si="38"/>
        <v>0</v>
      </c>
      <c r="AH235" s="12">
        <f t="shared" si="39"/>
        <v>0</v>
      </c>
      <c r="AI235" s="12" t="e">
        <f t="shared" si="40"/>
        <v>#DIV/0!</v>
      </c>
      <c r="AJ235" s="12">
        <f t="shared" si="41"/>
        <v>0</v>
      </c>
      <c r="AK235" s="11" t="e">
        <f>AH235/J235</f>
        <v>#DIV/0!</v>
      </c>
      <c r="AL235" s="11" t="e">
        <f>AG235/J235</f>
        <v>#DIV/0!</v>
      </c>
    </row>
    <row r="236" spans="13:38" x14ac:dyDescent="0.2">
      <c r="M236" s="11">
        <f>(L236/100)*I236</f>
        <v>0</v>
      </c>
      <c r="N236" s="11">
        <f>K236*(L236/100)</f>
        <v>0</v>
      </c>
      <c r="P236" s="11">
        <f>(O236/100)*I236</f>
        <v>0</v>
      </c>
      <c r="Q236" s="11">
        <f>K236*(O236/100)</f>
        <v>0</v>
      </c>
      <c r="R236" s="11" t="e">
        <f t="shared" si="34"/>
        <v>#DIV/0!</v>
      </c>
      <c r="T236" s="11" t="e">
        <f t="shared" si="42"/>
        <v>#DIV/0!</v>
      </c>
      <c r="U236" t="e">
        <f t="shared" si="35"/>
        <v>#DIV/0!</v>
      </c>
      <c r="Y236" s="11">
        <f>V236*I236</f>
        <v>0</v>
      </c>
      <c r="Z236" s="12">
        <f>W236*I236</f>
        <v>0</v>
      </c>
      <c r="AA236" s="12">
        <f>X236*I236</f>
        <v>0</v>
      </c>
      <c r="AE236" s="12">
        <f t="shared" si="36"/>
        <v>0</v>
      </c>
      <c r="AF236" s="12">
        <f t="shared" si="37"/>
        <v>0</v>
      </c>
      <c r="AG236" s="12">
        <f t="shared" si="38"/>
        <v>0</v>
      </c>
      <c r="AH236" s="12">
        <f t="shared" si="39"/>
        <v>0</v>
      </c>
      <c r="AI236" s="12" t="e">
        <f t="shared" si="40"/>
        <v>#DIV/0!</v>
      </c>
      <c r="AJ236" s="12">
        <f t="shared" si="41"/>
        <v>0</v>
      </c>
      <c r="AK236" s="11" t="e">
        <f>AH236/J236</f>
        <v>#DIV/0!</v>
      </c>
      <c r="AL236" s="11" t="e">
        <f>AG236/J236</f>
        <v>#DIV/0!</v>
      </c>
    </row>
    <row r="237" spans="13:38" x14ac:dyDescent="0.2">
      <c r="M237" s="11">
        <f>(L237/100)*I237</f>
        <v>0</v>
      </c>
      <c r="N237" s="11">
        <f>K237*(L237/100)</f>
        <v>0</v>
      </c>
      <c r="P237" s="11">
        <f>(O237/100)*I237</f>
        <v>0</v>
      </c>
      <c r="Q237" s="11">
        <f>K237*(O237/100)</f>
        <v>0</v>
      </c>
      <c r="R237" s="11" t="e">
        <f t="shared" si="34"/>
        <v>#DIV/0!</v>
      </c>
      <c r="T237" s="11" t="e">
        <f t="shared" si="42"/>
        <v>#DIV/0!</v>
      </c>
      <c r="U237" t="e">
        <f t="shared" si="35"/>
        <v>#DIV/0!</v>
      </c>
      <c r="Y237" s="11">
        <f>V237*I237</f>
        <v>0</v>
      </c>
      <c r="Z237" s="12">
        <f>W237*I237</f>
        <v>0</v>
      </c>
      <c r="AA237" s="12">
        <f>X237*I237</f>
        <v>0</v>
      </c>
      <c r="AE237" s="12">
        <f t="shared" si="36"/>
        <v>0</v>
      </c>
      <c r="AF237" s="12">
        <f t="shared" si="37"/>
        <v>0</v>
      </c>
      <c r="AG237" s="12">
        <f t="shared" si="38"/>
        <v>0</v>
      </c>
      <c r="AH237" s="12">
        <f t="shared" si="39"/>
        <v>0</v>
      </c>
      <c r="AI237" s="12" t="e">
        <f t="shared" si="40"/>
        <v>#DIV/0!</v>
      </c>
      <c r="AJ237" s="12">
        <f t="shared" si="41"/>
        <v>0</v>
      </c>
      <c r="AK237" s="11" t="e">
        <f>AH237/J237</f>
        <v>#DIV/0!</v>
      </c>
      <c r="AL237" s="11" t="e">
        <f>AG237/J237</f>
        <v>#DIV/0!</v>
      </c>
    </row>
    <row r="238" spans="13:38" x14ac:dyDescent="0.2">
      <c r="M238" s="11">
        <f>(L238/100)*I238</f>
        <v>0</v>
      </c>
      <c r="N238" s="11">
        <f>K238*(L238/100)</f>
        <v>0</v>
      </c>
      <c r="P238" s="11">
        <f>(O238/100)*I238</f>
        <v>0</v>
      </c>
      <c r="Q238" s="11">
        <f>K238*(O238/100)</f>
        <v>0</v>
      </c>
      <c r="R238" s="11" t="e">
        <f t="shared" si="34"/>
        <v>#DIV/0!</v>
      </c>
      <c r="T238" s="11" t="e">
        <f t="shared" si="42"/>
        <v>#DIV/0!</v>
      </c>
      <c r="U238" t="e">
        <f t="shared" si="35"/>
        <v>#DIV/0!</v>
      </c>
      <c r="Y238" s="11">
        <f>V238*I238</f>
        <v>0</v>
      </c>
      <c r="Z238" s="12">
        <f>W238*I238</f>
        <v>0</v>
      </c>
      <c r="AA238" s="12">
        <f>X238*I238</f>
        <v>0</v>
      </c>
      <c r="AE238" s="12">
        <f t="shared" si="36"/>
        <v>0</v>
      </c>
      <c r="AF238" s="12">
        <f t="shared" si="37"/>
        <v>0</v>
      </c>
      <c r="AG238" s="12">
        <f t="shared" si="38"/>
        <v>0</v>
      </c>
      <c r="AH238" s="12">
        <f t="shared" si="39"/>
        <v>0</v>
      </c>
      <c r="AI238" s="12" t="e">
        <f t="shared" si="40"/>
        <v>#DIV/0!</v>
      </c>
      <c r="AJ238" s="12">
        <f t="shared" si="41"/>
        <v>0</v>
      </c>
      <c r="AK238" s="11" t="e">
        <f>AH238/J238</f>
        <v>#DIV/0!</v>
      </c>
      <c r="AL238" s="11" t="e">
        <f>AG238/J238</f>
        <v>#DIV/0!</v>
      </c>
    </row>
    <row r="239" spans="13:38" x14ac:dyDescent="0.2">
      <c r="M239" s="11">
        <f>(L239/100)*I239</f>
        <v>0</v>
      </c>
      <c r="N239" s="11">
        <f>K239*(L239/100)</f>
        <v>0</v>
      </c>
      <c r="P239" s="11">
        <f>(O239/100)*I239</f>
        <v>0</v>
      </c>
      <c r="Q239" s="11">
        <f>K239*(O239/100)</f>
        <v>0</v>
      </c>
      <c r="R239" s="11" t="e">
        <f t="shared" si="34"/>
        <v>#DIV/0!</v>
      </c>
      <c r="T239" s="11" t="e">
        <f t="shared" si="42"/>
        <v>#DIV/0!</v>
      </c>
      <c r="U239" t="e">
        <f t="shared" si="35"/>
        <v>#DIV/0!</v>
      </c>
      <c r="Y239" s="11">
        <f>V239*I239</f>
        <v>0</v>
      </c>
      <c r="Z239" s="12">
        <f>W239*I239</f>
        <v>0</v>
      </c>
      <c r="AA239" s="12">
        <f>X239*I239</f>
        <v>0</v>
      </c>
      <c r="AE239" s="12">
        <f t="shared" si="36"/>
        <v>0</v>
      </c>
      <c r="AF239" s="12">
        <f t="shared" si="37"/>
        <v>0</v>
      </c>
      <c r="AG239" s="12">
        <f t="shared" si="38"/>
        <v>0</v>
      </c>
      <c r="AH239" s="12">
        <f t="shared" si="39"/>
        <v>0</v>
      </c>
      <c r="AI239" s="12" t="e">
        <f t="shared" si="40"/>
        <v>#DIV/0!</v>
      </c>
      <c r="AJ239" s="12">
        <f t="shared" si="41"/>
        <v>0</v>
      </c>
      <c r="AK239" s="11" t="e">
        <f>AH239/J239</f>
        <v>#DIV/0!</v>
      </c>
      <c r="AL239" s="11" t="e">
        <f>AG239/J239</f>
        <v>#DIV/0!</v>
      </c>
    </row>
    <row r="240" spans="13:38" x14ac:dyDescent="0.2">
      <c r="M240" s="11">
        <f>(L240/100)*I240</f>
        <v>0</v>
      </c>
      <c r="N240" s="11">
        <f>K240*(L240/100)</f>
        <v>0</v>
      </c>
      <c r="P240" s="11">
        <f>(O240/100)*I240</f>
        <v>0</v>
      </c>
      <c r="Q240" s="11">
        <f>K240*(O240/100)</f>
        <v>0</v>
      </c>
      <c r="R240" s="11" t="e">
        <f t="shared" si="34"/>
        <v>#DIV/0!</v>
      </c>
      <c r="T240" s="11" t="e">
        <f t="shared" si="42"/>
        <v>#DIV/0!</v>
      </c>
      <c r="U240" t="e">
        <f t="shared" si="35"/>
        <v>#DIV/0!</v>
      </c>
      <c r="Y240" s="11">
        <f>V240*I240</f>
        <v>0</v>
      </c>
      <c r="Z240" s="12">
        <f>W240*I240</f>
        <v>0</v>
      </c>
      <c r="AA240" s="12">
        <f>X240*I240</f>
        <v>0</v>
      </c>
      <c r="AE240" s="12">
        <f t="shared" si="36"/>
        <v>0</v>
      </c>
      <c r="AF240" s="12">
        <f t="shared" si="37"/>
        <v>0</v>
      </c>
      <c r="AG240" s="12">
        <f t="shared" si="38"/>
        <v>0</v>
      </c>
      <c r="AH240" s="12">
        <f t="shared" si="39"/>
        <v>0</v>
      </c>
      <c r="AI240" s="12" t="e">
        <f t="shared" si="40"/>
        <v>#DIV/0!</v>
      </c>
      <c r="AJ240" s="12">
        <f t="shared" si="41"/>
        <v>0</v>
      </c>
      <c r="AK240" s="11" t="e">
        <f>AH240/J240</f>
        <v>#DIV/0!</v>
      </c>
      <c r="AL240" s="11" t="e">
        <f>AG240/J240</f>
        <v>#DIV/0!</v>
      </c>
    </row>
    <row r="241" spans="1:38" x14ac:dyDescent="0.2">
      <c r="M241" s="11">
        <f>(L241/100)*I241</f>
        <v>0</v>
      </c>
      <c r="N241" s="11">
        <f>K241*(L241/100)</f>
        <v>0</v>
      </c>
      <c r="P241" s="11">
        <f>(O241/100)*I241</f>
        <v>0</v>
      </c>
      <c r="Q241" s="11">
        <f>K241*(O241/100)</f>
        <v>0</v>
      </c>
      <c r="R241" s="11" t="e">
        <f t="shared" si="34"/>
        <v>#DIV/0!</v>
      </c>
      <c r="T241" s="11" t="e">
        <f t="shared" si="42"/>
        <v>#DIV/0!</v>
      </c>
      <c r="U241" t="e">
        <f t="shared" si="35"/>
        <v>#DIV/0!</v>
      </c>
      <c r="Y241" s="11">
        <f>V241*I241</f>
        <v>0</v>
      </c>
      <c r="Z241" s="12">
        <f>W241*I241</f>
        <v>0</v>
      </c>
      <c r="AA241" s="12">
        <f>X241*I241</f>
        <v>0</v>
      </c>
      <c r="AE241" s="12">
        <f t="shared" si="36"/>
        <v>0</v>
      </c>
      <c r="AF241" s="12">
        <f t="shared" si="37"/>
        <v>0</v>
      </c>
      <c r="AG241" s="12">
        <f t="shared" si="38"/>
        <v>0</v>
      </c>
      <c r="AH241" s="12">
        <f t="shared" si="39"/>
        <v>0</v>
      </c>
      <c r="AI241" s="12" t="e">
        <f t="shared" si="40"/>
        <v>#DIV/0!</v>
      </c>
      <c r="AJ241" s="12">
        <f t="shared" si="41"/>
        <v>0</v>
      </c>
      <c r="AK241" s="11" t="e">
        <f>AH241/J241</f>
        <v>#DIV/0!</v>
      </c>
      <c r="AL241" s="11" t="e">
        <f>AG241/J241</f>
        <v>#DIV/0!</v>
      </c>
    </row>
    <row r="242" spans="1:38" x14ac:dyDescent="0.2">
      <c r="M242" s="11">
        <f>(L242/100)*I242</f>
        <v>0</v>
      </c>
      <c r="N242" s="11">
        <f>K242*(L242/100)</f>
        <v>0</v>
      </c>
      <c r="P242" s="11">
        <f>(O242/100)*I242</f>
        <v>0</v>
      </c>
      <c r="Q242" s="11">
        <f>K242*(O242/100)</f>
        <v>0</v>
      </c>
      <c r="R242" s="11" t="e">
        <f t="shared" si="34"/>
        <v>#DIV/0!</v>
      </c>
      <c r="T242" s="11" t="e">
        <f t="shared" si="42"/>
        <v>#DIV/0!</v>
      </c>
      <c r="U242" t="e">
        <f t="shared" si="35"/>
        <v>#DIV/0!</v>
      </c>
      <c r="Y242" s="11">
        <f>V242*I242</f>
        <v>0</v>
      </c>
      <c r="Z242" s="12">
        <f>W242*I242</f>
        <v>0</v>
      </c>
      <c r="AA242" s="12">
        <f>X242*I242</f>
        <v>0</v>
      </c>
      <c r="AE242" s="12">
        <f t="shared" si="36"/>
        <v>0</v>
      </c>
      <c r="AF242" s="12">
        <f t="shared" si="37"/>
        <v>0</v>
      </c>
      <c r="AG242" s="12">
        <f t="shared" si="38"/>
        <v>0</v>
      </c>
      <c r="AH242" s="12">
        <f t="shared" si="39"/>
        <v>0</v>
      </c>
      <c r="AI242" s="12" t="e">
        <f t="shared" si="40"/>
        <v>#DIV/0!</v>
      </c>
      <c r="AJ242" s="12">
        <f t="shared" si="41"/>
        <v>0</v>
      </c>
      <c r="AK242" s="11" t="e">
        <f>AH242/J242</f>
        <v>#DIV/0!</v>
      </c>
      <c r="AL242" s="11" t="e">
        <f>AG242/J242</f>
        <v>#DIV/0!</v>
      </c>
    </row>
    <row r="243" spans="1:38" x14ac:dyDescent="0.2">
      <c r="M243" s="11">
        <f>(L243/100)*I243</f>
        <v>0</v>
      </c>
      <c r="N243" s="11">
        <f>K243*(L243/100)</f>
        <v>0</v>
      </c>
      <c r="P243" s="11">
        <f>(O243/100)*I243</f>
        <v>0</v>
      </c>
      <c r="Q243" s="11">
        <f>K243*(O243/100)</f>
        <v>0</v>
      </c>
      <c r="R243" s="11" t="e">
        <f t="shared" si="34"/>
        <v>#DIV/0!</v>
      </c>
      <c r="T243" s="11" t="e">
        <f t="shared" si="42"/>
        <v>#DIV/0!</v>
      </c>
      <c r="U243" t="e">
        <f t="shared" si="35"/>
        <v>#DIV/0!</v>
      </c>
      <c r="Y243" s="11">
        <f>V243*I243</f>
        <v>0</v>
      </c>
      <c r="Z243" s="12">
        <f>W243*I243</f>
        <v>0</v>
      </c>
      <c r="AA243" s="12">
        <f>X243*I243</f>
        <v>0</v>
      </c>
      <c r="AE243" s="12">
        <f t="shared" si="36"/>
        <v>0</v>
      </c>
      <c r="AF243" s="12">
        <f t="shared" si="37"/>
        <v>0</v>
      </c>
      <c r="AG243" s="12">
        <f t="shared" si="38"/>
        <v>0</v>
      </c>
      <c r="AH243" s="12">
        <f t="shared" si="39"/>
        <v>0</v>
      </c>
      <c r="AI243" s="12" t="e">
        <f t="shared" si="40"/>
        <v>#DIV/0!</v>
      </c>
      <c r="AJ243" s="12">
        <f t="shared" si="41"/>
        <v>0</v>
      </c>
      <c r="AK243" s="11" t="e">
        <f>AH243/J243</f>
        <v>#DIV/0!</v>
      </c>
      <c r="AL243" s="11" t="e">
        <f>AG243/J243</f>
        <v>#DIV/0!</v>
      </c>
    </row>
    <row r="244" spans="1:38" x14ac:dyDescent="0.2">
      <c r="M244" s="11">
        <f>(L244/100)*I244</f>
        <v>0</v>
      </c>
      <c r="N244" s="11">
        <f>K244*(L244/100)</f>
        <v>0</v>
      </c>
      <c r="P244" s="11">
        <f>(O244/100)*I244</f>
        <v>0</v>
      </c>
      <c r="Q244" s="11">
        <f>K244*(O244/100)</f>
        <v>0</v>
      </c>
      <c r="R244" s="11" t="e">
        <f t="shared" si="34"/>
        <v>#DIV/0!</v>
      </c>
      <c r="T244" s="11" t="e">
        <f t="shared" si="42"/>
        <v>#DIV/0!</v>
      </c>
      <c r="U244" t="e">
        <f t="shared" si="35"/>
        <v>#DIV/0!</v>
      </c>
      <c r="Y244" s="11">
        <f>V244*I244</f>
        <v>0</v>
      </c>
      <c r="Z244" s="12">
        <f>W244*I244</f>
        <v>0</v>
      </c>
      <c r="AA244" s="12">
        <f>X244*I244</f>
        <v>0</v>
      </c>
      <c r="AE244" s="12">
        <f t="shared" si="36"/>
        <v>0</v>
      </c>
      <c r="AF244" s="12">
        <f t="shared" si="37"/>
        <v>0</v>
      </c>
      <c r="AG244" s="12">
        <f t="shared" si="38"/>
        <v>0</v>
      </c>
      <c r="AH244" s="12">
        <f t="shared" si="39"/>
        <v>0</v>
      </c>
      <c r="AI244" s="12" t="e">
        <f t="shared" si="40"/>
        <v>#DIV/0!</v>
      </c>
      <c r="AJ244" s="12">
        <f t="shared" si="41"/>
        <v>0</v>
      </c>
      <c r="AK244" s="11" t="e">
        <f>AH244/J244</f>
        <v>#DIV/0!</v>
      </c>
      <c r="AL244" s="11" t="e">
        <f>AG244/J244</f>
        <v>#DIV/0!</v>
      </c>
    </row>
    <row r="245" spans="1:38" x14ac:dyDescent="0.2">
      <c r="M245" s="11">
        <f>(L245/100)*I245</f>
        <v>0</v>
      </c>
      <c r="N245" s="11">
        <f>K245*(L245/100)</f>
        <v>0</v>
      </c>
      <c r="P245" s="11">
        <f>(O245/100)*I245</f>
        <v>0</v>
      </c>
      <c r="Q245" s="11">
        <f>K245*(O245/100)</f>
        <v>0</v>
      </c>
      <c r="R245" s="11" t="e">
        <f t="shared" si="34"/>
        <v>#DIV/0!</v>
      </c>
      <c r="T245" s="11" t="e">
        <f t="shared" si="42"/>
        <v>#DIV/0!</v>
      </c>
      <c r="U245" t="e">
        <f t="shared" si="35"/>
        <v>#DIV/0!</v>
      </c>
      <c r="Y245" s="11">
        <f>V245*I245</f>
        <v>0</v>
      </c>
      <c r="Z245" s="12">
        <f>W245*I245</f>
        <v>0</v>
      </c>
      <c r="AA245" s="12">
        <f>X245*I245</f>
        <v>0</v>
      </c>
      <c r="AE245" s="12">
        <f t="shared" si="36"/>
        <v>0</v>
      </c>
      <c r="AF245" s="12">
        <f t="shared" si="37"/>
        <v>0</v>
      </c>
      <c r="AG245" s="12">
        <f t="shared" si="38"/>
        <v>0</v>
      </c>
      <c r="AH245" s="12">
        <f t="shared" si="39"/>
        <v>0</v>
      </c>
      <c r="AI245" s="12" t="e">
        <f t="shared" si="40"/>
        <v>#DIV/0!</v>
      </c>
      <c r="AJ245" s="12">
        <f t="shared" si="41"/>
        <v>0</v>
      </c>
      <c r="AK245" s="11" t="e">
        <f>AH245/J245</f>
        <v>#DIV/0!</v>
      </c>
      <c r="AL245" s="11" t="e">
        <f>AG245/J245</f>
        <v>#DIV/0!</v>
      </c>
    </row>
    <row r="246" spans="1:38" x14ac:dyDescent="0.2">
      <c r="M246" s="11">
        <f>(L246/100)*I246</f>
        <v>0</v>
      </c>
      <c r="N246" s="11">
        <f>K246*(L246/100)</f>
        <v>0</v>
      </c>
      <c r="P246" s="11">
        <f>(O246/100)*I246</f>
        <v>0</v>
      </c>
      <c r="Q246" s="11">
        <f>K246*(O246/100)</f>
        <v>0</v>
      </c>
      <c r="R246" s="11" t="e">
        <f t="shared" si="34"/>
        <v>#DIV/0!</v>
      </c>
      <c r="T246" s="11" t="e">
        <f t="shared" si="42"/>
        <v>#DIV/0!</v>
      </c>
      <c r="U246" t="e">
        <f t="shared" si="35"/>
        <v>#DIV/0!</v>
      </c>
      <c r="Y246" s="11">
        <f>V246*I246</f>
        <v>0</v>
      </c>
      <c r="Z246" s="12">
        <f>W246*I246</f>
        <v>0</v>
      </c>
      <c r="AA246" s="12">
        <f>X246*I246</f>
        <v>0</v>
      </c>
      <c r="AE246" s="12">
        <f t="shared" si="36"/>
        <v>0</v>
      </c>
      <c r="AF246" s="12">
        <f t="shared" si="37"/>
        <v>0</v>
      </c>
      <c r="AG246" s="12">
        <f t="shared" si="38"/>
        <v>0</v>
      </c>
      <c r="AH246" s="12">
        <f t="shared" si="39"/>
        <v>0</v>
      </c>
      <c r="AI246" s="12" t="e">
        <f t="shared" si="40"/>
        <v>#DIV/0!</v>
      </c>
      <c r="AJ246" s="12">
        <f t="shared" si="41"/>
        <v>0</v>
      </c>
      <c r="AK246" s="11" t="e">
        <f>AH246/J246</f>
        <v>#DIV/0!</v>
      </c>
      <c r="AL246" s="11" t="e">
        <f>AG246/J246</f>
        <v>#DIV/0!</v>
      </c>
    </row>
    <row r="247" spans="1:38" x14ac:dyDescent="0.2">
      <c r="M247" s="11">
        <f>(L247/100)*I247</f>
        <v>0</v>
      </c>
      <c r="N247" s="11">
        <f>K247*(L247/100)</f>
        <v>0</v>
      </c>
      <c r="P247" s="11">
        <f>(O247/100)*I247</f>
        <v>0</v>
      </c>
      <c r="Q247" s="11">
        <f>K247*(O247/100)</f>
        <v>0</v>
      </c>
      <c r="R247" s="11" t="e">
        <f t="shared" si="34"/>
        <v>#DIV/0!</v>
      </c>
      <c r="T247" s="11" t="e">
        <f t="shared" si="42"/>
        <v>#DIV/0!</v>
      </c>
      <c r="U247" t="e">
        <f t="shared" si="35"/>
        <v>#DIV/0!</v>
      </c>
      <c r="Y247" s="11">
        <f>V247*I247</f>
        <v>0</v>
      </c>
      <c r="Z247" s="12">
        <f>W247*I247</f>
        <v>0</v>
      </c>
      <c r="AA247" s="12">
        <f>X247*I247</f>
        <v>0</v>
      </c>
      <c r="AE247" s="12">
        <f t="shared" si="36"/>
        <v>0</v>
      </c>
      <c r="AF247" s="12">
        <f t="shared" si="37"/>
        <v>0</v>
      </c>
      <c r="AG247" s="12">
        <f t="shared" si="38"/>
        <v>0</v>
      </c>
      <c r="AH247" s="12">
        <f t="shared" si="39"/>
        <v>0</v>
      </c>
      <c r="AI247" s="12" t="e">
        <f t="shared" si="40"/>
        <v>#DIV/0!</v>
      </c>
      <c r="AJ247" s="12">
        <f t="shared" si="41"/>
        <v>0</v>
      </c>
      <c r="AK247" s="11" t="e">
        <f>AH247/J247</f>
        <v>#DIV/0!</v>
      </c>
      <c r="AL247" s="11" t="e">
        <f>AG247/J247</f>
        <v>#DIV/0!</v>
      </c>
    </row>
    <row r="248" spans="1:38" x14ac:dyDescent="0.2">
      <c r="M248" s="11">
        <f>(L248/100)*I248</f>
        <v>0</v>
      </c>
      <c r="N248" s="11">
        <f>K248*(L248/100)</f>
        <v>0</v>
      </c>
      <c r="P248" s="11">
        <f>(O248/100)*I248</f>
        <v>0</v>
      </c>
      <c r="Q248" s="11">
        <f>K248*(O248/100)</f>
        <v>0</v>
      </c>
      <c r="R248" s="11" t="e">
        <f t="shared" si="34"/>
        <v>#DIV/0!</v>
      </c>
      <c r="T248" s="11" t="e">
        <f t="shared" si="42"/>
        <v>#DIV/0!</v>
      </c>
      <c r="U248" t="e">
        <f t="shared" si="35"/>
        <v>#DIV/0!</v>
      </c>
      <c r="Y248" s="11">
        <f>V248*I248</f>
        <v>0</v>
      </c>
      <c r="Z248" s="12">
        <f>W248*I248</f>
        <v>0</v>
      </c>
      <c r="AA248" s="12">
        <f>X248*I248</f>
        <v>0</v>
      </c>
      <c r="AE248" s="12">
        <f t="shared" si="36"/>
        <v>0</v>
      </c>
      <c r="AF248" s="12">
        <f t="shared" si="37"/>
        <v>0</v>
      </c>
      <c r="AG248" s="12">
        <f t="shared" si="38"/>
        <v>0</v>
      </c>
      <c r="AH248" s="12">
        <f t="shared" si="39"/>
        <v>0</v>
      </c>
      <c r="AI248" s="12" t="e">
        <f t="shared" si="40"/>
        <v>#DIV/0!</v>
      </c>
      <c r="AJ248" s="12">
        <f t="shared" si="41"/>
        <v>0</v>
      </c>
      <c r="AK248" s="11" t="e">
        <f>AH248/J248</f>
        <v>#DIV/0!</v>
      </c>
      <c r="AL248" s="11" t="e">
        <f>AG248/J248</f>
        <v>#DIV/0!</v>
      </c>
    </row>
    <row r="249" spans="1:38" x14ac:dyDescent="0.2">
      <c r="M249" s="11">
        <f>(L249/100)*I249</f>
        <v>0</v>
      </c>
      <c r="N249" s="11">
        <f>K249*(L249/100)</f>
        <v>0</v>
      </c>
      <c r="P249" s="11">
        <f>(O249/100)*I249</f>
        <v>0</v>
      </c>
      <c r="Q249" s="11">
        <f>K249*(O249/100)</f>
        <v>0</v>
      </c>
      <c r="R249" s="11" t="e">
        <f t="shared" si="34"/>
        <v>#DIV/0!</v>
      </c>
      <c r="T249" s="11" t="e">
        <f t="shared" si="42"/>
        <v>#DIV/0!</v>
      </c>
      <c r="U249" t="e">
        <f t="shared" si="35"/>
        <v>#DIV/0!</v>
      </c>
      <c r="Y249" s="11">
        <f>V249*I249</f>
        <v>0</v>
      </c>
      <c r="Z249" s="12">
        <f>W249*I249</f>
        <v>0</v>
      </c>
      <c r="AA249" s="12">
        <f>X249*I249</f>
        <v>0</v>
      </c>
      <c r="AE249" s="12">
        <f t="shared" si="36"/>
        <v>0</v>
      </c>
      <c r="AF249" s="12">
        <f t="shared" si="37"/>
        <v>0</v>
      </c>
      <c r="AG249" s="12">
        <f t="shared" si="38"/>
        <v>0</v>
      </c>
      <c r="AH249" s="12">
        <f t="shared" si="39"/>
        <v>0</v>
      </c>
      <c r="AI249" s="12" t="e">
        <f t="shared" si="40"/>
        <v>#DIV/0!</v>
      </c>
      <c r="AJ249" s="12">
        <f t="shared" si="41"/>
        <v>0</v>
      </c>
      <c r="AK249" s="11" t="e">
        <f>AH249/J249</f>
        <v>#DIV/0!</v>
      </c>
      <c r="AL249" s="11" t="e">
        <f>AG249/J249</f>
        <v>#DIV/0!</v>
      </c>
    </row>
    <row r="250" spans="1:38" x14ac:dyDescent="0.2">
      <c r="M250" s="11">
        <f>(L250/100)*I250</f>
        <v>0</v>
      </c>
      <c r="N250" s="11">
        <f>K250*(L250/100)</f>
        <v>0</v>
      </c>
      <c r="P250" s="11">
        <f>(O250/100)*I250</f>
        <v>0</v>
      </c>
      <c r="Q250" s="11">
        <f>K250*(O250/100)</f>
        <v>0</v>
      </c>
      <c r="R250" s="11" t="e">
        <f t="shared" si="34"/>
        <v>#DIV/0!</v>
      </c>
      <c r="T250" s="11" t="e">
        <f t="shared" si="42"/>
        <v>#DIV/0!</v>
      </c>
      <c r="U250" t="e">
        <f t="shared" si="35"/>
        <v>#DIV/0!</v>
      </c>
      <c r="Y250" s="11">
        <f>V250*I250</f>
        <v>0</v>
      </c>
      <c r="Z250" s="12">
        <f>W250*I250</f>
        <v>0</v>
      </c>
      <c r="AA250" s="12">
        <f>X250*I250</f>
        <v>0</v>
      </c>
      <c r="AE250" s="12">
        <f t="shared" si="36"/>
        <v>0</v>
      </c>
      <c r="AF250" s="12">
        <f t="shared" si="37"/>
        <v>0</v>
      </c>
      <c r="AG250" s="12">
        <f t="shared" si="38"/>
        <v>0</v>
      </c>
      <c r="AH250" s="12">
        <f t="shared" si="39"/>
        <v>0</v>
      </c>
      <c r="AI250" s="12" t="e">
        <f t="shared" si="40"/>
        <v>#DIV/0!</v>
      </c>
      <c r="AJ250" s="12">
        <f t="shared" si="41"/>
        <v>0</v>
      </c>
      <c r="AK250" s="11" t="e">
        <f>AH250/J250</f>
        <v>#DIV/0!</v>
      </c>
      <c r="AL250" s="11" t="e">
        <f>AG250/J250</f>
        <v>#DIV/0!</v>
      </c>
    </row>
    <row r="251" spans="1:38" x14ac:dyDescent="0.2">
      <c r="M251" s="11">
        <f>(L251/100)*I251</f>
        <v>0</v>
      </c>
      <c r="N251" s="11">
        <f>K251*(L251/100)</f>
        <v>0</v>
      </c>
      <c r="P251" s="11">
        <f>(O251/100)*I251</f>
        <v>0</v>
      </c>
      <c r="Q251" s="11">
        <f>K251*(O251/100)</f>
        <v>0</v>
      </c>
      <c r="R251" s="11" t="e">
        <f t="shared" si="34"/>
        <v>#DIV/0!</v>
      </c>
      <c r="T251" s="11" t="e">
        <f t="shared" si="42"/>
        <v>#DIV/0!</v>
      </c>
      <c r="U251" t="e">
        <f t="shared" si="35"/>
        <v>#DIV/0!</v>
      </c>
      <c r="Y251" s="11">
        <f>V251*I251</f>
        <v>0</v>
      </c>
      <c r="Z251" s="12">
        <f>W251*I251</f>
        <v>0</v>
      </c>
      <c r="AA251" s="12">
        <f>X251*I251</f>
        <v>0</v>
      </c>
      <c r="AE251" s="12">
        <f t="shared" si="36"/>
        <v>0</v>
      </c>
      <c r="AF251" s="12">
        <f t="shared" si="37"/>
        <v>0</v>
      </c>
      <c r="AG251" s="12">
        <f t="shared" si="38"/>
        <v>0</v>
      </c>
      <c r="AH251" s="12">
        <f t="shared" si="39"/>
        <v>0</v>
      </c>
      <c r="AI251" s="12" t="e">
        <f t="shared" si="40"/>
        <v>#DIV/0!</v>
      </c>
      <c r="AJ251" s="12">
        <f t="shared" si="41"/>
        <v>0</v>
      </c>
      <c r="AK251" s="11" t="e">
        <f>AH251/J251</f>
        <v>#DIV/0!</v>
      </c>
      <c r="AL251" s="11" t="e">
        <f>AG251/J251</f>
        <v>#DIV/0!</v>
      </c>
    </row>
    <row r="252" spans="1:38" x14ac:dyDescent="0.2">
      <c r="M252" s="11">
        <f>(L252/100)*I252</f>
        <v>0</v>
      </c>
      <c r="N252" s="11">
        <f>K252*(L252/100)</f>
        <v>0</v>
      </c>
      <c r="P252" s="11">
        <f>(O252/100)*I252</f>
        <v>0</v>
      </c>
      <c r="Q252" s="11">
        <f>K252*(O252/100)</f>
        <v>0</v>
      </c>
      <c r="R252" s="11" t="e">
        <f t="shared" si="34"/>
        <v>#DIV/0!</v>
      </c>
      <c r="T252" s="11" t="e">
        <f t="shared" si="42"/>
        <v>#DIV/0!</v>
      </c>
      <c r="U252" t="e">
        <f t="shared" si="35"/>
        <v>#DIV/0!</v>
      </c>
      <c r="Y252" s="11">
        <f>V252*I252</f>
        <v>0</v>
      </c>
      <c r="Z252" s="12">
        <f>W252*I252</f>
        <v>0</v>
      </c>
      <c r="AA252" s="12">
        <f>X252*I252</f>
        <v>0</v>
      </c>
      <c r="AE252" s="12">
        <f t="shared" si="36"/>
        <v>0</v>
      </c>
      <c r="AF252" s="12">
        <f t="shared" si="37"/>
        <v>0</v>
      </c>
      <c r="AG252" s="12">
        <f t="shared" si="38"/>
        <v>0</v>
      </c>
      <c r="AH252" s="12">
        <f t="shared" si="39"/>
        <v>0</v>
      </c>
      <c r="AI252" s="12" t="e">
        <f t="shared" si="40"/>
        <v>#DIV/0!</v>
      </c>
      <c r="AJ252" s="12">
        <f t="shared" si="41"/>
        <v>0</v>
      </c>
      <c r="AK252" s="11" t="e">
        <f>AH252/J252</f>
        <v>#DIV/0!</v>
      </c>
      <c r="AL252" s="11" t="e">
        <f>AG252/J252</f>
        <v>#DIV/0!</v>
      </c>
    </row>
    <row r="253" spans="1:38" x14ac:dyDescent="0.2">
      <c r="M253" s="11">
        <f>(L253/100)*I253</f>
        <v>0</v>
      </c>
      <c r="N253" s="11">
        <f>K253*(L253/100)</f>
        <v>0</v>
      </c>
      <c r="P253" s="11">
        <f>(O253/100)*I253</f>
        <v>0</v>
      </c>
      <c r="Q253" s="11">
        <f>K253*(O253/100)</f>
        <v>0</v>
      </c>
      <c r="R253" s="11" t="e">
        <f t="shared" si="34"/>
        <v>#DIV/0!</v>
      </c>
      <c r="T253" s="11" t="e">
        <f t="shared" si="42"/>
        <v>#DIV/0!</v>
      </c>
      <c r="U253" t="e">
        <f t="shared" si="35"/>
        <v>#DIV/0!</v>
      </c>
      <c r="Y253" s="11">
        <f>V253*I253</f>
        <v>0</v>
      </c>
      <c r="Z253" s="12">
        <f>W253*I253</f>
        <v>0</v>
      </c>
      <c r="AA253" s="12">
        <f>X253*I253</f>
        <v>0</v>
      </c>
      <c r="AE253" s="12">
        <f t="shared" si="36"/>
        <v>0</v>
      </c>
      <c r="AF253" s="12">
        <f t="shared" si="37"/>
        <v>0</v>
      </c>
      <c r="AG253" s="12">
        <f t="shared" si="38"/>
        <v>0</v>
      </c>
      <c r="AH253" s="12">
        <f t="shared" si="39"/>
        <v>0</v>
      </c>
      <c r="AI253" s="12" t="e">
        <f t="shared" si="40"/>
        <v>#DIV/0!</v>
      </c>
      <c r="AJ253" s="12">
        <f t="shared" si="41"/>
        <v>0</v>
      </c>
      <c r="AK253" s="11" t="e">
        <f>AH253/J253</f>
        <v>#DIV/0!</v>
      </c>
      <c r="AL253" s="11" t="e">
        <f>AG253/J253</f>
        <v>#DIV/0!</v>
      </c>
    </row>
    <row r="254" spans="1:38" x14ac:dyDescent="0.2">
      <c r="M254" s="11">
        <f>(L254/100)*I254</f>
        <v>0</v>
      </c>
      <c r="N254" s="11">
        <f>K254*(L254/100)</f>
        <v>0</v>
      </c>
      <c r="P254" s="11">
        <f>(O254/100)*I254</f>
        <v>0</v>
      </c>
      <c r="Q254" s="11">
        <f>K254*(O254/100)</f>
        <v>0</v>
      </c>
      <c r="R254" s="11" t="e">
        <f t="shared" si="34"/>
        <v>#DIV/0!</v>
      </c>
      <c r="T254" s="11" t="e">
        <f t="shared" si="42"/>
        <v>#DIV/0!</v>
      </c>
      <c r="U254" t="e">
        <f t="shared" si="35"/>
        <v>#DIV/0!</v>
      </c>
      <c r="Y254" s="11">
        <f>V254*I254</f>
        <v>0</v>
      </c>
      <c r="Z254" s="12">
        <f>W254*I254</f>
        <v>0</v>
      </c>
      <c r="AA254" s="12">
        <f>X254*I254</f>
        <v>0</v>
      </c>
      <c r="AE254" s="12">
        <f t="shared" si="36"/>
        <v>0</v>
      </c>
      <c r="AF254" s="12">
        <f t="shared" si="37"/>
        <v>0</v>
      </c>
      <c r="AG254" s="12">
        <f t="shared" si="38"/>
        <v>0</v>
      </c>
      <c r="AH254" s="12">
        <f t="shared" si="39"/>
        <v>0</v>
      </c>
      <c r="AI254" s="12" t="e">
        <f t="shared" si="40"/>
        <v>#DIV/0!</v>
      </c>
      <c r="AJ254" s="12">
        <f t="shared" si="41"/>
        <v>0</v>
      </c>
      <c r="AK254" s="11" t="e">
        <f>AH254/J254</f>
        <v>#DIV/0!</v>
      </c>
      <c r="AL254" s="11" t="e">
        <f>AG254/J254</f>
        <v>#DIV/0!</v>
      </c>
    </row>
    <row r="255" spans="1:38" x14ac:dyDescent="0.2">
      <c r="M255" s="11">
        <f>(L255/100)*I255</f>
        <v>0</v>
      </c>
      <c r="N255" s="11">
        <f>K255*(L255/100)</f>
        <v>0</v>
      </c>
      <c r="P255" s="11">
        <f>(O255/100)*I255</f>
        <v>0</v>
      </c>
      <c r="Q255" s="11">
        <f>K255*(O255/100)</f>
        <v>0</v>
      </c>
      <c r="R255" s="11" t="e">
        <f t="shared" si="34"/>
        <v>#DIV/0!</v>
      </c>
      <c r="T255" s="11" t="e">
        <f t="shared" si="42"/>
        <v>#DIV/0!</v>
      </c>
      <c r="U255" t="e">
        <f t="shared" si="35"/>
        <v>#DIV/0!</v>
      </c>
      <c r="Y255" s="11">
        <f>V255*I255</f>
        <v>0</v>
      </c>
      <c r="Z255" s="12">
        <f>W255*I255</f>
        <v>0</v>
      </c>
      <c r="AA255" s="12">
        <f>X255*I255</f>
        <v>0</v>
      </c>
      <c r="AE255" s="12">
        <f t="shared" si="36"/>
        <v>0</v>
      </c>
      <c r="AF255" s="12">
        <f t="shared" si="37"/>
        <v>0</v>
      </c>
      <c r="AG255" s="12">
        <f t="shared" si="38"/>
        <v>0</v>
      </c>
      <c r="AH255" s="12">
        <f t="shared" si="39"/>
        <v>0</v>
      </c>
      <c r="AI255" s="12" t="e">
        <f t="shared" si="40"/>
        <v>#DIV/0!</v>
      </c>
      <c r="AJ255" s="12">
        <f t="shared" si="41"/>
        <v>0</v>
      </c>
      <c r="AK255" s="11" t="e">
        <f>AH255/J255</f>
        <v>#DIV/0!</v>
      </c>
      <c r="AL255" s="11" t="e">
        <f>AG255/J255</f>
        <v>#DIV/0!</v>
      </c>
    </row>
    <row r="256" spans="1:38" x14ac:dyDescent="0.2">
      <c r="A256" t="s">
        <v>45</v>
      </c>
      <c r="L256" t="s">
        <v>44</v>
      </c>
      <c r="O256" t="s">
        <v>44</v>
      </c>
      <c r="S256" t="s">
        <v>44</v>
      </c>
      <c r="V256" t="s">
        <v>44</v>
      </c>
      <c r="W256" t="s">
        <v>44</v>
      </c>
      <c r="X256" t="s">
        <v>44</v>
      </c>
      <c r="AB256" t="s">
        <v>44</v>
      </c>
      <c r="AC256" t="s">
        <v>44</v>
      </c>
      <c r="AD256" t="s">
        <v>44</v>
      </c>
    </row>
  </sheetData>
  <phoneticPr fontId="4" type="noConversion"/>
  <pageMargins left="0.7" right="0.7" top="0.75" bottom="0.75" header="0.3" footer="0.3"/>
  <ignoredErrors>
    <ignoredError sqref="AI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Philip</dc:creator>
  <cp:lastModifiedBy>Bender, Philip</cp:lastModifiedBy>
  <dcterms:created xsi:type="dcterms:W3CDTF">2025-04-04T15:40:10Z</dcterms:created>
  <dcterms:modified xsi:type="dcterms:W3CDTF">2025-05-07T21:51:06Z</dcterms:modified>
</cp:coreProperties>
</file>