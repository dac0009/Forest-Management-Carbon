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My_Work\Fernow\Basal_area\WS2\"/>
    </mc:Choice>
  </mc:AlternateContent>
  <xr:revisionPtr revIDLastSave="0" documentId="13_ncr:1_{03B9640B-5AD2-44D9-919F-E7FDFEFC7F1E}" xr6:coauthVersionLast="45" xr6:coauthVersionMax="45" xr10:uidLastSave="{00000000-0000-0000-0000-000000000000}"/>
  <bookViews>
    <workbookView xWindow="-120" yWindow="-120" windowWidth="29040" windowHeight="17640" tabRatio="786" activeTab="7" xr2:uid="{00000000-000D-0000-FFFF-FFFF00000000}"/>
  </bookViews>
  <sheets>
    <sheet name="sheet desc" sheetId="7" r:id="rId1"/>
    <sheet name="metadata" sheetId="2" r:id="rId2"/>
    <sheet name="ws2a stand &gt;5in" sheetId="1" r:id="rId3"/>
    <sheet name="ws2a plot 1-5in" sheetId="8" r:id="rId4"/>
    <sheet name="ws2a plot" sheetId="4" r:id="rId5"/>
    <sheet name="ws2b stand &gt;5in" sheetId="3" r:id="rId6"/>
    <sheet name="ws2b plot 1-5in" sheetId="9" r:id="rId7"/>
    <sheet name="ws2b plot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225" i="6" l="1"/>
  <c r="G2226" i="6"/>
  <c r="G2227" i="6"/>
  <c r="G2228" i="6"/>
  <c r="G2229" i="6"/>
  <c r="G2230" i="6"/>
  <c r="G2231" i="6"/>
  <c r="G2232" i="6"/>
  <c r="G2233" i="6"/>
  <c r="G2234" i="6"/>
  <c r="G2235" i="6"/>
  <c r="G2236" i="6"/>
  <c r="G2237" i="6"/>
  <c r="G2238" i="6"/>
  <c r="G2239" i="6"/>
  <c r="G2240" i="6"/>
  <c r="G2241" i="6"/>
  <c r="G2242" i="6"/>
  <c r="G2243" i="6"/>
  <c r="G2244" i="6"/>
  <c r="G2245" i="6"/>
  <c r="G2246" i="6"/>
  <c r="G2247" i="6"/>
  <c r="G2248" i="6"/>
  <c r="G2249" i="6"/>
  <c r="G2250" i="6"/>
  <c r="G2251" i="6"/>
  <c r="G2252" i="6"/>
  <c r="G2253" i="6"/>
  <c r="G2254" i="6"/>
  <c r="G2255" i="6"/>
  <c r="G2256" i="6"/>
  <c r="G2257" i="6"/>
  <c r="G2258" i="6"/>
  <c r="G2259" i="6"/>
  <c r="G2260" i="6"/>
  <c r="G2261" i="6"/>
  <c r="G2262" i="6"/>
  <c r="G2263" i="6"/>
  <c r="G2264" i="6"/>
  <c r="G2265" i="6"/>
  <c r="G2266" i="6"/>
  <c r="G2267" i="6"/>
  <c r="G2268" i="6"/>
  <c r="G2269" i="6"/>
  <c r="G2270" i="6"/>
  <c r="G2271" i="6"/>
  <c r="G2272" i="6"/>
  <c r="G2273" i="6"/>
  <c r="G2274" i="6"/>
  <c r="G2275" i="6"/>
  <c r="G2276" i="6"/>
  <c r="G2277" i="6"/>
  <c r="G2278" i="6"/>
  <c r="G2279" i="6"/>
  <c r="G2280" i="6"/>
  <c r="G2281" i="6"/>
  <c r="G2282" i="6"/>
  <c r="G2283" i="6"/>
  <c r="G2284" i="6"/>
  <c r="G2285" i="6"/>
  <c r="G2286" i="6"/>
  <c r="G2287" i="6"/>
  <c r="G2288" i="6"/>
  <c r="G2289" i="6"/>
  <c r="G2290" i="6"/>
  <c r="G2291" i="6"/>
  <c r="G2292" i="6"/>
  <c r="G2293" i="6"/>
  <c r="G2294" i="6"/>
  <c r="G2295" i="6"/>
  <c r="G2296" i="6"/>
  <c r="G2297" i="6"/>
  <c r="G2298" i="6"/>
  <c r="G2299" i="6"/>
  <c r="G2300" i="6"/>
  <c r="G2301" i="6"/>
  <c r="G2302" i="6"/>
  <c r="G2303" i="6"/>
  <c r="G2304" i="6"/>
  <c r="G2305" i="6"/>
  <c r="G2306" i="6"/>
  <c r="G2307" i="6"/>
  <c r="G2308" i="6"/>
  <c r="G2309" i="6"/>
  <c r="G2310" i="6"/>
  <c r="G2311" i="6"/>
  <c r="G2312" i="6"/>
  <c r="G2313" i="6"/>
  <c r="G2314" i="6"/>
  <c r="G2315" i="6"/>
  <c r="G2316" i="6"/>
  <c r="G2317" i="6"/>
  <c r="G2318" i="6"/>
  <c r="G2319" i="6"/>
  <c r="G2320" i="6"/>
  <c r="G2321" i="6"/>
  <c r="G2322" i="6"/>
  <c r="G2323" i="6"/>
  <c r="G2324" i="6"/>
  <c r="G2325" i="6"/>
  <c r="G2326" i="6"/>
  <c r="G2327" i="6"/>
  <c r="G2328" i="6"/>
  <c r="G2329" i="6"/>
  <c r="G2330" i="6"/>
  <c r="G2331" i="6"/>
  <c r="G2332" i="6"/>
  <c r="G2333" i="6"/>
  <c r="G2334" i="6"/>
  <c r="G2335" i="6"/>
  <c r="G2336" i="6"/>
  <c r="G2337" i="6"/>
  <c r="G2338" i="6"/>
  <c r="G2339" i="6"/>
  <c r="G2340" i="6"/>
  <c r="G2341" i="6"/>
  <c r="G2342" i="6"/>
  <c r="G2343" i="6"/>
  <c r="G2344" i="6"/>
  <c r="G2345" i="6"/>
  <c r="G2346" i="6"/>
  <c r="G2347" i="6"/>
  <c r="G2348" i="6"/>
  <c r="G2349" i="6"/>
  <c r="G2350" i="6"/>
  <c r="G2351" i="6"/>
  <c r="G2352" i="6"/>
  <c r="G2353" i="6"/>
  <c r="G2354" i="6"/>
  <c r="G2355" i="6"/>
  <c r="G2356" i="6"/>
  <c r="G2357" i="6"/>
  <c r="G2358" i="6"/>
  <c r="G2359" i="6"/>
  <c r="G2360" i="6"/>
  <c r="G2361" i="6"/>
  <c r="G2362" i="6"/>
  <c r="G2363" i="6"/>
  <c r="G2364" i="6"/>
  <c r="G2365" i="6"/>
  <c r="G2366" i="6"/>
  <c r="G2367" i="6"/>
  <c r="G2368" i="6"/>
  <c r="G2369" i="6"/>
  <c r="G2370" i="6"/>
  <c r="G2371" i="6"/>
  <c r="G2372" i="6"/>
  <c r="G2373" i="6"/>
  <c r="G2374" i="6"/>
  <c r="G2375" i="6"/>
  <c r="G2376" i="6"/>
  <c r="G2377" i="6"/>
  <c r="G2378" i="6"/>
  <c r="G2379" i="6"/>
  <c r="G2380" i="6"/>
  <c r="G2381" i="6"/>
  <c r="G2382" i="6"/>
  <c r="G2383" i="6"/>
  <c r="G2384" i="6"/>
  <c r="G2385" i="6"/>
  <c r="G2386" i="6"/>
  <c r="G2387" i="6"/>
  <c r="G2388" i="6"/>
  <c r="G2389" i="6"/>
  <c r="G2390" i="6"/>
  <c r="G2391" i="6"/>
  <c r="G2392" i="6"/>
  <c r="G2393" i="6"/>
  <c r="G2394" i="6"/>
  <c r="G2395" i="6"/>
  <c r="G2396" i="6"/>
  <c r="G2397" i="6"/>
  <c r="G2398" i="6"/>
  <c r="G2399" i="6"/>
  <c r="G2400" i="6"/>
  <c r="G2401" i="6"/>
  <c r="G2402" i="6"/>
  <c r="G2403" i="6"/>
  <c r="G2404" i="6"/>
  <c r="G2405" i="6"/>
  <c r="G2406" i="6"/>
  <c r="G2407" i="6"/>
  <c r="G2408" i="6"/>
  <c r="G2409" i="6"/>
  <c r="G2410" i="6"/>
  <c r="G2411" i="6"/>
  <c r="G2412" i="6"/>
  <c r="G2413" i="6"/>
  <c r="G2414" i="6"/>
  <c r="G2415" i="6"/>
  <c r="G2416" i="6"/>
  <c r="G2417" i="6"/>
  <c r="G2418" i="6"/>
  <c r="G2419" i="6"/>
  <c r="G2420" i="6"/>
  <c r="G2421" i="6"/>
  <c r="G2422" i="6"/>
  <c r="G2423" i="6"/>
  <c r="G2424" i="6"/>
  <c r="G2425" i="6"/>
  <c r="G2426" i="6"/>
  <c r="G2427" i="6"/>
  <c r="G2428" i="6"/>
  <c r="G2429" i="6"/>
  <c r="G2224" i="6"/>
  <c r="G2136" i="6"/>
  <c r="G2137" i="6"/>
  <c r="G2138" i="6"/>
  <c r="G2139" i="6"/>
  <c r="G2140" i="6"/>
  <c r="G2141" i="6"/>
  <c r="G2142" i="6"/>
  <c r="G2143" i="6"/>
  <c r="G2144" i="6"/>
  <c r="G2145" i="6"/>
  <c r="G2146" i="6"/>
  <c r="G2147" i="6"/>
  <c r="G2148" i="6"/>
  <c r="G2149" i="6"/>
  <c r="G2150" i="6"/>
  <c r="G2151" i="6"/>
  <c r="G2152" i="6"/>
  <c r="G2153" i="6"/>
  <c r="G2154" i="6"/>
  <c r="G2155" i="6"/>
  <c r="G2156" i="6"/>
  <c r="G2157" i="6"/>
  <c r="G2158" i="6"/>
  <c r="G2159" i="6"/>
  <c r="G2160" i="6"/>
  <c r="G2161" i="6"/>
  <c r="G2162" i="6"/>
  <c r="G2163" i="6"/>
  <c r="G2164" i="6"/>
  <c r="G2165" i="6"/>
  <c r="G2166" i="6"/>
  <c r="G2167" i="6"/>
  <c r="G2168" i="6"/>
  <c r="G2169" i="6"/>
  <c r="G2170" i="6"/>
  <c r="G2171" i="6"/>
  <c r="G2172" i="6"/>
  <c r="G2173" i="6"/>
  <c r="G2174" i="6"/>
  <c r="G2175" i="6"/>
  <c r="G2176" i="6"/>
  <c r="G2177" i="6"/>
  <c r="G2178" i="6"/>
  <c r="G2179" i="6"/>
  <c r="G2180" i="6"/>
  <c r="G2181" i="6"/>
  <c r="G2182" i="6"/>
  <c r="G2183" i="6"/>
  <c r="G2184" i="6"/>
  <c r="G2185" i="6"/>
  <c r="G2186" i="6"/>
  <c r="G2187" i="6"/>
  <c r="G2188" i="6"/>
  <c r="G2189" i="6"/>
  <c r="G2190" i="6"/>
  <c r="G2191" i="6"/>
  <c r="G2192" i="6"/>
  <c r="G2193" i="6"/>
  <c r="G2194" i="6"/>
  <c r="G2195" i="6"/>
  <c r="G2196" i="6"/>
  <c r="G2197" i="6"/>
  <c r="G2198" i="6"/>
  <c r="G2199" i="6"/>
  <c r="G2200" i="6"/>
  <c r="G2201" i="6"/>
  <c r="G2202" i="6"/>
  <c r="G2203" i="6"/>
  <c r="G2204" i="6"/>
  <c r="G2205" i="6"/>
  <c r="G2206" i="6"/>
  <c r="G2207" i="6"/>
  <c r="G2208" i="6"/>
  <c r="G2209" i="6"/>
  <c r="G2210" i="6"/>
  <c r="G2211" i="6"/>
  <c r="G2212" i="6"/>
  <c r="G2213" i="6"/>
  <c r="G2214" i="6"/>
  <c r="G2215" i="6"/>
  <c r="G2216" i="6"/>
  <c r="G2217" i="6"/>
  <c r="G2218" i="6"/>
  <c r="G2219" i="6"/>
  <c r="G2220" i="6"/>
  <c r="G2221" i="6"/>
  <c r="G2222" i="6"/>
  <c r="G2223" i="6"/>
  <c r="G2135" i="6"/>
  <c r="G1920" i="6"/>
  <c r="G1921" i="6"/>
  <c r="G1922" i="6"/>
  <c r="G1923" i="6"/>
  <c r="G1924" i="6"/>
  <c r="G1925" i="6"/>
  <c r="G1926" i="6"/>
  <c r="G1927" i="6"/>
  <c r="G1928" i="6"/>
  <c r="G1929" i="6"/>
  <c r="G1930" i="6"/>
  <c r="G1931" i="6"/>
  <c r="G1932" i="6"/>
  <c r="G1933" i="6"/>
  <c r="G1934" i="6"/>
  <c r="G1935" i="6"/>
  <c r="G1936" i="6"/>
  <c r="G1937" i="6"/>
  <c r="G1938" i="6"/>
  <c r="G1939" i="6"/>
  <c r="G1940" i="6"/>
  <c r="G1941" i="6"/>
  <c r="G1942" i="6"/>
  <c r="G1943" i="6"/>
  <c r="G1944" i="6"/>
  <c r="G1945" i="6"/>
  <c r="G1946" i="6"/>
  <c r="G1947" i="6"/>
  <c r="G1948" i="6"/>
  <c r="G1949" i="6"/>
  <c r="G1950" i="6"/>
  <c r="G1951" i="6"/>
  <c r="G1952" i="6"/>
  <c r="G1953" i="6"/>
  <c r="G1954" i="6"/>
  <c r="G1955" i="6"/>
  <c r="G1956" i="6"/>
  <c r="G1957" i="6"/>
  <c r="G1958" i="6"/>
  <c r="G1959" i="6"/>
  <c r="G1960" i="6"/>
  <c r="G1961" i="6"/>
  <c r="G1962" i="6"/>
  <c r="G1963" i="6"/>
  <c r="G1964" i="6"/>
  <c r="G1965" i="6"/>
  <c r="G1966" i="6"/>
  <c r="G1967" i="6"/>
  <c r="G1968" i="6"/>
  <c r="G1969" i="6"/>
  <c r="G1970" i="6"/>
  <c r="G1971" i="6"/>
  <c r="G1972" i="6"/>
  <c r="G1973" i="6"/>
  <c r="G1974" i="6"/>
  <c r="G1975" i="6"/>
  <c r="G1976" i="6"/>
  <c r="G1977" i="6"/>
  <c r="G1978" i="6"/>
  <c r="G1979" i="6"/>
  <c r="G1980" i="6"/>
  <c r="G1981" i="6"/>
  <c r="G1982" i="6"/>
  <c r="G1983" i="6"/>
  <c r="G1984" i="6"/>
  <c r="G1985" i="6"/>
  <c r="G1986" i="6"/>
  <c r="G1987" i="6"/>
  <c r="G1988" i="6"/>
  <c r="G1989" i="6"/>
  <c r="G1990" i="6"/>
  <c r="G1991" i="6"/>
  <c r="G1992" i="6"/>
  <c r="G1993" i="6"/>
  <c r="G1994" i="6"/>
  <c r="G1995" i="6"/>
  <c r="G1996" i="6"/>
  <c r="G1997" i="6"/>
  <c r="G1998" i="6"/>
  <c r="G1999" i="6"/>
  <c r="G2000" i="6"/>
  <c r="G2001" i="6"/>
  <c r="G2002" i="6"/>
  <c r="G2003" i="6"/>
  <c r="G2004" i="6"/>
  <c r="G2005" i="6"/>
  <c r="G2006" i="6"/>
  <c r="G2007" i="6"/>
  <c r="G2008" i="6"/>
  <c r="G2009" i="6"/>
  <c r="G2010" i="6"/>
  <c r="G2011" i="6"/>
  <c r="G2012" i="6"/>
  <c r="G2013" i="6"/>
  <c r="G2014" i="6"/>
  <c r="G2015" i="6"/>
  <c r="G2016" i="6"/>
  <c r="G2017" i="6"/>
  <c r="G2018" i="6"/>
  <c r="G2019" i="6"/>
  <c r="G2020" i="6"/>
  <c r="G2021" i="6"/>
  <c r="G2022" i="6"/>
  <c r="G2023" i="6"/>
  <c r="G2024" i="6"/>
  <c r="G2025" i="6"/>
  <c r="G2026" i="6"/>
  <c r="G2027" i="6"/>
  <c r="G2028" i="6"/>
  <c r="G2029" i="6"/>
  <c r="G2030" i="6"/>
  <c r="G2031" i="6"/>
  <c r="G2032" i="6"/>
  <c r="G2033" i="6"/>
  <c r="G2034" i="6"/>
  <c r="G2035" i="6"/>
  <c r="G2036" i="6"/>
  <c r="G2037" i="6"/>
  <c r="G2038" i="6"/>
  <c r="G2039" i="6"/>
  <c r="G2040" i="6"/>
  <c r="G2041" i="6"/>
  <c r="G2042" i="6"/>
  <c r="G2043" i="6"/>
  <c r="G2044" i="6"/>
  <c r="G2045" i="6"/>
  <c r="G2046" i="6"/>
  <c r="G2047" i="6"/>
  <c r="G2048" i="6"/>
  <c r="G2049" i="6"/>
  <c r="G2050" i="6"/>
  <c r="G2051" i="6"/>
  <c r="G2052" i="6"/>
  <c r="G2053" i="6"/>
  <c r="G2054" i="6"/>
  <c r="G2055" i="6"/>
  <c r="G2056" i="6"/>
  <c r="G2057" i="6"/>
  <c r="G2058" i="6"/>
  <c r="G2059" i="6"/>
  <c r="G2060" i="6"/>
  <c r="G2061" i="6"/>
  <c r="G2062" i="6"/>
  <c r="G2063" i="6"/>
  <c r="G2064" i="6"/>
  <c r="G2065" i="6"/>
  <c r="G2066" i="6"/>
  <c r="G2067" i="6"/>
  <c r="G2068" i="6"/>
  <c r="G2069" i="6"/>
  <c r="G2070" i="6"/>
  <c r="G2071" i="6"/>
  <c r="G2072" i="6"/>
  <c r="G2073" i="6"/>
  <c r="G2074" i="6"/>
  <c r="G2075" i="6"/>
  <c r="G2076" i="6"/>
  <c r="G2077" i="6"/>
  <c r="G2078" i="6"/>
  <c r="G2079" i="6"/>
  <c r="G2080" i="6"/>
  <c r="G2081" i="6"/>
  <c r="G2082" i="6"/>
  <c r="G2083" i="6"/>
  <c r="G2084" i="6"/>
  <c r="G2085" i="6"/>
  <c r="G2086" i="6"/>
  <c r="G2087" i="6"/>
  <c r="G2088" i="6"/>
  <c r="G2089" i="6"/>
  <c r="G2090" i="6"/>
  <c r="G2091" i="6"/>
  <c r="G2092" i="6"/>
  <c r="G2093" i="6"/>
  <c r="G2094" i="6"/>
  <c r="G2095" i="6"/>
  <c r="G2096" i="6"/>
  <c r="G2097" i="6"/>
  <c r="G2098" i="6"/>
  <c r="G2099" i="6"/>
  <c r="G2100" i="6"/>
  <c r="G2101" i="6"/>
  <c r="G2102" i="6"/>
  <c r="G2103" i="6"/>
  <c r="G2104" i="6"/>
  <c r="G2105" i="6"/>
  <c r="G2106" i="6"/>
  <c r="G2107" i="6"/>
  <c r="G2108" i="6"/>
  <c r="G2109" i="6"/>
  <c r="G2110" i="6"/>
  <c r="G2111" i="6"/>
  <c r="G2112" i="6"/>
  <c r="G2113" i="6"/>
  <c r="G2114" i="6"/>
  <c r="G2115" i="6"/>
  <c r="G2116" i="6"/>
  <c r="G2117" i="6"/>
  <c r="G2118" i="6"/>
  <c r="G2119" i="6"/>
  <c r="G2120" i="6"/>
  <c r="G2121" i="6"/>
  <c r="G2122" i="6"/>
  <c r="G2123" i="6"/>
  <c r="G2124" i="6"/>
  <c r="G2125" i="6"/>
  <c r="G2126" i="6"/>
  <c r="G2127" i="6"/>
  <c r="G2128" i="6"/>
  <c r="G2129" i="6"/>
  <c r="G2130" i="6"/>
  <c r="G2131" i="6"/>
  <c r="G2132" i="6"/>
  <c r="G2133" i="6"/>
  <c r="G2134" i="6"/>
  <c r="G1919" i="6"/>
  <c r="G2766" i="4"/>
  <c r="G2767" i="4"/>
  <c r="G2768" i="4"/>
  <c r="G2769" i="4"/>
  <c r="G2770" i="4"/>
  <c r="G2771" i="4"/>
  <c r="G2772" i="4"/>
  <c r="G2773" i="4"/>
  <c r="G2774" i="4"/>
  <c r="G2775" i="4"/>
  <c r="G2776" i="4"/>
  <c r="G2777" i="4"/>
  <c r="G2778" i="4"/>
  <c r="G2779" i="4"/>
  <c r="G2780" i="4"/>
  <c r="G2781" i="4"/>
  <c r="G2782" i="4"/>
  <c r="G2783" i="4"/>
  <c r="G2784" i="4"/>
  <c r="G2785" i="4"/>
  <c r="G2786" i="4"/>
  <c r="G2787" i="4"/>
  <c r="G2788" i="4"/>
  <c r="G2789" i="4"/>
  <c r="G2790" i="4"/>
  <c r="G2791" i="4"/>
  <c r="G2792" i="4"/>
  <c r="G2793" i="4"/>
  <c r="G2794" i="4"/>
  <c r="G2795" i="4"/>
  <c r="G2796" i="4"/>
  <c r="G2797" i="4"/>
  <c r="G2798" i="4"/>
  <c r="G2799" i="4"/>
  <c r="G2800" i="4"/>
  <c r="G2801" i="4"/>
  <c r="G2802" i="4"/>
  <c r="G2803" i="4"/>
  <c r="G2804" i="4"/>
  <c r="G2805" i="4"/>
  <c r="G2806" i="4"/>
  <c r="G2807" i="4"/>
  <c r="G2808" i="4"/>
  <c r="G2809" i="4"/>
  <c r="G2810" i="4"/>
  <c r="G2811" i="4"/>
  <c r="G2812" i="4"/>
  <c r="G2813" i="4"/>
  <c r="G2814" i="4"/>
  <c r="G2815" i="4"/>
  <c r="G2816" i="4"/>
  <c r="G2817" i="4"/>
  <c r="G2818" i="4"/>
  <c r="G2819" i="4"/>
  <c r="G2820" i="4"/>
  <c r="G2821" i="4"/>
  <c r="G2822" i="4"/>
  <c r="G2823" i="4"/>
  <c r="G2824" i="4"/>
  <c r="G2825" i="4"/>
  <c r="G2826" i="4"/>
  <c r="G2827" i="4"/>
  <c r="G2828" i="4"/>
  <c r="G2829" i="4"/>
  <c r="G2830" i="4"/>
  <c r="G2831" i="4"/>
  <c r="G2832" i="4"/>
  <c r="G2833" i="4"/>
  <c r="G2834" i="4"/>
  <c r="G2835" i="4"/>
  <c r="G2836" i="4"/>
  <c r="G2837" i="4"/>
  <c r="G2838" i="4"/>
  <c r="G2839" i="4"/>
  <c r="G2840" i="4"/>
  <c r="G2841" i="4"/>
  <c r="G2842" i="4"/>
  <c r="G2843" i="4"/>
  <c r="G2844" i="4"/>
  <c r="G2845" i="4"/>
  <c r="G2846" i="4"/>
  <c r="G2847" i="4"/>
  <c r="G2848" i="4"/>
  <c r="G2849" i="4"/>
  <c r="G2850" i="4"/>
  <c r="G2851" i="4"/>
  <c r="G2852" i="4"/>
  <c r="G2853" i="4"/>
  <c r="G2854" i="4"/>
  <c r="G2855" i="4"/>
  <c r="G2856" i="4"/>
  <c r="G2857" i="4"/>
  <c r="G2858" i="4"/>
  <c r="G2859" i="4"/>
  <c r="G2860" i="4"/>
  <c r="G2861" i="4"/>
  <c r="G2862" i="4"/>
  <c r="G2863" i="4"/>
  <c r="G2864" i="4"/>
  <c r="G2865" i="4"/>
  <c r="G2866" i="4"/>
  <c r="G2867" i="4"/>
  <c r="G2868" i="4"/>
  <c r="G2869" i="4"/>
  <c r="G2870" i="4"/>
  <c r="G2871" i="4"/>
  <c r="G2872" i="4"/>
  <c r="G2873" i="4"/>
  <c r="G2874" i="4"/>
  <c r="G2875" i="4"/>
  <c r="G2876" i="4"/>
  <c r="G2877" i="4"/>
  <c r="G2878" i="4"/>
  <c r="G2879" i="4"/>
  <c r="G2880" i="4"/>
  <c r="G2881" i="4"/>
  <c r="G2882" i="4"/>
  <c r="G2883" i="4"/>
  <c r="G2884" i="4"/>
  <c r="G2885" i="4"/>
  <c r="G2886" i="4"/>
  <c r="G2887" i="4"/>
  <c r="G2888" i="4"/>
  <c r="G2889" i="4"/>
  <c r="G2890" i="4"/>
  <c r="G2891" i="4"/>
  <c r="G2892" i="4"/>
  <c r="G2893" i="4"/>
  <c r="G2894" i="4"/>
  <c r="G2895" i="4"/>
  <c r="G2896" i="4"/>
  <c r="G2897" i="4"/>
  <c r="G2898" i="4"/>
  <c r="G2899" i="4"/>
  <c r="G2900" i="4"/>
  <c r="G2901" i="4"/>
  <c r="G2902" i="4"/>
  <c r="G2903" i="4"/>
  <c r="G2904" i="4"/>
  <c r="G2905" i="4"/>
  <c r="G2906" i="4"/>
  <c r="G2907" i="4"/>
  <c r="G2908" i="4"/>
  <c r="G2909" i="4"/>
  <c r="G2910" i="4"/>
  <c r="G2911" i="4"/>
  <c r="G2912" i="4"/>
  <c r="G2913" i="4"/>
  <c r="G2914" i="4"/>
  <c r="G2915" i="4"/>
  <c r="G2916" i="4"/>
  <c r="G2917" i="4"/>
  <c r="G2918" i="4"/>
  <c r="G2919" i="4"/>
  <c r="G2920" i="4"/>
  <c r="G2921" i="4"/>
  <c r="G2922" i="4"/>
  <c r="G2923" i="4"/>
  <c r="G2924" i="4"/>
  <c r="G2925" i="4"/>
  <c r="G2926" i="4"/>
  <c r="G2927" i="4"/>
  <c r="G2928" i="4"/>
  <c r="G2929" i="4"/>
  <c r="G2930" i="4"/>
  <c r="G2931" i="4"/>
  <c r="G2932" i="4"/>
  <c r="G2933" i="4"/>
  <c r="G2934" i="4"/>
  <c r="G2935" i="4"/>
  <c r="G2936" i="4"/>
  <c r="G2937" i="4"/>
  <c r="G2938" i="4"/>
  <c r="G2939" i="4"/>
  <c r="G2940" i="4"/>
  <c r="G2941" i="4"/>
  <c r="G2942" i="4"/>
  <c r="G2943" i="4"/>
  <c r="G2944" i="4"/>
  <c r="G2945" i="4"/>
  <c r="G2946" i="4"/>
  <c r="G2947" i="4"/>
  <c r="G2948" i="4"/>
  <c r="G2949" i="4"/>
  <c r="G2950" i="4"/>
  <c r="G2951" i="4"/>
  <c r="G2952" i="4"/>
  <c r="G2953" i="4"/>
  <c r="G2954" i="4"/>
  <c r="G2955" i="4"/>
  <c r="G2956" i="4"/>
  <c r="G2957" i="4"/>
  <c r="G2958" i="4"/>
  <c r="G2959" i="4"/>
  <c r="G2960" i="4"/>
  <c r="G2961" i="4"/>
  <c r="G2962" i="4"/>
  <c r="G2963" i="4"/>
  <c r="G2964" i="4"/>
  <c r="G2965" i="4"/>
  <c r="G2966" i="4"/>
  <c r="G2967" i="4"/>
  <c r="G2968" i="4"/>
  <c r="G2969" i="4"/>
  <c r="G2970" i="4"/>
  <c r="G2971" i="4"/>
  <c r="G2972" i="4"/>
  <c r="G2973" i="4"/>
  <c r="G2974" i="4"/>
  <c r="G2975" i="4"/>
  <c r="G2976" i="4"/>
  <c r="G2977" i="4"/>
  <c r="G2978" i="4"/>
  <c r="G2979" i="4"/>
  <c r="G2980" i="4"/>
  <c r="G2981" i="4"/>
  <c r="G2982" i="4"/>
  <c r="G2983" i="4"/>
  <c r="G2984" i="4"/>
  <c r="G2985" i="4"/>
  <c r="G2986" i="4"/>
  <c r="G2987" i="4"/>
  <c r="G2988" i="4"/>
  <c r="G2989" i="4"/>
  <c r="G2990" i="4"/>
  <c r="G2991" i="4"/>
  <c r="G2992" i="4"/>
  <c r="G2993" i="4"/>
  <c r="G2994" i="4"/>
  <c r="G2995" i="4"/>
  <c r="G2996" i="4"/>
  <c r="G2997" i="4"/>
  <c r="G2998" i="4"/>
  <c r="G2999" i="4"/>
  <c r="G3000" i="4"/>
  <c r="G3001" i="4"/>
  <c r="G3002" i="4"/>
  <c r="G3003" i="4"/>
  <c r="G3004" i="4"/>
  <c r="G3005" i="4"/>
  <c r="G3006" i="4"/>
  <c r="G3007" i="4"/>
  <c r="G3008" i="4"/>
  <c r="G3009" i="4"/>
  <c r="G3010" i="4"/>
  <c r="G3011" i="4"/>
  <c r="G3012" i="4"/>
  <c r="G3013" i="4"/>
  <c r="G3014" i="4"/>
  <c r="G3015" i="4"/>
  <c r="G3016" i="4"/>
  <c r="G3017" i="4"/>
  <c r="G3018" i="4"/>
  <c r="G3019" i="4"/>
  <c r="G3020" i="4"/>
  <c r="G3021" i="4"/>
  <c r="G3022" i="4"/>
  <c r="G3023" i="4"/>
  <c r="G3024" i="4"/>
  <c r="G3025" i="4"/>
  <c r="G3026" i="4"/>
  <c r="G3027" i="4"/>
  <c r="G3028" i="4"/>
  <c r="G3029" i="4"/>
  <c r="G3030" i="4"/>
  <c r="G3031" i="4"/>
  <c r="G3032" i="4"/>
  <c r="G3033" i="4"/>
  <c r="G3034" i="4"/>
  <c r="G3035" i="4"/>
  <c r="G3036" i="4"/>
  <c r="G3037" i="4"/>
  <c r="G3038" i="4"/>
  <c r="G3039" i="4"/>
  <c r="G3040" i="4"/>
  <c r="G3041" i="4"/>
  <c r="G3042" i="4"/>
  <c r="G3043" i="4"/>
  <c r="G3044" i="4"/>
  <c r="G3045" i="4"/>
  <c r="G3046" i="4"/>
  <c r="G3047" i="4"/>
  <c r="G3048" i="4"/>
  <c r="G3049" i="4"/>
  <c r="G3050" i="4"/>
  <c r="G3051" i="4"/>
  <c r="G3052" i="4"/>
  <c r="G3053" i="4"/>
  <c r="G3054" i="4"/>
  <c r="G3055" i="4"/>
  <c r="G3056" i="4"/>
  <c r="G3057" i="4"/>
  <c r="G3058" i="4"/>
  <c r="G3059" i="4"/>
  <c r="G3060" i="4"/>
  <c r="G3061" i="4"/>
  <c r="G3062" i="4"/>
  <c r="G3063" i="4"/>
  <c r="G3064" i="4"/>
  <c r="G3065" i="4"/>
  <c r="G3066" i="4"/>
  <c r="G3067" i="4"/>
  <c r="G3068" i="4"/>
  <c r="G3069" i="4"/>
  <c r="G3070" i="4"/>
  <c r="G3071" i="4"/>
  <c r="G3072" i="4"/>
  <c r="G3073" i="4"/>
  <c r="G3074" i="4"/>
  <c r="G3075" i="4"/>
  <c r="G3076" i="4"/>
  <c r="G3077" i="4"/>
  <c r="G3078" i="4"/>
  <c r="G3079" i="4"/>
  <c r="G3080" i="4"/>
  <c r="G3081" i="4"/>
  <c r="G3082" i="4"/>
  <c r="G3083" i="4"/>
  <c r="G3084" i="4"/>
  <c r="G3085" i="4"/>
  <c r="G3086" i="4"/>
  <c r="G3087" i="4"/>
  <c r="G3088" i="4"/>
  <c r="G3089" i="4"/>
  <c r="G3090" i="4"/>
  <c r="G3091" i="4"/>
  <c r="G3092" i="4"/>
  <c r="G3093" i="4"/>
  <c r="G3094" i="4"/>
  <c r="G3095" i="4"/>
  <c r="G3096" i="4"/>
  <c r="G3097" i="4"/>
  <c r="G3098" i="4"/>
  <c r="G3099" i="4"/>
  <c r="G3100" i="4"/>
  <c r="G3101" i="4"/>
  <c r="G3102" i="4"/>
  <c r="G3103" i="4"/>
  <c r="G3104" i="4"/>
  <c r="G3105" i="4"/>
  <c r="G3106" i="4"/>
  <c r="G3107" i="4"/>
  <c r="G3108" i="4"/>
  <c r="G3109" i="4"/>
  <c r="G3110" i="4"/>
  <c r="G3111" i="4"/>
  <c r="G3112" i="4"/>
  <c r="G3113" i="4"/>
  <c r="G3114" i="4"/>
  <c r="G3115" i="4"/>
  <c r="G3116" i="4"/>
  <c r="G3117" i="4"/>
  <c r="G3118" i="4"/>
  <c r="G3119" i="4"/>
  <c r="G3120" i="4"/>
  <c r="G3121" i="4"/>
  <c r="G3122" i="4"/>
  <c r="G3123" i="4"/>
  <c r="G3124" i="4"/>
  <c r="G3125" i="4"/>
  <c r="G3126" i="4"/>
  <c r="G3127" i="4"/>
  <c r="G3128" i="4"/>
  <c r="G3129" i="4"/>
  <c r="G3130" i="4"/>
  <c r="G3131" i="4"/>
  <c r="G3132" i="4"/>
  <c r="G3133" i="4"/>
  <c r="G3134" i="4"/>
  <c r="G3135" i="4"/>
  <c r="G3136" i="4"/>
  <c r="G3137" i="4"/>
  <c r="G3138" i="4"/>
  <c r="G3139" i="4"/>
  <c r="G3140" i="4"/>
  <c r="G3141" i="4"/>
  <c r="G3142" i="4"/>
  <c r="G3143" i="4"/>
  <c r="G3144" i="4"/>
  <c r="G3145" i="4"/>
  <c r="G3146" i="4"/>
  <c r="G3147" i="4"/>
  <c r="G3148" i="4"/>
  <c r="G3149" i="4"/>
  <c r="G3150" i="4"/>
  <c r="G3151" i="4"/>
  <c r="G3152" i="4"/>
  <c r="G3153" i="4"/>
  <c r="G3154" i="4"/>
  <c r="G3155" i="4"/>
  <c r="G3156" i="4"/>
  <c r="G3157" i="4"/>
  <c r="G3158" i="4"/>
  <c r="G3159" i="4"/>
  <c r="G3160" i="4"/>
  <c r="G3161" i="4"/>
  <c r="G3162" i="4"/>
  <c r="G3163" i="4"/>
  <c r="G3164" i="4"/>
  <c r="G3165" i="4"/>
  <c r="G3166" i="4"/>
  <c r="G3167" i="4"/>
  <c r="G3168" i="4"/>
  <c r="G3169" i="4"/>
  <c r="G3170" i="4"/>
  <c r="G3171" i="4"/>
  <c r="G3172" i="4"/>
  <c r="G3173" i="4"/>
  <c r="G3174" i="4"/>
  <c r="G3175" i="4"/>
  <c r="G3176" i="4"/>
  <c r="G3177" i="4"/>
  <c r="G3178" i="4"/>
  <c r="G3179" i="4"/>
  <c r="G3180" i="4"/>
  <c r="G3181" i="4"/>
  <c r="G3182" i="4"/>
  <c r="G3183" i="4"/>
  <c r="G3184" i="4"/>
  <c r="G3185" i="4"/>
  <c r="G3186" i="4"/>
  <c r="G3187" i="4"/>
  <c r="G3188" i="4"/>
  <c r="G3189" i="4"/>
  <c r="G3190" i="4"/>
  <c r="G3191" i="4"/>
  <c r="G3192" i="4"/>
  <c r="G3193" i="4"/>
  <c r="G3194" i="4"/>
  <c r="G3195" i="4"/>
  <c r="G3196" i="4"/>
  <c r="G3197" i="4"/>
  <c r="G3198" i="4"/>
  <c r="G3199" i="4"/>
  <c r="G3200" i="4"/>
  <c r="G3201" i="4"/>
  <c r="G3202" i="4"/>
  <c r="G3203" i="4"/>
  <c r="G3204" i="4"/>
  <c r="G3205" i="4"/>
  <c r="G3206" i="4"/>
  <c r="G3207" i="4"/>
  <c r="G3208" i="4"/>
  <c r="G3209" i="4"/>
  <c r="G3210" i="4"/>
  <c r="G3211" i="4"/>
  <c r="G3212" i="4"/>
  <c r="G3213" i="4"/>
  <c r="G3214" i="4"/>
  <c r="G3215" i="4"/>
  <c r="G3216" i="4"/>
  <c r="G3217" i="4"/>
  <c r="G3218" i="4"/>
  <c r="G3219" i="4"/>
  <c r="G3220" i="4"/>
  <c r="G3221" i="4"/>
  <c r="G3222" i="4"/>
  <c r="G3223" i="4"/>
  <c r="G3224" i="4"/>
  <c r="G3225" i="4"/>
  <c r="G3226" i="4"/>
  <c r="G3227" i="4"/>
  <c r="G3228" i="4"/>
  <c r="G3229" i="4"/>
  <c r="G3230" i="4"/>
  <c r="G3231" i="4"/>
  <c r="G3232" i="4"/>
  <c r="G3233" i="4"/>
  <c r="G3234" i="4"/>
  <c r="G3235" i="4"/>
  <c r="G3236" i="4"/>
  <c r="G3237" i="4"/>
  <c r="G3238" i="4"/>
  <c r="G3239" i="4"/>
  <c r="G3240" i="4"/>
  <c r="G3241" i="4"/>
  <c r="G3242" i="4"/>
  <c r="G3243" i="4"/>
  <c r="G3244" i="4"/>
  <c r="G3245" i="4"/>
  <c r="G3246" i="4"/>
  <c r="G3247" i="4"/>
  <c r="G3248" i="4"/>
  <c r="G3249" i="4"/>
  <c r="G3250" i="4"/>
  <c r="G3251" i="4"/>
  <c r="G3252" i="4"/>
  <c r="G3253" i="4"/>
  <c r="G3254" i="4"/>
  <c r="G3255" i="4"/>
  <c r="G3256" i="4"/>
  <c r="G3257" i="4"/>
  <c r="G3258" i="4"/>
  <c r="G3259" i="4"/>
  <c r="G3260" i="4"/>
  <c r="G3261" i="4"/>
  <c r="G3262" i="4"/>
  <c r="G3263" i="4"/>
  <c r="G3264" i="4"/>
  <c r="G3265" i="4"/>
  <c r="G3266" i="4"/>
  <c r="G3267" i="4"/>
  <c r="G3268" i="4"/>
  <c r="G3269" i="4"/>
  <c r="G3270" i="4"/>
  <c r="G3271" i="4"/>
  <c r="G3272" i="4"/>
  <c r="G3273" i="4"/>
  <c r="G3274" i="4"/>
  <c r="G3275" i="4"/>
  <c r="G3276" i="4"/>
  <c r="G3277" i="4"/>
  <c r="G3278" i="4"/>
  <c r="G3279" i="4"/>
  <c r="G3280" i="4"/>
  <c r="G3281" i="4"/>
  <c r="G3282" i="4"/>
  <c r="G3283" i="4"/>
  <c r="G3284" i="4"/>
  <c r="G3285" i="4"/>
  <c r="G3286" i="4"/>
  <c r="G3287" i="4"/>
  <c r="G3288" i="4"/>
  <c r="G3289" i="4"/>
  <c r="G3290" i="4"/>
  <c r="G3291" i="4"/>
  <c r="G3292" i="4"/>
  <c r="G3293" i="4"/>
  <c r="G3294" i="4"/>
  <c r="G3295" i="4"/>
  <c r="G3296" i="4"/>
  <c r="G3297" i="4"/>
  <c r="G3298" i="4"/>
  <c r="G3299" i="4"/>
  <c r="G3300" i="4"/>
  <c r="G3301" i="4"/>
  <c r="G3302" i="4"/>
  <c r="G3303" i="4"/>
  <c r="G3304" i="4"/>
  <c r="G3305" i="4"/>
  <c r="G3306" i="4"/>
  <c r="G3307" i="4"/>
  <c r="G3308" i="4"/>
  <c r="G3309" i="4"/>
  <c r="G3310" i="4"/>
  <c r="G3311" i="4"/>
  <c r="G3312" i="4"/>
  <c r="G3313" i="4"/>
  <c r="G3314" i="4"/>
  <c r="G3315" i="4"/>
  <c r="G3316" i="4"/>
  <c r="G3317" i="4"/>
  <c r="G3318" i="4"/>
  <c r="G3319" i="4"/>
  <c r="G3320" i="4"/>
  <c r="G3321" i="4"/>
  <c r="G3322" i="4"/>
  <c r="G3323" i="4"/>
  <c r="G3324" i="4"/>
  <c r="G3325" i="4"/>
  <c r="G3326" i="4"/>
  <c r="G3327" i="4"/>
  <c r="G3328" i="4"/>
  <c r="G3329" i="4"/>
  <c r="G3330" i="4"/>
  <c r="G3331" i="4"/>
  <c r="G3332" i="4"/>
  <c r="G3333" i="4"/>
  <c r="G3334" i="4"/>
  <c r="G3335" i="4"/>
  <c r="G3336" i="4"/>
  <c r="G3337" i="4"/>
  <c r="G3338" i="4"/>
  <c r="G3339" i="4"/>
  <c r="G3340" i="4"/>
  <c r="G3341" i="4"/>
  <c r="G3342" i="4"/>
  <c r="G3343" i="4"/>
  <c r="G3344" i="4"/>
  <c r="G3345" i="4"/>
  <c r="G3346" i="4"/>
  <c r="G3347" i="4"/>
  <c r="G3348" i="4"/>
  <c r="G3349" i="4"/>
  <c r="G3350" i="4"/>
  <c r="G3351" i="4"/>
  <c r="G3352" i="4"/>
  <c r="G3353" i="4"/>
  <c r="G3354" i="4"/>
  <c r="G3355" i="4"/>
  <c r="G3356" i="4"/>
  <c r="G3357" i="4"/>
  <c r="G3358" i="4"/>
  <c r="G3359" i="4"/>
  <c r="G3360" i="4"/>
  <c r="G3361" i="4"/>
  <c r="G3362" i="4"/>
  <c r="G3363" i="4"/>
  <c r="G3364" i="4"/>
  <c r="G3365" i="4"/>
  <c r="G3366" i="4"/>
  <c r="G3367" i="4"/>
  <c r="G3368" i="4"/>
  <c r="G3369" i="4"/>
  <c r="G3370" i="4"/>
  <c r="G3371" i="4"/>
  <c r="G3372" i="4"/>
  <c r="G3373" i="4"/>
  <c r="G3374" i="4"/>
  <c r="G3375" i="4"/>
  <c r="G3376" i="4"/>
  <c r="G3377" i="4"/>
  <c r="G3378" i="4"/>
  <c r="G3379" i="4"/>
  <c r="G3380" i="4"/>
  <c r="G3381" i="4"/>
  <c r="G3382" i="4"/>
  <c r="G3383" i="4"/>
  <c r="G3384" i="4"/>
  <c r="G3385" i="4"/>
  <c r="G3386" i="4"/>
  <c r="G3387" i="4"/>
  <c r="G3388" i="4"/>
  <c r="G3389" i="4"/>
  <c r="G3390" i="4"/>
  <c r="G3391" i="4"/>
  <c r="G3392" i="4"/>
  <c r="G3393" i="4"/>
  <c r="G3394" i="4"/>
  <c r="G3395" i="4"/>
  <c r="G3396" i="4"/>
  <c r="G3397" i="4"/>
  <c r="G3398" i="4"/>
  <c r="G3399" i="4"/>
  <c r="G3400" i="4"/>
  <c r="G3401" i="4"/>
  <c r="G3402" i="4"/>
  <c r="G3403" i="4"/>
  <c r="G3404" i="4"/>
  <c r="G3405" i="4"/>
  <c r="G3406" i="4"/>
  <c r="G3407" i="4"/>
  <c r="G3408" i="4"/>
  <c r="G3409" i="4"/>
  <c r="G3410" i="4"/>
  <c r="G3411" i="4"/>
  <c r="G3412" i="4"/>
  <c r="G3413" i="4"/>
  <c r="G3414" i="4"/>
  <c r="G3415" i="4"/>
  <c r="G3416" i="4"/>
  <c r="G3417" i="4"/>
  <c r="G3418" i="4"/>
  <c r="G3419" i="4"/>
  <c r="G3420" i="4"/>
  <c r="G3421" i="4"/>
  <c r="G3422" i="4"/>
  <c r="G3423" i="4"/>
  <c r="G3424" i="4"/>
  <c r="G3425" i="4"/>
  <c r="G3426" i="4"/>
  <c r="G3427" i="4"/>
  <c r="G3428" i="4"/>
  <c r="G3429" i="4"/>
  <c r="G3430" i="4"/>
  <c r="G3431" i="4"/>
  <c r="G3432" i="4"/>
  <c r="G3433" i="4"/>
  <c r="G3434" i="4"/>
  <c r="G3435" i="4"/>
  <c r="G3436" i="4"/>
  <c r="G3437" i="4"/>
  <c r="G3438" i="4"/>
  <c r="G3439" i="4"/>
  <c r="G3440" i="4"/>
  <c r="G3441" i="4"/>
  <c r="G3442" i="4"/>
  <c r="G3443" i="4"/>
  <c r="G3444" i="4"/>
  <c r="G3445" i="4"/>
  <c r="G3446" i="4"/>
  <c r="G3447" i="4"/>
  <c r="G3448" i="4"/>
  <c r="G3449" i="4"/>
  <c r="G3450" i="4"/>
  <c r="G3451" i="4"/>
  <c r="G3452" i="4"/>
  <c r="G3453" i="4"/>
  <c r="G3454" i="4"/>
  <c r="G3455" i="4"/>
  <c r="G3456" i="4"/>
  <c r="G3457" i="4"/>
  <c r="G3458" i="4"/>
  <c r="G3459" i="4"/>
  <c r="G3460" i="4"/>
  <c r="G3461" i="4"/>
  <c r="G3462" i="4"/>
  <c r="G3463" i="4"/>
  <c r="G3464" i="4"/>
  <c r="G3465" i="4"/>
  <c r="G3466" i="4"/>
  <c r="G3467" i="4"/>
  <c r="G3468" i="4"/>
  <c r="G3469" i="4"/>
  <c r="G3470" i="4"/>
  <c r="G3471" i="4"/>
  <c r="G3472" i="4"/>
  <c r="G3473" i="4"/>
  <c r="G3474" i="4"/>
  <c r="G3475" i="4"/>
  <c r="G3476" i="4"/>
  <c r="G3477" i="4"/>
  <c r="G3478" i="4"/>
  <c r="G3479" i="4"/>
  <c r="G3480" i="4"/>
  <c r="G3481" i="4"/>
  <c r="G3482" i="4"/>
  <c r="G3483" i="4"/>
  <c r="G3484" i="4"/>
  <c r="G3485" i="4"/>
  <c r="G3486" i="4"/>
  <c r="G3487" i="4"/>
  <c r="G3488" i="4"/>
  <c r="G3489" i="4"/>
  <c r="G3490" i="4"/>
  <c r="G3491" i="4"/>
  <c r="G3492" i="4"/>
  <c r="G3493" i="4"/>
  <c r="G3494" i="4"/>
  <c r="G3495" i="4"/>
  <c r="G3496" i="4"/>
  <c r="G3497" i="4"/>
  <c r="G3498" i="4"/>
  <c r="G3499" i="4"/>
  <c r="G3500" i="4"/>
  <c r="G3501" i="4"/>
  <c r="G3502" i="4"/>
  <c r="G3503" i="4"/>
  <c r="G3504" i="4"/>
  <c r="G3505" i="4"/>
  <c r="G3506" i="4"/>
  <c r="G3507" i="4"/>
  <c r="G3508" i="4"/>
  <c r="G3509" i="4"/>
  <c r="G3510" i="4"/>
  <c r="G3511" i="4"/>
  <c r="G3512" i="4"/>
  <c r="G3513" i="4"/>
  <c r="G3514" i="4"/>
  <c r="G3515" i="4"/>
  <c r="G3516" i="4"/>
  <c r="G3517" i="4"/>
  <c r="G3518" i="4"/>
  <c r="G3519" i="4"/>
  <c r="G3520" i="4"/>
  <c r="G3521" i="4"/>
  <c r="G3522" i="4"/>
  <c r="G3523" i="4"/>
  <c r="G3524" i="4"/>
  <c r="G3525" i="4"/>
  <c r="G3526" i="4"/>
  <c r="G3527" i="4"/>
  <c r="G3528" i="4"/>
  <c r="G3529" i="4"/>
  <c r="G3530" i="4"/>
  <c r="G3531" i="4"/>
  <c r="G3532" i="4"/>
  <c r="G3533" i="4"/>
  <c r="G3534" i="4"/>
  <c r="G3535" i="4"/>
  <c r="G3536" i="4"/>
  <c r="G3537" i="4"/>
  <c r="G3538" i="4"/>
  <c r="G3539" i="4"/>
  <c r="G3540" i="4"/>
  <c r="G3541" i="4"/>
  <c r="G3542" i="4"/>
  <c r="G3543" i="4"/>
  <c r="G3544" i="4"/>
  <c r="G3545" i="4"/>
  <c r="G3546" i="4"/>
  <c r="G3547" i="4"/>
  <c r="G3548" i="4"/>
  <c r="G3549" i="4"/>
  <c r="G3550" i="4"/>
  <c r="G3551" i="4"/>
  <c r="G3552" i="4"/>
  <c r="G3553" i="4"/>
  <c r="G3554" i="4"/>
  <c r="G3555" i="4"/>
  <c r="G3556" i="4"/>
  <c r="G3557" i="4"/>
  <c r="G3558" i="4"/>
  <c r="G3559" i="4"/>
  <c r="G3560" i="4"/>
  <c r="G3561" i="4"/>
  <c r="G3562" i="4"/>
  <c r="G3563" i="4"/>
  <c r="G3564" i="4"/>
  <c r="G3565" i="4"/>
  <c r="G3566" i="4"/>
  <c r="G3567" i="4"/>
  <c r="G3568" i="4"/>
  <c r="G3569" i="4"/>
  <c r="G3570" i="4"/>
  <c r="G3571" i="4"/>
  <c r="G3572" i="4"/>
  <c r="G3573" i="4"/>
  <c r="G3574" i="4"/>
  <c r="G3575" i="4"/>
  <c r="G3576" i="4"/>
  <c r="G3577" i="4"/>
  <c r="G3578" i="4"/>
  <c r="G3579" i="4"/>
  <c r="G3580" i="4"/>
  <c r="G3581" i="4"/>
  <c r="G3582" i="4"/>
  <c r="G3583" i="4"/>
  <c r="G3584" i="4"/>
  <c r="G3585" i="4"/>
  <c r="G3586" i="4"/>
  <c r="G3587" i="4"/>
  <c r="G3588" i="4"/>
  <c r="G3589" i="4"/>
  <c r="G3590" i="4"/>
  <c r="G3591" i="4"/>
  <c r="G3592" i="4"/>
  <c r="G3593" i="4"/>
  <c r="G3594" i="4"/>
  <c r="G3595" i="4"/>
  <c r="G3596" i="4"/>
  <c r="G3597" i="4"/>
  <c r="G3598" i="4"/>
  <c r="G3599" i="4"/>
  <c r="G3600" i="4"/>
  <c r="G3601" i="4"/>
  <c r="G3602" i="4"/>
  <c r="G3603" i="4"/>
  <c r="G3604" i="4"/>
  <c r="G3605" i="4"/>
  <c r="G3606" i="4"/>
  <c r="G3607" i="4"/>
  <c r="G3608" i="4"/>
  <c r="G3609" i="4"/>
  <c r="G3610" i="4"/>
  <c r="G3611" i="4"/>
  <c r="G3612" i="4"/>
  <c r="G3613" i="4"/>
  <c r="G3614" i="4"/>
  <c r="G3615" i="4"/>
  <c r="G3616" i="4"/>
  <c r="G3617" i="4"/>
  <c r="G3618" i="4"/>
  <c r="G3619" i="4"/>
  <c r="G3620" i="4"/>
  <c r="G3621" i="4"/>
  <c r="G3622" i="4"/>
  <c r="G3623" i="4"/>
  <c r="G3624" i="4"/>
  <c r="G3625" i="4"/>
  <c r="G3626" i="4"/>
  <c r="G3627" i="4"/>
  <c r="G3628" i="4"/>
  <c r="G3629" i="4"/>
  <c r="G3630" i="4"/>
  <c r="G3631" i="4"/>
  <c r="G3632" i="4"/>
  <c r="G3633" i="4"/>
  <c r="G3634" i="4"/>
  <c r="G3635" i="4"/>
  <c r="G3636" i="4"/>
  <c r="G3637" i="4"/>
  <c r="G3638" i="4"/>
  <c r="G3639" i="4"/>
  <c r="G3640" i="4"/>
  <c r="G3641" i="4"/>
  <c r="G3642" i="4"/>
  <c r="G3643" i="4"/>
  <c r="G3644" i="4"/>
  <c r="G3645" i="4"/>
  <c r="G3646" i="4"/>
  <c r="G3647" i="4"/>
  <c r="G3648" i="4"/>
  <c r="G3649" i="4"/>
  <c r="G3650" i="4"/>
  <c r="G3651" i="4"/>
  <c r="G3652" i="4"/>
  <c r="G3653" i="4"/>
  <c r="G3654" i="4"/>
  <c r="G3655" i="4"/>
  <c r="G3656" i="4"/>
  <c r="G3657" i="4"/>
  <c r="G3658" i="4"/>
  <c r="G3659" i="4"/>
  <c r="G3660" i="4"/>
  <c r="G3661" i="4"/>
  <c r="G3662" i="4"/>
  <c r="G3663" i="4"/>
  <c r="G3664" i="4"/>
  <c r="G3665" i="4"/>
  <c r="G3666" i="4"/>
  <c r="G3667" i="4"/>
  <c r="G3668" i="4"/>
  <c r="G3669" i="4"/>
  <c r="G3670" i="4"/>
  <c r="G3671" i="4"/>
  <c r="G3672" i="4"/>
  <c r="G3673" i="4"/>
  <c r="G3674" i="4"/>
  <c r="G3675" i="4"/>
  <c r="G3676" i="4"/>
  <c r="G3677" i="4"/>
  <c r="G3678" i="4"/>
  <c r="G3679" i="4"/>
  <c r="G3680" i="4"/>
  <c r="G3681" i="4"/>
  <c r="G3682" i="4"/>
  <c r="G3683" i="4"/>
  <c r="G3684" i="4"/>
  <c r="G3685" i="4"/>
  <c r="G3686" i="4"/>
  <c r="G3687" i="4"/>
  <c r="G3688" i="4"/>
  <c r="G3689" i="4"/>
  <c r="G3690" i="4"/>
  <c r="G3691" i="4"/>
  <c r="G3692" i="4"/>
  <c r="G3693" i="4"/>
  <c r="G3694" i="4"/>
  <c r="G3695" i="4"/>
  <c r="G3696" i="4"/>
  <c r="G3697" i="4"/>
  <c r="G3698" i="4"/>
  <c r="G3699" i="4"/>
  <c r="G3700" i="4"/>
  <c r="G3701" i="4"/>
  <c r="G3702" i="4"/>
  <c r="G3703" i="4"/>
  <c r="G3704" i="4"/>
  <c r="G3705" i="4"/>
  <c r="G3706" i="4"/>
  <c r="G3707" i="4"/>
  <c r="G3708" i="4"/>
  <c r="G3709" i="4"/>
  <c r="G3710" i="4"/>
  <c r="G3711" i="4"/>
  <c r="G3712" i="4"/>
  <c r="G3713" i="4"/>
  <c r="G3714" i="4"/>
  <c r="G3715" i="4"/>
  <c r="G3716" i="4"/>
  <c r="G3717" i="4"/>
  <c r="G3718" i="4"/>
  <c r="G3719" i="4"/>
  <c r="G3720" i="4"/>
  <c r="G3721" i="4"/>
  <c r="G3722" i="4"/>
  <c r="G3723" i="4"/>
  <c r="G3724" i="4"/>
  <c r="G3725" i="4"/>
  <c r="G3726" i="4"/>
  <c r="G3727" i="4"/>
  <c r="G3728" i="4"/>
  <c r="G3729" i="4"/>
  <c r="G3730" i="4"/>
  <c r="G3731" i="4"/>
  <c r="G3732" i="4"/>
  <c r="G3733" i="4"/>
  <c r="G3734" i="4"/>
  <c r="G3735" i="4"/>
  <c r="G3736" i="4"/>
  <c r="G3737" i="4"/>
  <c r="G3738" i="4"/>
  <c r="G3739" i="4"/>
  <c r="G3740" i="4"/>
  <c r="G3741" i="4"/>
  <c r="G3742" i="4"/>
  <c r="G3743" i="4"/>
  <c r="G3744" i="4"/>
  <c r="G3745" i="4"/>
  <c r="G3746" i="4"/>
  <c r="G3747" i="4"/>
  <c r="G3748" i="4"/>
  <c r="G3749" i="4"/>
  <c r="G3750" i="4"/>
  <c r="G3751" i="4"/>
  <c r="G3752" i="4"/>
  <c r="G3753" i="4"/>
  <c r="G3754" i="4"/>
  <c r="G3755" i="4"/>
  <c r="G3756" i="4"/>
  <c r="G3757" i="4"/>
  <c r="G3758" i="4"/>
  <c r="G3759" i="4"/>
  <c r="G3760" i="4"/>
  <c r="G3761" i="4"/>
  <c r="G3762" i="4"/>
  <c r="G3763" i="4"/>
  <c r="G3764" i="4"/>
  <c r="G3765" i="4"/>
  <c r="G3766" i="4"/>
  <c r="G3767" i="4"/>
  <c r="G3768" i="4"/>
  <c r="G3769" i="4"/>
  <c r="G3770" i="4"/>
  <c r="G3771" i="4"/>
  <c r="G3772" i="4"/>
  <c r="G3773" i="4"/>
  <c r="G3774" i="4"/>
  <c r="G3775" i="4"/>
  <c r="G3776" i="4"/>
  <c r="G3777" i="4"/>
  <c r="G3778" i="4"/>
  <c r="G3779" i="4"/>
  <c r="G3780" i="4"/>
  <c r="G3781" i="4"/>
  <c r="G3782" i="4"/>
  <c r="G3783" i="4"/>
  <c r="G3784" i="4"/>
  <c r="G3785" i="4"/>
  <c r="G3786" i="4"/>
  <c r="G3787" i="4"/>
  <c r="G3788" i="4"/>
  <c r="G3789" i="4"/>
  <c r="G3790" i="4"/>
  <c r="G3791" i="4"/>
  <c r="G3792" i="4"/>
  <c r="G3793" i="4"/>
  <c r="G3794" i="4"/>
  <c r="G3795" i="4"/>
  <c r="G3796" i="4"/>
  <c r="G3797" i="4"/>
  <c r="G3798" i="4"/>
  <c r="G3799" i="4"/>
  <c r="G3800" i="4"/>
  <c r="G3801" i="4"/>
  <c r="G3802" i="4"/>
  <c r="G3803" i="4"/>
  <c r="G3804" i="4"/>
  <c r="G3805" i="4"/>
  <c r="G3806" i="4"/>
  <c r="G3807" i="4"/>
  <c r="G3808" i="4"/>
  <c r="G3809" i="4"/>
  <c r="G3810" i="4"/>
  <c r="G3811" i="4"/>
  <c r="G3812" i="4"/>
  <c r="G3813" i="4"/>
  <c r="G3814" i="4"/>
  <c r="G3815" i="4"/>
  <c r="G3816" i="4"/>
  <c r="G3817" i="4"/>
  <c r="G3818" i="4"/>
  <c r="G3819" i="4"/>
  <c r="G3820" i="4"/>
  <c r="G3821" i="4"/>
  <c r="G3822" i="4"/>
  <c r="G3823" i="4"/>
  <c r="G3824" i="4"/>
  <c r="G3825" i="4"/>
  <c r="G3826" i="4"/>
  <c r="G3827" i="4"/>
  <c r="G3828" i="4"/>
  <c r="G3829" i="4"/>
  <c r="G3830" i="4"/>
  <c r="G3831" i="4"/>
  <c r="G3832" i="4"/>
  <c r="G3833" i="4"/>
  <c r="G3834" i="4"/>
  <c r="G3835" i="4"/>
  <c r="G3836" i="4"/>
  <c r="G3837" i="4"/>
  <c r="G3838" i="4"/>
  <c r="G3839" i="4"/>
  <c r="G3840" i="4"/>
  <c r="G3841" i="4"/>
  <c r="G3842" i="4"/>
  <c r="G3843" i="4"/>
  <c r="G3844" i="4"/>
  <c r="G3845" i="4"/>
  <c r="G3846" i="4"/>
  <c r="G3847" i="4"/>
  <c r="G3848" i="4"/>
  <c r="G3849" i="4"/>
  <c r="G3850" i="4"/>
  <c r="G3851" i="4"/>
  <c r="G3852" i="4"/>
  <c r="G3853" i="4"/>
  <c r="G3854" i="4"/>
  <c r="G3855" i="4"/>
  <c r="G3856" i="4"/>
  <c r="G3857" i="4"/>
  <c r="G3858" i="4"/>
  <c r="G3859" i="4"/>
  <c r="G3860" i="4"/>
  <c r="G3861" i="4"/>
  <c r="G3862" i="4"/>
  <c r="G3863" i="4"/>
  <c r="G3864" i="4"/>
  <c r="G3865" i="4"/>
  <c r="G3866" i="4"/>
  <c r="G3867" i="4"/>
  <c r="G3868" i="4"/>
  <c r="G3869" i="4"/>
  <c r="G3870" i="4"/>
  <c r="G3871" i="4"/>
  <c r="G3872" i="4"/>
  <c r="G3873" i="4"/>
  <c r="G3874" i="4"/>
  <c r="G3875" i="4"/>
  <c r="G3876" i="4"/>
  <c r="G3877" i="4"/>
  <c r="G3878" i="4"/>
  <c r="G3879" i="4"/>
  <c r="G3880" i="4"/>
  <c r="G3881" i="4"/>
  <c r="G3882" i="4"/>
  <c r="G3883" i="4"/>
  <c r="G3884" i="4"/>
  <c r="G3885" i="4"/>
  <c r="G3886" i="4"/>
  <c r="G3887" i="4"/>
  <c r="G3888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084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899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594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443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G2747" i="4"/>
  <c r="G2748" i="4"/>
  <c r="G2749" i="4"/>
  <c r="G2750" i="4"/>
  <c r="G2751" i="4"/>
  <c r="G2752" i="4"/>
  <c r="G2753" i="4"/>
  <c r="G2754" i="4"/>
  <c r="G2755" i="4"/>
  <c r="G2756" i="4"/>
  <c r="G2757" i="4"/>
  <c r="G2758" i="4"/>
  <c r="G2759" i="4"/>
  <c r="G2760" i="4"/>
  <c r="G2761" i="4"/>
  <c r="G2762" i="4"/>
  <c r="G2763" i="4"/>
  <c r="G2764" i="4"/>
  <c r="G2765" i="4"/>
  <c r="G2" i="4"/>
  <c r="H1920" i="6" l="1"/>
  <c r="H1921" i="6"/>
  <c r="H1922" i="6"/>
  <c r="H1923" i="6"/>
  <c r="H1924" i="6"/>
  <c r="H1925" i="6"/>
  <c r="H1926" i="6"/>
  <c r="H1927" i="6"/>
  <c r="H1928" i="6"/>
  <c r="H1929" i="6"/>
  <c r="H1930" i="6"/>
  <c r="H1931" i="6"/>
  <c r="H1932" i="6"/>
  <c r="H1933" i="6"/>
  <c r="H1934" i="6"/>
  <c r="H1935" i="6"/>
  <c r="H1936" i="6"/>
  <c r="H1937" i="6"/>
  <c r="H1938" i="6"/>
  <c r="H1939" i="6"/>
  <c r="H1940" i="6"/>
  <c r="H1941" i="6"/>
  <c r="H1942" i="6"/>
  <c r="H1943" i="6"/>
  <c r="H1944" i="6"/>
  <c r="H1945" i="6"/>
  <c r="H1946" i="6"/>
  <c r="H1947" i="6"/>
  <c r="H1948" i="6"/>
  <c r="H1949" i="6"/>
  <c r="H1950" i="6"/>
  <c r="H1951" i="6"/>
  <c r="H1952" i="6"/>
  <c r="H1953" i="6"/>
  <c r="H1954" i="6"/>
  <c r="H1955" i="6"/>
  <c r="H1956" i="6"/>
  <c r="H1957" i="6"/>
  <c r="H1958" i="6"/>
  <c r="H1959" i="6"/>
  <c r="H1960" i="6"/>
  <c r="H1961" i="6"/>
  <c r="H1962" i="6"/>
  <c r="H1963" i="6"/>
  <c r="H1964" i="6"/>
  <c r="H1965" i="6"/>
  <c r="H1966" i="6"/>
  <c r="H1967" i="6"/>
  <c r="H1968" i="6"/>
  <c r="H1969" i="6"/>
  <c r="H1970" i="6"/>
  <c r="H1971" i="6"/>
  <c r="H1972" i="6"/>
  <c r="H1973" i="6"/>
  <c r="H1974" i="6"/>
  <c r="H1975" i="6"/>
  <c r="H1976" i="6"/>
  <c r="H1977" i="6"/>
  <c r="H1978" i="6"/>
  <c r="H1979" i="6"/>
  <c r="H1980" i="6"/>
  <c r="H1981" i="6"/>
  <c r="H1982" i="6"/>
  <c r="H1983" i="6"/>
  <c r="H1984" i="6"/>
  <c r="H1985" i="6"/>
  <c r="H1986" i="6"/>
  <c r="H1987" i="6"/>
  <c r="H1988" i="6"/>
  <c r="H1989" i="6"/>
  <c r="H1990" i="6"/>
  <c r="H1991" i="6"/>
  <c r="H1992" i="6"/>
  <c r="H1993" i="6"/>
  <c r="H1994" i="6"/>
  <c r="H1995" i="6"/>
  <c r="H1996" i="6"/>
  <c r="H1997" i="6"/>
  <c r="H1998" i="6"/>
  <c r="H1999" i="6"/>
  <c r="H2000" i="6"/>
  <c r="H2001" i="6"/>
  <c r="H2002" i="6"/>
  <c r="H2003" i="6"/>
  <c r="H2004" i="6"/>
  <c r="H2005" i="6"/>
  <c r="H2006" i="6"/>
  <c r="H2007" i="6"/>
  <c r="H2008" i="6"/>
  <c r="H2009" i="6"/>
  <c r="H2010" i="6"/>
  <c r="H2011" i="6"/>
  <c r="H2012" i="6"/>
  <c r="H2013" i="6"/>
  <c r="H2014" i="6"/>
  <c r="H2015" i="6"/>
  <c r="H2016" i="6"/>
  <c r="H2017" i="6"/>
  <c r="H2018" i="6"/>
  <c r="H2019" i="6"/>
  <c r="H2020" i="6"/>
  <c r="H2021" i="6"/>
  <c r="H2022" i="6"/>
  <c r="H2023" i="6"/>
  <c r="H2024" i="6"/>
  <c r="H2025" i="6"/>
  <c r="H2026" i="6"/>
  <c r="H2027" i="6"/>
  <c r="H2028" i="6"/>
  <c r="H2029" i="6"/>
  <c r="H2030" i="6"/>
  <c r="H2031" i="6"/>
  <c r="H2032" i="6"/>
  <c r="H2033" i="6"/>
  <c r="H2034" i="6"/>
  <c r="H2035" i="6"/>
  <c r="H2036" i="6"/>
  <c r="H2037" i="6"/>
  <c r="H2038" i="6"/>
  <c r="H2039" i="6"/>
  <c r="H2040" i="6"/>
  <c r="H2041" i="6"/>
  <c r="H2042" i="6"/>
  <c r="H2043" i="6"/>
  <c r="H2044" i="6"/>
  <c r="H2045" i="6"/>
  <c r="H2046" i="6"/>
  <c r="H2047" i="6"/>
  <c r="H2048" i="6"/>
  <c r="H2049" i="6"/>
  <c r="H2050" i="6"/>
  <c r="H2051" i="6"/>
  <c r="H2052" i="6"/>
  <c r="H2053" i="6"/>
  <c r="H2054" i="6"/>
  <c r="H2055" i="6"/>
  <c r="H2056" i="6"/>
  <c r="H2057" i="6"/>
  <c r="H2058" i="6"/>
  <c r="H2059" i="6"/>
  <c r="H2060" i="6"/>
  <c r="H2061" i="6"/>
  <c r="H2062" i="6"/>
  <c r="H2063" i="6"/>
  <c r="H2064" i="6"/>
  <c r="H2065" i="6"/>
  <c r="H2066" i="6"/>
  <c r="H2067" i="6"/>
  <c r="H2068" i="6"/>
  <c r="H2069" i="6"/>
  <c r="H2070" i="6"/>
  <c r="H2071" i="6"/>
  <c r="H2072" i="6"/>
  <c r="H2073" i="6"/>
  <c r="H2074" i="6"/>
  <c r="H2075" i="6"/>
  <c r="H2076" i="6"/>
  <c r="H2077" i="6"/>
  <c r="H2078" i="6"/>
  <c r="H2079" i="6"/>
  <c r="H2080" i="6"/>
  <c r="H2081" i="6"/>
  <c r="H2082" i="6"/>
  <c r="H2083" i="6"/>
  <c r="H2084" i="6"/>
  <c r="H2085" i="6"/>
  <c r="H2086" i="6"/>
  <c r="H2087" i="6"/>
  <c r="H2088" i="6"/>
  <c r="H2089" i="6"/>
  <c r="H2090" i="6"/>
  <c r="H2091" i="6"/>
  <c r="H2092" i="6"/>
  <c r="H2093" i="6"/>
  <c r="H2094" i="6"/>
  <c r="H2095" i="6"/>
  <c r="H2096" i="6"/>
  <c r="H2097" i="6"/>
  <c r="H2098" i="6"/>
  <c r="H2099" i="6"/>
  <c r="H2100" i="6"/>
  <c r="H2101" i="6"/>
  <c r="H2102" i="6"/>
  <c r="H2103" i="6"/>
  <c r="H2104" i="6"/>
  <c r="H2105" i="6"/>
  <c r="H2106" i="6"/>
  <c r="H2107" i="6"/>
  <c r="H2108" i="6"/>
  <c r="H2109" i="6"/>
  <c r="H2110" i="6"/>
  <c r="H2111" i="6"/>
  <c r="H2112" i="6"/>
  <c r="H2113" i="6"/>
  <c r="H2114" i="6"/>
  <c r="H2115" i="6"/>
  <c r="H2116" i="6"/>
  <c r="H2117" i="6"/>
  <c r="H2118" i="6"/>
  <c r="H2119" i="6"/>
  <c r="H2120" i="6"/>
  <c r="H2121" i="6"/>
  <c r="H2122" i="6"/>
  <c r="H2123" i="6"/>
  <c r="H2124" i="6"/>
  <c r="H2125" i="6"/>
  <c r="H2126" i="6"/>
  <c r="H2127" i="6"/>
  <c r="H2128" i="6"/>
  <c r="H2129" i="6"/>
  <c r="H2130" i="6"/>
  <c r="H2131" i="6"/>
  <c r="H2132" i="6"/>
  <c r="H2133" i="6"/>
  <c r="H2134" i="6"/>
  <c r="G2" i="6"/>
  <c r="H2" i="6"/>
  <c r="G3" i="6"/>
  <c r="H3" i="6" s="1"/>
  <c r="G4" i="6"/>
  <c r="H4" i="6" s="1"/>
  <c r="G5" i="6"/>
  <c r="H5" i="6" s="1"/>
  <c r="G6" i="6"/>
  <c r="H6" i="6"/>
  <c r="G7" i="6"/>
  <c r="H7" i="6"/>
  <c r="G8" i="6"/>
  <c r="H8" i="6" s="1"/>
  <c r="G9" i="6"/>
  <c r="H9" i="6"/>
  <c r="G10" i="6"/>
  <c r="H10" i="6" s="1"/>
  <c r="G11" i="6"/>
  <c r="H11" i="6" s="1"/>
  <c r="G12" i="6"/>
  <c r="H12" i="6" s="1"/>
  <c r="G13" i="6"/>
  <c r="H13" i="6"/>
  <c r="G14" i="6"/>
  <c r="H14" i="6"/>
  <c r="G15" i="6"/>
  <c r="H15" i="6" s="1"/>
  <c r="G16" i="6"/>
  <c r="H16" i="6" s="1"/>
  <c r="G17" i="6"/>
  <c r="H17" i="6"/>
  <c r="G18" i="6"/>
  <c r="H18" i="6" s="1"/>
  <c r="G19" i="6"/>
  <c r="H19" i="6" s="1"/>
  <c r="G20" i="6"/>
  <c r="H20" i="6" s="1"/>
  <c r="G21" i="6"/>
  <c r="H21" i="6"/>
  <c r="G22" i="6"/>
  <c r="H22" i="6"/>
  <c r="G23" i="6"/>
  <c r="H23" i="6" s="1"/>
  <c r="G24" i="6"/>
  <c r="H24" i="6" s="1"/>
  <c r="G25" i="6"/>
  <c r="H25" i="6" s="1"/>
  <c r="G26" i="6"/>
  <c r="H26" i="6" s="1"/>
  <c r="G27" i="6"/>
  <c r="H27" i="6" s="1"/>
  <c r="G28" i="6"/>
  <c r="H28" i="6" s="1"/>
  <c r="G29" i="6"/>
  <c r="H29" i="6"/>
  <c r="G30" i="6"/>
  <c r="H30" i="6" s="1"/>
  <c r="G31" i="6"/>
  <c r="H31" i="6" s="1"/>
  <c r="G32" i="6"/>
  <c r="H32" i="6" s="1"/>
  <c r="G33" i="6"/>
  <c r="H33" i="6" s="1"/>
  <c r="G34" i="6"/>
  <c r="H34" i="6"/>
  <c r="G35" i="6"/>
  <c r="H35" i="6"/>
  <c r="G36" i="6"/>
  <c r="H36" i="6" s="1"/>
  <c r="G37" i="6"/>
  <c r="H37" i="6"/>
  <c r="G38" i="6"/>
  <c r="H38" i="6"/>
  <c r="G39" i="6"/>
  <c r="H39" i="6" s="1"/>
  <c r="G40" i="6"/>
  <c r="H40" i="6" s="1"/>
  <c r="G41" i="6"/>
  <c r="H41" i="6" s="1"/>
  <c r="G42" i="6"/>
  <c r="H42" i="6" s="1"/>
  <c r="G43" i="6"/>
  <c r="H43" i="6" s="1"/>
  <c r="G44" i="6"/>
  <c r="H44" i="6" s="1"/>
  <c r="G45" i="6"/>
  <c r="H45" i="6" s="1"/>
  <c r="G46" i="6"/>
  <c r="H46" i="6" s="1"/>
  <c r="G47" i="6"/>
  <c r="H47" i="6"/>
  <c r="G48" i="6"/>
  <c r="H48" i="6" s="1"/>
  <c r="G49" i="6"/>
  <c r="H49" i="6"/>
  <c r="G50" i="6"/>
  <c r="H50" i="6" s="1"/>
  <c r="G51" i="6"/>
  <c r="H51" i="6" s="1"/>
  <c r="G52" i="6"/>
  <c r="H52" i="6" s="1"/>
  <c r="G53" i="6"/>
  <c r="H53" i="6"/>
  <c r="G54" i="6"/>
  <c r="H54" i="6"/>
  <c r="G55" i="6"/>
  <c r="H55" i="6" s="1"/>
  <c r="G56" i="6"/>
  <c r="H56" i="6" s="1"/>
  <c r="G57" i="6"/>
  <c r="H57" i="6" s="1"/>
  <c r="G58" i="6"/>
  <c r="H58" i="6" s="1"/>
  <c r="G59" i="6"/>
  <c r="H59" i="6" s="1"/>
  <c r="G60" i="6"/>
  <c r="H60" i="6" s="1"/>
  <c r="G61" i="6"/>
  <c r="H61" i="6"/>
  <c r="G62" i="6"/>
  <c r="H62" i="6" s="1"/>
  <c r="G63" i="6"/>
  <c r="H63" i="6"/>
  <c r="G64" i="6"/>
  <c r="H64" i="6" s="1"/>
  <c r="G65" i="6"/>
  <c r="H65" i="6"/>
  <c r="G66" i="6"/>
  <c r="H66" i="6"/>
  <c r="G67" i="6"/>
  <c r="H67" i="6" s="1"/>
  <c r="G68" i="6"/>
  <c r="H68" i="6" s="1"/>
  <c r="G69" i="6"/>
  <c r="H69" i="6"/>
  <c r="G70" i="6"/>
  <c r="H70" i="6" s="1"/>
  <c r="G71" i="6"/>
  <c r="H71" i="6" s="1"/>
  <c r="G72" i="6"/>
  <c r="H72" i="6" s="1"/>
  <c r="G73" i="6"/>
  <c r="H73" i="6"/>
  <c r="G74" i="6"/>
  <c r="H74" i="6" s="1"/>
  <c r="G75" i="6"/>
  <c r="H75" i="6"/>
  <c r="G76" i="6"/>
  <c r="H76" i="6" s="1"/>
  <c r="G77" i="6"/>
  <c r="H77" i="6" s="1"/>
  <c r="G78" i="6"/>
  <c r="H78" i="6"/>
  <c r="G79" i="6"/>
  <c r="H79" i="6"/>
  <c r="G80" i="6"/>
  <c r="H80" i="6" s="1"/>
  <c r="G81" i="6"/>
  <c r="H81" i="6"/>
  <c r="G82" i="6"/>
  <c r="H82" i="6" s="1"/>
  <c r="G83" i="6"/>
  <c r="H83" i="6" s="1"/>
  <c r="G84" i="6"/>
  <c r="H84" i="6" s="1"/>
  <c r="G85" i="6"/>
  <c r="H85" i="6" s="1"/>
  <c r="G86" i="6"/>
  <c r="H86" i="6" s="1"/>
  <c r="G87" i="6"/>
  <c r="H87" i="6" s="1"/>
  <c r="G88" i="6"/>
  <c r="H88" i="6" s="1"/>
  <c r="G89" i="6"/>
  <c r="H89" i="6" s="1"/>
  <c r="G90" i="6"/>
  <c r="H90" i="6" s="1"/>
  <c r="G91" i="6"/>
  <c r="H91" i="6" s="1"/>
  <c r="G92" i="6"/>
  <c r="H92" i="6" s="1"/>
  <c r="G93" i="6"/>
  <c r="H93" i="6"/>
  <c r="G94" i="6"/>
  <c r="H94" i="6" s="1"/>
  <c r="G95" i="6"/>
  <c r="H95" i="6" s="1"/>
  <c r="G96" i="6"/>
  <c r="H96" i="6" s="1"/>
  <c r="G97" i="6"/>
  <c r="H97" i="6" s="1"/>
  <c r="G98" i="6"/>
  <c r="H98" i="6"/>
  <c r="G99" i="6"/>
  <c r="H99" i="6" s="1"/>
  <c r="G100" i="6"/>
  <c r="H100" i="6" s="1"/>
  <c r="G101" i="6"/>
  <c r="H101" i="6" s="1"/>
  <c r="G102" i="6"/>
  <c r="H102" i="6" s="1"/>
  <c r="G103" i="6"/>
  <c r="H103" i="6"/>
  <c r="G104" i="6"/>
  <c r="H104" i="6" s="1"/>
  <c r="G105" i="6"/>
  <c r="H105" i="6" s="1"/>
  <c r="G106" i="6"/>
  <c r="H106" i="6" s="1"/>
  <c r="G107" i="6"/>
  <c r="H107" i="6"/>
  <c r="G108" i="6"/>
  <c r="H108" i="6" s="1"/>
  <c r="G109" i="6"/>
  <c r="H109" i="6"/>
  <c r="G110" i="6"/>
  <c r="H110" i="6"/>
  <c r="G111" i="6"/>
  <c r="H111" i="6" s="1"/>
  <c r="G112" i="6"/>
  <c r="H112" i="6" s="1"/>
  <c r="G113" i="6"/>
  <c r="H113" i="6"/>
  <c r="G114" i="6"/>
  <c r="H114" i="6" s="1"/>
  <c r="G115" i="6"/>
  <c r="H115" i="6" s="1"/>
  <c r="G116" i="6"/>
  <c r="H116" i="6" s="1"/>
  <c r="G117" i="6"/>
  <c r="H117" i="6" s="1"/>
  <c r="G118" i="6"/>
  <c r="H118" i="6" s="1"/>
  <c r="G119" i="6"/>
  <c r="H119" i="6"/>
  <c r="G120" i="6"/>
  <c r="H120" i="6" s="1"/>
  <c r="G121" i="6"/>
  <c r="H121" i="6" s="1"/>
  <c r="G122" i="6"/>
  <c r="H122" i="6" s="1"/>
  <c r="G123" i="6"/>
  <c r="H123" i="6" s="1"/>
  <c r="G124" i="6"/>
  <c r="H124" i="6" s="1"/>
  <c r="G125" i="6"/>
  <c r="H125" i="6"/>
  <c r="G126" i="6"/>
  <c r="H126" i="6" s="1"/>
  <c r="G127" i="6"/>
  <c r="H127" i="6" s="1"/>
  <c r="G128" i="6"/>
  <c r="H128" i="6" s="1"/>
  <c r="G129" i="6"/>
  <c r="H129" i="6" s="1"/>
  <c r="G130" i="6"/>
  <c r="H130" i="6" s="1"/>
  <c r="G131" i="6"/>
  <c r="H131" i="6" s="1"/>
  <c r="G132" i="6"/>
  <c r="H132" i="6"/>
  <c r="G133" i="6"/>
  <c r="H133" i="6" s="1"/>
  <c r="G134" i="6"/>
  <c r="H134" i="6" s="1"/>
  <c r="G135" i="6"/>
  <c r="H135" i="6" s="1"/>
  <c r="G136" i="6"/>
  <c r="H136" i="6"/>
  <c r="G137" i="6"/>
  <c r="H137" i="6" s="1"/>
  <c r="G138" i="6"/>
  <c r="H138" i="6" s="1"/>
  <c r="G139" i="6"/>
  <c r="H139" i="6"/>
  <c r="G140" i="6"/>
  <c r="H140" i="6"/>
  <c r="G141" i="6"/>
  <c r="H141" i="6" s="1"/>
  <c r="G142" i="6"/>
  <c r="H142" i="6" s="1"/>
  <c r="G143" i="6"/>
  <c r="H143" i="6" s="1"/>
  <c r="G144" i="6"/>
  <c r="H144" i="6" s="1"/>
  <c r="G145" i="6"/>
  <c r="H145" i="6" s="1"/>
  <c r="G146" i="6"/>
  <c r="H146" i="6"/>
  <c r="G147" i="6"/>
  <c r="H147" i="6" s="1"/>
  <c r="G148" i="6"/>
  <c r="H148" i="6" s="1"/>
  <c r="G149" i="6"/>
  <c r="H149" i="6" s="1"/>
  <c r="G150" i="6"/>
  <c r="H150" i="6" s="1"/>
  <c r="G151" i="6"/>
  <c r="H151" i="6" s="1"/>
  <c r="G152" i="6"/>
  <c r="H152" i="6" s="1"/>
  <c r="G153" i="6"/>
  <c r="H153" i="6" s="1"/>
  <c r="G154" i="6"/>
  <c r="H154" i="6" s="1"/>
  <c r="G155" i="6"/>
  <c r="H155" i="6" s="1"/>
  <c r="G156" i="6"/>
  <c r="H156" i="6"/>
  <c r="G157" i="6"/>
  <c r="H157" i="6" s="1"/>
  <c r="G158" i="6"/>
  <c r="H158" i="6" s="1"/>
  <c r="G159" i="6"/>
  <c r="H159" i="6" s="1"/>
  <c r="G160" i="6"/>
  <c r="H160" i="6" s="1"/>
  <c r="G161" i="6"/>
  <c r="H161" i="6" s="1"/>
  <c r="G162" i="6"/>
  <c r="H162" i="6" s="1"/>
  <c r="G163" i="6"/>
  <c r="H163" i="6" s="1"/>
  <c r="G164" i="6"/>
  <c r="H164" i="6"/>
  <c r="G165" i="6"/>
  <c r="H165" i="6" s="1"/>
  <c r="G166" i="6"/>
  <c r="H166" i="6" s="1"/>
  <c r="G167" i="6"/>
  <c r="H167" i="6" s="1"/>
  <c r="G168" i="6"/>
  <c r="H168" i="6"/>
  <c r="G169" i="6"/>
  <c r="H169" i="6" s="1"/>
  <c r="G170" i="6"/>
  <c r="H170" i="6"/>
  <c r="G171" i="6"/>
  <c r="H171" i="6" s="1"/>
  <c r="G172" i="6"/>
  <c r="H172" i="6" s="1"/>
  <c r="G173" i="6"/>
  <c r="H173" i="6" s="1"/>
  <c r="G174" i="6"/>
  <c r="H174" i="6" s="1"/>
  <c r="G175" i="6"/>
  <c r="H175" i="6" s="1"/>
  <c r="G176" i="6"/>
  <c r="H176" i="6" s="1"/>
  <c r="G177" i="6"/>
  <c r="H177" i="6" s="1"/>
  <c r="G178" i="6"/>
  <c r="H178" i="6" s="1"/>
  <c r="G179" i="6"/>
  <c r="H179" i="6" s="1"/>
  <c r="G180" i="6"/>
  <c r="H180" i="6"/>
  <c r="G181" i="6"/>
  <c r="H181" i="6" s="1"/>
  <c r="G182" i="6"/>
  <c r="H182" i="6"/>
  <c r="G183" i="6"/>
  <c r="H183" i="6" s="1"/>
  <c r="G184" i="6"/>
  <c r="H184" i="6" s="1"/>
  <c r="G185" i="6"/>
  <c r="H185" i="6" s="1"/>
  <c r="G186" i="6"/>
  <c r="H186" i="6" s="1"/>
  <c r="G187" i="6"/>
  <c r="H187" i="6"/>
  <c r="G188" i="6"/>
  <c r="H188" i="6"/>
  <c r="G189" i="6"/>
  <c r="H189" i="6" s="1"/>
  <c r="G190" i="6"/>
  <c r="H190" i="6" s="1"/>
  <c r="G191" i="6"/>
  <c r="H191" i="6" s="1"/>
  <c r="G192" i="6"/>
  <c r="H192" i="6"/>
  <c r="G193" i="6"/>
  <c r="H193" i="6" s="1"/>
  <c r="G194" i="6"/>
  <c r="H194" i="6" s="1"/>
  <c r="G195" i="6"/>
  <c r="H195" i="6"/>
  <c r="G196" i="6"/>
  <c r="H196" i="6" s="1"/>
  <c r="G197" i="6"/>
  <c r="H197" i="6" s="1"/>
  <c r="G198" i="6"/>
  <c r="H198" i="6" s="1"/>
  <c r="G199" i="6"/>
  <c r="H199" i="6" s="1"/>
  <c r="G200" i="6"/>
  <c r="H200" i="6" s="1"/>
  <c r="G201" i="6"/>
  <c r="H201" i="6" s="1"/>
  <c r="G202" i="6"/>
  <c r="H202" i="6" s="1"/>
  <c r="G203" i="6"/>
  <c r="H203" i="6" s="1"/>
  <c r="G204" i="6"/>
  <c r="H204" i="6" s="1"/>
  <c r="G205" i="6"/>
  <c r="H205" i="6" s="1"/>
  <c r="G206" i="6"/>
  <c r="H206" i="6" s="1"/>
  <c r="G207" i="6"/>
  <c r="H207" i="6" s="1"/>
  <c r="G208" i="6"/>
  <c r="H208" i="6"/>
  <c r="G209" i="6"/>
  <c r="H209" i="6" s="1"/>
  <c r="G210" i="6"/>
  <c r="H210" i="6" s="1"/>
  <c r="G211" i="6"/>
  <c r="H211" i="6"/>
  <c r="G212" i="6"/>
  <c r="H212" i="6" s="1"/>
  <c r="G213" i="6"/>
  <c r="H213" i="6" s="1"/>
  <c r="G214" i="6"/>
  <c r="H214" i="6"/>
  <c r="G215" i="6"/>
  <c r="H215" i="6" s="1"/>
  <c r="G216" i="6"/>
  <c r="H216" i="6"/>
  <c r="G217" i="6"/>
  <c r="H217" i="6" s="1"/>
  <c r="G218" i="6"/>
  <c r="H218" i="6"/>
  <c r="G219" i="6"/>
  <c r="H219" i="6"/>
  <c r="G220" i="6"/>
  <c r="H220" i="6" s="1"/>
  <c r="G221" i="6"/>
  <c r="H221" i="6" s="1"/>
  <c r="G222" i="6"/>
  <c r="H222" i="6" s="1"/>
  <c r="G223" i="6"/>
  <c r="H223" i="6"/>
  <c r="G224" i="6"/>
  <c r="H224" i="6"/>
  <c r="G225" i="6"/>
  <c r="H225" i="6" s="1"/>
  <c r="G226" i="6"/>
  <c r="H226" i="6"/>
  <c r="G227" i="6"/>
  <c r="H227" i="6" s="1"/>
  <c r="G228" i="6"/>
  <c r="H228" i="6" s="1"/>
  <c r="G229" i="6"/>
  <c r="H229" i="6" s="1"/>
  <c r="G230" i="6"/>
  <c r="H230" i="6" s="1"/>
  <c r="G231" i="6"/>
  <c r="H231" i="6" s="1"/>
  <c r="G232" i="6"/>
  <c r="H232" i="6" s="1"/>
  <c r="G233" i="6"/>
  <c r="H233" i="6" s="1"/>
  <c r="G234" i="6"/>
  <c r="H234" i="6" s="1"/>
  <c r="G235" i="6"/>
  <c r="H235" i="6" s="1"/>
  <c r="G236" i="6"/>
  <c r="H236" i="6"/>
  <c r="G237" i="6"/>
  <c r="H237" i="6" s="1"/>
  <c r="G238" i="6"/>
  <c r="H238" i="6" s="1"/>
  <c r="G239" i="6"/>
  <c r="H239" i="6" s="1"/>
  <c r="G240" i="6"/>
  <c r="H240" i="6"/>
  <c r="G241" i="6"/>
  <c r="H241" i="6" s="1"/>
  <c r="G242" i="6"/>
  <c r="H242" i="6"/>
  <c r="G243" i="6"/>
  <c r="H243" i="6" s="1"/>
  <c r="G244" i="6"/>
  <c r="H244" i="6" s="1"/>
  <c r="G245" i="6"/>
  <c r="H245" i="6" s="1"/>
  <c r="G246" i="6"/>
  <c r="H246" i="6" s="1"/>
  <c r="G247" i="6"/>
  <c r="H247" i="6" s="1"/>
  <c r="G248" i="6"/>
  <c r="H248" i="6" s="1"/>
  <c r="G249" i="6"/>
  <c r="H249" i="6" s="1"/>
  <c r="G250" i="6"/>
  <c r="H250" i="6"/>
  <c r="G251" i="6"/>
  <c r="H251" i="6" s="1"/>
  <c r="G252" i="6"/>
  <c r="H252" i="6" s="1"/>
  <c r="G253" i="6"/>
  <c r="H253" i="6" s="1"/>
  <c r="G254" i="6"/>
  <c r="H254" i="6" s="1"/>
  <c r="G255" i="6"/>
  <c r="H255" i="6"/>
  <c r="G256" i="6"/>
  <c r="H256" i="6" s="1"/>
  <c r="G257" i="6"/>
  <c r="H257" i="6" s="1"/>
  <c r="G258" i="6"/>
  <c r="H258" i="6" s="1"/>
  <c r="G259" i="6"/>
  <c r="H259" i="6" s="1"/>
  <c r="G260" i="6"/>
  <c r="H260" i="6" s="1"/>
  <c r="G261" i="6"/>
  <c r="H261" i="6" s="1"/>
  <c r="G262" i="6"/>
  <c r="H262" i="6" s="1"/>
  <c r="G263" i="6"/>
  <c r="H263" i="6" s="1"/>
  <c r="G264" i="6"/>
  <c r="H264" i="6"/>
  <c r="G265" i="6"/>
  <c r="H265" i="6" s="1"/>
  <c r="G266" i="6"/>
  <c r="H266" i="6" s="1"/>
  <c r="G267" i="6"/>
  <c r="H267" i="6"/>
  <c r="G268" i="6"/>
  <c r="H268" i="6" s="1"/>
  <c r="G269" i="6"/>
  <c r="H269" i="6" s="1"/>
  <c r="G270" i="6"/>
  <c r="H270" i="6" s="1"/>
  <c r="G271" i="6"/>
  <c r="H271" i="6" s="1"/>
  <c r="G272" i="6"/>
  <c r="H272" i="6" s="1"/>
  <c r="G273" i="6"/>
  <c r="H273" i="6" s="1"/>
  <c r="G274" i="6"/>
  <c r="H274" i="6" s="1"/>
  <c r="G275" i="6"/>
  <c r="H275" i="6"/>
  <c r="G276" i="6"/>
  <c r="H276" i="6"/>
  <c r="G277" i="6"/>
  <c r="H277" i="6" s="1"/>
  <c r="G278" i="6"/>
  <c r="H278" i="6"/>
  <c r="G279" i="6"/>
  <c r="H279" i="6" s="1"/>
  <c r="G280" i="6"/>
  <c r="H280" i="6"/>
  <c r="G281" i="6"/>
  <c r="H281" i="6" s="1"/>
  <c r="G282" i="6"/>
  <c r="H282" i="6" s="1"/>
  <c r="G283" i="6"/>
  <c r="H283" i="6"/>
  <c r="G284" i="6"/>
  <c r="H284" i="6" s="1"/>
  <c r="G285" i="6"/>
  <c r="H285" i="6" s="1"/>
  <c r="G286" i="6"/>
  <c r="H286" i="6" s="1"/>
  <c r="G287" i="6"/>
  <c r="H287" i="6" s="1"/>
  <c r="G288" i="6"/>
  <c r="H288" i="6"/>
  <c r="G289" i="6"/>
  <c r="H289" i="6" s="1"/>
  <c r="G290" i="6"/>
  <c r="H290" i="6"/>
  <c r="G291" i="6"/>
  <c r="H291" i="6"/>
  <c r="G292" i="6"/>
  <c r="H292" i="6" s="1"/>
  <c r="G293" i="6"/>
  <c r="H293" i="6" s="1"/>
  <c r="G294" i="6"/>
  <c r="H294" i="6" s="1"/>
  <c r="G295" i="6"/>
  <c r="H295" i="6" s="1"/>
  <c r="G296" i="6"/>
  <c r="H296" i="6" s="1"/>
  <c r="G297" i="6"/>
  <c r="H297" i="6" s="1"/>
  <c r="G298" i="6"/>
  <c r="H298" i="6" s="1"/>
  <c r="G299" i="6"/>
  <c r="H299" i="6" s="1"/>
  <c r="G300" i="6"/>
  <c r="H300" i="6" s="1"/>
  <c r="G301" i="6"/>
  <c r="H301" i="6" s="1"/>
  <c r="G302" i="6"/>
  <c r="H302" i="6" s="1"/>
  <c r="G303" i="6"/>
  <c r="H303" i="6" s="1"/>
  <c r="G304" i="6"/>
  <c r="H304" i="6"/>
  <c r="G305" i="6"/>
  <c r="H305" i="6" s="1"/>
  <c r="G306" i="6"/>
  <c r="H306" i="6"/>
  <c r="G307" i="6"/>
  <c r="H307" i="6"/>
  <c r="G308" i="6"/>
  <c r="H308" i="6" s="1"/>
  <c r="G309" i="6"/>
  <c r="H309" i="6" s="1"/>
  <c r="G310" i="6"/>
  <c r="H310" i="6" s="1"/>
  <c r="G311" i="6"/>
  <c r="H311" i="6" s="1"/>
  <c r="G312" i="6"/>
  <c r="H312" i="6"/>
  <c r="G313" i="6"/>
  <c r="H313" i="6" s="1"/>
  <c r="G314" i="6"/>
  <c r="H314" i="6"/>
  <c r="G315" i="6"/>
  <c r="H315" i="6" s="1"/>
  <c r="G316" i="6"/>
  <c r="H316" i="6"/>
  <c r="G317" i="6"/>
  <c r="H317" i="6" s="1"/>
  <c r="G318" i="6"/>
  <c r="H318" i="6" s="1"/>
  <c r="G319" i="6"/>
  <c r="H319" i="6" s="1"/>
  <c r="G320" i="6"/>
  <c r="H320" i="6" s="1"/>
  <c r="G321" i="6"/>
  <c r="H321" i="6" s="1"/>
  <c r="G322" i="6"/>
  <c r="H322" i="6" s="1"/>
  <c r="G323" i="6"/>
  <c r="H323" i="6"/>
  <c r="G324" i="6"/>
  <c r="H324" i="6" s="1"/>
  <c r="G325" i="6"/>
  <c r="H325" i="6" s="1"/>
  <c r="G326" i="6"/>
  <c r="H326" i="6" s="1"/>
  <c r="G327" i="6"/>
  <c r="H327" i="6" s="1"/>
  <c r="G328" i="6"/>
  <c r="H328" i="6" s="1"/>
  <c r="G329" i="6"/>
  <c r="H329" i="6" s="1"/>
  <c r="G330" i="6"/>
  <c r="H330" i="6" s="1"/>
  <c r="G331" i="6"/>
  <c r="H331" i="6" s="1"/>
  <c r="G332" i="6"/>
  <c r="H332" i="6" s="1"/>
  <c r="G333" i="6"/>
  <c r="H333" i="6" s="1"/>
  <c r="G334" i="6"/>
  <c r="H334" i="6" s="1"/>
  <c r="G335" i="6"/>
  <c r="H335" i="6" s="1"/>
  <c r="G336" i="6"/>
  <c r="H336" i="6" s="1"/>
  <c r="G337" i="6"/>
  <c r="H337" i="6" s="1"/>
  <c r="G338" i="6"/>
  <c r="H338" i="6" s="1"/>
  <c r="G339" i="6"/>
  <c r="H339" i="6"/>
  <c r="G340" i="6"/>
  <c r="H340" i="6"/>
  <c r="G341" i="6"/>
  <c r="H341" i="6" s="1"/>
  <c r="G342" i="6"/>
  <c r="H342" i="6"/>
  <c r="G343" i="6"/>
  <c r="H343" i="6" s="1"/>
  <c r="G344" i="6"/>
  <c r="H344" i="6"/>
  <c r="G345" i="6"/>
  <c r="H345" i="6" s="1"/>
  <c r="G346" i="6"/>
  <c r="H346" i="6" s="1"/>
  <c r="G347" i="6"/>
  <c r="H347" i="6"/>
  <c r="G348" i="6"/>
  <c r="H348" i="6" s="1"/>
  <c r="G349" i="6"/>
  <c r="H349" i="6" s="1"/>
  <c r="G350" i="6"/>
  <c r="H350" i="6" s="1"/>
  <c r="G351" i="6"/>
  <c r="H351" i="6" s="1"/>
  <c r="G352" i="6"/>
  <c r="H352" i="6"/>
  <c r="G353" i="6"/>
  <c r="H353" i="6" s="1"/>
  <c r="G354" i="6"/>
  <c r="H354" i="6"/>
  <c r="G355" i="6"/>
  <c r="H355" i="6"/>
  <c r="G356" i="6"/>
  <c r="H356" i="6" s="1"/>
  <c r="G357" i="6"/>
  <c r="H357" i="6" s="1"/>
  <c r="G358" i="6"/>
  <c r="H358" i="6" s="1"/>
  <c r="G359" i="6"/>
  <c r="H359" i="6" s="1"/>
  <c r="G360" i="6"/>
  <c r="H360" i="6" s="1"/>
  <c r="G361" i="6"/>
  <c r="H361" i="6" s="1"/>
  <c r="G362" i="6"/>
  <c r="H362" i="6" s="1"/>
  <c r="G363" i="6"/>
  <c r="H363" i="6" s="1"/>
  <c r="G364" i="6"/>
  <c r="H364" i="6" s="1"/>
  <c r="G365" i="6"/>
  <c r="H365" i="6" s="1"/>
  <c r="G366" i="6"/>
  <c r="H366" i="6" s="1"/>
  <c r="G367" i="6"/>
  <c r="H367" i="6" s="1"/>
  <c r="G368" i="6"/>
  <c r="H368" i="6"/>
  <c r="G369" i="6"/>
  <c r="H369" i="6" s="1"/>
  <c r="G370" i="6"/>
  <c r="H370" i="6"/>
  <c r="G371" i="6"/>
  <c r="H371" i="6"/>
  <c r="G372" i="6"/>
  <c r="H372" i="6" s="1"/>
  <c r="G373" i="6"/>
  <c r="H373" i="6" s="1"/>
  <c r="G374" i="6"/>
  <c r="H374" i="6" s="1"/>
  <c r="G375" i="6"/>
  <c r="H375" i="6" s="1"/>
  <c r="G376" i="6"/>
  <c r="H376" i="6" s="1"/>
  <c r="G377" i="6"/>
  <c r="H377" i="6" s="1"/>
  <c r="G378" i="6"/>
  <c r="H378" i="6" s="1"/>
  <c r="G379" i="6"/>
  <c r="H379" i="6" s="1"/>
  <c r="G380" i="6"/>
  <c r="H380" i="6" s="1"/>
  <c r="G381" i="6"/>
  <c r="H381" i="6" s="1"/>
  <c r="G382" i="6"/>
  <c r="H382" i="6" s="1"/>
  <c r="G383" i="6"/>
  <c r="H383" i="6"/>
  <c r="G384" i="6"/>
  <c r="H384" i="6" s="1"/>
  <c r="G385" i="6"/>
  <c r="H385" i="6" s="1"/>
  <c r="G386" i="6"/>
  <c r="H386" i="6" s="1"/>
  <c r="G387" i="6"/>
  <c r="H387" i="6" s="1"/>
  <c r="G388" i="6"/>
  <c r="H388" i="6" s="1"/>
  <c r="G389" i="6"/>
  <c r="H389" i="6" s="1"/>
  <c r="G390" i="6"/>
  <c r="H390" i="6" s="1"/>
  <c r="G391" i="6"/>
  <c r="H391" i="6" s="1"/>
  <c r="G392" i="6"/>
  <c r="H392" i="6" s="1"/>
  <c r="G393" i="6"/>
  <c r="H393" i="6" s="1"/>
  <c r="G394" i="6"/>
  <c r="H394" i="6" s="1"/>
  <c r="G395" i="6"/>
  <c r="H395" i="6" s="1"/>
  <c r="G396" i="6"/>
  <c r="H396" i="6"/>
  <c r="G397" i="6"/>
  <c r="H397" i="6" s="1"/>
  <c r="G398" i="6"/>
  <c r="H398" i="6" s="1"/>
  <c r="G399" i="6"/>
  <c r="H399" i="6" s="1"/>
  <c r="G400" i="6"/>
  <c r="H400" i="6" s="1"/>
  <c r="G401" i="6"/>
  <c r="H401" i="6" s="1"/>
  <c r="G402" i="6"/>
  <c r="H402" i="6" s="1"/>
  <c r="G403" i="6"/>
  <c r="H403" i="6" s="1"/>
  <c r="G404" i="6"/>
  <c r="H404" i="6"/>
  <c r="G405" i="6"/>
  <c r="H405" i="6" s="1"/>
  <c r="G406" i="6"/>
  <c r="H406" i="6" s="1"/>
  <c r="G407" i="6"/>
  <c r="H407" i="6" s="1"/>
  <c r="G408" i="6"/>
  <c r="H408" i="6" s="1"/>
  <c r="G409" i="6"/>
  <c r="H409" i="6" s="1"/>
  <c r="G410" i="6"/>
  <c r="H410" i="6"/>
  <c r="G411" i="6"/>
  <c r="H411" i="6" s="1"/>
  <c r="G412" i="6"/>
  <c r="H412" i="6" s="1"/>
  <c r="G413" i="6"/>
  <c r="H413" i="6" s="1"/>
  <c r="G414" i="6"/>
  <c r="H414" i="6" s="1"/>
  <c r="G415" i="6"/>
  <c r="H415" i="6" s="1"/>
  <c r="G416" i="6"/>
  <c r="H416" i="6" s="1"/>
  <c r="G417" i="6"/>
  <c r="H417" i="6" s="1"/>
  <c r="G418" i="6"/>
  <c r="H418" i="6" s="1"/>
  <c r="G419" i="6"/>
  <c r="H419" i="6"/>
  <c r="G420" i="6"/>
  <c r="H420" i="6" s="1"/>
  <c r="G421" i="6"/>
  <c r="H421" i="6" s="1"/>
  <c r="G422" i="6"/>
  <c r="H422" i="6" s="1"/>
  <c r="G423" i="6"/>
  <c r="H423" i="6" s="1"/>
  <c r="G424" i="6"/>
  <c r="H424" i="6" s="1"/>
  <c r="G425" i="6"/>
  <c r="H425" i="6" s="1"/>
  <c r="G426" i="6"/>
  <c r="H426" i="6" s="1"/>
  <c r="G427" i="6"/>
  <c r="H427" i="6" s="1"/>
  <c r="G428" i="6"/>
  <c r="H428" i="6" s="1"/>
  <c r="G429" i="6"/>
  <c r="H429" i="6" s="1"/>
  <c r="G430" i="6"/>
  <c r="H430" i="6" s="1"/>
  <c r="G431" i="6"/>
  <c r="H431" i="6"/>
  <c r="G432" i="6"/>
  <c r="H432" i="6" s="1"/>
  <c r="G433" i="6"/>
  <c r="H433" i="6" s="1"/>
  <c r="G434" i="6"/>
  <c r="H434" i="6" s="1"/>
  <c r="G435" i="6"/>
  <c r="H435" i="6"/>
  <c r="G436" i="6"/>
  <c r="H436" i="6"/>
  <c r="G437" i="6"/>
  <c r="H437" i="6" s="1"/>
  <c r="G438" i="6"/>
  <c r="H438" i="6" s="1"/>
  <c r="G439" i="6"/>
  <c r="H439" i="6" s="1"/>
  <c r="G440" i="6"/>
  <c r="H440" i="6"/>
  <c r="G441" i="6"/>
  <c r="H441" i="6" s="1"/>
  <c r="G442" i="6"/>
  <c r="H442" i="6"/>
  <c r="G443" i="6"/>
  <c r="H443" i="6" s="1"/>
  <c r="G444" i="6"/>
  <c r="H444" i="6" s="1"/>
  <c r="G445" i="6"/>
  <c r="H445" i="6" s="1"/>
  <c r="G446" i="6"/>
  <c r="H446" i="6" s="1"/>
  <c r="G447" i="6"/>
  <c r="H447" i="6"/>
  <c r="G448" i="6"/>
  <c r="H448" i="6" s="1"/>
  <c r="G449" i="6"/>
  <c r="H449" i="6" s="1"/>
  <c r="G450" i="6"/>
  <c r="H450" i="6" s="1"/>
  <c r="G451" i="6"/>
  <c r="H451" i="6"/>
  <c r="G452" i="6"/>
  <c r="H452" i="6" s="1"/>
  <c r="G453" i="6"/>
  <c r="H453" i="6" s="1"/>
  <c r="G454" i="6"/>
  <c r="H454" i="6" s="1"/>
  <c r="G455" i="6"/>
  <c r="H455" i="6" s="1"/>
  <c r="G456" i="6"/>
  <c r="H456" i="6" s="1"/>
  <c r="G457" i="6"/>
  <c r="H457" i="6"/>
  <c r="G458" i="6"/>
  <c r="H458" i="6" s="1"/>
  <c r="G459" i="6"/>
  <c r="H459" i="6"/>
  <c r="G460" i="6"/>
  <c r="H460" i="6" s="1"/>
  <c r="G461" i="6"/>
  <c r="H461" i="6"/>
  <c r="G462" i="6"/>
  <c r="H462" i="6" s="1"/>
  <c r="G463" i="6"/>
  <c r="H463" i="6" s="1"/>
  <c r="G464" i="6"/>
  <c r="H464" i="6" s="1"/>
  <c r="G465" i="6"/>
  <c r="H465" i="6" s="1"/>
  <c r="G466" i="6"/>
  <c r="H466" i="6" s="1"/>
  <c r="G467" i="6"/>
  <c r="H467" i="6"/>
  <c r="G468" i="6"/>
  <c r="H468" i="6" s="1"/>
  <c r="G469" i="6"/>
  <c r="H469" i="6" s="1"/>
  <c r="G470" i="6"/>
  <c r="H470" i="6" s="1"/>
  <c r="G471" i="6"/>
  <c r="H471" i="6"/>
  <c r="G472" i="6"/>
  <c r="H472" i="6" s="1"/>
  <c r="G473" i="6"/>
  <c r="H473" i="6"/>
  <c r="G474" i="6"/>
  <c r="H474" i="6" s="1"/>
  <c r="G475" i="6"/>
  <c r="H475" i="6" s="1"/>
  <c r="G476" i="6"/>
  <c r="H476" i="6" s="1"/>
  <c r="G477" i="6"/>
  <c r="H477" i="6" s="1"/>
  <c r="G478" i="6"/>
  <c r="H478" i="6" s="1"/>
  <c r="G479" i="6"/>
  <c r="H479" i="6" s="1"/>
  <c r="G480" i="6"/>
  <c r="H480" i="6" s="1"/>
  <c r="G481" i="6"/>
  <c r="H481" i="6" s="1"/>
  <c r="G482" i="6"/>
  <c r="H482" i="6" s="1"/>
  <c r="G483" i="6"/>
  <c r="H483" i="6" s="1"/>
  <c r="G484" i="6"/>
  <c r="H484" i="6" s="1"/>
  <c r="G485" i="6"/>
  <c r="H485" i="6" s="1"/>
  <c r="G486" i="6"/>
  <c r="H486" i="6" s="1"/>
  <c r="G487" i="6"/>
  <c r="H487" i="6" s="1"/>
  <c r="G488" i="6"/>
  <c r="H488" i="6" s="1"/>
  <c r="G489" i="6"/>
  <c r="H489" i="6" s="1"/>
  <c r="G490" i="6"/>
  <c r="H490" i="6" s="1"/>
  <c r="G491" i="6"/>
  <c r="H491" i="6" s="1"/>
  <c r="G492" i="6"/>
  <c r="H492" i="6" s="1"/>
  <c r="G493" i="6"/>
  <c r="H493" i="6"/>
  <c r="G494" i="6"/>
  <c r="H494" i="6" s="1"/>
  <c r="G495" i="6"/>
  <c r="H495" i="6" s="1"/>
  <c r="G496" i="6"/>
  <c r="H496" i="6" s="1"/>
  <c r="G497" i="6"/>
  <c r="H497" i="6" s="1"/>
  <c r="G498" i="6"/>
  <c r="H498" i="6" s="1"/>
  <c r="G499" i="6"/>
  <c r="H499" i="6"/>
  <c r="G500" i="6"/>
  <c r="H500" i="6" s="1"/>
  <c r="G501" i="6"/>
  <c r="H501" i="6" s="1"/>
  <c r="G502" i="6"/>
  <c r="H502" i="6" s="1"/>
  <c r="G503" i="6"/>
  <c r="H503" i="6" s="1"/>
  <c r="G504" i="6"/>
  <c r="H504" i="6" s="1"/>
  <c r="G505" i="6"/>
  <c r="H505" i="6"/>
  <c r="G506" i="6"/>
  <c r="H506" i="6" s="1"/>
  <c r="G507" i="6"/>
  <c r="H507" i="6" s="1"/>
  <c r="G508" i="6"/>
  <c r="H508" i="6" s="1"/>
  <c r="G509" i="6"/>
  <c r="H509" i="6"/>
  <c r="G510" i="6"/>
  <c r="H510" i="6" s="1"/>
  <c r="G511" i="6"/>
  <c r="H511" i="6" s="1"/>
  <c r="G512" i="6"/>
  <c r="H512" i="6" s="1"/>
  <c r="G513" i="6"/>
  <c r="H513" i="6" s="1"/>
  <c r="G514" i="6"/>
  <c r="H514" i="6" s="1"/>
  <c r="G515" i="6"/>
  <c r="H515" i="6" s="1"/>
  <c r="G516" i="6"/>
  <c r="H516" i="6" s="1"/>
  <c r="G517" i="6"/>
  <c r="H517" i="6" s="1"/>
  <c r="G518" i="6"/>
  <c r="H518" i="6" s="1"/>
  <c r="G519" i="6"/>
  <c r="H519" i="6" s="1"/>
  <c r="G520" i="6"/>
  <c r="H520" i="6" s="1"/>
  <c r="G521" i="6"/>
  <c r="H521" i="6" s="1"/>
  <c r="G522" i="6"/>
  <c r="H522" i="6" s="1"/>
  <c r="G523" i="6"/>
  <c r="H523" i="6"/>
  <c r="G524" i="6"/>
  <c r="H524" i="6" s="1"/>
  <c r="G525" i="6"/>
  <c r="H525" i="6"/>
  <c r="G526" i="6"/>
  <c r="H526" i="6" s="1"/>
  <c r="G527" i="6"/>
  <c r="H527" i="6"/>
  <c r="G528" i="6"/>
  <c r="H528" i="6" s="1"/>
  <c r="G529" i="6"/>
  <c r="H529" i="6" s="1"/>
  <c r="G530" i="6"/>
  <c r="H530" i="6" s="1"/>
  <c r="G531" i="6"/>
  <c r="H531" i="6" s="1"/>
  <c r="G532" i="6"/>
  <c r="H532" i="6" s="1"/>
  <c r="G533" i="6"/>
  <c r="H533" i="6" s="1"/>
  <c r="G534" i="6"/>
  <c r="H534" i="6" s="1"/>
  <c r="G535" i="6"/>
  <c r="H535" i="6" s="1"/>
  <c r="G536" i="6"/>
  <c r="H536" i="6" s="1"/>
  <c r="G537" i="6"/>
  <c r="H537" i="6" s="1"/>
  <c r="G538" i="6"/>
  <c r="H538" i="6" s="1"/>
  <c r="G539" i="6"/>
  <c r="H539" i="6" s="1"/>
  <c r="G540" i="6"/>
  <c r="H540" i="6" s="1"/>
  <c r="G541" i="6"/>
  <c r="H541" i="6" s="1"/>
  <c r="G542" i="6"/>
  <c r="H542" i="6" s="1"/>
  <c r="G543" i="6"/>
  <c r="H543" i="6" s="1"/>
  <c r="G544" i="6"/>
  <c r="H544" i="6" s="1"/>
  <c r="G545" i="6"/>
  <c r="H545" i="6" s="1"/>
  <c r="G546" i="6"/>
  <c r="H546" i="6" s="1"/>
  <c r="G547" i="6"/>
  <c r="H547" i="6" s="1"/>
  <c r="G548" i="6"/>
  <c r="H548" i="6" s="1"/>
  <c r="G549" i="6"/>
  <c r="H549" i="6" s="1"/>
  <c r="G550" i="6"/>
  <c r="H550" i="6" s="1"/>
  <c r="G551" i="6"/>
  <c r="H551" i="6" s="1"/>
  <c r="G552" i="6"/>
  <c r="H552" i="6" s="1"/>
  <c r="G553" i="6"/>
  <c r="H553" i="6" s="1"/>
  <c r="G554" i="6"/>
  <c r="H554" i="6" s="1"/>
  <c r="G555" i="6"/>
  <c r="H555" i="6" s="1"/>
  <c r="G556" i="6"/>
  <c r="H556" i="6" s="1"/>
  <c r="G557" i="6"/>
  <c r="H557" i="6"/>
  <c r="G558" i="6"/>
  <c r="H558" i="6" s="1"/>
  <c r="G559" i="6"/>
  <c r="H559" i="6" s="1"/>
  <c r="G560" i="6"/>
  <c r="H560" i="6" s="1"/>
  <c r="G561" i="6"/>
  <c r="H561" i="6" s="1"/>
  <c r="G562" i="6"/>
  <c r="H562" i="6" s="1"/>
  <c r="G563" i="6"/>
  <c r="H563" i="6" s="1"/>
  <c r="G564" i="6"/>
  <c r="H564" i="6" s="1"/>
  <c r="G565" i="6"/>
  <c r="H565" i="6" s="1"/>
  <c r="G566" i="6"/>
  <c r="H566" i="6" s="1"/>
  <c r="G567" i="6"/>
  <c r="H567" i="6" s="1"/>
  <c r="G568" i="6"/>
  <c r="H568" i="6" s="1"/>
  <c r="G569" i="6"/>
  <c r="H569" i="6"/>
  <c r="G570" i="6"/>
  <c r="H570" i="6" s="1"/>
  <c r="G571" i="6"/>
  <c r="H571" i="6"/>
  <c r="G572" i="6"/>
  <c r="H572" i="6" s="1"/>
  <c r="G573" i="6"/>
  <c r="H573" i="6"/>
  <c r="G574" i="6"/>
  <c r="H574" i="6" s="1"/>
  <c r="G575" i="6"/>
  <c r="H575" i="6" s="1"/>
  <c r="G576" i="6"/>
  <c r="H576" i="6" s="1"/>
  <c r="G577" i="6"/>
  <c r="H577" i="6" s="1"/>
  <c r="G578" i="6"/>
  <c r="H578" i="6" s="1"/>
  <c r="G579" i="6"/>
  <c r="H579" i="6" s="1"/>
  <c r="G580" i="6"/>
  <c r="H580" i="6" s="1"/>
  <c r="G581" i="6"/>
  <c r="H581" i="6" s="1"/>
  <c r="G582" i="6"/>
  <c r="H582" i="6" s="1"/>
  <c r="G583" i="6"/>
  <c r="H583" i="6" s="1"/>
  <c r="G584" i="6"/>
  <c r="H584" i="6" s="1"/>
  <c r="G585" i="6"/>
  <c r="H585" i="6"/>
  <c r="G586" i="6"/>
  <c r="H586" i="6" s="1"/>
  <c r="G587" i="6"/>
  <c r="H587" i="6"/>
  <c r="G588" i="6"/>
  <c r="H588" i="6" s="1"/>
  <c r="G589" i="6"/>
  <c r="H589" i="6" s="1"/>
  <c r="G590" i="6"/>
  <c r="H590" i="6" s="1"/>
  <c r="G591" i="6"/>
  <c r="H591" i="6"/>
  <c r="G592" i="6"/>
  <c r="H592" i="6" s="1"/>
  <c r="G593" i="6"/>
  <c r="H593" i="6" s="1"/>
  <c r="G594" i="6"/>
  <c r="H594" i="6" s="1"/>
  <c r="G595" i="6"/>
  <c r="H595" i="6" s="1"/>
  <c r="G596" i="6"/>
  <c r="H596" i="6" s="1"/>
  <c r="G597" i="6"/>
  <c r="H597" i="6" s="1"/>
  <c r="G598" i="6"/>
  <c r="H598" i="6" s="1"/>
  <c r="G599" i="6"/>
  <c r="H599" i="6" s="1"/>
  <c r="G600" i="6"/>
  <c r="H600" i="6" s="1"/>
  <c r="G601" i="6"/>
  <c r="H601" i="6" s="1"/>
  <c r="G602" i="6"/>
  <c r="H602" i="6" s="1"/>
  <c r="G603" i="6"/>
  <c r="H603" i="6"/>
  <c r="G604" i="6"/>
  <c r="H604" i="6" s="1"/>
  <c r="G605" i="6"/>
  <c r="H605" i="6" s="1"/>
  <c r="G606" i="6"/>
  <c r="H606" i="6" s="1"/>
  <c r="G607" i="6"/>
  <c r="H607" i="6" s="1"/>
  <c r="G608" i="6"/>
  <c r="H608" i="6" s="1"/>
  <c r="G609" i="6"/>
  <c r="H609" i="6" s="1"/>
  <c r="G610" i="6"/>
  <c r="H610" i="6" s="1"/>
  <c r="G611" i="6"/>
  <c r="H611" i="6" s="1"/>
  <c r="G612" i="6"/>
  <c r="H612" i="6" s="1"/>
  <c r="G613" i="6"/>
  <c r="H613" i="6" s="1"/>
  <c r="G614" i="6"/>
  <c r="H614" i="6" s="1"/>
  <c r="G615" i="6"/>
  <c r="H615" i="6" s="1"/>
  <c r="G616" i="6"/>
  <c r="H616" i="6" s="1"/>
  <c r="G617" i="6"/>
  <c r="H617" i="6"/>
  <c r="G618" i="6"/>
  <c r="H618" i="6" s="1"/>
  <c r="G619" i="6"/>
  <c r="H619" i="6" s="1"/>
  <c r="G620" i="6"/>
  <c r="H620" i="6" s="1"/>
  <c r="G621" i="6"/>
  <c r="H621" i="6"/>
  <c r="G622" i="6"/>
  <c r="H622" i="6" s="1"/>
  <c r="G623" i="6"/>
  <c r="H623" i="6" s="1"/>
  <c r="G624" i="6"/>
  <c r="H624" i="6" s="1"/>
  <c r="G625" i="6"/>
  <c r="H625" i="6" s="1"/>
  <c r="G626" i="6"/>
  <c r="H626" i="6" s="1"/>
  <c r="G627" i="6"/>
  <c r="H627" i="6" s="1"/>
  <c r="G628" i="6"/>
  <c r="H628" i="6" s="1"/>
  <c r="G629" i="6"/>
  <c r="H629" i="6" s="1"/>
  <c r="G630" i="6"/>
  <c r="H630" i="6" s="1"/>
  <c r="G631" i="6"/>
  <c r="H631" i="6" s="1"/>
  <c r="G632" i="6"/>
  <c r="H632" i="6" s="1"/>
  <c r="G633" i="6"/>
  <c r="H633" i="6" s="1"/>
  <c r="G634" i="6"/>
  <c r="H634" i="6" s="1"/>
  <c r="G635" i="6"/>
  <c r="H635" i="6"/>
  <c r="G636" i="6"/>
  <c r="H636" i="6" s="1"/>
  <c r="G637" i="6"/>
  <c r="H637" i="6"/>
  <c r="G638" i="6"/>
  <c r="H638" i="6" s="1"/>
  <c r="G639" i="6"/>
  <c r="H639" i="6" s="1"/>
  <c r="G640" i="6"/>
  <c r="H640" i="6" s="1"/>
  <c r="G641" i="6"/>
  <c r="H641" i="6" s="1"/>
  <c r="G642" i="6"/>
  <c r="H642" i="6" s="1"/>
  <c r="G643" i="6"/>
  <c r="H643" i="6"/>
  <c r="G644" i="6"/>
  <c r="H644" i="6" s="1"/>
  <c r="G645" i="6"/>
  <c r="H645" i="6" s="1"/>
  <c r="G646" i="6"/>
  <c r="H646" i="6" s="1"/>
  <c r="G647" i="6"/>
  <c r="H647" i="6" s="1"/>
  <c r="G648" i="6"/>
  <c r="H648" i="6" s="1"/>
  <c r="G649" i="6"/>
  <c r="H649" i="6" s="1"/>
  <c r="G650" i="6"/>
  <c r="H650" i="6" s="1"/>
  <c r="G651" i="6"/>
  <c r="H651" i="6"/>
  <c r="G652" i="6"/>
  <c r="H652" i="6" s="1"/>
  <c r="G653" i="6"/>
  <c r="H653" i="6"/>
  <c r="G654" i="6"/>
  <c r="H654" i="6" s="1"/>
  <c r="G655" i="6"/>
  <c r="H655" i="6" s="1"/>
  <c r="G656" i="6"/>
  <c r="H656" i="6" s="1"/>
  <c r="G657" i="6"/>
  <c r="H657" i="6" s="1"/>
  <c r="G658" i="6"/>
  <c r="H658" i="6" s="1"/>
  <c r="G659" i="6"/>
  <c r="H659" i="6"/>
  <c r="G660" i="6"/>
  <c r="H660" i="6" s="1"/>
  <c r="G661" i="6"/>
  <c r="H661" i="6" s="1"/>
  <c r="G662" i="6"/>
  <c r="H662" i="6" s="1"/>
  <c r="G663" i="6"/>
  <c r="H663" i="6" s="1"/>
  <c r="G664" i="6"/>
  <c r="H664" i="6" s="1"/>
  <c r="G665" i="6"/>
  <c r="H665" i="6" s="1"/>
  <c r="G666" i="6"/>
  <c r="H666" i="6" s="1"/>
  <c r="G667" i="6"/>
  <c r="H667" i="6" s="1"/>
  <c r="G668" i="6"/>
  <c r="H668" i="6" s="1"/>
  <c r="G669" i="6"/>
  <c r="H669" i="6"/>
  <c r="G670" i="6"/>
  <c r="H670" i="6" s="1"/>
  <c r="G671" i="6"/>
  <c r="H671" i="6" s="1"/>
  <c r="G672" i="6"/>
  <c r="H672" i="6" s="1"/>
  <c r="G673" i="6"/>
  <c r="H673" i="6" s="1"/>
  <c r="G674" i="6"/>
  <c r="H674" i="6" s="1"/>
  <c r="G675" i="6"/>
  <c r="H675" i="6"/>
  <c r="G676" i="6"/>
  <c r="H676" i="6" s="1"/>
  <c r="G677" i="6"/>
  <c r="H677" i="6" s="1"/>
  <c r="G678" i="6"/>
  <c r="H678" i="6" s="1"/>
  <c r="G679" i="6"/>
  <c r="H679" i="6" s="1"/>
  <c r="G680" i="6"/>
  <c r="H680" i="6" s="1"/>
  <c r="G681" i="6"/>
  <c r="H681" i="6" s="1"/>
  <c r="G682" i="6"/>
  <c r="H682" i="6" s="1"/>
  <c r="G683" i="6"/>
  <c r="H683" i="6"/>
  <c r="G684" i="6"/>
  <c r="H684" i="6" s="1"/>
  <c r="G685" i="6"/>
  <c r="H685" i="6" s="1"/>
  <c r="G686" i="6"/>
  <c r="H686" i="6" s="1"/>
  <c r="G687" i="6"/>
  <c r="H687" i="6" s="1"/>
  <c r="G688" i="6"/>
  <c r="H688" i="6"/>
  <c r="G689" i="6"/>
  <c r="H689" i="6" s="1"/>
  <c r="G690" i="6"/>
  <c r="H690" i="6" s="1"/>
  <c r="G691" i="6"/>
  <c r="H691" i="6" s="1"/>
  <c r="G692" i="6"/>
  <c r="H692" i="6" s="1"/>
  <c r="G693" i="6"/>
  <c r="H693" i="6" s="1"/>
  <c r="G694" i="6"/>
  <c r="H694" i="6" s="1"/>
  <c r="G695" i="6"/>
  <c r="H695" i="6"/>
  <c r="G696" i="6"/>
  <c r="H696" i="6" s="1"/>
  <c r="G697" i="6"/>
  <c r="H697" i="6" s="1"/>
  <c r="G698" i="6"/>
  <c r="H698" i="6" s="1"/>
  <c r="G699" i="6"/>
  <c r="H699" i="6" s="1"/>
  <c r="G700" i="6"/>
  <c r="H700" i="6" s="1"/>
  <c r="G701" i="6"/>
  <c r="H701" i="6" s="1"/>
  <c r="G702" i="6"/>
  <c r="H702" i="6" s="1"/>
  <c r="G703" i="6"/>
  <c r="H703" i="6"/>
  <c r="G704" i="6"/>
  <c r="H704" i="6"/>
  <c r="G705" i="6"/>
  <c r="H705" i="6" s="1"/>
  <c r="G706" i="6"/>
  <c r="H706" i="6" s="1"/>
  <c r="G707" i="6"/>
  <c r="H707" i="6"/>
  <c r="G708" i="6"/>
  <c r="H708" i="6" s="1"/>
  <c r="G709" i="6"/>
  <c r="H709" i="6" s="1"/>
  <c r="G710" i="6"/>
  <c r="H710" i="6" s="1"/>
  <c r="G711" i="6"/>
  <c r="H711" i="6" s="1"/>
  <c r="G712" i="6"/>
  <c r="H712" i="6" s="1"/>
  <c r="G713" i="6"/>
  <c r="H713" i="6" s="1"/>
  <c r="G714" i="6"/>
  <c r="H714" i="6" s="1"/>
  <c r="G715" i="6"/>
  <c r="H715" i="6"/>
  <c r="G716" i="6"/>
  <c r="H716" i="6" s="1"/>
  <c r="G717" i="6"/>
  <c r="H717" i="6" s="1"/>
  <c r="G718" i="6"/>
  <c r="H718" i="6" s="1"/>
  <c r="G719" i="6"/>
  <c r="H719" i="6"/>
  <c r="G720" i="6"/>
  <c r="H720" i="6" s="1"/>
  <c r="G721" i="6"/>
  <c r="H721" i="6" s="1"/>
  <c r="G722" i="6"/>
  <c r="H722" i="6" s="1"/>
  <c r="G723" i="6"/>
  <c r="H723" i="6" s="1"/>
  <c r="G724" i="6"/>
  <c r="H724" i="6" s="1"/>
  <c r="G725" i="6"/>
  <c r="H725" i="6" s="1"/>
  <c r="G726" i="6"/>
  <c r="H726" i="6" s="1"/>
  <c r="G727" i="6"/>
  <c r="H727" i="6"/>
  <c r="G728" i="6"/>
  <c r="H728" i="6" s="1"/>
  <c r="G729" i="6"/>
  <c r="H729" i="6" s="1"/>
  <c r="G730" i="6"/>
  <c r="H730" i="6" s="1"/>
  <c r="G731" i="6"/>
  <c r="H731" i="6"/>
  <c r="G732" i="6"/>
  <c r="H732" i="6" s="1"/>
  <c r="G733" i="6"/>
  <c r="H733" i="6" s="1"/>
  <c r="G734" i="6"/>
  <c r="H734" i="6" s="1"/>
  <c r="G735" i="6"/>
  <c r="H735" i="6"/>
  <c r="G736" i="6"/>
  <c r="H736" i="6"/>
  <c r="G737" i="6"/>
  <c r="H737" i="6" s="1"/>
  <c r="G738" i="6"/>
  <c r="H738" i="6" s="1"/>
  <c r="G739" i="6"/>
  <c r="H739" i="6"/>
  <c r="G740" i="6"/>
  <c r="H740" i="6" s="1"/>
  <c r="G741" i="6"/>
  <c r="H741" i="6" s="1"/>
  <c r="G742" i="6"/>
  <c r="H742" i="6" s="1"/>
  <c r="G743" i="6"/>
  <c r="H743" i="6"/>
  <c r="G744" i="6"/>
  <c r="H744" i="6" s="1"/>
  <c r="G745" i="6"/>
  <c r="H745" i="6" s="1"/>
  <c r="G746" i="6"/>
  <c r="H746" i="6" s="1"/>
  <c r="G747" i="6"/>
  <c r="H747" i="6"/>
  <c r="G748" i="6"/>
  <c r="H748" i="6" s="1"/>
  <c r="G749" i="6"/>
  <c r="H749" i="6" s="1"/>
  <c r="G750" i="6"/>
  <c r="H750" i="6" s="1"/>
  <c r="G751" i="6"/>
  <c r="H751" i="6" s="1"/>
  <c r="G752" i="6"/>
  <c r="H752" i="6" s="1"/>
  <c r="G753" i="6"/>
  <c r="H753" i="6" s="1"/>
  <c r="G754" i="6"/>
  <c r="H754" i="6" s="1"/>
  <c r="G755" i="6"/>
  <c r="H755" i="6"/>
  <c r="G756" i="6"/>
  <c r="H756" i="6" s="1"/>
  <c r="G757" i="6"/>
  <c r="H757" i="6" s="1"/>
  <c r="G758" i="6"/>
  <c r="H758" i="6" s="1"/>
  <c r="G759" i="6"/>
  <c r="H759" i="6"/>
  <c r="G760" i="6"/>
  <c r="H760" i="6" s="1"/>
  <c r="G761" i="6"/>
  <c r="H761" i="6" s="1"/>
  <c r="G762" i="6"/>
  <c r="H762" i="6" s="1"/>
  <c r="G763" i="6"/>
  <c r="H763" i="6" s="1"/>
  <c r="G764" i="6"/>
  <c r="H764" i="6" s="1"/>
  <c r="G765" i="6"/>
  <c r="H765" i="6" s="1"/>
  <c r="G766" i="6"/>
  <c r="H766" i="6" s="1"/>
  <c r="G767" i="6"/>
  <c r="H767" i="6"/>
  <c r="G768" i="6"/>
  <c r="H768" i="6"/>
  <c r="G769" i="6"/>
  <c r="H769" i="6" s="1"/>
  <c r="G770" i="6"/>
  <c r="H770" i="6" s="1"/>
  <c r="G771" i="6"/>
  <c r="H771" i="6"/>
  <c r="G772" i="6"/>
  <c r="H772" i="6" s="1"/>
  <c r="G773" i="6"/>
  <c r="H773" i="6" s="1"/>
  <c r="G774" i="6"/>
  <c r="H774" i="6" s="1"/>
  <c r="G775" i="6"/>
  <c r="H775" i="6" s="1"/>
  <c r="G776" i="6"/>
  <c r="H776" i="6" s="1"/>
  <c r="G777" i="6"/>
  <c r="H777" i="6" s="1"/>
  <c r="G778" i="6"/>
  <c r="H778" i="6" s="1"/>
  <c r="G779" i="6"/>
  <c r="H779" i="6"/>
  <c r="G780" i="6"/>
  <c r="H780" i="6" s="1"/>
  <c r="G781" i="6"/>
  <c r="H781" i="6" s="1"/>
  <c r="G782" i="6"/>
  <c r="H782" i="6" s="1"/>
  <c r="G783" i="6"/>
  <c r="H783" i="6" s="1"/>
  <c r="G784" i="6"/>
  <c r="H784" i="6" s="1"/>
  <c r="G785" i="6"/>
  <c r="H785" i="6" s="1"/>
  <c r="G786" i="6"/>
  <c r="H786" i="6" s="1"/>
  <c r="G787" i="6"/>
  <c r="H787" i="6" s="1"/>
  <c r="G788" i="6"/>
  <c r="H788" i="6" s="1"/>
  <c r="G789" i="6"/>
  <c r="H789" i="6" s="1"/>
  <c r="G790" i="6"/>
  <c r="H790" i="6" s="1"/>
  <c r="G791" i="6"/>
  <c r="H791" i="6"/>
  <c r="G792" i="6"/>
  <c r="H792" i="6" s="1"/>
  <c r="G793" i="6"/>
  <c r="H793" i="6" s="1"/>
  <c r="G794" i="6"/>
  <c r="H794" i="6" s="1"/>
  <c r="G795" i="6"/>
  <c r="H795" i="6" s="1"/>
  <c r="G796" i="6"/>
  <c r="H796" i="6" s="1"/>
  <c r="G797" i="6"/>
  <c r="H797" i="6" s="1"/>
  <c r="G798" i="6"/>
  <c r="H798" i="6" s="1"/>
  <c r="G799" i="6"/>
  <c r="H799" i="6"/>
  <c r="G800" i="6"/>
  <c r="H800" i="6"/>
  <c r="G801" i="6"/>
  <c r="H801" i="6" s="1"/>
  <c r="G802" i="6"/>
  <c r="H802" i="6" s="1"/>
  <c r="G803" i="6"/>
  <c r="H803" i="6"/>
  <c r="G804" i="6"/>
  <c r="H804" i="6" s="1"/>
  <c r="G805" i="6"/>
  <c r="H805" i="6" s="1"/>
  <c r="G806" i="6"/>
  <c r="H806" i="6" s="1"/>
  <c r="G807" i="6"/>
  <c r="H807" i="6" s="1"/>
  <c r="G808" i="6"/>
  <c r="H808" i="6" s="1"/>
  <c r="G809" i="6"/>
  <c r="H809" i="6" s="1"/>
  <c r="G810" i="6"/>
  <c r="H810" i="6" s="1"/>
  <c r="G811" i="6"/>
  <c r="H811" i="6"/>
  <c r="G812" i="6"/>
  <c r="H812" i="6" s="1"/>
  <c r="G813" i="6"/>
  <c r="H813" i="6" s="1"/>
  <c r="G814" i="6"/>
  <c r="H814" i="6" s="1"/>
  <c r="G815" i="6"/>
  <c r="H815" i="6" s="1"/>
  <c r="G816" i="6"/>
  <c r="H816" i="6"/>
  <c r="G817" i="6"/>
  <c r="H817" i="6" s="1"/>
  <c r="G818" i="6"/>
  <c r="H818" i="6" s="1"/>
  <c r="G819" i="6"/>
  <c r="H819" i="6" s="1"/>
  <c r="G820" i="6"/>
  <c r="H820" i="6" s="1"/>
  <c r="H2135" i="6"/>
  <c r="H2136" i="6"/>
  <c r="H2137" i="6"/>
  <c r="H2138" i="6"/>
  <c r="H2139" i="6"/>
  <c r="H2140" i="6"/>
  <c r="H2141" i="6"/>
  <c r="H2142" i="6"/>
  <c r="H2143" i="6"/>
  <c r="H2144" i="6"/>
  <c r="H2145" i="6"/>
  <c r="H2146" i="6"/>
  <c r="H2147" i="6"/>
  <c r="H2148" i="6"/>
  <c r="H2149" i="6"/>
  <c r="H2150" i="6"/>
  <c r="H2151" i="6"/>
  <c r="H2152" i="6"/>
  <c r="H2153" i="6"/>
  <c r="H2154" i="6"/>
  <c r="H2155" i="6"/>
  <c r="H2156" i="6"/>
  <c r="H2157" i="6"/>
  <c r="H2158" i="6"/>
  <c r="H2159" i="6"/>
  <c r="H2160" i="6"/>
  <c r="H2161" i="6"/>
  <c r="H2162" i="6"/>
  <c r="H2163" i="6"/>
  <c r="H2164" i="6"/>
  <c r="H2165" i="6"/>
  <c r="H2166" i="6"/>
  <c r="H2167" i="6"/>
  <c r="H2168" i="6"/>
  <c r="H2169" i="6"/>
  <c r="H2170" i="6"/>
  <c r="H2171" i="6"/>
  <c r="H2172" i="6"/>
  <c r="H2173" i="6"/>
  <c r="H2174" i="6"/>
  <c r="H2175" i="6"/>
  <c r="H2176" i="6"/>
  <c r="H2177" i="6"/>
  <c r="H2178" i="6"/>
  <c r="H2179" i="6"/>
  <c r="G821" i="6"/>
  <c r="H821" i="6" s="1"/>
  <c r="G822" i="6"/>
  <c r="H822" i="6"/>
  <c r="G823" i="6"/>
  <c r="H823" i="6" s="1"/>
  <c r="G824" i="6"/>
  <c r="H824" i="6"/>
  <c r="G825" i="6"/>
  <c r="H825" i="6" s="1"/>
  <c r="G826" i="6"/>
  <c r="H826" i="6"/>
  <c r="G827" i="6"/>
  <c r="H827" i="6"/>
  <c r="G828" i="6"/>
  <c r="H828" i="6" s="1"/>
  <c r="G829" i="6"/>
  <c r="H829" i="6" s="1"/>
  <c r="G830" i="6"/>
  <c r="H830" i="6"/>
  <c r="G831" i="6"/>
  <c r="H831" i="6" s="1"/>
  <c r="G832" i="6"/>
  <c r="H832" i="6" s="1"/>
  <c r="G833" i="6"/>
  <c r="H833" i="6" s="1"/>
  <c r="G834" i="6"/>
  <c r="H834" i="6" s="1"/>
  <c r="G835" i="6"/>
  <c r="H835" i="6" s="1"/>
  <c r="G836" i="6"/>
  <c r="H836" i="6"/>
  <c r="G837" i="6"/>
  <c r="H837" i="6" s="1"/>
  <c r="G838" i="6"/>
  <c r="H838" i="6" s="1"/>
  <c r="G839" i="6"/>
  <c r="H839" i="6" s="1"/>
  <c r="G840" i="6"/>
  <c r="H840" i="6" s="1"/>
  <c r="G841" i="6"/>
  <c r="H841" i="6" s="1"/>
  <c r="G842" i="6"/>
  <c r="H842" i="6"/>
  <c r="G843" i="6"/>
  <c r="H843" i="6" s="1"/>
  <c r="G844" i="6"/>
  <c r="H844" i="6" s="1"/>
  <c r="G845" i="6"/>
  <c r="H845" i="6" s="1"/>
  <c r="G846" i="6"/>
  <c r="H846" i="6" s="1"/>
  <c r="G847" i="6"/>
  <c r="H847" i="6"/>
  <c r="G848" i="6"/>
  <c r="H848" i="6" s="1"/>
  <c r="G849" i="6"/>
  <c r="H849" i="6" s="1"/>
  <c r="G850" i="6"/>
  <c r="H850" i="6" s="1"/>
  <c r="G851" i="6"/>
  <c r="H851" i="6" s="1"/>
  <c r="G852" i="6"/>
  <c r="H852" i="6" s="1"/>
  <c r="G853" i="6"/>
  <c r="H853" i="6" s="1"/>
  <c r="G854" i="6"/>
  <c r="H854" i="6"/>
  <c r="G855" i="6"/>
  <c r="H855" i="6" s="1"/>
  <c r="G856" i="6"/>
  <c r="H856" i="6" s="1"/>
  <c r="G857" i="6"/>
  <c r="H857" i="6" s="1"/>
  <c r="G858" i="6"/>
  <c r="H858" i="6" s="1"/>
  <c r="G859" i="6"/>
  <c r="H859" i="6"/>
  <c r="G860" i="6"/>
  <c r="H860" i="6" s="1"/>
  <c r="G861" i="6"/>
  <c r="H861" i="6" s="1"/>
  <c r="G862" i="6"/>
  <c r="H862" i="6"/>
  <c r="G863" i="6"/>
  <c r="H863" i="6" s="1"/>
  <c r="G864" i="6"/>
  <c r="H864" i="6" s="1"/>
  <c r="G865" i="6"/>
  <c r="H865" i="6" s="1"/>
  <c r="G866" i="6"/>
  <c r="H866" i="6" s="1"/>
  <c r="G867" i="6"/>
  <c r="H867" i="6" s="1"/>
  <c r="G868" i="6"/>
  <c r="H868" i="6"/>
  <c r="G869" i="6"/>
  <c r="H869" i="6" s="1"/>
  <c r="G870" i="6"/>
  <c r="H870" i="6"/>
  <c r="G871" i="6"/>
  <c r="H871" i="6" s="1"/>
  <c r="G872" i="6"/>
  <c r="H872" i="6" s="1"/>
  <c r="G873" i="6"/>
  <c r="H873" i="6" s="1"/>
  <c r="G874" i="6"/>
  <c r="H874" i="6" s="1"/>
  <c r="G875" i="6"/>
  <c r="H875" i="6" s="1"/>
  <c r="G876" i="6"/>
  <c r="H876" i="6" s="1"/>
  <c r="G877" i="6"/>
  <c r="H877" i="6" s="1"/>
  <c r="G878" i="6"/>
  <c r="H878" i="6" s="1"/>
  <c r="G879" i="6"/>
  <c r="H879" i="6" s="1"/>
  <c r="G880" i="6"/>
  <c r="H880" i="6" s="1"/>
  <c r="G881" i="6"/>
  <c r="H881" i="6" s="1"/>
  <c r="G882" i="6"/>
  <c r="H882" i="6" s="1"/>
  <c r="G883" i="6"/>
  <c r="H883" i="6" s="1"/>
  <c r="G884" i="6"/>
  <c r="H884" i="6" s="1"/>
  <c r="G885" i="6"/>
  <c r="H885" i="6" s="1"/>
  <c r="G886" i="6"/>
  <c r="H886" i="6" s="1"/>
  <c r="G887" i="6"/>
  <c r="H887" i="6" s="1"/>
  <c r="G888" i="6"/>
  <c r="H888" i="6"/>
  <c r="G889" i="6"/>
  <c r="H889" i="6" s="1"/>
  <c r="G890" i="6"/>
  <c r="H890" i="6" s="1"/>
  <c r="G891" i="6"/>
  <c r="H891" i="6"/>
  <c r="G892" i="6"/>
  <c r="H892" i="6" s="1"/>
  <c r="G893" i="6"/>
  <c r="H893" i="6" s="1"/>
  <c r="G894" i="6"/>
  <c r="H894" i="6" s="1"/>
  <c r="G895" i="6"/>
  <c r="H895" i="6" s="1"/>
  <c r="G896" i="6"/>
  <c r="H896" i="6" s="1"/>
  <c r="G897" i="6"/>
  <c r="H897" i="6" s="1"/>
  <c r="G898" i="6"/>
  <c r="H898" i="6" s="1"/>
  <c r="G899" i="6"/>
  <c r="H899" i="6"/>
  <c r="G900" i="6"/>
  <c r="H900" i="6" s="1"/>
  <c r="G901" i="6"/>
  <c r="H901" i="6" s="1"/>
  <c r="G902" i="6"/>
  <c r="H902" i="6" s="1"/>
  <c r="G903" i="6"/>
  <c r="H903" i="6"/>
  <c r="G904" i="6"/>
  <c r="H904" i="6" s="1"/>
  <c r="G905" i="6"/>
  <c r="H905" i="6" s="1"/>
  <c r="G906" i="6"/>
  <c r="H906" i="6" s="1"/>
  <c r="G907" i="6"/>
  <c r="H907" i="6"/>
  <c r="G908" i="6"/>
  <c r="H908" i="6" s="1"/>
  <c r="G909" i="6"/>
  <c r="H909" i="6" s="1"/>
  <c r="G910" i="6"/>
  <c r="H910" i="6" s="1"/>
  <c r="G911" i="6"/>
  <c r="H911" i="6" s="1"/>
  <c r="G912" i="6"/>
  <c r="H912" i="6" s="1"/>
  <c r="G913" i="6"/>
  <c r="H913" i="6" s="1"/>
  <c r="G914" i="6"/>
  <c r="H914" i="6" s="1"/>
  <c r="G915" i="6"/>
  <c r="H915" i="6" s="1"/>
  <c r="G916" i="6"/>
  <c r="H916" i="6" s="1"/>
  <c r="G917" i="6"/>
  <c r="H917" i="6" s="1"/>
  <c r="G918" i="6"/>
  <c r="H918" i="6" s="1"/>
  <c r="G919" i="6"/>
  <c r="H919" i="6" s="1"/>
  <c r="G920" i="6"/>
  <c r="H920" i="6" s="1"/>
  <c r="G921" i="6"/>
  <c r="H921" i="6" s="1"/>
  <c r="G922" i="6"/>
  <c r="H922" i="6" s="1"/>
  <c r="G923" i="6"/>
  <c r="H923" i="6"/>
  <c r="G924" i="6"/>
  <c r="H924" i="6" s="1"/>
  <c r="G925" i="6"/>
  <c r="H925" i="6" s="1"/>
  <c r="G926" i="6"/>
  <c r="H926" i="6" s="1"/>
  <c r="G927" i="6"/>
  <c r="H927" i="6" s="1"/>
  <c r="G928" i="6"/>
  <c r="H928" i="6" s="1"/>
  <c r="G929" i="6"/>
  <c r="H929" i="6" s="1"/>
  <c r="G930" i="6"/>
  <c r="H930" i="6" s="1"/>
  <c r="G931" i="6"/>
  <c r="H931" i="6"/>
  <c r="G932" i="6"/>
  <c r="H932" i="6" s="1"/>
  <c r="G933" i="6"/>
  <c r="H933" i="6" s="1"/>
  <c r="G934" i="6"/>
  <c r="H934" i="6" s="1"/>
  <c r="G935" i="6"/>
  <c r="H935" i="6"/>
  <c r="G936" i="6"/>
  <c r="H936" i="6" s="1"/>
  <c r="G937" i="6"/>
  <c r="H937" i="6" s="1"/>
  <c r="G938" i="6"/>
  <c r="H938" i="6" s="1"/>
  <c r="G939" i="6"/>
  <c r="H939" i="6"/>
  <c r="G940" i="6"/>
  <c r="H940" i="6" s="1"/>
  <c r="G941" i="6"/>
  <c r="H941" i="6" s="1"/>
  <c r="G942" i="6"/>
  <c r="H942" i="6" s="1"/>
  <c r="G943" i="6"/>
  <c r="H943" i="6" s="1"/>
  <c r="G944" i="6"/>
  <c r="H944" i="6" s="1"/>
  <c r="G945" i="6"/>
  <c r="H945" i="6" s="1"/>
  <c r="G946" i="6"/>
  <c r="H946" i="6" s="1"/>
  <c r="G947" i="6"/>
  <c r="H947" i="6" s="1"/>
  <c r="G948" i="6"/>
  <c r="H948" i="6" s="1"/>
  <c r="G949" i="6"/>
  <c r="H949" i="6" s="1"/>
  <c r="G950" i="6"/>
  <c r="H950" i="6" s="1"/>
  <c r="G951" i="6"/>
  <c r="H951" i="6" s="1"/>
  <c r="G952" i="6"/>
  <c r="H952" i="6" s="1"/>
  <c r="G953" i="6"/>
  <c r="H953" i="6" s="1"/>
  <c r="G954" i="6"/>
  <c r="H954" i="6" s="1"/>
  <c r="G955" i="6"/>
  <c r="H955" i="6"/>
  <c r="G956" i="6"/>
  <c r="H956" i="6" s="1"/>
  <c r="G957" i="6"/>
  <c r="H957" i="6" s="1"/>
  <c r="G958" i="6"/>
  <c r="H958" i="6" s="1"/>
  <c r="G959" i="6"/>
  <c r="H959" i="6" s="1"/>
  <c r="G960" i="6"/>
  <c r="H960" i="6" s="1"/>
  <c r="G961" i="6"/>
  <c r="H961" i="6" s="1"/>
  <c r="G962" i="6"/>
  <c r="H962" i="6" s="1"/>
  <c r="G963" i="6"/>
  <c r="H963" i="6"/>
  <c r="G964" i="6"/>
  <c r="H964" i="6" s="1"/>
  <c r="G965" i="6"/>
  <c r="H965" i="6" s="1"/>
  <c r="G966" i="6"/>
  <c r="H966" i="6" s="1"/>
  <c r="G967" i="6"/>
  <c r="H967" i="6"/>
  <c r="G968" i="6"/>
  <c r="H968" i="6" s="1"/>
  <c r="G969" i="6"/>
  <c r="H969" i="6" s="1"/>
  <c r="G970" i="6"/>
  <c r="H970" i="6" s="1"/>
  <c r="G971" i="6"/>
  <c r="H971" i="6"/>
  <c r="G972" i="6"/>
  <c r="H972" i="6" s="1"/>
  <c r="G973" i="6"/>
  <c r="H973" i="6" s="1"/>
  <c r="G974" i="6"/>
  <c r="H974" i="6" s="1"/>
  <c r="G975" i="6"/>
  <c r="H975" i="6" s="1"/>
  <c r="G976" i="6"/>
  <c r="H976" i="6" s="1"/>
  <c r="G977" i="6"/>
  <c r="H977" i="6" s="1"/>
  <c r="G978" i="6"/>
  <c r="H978" i="6" s="1"/>
  <c r="G979" i="6"/>
  <c r="H979" i="6" s="1"/>
  <c r="G980" i="6"/>
  <c r="H980" i="6" s="1"/>
  <c r="G981" i="6"/>
  <c r="H981" i="6" s="1"/>
  <c r="G982" i="6"/>
  <c r="H982" i="6" s="1"/>
  <c r="G983" i="6"/>
  <c r="H983" i="6" s="1"/>
  <c r="G984" i="6"/>
  <c r="H984" i="6" s="1"/>
  <c r="G985" i="6"/>
  <c r="H985" i="6" s="1"/>
  <c r="G986" i="6"/>
  <c r="H986" i="6" s="1"/>
  <c r="G987" i="6"/>
  <c r="H987" i="6"/>
  <c r="G988" i="6"/>
  <c r="H988" i="6" s="1"/>
  <c r="G989" i="6"/>
  <c r="H989" i="6" s="1"/>
  <c r="G990" i="6"/>
  <c r="H990" i="6" s="1"/>
  <c r="G991" i="6"/>
  <c r="H991" i="6" s="1"/>
  <c r="G992" i="6"/>
  <c r="H992" i="6" s="1"/>
  <c r="G993" i="6"/>
  <c r="H993" i="6" s="1"/>
  <c r="G994" i="6"/>
  <c r="H994" i="6" s="1"/>
  <c r="G995" i="6"/>
  <c r="H995" i="6"/>
  <c r="G996" i="6"/>
  <c r="H996" i="6" s="1"/>
  <c r="G997" i="6"/>
  <c r="H997" i="6" s="1"/>
  <c r="G998" i="6"/>
  <c r="H998" i="6" s="1"/>
  <c r="G999" i="6"/>
  <c r="H999" i="6"/>
  <c r="G1000" i="6"/>
  <c r="H1000" i="6" s="1"/>
  <c r="G1001" i="6"/>
  <c r="H1001" i="6" s="1"/>
  <c r="G1002" i="6"/>
  <c r="H1002" i="6" s="1"/>
  <c r="G1003" i="6"/>
  <c r="H1003" i="6"/>
  <c r="G1004" i="6"/>
  <c r="H1004" i="6" s="1"/>
  <c r="G1005" i="6"/>
  <c r="H1005" i="6" s="1"/>
  <c r="G1006" i="6"/>
  <c r="H1006" i="6" s="1"/>
  <c r="G1007" i="6"/>
  <c r="H1007" i="6" s="1"/>
  <c r="G1008" i="6"/>
  <c r="H1008" i="6" s="1"/>
  <c r="G1009" i="6"/>
  <c r="H1009" i="6" s="1"/>
  <c r="G1010" i="6"/>
  <c r="H1010" i="6" s="1"/>
  <c r="G1011" i="6"/>
  <c r="H1011" i="6"/>
  <c r="G1012" i="6"/>
  <c r="H1012" i="6" s="1"/>
  <c r="G1013" i="6"/>
  <c r="H1013" i="6" s="1"/>
  <c r="G1014" i="6"/>
  <c r="H1014" i="6" s="1"/>
  <c r="G1015" i="6"/>
  <c r="H1015" i="6" s="1"/>
  <c r="G1016" i="6"/>
  <c r="H1016" i="6" s="1"/>
  <c r="G1017" i="6"/>
  <c r="H1017" i="6" s="1"/>
  <c r="G1018" i="6"/>
  <c r="H1018" i="6" s="1"/>
  <c r="G1019" i="6"/>
  <c r="H1019" i="6"/>
  <c r="G1020" i="6"/>
  <c r="H1020" i="6" s="1"/>
  <c r="G1021" i="6"/>
  <c r="H1021" i="6" s="1"/>
  <c r="G1022" i="6"/>
  <c r="H1022" i="6" s="1"/>
  <c r="G1023" i="6"/>
  <c r="H1023" i="6" s="1"/>
  <c r="G1024" i="6"/>
  <c r="H1024" i="6" s="1"/>
  <c r="G1025" i="6"/>
  <c r="H1025" i="6" s="1"/>
  <c r="G1026" i="6"/>
  <c r="H1026" i="6" s="1"/>
  <c r="G1027" i="6"/>
  <c r="H1027" i="6"/>
  <c r="G1028" i="6"/>
  <c r="H1028" i="6" s="1"/>
  <c r="G1029" i="6"/>
  <c r="H1029" i="6" s="1"/>
  <c r="G1030" i="6"/>
  <c r="H1030" i="6" s="1"/>
  <c r="G1031" i="6"/>
  <c r="H1031" i="6"/>
  <c r="G1032" i="6"/>
  <c r="H1032" i="6" s="1"/>
  <c r="G1033" i="6"/>
  <c r="H1033" i="6" s="1"/>
  <c r="G1034" i="6"/>
  <c r="H1034" i="6" s="1"/>
  <c r="G1035" i="6"/>
  <c r="H1035" i="6"/>
  <c r="G1036" i="6"/>
  <c r="H1036" i="6" s="1"/>
  <c r="G1037" i="6"/>
  <c r="H1037" i="6" s="1"/>
  <c r="G1038" i="6"/>
  <c r="H1038" i="6" s="1"/>
  <c r="G1039" i="6"/>
  <c r="H1039" i="6" s="1"/>
  <c r="G1040" i="6"/>
  <c r="H1040" i="6" s="1"/>
  <c r="G1041" i="6"/>
  <c r="H1041" i="6" s="1"/>
  <c r="G1042" i="6"/>
  <c r="H1042" i="6" s="1"/>
  <c r="G1043" i="6"/>
  <c r="H1043" i="6"/>
  <c r="G1044" i="6"/>
  <c r="H1044" i="6" s="1"/>
  <c r="G1045" i="6"/>
  <c r="H1045" i="6" s="1"/>
  <c r="G1046" i="6"/>
  <c r="H1046" i="6" s="1"/>
  <c r="G1047" i="6"/>
  <c r="H1047" i="6" s="1"/>
  <c r="G1048" i="6"/>
  <c r="H1048" i="6" s="1"/>
  <c r="G1049" i="6"/>
  <c r="H1049" i="6" s="1"/>
  <c r="G1050" i="6"/>
  <c r="H1050" i="6" s="1"/>
  <c r="G1051" i="6"/>
  <c r="H1051" i="6"/>
  <c r="G1052" i="6"/>
  <c r="H1052" i="6" s="1"/>
  <c r="G1053" i="6"/>
  <c r="H1053" i="6" s="1"/>
  <c r="G1054" i="6"/>
  <c r="H1054" i="6" s="1"/>
  <c r="G1055" i="6"/>
  <c r="H1055" i="6" s="1"/>
  <c r="G1056" i="6"/>
  <c r="H1056" i="6" s="1"/>
  <c r="G1057" i="6"/>
  <c r="H1057" i="6" s="1"/>
  <c r="G1058" i="6"/>
  <c r="H1058" i="6" s="1"/>
  <c r="G1059" i="6"/>
  <c r="H1059" i="6"/>
  <c r="G1060" i="6"/>
  <c r="H1060" i="6" s="1"/>
  <c r="G1061" i="6"/>
  <c r="H1061" i="6" s="1"/>
  <c r="G1062" i="6"/>
  <c r="H1062" i="6" s="1"/>
  <c r="G1063" i="6"/>
  <c r="H1063" i="6"/>
  <c r="G1064" i="6"/>
  <c r="H1064" i="6" s="1"/>
  <c r="G1065" i="6"/>
  <c r="H1065" i="6" s="1"/>
  <c r="G1066" i="6"/>
  <c r="H1066" i="6" s="1"/>
  <c r="G1067" i="6"/>
  <c r="H1067" i="6"/>
  <c r="G1068" i="6"/>
  <c r="H1068" i="6" s="1"/>
  <c r="G1069" i="6"/>
  <c r="H1069" i="6" s="1"/>
  <c r="G1070" i="6"/>
  <c r="H1070" i="6" s="1"/>
  <c r="G1071" i="6"/>
  <c r="H1071" i="6" s="1"/>
  <c r="G1072" i="6"/>
  <c r="H1072" i="6" s="1"/>
  <c r="G1073" i="6"/>
  <c r="H1073" i="6" s="1"/>
  <c r="G1074" i="6"/>
  <c r="H1074" i="6" s="1"/>
  <c r="G1075" i="6"/>
  <c r="H1075" i="6"/>
  <c r="G1076" i="6"/>
  <c r="H1076" i="6" s="1"/>
  <c r="G1077" i="6"/>
  <c r="H1077" i="6" s="1"/>
  <c r="G1078" i="6"/>
  <c r="H1078" i="6" s="1"/>
  <c r="G1079" i="6"/>
  <c r="H1079" i="6" s="1"/>
  <c r="G1080" i="6"/>
  <c r="H1080" i="6" s="1"/>
  <c r="G1081" i="6"/>
  <c r="H1081" i="6" s="1"/>
  <c r="G1082" i="6"/>
  <c r="H1082" i="6" s="1"/>
  <c r="G1083" i="6"/>
  <c r="H1083" i="6"/>
  <c r="G1084" i="6"/>
  <c r="H1084" i="6" s="1"/>
  <c r="G1085" i="6"/>
  <c r="H1085" i="6" s="1"/>
  <c r="G1086" i="6"/>
  <c r="H1086" i="6" s="1"/>
  <c r="G1087" i="6"/>
  <c r="H1087" i="6" s="1"/>
  <c r="G1088" i="6"/>
  <c r="H1088" i="6" s="1"/>
  <c r="G1089" i="6"/>
  <c r="H1089" i="6" s="1"/>
  <c r="G1090" i="6"/>
  <c r="H1090" i="6" s="1"/>
  <c r="G1091" i="6"/>
  <c r="H1091" i="6"/>
  <c r="G1092" i="6"/>
  <c r="H1092" i="6" s="1"/>
  <c r="G1093" i="6"/>
  <c r="H1093" i="6" s="1"/>
  <c r="G1094" i="6"/>
  <c r="H1094" i="6" s="1"/>
  <c r="G1095" i="6"/>
  <c r="H1095" i="6"/>
  <c r="G1096" i="6"/>
  <c r="H1096" i="6" s="1"/>
  <c r="G1097" i="6"/>
  <c r="H1097" i="6" s="1"/>
  <c r="G1098" i="6"/>
  <c r="H1098" i="6" s="1"/>
  <c r="G1099" i="6"/>
  <c r="H1099" i="6"/>
  <c r="G1100" i="6"/>
  <c r="H1100" i="6" s="1"/>
  <c r="G1101" i="6"/>
  <c r="H1101" i="6" s="1"/>
  <c r="G1102" i="6"/>
  <c r="H1102" i="6" s="1"/>
  <c r="G1103" i="6"/>
  <c r="H1103" i="6" s="1"/>
  <c r="G1104" i="6"/>
  <c r="H1104" i="6" s="1"/>
  <c r="G1105" i="6"/>
  <c r="H1105" i="6" s="1"/>
  <c r="G1106" i="6"/>
  <c r="H1106" i="6" s="1"/>
  <c r="G1107" i="6"/>
  <c r="H1107" i="6"/>
  <c r="G1108" i="6"/>
  <c r="H1108" i="6" s="1"/>
  <c r="G1109" i="6"/>
  <c r="H1109" i="6" s="1"/>
  <c r="G1110" i="6"/>
  <c r="H1110" i="6" s="1"/>
  <c r="G1111" i="6"/>
  <c r="H1111" i="6" s="1"/>
  <c r="G1112" i="6"/>
  <c r="H1112" i="6" s="1"/>
  <c r="G1113" i="6"/>
  <c r="H1113" i="6" s="1"/>
  <c r="G1114" i="6"/>
  <c r="H1114" i="6" s="1"/>
  <c r="G1115" i="6"/>
  <c r="H1115" i="6"/>
  <c r="G1116" i="6"/>
  <c r="H1116" i="6" s="1"/>
  <c r="G1117" i="6"/>
  <c r="H1117" i="6" s="1"/>
  <c r="G1118" i="6"/>
  <c r="H1118" i="6" s="1"/>
  <c r="G1119" i="6"/>
  <c r="H1119" i="6" s="1"/>
  <c r="G1120" i="6"/>
  <c r="H1120" i="6" s="1"/>
  <c r="G1121" i="6"/>
  <c r="H1121" i="6" s="1"/>
  <c r="G1122" i="6"/>
  <c r="H1122" i="6" s="1"/>
  <c r="G1123" i="6"/>
  <c r="H1123" i="6"/>
  <c r="G1124" i="6"/>
  <c r="H1124" i="6" s="1"/>
  <c r="G1125" i="6"/>
  <c r="H1125" i="6" s="1"/>
  <c r="G1126" i="6"/>
  <c r="H1126" i="6" s="1"/>
  <c r="G1127" i="6"/>
  <c r="H1127" i="6"/>
  <c r="G1128" i="6"/>
  <c r="H1128" i="6" s="1"/>
  <c r="G1129" i="6"/>
  <c r="H1129" i="6" s="1"/>
  <c r="G1130" i="6"/>
  <c r="H1130" i="6" s="1"/>
  <c r="G1131" i="6"/>
  <c r="H1131" i="6"/>
  <c r="G1132" i="6"/>
  <c r="H1132" i="6" s="1"/>
  <c r="G1133" i="6"/>
  <c r="H1133" i="6" s="1"/>
  <c r="G1134" i="6"/>
  <c r="H1134" i="6" s="1"/>
  <c r="G1135" i="6"/>
  <c r="H1135" i="6" s="1"/>
  <c r="G1136" i="6"/>
  <c r="H1136" i="6" s="1"/>
  <c r="G1137" i="6"/>
  <c r="H1137" i="6" s="1"/>
  <c r="G1138" i="6"/>
  <c r="H1138" i="6" s="1"/>
  <c r="G1139" i="6"/>
  <c r="H1139" i="6"/>
  <c r="G1140" i="6"/>
  <c r="H1140" i="6" s="1"/>
  <c r="G1141" i="6"/>
  <c r="H1141" i="6" s="1"/>
  <c r="G1142" i="6"/>
  <c r="H1142" i="6" s="1"/>
  <c r="G1143" i="6"/>
  <c r="H1143" i="6" s="1"/>
  <c r="G1144" i="6"/>
  <c r="H1144" i="6" s="1"/>
  <c r="G1145" i="6"/>
  <c r="H1145" i="6" s="1"/>
  <c r="G1146" i="6"/>
  <c r="H1146" i="6" s="1"/>
  <c r="G1147" i="6"/>
  <c r="H1147" i="6"/>
  <c r="G1148" i="6"/>
  <c r="H1148" i="6" s="1"/>
  <c r="G1149" i="6"/>
  <c r="H1149" i="6" s="1"/>
  <c r="G1150" i="6"/>
  <c r="H1150" i="6" s="1"/>
  <c r="G1151" i="6"/>
  <c r="H1151" i="6" s="1"/>
  <c r="G1152" i="6"/>
  <c r="H1152" i="6" s="1"/>
  <c r="G1153" i="6"/>
  <c r="H1153" i="6" s="1"/>
  <c r="G1154" i="6"/>
  <c r="H1154" i="6" s="1"/>
  <c r="G1155" i="6"/>
  <c r="H1155" i="6"/>
  <c r="G1156" i="6"/>
  <c r="H1156" i="6" s="1"/>
  <c r="G1157" i="6"/>
  <c r="H1157" i="6" s="1"/>
  <c r="G1158" i="6"/>
  <c r="H1158" i="6" s="1"/>
  <c r="G1159" i="6"/>
  <c r="H1159" i="6"/>
  <c r="G1160" i="6"/>
  <c r="H1160" i="6" s="1"/>
  <c r="G1161" i="6"/>
  <c r="H1161" i="6" s="1"/>
  <c r="G1162" i="6"/>
  <c r="H1162" i="6" s="1"/>
  <c r="G1163" i="6"/>
  <c r="H1163" i="6"/>
  <c r="G1164" i="6"/>
  <c r="H1164" i="6" s="1"/>
  <c r="G1165" i="6"/>
  <c r="H1165" i="6" s="1"/>
  <c r="G1166" i="6"/>
  <c r="H1166" i="6" s="1"/>
  <c r="H2180" i="6"/>
  <c r="H2181" i="6"/>
  <c r="H2182" i="6"/>
  <c r="H2183" i="6"/>
  <c r="H2184" i="6"/>
  <c r="H2185" i="6"/>
  <c r="H2186" i="6"/>
  <c r="H2187" i="6"/>
  <c r="H2188" i="6"/>
  <c r="H2189" i="6"/>
  <c r="H2190" i="6"/>
  <c r="H2191" i="6"/>
  <c r="H2192" i="6"/>
  <c r="H2193" i="6"/>
  <c r="H2194" i="6"/>
  <c r="H2195" i="6"/>
  <c r="H2196" i="6"/>
  <c r="H2197" i="6"/>
  <c r="H2198" i="6"/>
  <c r="H2199" i="6"/>
  <c r="H2200" i="6"/>
  <c r="H2201" i="6"/>
  <c r="H2202" i="6"/>
  <c r="H2203" i="6"/>
  <c r="H2204" i="6"/>
  <c r="H2205" i="6"/>
  <c r="H2206" i="6"/>
  <c r="H2207" i="6"/>
  <c r="H2208" i="6"/>
  <c r="H2209" i="6"/>
  <c r="H2210" i="6"/>
  <c r="H2211" i="6"/>
  <c r="H2212" i="6"/>
  <c r="H2213" i="6"/>
  <c r="H2214" i="6"/>
  <c r="H2215" i="6"/>
  <c r="H2216" i="6"/>
  <c r="H2217" i="6"/>
  <c r="H2218" i="6"/>
  <c r="H2219" i="6"/>
  <c r="H2220" i="6"/>
  <c r="H2221" i="6"/>
  <c r="H2222" i="6"/>
  <c r="H2223" i="6"/>
  <c r="G1167" i="6"/>
  <c r="H1167" i="6"/>
  <c r="G1168" i="6"/>
  <c r="H1168" i="6" s="1"/>
  <c r="G1169" i="6"/>
  <c r="H1169" i="6" s="1"/>
  <c r="G1170" i="6"/>
  <c r="H1170" i="6" s="1"/>
  <c r="G1171" i="6"/>
  <c r="H1171" i="6"/>
  <c r="G1172" i="6"/>
  <c r="H1172" i="6" s="1"/>
  <c r="G1173" i="6"/>
  <c r="H1173" i="6"/>
  <c r="G1174" i="6"/>
  <c r="H1174" i="6" s="1"/>
  <c r="G1175" i="6"/>
  <c r="H1175" i="6"/>
  <c r="G1176" i="6"/>
  <c r="H1176" i="6" s="1"/>
  <c r="G1177" i="6"/>
  <c r="H1177" i="6" s="1"/>
  <c r="G1178" i="6"/>
  <c r="H1178" i="6" s="1"/>
  <c r="G1179" i="6"/>
  <c r="H1179" i="6"/>
  <c r="G1180" i="6"/>
  <c r="H1180" i="6" s="1"/>
  <c r="G1181" i="6"/>
  <c r="H1181" i="6" s="1"/>
  <c r="G1182" i="6"/>
  <c r="H1182" i="6" s="1"/>
  <c r="G1183" i="6"/>
  <c r="H1183" i="6"/>
  <c r="G1184" i="6"/>
  <c r="H1184" i="6" s="1"/>
  <c r="G1185" i="6"/>
  <c r="H1185" i="6" s="1"/>
  <c r="G1186" i="6"/>
  <c r="H1186" i="6" s="1"/>
  <c r="G1187" i="6"/>
  <c r="H1187" i="6"/>
  <c r="G1188" i="6"/>
  <c r="H1188" i="6" s="1"/>
  <c r="G1189" i="6"/>
  <c r="H1189" i="6"/>
  <c r="G1190" i="6"/>
  <c r="H1190" i="6" s="1"/>
  <c r="G1191" i="6"/>
  <c r="H1191" i="6"/>
  <c r="G1192" i="6"/>
  <c r="H1192" i="6" s="1"/>
  <c r="G1193" i="6"/>
  <c r="H1193" i="6" s="1"/>
  <c r="G1194" i="6"/>
  <c r="H1194" i="6" s="1"/>
  <c r="G1195" i="6"/>
  <c r="H1195" i="6"/>
  <c r="G1196" i="6"/>
  <c r="H1196" i="6" s="1"/>
  <c r="G1197" i="6"/>
  <c r="H1197" i="6" s="1"/>
  <c r="G1198" i="6"/>
  <c r="H1198" i="6" s="1"/>
  <c r="G1199" i="6"/>
  <c r="H1199" i="6"/>
  <c r="G1200" i="6"/>
  <c r="H1200" i="6" s="1"/>
  <c r="G1201" i="6"/>
  <c r="H1201" i="6" s="1"/>
  <c r="G1202" i="6"/>
  <c r="H1202" i="6" s="1"/>
  <c r="G1203" i="6"/>
  <c r="H1203" i="6"/>
  <c r="G1204" i="6"/>
  <c r="H1204" i="6" s="1"/>
  <c r="G1205" i="6"/>
  <c r="H1205" i="6"/>
  <c r="G1206" i="6"/>
  <c r="H1206" i="6" s="1"/>
  <c r="G1207" i="6"/>
  <c r="H1207" i="6"/>
  <c r="G1208" i="6"/>
  <c r="H1208" i="6" s="1"/>
  <c r="G1209" i="6"/>
  <c r="H1209" i="6" s="1"/>
  <c r="G1210" i="6"/>
  <c r="H1210" i="6" s="1"/>
  <c r="G1211" i="6"/>
  <c r="H1211" i="6"/>
  <c r="G1212" i="6"/>
  <c r="H1212" i="6" s="1"/>
  <c r="G1213" i="6"/>
  <c r="H1213" i="6" s="1"/>
  <c r="G1214" i="6"/>
  <c r="H1214" i="6" s="1"/>
  <c r="G1215" i="6"/>
  <c r="H1215" i="6"/>
  <c r="G1216" i="6"/>
  <c r="H1216" i="6" s="1"/>
  <c r="G1217" i="6"/>
  <c r="H1217" i="6" s="1"/>
  <c r="G1218" i="6"/>
  <c r="H1218" i="6" s="1"/>
  <c r="G1219" i="6"/>
  <c r="H1219" i="6"/>
  <c r="G1220" i="6"/>
  <c r="H1220" i="6" s="1"/>
  <c r="G1221" i="6"/>
  <c r="H1221" i="6"/>
  <c r="G1222" i="6"/>
  <c r="H1222" i="6" s="1"/>
  <c r="G1223" i="6"/>
  <c r="H1223" i="6"/>
  <c r="G1224" i="6"/>
  <c r="H1224" i="6" s="1"/>
  <c r="G1225" i="6"/>
  <c r="H1225" i="6" s="1"/>
  <c r="G1226" i="6"/>
  <c r="H1226" i="6" s="1"/>
  <c r="G1227" i="6"/>
  <c r="H1227" i="6"/>
  <c r="G1228" i="6"/>
  <c r="H1228" i="6" s="1"/>
  <c r="G1229" i="6"/>
  <c r="H1229" i="6" s="1"/>
  <c r="G1230" i="6"/>
  <c r="H1230" i="6" s="1"/>
  <c r="G1231" i="6"/>
  <c r="H1231" i="6"/>
  <c r="G1232" i="6"/>
  <c r="H1232" i="6" s="1"/>
  <c r="G1233" i="6"/>
  <c r="H1233" i="6" s="1"/>
  <c r="G1234" i="6"/>
  <c r="H1234" i="6" s="1"/>
  <c r="G1235" i="6"/>
  <c r="H1235" i="6"/>
  <c r="G1236" i="6"/>
  <c r="H1236" i="6" s="1"/>
  <c r="G1237" i="6"/>
  <c r="H1237" i="6"/>
  <c r="G1238" i="6"/>
  <c r="H1238" i="6" s="1"/>
  <c r="G1239" i="6"/>
  <c r="H1239" i="6"/>
  <c r="G1240" i="6"/>
  <c r="H1240" i="6" s="1"/>
  <c r="G1241" i="6"/>
  <c r="H1241" i="6" s="1"/>
  <c r="G1242" i="6"/>
  <c r="H1242" i="6" s="1"/>
  <c r="G1243" i="6"/>
  <c r="H1243" i="6"/>
  <c r="G1244" i="6"/>
  <c r="H1244" i="6" s="1"/>
  <c r="G1245" i="6"/>
  <c r="H1245" i="6" s="1"/>
  <c r="G1246" i="6"/>
  <c r="H1246" i="6" s="1"/>
  <c r="G1247" i="6"/>
  <c r="H1247" i="6"/>
  <c r="G1248" i="6"/>
  <c r="H1248" i="6" s="1"/>
  <c r="G1249" i="6"/>
  <c r="H1249" i="6" s="1"/>
  <c r="G1250" i="6"/>
  <c r="H1250" i="6" s="1"/>
  <c r="G1251" i="6"/>
  <c r="H1251" i="6"/>
  <c r="G1252" i="6"/>
  <c r="H1252" i="6" s="1"/>
  <c r="G1253" i="6"/>
  <c r="H1253" i="6"/>
  <c r="G1254" i="6"/>
  <c r="H1254" i="6" s="1"/>
  <c r="G1255" i="6"/>
  <c r="H1255" i="6"/>
  <c r="G1256" i="6"/>
  <c r="H1256" i="6" s="1"/>
  <c r="G1257" i="6"/>
  <c r="H1257" i="6" s="1"/>
  <c r="G1258" i="6"/>
  <c r="H1258" i="6" s="1"/>
  <c r="G1259" i="6"/>
  <c r="H1259" i="6"/>
  <c r="G1260" i="6"/>
  <c r="H1260" i="6" s="1"/>
  <c r="G1261" i="6"/>
  <c r="H1261" i="6" s="1"/>
  <c r="G1262" i="6"/>
  <c r="H1262" i="6" s="1"/>
  <c r="G1263" i="6"/>
  <c r="H1263" i="6"/>
  <c r="G1264" i="6"/>
  <c r="H1264" i="6" s="1"/>
  <c r="G1265" i="6"/>
  <c r="H1265" i="6" s="1"/>
  <c r="G1266" i="6"/>
  <c r="H1266" i="6" s="1"/>
  <c r="G1267" i="6"/>
  <c r="H1267" i="6"/>
  <c r="G1268" i="6"/>
  <c r="H1268" i="6" s="1"/>
  <c r="G1269" i="6"/>
  <c r="H1269" i="6"/>
  <c r="G1270" i="6"/>
  <c r="H1270" i="6" s="1"/>
  <c r="G1271" i="6"/>
  <c r="H1271" i="6"/>
  <c r="G1272" i="6"/>
  <c r="H1272" i="6" s="1"/>
  <c r="G1273" i="6"/>
  <c r="H1273" i="6" s="1"/>
  <c r="G1274" i="6"/>
  <c r="H1274" i="6" s="1"/>
  <c r="G1275" i="6"/>
  <c r="H1275" i="6"/>
  <c r="G1276" i="6"/>
  <c r="H1276" i="6" s="1"/>
  <c r="G1277" i="6"/>
  <c r="H1277" i="6" s="1"/>
  <c r="G1278" i="6"/>
  <c r="H1278" i="6" s="1"/>
  <c r="G1279" i="6"/>
  <c r="H1279" i="6"/>
  <c r="G1280" i="6"/>
  <c r="H1280" i="6" s="1"/>
  <c r="G1281" i="6"/>
  <c r="H1281" i="6" s="1"/>
  <c r="G1282" i="6"/>
  <c r="H1282" i="6" s="1"/>
  <c r="G1283" i="6"/>
  <c r="H1283" i="6"/>
  <c r="G1284" i="6"/>
  <c r="H1284" i="6" s="1"/>
  <c r="G1285" i="6"/>
  <c r="H1285" i="6"/>
  <c r="G1286" i="6"/>
  <c r="H1286" i="6" s="1"/>
  <c r="G1287" i="6"/>
  <c r="H1287" i="6"/>
  <c r="G1288" i="6"/>
  <c r="H1288" i="6" s="1"/>
  <c r="G1289" i="6"/>
  <c r="H1289" i="6" s="1"/>
  <c r="G1290" i="6"/>
  <c r="H1290" i="6" s="1"/>
  <c r="G1291" i="6"/>
  <c r="H1291" i="6"/>
  <c r="G1292" i="6"/>
  <c r="H1292" i="6" s="1"/>
  <c r="G1293" i="6"/>
  <c r="H1293" i="6" s="1"/>
  <c r="G1294" i="6"/>
  <c r="H1294" i="6" s="1"/>
  <c r="G1295" i="6"/>
  <c r="H1295" i="6"/>
  <c r="G1296" i="6"/>
  <c r="H1296" i="6" s="1"/>
  <c r="G1297" i="6"/>
  <c r="H1297" i="6" s="1"/>
  <c r="G1298" i="6"/>
  <c r="H1298" i="6" s="1"/>
  <c r="G1299" i="6"/>
  <c r="H1299" i="6"/>
  <c r="G1300" i="6"/>
  <c r="H1300" i="6" s="1"/>
  <c r="G1301" i="6"/>
  <c r="H1301" i="6"/>
  <c r="G1302" i="6"/>
  <c r="H1302" i="6" s="1"/>
  <c r="G1303" i="6"/>
  <c r="H1303" i="6"/>
  <c r="G1304" i="6"/>
  <c r="H1304" i="6" s="1"/>
  <c r="G1305" i="6"/>
  <c r="H1305" i="6" s="1"/>
  <c r="G1306" i="6"/>
  <c r="H1306" i="6" s="1"/>
  <c r="G1307" i="6"/>
  <c r="H1307" i="6"/>
  <c r="G1308" i="6"/>
  <c r="H1308" i="6" s="1"/>
  <c r="G1309" i="6"/>
  <c r="H1309" i="6" s="1"/>
  <c r="G1310" i="6"/>
  <c r="H1310" i="6" s="1"/>
  <c r="G1311" i="6"/>
  <c r="H1311" i="6"/>
  <c r="G1312" i="6"/>
  <c r="H1312" i="6" s="1"/>
  <c r="G1313" i="6"/>
  <c r="H1313" i="6" s="1"/>
  <c r="G1314" i="6"/>
  <c r="H1314" i="6" s="1"/>
  <c r="G1315" i="6"/>
  <c r="H1315" i="6"/>
  <c r="G1316" i="6"/>
  <c r="H1316" i="6" s="1"/>
  <c r="G1317" i="6"/>
  <c r="H1317" i="6"/>
  <c r="G1318" i="6"/>
  <c r="H1318" i="6" s="1"/>
  <c r="G1319" i="6"/>
  <c r="H1319" i="6"/>
  <c r="G1320" i="6"/>
  <c r="H1320" i="6" s="1"/>
  <c r="G1321" i="6"/>
  <c r="H1321" i="6" s="1"/>
  <c r="G1322" i="6"/>
  <c r="H1322" i="6" s="1"/>
  <c r="G1323" i="6"/>
  <c r="H1323" i="6" s="1"/>
  <c r="G1324" i="6"/>
  <c r="H1324" i="6" s="1"/>
  <c r="G1325" i="6"/>
  <c r="H1325" i="6" s="1"/>
  <c r="G1326" i="6"/>
  <c r="H1326" i="6" s="1"/>
  <c r="G1327" i="6"/>
  <c r="H1327" i="6"/>
  <c r="G1328" i="6"/>
  <c r="H1328" i="6" s="1"/>
  <c r="G1329" i="6"/>
  <c r="H1329" i="6" s="1"/>
  <c r="G1330" i="6"/>
  <c r="H1330" i="6" s="1"/>
  <c r="G1331" i="6"/>
  <c r="H1331" i="6" s="1"/>
  <c r="G1332" i="6"/>
  <c r="H1332" i="6" s="1"/>
  <c r="G1333" i="6"/>
  <c r="H1333" i="6"/>
  <c r="G1334" i="6"/>
  <c r="H1334" i="6" s="1"/>
  <c r="G1335" i="6"/>
  <c r="H1335" i="6" s="1"/>
  <c r="G1336" i="6"/>
  <c r="H1336" i="6" s="1"/>
  <c r="G1337" i="6"/>
  <c r="H1337" i="6"/>
  <c r="G1338" i="6"/>
  <c r="H1338" i="6" s="1"/>
  <c r="G1339" i="6"/>
  <c r="H1339" i="6"/>
  <c r="G1340" i="6"/>
  <c r="H1340" i="6" s="1"/>
  <c r="G1341" i="6"/>
  <c r="H1341" i="6"/>
  <c r="G1342" i="6"/>
  <c r="H1342" i="6" s="1"/>
  <c r="G1343" i="6"/>
  <c r="H1343" i="6" s="1"/>
  <c r="G1344" i="6"/>
  <c r="H1344" i="6" s="1"/>
  <c r="G1345" i="6"/>
  <c r="H1345" i="6"/>
  <c r="G1346" i="6"/>
  <c r="H1346" i="6" s="1"/>
  <c r="G1347" i="6"/>
  <c r="H1347" i="6" s="1"/>
  <c r="G1348" i="6"/>
  <c r="H1348" i="6" s="1"/>
  <c r="G1349" i="6"/>
  <c r="H1349" i="6"/>
  <c r="G1350" i="6"/>
  <c r="H1350" i="6" s="1"/>
  <c r="G1351" i="6"/>
  <c r="H1351" i="6" s="1"/>
  <c r="G1352" i="6"/>
  <c r="H1352" i="6" s="1"/>
  <c r="G1353" i="6"/>
  <c r="H1353" i="6" s="1"/>
  <c r="G1354" i="6"/>
  <c r="H1354" i="6" s="1"/>
  <c r="G1355" i="6"/>
  <c r="H1355" i="6"/>
  <c r="G1356" i="6"/>
  <c r="H1356" i="6" s="1"/>
  <c r="G1357" i="6"/>
  <c r="H1357" i="6"/>
  <c r="G1358" i="6"/>
  <c r="H1358" i="6" s="1"/>
  <c r="G1359" i="6"/>
  <c r="H1359" i="6" s="1"/>
  <c r="G1360" i="6"/>
  <c r="H1360" i="6" s="1"/>
  <c r="G1361" i="6"/>
  <c r="H1361" i="6"/>
  <c r="G1362" i="6"/>
  <c r="H1362" i="6" s="1"/>
  <c r="G1363" i="6"/>
  <c r="H1363" i="6" s="1"/>
  <c r="G1364" i="6"/>
  <c r="H1364" i="6" s="1"/>
  <c r="G1365" i="6"/>
  <c r="H1365" i="6" s="1"/>
  <c r="G1366" i="6"/>
  <c r="H1366" i="6" s="1"/>
  <c r="G1367" i="6"/>
  <c r="H1367" i="6" s="1"/>
  <c r="G1368" i="6"/>
  <c r="H1368" i="6" s="1"/>
  <c r="G1369" i="6"/>
  <c r="H1369" i="6" s="1"/>
  <c r="G1370" i="6"/>
  <c r="H1370" i="6" s="1"/>
  <c r="G1371" i="6"/>
  <c r="H1371" i="6" s="1"/>
  <c r="G1372" i="6"/>
  <c r="H1372" i="6" s="1"/>
  <c r="G1373" i="6"/>
  <c r="H1373" i="6" s="1"/>
  <c r="G1374" i="6"/>
  <c r="H1374" i="6" s="1"/>
  <c r="G1375" i="6"/>
  <c r="H1375" i="6" s="1"/>
  <c r="G1376" i="6"/>
  <c r="H1376" i="6" s="1"/>
  <c r="G1377" i="6"/>
  <c r="H1377" i="6"/>
  <c r="G1378" i="6"/>
  <c r="H1378" i="6" s="1"/>
  <c r="G1379" i="6"/>
  <c r="H1379" i="6" s="1"/>
  <c r="G1380" i="6"/>
  <c r="H1380" i="6" s="1"/>
  <c r="G1381" i="6"/>
  <c r="H1381" i="6" s="1"/>
  <c r="G1382" i="6"/>
  <c r="H1382" i="6" s="1"/>
  <c r="G1383" i="6"/>
  <c r="H1383" i="6" s="1"/>
  <c r="G1384" i="6"/>
  <c r="H1384" i="6" s="1"/>
  <c r="G1385" i="6"/>
  <c r="H1385" i="6" s="1"/>
  <c r="G1386" i="6"/>
  <c r="H1386" i="6" s="1"/>
  <c r="G1387" i="6"/>
  <c r="H1387" i="6" s="1"/>
  <c r="G1388" i="6"/>
  <c r="H1388" i="6" s="1"/>
  <c r="G1389" i="6"/>
  <c r="H1389" i="6"/>
  <c r="G1390" i="6"/>
  <c r="H1390" i="6" s="1"/>
  <c r="G1391" i="6"/>
  <c r="H1391" i="6" s="1"/>
  <c r="G1392" i="6"/>
  <c r="H1392" i="6" s="1"/>
  <c r="G1393" i="6"/>
  <c r="H1393" i="6" s="1"/>
  <c r="G1394" i="6"/>
  <c r="H1394" i="6" s="1"/>
  <c r="G1395" i="6"/>
  <c r="H1395" i="6" s="1"/>
  <c r="G1396" i="6"/>
  <c r="H1396" i="6" s="1"/>
  <c r="G1397" i="6"/>
  <c r="H1397" i="6"/>
  <c r="G1398" i="6"/>
  <c r="H1398" i="6" s="1"/>
  <c r="G1399" i="6"/>
  <c r="H1399" i="6" s="1"/>
  <c r="G1400" i="6"/>
  <c r="H1400" i="6" s="1"/>
  <c r="G1401" i="6"/>
  <c r="H1401" i="6"/>
  <c r="G1402" i="6"/>
  <c r="H1402" i="6" s="1"/>
  <c r="G1403" i="6"/>
  <c r="H1403" i="6"/>
  <c r="G1404" i="6"/>
  <c r="H1404" i="6" s="1"/>
  <c r="G1405" i="6"/>
  <c r="H1405" i="6" s="1"/>
  <c r="G1406" i="6"/>
  <c r="H1406" i="6" s="1"/>
  <c r="G1407" i="6"/>
  <c r="H1407" i="6" s="1"/>
  <c r="G1408" i="6"/>
  <c r="H1408" i="6" s="1"/>
  <c r="G1409" i="6"/>
  <c r="H1409" i="6"/>
  <c r="G1410" i="6"/>
  <c r="H1410" i="6" s="1"/>
  <c r="G1411" i="6"/>
  <c r="H1411" i="6" s="1"/>
  <c r="G1412" i="6"/>
  <c r="H1412" i="6" s="1"/>
  <c r="G1413" i="6"/>
  <c r="H1413" i="6" s="1"/>
  <c r="G1414" i="6"/>
  <c r="H1414" i="6" s="1"/>
  <c r="G1415" i="6"/>
  <c r="H1415" i="6" s="1"/>
  <c r="G1416" i="6"/>
  <c r="H1416" i="6" s="1"/>
  <c r="G1417" i="6"/>
  <c r="H1417" i="6"/>
  <c r="G1418" i="6"/>
  <c r="H1418" i="6" s="1"/>
  <c r="G1419" i="6"/>
  <c r="H1419" i="6" s="1"/>
  <c r="G1420" i="6"/>
  <c r="H1420" i="6" s="1"/>
  <c r="G1421" i="6"/>
  <c r="H1421" i="6"/>
  <c r="G1422" i="6"/>
  <c r="H1422" i="6"/>
  <c r="G1423" i="6"/>
  <c r="H1423" i="6"/>
  <c r="G1424" i="6"/>
  <c r="H1424" i="6" s="1"/>
  <c r="G1425" i="6"/>
  <c r="H1425" i="6" s="1"/>
  <c r="G1426" i="6"/>
  <c r="H1426" i="6" s="1"/>
  <c r="G1427" i="6"/>
  <c r="H1427" i="6" s="1"/>
  <c r="G1428" i="6"/>
  <c r="H1428" i="6" s="1"/>
  <c r="G1429" i="6"/>
  <c r="H1429" i="6" s="1"/>
  <c r="G1430" i="6"/>
  <c r="H1430" i="6"/>
  <c r="G1431" i="6"/>
  <c r="H1431" i="6"/>
  <c r="G1432" i="6"/>
  <c r="H1432" i="6" s="1"/>
  <c r="G1433" i="6"/>
  <c r="H1433" i="6"/>
  <c r="G1434" i="6"/>
  <c r="H1434" i="6" s="1"/>
  <c r="G1435" i="6"/>
  <c r="H1435" i="6" s="1"/>
  <c r="G1436" i="6"/>
  <c r="H1436" i="6" s="1"/>
  <c r="G1437" i="6"/>
  <c r="H1437" i="6"/>
  <c r="G1438" i="6"/>
  <c r="H1438" i="6"/>
  <c r="G1439" i="6"/>
  <c r="H1439" i="6" s="1"/>
  <c r="G1440" i="6"/>
  <c r="H1440" i="6" s="1"/>
  <c r="G1441" i="6"/>
  <c r="H1441" i="6" s="1"/>
  <c r="G1442" i="6"/>
  <c r="H1442" i="6" s="1"/>
  <c r="G1443" i="6"/>
  <c r="H1443" i="6" s="1"/>
  <c r="G1444" i="6"/>
  <c r="H1444" i="6" s="1"/>
  <c r="G1445" i="6"/>
  <c r="H1445" i="6"/>
  <c r="G1446" i="6"/>
  <c r="H1446" i="6" s="1"/>
  <c r="G1447" i="6"/>
  <c r="H1447" i="6" s="1"/>
  <c r="G1448" i="6"/>
  <c r="H1448" i="6" s="1"/>
  <c r="G1449" i="6"/>
  <c r="H1449" i="6" s="1"/>
  <c r="G1450" i="6"/>
  <c r="H1450" i="6" s="1"/>
  <c r="G1451" i="6"/>
  <c r="H1451" i="6" s="1"/>
  <c r="G1452" i="6"/>
  <c r="H1452" i="6" s="1"/>
  <c r="G1453" i="6"/>
  <c r="H1453" i="6" s="1"/>
  <c r="G1454" i="6"/>
  <c r="H1454" i="6" s="1"/>
  <c r="G1455" i="6"/>
  <c r="H1455" i="6"/>
  <c r="G1456" i="6"/>
  <c r="H1456" i="6" s="1"/>
  <c r="G1457" i="6"/>
  <c r="H1457" i="6" s="1"/>
  <c r="G1458" i="6"/>
  <c r="H1458" i="6" s="1"/>
  <c r="G1459" i="6"/>
  <c r="H1459" i="6" s="1"/>
  <c r="G1460" i="6"/>
  <c r="H1460" i="6" s="1"/>
  <c r="G1461" i="6"/>
  <c r="H1461" i="6"/>
  <c r="G1462" i="6"/>
  <c r="H1462" i="6"/>
  <c r="G1463" i="6"/>
  <c r="H1463" i="6"/>
  <c r="G1464" i="6"/>
  <c r="H1464" i="6" s="1"/>
  <c r="G1465" i="6"/>
  <c r="H1465" i="6" s="1"/>
  <c r="G1466" i="6"/>
  <c r="H1466" i="6" s="1"/>
  <c r="G1467" i="6"/>
  <c r="H1467" i="6" s="1"/>
  <c r="G1468" i="6"/>
  <c r="H1468" i="6" s="1"/>
  <c r="G1469" i="6"/>
  <c r="H1469" i="6"/>
  <c r="G1470" i="6"/>
  <c r="H1470" i="6"/>
  <c r="G1471" i="6"/>
  <c r="H1471" i="6"/>
  <c r="G1472" i="6"/>
  <c r="H1472" i="6" s="1"/>
  <c r="G1473" i="6"/>
  <c r="H1473" i="6" s="1"/>
  <c r="G1474" i="6"/>
  <c r="H1474" i="6"/>
  <c r="G1475" i="6"/>
  <c r="H1475" i="6" s="1"/>
  <c r="G1476" i="6"/>
  <c r="H1476" i="6" s="1"/>
  <c r="G1477" i="6"/>
  <c r="H1477" i="6"/>
  <c r="G1478" i="6"/>
  <c r="H1478" i="6" s="1"/>
  <c r="G1479" i="6"/>
  <c r="H1479" i="6"/>
  <c r="G1480" i="6"/>
  <c r="H1480" i="6" s="1"/>
  <c r="G1481" i="6"/>
  <c r="H1481" i="6" s="1"/>
  <c r="G1482" i="6"/>
  <c r="H1482" i="6" s="1"/>
  <c r="G1483" i="6"/>
  <c r="H1483" i="6"/>
  <c r="G1484" i="6"/>
  <c r="H1484" i="6" s="1"/>
  <c r="G1485" i="6"/>
  <c r="H1485" i="6"/>
  <c r="G1486" i="6"/>
  <c r="H1486" i="6"/>
  <c r="G1487" i="6"/>
  <c r="H1487" i="6"/>
  <c r="G1488" i="6"/>
  <c r="H1488" i="6" s="1"/>
  <c r="G1489" i="6"/>
  <c r="H1489" i="6" s="1"/>
  <c r="G1490" i="6"/>
  <c r="H1490" i="6" s="1"/>
  <c r="G1491" i="6"/>
  <c r="H1491" i="6" s="1"/>
  <c r="G1492" i="6"/>
  <c r="H1492" i="6" s="1"/>
  <c r="G1493" i="6"/>
  <c r="H1493" i="6" s="1"/>
  <c r="G1494" i="6"/>
  <c r="H1494" i="6"/>
  <c r="G1495" i="6"/>
  <c r="H1495" i="6" s="1"/>
  <c r="G1496" i="6"/>
  <c r="H1496" i="6" s="1"/>
  <c r="G1497" i="6"/>
  <c r="H1497" i="6" s="1"/>
  <c r="G1498" i="6"/>
  <c r="H1498" i="6"/>
  <c r="G1499" i="6"/>
  <c r="H1499" i="6" s="1"/>
  <c r="G1500" i="6"/>
  <c r="H1500" i="6" s="1"/>
  <c r="G1501" i="6"/>
  <c r="H1501" i="6" s="1"/>
  <c r="G1502" i="6"/>
  <c r="H1502" i="6"/>
  <c r="G1503" i="6"/>
  <c r="H1503" i="6" s="1"/>
  <c r="G1504" i="6"/>
  <c r="H1504" i="6" s="1"/>
  <c r="G1505" i="6"/>
  <c r="H1505" i="6" s="1"/>
  <c r="G1506" i="6"/>
  <c r="H1506" i="6"/>
  <c r="G1507" i="6"/>
  <c r="H1507" i="6" s="1"/>
  <c r="G1508" i="6"/>
  <c r="H1508" i="6" s="1"/>
  <c r="G1509" i="6"/>
  <c r="H1509" i="6" s="1"/>
  <c r="G1510" i="6"/>
  <c r="H1510" i="6"/>
  <c r="G1511" i="6"/>
  <c r="H1511" i="6" s="1"/>
  <c r="G1512" i="6"/>
  <c r="H1512" i="6" s="1"/>
  <c r="G1513" i="6"/>
  <c r="H1513" i="6" s="1"/>
  <c r="G1514" i="6"/>
  <c r="H1514" i="6"/>
  <c r="G1515" i="6"/>
  <c r="H1515" i="6" s="1"/>
  <c r="G1516" i="6"/>
  <c r="H1516" i="6" s="1"/>
  <c r="G1517" i="6"/>
  <c r="H1517" i="6" s="1"/>
  <c r="G1518" i="6"/>
  <c r="H1518" i="6"/>
  <c r="G1519" i="6"/>
  <c r="H1519" i="6" s="1"/>
  <c r="G1520" i="6"/>
  <c r="H1520" i="6" s="1"/>
  <c r="G1521" i="6"/>
  <c r="H1521" i="6" s="1"/>
  <c r="G1522" i="6"/>
  <c r="H1522" i="6"/>
  <c r="G1523" i="6"/>
  <c r="H1523" i="6" s="1"/>
  <c r="G1524" i="6"/>
  <c r="H1524" i="6" s="1"/>
  <c r="G1525" i="6"/>
  <c r="H1525" i="6" s="1"/>
  <c r="G1526" i="6"/>
  <c r="H1526" i="6"/>
  <c r="G1527" i="6"/>
  <c r="H1527" i="6" s="1"/>
  <c r="G1528" i="6"/>
  <c r="H1528" i="6"/>
  <c r="G1529" i="6"/>
  <c r="H1529" i="6" s="1"/>
  <c r="G1530" i="6"/>
  <c r="H1530" i="6"/>
  <c r="G1531" i="6"/>
  <c r="H1531" i="6" s="1"/>
  <c r="G1532" i="6"/>
  <c r="H1532" i="6"/>
  <c r="G1533" i="6"/>
  <c r="H1533" i="6" s="1"/>
  <c r="G1534" i="6"/>
  <c r="H1534" i="6"/>
  <c r="G1535" i="6"/>
  <c r="H1535" i="6" s="1"/>
  <c r="G1536" i="6"/>
  <c r="H1536" i="6"/>
  <c r="G1537" i="6"/>
  <c r="H1537" i="6" s="1"/>
  <c r="G1538" i="6"/>
  <c r="H1538" i="6"/>
  <c r="G1539" i="6"/>
  <c r="H1539" i="6" s="1"/>
  <c r="G1540" i="6"/>
  <c r="H1540" i="6" s="1"/>
  <c r="G1541" i="6"/>
  <c r="H1541" i="6" s="1"/>
  <c r="G1542" i="6"/>
  <c r="H1542" i="6"/>
  <c r="G1543" i="6"/>
  <c r="H1543" i="6" s="1"/>
  <c r="G1544" i="6"/>
  <c r="H1544" i="6"/>
  <c r="G1545" i="6"/>
  <c r="H1545" i="6" s="1"/>
  <c r="G1546" i="6"/>
  <c r="H1546" i="6"/>
  <c r="G1547" i="6"/>
  <c r="H1547" i="6" s="1"/>
  <c r="G1548" i="6"/>
  <c r="H1548" i="6" s="1"/>
  <c r="G1549" i="6"/>
  <c r="H1549" i="6" s="1"/>
  <c r="G1550" i="6"/>
  <c r="H1550" i="6"/>
  <c r="G1551" i="6"/>
  <c r="H1551" i="6" s="1"/>
  <c r="G1552" i="6"/>
  <c r="H1552" i="6"/>
  <c r="G1553" i="6"/>
  <c r="H1553" i="6" s="1"/>
  <c r="G1554" i="6"/>
  <c r="H1554" i="6" s="1"/>
  <c r="G1555" i="6"/>
  <c r="H1555" i="6" s="1"/>
  <c r="G1556" i="6"/>
  <c r="H1556" i="6" s="1"/>
  <c r="G1557" i="6"/>
  <c r="H1557" i="6" s="1"/>
  <c r="G1558" i="6"/>
  <c r="H1558" i="6" s="1"/>
  <c r="G1559" i="6"/>
  <c r="H1559" i="6" s="1"/>
  <c r="G1560" i="6"/>
  <c r="H1560" i="6"/>
  <c r="G1561" i="6"/>
  <c r="H1561" i="6" s="1"/>
  <c r="G1562" i="6"/>
  <c r="H1562" i="6"/>
  <c r="G1563" i="6"/>
  <c r="H1563" i="6" s="1"/>
  <c r="G1564" i="6"/>
  <c r="H1564" i="6" s="1"/>
  <c r="G1565" i="6"/>
  <c r="H1565" i="6" s="1"/>
  <c r="G1566" i="6"/>
  <c r="H1566" i="6" s="1"/>
  <c r="G1567" i="6"/>
  <c r="H1567" i="6" s="1"/>
  <c r="G1568" i="6"/>
  <c r="H1568" i="6"/>
  <c r="G1569" i="6"/>
  <c r="H1569" i="6" s="1"/>
  <c r="G1570" i="6"/>
  <c r="H1570" i="6" s="1"/>
  <c r="G1571" i="6"/>
  <c r="H1571" i="6" s="1"/>
  <c r="G1572" i="6"/>
  <c r="H1572" i="6" s="1"/>
  <c r="G1573" i="6"/>
  <c r="H1573" i="6" s="1"/>
  <c r="G1574" i="6"/>
  <c r="H1574" i="6"/>
  <c r="G1575" i="6"/>
  <c r="H1575" i="6" s="1"/>
  <c r="G1576" i="6"/>
  <c r="H1576" i="6"/>
  <c r="G1577" i="6"/>
  <c r="H1577" i="6" s="1"/>
  <c r="G1578" i="6"/>
  <c r="H1578" i="6"/>
  <c r="G1579" i="6"/>
  <c r="H1579" i="6" s="1"/>
  <c r="G1580" i="6"/>
  <c r="H1580" i="6"/>
  <c r="G1581" i="6"/>
  <c r="H1581" i="6" s="1"/>
  <c r="G1582" i="6"/>
  <c r="H1582" i="6" s="1"/>
  <c r="G1583" i="6"/>
  <c r="H1583" i="6" s="1"/>
  <c r="G1584" i="6"/>
  <c r="H1584" i="6"/>
  <c r="G1585" i="6"/>
  <c r="H1585" i="6" s="1"/>
  <c r="G1586" i="6"/>
  <c r="H1586" i="6" s="1"/>
  <c r="G1587" i="6"/>
  <c r="H1587" i="6" s="1"/>
  <c r="G1588" i="6"/>
  <c r="H1588" i="6" s="1"/>
  <c r="G1589" i="6"/>
  <c r="H1589" i="6" s="1"/>
  <c r="G1590" i="6"/>
  <c r="H1590" i="6"/>
  <c r="G1591" i="6"/>
  <c r="H1591" i="6" s="1"/>
  <c r="G1592" i="6"/>
  <c r="H1592" i="6"/>
  <c r="G1593" i="6"/>
  <c r="H1593" i="6" s="1"/>
  <c r="G1594" i="6"/>
  <c r="H1594" i="6"/>
  <c r="G1595" i="6"/>
  <c r="H1595" i="6" s="1"/>
  <c r="G1596" i="6"/>
  <c r="H1596" i="6" s="1"/>
  <c r="G1597" i="6"/>
  <c r="H1597" i="6" s="1"/>
  <c r="G1598" i="6"/>
  <c r="H1598" i="6" s="1"/>
  <c r="G1599" i="6"/>
  <c r="H1599" i="6" s="1"/>
  <c r="G1600" i="6"/>
  <c r="H1600" i="6"/>
  <c r="G1601" i="6"/>
  <c r="H1601" i="6" s="1"/>
  <c r="G1602" i="6"/>
  <c r="H1602" i="6" s="1"/>
  <c r="G1603" i="6"/>
  <c r="H1603" i="6" s="1"/>
  <c r="G1604" i="6"/>
  <c r="H1604" i="6" s="1"/>
  <c r="G1605" i="6"/>
  <c r="H1605" i="6" s="1"/>
  <c r="G1606" i="6"/>
  <c r="H1606" i="6"/>
  <c r="G1607" i="6"/>
  <c r="H1607" i="6" s="1"/>
  <c r="G1608" i="6"/>
  <c r="H1608" i="6"/>
  <c r="G1609" i="6"/>
  <c r="H1609" i="6" s="1"/>
  <c r="G1610" i="6"/>
  <c r="H1610" i="6"/>
  <c r="G1611" i="6"/>
  <c r="H1611" i="6" s="1"/>
  <c r="G1612" i="6"/>
  <c r="H1612" i="6" s="1"/>
  <c r="G1613" i="6"/>
  <c r="H1613" i="6" s="1"/>
  <c r="G1614" i="6"/>
  <c r="H1614" i="6" s="1"/>
  <c r="G1615" i="6"/>
  <c r="H1615" i="6" s="1"/>
  <c r="G1616" i="6"/>
  <c r="H1616" i="6"/>
  <c r="G1617" i="6"/>
  <c r="H1617" i="6" s="1"/>
  <c r="G1618" i="6"/>
  <c r="H1618" i="6" s="1"/>
  <c r="G1619" i="6"/>
  <c r="H1619" i="6" s="1"/>
  <c r="G1620" i="6"/>
  <c r="H1620" i="6" s="1"/>
  <c r="G1621" i="6"/>
  <c r="H1621" i="6" s="1"/>
  <c r="G1622" i="6"/>
  <c r="H1622" i="6"/>
  <c r="G1623" i="6"/>
  <c r="H1623" i="6" s="1"/>
  <c r="G1624" i="6"/>
  <c r="H1624" i="6"/>
  <c r="G1625" i="6"/>
  <c r="H1625" i="6" s="1"/>
  <c r="G1626" i="6"/>
  <c r="H1626" i="6"/>
  <c r="G1627" i="6"/>
  <c r="H1627" i="6" s="1"/>
  <c r="G1628" i="6"/>
  <c r="H1628" i="6" s="1"/>
  <c r="G1629" i="6"/>
  <c r="H1629" i="6" s="1"/>
  <c r="G1630" i="6"/>
  <c r="H1630" i="6" s="1"/>
  <c r="G1631" i="6"/>
  <c r="H1631" i="6" s="1"/>
  <c r="G1632" i="6"/>
  <c r="H1632" i="6"/>
  <c r="G1633" i="6"/>
  <c r="H1633" i="6" s="1"/>
  <c r="G1634" i="6"/>
  <c r="H1634" i="6" s="1"/>
  <c r="G1635" i="6"/>
  <c r="H1635" i="6" s="1"/>
  <c r="G1636" i="6"/>
  <c r="H1636" i="6" s="1"/>
  <c r="G1637" i="6"/>
  <c r="H1637" i="6" s="1"/>
  <c r="G1638" i="6"/>
  <c r="H1638" i="6" s="1"/>
  <c r="G1639" i="6"/>
  <c r="H1639" i="6" s="1"/>
  <c r="G1640" i="6"/>
  <c r="H1640" i="6"/>
  <c r="G1641" i="6"/>
  <c r="H1641" i="6" s="1"/>
  <c r="G1642" i="6"/>
  <c r="H1642" i="6"/>
  <c r="G1643" i="6"/>
  <c r="H1643" i="6" s="1"/>
  <c r="G1644" i="6"/>
  <c r="H1644" i="6"/>
  <c r="G1645" i="6"/>
  <c r="H1645" i="6" s="1"/>
  <c r="G1646" i="6"/>
  <c r="H1646" i="6" s="1"/>
  <c r="G1647" i="6"/>
  <c r="H1647" i="6" s="1"/>
  <c r="G1648" i="6"/>
  <c r="H1648" i="6"/>
  <c r="G1649" i="6"/>
  <c r="H1649" i="6" s="1"/>
  <c r="G1650" i="6"/>
  <c r="H1650" i="6" s="1"/>
  <c r="G1651" i="6"/>
  <c r="H1651" i="6" s="1"/>
  <c r="G1652" i="6"/>
  <c r="H1652" i="6" s="1"/>
  <c r="G1653" i="6"/>
  <c r="H1653" i="6" s="1"/>
  <c r="G1654" i="6"/>
  <c r="H1654" i="6"/>
  <c r="G1655" i="6"/>
  <c r="H1655" i="6" s="1"/>
  <c r="G1656" i="6"/>
  <c r="H1656" i="6"/>
  <c r="G1657" i="6"/>
  <c r="H1657" i="6" s="1"/>
  <c r="G1658" i="6"/>
  <c r="H1658" i="6"/>
  <c r="G1659" i="6"/>
  <c r="H1659" i="6" s="1"/>
  <c r="G1660" i="6"/>
  <c r="H1660" i="6"/>
  <c r="G1661" i="6"/>
  <c r="H1661" i="6" s="1"/>
  <c r="G1662" i="6"/>
  <c r="H1662" i="6" s="1"/>
  <c r="G1663" i="6"/>
  <c r="H1663" i="6" s="1"/>
  <c r="G1664" i="6"/>
  <c r="H1664" i="6"/>
  <c r="G1665" i="6"/>
  <c r="H1665" i="6" s="1"/>
  <c r="G1666" i="6"/>
  <c r="H1666" i="6" s="1"/>
  <c r="G1667" i="6"/>
  <c r="H1667" i="6" s="1"/>
  <c r="G1668" i="6"/>
  <c r="H1668" i="6" s="1"/>
  <c r="G1669" i="6"/>
  <c r="H1669" i="6" s="1"/>
  <c r="G1670" i="6"/>
  <c r="H1670" i="6" s="1"/>
  <c r="G1671" i="6"/>
  <c r="H1671" i="6" s="1"/>
  <c r="G1672" i="6"/>
  <c r="H1672" i="6"/>
  <c r="G1673" i="6"/>
  <c r="H1673" i="6" s="1"/>
  <c r="G1674" i="6"/>
  <c r="H1674" i="6"/>
  <c r="G1675" i="6"/>
  <c r="H1675" i="6" s="1"/>
  <c r="G1676" i="6"/>
  <c r="H1676" i="6"/>
  <c r="G1677" i="6"/>
  <c r="H1677" i="6" s="1"/>
  <c r="G1678" i="6"/>
  <c r="H1678" i="6" s="1"/>
  <c r="G1679" i="6"/>
  <c r="H1679" i="6" s="1"/>
  <c r="G1680" i="6"/>
  <c r="H1680" i="6"/>
  <c r="G1681" i="6"/>
  <c r="H1681" i="6" s="1"/>
  <c r="G1682" i="6"/>
  <c r="H1682" i="6" s="1"/>
  <c r="G1683" i="6"/>
  <c r="H1683" i="6" s="1"/>
  <c r="G1684" i="6"/>
  <c r="H1684" i="6" s="1"/>
  <c r="G1685" i="6"/>
  <c r="H1685" i="6" s="1"/>
  <c r="G1686" i="6"/>
  <c r="H1686" i="6" s="1"/>
  <c r="G1687" i="6"/>
  <c r="H1687" i="6" s="1"/>
  <c r="G1688" i="6"/>
  <c r="H1688" i="6"/>
  <c r="G1689" i="6"/>
  <c r="H1689" i="6" s="1"/>
  <c r="G1690" i="6"/>
  <c r="H1690" i="6"/>
  <c r="G1691" i="6"/>
  <c r="H1691" i="6" s="1"/>
  <c r="G1692" i="6"/>
  <c r="H1692" i="6" s="1"/>
  <c r="G1693" i="6"/>
  <c r="H1693" i="6" s="1"/>
  <c r="G1694" i="6"/>
  <c r="H1694" i="6" s="1"/>
  <c r="G1695" i="6"/>
  <c r="H1695" i="6" s="1"/>
  <c r="G1696" i="6"/>
  <c r="H1696" i="6"/>
  <c r="G1697" i="6"/>
  <c r="H1697" i="6" s="1"/>
  <c r="G1698" i="6"/>
  <c r="H1698" i="6" s="1"/>
  <c r="G1699" i="6"/>
  <c r="H1699" i="6" s="1"/>
  <c r="G1700" i="6"/>
  <c r="H1700" i="6" s="1"/>
  <c r="G1701" i="6"/>
  <c r="H1701" i="6" s="1"/>
  <c r="G1702" i="6"/>
  <c r="H1702" i="6" s="1"/>
  <c r="G1703" i="6"/>
  <c r="H1703" i="6" s="1"/>
  <c r="G1704" i="6"/>
  <c r="H1704" i="6"/>
  <c r="G1705" i="6"/>
  <c r="H1705" i="6" s="1"/>
  <c r="G1706" i="6"/>
  <c r="H1706" i="6"/>
  <c r="G1707" i="6"/>
  <c r="H1707" i="6" s="1"/>
  <c r="G1708" i="6"/>
  <c r="H1708" i="6"/>
  <c r="G1709" i="6"/>
  <c r="H1709" i="6" s="1"/>
  <c r="G1710" i="6"/>
  <c r="H1710" i="6" s="1"/>
  <c r="G1711" i="6"/>
  <c r="H1711" i="6" s="1"/>
  <c r="G1712" i="6"/>
  <c r="H1712" i="6"/>
  <c r="G1713" i="6"/>
  <c r="H1713" i="6" s="1"/>
  <c r="G1714" i="6"/>
  <c r="H1714" i="6" s="1"/>
  <c r="G1715" i="6"/>
  <c r="H1715" i="6" s="1"/>
  <c r="G1716" i="6"/>
  <c r="H1716" i="6"/>
  <c r="G1717" i="6"/>
  <c r="H1717" i="6" s="1"/>
  <c r="G1718" i="6"/>
  <c r="H1718" i="6" s="1"/>
  <c r="G1719" i="6"/>
  <c r="H1719" i="6" s="1"/>
  <c r="G1720" i="6"/>
  <c r="H1720" i="6"/>
  <c r="G1721" i="6"/>
  <c r="H1721" i="6" s="1"/>
  <c r="G1722" i="6"/>
  <c r="H1722" i="6"/>
  <c r="G1723" i="6"/>
  <c r="H1723" i="6" s="1"/>
  <c r="G1724" i="6"/>
  <c r="H1724" i="6"/>
  <c r="G1725" i="6"/>
  <c r="H1725" i="6" s="1"/>
  <c r="G1726" i="6"/>
  <c r="H1726" i="6" s="1"/>
  <c r="G1727" i="6"/>
  <c r="H1727" i="6" s="1"/>
  <c r="G1728" i="6"/>
  <c r="H1728" i="6"/>
  <c r="G1729" i="6"/>
  <c r="H1729" i="6" s="1"/>
  <c r="G1730" i="6"/>
  <c r="H1730" i="6" s="1"/>
  <c r="G1731" i="6"/>
  <c r="H1731" i="6" s="1"/>
  <c r="G1732" i="6"/>
  <c r="H1732" i="6"/>
  <c r="G1733" i="6"/>
  <c r="H1733" i="6" s="1"/>
  <c r="G1734" i="6"/>
  <c r="H1734" i="6" s="1"/>
  <c r="G1735" i="6"/>
  <c r="H1735" i="6" s="1"/>
  <c r="G1736" i="6"/>
  <c r="H1736" i="6"/>
  <c r="G1737" i="6"/>
  <c r="H1737" i="6" s="1"/>
  <c r="G1738" i="6"/>
  <c r="H1738" i="6" s="1"/>
  <c r="G1739" i="6"/>
  <c r="H1739" i="6" s="1"/>
  <c r="G1740" i="6"/>
  <c r="H1740" i="6" s="1"/>
  <c r="G1741" i="6"/>
  <c r="H1741" i="6" s="1"/>
  <c r="G1742" i="6"/>
  <c r="H1742" i="6" s="1"/>
  <c r="G1743" i="6"/>
  <c r="H1743" i="6" s="1"/>
  <c r="G1744" i="6"/>
  <c r="H1744" i="6"/>
  <c r="G1745" i="6"/>
  <c r="H1745" i="6" s="1"/>
  <c r="G1746" i="6"/>
  <c r="H1746" i="6" s="1"/>
  <c r="G1747" i="6"/>
  <c r="H1747" i="6" s="1"/>
  <c r="G1748" i="6"/>
  <c r="H1748" i="6"/>
  <c r="G1749" i="6"/>
  <c r="H1749" i="6" s="1"/>
  <c r="G1750" i="6"/>
  <c r="H1750" i="6"/>
  <c r="G1751" i="6"/>
  <c r="H1751" i="6" s="1"/>
  <c r="G1752" i="6"/>
  <c r="H1752" i="6"/>
  <c r="G1753" i="6"/>
  <c r="H1753" i="6" s="1"/>
  <c r="G1754" i="6"/>
  <c r="H1754" i="6" s="1"/>
  <c r="G1755" i="6"/>
  <c r="H1755" i="6" s="1"/>
  <c r="G1756" i="6"/>
  <c r="H1756" i="6"/>
  <c r="G1757" i="6"/>
  <c r="H1757" i="6" s="1"/>
  <c r="G1758" i="6"/>
  <c r="H1758" i="6" s="1"/>
  <c r="G1759" i="6"/>
  <c r="H1759" i="6" s="1"/>
  <c r="G1760" i="6"/>
  <c r="H1760" i="6"/>
  <c r="G1761" i="6"/>
  <c r="H1761" i="6" s="1"/>
  <c r="G1762" i="6"/>
  <c r="H1762" i="6" s="1"/>
  <c r="G1763" i="6"/>
  <c r="H1763" i="6" s="1"/>
  <c r="G1764" i="6"/>
  <c r="H1764" i="6"/>
  <c r="G1765" i="6"/>
  <c r="H1765" i="6" s="1"/>
  <c r="G1766" i="6"/>
  <c r="H1766" i="6" s="1"/>
  <c r="G1767" i="6"/>
  <c r="H1767" i="6" s="1"/>
  <c r="G1768" i="6"/>
  <c r="H1768" i="6"/>
  <c r="G1769" i="6"/>
  <c r="H1769" i="6" s="1"/>
  <c r="G1770" i="6"/>
  <c r="H1770" i="6" s="1"/>
  <c r="G1771" i="6"/>
  <c r="H1771" i="6" s="1"/>
  <c r="G1772" i="6"/>
  <c r="H1772" i="6" s="1"/>
  <c r="G1773" i="6"/>
  <c r="H1773" i="6" s="1"/>
  <c r="G1774" i="6"/>
  <c r="H1774" i="6" s="1"/>
  <c r="G1775" i="6"/>
  <c r="H1775" i="6" s="1"/>
  <c r="G1776" i="6"/>
  <c r="H1776" i="6"/>
  <c r="G1777" i="6"/>
  <c r="H1777" i="6" s="1"/>
  <c r="G1778" i="6"/>
  <c r="H1778" i="6" s="1"/>
  <c r="G1779" i="6"/>
  <c r="H1779" i="6" s="1"/>
  <c r="G1780" i="6"/>
  <c r="H1780" i="6"/>
  <c r="G1781" i="6"/>
  <c r="H1781" i="6" s="1"/>
  <c r="G1782" i="6"/>
  <c r="H1782" i="6" s="1"/>
  <c r="G1783" i="6"/>
  <c r="H1783" i="6" s="1"/>
  <c r="G1784" i="6"/>
  <c r="H1784" i="6" s="1"/>
  <c r="G1785" i="6"/>
  <c r="H1785" i="6" s="1"/>
  <c r="G1786" i="6"/>
  <c r="H1786" i="6"/>
  <c r="G1787" i="6"/>
  <c r="H1787" i="6"/>
  <c r="G1788" i="6"/>
  <c r="H1788" i="6"/>
  <c r="G1789" i="6"/>
  <c r="H1789" i="6" s="1"/>
  <c r="G1790" i="6"/>
  <c r="H1790" i="6" s="1"/>
  <c r="G1791" i="6"/>
  <c r="H1791" i="6" s="1"/>
  <c r="G1792" i="6"/>
  <c r="H1792" i="6" s="1"/>
  <c r="G1793" i="6"/>
  <c r="H1793" i="6" s="1"/>
  <c r="G1794" i="6"/>
  <c r="H1794" i="6"/>
  <c r="G1795" i="6"/>
  <c r="H1795" i="6"/>
  <c r="G1796" i="6"/>
  <c r="H1796" i="6" s="1"/>
  <c r="G1797" i="6"/>
  <c r="H1797" i="6" s="1"/>
  <c r="G1798" i="6"/>
  <c r="H1798" i="6" s="1"/>
  <c r="G1799" i="6"/>
  <c r="H1799" i="6" s="1"/>
  <c r="G1800" i="6"/>
  <c r="H1800" i="6"/>
  <c r="G1801" i="6"/>
  <c r="H1801" i="6" s="1"/>
  <c r="G1802" i="6"/>
  <c r="H1802" i="6"/>
  <c r="G1803" i="6"/>
  <c r="H1803" i="6"/>
  <c r="G1804" i="6"/>
  <c r="H1804" i="6"/>
  <c r="G1805" i="6"/>
  <c r="H1805" i="6" s="1"/>
  <c r="G1806" i="6"/>
  <c r="H1806" i="6" s="1"/>
  <c r="G1807" i="6"/>
  <c r="H1807" i="6" s="1"/>
  <c r="G1808" i="6"/>
  <c r="H1808" i="6" s="1"/>
  <c r="G1809" i="6"/>
  <c r="H1809" i="6" s="1"/>
  <c r="G1810" i="6"/>
  <c r="H1810" i="6" s="1"/>
  <c r="G1811" i="6"/>
  <c r="H1811" i="6"/>
  <c r="G1812" i="6"/>
  <c r="H1812" i="6"/>
  <c r="G1813" i="6"/>
  <c r="H1813" i="6" s="1"/>
  <c r="G1814" i="6"/>
  <c r="H1814" i="6"/>
  <c r="G1815" i="6"/>
  <c r="H1815" i="6" s="1"/>
  <c r="G1816" i="6"/>
  <c r="H1816" i="6" s="1"/>
  <c r="G1817" i="6"/>
  <c r="H1817" i="6" s="1"/>
  <c r="G1818" i="6"/>
  <c r="H1818" i="6"/>
  <c r="G1819" i="6"/>
  <c r="H1819" i="6"/>
  <c r="G1820" i="6"/>
  <c r="H1820" i="6"/>
  <c r="G1821" i="6"/>
  <c r="H1821" i="6" s="1"/>
  <c r="G1822" i="6"/>
  <c r="H1822" i="6" s="1"/>
  <c r="G1823" i="6"/>
  <c r="H1823" i="6"/>
  <c r="G1824" i="6"/>
  <c r="H1824" i="6" s="1"/>
  <c r="G1825" i="6"/>
  <c r="H1825" i="6" s="1"/>
  <c r="G1826" i="6"/>
  <c r="H1826" i="6" s="1"/>
  <c r="G1827" i="6"/>
  <c r="H1827" i="6" s="1"/>
  <c r="G1828" i="6"/>
  <c r="H1828" i="6" s="1"/>
  <c r="G1829" i="6"/>
  <c r="H1829" i="6" s="1"/>
  <c r="G1830" i="6"/>
  <c r="H1830" i="6" s="1"/>
  <c r="G1831" i="6"/>
  <c r="H1831" i="6"/>
  <c r="G1832" i="6"/>
  <c r="H1832" i="6" s="1"/>
  <c r="G1833" i="6"/>
  <c r="H1833" i="6" s="1"/>
  <c r="G1834" i="6"/>
  <c r="H1834" i="6" s="1"/>
  <c r="G1835" i="6"/>
  <c r="H1835" i="6" s="1"/>
  <c r="G1836" i="6"/>
  <c r="H1836" i="6" s="1"/>
  <c r="G1837" i="6"/>
  <c r="H1837" i="6" s="1"/>
  <c r="G1838" i="6"/>
  <c r="H1838" i="6"/>
  <c r="G1839" i="6"/>
  <c r="H1839" i="6" s="1"/>
  <c r="G1840" i="6"/>
  <c r="H1840" i="6" s="1"/>
  <c r="G1841" i="6"/>
  <c r="H1841" i="6" s="1"/>
  <c r="G1842" i="6"/>
  <c r="H1842" i="6" s="1"/>
  <c r="G1843" i="6"/>
  <c r="H1843" i="6"/>
  <c r="G1844" i="6"/>
  <c r="H1844" i="6" s="1"/>
  <c r="G1845" i="6"/>
  <c r="H1845" i="6" s="1"/>
  <c r="G1846" i="6"/>
  <c r="H1846" i="6" s="1"/>
  <c r="G1847" i="6"/>
  <c r="H1847" i="6" s="1"/>
  <c r="G1848" i="6"/>
  <c r="H1848" i="6" s="1"/>
  <c r="G1849" i="6"/>
  <c r="H1849" i="6" s="1"/>
  <c r="G1850" i="6"/>
  <c r="H1850" i="6" s="1"/>
  <c r="G1851" i="6"/>
  <c r="H1851" i="6" s="1"/>
  <c r="G1852" i="6"/>
  <c r="H1852" i="6" s="1"/>
  <c r="G1853" i="6"/>
  <c r="H1853" i="6" s="1"/>
  <c r="G1854" i="6"/>
  <c r="H1854" i="6"/>
  <c r="G1855" i="6"/>
  <c r="H1855" i="6" s="1"/>
  <c r="G1856" i="6"/>
  <c r="H1856" i="6" s="1"/>
  <c r="G1857" i="6"/>
  <c r="H1857" i="6" s="1"/>
  <c r="G1858" i="6"/>
  <c r="H1858" i="6" s="1"/>
  <c r="G1859" i="6"/>
  <c r="H1859" i="6"/>
  <c r="G1860" i="6"/>
  <c r="H1860" i="6" s="1"/>
  <c r="G1861" i="6"/>
  <c r="H1861" i="6" s="1"/>
  <c r="G1862" i="6"/>
  <c r="H1862" i="6" s="1"/>
  <c r="G1863" i="6"/>
  <c r="H1863" i="6" s="1"/>
  <c r="G1864" i="6"/>
  <c r="H1864" i="6" s="1"/>
  <c r="G1865" i="6"/>
  <c r="H1865" i="6" s="1"/>
  <c r="G1866" i="6"/>
  <c r="H1866" i="6" s="1"/>
  <c r="G1867" i="6"/>
  <c r="H1867" i="6" s="1"/>
  <c r="G1868" i="6"/>
  <c r="H1868" i="6" s="1"/>
  <c r="G1869" i="6"/>
  <c r="H1869" i="6" s="1"/>
  <c r="G1870" i="6"/>
  <c r="H1870" i="6"/>
  <c r="G1871" i="6"/>
  <c r="H1871" i="6" s="1"/>
  <c r="G1872" i="6"/>
  <c r="H1872" i="6" s="1"/>
  <c r="G1873" i="6"/>
  <c r="H1873" i="6" s="1"/>
  <c r="G1874" i="6"/>
  <c r="H1874" i="6" s="1"/>
  <c r="G1875" i="6"/>
  <c r="H1875" i="6"/>
  <c r="G1876" i="6"/>
  <c r="H1876" i="6" s="1"/>
  <c r="G1877" i="6"/>
  <c r="H1877" i="6" s="1"/>
  <c r="G1878" i="6"/>
  <c r="H1878" i="6" s="1"/>
  <c r="G1879" i="6"/>
  <c r="H1879" i="6" s="1"/>
  <c r="G1880" i="6"/>
  <c r="H1880" i="6" s="1"/>
  <c r="G1881" i="6"/>
  <c r="H1881" i="6" s="1"/>
  <c r="G1882" i="6"/>
  <c r="H1882" i="6" s="1"/>
  <c r="G1883" i="6"/>
  <c r="H1883" i="6" s="1"/>
  <c r="G1884" i="6"/>
  <c r="H1884" i="6" s="1"/>
  <c r="G1885" i="6"/>
  <c r="H1885" i="6" s="1"/>
  <c r="G1886" i="6"/>
  <c r="H1886" i="6"/>
  <c r="G1887" i="6"/>
  <c r="H1887" i="6" s="1"/>
  <c r="G1888" i="6"/>
  <c r="H1888" i="6" s="1"/>
  <c r="G1889" i="6"/>
  <c r="H1889" i="6" s="1"/>
  <c r="G1890" i="6"/>
  <c r="H1890" i="6" s="1"/>
  <c r="G1891" i="6"/>
  <c r="H1891" i="6"/>
  <c r="G1892" i="6"/>
  <c r="H1892" i="6" s="1"/>
  <c r="G1893" i="6"/>
  <c r="H1893" i="6" s="1"/>
  <c r="G1894" i="6"/>
  <c r="H1894" i="6" s="1"/>
  <c r="G1895" i="6"/>
  <c r="H1895" i="6" s="1"/>
  <c r="G1896" i="6"/>
  <c r="H1896" i="6" s="1"/>
  <c r="G1897" i="6"/>
  <c r="H1897" i="6" s="1"/>
  <c r="G1898" i="6"/>
  <c r="H1898" i="6" s="1"/>
  <c r="G1899" i="6"/>
  <c r="H1899" i="6" s="1"/>
  <c r="G1900" i="6"/>
  <c r="H1900" i="6" s="1"/>
  <c r="G1901" i="6"/>
  <c r="H1901" i="6" s="1"/>
  <c r="G1902" i="6"/>
  <c r="H1902" i="6"/>
  <c r="G1903" i="6"/>
  <c r="H1903" i="6" s="1"/>
  <c r="G1904" i="6"/>
  <c r="H1904" i="6" s="1"/>
  <c r="G1905" i="6"/>
  <c r="H1905" i="6" s="1"/>
  <c r="G1906" i="6"/>
  <c r="H1906" i="6" s="1"/>
  <c r="G1907" i="6"/>
  <c r="H1907" i="6"/>
  <c r="G1908" i="6"/>
  <c r="H1908" i="6" s="1"/>
  <c r="G1909" i="6"/>
  <c r="H1909" i="6" s="1"/>
  <c r="G1910" i="6"/>
  <c r="H1910" i="6" s="1"/>
  <c r="G1911" i="6"/>
  <c r="H1911" i="6" s="1"/>
  <c r="G1912" i="6"/>
  <c r="H1912" i="6" s="1"/>
  <c r="G1913" i="6"/>
  <c r="H1913" i="6" s="1"/>
  <c r="G1914" i="6"/>
  <c r="H1914" i="6" s="1"/>
  <c r="G1915" i="6"/>
  <c r="H1915" i="6" s="1"/>
  <c r="G1916" i="6"/>
  <c r="H1916" i="6" s="1"/>
  <c r="G1917" i="6"/>
  <c r="H1917" i="6" s="1"/>
  <c r="G1918" i="6"/>
  <c r="H1918" i="6"/>
  <c r="H2224" i="6"/>
  <c r="H2225" i="6"/>
  <c r="H2226" i="6"/>
  <c r="H2227" i="6"/>
  <c r="H2228" i="6"/>
  <c r="H2229" i="6"/>
  <c r="H2230" i="6"/>
  <c r="H2231" i="6"/>
  <c r="H2232" i="6"/>
  <c r="H2233" i="6"/>
  <c r="H2234" i="6"/>
  <c r="H2235" i="6"/>
  <c r="H2236" i="6"/>
  <c r="H2237" i="6"/>
  <c r="H2238" i="6"/>
  <c r="H2239" i="6"/>
  <c r="H2240" i="6"/>
  <c r="H2241" i="6"/>
  <c r="H2242" i="6"/>
  <c r="H2243" i="6"/>
  <c r="H2244" i="6"/>
  <c r="H2245" i="6"/>
  <c r="H2246" i="6"/>
  <c r="H2247" i="6"/>
  <c r="H2248" i="6"/>
  <c r="H2249" i="6"/>
  <c r="H2250" i="6"/>
  <c r="H2251" i="6"/>
  <c r="H2252" i="6"/>
  <c r="H2253" i="6"/>
  <c r="H2254" i="6"/>
  <c r="H2255" i="6"/>
  <c r="H2256" i="6"/>
  <c r="H2257" i="6"/>
  <c r="H2258" i="6"/>
  <c r="H2259" i="6"/>
  <c r="H2260" i="6"/>
  <c r="H2261" i="6"/>
  <c r="H2262" i="6"/>
  <c r="H2263" i="6"/>
  <c r="H2264" i="6"/>
  <c r="H2265" i="6"/>
  <c r="H2266" i="6"/>
  <c r="H2267" i="6"/>
  <c r="H2268" i="6"/>
  <c r="H2269" i="6"/>
  <c r="H2270" i="6"/>
  <c r="H2271" i="6"/>
  <c r="H2272" i="6"/>
  <c r="H2273" i="6"/>
  <c r="H2274" i="6"/>
  <c r="H2275" i="6"/>
  <c r="H2276" i="6"/>
  <c r="H2277" i="6"/>
  <c r="H2278" i="6"/>
  <c r="H2279" i="6"/>
  <c r="H2280" i="6"/>
  <c r="H2281" i="6"/>
  <c r="H2282" i="6"/>
  <c r="H2283" i="6"/>
  <c r="H2284" i="6"/>
  <c r="H2285" i="6"/>
  <c r="H2286" i="6"/>
  <c r="H2287" i="6"/>
  <c r="H2288" i="6"/>
  <c r="H2289" i="6"/>
  <c r="H2290" i="6"/>
  <c r="H2291" i="6"/>
  <c r="H2292" i="6"/>
  <c r="H2293" i="6"/>
  <c r="H2294" i="6"/>
  <c r="H2295" i="6"/>
  <c r="H2296" i="6"/>
  <c r="H2297" i="6"/>
  <c r="H2298" i="6"/>
  <c r="H2299" i="6"/>
  <c r="H2300" i="6"/>
  <c r="H2301" i="6"/>
  <c r="H2302" i="6"/>
  <c r="H2303" i="6"/>
  <c r="H2304" i="6"/>
  <c r="H2305" i="6"/>
  <c r="H2306" i="6"/>
  <c r="H2307" i="6"/>
  <c r="H2308" i="6"/>
  <c r="H2309" i="6"/>
  <c r="H2310" i="6"/>
  <c r="H2311" i="6"/>
  <c r="H2312" i="6"/>
  <c r="H2313" i="6"/>
  <c r="H2314" i="6"/>
  <c r="H2315" i="6"/>
  <c r="H2316" i="6"/>
  <c r="H2317" i="6"/>
  <c r="H2318" i="6"/>
  <c r="H2319" i="6"/>
  <c r="H2320" i="6"/>
  <c r="H2321" i="6"/>
  <c r="H2322" i="6"/>
  <c r="H2323" i="6"/>
  <c r="H2324" i="6"/>
  <c r="H2325" i="6"/>
  <c r="H2326" i="6"/>
  <c r="H2327" i="6"/>
  <c r="H2328" i="6"/>
  <c r="H2329" i="6"/>
  <c r="H2330" i="6"/>
  <c r="H2331" i="6"/>
  <c r="H2332" i="6"/>
  <c r="H2333" i="6"/>
  <c r="H2334" i="6"/>
  <c r="H2335" i="6"/>
  <c r="H2336" i="6"/>
  <c r="H2337" i="6"/>
  <c r="H2338" i="6"/>
  <c r="H2339" i="6"/>
  <c r="H2340" i="6"/>
  <c r="H2341" i="6"/>
  <c r="H2342" i="6"/>
  <c r="H2343" i="6"/>
  <c r="H2344" i="6"/>
  <c r="H2345" i="6"/>
  <c r="H2346" i="6"/>
  <c r="H2347" i="6"/>
  <c r="H2348" i="6"/>
  <c r="H2349" i="6"/>
  <c r="H2350" i="6"/>
  <c r="H2351" i="6"/>
  <c r="H2352" i="6"/>
  <c r="H2353" i="6"/>
  <c r="H2354" i="6"/>
  <c r="H2355" i="6"/>
  <c r="H2356" i="6"/>
  <c r="H2357" i="6"/>
  <c r="H2358" i="6"/>
  <c r="H2359" i="6"/>
  <c r="H2360" i="6"/>
  <c r="H2361" i="6"/>
  <c r="H2362" i="6"/>
  <c r="H2363" i="6"/>
  <c r="H2364" i="6"/>
  <c r="H2365" i="6"/>
  <c r="H2366" i="6"/>
  <c r="H2367" i="6"/>
  <c r="H2368" i="6"/>
  <c r="H2369" i="6"/>
  <c r="H2370" i="6"/>
  <c r="H2371" i="6"/>
  <c r="H2372" i="6"/>
  <c r="H2373" i="6"/>
  <c r="H2374" i="6"/>
  <c r="H2375" i="6"/>
  <c r="H2376" i="6"/>
  <c r="H2377" i="6"/>
  <c r="H2378" i="6"/>
  <c r="H2379" i="6"/>
  <c r="H2380" i="6"/>
  <c r="H2381" i="6"/>
  <c r="H2382" i="6"/>
  <c r="H2383" i="6"/>
  <c r="H2384" i="6"/>
  <c r="H2385" i="6"/>
  <c r="H2386" i="6"/>
  <c r="H2387" i="6"/>
  <c r="H2388" i="6"/>
  <c r="H2389" i="6"/>
  <c r="H2390" i="6"/>
  <c r="H2391" i="6"/>
  <c r="H2392" i="6"/>
  <c r="H2393" i="6"/>
  <c r="H2394" i="6"/>
  <c r="H2395" i="6"/>
  <c r="H2396" i="6"/>
  <c r="H2397" i="6"/>
  <c r="H2398" i="6"/>
  <c r="H2399" i="6"/>
  <c r="H2400" i="6"/>
  <c r="H2401" i="6"/>
  <c r="H2402" i="6"/>
  <c r="H2403" i="6"/>
  <c r="H2404" i="6"/>
  <c r="H2405" i="6"/>
  <c r="H2406" i="6"/>
  <c r="H2407" i="6"/>
  <c r="H2408" i="6"/>
  <c r="H2409" i="6"/>
  <c r="H2410" i="6"/>
  <c r="H2411" i="6"/>
  <c r="H2412" i="6"/>
  <c r="H2413" i="6"/>
  <c r="H2414" i="6"/>
  <c r="H2415" i="6"/>
  <c r="H2416" i="6"/>
  <c r="H2417" i="6"/>
  <c r="H2418" i="6"/>
  <c r="H2419" i="6"/>
  <c r="H2420" i="6"/>
  <c r="H2421" i="6"/>
  <c r="H2422" i="6"/>
  <c r="H2423" i="6"/>
  <c r="H2424" i="6"/>
  <c r="H2425" i="6"/>
  <c r="H2426" i="6"/>
  <c r="H2427" i="6"/>
  <c r="H2428" i="6"/>
  <c r="H2429" i="6"/>
  <c r="H1919" i="6"/>
  <c r="J142" i="9"/>
  <c r="K142" i="9" s="1"/>
  <c r="J143" i="9"/>
  <c r="K143" i="9"/>
  <c r="J144" i="9"/>
  <c r="K144" i="9" s="1"/>
  <c r="J145" i="9"/>
  <c r="K145" i="9"/>
  <c r="J146" i="9"/>
  <c r="K146" i="9" s="1"/>
  <c r="J147" i="9"/>
  <c r="K147" i="9"/>
  <c r="J148" i="9"/>
  <c r="K148" i="9" s="1"/>
  <c r="J149" i="9"/>
  <c r="K149" i="9"/>
  <c r="J150" i="9"/>
  <c r="K150" i="9" s="1"/>
  <c r="J151" i="9"/>
  <c r="K151" i="9"/>
  <c r="J152" i="9"/>
  <c r="K152" i="9" s="1"/>
  <c r="J153" i="9"/>
  <c r="K153" i="9"/>
  <c r="J154" i="9"/>
  <c r="K154" i="9" s="1"/>
  <c r="J155" i="9"/>
  <c r="K155" i="9"/>
  <c r="J156" i="9"/>
  <c r="K156" i="9" s="1"/>
  <c r="J157" i="9"/>
  <c r="K157" i="9"/>
  <c r="J158" i="9"/>
  <c r="K158" i="9" s="1"/>
  <c r="J159" i="9"/>
  <c r="K159" i="9"/>
  <c r="J160" i="9"/>
  <c r="K160" i="9" s="1"/>
  <c r="J161" i="9"/>
  <c r="K161" i="9"/>
  <c r="J162" i="9"/>
  <c r="K162" i="9" s="1"/>
  <c r="J163" i="9"/>
  <c r="K163" i="9"/>
  <c r="J164" i="9"/>
  <c r="K164" i="9" s="1"/>
  <c r="J165" i="9"/>
  <c r="K165" i="9"/>
  <c r="J166" i="9"/>
  <c r="K166" i="9" s="1"/>
  <c r="J167" i="9"/>
  <c r="K167" i="9"/>
  <c r="J168" i="9"/>
  <c r="K168" i="9" s="1"/>
  <c r="J169" i="9"/>
  <c r="K169" i="9"/>
  <c r="J170" i="9"/>
  <c r="K170" i="9" s="1"/>
  <c r="J171" i="9"/>
  <c r="K171" i="9"/>
  <c r="J172" i="9"/>
  <c r="K172" i="9" s="1"/>
  <c r="J173" i="9"/>
  <c r="K173" i="9"/>
  <c r="J174" i="9"/>
  <c r="K174" i="9" s="1"/>
  <c r="J175" i="9"/>
  <c r="K175" i="9"/>
  <c r="J176" i="9"/>
  <c r="K176" i="9" s="1"/>
  <c r="J177" i="9"/>
  <c r="K177" i="9"/>
  <c r="J178" i="9"/>
  <c r="K178" i="9" s="1"/>
  <c r="J179" i="9"/>
  <c r="K179" i="9"/>
  <c r="J180" i="9"/>
  <c r="K180" i="9" s="1"/>
  <c r="J181" i="9"/>
  <c r="K181" i="9"/>
  <c r="J182" i="9"/>
  <c r="K182" i="9" s="1"/>
  <c r="J183" i="9"/>
  <c r="K183" i="9"/>
  <c r="J184" i="9"/>
  <c r="K184" i="9" s="1"/>
  <c r="J185" i="9"/>
  <c r="K185" i="9"/>
  <c r="J186" i="9"/>
  <c r="K186" i="9" s="1"/>
  <c r="J187" i="9"/>
  <c r="K187" i="9"/>
  <c r="J188" i="9"/>
  <c r="K188" i="9" s="1"/>
  <c r="J189" i="9"/>
  <c r="K189" i="9"/>
  <c r="J190" i="9"/>
  <c r="K190" i="9" s="1"/>
  <c r="J191" i="9"/>
  <c r="K191" i="9"/>
  <c r="J192" i="9"/>
  <c r="K192" i="9" s="1"/>
  <c r="J193" i="9"/>
  <c r="K193" i="9"/>
  <c r="J194" i="9"/>
  <c r="K194" i="9" s="1"/>
  <c r="J195" i="9"/>
  <c r="K195" i="9"/>
  <c r="J196" i="9"/>
  <c r="K196" i="9" s="1"/>
  <c r="J197" i="9"/>
  <c r="K197" i="9"/>
  <c r="J198" i="9"/>
  <c r="K198" i="9" s="1"/>
  <c r="J199" i="9"/>
  <c r="K199" i="9"/>
  <c r="J200" i="9"/>
  <c r="K200" i="9" s="1"/>
  <c r="J141" i="9"/>
  <c r="K141" i="9" s="1"/>
  <c r="J52" i="9"/>
  <c r="K52" i="9" s="1"/>
  <c r="J53" i="9"/>
  <c r="K53" i="9" s="1"/>
  <c r="J54" i="9"/>
  <c r="K54" i="9"/>
  <c r="J55" i="9"/>
  <c r="K55" i="9"/>
  <c r="J56" i="9"/>
  <c r="K56" i="9" s="1"/>
  <c r="J57" i="9"/>
  <c r="K57" i="9" s="1"/>
  <c r="J58" i="9"/>
  <c r="K58" i="9"/>
  <c r="J59" i="9"/>
  <c r="K59" i="9"/>
  <c r="J60" i="9"/>
  <c r="K60" i="9" s="1"/>
  <c r="J61" i="9"/>
  <c r="K61" i="9" s="1"/>
  <c r="J62" i="9"/>
  <c r="K62" i="9"/>
  <c r="J63" i="9"/>
  <c r="K63" i="9"/>
  <c r="J64" i="9"/>
  <c r="K64" i="9" s="1"/>
  <c r="J65" i="9"/>
  <c r="K65" i="9" s="1"/>
  <c r="J66" i="9"/>
  <c r="K66" i="9"/>
  <c r="J67" i="9"/>
  <c r="K67" i="9"/>
  <c r="J68" i="9"/>
  <c r="K68" i="9" s="1"/>
  <c r="J69" i="9"/>
  <c r="K69" i="9" s="1"/>
  <c r="J70" i="9"/>
  <c r="K70" i="9"/>
  <c r="J71" i="9"/>
  <c r="K71" i="9"/>
  <c r="J72" i="9"/>
  <c r="K72" i="9" s="1"/>
  <c r="J73" i="9"/>
  <c r="K73" i="9" s="1"/>
  <c r="J74" i="9"/>
  <c r="K74" i="9"/>
  <c r="J75" i="9"/>
  <c r="K75" i="9"/>
  <c r="J76" i="9"/>
  <c r="K76" i="9" s="1"/>
  <c r="J77" i="9"/>
  <c r="K77" i="9" s="1"/>
  <c r="J78" i="9"/>
  <c r="K78" i="9"/>
  <c r="J79" i="9"/>
  <c r="K79" i="9"/>
  <c r="J80" i="9"/>
  <c r="K80" i="9" s="1"/>
  <c r="J81" i="9"/>
  <c r="K81" i="9" s="1"/>
  <c r="J82" i="9"/>
  <c r="K82" i="9"/>
  <c r="J83" i="9"/>
  <c r="K83" i="9"/>
  <c r="J84" i="9"/>
  <c r="K84" i="9" s="1"/>
  <c r="J85" i="9"/>
  <c r="K85" i="9" s="1"/>
  <c r="J86" i="9"/>
  <c r="K86" i="9"/>
  <c r="J87" i="9"/>
  <c r="K87" i="9"/>
  <c r="J88" i="9"/>
  <c r="K88" i="9" s="1"/>
  <c r="J89" i="9"/>
  <c r="K89" i="9" s="1"/>
  <c r="J90" i="9"/>
  <c r="K90" i="9"/>
  <c r="J91" i="9"/>
  <c r="K91" i="9"/>
  <c r="J92" i="9"/>
  <c r="K92" i="9" s="1"/>
  <c r="J93" i="9"/>
  <c r="K93" i="9" s="1"/>
  <c r="J94" i="9"/>
  <c r="K94" i="9"/>
  <c r="J95" i="9"/>
  <c r="K95" i="9"/>
  <c r="J96" i="9"/>
  <c r="K96" i="9" s="1"/>
  <c r="J97" i="9"/>
  <c r="K97" i="9" s="1"/>
  <c r="J98" i="9"/>
  <c r="K98" i="9"/>
  <c r="J99" i="9"/>
  <c r="K99" i="9"/>
  <c r="J100" i="9"/>
  <c r="K100" i="9" s="1"/>
  <c r="J101" i="9"/>
  <c r="K101" i="9" s="1"/>
  <c r="J102" i="9"/>
  <c r="K102" i="9"/>
  <c r="J103" i="9"/>
  <c r="K103" i="9"/>
  <c r="J104" i="9"/>
  <c r="K104" i="9" s="1"/>
  <c r="J105" i="9"/>
  <c r="K105" i="9" s="1"/>
  <c r="J106" i="9"/>
  <c r="K106" i="9"/>
  <c r="J107" i="9"/>
  <c r="K107" i="9"/>
  <c r="J108" i="9"/>
  <c r="K108" i="9" s="1"/>
  <c r="J109" i="9"/>
  <c r="K109" i="9" s="1"/>
  <c r="J110" i="9"/>
  <c r="K110" i="9"/>
  <c r="J111" i="9"/>
  <c r="K111" i="9"/>
  <c r="J112" i="9"/>
  <c r="K112" i="9" s="1"/>
  <c r="J113" i="9"/>
  <c r="K113" i="9" s="1"/>
  <c r="J114" i="9"/>
  <c r="K114" i="9"/>
  <c r="J115" i="9"/>
  <c r="K115" i="9"/>
  <c r="J116" i="9"/>
  <c r="K116" i="9" s="1"/>
  <c r="J117" i="9"/>
  <c r="K117" i="9" s="1"/>
  <c r="J118" i="9"/>
  <c r="K118" i="9"/>
  <c r="J119" i="9"/>
  <c r="K119" i="9"/>
  <c r="J120" i="9"/>
  <c r="K120" i="9" s="1"/>
  <c r="J121" i="9"/>
  <c r="K121" i="9" s="1"/>
  <c r="J122" i="9"/>
  <c r="K122" i="9"/>
  <c r="J123" i="9"/>
  <c r="K123" i="9"/>
  <c r="J124" i="9"/>
  <c r="K124" i="9" s="1"/>
  <c r="J125" i="9"/>
  <c r="K125" i="9" s="1"/>
  <c r="J126" i="9"/>
  <c r="K126" i="9"/>
  <c r="J127" i="9"/>
  <c r="K127" i="9"/>
  <c r="J128" i="9"/>
  <c r="K128" i="9" s="1"/>
  <c r="J129" i="9"/>
  <c r="K129" i="9" s="1"/>
  <c r="J130" i="9"/>
  <c r="K130" i="9"/>
  <c r="J131" i="9"/>
  <c r="K131" i="9"/>
  <c r="J132" i="9"/>
  <c r="K132" i="9" s="1"/>
  <c r="J133" i="9"/>
  <c r="K133" i="9" s="1"/>
  <c r="J134" i="9"/>
  <c r="K134" i="9"/>
  <c r="J135" i="9"/>
  <c r="K135" i="9"/>
  <c r="J136" i="9"/>
  <c r="K136" i="9" s="1"/>
  <c r="J137" i="9"/>
  <c r="K137" i="9" s="1"/>
  <c r="J138" i="9"/>
  <c r="K138" i="9"/>
  <c r="J139" i="9"/>
  <c r="K139" i="9"/>
  <c r="J140" i="9"/>
  <c r="K140" i="9" s="1"/>
  <c r="J51" i="9"/>
  <c r="J3" i="9"/>
  <c r="K3" i="9" s="1"/>
  <c r="J4" i="9"/>
  <c r="K4" i="9" s="1"/>
  <c r="J5" i="9"/>
  <c r="K5" i="9"/>
  <c r="J6" i="9"/>
  <c r="K6" i="9"/>
  <c r="J7" i="9"/>
  <c r="K7" i="9" s="1"/>
  <c r="J8" i="9"/>
  <c r="K8" i="9" s="1"/>
  <c r="J9" i="9"/>
  <c r="K9" i="9"/>
  <c r="J10" i="9"/>
  <c r="K10" i="9"/>
  <c r="J11" i="9"/>
  <c r="K11" i="9" s="1"/>
  <c r="J12" i="9"/>
  <c r="K12" i="9" s="1"/>
  <c r="J13" i="9"/>
  <c r="K13" i="9"/>
  <c r="J14" i="9"/>
  <c r="K14" i="9"/>
  <c r="J15" i="9"/>
  <c r="K15" i="9" s="1"/>
  <c r="J16" i="9"/>
  <c r="K16" i="9" s="1"/>
  <c r="J17" i="9"/>
  <c r="K17" i="9"/>
  <c r="J18" i="9"/>
  <c r="K18" i="9"/>
  <c r="J19" i="9"/>
  <c r="K19" i="9" s="1"/>
  <c r="J20" i="9"/>
  <c r="K20" i="9" s="1"/>
  <c r="J21" i="9"/>
  <c r="K21" i="9"/>
  <c r="J22" i="9"/>
  <c r="K22" i="9"/>
  <c r="J23" i="9"/>
  <c r="K23" i="9" s="1"/>
  <c r="J24" i="9"/>
  <c r="K24" i="9" s="1"/>
  <c r="J25" i="9"/>
  <c r="K25" i="9"/>
  <c r="J26" i="9"/>
  <c r="K26" i="9"/>
  <c r="J27" i="9"/>
  <c r="K27" i="9" s="1"/>
  <c r="J28" i="9"/>
  <c r="K28" i="9" s="1"/>
  <c r="J29" i="9"/>
  <c r="K29" i="9"/>
  <c r="J30" i="9"/>
  <c r="K30" i="9"/>
  <c r="J31" i="9"/>
  <c r="K31" i="9" s="1"/>
  <c r="J32" i="9"/>
  <c r="K32" i="9" s="1"/>
  <c r="J33" i="9"/>
  <c r="K33" i="9"/>
  <c r="J34" i="9"/>
  <c r="K34" i="9"/>
  <c r="J35" i="9"/>
  <c r="K35" i="9" s="1"/>
  <c r="J36" i="9"/>
  <c r="K36" i="9" s="1"/>
  <c r="J37" i="9"/>
  <c r="K37" i="9"/>
  <c r="J38" i="9"/>
  <c r="K38" i="9"/>
  <c r="J39" i="9"/>
  <c r="K39" i="9" s="1"/>
  <c r="J40" i="9"/>
  <c r="K40" i="9" s="1"/>
  <c r="J41" i="9"/>
  <c r="K41" i="9"/>
  <c r="J42" i="9"/>
  <c r="K42" i="9"/>
  <c r="J43" i="9"/>
  <c r="K43" i="9" s="1"/>
  <c r="J44" i="9"/>
  <c r="K44" i="9" s="1"/>
  <c r="J45" i="9"/>
  <c r="K45" i="9"/>
  <c r="J46" i="9"/>
  <c r="K46" i="9"/>
  <c r="J47" i="9"/>
  <c r="K47" i="9" s="1"/>
  <c r="J48" i="9"/>
  <c r="K48" i="9" s="1"/>
  <c r="J49" i="9"/>
  <c r="K49" i="9"/>
  <c r="J50" i="9"/>
  <c r="K50" i="9"/>
  <c r="K51" i="9"/>
  <c r="J2" i="9"/>
  <c r="K2" i="9" s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907" i="4"/>
  <c r="H2908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35" i="4"/>
  <c r="H2936" i="4"/>
  <c r="H2937" i="4"/>
  <c r="H2938" i="4"/>
  <c r="H2939" i="4"/>
  <c r="H2940" i="4"/>
  <c r="H2941" i="4"/>
  <c r="H2942" i="4"/>
  <c r="H2943" i="4"/>
  <c r="H2944" i="4"/>
  <c r="H2945" i="4"/>
  <c r="H2946" i="4"/>
  <c r="H2947" i="4"/>
  <c r="H2948" i="4"/>
  <c r="H2949" i="4"/>
  <c r="H2950" i="4"/>
  <c r="H2951" i="4"/>
  <c r="H2952" i="4"/>
  <c r="H2953" i="4"/>
  <c r="H2954" i="4"/>
  <c r="H2955" i="4"/>
  <c r="H2956" i="4"/>
  <c r="H2957" i="4"/>
  <c r="H2958" i="4"/>
  <c r="H2959" i="4"/>
  <c r="H2960" i="4"/>
  <c r="H2961" i="4"/>
  <c r="H2962" i="4"/>
  <c r="H2963" i="4"/>
  <c r="H2964" i="4"/>
  <c r="H2965" i="4"/>
  <c r="H2966" i="4"/>
  <c r="H2967" i="4"/>
  <c r="H2968" i="4"/>
  <c r="H2969" i="4"/>
  <c r="H2970" i="4"/>
  <c r="H2971" i="4"/>
  <c r="H2972" i="4"/>
  <c r="H2973" i="4"/>
  <c r="H2974" i="4"/>
  <c r="H2975" i="4"/>
  <c r="H2976" i="4"/>
  <c r="H2977" i="4"/>
  <c r="H2978" i="4"/>
  <c r="H2979" i="4"/>
  <c r="H2980" i="4"/>
  <c r="H2981" i="4"/>
  <c r="H2982" i="4"/>
  <c r="H2983" i="4"/>
  <c r="H2984" i="4"/>
  <c r="H2985" i="4"/>
  <c r="H2986" i="4"/>
  <c r="H2987" i="4"/>
  <c r="H2988" i="4"/>
  <c r="H2989" i="4"/>
  <c r="H2990" i="4"/>
  <c r="H2991" i="4"/>
  <c r="H2992" i="4"/>
  <c r="H2993" i="4"/>
  <c r="H2994" i="4"/>
  <c r="H2995" i="4"/>
  <c r="H2996" i="4"/>
  <c r="H2997" i="4"/>
  <c r="H2998" i="4"/>
  <c r="H2999" i="4"/>
  <c r="H3000" i="4"/>
  <c r="H3001" i="4"/>
  <c r="H3002" i="4"/>
  <c r="H3003" i="4"/>
  <c r="H3004" i="4"/>
  <c r="H3005" i="4"/>
  <c r="H3006" i="4"/>
  <c r="H3007" i="4"/>
  <c r="H3008" i="4"/>
  <c r="H3009" i="4"/>
  <c r="H3010" i="4"/>
  <c r="H3011" i="4"/>
  <c r="H3012" i="4"/>
  <c r="H3013" i="4"/>
  <c r="H3014" i="4"/>
  <c r="H3015" i="4"/>
  <c r="H3016" i="4"/>
  <c r="H3017" i="4"/>
  <c r="H3018" i="4"/>
  <c r="H3019" i="4"/>
  <c r="H3020" i="4"/>
  <c r="H3021" i="4"/>
  <c r="H3022" i="4"/>
  <c r="H3023" i="4"/>
  <c r="H3024" i="4"/>
  <c r="H3025" i="4"/>
  <c r="H3026" i="4"/>
  <c r="H3027" i="4"/>
  <c r="H3028" i="4"/>
  <c r="H3029" i="4"/>
  <c r="H3030" i="4"/>
  <c r="H3031" i="4"/>
  <c r="H3032" i="4"/>
  <c r="H3033" i="4"/>
  <c r="H3034" i="4"/>
  <c r="H3035" i="4"/>
  <c r="H3036" i="4"/>
  <c r="H3037" i="4"/>
  <c r="H3038" i="4"/>
  <c r="H3039" i="4"/>
  <c r="H3040" i="4"/>
  <c r="H3041" i="4"/>
  <c r="H3042" i="4"/>
  <c r="H3043" i="4"/>
  <c r="H3044" i="4"/>
  <c r="H3045" i="4"/>
  <c r="H3046" i="4"/>
  <c r="H3047" i="4"/>
  <c r="H3048" i="4"/>
  <c r="H3049" i="4"/>
  <c r="H3050" i="4"/>
  <c r="H3051" i="4"/>
  <c r="H3052" i="4"/>
  <c r="H3053" i="4"/>
  <c r="H3054" i="4"/>
  <c r="H3055" i="4"/>
  <c r="H3056" i="4"/>
  <c r="H3057" i="4"/>
  <c r="H3058" i="4"/>
  <c r="H3059" i="4"/>
  <c r="H3060" i="4"/>
  <c r="H3061" i="4"/>
  <c r="H3062" i="4"/>
  <c r="H3063" i="4"/>
  <c r="H3064" i="4"/>
  <c r="H3065" i="4"/>
  <c r="H3066" i="4"/>
  <c r="H3067" i="4"/>
  <c r="H3068" i="4"/>
  <c r="H3069" i="4"/>
  <c r="H3070" i="4"/>
  <c r="H3071" i="4"/>
  <c r="H3072" i="4"/>
  <c r="H3073" i="4"/>
  <c r="H3074" i="4"/>
  <c r="H3075" i="4"/>
  <c r="H3076" i="4"/>
  <c r="H3077" i="4"/>
  <c r="H3078" i="4"/>
  <c r="H3079" i="4"/>
  <c r="H3080" i="4"/>
  <c r="H3081" i="4"/>
  <c r="H3082" i="4"/>
  <c r="H3083" i="4"/>
  <c r="H3084" i="4"/>
  <c r="H3085" i="4"/>
  <c r="H3086" i="4"/>
  <c r="H3087" i="4"/>
  <c r="H3088" i="4"/>
  <c r="H3089" i="4"/>
  <c r="H3090" i="4"/>
  <c r="H3091" i="4"/>
  <c r="H3092" i="4"/>
  <c r="H3093" i="4"/>
  <c r="H3094" i="4"/>
  <c r="H3095" i="4"/>
  <c r="H3096" i="4"/>
  <c r="H3097" i="4"/>
  <c r="H3098" i="4"/>
  <c r="H3099" i="4"/>
  <c r="H3100" i="4"/>
  <c r="H3101" i="4"/>
  <c r="H3102" i="4"/>
  <c r="H3103" i="4"/>
  <c r="H3104" i="4"/>
  <c r="H3105" i="4"/>
  <c r="H3106" i="4"/>
  <c r="H3107" i="4"/>
  <c r="H3108" i="4"/>
  <c r="H3109" i="4"/>
  <c r="H3110" i="4"/>
  <c r="H3111" i="4"/>
  <c r="H3112" i="4"/>
  <c r="H3113" i="4"/>
  <c r="H3114" i="4"/>
  <c r="H3115" i="4"/>
  <c r="H3116" i="4"/>
  <c r="H3117" i="4"/>
  <c r="H3118" i="4"/>
  <c r="H3119" i="4"/>
  <c r="H3120" i="4"/>
  <c r="H3121" i="4"/>
  <c r="H3122" i="4"/>
  <c r="H3123" i="4"/>
  <c r="H3124" i="4"/>
  <c r="H3125" i="4"/>
  <c r="H3126" i="4"/>
  <c r="H3127" i="4"/>
  <c r="H3128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3129" i="4"/>
  <c r="H3130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0" i="4"/>
  <c r="H3531" i="4"/>
  <c r="H3532" i="4"/>
  <c r="H3533" i="4"/>
  <c r="H3534" i="4"/>
  <c r="H3535" i="4"/>
  <c r="H3536" i="4"/>
  <c r="H3537" i="4"/>
  <c r="H3538" i="4"/>
  <c r="H3539" i="4"/>
  <c r="H3540" i="4"/>
  <c r="H3541" i="4"/>
  <c r="H3542" i="4"/>
  <c r="H3543" i="4"/>
  <c r="H3544" i="4"/>
  <c r="H3545" i="4"/>
  <c r="H3546" i="4"/>
  <c r="H3547" i="4"/>
  <c r="H3548" i="4"/>
  <c r="H3549" i="4"/>
  <c r="H3550" i="4"/>
  <c r="H3551" i="4"/>
  <c r="H3552" i="4"/>
  <c r="H3553" i="4"/>
  <c r="H3554" i="4"/>
  <c r="H3555" i="4"/>
  <c r="H3556" i="4"/>
  <c r="H3557" i="4"/>
  <c r="H3558" i="4"/>
  <c r="H3559" i="4"/>
  <c r="H3560" i="4"/>
  <c r="H3561" i="4"/>
  <c r="H3562" i="4"/>
  <c r="H3563" i="4"/>
  <c r="H3564" i="4"/>
  <c r="H3565" i="4"/>
  <c r="H3566" i="4"/>
  <c r="H3567" i="4"/>
  <c r="H3568" i="4"/>
  <c r="H3569" i="4"/>
  <c r="H3570" i="4"/>
  <c r="H3571" i="4"/>
  <c r="H3572" i="4"/>
  <c r="H3573" i="4"/>
  <c r="H3574" i="4"/>
  <c r="H3575" i="4"/>
  <c r="H3576" i="4"/>
  <c r="H3577" i="4"/>
  <c r="H3578" i="4"/>
  <c r="H3579" i="4"/>
  <c r="H3580" i="4"/>
  <c r="H3581" i="4"/>
  <c r="H3582" i="4"/>
  <c r="H3583" i="4"/>
  <c r="H3584" i="4"/>
  <c r="H3585" i="4"/>
  <c r="H3586" i="4"/>
  <c r="H3587" i="4"/>
  <c r="H3588" i="4"/>
  <c r="H3589" i="4"/>
  <c r="H3590" i="4"/>
  <c r="H3591" i="4"/>
  <c r="H3592" i="4"/>
  <c r="H3593" i="4"/>
  <c r="H3594" i="4"/>
  <c r="H3595" i="4"/>
  <c r="H3596" i="4"/>
  <c r="H3597" i="4"/>
  <c r="H3598" i="4"/>
  <c r="H3599" i="4"/>
  <c r="H3600" i="4"/>
  <c r="H3601" i="4"/>
  <c r="H3602" i="4"/>
  <c r="H3603" i="4"/>
  <c r="H3604" i="4"/>
  <c r="H3605" i="4"/>
  <c r="H3606" i="4"/>
  <c r="H3607" i="4"/>
  <c r="H3608" i="4"/>
  <c r="H3609" i="4"/>
  <c r="H3610" i="4"/>
  <c r="H3611" i="4"/>
  <c r="H3612" i="4"/>
  <c r="H3613" i="4"/>
  <c r="H3614" i="4"/>
  <c r="H3615" i="4"/>
  <c r="H3616" i="4"/>
  <c r="H3617" i="4"/>
  <c r="H3618" i="4"/>
  <c r="H3619" i="4"/>
  <c r="H3620" i="4"/>
  <c r="H3621" i="4"/>
  <c r="H3622" i="4"/>
  <c r="H3623" i="4"/>
  <c r="H3624" i="4"/>
  <c r="H3625" i="4"/>
  <c r="H3626" i="4"/>
  <c r="H3627" i="4"/>
  <c r="H3628" i="4"/>
  <c r="H3629" i="4"/>
  <c r="H3630" i="4"/>
  <c r="H3631" i="4"/>
  <c r="H3632" i="4"/>
  <c r="H3633" i="4"/>
  <c r="H3634" i="4"/>
  <c r="H3635" i="4"/>
  <c r="H3636" i="4"/>
  <c r="H3637" i="4"/>
  <c r="H3638" i="4"/>
  <c r="H3639" i="4"/>
  <c r="H3640" i="4"/>
  <c r="H3641" i="4"/>
  <c r="H3642" i="4"/>
  <c r="H3643" i="4"/>
  <c r="H3644" i="4"/>
  <c r="H3645" i="4"/>
  <c r="H3646" i="4"/>
  <c r="H3647" i="4"/>
  <c r="H3648" i="4"/>
  <c r="H3649" i="4"/>
  <c r="H3650" i="4"/>
  <c r="H3651" i="4"/>
  <c r="H3652" i="4"/>
  <c r="H3653" i="4"/>
  <c r="H3654" i="4"/>
  <c r="H3655" i="4"/>
  <c r="H3656" i="4"/>
  <c r="H3657" i="4"/>
  <c r="H3658" i="4"/>
  <c r="H3659" i="4"/>
  <c r="H3660" i="4"/>
  <c r="H3661" i="4"/>
  <c r="H3662" i="4"/>
  <c r="H3663" i="4"/>
  <c r="H3664" i="4"/>
  <c r="H3665" i="4"/>
  <c r="H3666" i="4"/>
  <c r="H3667" i="4"/>
  <c r="H3668" i="4"/>
  <c r="H3669" i="4"/>
  <c r="H3670" i="4"/>
  <c r="H3671" i="4"/>
  <c r="H3672" i="4"/>
  <c r="H3673" i="4"/>
  <c r="H3674" i="4"/>
  <c r="H3675" i="4"/>
  <c r="H3676" i="4"/>
  <c r="H3677" i="4"/>
  <c r="H3678" i="4"/>
  <c r="H3679" i="4"/>
  <c r="H3680" i="4"/>
  <c r="H3681" i="4"/>
  <c r="H3682" i="4"/>
  <c r="H3683" i="4"/>
  <c r="H3684" i="4"/>
  <c r="H3685" i="4"/>
  <c r="H3686" i="4"/>
  <c r="H3687" i="4"/>
  <c r="H3688" i="4"/>
  <c r="H3689" i="4"/>
  <c r="H3690" i="4"/>
  <c r="H3691" i="4"/>
  <c r="H3692" i="4"/>
  <c r="H3693" i="4"/>
  <c r="H3694" i="4"/>
  <c r="H3695" i="4"/>
  <c r="H3696" i="4"/>
  <c r="H3697" i="4"/>
  <c r="H3698" i="4"/>
  <c r="H3699" i="4"/>
  <c r="H3700" i="4"/>
  <c r="H3701" i="4"/>
  <c r="H3702" i="4"/>
  <c r="H3703" i="4"/>
  <c r="H3704" i="4"/>
  <c r="H3705" i="4"/>
  <c r="H3706" i="4"/>
  <c r="H3707" i="4"/>
  <c r="H3708" i="4"/>
  <c r="H3709" i="4"/>
  <c r="H3710" i="4"/>
  <c r="H3711" i="4"/>
  <c r="H3712" i="4"/>
  <c r="H3713" i="4"/>
  <c r="H3714" i="4"/>
  <c r="H3715" i="4"/>
  <c r="H3716" i="4"/>
  <c r="H3717" i="4"/>
  <c r="H3718" i="4"/>
  <c r="H3719" i="4"/>
  <c r="H3720" i="4"/>
  <c r="H3721" i="4"/>
  <c r="H3722" i="4"/>
  <c r="H3723" i="4"/>
  <c r="H3724" i="4"/>
  <c r="H3725" i="4"/>
  <c r="H3726" i="4"/>
  <c r="H3727" i="4"/>
  <c r="H3728" i="4"/>
  <c r="H3729" i="4"/>
  <c r="H3730" i="4"/>
  <c r="H3731" i="4"/>
  <c r="H3732" i="4"/>
  <c r="H3733" i="4"/>
  <c r="H3734" i="4"/>
  <c r="H3735" i="4"/>
  <c r="H3736" i="4"/>
  <c r="H3737" i="4"/>
  <c r="H3738" i="4"/>
  <c r="H3739" i="4"/>
  <c r="H3740" i="4"/>
  <c r="H3741" i="4"/>
  <c r="H3742" i="4"/>
  <c r="H3743" i="4"/>
  <c r="H3744" i="4"/>
  <c r="H3745" i="4"/>
  <c r="H3746" i="4"/>
  <c r="H3747" i="4"/>
  <c r="H3748" i="4"/>
  <c r="H3749" i="4"/>
  <c r="H3750" i="4"/>
  <c r="H3751" i="4"/>
  <c r="H3752" i="4"/>
  <c r="H3753" i="4"/>
  <c r="H3754" i="4"/>
  <c r="H3755" i="4"/>
  <c r="H3756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2" i="4"/>
  <c r="J177" i="8"/>
  <c r="J178" i="8"/>
  <c r="J179" i="8"/>
  <c r="J180" i="8"/>
  <c r="J181" i="8"/>
  <c r="J182" i="8"/>
  <c r="J183" i="8"/>
  <c r="J184" i="8"/>
  <c r="K184" i="8" s="1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K200" i="8" s="1"/>
  <c r="J201" i="8"/>
  <c r="J202" i="8"/>
  <c r="J203" i="8"/>
  <c r="J204" i="8"/>
  <c r="J205" i="8"/>
  <c r="J206" i="8"/>
  <c r="J207" i="8"/>
  <c r="J208" i="8"/>
  <c r="K208" i="8" s="1"/>
  <c r="J209" i="8"/>
  <c r="J210" i="8"/>
  <c r="J211" i="8"/>
  <c r="J212" i="8"/>
  <c r="J213" i="8"/>
  <c r="J214" i="8"/>
  <c r="J215" i="8"/>
  <c r="J216" i="8"/>
  <c r="K216" i="8" s="1"/>
  <c r="J217" i="8"/>
  <c r="J218" i="8"/>
  <c r="J219" i="8"/>
  <c r="J220" i="8"/>
  <c r="J221" i="8"/>
  <c r="J222" i="8"/>
  <c r="J223" i="8"/>
  <c r="J224" i="8"/>
  <c r="K224" i="8" s="1"/>
  <c r="J225" i="8"/>
  <c r="J226" i="8"/>
  <c r="J227" i="8"/>
  <c r="J228" i="8"/>
  <c r="J229" i="8"/>
  <c r="J230" i="8"/>
  <c r="J231" i="8"/>
  <c r="J232" i="8"/>
  <c r="K232" i="8" s="1"/>
  <c r="J233" i="8"/>
  <c r="J234" i="8"/>
  <c r="J235" i="8"/>
  <c r="J236" i="8"/>
  <c r="J237" i="8"/>
  <c r="J238" i="8"/>
  <c r="J239" i="8"/>
  <c r="J240" i="8"/>
  <c r="K240" i="8" s="1"/>
  <c r="J241" i="8"/>
  <c r="J242" i="8"/>
  <c r="J243" i="8"/>
  <c r="J244" i="8"/>
  <c r="J245" i="8"/>
  <c r="J246" i="8"/>
  <c r="J247" i="8"/>
  <c r="J248" i="8"/>
  <c r="K248" i="8" s="1"/>
  <c r="J249" i="8"/>
  <c r="J250" i="8"/>
  <c r="J251" i="8"/>
  <c r="J252" i="8"/>
  <c r="J253" i="8"/>
  <c r="J254" i="8"/>
  <c r="J255" i="8"/>
  <c r="J256" i="8"/>
  <c r="K256" i="8" s="1"/>
  <c r="J257" i="8"/>
  <c r="J258" i="8"/>
  <c r="J259" i="8"/>
  <c r="J260" i="8"/>
  <c r="J261" i="8"/>
  <c r="J262" i="8"/>
  <c r="J263" i="8"/>
  <c r="J264" i="8"/>
  <c r="K264" i="8" s="1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K280" i="8" s="1"/>
  <c r="J281" i="8"/>
  <c r="J282" i="8"/>
  <c r="J283" i="8"/>
  <c r="J284" i="8"/>
  <c r="J285" i="8"/>
  <c r="J286" i="8"/>
  <c r="J287" i="8"/>
  <c r="J288" i="8"/>
  <c r="K288" i="8" s="1"/>
  <c r="J289" i="8"/>
  <c r="J290" i="8"/>
  <c r="J291" i="8"/>
  <c r="J292" i="8"/>
  <c r="J293" i="8"/>
  <c r="J294" i="8"/>
  <c r="J295" i="8"/>
  <c r="J176" i="8"/>
  <c r="J71" i="8"/>
  <c r="K71" i="8" s="1"/>
  <c r="J72" i="8"/>
  <c r="J73" i="8"/>
  <c r="J74" i="8"/>
  <c r="J75" i="8"/>
  <c r="J76" i="8"/>
  <c r="J77" i="8"/>
  <c r="J78" i="8"/>
  <c r="K78" i="8" s="1"/>
  <c r="J79" i="8"/>
  <c r="K79" i="8" s="1"/>
  <c r="J80" i="8"/>
  <c r="J81" i="8"/>
  <c r="J82" i="8"/>
  <c r="J83" i="8"/>
  <c r="J84" i="8"/>
  <c r="J85" i="8"/>
  <c r="J86" i="8"/>
  <c r="K86" i="8" s="1"/>
  <c r="J87" i="8"/>
  <c r="K87" i="8" s="1"/>
  <c r="J88" i="8"/>
  <c r="J89" i="8"/>
  <c r="K89" i="8" s="1"/>
  <c r="J90" i="8"/>
  <c r="J91" i="8"/>
  <c r="J92" i="8"/>
  <c r="J93" i="8"/>
  <c r="J94" i="8"/>
  <c r="K94" i="8" s="1"/>
  <c r="J95" i="8"/>
  <c r="K95" i="8" s="1"/>
  <c r="J96" i="8"/>
  <c r="J97" i="8"/>
  <c r="K97" i="8" s="1"/>
  <c r="J98" i="8"/>
  <c r="J99" i="8"/>
  <c r="J100" i="8"/>
  <c r="J101" i="8"/>
  <c r="J102" i="8"/>
  <c r="K102" i="8" s="1"/>
  <c r="J103" i="8"/>
  <c r="J104" i="8"/>
  <c r="J105" i="8"/>
  <c r="K105" i="8" s="1"/>
  <c r="J106" i="8"/>
  <c r="J107" i="8"/>
  <c r="J108" i="8"/>
  <c r="J109" i="8"/>
  <c r="J110" i="8"/>
  <c r="K110" i="8" s="1"/>
  <c r="J111" i="8"/>
  <c r="K111" i="8" s="1"/>
  <c r="J112" i="8"/>
  <c r="J113" i="8"/>
  <c r="K113" i="8" s="1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K126" i="8" s="1"/>
  <c r="J127" i="8"/>
  <c r="J128" i="8"/>
  <c r="J129" i="8"/>
  <c r="K129" i="8" s="1"/>
  <c r="J130" i="8"/>
  <c r="J131" i="8"/>
  <c r="J132" i="8"/>
  <c r="J133" i="8"/>
  <c r="J134" i="8"/>
  <c r="K134" i="8" s="1"/>
  <c r="J135" i="8"/>
  <c r="K135" i="8" s="1"/>
  <c r="J136" i="8"/>
  <c r="J137" i="8"/>
  <c r="J138" i="8"/>
  <c r="J139" i="8"/>
  <c r="J140" i="8"/>
  <c r="J141" i="8"/>
  <c r="J142" i="8"/>
  <c r="K142" i="8" s="1"/>
  <c r="J143" i="8"/>
  <c r="K143" i="8" s="1"/>
  <c r="J144" i="8"/>
  <c r="J145" i="8"/>
  <c r="J146" i="8"/>
  <c r="J147" i="8"/>
  <c r="J148" i="8"/>
  <c r="J149" i="8"/>
  <c r="J150" i="8"/>
  <c r="K150" i="8" s="1"/>
  <c r="J151" i="8"/>
  <c r="K151" i="8" s="1"/>
  <c r="J152" i="8"/>
  <c r="J153" i="8"/>
  <c r="K153" i="8" s="1"/>
  <c r="J154" i="8"/>
  <c r="J155" i="8"/>
  <c r="J156" i="8"/>
  <c r="J157" i="8"/>
  <c r="J158" i="8"/>
  <c r="K158" i="8" s="1"/>
  <c r="J159" i="8"/>
  <c r="K159" i="8" s="1"/>
  <c r="J160" i="8"/>
  <c r="J161" i="8"/>
  <c r="K161" i="8" s="1"/>
  <c r="J162" i="8"/>
  <c r="J163" i="8"/>
  <c r="J164" i="8"/>
  <c r="J165" i="8"/>
  <c r="J166" i="8"/>
  <c r="K166" i="8" s="1"/>
  <c r="J167" i="8"/>
  <c r="J168" i="8"/>
  <c r="J169" i="8"/>
  <c r="K169" i="8" s="1"/>
  <c r="J170" i="8"/>
  <c r="J171" i="8"/>
  <c r="J172" i="8"/>
  <c r="J173" i="8"/>
  <c r="J174" i="8"/>
  <c r="K174" i="8" s="1"/>
  <c r="J175" i="8"/>
  <c r="K175" i="8" s="1"/>
  <c r="K177" i="8"/>
  <c r="K190" i="8"/>
  <c r="K193" i="8"/>
  <c r="K198" i="8"/>
  <c r="K199" i="8"/>
  <c r="K206" i="8"/>
  <c r="K207" i="8"/>
  <c r="K214" i="8"/>
  <c r="K215" i="8"/>
  <c r="K217" i="8"/>
  <c r="K222" i="8"/>
  <c r="K223" i="8"/>
  <c r="K225" i="8"/>
  <c r="K230" i="8"/>
  <c r="K233" i="8"/>
  <c r="K238" i="8"/>
  <c r="K239" i="8"/>
  <c r="K241" i="8"/>
  <c r="K254" i="8"/>
  <c r="K257" i="8"/>
  <c r="K262" i="8"/>
  <c r="K263" i="8"/>
  <c r="K270" i="8"/>
  <c r="K271" i="8"/>
  <c r="K278" i="8"/>
  <c r="K279" i="8"/>
  <c r="K281" i="8"/>
  <c r="K286" i="8"/>
  <c r="K287" i="8"/>
  <c r="K289" i="8"/>
  <c r="K294" i="8"/>
  <c r="J70" i="8"/>
  <c r="J3" i="8"/>
  <c r="J4" i="8"/>
  <c r="J5" i="8"/>
  <c r="J6" i="8"/>
  <c r="J7" i="8"/>
  <c r="J8" i="8"/>
  <c r="J9" i="8"/>
  <c r="J10" i="8"/>
  <c r="K10" i="8" s="1"/>
  <c r="J11" i="8"/>
  <c r="J12" i="8"/>
  <c r="J13" i="8"/>
  <c r="J14" i="8"/>
  <c r="J15" i="8"/>
  <c r="J16" i="8"/>
  <c r="J17" i="8"/>
  <c r="J18" i="8"/>
  <c r="K18" i="8" s="1"/>
  <c r="J19" i="8"/>
  <c r="J20" i="8"/>
  <c r="J21" i="8"/>
  <c r="J22" i="8"/>
  <c r="J23" i="8"/>
  <c r="J24" i="8"/>
  <c r="J25" i="8"/>
  <c r="J26" i="8"/>
  <c r="K26" i="8" s="1"/>
  <c r="J27" i="8"/>
  <c r="J28" i="8"/>
  <c r="J29" i="8"/>
  <c r="J30" i="8"/>
  <c r="J31" i="8"/>
  <c r="J32" i="8"/>
  <c r="J33" i="8"/>
  <c r="J34" i="8"/>
  <c r="K34" i="8" s="1"/>
  <c r="J35" i="8"/>
  <c r="J36" i="8"/>
  <c r="J37" i="8"/>
  <c r="J38" i="8"/>
  <c r="J39" i="8"/>
  <c r="J40" i="8"/>
  <c r="J41" i="8"/>
  <c r="J42" i="8"/>
  <c r="K42" i="8" s="1"/>
  <c r="J43" i="8"/>
  <c r="J44" i="8"/>
  <c r="J45" i="8"/>
  <c r="J46" i="8"/>
  <c r="J47" i="8"/>
  <c r="J48" i="8"/>
  <c r="J49" i="8"/>
  <c r="J50" i="8"/>
  <c r="K50" i="8" s="1"/>
  <c r="J51" i="8"/>
  <c r="J52" i="8"/>
  <c r="J53" i="8"/>
  <c r="J54" i="8"/>
  <c r="J55" i="8"/>
  <c r="J56" i="8"/>
  <c r="J57" i="8"/>
  <c r="J58" i="8"/>
  <c r="K58" i="8" s="1"/>
  <c r="J59" i="8"/>
  <c r="J60" i="8"/>
  <c r="J61" i="8"/>
  <c r="J62" i="8"/>
  <c r="J63" i="8"/>
  <c r="J64" i="8"/>
  <c r="J65" i="8"/>
  <c r="J66" i="8"/>
  <c r="K66" i="8" s="1"/>
  <c r="J67" i="8"/>
  <c r="J68" i="8"/>
  <c r="J69" i="8"/>
  <c r="K74" i="8"/>
  <c r="K82" i="8"/>
  <c r="K90" i="8"/>
  <c r="K98" i="8"/>
  <c r="K106" i="8"/>
  <c r="K114" i="8"/>
  <c r="K122" i="8"/>
  <c r="K130" i="8"/>
  <c r="K138" i="8"/>
  <c r="K146" i="8"/>
  <c r="K154" i="8"/>
  <c r="K162" i="8"/>
  <c r="K170" i="8"/>
  <c r="K178" i="8"/>
  <c r="K186" i="8"/>
  <c r="K194" i="8"/>
  <c r="K202" i="8"/>
  <c r="K210" i="8"/>
  <c r="K218" i="8"/>
  <c r="K226" i="8"/>
  <c r="K234" i="8"/>
  <c r="K242" i="8"/>
  <c r="K250" i="8"/>
  <c r="K258" i="8"/>
  <c r="K266" i="8"/>
  <c r="K274" i="8"/>
  <c r="K282" i="8"/>
  <c r="K290" i="8"/>
  <c r="J2" i="8"/>
  <c r="K3" i="8"/>
  <c r="K4" i="8"/>
  <c r="K5" i="8"/>
  <c r="K6" i="8"/>
  <c r="K7" i="8"/>
  <c r="K8" i="8"/>
  <c r="K9" i="8"/>
  <c r="K11" i="8"/>
  <c r="K12" i="8"/>
  <c r="K13" i="8"/>
  <c r="K14" i="8"/>
  <c r="K15" i="8"/>
  <c r="K16" i="8"/>
  <c r="K17" i="8"/>
  <c r="K19" i="8"/>
  <c r="K20" i="8"/>
  <c r="K21" i="8"/>
  <c r="K22" i="8"/>
  <c r="K23" i="8"/>
  <c r="K24" i="8"/>
  <c r="K25" i="8"/>
  <c r="K27" i="8"/>
  <c r="K28" i="8"/>
  <c r="K29" i="8"/>
  <c r="K30" i="8"/>
  <c r="K31" i="8"/>
  <c r="K32" i="8"/>
  <c r="K33" i="8"/>
  <c r="K35" i="8"/>
  <c r="K36" i="8"/>
  <c r="K37" i="8"/>
  <c r="K38" i="8"/>
  <c r="K39" i="8"/>
  <c r="K40" i="8"/>
  <c r="K41" i="8"/>
  <c r="K43" i="8"/>
  <c r="K44" i="8"/>
  <c r="K45" i="8"/>
  <c r="K46" i="8"/>
  <c r="K47" i="8"/>
  <c r="K48" i="8"/>
  <c r="K49" i="8"/>
  <c r="K51" i="8"/>
  <c r="K52" i="8"/>
  <c r="K53" i="8"/>
  <c r="K54" i="8"/>
  <c r="K55" i="8"/>
  <c r="K56" i="8"/>
  <c r="K57" i="8"/>
  <c r="K59" i="8"/>
  <c r="K60" i="8"/>
  <c r="K61" i="8"/>
  <c r="K62" i="8"/>
  <c r="K63" i="8"/>
  <c r="K64" i="8"/>
  <c r="K65" i="8"/>
  <c r="K67" i="8"/>
  <c r="K68" i="8"/>
  <c r="K69" i="8"/>
  <c r="K70" i="8"/>
  <c r="K72" i="8"/>
  <c r="K73" i="8"/>
  <c r="K75" i="8"/>
  <c r="K76" i="8"/>
  <c r="K77" i="8"/>
  <c r="K80" i="8"/>
  <c r="K81" i="8"/>
  <c r="K83" i="8"/>
  <c r="K84" i="8"/>
  <c r="K85" i="8"/>
  <c r="K88" i="8"/>
  <c r="K91" i="8"/>
  <c r="K92" i="8"/>
  <c r="K93" i="8"/>
  <c r="K96" i="8"/>
  <c r="K99" i="8"/>
  <c r="K100" i="8"/>
  <c r="K101" i="8"/>
  <c r="K103" i="8"/>
  <c r="K104" i="8"/>
  <c r="K107" i="8"/>
  <c r="K108" i="8"/>
  <c r="K109" i="8"/>
  <c r="K112" i="8"/>
  <c r="K115" i="8"/>
  <c r="K116" i="8"/>
  <c r="K117" i="8"/>
  <c r="K118" i="8"/>
  <c r="K119" i="8"/>
  <c r="K120" i="8"/>
  <c r="K121" i="8"/>
  <c r="K123" i="8"/>
  <c r="K124" i="8"/>
  <c r="K125" i="8"/>
  <c r="K127" i="8"/>
  <c r="K128" i="8"/>
  <c r="K131" i="8"/>
  <c r="K132" i="8"/>
  <c r="K133" i="8"/>
  <c r="K136" i="8"/>
  <c r="K137" i="8"/>
  <c r="K139" i="8"/>
  <c r="K140" i="8"/>
  <c r="K141" i="8"/>
  <c r="K144" i="8"/>
  <c r="K145" i="8"/>
  <c r="K147" i="8"/>
  <c r="K148" i="8"/>
  <c r="K149" i="8"/>
  <c r="K152" i="8"/>
  <c r="K155" i="8"/>
  <c r="K156" i="8"/>
  <c r="K157" i="8"/>
  <c r="K160" i="8"/>
  <c r="K163" i="8"/>
  <c r="K164" i="8"/>
  <c r="K165" i="8"/>
  <c r="K167" i="8"/>
  <c r="K168" i="8"/>
  <c r="K171" i="8"/>
  <c r="K172" i="8"/>
  <c r="K173" i="8"/>
  <c r="K176" i="8"/>
  <c r="K179" i="8"/>
  <c r="K180" i="8"/>
  <c r="K181" i="8"/>
  <c r="K182" i="8"/>
  <c r="K183" i="8"/>
  <c r="K185" i="8"/>
  <c r="K187" i="8"/>
  <c r="K188" i="8"/>
  <c r="K189" i="8"/>
  <c r="K191" i="8"/>
  <c r="K192" i="8"/>
  <c r="K195" i="8"/>
  <c r="K196" i="8"/>
  <c r="K197" i="8"/>
  <c r="K201" i="8"/>
  <c r="K203" i="8"/>
  <c r="K204" i="8"/>
  <c r="K205" i="8"/>
  <c r="K209" i="8"/>
  <c r="K211" i="8"/>
  <c r="K212" i="8"/>
  <c r="K213" i="8"/>
  <c r="K219" i="8"/>
  <c r="K220" i="8"/>
  <c r="K221" i="8"/>
  <c r="K227" i="8"/>
  <c r="K228" i="8"/>
  <c r="K229" i="8"/>
  <c r="K231" i="8"/>
  <c r="K235" i="8"/>
  <c r="K236" i="8"/>
  <c r="K237" i="8"/>
  <c r="K243" i="8"/>
  <c r="K244" i="8"/>
  <c r="K245" i="8"/>
  <c r="K246" i="8"/>
  <c r="K247" i="8"/>
  <c r="K249" i="8"/>
  <c r="K251" i="8"/>
  <c r="K252" i="8"/>
  <c r="K253" i="8"/>
  <c r="K255" i="8"/>
  <c r="K259" i="8"/>
  <c r="K260" i="8"/>
  <c r="K261" i="8"/>
  <c r="K265" i="8"/>
  <c r="K267" i="8"/>
  <c r="K268" i="8"/>
  <c r="K269" i="8"/>
  <c r="K272" i="8"/>
  <c r="K273" i="8"/>
  <c r="K275" i="8"/>
  <c r="K276" i="8"/>
  <c r="K277" i="8"/>
  <c r="K283" i="8"/>
  <c r="K284" i="8"/>
  <c r="K285" i="8"/>
  <c r="K291" i="8"/>
  <c r="K292" i="8"/>
  <c r="K293" i="8"/>
  <c r="K295" i="8"/>
  <c r="K2" i="8"/>
  <c r="J3" i="3"/>
  <c r="K3" i="3" s="1"/>
  <c r="J4" i="3"/>
  <c r="K4" i="3"/>
  <c r="J5" i="3"/>
  <c r="K5" i="3"/>
  <c r="J6" i="3"/>
  <c r="K6" i="3"/>
  <c r="J7" i="3"/>
  <c r="K7" i="3" s="1"/>
  <c r="J8" i="3"/>
  <c r="K8" i="3"/>
  <c r="J9" i="3"/>
  <c r="K9" i="3"/>
  <c r="J10" i="3"/>
  <c r="K10" i="3"/>
  <c r="J11" i="3"/>
  <c r="K11" i="3" s="1"/>
  <c r="J12" i="3"/>
  <c r="K12" i="3"/>
  <c r="J13" i="3"/>
  <c r="K13" i="3"/>
  <c r="J14" i="3"/>
  <c r="K14" i="3"/>
  <c r="J15" i="3"/>
  <c r="K15" i="3" s="1"/>
  <c r="J16" i="3"/>
  <c r="K16" i="3"/>
  <c r="J17" i="3"/>
  <c r="K17" i="3"/>
  <c r="J18" i="3"/>
  <c r="K18" i="3"/>
  <c r="J19" i="3"/>
  <c r="K19" i="3" s="1"/>
  <c r="J20" i="3"/>
  <c r="K20" i="3" s="1"/>
  <c r="J21" i="3"/>
  <c r="K21" i="3"/>
  <c r="J22" i="3"/>
  <c r="K22" i="3" s="1"/>
  <c r="J23" i="3"/>
  <c r="K23" i="3" s="1"/>
  <c r="J24" i="3"/>
  <c r="K24" i="3" s="1"/>
  <c r="J25" i="3"/>
  <c r="K25" i="3"/>
  <c r="J26" i="3"/>
  <c r="K26" i="3"/>
  <c r="J27" i="3"/>
  <c r="K27" i="3" s="1"/>
  <c r="J28" i="3"/>
  <c r="K28" i="3"/>
  <c r="J29" i="3"/>
  <c r="K29" i="3" s="1"/>
  <c r="J30" i="3"/>
  <c r="K30" i="3" s="1"/>
  <c r="J31" i="3"/>
  <c r="K31" i="3" s="1"/>
  <c r="J32" i="3"/>
  <c r="K32" i="3" s="1"/>
  <c r="J33" i="3"/>
  <c r="K33" i="3" s="1"/>
  <c r="J34" i="3"/>
  <c r="K34" i="3"/>
  <c r="J35" i="3"/>
  <c r="K35" i="3" s="1"/>
  <c r="J36" i="3"/>
  <c r="K36" i="3" s="1"/>
  <c r="J37" i="3"/>
  <c r="K37" i="3"/>
  <c r="J38" i="3"/>
  <c r="K38" i="3" s="1"/>
  <c r="J39" i="3"/>
  <c r="K39" i="3" s="1"/>
  <c r="J40" i="3"/>
  <c r="K40" i="3"/>
  <c r="J41" i="3"/>
  <c r="K41" i="3" s="1"/>
  <c r="J42" i="3"/>
  <c r="K42" i="3" s="1"/>
  <c r="J43" i="3"/>
  <c r="K43" i="3" s="1"/>
  <c r="J44" i="3"/>
  <c r="K44" i="3" s="1"/>
  <c r="J45" i="3"/>
  <c r="K45" i="3" s="1"/>
  <c r="J46" i="3"/>
  <c r="K46" i="3"/>
  <c r="J47" i="3"/>
  <c r="K47" i="3" s="1"/>
  <c r="J48" i="3"/>
  <c r="K48" i="3"/>
  <c r="J49" i="3"/>
  <c r="K49" i="3"/>
  <c r="J50" i="3"/>
  <c r="K50" i="3" s="1"/>
  <c r="J51" i="3"/>
  <c r="K51" i="3" s="1"/>
  <c r="J52" i="3"/>
  <c r="K52" i="3" s="1"/>
  <c r="J53" i="3"/>
  <c r="K53" i="3" s="1"/>
  <c r="J54" i="3"/>
  <c r="K54" i="3" s="1"/>
  <c r="J55" i="3"/>
  <c r="K55" i="3" s="1"/>
  <c r="J56" i="3"/>
  <c r="K56" i="3"/>
  <c r="J57" i="3"/>
  <c r="K57" i="3"/>
  <c r="J58" i="3"/>
  <c r="K58" i="3"/>
  <c r="J59" i="3"/>
  <c r="K59" i="3" s="1"/>
  <c r="J60" i="3"/>
  <c r="K60" i="3"/>
  <c r="J61" i="3"/>
  <c r="K61" i="3" s="1"/>
  <c r="J62" i="3"/>
  <c r="K62" i="3" s="1"/>
  <c r="J63" i="3"/>
  <c r="K63" i="3" s="1"/>
  <c r="J64" i="3"/>
  <c r="K64" i="3" s="1"/>
  <c r="J65" i="3"/>
  <c r="K65" i="3"/>
  <c r="J66" i="3"/>
  <c r="K66" i="3"/>
  <c r="J67" i="3"/>
  <c r="K67" i="3" s="1"/>
  <c r="J68" i="3"/>
  <c r="K68" i="3" s="1"/>
  <c r="J69" i="3"/>
  <c r="K69" i="3"/>
  <c r="J70" i="3"/>
  <c r="K70" i="3" s="1"/>
  <c r="J71" i="3"/>
  <c r="K71" i="3" s="1"/>
  <c r="J72" i="3"/>
  <c r="K72" i="3"/>
  <c r="J73" i="3"/>
  <c r="K73" i="3" s="1"/>
  <c r="J74" i="3"/>
  <c r="K74" i="3" s="1"/>
  <c r="J75" i="3"/>
  <c r="K75" i="3" s="1"/>
  <c r="J76" i="3"/>
  <c r="K76" i="3" s="1"/>
  <c r="J77" i="3"/>
  <c r="K77" i="3" s="1"/>
  <c r="J78" i="3"/>
  <c r="K78" i="3"/>
  <c r="J79" i="3"/>
  <c r="K79" i="3" s="1"/>
  <c r="J80" i="3"/>
  <c r="K80" i="3"/>
  <c r="J81" i="3"/>
  <c r="K81" i="3"/>
  <c r="J82" i="3"/>
  <c r="K82" i="3" s="1"/>
  <c r="J83" i="3"/>
  <c r="K83" i="3" s="1"/>
  <c r="J84" i="3"/>
  <c r="K84" i="3" s="1"/>
  <c r="J85" i="3"/>
  <c r="K85" i="3" s="1"/>
  <c r="J86" i="3"/>
  <c r="K86" i="3" s="1"/>
  <c r="J87" i="3"/>
  <c r="K87" i="3" s="1"/>
  <c r="J88" i="3"/>
  <c r="K88" i="3"/>
  <c r="J89" i="3"/>
  <c r="K89" i="3"/>
  <c r="J90" i="3"/>
  <c r="K90" i="3"/>
  <c r="J91" i="3"/>
  <c r="K91" i="3" s="1"/>
  <c r="J92" i="3"/>
  <c r="K92" i="3"/>
  <c r="J93" i="3"/>
  <c r="K93" i="3" s="1"/>
  <c r="J94" i="3"/>
  <c r="K94" i="3" s="1"/>
  <c r="J95" i="3"/>
  <c r="K95" i="3" s="1"/>
  <c r="J96" i="3"/>
  <c r="K96" i="3" s="1"/>
  <c r="J97" i="3"/>
  <c r="K97" i="3" s="1"/>
  <c r="J98" i="3"/>
  <c r="K98" i="3"/>
  <c r="J99" i="3"/>
  <c r="K99" i="3" s="1"/>
  <c r="J100" i="3"/>
  <c r="K100" i="3" s="1"/>
  <c r="J101" i="3"/>
  <c r="K101" i="3"/>
  <c r="J102" i="3"/>
  <c r="K102" i="3" s="1"/>
  <c r="J103" i="3"/>
  <c r="K103" i="3" s="1"/>
  <c r="J104" i="3"/>
  <c r="K104" i="3"/>
  <c r="J105" i="3"/>
  <c r="K105" i="3" s="1"/>
  <c r="J106" i="3"/>
  <c r="K106" i="3"/>
  <c r="J107" i="3"/>
  <c r="K107" i="3" s="1"/>
  <c r="J108" i="3"/>
  <c r="K108" i="3" s="1"/>
  <c r="J109" i="3"/>
  <c r="K109" i="3" s="1"/>
  <c r="J110" i="3"/>
  <c r="K110" i="3"/>
  <c r="J111" i="3"/>
  <c r="K111" i="3" s="1"/>
  <c r="J112" i="3"/>
  <c r="K112" i="3"/>
  <c r="J113" i="3"/>
  <c r="K113" i="3"/>
  <c r="J114" i="3"/>
  <c r="K114" i="3" s="1"/>
  <c r="J115" i="3"/>
  <c r="K115" i="3" s="1"/>
  <c r="J116" i="3"/>
  <c r="K116" i="3" s="1"/>
  <c r="J117" i="3"/>
  <c r="K117" i="3" s="1"/>
  <c r="J118" i="3"/>
  <c r="K118" i="3" s="1"/>
  <c r="J119" i="3"/>
  <c r="K119" i="3" s="1"/>
  <c r="J120" i="3"/>
  <c r="K120" i="3"/>
  <c r="J121" i="3"/>
  <c r="K121" i="3"/>
  <c r="J122" i="3"/>
  <c r="K122" i="3"/>
  <c r="J123" i="3"/>
  <c r="K123" i="3" s="1"/>
  <c r="J124" i="3"/>
  <c r="K124" i="3"/>
  <c r="J125" i="3"/>
  <c r="K125" i="3" s="1"/>
  <c r="J126" i="3"/>
  <c r="K126" i="3" s="1"/>
  <c r="J127" i="3"/>
  <c r="K127" i="3" s="1"/>
  <c r="J128" i="3"/>
  <c r="K128" i="3" s="1"/>
  <c r="J129" i="3"/>
  <c r="K129" i="3"/>
  <c r="J130" i="3"/>
  <c r="K130" i="3"/>
  <c r="J131" i="3"/>
  <c r="K131" i="3" s="1"/>
  <c r="J132" i="3"/>
  <c r="K132" i="3" s="1"/>
  <c r="J133" i="3"/>
  <c r="K133" i="3"/>
  <c r="J134" i="3"/>
  <c r="K134" i="3" s="1"/>
  <c r="J135" i="3"/>
  <c r="K135" i="3" s="1"/>
  <c r="J136" i="3"/>
  <c r="K136" i="3"/>
  <c r="J137" i="3"/>
  <c r="K137" i="3" s="1"/>
  <c r="J138" i="3"/>
  <c r="K138" i="3" s="1"/>
  <c r="J139" i="3"/>
  <c r="K139" i="3" s="1"/>
  <c r="J140" i="3"/>
  <c r="K140" i="3" s="1"/>
  <c r="J141" i="3"/>
  <c r="K141" i="3" s="1"/>
  <c r="J142" i="3"/>
  <c r="K142" i="3"/>
  <c r="J143" i="3"/>
  <c r="K143" i="3" s="1"/>
  <c r="J144" i="3"/>
  <c r="K144" i="3"/>
  <c r="J145" i="3"/>
  <c r="K145" i="3"/>
  <c r="J146" i="3"/>
  <c r="K146" i="3" s="1"/>
  <c r="J147" i="3"/>
  <c r="K147" i="3" s="1"/>
  <c r="J148" i="3"/>
  <c r="K148" i="3" s="1"/>
  <c r="J149" i="3"/>
  <c r="K149" i="3" s="1"/>
  <c r="J150" i="3"/>
  <c r="K150" i="3" s="1"/>
  <c r="J151" i="3"/>
  <c r="K151" i="3" s="1"/>
  <c r="J152" i="3"/>
  <c r="K152" i="3"/>
  <c r="J153" i="3"/>
  <c r="K153" i="3"/>
  <c r="J154" i="3"/>
  <c r="K154" i="3"/>
  <c r="J155" i="3"/>
  <c r="K155" i="3" s="1"/>
  <c r="J156" i="3"/>
  <c r="K156" i="3"/>
  <c r="J157" i="3"/>
  <c r="K157" i="3" s="1"/>
  <c r="J158" i="3"/>
  <c r="K158" i="3" s="1"/>
  <c r="J159" i="3"/>
  <c r="K159" i="3" s="1"/>
  <c r="J160" i="3"/>
  <c r="K160" i="3" s="1"/>
  <c r="J161" i="3"/>
  <c r="K161" i="3" s="1"/>
  <c r="J162" i="3"/>
  <c r="K162" i="3"/>
  <c r="J163" i="3"/>
  <c r="K163" i="3" s="1"/>
  <c r="J164" i="3"/>
  <c r="K164" i="3" s="1"/>
  <c r="J165" i="3"/>
  <c r="K165" i="3"/>
  <c r="J166" i="3"/>
  <c r="K166" i="3" s="1"/>
  <c r="J167" i="3"/>
  <c r="K167" i="3" s="1"/>
  <c r="J168" i="3"/>
  <c r="K168" i="3"/>
  <c r="J169" i="3"/>
  <c r="K169" i="3" s="1"/>
  <c r="J170" i="3"/>
  <c r="K170" i="3"/>
  <c r="J171" i="3"/>
  <c r="K171" i="3" s="1"/>
  <c r="J172" i="3"/>
  <c r="K172" i="3" s="1"/>
  <c r="J173" i="3"/>
  <c r="K173" i="3" s="1"/>
  <c r="J174" i="3"/>
  <c r="K174" i="3"/>
  <c r="J175" i="3"/>
  <c r="K175" i="3" s="1"/>
  <c r="J176" i="3"/>
  <c r="K176" i="3"/>
  <c r="J177" i="3"/>
  <c r="K177" i="3"/>
  <c r="J178" i="3"/>
  <c r="K178" i="3" s="1"/>
  <c r="J179" i="3"/>
  <c r="K179" i="3" s="1"/>
  <c r="J180" i="3"/>
  <c r="K180" i="3" s="1"/>
  <c r="J181" i="3"/>
  <c r="K181" i="3" s="1"/>
  <c r="J182" i="3"/>
  <c r="K182" i="3" s="1"/>
  <c r="J183" i="3"/>
  <c r="K183" i="3" s="1"/>
  <c r="J184" i="3"/>
  <c r="K184" i="3" s="1"/>
  <c r="J185" i="3"/>
  <c r="K185" i="3"/>
  <c r="J186" i="3"/>
  <c r="K186" i="3"/>
  <c r="J187" i="3"/>
  <c r="K187" i="3" s="1"/>
  <c r="J188" i="3"/>
  <c r="K188" i="3"/>
  <c r="J189" i="3"/>
  <c r="K189" i="3" s="1"/>
  <c r="J190" i="3"/>
  <c r="K190" i="3" s="1"/>
  <c r="J191" i="3"/>
  <c r="K191" i="3" s="1"/>
  <c r="J192" i="3"/>
  <c r="K192" i="3" s="1"/>
  <c r="J193" i="3"/>
  <c r="K193" i="3"/>
  <c r="J194" i="3"/>
  <c r="K194" i="3"/>
  <c r="J195" i="3"/>
  <c r="K195" i="3" s="1"/>
  <c r="J196" i="3"/>
  <c r="K196" i="3" s="1"/>
  <c r="J197" i="3"/>
  <c r="K197" i="3"/>
  <c r="J198" i="3"/>
  <c r="K198" i="3" s="1"/>
  <c r="J199" i="3"/>
  <c r="K199" i="3" s="1"/>
  <c r="J200" i="3"/>
  <c r="K200" i="3"/>
  <c r="J201" i="3"/>
  <c r="K201" i="3" s="1"/>
  <c r="J202" i="3"/>
  <c r="K202" i="3" s="1"/>
  <c r="J203" i="3"/>
  <c r="K203" i="3" s="1"/>
  <c r="J204" i="3"/>
  <c r="K204" i="3" s="1"/>
  <c r="J205" i="3"/>
  <c r="K205" i="3" s="1"/>
  <c r="J206" i="3"/>
  <c r="K206" i="3"/>
  <c r="J207" i="3"/>
  <c r="K207" i="3" s="1"/>
  <c r="J208" i="3"/>
  <c r="K208" i="3"/>
  <c r="J209" i="3"/>
  <c r="K209" i="3"/>
  <c r="J210" i="3"/>
  <c r="K210" i="3" s="1"/>
  <c r="J211" i="3"/>
  <c r="K211" i="3" s="1"/>
  <c r="J212" i="3"/>
  <c r="K212" i="3" s="1"/>
  <c r="J213" i="3"/>
  <c r="K213" i="3" s="1"/>
  <c r="J214" i="3"/>
  <c r="K214" i="3" s="1"/>
  <c r="J215" i="3"/>
  <c r="K215" i="3" s="1"/>
  <c r="J216" i="3"/>
  <c r="K216" i="3"/>
  <c r="J217" i="3"/>
  <c r="K217" i="3"/>
  <c r="J218" i="3"/>
  <c r="K218" i="3"/>
  <c r="J219" i="3"/>
  <c r="K219" i="3" s="1"/>
  <c r="J220" i="3"/>
  <c r="K220" i="3"/>
  <c r="J221" i="3"/>
  <c r="K221" i="3" s="1"/>
  <c r="J222" i="3"/>
  <c r="K222" i="3" s="1"/>
  <c r="J223" i="3"/>
  <c r="K223" i="3" s="1"/>
  <c r="J224" i="3"/>
  <c r="K224" i="3" s="1"/>
  <c r="J225" i="3"/>
  <c r="K225" i="3" s="1"/>
  <c r="J226" i="3"/>
  <c r="K226" i="3"/>
  <c r="J227" i="3"/>
  <c r="K227" i="3" s="1"/>
  <c r="J228" i="3"/>
  <c r="K228" i="3" s="1"/>
  <c r="J229" i="3"/>
  <c r="K229" i="3"/>
  <c r="J230" i="3"/>
  <c r="K230" i="3" s="1"/>
  <c r="J231" i="3"/>
  <c r="K231" i="3" s="1"/>
  <c r="J232" i="3"/>
  <c r="K232" i="3"/>
  <c r="J233" i="3"/>
  <c r="K233" i="3" s="1"/>
  <c r="J234" i="3"/>
  <c r="K234" i="3"/>
  <c r="J235" i="3"/>
  <c r="K235" i="3" s="1"/>
  <c r="J236" i="3"/>
  <c r="K236" i="3" s="1"/>
  <c r="J237" i="3"/>
  <c r="K237" i="3" s="1"/>
  <c r="J238" i="3"/>
  <c r="K238" i="3"/>
  <c r="J239" i="3"/>
  <c r="K239" i="3" s="1"/>
  <c r="J240" i="3"/>
  <c r="K240" i="3"/>
  <c r="J241" i="3"/>
  <c r="K241" i="3"/>
  <c r="J242" i="3"/>
  <c r="K242" i="3" s="1"/>
  <c r="J243" i="3"/>
  <c r="K243" i="3" s="1"/>
  <c r="J244" i="3"/>
  <c r="K244" i="3" s="1"/>
  <c r="J245" i="3"/>
  <c r="K245" i="3" s="1"/>
  <c r="J246" i="3"/>
  <c r="K246" i="3" s="1"/>
  <c r="J247" i="3"/>
  <c r="K247" i="3" s="1"/>
  <c r="J248" i="3"/>
  <c r="K248" i="3"/>
  <c r="J249" i="3"/>
  <c r="K249" i="3"/>
  <c r="J250" i="3"/>
  <c r="K250" i="3"/>
  <c r="J251" i="3"/>
  <c r="K251" i="3" s="1"/>
  <c r="J252" i="3"/>
  <c r="K252" i="3"/>
  <c r="J253" i="3"/>
  <c r="K253" i="3" s="1"/>
  <c r="J254" i="3"/>
  <c r="K254" i="3" s="1"/>
  <c r="J255" i="3"/>
  <c r="K255" i="3" s="1"/>
  <c r="J256" i="3"/>
  <c r="K256" i="3" s="1"/>
  <c r="J257" i="3"/>
  <c r="K257" i="3"/>
  <c r="J258" i="3"/>
  <c r="K258" i="3"/>
  <c r="J259" i="3"/>
  <c r="K259" i="3" s="1"/>
  <c r="J260" i="3"/>
  <c r="K260" i="3" s="1"/>
  <c r="J261" i="3"/>
  <c r="K261" i="3"/>
  <c r="J262" i="3"/>
  <c r="K262" i="3" s="1"/>
  <c r="J263" i="3"/>
  <c r="K263" i="3" s="1"/>
  <c r="J264" i="3"/>
  <c r="K264" i="3"/>
  <c r="J265" i="3"/>
  <c r="K265" i="3" s="1"/>
  <c r="J266" i="3"/>
  <c r="K266" i="3" s="1"/>
  <c r="J267" i="3"/>
  <c r="K267" i="3" s="1"/>
  <c r="J268" i="3"/>
  <c r="K268" i="3" s="1"/>
  <c r="J269" i="3"/>
  <c r="K269" i="3" s="1"/>
  <c r="J270" i="3"/>
  <c r="K270" i="3"/>
  <c r="J271" i="3"/>
  <c r="K271" i="3" s="1"/>
  <c r="J272" i="3"/>
  <c r="K272" i="3"/>
  <c r="J273" i="3"/>
  <c r="K273" i="3"/>
  <c r="J274" i="3"/>
  <c r="K274" i="3" s="1"/>
  <c r="J275" i="3"/>
  <c r="K275" i="3" s="1"/>
  <c r="J276" i="3"/>
  <c r="K276" i="3" s="1"/>
  <c r="J277" i="3"/>
  <c r="K277" i="3" s="1"/>
  <c r="J278" i="3"/>
  <c r="K278" i="3" s="1"/>
  <c r="J279" i="3"/>
  <c r="K279" i="3" s="1"/>
  <c r="J280" i="3"/>
  <c r="K280" i="3"/>
  <c r="J281" i="3"/>
  <c r="K281" i="3"/>
  <c r="J282" i="3"/>
  <c r="K282" i="3"/>
  <c r="J283" i="3"/>
  <c r="K283" i="3" s="1"/>
  <c r="J284" i="3"/>
  <c r="K284" i="3"/>
  <c r="J285" i="3"/>
  <c r="K285" i="3" s="1"/>
  <c r="J286" i="3"/>
  <c r="K286" i="3" s="1"/>
  <c r="J287" i="3"/>
  <c r="K287" i="3" s="1"/>
  <c r="J288" i="3"/>
  <c r="K288" i="3" s="1"/>
  <c r="J289" i="3"/>
  <c r="K289" i="3" s="1"/>
  <c r="J290" i="3"/>
  <c r="K290" i="3"/>
  <c r="J291" i="3"/>
  <c r="K291" i="3" s="1"/>
  <c r="J292" i="3"/>
  <c r="K292" i="3" s="1"/>
  <c r="J293" i="3"/>
  <c r="K293" i="3"/>
  <c r="J294" i="3"/>
  <c r="K294" i="3" s="1"/>
  <c r="J295" i="3"/>
  <c r="K295" i="3" s="1"/>
  <c r="J296" i="3"/>
  <c r="K296" i="3"/>
  <c r="J297" i="3"/>
  <c r="K297" i="3" s="1"/>
  <c r="J298" i="3"/>
  <c r="K298" i="3"/>
  <c r="J299" i="3"/>
  <c r="K299" i="3" s="1"/>
  <c r="J300" i="3"/>
  <c r="K300" i="3" s="1"/>
  <c r="J301" i="3"/>
  <c r="K301" i="3" s="1"/>
  <c r="J302" i="3"/>
  <c r="K302" i="3"/>
  <c r="J303" i="3"/>
  <c r="K303" i="3" s="1"/>
  <c r="J304" i="3"/>
  <c r="K304" i="3"/>
  <c r="J305" i="3"/>
  <c r="K305" i="3"/>
  <c r="J306" i="3"/>
  <c r="K306" i="3" s="1"/>
  <c r="J307" i="3"/>
  <c r="K307" i="3" s="1"/>
  <c r="J308" i="3"/>
  <c r="K308" i="3" s="1"/>
  <c r="J309" i="3"/>
  <c r="K309" i="3" s="1"/>
  <c r="J310" i="3"/>
  <c r="K310" i="3" s="1"/>
  <c r="J311" i="3"/>
  <c r="K311" i="3" s="1"/>
  <c r="J312" i="3"/>
  <c r="K312" i="3"/>
  <c r="J313" i="3"/>
  <c r="K313" i="3"/>
  <c r="J314" i="3"/>
  <c r="K314" i="3"/>
  <c r="J315" i="3"/>
  <c r="K315" i="3" s="1"/>
  <c r="J316" i="3"/>
  <c r="K316" i="3"/>
  <c r="J317" i="3"/>
  <c r="K317" i="3" s="1"/>
  <c r="J318" i="3"/>
  <c r="K318" i="3" s="1"/>
  <c r="J319" i="3"/>
  <c r="K319" i="3" s="1"/>
  <c r="J320" i="3"/>
  <c r="K320" i="3" s="1"/>
  <c r="J321" i="3"/>
  <c r="K321" i="3"/>
  <c r="J322" i="3"/>
  <c r="K322" i="3"/>
  <c r="J323" i="3"/>
  <c r="K323" i="3" s="1"/>
  <c r="J324" i="3"/>
  <c r="K324" i="3" s="1"/>
  <c r="J325" i="3"/>
  <c r="K325" i="3"/>
  <c r="J326" i="3"/>
  <c r="K326" i="3" s="1"/>
  <c r="J327" i="3"/>
  <c r="K327" i="3" s="1"/>
  <c r="J328" i="3"/>
  <c r="K328" i="3"/>
  <c r="J329" i="3"/>
  <c r="K329" i="3" s="1"/>
  <c r="J330" i="3"/>
  <c r="K330" i="3" s="1"/>
  <c r="J331" i="3"/>
  <c r="K331" i="3" s="1"/>
  <c r="J332" i="3"/>
  <c r="K332" i="3" s="1"/>
  <c r="J333" i="3"/>
  <c r="K333" i="3" s="1"/>
  <c r="J334" i="3"/>
  <c r="K334" i="3"/>
  <c r="J335" i="3"/>
  <c r="K335" i="3" s="1"/>
  <c r="J336" i="3"/>
  <c r="K336" i="3"/>
  <c r="J337" i="3"/>
  <c r="K337" i="3"/>
  <c r="J338" i="3"/>
  <c r="K338" i="3" s="1"/>
  <c r="J339" i="3"/>
  <c r="K339" i="3" s="1"/>
  <c r="J340" i="3"/>
  <c r="K340" i="3" s="1"/>
  <c r="J341" i="3"/>
  <c r="K341" i="3" s="1"/>
  <c r="J342" i="3"/>
  <c r="K342" i="3" s="1"/>
  <c r="J343" i="3"/>
  <c r="K343" i="3"/>
  <c r="J344" i="3"/>
  <c r="K344" i="3" s="1"/>
  <c r="J345" i="3"/>
  <c r="K345" i="3" s="1"/>
  <c r="J346" i="3"/>
  <c r="K346" i="3" s="1"/>
  <c r="J347" i="3"/>
  <c r="K347" i="3"/>
  <c r="J348" i="3"/>
  <c r="K348" i="3" s="1"/>
  <c r="J349" i="3"/>
  <c r="K349" i="3" s="1"/>
  <c r="J350" i="3"/>
  <c r="K350" i="3" s="1"/>
  <c r="J351" i="3"/>
  <c r="K351" i="3"/>
  <c r="J352" i="3"/>
  <c r="K352" i="3" s="1"/>
  <c r="J353" i="3"/>
  <c r="K353" i="3" s="1"/>
  <c r="J354" i="3"/>
  <c r="K354" i="3" s="1"/>
  <c r="J355" i="3"/>
  <c r="K355" i="3"/>
  <c r="J356" i="3"/>
  <c r="K356" i="3" s="1"/>
  <c r="J357" i="3"/>
  <c r="K357" i="3" s="1"/>
  <c r="J358" i="3"/>
  <c r="K358" i="3" s="1"/>
  <c r="J359" i="3"/>
  <c r="K359" i="3"/>
  <c r="J360" i="3"/>
  <c r="K360" i="3" s="1"/>
  <c r="J361" i="3"/>
  <c r="K361" i="3" s="1"/>
  <c r="J362" i="3"/>
  <c r="K362" i="3" s="1"/>
  <c r="J363" i="3"/>
  <c r="K363" i="3"/>
  <c r="J364" i="3"/>
  <c r="K364" i="3" s="1"/>
  <c r="J365" i="3"/>
  <c r="K365" i="3" s="1"/>
  <c r="J366" i="3"/>
  <c r="K366" i="3" s="1"/>
  <c r="J367" i="3"/>
  <c r="K367" i="3"/>
  <c r="J368" i="3"/>
  <c r="K368" i="3" s="1"/>
  <c r="J369" i="3"/>
  <c r="K369" i="3" s="1"/>
  <c r="J370" i="3"/>
  <c r="K370" i="3" s="1"/>
  <c r="J371" i="3"/>
  <c r="K371" i="3"/>
  <c r="J372" i="3"/>
  <c r="K372" i="3" s="1"/>
  <c r="J373" i="3"/>
  <c r="K373" i="3" s="1"/>
  <c r="J374" i="3"/>
  <c r="K374" i="3" s="1"/>
  <c r="J375" i="3"/>
  <c r="K375" i="3"/>
  <c r="J376" i="3"/>
  <c r="K376" i="3" s="1"/>
  <c r="J377" i="3"/>
  <c r="K377" i="3" s="1"/>
  <c r="J378" i="3"/>
  <c r="K378" i="3" s="1"/>
  <c r="J379" i="3"/>
  <c r="K379" i="3"/>
  <c r="J380" i="3"/>
  <c r="K380" i="3" s="1"/>
  <c r="J381" i="3"/>
  <c r="K381" i="3" s="1"/>
  <c r="J382" i="3"/>
  <c r="K382" i="3" s="1"/>
  <c r="J383" i="3"/>
  <c r="K383" i="3"/>
  <c r="J384" i="3"/>
  <c r="K384" i="3" s="1"/>
  <c r="J385" i="3"/>
  <c r="K385" i="3" s="1"/>
  <c r="J386" i="3"/>
  <c r="K386" i="3" s="1"/>
  <c r="J387" i="3"/>
  <c r="K387" i="3"/>
  <c r="J388" i="3"/>
  <c r="K388" i="3" s="1"/>
  <c r="J389" i="3"/>
  <c r="K389" i="3" s="1"/>
  <c r="J390" i="3"/>
  <c r="K390" i="3" s="1"/>
  <c r="J391" i="3"/>
  <c r="K391" i="3"/>
  <c r="J392" i="3"/>
  <c r="K392" i="3" s="1"/>
  <c r="J393" i="3"/>
  <c r="K393" i="3" s="1"/>
  <c r="J394" i="3"/>
  <c r="K394" i="3" s="1"/>
  <c r="J395" i="3"/>
  <c r="K395" i="3"/>
  <c r="J396" i="3"/>
  <c r="K396" i="3" s="1"/>
  <c r="J397" i="3"/>
  <c r="K397" i="3" s="1"/>
  <c r="J398" i="3"/>
  <c r="K398" i="3" s="1"/>
  <c r="J399" i="3"/>
  <c r="K399" i="3"/>
  <c r="J400" i="3"/>
  <c r="K400" i="3" s="1"/>
  <c r="J401" i="3"/>
  <c r="K401" i="3" s="1"/>
  <c r="J402" i="3"/>
  <c r="K402" i="3" s="1"/>
  <c r="J403" i="3"/>
  <c r="K403" i="3"/>
  <c r="J404" i="3"/>
  <c r="K404" i="3" s="1"/>
  <c r="J405" i="3"/>
  <c r="K405" i="3" s="1"/>
  <c r="J406" i="3"/>
  <c r="K406" i="3" s="1"/>
  <c r="J407" i="3"/>
  <c r="K407" i="3"/>
  <c r="J408" i="3"/>
  <c r="K408" i="3" s="1"/>
  <c r="J409" i="3"/>
  <c r="K409" i="3" s="1"/>
  <c r="J410" i="3"/>
  <c r="K410" i="3" s="1"/>
  <c r="J411" i="3"/>
  <c r="K411" i="3"/>
  <c r="J412" i="3"/>
  <c r="K412" i="3" s="1"/>
  <c r="J413" i="3"/>
  <c r="K413" i="3" s="1"/>
  <c r="J414" i="3"/>
  <c r="K414" i="3" s="1"/>
  <c r="J415" i="3"/>
  <c r="K415" i="3"/>
  <c r="J416" i="3"/>
  <c r="K416" i="3" s="1"/>
  <c r="J417" i="3"/>
  <c r="K417" i="3" s="1"/>
  <c r="J418" i="3"/>
  <c r="K418" i="3" s="1"/>
  <c r="J419" i="3"/>
  <c r="K419" i="3"/>
  <c r="J420" i="3"/>
  <c r="K420" i="3" s="1"/>
  <c r="J421" i="3"/>
  <c r="K421" i="3" s="1"/>
  <c r="J422" i="3"/>
  <c r="K422" i="3" s="1"/>
  <c r="J423" i="3"/>
  <c r="K423" i="3"/>
  <c r="J424" i="3"/>
  <c r="K424" i="3" s="1"/>
  <c r="J425" i="3"/>
  <c r="K425" i="3" s="1"/>
  <c r="J426" i="3"/>
  <c r="K426" i="3" s="1"/>
  <c r="J427" i="3"/>
  <c r="K427" i="3"/>
  <c r="J428" i="3"/>
  <c r="K428" i="3" s="1"/>
  <c r="J429" i="3"/>
  <c r="K429" i="3" s="1"/>
  <c r="J430" i="3"/>
  <c r="K430" i="3" s="1"/>
  <c r="J431" i="3"/>
  <c r="K431" i="3"/>
  <c r="J432" i="3"/>
  <c r="K432" i="3" s="1"/>
  <c r="J433" i="3"/>
  <c r="K433" i="3" s="1"/>
  <c r="J434" i="3"/>
  <c r="K434" i="3" s="1"/>
  <c r="J435" i="3"/>
  <c r="K435" i="3"/>
  <c r="J436" i="3"/>
  <c r="K436" i="3" s="1"/>
  <c r="J437" i="3"/>
  <c r="K437" i="3" s="1"/>
  <c r="J438" i="3"/>
  <c r="K438" i="3" s="1"/>
  <c r="J439" i="3"/>
  <c r="K439" i="3"/>
  <c r="J440" i="3"/>
  <c r="K440" i="3" s="1"/>
  <c r="J441" i="3"/>
  <c r="K441" i="3" s="1"/>
  <c r="J442" i="3"/>
  <c r="K442" i="3" s="1"/>
  <c r="J443" i="3"/>
  <c r="K443" i="3"/>
  <c r="J444" i="3"/>
  <c r="K444" i="3" s="1"/>
  <c r="J445" i="3"/>
  <c r="K445" i="3" s="1"/>
  <c r="J446" i="3"/>
  <c r="K446" i="3" s="1"/>
  <c r="J447" i="3"/>
  <c r="K447" i="3"/>
  <c r="J448" i="3"/>
  <c r="K448" i="3" s="1"/>
  <c r="J449" i="3"/>
  <c r="K449" i="3" s="1"/>
  <c r="J450" i="3"/>
  <c r="K450" i="3" s="1"/>
  <c r="J451" i="3"/>
  <c r="K451" i="3"/>
  <c r="J452" i="3"/>
  <c r="K452" i="3" s="1"/>
  <c r="J453" i="3"/>
  <c r="K453" i="3" s="1"/>
  <c r="J454" i="3"/>
  <c r="K454" i="3" s="1"/>
  <c r="J455" i="3"/>
  <c r="K455" i="3"/>
  <c r="J456" i="3"/>
  <c r="K456" i="3" s="1"/>
  <c r="J457" i="3"/>
  <c r="K457" i="3" s="1"/>
  <c r="J458" i="3"/>
  <c r="K458" i="3" s="1"/>
  <c r="J459" i="3"/>
  <c r="K459" i="3"/>
  <c r="J460" i="3"/>
  <c r="K460" i="3" s="1"/>
  <c r="J461" i="3"/>
  <c r="K461" i="3" s="1"/>
  <c r="J462" i="3"/>
  <c r="K462" i="3" s="1"/>
  <c r="J463" i="3"/>
  <c r="K463" i="3"/>
  <c r="J464" i="3"/>
  <c r="K464" i="3" s="1"/>
  <c r="J465" i="3"/>
  <c r="K465" i="3" s="1"/>
  <c r="J466" i="3"/>
  <c r="K466" i="3" s="1"/>
  <c r="J467" i="3"/>
  <c r="K467" i="3"/>
  <c r="J468" i="3"/>
  <c r="K468" i="3" s="1"/>
  <c r="J469" i="3"/>
  <c r="K469" i="3" s="1"/>
  <c r="J470" i="3"/>
  <c r="K470" i="3" s="1"/>
  <c r="J471" i="3"/>
  <c r="K471" i="3"/>
  <c r="J472" i="3"/>
  <c r="K472" i="3" s="1"/>
  <c r="J473" i="3"/>
  <c r="K473" i="3" s="1"/>
  <c r="J474" i="3"/>
  <c r="K474" i="3" s="1"/>
  <c r="J475" i="3"/>
  <c r="K475" i="3" s="1"/>
  <c r="J476" i="3"/>
  <c r="K476" i="3" s="1"/>
  <c r="J477" i="3"/>
  <c r="K477" i="3" s="1"/>
  <c r="J478" i="3"/>
  <c r="K478" i="3" s="1"/>
  <c r="J479" i="3"/>
  <c r="K479" i="3"/>
  <c r="J480" i="3"/>
  <c r="K480" i="3" s="1"/>
  <c r="J481" i="3"/>
  <c r="K481" i="3" s="1"/>
  <c r="J482" i="3"/>
  <c r="K482" i="3" s="1"/>
  <c r="J483" i="3"/>
  <c r="K483" i="3" s="1"/>
  <c r="J484" i="3"/>
  <c r="K484" i="3" s="1"/>
  <c r="J485" i="3"/>
  <c r="K485" i="3" s="1"/>
  <c r="J486" i="3"/>
  <c r="K486" i="3" s="1"/>
  <c r="J487" i="3"/>
  <c r="K487" i="3"/>
  <c r="J488" i="3"/>
  <c r="K488" i="3" s="1"/>
  <c r="J489" i="3"/>
  <c r="K489" i="3" s="1"/>
  <c r="J490" i="3"/>
  <c r="K490" i="3" s="1"/>
  <c r="J491" i="3"/>
  <c r="K491" i="3"/>
  <c r="J492" i="3"/>
  <c r="K492" i="3" s="1"/>
  <c r="J493" i="3"/>
  <c r="K493" i="3" s="1"/>
  <c r="J494" i="3"/>
  <c r="K494" i="3" s="1"/>
  <c r="J495" i="3"/>
  <c r="K495" i="3" s="1"/>
  <c r="J496" i="3"/>
  <c r="K496" i="3"/>
  <c r="J497" i="3"/>
  <c r="K497" i="3" s="1"/>
  <c r="J498" i="3"/>
  <c r="K498" i="3" s="1"/>
  <c r="J499" i="3"/>
  <c r="K499" i="3"/>
  <c r="J500" i="3"/>
  <c r="K500" i="3" s="1"/>
  <c r="J501" i="3"/>
  <c r="K501" i="3" s="1"/>
  <c r="J502" i="3"/>
  <c r="K502" i="3" s="1"/>
  <c r="J503" i="3"/>
  <c r="K503" i="3"/>
  <c r="J504" i="3"/>
  <c r="K504" i="3"/>
  <c r="J505" i="3"/>
  <c r="K505" i="3" s="1"/>
  <c r="J506" i="3"/>
  <c r="K506" i="3" s="1"/>
  <c r="J507" i="3"/>
  <c r="K507" i="3"/>
  <c r="J508" i="3"/>
  <c r="K508" i="3"/>
  <c r="J509" i="3"/>
  <c r="K509" i="3" s="1"/>
  <c r="J510" i="3"/>
  <c r="K510" i="3" s="1"/>
  <c r="J511" i="3"/>
  <c r="K511" i="3" s="1"/>
  <c r="J512" i="3"/>
  <c r="K512" i="3"/>
  <c r="J513" i="3"/>
  <c r="K513" i="3" s="1"/>
  <c r="J514" i="3"/>
  <c r="K514" i="3" s="1"/>
  <c r="J515" i="3"/>
  <c r="K515" i="3"/>
  <c r="J516" i="3"/>
  <c r="K516" i="3" s="1"/>
  <c r="J517" i="3"/>
  <c r="K517" i="3" s="1"/>
  <c r="J518" i="3"/>
  <c r="K518" i="3" s="1"/>
  <c r="J519" i="3"/>
  <c r="K519" i="3"/>
  <c r="J520" i="3"/>
  <c r="K520" i="3"/>
  <c r="J521" i="3"/>
  <c r="K521" i="3" s="1"/>
  <c r="J522" i="3"/>
  <c r="K522" i="3" s="1"/>
  <c r="J523" i="3"/>
  <c r="K523" i="3"/>
  <c r="J524" i="3"/>
  <c r="K524" i="3"/>
  <c r="J525" i="3"/>
  <c r="K525" i="3" s="1"/>
  <c r="J526" i="3"/>
  <c r="K526" i="3" s="1"/>
  <c r="J527" i="3"/>
  <c r="K527" i="3" s="1"/>
  <c r="J528" i="3"/>
  <c r="K528" i="3"/>
  <c r="J529" i="3"/>
  <c r="K529" i="3" s="1"/>
  <c r="J530" i="3"/>
  <c r="K530" i="3" s="1"/>
  <c r="J531" i="3"/>
  <c r="K531" i="3"/>
  <c r="J532" i="3"/>
  <c r="K532" i="3" s="1"/>
  <c r="J533" i="3"/>
  <c r="K533" i="3" s="1"/>
  <c r="J534" i="3"/>
  <c r="K534" i="3" s="1"/>
  <c r="J535" i="3"/>
  <c r="K535" i="3"/>
  <c r="J536" i="3"/>
  <c r="K536" i="3"/>
  <c r="J537" i="3"/>
  <c r="K537" i="3" s="1"/>
  <c r="J538" i="3"/>
  <c r="K538" i="3" s="1"/>
  <c r="J539" i="3"/>
  <c r="K539" i="3"/>
  <c r="J540" i="3"/>
  <c r="K540" i="3"/>
  <c r="J541" i="3"/>
  <c r="K541" i="3" s="1"/>
  <c r="J542" i="3"/>
  <c r="K542" i="3" s="1"/>
  <c r="J543" i="3"/>
  <c r="K543" i="3" s="1"/>
  <c r="J544" i="3"/>
  <c r="K544" i="3"/>
  <c r="J545" i="3"/>
  <c r="K545" i="3" s="1"/>
  <c r="J546" i="3"/>
  <c r="K546" i="3" s="1"/>
  <c r="J547" i="3"/>
  <c r="K547" i="3"/>
  <c r="J548" i="3"/>
  <c r="K548" i="3" s="1"/>
  <c r="J549" i="3"/>
  <c r="K549" i="3" s="1"/>
  <c r="J550" i="3"/>
  <c r="K550" i="3" s="1"/>
  <c r="J551" i="3"/>
  <c r="K551" i="3"/>
  <c r="J552" i="3"/>
  <c r="K552" i="3"/>
  <c r="J553" i="3"/>
  <c r="K553" i="3" s="1"/>
  <c r="J554" i="3"/>
  <c r="K554" i="3" s="1"/>
  <c r="J555" i="3"/>
  <c r="K555" i="3"/>
  <c r="J556" i="3"/>
  <c r="K556" i="3"/>
  <c r="J557" i="3"/>
  <c r="K557" i="3"/>
  <c r="J558" i="3"/>
  <c r="K558" i="3" s="1"/>
  <c r="J559" i="3"/>
  <c r="K559" i="3" s="1"/>
  <c r="J560" i="3"/>
  <c r="K560" i="3"/>
  <c r="J561" i="3"/>
  <c r="K561" i="3"/>
  <c r="J562" i="3"/>
  <c r="K562" i="3" s="1"/>
  <c r="J563" i="3"/>
  <c r="K563" i="3" s="1"/>
  <c r="J564" i="3"/>
  <c r="K564" i="3"/>
  <c r="J565" i="3"/>
  <c r="K565" i="3"/>
  <c r="J566" i="3"/>
  <c r="K566" i="3" s="1"/>
  <c r="J567" i="3"/>
  <c r="K567" i="3" s="1"/>
  <c r="J568" i="3"/>
  <c r="K568" i="3"/>
  <c r="J569" i="3"/>
  <c r="K569" i="3"/>
  <c r="J570" i="3"/>
  <c r="K570" i="3" s="1"/>
  <c r="J571" i="3"/>
  <c r="K571" i="3" s="1"/>
  <c r="J572" i="3"/>
  <c r="K572" i="3"/>
  <c r="J573" i="3"/>
  <c r="K573" i="3"/>
  <c r="J574" i="3"/>
  <c r="K574" i="3"/>
  <c r="J575" i="3"/>
  <c r="K575" i="3" s="1"/>
  <c r="J576" i="3"/>
  <c r="K576" i="3"/>
  <c r="J577" i="3"/>
  <c r="K577" i="3"/>
  <c r="J578" i="3"/>
  <c r="K578" i="3" s="1"/>
  <c r="J579" i="3"/>
  <c r="K579" i="3" s="1"/>
  <c r="J580" i="3"/>
  <c r="K580" i="3"/>
  <c r="J581" i="3"/>
  <c r="K581" i="3"/>
  <c r="J582" i="3"/>
  <c r="K582" i="3"/>
  <c r="J583" i="3"/>
  <c r="K583" i="3" s="1"/>
  <c r="J584" i="3"/>
  <c r="K584" i="3"/>
  <c r="J585" i="3"/>
  <c r="K585" i="3"/>
  <c r="J586" i="3"/>
  <c r="K586" i="3" s="1"/>
  <c r="J587" i="3"/>
  <c r="K587" i="3" s="1"/>
  <c r="J588" i="3"/>
  <c r="K588" i="3"/>
  <c r="J589" i="3"/>
  <c r="K589" i="3"/>
  <c r="J590" i="3"/>
  <c r="K590" i="3"/>
  <c r="J591" i="3"/>
  <c r="K591" i="3" s="1"/>
  <c r="J592" i="3"/>
  <c r="K592" i="3"/>
  <c r="J593" i="3"/>
  <c r="K593" i="3"/>
  <c r="J594" i="3"/>
  <c r="K594" i="3" s="1"/>
  <c r="J595" i="3"/>
  <c r="K595" i="3" s="1"/>
  <c r="J596" i="3"/>
  <c r="K596" i="3"/>
  <c r="J597" i="3"/>
  <c r="K597" i="3"/>
  <c r="J598" i="3"/>
  <c r="K598" i="3" s="1"/>
  <c r="J599" i="3"/>
  <c r="K599" i="3" s="1"/>
  <c r="J600" i="3"/>
  <c r="K600" i="3"/>
  <c r="J601" i="3"/>
  <c r="K601" i="3"/>
  <c r="J602" i="3"/>
  <c r="K602" i="3"/>
  <c r="J603" i="3"/>
  <c r="K603" i="3" s="1"/>
  <c r="J604" i="3"/>
  <c r="K604" i="3"/>
  <c r="J605" i="3"/>
  <c r="K605" i="3"/>
  <c r="J606" i="3"/>
  <c r="K606" i="3"/>
  <c r="J607" i="3"/>
  <c r="K607" i="3" s="1"/>
  <c r="J608" i="3"/>
  <c r="K608" i="3"/>
  <c r="J609" i="3"/>
  <c r="K609" i="3"/>
  <c r="J610" i="3"/>
  <c r="K610" i="3" s="1"/>
  <c r="J611" i="3"/>
  <c r="K611" i="3" s="1"/>
  <c r="J612" i="3"/>
  <c r="K612" i="3"/>
  <c r="J613" i="3"/>
  <c r="K613" i="3"/>
  <c r="J614" i="3"/>
  <c r="K614" i="3"/>
  <c r="J615" i="3"/>
  <c r="K615" i="3" s="1"/>
  <c r="J616" i="3"/>
  <c r="K616" i="3"/>
  <c r="J617" i="3"/>
  <c r="K617" i="3"/>
  <c r="J618" i="3"/>
  <c r="K618" i="3" s="1"/>
  <c r="J619" i="3"/>
  <c r="K619" i="3" s="1"/>
  <c r="J620" i="3"/>
  <c r="K620" i="3"/>
  <c r="J621" i="3"/>
  <c r="K621" i="3"/>
  <c r="J622" i="3"/>
  <c r="K622" i="3"/>
  <c r="J623" i="3"/>
  <c r="K623" i="3" s="1"/>
  <c r="J624" i="3"/>
  <c r="K624" i="3"/>
  <c r="J625" i="3"/>
  <c r="K625" i="3"/>
  <c r="J626" i="3"/>
  <c r="K626" i="3" s="1"/>
  <c r="J627" i="3"/>
  <c r="K627" i="3" s="1"/>
  <c r="J628" i="3"/>
  <c r="K628" i="3"/>
  <c r="J629" i="3"/>
  <c r="K629" i="3"/>
  <c r="J630" i="3"/>
  <c r="K630" i="3" s="1"/>
  <c r="J631" i="3"/>
  <c r="K631" i="3" s="1"/>
  <c r="J632" i="3"/>
  <c r="K632" i="3"/>
  <c r="J633" i="3"/>
  <c r="K633" i="3"/>
  <c r="J634" i="3"/>
  <c r="K634" i="3" s="1"/>
  <c r="J635" i="3"/>
  <c r="K635" i="3" s="1"/>
  <c r="J636" i="3"/>
  <c r="K636" i="3"/>
  <c r="J637" i="3"/>
  <c r="K637" i="3"/>
  <c r="J638" i="3"/>
  <c r="K638" i="3"/>
  <c r="J639" i="3"/>
  <c r="K639" i="3" s="1"/>
  <c r="J640" i="3"/>
  <c r="K640" i="3"/>
  <c r="J641" i="3"/>
  <c r="K641" i="3"/>
  <c r="J642" i="3"/>
  <c r="K642" i="3" s="1"/>
  <c r="J643" i="3"/>
  <c r="K643" i="3" s="1"/>
  <c r="J644" i="3"/>
  <c r="K644" i="3"/>
  <c r="J645" i="3"/>
  <c r="K645" i="3"/>
  <c r="J646" i="3"/>
  <c r="K646" i="3"/>
  <c r="J647" i="3"/>
  <c r="K647" i="3" s="1"/>
  <c r="J648" i="3"/>
  <c r="K648" i="3"/>
  <c r="J649" i="3"/>
  <c r="K649" i="3"/>
  <c r="J650" i="3"/>
  <c r="K650" i="3" s="1"/>
  <c r="J651" i="3"/>
  <c r="K651" i="3" s="1"/>
  <c r="J652" i="3"/>
  <c r="K652" i="3"/>
  <c r="J653" i="3"/>
  <c r="K653" i="3"/>
  <c r="J654" i="3"/>
  <c r="K654" i="3"/>
  <c r="J655" i="3"/>
  <c r="K655" i="3" s="1"/>
  <c r="J656" i="3"/>
  <c r="K656" i="3"/>
  <c r="J657" i="3"/>
  <c r="K657" i="3"/>
  <c r="J658" i="3"/>
  <c r="K658" i="3" s="1"/>
  <c r="J659" i="3"/>
  <c r="K659" i="3" s="1"/>
  <c r="J660" i="3"/>
  <c r="K660" i="3"/>
  <c r="J661" i="3"/>
  <c r="K661" i="3"/>
  <c r="J662" i="3"/>
  <c r="K662" i="3" s="1"/>
  <c r="J663" i="3"/>
  <c r="K663" i="3" s="1"/>
  <c r="J664" i="3"/>
  <c r="K664" i="3"/>
  <c r="J665" i="3"/>
  <c r="K665" i="3"/>
  <c r="J666" i="3"/>
  <c r="K666" i="3"/>
  <c r="J667" i="3"/>
  <c r="K667" i="3" s="1"/>
  <c r="J668" i="3"/>
  <c r="K668" i="3"/>
  <c r="J669" i="3"/>
  <c r="K669" i="3"/>
  <c r="J670" i="3"/>
  <c r="K670" i="3"/>
  <c r="J671" i="3"/>
  <c r="K671" i="3" s="1"/>
  <c r="J672" i="3"/>
  <c r="K672" i="3"/>
  <c r="J673" i="3"/>
  <c r="K673" i="3"/>
  <c r="J674" i="3"/>
  <c r="K674" i="3" s="1"/>
  <c r="J675" i="3"/>
  <c r="K675" i="3" s="1"/>
  <c r="J676" i="3"/>
  <c r="K676" i="3"/>
  <c r="J677" i="3"/>
  <c r="K677" i="3"/>
  <c r="J678" i="3"/>
  <c r="K678" i="3"/>
  <c r="J679" i="3"/>
  <c r="K679" i="3" s="1"/>
  <c r="J680" i="3"/>
  <c r="K680" i="3"/>
  <c r="J681" i="3"/>
  <c r="K681" i="3"/>
  <c r="J682" i="3"/>
  <c r="K682" i="3" s="1"/>
  <c r="J683" i="3"/>
  <c r="K683" i="3" s="1"/>
  <c r="J684" i="3"/>
  <c r="K684" i="3"/>
  <c r="J685" i="3"/>
  <c r="K685" i="3"/>
  <c r="J686" i="3"/>
  <c r="K686" i="3"/>
  <c r="J687" i="3"/>
  <c r="K687" i="3" s="1"/>
  <c r="J688" i="3"/>
  <c r="K688" i="3"/>
  <c r="J689" i="3"/>
  <c r="K689" i="3"/>
  <c r="J690" i="3"/>
  <c r="K690" i="3" s="1"/>
  <c r="J691" i="3"/>
  <c r="K691" i="3" s="1"/>
  <c r="J692" i="3"/>
  <c r="K692" i="3"/>
  <c r="J693" i="3"/>
  <c r="K693" i="3"/>
  <c r="J694" i="3"/>
  <c r="K694" i="3" s="1"/>
  <c r="J695" i="3"/>
  <c r="K695" i="3" s="1"/>
  <c r="J696" i="3"/>
  <c r="K696" i="3"/>
  <c r="J697" i="3"/>
  <c r="K697" i="3"/>
  <c r="J698" i="3"/>
  <c r="K698" i="3" s="1"/>
  <c r="J699" i="3"/>
  <c r="K699" i="3" s="1"/>
  <c r="J700" i="3"/>
  <c r="K700" i="3"/>
  <c r="J701" i="3"/>
  <c r="K701" i="3"/>
  <c r="J702" i="3"/>
  <c r="K702" i="3"/>
  <c r="J703" i="3"/>
  <c r="K703" i="3" s="1"/>
  <c r="J704" i="3"/>
  <c r="K704" i="3"/>
  <c r="J705" i="3"/>
  <c r="K705" i="3"/>
  <c r="J706" i="3"/>
  <c r="K706" i="3" s="1"/>
  <c r="J707" i="3"/>
  <c r="K707" i="3" s="1"/>
  <c r="J708" i="3"/>
  <c r="K708" i="3"/>
  <c r="J709" i="3"/>
  <c r="K709" i="3"/>
  <c r="J710" i="3"/>
  <c r="K710" i="3"/>
  <c r="J711" i="3"/>
  <c r="K711" i="3" s="1"/>
  <c r="J712" i="3"/>
  <c r="K712" i="3"/>
  <c r="J713" i="3"/>
  <c r="K713" i="3"/>
  <c r="J714" i="3"/>
  <c r="K714" i="3" s="1"/>
  <c r="J715" i="3"/>
  <c r="K715" i="3" s="1"/>
  <c r="J716" i="3"/>
  <c r="K716" i="3"/>
  <c r="J717" i="3"/>
  <c r="K717" i="3"/>
  <c r="J718" i="3"/>
  <c r="K718" i="3"/>
  <c r="J719" i="3"/>
  <c r="K719" i="3" s="1"/>
  <c r="J720" i="3"/>
  <c r="K720" i="3"/>
  <c r="J721" i="3"/>
  <c r="K721" i="3"/>
  <c r="J722" i="3"/>
  <c r="K722" i="3" s="1"/>
  <c r="J723" i="3"/>
  <c r="K723" i="3" s="1"/>
  <c r="J724" i="3"/>
  <c r="K724" i="3"/>
  <c r="J725" i="3"/>
  <c r="K725" i="3"/>
  <c r="J726" i="3"/>
  <c r="K726" i="3" s="1"/>
  <c r="J727" i="3"/>
  <c r="K727" i="3" s="1"/>
  <c r="J728" i="3"/>
  <c r="K728" i="3"/>
  <c r="J729" i="3"/>
  <c r="K729" i="3"/>
  <c r="J730" i="3"/>
  <c r="K730" i="3"/>
  <c r="J731" i="3"/>
  <c r="K731" i="3" s="1"/>
  <c r="J732" i="3"/>
  <c r="K732" i="3"/>
  <c r="J733" i="3"/>
  <c r="K733" i="3"/>
  <c r="J734" i="3"/>
  <c r="K734" i="3"/>
  <c r="J735" i="3"/>
  <c r="K735" i="3" s="1"/>
  <c r="J736" i="3"/>
  <c r="K736" i="3"/>
  <c r="J737" i="3"/>
  <c r="K737" i="3"/>
  <c r="J738" i="3"/>
  <c r="K738" i="3" s="1"/>
  <c r="J739" i="3"/>
  <c r="K739" i="3" s="1"/>
  <c r="J740" i="3"/>
  <c r="K740" i="3"/>
  <c r="J741" i="3"/>
  <c r="K741" i="3"/>
  <c r="J742" i="3"/>
  <c r="K742" i="3"/>
  <c r="J743" i="3"/>
  <c r="K743" i="3" s="1"/>
  <c r="J744" i="3"/>
  <c r="K744" i="3"/>
  <c r="J745" i="3"/>
  <c r="K745" i="3"/>
  <c r="J746" i="3"/>
  <c r="K746" i="3" s="1"/>
  <c r="J747" i="3"/>
  <c r="K747" i="3" s="1"/>
  <c r="J748" i="3"/>
  <c r="K748" i="3"/>
  <c r="J749" i="3"/>
  <c r="K749" i="3"/>
  <c r="J750" i="3"/>
  <c r="K750" i="3"/>
  <c r="J751" i="3"/>
  <c r="K751" i="3" s="1"/>
  <c r="J752" i="3"/>
  <c r="K752" i="3"/>
  <c r="J753" i="3"/>
  <c r="K753" i="3"/>
  <c r="J754" i="3"/>
  <c r="K754" i="3" s="1"/>
  <c r="J755" i="3"/>
  <c r="K755" i="3" s="1"/>
  <c r="J756" i="3"/>
  <c r="K756" i="3"/>
  <c r="J757" i="3"/>
  <c r="K757" i="3"/>
  <c r="J758" i="3"/>
  <c r="K758" i="3" s="1"/>
  <c r="J759" i="3"/>
  <c r="K759" i="3" s="1"/>
  <c r="J760" i="3"/>
  <c r="K760" i="3"/>
  <c r="J761" i="3"/>
  <c r="K761" i="3" s="1"/>
  <c r="J762" i="3"/>
  <c r="K762" i="3" s="1"/>
  <c r="J763" i="3"/>
  <c r="K763" i="3" s="1"/>
  <c r="J764" i="3"/>
  <c r="K764" i="3"/>
  <c r="J765" i="3"/>
  <c r="K765" i="3"/>
  <c r="J766" i="3"/>
  <c r="K766" i="3"/>
  <c r="J767" i="3"/>
  <c r="K767" i="3" s="1"/>
  <c r="J768" i="3"/>
  <c r="K768" i="3"/>
  <c r="J769" i="3"/>
  <c r="K769" i="3" s="1"/>
  <c r="J770" i="3"/>
  <c r="K770" i="3" s="1"/>
  <c r="J771" i="3"/>
  <c r="K771" i="3" s="1"/>
  <c r="J772" i="3"/>
  <c r="K772" i="3"/>
  <c r="J773" i="3"/>
  <c r="K773" i="3"/>
  <c r="J774" i="3"/>
  <c r="K774" i="3"/>
  <c r="J775" i="3"/>
  <c r="K775" i="3" s="1"/>
  <c r="J776" i="3"/>
  <c r="K776" i="3"/>
  <c r="J777" i="3"/>
  <c r="K777" i="3" s="1"/>
  <c r="J778" i="3"/>
  <c r="K778" i="3" s="1"/>
  <c r="J779" i="3"/>
  <c r="K779" i="3" s="1"/>
  <c r="J780" i="3"/>
  <c r="K780" i="3"/>
  <c r="J781" i="3"/>
  <c r="K781" i="3" s="1"/>
  <c r="J782" i="3"/>
  <c r="K782" i="3"/>
  <c r="J783" i="3"/>
  <c r="K783" i="3" s="1"/>
  <c r="J784" i="3"/>
  <c r="K784" i="3"/>
  <c r="J785" i="3"/>
  <c r="K785" i="3"/>
  <c r="J786" i="3"/>
  <c r="K786" i="3" s="1"/>
  <c r="J787" i="3"/>
  <c r="K787" i="3" s="1"/>
  <c r="J788" i="3"/>
  <c r="K788" i="3"/>
  <c r="J789" i="3"/>
  <c r="K789" i="3"/>
  <c r="J790" i="3"/>
  <c r="K790" i="3" s="1"/>
  <c r="J791" i="3"/>
  <c r="K791" i="3" s="1"/>
  <c r="J792" i="3"/>
  <c r="K792" i="3"/>
  <c r="J793" i="3"/>
  <c r="K793" i="3" s="1"/>
  <c r="J794" i="3"/>
  <c r="K794" i="3" s="1"/>
  <c r="J795" i="3"/>
  <c r="K795" i="3" s="1"/>
  <c r="J796" i="3"/>
  <c r="K796" i="3"/>
  <c r="J797" i="3"/>
  <c r="K797" i="3"/>
  <c r="J798" i="3"/>
  <c r="K798" i="3"/>
  <c r="J799" i="3"/>
  <c r="K799" i="3" s="1"/>
  <c r="J800" i="3"/>
  <c r="K800" i="3"/>
  <c r="J801" i="3"/>
  <c r="K801" i="3" s="1"/>
  <c r="J802" i="3"/>
  <c r="K802" i="3" s="1"/>
  <c r="J803" i="3"/>
  <c r="K803" i="3" s="1"/>
  <c r="J804" i="3"/>
  <c r="K804" i="3"/>
  <c r="J805" i="3"/>
  <c r="K805" i="3"/>
  <c r="J806" i="3"/>
  <c r="K806" i="3"/>
  <c r="J807" i="3"/>
  <c r="K807" i="3" s="1"/>
  <c r="J808" i="3"/>
  <c r="K808" i="3"/>
  <c r="J809" i="3"/>
  <c r="K809" i="3" s="1"/>
  <c r="J810" i="3"/>
  <c r="K810" i="3" s="1"/>
  <c r="J811" i="3"/>
  <c r="K811" i="3" s="1"/>
  <c r="J812" i="3"/>
  <c r="K812" i="3"/>
  <c r="J813" i="3"/>
  <c r="K813" i="3" s="1"/>
  <c r="J814" i="3"/>
  <c r="K814" i="3"/>
  <c r="J815" i="3"/>
  <c r="K815" i="3" s="1"/>
  <c r="J816" i="3"/>
  <c r="K816" i="3"/>
  <c r="J817" i="3"/>
  <c r="K817" i="3"/>
  <c r="J818" i="3"/>
  <c r="K818" i="3" s="1"/>
  <c r="J819" i="3"/>
  <c r="K819" i="3" s="1"/>
  <c r="J820" i="3"/>
  <c r="K820" i="3"/>
  <c r="J821" i="3"/>
  <c r="K821" i="3"/>
  <c r="J822" i="3"/>
  <c r="K822" i="3" s="1"/>
  <c r="J823" i="3"/>
  <c r="K823" i="3" s="1"/>
  <c r="J824" i="3"/>
  <c r="K824" i="3"/>
  <c r="J825" i="3"/>
  <c r="K825" i="3" s="1"/>
  <c r="J826" i="3"/>
  <c r="K826" i="3" s="1"/>
  <c r="J827" i="3"/>
  <c r="K827" i="3" s="1"/>
  <c r="J828" i="3"/>
  <c r="K828" i="3"/>
  <c r="J829" i="3"/>
  <c r="K829" i="3"/>
  <c r="J830" i="3"/>
  <c r="K830" i="3"/>
  <c r="J831" i="3"/>
  <c r="K831" i="3" s="1"/>
  <c r="J832" i="3"/>
  <c r="K832" i="3"/>
  <c r="J833" i="3"/>
  <c r="K833" i="3" s="1"/>
  <c r="J834" i="3"/>
  <c r="K834" i="3" s="1"/>
  <c r="J835" i="3"/>
  <c r="K835" i="3" s="1"/>
  <c r="J836" i="3"/>
  <c r="K836" i="3"/>
  <c r="J837" i="3"/>
  <c r="K837" i="3"/>
  <c r="J838" i="3"/>
  <c r="K838" i="3"/>
  <c r="J839" i="3"/>
  <c r="K839" i="3" s="1"/>
  <c r="J840" i="3"/>
  <c r="K840" i="3"/>
  <c r="J841" i="3"/>
  <c r="K841" i="3" s="1"/>
  <c r="J842" i="3"/>
  <c r="K842" i="3" s="1"/>
  <c r="J843" i="3"/>
  <c r="K843" i="3" s="1"/>
  <c r="J844" i="3"/>
  <c r="K844" i="3"/>
  <c r="J845" i="3"/>
  <c r="K845" i="3" s="1"/>
  <c r="J846" i="3"/>
  <c r="K846" i="3"/>
  <c r="J847" i="3"/>
  <c r="K847" i="3" s="1"/>
  <c r="J848" i="3"/>
  <c r="K848" i="3"/>
  <c r="J849" i="3"/>
  <c r="K849" i="3"/>
  <c r="J850" i="3"/>
  <c r="K850" i="3" s="1"/>
  <c r="J851" i="3"/>
  <c r="K851" i="3" s="1"/>
  <c r="J852" i="3"/>
  <c r="K852" i="3"/>
  <c r="J853" i="3"/>
  <c r="K853" i="3"/>
  <c r="J854" i="3"/>
  <c r="K854" i="3" s="1"/>
  <c r="J855" i="3"/>
  <c r="K855" i="3" s="1"/>
  <c r="J856" i="3"/>
  <c r="K856" i="3"/>
  <c r="J857" i="3"/>
  <c r="K857" i="3" s="1"/>
  <c r="J858" i="3"/>
  <c r="K858" i="3" s="1"/>
  <c r="J859" i="3"/>
  <c r="K859" i="3" s="1"/>
  <c r="J860" i="3"/>
  <c r="K860" i="3"/>
  <c r="J861" i="3"/>
  <c r="K861" i="3"/>
  <c r="J862" i="3"/>
  <c r="K862" i="3"/>
  <c r="J863" i="3"/>
  <c r="K863" i="3" s="1"/>
  <c r="J864" i="3"/>
  <c r="K864" i="3"/>
  <c r="J865" i="3"/>
  <c r="K865" i="3" s="1"/>
  <c r="J866" i="3"/>
  <c r="K866" i="3" s="1"/>
  <c r="J867" i="3"/>
  <c r="K867" i="3" s="1"/>
  <c r="J868" i="3"/>
  <c r="K868" i="3"/>
  <c r="J869" i="3"/>
  <c r="K869" i="3"/>
  <c r="J870" i="3"/>
  <c r="K870" i="3"/>
  <c r="J871" i="3"/>
  <c r="K871" i="3" s="1"/>
  <c r="J872" i="3"/>
  <c r="K872" i="3"/>
  <c r="J873" i="3"/>
  <c r="K873" i="3" s="1"/>
  <c r="J874" i="3"/>
  <c r="K874" i="3" s="1"/>
  <c r="J875" i="3"/>
  <c r="K875" i="3" s="1"/>
  <c r="J876" i="3"/>
  <c r="K876" i="3"/>
  <c r="J877" i="3"/>
  <c r="K877" i="3" s="1"/>
  <c r="J878" i="3"/>
  <c r="K878" i="3"/>
  <c r="J879" i="3"/>
  <c r="K879" i="3" s="1"/>
  <c r="J880" i="3"/>
  <c r="K880" i="3"/>
  <c r="J881" i="3"/>
  <c r="K881" i="3"/>
  <c r="J882" i="3"/>
  <c r="K882" i="3" s="1"/>
  <c r="J883" i="3"/>
  <c r="K883" i="3" s="1"/>
  <c r="J884" i="3"/>
  <c r="K884" i="3"/>
  <c r="J885" i="3"/>
  <c r="K885" i="3"/>
  <c r="J886" i="3"/>
  <c r="K886" i="3" s="1"/>
  <c r="J887" i="3"/>
  <c r="K887" i="3" s="1"/>
  <c r="J888" i="3"/>
  <c r="K888" i="3"/>
  <c r="J889" i="3"/>
  <c r="K889" i="3" s="1"/>
  <c r="J890" i="3"/>
  <c r="K890" i="3" s="1"/>
  <c r="J891" i="3"/>
  <c r="K891" i="3" s="1"/>
  <c r="J892" i="3"/>
  <c r="K892" i="3"/>
  <c r="J893" i="3"/>
  <c r="K893" i="3"/>
  <c r="J894" i="3"/>
  <c r="K894" i="3"/>
  <c r="J895" i="3"/>
  <c r="K895" i="3" s="1"/>
  <c r="J896" i="3"/>
  <c r="K896" i="3"/>
  <c r="J897" i="3"/>
  <c r="K897" i="3" s="1"/>
  <c r="J898" i="3"/>
  <c r="K898" i="3" s="1"/>
  <c r="J899" i="3"/>
  <c r="K899" i="3" s="1"/>
  <c r="J900" i="3"/>
  <c r="K900" i="3"/>
  <c r="J901" i="3"/>
  <c r="K901" i="3"/>
  <c r="J902" i="3"/>
  <c r="K902" i="3"/>
  <c r="J903" i="3"/>
  <c r="K903" i="3" s="1"/>
  <c r="J904" i="3"/>
  <c r="K904" i="3"/>
  <c r="J905" i="3"/>
  <c r="K905" i="3" s="1"/>
  <c r="J906" i="3"/>
  <c r="K906" i="3" s="1"/>
  <c r="J907" i="3"/>
  <c r="K907" i="3" s="1"/>
  <c r="J908" i="3"/>
  <c r="K908" i="3"/>
  <c r="J909" i="3"/>
  <c r="K909" i="3" s="1"/>
  <c r="J910" i="3"/>
  <c r="K910" i="3"/>
  <c r="J911" i="3"/>
  <c r="K911" i="3" s="1"/>
  <c r="J912" i="3"/>
  <c r="K912" i="3"/>
  <c r="J913" i="3"/>
  <c r="K913" i="3"/>
  <c r="J914" i="3"/>
  <c r="K914" i="3" s="1"/>
  <c r="J915" i="3"/>
  <c r="K915" i="3" s="1"/>
  <c r="J916" i="3"/>
  <c r="K916" i="3"/>
  <c r="J917" i="3"/>
  <c r="K917" i="3"/>
  <c r="J918" i="3"/>
  <c r="K918" i="3" s="1"/>
  <c r="J919" i="3"/>
  <c r="K919" i="3" s="1"/>
  <c r="J920" i="3"/>
  <c r="K920" i="3"/>
  <c r="J921" i="3"/>
  <c r="K921" i="3" s="1"/>
  <c r="J922" i="3"/>
  <c r="K922" i="3" s="1"/>
  <c r="J923" i="3"/>
  <c r="K923" i="3" s="1"/>
  <c r="J924" i="3"/>
  <c r="K924" i="3"/>
  <c r="J925" i="3"/>
  <c r="K925" i="3"/>
  <c r="J926" i="3"/>
  <c r="K926" i="3"/>
  <c r="J927" i="3"/>
  <c r="K927" i="3" s="1"/>
  <c r="J928" i="3"/>
  <c r="K928" i="3"/>
  <c r="J929" i="3"/>
  <c r="K929" i="3" s="1"/>
  <c r="J930" i="3"/>
  <c r="K930" i="3" s="1"/>
  <c r="J931" i="3"/>
  <c r="K931" i="3" s="1"/>
  <c r="J932" i="3"/>
  <c r="K932" i="3"/>
  <c r="J933" i="3"/>
  <c r="K933" i="3"/>
  <c r="J934" i="3"/>
  <c r="K934" i="3"/>
  <c r="J935" i="3"/>
  <c r="K935" i="3" s="1"/>
  <c r="J936" i="3"/>
  <c r="K936" i="3"/>
  <c r="J937" i="3"/>
  <c r="K937" i="3" s="1"/>
  <c r="J938" i="3"/>
  <c r="K938" i="3" s="1"/>
  <c r="J939" i="3"/>
  <c r="K939" i="3" s="1"/>
  <c r="J940" i="3"/>
  <c r="K940" i="3"/>
  <c r="J941" i="3"/>
  <c r="K941" i="3" s="1"/>
  <c r="J942" i="3"/>
  <c r="K942" i="3"/>
  <c r="J943" i="3"/>
  <c r="K943" i="3" s="1"/>
  <c r="J944" i="3"/>
  <c r="K944" i="3"/>
  <c r="J945" i="3"/>
  <c r="K945" i="3"/>
  <c r="J946" i="3"/>
  <c r="K946" i="3" s="1"/>
  <c r="J947" i="3"/>
  <c r="K947" i="3" s="1"/>
  <c r="J948" i="3"/>
  <c r="K948" i="3"/>
  <c r="J949" i="3"/>
  <c r="K949" i="3" s="1"/>
  <c r="J950" i="3"/>
  <c r="K950" i="3" s="1"/>
  <c r="J951" i="3"/>
  <c r="K951" i="3" s="1"/>
  <c r="J952" i="3"/>
  <c r="K952" i="3"/>
  <c r="J953" i="3"/>
  <c r="K953" i="3"/>
  <c r="J954" i="3"/>
  <c r="K954" i="3" s="1"/>
  <c r="J955" i="3"/>
  <c r="K955" i="3" s="1"/>
  <c r="J956" i="3"/>
  <c r="K956" i="3"/>
  <c r="J957" i="3"/>
  <c r="K957" i="3"/>
  <c r="J958" i="3"/>
  <c r="K958" i="3" s="1"/>
  <c r="J959" i="3"/>
  <c r="K959" i="3" s="1"/>
  <c r="J960" i="3"/>
  <c r="K960" i="3"/>
  <c r="J961" i="3"/>
  <c r="K961" i="3" s="1"/>
  <c r="J962" i="3"/>
  <c r="K962" i="3" s="1"/>
  <c r="J963" i="3"/>
  <c r="K963" i="3" s="1"/>
  <c r="J964" i="3"/>
  <c r="K964" i="3"/>
  <c r="J965" i="3"/>
  <c r="K965" i="3"/>
  <c r="J966" i="3"/>
  <c r="K966" i="3"/>
  <c r="J967" i="3"/>
  <c r="K967" i="3" s="1"/>
  <c r="J968" i="3"/>
  <c r="K968" i="3"/>
  <c r="J969" i="3"/>
  <c r="K969" i="3" s="1"/>
  <c r="J970" i="3"/>
  <c r="K970" i="3" s="1"/>
  <c r="J971" i="3"/>
  <c r="K971" i="3" s="1"/>
  <c r="J972" i="3"/>
  <c r="K972" i="3"/>
  <c r="J973" i="3"/>
  <c r="K973" i="3" s="1"/>
  <c r="J974" i="3"/>
  <c r="K974" i="3"/>
  <c r="J975" i="3"/>
  <c r="K975" i="3" s="1"/>
  <c r="J976" i="3"/>
  <c r="K976" i="3"/>
  <c r="J977" i="3"/>
  <c r="K977" i="3"/>
  <c r="J978" i="3"/>
  <c r="K978" i="3" s="1"/>
  <c r="J979" i="3"/>
  <c r="K979" i="3" s="1"/>
  <c r="J980" i="3"/>
  <c r="K980" i="3"/>
  <c r="J981" i="3"/>
  <c r="K981" i="3"/>
  <c r="J982" i="3"/>
  <c r="K982" i="3" s="1"/>
  <c r="J983" i="3"/>
  <c r="K983" i="3" s="1"/>
  <c r="J984" i="3"/>
  <c r="K984" i="3"/>
  <c r="J985" i="3"/>
  <c r="K985" i="3" s="1"/>
  <c r="J986" i="3"/>
  <c r="K986" i="3"/>
  <c r="J987" i="3"/>
  <c r="K987" i="3" s="1"/>
  <c r="J988" i="3"/>
  <c r="K988" i="3"/>
  <c r="J989" i="3"/>
  <c r="K989" i="3"/>
  <c r="J990" i="3"/>
  <c r="K990" i="3"/>
  <c r="J991" i="3"/>
  <c r="K991" i="3" s="1"/>
  <c r="J992" i="3"/>
  <c r="K992" i="3"/>
  <c r="J993" i="3"/>
  <c r="K993" i="3" s="1"/>
  <c r="J994" i="3"/>
  <c r="K994" i="3" s="1"/>
  <c r="J995" i="3"/>
  <c r="K995" i="3" s="1"/>
  <c r="J996" i="3"/>
  <c r="K996" i="3"/>
  <c r="J997" i="3"/>
  <c r="K997" i="3"/>
  <c r="J998" i="3"/>
  <c r="K998" i="3"/>
  <c r="J999" i="3"/>
  <c r="K999" i="3" s="1"/>
  <c r="J1000" i="3"/>
  <c r="K1000" i="3"/>
  <c r="J1001" i="3"/>
  <c r="K1001" i="3" s="1"/>
  <c r="J1002" i="3"/>
  <c r="K1002" i="3" s="1"/>
  <c r="J1003" i="3"/>
  <c r="K1003" i="3" s="1"/>
  <c r="J1004" i="3"/>
  <c r="K1004" i="3"/>
  <c r="J1005" i="3"/>
  <c r="K1005" i="3" s="1"/>
  <c r="J1006" i="3"/>
  <c r="K1006" i="3"/>
  <c r="J1007" i="3"/>
  <c r="K1007" i="3" s="1"/>
  <c r="J1008" i="3"/>
  <c r="K1008" i="3"/>
  <c r="J1009" i="3"/>
  <c r="K1009" i="3"/>
  <c r="J1010" i="3"/>
  <c r="K1010" i="3" s="1"/>
  <c r="J1011" i="3"/>
  <c r="K1011" i="3" s="1"/>
  <c r="J1012" i="3"/>
  <c r="K1012" i="3"/>
  <c r="J1013" i="3"/>
  <c r="K1013" i="3"/>
  <c r="J1014" i="3"/>
  <c r="K1014" i="3" s="1"/>
  <c r="J1015" i="3"/>
  <c r="K1015" i="3" s="1"/>
  <c r="J1016" i="3"/>
  <c r="K1016" i="3"/>
  <c r="J1017" i="3"/>
  <c r="K1017" i="3"/>
  <c r="J1018" i="3"/>
  <c r="K1018" i="3"/>
  <c r="J1019" i="3"/>
  <c r="K1019" i="3" s="1"/>
  <c r="J1020" i="3"/>
  <c r="K1020" i="3"/>
  <c r="J1021" i="3"/>
  <c r="K1021" i="3"/>
  <c r="J1022" i="3"/>
  <c r="K1022" i="3" s="1"/>
  <c r="J1023" i="3"/>
  <c r="K1023" i="3" s="1"/>
  <c r="J1024" i="3"/>
  <c r="K1024" i="3"/>
  <c r="J1025" i="3"/>
  <c r="K1025" i="3" s="1"/>
  <c r="J1026" i="3"/>
  <c r="K1026" i="3"/>
  <c r="J1027" i="3"/>
  <c r="K1027" i="3" s="1"/>
  <c r="J1028" i="3"/>
  <c r="K1028" i="3"/>
  <c r="J1029" i="3"/>
  <c r="K1029" i="3"/>
  <c r="J1030" i="3"/>
  <c r="K1030" i="3"/>
  <c r="J1031" i="3"/>
  <c r="K1031" i="3" s="1"/>
  <c r="J1032" i="3"/>
  <c r="K1032" i="3"/>
  <c r="J1033" i="3"/>
  <c r="K1033" i="3" s="1"/>
  <c r="J1034" i="3"/>
  <c r="K1034" i="3" s="1"/>
  <c r="J1035" i="3"/>
  <c r="K1035" i="3" s="1"/>
  <c r="J1036" i="3"/>
  <c r="K1036" i="3"/>
  <c r="J1037" i="3"/>
  <c r="K1037" i="3" s="1"/>
  <c r="J1038" i="3"/>
  <c r="K1038" i="3"/>
  <c r="J1039" i="3"/>
  <c r="K1039" i="3" s="1"/>
  <c r="J1040" i="3"/>
  <c r="K1040" i="3"/>
  <c r="J1041" i="3"/>
  <c r="K1041" i="3" s="1"/>
  <c r="J1042" i="3"/>
  <c r="K1042" i="3" s="1"/>
  <c r="J1043" i="3"/>
  <c r="K1043" i="3" s="1"/>
  <c r="J1044" i="3"/>
  <c r="K1044" i="3"/>
  <c r="J1045" i="3"/>
  <c r="K1045" i="3"/>
  <c r="J1046" i="3"/>
  <c r="K1046" i="3" s="1"/>
  <c r="J1047" i="3"/>
  <c r="K1047" i="3" s="1"/>
  <c r="J1048" i="3"/>
  <c r="K1048" i="3"/>
  <c r="J1049" i="3"/>
  <c r="K1049" i="3"/>
  <c r="J1050" i="3"/>
  <c r="K1050" i="3"/>
  <c r="J1051" i="3"/>
  <c r="K1051" i="3" s="1"/>
  <c r="J1052" i="3"/>
  <c r="K1052" i="3"/>
  <c r="J1053" i="3"/>
  <c r="K1053" i="3"/>
  <c r="J1054" i="3"/>
  <c r="K1054" i="3" s="1"/>
  <c r="J1055" i="3"/>
  <c r="K1055" i="3" s="1"/>
  <c r="J1056" i="3"/>
  <c r="K1056" i="3" s="1"/>
  <c r="J1057" i="3"/>
  <c r="K1057" i="3" s="1"/>
  <c r="J1058" i="3"/>
  <c r="K1058" i="3"/>
  <c r="J1059" i="3"/>
  <c r="K1059" i="3" s="1"/>
  <c r="J1060" i="3"/>
  <c r="K1060" i="3" s="1"/>
  <c r="J1061" i="3"/>
  <c r="K1061" i="3"/>
  <c r="J1062" i="3"/>
  <c r="K1062" i="3"/>
  <c r="J1063" i="3"/>
  <c r="K1063" i="3" s="1"/>
  <c r="J1064" i="3"/>
  <c r="K1064" i="3" s="1"/>
  <c r="J1065" i="3"/>
  <c r="K1065" i="3" s="1"/>
  <c r="J1066" i="3"/>
  <c r="K1066" i="3" s="1"/>
  <c r="J1067" i="3"/>
  <c r="K1067" i="3" s="1"/>
  <c r="J1068" i="3"/>
  <c r="K1068" i="3" s="1"/>
  <c r="J1069" i="3"/>
  <c r="K1069" i="3" s="1"/>
  <c r="J1070" i="3"/>
  <c r="K1070" i="3"/>
  <c r="J1071" i="3"/>
  <c r="K1071" i="3" s="1"/>
  <c r="J1072" i="3"/>
  <c r="K1072" i="3"/>
  <c r="J1073" i="3"/>
  <c r="K1073" i="3" s="1"/>
  <c r="J1074" i="3"/>
  <c r="K1074" i="3" s="1"/>
  <c r="J1075" i="3"/>
  <c r="K1075" i="3" s="1"/>
  <c r="J1076" i="3"/>
  <c r="K1076" i="3"/>
  <c r="J1077" i="3"/>
  <c r="K1077" i="3"/>
  <c r="J1078" i="3"/>
  <c r="K1078" i="3" s="1"/>
  <c r="J1079" i="3"/>
  <c r="K1079" i="3" s="1"/>
  <c r="J1080" i="3"/>
  <c r="K1080" i="3" s="1"/>
  <c r="J1081" i="3"/>
  <c r="K1081" i="3" s="1"/>
  <c r="J1082" i="3"/>
  <c r="K1082" i="3" s="1"/>
  <c r="J1083" i="3"/>
  <c r="K1083" i="3" s="1"/>
  <c r="J1084" i="3"/>
  <c r="K1084" i="3"/>
  <c r="J1085" i="3"/>
  <c r="K1085" i="3"/>
  <c r="J1086" i="3"/>
  <c r="K1086" i="3"/>
  <c r="J1087" i="3"/>
  <c r="K1087" i="3" s="1"/>
  <c r="J1088" i="3"/>
  <c r="K1088" i="3" s="1"/>
  <c r="J1089" i="3"/>
  <c r="K1089" i="3" s="1"/>
  <c r="J1090" i="3"/>
  <c r="K1090" i="3"/>
  <c r="J1091" i="3"/>
  <c r="K1091" i="3" s="1"/>
  <c r="J1092" i="3"/>
  <c r="K1092" i="3" s="1"/>
  <c r="J1093" i="3"/>
  <c r="K1093" i="3"/>
  <c r="J1094" i="3"/>
  <c r="K1094" i="3"/>
  <c r="J1095" i="3"/>
  <c r="K1095" i="3" s="1"/>
  <c r="J1096" i="3"/>
  <c r="K1096" i="3"/>
  <c r="J1097" i="3"/>
  <c r="K1097" i="3" s="1"/>
  <c r="J1098" i="3"/>
  <c r="K1098" i="3" s="1"/>
  <c r="J1099" i="3"/>
  <c r="K1099" i="3" s="1"/>
  <c r="J1100" i="3"/>
  <c r="K1100" i="3"/>
  <c r="J1101" i="3"/>
  <c r="K1101" i="3" s="1"/>
  <c r="J1102" i="3"/>
  <c r="K1102" i="3"/>
  <c r="J1103" i="3"/>
  <c r="K1103" i="3" s="1"/>
  <c r="J1104" i="3"/>
  <c r="K1104" i="3" s="1"/>
  <c r="J1105" i="3"/>
  <c r="K1105" i="3"/>
  <c r="J1106" i="3"/>
  <c r="K1106" i="3" s="1"/>
  <c r="J1107" i="3"/>
  <c r="K1107" i="3" s="1"/>
  <c r="J1108" i="3"/>
  <c r="K1108" i="3"/>
  <c r="J1109" i="3"/>
  <c r="K1109" i="3" s="1"/>
  <c r="J1110" i="3"/>
  <c r="K1110" i="3" s="1"/>
  <c r="J1111" i="3"/>
  <c r="K1111" i="3" s="1"/>
  <c r="J1112" i="3"/>
  <c r="K1112" i="3" s="1"/>
  <c r="J1113" i="3"/>
  <c r="K1113" i="3"/>
  <c r="J1114" i="3"/>
  <c r="K1114" i="3"/>
  <c r="J1115" i="3"/>
  <c r="K1115" i="3" s="1"/>
  <c r="J1116" i="3"/>
  <c r="K1116" i="3"/>
  <c r="J1117" i="3"/>
  <c r="K1117" i="3"/>
  <c r="J1118" i="3"/>
  <c r="K1118" i="3" s="1"/>
  <c r="J1119" i="3"/>
  <c r="K1119" i="3" s="1"/>
  <c r="J1120" i="3"/>
  <c r="K1120" i="3" s="1"/>
  <c r="J1121" i="3"/>
  <c r="K1121" i="3" s="1"/>
  <c r="J1122" i="3"/>
  <c r="K1122" i="3" s="1"/>
  <c r="J1123" i="3"/>
  <c r="K1123" i="3" s="1"/>
  <c r="J1124" i="3"/>
  <c r="K1124" i="3" s="1"/>
  <c r="J1125" i="3"/>
  <c r="K1125" i="3"/>
  <c r="J1126" i="3"/>
  <c r="K1126" i="3"/>
  <c r="J1127" i="3"/>
  <c r="K1127" i="3" s="1"/>
  <c r="J1128" i="3"/>
  <c r="K1128" i="3"/>
  <c r="J1129" i="3"/>
  <c r="K1129" i="3" s="1"/>
  <c r="J1130" i="3"/>
  <c r="K1130" i="3" s="1"/>
  <c r="J1131" i="3"/>
  <c r="K1131" i="3" s="1"/>
  <c r="J1132" i="3"/>
  <c r="K1132" i="3"/>
  <c r="J1133" i="3"/>
  <c r="K1133" i="3" s="1"/>
  <c r="J1134" i="3"/>
  <c r="K1134" i="3"/>
  <c r="J1135" i="3"/>
  <c r="K1135" i="3" s="1"/>
  <c r="J1136" i="3"/>
  <c r="K1136" i="3"/>
  <c r="J1137" i="3"/>
  <c r="K1137" i="3"/>
  <c r="J1138" i="3"/>
  <c r="K1138" i="3" s="1"/>
  <c r="J1139" i="3"/>
  <c r="K1139" i="3" s="1"/>
  <c r="J1140" i="3"/>
  <c r="K1140" i="3"/>
  <c r="J1141" i="3"/>
  <c r="K1141" i="3"/>
  <c r="J1142" i="3"/>
  <c r="K1142" i="3" s="1"/>
  <c r="J1143" i="3"/>
  <c r="K1143" i="3" s="1"/>
  <c r="J1144" i="3"/>
  <c r="K1144" i="3" s="1"/>
  <c r="J1145" i="3"/>
  <c r="K1145" i="3"/>
  <c r="J1146" i="3"/>
  <c r="K1146" i="3" s="1"/>
  <c r="J1147" i="3"/>
  <c r="K1147" i="3" s="1"/>
  <c r="J1148" i="3"/>
  <c r="K1148" i="3"/>
  <c r="J1149" i="3"/>
  <c r="K1149" i="3"/>
  <c r="J1150" i="3"/>
  <c r="K1150" i="3"/>
  <c r="J1151" i="3"/>
  <c r="K1151" i="3" s="1"/>
  <c r="J1152" i="3"/>
  <c r="K1152" i="3" s="1"/>
  <c r="J1153" i="3"/>
  <c r="K1153" i="3" s="1"/>
  <c r="J1154" i="3"/>
  <c r="K1154" i="3"/>
  <c r="J1155" i="3"/>
  <c r="K1155" i="3" s="1"/>
  <c r="J1156" i="3"/>
  <c r="K1156" i="3" s="1"/>
  <c r="J1157" i="3"/>
  <c r="K1157" i="3"/>
  <c r="J1158" i="3"/>
  <c r="K1158" i="3"/>
  <c r="J1159" i="3"/>
  <c r="K1159" i="3" s="1"/>
  <c r="J1160" i="3"/>
  <c r="K1160" i="3" s="1"/>
  <c r="J1161" i="3"/>
  <c r="K1161" i="3" s="1"/>
  <c r="J1162" i="3"/>
  <c r="K1162" i="3" s="1"/>
  <c r="J1163" i="3"/>
  <c r="K1163" i="3" s="1"/>
  <c r="J1164" i="3"/>
  <c r="K1164" i="3" s="1"/>
  <c r="J1165" i="3"/>
  <c r="K1165" i="3" s="1"/>
  <c r="J1166" i="3"/>
  <c r="K1166" i="3"/>
  <c r="J1167" i="3"/>
  <c r="K1167" i="3" s="1"/>
  <c r="J1168" i="3"/>
  <c r="K1168" i="3" s="1"/>
  <c r="J1169" i="3"/>
  <c r="K1169" i="3" s="1"/>
  <c r="J1170" i="3"/>
  <c r="K1170" i="3" s="1"/>
  <c r="J1171" i="3"/>
  <c r="K1171" i="3" s="1"/>
  <c r="J1172" i="3"/>
  <c r="K1172" i="3"/>
  <c r="J1173" i="3"/>
  <c r="K1173" i="3" s="1"/>
  <c r="J1174" i="3"/>
  <c r="K1174" i="3" s="1"/>
  <c r="J1175" i="3"/>
  <c r="K1175" i="3" s="1"/>
  <c r="J1176" i="3"/>
  <c r="K1176" i="3" s="1"/>
  <c r="J1177" i="3"/>
  <c r="K1177" i="3" s="1"/>
  <c r="J1178" i="3"/>
  <c r="K1178" i="3"/>
  <c r="J1179" i="3"/>
  <c r="K1179" i="3" s="1"/>
  <c r="J1180" i="3"/>
  <c r="K1180" i="3"/>
  <c r="J1181" i="3"/>
  <c r="K1181" i="3"/>
  <c r="J1182" i="3"/>
  <c r="K1182" i="3"/>
  <c r="J1183" i="3"/>
  <c r="K1183" i="3" s="1"/>
  <c r="J1184" i="3"/>
  <c r="K1184" i="3" s="1"/>
  <c r="J1185" i="3"/>
  <c r="K1185" i="3" s="1"/>
  <c r="J1186" i="3"/>
  <c r="K1186" i="3"/>
  <c r="J1187" i="3"/>
  <c r="K1187" i="3" s="1"/>
  <c r="J1188" i="3"/>
  <c r="K1188" i="3" s="1"/>
  <c r="J1189" i="3"/>
  <c r="K1189" i="3"/>
  <c r="J1190" i="3"/>
  <c r="K1190" i="3"/>
  <c r="J1191" i="3"/>
  <c r="K1191" i="3" s="1"/>
  <c r="J1192" i="3"/>
  <c r="K1192" i="3"/>
  <c r="J1193" i="3"/>
  <c r="K1193" i="3" s="1"/>
  <c r="J1194" i="3"/>
  <c r="K1194" i="3" s="1"/>
  <c r="J1195" i="3"/>
  <c r="K1195" i="3" s="1"/>
  <c r="J1196" i="3"/>
  <c r="K1196" i="3"/>
  <c r="J1197" i="3"/>
  <c r="K1197" i="3" s="1"/>
  <c r="J1198" i="3"/>
  <c r="K1198" i="3"/>
  <c r="J1199" i="3"/>
  <c r="K1199" i="3" s="1"/>
  <c r="J1200" i="3"/>
  <c r="K1200" i="3"/>
  <c r="J1201" i="3"/>
  <c r="K1201" i="3"/>
  <c r="J1202" i="3"/>
  <c r="K1202" i="3" s="1"/>
  <c r="J1203" i="3"/>
  <c r="K1203" i="3" s="1"/>
  <c r="J1204" i="3"/>
  <c r="K1204" i="3"/>
  <c r="J1205" i="3"/>
  <c r="K1205" i="3"/>
  <c r="J1206" i="3"/>
  <c r="K1206" i="3" s="1"/>
  <c r="J1207" i="3"/>
  <c r="K1207" i="3" s="1"/>
  <c r="J1208" i="3"/>
  <c r="K1208" i="3" s="1"/>
  <c r="J1209" i="3"/>
  <c r="K1209" i="3"/>
  <c r="J1210" i="3"/>
  <c r="K1210" i="3"/>
  <c r="J1211" i="3"/>
  <c r="K1211" i="3" s="1"/>
  <c r="J1212" i="3"/>
  <c r="K1212" i="3"/>
  <c r="J1213" i="3"/>
  <c r="K1213" i="3"/>
  <c r="J1214" i="3"/>
  <c r="K1214" i="3" s="1"/>
  <c r="J1215" i="3"/>
  <c r="K1215" i="3" s="1"/>
  <c r="J1216" i="3"/>
  <c r="K1216" i="3"/>
  <c r="J1217" i="3"/>
  <c r="K1217" i="3"/>
  <c r="J1218" i="3"/>
  <c r="K1218" i="3"/>
  <c r="J1219" i="3"/>
  <c r="K1219" i="3" s="1"/>
  <c r="J1220" i="3"/>
  <c r="K1220" i="3"/>
  <c r="J1221" i="3"/>
  <c r="K1221" i="3"/>
  <c r="J1222" i="3"/>
  <c r="K1222" i="3"/>
  <c r="J1223" i="3"/>
  <c r="K1223" i="3" s="1"/>
  <c r="J1224" i="3"/>
  <c r="K1224" i="3"/>
  <c r="J1225" i="3"/>
  <c r="K1225" i="3"/>
  <c r="J1226" i="3"/>
  <c r="K1226" i="3" s="1"/>
  <c r="J1227" i="3"/>
  <c r="K1227" i="3" s="1"/>
  <c r="J1228" i="3"/>
  <c r="K1228" i="3"/>
  <c r="J1229" i="3"/>
  <c r="K1229" i="3"/>
  <c r="J1230" i="3"/>
  <c r="K1230" i="3"/>
  <c r="J1231" i="3"/>
  <c r="K1231" i="3" s="1"/>
  <c r="J1232" i="3"/>
  <c r="K1232" i="3"/>
  <c r="J1233" i="3"/>
  <c r="K1233" i="3"/>
  <c r="J1234" i="3"/>
  <c r="K1234" i="3" s="1"/>
  <c r="J1235" i="3"/>
  <c r="K1235" i="3" s="1"/>
  <c r="J1236" i="3"/>
  <c r="K1236" i="3"/>
  <c r="J1237" i="3"/>
  <c r="K1237" i="3"/>
  <c r="J1238" i="3"/>
  <c r="K1238" i="3"/>
  <c r="J1239" i="3"/>
  <c r="K1239" i="3" s="1"/>
  <c r="J1240" i="3"/>
  <c r="K1240" i="3"/>
  <c r="J1241" i="3"/>
  <c r="K1241" i="3"/>
  <c r="J1242" i="3"/>
  <c r="K1242" i="3"/>
  <c r="J1243" i="3"/>
  <c r="K1243" i="3" s="1"/>
  <c r="J1244" i="3"/>
  <c r="K1244" i="3"/>
  <c r="J1245" i="3"/>
  <c r="K1245" i="3"/>
  <c r="J1246" i="3"/>
  <c r="K1246" i="3" s="1"/>
  <c r="J1247" i="3"/>
  <c r="K1247" i="3" s="1"/>
  <c r="J1248" i="3"/>
  <c r="K1248" i="3"/>
  <c r="J1249" i="3"/>
  <c r="K1249" i="3"/>
  <c r="J1250" i="3"/>
  <c r="K1250" i="3"/>
  <c r="J1251" i="3"/>
  <c r="K1251" i="3" s="1"/>
  <c r="J1252" i="3"/>
  <c r="K1252" i="3"/>
  <c r="J1253" i="3"/>
  <c r="K1253" i="3"/>
  <c r="J1254" i="3"/>
  <c r="K1254" i="3"/>
  <c r="J1255" i="3"/>
  <c r="K1255" i="3" s="1"/>
  <c r="J1256" i="3"/>
  <c r="K1256" i="3"/>
  <c r="J1257" i="3"/>
  <c r="K1257" i="3"/>
  <c r="J1258" i="3"/>
  <c r="K1258" i="3" s="1"/>
  <c r="J1259" i="3"/>
  <c r="K1259" i="3" s="1"/>
  <c r="J1260" i="3"/>
  <c r="K1260" i="3"/>
  <c r="J1261" i="3"/>
  <c r="K1261" i="3"/>
  <c r="J1262" i="3"/>
  <c r="K1262" i="3"/>
  <c r="J1263" i="3"/>
  <c r="K1263" i="3" s="1"/>
  <c r="J1264" i="3"/>
  <c r="K1264" i="3"/>
  <c r="J1265" i="3"/>
  <c r="K1265" i="3"/>
  <c r="J1266" i="3"/>
  <c r="K1266" i="3" s="1"/>
  <c r="J1267" i="3"/>
  <c r="K1267" i="3" s="1"/>
  <c r="J1268" i="3"/>
  <c r="K1268" i="3"/>
  <c r="J1269" i="3"/>
  <c r="K1269" i="3"/>
  <c r="J1270" i="3"/>
  <c r="K1270" i="3"/>
  <c r="J1271" i="3"/>
  <c r="K1271" i="3" s="1"/>
  <c r="J1272" i="3"/>
  <c r="K1272" i="3"/>
  <c r="J1273" i="3"/>
  <c r="K1273" i="3"/>
  <c r="J1274" i="3"/>
  <c r="K1274" i="3"/>
  <c r="J1275" i="3"/>
  <c r="K1275" i="3" s="1"/>
  <c r="J1276" i="3"/>
  <c r="K1276" i="3"/>
  <c r="J1277" i="3"/>
  <c r="K1277" i="3"/>
  <c r="J1278" i="3"/>
  <c r="K1278" i="3" s="1"/>
  <c r="J1279" i="3"/>
  <c r="K1279" i="3" s="1"/>
  <c r="J1280" i="3"/>
  <c r="K1280" i="3"/>
  <c r="J1281" i="3"/>
  <c r="K1281" i="3"/>
  <c r="J1282" i="3"/>
  <c r="K1282" i="3"/>
  <c r="J1283" i="3"/>
  <c r="K1283" i="3" s="1"/>
  <c r="J1284" i="3"/>
  <c r="K1284" i="3"/>
  <c r="J1285" i="3"/>
  <c r="K1285" i="3"/>
  <c r="J1286" i="3"/>
  <c r="K1286" i="3"/>
  <c r="J1287" i="3"/>
  <c r="K1287" i="3" s="1"/>
  <c r="J1288" i="3"/>
  <c r="K1288" i="3"/>
  <c r="J1289" i="3"/>
  <c r="K1289" i="3"/>
  <c r="J1290" i="3"/>
  <c r="K1290" i="3" s="1"/>
  <c r="J1291" i="3"/>
  <c r="K1291" i="3" s="1"/>
  <c r="J1292" i="3"/>
  <c r="K1292" i="3"/>
  <c r="J1293" i="3"/>
  <c r="K1293" i="3"/>
  <c r="J1294" i="3"/>
  <c r="K1294" i="3"/>
  <c r="J1295" i="3"/>
  <c r="K1295" i="3" s="1"/>
  <c r="J1296" i="3"/>
  <c r="K1296" i="3"/>
  <c r="J1297" i="3"/>
  <c r="K1297" i="3"/>
  <c r="J1298" i="3"/>
  <c r="K1298" i="3" s="1"/>
  <c r="J1299" i="3"/>
  <c r="K1299" i="3" s="1"/>
  <c r="J1300" i="3"/>
  <c r="K1300" i="3"/>
  <c r="J1301" i="3"/>
  <c r="K1301" i="3"/>
  <c r="J1302" i="3"/>
  <c r="K1302" i="3"/>
  <c r="J1303" i="3"/>
  <c r="K1303" i="3" s="1"/>
  <c r="J1304" i="3"/>
  <c r="K1304" i="3"/>
  <c r="J1305" i="3"/>
  <c r="K1305" i="3"/>
  <c r="J1306" i="3"/>
  <c r="K1306" i="3"/>
  <c r="J1307" i="3"/>
  <c r="K1307" i="3" s="1"/>
  <c r="J1308" i="3"/>
  <c r="K1308" i="3"/>
  <c r="J1309" i="3"/>
  <c r="K1309" i="3"/>
  <c r="J1310" i="3"/>
  <c r="K1310" i="3" s="1"/>
  <c r="J1311" i="3"/>
  <c r="K1311" i="3" s="1"/>
  <c r="J1312" i="3"/>
  <c r="K1312" i="3"/>
  <c r="J1313" i="3"/>
  <c r="K1313" i="3"/>
  <c r="J1314" i="3"/>
  <c r="K1314" i="3"/>
  <c r="J1315" i="3"/>
  <c r="K1315" i="3" s="1"/>
  <c r="J1316" i="3"/>
  <c r="K1316" i="3"/>
  <c r="J1317" i="3"/>
  <c r="K1317" i="3"/>
  <c r="J1318" i="3"/>
  <c r="K1318" i="3"/>
  <c r="J1319" i="3"/>
  <c r="K1319" i="3" s="1"/>
  <c r="J1320" i="3"/>
  <c r="K1320" i="3"/>
  <c r="J1321" i="3"/>
  <c r="K1321" i="3"/>
  <c r="J1322" i="3"/>
  <c r="K1322" i="3" s="1"/>
  <c r="J1323" i="3"/>
  <c r="K1323" i="3" s="1"/>
  <c r="J1324" i="3"/>
  <c r="K1324" i="3"/>
  <c r="J1325" i="3"/>
  <c r="K1325" i="3"/>
  <c r="J1326" i="3"/>
  <c r="K1326" i="3"/>
  <c r="J1327" i="3"/>
  <c r="K1327" i="3" s="1"/>
  <c r="J1328" i="3"/>
  <c r="K1328" i="3"/>
  <c r="J1329" i="3"/>
  <c r="K1329" i="3"/>
  <c r="J1330" i="3"/>
  <c r="K1330" i="3" s="1"/>
  <c r="J1331" i="3"/>
  <c r="K1331" i="3" s="1"/>
  <c r="J1332" i="3"/>
  <c r="K1332" i="3"/>
  <c r="J1333" i="3"/>
  <c r="K1333" i="3"/>
  <c r="J1334" i="3"/>
  <c r="K1334" i="3"/>
  <c r="J1335" i="3"/>
  <c r="K1335" i="3" s="1"/>
  <c r="J1336" i="3"/>
  <c r="K1336" i="3"/>
  <c r="J1337" i="3"/>
  <c r="K1337" i="3"/>
  <c r="J1338" i="3"/>
  <c r="K1338" i="3"/>
  <c r="J1339" i="3"/>
  <c r="K1339" i="3" s="1"/>
  <c r="J1340" i="3"/>
  <c r="K1340" i="3"/>
  <c r="J1341" i="3"/>
  <c r="K1341" i="3"/>
  <c r="J1342" i="3"/>
  <c r="K1342" i="3" s="1"/>
  <c r="J1343" i="3"/>
  <c r="K1343" i="3" s="1"/>
  <c r="J1344" i="3"/>
  <c r="K1344" i="3"/>
  <c r="J1345" i="3"/>
  <c r="K1345" i="3"/>
  <c r="J1346" i="3"/>
  <c r="K1346" i="3"/>
  <c r="J1347" i="3"/>
  <c r="K1347" i="3" s="1"/>
  <c r="J1348" i="3"/>
  <c r="K1348" i="3"/>
  <c r="J1349" i="3"/>
  <c r="K1349" i="3"/>
  <c r="J1350" i="3"/>
  <c r="K1350" i="3"/>
  <c r="J1351" i="3"/>
  <c r="K1351" i="3" s="1"/>
  <c r="J1352" i="3"/>
  <c r="K1352" i="3"/>
  <c r="J1353" i="3"/>
  <c r="K1353" i="3"/>
  <c r="J1354" i="3"/>
  <c r="K1354" i="3" s="1"/>
  <c r="J1355" i="3"/>
  <c r="K1355" i="3" s="1"/>
  <c r="J1356" i="3"/>
  <c r="K1356" i="3"/>
  <c r="J1357" i="3"/>
  <c r="K1357" i="3"/>
  <c r="J1358" i="3"/>
  <c r="K1358" i="3"/>
  <c r="J1359" i="3"/>
  <c r="K1359" i="3" s="1"/>
  <c r="J1360" i="3"/>
  <c r="K1360" i="3"/>
  <c r="J1361" i="3"/>
  <c r="K1361" i="3"/>
  <c r="J1362" i="3"/>
  <c r="K1362" i="3" s="1"/>
  <c r="J1363" i="3"/>
  <c r="K1363" i="3" s="1"/>
  <c r="J1364" i="3"/>
  <c r="K1364" i="3"/>
  <c r="J1365" i="3"/>
  <c r="K1365" i="3"/>
  <c r="J1366" i="3"/>
  <c r="K1366" i="3"/>
  <c r="J1367" i="3"/>
  <c r="K1367" i="3" s="1"/>
  <c r="J1368" i="3"/>
  <c r="K1368" i="3"/>
  <c r="J1369" i="3"/>
  <c r="K1369" i="3"/>
  <c r="J1370" i="3"/>
  <c r="K1370" i="3"/>
  <c r="J1371" i="3"/>
  <c r="K1371" i="3" s="1"/>
  <c r="J1372" i="3"/>
  <c r="K1372" i="3"/>
  <c r="J1373" i="3"/>
  <c r="K1373" i="3"/>
  <c r="J1374" i="3"/>
  <c r="K1374" i="3" s="1"/>
  <c r="J1375" i="3"/>
  <c r="K1375" i="3" s="1"/>
  <c r="J1376" i="3"/>
  <c r="K1376" i="3"/>
  <c r="J1377" i="3"/>
  <c r="K1377" i="3"/>
  <c r="J1378" i="3"/>
  <c r="K1378" i="3"/>
  <c r="J1379" i="3"/>
  <c r="K1379" i="3" s="1"/>
  <c r="J1380" i="3"/>
  <c r="K1380" i="3"/>
  <c r="J1381" i="3"/>
  <c r="K1381" i="3"/>
  <c r="J1382" i="3"/>
  <c r="K1382" i="3"/>
  <c r="J1383" i="3"/>
  <c r="K1383" i="3" s="1"/>
  <c r="J1384" i="3"/>
  <c r="K1384" i="3"/>
  <c r="J1385" i="3"/>
  <c r="K1385" i="3"/>
  <c r="J1386" i="3"/>
  <c r="K1386" i="3" s="1"/>
  <c r="J1387" i="3"/>
  <c r="K1387" i="3" s="1"/>
  <c r="J1388" i="3"/>
  <c r="K1388" i="3"/>
  <c r="J1389" i="3"/>
  <c r="K1389" i="3"/>
  <c r="J1390" i="3"/>
  <c r="K1390" i="3"/>
  <c r="J1391" i="3"/>
  <c r="K1391" i="3"/>
  <c r="J1392" i="3"/>
  <c r="K1392" i="3"/>
  <c r="J1393" i="3"/>
  <c r="K1393" i="3"/>
  <c r="J1394" i="3"/>
  <c r="K1394" i="3"/>
  <c r="J1395" i="3"/>
  <c r="K1395" i="3"/>
  <c r="J1396" i="3"/>
  <c r="K1396" i="3"/>
  <c r="J1397" i="3"/>
  <c r="K1397" i="3"/>
  <c r="J1398" i="3"/>
  <c r="K1398" i="3"/>
  <c r="J1399" i="3"/>
  <c r="K1399" i="3"/>
  <c r="J1400" i="3"/>
  <c r="K1400" i="3"/>
  <c r="J1401" i="3"/>
  <c r="K1401" i="3"/>
  <c r="J1402" i="3"/>
  <c r="K1402" i="3"/>
  <c r="J1403" i="3"/>
  <c r="K1403" i="3"/>
  <c r="J1404" i="3"/>
  <c r="K1404" i="3"/>
  <c r="J1405" i="3"/>
  <c r="K1405" i="3"/>
  <c r="J1406" i="3"/>
  <c r="K1406" i="3"/>
  <c r="J1407" i="3"/>
  <c r="K1407" i="3"/>
  <c r="J1408" i="3"/>
  <c r="K1408" i="3"/>
  <c r="J1409" i="3"/>
  <c r="K1409" i="3"/>
  <c r="J1410" i="3"/>
  <c r="K1410" i="3"/>
  <c r="J1411" i="3"/>
  <c r="K1411" i="3"/>
  <c r="J1412" i="3"/>
  <c r="K1412" i="3"/>
  <c r="J1413" i="3"/>
  <c r="K1413" i="3"/>
  <c r="J1414" i="3"/>
  <c r="K1414" i="3"/>
  <c r="J1415" i="3"/>
  <c r="K1415" i="3"/>
  <c r="J1416" i="3"/>
  <c r="K1416" i="3"/>
  <c r="J1417" i="3"/>
  <c r="K1417" i="3"/>
  <c r="J1418" i="3"/>
  <c r="K1418" i="3"/>
  <c r="J1419" i="3"/>
  <c r="K1419" i="3"/>
  <c r="J1420" i="3"/>
  <c r="K1420" i="3"/>
  <c r="J1421" i="3"/>
  <c r="K1421" i="3"/>
  <c r="J1422" i="3"/>
  <c r="K1422" i="3"/>
  <c r="J1423" i="3"/>
  <c r="K1423" i="3"/>
  <c r="J1424" i="3"/>
  <c r="K1424" i="3"/>
  <c r="J1425" i="3"/>
  <c r="K1425" i="3"/>
  <c r="J1426" i="3"/>
  <c r="K1426" i="3"/>
  <c r="J1427" i="3"/>
  <c r="K1427" i="3"/>
  <c r="J1428" i="3"/>
  <c r="K1428" i="3"/>
  <c r="J1429" i="3"/>
  <c r="K1429" i="3"/>
  <c r="J1430" i="3"/>
  <c r="K1430" i="3"/>
  <c r="J1431" i="3"/>
  <c r="K1431" i="3"/>
  <c r="J1432" i="3"/>
  <c r="K1432" i="3"/>
  <c r="J1433" i="3"/>
  <c r="K1433" i="3"/>
  <c r="J1434" i="3"/>
  <c r="K1434" i="3"/>
  <c r="J1435" i="3"/>
  <c r="K1435" i="3"/>
  <c r="J1436" i="3"/>
  <c r="K1436" i="3"/>
  <c r="J1437" i="3"/>
  <c r="K1437" i="3"/>
  <c r="J1438" i="3"/>
  <c r="K1438" i="3"/>
  <c r="J1439" i="3"/>
  <c r="K1439" i="3"/>
  <c r="J1440" i="3"/>
  <c r="K1440" i="3"/>
  <c r="J1441" i="3"/>
  <c r="K1441" i="3"/>
  <c r="J1442" i="3"/>
  <c r="K1442" i="3"/>
  <c r="J1443" i="3"/>
  <c r="K1443" i="3"/>
  <c r="J1444" i="3"/>
  <c r="K1444" i="3"/>
  <c r="J1445" i="3"/>
  <c r="K1445" i="3"/>
  <c r="J1446" i="3"/>
  <c r="K1446" i="3"/>
  <c r="J1447" i="3"/>
  <c r="K1447" i="3"/>
  <c r="J1448" i="3"/>
  <c r="K1448" i="3"/>
  <c r="J1449" i="3"/>
  <c r="K1449" i="3"/>
  <c r="J1450" i="3"/>
  <c r="K1450" i="3"/>
  <c r="J1451" i="3"/>
  <c r="K1451" i="3"/>
  <c r="J1452" i="3"/>
  <c r="K1452" i="3"/>
  <c r="J1453" i="3"/>
  <c r="K1453" i="3"/>
  <c r="J1454" i="3"/>
  <c r="K1454" i="3"/>
  <c r="J1455" i="3"/>
  <c r="K1455" i="3"/>
  <c r="J1456" i="3"/>
  <c r="K1456" i="3"/>
  <c r="J1457" i="3"/>
  <c r="K1457" i="3"/>
  <c r="J1458" i="3"/>
  <c r="K1458" i="3"/>
  <c r="J1459" i="3"/>
  <c r="K1459" i="3"/>
  <c r="J1460" i="3"/>
  <c r="K1460" i="3"/>
  <c r="J1461" i="3"/>
  <c r="K1461" i="3"/>
  <c r="J1462" i="3"/>
  <c r="K1462" i="3"/>
  <c r="J1463" i="3"/>
  <c r="K1463" i="3"/>
  <c r="J1464" i="3"/>
  <c r="K1464" i="3"/>
  <c r="J1465" i="3"/>
  <c r="K1465" i="3"/>
  <c r="J1466" i="3"/>
  <c r="K1466" i="3"/>
  <c r="K2" i="3"/>
  <c r="J2" i="3"/>
  <c r="J3" i="1"/>
  <c r="K3" i="1" s="1"/>
  <c r="J4" i="1"/>
  <c r="K4" i="1" s="1"/>
  <c r="J5" i="1"/>
  <c r="K5" i="1" s="1"/>
  <c r="J6" i="1"/>
  <c r="K6" i="1"/>
  <c r="J7" i="1"/>
  <c r="K7" i="1" s="1"/>
  <c r="J8" i="1"/>
  <c r="K8" i="1" s="1"/>
  <c r="J9" i="1"/>
  <c r="K9" i="1" s="1"/>
  <c r="J10" i="1"/>
  <c r="K10" i="1"/>
  <c r="J11" i="1"/>
  <c r="K11" i="1" s="1"/>
  <c r="J12" i="1"/>
  <c r="K12" i="1" s="1"/>
  <c r="J13" i="1"/>
  <c r="K13" i="1" s="1"/>
  <c r="J14" i="1"/>
  <c r="K14" i="1"/>
  <c r="J15" i="1"/>
  <c r="K15" i="1" s="1"/>
  <c r="J16" i="1"/>
  <c r="K16" i="1" s="1"/>
  <c r="J17" i="1"/>
  <c r="K17" i="1" s="1"/>
  <c r="J18" i="1"/>
  <c r="K18" i="1"/>
  <c r="J19" i="1"/>
  <c r="K19" i="1" s="1"/>
  <c r="J20" i="1"/>
  <c r="K20" i="1" s="1"/>
  <c r="J21" i="1"/>
  <c r="K21" i="1" s="1"/>
  <c r="J22" i="1"/>
  <c r="K22" i="1"/>
  <c r="J23" i="1"/>
  <c r="K23" i="1" s="1"/>
  <c r="J24" i="1"/>
  <c r="K24" i="1" s="1"/>
  <c r="J25" i="1"/>
  <c r="K25" i="1" s="1"/>
  <c r="J26" i="1"/>
  <c r="K26" i="1"/>
  <c r="J27" i="1"/>
  <c r="K27" i="1" s="1"/>
  <c r="J28" i="1"/>
  <c r="K28" i="1" s="1"/>
  <c r="J29" i="1"/>
  <c r="K29" i="1" s="1"/>
  <c r="J30" i="1"/>
  <c r="K30" i="1"/>
  <c r="J31" i="1"/>
  <c r="K31" i="1" s="1"/>
  <c r="J32" i="1"/>
  <c r="K32" i="1" s="1"/>
  <c r="J33" i="1"/>
  <c r="K33" i="1" s="1"/>
  <c r="J34" i="1"/>
  <c r="K34" i="1"/>
  <c r="J35" i="1"/>
  <c r="K35" i="1" s="1"/>
  <c r="J36" i="1"/>
  <c r="K36" i="1" s="1"/>
  <c r="J37" i="1"/>
  <c r="K37" i="1" s="1"/>
  <c r="J38" i="1"/>
  <c r="K38" i="1"/>
  <c r="J39" i="1"/>
  <c r="K39" i="1" s="1"/>
  <c r="J40" i="1"/>
  <c r="K40" i="1" s="1"/>
  <c r="J41" i="1"/>
  <c r="K41" i="1" s="1"/>
  <c r="J42" i="1"/>
  <c r="K42" i="1"/>
  <c r="J43" i="1"/>
  <c r="K43" i="1" s="1"/>
  <c r="J44" i="1"/>
  <c r="K44" i="1" s="1"/>
  <c r="J45" i="1"/>
  <c r="K45" i="1" s="1"/>
  <c r="J46" i="1"/>
  <c r="K46" i="1"/>
  <c r="J47" i="1"/>
  <c r="K47" i="1" s="1"/>
  <c r="J48" i="1"/>
  <c r="K48" i="1" s="1"/>
  <c r="J49" i="1"/>
  <c r="K49" i="1" s="1"/>
  <c r="J50" i="1"/>
  <c r="K50" i="1"/>
  <c r="J51" i="1"/>
  <c r="K51" i="1" s="1"/>
  <c r="J52" i="1"/>
  <c r="K52" i="1" s="1"/>
  <c r="J53" i="1"/>
  <c r="K53" i="1" s="1"/>
  <c r="J54" i="1"/>
  <c r="K54" i="1"/>
  <c r="J55" i="1"/>
  <c r="K55" i="1" s="1"/>
  <c r="J56" i="1"/>
  <c r="K56" i="1" s="1"/>
  <c r="J57" i="1"/>
  <c r="K57" i="1" s="1"/>
  <c r="J58" i="1"/>
  <c r="K58" i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/>
  <c r="J67" i="1"/>
  <c r="K67" i="1" s="1"/>
  <c r="J68" i="1"/>
  <c r="K68" i="1" s="1"/>
  <c r="J69" i="1"/>
  <c r="K69" i="1" s="1"/>
  <c r="J70" i="1"/>
  <c r="K70" i="1"/>
  <c r="J71" i="1"/>
  <c r="K71" i="1" s="1"/>
  <c r="J72" i="1"/>
  <c r="K72" i="1" s="1"/>
  <c r="J73" i="1"/>
  <c r="K73" i="1" s="1"/>
  <c r="J74" i="1"/>
  <c r="K74" i="1"/>
  <c r="J75" i="1"/>
  <c r="K75" i="1" s="1"/>
  <c r="J76" i="1"/>
  <c r="K76" i="1" s="1"/>
  <c r="J77" i="1"/>
  <c r="K77" i="1" s="1"/>
  <c r="J78" i="1"/>
  <c r="K78" i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/>
  <c r="J95" i="1"/>
  <c r="K95" i="1" s="1"/>
  <c r="J96" i="1"/>
  <c r="K96" i="1" s="1"/>
  <c r="J97" i="1"/>
  <c r="K97" i="1" s="1"/>
  <c r="J98" i="1"/>
  <c r="K98" i="1"/>
  <c r="J99" i="1"/>
  <c r="K99" i="1" s="1"/>
  <c r="J100" i="1"/>
  <c r="K100" i="1" s="1"/>
  <c r="J101" i="1"/>
  <c r="K101" i="1" s="1"/>
  <c r="J102" i="1"/>
  <c r="K102" i="1"/>
  <c r="J103" i="1"/>
  <c r="K103" i="1" s="1"/>
  <c r="J104" i="1"/>
  <c r="K104" i="1" s="1"/>
  <c r="J105" i="1"/>
  <c r="K105" i="1" s="1"/>
  <c r="J106" i="1"/>
  <c r="K106" i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/>
  <c r="J127" i="1"/>
  <c r="K127" i="1" s="1"/>
  <c r="J128" i="1"/>
  <c r="K128" i="1" s="1"/>
  <c r="J129" i="1"/>
  <c r="K129" i="1" s="1"/>
  <c r="J130" i="1"/>
  <c r="K130" i="1"/>
  <c r="J131" i="1"/>
  <c r="K131" i="1" s="1"/>
  <c r="J132" i="1"/>
  <c r="K132" i="1" s="1"/>
  <c r="J133" i="1"/>
  <c r="K133" i="1" s="1"/>
  <c r="J134" i="1"/>
  <c r="K134" i="1"/>
  <c r="J135" i="1"/>
  <c r="K135" i="1" s="1"/>
  <c r="J136" i="1"/>
  <c r="K136" i="1" s="1"/>
  <c r="J137" i="1"/>
  <c r="K137" i="1" s="1"/>
  <c r="J138" i="1"/>
  <c r="K138" i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/>
  <c r="J163" i="1"/>
  <c r="K163" i="1" s="1"/>
  <c r="J164" i="1"/>
  <c r="K164" i="1" s="1"/>
  <c r="J165" i="1"/>
  <c r="K165" i="1"/>
  <c r="J166" i="1"/>
  <c r="K166" i="1" s="1"/>
  <c r="J167" i="1"/>
  <c r="K167" i="1" s="1"/>
  <c r="J168" i="1"/>
  <c r="K168" i="1" s="1"/>
  <c r="J169" i="1"/>
  <c r="K169" i="1"/>
  <c r="J170" i="1"/>
  <c r="K170" i="1" s="1"/>
  <c r="J171" i="1"/>
  <c r="K171" i="1" s="1"/>
  <c r="J172" i="1"/>
  <c r="K172" i="1" s="1"/>
  <c r="J173" i="1"/>
  <c r="K173" i="1"/>
  <c r="J174" i="1"/>
  <c r="K174" i="1"/>
  <c r="J175" i="1"/>
  <c r="K175" i="1" s="1"/>
  <c r="J176" i="1"/>
  <c r="K176" i="1" s="1"/>
  <c r="J177" i="1"/>
  <c r="K177" i="1"/>
  <c r="J178" i="1"/>
  <c r="K178" i="1"/>
  <c r="J179" i="1"/>
  <c r="K179" i="1" s="1"/>
  <c r="J180" i="1"/>
  <c r="K180" i="1" s="1"/>
  <c r="J181" i="1"/>
  <c r="K181" i="1"/>
  <c r="J182" i="1"/>
  <c r="K182" i="1" s="1"/>
  <c r="J183" i="1"/>
  <c r="K183" i="1" s="1"/>
  <c r="J184" i="1"/>
  <c r="K184" i="1" s="1"/>
  <c r="J185" i="1"/>
  <c r="K185" i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K194" i="1" s="1"/>
  <c r="J195" i="1"/>
  <c r="K195" i="1" s="1"/>
  <c r="J196" i="1"/>
  <c r="K196" i="1" s="1"/>
  <c r="J197" i="1"/>
  <c r="K197" i="1" s="1"/>
  <c r="J198" i="1"/>
  <c r="K198" i="1" s="1"/>
  <c r="J199" i="1"/>
  <c r="K199" i="1" s="1"/>
  <c r="J200" i="1"/>
  <c r="K200" i="1" s="1"/>
  <c r="J201" i="1"/>
  <c r="K201" i="1" s="1"/>
  <c r="J202" i="1"/>
  <c r="K202" i="1"/>
  <c r="J203" i="1"/>
  <c r="K203" i="1" s="1"/>
  <c r="J204" i="1"/>
  <c r="K204" i="1" s="1"/>
  <c r="J205" i="1"/>
  <c r="K205" i="1" s="1"/>
  <c r="J206" i="1"/>
  <c r="K206" i="1"/>
  <c r="J207" i="1"/>
  <c r="K207" i="1" s="1"/>
  <c r="J208" i="1"/>
  <c r="K208" i="1" s="1"/>
  <c r="J209" i="1"/>
  <c r="K209" i="1" s="1"/>
  <c r="J210" i="1"/>
  <c r="K210" i="1"/>
  <c r="J211" i="1"/>
  <c r="K211" i="1" s="1"/>
  <c r="J212" i="1"/>
  <c r="K212" i="1" s="1"/>
  <c r="J213" i="1"/>
  <c r="K213" i="1" s="1"/>
  <c r="J214" i="1"/>
  <c r="K214" i="1" s="1"/>
  <c r="J215" i="1"/>
  <c r="K215" i="1" s="1"/>
  <c r="J216" i="1"/>
  <c r="K21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3" i="1"/>
  <c r="K223" i="1" s="1"/>
  <c r="J224" i="1"/>
  <c r="K224" i="1" s="1"/>
  <c r="J225" i="1"/>
  <c r="K225" i="1" s="1"/>
  <c r="J226" i="1"/>
  <c r="K226" i="1" s="1"/>
  <c r="J227" i="1"/>
  <c r="K227" i="1" s="1"/>
  <c r="J228" i="1"/>
  <c r="K228" i="1" s="1"/>
  <c r="J229" i="1"/>
  <c r="K229" i="1" s="1"/>
  <c r="J230" i="1"/>
  <c r="K230" i="1"/>
  <c r="J231" i="1"/>
  <c r="K231" i="1" s="1"/>
  <c r="J232" i="1"/>
  <c r="K232" i="1" s="1"/>
  <c r="J233" i="1"/>
  <c r="K233" i="1" s="1"/>
  <c r="J234" i="1"/>
  <c r="K234" i="1"/>
  <c r="J235" i="1"/>
  <c r="K235" i="1" s="1"/>
  <c r="J236" i="1"/>
  <c r="K236" i="1" s="1"/>
  <c r="J237" i="1"/>
  <c r="K237" i="1" s="1"/>
  <c r="J238" i="1"/>
  <c r="K238" i="1" s="1"/>
  <c r="J239" i="1"/>
  <c r="K239" i="1" s="1"/>
  <c r="J240" i="1"/>
  <c r="K240" i="1" s="1"/>
  <c r="J241" i="1"/>
  <c r="K241" i="1"/>
  <c r="J242" i="1"/>
  <c r="K242" i="1" s="1"/>
  <c r="J243" i="1"/>
  <c r="K243" i="1" s="1"/>
  <c r="J244" i="1"/>
  <c r="K244" i="1" s="1"/>
  <c r="J245" i="1"/>
  <c r="K245" i="1"/>
  <c r="J246" i="1"/>
  <c r="K246" i="1"/>
  <c r="J247" i="1"/>
  <c r="K247" i="1" s="1"/>
  <c r="J248" i="1"/>
  <c r="K248" i="1" s="1"/>
  <c r="J249" i="1"/>
  <c r="K249" i="1" s="1"/>
  <c r="J250" i="1"/>
  <c r="K250" i="1"/>
  <c r="J251" i="1"/>
  <c r="K251" i="1" s="1"/>
  <c r="J252" i="1"/>
  <c r="K252" i="1" s="1"/>
  <c r="J253" i="1"/>
  <c r="K253" i="1" s="1"/>
  <c r="J254" i="1"/>
  <c r="K254" i="1" s="1"/>
  <c r="J255" i="1"/>
  <c r="K255" i="1" s="1"/>
  <c r="J256" i="1"/>
  <c r="K256" i="1" s="1"/>
  <c r="J257" i="1"/>
  <c r="K257" i="1"/>
  <c r="J258" i="1"/>
  <c r="K258" i="1" s="1"/>
  <c r="J259" i="1"/>
  <c r="K259" i="1" s="1"/>
  <c r="J260" i="1"/>
  <c r="K260" i="1" s="1"/>
  <c r="J261" i="1"/>
  <c r="K261" i="1"/>
  <c r="J262" i="1"/>
  <c r="K262" i="1"/>
  <c r="J263" i="1"/>
  <c r="K263" i="1" s="1"/>
  <c r="J264" i="1"/>
  <c r="K264" i="1" s="1"/>
  <c r="J265" i="1"/>
  <c r="K265" i="1" s="1"/>
  <c r="J266" i="1"/>
  <c r="K266" i="1"/>
  <c r="J267" i="1"/>
  <c r="K267" i="1" s="1"/>
  <c r="J268" i="1"/>
  <c r="K268" i="1" s="1"/>
  <c r="J269" i="1"/>
  <c r="K269" i="1" s="1"/>
  <c r="J270" i="1"/>
  <c r="K270" i="1" s="1"/>
  <c r="J271" i="1"/>
  <c r="K271" i="1" s="1"/>
  <c r="J272" i="1"/>
  <c r="K272" i="1" s="1"/>
  <c r="J273" i="1"/>
  <c r="K273" i="1"/>
  <c r="J274" i="1"/>
  <c r="K274" i="1" s="1"/>
  <c r="J275" i="1"/>
  <c r="K275" i="1" s="1"/>
  <c r="J276" i="1"/>
  <c r="K276" i="1" s="1"/>
  <c r="J277" i="1"/>
  <c r="K277" i="1"/>
  <c r="J278" i="1"/>
  <c r="K278" i="1"/>
  <c r="J279" i="1"/>
  <c r="K279" i="1" s="1"/>
  <c r="J280" i="1"/>
  <c r="K280" i="1" s="1"/>
  <c r="J281" i="1"/>
  <c r="K281" i="1" s="1"/>
  <c r="J282" i="1"/>
  <c r="K282" i="1"/>
  <c r="J283" i="1"/>
  <c r="K283" i="1" s="1"/>
  <c r="J284" i="1"/>
  <c r="K284" i="1" s="1"/>
  <c r="J285" i="1"/>
  <c r="K285" i="1" s="1"/>
  <c r="J286" i="1"/>
  <c r="K286" i="1" s="1"/>
  <c r="J287" i="1"/>
  <c r="K287" i="1" s="1"/>
  <c r="J288" i="1"/>
  <c r="K288" i="1" s="1"/>
  <c r="J289" i="1"/>
  <c r="K289" i="1"/>
  <c r="J290" i="1"/>
  <c r="K290" i="1" s="1"/>
  <c r="J291" i="1"/>
  <c r="K291" i="1" s="1"/>
  <c r="J292" i="1"/>
  <c r="K292" i="1" s="1"/>
  <c r="J293" i="1"/>
  <c r="K293" i="1"/>
  <c r="J294" i="1"/>
  <c r="K294" i="1"/>
  <c r="J295" i="1"/>
  <c r="K295" i="1" s="1"/>
  <c r="J296" i="1"/>
  <c r="K296" i="1" s="1"/>
  <c r="J297" i="1"/>
  <c r="K297" i="1" s="1"/>
  <c r="J298" i="1"/>
  <c r="K298" i="1"/>
  <c r="J299" i="1"/>
  <c r="K299" i="1" s="1"/>
  <c r="J300" i="1"/>
  <c r="K300" i="1" s="1"/>
  <c r="J301" i="1"/>
  <c r="K301" i="1" s="1"/>
  <c r="J302" i="1"/>
  <c r="K302" i="1" s="1"/>
  <c r="J303" i="1"/>
  <c r="K303" i="1" s="1"/>
  <c r="J304" i="1"/>
  <c r="K304" i="1" s="1"/>
  <c r="J305" i="1"/>
  <c r="K305" i="1"/>
  <c r="J306" i="1"/>
  <c r="K306" i="1" s="1"/>
  <c r="J307" i="1"/>
  <c r="K307" i="1" s="1"/>
  <c r="J308" i="1"/>
  <c r="K308" i="1" s="1"/>
  <c r="J309" i="1"/>
  <c r="K309" i="1"/>
  <c r="J310" i="1"/>
  <c r="K310" i="1" s="1"/>
  <c r="J311" i="1"/>
  <c r="K311" i="1" s="1"/>
  <c r="J312" i="1"/>
  <c r="K312" i="1" s="1"/>
  <c r="J313" i="1"/>
  <c r="K313" i="1" s="1"/>
  <c r="J314" i="1"/>
  <c r="K314" i="1"/>
  <c r="J315" i="1"/>
  <c r="K315" i="1" s="1"/>
  <c r="J316" i="1"/>
  <c r="K316" i="1" s="1"/>
  <c r="J317" i="1"/>
  <c r="K317" i="1" s="1"/>
  <c r="J318" i="1"/>
  <c r="K318" i="1" s="1"/>
  <c r="J319" i="1"/>
  <c r="K319" i="1" s="1"/>
  <c r="J320" i="1"/>
  <c r="K320" i="1" s="1"/>
  <c r="J321" i="1"/>
  <c r="K321" i="1" s="1"/>
  <c r="J322" i="1"/>
  <c r="K322" i="1" s="1"/>
  <c r="J323" i="1"/>
  <c r="K323" i="1" s="1"/>
  <c r="J324" i="1"/>
  <c r="K324" i="1" s="1"/>
  <c r="J325" i="1"/>
  <c r="K325" i="1"/>
  <c r="J326" i="1"/>
  <c r="K326" i="1"/>
  <c r="J327" i="1"/>
  <c r="K327" i="1" s="1"/>
  <c r="J328" i="1"/>
  <c r="K328" i="1" s="1"/>
  <c r="J329" i="1"/>
  <c r="K329" i="1" s="1"/>
  <c r="J330" i="1"/>
  <c r="K330" i="1"/>
  <c r="J331" i="1"/>
  <c r="K331" i="1" s="1"/>
  <c r="J332" i="1"/>
  <c r="K332" i="1" s="1"/>
  <c r="J333" i="1"/>
  <c r="K333" i="1" s="1"/>
  <c r="J334" i="1"/>
  <c r="K334" i="1" s="1"/>
  <c r="J335" i="1"/>
  <c r="K335" i="1" s="1"/>
  <c r="J336" i="1"/>
  <c r="K336" i="1" s="1"/>
  <c r="J337" i="1"/>
  <c r="K337" i="1"/>
  <c r="J338" i="1"/>
  <c r="K338" i="1" s="1"/>
  <c r="J339" i="1"/>
  <c r="K339" i="1" s="1"/>
  <c r="J340" i="1"/>
  <c r="K340" i="1" s="1"/>
  <c r="J341" i="1"/>
  <c r="K341" i="1"/>
  <c r="J342" i="1"/>
  <c r="K342" i="1" s="1"/>
  <c r="J343" i="1"/>
  <c r="K343" i="1" s="1"/>
  <c r="J344" i="1"/>
  <c r="K344" i="1" s="1"/>
  <c r="J345" i="1"/>
  <c r="K345" i="1"/>
  <c r="J346" i="1"/>
  <c r="K346" i="1" s="1"/>
  <c r="J347" i="1"/>
  <c r="K347" i="1" s="1"/>
  <c r="J348" i="1"/>
  <c r="K348" i="1" s="1"/>
  <c r="J349" i="1"/>
  <c r="K349" i="1"/>
  <c r="J350" i="1"/>
  <c r="K350" i="1"/>
  <c r="J351" i="1"/>
  <c r="K351" i="1" s="1"/>
  <c r="J352" i="1"/>
  <c r="K352" i="1" s="1"/>
  <c r="J353" i="1"/>
  <c r="K353" i="1" s="1"/>
  <c r="J354" i="1"/>
  <c r="K354" i="1" s="1"/>
  <c r="J355" i="1"/>
  <c r="K355" i="1" s="1"/>
  <c r="J356" i="1"/>
  <c r="K356" i="1" s="1"/>
  <c r="J357" i="1"/>
  <c r="K357" i="1"/>
  <c r="J358" i="1"/>
  <c r="K358" i="1"/>
  <c r="J359" i="1"/>
  <c r="K359" i="1" s="1"/>
  <c r="J360" i="1"/>
  <c r="K360" i="1"/>
  <c r="J361" i="1"/>
  <c r="K361" i="1" s="1"/>
  <c r="J362" i="1"/>
  <c r="K362" i="1" s="1"/>
  <c r="J363" i="1"/>
  <c r="K363" i="1" s="1"/>
  <c r="J364" i="1"/>
  <c r="K364" i="1" s="1"/>
  <c r="J365" i="1"/>
  <c r="K365" i="1" s="1"/>
  <c r="J366" i="1"/>
  <c r="K366" i="1"/>
  <c r="J367" i="1"/>
  <c r="K367" i="1" s="1"/>
  <c r="J368" i="1"/>
  <c r="K368" i="1" s="1"/>
  <c r="J369" i="1"/>
  <c r="K369" i="1"/>
  <c r="J370" i="1"/>
  <c r="K370" i="1" s="1"/>
  <c r="J371" i="1"/>
  <c r="K371" i="1" s="1"/>
  <c r="J372" i="1"/>
  <c r="K372" i="1"/>
  <c r="J373" i="1"/>
  <c r="K373" i="1" s="1"/>
  <c r="J374" i="1"/>
  <c r="K374" i="1" s="1"/>
  <c r="J375" i="1"/>
  <c r="K375" i="1" s="1"/>
  <c r="J376" i="1"/>
  <c r="K376" i="1" s="1"/>
  <c r="J377" i="1"/>
  <c r="K377" i="1" s="1"/>
  <c r="J378" i="1"/>
  <c r="K378" i="1"/>
  <c r="J379" i="1"/>
  <c r="K379" i="1" s="1"/>
  <c r="J380" i="1"/>
  <c r="K380" i="1"/>
  <c r="J381" i="1"/>
  <c r="K381" i="1"/>
  <c r="J382" i="1"/>
  <c r="K382" i="1" s="1"/>
  <c r="J383" i="1"/>
  <c r="K383" i="1" s="1"/>
  <c r="J384" i="1"/>
  <c r="K384" i="1" s="1"/>
  <c r="J385" i="1"/>
  <c r="K385" i="1" s="1"/>
  <c r="J386" i="1"/>
  <c r="K386" i="1" s="1"/>
  <c r="J387" i="1"/>
  <c r="K387" i="1" s="1"/>
  <c r="J388" i="1"/>
  <c r="K388" i="1" s="1"/>
  <c r="J389" i="1"/>
  <c r="K389" i="1"/>
  <c r="J390" i="1"/>
  <c r="K390" i="1"/>
  <c r="J391" i="1"/>
  <c r="K391" i="1" s="1"/>
  <c r="J392" i="1"/>
  <c r="K392" i="1"/>
  <c r="J393" i="1"/>
  <c r="K393" i="1" s="1"/>
  <c r="J394" i="1"/>
  <c r="K394" i="1" s="1"/>
  <c r="J395" i="1"/>
  <c r="K395" i="1" s="1"/>
  <c r="J396" i="1"/>
  <c r="K396" i="1" s="1"/>
  <c r="J397" i="1"/>
  <c r="K397" i="1" s="1"/>
  <c r="J398" i="1"/>
  <c r="K398" i="1"/>
  <c r="J399" i="1"/>
  <c r="K399" i="1" s="1"/>
  <c r="J400" i="1"/>
  <c r="K400" i="1" s="1"/>
  <c r="J401" i="1"/>
  <c r="K401" i="1"/>
  <c r="J402" i="1"/>
  <c r="K402" i="1" s="1"/>
  <c r="J403" i="1"/>
  <c r="K403" i="1" s="1"/>
  <c r="J404" i="1"/>
  <c r="K404" i="1"/>
  <c r="J405" i="1"/>
  <c r="K405" i="1" s="1"/>
  <c r="J406" i="1"/>
  <c r="K406" i="1" s="1"/>
  <c r="J407" i="1"/>
  <c r="K407" i="1" s="1"/>
  <c r="J408" i="1"/>
  <c r="K408" i="1" s="1"/>
  <c r="J409" i="1"/>
  <c r="K409" i="1"/>
  <c r="J410" i="1"/>
  <c r="K410" i="1"/>
  <c r="J411" i="1"/>
  <c r="K411" i="1" s="1"/>
  <c r="J412" i="1"/>
  <c r="K412" i="1"/>
  <c r="J413" i="1"/>
  <c r="K413" i="1"/>
  <c r="J414" i="1"/>
  <c r="K414" i="1" s="1"/>
  <c r="J415" i="1"/>
  <c r="K415" i="1" s="1"/>
  <c r="J416" i="1"/>
  <c r="K416" i="1" s="1"/>
  <c r="J417" i="1"/>
  <c r="K417" i="1" s="1"/>
  <c r="J418" i="1"/>
  <c r="K418" i="1"/>
  <c r="J419" i="1"/>
  <c r="K419" i="1" s="1"/>
  <c r="J420" i="1"/>
  <c r="K420" i="1" s="1"/>
  <c r="J421" i="1"/>
  <c r="K421" i="1"/>
  <c r="J422" i="1"/>
  <c r="K422" i="1"/>
  <c r="J423" i="1"/>
  <c r="K423" i="1" s="1"/>
  <c r="J424" i="1"/>
  <c r="K424" i="1"/>
  <c r="J425" i="1"/>
  <c r="K425" i="1" s="1"/>
  <c r="J426" i="1"/>
  <c r="K426" i="1" s="1"/>
  <c r="J427" i="1"/>
  <c r="K427" i="1" s="1"/>
  <c r="J428" i="1"/>
  <c r="K428" i="1" s="1"/>
  <c r="J429" i="1"/>
  <c r="K429" i="1" s="1"/>
  <c r="J430" i="1"/>
  <c r="K430" i="1"/>
  <c r="J431" i="1"/>
  <c r="K431" i="1" s="1"/>
  <c r="J432" i="1"/>
  <c r="K432" i="1"/>
  <c r="J433" i="1"/>
  <c r="K433" i="1"/>
  <c r="J434" i="1"/>
  <c r="K434" i="1" s="1"/>
  <c r="J435" i="1"/>
  <c r="K435" i="1" s="1"/>
  <c r="J436" i="1"/>
  <c r="K436" i="1"/>
  <c r="J437" i="1"/>
  <c r="K437" i="1" s="1"/>
  <c r="J438" i="1"/>
  <c r="K438" i="1" s="1"/>
  <c r="J439" i="1"/>
  <c r="K439" i="1" s="1"/>
  <c r="J440" i="1"/>
  <c r="K440" i="1"/>
  <c r="J441" i="1"/>
  <c r="K441" i="1"/>
  <c r="J442" i="1"/>
  <c r="K442" i="1"/>
  <c r="J443" i="1"/>
  <c r="K443" i="1" s="1"/>
  <c r="J444" i="1"/>
  <c r="K444" i="1"/>
  <c r="J445" i="1"/>
  <c r="K445" i="1" s="1"/>
  <c r="J446" i="1"/>
  <c r="K446" i="1" s="1"/>
  <c r="J447" i="1"/>
  <c r="K447" i="1" s="1"/>
  <c r="J448" i="1"/>
  <c r="K448" i="1" s="1"/>
  <c r="J449" i="1"/>
  <c r="K449" i="1" s="1"/>
  <c r="J450" i="1"/>
  <c r="K450" i="1"/>
  <c r="J451" i="1"/>
  <c r="K451" i="1" s="1"/>
  <c r="J452" i="1"/>
  <c r="K452" i="1" s="1"/>
  <c r="J453" i="1"/>
  <c r="K453" i="1"/>
  <c r="J454" i="1"/>
  <c r="K454" i="1" s="1"/>
  <c r="J455" i="1"/>
  <c r="K455" i="1" s="1"/>
  <c r="J456" i="1"/>
  <c r="K456" i="1"/>
  <c r="J457" i="1"/>
  <c r="K457" i="1" s="1"/>
  <c r="J458" i="1"/>
  <c r="K458" i="1" s="1"/>
  <c r="J459" i="1"/>
  <c r="K459" i="1" s="1"/>
  <c r="J460" i="1"/>
  <c r="K460" i="1" s="1"/>
  <c r="J461" i="1"/>
  <c r="K461" i="1" s="1"/>
  <c r="J462" i="1"/>
  <c r="K462" i="1"/>
  <c r="J463" i="1"/>
  <c r="K463" i="1" s="1"/>
  <c r="J464" i="1"/>
  <c r="K464" i="1" s="1"/>
  <c r="J465" i="1"/>
  <c r="K465" i="1"/>
  <c r="J466" i="1"/>
  <c r="K466" i="1" s="1"/>
  <c r="J467" i="1"/>
  <c r="K467" i="1" s="1"/>
  <c r="J468" i="1"/>
  <c r="K468" i="1"/>
  <c r="J469" i="1"/>
  <c r="K469" i="1" s="1"/>
  <c r="J470" i="1"/>
  <c r="K470" i="1" s="1"/>
  <c r="J471" i="1"/>
  <c r="K471" i="1" s="1"/>
  <c r="J472" i="1"/>
  <c r="K472" i="1" s="1"/>
  <c r="J473" i="1"/>
  <c r="K473" i="1" s="1"/>
  <c r="J474" i="1"/>
  <c r="K474" i="1"/>
  <c r="J475" i="1"/>
  <c r="K475" i="1" s="1"/>
  <c r="J476" i="1"/>
  <c r="K476" i="1"/>
  <c r="J477" i="1"/>
  <c r="K477" i="1"/>
  <c r="J478" i="1"/>
  <c r="K478" i="1" s="1"/>
  <c r="J479" i="1"/>
  <c r="K479" i="1" s="1"/>
  <c r="J480" i="1"/>
  <c r="K480" i="1" s="1"/>
  <c r="J481" i="1"/>
  <c r="K481" i="1"/>
  <c r="J482" i="1"/>
  <c r="K482" i="1" s="1"/>
  <c r="J483" i="1"/>
  <c r="K483" i="1" s="1"/>
  <c r="J484" i="1"/>
  <c r="K484" i="1" s="1"/>
  <c r="J485" i="1"/>
  <c r="K485" i="1"/>
  <c r="J486" i="1"/>
  <c r="K486" i="1"/>
  <c r="J487" i="1"/>
  <c r="K487" i="1" s="1"/>
  <c r="J488" i="1"/>
  <c r="K488" i="1"/>
  <c r="J489" i="1"/>
  <c r="K489" i="1" s="1"/>
  <c r="J490" i="1"/>
  <c r="K490" i="1"/>
  <c r="J491" i="1"/>
  <c r="K491" i="1" s="1"/>
  <c r="J492" i="1"/>
  <c r="K492" i="1" s="1"/>
  <c r="J493" i="1"/>
  <c r="K493" i="1" s="1"/>
  <c r="J494" i="1"/>
  <c r="K494" i="1"/>
  <c r="J495" i="1"/>
  <c r="K495" i="1" s="1"/>
  <c r="J496" i="1"/>
  <c r="K496" i="1"/>
  <c r="J497" i="1"/>
  <c r="K497" i="1"/>
  <c r="J498" i="1"/>
  <c r="K498" i="1" s="1"/>
  <c r="J499" i="1"/>
  <c r="K499" i="1" s="1"/>
  <c r="J500" i="1"/>
  <c r="K500" i="1" s="1"/>
  <c r="J501" i="1"/>
  <c r="K501" i="1" s="1"/>
  <c r="J502" i="1"/>
  <c r="K502" i="1" s="1"/>
  <c r="J503" i="1"/>
  <c r="K503" i="1" s="1"/>
  <c r="J504" i="1"/>
  <c r="K504" i="1" s="1"/>
  <c r="J505" i="1"/>
  <c r="K505" i="1"/>
  <c r="J506" i="1"/>
  <c r="K506" i="1"/>
  <c r="J507" i="1"/>
  <c r="K507" i="1" s="1"/>
  <c r="J508" i="1"/>
  <c r="K508" i="1"/>
  <c r="J509" i="1"/>
  <c r="K509" i="1" s="1"/>
  <c r="J510" i="1"/>
  <c r="K510" i="1" s="1"/>
  <c r="J511" i="1"/>
  <c r="K511" i="1" s="1"/>
  <c r="J512" i="1"/>
  <c r="K512" i="1" s="1"/>
  <c r="J513" i="1"/>
  <c r="K513" i="1" s="1"/>
  <c r="J514" i="1"/>
  <c r="K514" i="1" s="1"/>
  <c r="J515" i="1"/>
  <c r="K515" i="1" s="1"/>
  <c r="J516" i="1"/>
  <c r="K516" i="1" s="1"/>
  <c r="J517" i="1"/>
  <c r="K517" i="1"/>
  <c r="J518" i="1"/>
  <c r="K518" i="1" s="1"/>
  <c r="J519" i="1"/>
  <c r="K519" i="1" s="1"/>
  <c r="J520" i="1"/>
  <c r="K520" i="1"/>
  <c r="J521" i="1"/>
  <c r="K521" i="1" s="1"/>
  <c r="J522" i="1"/>
  <c r="K522" i="1"/>
  <c r="J523" i="1"/>
  <c r="K523" i="1" s="1"/>
  <c r="J524" i="1"/>
  <c r="K524" i="1" s="1"/>
  <c r="J525" i="1"/>
  <c r="K525" i="1" s="1"/>
  <c r="J526" i="1"/>
  <c r="K526" i="1"/>
  <c r="J527" i="1"/>
  <c r="K527" i="1" s="1"/>
  <c r="J528" i="1"/>
  <c r="K528" i="1"/>
  <c r="J529" i="1"/>
  <c r="K529" i="1"/>
  <c r="J530" i="1"/>
  <c r="K530" i="1" s="1"/>
  <c r="J531" i="1"/>
  <c r="K531" i="1" s="1"/>
  <c r="J532" i="1"/>
  <c r="K532" i="1"/>
  <c r="J533" i="1"/>
  <c r="K533" i="1" s="1"/>
  <c r="J534" i="1"/>
  <c r="K534" i="1" s="1"/>
  <c r="J535" i="1"/>
  <c r="K535" i="1" s="1"/>
  <c r="J536" i="1"/>
  <c r="K536" i="1"/>
  <c r="J537" i="1"/>
  <c r="K537" i="1" s="1"/>
  <c r="J538" i="1"/>
  <c r="K538" i="1"/>
  <c r="J539" i="1"/>
  <c r="K539" i="1" s="1"/>
  <c r="J540" i="1"/>
  <c r="K540" i="1"/>
  <c r="J541" i="1"/>
  <c r="K541" i="1" s="1"/>
  <c r="J542" i="1"/>
  <c r="K542" i="1" s="1"/>
  <c r="J543" i="1"/>
  <c r="K543" i="1" s="1"/>
  <c r="J544" i="1"/>
  <c r="K544" i="1" s="1"/>
  <c r="J545" i="1"/>
  <c r="K545" i="1" s="1"/>
  <c r="J546" i="1"/>
  <c r="K546" i="1"/>
  <c r="J547" i="1"/>
  <c r="K547" i="1" s="1"/>
  <c r="J548" i="1"/>
  <c r="K548" i="1" s="1"/>
  <c r="J549" i="1"/>
  <c r="K549" i="1"/>
  <c r="J550" i="1"/>
  <c r="K550" i="1"/>
  <c r="J551" i="1"/>
  <c r="K551" i="1" s="1"/>
  <c r="J552" i="1"/>
  <c r="K552" i="1"/>
  <c r="J553" i="1"/>
  <c r="K553" i="1" s="1"/>
  <c r="J554" i="1"/>
  <c r="K554" i="1" s="1"/>
  <c r="J555" i="1"/>
  <c r="K555" i="1" s="1"/>
  <c r="J556" i="1"/>
  <c r="K556" i="1" s="1"/>
  <c r="J557" i="1"/>
  <c r="K557" i="1" s="1"/>
  <c r="J558" i="1"/>
  <c r="K558" i="1"/>
  <c r="J559" i="1"/>
  <c r="K559" i="1" s="1"/>
  <c r="J560" i="1"/>
  <c r="K560" i="1" s="1"/>
  <c r="J561" i="1"/>
  <c r="K561" i="1"/>
  <c r="J562" i="1"/>
  <c r="K562" i="1" s="1"/>
  <c r="J563" i="1"/>
  <c r="K563" i="1" s="1"/>
  <c r="J564" i="1"/>
  <c r="K564" i="1" s="1"/>
  <c r="J565" i="1"/>
  <c r="K565" i="1" s="1"/>
  <c r="J566" i="1"/>
  <c r="K566" i="1" s="1"/>
  <c r="J567" i="1"/>
  <c r="K567" i="1" s="1"/>
  <c r="J568" i="1"/>
  <c r="K568" i="1" s="1"/>
  <c r="J569" i="1"/>
  <c r="K569" i="1" s="1"/>
  <c r="J570" i="1"/>
  <c r="K570" i="1"/>
  <c r="J571" i="1"/>
  <c r="K571" i="1" s="1"/>
  <c r="J572" i="1"/>
  <c r="K572" i="1"/>
  <c r="J573" i="1"/>
  <c r="K573" i="1"/>
  <c r="J574" i="1"/>
  <c r="K574" i="1" s="1"/>
  <c r="J575" i="1"/>
  <c r="K575" i="1" s="1"/>
  <c r="J576" i="1"/>
  <c r="K576" i="1" s="1"/>
  <c r="J577" i="1"/>
  <c r="K577" i="1"/>
  <c r="J578" i="1"/>
  <c r="K578" i="1" s="1"/>
  <c r="J579" i="1"/>
  <c r="K579" i="1" s="1"/>
  <c r="J580" i="1"/>
  <c r="K580" i="1" s="1"/>
  <c r="J581" i="1"/>
  <c r="K581" i="1"/>
  <c r="J582" i="1"/>
  <c r="K582" i="1"/>
  <c r="J583" i="1"/>
  <c r="K583" i="1" s="1"/>
  <c r="J584" i="1"/>
  <c r="K584" i="1"/>
  <c r="J585" i="1"/>
  <c r="K585" i="1" s="1"/>
  <c r="J586" i="1"/>
  <c r="K586" i="1"/>
  <c r="J587" i="1"/>
  <c r="K587" i="1" s="1"/>
  <c r="J588" i="1"/>
  <c r="K588" i="1"/>
  <c r="J589" i="1"/>
  <c r="K589" i="1" s="1"/>
  <c r="J590" i="1"/>
  <c r="K590" i="1"/>
  <c r="J591" i="1"/>
  <c r="K591" i="1" s="1"/>
  <c r="J592" i="1"/>
  <c r="K592" i="1" s="1"/>
  <c r="J593" i="1"/>
  <c r="K593" i="1"/>
  <c r="J594" i="1"/>
  <c r="K594" i="1" s="1"/>
  <c r="J595" i="1"/>
  <c r="K595" i="1" s="1"/>
  <c r="J596" i="1"/>
  <c r="K596" i="1" s="1"/>
  <c r="J597" i="1"/>
  <c r="K597" i="1" s="1"/>
  <c r="J598" i="1"/>
  <c r="K598" i="1" s="1"/>
  <c r="J599" i="1"/>
  <c r="K599" i="1" s="1"/>
  <c r="J600" i="1"/>
  <c r="K600" i="1"/>
  <c r="J601" i="1"/>
  <c r="K601" i="1" s="1"/>
  <c r="J602" i="1"/>
  <c r="K602" i="1" s="1"/>
  <c r="J603" i="1"/>
  <c r="K603" i="1"/>
  <c r="J604" i="1"/>
  <c r="K604" i="1"/>
  <c r="J605" i="1"/>
  <c r="K605" i="1" s="1"/>
  <c r="J606" i="1"/>
  <c r="K606" i="1" s="1"/>
  <c r="J607" i="1"/>
  <c r="K607" i="1" s="1"/>
  <c r="J608" i="1"/>
  <c r="K608" i="1" s="1"/>
  <c r="J609" i="1"/>
  <c r="K609" i="1" s="1"/>
  <c r="J610" i="1"/>
  <c r="K610" i="1"/>
  <c r="J611" i="1"/>
  <c r="K611" i="1" s="1"/>
  <c r="J612" i="1"/>
  <c r="K612" i="1"/>
  <c r="J613" i="1"/>
  <c r="K613" i="1"/>
  <c r="J614" i="1"/>
  <c r="K614" i="1" s="1"/>
  <c r="J615" i="1"/>
  <c r="K615" i="1" s="1"/>
  <c r="J616" i="1"/>
  <c r="K616" i="1"/>
  <c r="J617" i="1"/>
  <c r="K617" i="1" s="1"/>
  <c r="J618" i="1"/>
  <c r="K618" i="1" s="1"/>
  <c r="J619" i="1"/>
  <c r="K619" i="1" s="1"/>
  <c r="J620" i="1"/>
  <c r="K620" i="1" s="1"/>
  <c r="J621" i="1"/>
  <c r="K621" i="1"/>
  <c r="J622" i="1"/>
  <c r="K622" i="1"/>
  <c r="J623" i="1"/>
  <c r="K623" i="1" s="1"/>
  <c r="J624" i="1"/>
  <c r="K624" i="1"/>
  <c r="J625" i="1"/>
  <c r="K625" i="1"/>
  <c r="J626" i="1"/>
  <c r="K626" i="1" s="1"/>
  <c r="J627" i="1"/>
  <c r="K627" i="1" s="1"/>
  <c r="J628" i="1"/>
  <c r="K628" i="1" s="1"/>
  <c r="J629" i="1"/>
  <c r="K629" i="1" s="1"/>
  <c r="J630" i="1"/>
  <c r="K630" i="1" s="1"/>
  <c r="J631" i="1"/>
  <c r="K631" i="1" s="1"/>
  <c r="J632" i="1"/>
  <c r="K632" i="1" s="1"/>
  <c r="J633" i="1"/>
  <c r="K633" i="1"/>
  <c r="J634" i="1"/>
  <c r="K634" i="1"/>
  <c r="J635" i="1"/>
  <c r="K635" i="1" s="1"/>
  <c r="J636" i="1"/>
  <c r="K636" i="1"/>
  <c r="J637" i="1"/>
  <c r="K637" i="1" s="1"/>
  <c r="J638" i="1"/>
  <c r="K638" i="1" s="1"/>
  <c r="J639" i="1"/>
  <c r="K639" i="1" s="1"/>
  <c r="J640" i="1"/>
  <c r="K640" i="1" s="1"/>
  <c r="J641" i="1"/>
  <c r="K641" i="1" s="1"/>
  <c r="J642" i="1"/>
  <c r="K642" i="1"/>
  <c r="J643" i="1"/>
  <c r="K643" i="1" s="1"/>
  <c r="J644" i="1"/>
  <c r="K644" i="1" s="1"/>
  <c r="J645" i="1"/>
  <c r="K645" i="1"/>
  <c r="J646" i="1"/>
  <c r="K646" i="1" s="1"/>
  <c r="J647" i="1"/>
  <c r="K647" i="1" s="1"/>
  <c r="J648" i="1"/>
  <c r="K648" i="1"/>
  <c r="J649" i="1"/>
  <c r="K649" i="1" s="1"/>
  <c r="J650" i="1"/>
  <c r="K650" i="1" s="1"/>
  <c r="J651" i="1"/>
  <c r="K651" i="1" s="1"/>
  <c r="J652" i="1"/>
  <c r="K652" i="1" s="1"/>
  <c r="J653" i="1"/>
  <c r="K653" i="1" s="1"/>
  <c r="J654" i="1"/>
  <c r="K654" i="1"/>
  <c r="J655" i="1"/>
  <c r="K655" i="1" s="1"/>
  <c r="J656" i="1"/>
  <c r="K656" i="1"/>
  <c r="J657" i="1"/>
  <c r="K657" i="1"/>
  <c r="J658" i="1"/>
  <c r="K658" i="1" s="1"/>
  <c r="J659" i="1"/>
  <c r="K659" i="1" s="1"/>
  <c r="J660" i="1"/>
  <c r="K660" i="1" s="1"/>
  <c r="J661" i="1"/>
  <c r="K661" i="1" s="1"/>
  <c r="J662" i="1"/>
  <c r="K662" i="1" s="1"/>
  <c r="J663" i="1"/>
  <c r="K663" i="1" s="1"/>
  <c r="J664" i="1"/>
  <c r="K664" i="1" s="1"/>
  <c r="J665" i="1"/>
  <c r="K665" i="1"/>
  <c r="J666" i="1"/>
  <c r="K666" i="1"/>
  <c r="J667" i="1"/>
  <c r="K667" i="1" s="1"/>
  <c r="J668" i="1"/>
  <c r="K668" i="1"/>
  <c r="J669" i="1"/>
  <c r="K669" i="1" s="1"/>
  <c r="J670" i="1"/>
  <c r="K670" i="1" s="1"/>
  <c r="J671" i="1"/>
  <c r="K671" i="1" s="1"/>
  <c r="J672" i="1"/>
  <c r="K672" i="1" s="1"/>
  <c r="J673" i="1"/>
  <c r="K673" i="1" s="1"/>
  <c r="J674" i="1"/>
  <c r="K674" i="1"/>
  <c r="J675" i="1"/>
  <c r="K675" i="1" s="1"/>
  <c r="J676" i="1"/>
  <c r="K676" i="1" s="1"/>
  <c r="J677" i="1"/>
  <c r="K677" i="1"/>
  <c r="J678" i="1"/>
  <c r="K678" i="1"/>
  <c r="J679" i="1"/>
  <c r="K679" i="1" s="1"/>
  <c r="J680" i="1"/>
  <c r="K680" i="1"/>
  <c r="J681" i="1"/>
  <c r="K681" i="1" s="1"/>
  <c r="J682" i="1"/>
  <c r="K682" i="1" s="1"/>
  <c r="J683" i="1"/>
  <c r="K683" i="1" s="1"/>
  <c r="J684" i="1"/>
  <c r="K684" i="1" s="1"/>
  <c r="J685" i="1"/>
  <c r="K685" i="1" s="1"/>
  <c r="J686" i="1"/>
  <c r="K686" i="1"/>
  <c r="J687" i="1"/>
  <c r="K687" i="1" s="1"/>
  <c r="J688" i="1"/>
  <c r="K688" i="1"/>
  <c r="J689" i="1"/>
  <c r="K689" i="1"/>
  <c r="J690" i="1"/>
  <c r="K690" i="1" s="1"/>
  <c r="J691" i="1"/>
  <c r="K691" i="1" s="1"/>
  <c r="J692" i="1"/>
  <c r="K692" i="1" s="1"/>
  <c r="J693" i="1"/>
  <c r="K693" i="1" s="1"/>
  <c r="J694" i="1"/>
  <c r="K694" i="1" s="1"/>
  <c r="J695" i="1"/>
  <c r="K695" i="1" s="1"/>
  <c r="J696" i="1"/>
  <c r="K696" i="1" s="1"/>
  <c r="J697" i="1"/>
  <c r="K697" i="1"/>
  <c r="J698" i="1"/>
  <c r="K698" i="1"/>
  <c r="J699" i="1"/>
  <c r="K699" i="1" s="1"/>
  <c r="J700" i="1"/>
  <c r="K700" i="1"/>
  <c r="J701" i="1"/>
  <c r="K701" i="1" s="1"/>
  <c r="J702" i="1"/>
  <c r="K702" i="1" s="1"/>
  <c r="J703" i="1"/>
  <c r="K703" i="1" s="1"/>
  <c r="J704" i="1"/>
  <c r="K704" i="1" s="1"/>
  <c r="J705" i="1"/>
  <c r="K705" i="1" s="1"/>
  <c r="J706" i="1"/>
  <c r="K706" i="1"/>
  <c r="J707" i="1"/>
  <c r="K707" i="1" s="1"/>
  <c r="J708" i="1"/>
  <c r="K708" i="1" s="1"/>
  <c r="J709" i="1"/>
  <c r="K709" i="1"/>
  <c r="J710" i="1"/>
  <c r="K710" i="1" s="1"/>
  <c r="J711" i="1"/>
  <c r="K711" i="1" s="1"/>
  <c r="J712" i="1"/>
  <c r="K712" i="1"/>
  <c r="J713" i="1"/>
  <c r="K713" i="1" s="1"/>
  <c r="J714" i="1"/>
  <c r="K714" i="1" s="1"/>
  <c r="J715" i="1"/>
  <c r="K715" i="1" s="1"/>
  <c r="J716" i="1"/>
  <c r="K716" i="1" s="1"/>
  <c r="J717" i="1"/>
  <c r="K717" i="1"/>
  <c r="J718" i="1"/>
  <c r="K718" i="1"/>
  <c r="J719" i="1"/>
  <c r="K719" i="1" s="1"/>
  <c r="J720" i="1"/>
  <c r="K720" i="1"/>
  <c r="J721" i="1"/>
  <c r="K721" i="1"/>
  <c r="J722" i="1"/>
  <c r="K722" i="1" s="1"/>
  <c r="J723" i="1"/>
  <c r="K723" i="1" s="1"/>
  <c r="J724" i="1"/>
  <c r="K724" i="1" s="1"/>
  <c r="J725" i="1"/>
  <c r="K725" i="1" s="1"/>
  <c r="J726" i="1"/>
  <c r="K726" i="1"/>
  <c r="J727" i="1"/>
  <c r="K727" i="1" s="1"/>
  <c r="J728" i="1"/>
  <c r="K728" i="1" s="1"/>
  <c r="J729" i="1"/>
  <c r="K729" i="1"/>
  <c r="J730" i="1"/>
  <c r="K730" i="1"/>
  <c r="J731" i="1"/>
  <c r="K731" i="1" s="1"/>
  <c r="J732" i="1"/>
  <c r="K732" i="1"/>
  <c r="J733" i="1"/>
  <c r="K733" i="1" s="1"/>
  <c r="J734" i="1"/>
  <c r="K734" i="1" s="1"/>
  <c r="J735" i="1"/>
  <c r="K735" i="1" s="1"/>
  <c r="J736" i="1"/>
  <c r="K736" i="1" s="1"/>
  <c r="J737" i="1"/>
  <c r="K737" i="1" s="1"/>
  <c r="J738" i="1"/>
  <c r="K738" i="1"/>
  <c r="J739" i="1"/>
  <c r="K739" i="1" s="1"/>
  <c r="J740" i="1"/>
  <c r="K740" i="1"/>
  <c r="J741" i="1"/>
  <c r="K741" i="1"/>
  <c r="J742" i="1"/>
  <c r="K742" i="1" s="1"/>
  <c r="J743" i="1"/>
  <c r="K743" i="1" s="1"/>
  <c r="J744" i="1"/>
  <c r="K744" i="1"/>
  <c r="J745" i="1"/>
  <c r="K745" i="1" s="1"/>
  <c r="J746" i="1"/>
  <c r="K746" i="1" s="1"/>
  <c r="J747" i="1"/>
  <c r="K747" i="1" s="1"/>
  <c r="J748" i="1"/>
  <c r="K748" i="1" s="1"/>
  <c r="J749" i="1"/>
  <c r="K749" i="1"/>
  <c r="J750" i="1"/>
  <c r="K750" i="1"/>
  <c r="J751" i="1"/>
  <c r="K751" i="1" s="1"/>
  <c r="J752" i="1"/>
  <c r="K752" i="1"/>
  <c r="J753" i="1"/>
  <c r="K753" i="1"/>
  <c r="J754" i="1"/>
  <c r="K754" i="1" s="1"/>
  <c r="J755" i="1"/>
  <c r="K755" i="1" s="1"/>
  <c r="J756" i="1"/>
  <c r="K756" i="1" s="1"/>
  <c r="J757" i="1"/>
  <c r="K757" i="1" s="1"/>
  <c r="J758" i="1"/>
  <c r="K758" i="1"/>
  <c r="J759" i="1"/>
  <c r="K759" i="1" s="1"/>
  <c r="J760" i="1"/>
  <c r="K760" i="1" s="1"/>
  <c r="J761" i="1"/>
  <c r="K761" i="1"/>
  <c r="J762" i="1"/>
  <c r="K762" i="1"/>
  <c r="J763" i="1"/>
  <c r="K763" i="1" s="1"/>
  <c r="J764" i="1"/>
  <c r="K764" i="1"/>
  <c r="J765" i="1"/>
  <c r="K765" i="1" s="1"/>
  <c r="J766" i="1"/>
  <c r="K766" i="1" s="1"/>
  <c r="J767" i="1"/>
  <c r="K767" i="1" s="1"/>
  <c r="J768" i="1"/>
  <c r="K768" i="1" s="1"/>
  <c r="J769" i="1"/>
  <c r="K769" i="1" s="1"/>
  <c r="J770" i="1"/>
  <c r="K770" i="1"/>
  <c r="J771" i="1"/>
  <c r="K771" i="1" s="1"/>
  <c r="J772" i="1"/>
  <c r="K772" i="1"/>
  <c r="J773" i="1"/>
  <c r="K773" i="1"/>
  <c r="J774" i="1"/>
  <c r="K774" i="1" s="1"/>
  <c r="J775" i="1"/>
  <c r="K775" i="1" s="1"/>
  <c r="J776" i="1"/>
  <c r="K776" i="1"/>
  <c r="J777" i="1"/>
  <c r="K777" i="1" s="1"/>
  <c r="J778" i="1"/>
  <c r="K778" i="1" s="1"/>
  <c r="J779" i="1"/>
  <c r="K779" i="1" s="1"/>
  <c r="J780" i="1"/>
  <c r="K780" i="1" s="1"/>
  <c r="J781" i="1"/>
  <c r="K781" i="1"/>
  <c r="J782" i="1"/>
  <c r="K782" i="1"/>
  <c r="J783" i="1"/>
  <c r="K783" i="1" s="1"/>
  <c r="J784" i="1"/>
  <c r="K784" i="1"/>
  <c r="J785" i="1"/>
  <c r="K785" i="1"/>
  <c r="J786" i="1"/>
  <c r="K786" i="1" s="1"/>
  <c r="J787" i="1"/>
  <c r="K787" i="1" s="1"/>
  <c r="J788" i="1"/>
  <c r="K788" i="1" s="1"/>
  <c r="J789" i="1"/>
  <c r="K789" i="1" s="1"/>
  <c r="J790" i="1"/>
  <c r="K790" i="1"/>
  <c r="J791" i="1"/>
  <c r="K791" i="1" s="1"/>
  <c r="J792" i="1"/>
  <c r="K792" i="1" s="1"/>
  <c r="J793" i="1"/>
  <c r="K793" i="1"/>
  <c r="J794" i="1"/>
  <c r="K794" i="1"/>
  <c r="J795" i="1"/>
  <c r="K795" i="1" s="1"/>
  <c r="J796" i="1"/>
  <c r="K796" i="1"/>
  <c r="J797" i="1"/>
  <c r="K797" i="1" s="1"/>
  <c r="J798" i="1"/>
  <c r="K798" i="1" s="1"/>
  <c r="J799" i="1"/>
  <c r="K799" i="1" s="1"/>
  <c r="J800" i="1"/>
  <c r="K800" i="1" s="1"/>
  <c r="J801" i="1"/>
  <c r="K801" i="1" s="1"/>
  <c r="J802" i="1"/>
  <c r="K802" i="1"/>
  <c r="J803" i="1"/>
  <c r="K803" i="1" s="1"/>
  <c r="J804" i="1"/>
  <c r="K804" i="1"/>
  <c r="J805" i="1"/>
  <c r="K805" i="1"/>
  <c r="J806" i="1"/>
  <c r="K806" i="1" s="1"/>
  <c r="J807" i="1"/>
  <c r="K807" i="1" s="1"/>
  <c r="J808" i="1"/>
  <c r="K808" i="1"/>
  <c r="J809" i="1"/>
  <c r="K809" i="1" s="1"/>
  <c r="J810" i="1"/>
  <c r="K810" i="1" s="1"/>
  <c r="J811" i="1"/>
  <c r="K811" i="1" s="1"/>
  <c r="J812" i="1"/>
  <c r="K812" i="1" s="1"/>
  <c r="J813" i="1"/>
  <c r="K813" i="1"/>
  <c r="J814" i="1"/>
  <c r="K814" i="1"/>
  <c r="J815" i="1"/>
  <c r="K815" i="1" s="1"/>
  <c r="J816" i="1"/>
  <c r="K816" i="1"/>
  <c r="J817" i="1"/>
  <c r="K817" i="1"/>
  <c r="J818" i="1"/>
  <c r="K818" i="1" s="1"/>
  <c r="J819" i="1"/>
  <c r="K819" i="1" s="1"/>
  <c r="J820" i="1"/>
  <c r="K820" i="1" s="1"/>
  <c r="J821" i="1"/>
  <c r="K821" i="1" s="1"/>
  <c r="J822" i="1"/>
  <c r="K822" i="1"/>
  <c r="J823" i="1"/>
  <c r="K823" i="1" s="1"/>
  <c r="J824" i="1"/>
  <c r="K824" i="1" s="1"/>
  <c r="J825" i="1"/>
  <c r="K825" i="1"/>
  <c r="J826" i="1"/>
  <c r="K826" i="1"/>
  <c r="J827" i="1"/>
  <c r="K827" i="1" s="1"/>
  <c r="J828" i="1"/>
  <c r="K828" i="1"/>
  <c r="J829" i="1"/>
  <c r="K829" i="1" s="1"/>
  <c r="J830" i="1"/>
  <c r="K830" i="1" s="1"/>
  <c r="J831" i="1"/>
  <c r="K831" i="1" s="1"/>
  <c r="J832" i="1"/>
  <c r="K832" i="1" s="1"/>
  <c r="J833" i="1"/>
  <c r="K833" i="1" s="1"/>
  <c r="J834" i="1"/>
  <c r="K834" i="1"/>
  <c r="J835" i="1"/>
  <c r="K835" i="1" s="1"/>
  <c r="J836" i="1"/>
  <c r="K836" i="1"/>
  <c r="J837" i="1"/>
  <c r="K837" i="1"/>
  <c r="J838" i="1"/>
  <c r="K838" i="1" s="1"/>
  <c r="J839" i="1"/>
  <c r="K839" i="1" s="1"/>
  <c r="J840" i="1"/>
  <c r="K840" i="1"/>
  <c r="J841" i="1"/>
  <c r="K841" i="1" s="1"/>
  <c r="J842" i="1"/>
  <c r="K842" i="1" s="1"/>
  <c r="J843" i="1"/>
  <c r="K843" i="1" s="1"/>
  <c r="J844" i="1"/>
  <c r="K844" i="1" s="1"/>
  <c r="J845" i="1"/>
  <c r="K845" i="1" s="1"/>
  <c r="J846" i="1"/>
  <c r="K846" i="1"/>
  <c r="J847" i="1"/>
  <c r="K847" i="1" s="1"/>
  <c r="J848" i="1"/>
  <c r="K848" i="1" s="1"/>
  <c r="J849" i="1"/>
  <c r="K849" i="1"/>
  <c r="J850" i="1"/>
  <c r="K850" i="1"/>
  <c r="J851" i="1"/>
  <c r="K851" i="1" s="1"/>
  <c r="J852" i="1"/>
  <c r="K852" i="1" s="1"/>
  <c r="J853" i="1"/>
  <c r="K853" i="1"/>
  <c r="J854" i="1"/>
  <c r="K854" i="1"/>
  <c r="J855" i="1"/>
  <c r="K855" i="1" s="1"/>
  <c r="J856" i="1"/>
  <c r="K856" i="1" s="1"/>
  <c r="J857" i="1"/>
  <c r="K857" i="1"/>
  <c r="J858" i="1"/>
  <c r="K858" i="1"/>
  <c r="J859" i="1"/>
  <c r="K859" i="1" s="1"/>
  <c r="J860" i="1"/>
  <c r="K860" i="1" s="1"/>
  <c r="J861" i="1"/>
  <c r="K861" i="1" s="1"/>
  <c r="J862" i="1"/>
  <c r="K862" i="1"/>
  <c r="J863" i="1"/>
  <c r="K863" i="1" s="1"/>
  <c r="J864" i="1"/>
  <c r="K864" i="1" s="1"/>
  <c r="J865" i="1"/>
  <c r="K865" i="1"/>
  <c r="J866" i="1"/>
  <c r="K866" i="1"/>
  <c r="J867" i="1"/>
  <c r="K867" i="1" s="1"/>
  <c r="J868" i="1"/>
  <c r="K868" i="1" s="1"/>
  <c r="J869" i="1"/>
  <c r="K869" i="1"/>
  <c r="J870" i="1"/>
  <c r="K870" i="1"/>
  <c r="J871" i="1"/>
  <c r="K871" i="1" s="1"/>
  <c r="J872" i="1"/>
  <c r="K872" i="1" s="1"/>
  <c r="J873" i="1"/>
  <c r="K873" i="1"/>
  <c r="J874" i="1"/>
  <c r="K874" i="1"/>
  <c r="J875" i="1"/>
  <c r="K875" i="1" s="1"/>
  <c r="J876" i="1"/>
  <c r="K876" i="1" s="1"/>
  <c r="J877" i="1"/>
  <c r="K877" i="1" s="1"/>
  <c r="J878" i="1"/>
  <c r="K878" i="1"/>
  <c r="J879" i="1"/>
  <c r="K879" i="1" s="1"/>
  <c r="J880" i="1"/>
  <c r="K880" i="1" s="1"/>
  <c r="J881" i="1"/>
  <c r="K881" i="1"/>
  <c r="J882" i="1"/>
  <c r="K882" i="1"/>
  <c r="J883" i="1"/>
  <c r="K883" i="1" s="1"/>
  <c r="J884" i="1"/>
  <c r="K884" i="1" s="1"/>
  <c r="J885" i="1"/>
  <c r="K885" i="1"/>
  <c r="J886" i="1"/>
  <c r="K886" i="1"/>
  <c r="J887" i="1"/>
  <c r="K887" i="1" s="1"/>
  <c r="J888" i="1"/>
  <c r="K888" i="1" s="1"/>
  <c r="J889" i="1"/>
  <c r="K889" i="1"/>
  <c r="J890" i="1"/>
  <c r="K890" i="1"/>
  <c r="J891" i="1"/>
  <c r="K891" i="1" s="1"/>
  <c r="J892" i="1"/>
  <c r="K892" i="1" s="1"/>
  <c r="J893" i="1"/>
  <c r="K893" i="1" s="1"/>
  <c r="J894" i="1"/>
  <c r="K894" i="1"/>
  <c r="J895" i="1"/>
  <c r="K895" i="1" s="1"/>
  <c r="J896" i="1"/>
  <c r="K896" i="1" s="1"/>
  <c r="J897" i="1"/>
  <c r="K897" i="1"/>
  <c r="J898" i="1"/>
  <c r="K898" i="1"/>
  <c r="J899" i="1"/>
  <c r="K899" i="1" s="1"/>
  <c r="J900" i="1"/>
  <c r="K900" i="1" s="1"/>
  <c r="J901" i="1"/>
  <c r="K901" i="1"/>
  <c r="J902" i="1"/>
  <c r="K902" i="1"/>
  <c r="J903" i="1"/>
  <c r="K903" i="1" s="1"/>
  <c r="J904" i="1"/>
  <c r="K904" i="1" s="1"/>
  <c r="J905" i="1"/>
  <c r="K905" i="1"/>
  <c r="J906" i="1"/>
  <c r="K906" i="1"/>
  <c r="J907" i="1"/>
  <c r="K907" i="1" s="1"/>
  <c r="J908" i="1"/>
  <c r="K908" i="1" s="1"/>
  <c r="J909" i="1"/>
  <c r="K909" i="1" s="1"/>
  <c r="J910" i="1"/>
  <c r="K910" i="1"/>
  <c r="J911" i="1"/>
  <c r="K911" i="1" s="1"/>
  <c r="J912" i="1"/>
  <c r="K912" i="1" s="1"/>
  <c r="J913" i="1"/>
  <c r="K913" i="1"/>
  <c r="J914" i="1"/>
  <c r="K914" i="1"/>
  <c r="J915" i="1"/>
  <c r="K915" i="1" s="1"/>
  <c r="J916" i="1"/>
  <c r="K916" i="1" s="1"/>
  <c r="J917" i="1"/>
  <c r="K917" i="1"/>
  <c r="J918" i="1"/>
  <c r="K918" i="1"/>
  <c r="J919" i="1"/>
  <c r="K919" i="1" s="1"/>
  <c r="J920" i="1"/>
  <c r="K920" i="1" s="1"/>
  <c r="J921" i="1"/>
  <c r="K921" i="1"/>
  <c r="J922" i="1"/>
  <c r="K922" i="1"/>
  <c r="J923" i="1"/>
  <c r="K923" i="1" s="1"/>
  <c r="J924" i="1"/>
  <c r="K924" i="1" s="1"/>
  <c r="J925" i="1"/>
  <c r="K925" i="1" s="1"/>
  <c r="J926" i="1"/>
  <c r="K926" i="1"/>
  <c r="J927" i="1"/>
  <c r="K927" i="1" s="1"/>
  <c r="J928" i="1"/>
  <c r="K928" i="1" s="1"/>
  <c r="J929" i="1"/>
  <c r="K929" i="1"/>
  <c r="J930" i="1"/>
  <c r="K930" i="1"/>
  <c r="J931" i="1"/>
  <c r="K931" i="1" s="1"/>
  <c r="J932" i="1"/>
  <c r="K932" i="1" s="1"/>
  <c r="J933" i="1"/>
  <c r="K933" i="1"/>
  <c r="J934" i="1"/>
  <c r="K934" i="1"/>
  <c r="J935" i="1"/>
  <c r="K935" i="1" s="1"/>
  <c r="J936" i="1"/>
  <c r="K936" i="1" s="1"/>
  <c r="J937" i="1"/>
  <c r="K937" i="1"/>
  <c r="J938" i="1"/>
  <c r="K938" i="1"/>
  <c r="J939" i="1"/>
  <c r="K939" i="1" s="1"/>
  <c r="J940" i="1"/>
  <c r="K940" i="1" s="1"/>
  <c r="J941" i="1"/>
  <c r="K941" i="1" s="1"/>
  <c r="J942" i="1"/>
  <c r="K942" i="1"/>
  <c r="J943" i="1"/>
  <c r="K943" i="1" s="1"/>
  <c r="J944" i="1"/>
  <c r="K944" i="1" s="1"/>
  <c r="J945" i="1"/>
  <c r="K945" i="1"/>
  <c r="J946" i="1"/>
  <c r="K946" i="1"/>
  <c r="J947" i="1"/>
  <c r="K947" i="1" s="1"/>
  <c r="J948" i="1"/>
  <c r="K948" i="1" s="1"/>
  <c r="J949" i="1"/>
  <c r="K949" i="1"/>
  <c r="J950" i="1"/>
  <c r="K950" i="1"/>
  <c r="J951" i="1"/>
  <c r="K951" i="1"/>
  <c r="J952" i="1"/>
  <c r="K952" i="1" s="1"/>
  <c r="J953" i="1"/>
  <c r="K953" i="1" s="1"/>
  <c r="J954" i="1"/>
  <c r="K954" i="1"/>
  <c r="J955" i="1"/>
  <c r="K955" i="1" s="1"/>
  <c r="J956" i="1"/>
  <c r="K956" i="1" s="1"/>
  <c r="J957" i="1"/>
  <c r="K957" i="1"/>
  <c r="J958" i="1"/>
  <c r="K958" i="1"/>
  <c r="J959" i="1"/>
  <c r="K959" i="1" s="1"/>
  <c r="J960" i="1"/>
  <c r="K960" i="1" s="1"/>
  <c r="J961" i="1"/>
  <c r="K961" i="1"/>
  <c r="J962" i="1"/>
  <c r="K962" i="1"/>
  <c r="J963" i="1"/>
  <c r="K963" i="1" s="1"/>
  <c r="J964" i="1"/>
  <c r="K964" i="1" s="1"/>
  <c r="J965" i="1"/>
  <c r="K965" i="1" s="1"/>
  <c r="J966" i="1"/>
  <c r="K966" i="1"/>
  <c r="J967" i="1"/>
  <c r="K967" i="1" s="1"/>
  <c r="J968" i="1"/>
  <c r="K968" i="1" s="1"/>
  <c r="J969" i="1"/>
  <c r="K969" i="1" s="1"/>
  <c r="J970" i="1"/>
  <c r="K970" i="1"/>
  <c r="J971" i="1"/>
  <c r="K971" i="1" s="1"/>
  <c r="J972" i="1"/>
  <c r="K972" i="1" s="1"/>
  <c r="J973" i="1"/>
  <c r="K973" i="1"/>
  <c r="J974" i="1"/>
  <c r="K974" i="1"/>
  <c r="J975" i="1"/>
  <c r="K975" i="1" s="1"/>
  <c r="J976" i="1"/>
  <c r="K976" i="1" s="1"/>
  <c r="J977" i="1"/>
  <c r="K977" i="1"/>
  <c r="J978" i="1"/>
  <c r="K978" i="1"/>
  <c r="J979" i="1"/>
  <c r="K979" i="1" s="1"/>
  <c r="J980" i="1"/>
  <c r="K980" i="1" s="1"/>
  <c r="J981" i="1"/>
  <c r="K981" i="1" s="1"/>
  <c r="J982" i="1"/>
  <c r="K982" i="1"/>
  <c r="J983" i="1"/>
  <c r="K983" i="1" s="1"/>
  <c r="J984" i="1"/>
  <c r="K984" i="1" s="1"/>
  <c r="J985" i="1"/>
  <c r="K985" i="1" s="1"/>
  <c r="J986" i="1"/>
  <c r="K986" i="1"/>
  <c r="J987" i="1"/>
  <c r="K987" i="1" s="1"/>
  <c r="J988" i="1"/>
  <c r="K988" i="1" s="1"/>
  <c r="J989" i="1"/>
  <c r="K989" i="1"/>
  <c r="J990" i="1"/>
  <c r="K990" i="1"/>
  <c r="J991" i="1"/>
  <c r="K991" i="1" s="1"/>
  <c r="J992" i="1"/>
  <c r="K992" i="1" s="1"/>
  <c r="J993" i="1"/>
  <c r="K993" i="1"/>
  <c r="J994" i="1"/>
  <c r="K994" i="1"/>
  <c r="J995" i="1"/>
  <c r="K995" i="1" s="1"/>
  <c r="J996" i="1"/>
  <c r="K996" i="1" s="1"/>
  <c r="J997" i="1"/>
  <c r="K997" i="1" s="1"/>
  <c r="J998" i="1"/>
  <c r="K998" i="1"/>
  <c r="J999" i="1"/>
  <c r="K999" i="1" s="1"/>
  <c r="J1000" i="1"/>
  <c r="K1000" i="1" s="1"/>
  <c r="J1001" i="1"/>
  <c r="K1001" i="1" s="1"/>
  <c r="J1002" i="1"/>
  <c r="K1002" i="1"/>
  <c r="J1003" i="1"/>
  <c r="K1003" i="1" s="1"/>
  <c r="J1004" i="1"/>
  <c r="K1004" i="1" s="1"/>
  <c r="J1005" i="1"/>
  <c r="K1005" i="1"/>
  <c r="J1006" i="1"/>
  <c r="K1006" i="1"/>
  <c r="J1007" i="1"/>
  <c r="K1007" i="1" s="1"/>
  <c r="J1008" i="1"/>
  <c r="K1008" i="1" s="1"/>
  <c r="J1009" i="1"/>
  <c r="K1009" i="1"/>
  <c r="J1010" i="1"/>
  <c r="K1010" i="1"/>
  <c r="J1011" i="1"/>
  <c r="K1011" i="1" s="1"/>
  <c r="J1012" i="1"/>
  <c r="K1012" i="1" s="1"/>
  <c r="J1013" i="1"/>
  <c r="K1013" i="1" s="1"/>
  <c r="J1014" i="1"/>
  <c r="K1014" i="1"/>
  <c r="J1015" i="1"/>
  <c r="K1015" i="1" s="1"/>
  <c r="J1016" i="1"/>
  <c r="K1016" i="1" s="1"/>
  <c r="J1017" i="1"/>
  <c r="K1017" i="1" s="1"/>
  <c r="J1018" i="1"/>
  <c r="K1018" i="1"/>
  <c r="J1019" i="1"/>
  <c r="K1019" i="1" s="1"/>
  <c r="J1020" i="1"/>
  <c r="K1020" i="1" s="1"/>
  <c r="J1021" i="1"/>
  <c r="K1021" i="1"/>
  <c r="J1022" i="1"/>
  <c r="K1022" i="1"/>
  <c r="J1023" i="1"/>
  <c r="K1023" i="1" s="1"/>
  <c r="J1024" i="1"/>
  <c r="K1024" i="1" s="1"/>
  <c r="J1025" i="1"/>
  <c r="K1025" i="1"/>
  <c r="J1026" i="1"/>
  <c r="K1026" i="1"/>
  <c r="J1027" i="1"/>
  <c r="K1027" i="1" s="1"/>
  <c r="J1028" i="1"/>
  <c r="K1028" i="1" s="1"/>
  <c r="J1029" i="1"/>
  <c r="K1029" i="1" s="1"/>
  <c r="J1030" i="1"/>
  <c r="K1030" i="1"/>
  <c r="J1031" i="1"/>
  <c r="K1031" i="1" s="1"/>
  <c r="J1032" i="1"/>
  <c r="K1032" i="1" s="1"/>
  <c r="J1033" i="1"/>
  <c r="K1033" i="1" s="1"/>
  <c r="J1034" i="1"/>
  <c r="K1034" i="1"/>
  <c r="J1035" i="1"/>
  <c r="K1035" i="1" s="1"/>
  <c r="J1036" i="1"/>
  <c r="K1036" i="1" s="1"/>
  <c r="J1037" i="1"/>
  <c r="K1037" i="1"/>
  <c r="J1038" i="1"/>
  <c r="K1038" i="1"/>
  <c r="J1039" i="1"/>
  <c r="K1039" i="1" s="1"/>
  <c r="J1040" i="1"/>
  <c r="K1040" i="1" s="1"/>
  <c r="J1041" i="1"/>
  <c r="K1041" i="1"/>
  <c r="J1042" i="1"/>
  <c r="K1042" i="1"/>
  <c r="J1043" i="1"/>
  <c r="K1043" i="1" s="1"/>
  <c r="J1044" i="1"/>
  <c r="K1044" i="1" s="1"/>
  <c r="J1045" i="1"/>
  <c r="K1045" i="1" s="1"/>
  <c r="J1046" i="1"/>
  <c r="K1046" i="1"/>
  <c r="J1047" i="1"/>
  <c r="K1047" i="1" s="1"/>
  <c r="J1048" i="1"/>
  <c r="K1048" i="1" s="1"/>
  <c r="J1049" i="1"/>
  <c r="K1049" i="1" s="1"/>
  <c r="J1050" i="1"/>
  <c r="K1050" i="1"/>
  <c r="J1051" i="1"/>
  <c r="K1051" i="1" s="1"/>
  <c r="J1052" i="1"/>
  <c r="K1052" i="1" s="1"/>
  <c r="J1053" i="1"/>
  <c r="K1053" i="1"/>
  <c r="J1054" i="1"/>
  <c r="K1054" i="1"/>
  <c r="J1055" i="1"/>
  <c r="K1055" i="1" s="1"/>
  <c r="J1056" i="1"/>
  <c r="K1056" i="1" s="1"/>
  <c r="J1057" i="1"/>
  <c r="K1057" i="1" s="1"/>
  <c r="J1058" i="1"/>
  <c r="K1058" i="1"/>
  <c r="J1059" i="1"/>
  <c r="K1059" i="1" s="1"/>
  <c r="J1060" i="1"/>
  <c r="K1060" i="1" s="1"/>
  <c r="J1061" i="1"/>
  <c r="K1061" i="1"/>
  <c r="J1062" i="1"/>
  <c r="K1062" i="1"/>
  <c r="J1063" i="1"/>
  <c r="K1063" i="1" s="1"/>
  <c r="J1064" i="1"/>
  <c r="K1064" i="1"/>
  <c r="J1065" i="1"/>
  <c r="K1065" i="1" s="1"/>
  <c r="J1066" i="1"/>
  <c r="K1066" i="1" s="1"/>
  <c r="J1067" i="1"/>
  <c r="K1067" i="1" s="1"/>
  <c r="J1068" i="1"/>
  <c r="K1068" i="1" s="1"/>
  <c r="J1069" i="1"/>
  <c r="K1069" i="1" s="1"/>
  <c r="J1070" i="1"/>
  <c r="K1070" i="1"/>
  <c r="J1071" i="1"/>
  <c r="K1071" i="1" s="1"/>
  <c r="J1072" i="1"/>
  <c r="K1072" i="1" s="1"/>
  <c r="J1073" i="1"/>
  <c r="K1073" i="1"/>
  <c r="J1074" i="1"/>
  <c r="K1074" i="1" s="1"/>
  <c r="J1075" i="1"/>
  <c r="K1075" i="1" s="1"/>
  <c r="J1076" i="1"/>
  <c r="K1076" i="1"/>
  <c r="J1077" i="1"/>
  <c r="K1077" i="1" s="1"/>
  <c r="J1078" i="1"/>
  <c r="K1078" i="1" s="1"/>
  <c r="J1079" i="1"/>
  <c r="K1079" i="1" s="1"/>
  <c r="J1080" i="1"/>
  <c r="K1080" i="1" s="1"/>
  <c r="J1081" i="1"/>
  <c r="K1081" i="1" s="1"/>
  <c r="J1082" i="1"/>
  <c r="K1082" i="1"/>
  <c r="J1083" i="1"/>
  <c r="K1083" i="1" s="1"/>
  <c r="J1084" i="1"/>
  <c r="K1084" i="1"/>
  <c r="J1085" i="1"/>
  <c r="K1085" i="1"/>
  <c r="J1086" i="1"/>
  <c r="K1086" i="1" s="1"/>
  <c r="J1087" i="1"/>
  <c r="K1087" i="1" s="1"/>
  <c r="J1088" i="1"/>
  <c r="K1088" i="1" s="1"/>
  <c r="J1089" i="1"/>
  <c r="K1089" i="1" s="1"/>
  <c r="J1090" i="1"/>
  <c r="K1090" i="1" s="1"/>
  <c r="J1091" i="1"/>
  <c r="K1091" i="1" s="1"/>
  <c r="J1092" i="1"/>
  <c r="K1092" i="1" s="1"/>
  <c r="J1093" i="1"/>
  <c r="K1093" i="1"/>
  <c r="J1094" i="1"/>
  <c r="K1094" i="1"/>
  <c r="J1095" i="1"/>
  <c r="K1095" i="1" s="1"/>
  <c r="J1096" i="1"/>
  <c r="K1096" i="1"/>
  <c r="J1097" i="1"/>
  <c r="K1097" i="1" s="1"/>
  <c r="J1098" i="1"/>
  <c r="K1098" i="1" s="1"/>
  <c r="J1099" i="1"/>
  <c r="K1099" i="1" s="1"/>
  <c r="J1100" i="1"/>
  <c r="K1100" i="1" s="1"/>
  <c r="J1101" i="1"/>
  <c r="K1101" i="1" s="1"/>
  <c r="J1102" i="1"/>
  <c r="K1102" i="1"/>
  <c r="J1103" i="1"/>
  <c r="K1103" i="1" s="1"/>
  <c r="J1104" i="1"/>
  <c r="K1104" i="1" s="1"/>
  <c r="J1105" i="1"/>
  <c r="K1105" i="1"/>
  <c r="J1106" i="1"/>
  <c r="K1106" i="1" s="1"/>
  <c r="J1107" i="1"/>
  <c r="K1107" i="1" s="1"/>
  <c r="J1108" i="1"/>
  <c r="K1108" i="1"/>
  <c r="J1109" i="1"/>
  <c r="K1109" i="1" s="1"/>
  <c r="J1110" i="1"/>
  <c r="K1110" i="1" s="1"/>
  <c r="J1111" i="1"/>
  <c r="K1111" i="1" s="1"/>
  <c r="J1112" i="1"/>
  <c r="K1112" i="1" s="1"/>
  <c r="J1113" i="1"/>
  <c r="K1113" i="1" s="1"/>
  <c r="J1114" i="1"/>
  <c r="K1114" i="1"/>
  <c r="J1115" i="1"/>
  <c r="K1115" i="1" s="1"/>
  <c r="J1116" i="1"/>
  <c r="K1116" i="1"/>
  <c r="J1117" i="1"/>
  <c r="K1117" i="1"/>
  <c r="J1118" i="1"/>
  <c r="K1118" i="1" s="1"/>
  <c r="J1119" i="1"/>
  <c r="K1119" i="1" s="1"/>
  <c r="J1120" i="1"/>
  <c r="K1120" i="1"/>
  <c r="J1121" i="1"/>
  <c r="K1121" i="1" s="1"/>
  <c r="J1122" i="1"/>
  <c r="K1122" i="1" s="1"/>
  <c r="J1123" i="1"/>
  <c r="K1123" i="1" s="1"/>
  <c r="J1124" i="1"/>
  <c r="K1124" i="1" s="1"/>
  <c r="J1125" i="1"/>
  <c r="K1125" i="1"/>
  <c r="J1126" i="1"/>
  <c r="K1126" i="1"/>
  <c r="J1127" i="1"/>
  <c r="K1127" i="1" s="1"/>
  <c r="J1128" i="1"/>
  <c r="K1128" i="1"/>
  <c r="J1129" i="1"/>
  <c r="K1129" i="1"/>
  <c r="J1130" i="1"/>
  <c r="K1130" i="1" s="1"/>
  <c r="J1131" i="1"/>
  <c r="K1131" i="1" s="1"/>
  <c r="J1132" i="1"/>
  <c r="K1132" i="1" s="1"/>
  <c r="J1133" i="1"/>
  <c r="K1133" i="1" s="1"/>
  <c r="J1134" i="1"/>
  <c r="K1134" i="1"/>
  <c r="J1135" i="1"/>
  <c r="K1135" i="1" s="1"/>
  <c r="J1136" i="1"/>
  <c r="K1136" i="1" s="1"/>
  <c r="J1137" i="1"/>
  <c r="K1137" i="1"/>
  <c r="J1138" i="1"/>
  <c r="K1138" i="1"/>
  <c r="J1139" i="1"/>
  <c r="K1139" i="1" s="1"/>
  <c r="J1140" i="1"/>
  <c r="K1140" i="1"/>
  <c r="J1141" i="1"/>
  <c r="K1141" i="1" s="1"/>
  <c r="J1142" i="1"/>
  <c r="K1142" i="1" s="1"/>
  <c r="J1143" i="1"/>
  <c r="K1143" i="1" s="1"/>
  <c r="J1144" i="1"/>
  <c r="K1144" i="1" s="1"/>
  <c r="J1145" i="1"/>
  <c r="K1145" i="1" s="1"/>
  <c r="J1146" i="1"/>
  <c r="K1146" i="1"/>
  <c r="J1147" i="1"/>
  <c r="K1147" i="1" s="1"/>
  <c r="J1148" i="1"/>
  <c r="K1148" i="1"/>
  <c r="J1149" i="1"/>
  <c r="K1149" i="1"/>
  <c r="J1150" i="1"/>
  <c r="K1150" i="1" s="1"/>
  <c r="J1151" i="1"/>
  <c r="K1151" i="1" s="1"/>
  <c r="J1152" i="1"/>
  <c r="K1152" i="1"/>
  <c r="J1153" i="1"/>
  <c r="K1153" i="1" s="1"/>
  <c r="J1154" i="1"/>
  <c r="K1154" i="1" s="1"/>
  <c r="J1155" i="1"/>
  <c r="K1155" i="1" s="1"/>
  <c r="J1156" i="1"/>
  <c r="K1156" i="1" s="1"/>
  <c r="J1157" i="1"/>
  <c r="K1157" i="1"/>
  <c r="J1158" i="1"/>
  <c r="K1158" i="1"/>
  <c r="J1159" i="1"/>
  <c r="K1159" i="1" s="1"/>
  <c r="J1160" i="1"/>
  <c r="K1160" i="1"/>
  <c r="J1161" i="1"/>
  <c r="K1161" i="1"/>
  <c r="J1162" i="1"/>
  <c r="K1162" i="1" s="1"/>
  <c r="J1163" i="1"/>
  <c r="K1163" i="1" s="1"/>
  <c r="J1164" i="1"/>
  <c r="K1164" i="1" s="1"/>
  <c r="J1165" i="1"/>
  <c r="K1165" i="1" s="1"/>
  <c r="J1166" i="1"/>
  <c r="K1166" i="1"/>
  <c r="J1167" i="1"/>
  <c r="K1167" i="1" s="1"/>
  <c r="J1168" i="1"/>
  <c r="K1168" i="1" s="1"/>
  <c r="J1169" i="1"/>
  <c r="K1169" i="1"/>
  <c r="J1170" i="1"/>
  <c r="K1170" i="1"/>
  <c r="J1171" i="1"/>
  <c r="K1171" i="1" s="1"/>
  <c r="J1172" i="1"/>
  <c r="K1172" i="1"/>
  <c r="J1173" i="1"/>
  <c r="K1173" i="1" s="1"/>
  <c r="J1174" i="1"/>
  <c r="K1174" i="1" s="1"/>
  <c r="J1175" i="1"/>
  <c r="K1175" i="1" s="1"/>
  <c r="J1176" i="1"/>
  <c r="K1176" i="1" s="1"/>
  <c r="J1177" i="1"/>
  <c r="K1177" i="1" s="1"/>
  <c r="J1178" i="1"/>
  <c r="K1178" i="1"/>
  <c r="J1179" i="1"/>
  <c r="K1179" i="1" s="1"/>
  <c r="J1180" i="1"/>
  <c r="K1180" i="1"/>
  <c r="J1181" i="1"/>
  <c r="K1181" i="1"/>
  <c r="J1182" i="1"/>
  <c r="K1182" i="1" s="1"/>
  <c r="J1183" i="1"/>
  <c r="K1183" i="1" s="1"/>
  <c r="J1184" i="1"/>
  <c r="K1184" i="1"/>
  <c r="J1185" i="1"/>
  <c r="K1185" i="1" s="1"/>
  <c r="J1186" i="1"/>
  <c r="K1186" i="1" s="1"/>
  <c r="J1187" i="1"/>
  <c r="K1187" i="1" s="1"/>
  <c r="J1188" i="1"/>
  <c r="K1188" i="1" s="1"/>
  <c r="J1189" i="1"/>
  <c r="K1189" i="1"/>
  <c r="J1190" i="1"/>
  <c r="K1190" i="1"/>
  <c r="J1191" i="1"/>
  <c r="K1191" i="1" s="1"/>
  <c r="J1192" i="1"/>
  <c r="K1192" i="1"/>
  <c r="J1193" i="1"/>
  <c r="K1193" i="1"/>
  <c r="J1194" i="1"/>
  <c r="K1194" i="1" s="1"/>
  <c r="J1195" i="1"/>
  <c r="K1195" i="1" s="1"/>
  <c r="J1196" i="1"/>
  <c r="K1196" i="1" s="1"/>
  <c r="J1197" i="1"/>
  <c r="K1197" i="1" s="1"/>
  <c r="J1198" i="1"/>
  <c r="K1198" i="1"/>
  <c r="J1199" i="1"/>
  <c r="K1199" i="1" s="1"/>
  <c r="J1200" i="1"/>
  <c r="K1200" i="1" s="1"/>
  <c r="J1201" i="1"/>
  <c r="K1201" i="1"/>
  <c r="J1202" i="1"/>
  <c r="K1202" i="1"/>
  <c r="J1203" i="1"/>
  <c r="K1203" i="1" s="1"/>
  <c r="J1204" i="1"/>
  <c r="K1204" i="1"/>
  <c r="J1205" i="1"/>
  <c r="K1205" i="1" s="1"/>
  <c r="J1206" i="1"/>
  <c r="K1206" i="1" s="1"/>
  <c r="J1207" i="1"/>
  <c r="K1207" i="1" s="1"/>
  <c r="J1208" i="1"/>
  <c r="K1208" i="1" s="1"/>
  <c r="J1209" i="1"/>
  <c r="K1209" i="1" s="1"/>
  <c r="J1210" i="1"/>
  <c r="K1210" i="1"/>
  <c r="J1211" i="1"/>
  <c r="K1211" i="1" s="1"/>
  <c r="J1212" i="1"/>
  <c r="K1212" i="1"/>
  <c r="J1213" i="1"/>
  <c r="K1213" i="1"/>
  <c r="J1214" i="1"/>
  <c r="K1214" i="1" s="1"/>
  <c r="J1215" i="1"/>
  <c r="K1215" i="1" s="1"/>
  <c r="J1216" i="1"/>
  <c r="K1216" i="1"/>
  <c r="J1217" i="1"/>
  <c r="K1217" i="1" s="1"/>
  <c r="J1218" i="1"/>
  <c r="K1218" i="1" s="1"/>
  <c r="J1219" i="1"/>
  <c r="K1219" i="1" s="1"/>
  <c r="J1220" i="1"/>
  <c r="K1220" i="1" s="1"/>
  <c r="J1221" i="1"/>
  <c r="K1221" i="1"/>
  <c r="J1222" i="1"/>
  <c r="K1222" i="1"/>
  <c r="J1223" i="1"/>
  <c r="K1223" i="1" s="1"/>
  <c r="J1224" i="1"/>
  <c r="K1224" i="1"/>
  <c r="J1225" i="1"/>
  <c r="K1225" i="1"/>
  <c r="J1226" i="1"/>
  <c r="K1226" i="1" s="1"/>
  <c r="J1227" i="1"/>
  <c r="K1227" i="1" s="1"/>
  <c r="J1228" i="1"/>
  <c r="K1228" i="1" s="1"/>
  <c r="J1229" i="1"/>
  <c r="K1229" i="1" s="1"/>
  <c r="J1230" i="1"/>
  <c r="K1230" i="1"/>
  <c r="J1231" i="1"/>
  <c r="K1231" i="1" s="1"/>
  <c r="J1232" i="1"/>
  <c r="K1232" i="1" s="1"/>
  <c r="J1233" i="1"/>
  <c r="K1233" i="1"/>
  <c r="J1234" i="1"/>
  <c r="K1234" i="1"/>
  <c r="J1235" i="1"/>
  <c r="K1235" i="1" s="1"/>
  <c r="J1236" i="1"/>
  <c r="K1236" i="1"/>
  <c r="J1237" i="1"/>
  <c r="K1237" i="1" s="1"/>
  <c r="J1238" i="1"/>
  <c r="K1238" i="1" s="1"/>
  <c r="J1239" i="1"/>
  <c r="K1239" i="1" s="1"/>
  <c r="J1240" i="1"/>
  <c r="K1240" i="1" s="1"/>
  <c r="J1241" i="1"/>
  <c r="K1241" i="1" s="1"/>
  <c r="J1242" i="1"/>
  <c r="K1242" i="1"/>
  <c r="J1243" i="1"/>
  <c r="K1243" i="1" s="1"/>
  <c r="J1244" i="1"/>
  <c r="K1244" i="1"/>
  <c r="J1245" i="1"/>
  <c r="K1245" i="1"/>
  <c r="J1246" i="1"/>
  <c r="K1246" i="1" s="1"/>
  <c r="J1247" i="1"/>
  <c r="K1247" i="1" s="1"/>
  <c r="J1248" i="1"/>
  <c r="K1248" i="1"/>
  <c r="J1249" i="1"/>
  <c r="K1249" i="1" s="1"/>
  <c r="J1250" i="1"/>
  <c r="K1250" i="1" s="1"/>
  <c r="J1251" i="1"/>
  <c r="K1251" i="1" s="1"/>
  <c r="J1252" i="1"/>
  <c r="K1252" i="1" s="1"/>
  <c r="J1253" i="1"/>
  <c r="K1253" i="1"/>
  <c r="J1254" i="1"/>
  <c r="K1254" i="1"/>
  <c r="J1255" i="1"/>
  <c r="K1255" i="1" s="1"/>
  <c r="J1256" i="1"/>
  <c r="K1256" i="1"/>
  <c r="J1257" i="1"/>
  <c r="K1257" i="1"/>
  <c r="J1258" i="1"/>
  <c r="K1258" i="1" s="1"/>
  <c r="J1259" i="1"/>
  <c r="K1259" i="1" s="1"/>
  <c r="J1260" i="1"/>
  <c r="K1260" i="1" s="1"/>
  <c r="J1261" i="1"/>
  <c r="K1261" i="1" s="1"/>
  <c r="J1262" i="1"/>
  <c r="K1262" i="1"/>
  <c r="J1263" i="1"/>
  <c r="K1263" i="1" s="1"/>
  <c r="J1264" i="1"/>
  <c r="K1264" i="1" s="1"/>
  <c r="J1265" i="1"/>
  <c r="K1265" i="1"/>
  <c r="J1266" i="1"/>
  <c r="K1266" i="1"/>
  <c r="J1267" i="1"/>
  <c r="K1267" i="1" s="1"/>
  <c r="J1268" i="1"/>
  <c r="K1268" i="1"/>
  <c r="J1269" i="1"/>
  <c r="K1269" i="1" s="1"/>
  <c r="J1270" i="1"/>
  <c r="K1270" i="1" s="1"/>
  <c r="J1271" i="1"/>
  <c r="K1271" i="1" s="1"/>
  <c r="J1272" i="1"/>
  <c r="K1272" i="1" s="1"/>
  <c r="J1273" i="1"/>
  <c r="K1273" i="1" s="1"/>
  <c r="J1274" i="1"/>
  <c r="K1274" i="1"/>
  <c r="J1275" i="1"/>
  <c r="K1275" i="1" s="1"/>
  <c r="J1276" i="1"/>
  <c r="K1276" i="1"/>
  <c r="J1277" i="1"/>
  <c r="K1277" i="1"/>
  <c r="J1278" i="1"/>
  <c r="K1278" i="1" s="1"/>
  <c r="J1279" i="1"/>
  <c r="K1279" i="1" s="1"/>
  <c r="J1280" i="1"/>
  <c r="K1280" i="1"/>
  <c r="J1281" i="1"/>
  <c r="K1281" i="1" s="1"/>
  <c r="J1282" i="1"/>
  <c r="K1282" i="1" s="1"/>
  <c r="J1283" i="1"/>
  <c r="K1283" i="1" s="1"/>
  <c r="J1284" i="1"/>
  <c r="K1284" i="1" s="1"/>
  <c r="J1285" i="1"/>
  <c r="K1285" i="1"/>
  <c r="J1286" i="1"/>
  <c r="K1286" i="1"/>
  <c r="J1287" i="1"/>
  <c r="K1287" i="1" s="1"/>
  <c r="J1288" i="1"/>
  <c r="K1288" i="1"/>
  <c r="J1289" i="1"/>
  <c r="K1289" i="1"/>
  <c r="J1290" i="1"/>
  <c r="K1290" i="1" s="1"/>
  <c r="J1291" i="1"/>
  <c r="K1291" i="1" s="1"/>
  <c r="J1292" i="1"/>
  <c r="K1292" i="1" s="1"/>
  <c r="J1293" i="1"/>
  <c r="K1293" i="1" s="1"/>
  <c r="J1294" i="1"/>
  <c r="K1294" i="1"/>
  <c r="J1295" i="1"/>
  <c r="K1295" i="1" s="1"/>
  <c r="J1296" i="1"/>
  <c r="K1296" i="1" s="1"/>
  <c r="J1297" i="1"/>
  <c r="K1297" i="1"/>
  <c r="J1298" i="1"/>
  <c r="K1298" i="1"/>
  <c r="J1299" i="1"/>
  <c r="K1299" i="1" s="1"/>
  <c r="J1300" i="1"/>
  <c r="K1300" i="1"/>
  <c r="J1301" i="1"/>
  <c r="K1301" i="1" s="1"/>
  <c r="J1302" i="1"/>
  <c r="K1302" i="1" s="1"/>
  <c r="J1303" i="1"/>
  <c r="K1303" i="1" s="1"/>
  <c r="J1304" i="1"/>
  <c r="K1304" i="1" s="1"/>
  <c r="J1305" i="1"/>
  <c r="K1305" i="1" s="1"/>
  <c r="J1306" i="1"/>
  <c r="K1306" i="1"/>
  <c r="J1307" i="1"/>
  <c r="K1307" i="1" s="1"/>
  <c r="J1308" i="1"/>
  <c r="K1308" i="1"/>
  <c r="J1309" i="1"/>
  <c r="K1309" i="1"/>
  <c r="J1310" i="1"/>
  <c r="K1310" i="1" s="1"/>
  <c r="J1311" i="1"/>
  <c r="K1311" i="1" s="1"/>
  <c r="J1312" i="1"/>
  <c r="K1312" i="1"/>
  <c r="J1313" i="1"/>
  <c r="K1313" i="1" s="1"/>
  <c r="J1314" i="1"/>
  <c r="K1314" i="1" s="1"/>
  <c r="J1315" i="1"/>
  <c r="K1315" i="1" s="1"/>
  <c r="J1316" i="1"/>
  <c r="K1316" i="1" s="1"/>
  <c r="J1317" i="1"/>
  <c r="K1317" i="1"/>
  <c r="J1318" i="1"/>
  <c r="K1318" i="1"/>
  <c r="J1319" i="1"/>
  <c r="K1319" i="1" s="1"/>
  <c r="J1320" i="1"/>
  <c r="K1320" i="1"/>
  <c r="J1321" i="1"/>
  <c r="K1321" i="1"/>
  <c r="J1322" i="1"/>
  <c r="K1322" i="1" s="1"/>
  <c r="J1323" i="1"/>
  <c r="K1323" i="1" s="1"/>
  <c r="J1324" i="1"/>
  <c r="K1324" i="1" s="1"/>
  <c r="J1325" i="1"/>
  <c r="K1325" i="1" s="1"/>
  <c r="J1326" i="1"/>
  <c r="K1326" i="1"/>
  <c r="J1327" i="1"/>
  <c r="K1327" i="1" s="1"/>
  <c r="J1328" i="1"/>
  <c r="K1328" i="1" s="1"/>
  <c r="J1329" i="1"/>
  <c r="K1329" i="1"/>
  <c r="J1330" i="1"/>
  <c r="K1330" i="1"/>
  <c r="J1331" i="1"/>
  <c r="K1331" i="1" s="1"/>
  <c r="J1332" i="1"/>
  <c r="K1332" i="1"/>
  <c r="J1333" i="1"/>
  <c r="K1333" i="1" s="1"/>
  <c r="J1334" i="1"/>
  <c r="K1334" i="1" s="1"/>
  <c r="J1335" i="1"/>
  <c r="K1335" i="1" s="1"/>
  <c r="J1336" i="1"/>
  <c r="K1336" i="1" s="1"/>
  <c r="J1337" i="1"/>
  <c r="K1337" i="1" s="1"/>
  <c r="J1338" i="1"/>
  <c r="K1338" i="1"/>
  <c r="J1339" i="1"/>
  <c r="K1339" i="1" s="1"/>
  <c r="J1340" i="1"/>
  <c r="K1340" i="1"/>
  <c r="J1341" i="1"/>
  <c r="K1341" i="1"/>
  <c r="J1342" i="1"/>
  <c r="K1342" i="1" s="1"/>
  <c r="J1343" i="1"/>
  <c r="K1343" i="1" s="1"/>
  <c r="J1344" i="1"/>
  <c r="K1344" i="1"/>
  <c r="J1345" i="1"/>
  <c r="K1345" i="1" s="1"/>
  <c r="J1346" i="1"/>
  <c r="K1346" i="1" s="1"/>
  <c r="J1347" i="1"/>
  <c r="K1347" i="1" s="1"/>
  <c r="J1348" i="1"/>
  <c r="K1348" i="1" s="1"/>
  <c r="J1349" i="1"/>
  <c r="K1349" i="1"/>
  <c r="J1350" i="1"/>
  <c r="K1350" i="1"/>
  <c r="J1351" i="1"/>
  <c r="K1351" i="1" s="1"/>
  <c r="J1352" i="1"/>
  <c r="K1352" i="1"/>
  <c r="J1353" i="1"/>
  <c r="K1353" i="1"/>
  <c r="J1354" i="1"/>
  <c r="K1354" i="1" s="1"/>
  <c r="J1355" i="1"/>
  <c r="K1355" i="1" s="1"/>
  <c r="J1356" i="1"/>
  <c r="K1356" i="1" s="1"/>
  <c r="J1357" i="1"/>
  <c r="K1357" i="1" s="1"/>
  <c r="J1358" i="1"/>
  <c r="K1358" i="1"/>
  <c r="J1359" i="1"/>
  <c r="K1359" i="1" s="1"/>
  <c r="J1360" i="1"/>
  <c r="K1360" i="1" s="1"/>
  <c r="J1361" i="1"/>
  <c r="K1361" i="1"/>
  <c r="J1362" i="1"/>
  <c r="K1362" i="1"/>
  <c r="J1363" i="1"/>
  <c r="K1363" i="1" s="1"/>
  <c r="J1364" i="1"/>
  <c r="K1364" i="1"/>
  <c r="J1365" i="1"/>
  <c r="K1365" i="1" s="1"/>
  <c r="J1366" i="1"/>
  <c r="K1366" i="1" s="1"/>
  <c r="J1367" i="1"/>
  <c r="K1367" i="1" s="1"/>
  <c r="J1368" i="1"/>
  <c r="K1368" i="1" s="1"/>
  <c r="J1369" i="1"/>
  <c r="K1369" i="1" s="1"/>
  <c r="J1370" i="1"/>
  <c r="K1370" i="1"/>
  <c r="J1371" i="1"/>
  <c r="K1371" i="1"/>
  <c r="J1372" i="1"/>
  <c r="K1372" i="1" s="1"/>
  <c r="J1373" i="1"/>
  <c r="K1373" i="1" s="1"/>
  <c r="J1374" i="1"/>
  <c r="K1374" i="1"/>
  <c r="J1375" i="1"/>
  <c r="K1375" i="1"/>
  <c r="J1376" i="1"/>
  <c r="K1376" i="1" s="1"/>
  <c r="J1377" i="1"/>
  <c r="K1377" i="1" s="1"/>
  <c r="J1378" i="1"/>
  <c r="K1378" i="1"/>
  <c r="J1379" i="1"/>
  <c r="K1379" i="1"/>
  <c r="J1380" i="1"/>
  <c r="K1380" i="1" s="1"/>
  <c r="J1381" i="1"/>
  <c r="K1381" i="1" s="1"/>
  <c r="J1382" i="1"/>
  <c r="K1382" i="1"/>
  <c r="J1383" i="1"/>
  <c r="K1383" i="1"/>
  <c r="J1384" i="1"/>
  <c r="K1384" i="1" s="1"/>
  <c r="J1385" i="1"/>
  <c r="K1385" i="1" s="1"/>
  <c r="J1386" i="1"/>
  <c r="K1386" i="1"/>
  <c r="J1387" i="1"/>
  <c r="K1387" i="1"/>
  <c r="J1388" i="1"/>
  <c r="K1388" i="1" s="1"/>
  <c r="J1389" i="1"/>
  <c r="K1389" i="1" s="1"/>
  <c r="J1390" i="1"/>
  <c r="K1390" i="1"/>
  <c r="J1391" i="1"/>
  <c r="K1391" i="1"/>
  <c r="J1392" i="1"/>
  <c r="K1392" i="1" s="1"/>
  <c r="J1393" i="1"/>
  <c r="K1393" i="1" s="1"/>
  <c r="J1394" i="1"/>
  <c r="K1394" i="1"/>
  <c r="J1395" i="1"/>
  <c r="K1395" i="1"/>
  <c r="J1396" i="1"/>
  <c r="K1396" i="1" s="1"/>
  <c r="J1397" i="1"/>
  <c r="K1397" i="1" s="1"/>
  <c r="J1398" i="1"/>
  <c r="K1398" i="1"/>
  <c r="J1399" i="1"/>
  <c r="K1399" i="1"/>
  <c r="J1400" i="1"/>
  <c r="K1400" i="1" s="1"/>
  <c r="J1401" i="1"/>
  <c r="K1401" i="1" s="1"/>
  <c r="J1402" i="1"/>
  <c r="K1402" i="1"/>
  <c r="J1403" i="1"/>
  <c r="K1403" i="1"/>
  <c r="J1404" i="1"/>
  <c r="K1404" i="1" s="1"/>
  <c r="J1405" i="1"/>
  <c r="K1405" i="1" s="1"/>
  <c r="J1406" i="1"/>
  <c r="K1406" i="1"/>
  <c r="J1407" i="1"/>
  <c r="K1407" i="1"/>
  <c r="J1408" i="1"/>
  <c r="K1408" i="1" s="1"/>
  <c r="J1409" i="1"/>
  <c r="K1409" i="1" s="1"/>
  <c r="J1410" i="1"/>
  <c r="K1410" i="1"/>
  <c r="J1411" i="1"/>
  <c r="K1411" i="1"/>
  <c r="J1412" i="1"/>
  <c r="K1412" i="1" s="1"/>
  <c r="J1413" i="1"/>
  <c r="K1413" i="1" s="1"/>
  <c r="J1414" i="1"/>
  <c r="K1414" i="1"/>
  <c r="J1415" i="1"/>
  <c r="K1415" i="1"/>
  <c r="J1416" i="1"/>
  <c r="K1416" i="1" s="1"/>
  <c r="J1417" i="1"/>
  <c r="K1417" i="1" s="1"/>
  <c r="J1418" i="1"/>
  <c r="K1418" i="1"/>
  <c r="J1419" i="1"/>
  <c r="K1419" i="1"/>
  <c r="J1420" i="1"/>
  <c r="K1420" i="1" s="1"/>
  <c r="J1421" i="1"/>
  <c r="K1421" i="1" s="1"/>
  <c r="J1422" i="1"/>
  <c r="K1422" i="1"/>
  <c r="J1423" i="1"/>
  <c r="K1423" i="1"/>
  <c r="J1424" i="1"/>
  <c r="K1424" i="1" s="1"/>
  <c r="J1425" i="1"/>
  <c r="K1425" i="1" s="1"/>
  <c r="J1426" i="1"/>
  <c r="K1426" i="1"/>
  <c r="J1427" i="1"/>
  <c r="K1427" i="1"/>
  <c r="J1428" i="1"/>
  <c r="K1428" i="1" s="1"/>
  <c r="J1429" i="1"/>
  <c r="K1429" i="1" s="1"/>
  <c r="J1430" i="1"/>
  <c r="K1430" i="1"/>
  <c r="J1431" i="1"/>
  <c r="K1431" i="1"/>
  <c r="J1432" i="1"/>
  <c r="K1432" i="1" s="1"/>
  <c r="J1433" i="1"/>
  <c r="K1433" i="1" s="1"/>
  <c r="J1434" i="1"/>
  <c r="K1434" i="1"/>
  <c r="J1435" i="1"/>
  <c r="K1435" i="1"/>
  <c r="J1436" i="1"/>
  <c r="K1436" i="1" s="1"/>
  <c r="J1437" i="1"/>
  <c r="K1437" i="1" s="1"/>
  <c r="J1438" i="1"/>
  <c r="K1438" i="1"/>
  <c r="J1439" i="1"/>
  <c r="K1439" i="1"/>
  <c r="J1440" i="1"/>
  <c r="K1440" i="1" s="1"/>
  <c r="J1441" i="1"/>
  <c r="K1441" i="1" s="1"/>
  <c r="J1442" i="1"/>
  <c r="K1442" i="1"/>
  <c r="J1443" i="1"/>
  <c r="K1443" i="1"/>
  <c r="J1444" i="1"/>
  <c r="K1444" i="1" s="1"/>
  <c r="J1445" i="1"/>
  <c r="K1445" i="1" s="1"/>
  <c r="J1446" i="1"/>
  <c r="K1446" i="1"/>
  <c r="J1447" i="1"/>
  <c r="K1447" i="1"/>
  <c r="J1448" i="1"/>
  <c r="K1448" i="1" s="1"/>
  <c r="J1449" i="1"/>
  <c r="K1449" i="1" s="1"/>
  <c r="J1450" i="1"/>
  <c r="K1450" i="1"/>
  <c r="J1451" i="1"/>
  <c r="K1451" i="1"/>
  <c r="J1452" i="1"/>
  <c r="K1452" i="1" s="1"/>
  <c r="J1453" i="1"/>
  <c r="K1453" i="1" s="1"/>
  <c r="J1454" i="1"/>
  <c r="K1454" i="1"/>
  <c r="J1455" i="1"/>
  <c r="K1455" i="1"/>
  <c r="J1456" i="1"/>
  <c r="K1456" i="1" s="1"/>
  <c r="J1457" i="1"/>
  <c r="K1457" i="1" s="1"/>
  <c r="J1458" i="1"/>
  <c r="K1458" i="1"/>
  <c r="J1459" i="1"/>
  <c r="K1459" i="1"/>
  <c r="J1460" i="1"/>
  <c r="K1460" i="1" s="1"/>
  <c r="J1461" i="1"/>
  <c r="K1461" i="1" s="1"/>
  <c r="J1462" i="1"/>
  <c r="K1462" i="1"/>
  <c r="J1463" i="1"/>
  <c r="K1463" i="1"/>
  <c r="J1464" i="1"/>
  <c r="K1464" i="1" s="1"/>
  <c r="J1465" i="1"/>
  <c r="K1465" i="1" s="1"/>
  <c r="J1466" i="1"/>
  <c r="K1466" i="1"/>
  <c r="J1467" i="1"/>
  <c r="K1467" i="1"/>
  <c r="J1468" i="1"/>
  <c r="K1468" i="1" s="1"/>
  <c r="J1469" i="1"/>
  <c r="K1469" i="1" s="1"/>
  <c r="J1470" i="1"/>
  <c r="K1470" i="1"/>
  <c r="J1471" i="1"/>
  <c r="K1471" i="1"/>
  <c r="J1472" i="1"/>
  <c r="K1472" i="1" s="1"/>
  <c r="J1473" i="1"/>
  <c r="K1473" i="1" s="1"/>
  <c r="J1474" i="1"/>
  <c r="K1474" i="1"/>
  <c r="J1475" i="1"/>
  <c r="K1475" i="1"/>
  <c r="J1476" i="1"/>
  <c r="K1476" i="1" s="1"/>
  <c r="J1477" i="1"/>
  <c r="K1477" i="1" s="1"/>
  <c r="J1478" i="1"/>
  <c r="K1478" i="1"/>
  <c r="J1479" i="1"/>
  <c r="K1479" i="1"/>
  <c r="J1480" i="1"/>
  <c r="K1480" i="1" s="1"/>
  <c r="J1481" i="1"/>
  <c r="K1481" i="1" s="1"/>
  <c r="J1482" i="1"/>
  <c r="K1482" i="1"/>
  <c r="J1483" i="1"/>
  <c r="K1483" i="1"/>
  <c r="J1484" i="1"/>
  <c r="K1484" i="1" s="1"/>
  <c r="J1485" i="1"/>
  <c r="K1485" i="1" s="1"/>
  <c r="J1486" i="1"/>
  <c r="K1486" i="1"/>
  <c r="J1487" i="1"/>
  <c r="K1487" i="1"/>
  <c r="J1488" i="1"/>
  <c r="K1488" i="1" s="1"/>
  <c r="J1489" i="1"/>
  <c r="K1489" i="1" s="1"/>
  <c r="J1490" i="1"/>
  <c r="K1490" i="1"/>
  <c r="J1491" i="1"/>
  <c r="K1491" i="1"/>
  <c r="J1492" i="1"/>
  <c r="K1492" i="1" s="1"/>
  <c r="J1493" i="1"/>
  <c r="K1493" i="1" s="1"/>
  <c r="J1494" i="1"/>
  <c r="K1494" i="1"/>
  <c r="J1495" i="1"/>
  <c r="K1495" i="1"/>
  <c r="J1496" i="1"/>
  <c r="K1496" i="1" s="1"/>
  <c r="J1497" i="1"/>
  <c r="K1497" i="1" s="1"/>
  <c r="J1498" i="1"/>
  <c r="K1498" i="1"/>
  <c r="J1499" i="1"/>
  <c r="K1499" i="1"/>
  <c r="J1500" i="1"/>
  <c r="K1500" i="1" s="1"/>
  <c r="J1501" i="1"/>
  <c r="K1501" i="1" s="1"/>
  <c r="J1502" i="1"/>
  <c r="K1502" i="1"/>
  <c r="J1503" i="1"/>
  <c r="K1503" i="1"/>
  <c r="J1504" i="1"/>
  <c r="K1504" i="1" s="1"/>
  <c r="J1505" i="1"/>
  <c r="K1505" i="1" s="1"/>
  <c r="J1506" i="1"/>
  <c r="K1506" i="1"/>
  <c r="J1507" i="1"/>
  <c r="K1507" i="1"/>
  <c r="J1508" i="1"/>
  <c r="K1508" i="1" s="1"/>
  <c r="J1509" i="1"/>
  <c r="K1509" i="1" s="1"/>
  <c r="J1510" i="1"/>
  <c r="K1510" i="1"/>
  <c r="J1511" i="1"/>
  <c r="K1511" i="1"/>
  <c r="J1512" i="1"/>
  <c r="K1512" i="1" s="1"/>
  <c r="J1513" i="1"/>
  <c r="K1513" i="1" s="1"/>
  <c r="J1514" i="1"/>
  <c r="K1514" i="1"/>
  <c r="J1515" i="1"/>
  <c r="K1515" i="1"/>
  <c r="J1516" i="1"/>
  <c r="K1516" i="1" s="1"/>
  <c r="J1517" i="1"/>
  <c r="K1517" i="1" s="1"/>
  <c r="J1518" i="1"/>
  <c r="K1518" i="1"/>
  <c r="J1519" i="1"/>
  <c r="K1519" i="1"/>
  <c r="J1520" i="1"/>
  <c r="K1520" i="1" s="1"/>
  <c r="J1521" i="1"/>
  <c r="K1521" i="1" s="1"/>
  <c r="J1522" i="1"/>
  <c r="K1522" i="1"/>
  <c r="J1523" i="1"/>
  <c r="K1523" i="1"/>
  <c r="J1524" i="1"/>
  <c r="K1524" i="1" s="1"/>
  <c r="J1525" i="1"/>
  <c r="K1525" i="1" s="1"/>
  <c r="J1526" i="1"/>
  <c r="K1526" i="1"/>
  <c r="J1527" i="1"/>
  <c r="K1527" i="1"/>
  <c r="J1528" i="1"/>
  <c r="K1528" i="1" s="1"/>
  <c r="J1529" i="1"/>
  <c r="K1529" i="1" s="1"/>
  <c r="J1530" i="1"/>
  <c r="K1530" i="1"/>
  <c r="J1531" i="1"/>
  <c r="K1531" i="1"/>
  <c r="J1532" i="1"/>
  <c r="K1532" i="1" s="1"/>
  <c r="J1533" i="1"/>
  <c r="K1533" i="1" s="1"/>
  <c r="J1534" i="1"/>
  <c r="K1534" i="1"/>
  <c r="J1535" i="1"/>
  <c r="K1535" i="1"/>
  <c r="J1536" i="1"/>
  <c r="K1536" i="1" s="1"/>
  <c r="J1537" i="1"/>
  <c r="K1537" i="1" s="1"/>
  <c r="J1538" i="1"/>
  <c r="K1538" i="1"/>
  <c r="J1539" i="1"/>
  <c r="K1539" i="1"/>
  <c r="J1540" i="1"/>
  <c r="K1540" i="1" s="1"/>
  <c r="J1541" i="1"/>
  <c r="K1541" i="1" s="1"/>
  <c r="J1542" i="1"/>
  <c r="K1542" i="1"/>
  <c r="J1543" i="1"/>
  <c r="K1543" i="1"/>
  <c r="J1544" i="1"/>
  <c r="K1544" i="1" s="1"/>
  <c r="J1545" i="1"/>
  <c r="K1545" i="1" s="1"/>
  <c r="J1546" i="1"/>
  <c r="K1546" i="1"/>
  <c r="J1547" i="1"/>
  <c r="K1547" i="1"/>
  <c r="J1548" i="1"/>
  <c r="K1548" i="1" s="1"/>
  <c r="J1549" i="1"/>
  <c r="K1549" i="1" s="1"/>
  <c r="J1550" i="1"/>
  <c r="K1550" i="1"/>
  <c r="J1551" i="1"/>
  <c r="K1551" i="1"/>
  <c r="J1552" i="1"/>
  <c r="K1552" i="1" s="1"/>
  <c r="J1553" i="1"/>
  <c r="K1553" i="1" s="1"/>
  <c r="J1554" i="1"/>
  <c r="K1554" i="1"/>
  <c r="J1555" i="1"/>
  <c r="K1555" i="1"/>
  <c r="J1556" i="1"/>
  <c r="K1556" i="1" s="1"/>
  <c r="J1557" i="1"/>
  <c r="K1557" i="1" s="1"/>
  <c r="J1558" i="1"/>
  <c r="K1558" i="1"/>
  <c r="J1559" i="1"/>
  <c r="K1559" i="1"/>
  <c r="J1560" i="1"/>
  <c r="K1560" i="1" s="1"/>
  <c r="J1561" i="1"/>
  <c r="K1561" i="1" s="1"/>
  <c r="J1562" i="1"/>
  <c r="K1562" i="1"/>
  <c r="J1563" i="1"/>
  <c r="K1563" i="1"/>
  <c r="J1564" i="1"/>
  <c r="K1564" i="1" s="1"/>
  <c r="J1565" i="1"/>
  <c r="K1565" i="1" s="1"/>
  <c r="J1566" i="1"/>
  <c r="K1566" i="1"/>
  <c r="J1567" i="1"/>
  <c r="K1567" i="1"/>
  <c r="J1568" i="1"/>
  <c r="K1568" i="1" s="1"/>
  <c r="J1569" i="1"/>
  <c r="K1569" i="1" s="1"/>
  <c r="J1570" i="1"/>
  <c r="K1570" i="1"/>
  <c r="J1571" i="1"/>
  <c r="K1571" i="1"/>
  <c r="J1572" i="1"/>
  <c r="K1572" i="1" s="1"/>
  <c r="J1573" i="1"/>
  <c r="K1573" i="1" s="1"/>
  <c r="J1574" i="1"/>
  <c r="K1574" i="1"/>
  <c r="J1575" i="1"/>
  <c r="K1575" i="1"/>
  <c r="J1576" i="1"/>
  <c r="K1576" i="1" s="1"/>
  <c r="J1577" i="1"/>
  <c r="K1577" i="1" s="1"/>
  <c r="J1578" i="1"/>
  <c r="K1578" i="1"/>
  <c r="J1579" i="1"/>
  <c r="K1579" i="1"/>
  <c r="J1580" i="1"/>
  <c r="K1580" i="1" s="1"/>
  <c r="J1581" i="1"/>
  <c r="K1581" i="1" s="1"/>
  <c r="J1582" i="1"/>
  <c r="K1582" i="1"/>
  <c r="J1583" i="1"/>
  <c r="K1583" i="1"/>
  <c r="J1584" i="1"/>
  <c r="K1584" i="1" s="1"/>
  <c r="J1585" i="1"/>
  <c r="K1585" i="1" s="1"/>
  <c r="J1586" i="1"/>
  <c r="K1586" i="1"/>
  <c r="J1587" i="1"/>
  <c r="K1587" i="1"/>
  <c r="J1588" i="1"/>
  <c r="K1588" i="1" s="1"/>
  <c r="J1589" i="1"/>
  <c r="K1589" i="1" s="1"/>
  <c r="J1590" i="1"/>
  <c r="K1590" i="1"/>
  <c r="J1591" i="1"/>
  <c r="K1591" i="1"/>
  <c r="J1592" i="1"/>
  <c r="K1592" i="1" s="1"/>
  <c r="J1593" i="1"/>
  <c r="K1593" i="1" s="1"/>
  <c r="J1594" i="1"/>
  <c r="K1594" i="1"/>
  <c r="J1595" i="1"/>
  <c r="K1595" i="1"/>
  <c r="J1596" i="1"/>
  <c r="K1596" i="1" s="1"/>
  <c r="J1597" i="1"/>
  <c r="K1597" i="1"/>
  <c r="J1598" i="1"/>
  <c r="K1598" i="1"/>
  <c r="J1599" i="1"/>
  <c r="K1599" i="1"/>
  <c r="J1600" i="1"/>
  <c r="K1600" i="1" s="1"/>
  <c r="J1601" i="1"/>
  <c r="K1601" i="1" s="1"/>
  <c r="J1602" i="1"/>
  <c r="K1602" i="1"/>
  <c r="J1603" i="1"/>
  <c r="K1603" i="1"/>
  <c r="J1604" i="1"/>
  <c r="K1604" i="1" s="1"/>
  <c r="J1605" i="1"/>
  <c r="K1605" i="1"/>
  <c r="J1606" i="1"/>
  <c r="K1606" i="1"/>
  <c r="J1607" i="1"/>
  <c r="K1607" i="1"/>
  <c r="J1608" i="1"/>
  <c r="K1608" i="1" s="1"/>
  <c r="J1609" i="1"/>
  <c r="K1609" i="1"/>
  <c r="J1610" i="1"/>
  <c r="K1610" i="1"/>
  <c r="J1611" i="1"/>
  <c r="K1611" i="1"/>
  <c r="J1612" i="1"/>
  <c r="K1612" i="1" s="1"/>
  <c r="J1613" i="1"/>
  <c r="K1613" i="1" s="1"/>
  <c r="J1614" i="1"/>
  <c r="K1614" i="1"/>
  <c r="J1615" i="1"/>
  <c r="K1615" i="1"/>
  <c r="J1616" i="1"/>
  <c r="K1616" i="1" s="1"/>
  <c r="J1617" i="1"/>
  <c r="K1617" i="1"/>
  <c r="J1618" i="1"/>
  <c r="K1618" i="1"/>
  <c r="J1619" i="1"/>
  <c r="K1619" i="1"/>
  <c r="J1620" i="1"/>
  <c r="K1620" i="1" s="1"/>
  <c r="J1621" i="1"/>
  <c r="K1621" i="1" s="1"/>
  <c r="J1622" i="1"/>
  <c r="K1622" i="1"/>
  <c r="J1623" i="1"/>
  <c r="K1623" i="1"/>
  <c r="J1624" i="1"/>
  <c r="K1624" i="1" s="1"/>
  <c r="J1625" i="1"/>
  <c r="K1625" i="1"/>
  <c r="J1626" i="1"/>
  <c r="K1626" i="1"/>
  <c r="J1627" i="1"/>
  <c r="K1627" i="1"/>
  <c r="J1628" i="1"/>
  <c r="K1628" i="1" s="1"/>
  <c r="J1629" i="1"/>
  <c r="K1629" i="1"/>
  <c r="J1630" i="1"/>
  <c r="K1630" i="1"/>
  <c r="J1631" i="1"/>
  <c r="K1631" i="1"/>
  <c r="J1632" i="1"/>
  <c r="K1632" i="1" s="1"/>
  <c r="J1633" i="1"/>
  <c r="K1633" i="1" s="1"/>
  <c r="J1634" i="1"/>
  <c r="K1634" i="1"/>
  <c r="J1635" i="1"/>
  <c r="K1635" i="1"/>
  <c r="J1636" i="1"/>
  <c r="K1636" i="1" s="1"/>
  <c r="J1637" i="1"/>
  <c r="K1637" i="1"/>
  <c r="J1638" i="1"/>
  <c r="K1638" i="1"/>
  <c r="J1639" i="1"/>
  <c r="K1639" i="1"/>
  <c r="J1640" i="1"/>
  <c r="K1640" i="1" s="1"/>
  <c r="J1641" i="1"/>
  <c r="K1641" i="1" s="1"/>
  <c r="J1642" i="1"/>
  <c r="K1642" i="1"/>
  <c r="J1643" i="1"/>
  <c r="K1643" i="1"/>
  <c r="J1644" i="1"/>
  <c r="K1644" i="1" s="1"/>
  <c r="J1645" i="1"/>
  <c r="K1645" i="1" s="1"/>
  <c r="J1646" i="1"/>
  <c r="K1646" i="1"/>
  <c r="J1647" i="1"/>
  <c r="K1647" i="1"/>
  <c r="J1648" i="1"/>
  <c r="K1648" i="1" s="1"/>
  <c r="J1649" i="1"/>
  <c r="K1649" i="1"/>
  <c r="J1650" i="1"/>
  <c r="K1650" i="1"/>
  <c r="J1651" i="1"/>
  <c r="K1651" i="1"/>
  <c r="J1652" i="1"/>
  <c r="K1652" i="1"/>
  <c r="J1653" i="1"/>
  <c r="K1653" i="1"/>
  <c r="J1654" i="1"/>
  <c r="K1654" i="1"/>
  <c r="J1655" i="1"/>
  <c r="K1655" i="1"/>
  <c r="J1656" i="1"/>
  <c r="K1656" i="1"/>
  <c r="J1657" i="1"/>
  <c r="K1657" i="1"/>
  <c r="J1658" i="1"/>
  <c r="K1658" i="1"/>
  <c r="J1659" i="1"/>
  <c r="K1659" i="1"/>
  <c r="J1660" i="1"/>
  <c r="K1660" i="1"/>
  <c r="J1661" i="1"/>
  <c r="K1661" i="1"/>
  <c r="J1662" i="1"/>
  <c r="K1662" i="1"/>
  <c r="J1663" i="1"/>
  <c r="K1663" i="1"/>
  <c r="J1664" i="1"/>
  <c r="K1664" i="1"/>
  <c r="J1665" i="1"/>
  <c r="K1665" i="1"/>
  <c r="J1666" i="1"/>
  <c r="K1666" i="1"/>
  <c r="J1667" i="1"/>
  <c r="K1667" i="1"/>
  <c r="J1668" i="1"/>
  <c r="K1668" i="1"/>
  <c r="J1669" i="1"/>
  <c r="K1669" i="1"/>
  <c r="J1670" i="1"/>
  <c r="K1670" i="1"/>
  <c r="J1671" i="1"/>
  <c r="K1671" i="1"/>
  <c r="J1672" i="1"/>
  <c r="K1672" i="1"/>
  <c r="J1673" i="1"/>
  <c r="K1673" i="1"/>
  <c r="J1674" i="1"/>
  <c r="K1674" i="1"/>
  <c r="J1675" i="1"/>
  <c r="K1675" i="1"/>
  <c r="J1676" i="1"/>
  <c r="K1676" i="1"/>
  <c r="J1677" i="1"/>
  <c r="K1677" i="1"/>
  <c r="J1678" i="1"/>
  <c r="K1678" i="1"/>
  <c r="J1679" i="1"/>
  <c r="K1679" i="1"/>
  <c r="J1680" i="1"/>
  <c r="K1680" i="1"/>
  <c r="J1681" i="1"/>
  <c r="K1681" i="1"/>
  <c r="J1682" i="1"/>
  <c r="K1682" i="1" s="1"/>
  <c r="J1683" i="1"/>
  <c r="K1683" i="1"/>
  <c r="J1684" i="1"/>
  <c r="K1684" i="1"/>
  <c r="J1685" i="1"/>
  <c r="K1685" i="1"/>
  <c r="J1686" i="1"/>
  <c r="K1686" i="1" s="1"/>
  <c r="J1687" i="1"/>
  <c r="K1687" i="1"/>
  <c r="J1688" i="1"/>
  <c r="K1688" i="1"/>
  <c r="J1689" i="1"/>
  <c r="K1689" i="1"/>
  <c r="J1690" i="1"/>
  <c r="K1690" i="1" s="1"/>
  <c r="J1691" i="1"/>
  <c r="K1691" i="1"/>
  <c r="J1692" i="1"/>
  <c r="K1692" i="1"/>
  <c r="J1693" i="1"/>
  <c r="K1693" i="1"/>
  <c r="J1694" i="1"/>
  <c r="K1694" i="1" s="1"/>
  <c r="J1695" i="1"/>
  <c r="K1695" i="1"/>
  <c r="J1696" i="1"/>
  <c r="K1696" i="1"/>
  <c r="J1697" i="1"/>
  <c r="K1697" i="1"/>
  <c r="J1698" i="1"/>
  <c r="K1698" i="1" s="1"/>
  <c r="J1699" i="1"/>
  <c r="K1699" i="1"/>
  <c r="J1700" i="1"/>
  <c r="K1700" i="1"/>
  <c r="J1701" i="1"/>
  <c r="K1701" i="1"/>
  <c r="J1702" i="1"/>
  <c r="K1702" i="1" s="1"/>
  <c r="J1703" i="1"/>
  <c r="K1703" i="1"/>
  <c r="J1704" i="1"/>
  <c r="K1704" i="1" s="1"/>
  <c r="J1705" i="1"/>
  <c r="K1705" i="1"/>
  <c r="J1706" i="1"/>
  <c r="K1706" i="1" s="1"/>
  <c r="J1707" i="1"/>
  <c r="K1707" i="1"/>
  <c r="J1708" i="1"/>
  <c r="K1708" i="1"/>
  <c r="J1709" i="1"/>
  <c r="K1709" i="1"/>
  <c r="J1710" i="1"/>
  <c r="K1710" i="1" s="1"/>
  <c r="J1711" i="1"/>
  <c r="K1711" i="1"/>
  <c r="J1712" i="1"/>
  <c r="K1712" i="1"/>
  <c r="J1713" i="1"/>
  <c r="K1713" i="1"/>
  <c r="J1714" i="1"/>
  <c r="K1714" i="1" s="1"/>
  <c r="J1715" i="1"/>
  <c r="K1715" i="1"/>
  <c r="J1716" i="1"/>
  <c r="K1716" i="1"/>
  <c r="J1717" i="1"/>
  <c r="K1717" i="1"/>
  <c r="J1718" i="1"/>
  <c r="K1718" i="1" s="1"/>
  <c r="J1719" i="1"/>
  <c r="K1719" i="1"/>
  <c r="J1720" i="1"/>
  <c r="K1720" i="1"/>
  <c r="J1721" i="1"/>
  <c r="K1721" i="1"/>
  <c r="J1722" i="1"/>
  <c r="K1722" i="1" s="1"/>
  <c r="J1723" i="1"/>
  <c r="K1723" i="1"/>
  <c r="J1724" i="1"/>
  <c r="K1724" i="1"/>
  <c r="J1725" i="1"/>
  <c r="K1725" i="1"/>
  <c r="J1726" i="1"/>
  <c r="K1726" i="1" s="1"/>
  <c r="J1727" i="1"/>
  <c r="K1727" i="1"/>
  <c r="J1728" i="1"/>
  <c r="K1728" i="1"/>
  <c r="J1729" i="1"/>
  <c r="K1729" i="1"/>
  <c r="J1730" i="1"/>
  <c r="K1730" i="1" s="1"/>
  <c r="J1731" i="1"/>
  <c r="K1731" i="1"/>
  <c r="J1732" i="1"/>
  <c r="K1732" i="1"/>
  <c r="J1733" i="1"/>
  <c r="K1733" i="1"/>
  <c r="J1734" i="1"/>
  <c r="K1734" i="1" s="1"/>
  <c r="J1735" i="1"/>
  <c r="K1735" i="1"/>
  <c r="J1736" i="1"/>
  <c r="K1736" i="1"/>
  <c r="J1737" i="1"/>
  <c r="K1737" i="1"/>
  <c r="J1738" i="1"/>
  <c r="K1738" i="1" s="1"/>
  <c r="J1739" i="1"/>
  <c r="K1739" i="1"/>
  <c r="J1740" i="1"/>
  <c r="K1740" i="1"/>
  <c r="J1741" i="1"/>
  <c r="K1741" i="1"/>
  <c r="J1742" i="1"/>
  <c r="K1742" i="1" s="1"/>
  <c r="J1743" i="1"/>
  <c r="K1743" i="1"/>
  <c r="J1744" i="1"/>
  <c r="K1744" i="1"/>
  <c r="J1745" i="1"/>
  <c r="K1745" i="1"/>
  <c r="J1746" i="1"/>
  <c r="K1746" i="1" s="1"/>
  <c r="J1747" i="1"/>
  <c r="K1747" i="1"/>
  <c r="J1748" i="1"/>
  <c r="K1748" i="1"/>
  <c r="J1749" i="1"/>
  <c r="K1749" i="1"/>
  <c r="J1750" i="1"/>
  <c r="K1750" i="1" s="1"/>
  <c r="J1751" i="1"/>
  <c r="K1751" i="1"/>
  <c r="J1752" i="1"/>
  <c r="K1752" i="1"/>
  <c r="J1753" i="1"/>
  <c r="K1753" i="1"/>
  <c r="J1754" i="1"/>
  <c r="K1754" i="1" s="1"/>
  <c r="J1755" i="1"/>
  <c r="K1755" i="1"/>
  <c r="J1756" i="1"/>
  <c r="K1756" i="1"/>
  <c r="J1757" i="1"/>
  <c r="K1757" i="1"/>
  <c r="J1758" i="1"/>
  <c r="K1758" i="1" s="1"/>
  <c r="J1759" i="1"/>
  <c r="K1759" i="1"/>
  <c r="J1760" i="1"/>
  <c r="K1760" i="1"/>
  <c r="J1761" i="1"/>
  <c r="K1761" i="1"/>
  <c r="J1762" i="1"/>
  <c r="K1762" i="1" s="1"/>
  <c r="J1763" i="1"/>
  <c r="K1763" i="1"/>
  <c r="J1764" i="1"/>
  <c r="K1764" i="1"/>
  <c r="J1765" i="1"/>
  <c r="K1765" i="1"/>
  <c r="J1766" i="1"/>
  <c r="K1766" i="1" s="1"/>
  <c r="J1767" i="1"/>
  <c r="K1767" i="1"/>
  <c r="J1768" i="1"/>
  <c r="K1768" i="1"/>
  <c r="J1769" i="1"/>
  <c r="K1769" i="1"/>
  <c r="J1770" i="1"/>
  <c r="K1770" i="1" s="1"/>
  <c r="J1771" i="1"/>
  <c r="K1771" i="1"/>
  <c r="J1772" i="1"/>
  <c r="K1772" i="1" s="1"/>
  <c r="J1773" i="1"/>
  <c r="K1773" i="1"/>
  <c r="J1774" i="1"/>
  <c r="K1774" i="1" s="1"/>
  <c r="J1775" i="1"/>
  <c r="K1775" i="1"/>
  <c r="J1776" i="1"/>
  <c r="K1776" i="1"/>
  <c r="J1777" i="1"/>
  <c r="K1777" i="1"/>
  <c r="J1778" i="1"/>
  <c r="K1778" i="1" s="1"/>
  <c r="J1779" i="1"/>
  <c r="K1779" i="1"/>
  <c r="J1780" i="1"/>
  <c r="K1780" i="1" s="1"/>
  <c r="J1781" i="1"/>
  <c r="K1781" i="1"/>
  <c r="J1782" i="1"/>
  <c r="K1782" i="1" s="1"/>
  <c r="J1783" i="1"/>
  <c r="K1783" i="1"/>
  <c r="J1784" i="1"/>
  <c r="K1784" i="1" s="1"/>
  <c r="J1785" i="1"/>
  <c r="K1785" i="1"/>
  <c r="J1786" i="1"/>
  <c r="K1786" i="1" s="1"/>
  <c r="J1787" i="1"/>
  <c r="K1787" i="1"/>
  <c r="J1788" i="1"/>
  <c r="K1788" i="1" s="1"/>
  <c r="J1789" i="1"/>
  <c r="K1789" i="1"/>
  <c r="J1790" i="1"/>
  <c r="K1790" i="1" s="1"/>
  <c r="J1791" i="1"/>
  <c r="K1791" i="1"/>
  <c r="J1792" i="1"/>
  <c r="K1792" i="1"/>
  <c r="J1793" i="1"/>
  <c r="K1793" i="1"/>
  <c r="J1794" i="1"/>
  <c r="K1794" i="1" s="1"/>
  <c r="J1795" i="1"/>
  <c r="K1795" i="1"/>
  <c r="J1796" i="1"/>
  <c r="K1796" i="1"/>
  <c r="J1797" i="1"/>
  <c r="K1797" i="1"/>
  <c r="J1798" i="1"/>
  <c r="K1798" i="1" s="1"/>
  <c r="J1799" i="1"/>
  <c r="K1799" i="1"/>
  <c r="J1800" i="1"/>
  <c r="K1800" i="1" s="1"/>
  <c r="J1801" i="1"/>
  <c r="K1801" i="1"/>
  <c r="J1802" i="1"/>
  <c r="K1802" i="1" s="1"/>
  <c r="J1803" i="1"/>
  <c r="K1803" i="1"/>
  <c r="J1804" i="1"/>
  <c r="K1804" i="1"/>
  <c r="J1805" i="1"/>
  <c r="K1805" i="1"/>
  <c r="J1806" i="1"/>
  <c r="K1806" i="1" s="1"/>
  <c r="J1807" i="1"/>
  <c r="K1807" i="1"/>
  <c r="J1808" i="1"/>
  <c r="K1808" i="1"/>
  <c r="J1809" i="1"/>
  <c r="K1809" i="1"/>
  <c r="J1810" i="1"/>
  <c r="K1810" i="1" s="1"/>
  <c r="J1811" i="1"/>
  <c r="K1811" i="1"/>
  <c r="J1812" i="1"/>
  <c r="K1812" i="1" s="1"/>
  <c r="J1813" i="1"/>
  <c r="K1813" i="1"/>
  <c r="J1814" i="1"/>
  <c r="K1814" i="1" s="1"/>
  <c r="J1815" i="1"/>
  <c r="K1815" i="1"/>
  <c r="J1816" i="1"/>
  <c r="K1816" i="1" s="1"/>
  <c r="J1817" i="1"/>
  <c r="K1817" i="1"/>
  <c r="J1818" i="1"/>
  <c r="K1818" i="1" s="1"/>
  <c r="J1819" i="1"/>
  <c r="K1819" i="1"/>
  <c r="J1820" i="1"/>
  <c r="K1820" i="1" s="1"/>
  <c r="J1821" i="1"/>
  <c r="K1821" i="1"/>
  <c r="J1822" i="1"/>
  <c r="K1822" i="1" s="1"/>
  <c r="J1823" i="1"/>
  <c r="K1823" i="1"/>
  <c r="J1824" i="1"/>
  <c r="K1824" i="1"/>
  <c r="J1825" i="1"/>
  <c r="K1825" i="1"/>
  <c r="J1826" i="1"/>
  <c r="K1826" i="1" s="1"/>
  <c r="J1827" i="1"/>
  <c r="K1827" i="1"/>
  <c r="J1828" i="1"/>
  <c r="K1828" i="1"/>
  <c r="J1829" i="1"/>
  <c r="K1829" i="1"/>
  <c r="J1830" i="1"/>
  <c r="K1830" i="1" s="1"/>
  <c r="J1831" i="1"/>
  <c r="K1831" i="1"/>
  <c r="J1832" i="1"/>
  <c r="K1832" i="1" s="1"/>
  <c r="J1833" i="1"/>
  <c r="K1833" i="1"/>
  <c r="J1834" i="1"/>
  <c r="K1834" i="1" s="1"/>
  <c r="J1835" i="1"/>
  <c r="K1835" i="1"/>
  <c r="J1836" i="1"/>
  <c r="K1836" i="1" s="1"/>
  <c r="J1837" i="1"/>
  <c r="K1837" i="1"/>
  <c r="J1838" i="1"/>
  <c r="K1838" i="1" s="1"/>
  <c r="J1839" i="1"/>
  <c r="K1839" i="1" s="1"/>
  <c r="J1840" i="1"/>
  <c r="K1840" i="1" s="1"/>
  <c r="J1841" i="1"/>
  <c r="K1841" i="1"/>
  <c r="J1842" i="1"/>
  <c r="K1842" i="1" s="1"/>
  <c r="J1843" i="1"/>
  <c r="K1843" i="1" s="1"/>
  <c r="J1844" i="1"/>
  <c r="K1844" i="1" s="1"/>
  <c r="J1845" i="1"/>
  <c r="K1845" i="1"/>
  <c r="J1846" i="1"/>
  <c r="K1846" i="1" s="1"/>
  <c r="J1847" i="1"/>
  <c r="K1847" i="1" s="1"/>
  <c r="J1848" i="1"/>
  <c r="K1848" i="1"/>
  <c r="J1849" i="1"/>
  <c r="K1849" i="1"/>
  <c r="J1850" i="1"/>
  <c r="K1850" i="1" s="1"/>
  <c r="J1851" i="1"/>
  <c r="K1851" i="1" s="1"/>
  <c r="J1852" i="1"/>
  <c r="K1852" i="1" s="1"/>
  <c r="J1853" i="1"/>
  <c r="K1853" i="1"/>
  <c r="J1854" i="1"/>
  <c r="K1854" i="1" s="1"/>
  <c r="J1855" i="1"/>
  <c r="K1855" i="1" s="1"/>
  <c r="J1856" i="1"/>
  <c r="K1856" i="1"/>
  <c r="J1857" i="1"/>
  <c r="K1857" i="1"/>
  <c r="J1858" i="1"/>
  <c r="K1858" i="1" s="1"/>
  <c r="J1859" i="1"/>
  <c r="K1859" i="1" s="1"/>
  <c r="J1860" i="1"/>
  <c r="K1860" i="1" s="1"/>
  <c r="J1861" i="1"/>
  <c r="K1861" i="1"/>
  <c r="J1862" i="1"/>
  <c r="K1862" i="1" s="1"/>
  <c r="J1863" i="1"/>
  <c r="K1863" i="1" s="1"/>
  <c r="J1864" i="1"/>
  <c r="K1864" i="1"/>
  <c r="J1865" i="1"/>
  <c r="K1865" i="1"/>
  <c r="J1866" i="1"/>
  <c r="K1866" i="1" s="1"/>
  <c r="J1867" i="1"/>
  <c r="K1867" i="1" s="1"/>
  <c r="J1868" i="1"/>
  <c r="K1868" i="1" s="1"/>
  <c r="J1869" i="1"/>
  <c r="K1869" i="1"/>
  <c r="J1870" i="1"/>
  <c r="K1870" i="1" s="1"/>
  <c r="J1871" i="1"/>
  <c r="K1871" i="1" s="1"/>
  <c r="J1872" i="1"/>
  <c r="K1872" i="1"/>
  <c r="J1873" i="1"/>
  <c r="K1873" i="1"/>
  <c r="J1874" i="1"/>
  <c r="K1874" i="1" s="1"/>
  <c r="J1875" i="1"/>
  <c r="K1875" i="1" s="1"/>
  <c r="J1876" i="1"/>
  <c r="K1876" i="1" s="1"/>
  <c r="J1877" i="1"/>
  <c r="K1877" i="1"/>
  <c r="J1878" i="1"/>
  <c r="K1878" i="1" s="1"/>
  <c r="J1879" i="1"/>
  <c r="K1879" i="1" s="1"/>
  <c r="J1880" i="1"/>
  <c r="K1880" i="1"/>
  <c r="J1881" i="1"/>
  <c r="K1881" i="1"/>
  <c r="J1882" i="1"/>
  <c r="K1882" i="1" s="1"/>
  <c r="J1883" i="1"/>
  <c r="K1883" i="1" s="1"/>
  <c r="J1884" i="1"/>
  <c r="K1884" i="1" s="1"/>
  <c r="J1885" i="1"/>
  <c r="K1885" i="1"/>
  <c r="J1886" i="1"/>
  <c r="K1886" i="1" s="1"/>
  <c r="J1887" i="1"/>
  <c r="K1887" i="1" s="1"/>
  <c r="J1888" i="1"/>
  <c r="K1888" i="1"/>
  <c r="J1889" i="1"/>
  <c r="K1889" i="1"/>
  <c r="J1890" i="1"/>
  <c r="K1890" i="1" s="1"/>
  <c r="J1891" i="1"/>
  <c r="K1891" i="1" s="1"/>
  <c r="J1892" i="1"/>
  <c r="K1892" i="1" s="1"/>
  <c r="J1893" i="1"/>
  <c r="K1893" i="1"/>
  <c r="J1894" i="1"/>
  <c r="K1894" i="1" s="1"/>
  <c r="J1895" i="1"/>
  <c r="K1895" i="1" s="1"/>
  <c r="J1896" i="1"/>
  <c r="K1896" i="1"/>
  <c r="J1897" i="1"/>
  <c r="K1897" i="1"/>
  <c r="J1898" i="1"/>
  <c r="K1898" i="1" s="1"/>
  <c r="J1899" i="1"/>
  <c r="K1899" i="1" s="1"/>
  <c r="J1900" i="1"/>
  <c r="K1900" i="1" s="1"/>
  <c r="J1901" i="1"/>
  <c r="K1901" i="1"/>
  <c r="J1902" i="1"/>
  <c r="K1902" i="1" s="1"/>
  <c r="J1903" i="1"/>
  <c r="K1903" i="1" s="1"/>
  <c r="J1904" i="1"/>
  <c r="K1904" i="1"/>
  <c r="J1905" i="1"/>
  <c r="K1905" i="1"/>
  <c r="J1906" i="1"/>
  <c r="K1906" i="1" s="1"/>
  <c r="J1907" i="1"/>
  <c r="K1907" i="1" s="1"/>
  <c r="J1908" i="1"/>
  <c r="K1908" i="1" s="1"/>
  <c r="J1909" i="1"/>
  <c r="K1909" i="1"/>
  <c r="J1910" i="1"/>
  <c r="K1910" i="1" s="1"/>
  <c r="J1911" i="1"/>
  <c r="K1911" i="1" s="1"/>
  <c r="J1912" i="1"/>
  <c r="K1912" i="1"/>
  <c r="J1913" i="1"/>
  <c r="K1913" i="1"/>
  <c r="J1914" i="1"/>
  <c r="K1914" i="1" s="1"/>
  <c r="J1915" i="1"/>
  <c r="K1915" i="1" s="1"/>
  <c r="J1916" i="1"/>
  <c r="K1916" i="1" s="1"/>
  <c r="J1917" i="1"/>
  <c r="K1917" i="1"/>
  <c r="J1918" i="1"/>
  <c r="K1918" i="1" s="1"/>
  <c r="J1919" i="1"/>
  <c r="K1919" i="1" s="1"/>
  <c r="J1920" i="1"/>
  <c r="K1920" i="1"/>
  <c r="J1921" i="1"/>
  <c r="K1921" i="1"/>
  <c r="J1922" i="1"/>
  <c r="K1922" i="1" s="1"/>
  <c r="J1923" i="1"/>
  <c r="K1923" i="1" s="1"/>
  <c r="J1924" i="1"/>
  <c r="K1924" i="1" s="1"/>
  <c r="J1925" i="1"/>
  <c r="K1925" i="1"/>
  <c r="J1926" i="1"/>
  <c r="K1926" i="1" s="1"/>
  <c r="J1927" i="1"/>
  <c r="K1927" i="1" s="1"/>
  <c r="J1928" i="1"/>
  <c r="K1928" i="1"/>
  <c r="J1929" i="1"/>
  <c r="K1929" i="1"/>
  <c r="J1930" i="1"/>
  <c r="K1930" i="1" s="1"/>
  <c r="J1931" i="1"/>
  <c r="K1931" i="1" s="1"/>
  <c r="J1932" i="1"/>
  <c r="K1932" i="1" s="1"/>
  <c r="J1933" i="1"/>
  <c r="K1933" i="1"/>
  <c r="J1934" i="1"/>
  <c r="K1934" i="1" s="1"/>
  <c r="J1935" i="1"/>
  <c r="K1935" i="1" s="1"/>
  <c r="J1936" i="1"/>
  <c r="K1936" i="1"/>
  <c r="J1937" i="1"/>
  <c r="K1937" i="1"/>
  <c r="J1938" i="1"/>
  <c r="K1938" i="1" s="1"/>
  <c r="J1939" i="1"/>
  <c r="K1939" i="1" s="1"/>
  <c r="J1940" i="1"/>
  <c r="K1940" i="1" s="1"/>
  <c r="J1941" i="1"/>
  <c r="K1941" i="1"/>
  <c r="J1942" i="1"/>
  <c r="K1942" i="1" s="1"/>
  <c r="J1943" i="1"/>
  <c r="K1943" i="1" s="1"/>
  <c r="J1944" i="1"/>
  <c r="K1944" i="1"/>
  <c r="J1945" i="1"/>
  <c r="K1945" i="1"/>
  <c r="J1946" i="1"/>
  <c r="K1946" i="1" s="1"/>
  <c r="J1947" i="1"/>
  <c r="K1947" i="1" s="1"/>
  <c r="J1948" i="1"/>
  <c r="K1948" i="1"/>
  <c r="J1949" i="1"/>
  <c r="K1949" i="1"/>
  <c r="J1950" i="1"/>
  <c r="K1950" i="1" s="1"/>
  <c r="J1951" i="1"/>
  <c r="K1951" i="1" s="1"/>
  <c r="J1952" i="1"/>
  <c r="K1952" i="1"/>
  <c r="J1953" i="1"/>
  <c r="K1953" i="1"/>
  <c r="J1954" i="1"/>
  <c r="K1954" i="1" s="1"/>
  <c r="J1955" i="1"/>
  <c r="K1955" i="1" s="1"/>
  <c r="J1956" i="1"/>
  <c r="K1956" i="1" s="1"/>
  <c r="J1957" i="1"/>
  <c r="K1957" i="1"/>
  <c r="J1958" i="1"/>
  <c r="K1958" i="1" s="1"/>
  <c r="J1959" i="1"/>
  <c r="K1959" i="1" s="1"/>
  <c r="J1960" i="1"/>
  <c r="K1960" i="1"/>
  <c r="J1961" i="1"/>
  <c r="K1961" i="1"/>
  <c r="J1962" i="1"/>
  <c r="K1962" i="1" s="1"/>
  <c r="J1963" i="1"/>
  <c r="K1963" i="1" s="1"/>
  <c r="J1964" i="1"/>
  <c r="K1964" i="1"/>
  <c r="J1965" i="1"/>
  <c r="K1965" i="1"/>
  <c r="J1966" i="1"/>
  <c r="K1966" i="1" s="1"/>
  <c r="J1967" i="1"/>
  <c r="K1967" i="1" s="1"/>
  <c r="J1968" i="1"/>
  <c r="K1968" i="1"/>
  <c r="J1969" i="1"/>
  <c r="K1969" i="1"/>
  <c r="J1970" i="1"/>
  <c r="K1970" i="1" s="1"/>
  <c r="J1971" i="1"/>
  <c r="K1971" i="1" s="1"/>
  <c r="J1972" i="1"/>
  <c r="K1972" i="1" s="1"/>
  <c r="J1973" i="1"/>
  <c r="K1973" i="1"/>
  <c r="J1974" i="1"/>
  <c r="K1974" i="1" s="1"/>
  <c r="J1975" i="1"/>
  <c r="K1975" i="1" s="1"/>
  <c r="J1976" i="1"/>
  <c r="K1976" i="1"/>
  <c r="J1977" i="1"/>
  <c r="K1977" i="1"/>
  <c r="J1978" i="1"/>
  <c r="K1978" i="1" s="1"/>
  <c r="J1979" i="1"/>
  <c r="K1979" i="1" s="1"/>
  <c r="J1980" i="1"/>
  <c r="K1980" i="1"/>
  <c r="J1981" i="1"/>
  <c r="K1981" i="1"/>
  <c r="J1982" i="1"/>
  <c r="K1982" i="1" s="1"/>
  <c r="J1983" i="1"/>
  <c r="K1983" i="1" s="1"/>
  <c r="J1984" i="1"/>
  <c r="K1984" i="1"/>
  <c r="J1985" i="1"/>
  <c r="K1985" i="1"/>
  <c r="J1986" i="1"/>
  <c r="K1986" i="1" s="1"/>
  <c r="J1987" i="1"/>
  <c r="K1987" i="1" s="1"/>
  <c r="J1988" i="1"/>
  <c r="K1988" i="1" s="1"/>
  <c r="J1989" i="1"/>
  <c r="K1989" i="1"/>
  <c r="J1990" i="1"/>
  <c r="K1990" i="1" s="1"/>
  <c r="J1991" i="1"/>
  <c r="K1991" i="1" s="1"/>
  <c r="J1992" i="1"/>
  <c r="K1992" i="1"/>
  <c r="J1993" i="1"/>
  <c r="K1993" i="1"/>
  <c r="J1994" i="1"/>
  <c r="K1994" i="1" s="1"/>
  <c r="J1995" i="1"/>
  <c r="K1995" i="1" s="1"/>
  <c r="J1996" i="1"/>
  <c r="K1996" i="1"/>
  <c r="J1997" i="1"/>
  <c r="K1997" i="1"/>
  <c r="J1998" i="1"/>
  <c r="K1998" i="1" s="1"/>
  <c r="J1999" i="1"/>
  <c r="K1999" i="1" s="1"/>
  <c r="J2000" i="1"/>
  <c r="K2000" i="1"/>
  <c r="J2001" i="1"/>
  <c r="K2001" i="1"/>
  <c r="J2002" i="1"/>
  <c r="K2002" i="1" s="1"/>
  <c r="J2003" i="1"/>
  <c r="K2003" i="1" s="1"/>
  <c r="J2004" i="1"/>
  <c r="K2004" i="1" s="1"/>
  <c r="J2005" i="1"/>
  <c r="K2005" i="1"/>
  <c r="J2006" i="1"/>
  <c r="K2006" i="1" s="1"/>
  <c r="J2007" i="1"/>
  <c r="K2007" i="1" s="1"/>
  <c r="J2008" i="1"/>
  <c r="K2008" i="1"/>
  <c r="J2009" i="1"/>
  <c r="K2009" i="1"/>
  <c r="J2010" i="1"/>
  <c r="K2010" i="1" s="1"/>
  <c r="J2011" i="1"/>
  <c r="K2011" i="1" s="1"/>
  <c r="J2012" i="1"/>
  <c r="K2012" i="1"/>
  <c r="J2013" i="1"/>
  <c r="K2013" i="1"/>
  <c r="J2014" i="1"/>
  <c r="K2014" i="1" s="1"/>
  <c r="J2015" i="1"/>
  <c r="K2015" i="1" s="1"/>
  <c r="J2016" i="1"/>
  <c r="K2016" i="1"/>
  <c r="J2017" i="1"/>
  <c r="K2017" i="1"/>
  <c r="J2018" i="1"/>
  <c r="K2018" i="1" s="1"/>
  <c r="J2019" i="1"/>
  <c r="K2019" i="1" s="1"/>
  <c r="J2020" i="1"/>
  <c r="K2020" i="1" s="1"/>
  <c r="J2021" i="1"/>
  <c r="K2021" i="1"/>
  <c r="J2022" i="1"/>
  <c r="K2022" i="1" s="1"/>
  <c r="J2023" i="1"/>
  <c r="K2023" i="1" s="1"/>
  <c r="J2024" i="1"/>
  <c r="K2024" i="1"/>
  <c r="J2025" i="1"/>
  <c r="K2025" i="1"/>
  <c r="J2026" i="1"/>
  <c r="K2026" i="1" s="1"/>
  <c r="J2027" i="1"/>
  <c r="K2027" i="1" s="1"/>
  <c r="J2028" i="1"/>
  <c r="K2028" i="1"/>
  <c r="J2029" i="1"/>
  <c r="K2029" i="1"/>
  <c r="J2030" i="1"/>
  <c r="K2030" i="1" s="1"/>
  <c r="J2031" i="1"/>
  <c r="K2031" i="1" s="1"/>
  <c r="J2032" i="1"/>
  <c r="K2032" i="1"/>
  <c r="J2033" i="1"/>
  <c r="K2033" i="1"/>
  <c r="J2034" i="1"/>
  <c r="K2034" i="1" s="1"/>
  <c r="J2035" i="1"/>
  <c r="K2035" i="1" s="1"/>
  <c r="J2036" i="1"/>
  <c r="K2036" i="1" s="1"/>
  <c r="J2037" i="1"/>
  <c r="K2037" i="1"/>
  <c r="J2038" i="1"/>
  <c r="K2038" i="1" s="1"/>
  <c r="J2039" i="1"/>
  <c r="K2039" i="1" s="1"/>
  <c r="J2040" i="1"/>
  <c r="K2040" i="1"/>
  <c r="J2041" i="1"/>
  <c r="K2041" i="1"/>
  <c r="J2042" i="1"/>
  <c r="K2042" i="1" s="1"/>
  <c r="J2043" i="1"/>
  <c r="K2043" i="1" s="1"/>
  <c r="J2044" i="1"/>
  <c r="K2044" i="1"/>
  <c r="J2045" i="1"/>
  <c r="K2045" i="1"/>
  <c r="J2046" i="1"/>
  <c r="K2046" i="1" s="1"/>
  <c r="J2047" i="1"/>
  <c r="K2047" i="1" s="1"/>
  <c r="J2048" i="1"/>
  <c r="K2048" i="1"/>
  <c r="J2049" i="1"/>
  <c r="K2049" i="1"/>
  <c r="J2050" i="1"/>
  <c r="K2050" i="1" s="1"/>
  <c r="J2051" i="1"/>
  <c r="K2051" i="1" s="1"/>
  <c r="J2052" i="1"/>
  <c r="K2052" i="1" s="1"/>
  <c r="J2053" i="1"/>
  <c r="K2053" i="1"/>
  <c r="J2054" i="1"/>
  <c r="K2054" i="1" s="1"/>
  <c r="J2055" i="1"/>
  <c r="K2055" i="1" s="1"/>
  <c r="J2056" i="1"/>
  <c r="K2056" i="1"/>
  <c r="J2057" i="1"/>
  <c r="K2057" i="1"/>
  <c r="J2058" i="1"/>
  <c r="K2058" i="1" s="1"/>
  <c r="J2059" i="1"/>
  <c r="K2059" i="1" s="1"/>
  <c r="J2060" i="1"/>
  <c r="K2060" i="1"/>
  <c r="J2061" i="1"/>
  <c r="K2061" i="1"/>
  <c r="J2062" i="1"/>
  <c r="K2062" i="1" s="1"/>
  <c r="J2063" i="1"/>
  <c r="K2063" i="1" s="1"/>
  <c r="J2064" i="1"/>
  <c r="K2064" i="1"/>
  <c r="J2065" i="1"/>
  <c r="K2065" i="1"/>
  <c r="J2066" i="1"/>
  <c r="K2066" i="1" s="1"/>
  <c r="J2067" i="1"/>
  <c r="K2067" i="1" s="1"/>
  <c r="J2068" i="1"/>
  <c r="K2068" i="1" s="1"/>
  <c r="J2069" i="1"/>
  <c r="K2069" i="1"/>
  <c r="J2070" i="1"/>
  <c r="K2070" i="1" s="1"/>
  <c r="J2071" i="1"/>
  <c r="K2071" i="1" s="1"/>
  <c r="J2072" i="1"/>
  <c r="K2072" i="1"/>
  <c r="J2073" i="1"/>
  <c r="K2073" i="1" s="1"/>
  <c r="J2074" i="1"/>
  <c r="K2074" i="1" s="1"/>
  <c r="J2075" i="1"/>
  <c r="K2075" i="1" s="1"/>
  <c r="J2076" i="1"/>
  <c r="K2076" i="1"/>
  <c r="J2077" i="1"/>
  <c r="K2077" i="1"/>
  <c r="J2078" i="1"/>
  <c r="K2078" i="1" s="1"/>
  <c r="J2079" i="1"/>
  <c r="K2079" i="1" s="1"/>
  <c r="J2080" i="1"/>
  <c r="K2080" i="1"/>
  <c r="J2081" i="1"/>
  <c r="K2081" i="1"/>
  <c r="J2082" i="1"/>
  <c r="K2082" i="1" s="1"/>
  <c r="J2083" i="1"/>
  <c r="K2083" i="1" s="1"/>
  <c r="J2084" i="1"/>
  <c r="K2084" i="1" s="1"/>
  <c r="J2085" i="1"/>
  <c r="K2085" i="1"/>
  <c r="J2086" i="1"/>
  <c r="K2086" i="1" s="1"/>
  <c r="J2087" i="1"/>
  <c r="K2087" i="1" s="1"/>
  <c r="J2088" i="1"/>
  <c r="K2088" i="1"/>
  <c r="J2089" i="1"/>
  <c r="K2089" i="1" s="1"/>
  <c r="J2090" i="1"/>
  <c r="K2090" i="1" s="1"/>
  <c r="J2091" i="1"/>
  <c r="K2091" i="1" s="1"/>
  <c r="J2092" i="1"/>
  <c r="K2092" i="1"/>
  <c r="J2093" i="1"/>
  <c r="K2093" i="1"/>
  <c r="J2094" i="1"/>
  <c r="K2094" i="1" s="1"/>
  <c r="J2095" i="1"/>
  <c r="K2095" i="1" s="1"/>
  <c r="J2096" i="1"/>
  <c r="K2096" i="1"/>
  <c r="J2097" i="1"/>
  <c r="K2097" i="1"/>
  <c r="J2098" i="1"/>
  <c r="K2098" i="1" s="1"/>
  <c r="J2099" i="1"/>
  <c r="K2099" i="1" s="1"/>
  <c r="J2100" i="1"/>
  <c r="K2100" i="1" s="1"/>
  <c r="J2101" i="1"/>
  <c r="K2101" i="1"/>
  <c r="J2102" i="1"/>
  <c r="K2102" i="1" s="1"/>
  <c r="J2103" i="1"/>
  <c r="K2103" i="1" s="1"/>
  <c r="J2104" i="1"/>
  <c r="K2104" i="1"/>
  <c r="J2105" i="1"/>
  <c r="K2105" i="1" s="1"/>
  <c r="J2106" i="1"/>
  <c r="K2106" i="1" s="1"/>
  <c r="J2107" i="1"/>
  <c r="K2107" i="1" s="1"/>
  <c r="J2108" i="1"/>
  <c r="K2108" i="1"/>
  <c r="J2109" i="1"/>
  <c r="K2109" i="1"/>
  <c r="J2110" i="1"/>
  <c r="K2110" i="1" s="1"/>
  <c r="J2111" i="1"/>
  <c r="K2111" i="1" s="1"/>
  <c r="J2112" i="1"/>
  <c r="K2112" i="1"/>
  <c r="J2113" i="1"/>
  <c r="K2113" i="1"/>
  <c r="J2114" i="1"/>
  <c r="K2114" i="1" s="1"/>
  <c r="J2115" i="1"/>
  <c r="K2115" i="1" s="1"/>
  <c r="J2116" i="1"/>
  <c r="K2116" i="1" s="1"/>
  <c r="J2117" i="1"/>
  <c r="K2117" i="1"/>
  <c r="J2118" i="1"/>
  <c r="K2118" i="1" s="1"/>
  <c r="J2119" i="1"/>
  <c r="K2119" i="1" s="1"/>
  <c r="J2120" i="1"/>
  <c r="K2120" i="1"/>
  <c r="J2121" i="1"/>
  <c r="K2121" i="1" s="1"/>
  <c r="J2122" i="1"/>
  <c r="K2122" i="1" s="1"/>
  <c r="J2123" i="1"/>
  <c r="K2123" i="1" s="1"/>
  <c r="J2124" i="1"/>
  <c r="K2124" i="1"/>
  <c r="J2125" i="1"/>
  <c r="K2125" i="1"/>
  <c r="J2126" i="1"/>
  <c r="K2126" i="1" s="1"/>
  <c r="J2127" i="1"/>
  <c r="K2127" i="1" s="1"/>
  <c r="J2128" i="1"/>
  <c r="K2128" i="1"/>
  <c r="J2129" i="1"/>
  <c r="K2129" i="1"/>
  <c r="J2130" i="1"/>
  <c r="K2130" i="1" s="1"/>
  <c r="J2131" i="1"/>
  <c r="K2131" i="1"/>
  <c r="J2132" i="1"/>
  <c r="K2132" i="1" s="1"/>
  <c r="J2133" i="1"/>
  <c r="K2133" i="1" s="1"/>
  <c r="J2134" i="1"/>
  <c r="K2134" i="1" s="1"/>
  <c r="J2135" i="1"/>
  <c r="K2135" i="1"/>
  <c r="J2136" i="1"/>
  <c r="K2136" i="1" s="1"/>
  <c r="J2137" i="1"/>
  <c r="K2137" i="1"/>
  <c r="J2138" i="1"/>
  <c r="K2138" i="1" s="1"/>
  <c r="J2139" i="1"/>
  <c r="K2139" i="1" s="1"/>
  <c r="J2140" i="1"/>
  <c r="K2140" i="1"/>
  <c r="J2141" i="1"/>
  <c r="K2141" i="1" s="1"/>
  <c r="J2142" i="1"/>
  <c r="K2142" i="1" s="1"/>
  <c r="J2143" i="1"/>
  <c r="K2143" i="1"/>
  <c r="J2144" i="1"/>
  <c r="K2144" i="1"/>
  <c r="J2145" i="1"/>
  <c r="K2145" i="1" s="1"/>
  <c r="J2146" i="1"/>
  <c r="K2146" i="1" s="1"/>
  <c r="J2147" i="1"/>
  <c r="K2147" i="1" s="1"/>
  <c r="J2148" i="1"/>
  <c r="K2148" i="1" s="1"/>
  <c r="J2149" i="1"/>
  <c r="K2149" i="1"/>
  <c r="J2150" i="1"/>
  <c r="K2150" i="1" s="1"/>
  <c r="J2151" i="1"/>
  <c r="K2151" i="1"/>
  <c r="J2152" i="1"/>
  <c r="K2152" i="1"/>
  <c r="J2153" i="1"/>
  <c r="K2153" i="1"/>
  <c r="J2154" i="1"/>
  <c r="K2154" i="1" s="1"/>
  <c r="J2155" i="1"/>
  <c r="K2155" i="1" s="1"/>
  <c r="J2156" i="1"/>
  <c r="K2156" i="1" s="1"/>
  <c r="J2157" i="1"/>
  <c r="K2157" i="1" s="1"/>
  <c r="J2158" i="1"/>
  <c r="K2158" i="1" s="1"/>
  <c r="J2159" i="1"/>
  <c r="K2159" i="1" s="1"/>
  <c r="J2160" i="1"/>
  <c r="K2160" i="1"/>
  <c r="J2161" i="1"/>
  <c r="K2161" i="1"/>
  <c r="J2162" i="1"/>
  <c r="K2162" i="1" s="1"/>
  <c r="J2163" i="1"/>
  <c r="K2163" i="1"/>
  <c r="J2164" i="1"/>
  <c r="K2164" i="1" s="1"/>
  <c r="J2165" i="1"/>
  <c r="K2165" i="1" s="1"/>
  <c r="J2166" i="1"/>
  <c r="K2166" i="1" s="1"/>
  <c r="J2167" i="1"/>
  <c r="K2167" i="1"/>
  <c r="J2168" i="1"/>
  <c r="K2168" i="1" s="1"/>
  <c r="J2169" i="1"/>
  <c r="K2169" i="1"/>
  <c r="J2170" i="1"/>
  <c r="K2170" i="1" s="1"/>
  <c r="J2171" i="1"/>
  <c r="K2171" i="1" s="1"/>
  <c r="J2172" i="1"/>
  <c r="K2172" i="1"/>
  <c r="J2173" i="1"/>
  <c r="K2173" i="1" s="1"/>
  <c r="J2174" i="1"/>
  <c r="K2174" i="1" s="1"/>
  <c r="J2175" i="1"/>
  <c r="K2175" i="1"/>
  <c r="J2176" i="1"/>
  <c r="K2176" i="1"/>
  <c r="J2177" i="1"/>
  <c r="K2177" i="1" s="1"/>
  <c r="J2178" i="1"/>
  <c r="K2178" i="1" s="1"/>
  <c r="J2179" i="1"/>
  <c r="K2179" i="1" s="1"/>
  <c r="J2180" i="1"/>
  <c r="K2180" i="1" s="1"/>
  <c r="J2181" i="1"/>
  <c r="K2181" i="1"/>
  <c r="J2182" i="1"/>
  <c r="K2182" i="1" s="1"/>
  <c r="J2183" i="1"/>
  <c r="K2183" i="1"/>
  <c r="J2184" i="1"/>
  <c r="K2184" i="1"/>
  <c r="J2185" i="1"/>
  <c r="K2185" i="1"/>
  <c r="J2186" i="1"/>
  <c r="K2186" i="1" s="1"/>
  <c r="J2187" i="1"/>
  <c r="K2187" i="1" s="1"/>
  <c r="J2188" i="1"/>
  <c r="K2188" i="1" s="1"/>
  <c r="J2189" i="1"/>
  <c r="K2189" i="1" s="1"/>
  <c r="J2190" i="1"/>
  <c r="K2190" i="1"/>
  <c r="J2191" i="1"/>
  <c r="K2191" i="1" s="1"/>
  <c r="J2192" i="1"/>
  <c r="K2192" i="1" s="1"/>
  <c r="J2193" i="1"/>
  <c r="K2193" i="1" s="1"/>
  <c r="J2194" i="1"/>
  <c r="K2194" i="1" s="1"/>
  <c r="J2195" i="1"/>
  <c r="K2195" i="1" s="1"/>
  <c r="J2196" i="1"/>
  <c r="K2196" i="1"/>
  <c r="J2197" i="1"/>
  <c r="K2197" i="1"/>
  <c r="J2198" i="1"/>
  <c r="K2198" i="1" s="1"/>
  <c r="J2199" i="1"/>
  <c r="K2199" i="1"/>
  <c r="J2200" i="1"/>
  <c r="K2200" i="1" s="1"/>
  <c r="J2201" i="1"/>
  <c r="K2201" i="1" s="1"/>
  <c r="J2202" i="1"/>
  <c r="K2202" i="1" s="1"/>
  <c r="J2203" i="1"/>
  <c r="K2203" i="1"/>
  <c r="J2204" i="1"/>
  <c r="K2204" i="1" s="1"/>
  <c r="J2205" i="1"/>
  <c r="K2205" i="1"/>
  <c r="J2206" i="1"/>
  <c r="K2206" i="1" s="1"/>
  <c r="J2207" i="1"/>
  <c r="K2207" i="1" s="1"/>
  <c r="J2208" i="1"/>
  <c r="K2208" i="1"/>
  <c r="J2209" i="1"/>
  <c r="K2209" i="1" s="1"/>
  <c r="J2210" i="1"/>
  <c r="K2210" i="1" s="1"/>
  <c r="J2211" i="1"/>
  <c r="K2211" i="1"/>
  <c r="J2212" i="1"/>
  <c r="K2212" i="1"/>
  <c r="J2213" i="1"/>
  <c r="K2213" i="1" s="1"/>
  <c r="J2214" i="1"/>
  <c r="K2214" i="1" s="1"/>
  <c r="J2215" i="1"/>
  <c r="K2215" i="1" s="1"/>
  <c r="J2216" i="1"/>
  <c r="K2216" i="1" s="1"/>
  <c r="J2217" i="1"/>
  <c r="K2217" i="1"/>
  <c r="J2218" i="1"/>
  <c r="K2218" i="1" s="1"/>
  <c r="J2219" i="1"/>
  <c r="K2219" i="1"/>
  <c r="J2220" i="1"/>
  <c r="K2220" i="1"/>
  <c r="J2221" i="1"/>
  <c r="K2221" i="1"/>
  <c r="J2222" i="1"/>
  <c r="K2222" i="1" s="1"/>
  <c r="J2223" i="1"/>
  <c r="K2223" i="1" s="1"/>
  <c r="J2224" i="1"/>
  <c r="K2224" i="1" s="1"/>
  <c r="J2225" i="1"/>
  <c r="K2225" i="1" s="1"/>
  <c r="J2226" i="1"/>
  <c r="K2226" i="1" s="1"/>
  <c r="J2227" i="1"/>
  <c r="K2227" i="1" s="1"/>
  <c r="J2228" i="1"/>
  <c r="K2228" i="1"/>
  <c r="J2229" i="1"/>
  <c r="K2229" i="1"/>
  <c r="J2230" i="1"/>
  <c r="K2230" i="1" s="1"/>
  <c r="J2231" i="1"/>
  <c r="K2231" i="1"/>
  <c r="J2232" i="1"/>
  <c r="K2232" i="1" s="1"/>
  <c r="J2233" i="1"/>
  <c r="K2233" i="1" s="1"/>
  <c r="J2234" i="1"/>
  <c r="K2234" i="1" s="1"/>
  <c r="J2235" i="1"/>
  <c r="K2235" i="1"/>
  <c r="J2236" i="1"/>
  <c r="K2236" i="1" s="1"/>
  <c r="J2237" i="1"/>
  <c r="K2237" i="1"/>
  <c r="J2238" i="1"/>
  <c r="K2238" i="1" s="1"/>
  <c r="J2239" i="1"/>
  <c r="K2239" i="1" s="1"/>
  <c r="J2240" i="1"/>
  <c r="K2240" i="1"/>
  <c r="J2241" i="1"/>
  <c r="K2241" i="1" s="1"/>
  <c r="J2242" i="1"/>
  <c r="K2242" i="1" s="1"/>
  <c r="J2243" i="1"/>
  <c r="K2243" i="1"/>
  <c r="J2244" i="1"/>
  <c r="K2244" i="1"/>
  <c r="J2245" i="1"/>
  <c r="K2245" i="1" s="1"/>
  <c r="J2246" i="1"/>
  <c r="K2246" i="1" s="1"/>
  <c r="J2247" i="1"/>
  <c r="K2247" i="1" s="1"/>
  <c r="J2248" i="1"/>
  <c r="K2248" i="1" s="1"/>
  <c r="J2249" i="1"/>
  <c r="K2249" i="1"/>
  <c r="J2250" i="1"/>
  <c r="K2250" i="1" s="1"/>
  <c r="J2251" i="1"/>
  <c r="K2251" i="1"/>
  <c r="J2252" i="1"/>
  <c r="K2252" i="1"/>
  <c r="J2253" i="1"/>
  <c r="K2253" i="1"/>
  <c r="J2254" i="1"/>
  <c r="K2254" i="1" s="1"/>
  <c r="J2255" i="1"/>
  <c r="K2255" i="1" s="1"/>
  <c r="J2256" i="1"/>
  <c r="K2256" i="1" s="1"/>
  <c r="J2257" i="1"/>
  <c r="K2257" i="1" s="1"/>
  <c r="J2258" i="1"/>
  <c r="K2258" i="1" s="1"/>
  <c r="J2259" i="1"/>
  <c r="K2259" i="1" s="1"/>
  <c r="J2260" i="1"/>
  <c r="K2260" i="1"/>
  <c r="J2261" i="1"/>
  <c r="K2261" i="1"/>
  <c r="J2262" i="1"/>
  <c r="K2262" i="1" s="1"/>
  <c r="J2263" i="1"/>
  <c r="K2263" i="1"/>
  <c r="J2264" i="1"/>
  <c r="K2264" i="1" s="1"/>
  <c r="J2265" i="1"/>
  <c r="K2265" i="1" s="1"/>
  <c r="J2266" i="1"/>
  <c r="K2266" i="1" s="1"/>
  <c r="J2267" i="1"/>
  <c r="K2267" i="1"/>
  <c r="J2268" i="1"/>
  <c r="K2268" i="1" s="1"/>
  <c r="J2269" i="1"/>
  <c r="K2269" i="1"/>
  <c r="J2270" i="1"/>
  <c r="K2270" i="1" s="1"/>
  <c r="J2271" i="1"/>
  <c r="K2271" i="1" s="1"/>
  <c r="J2272" i="1"/>
  <c r="K2272" i="1"/>
  <c r="J2273" i="1"/>
  <c r="K2273" i="1" s="1"/>
  <c r="J2274" i="1"/>
  <c r="K2274" i="1" s="1"/>
  <c r="J2275" i="1"/>
  <c r="K2275" i="1"/>
  <c r="J2276" i="1"/>
  <c r="K2276" i="1"/>
  <c r="J2277" i="1"/>
  <c r="K2277" i="1" s="1"/>
  <c r="J2278" i="1"/>
  <c r="K2278" i="1" s="1"/>
  <c r="J2279" i="1"/>
  <c r="K2279" i="1" s="1"/>
  <c r="J2280" i="1"/>
  <c r="K2280" i="1" s="1"/>
  <c r="J2281" i="1"/>
  <c r="K2281" i="1"/>
  <c r="J2282" i="1"/>
  <c r="K2282" i="1" s="1"/>
  <c r="J2283" i="1"/>
  <c r="K2283" i="1"/>
  <c r="J2284" i="1"/>
  <c r="K2284" i="1"/>
  <c r="J2285" i="1"/>
  <c r="K2285" i="1"/>
  <c r="J2286" i="1"/>
  <c r="K2286" i="1" s="1"/>
  <c r="J2287" i="1"/>
  <c r="K2287" i="1" s="1"/>
  <c r="J2288" i="1"/>
  <c r="K2288" i="1" s="1"/>
  <c r="J2289" i="1"/>
  <c r="K2289" i="1" s="1"/>
  <c r="J2290" i="1"/>
  <c r="K2290" i="1" s="1"/>
  <c r="J2291" i="1"/>
  <c r="K2291" i="1" s="1"/>
  <c r="J2292" i="1"/>
  <c r="K2292" i="1"/>
  <c r="J2293" i="1"/>
  <c r="K2293" i="1"/>
  <c r="J2294" i="1"/>
  <c r="K2294" i="1" s="1"/>
  <c r="J2295" i="1"/>
  <c r="K2295" i="1"/>
  <c r="J2296" i="1"/>
  <c r="K2296" i="1" s="1"/>
  <c r="J2297" i="1"/>
  <c r="K2297" i="1" s="1"/>
  <c r="J2298" i="1"/>
  <c r="K2298" i="1" s="1"/>
  <c r="J2299" i="1"/>
  <c r="K2299" i="1"/>
  <c r="J2300" i="1"/>
  <c r="K2300" i="1" s="1"/>
  <c r="J2301" i="1"/>
  <c r="K2301" i="1"/>
  <c r="J2302" i="1"/>
  <c r="K2302" i="1" s="1"/>
  <c r="J2303" i="1"/>
  <c r="K2303" i="1" s="1"/>
  <c r="J2304" i="1"/>
  <c r="K2304" i="1"/>
  <c r="J2305" i="1"/>
  <c r="K2305" i="1" s="1"/>
  <c r="J2306" i="1"/>
  <c r="K2306" i="1" s="1"/>
  <c r="J2307" i="1"/>
  <c r="K2307" i="1"/>
  <c r="J2308" i="1"/>
  <c r="K2308" i="1"/>
  <c r="J2309" i="1"/>
  <c r="K2309" i="1" s="1"/>
  <c r="J2310" i="1"/>
  <c r="K2310" i="1" s="1"/>
  <c r="J2311" i="1"/>
  <c r="K2311" i="1" s="1"/>
  <c r="J2312" i="1"/>
  <c r="K2312" i="1" s="1"/>
  <c r="J2313" i="1"/>
  <c r="K2313" i="1"/>
  <c r="J2314" i="1"/>
  <c r="K2314" i="1" s="1"/>
  <c r="J2315" i="1"/>
  <c r="K2315" i="1"/>
  <c r="J2316" i="1"/>
  <c r="K2316" i="1"/>
  <c r="J2317" i="1"/>
  <c r="K2317" i="1"/>
  <c r="J2318" i="1"/>
  <c r="K2318" i="1" s="1"/>
  <c r="J2319" i="1"/>
  <c r="K2319" i="1" s="1"/>
  <c r="J2320" i="1"/>
  <c r="K2320" i="1" s="1"/>
  <c r="J2321" i="1"/>
  <c r="K2321" i="1" s="1"/>
  <c r="J2322" i="1"/>
  <c r="K2322" i="1" s="1"/>
  <c r="J2323" i="1"/>
  <c r="K2323" i="1" s="1"/>
  <c r="J2324" i="1"/>
  <c r="K2324" i="1"/>
  <c r="J2325" i="1"/>
  <c r="K2325" i="1"/>
  <c r="J2326" i="1"/>
  <c r="K2326" i="1" s="1"/>
  <c r="J2327" i="1"/>
  <c r="K2327" i="1"/>
  <c r="J2328" i="1"/>
  <c r="K2328" i="1" s="1"/>
  <c r="J2329" i="1"/>
  <c r="K2329" i="1" s="1"/>
  <c r="J2330" i="1"/>
  <c r="K2330" i="1" s="1"/>
  <c r="J2331" i="1"/>
  <c r="K2331" i="1"/>
  <c r="J2332" i="1"/>
  <c r="K2332" i="1" s="1"/>
  <c r="J2333" i="1"/>
  <c r="K2333" i="1"/>
  <c r="J2334" i="1"/>
  <c r="K2334" i="1" s="1"/>
  <c r="J2335" i="1"/>
  <c r="K2335" i="1" s="1"/>
  <c r="J2336" i="1"/>
  <c r="K2336" i="1"/>
  <c r="J2337" i="1"/>
  <c r="K2337" i="1" s="1"/>
  <c r="J2338" i="1"/>
  <c r="K2338" i="1" s="1"/>
  <c r="J2339" i="1"/>
  <c r="K2339" i="1"/>
  <c r="J2340" i="1"/>
  <c r="K2340" i="1"/>
  <c r="J2341" i="1"/>
  <c r="K2341" i="1" s="1"/>
  <c r="J2342" i="1"/>
  <c r="K2342" i="1" s="1"/>
  <c r="J2343" i="1"/>
  <c r="K2343" i="1" s="1"/>
  <c r="J2344" i="1"/>
  <c r="K2344" i="1" s="1"/>
  <c r="J2345" i="1"/>
  <c r="K2345" i="1"/>
  <c r="J2346" i="1"/>
  <c r="K2346" i="1" s="1"/>
  <c r="J2347" i="1"/>
  <c r="K2347" i="1"/>
  <c r="J2348" i="1"/>
  <c r="K2348" i="1"/>
  <c r="J2349" i="1"/>
  <c r="K2349" i="1"/>
  <c r="J2350" i="1"/>
  <c r="K2350" i="1" s="1"/>
  <c r="J2351" i="1"/>
  <c r="K2351" i="1" s="1"/>
  <c r="J2352" i="1"/>
  <c r="K2352" i="1" s="1"/>
  <c r="J2353" i="1"/>
  <c r="K2353" i="1" s="1"/>
  <c r="J2354" i="1"/>
  <c r="K2354" i="1" s="1"/>
  <c r="J2355" i="1"/>
  <c r="K2355" i="1" s="1"/>
  <c r="J2356" i="1"/>
  <c r="K2356" i="1"/>
  <c r="J2357" i="1"/>
  <c r="K2357" i="1"/>
  <c r="J2358" i="1"/>
  <c r="K2358" i="1" s="1"/>
  <c r="J2359" i="1"/>
  <c r="K2359" i="1"/>
  <c r="J2360" i="1"/>
  <c r="K2360" i="1" s="1"/>
  <c r="J2361" i="1"/>
  <c r="K2361" i="1" s="1"/>
  <c r="J2362" i="1"/>
  <c r="K2362" i="1" s="1"/>
  <c r="J2363" i="1"/>
  <c r="K2363" i="1"/>
  <c r="J2364" i="1"/>
  <c r="K2364" i="1" s="1"/>
  <c r="J2365" i="1"/>
  <c r="K2365" i="1" s="1"/>
  <c r="J2366" i="1"/>
  <c r="K2366" i="1" s="1"/>
  <c r="J2367" i="1"/>
  <c r="K2367" i="1"/>
  <c r="J2368" i="1"/>
  <c r="K2368" i="1" s="1"/>
  <c r="J2369" i="1"/>
  <c r="K2369" i="1" s="1"/>
  <c r="J2370" i="1"/>
  <c r="K2370" i="1" s="1"/>
  <c r="J2371" i="1"/>
  <c r="K2371" i="1"/>
  <c r="J2372" i="1"/>
  <c r="K2372" i="1" s="1"/>
  <c r="J2373" i="1"/>
  <c r="K2373" i="1" s="1"/>
  <c r="J2374" i="1"/>
  <c r="K2374" i="1" s="1"/>
  <c r="J2375" i="1"/>
  <c r="K2375" i="1"/>
  <c r="J2376" i="1"/>
  <c r="K2376" i="1" s="1"/>
  <c r="J2377" i="1"/>
  <c r="K2377" i="1" s="1"/>
  <c r="J2378" i="1"/>
  <c r="K2378" i="1" s="1"/>
  <c r="J2379" i="1"/>
  <c r="K2379" i="1"/>
  <c r="J2380" i="1"/>
  <c r="K2380" i="1" s="1"/>
  <c r="J2381" i="1"/>
  <c r="K2381" i="1" s="1"/>
  <c r="J2382" i="1"/>
  <c r="K2382" i="1" s="1"/>
  <c r="J2383" i="1"/>
  <c r="K2383" i="1"/>
  <c r="J2384" i="1"/>
  <c r="K2384" i="1" s="1"/>
  <c r="J2385" i="1"/>
  <c r="K2385" i="1" s="1"/>
  <c r="J2386" i="1"/>
  <c r="K2386" i="1" s="1"/>
  <c r="J2387" i="1"/>
  <c r="K2387" i="1"/>
  <c r="J2388" i="1"/>
  <c r="K2388" i="1" s="1"/>
  <c r="J2389" i="1"/>
  <c r="K2389" i="1" s="1"/>
  <c r="J2390" i="1"/>
  <c r="K2390" i="1" s="1"/>
  <c r="J2391" i="1"/>
  <c r="K2391" i="1"/>
  <c r="J2392" i="1"/>
  <c r="K2392" i="1" s="1"/>
  <c r="J2393" i="1"/>
  <c r="K2393" i="1" s="1"/>
  <c r="J2394" i="1"/>
  <c r="K2394" i="1" s="1"/>
  <c r="J2395" i="1"/>
  <c r="K2395" i="1"/>
  <c r="J2396" i="1"/>
  <c r="K2396" i="1" s="1"/>
  <c r="J2397" i="1"/>
  <c r="K2397" i="1" s="1"/>
  <c r="J2398" i="1"/>
  <c r="K2398" i="1" s="1"/>
  <c r="J2399" i="1"/>
  <c r="K2399" i="1"/>
  <c r="J2400" i="1"/>
  <c r="K2400" i="1" s="1"/>
  <c r="J2401" i="1"/>
  <c r="K2401" i="1" s="1"/>
  <c r="J2402" i="1"/>
  <c r="K2402" i="1" s="1"/>
  <c r="J2403" i="1"/>
  <c r="K2403" i="1"/>
  <c r="J2404" i="1"/>
  <c r="K2404" i="1" s="1"/>
  <c r="J2405" i="1"/>
  <c r="K2405" i="1" s="1"/>
  <c r="J2406" i="1"/>
  <c r="K2406" i="1" s="1"/>
  <c r="J2407" i="1"/>
  <c r="K2407" i="1"/>
  <c r="J2408" i="1"/>
  <c r="K2408" i="1" s="1"/>
  <c r="J2409" i="1"/>
  <c r="K2409" i="1" s="1"/>
  <c r="J2410" i="1"/>
  <c r="K2410" i="1" s="1"/>
  <c r="J2411" i="1"/>
  <c r="K2411" i="1"/>
  <c r="J2412" i="1"/>
  <c r="K2412" i="1" s="1"/>
  <c r="J2413" i="1"/>
  <c r="K2413" i="1" s="1"/>
  <c r="J2414" i="1"/>
  <c r="K2414" i="1" s="1"/>
  <c r="J2415" i="1"/>
  <c r="K2415" i="1"/>
  <c r="J2416" i="1"/>
  <c r="K2416" i="1" s="1"/>
  <c r="J2417" i="1"/>
  <c r="K2417" i="1" s="1"/>
  <c r="J2418" i="1"/>
  <c r="K2418" i="1" s="1"/>
  <c r="J2419" i="1"/>
  <c r="K2419" i="1"/>
  <c r="J2420" i="1"/>
  <c r="K2420" i="1" s="1"/>
  <c r="J2421" i="1"/>
  <c r="K2421" i="1" s="1"/>
  <c r="J2422" i="1"/>
  <c r="K2422" i="1" s="1"/>
  <c r="J2423" i="1"/>
  <c r="K2423" i="1"/>
  <c r="J2424" i="1"/>
  <c r="K2424" i="1" s="1"/>
  <c r="J2425" i="1"/>
  <c r="K2425" i="1" s="1"/>
  <c r="J2426" i="1"/>
  <c r="K2426" i="1" s="1"/>
  <c r="J2427" i="1"/>
  <c r="K2427" i="1"/>
  <c r="J2428" i="1"/>
  <c r="K2428" i="1" s="1"/>
  <c r="J2429" i="1"/>
  <c r="K2429" i="1" s="1"/>
  <c r="J2430" i="1"/>
  <c r="K2430" i="1" s="1"/>
  <c r="J2431" i="1"/>
  <c r="K2431" i="1"/>
  <c r="J2432" i="1"/>
  <c r="K2432" i="1" s="1"/>
  <c r="J2433" i="1"/>
  <c r="K2433" i="1" s="1"/>
  <c r="J2434" i="1"/>
  <c r="K2434" i="1" s="1"/>
  <c r="J2435" i="1"/>
  <c r="K2435" i="1"/>
  <c r="J2436" i="1"/>
  <c r="K2436" i="1" s="1"/>
  <c r="J2437" i="1"/>
  <c r="K2437" i="1" s="1"/>
  <c r="J2438" i="1"/>
  <c r="K2438" i="1" s="1"/>
  <c r="J2439" i="1"/>
  <c r="K2439" i="1"/>
  <c r="J2440" i="1"/>
  <c r="K2440" i="1" s="1"/>
  <c r="J2" i="1"/>
  <c r="K2" i="1" s="1"/>
  <c r="I3" i="9" l="1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" i="9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" i="8"/>
  <c r="I1444" i="3" l="1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348" i="3"/>
  <c r="I1349" i="3"/>
  <c r="I135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044" i="3"/>
  <c r="I1045" i="3"/>
  <c r="I1046" i="3"/>
  <c r="I1047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703" i="3"/>
  <c r="I704" i="3"/>
  <c r="I705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05" i="3"/>
  <c r="I206" i="3"/>
  <c r="I207" i="3"/>
  <c r="I208" i="3"/>
  <c r="I209" i="3"/>
  <c r="I210" i="3"/>
  <c r="I211" i="3"/>
  <c r="I212" i="3"/>
  <c r="I213" i="3"/>
  <c r="I214" i="3"/>
  <c r="I215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2" i="3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271" i="1"/>
  <c r="I2272" i="1"/>
  <c r="I2273" i="1"/>
  <c r="I2274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838" i="1"/>
  <c r="I1839" i="1"/>
  <c r="I1840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351" i="1"/>
  <c r="I1352" i="1"/>
  <c r="I1353" i="1"/>
  <c r="I1354" i="1"/>
  <c r="I135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873" i="1"/>
  <c r="I874" i="1"/>
  <c r="I875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334" i="1"/>
  <c r="I335" i="1"/>
  <c r="I336" i="1"/>
  <c r="I337" i="1"/>
  <c r="I338" i="1"/>
  <c r="I339" i="1"/>
  <c r="I340" i="1"/>
  <c r="I341" i="1"/>
  <c r="I342" i="1"/>
  <c r="I343" i="1"/>
  <c r="I344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2" i="1"/>
</calcChain>
</file>

<file path=xl/sharedStrings.xml><?xml version="1.0" encoding="utf-8"?>
<sst xmlns="http://schemas.openxmlformats.org/spreadsheetml/2006/main" count="30406" uniqueCount="106">
  <si>
    <t>spp</t>
  </si>
  <si>
    <t>year</t>
  </si>
  <si>
    <t>type</t>
  </si>
  <si>
    <t>merchantable</t>
  </si>
  <si>
    <t>total stems</t>
  </si>
  <si>
    <t>cull</t>
  </si>
  <si>
    <t>initial</t>
  </si>
  <si>
    <t>residual</t>
  </si>
  <si>
    <t>harvest</t>
  </si>
  <si>
    <t>recruise</t>
  </si>
  <si>
    <t>ws</t>
  </si>
  <si>
    <t>acres</t>
  </si>
  <si>
    <t>original or initial</t>
  </si>
  <si>
    <t>100% of stems &gt;5 inches dbh</t>
  </si>
  <si>
    <t>measured</t>
  </si>
  <si>
    <t>100% of stems &gt;5 inches dbh unless noted</t>
  </si>
  <si>
    <t>cut</t>
  </si>
  <si>
    <t>stems marked for harvest</t>
  </si>
  <si>
    <t>marked cut</t>
  </si>
  <si>
    <t>same as 'cut'</t>
  </si>
  <si>
    <t>damage</t>
  </si>
  <si>
    <t>stems destroyed during harvest</t>
  </si>
  <si>
    <t>total cut</t>
  </si>
  <si>
    <t>marked cut + damage if damage tallied</t>
  </si>
  <si>
    <t>calculated</t>
  </si>
  <si>
    <t>otherwise = marked cut</t>
  </si>
  <si>
    <t>recruise - total cut</t>
  </si>
  <si>
    <t>unplan</t>
  </si>
  <si>
    <t>unplanned removal outside normal harvest schedule</t>
  </si>
  <si>
    <t>live stems lumber grade</t>
  </si>
  <si>
    <t>live stems not lumber grade</t>
  </si>
  <si>
    <t>should be girdled or cut during harvest</t>
  </si>
  <si>
    <t>new cull</t>
  </si>
  <si>
    <t>cull since last harvest</t>
  </si>
  <si>
    <t>old cull</t>
  </si>
  <si>
    <t>cull tallied before last harvest</t>
  </si>
  <si>
    <t>not girdled or cut during previous harvest</t>
  </si>
  <si>
    <t>total cull</t>
  </si>
  <si>
    <t>new + old cull if tallied separately</t>
  </si>
  <si>
    <t>otherwise = cull</t>
  </si>
  <si>
    <t>dead</t>
  </si>
  <si>
    <t>dead stems</t>
  </si>
  <si>
    <t>STAND STRUCTURE</t>
  </si>
  <si>
    <t>GROWTH PLOTS</t>
  </si>
  <si>
    <t>plots</t>
  </si>
  <si>
    <t>plot size</t>
  </si>
  <si>
    <t>min tree size</t>
  </si>
  <si>
    <t>REPRODUCTION PLOTS</t>
  </si>
  <si>
    <t>0.01 ac</t>
  </si>
  <si>
    <t>1.0-4.9 inches dbh</t>
  </si>
  <si>
    <t>dates</t>
  </si>
  <si>
    <t>main</t>
  </si>
  <si>
    <t>sub</t>
  </si>
  <si>
    <t>plot type</t>
  </si>
  <si>
    <t>plot</t>
  </si>
  <si>
    <t>per tree basal area</t>
  </si>
  <si>
    <t>2-in dbh class</t>
  </si>
  <si>
    <t>dbh class basal area</t>
  </si>
  <si>
    <t>measurement</t>
  </si>
  <si>
    <t>not associated with growth plots</t>
  </si>
  <si>
    <t>WS 2A</t>
  </si>
  <si>
    <t>WS 2B</t>
  </si>
  <si>
    <t>0.6 ac</t>
  </si>
  <si>
    <t>2.5 inches dbh</t>
  </si>
  <si>
    <t>1.0-2.5 inches dbh</t>
  </si>
  <si>
    <t>**supplemental to stand data</t>
  </si>
  <si>
    <t>18 subplots per growth plot</t>
  </si>
  <si>
    <t>19 subplots per growth plot</t>
  </si>
  <si>
    <t>1993, 1997, 2002 (trees to 4.9 in dbh)**, 2008</t>
  </si>
  <si>
    <t>1993, 1996 (trees to 4.9 in dbh)**, 2008</t>
  </si>
  <si>
    <t>1987**</t>
  </si>
  <si>
    <t>1977**</t>
  </si>
  <si>
    <t>see Word doc for dates</t>
  </si>
  <si>
    <t>0.0026 ac</t>
  </si>
  <si>
    <t>1993, 1997</t>
  </si>
  <si>
    <t>2002**, 2008</t>
  </si>
  <si>
    <t>1993, 1996**</t>
  </si>
  <si>
    <r>
      <t xml:space="preserve">18 subplots per growth plot - </t>
    </r>
    <r>
      <rPr>
        <sz val="11"/>
        <color rgb="FFFF0000"/>
        <rFont val="Calibri"/>
        <family val="2"/>
        <scheme val="minor"/>
      </rPr>
      <t>SMALLER plot size</t>
    </r>
  </si>
  <si>
    <t>sheet</t>
  </si>
  <si>
    <t>description</t>
  </si>
  <si>
    <t>area sampled</t>
  </si>
  <si>
    <r>
      <t xml:space="preserve">100% inventory, all trees </t>
    </r>
    <r>
      <rPr>
        <u/>
        <sz val="11"/>
        <color theme="1"/>
        <rFont val="Calibri"/>
        <family val="2"/>
        <scheme val="minor"/>
      </rPr>
      <t>&gt;</t>
    </r>
    <r>
      <rPr>
        <sz val="11"/>
        <color theme="1"/>
        <rFont val="Calibri"/>
        <family val="2"/>
        <scheme val="minor"/>
      </rPr>
      <t>5 inches dbh tallied by species</t>
    </r>
  </si>
  <si>
    <t>subwatershed</t>
  </si>
  <si>
    <t>summary of variable number and size of plots, all trees 1-&lt;5 inches dbh tallied by species</t>
  </si>
  <si>
    <t>sum of plot areas</t>
  </si>
  <si>
    <t>variable number and size of plots, individual tree dbh measurements</t>
  </si>
  <si>
    <t>ws2a stand &gt;5in</t>
  </si>
  <si>
    <t>ws2a plot 1-5in</t>
  </si>
  <si>
    <t>ws2a plot</t>
  </si>
  <si>
    <t>ws2b stand &gt;5in</t>
  </si>
  <si>
    <t>ws2b plot 1-5in</t>
  </si>
  <si>
    <t>ws2b plot</t>
  </si>
  <si>
    <t>summarized by 1-inch dbh class</t>
  </si>
  <si>
    <t>1-in dbh class</t>
  </si>
  <si>
    <t>seedling</t>
  </si>
  <si>
    <t>sprout</t>
  </si>
  <si>
    <t>noncommercial</t>
  </si>
  <si>
    <t>defective</t>
  </si>
  <si>
    <t>WS</t>
  </si>
  <si>
    <t>2a</t>
  </si>
  <si>
    <t>size class</t>
  </si>
  <si>
    <t>&gt;5</t>
  </si>
  <si>
    <t>basal area / acre</t>
  </si>
  <si>
    <t>Weighted basal area /acre</t>
  </si>
  <si>
    <t>2b</t>
  </si>
  <si>
    <t>&lt;5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</si>
</sst>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0" fillId="0" borderId="0" xfId="0" quotePrefix="1" applyAlignment="1">
      <alignment horizontal="center"/>
    </xf>
    <xf numFmtId="0" fontId="14" fillId="0" borderId="0" xfId="0" applyFont="1" applyAlignment="1">
      <alignment horizontal="left"/>
    </xf>
    <xf numFmtId="0" fontId="0" fillId="36" borderId="0" xfId="0" applyFill="1"/>
    <xf numFmtId="0" fontId="0" fillId="0" borderId="0" xfId="0" applyAlignment="1">
      <alignment wrapText="1"/>
    </xf>
    <xf numFmtId="0" fontId="0" fillId="33" borderId="0" xfId="0" applyFill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6102C-A82C-4C7A-A6E2-869422ECC625}">
  <dimension ref="A1:C8"/>
  <sheetViews>
    <sheetView workbookViewId="0"/>
  </sheetViews>
  <sheetFormatPr defaultRowHeight="15" x14ac:dyDescent="0.25"/>
  <cols>
    <col min="1" max="1" width="20.7109375" customWidth="1"/>
    <col min="2" max="2" width="81.5703125" bestFit="1" customWidth="1"/>
    <col min="3" max="3" width="16.28515625" bestFit="1" customWidth="1"/>
  </cols>
  <sheetData>
    <row r="1" spans="1:3" x14ac:dyDescent="0.25">
      <c r="A1" s="10" t="s">
        <v>78</v>
      </c>
      <c r="B1" s="10" t="s">
        <v>79</v>
      </c>
      <c r="C1" s="10" t="s">
        <v>80</v>
      </c>
    </row>
    <row r="2" spans="1:3" x14ac:dyDescent="0.25">
      <c r="A2" t="s">
        <v>86</v>
      </c>
      <c r="B2" t="s">
        <v>81</v>
      </c>
      <c r="C2" t="s">
        <v>82</v>
      </c>
    </row>
    <row r="3" spans="1:3" x14ac:dyDescent="0.25">
      <c r="A3" t="s">
        <v>87</v>
      </c>
      <c r="B3" t="s">
        <v>83</v>
      </c>
      <c r="C3" t="s">
        <v>84</v>
      </c>
    </row>
    <row r="4" spans="1:3" x14ac:dyDescent="0.25">
      <c r="A4" t="s">
        <v>88</v>
      </c>
      <c r="B4" t="s">
        <v>85</v>
      </c>
      <c r="C4" t="s">
        <v>84</v>
      </c>
    </row>
    <row r="6" spans="1:3" x14ac:dyDescent="0.25">
      <c r="A6" t="s">
        <v>89</v>
      </c>
      <c r="B6" t="s">
        <v>81</v>
      </c>
      <c r="C6" t="s">
        <v>82</v>
      </c>
    </row>
    <row r="7" spans="1:3" x14ac:dyDescent="0.25">
      <c r="A7" t="s">
        <v>90</v>
      </c>
      <c r="B7" t="s">
        <v>83</v>
      </c>
      <c r="C7" t="s">
        <v>84</v>
      </c>
    </row>
    <row r="8" spans="1:3" x14ac:dyDescent="0.25">
      <c r="A8" t="s">
        <v>91</v>
      </c>
      <c r="B8" t="s">
        <v>85</v>
      </c>
      <c r="C8" t="s">
        <v>84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workbookViewId="0">
      <selection activeCell="A39" sqref="A39:XFD39"/>
    </sheetView>
  </sheetViews>
  <sheetFormatPr defaultRowHeight="15" x14ac:dyDescent="0.25"/>
  <cols>
    <col min="4" max="4" width="17" bestFit="1" customWidth="1"/>
    <col min="5" max="5" width="48.85546875" bestFit="1" customWidth="1"/>
    <col min="6" max="6" width="38.42578125" bestFit="1" customWidth="1"/>
    <col min="7" max="7" width="9.85546875" bestFit="1" customWidth="1"/>
  </cols>
  <sheetData>
    <row r="1" spans="1:7" x14ac:dyDescent="0.25">
      <c r="A1" s="3" t="s">
        <v>42</v>
      </c>
      <c r="B1" s="3"/>
      <c r="C1" s="3"/>
      <c r="D1" s="3"/>
      <c r="E1" s="3"/>
      <c r="F1" s="3"/>
      <c r="G1" s="3"/>
    </row>
    <row r="2" spans="1:7" x14ac:dyDescent="0.25">
      <c r="A2" t="s">
        <v>10</v>
      </c>
      <c r="B2" s="1" t="s">
        <v>11</v>
      </c>
      <c r="D2" t="s">
        <v>2</v>
      </c>
    </row>
    <row r="3" spans="1:7" x14ac:dyDescent="0.25">
      <c r="A3" t="s">
        <v>60</v>
      </c>
      <c r="B3">
        <v>26.79</v>
      </c>
      <c r="D3" t="s">
        <v>12</v>
      </c>
      <c r="E3" t="s">
        <v>13</v>
      </c>
      <c r="G3" t="s">
        <v>14</v>
      </c>
    </row>
    <row r="4" spans="1:7" x14ac:dyDescent="0.25">
      <c r="A4" t="s">
        <v>61</v>
      </c>
      <c r="B4">
        <v>11.5</v>
      </c>
      <c r="D4" t="s">
        <v>9</v>
      </c>
      <c r="E4" t="s">
        <v>15</v>
      </c>
      <c r="G4" t="s">
        <v>14</v>
      </c>
    </row>
    <row r="5" spans="1:7" x14ac:dyDescent="0.25">
      <c r="D5" t="s">
        <v>16</v>
      </c>
      <c r="E5" t="s">
        <v>17</v>
      </c>
      <c r="G5" t="s">
        <v>14</v>
      </c>
    </row>
    <row r="6" spans="1:7" x14ac:dyDescent="0.25">
      <c r="A6" s="12" t="s">
        <v>72</v>
      </c>
      <c r="D6" t="s">
        <v>18</v>
      </c>
      <c r="E6" t="s">
        <v>19</v>
      </c>
      <c r="G6" t="s">
        <v>14</v>
      </c>
    </row>
    <row r="7" spans="1:7" x14ac:dyDescent="0.25">
      <c r="A7" s="12"/>
      <c r="D7" t="s">
        <v>20</v>
      </c>
      <c r="E7" t="s">
        <v>21</v>
      </c>
      <c r="G7" t="s">
        <v>14</v>
      </c>
    </row>
    <row r="8" spans="1:7" x14ac:dyDescent="0.25">
      <c r="A8" s="12"/>
      <c r="D8" t="s">
        <v>22</v>
      </c>
      <c r="E8" t="s">
        <v>23</v>
      </c>
      <c r="G8" t="s">
        <v>24</v>
      </c>
    </row>
    <row r="9" spans="1:7" x14ac:dyDescent="0.25">
      <c r="E9" t="s">
        <v>25</v>
      </c>
      <c r="G9" t="s">
        <v>24</v>
      </c>
    </row>
    <row r="10" spans="1:7" x14ac:dyDescent="0.25">
      <c r="D10" t="s">
        <v>7</v>
      </c>
      <c r="E10" t="s">
        <v>26</v>
      </c>
      <c r="G10" t="s">
        <v>24</v>
      </c>
    </row>
    <row r="11" spans="1:7" x14ac:dyDescent="0.25">
      <c r="D11" t="s">
        <v>27</v>
      </c>
      <c r="E11" t="s">
        <v>28</v>
      </c>
      <c r="G11" t="s">
        <v>14</v>
      </c>
    </row>
    <row r="14" spans="1:7" x14ac:dyDescent="0.25">
      <c r="D14" t="s">
        <v>3</v>
      </c>
      <c r="E14" t="s">
        <v>29</v>
      </c>
    </row>
    <row r="15" spans="1:7" x14ac:dyDescent="0.25">
      <c r="D15" t="s">
        <v>5</v>
      </c>
      <c r="E15" t="s">
        <v>30</v>
      </c>
      <c r="F15" t="s">
        <v>31</v>
      </c>
    </row>
    <row r="16" spans="1:7" x14ac:dyDescent="0.25">
      <c r="D16" t="s">
        <v>32</v>
      </c>
      <c r="E16" t="s">
        <v>33</v>
      </c>
    </row>
    <row r="17" spans="1:7" x14ac:dyDescent="0.25">
      <c r="D17" t="s">
        <v>34</v>
      </c>
      <c r="E17" t="s">
        <v>35</v>
      </c>
      <c r="F17" t="s">
        <v>36</v>
      </c>
    </row>
    <row r="18" spans="1:7" x14ac:dyDescent="0.25">
      <c r="D18" t="s">
        <v>37</v>
      </c>
      <c r="E18" t="s">
        <v>38</v>
      </c>
    </row>
    <row r="19" spans="1:7" x14ac:dyDescent="0.25">
      <c r="E19" t="s">
        <v>39</v>
      </c>
    </row>
    <row r="20" spans="1:7" x14ac:dyDescent="0.25">
      <c r="D20" t="s">
        <v>40</v>
      </c>
      <c r="E20" t="s">
        <v>41</v>
      </c>
    </row>
    <row r="23" spans="1:7" x14ac:dyDescent="0.25">
      <c r="A23" s="4" t="s">
        <v>43</v>
      </c>
      <c r="B23" s="4"/>
      <c r="C23" s="4"/>
      <c r="D23" s="4"/>
      <c r="E23" s="4"/>
      <c r="F23" s="4"/>
      <c r="G23" s="4"/>
    </row>
    <row r="24" spans="1:7" x14ac:dyDescent="0.25">
      <c r="A24" t="s">
        <v>10</v>
      </c>
      <c r="B24" t="s">
        <v>44</v>
      </c>
      <c r="C24" t="s">
        <v>45</v>
      </c>
      <c r="D24" t="s">
        <v>46</v>
      </c>
      <c r="E24" t="s">
        <v>50</v>
      </c>
    </row>
    <row r="25" spans="1:7" x14ac:dyDescent="0.25">
      <c r="A25" t="s">
        <v>60</v>
      </c>
      <c r="B25" s="1">
        <v>5</v>
      </c>
      <c r="C25" s="1" t="s">
        <v>62</v>
      </c>
      <c r="D25" t="s">
        <v>63</v>
      </c>
      <c r="E25" t="s">
        <v>68</v>
      </c>
      <c r="F25" t="s">
        <v>65</v>
      </c>
    </row>
    <row r="26" spans="1:7" x14ac:dyDescent="0.25">
      <c r="A26" t="s">
        <v>61</v>
      </c>
      <c r="B26" s="1">
        <v>4</v>
      </c>
      <c r="C26" s="1" t="s">
        <v>62</v>
      </c>
      <c r="D26" t="s">
        <v>63</v>
      </c>
      <c r="E26" t="s">
        <v>69</v>
      </c>
    </row>
    <row r="28" spans="1:7" x14ac:dyDescent="0.25">
      <c r="A28" s="5" t="s">
        <v>47</v>
      </c>
      <c r="B28" s="5"/>
      <c r="C28" s="5"/>
      <c r="D28" s="5"/>
      <c r="E28" s="5"/>
      <c r="F28" s="5"/>
      <c r="G28" s="5"/>
    </row>
    <row r="29" spans="1:7" x14ac:dyDescent="0.25">
      <c r="A29" t="s">
        <v>60</v>
      </c>
      <c r="B29" s="1">
        <v>71</v>
      </c>
      <c r="C29" s="1" t="s">
        <v>48</v>
      </c>
      <c r="D29" t="s">
        <v>49</v>
      </c>
      <c r="E29" s="6">
        <v>1958</v>
      </c>
      <c r="F29" t="s">
        <v>92</v>
      </c>
    </row>
    <row r="30" spans="1:7" x14ac:dyDescent="0.25">
      <c r="B30" s="1">
        <v>101</v>
      </c>
      <c r="C30" s="1" t="s">
        <v>48</v>
      </c>
      <c r="D30" t="s">
        <v>49</v>
      </c>
      <c r="E30" s="6">
        <v>1963</v>
      </c>
      <c r="F30" t="s">
        <v>92</v>
      </c>
    </row>
    <row r="31" spans="1:7" x14ac:dyDescent="0.25">
      <c r="B31" s="1">
        <v>87</v>
      </c>
      <c r="C31" s="1" t="s">
        <v>48</v>
      </c>
      <c r="D31" t="s">
        <v>49</v>
      </c>
      <c r="E31" s="6">
        <v>1970</v>
      </c>
      <c r="F31" t="s">
        <v>92</v>
      </c>
    </row>
    <row r="32" spans="1:7" x14ac:dyDescent="0.25">
      <c r="B32" s="1">
        <v>100</v>
      </c>
      <c r="C32" s="1" t="s">
        <v>48</v>
      </c>
      <c r="D32" t="s">
        <v>49</v>
      </c>
      <c r="E32" s="6" t="s">
        <v>70</v>
      </c>
      <c r="F32" t="s">
        <v>59</v>
      </c>
    </row>
    <row r="33" spans="1:6" x14ac:dyDescent="0.25">
      <c r="B33" s="1">
        <v>90</v>
      </c>
      <c r="C33" s="1" t="s">
        <v>73</v>
      </c>
      <c r="D33" t="s">
        <v>64</v>
      </c>
      <c r="E33" s="9" t="s">
        <v>74</v>
      </c>
      <c r="F33" t="s">
        <v>77</v>
      </c>
    </row>
    <row r="34" spans="1:6" x14ac:dyDescent="0.25">
      <c r="B34" s="1">
        <v>90</v>
      </c>
      <c r="C34" s="1" t="s">
        <v>48</v>
      </c>
      <c r="D34" t="s">
        <v>64</v>
      </c>
      <c r="E34" s="6" t="s">
        <v>75</v>
      </c>
      <c r="F34" t="s">
        <v>67</v>
      </c>
    </row>
    <row r="35" spans="1:6" x14ac:dyDescent="0.25">
      <c r="A35" t="s">
        <v>61</v>
      </c>
      <c r="B35" s="1">
        <v>33</v>
      </c>
      <c r="C35" s="1" t="s">
        <v>48</v>
      </c>
      <c r="D35" t="s">
        <v>49</v>
      </c>
      <c r="E35" s="6">
        <v>1958</v>
      </c>
      <c r="F35" t="s">
        <v>92</v>
      </c>
    </row>
    <row r="36" spans="1:6" x14ac:dyDescent="0.25">
      <c r="B36" s="1">
        <v>104</v>
      </c>
      <c r="C36" s="1" t="s">
        <v>48</v>
      </c>
      <c r="D36" t="s">
        <v>49</v>
      </c>
      <c r="E36" s="6">
        <v>1963</v>
      </c>
      <c r="F36" t="s">
        <v>92</v>
      </c>
    </row>
    <row r="37" spans="1:6" x14ac:dyDescent="0.25">
      <c r="B37" s="1">
        <v>46</v>
      </c>
      <c r="C37" s="1" t="s">
        <v>48</v>
      </c>
      <c r="D37" t="s">
        <v>49</v>
      </c>
      <c r="E37" s="6">
        <v>1970</v>
      </c>
      <c r="F37" t="s">
        <v>92</v>
      </c>
    </row>
    <row r="38" spans="1:6" x14ac:dyDescent="0.25">
      <c r="B38" s="1">
        <v>50</v>
      </c>
      <c r="C38" s="1" t="s">
        <v>48</v>
      </c>
      <c r="D38" t="s">
        <v>49</v>
      </c>
      <c r="E38" s="6" t="s">
        <v>71</v>
      </c>
      <c r="F38" t="s">
        <v>59</v>
      </c>
    </row>
    <row r="39" spans="1:6" x14ac:dyDescent="0.25">
      <c r="B39" s="1">
        <v>72</v>
      </c>
      <c r="C39" s="1">
        <v>2.5999999999999999E-3</v>
      </c>
      <c r="D39" t="s">
        <v>64</v>
      </c>
      <c r="E39" s="9" t="s">
        <v>76</v>
      </c>
      <c r="F39" t="s">
        <v>77</v>
      </c>
    </row>
    <row r="40" spans="1:6" x14ac:dyDescent="0.25">
      <c r="B40" s="8">
        <v>72</v>
      </c>
      <c r="C40" s="1" t="s">
        <v>48</v>
      </c>
      <c r="D40" t="s">
        <v>64</v>
      </c>
      <c r="E40" s="6">
        <v>2008</v>
      </c>
      <c r="F40" t="s">
        <v>66</v>
      </c>
    </row>
    <row r="41" spans="1:6" x14ac:dyDescent="0.25">
      <c r="F41" t="s">
        <v>65</v>
      </c>
    </row>
  </sheetData>
  <mergeCells count="1">
    <mergeCell ref="A6:A8"/>
  </mergeCells>
  <phoneticPr fontId="18" type="noConversion"/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651"/>
  <sheetViews>
    <sheetView workbookViewId="0">
      <pane ySplit="1" topLeftCell="A2" activePane="bottomLeft" state="frozen"/>
      <selection pane="bottomLeft" activeCell="K2" sqref="K2"/>
    </sheetView>
  </sheetViews>
  <sheetFormatPr defaultRowHeight="15" x14ac:dyDescent="0.25"/>
  <cols>
    <col min="1" max="2" width="9.140625" style="1"/>
    <col min="3" max="3" width="13.5703125" bestFit="1" customWidth="1"/>
    <col min="4" max="4" width="13.42578125" style="1" bestFit="1" customWidth="1"/>
    <col min="8" max="8" width="10.85546875" bestFit="1" customWidth="1"/>
    <col min="9" max="9" width="9.85546875" bestFit="1" customWidth="1"/>
  </cols>
  <sheetData>
    <row r="1" spans="1:11" ht="30" customHeight="1" x14ac:dyDescent="0.25">
      <c r="A1" s="1" t="s">
        <v>1</v>
      </c>
      <c r="B1" s="1" t="s">
        <v>98</v>
      </c>
      <c r="C1" t="s">
        <v>58</v>
      </c>
      <c r="D1" s="1" t="s">
        <v>2</v>
      </c>
      <c r="E1" s="1" t="s">
        <v>0</v>
      </c>
      <c r="F1" s="1" t="s">
        <v>100</v>
      </c>
      <c r="G1" s="7" t="s">
        <v>56</v>
      </c>
      <c r="H1" t="s">
        <v>4</v>
      </c>
      <c r="I1" s="7" t="s">
        <v>57</v>
      </c>
      <c r="J1" s="11" t="s">
        <v>102</v>
      </c>
      <c r="K1" s="11" t="s">
        <v>103</v>
      </c>
    </row>
    <row r="2" spans="1:11" x14ac:dyDescent="0.25">
      <c r="A2" s="1">
        <v>1958</v>
      </c>
      <c r="B2" s="1" t="s">
        <v>99</v>
      </c>
      <c r="C2" t="s">
        <v>6</v>
      </c>
      <c r="D2" s="1" t="s">
        <v>3</v>
      </c>
      <c r="E2">
        <v>17</v>
      </c>
      <c r="F2" s="1" t="s">
        <v>101</v>
      </c>
      <c r="G2">
        <v>8</v>
      </c>
      <c r="H2">
        <v>1</v>
      </c>
      <c r="I2" s="2">
        <f>0.005454*G2^2*H2</f>
        <v>0.34905599999999998</v>
      </c>
      <c r="J2">
        <f>I2/26.79</f>
        <v>1.3029339305711086E-2</v>
      </c>
      <c r="K2">
        <f>J2*(26.79/38.29)</f>
        <v>9.1161138678506129E-3</v>
      </c>
    </row>
    <row r="3" spans="1:11" x14ac:dyDescent="0.25">
      <c r="A3" s="1">
        <v>1958</v>
      </c>
      <c r="B3" s="1" t="s">
        <v>99</v>
      </c>
      <c r="C3" t="s">
        <v>6</v>
      </c>
      <c r="D3" s="1" t="s">
        <v>3</v>
      </c>
      <c r="E3">
        <v>17</v>
      </c>
      <c r="F3" s="1" t="s">
        <v>101</v>
      </c>
      <c r="G3">
        <v>12</v>
      </c>
      <c r="H3">
        <v>1</v>
      </c>
      <c r="I3" s="2">
        <f t="shared" ref="I3:I66" si="0">0.005454*G3^2*H3</f>
        <v>0.78537599999999996</v>
      </c>
      <c r="J3">
        <f t="shared" ref="J3:J66" si="1">I3/26.79</f>
        <v>2.9316013437849942E-2</v>
      </c>
      <c r="K3">
        <f t="shared" ref="K3:K66" si="2">J3*(26.79/38.29)</f>
        <v>2.0511256202663877E-2</v>
      </c>
    </row>
    <row r="4" spans="1:11" x14ac:dyDescent="0.25">
      <c r="A4" s="1">
        <v>1958</v>
      </c>
      <c r="B4" s="1" t="s">
        <v>99</v>
      </c>
      <c r="C4" t="s">
        <v>6</v>
      </c>
      <c r="D4" s="1" t="s">
        <v>3</v>
      </c>
      <c r="E4">
        <v>17</v>
      </c>
      <c r="F4" s="1" t="s">
        <v>101</v>
      </c>
      <c r="G4">
        <v>14</v>
      </c>
      <c r="H4">
        <v>2</v>
      </c>
      <c r="I4" s="2">
        <f t="shared" si="0"/>
        <v>2.1379679999999999</v>
      </c>
      <c r="J4">
        <f t="shared" si="1"/>
        <v>7.9804703247480402E-2</v>
      </c>
      <c r="K4">
        <f t="shared" si="2"/>
        <v>5.5836197440585003E-2</v>
      </c>
    </row>
    <row r="5" spans="1:11" x14ac:dyDescent="0.25">
      <c r="A5" s="1">
        <v>1958</v>
      </c>
      <c r="B5" s="1" t="s">
        <v>99</v>
      </c>
      <c r="C5" t="s">
        <v>6</v>
      </c>
      <c r="D5" s="1" t="s">
        <v>3</v>
      </c>
      <c r="E5">
        <v>19</v>
      </c>
      <c r="F5" s="1" t="s">
        <v>101</v>
      </c>
      <c r="G5">
        <v>14</v>
      </c>
      <c r="H5">
        <v>1</v>
      </c>
      <c r="I5" s="2">
        <f t="shared" si="0"/>
        <v>1.0689839999999999</v>
      </c>
      <c r="J5">
        <f t="shared" si="1"/>
        <v>3.9902351623740201E-2</v>
      </c>
      <c r="K5">
        <f t="shared" si="2"/>
        <v>2.7918098720292502E-2</v>
      </c>
    </row>
    <row r="6" spans="1:11" x14ac:dyDescent="0.25">
      <c r="A6" s="1">
        <v>1958</v>
      </c>
      <c r="B6" s="1" t="s">
        <v>99</v>
      </c>
      <c r="C6" t="s">
        <v>6</v>
      </c>
      <c r="D6" s="1" t="s">
        <v>3</v>
      </c>
      <c r="E6">
        <v>21</v>
      </c>
      <c r="F6" s="1" t="s">
        <v>101</v>
      </c>
      <c r="G6">
        <v>6</v>
      </c>
      <c r="H6">
        <v>14</v>
      </c>
      <c r="I6" s="2">
        <f t="shared" si="0"/>
        <v>2.7488159999999997</v>
      </c>
      <c r="J6">
        <f t="shared" si="1"/>
        <v>0.10260604703247479</v>
      </c>
      <c r="K6">
        <f t="shared" si="2"/>
        <v>7.1789396709323564E-2</v>
      </c>
    </row>
    <row r="7" spans="1:11" x14ac:dyDescent="0.25">
      <c r="A7" s="1">
        <v>1958</v>
      </c>
      <c r="B7" s="1" t="s">
        <v>99</v>
      </c>
      <c r="C7" t="s">
        <v>6</v>
      </c>
      <c r="D7" s="1" t="s">
        <v>3</v>
      </c>
      <c r="E7">
        <v>21</v>
      </c>
      <c r="F7" s="1" t="s">
        <v>101</v>
      </c>
      <c r="G7">
        <v>8</v>
      </c>
      <c r="H7">
        <v>10</v>
      </c>
      <c r="I7" s="2">
        <f t="shared" si="0"/>
        <v>3.4905599999999999</v>
      </c>
      <c r="J7">
        <f t="shared" si="1"/>
        <v>0.13029339305711085</v>
      </c>
      <c r="K7">
        <f t="shared" si="2"/>
        <v>9.1161138678506129E-2</v>
      </c>
    </row>
    <row r="8" spans="1:11" x14ac:dyDescent="0.25">
      <c r="A8" s="1">
        <v>1958</v>
      </c>
      <c r="B8" s="1" t="s">
        <v>99</v>
      </c>
      <c r="C8" t="s">
        <v>6</v>
      </c>
      <c r="D8" s="1" t="s">
        <v>3</v>
      </c>
      <c r="E8">
        <v>21</v>
      </c>
      <c r="F8" s="1" t="s">
        <v>101</v>
      </c>
      <c r="G8">
        <v>10</v>
      </c>
      <c r="H8">
        <v>8</v>
      </c>
      <c r="I8" s="2">
        <f t="shared" si="0"/>
        <v>4.3632</v>
      </c>
      <c r="J8">
        <f t="shared" si="1"/>
        <v>0.16286674132138859</v>
      </c>
      <c r="K8">
        <f t="shared" si="2"/>
        <v>0.11395142334813267</v>
      </c>
    </row>
    <row r="9" spans="1:11" x14ac:dyDescent="0.25">
      <c r="A9" s="1">
        <v>1958</v>
      </c>
      <c r="B9" s="1" t="s">
        <v>99</v>
      </c>
      <c r="C9" t="s">
        <v>6</v>
      </c>
      <c r="D9" s="1" t="s">
        <v>3</v>
      </c>
      <c r="E9">
        <v>21</v>
      </c>
      <c r="F9" s="1" t="s">
        <v>101</v>
      </c>
      <c r="G9">
        <v>12</v>
      </c>
      <c r="H9">
        <v>9</v>
      </c>
      <c r="I9" s="2">
        <f t="shared" si="0"/>
        <v>7.068384</v>
      </c>
      <c r="J9">
        <f t="shared" si="1"/>
        <v>0.26384412094064952</v>
      </c>
      <c r="K9">
        <f t="shared" si="2"/>
        <v>0.18460130582397494</v>
      </c>
    </row>
    <row r="10" spans="1:11" x14ac:dyDescent="0.25">
      <c r="A10" s="1">
        <v>1958</v>
      </c>
      <c r="B10" s="1" t="s">
        <v>99</v>
      </c>
      <c r="C10" t="s">
        <v>6</v>
      </c>
      <c r="D10" s="1" t="s">
        <v>3</v>
      </c>
      <c r="E10">
        <v>21</v>
      </c>
      <c r="F10" s="1" t="s">
        <v>101</v>
      </c>
      <c r="G10">
        <v>14</v>
      </c>
      <c r="H10">
        <v>14</v>
      </c>
      <c r="I10" s="2">
        <f t="shared" si="0"/>
        <v>14.965775999999998</v>
      </c>
      <c r="J10">
        <f t="shared" si="1"/>
        <v>0.55863292273236276</v>
      </c>
      <c r="K10">
        <f t="shared" si="2"/>
        <v>0.39085338208409498</v>
      </c>
    </row>
    <row r="11" spans="1:11" x14ac:dyDescent="0.25">
      <c r="A11" s="1">
        <v>1958</v>
      </c>
      <c r="B11" s="1" t="s">
        <v>99</v>
      </c>
      <c r="C11" t="s">
        <v>6</v>
      </c>
      <c r="D11" s="1" t="s">
        <v>3</v>
      </c>
      <c r="E11">
        <v>21</v>
      </c>
      <c r="F11" s="1" t="s">
        <v>101</v>
      </c>
      <c r="G11">
        <v>16</v>
      </c>
      <c r="H11">
        <v>19</v>
      </c>
      <c r="I11" s="2">
        <f t="shared" si="0"/>
        <v>26.528255999999999</v>
      </c>
      <c r="J11">
        <f t="shared" si="1"/>
        <v>0.99022978723404254</v>
      </c>
      <c r="K11">
        <f t="shared" si="2"/>
        <v>0.69282465395664661</v>
      </c>
    </row>
    <row r="12" spans="1:11" x14ac:dyDescent="0.25">
      <c r="A12" s="1">
        <v>1958</v>
      </c>
      <c r="B12" s="1" t="s">
        <v>99</v>
      </c>
      <c r="C12" t="s">
        <v>6</v>
      </c>
      <c r="D12" s="1" t="s">
        <v>3</v>
      </c>
      <c r="E12">
        <v>21</v>
      </c>
      <c r="F12" s="1" t="s">
        <v>101</v>
      </c>
      <c r="G12">
        <v>18</v>
      </c>
      <c r="H12">
        <v>23</v>
      </c>
      <c r="I12" s="2">
        <f t="shared" si="0"/>
        <v>40.643207999999994</v>
      </c>
      <c r="J12">
        <f t="shared" si="1"/>
        <v>1.5171036954087345</v>
      </c>
      <c r="K12">
        <f t="shared" si="2"/>
        <v>1.0614575084878557</v>
      </c>
    </row>
    <row r="13" spans="1:11" x14ac:dyDescent="0.25">
      <c r="A13" s="1">
        <v>1958</v>
      </c>
      <c r="B13" s="1" t="s">
        <v>99</v>
      </c>
      <c r="C13" t="s">
        <v>6</v>
      </c>
      <c r="D13" s="1" t="s">
        <v>3</v>
      </c>
      <c r="E13">
        <v>21</v>
      </c>
      <c r="F13" s="1" t="s">
        <v>101</v>
      </c>
      <c r="G13">
        <v>20</v>
      </c>
      <c r="H13">
        <v>18</v>
      </c>
      <c r="I13" s="2">
        <f t="shared" si="0"/>
        <v>39.268799999999999</v>
      </c>
      <c r="J13">
        <f t="shared" si="1"/>
        <v>1.4658006718924972</v>
      </c>
      <c r="K13">
        <f t="shared" si="2"/>
        <v>1.0255628101331939</v>
      </c>
    </row>
    <row r="14" spans="1:11" x14ac:dyDescent="0.25">
      <c r="A14" s="1">
        <v>1958</v>
      </c>
      <c r="B14" s="1" t="s">
        <v>99</v>
      </c>
      <c r="C14" t="s">
        <v>6</v>
      </c>
      <c r="D14" s="1" t="s">
        <v>3</v>
      </c>
      <c r="E14">
        <v>21</v>
      </c>
      <c r="F14" s="1" t="s">
        <v>101</v>
      </c>
      <c r="G14">
        <v>22</v>
      </c>
      <c r="H14">
        <v>9</v>
      </c>
      <c r="I14" s="2">
        <f t="shared" si="0"/>
        <v>23.757623999999996</v>
      </c>
      <c r="J14">
        <f t="shared" si="1"/>
        <v>0.88680940649496065</v>
      </c>
      <c r="K14">
        <f t="shared" si="2"/>
        <v>0.62046550013058221</v>
      </c>
    </row>
    <row r="15" spans="1:11" x14ac:dyDescent="0.25">
      <c r="A15" s="1">
        <v>1958</v>
      </c>
      <c r="B15" s="1" t="s">
        <v>99</v>
      </c>
      <c r="C15" t="s">
        <v>6</v>
      </c>
      <c r="D15" s="1" t="s">
        <v>3</v>
      </c>
      <c r="E15">
        <v>21</v>
      </c>
      <c r="F15" s="1" t="s">
        <v>101</v>
      </c>
      <c r="G15">
        <v>24</v>
      </c>
      <c r="H15">
        <v>5</v>
      </c>
      <c r="I15" s="2">
        <f t="shared" si="0"/>
        <v>15.707519999999999</v>
      </c>
      <c r="J15">
        <f t="shared" si="1"/>
        <v>0.58632026875699883</v>
      </c>
      <c r="K15">
        <f t="shared" si="2"/>
        <v>0.41022512405327755</v>
      </c>
    </row>
    <row r="16" spans="1:11" x14ac:dyDescent="0.25">
      <c r="A16" s="1">
        <v>1958</v>
      </c>
      <c r="B16" s="1" t="s">
        <v>99</v>
      </c>
      <c r="C16" t="s">
        <v>6</v>
      </c>
      <c r="D16" s="1" t="s">
        <v>3</v>
      </c>
      <c r="E16">
        <v>25</v>
      </c>
      <c r="F16" s="1" t="s">
        <v>101</v>
      </c>
      <c r="G16">
        <v>10</v>
      </c>
      <c r="H16">
        <v>1</v>
      </c>
      <c r="I16" s="2">
        <f t="shared" si="0"/>
        <v>0.5454</v>
      </c>
      <c r="J16">
        <f t="shared" si="1"/>
        <v>2.0358342665173574E-2</v>
      </c>
      <c r="K16">
        <f t="shared" si="2"/>
        <v>1.4243927918516584E-2</v>
      </c>
    </row>
    <row r="17" spans="1:11" x14ac:dyDescent="0.25">
      <c r="A17" s="1">
        <v>1958</v>
      </c>
      <c r="B17" s="1" t="s">
        <v>99</v>
      </c>
      <c r="C17" t="s">
        <v>6</v>
      </c>
      <c r="D17" s="1" t="s">
        <v>3</v>
      </c>
      <c r="E17">
        <v>25</v>
      </c>
      <c r="F17" s="1" t="s">
        <v>101</v>
      </c>
      <c r="G17">
        <v>16</v>
      </c>
      <c r="H17">
        <v>1</v>
      </c>
      <c r="I17" s="2">
        <f t="shared" si="0"/>
        <v>1.3962239999999999</v>
      </c>
      <c r="J17">
        <f t="shared" si="1"/>
        <v>5.2117357222844343E-2</v>
      </c>
      <c r="K17">
        <f t="shared" si="2"/>
        <v>3.6464455471402452E-2</v>
      </c>
    </row>
    <row r="18" spans="1:11" x14ac:dyDescent="0.25">
      <c r="A18" s="1">
        <v>1958</v>
      </c>
      <c r="B18" s="1" t="s">
        <v>99</v>
      </c>
      <c r="C18" t="s">
        <v>6</v>
      </c>
      <c r="D18" s="1" t="s">
        <v>3</v>
      </c>
      <c r="E18">
        <v>25</v>
      </c>
      <c r="F18" s="1" t="s">
        <v>101</v>
      </c>
      <c r="G18">
        <v>20</v>
      </c>
      <c r="H18">
        <v>1</v>
      </c>
      <c r="I18" s="2">
        <f t="shared" si="0"/>
        <v>2.1816</v>
      </c>
      <c r="J18">
        <f t="shared" si="1"/>
        <v>8.1433370660694296E-2</v>
      </c>
      <c r="K18">
        <f t="shared" si="2"/>
        <v>5.6975711674066336E-2</v>
      </c>
    </row>
    <row r="19" spans="1:11" x14ac:dyDescent="0.25">
      <c r="A19" s="1">
        <v>1958</v>
      </c>
      <c r="B19" s="1" t="s">
        <v>99</v>
      </c>
      <c r="C19" t="s">
        <v>6</v>
      </c>
      <c r="D19" s="1" t="s">
        <v>3</v>
      </c>
      <c r="E19">
        <v>28</v>
      </c>
      <c r="F19" s="1" t="s">
        <v>101</v>
      </c>
      <c r="G19">
        <v>10</v>
      </c>
      <c r="H19">
        <v>1</v>
      </c>
      <c r="I19" s="2">
        <f t="shared" si="0"/>
        <v>0.5454</v>
      </c>
      <c r="J19">
        <f t="shared" si="1"/>
        <v>2.0358342665173574E-2</v>
      </c>
      <c r="K19">
        <f t="shared" si="2"/>
        <v>1.4243927918516584E-2</v>
      </c>
    </row>
    <row r="20" spans="1:11" x14ac:dyDescent="0.25">
      <c r="A20" s="1">
        <v>1958</v>
      </c>
      <c r="B20" s="1" t="s">
        <v>99</v>
      </c>
      <c r="C20" t="s">
        <v>6</v>
      </c>
      <c r="D20" s="1" t="s">
        <v>3</v>
      </c>
      <c r="E20">
        <v>29</v>
      </c>
      <c r="F20" s="1" t="s">
        <v>101</v>
      </c>
      <c r="G20">
        <v>6</v>
      </c>
      <c r="H20">
        <v>69</v>
      </c>
      <c r="I20" s="2">
        <f t="shared" si="0"/>
        <v>13.547735999999999</v>
      </c>
      <c r="J20">
        <f t="shared" si="1"/>
        <v>0.50570123180291149</v>
      </c>
      <c r="K20">
        <f t="shared" si="2"/>
        <v>0.35381916949595188</v>
      </c>
    </row>
    <row r="21" spans="1:11" x14ac:dyDescent="0.25">
      <c r="A21" s="1">
        <v>1958</v>
      </c>
      <c r="B21" s="1" t="s">
        <v>99</v>
      </c>
      <c r="C21" t="s">
        <v>6</v>
      </c>
      <c r="D21" s="1" t="s">
        <v>3</v>
      </c>
      <c r="E21">
        <v>29</v>
      </c>
      <c r="F21" s="1" t="s">
        <v>101</v>
      </c>
      <c r="G21">
        <v>8</v>
      </c>
      <c r="H21">
        <v>33</v>
      </c>
      <c r="I21" s="2">
        <f t="shared" si="0"/>
        <v>11.518847999999998</v>
      </c>
      <c r="J21">
        <f t="shared" si="1"/>
        <v>0.42996819708846579</v>
      </c>
      <c r="K21">
        <f t="shared" si="2"/>
        <v>0.30083175763907022</v>
      </c>
    </row>
    <row r="22" spans="1:11" x14ac:dyDescent="0.25">
      <c r="A22" s="1">
        <v>1958</v>
      </c>
      <c r="B22" s="1" t="s">
        <v>99</v>
      </c>
      <c r="C22" t="s">
        <v>6</v>
      </c>
      <c r="D22" s="1" t="s">
        <v>3</v>
      </c>
      <c r="E22">
        <v>29</v>
      </c>
      <c r="F22" s="1" t="s">
        <v>101</v>
      </c>
      <c r="G22">
        <v>10</v>
      </c>
      <c r="H22">
        <v>14</v>
      </c>
      <c r="I22" s="2">
        <f t="shared" si="0"/>
        <v>7.6356000000000002</v>
      </c>
      <c r="J22">
        <f t="shared" si="1"/>
        <v>0.28501679731243001</v>
      </c>
      <c r="K22">
        <f t="shared" si="2"/>
        <v>0.19941499085923217</v>
      </c>
    </row>
    <row r="23" spans="1:11" x14ac:dyDescent="0.25">
      <c r="A23" s="1">
        <v>1958</v>
      </c>
      <c r="B23" s="1" t="s">
        <v>99</v>
      </c>
      <c r="C23" t="s">
        <v>6</v>
      </c>
      <c r="D23" s="1" t="s">
        <v>3</v>
      </c>
      <c r="E23">
        <v>29</v>
      </c>
      <c r="F23" s="1" t="s">
        <v>101</v>
      </c>
      <c r="G23">
        <v>12</v>
      </c>
      <c r="H23">
        <v>4</v>
      </c>
      <c r="I23" s="2">
        <f t="shared" si="0"/>
        <v>3.1415039999999999</v>
      </c>
      <c r="J23">
        <f t="shared" si="1"/>
        <v>0.11726405375139977</v>
      </c>
      <c r="K23">
        <f t="shared" si="2"/>
        <v>8.2045024810655509E-2</v>
      </c>
    </row>
    <row r="24" spans="1:11" x14ac:dyDescent="0.25">
      <c r="A24" s="1">
        <v>1958</v>
      </c>
      <c r="B24" s="1" t="s">
        <v>99</v>
      </c>
      <c r="C24" t="s">
        <v>6</v>
      </c>
      <c r="D24" s="1" t="s">
        <v>3</v>
      </c>
      <c r="E24">
        <v>29</v>
      </c>
      <c r="F24" s="1" t="s">
        <v>101</v>
      </c>
      <c r="G24">
        <v>16</v>
      </c>
      <c r="H24">
        <v>2</v>
      </c>
      <c r="I24" s="2">
        <f t="shared" si="0"/>
        <v>2.7924479999999998</v>
      </c>
      <c r="J24">
        <f t="shared" si="1"/>
        <v>0.10423471444568869</v>
      </c>
      <c r="K24">
        <f t="shared" si="2"/>
        <v>7.2928910942804903E-2</v>
      </c>
    </row>
    <row r="25" spans="1:11" x14ac:dyDescent="0.25">
      <c r="A25" s="1">
        <v>1958</v>
      </c>
      <c r="B25" s="1" t="s">
        <v>99</v>
      </c>
      <c r="C25" t="s">
        <v>6</v>
      </c>
      <c r="D25" s="1" t="s">
        <v>3</v>
      </c>
      <c r="E25">
        <v>29</v>
      </c>
      <c r="F25" s="1" t="s">
        <v>101</v>
      </c>
      <c r="G25">
        <v>24</v>
      </c>
      <c r="H25">
        <v>1</v>
      </c>
      <c r="I25" s="2">
        <f t="shared" si="0"/>
        <v>3.1415039999999999</v>
      </c>
      <c r="J25">
        <f t="shared" si="1"/>
        <v>0.11726405375139977</v>
      </c>
      <c r="K25">
        <f t="shared" si="2"/>
        <v>8.2045024810655509E-2</v>
      </c>
    </row>
    <row r="26" spans="1:11" x14ac:dyDescent="0.25">
      <c r="A26" s="1">
        <v>1958</v>
      </c>
      <c r="B26" s="1" t="s">
        <v>99</v>
      </c>
      <c r="C26" t="s">
        <v>6</v>
      </c>
      <c r="D26" s="1" t="s">
        <v>3</v>
      </c>
      <c r="E26">
        <v>30</v>
      </c>
      <c r="F26" s="1" t="s">
        <v>101</v>
      </c>
      <c r="G26">
        <v>6</v>
      </c>
      <c r="H26">
        <v>1</v>
      </c>
      <c r="I26" s="2">
        <f t="shared" si="0"/>
        <v>0.19634399999999999</v>
      </c>
      <c r="J26">
        <f t="shared" si="1"/>
        <v>7.3290033594624856E-3</v>
      </c>
      <c r="K26">
        <f t="shared" si="2"/>
        <v>5.1278140506659693E-3</v>
      </c>
    </row>
    <row r="27" spans="1:11" x14ac:dyDescent="0.25">
      <c r="A27" s="1">
        <v>1958</v>
      </c>
      <c r="B27" s="1" t="s">
        <v>99</v>
      </c>
      <c r="C27" t="s">
        <v>6</v>
      </c>
      <c r="D27" s="1" t="s">
        <v>3</v>
      </c>
      <c r="E27">
        <v>30</v>
      </c>
      <c r="F27" s="1" t="s">
        <v>101</v>
      </c>
      <c r="G27">
        <v>8</v>
      </c>
      <c r="H27">
        <v>1</v>
      </c>
      <c r="I27" s="2">
        <f t="shared" si="0"/>
        <v>0.34905599999999998</v>
      </c>
      <c r="J27">
        <f t="shared" si="1"/>
        <v>1.3029339305711086E-2</v>
      </c>
      <c r="K27">
        <f t="shared" si="2"/>
        <v>9.1161138678506129E-3</v>
      </c>
    </row>
    <row r="28" spans="1:11" x14ac:dyDescent="0.25">
      <c r="A28" s="1">
        <v>1958</v>
      </c>
      <c r="B28" s="1" t="s">
        <v>99</v>
      </c>
      <c r="C28" t="s">
        <v>6</v>
      </c>
      <c r="D28" s="1" t="s">
        <v>3</v>
      </c>
      <c r="E28">
        <v>32</v>
      </c>
      <c r="F28" s="1" t="s">
        <v>101</v>
      </c>
      <c r="G28">
        <v>6</v>
      </c>
      <c r="H28">
        <v>9</v>
      </c>
      <c r="I28" s="2">
        <f t="shared" si="0"/>
        <v>1.767096</v>
      </c>
      <c r="J28">
        <f t="shared" si="1"/>
        <v>6.596103023516238E-2</v>
      </c>
      <c r="K28">
        <f t="shared" si="2"/>
        <v>4.6150326455993734E-2</v>
      </c>
    </row>
    <row r="29" spans="1:11" x14ac:dyDescent="0.25">
      <c r="A29" s="1">
        <v>1958</v>
      </c>
      <c r="B29" s="1" t="s">
        <v>99</v>
      </c>
      <c r="C29" t="s">
        <v>6</v>
      </c>
      <c r="D29" s="1" t="s">
        <v>3</v>
      </c>
      <c r="E29">
        <v>32</v>
      </c>
      <c r="F29" s="1" t="s">
        <v>101</v>
      </c>
      <c r="G29">
        <v>8</v>
      </c>
      <c r="H29">
        <v>8</v>
      </c>
      <c r="I29" s="2">
        <f t="shared" si="0"/>
        <v>2.7924479999999998</v>
      </c>
      <c r="J29">
        <f t="shared" si="1"/>
        <v>0.10423471444568869</v>
      </c>
      <c r="K29">
        <f t="shared" si="2"/>
        <v>7.2928910942804903E-2</v>
      </c>
    </row>
    <row r="30" spans="1:11" x14ac:dyDescent="0.25">
      <c r="A30" s="1">
        <v>1958</v>
      </c>
      <c r="B30" s="1" t="s">
        <v>99</v>
      </c>
      <c r="C30" t="s">
        <v>6</v>
      </c>
      <c r="D30" s="1" t="s">
        <v>3</v>
      </c>
      <c r="E30">
        <v>32</v>
      </c>
      <c r="F30" s="1" t="s">
        <v>101</v>
      </c>
      <c r="G30">
        <v>10</v>
      </c>
      <c r="H30">
        <v>2</v>
      </c>
      <c r="I30" s="2">
        <f t="shared" si="0"/>
        <v>1.0908</v>
      </c>
      <c r="J30">
        <f t="shared" si="1"/>
        <v>4.0716685330347148E-2</v>
      </c>
      <c r="K30">
        <f t="shared" si="2"/>
        <v>2.8487855837033168E-2</v>
      </c>
    </row>
    <row r="31" spans="1:11" x14ac:dyDescent="0.25">
      <c r="A31" s="1">
        <v>1958</v>
      </c>
      <c r="B31" s="1" t="s">
        <v>99</v>
      </c>
      <c r="C31" t="s">
        <v>6</v>
      </c>
      <c r="D31" s="1" t="s">
        <v>3</v>
      </c>
      <c r="E31">
        <v>32</v>
      </c>
      <c r="F31" s="1" t="s">
        <v>101</v>
      </c>
      <c r="G31">
        <v>12</v>
      </c>
      <c r="H31">
        <v>12</v>
      </c>
      <c r="I31" s="2">
        <f t="shared" si="0"/>
        <v>9.424512</v>
      </c>
      <c r="J31">
        <f t="shared" si="1"/>
        <v>0.35179216125419932</v>
      </c>
      <c r="K31">
        <f t="shared" si="2"/>
        <v>0.24613507443196656</v>
      </c>
    </row>
    <row r="32" spans="1:11" x14ac:dyDescent="0.25">
      <c r="A32" s="1">
        <v>1958</v>
      </c>
      <c r="B32" s="1" t="s">
        <v>99</v>
      </c>
      <c r="C32" t="s">
        <v>6</v>
      </c>
      <c r="D32" s="1" t="s">
        <v>3</v>
      </c>
      <c r="E32">
        <v>32</v>
      </c>
      <c r="F32" s="1" t="s">
        <v>101</v>
      </c>
      <c r="G32">
        <v>14</v>
      </c>
      <c r="H32">
        <v>6</v>
      </c>
      <c r="I32" s="2">
        <f t="shared" si="0"/>
        <v>6.4139039999999996</v>
      </c>
      <c r="J32">
        <f t="shared" si="1"/>
        <v>0.23941410974244121</v>
      </c>
      <c r="K32">
        <f t="shared" si="2"/>
        <v>0.16750859232175502</v>
      </c>
    </row>
    <row r="33" spans="1:11" x14ac:dyDescent="0.25">
      <c r="A33" s="1">
        <v>1958</v>
      </c>
      <c r="B33" s="1" t="s">
        <v>99</v>
      </c>
      <c r="C33" t="s">
        <v>6</v>
      </c>
      <c r="D33" s="1" t="s">
        <v>3</v>
      </c>
      <c r="E33">
        <v>32</v>
      </c>
      <c r="F33" s="1" t="s">
        <v>101</v>
      </c>
      <c r="G33">
        <v>16</v>
      </c>
      <c r="H33">
        <v>8</v>
      </c>
      <c r="I33" s="2">
        <f t="shared" si="0"/>
        <v>11.169791999999999</v>
      </c>
      <c r="J33">
        <f t="shared" si="1"/>
        <v>0.41693885778275475</v>
      </c>
      <c r="K33">
        <f t="shared" si="2"/>
        <v>0.29171564377121961</v>
      </c>
    </row>
    <row r="34" spans="1:11" x14ac:dyDescent="0.25">
      <c r="A34" s="1">
        <v>1958</v>
      </c>
      <c r="B34" s="1" t="s">
        <v>99</v>
      </c>
      <c r="C34" t="s">
        <v>6</v>
      </c>
      <c r="D34" s="1" t="s">
        <v>3</v>
      </c>
      <c r="E34">
        <v>32</v>
      </c>
      <c r="F34" s="1" t="s">
        <v>101</v>
      </c>
      <c r="G34">
        <v>18</v>
      </c>
      <c r="H34">
        <v>5</v>
      </c>
      <c r="I34" s="2">
        <f t="shared" si="0"/>
        <v>8.8354799999999987</v>
      </c>
      <c r="J34">
        <f t="shared" si="1"/>
        <v>0.32980515117581183</v>
      </c>
      <c r="K34">
        <f t="shared" si="2"/>
        <v>0.23075163227996862</v>
      </c>
    </row>
    <row r="35" spans="1:11" x14ac:dyDescent="0.25">
      <c r="A35" s="1">
        <v>1958</v>
      </c>
      <c r="B35" s="1" t="s">
        <v>99</v>
      </c>
      <c r="C35" t="s">
        <v>6</v>
      </c>
      <c r="D35" s="1" t="s">
        <v>3</v>
      </c>
      <c r="E35">
        <v>32</v>
      </c>
      <c r="F35" s="1" t="s">
        <v>101</v>
      </c>
      <c r="G35">
        <v>20</v>
      </c>
      <c r="H35">
        <v>2</v>
      </c>
      <c r="I35" s="2">
        <f t="shared" si="0"/>
        <v>4.3632</v>
      </c>
      <c r="J35">
        <f t="shared" si="1"/>
        <v>0.16286674132138859</v>
      </c>
      <c r="K35">
        <f t="shared" si="2"/>
        <v>0.11395142334813267</v>
      </c>
    </row>
    <row r="36" spans="1:11" x14ac:dyDescent="0.25">
      <c r="A36" s="1">
        <v>1958</v>
      </c>
      <c r="B36" s="1" t="s">
        <v>99</v>
      </c>
      <c r="C36" t="s">
        <v>6</v>
      </c>
      <c r="D36" s="1" t="s">
        <v>3</v>
      </c>
      <c r="E36">
        <v>32</v>
      </c>
      <c r="F36" s="1" t="s">
        <v>101</v>
      </c>
      <c r="G36">
        <v>22</v>
      </c>
      <c r="H36">
        <v>3</v>
      </c>
      <c r="I36" s="2">
        <f t="shared" si="0"/>
        <v>7.9192079999999994</v>
      </c>
      <c r="J36">
        <f t="shared" si="1"/>
        <v>0.29560313549832024</v>
      </c>
      <c r="K36">
        <f t="shared" si="2"/>
        <v>0.20682183337686078</v>
      </c>
    </row>
    <row r="37" spans="1:11" x14ac:dyDescent="0.25">
      <c r="A37" s="1">
        <v>1958</v>
      </c>
      <c r="B37" s="1" t="s">
        <v>99</v>
      </c>
      <c r="C37" t="s">
        <v>6</v>
      </c>
      <c r="D37" s="1" t="s">
        <v>3</v>
      </c>
      <c r="E37">
        <v>32</v>
      </c>
      <c r="F37" s="1" t="s">
        <v>101</v>
      </c>
      <c r="G37">
        <v>26</v>
      </c>
      <c r="H37">
        <v>2</v>
      </c>
      <c r="I37" s="2">
        <f t="shared" si="0"/>
        <v>7.3738079999999995</v>
      </c>
      <c r="J37">
        <f t="shared" si="1"/>
        <v>0.27524479283314668</v>
      </c>
      <c r="K37">
        <f t="shared" si="2"/>
        <v>0.19257790545834419</v>
      </c>
    </row>
    <row r="38" spans="1:11" x14ac:dyDescent="0.25">
      <c r="A38" s="1">
        <v>1958</v>
      </c>
      <c r="B38" s="1" t="s">
        <v>99</v>
      </c>
      <c r="C38" t="s">
        <v>6</v>
      </c>
      <c r="D38" s="1" t="s">
        <v>3</v>
      </c>
      <c r="E38">
        <v>34</v>
      </c>
      <c r="F38" s="1" t="s">
        <v>101</v>
      </c>
      <c r="G38">
        <v>6</v>
      </c>
      <c r="H38">
        <v>118</v>
      </c>
      <c r="I38" s="2">
        <f t="shared" si="0"/>
        <v>23.168592</v>
      </c>
      <c r="J38">
        <f t="shared" si="1"/>
        <v>0.86482239641657344</v>
      </c>
      <c r="K38">
        <f t="shared" si="2"/>
        <v>0.6050820579785845</v>
      </c>
    </row>
    <row r="39" spans="1:11" x14ac:dyDescent="0.25">
      <c r="A39" s="1">
        <v>1958</v>
      </c>
      <c r="B39" s="1" t="s">
        <v>99</v>
      </c>
      <c r="C39" t="s">
        <v>6</v>
      </c>
      <c r="D39" s="1" t="s">
        <v>3</v>
      </c>
      <c r="E39">
        <v>34</v>
      </c>
      <c r="F39" s="1" t="s">
        <v>101</v>
      </c>
      <c r="G39">
        <v>8</v>
      </c>
      <c r="H39">
        <v>66</v>
      </c>
      <c r="I39" s="2">
        <f t="shared" si="0"/>
        <v>23.037695999999997</v>
      </c>
      <c r="J39">
        <f t="shared" si="1"/>
        <v>0.85993639417693157</v>
      </c>
      <c r="K39">
        <f t="shared" si="2"/>
        <v>0.60166351527814044</v>
      </c>
    </row>
    <row r="40" spans="1:11" x14ac:dyDescent="0.25">
      <c r="A40" s="1">
        <v>1958</v>
      </c>
      <c r="B40" s="1" t="s">
        <v>99</v>
      </c>
      <c r="C40" t="s">
        <v>6</v>
      </c>
      <c r="D40" s="1" t="s">
        <v>3</v>
      </c>
      <c r="E40">
        <v>34</v>
      </c>
      <c r="F40" s="1" t="s">
        <v>101</v>
      </c>
      <c r="G40">
        <v>10</v>
      </c>
      <c r="H40">
        <v>32</v>
      </c>
      <c r="I40" s="2">
        <f t="shared" si="0"/>
        <v>17.4528</v>
      </c>
      <c r="J40">
        <f t="shared" si="1"/>
        <v>0.65146696528555437</v>
      </c>
      <c r="K40">
        <f t="shared" si="2"/>
        <v>0.45580569339253069</v>
      </c>
    </row>
    <row r="41" spans="1:11" x14ac:dyDescent="0.25">
      <c r="A41" s="1">
        <v>1958</v>
      </c>
      <c r="B41" s="1" t="s">
        <v>99</v>
      </c>
      <c r="C41" t="s">
        <v>6</v>
      </c>
      <c r="D41" s="1" t="s">
        <v>3</v>
      </c>
      <c r="E41">
        <v>34</v>
      </c>
      <c r="F41" s="1" t="s">
        <v>101</v>
      </c>
      <c r="G41">
        <v>12</v>
      </c>
      <c r="H41">
        <v>35</v>
      </c>
      <c r="I41" s="2">
        <f t="shared" si="0"/>
        <v>27.488159999999997</v>
      </c>
      <c r="J41">
        <f t="shared" si="1"/>
        <v>1.026060470324748</v>
      </c>
      <c r="K41">
        <f t="shared" si="2"/>
        <v>0.71789396709323572</v>
      </c>
    </row>
    <row r="42" spans="1:11" x14ac:dyDescent="0.25">
      <c r="A42" s="1">
        <v>1958</v>
      </c>
      <c r="B42" s="1" t="s">
        <v>99</v>
      </c>
      <c r="C42" t="s">
        <v>6</v>
      </c>
      <c r="D42" s="1" t="s">
        <v>3</v>
      </c>
      <c r="E42">
        <v>34</v>
      </c>
      <c r="F42" s="1" t="s">
        <v>101</v>
      </c>
      <c r="G42">
        <v>14</v>
      </c>
      <c r="H42">
        <v>38</v>
      </c>
      <c r="I42" s="2">
        <f t="shared" si="0"/>
        <v>40.621392</v>
      </c>
      <c r="J42">
        <f t="shared" si="1"/>
        <v>1.5162893617021278</v>
      </c>
      <c r="K42">
        <f t="shared" si="2"/>
        <v>1.0608877513711152</v>
      </c>
    </row>
    <row r="43" spans="1:11" x14ac:dyDescent="0.25">
      <c r="A43" s="1">
        <v>1958</v>
      </c>
      <c r="B43" s="1" t="s">
        <v>99</v>
      </c>
      <c r="C43" t="s">
        <v>6</v>
      </c>
      <c r="D43" s="1" t="s">
        <v>3</v>
      </c>
      <c r="E43">
        <v>34</v>
      </c>
      <c r="F43" s="1" t="s">
        <v>101</v>
      </c>
      <c r="G43">
        <v>16</v>
      </c>
      <c r="H43">
        <v>38</v>
      </c>
      <c r="I43" s="2">
        <f t="shared" si="0"/>
        <v>53.056511999999998</v>
      </c>
      <c r="J43">
        <f t="shared" si="1"/>
        <v>1.9804595744680851</v>
      </c>
      <c r="K43">
        <f t="shared" si="2"/>
        <v>1.3856493079132932</v>
      </c>
    </row>
    <row r="44" spans="1:11" x14ac:dyDescent="0.25">
      <c r="A44" s="1">
        <v>1958</v>
      </c>
      <c r="B44" s="1" t="s">
        <v>99</v>
      </c>
      <c r="C44" t="s">
        <v>6</v>
      </c>
      <c r="D44" s="1" t="s">
        <v>3</v>
      </c>
      <c r="E44">
        <v>34</v>
      </c>
      <c r="F44" s="1" t="s">
        <v>101</v>
      </c>
      <c r="G44">
        <v>18</v>
      </c>
      <c r="H44">
        <v>26</v>
      </c>
      <c r="I44" s="2">
        <f t="shared" si="0"/>
        <v>45.944495999999994</v>
      </c>
      <c r="J44">
        <f t="shared" si="1"/>
        <v>1.7149867861142216</v>
      </c>
      <c r="K44">
        <f t="shared" si="2"/>
        <v>1.1999084878558368</v>
      </c>
    </row>
    <row r="45" spans="1:11" x14ac:dyDescent="0.25">
      <c r="A45" s="1">
        <v>1958</v>
      </c>
      <c r="B45" s="1" t="s">
        <v>99</v>
      </c>
      <c r="C45" t="s">
        <v>6</v>
      </c>
      <c r="D45" s="1" t="s">
        <v>3</v>
      </c>
      <c r="E45">
        <v>34</v>
      </c>
      <c r="F45" s="1" t="s">
        <v>101</v>
      </c>
      <c r="G45">
        <v>20</v>
      </c>
      <c r="H45">
        <v>12</v>
      </c>
      <c r="I45" s="2">
        <f t="shared" si="0"/>
        <v>26.179200000000002</v>
      </c>
      <c r="J45">
        <f t="shared" si="1"/>
        <v>0.97720044792833161</v>
      </c>
      <c r="K45">
        <f t="shared" si="2"/>
        <v>0.68370854008879611</v>
      </c>
    </row>
    <row r="46" spans="1:11" x14ac:dyDescent="0.25">
      <c r="A46" s="1">
        <v>1958</v>
      </c>
      <c r="B46" s="1" t="s">
        <v>99</v>
      </c>
      <c r="C46" t="s">
        <v>6</v>
      </c>
      <c r="D46" s="1" t="s">
        <v>3</v>
      </c>
      <c r="E46">
        <v>34</v>
      </c>
      <c r="F46" s="1" t="s">
        <v>101</v>
      </c>
      <c r="G46">
        <v>22</v>
      </c>
      <c r="H46">
        <v>8</v>
      </c>
      <c r="I46" s="2">
        <f t="shared" si="0"/>
        <v>21.117887999999997</v>
      </c>
      <c r="J46">
        <f t="shared" si="1"/>
        <v>0.78827502799552063</v>
      </c>
      <c r="K46">
        <f t="shared" si="2"/>
        <v>0.55152488900496199</v>
      </c>
    </row>
    <row r="47" spans="1:11" x14ac:dyDescent="0.25">
      <c r="A47" s="1">
        <v>1958</v>
      </c>
      <c r="B47" s="1" t="s">
        <v>99</v>
      </c>
      <c r="C47" t="s">
        <v>6</v>
      </c>
      <c r="D47" s="1" t="s">
        <v>3</v>
      </c>
      <c r="E47">
        <v>34</v>
      </c>
      <c r="F47" s="1" t="s">
        <v>101</v>
      </c>
      <c r="G47">
        <v>24</v>
      </c>
      <c r="H47">
        <v>4</v>
      </c>
      <c r="I47" s="2">
        <f t="shared" si="0"/>
        <v>12.566015999999999</v>
      </c>
      <c r="J47">
        <f t="shared" si="1"/>
        <v>0.46905621500559908</v>
      </c>
      <c r="K47">
        <f t="shared" si="2"/>
        <v>0.32818009924262204</v>
      </c>
    </row>
    <row r="48" spans="1:11" x14ac:dyDescent="0.25">
      <c r="A48" s="1">
        <v>1958</v>
      </c>
      <c r="B48" s="1" t="s">
        <v>99</v>
      </c>
      <c r="C48" t="s">
        <v>6</v>
      </c>
      <c r="D48" s="1" t="s">
        <v>3</v>
      </c>
      <c r="E48">
        <v>34</v>
      </c>
      <c r="F48" s="1" t="s">
        <v>101</v>
      </c>
      <c r="G48">
        <v>26</v>
      </c>
      <c r="H48">
        <v>2</v>
      </c>
      <c r="I48" s="2">
        <f t="shared" si="0"/>
        <v>7.3738079999999995</v>
      </c>
      <c r="J48">
        <f t="shared" si="1"/>
        <v>0.27524479283314668</v>
      </c>
      <c r="K48">
        <f t="shared" si="2"/>
        <v>0.19257790545834419</v>
      </c>
    </row>
    <row r="49" spans="1:11" x14ac:dyDescent="0.25">
      <c r="A49" s="1">
        <v>1958</v>
      </c>
      <c r="B49" s="1" t="s">
        <v>99</v>
      </c>
      <c r="C49" t="s">
        <v>6</v>
      </c>
      <c r="D49" s="1" t="s">
        <v>3</v>
      </c>
      <c r="E49">
        <v>34</v>
      </c>
      <c r="F49" s="1" t="s">
        <v>101</v>
      </c>
      <c r="G49">
        <v>30</v>
      </c>
      <c r="H49">
        <v>2</v>
      </c>
      <c r="I49" s="2">
        <f t="shared" si="0"/>
        <v>9.8171999999999997</v>
      </c>
      <c r="J49">
        <f t="shared" si="1"/>
        <v>0.3664501679731243</v>
      </c>
      <c r="K49">
        <f t="shared" si="2"/>
        <v>0.25639070253329849</v>
      </c>
    </row>
    <row r="50" spans="1:11" x14ac:dyDescent="0.25">
      <c r="A50" s="1">
        <v>1958</v>
      </c>
      <c r="B50" s="1" t="s">
        <v>99</v>
      </c>
      <c r="C50" t="s">
        <v>6</v>
      </c>
      <c r="D50" s="1" t="s">
        <v>3</v>
      </c>
      <c r="E50">
        <v>38</v>
      </c>
      <c r="F50" s="1" t="s">
        <v>101</v>
      </c>
      <c r="G50">
        <v>6</v>
      </c>
      <c r="H50">
        <v>298</v>
      </c>
      <c r="I50" s="2">
        <f t="shared" si="0"/>
        <v>58.510511999999999</v>
      </c>
      <c r="J50">
        <f t="shared" si="1"/>
        <v>2.1840430011198206</v>
      </c>
      <c r="K50">
        <f t="shared" si="2"/>
        <v>1.5280885870984589</v>
      </c>
    </row>
    <row r="51" spans="1:11" x14ac:dyDescent="0.25">
      <c r="A51" s="1">
        <v>1958</v>
      </c>
      <c r="B51" s="1" t="s">
        <v>99</v>
      </c>
      <c r="C51" t="s">
        <v>6</v>
      </c>
      <c r="D51" s="1" t="s">
        <v>3</v>
      </c>
      <c r="E51">
        <v>38</v>
      </c>
      <c r="F51" s="1" t="s">
        <v>101</v>
      </c>
      <c r="G51">
        <v>8</v>
      </c>
      <c r="H51">
        <v>196</v>
      </c>
      <c r="I51" s="2">
        <f t="shared" si="0"/>
        <v>68.414975999999996</v>
      </c>
      <c r="J51">
        <f t="shared" si="1"/>
        <v>2.5537505039193729</v>
      </c>
      <c r="K51">
        <f t="shared" si="2"/>
        <v>1.7867583180987201</v>
      </c>
    </row>
    <row r="52" spans="1:11" x14ac:dyDescent="0.25">
      <c r="A52" s="1">
        <v>1958</v>
      </c>
      <c r="B52" s="1" t="s">
        <v>99</v>
      </c>
      <c r="C52" t="s">
        <v>6</v>
      </c>
      <c r="D52" s="1" t="s">
        <v>3</v>
      </c>
      <c r="E52">
        <v>38</v>
      </c>
      <c r="F52" s="1" t="s">
        <v>101</v>
      </c>
      <c r="G52">
        <v>10</v>
      </c>
      <c r="H52">
        <v>106</v>
      </c>
      <c r="I52" s="2">
        <f t="shared" si="0"/>
        <v>57.812399999999997</v>
      </c>
      <c r="J52">
        <f t="shared" si="1"/>
        <v>2.1579843225083986</v>
      </c>
      <c r="K52">
        <f t="shared" si="2"/>
        <v>1.5098563593627576</v>
      </c>
    </row>
    <row r="53" spans="1:11" x14ac:dyDescent="0.25">
      <c r="A53" s="1">
        <v>1958</v>
      </c>
      <c r="B53" s="1" t="s">
        <v>99</v>
      </c>
      <c r="C53" t="s">
        <v>6</v>
      </c>
      <c r="D53" s="1" t="s">
        <v>3</v>
      </c>
      <c r="E53">
        <v>38</v>
      </c>
      <c r="F53" s="1" t="s">
        <v>101</v>
      </c>
      <c r="G53">
        <v>12</v>
      </c>
      <c r="H53">
        <v>72</v>
      </c>
      <c r="I53" s="2">
        <f t="shared" si="0"/>
        <v>56.547072</v>
      </c>
      <c r="J53">
        <f t="shared" si="1"/>
        <v>2.1107529675251961</v>
      </c>
      <c r="K53">
        <f t="shared" si="2"/>
        <v>1.4768104465917995</v>
      </c>
    </row>
    <row r="54" spans="1:11" x14ac:dyDescent="0.25">
      <c r="A54" s="1">
        <v>1958</v>
      </c>
      <c r="B54" s="1" t="s">
        <v>99</v>
      </c>
      <c r="C54" t="s">
        <v>6</v>
      </c>
      <c r="D54" s="1" t="s">
        <v>3</v>
      </c>
      <c r="E54">
        <v>38</v>
      </c>
      <c r="F54" s="1" t="s">
        <v>101</v>
      </c>
      <c r="G54">
        <v>14</v>
      </c>
      <c r="H54">
        <v>27</v>
      </c>
      <c r="I54" s="2">
        <f t="shared" si="0"/>
        <v>28.862568</v>
      </c>
      <c r="J54">
        <f t="shared" si="1"/>
        <v>1.0773634938409855</v>
      </c>
      <c r="K54">
        <f t="shared" si="2"/>
        <v>0.75378866544789758</v>
      </c>
    </row>
    <row r="55" spans="1:11" x14ac:dyDescent="0.25">
      <c r="A55" s="1">
        <v>1958</v>
      </c>
      <c r="B55" s="1" t="s">
        <v>99</v>
      </c>
      <c r="C55" t="s">
        <v>6</v>
      </c>
      <c r="D55" s="1" t="s">
        <v>3</v>
      </c>
      <c r="E55">
        <v>38</v>
      </c>
      <c r="F55" s="1" t="s">
        <v>101</v>
      </c>
      <c r="G55">
        <v>16</v>
      </c>
      <c r="H55">
        <v>51</v>
      </c>
      <c r="I55" s="2">
        <f t="shared" si="0"/>
        <v>71.207423999999989</v>
      </c>
      <c r="J55">
        <f t="shared" si="1"/>
        <v>2.6579852183650612</v>
      </c>
      <c r="K55">
        <f t="shared" si="2"/>
        <v>1.8596872290415247</v>
      </c>
    </row>
    <row r="56" spans="1:11" x14ac:dyDescent="0.25">
      <c r="A56" s="1">
        <v>1958</v>
      </c>
      <c r="B56" s="1" t="s">
        <v>99</v>
      </c>
      <c r="C56" t="s">
        <v>6</v>
      </c>
      <c r="D56" s="1" t="s">
        <v>3</v>
      </c>
      <c r="E56">
        <v>38</v>
      </c>
      <c r="F56" s="1" t="s">
        <v>101</v>
      </c>
      <c r="G56">
        <v>18</v>
      </c>
      <c r="H56">
        <v>31</v>
      </c>
      <c r="I56" s="2">
        <f t="shared" si="0"/>
        <v>54.779975999999991</v>
      </c>
      <c r="J56">
        <f t="shared" si="1"/>
        <v>2.0447919372900332</v>
      </c>
      <c r="K56">
        <f t="shared" si="2"/>
        <v>1.4306601201358053</v>
      </c>
    </row>
    <row r="57" spans="1:11" x14ac:dyDescent="0.25">
      <c r="A57" s="1">
        <v>1958</v>
      </c>
      <c r="B57" s="1" t="s">
        <v>99</v>
      </c>
      <c r="C57" t="s">
        <v>6</v>
      </c>
      <c r="D57" s="1" t="s">
        <v>3</v>
      </c>
      <c r="E57">
        <v>38</v>
      </c>
      <c r="F57" s="1" t="s">
        <v>101</v>
      </c>
      <c r="G57">
        <v>20</v>
      </c>
      <c r="H57">
        <v>17</v>
      </c>
      <c r="I57" s="2">
        <f t="shared" si="0"/>
        <v>37.087200000000003</v>
      </c>
      <c r="J57">
        <f t="shared" si="1"/>
        <v>1.384367301231803</v>
      </c>
      <c r="K57">
        <f t="shared" si="2"/>
        <v>0.96858709845912772</v>
      </c>
    </row>
    <row r="58" spans="1:11" x14ac:dyDescent="0.25">
      <c r="A58" s="1">
        <v>1958</v>
      </c>
      <c r="B58" s="1" t="s">
        <v>99</v>
      </c>
      <c r="C58" t="s">
        <v>6</v>
      </c>
      <c r="D58" s="1" t="s">
        <v>3</v>
      </c>
      <c r="E58">
        <v>38</v>
      </c>
      <c r="F58" s="1" t="s">
        <v>101</v>
      </c>
      <c r="G58">
        <v>22</v>
      </c>
      <c r="H58">
        <v>17</v>
      </c>
      <c r="I58" s="2">
        <f t="shared" si="0"/>
        <v>44.875511999999993</v>
      </c>
      <c r="J58">
        <f t="shared" si="1"/>
        <v>1.6750844344904814</v>
      </c>
      <c r="K58">
        <f t="shared" si="2"/>
        <v>1.1719903891355443</v>
      </c>
    </row>
    <row r="59" spans="1:11" x14ac:dyDescent="0.25">
      <c r="A59" s="1">
        <v>1958</v>
      </c>
      <c r="B59" s="1" t="s">
        <v>99</v>
      </c>
      <c r="C59" t="s">
        <v>6</v>
      </c>
      <c r="D59" s="1" t="s">
        <v>3</v>
      </c>
      <c r="E59">
        <v>38</v>
      </c>
      <c r="F59" s="1" t="s">
        <v>101</v>
      </c>
      <c r="G59">
        <v>24</v>
      </c>
      <c r="H59">
        <v>2</v>
      </c>
      <c r="I59" s="2">
        <f t="shared" si="0"/>
        <v>6.2830079999999997</v>
      </c>
      <c r="J59">
        <f t="shared" si="1"/>
        <v>0.23452810750279954</v>
      </c>
      <c r="K59">
        <f t="shared" si="2"/>
        <v>0.16409004962131102</v>
      </c>
    </row>
    <row r="60" spans="1:11" x14ac:dyDescent="0.25">
      <c r="A60" s="1">
        <v>1958</v>
      </c>
      <c r="B60" s="1" t="s">
        <v>99</v>
      </c>
      <c r="C60" t="s">
        <v>6</v>
      </c>
      <c r="D60" s="1" t="s">
        <v>3</v>
      </c>
      <c r="E60">
        <v>38</v>
      </c>
      <c r="F60" s="1" t="s">
        <v>101</v>
      </c>
      <c r="G60">
        <v>26</v>
      </c>
      <c r="H60">
        <v>7</v>
      </c>
      <c r="I60" s="2">
        <f t="shared" si="0"/>
        <v>25.808327999999999</v>
      </c>
      <c r="J60">
        <f t="shared" si="1"/>
        <v>0.96335677491601346</v>
      </c>
      <c r="K60">
        <f t="shared" si="2"/>
        <v>0.67402266910420472</v>
      </c>
    </row>
    <row r="61" spans="1:11" x14ac:dyDescent="0.25">
      <c r="A61" s="1">
        <v>1958</v>
      </c>
      <c r="B61" s="1" t="s">
        <v>99</v>
      </c>
      <c r="C61" t="s">
        <v>6</v>
      </c>
      <c r="D61" s="1" t="s">
        <v>3</v>
      </c>
      <c r="E61">
        <v>38</v>
      </c>
      <c r="F61" s="1" t="s">
        <v>101</v>
      </c>
      <c r="G61">
        <v>28</v>
      </c>
      <c r="H61">
        <v>3</v>
      </c>
      <c r="I61" s="2">
        <f t="shared" si="0"/>
        <v>12.827807999999999</v>
      </c>
      <c r="J61">
        <f t="shared" si="1"/>
        <v>0.47882821948488241</v>
      </c>
      <c r="K61">
        <f t="shared" si="2"/>
        <v>0.33501718464351005</v>
      </c>
    </row>
    <row r="62" spans="1:11" x14ac:dyDescent="0.25">
      <c r="A62" s="1">
        <v>1958</v>
      </c>
      <c r="B62" s="1" t="s">
        <v>99</v>
      </c>
      <c r="C62" t="s">
        <v>6</v>
      </c>
      <c r="D62" s="1" t="s">
        <v>3</v>
      </c>
      <c r="E62">
        <v>38</v>
      </c>
      <c r="F62" s="1" t="s">
        <v>101</v>
      </c>
      <c r="G62">
        <v>30</v>
      </c>
      <c r="H62">
        <v>2</v>
      </c>
      <c r="I62" s="2">
        <f t="shared" si="0"/>
        <v>9.8171999999999997</v>
      </c>
      <c r="J62">
        <f t="shared" si="1"/>
        <v>0.3664501679731243</v>
      </c>
      <c r="K62">
        <f t="shared" si="2"/>
        <v>0.25639070253329849</v>
      </c>
    </row>
    <row r="63" spans="1:11" x14ac:dyDescent="0.25">
      <c r="A63" s="1">
        <v>1958</v>
      </c>
      <c r="B63" s="1" t="s">
        <v>99</v>
      </c>
      <c r="C63" t="s">
        <v>6</v>
      </c>
      <c r="D63" s="1" t="s">
        <v>3</v>
      </c>
      <c r="E63">
        <v>40</v>
      </c>
      <c r="F63" s="1" t="s">
        <v>101</v>
      </c>
      <c r="G63">
        <v>6</v>
      </c>
      <c r="H63">
        <v>312</v>
      </c>
      <c r="I63" s="2">
        <f t="shared" si="0"/>
        <v>61.259327999999996</v>
      </c>
      <c r="J63">
        <f t="shared" si="1"/>
        <v>2.2866490481522956</v>
      </c>
      <c r="K63">
        <f t="shared" si="2"/>
        <v>1.5998779838077826</v>
      </c>
    </row>
    <row r="64" spans="1:11" x14ac:dyDescent="0.25">
      <c r="A64" s="1">
        <v>1958</v>
      </c>
      <c r="B64" s="1" t="s">
        <v>99</v>
      </c>
      <c r="C64" t="s">
        <v>6</v>
      </c>
      <c r="D64" s="1" t="s">
        <v>3</v>
      </c>
      <c r="E64">
        <v>40</v>
      </c>
      <c r="F64" s="1" t="s">
        <v>101</v>
      </c>
      <c r="G64">
        <v>8</v>
      </c>
      <c r="H64">
        <v>195</v>
      </c>
      <c r="I64" s="2">
        <f t="shared" si="0"/>
        <v>68.065919999999991</v>
      </c>
      <c r="J64">
        <f t="shared" si="1"/>
        <v>2.5407211646136614</v>
      </c>
      <c r="K64">
        <f t="shared" si="2"/>
        <v>1.7776422042308693</v>
      </c>
    </row>
    <row r="65" spans="1:11" x14ac:dyDescent="0.25">
      <c r="A65" s="1">
        <v>1958</v>
      </c>
      <c r="B65" s="1" t="s">
        <v>99</v>
      </c>
      <c r="C65" t="s">
        <v>6</v>
      </c>
      <c r="D65" s="1" t="s">
        <v>3</v>
      </c>
      <c r="E65">
        <v>40</v>
      </c>
      <c r="F65" s="1" t="s">
        <v>101</v>
      </c>
      <c r="G65">
        <v>10</v>
      </c>
      <c r="H65">
        <v>142</v>
      </c>
      <c r="I65" s="2">
        <f t="shared" si="0"/>
        <v>77.446799999999996</v>
      </c>
      <c r="J65">
        <f t="shared" si="1"/>
        <v>2.890884658454647</v>
      </c>
      <c r="K65">
        <f t="shared" si="2"/>
        <v>2.0226377644293545</v>
      </c>
    </row>
    <row r="66" spans="1:11" x14ac:dyDescent="0.25">
      <c r="A66" s="1">
        <v>1958</v>
      </c>
      <c r="B66" s="1" t="s">
        <v>99</v>
      </c>
      <c r="C66" t="s">
        <v>6</v>
      </c>
      <c r="D66" s="1" t="s">
        <v>3</v>
      </c>
      <c r="E66">
        <v>40</v>
      </c>
      <c r="F66" s="1" t="s">
        <v>101</v>
      </c>
      <c r="G66">
        <v>12</v>
      </c>
      <c r="H66">
        <v>81</v>
      </c>
      <c r="I66" s="2">
        <f t="shared" si="0"/>
        <v>63.615455999999995</v>
      </c>
      <c r="J66">
        <f t="shared" si="1"/>
        <v>2.3745970884658454</v>
      </c>
      <c r="K66">
        <f t="shared" si="2"/>
        <v>1.6614117524157741</v>
      </c>
    </row>
    <row r="67" spans="1:11" x14ac:dyDescent="0.25">
      <c r="A67" s="1">
        <v>1958</v>
      </c>
      <c r="B67" s="1" t="s">
        <v>99</v>
      </c>
      <c r="C67" t="s">
        <v>6</v>
      </c>
      <c r="D67" s="1" t="s">
        <v>3</v>
      </c>
      <c r="E67">
        <v>40</v>
      </c>
      <c r="F67" s="1" t="s">
        <v>101</v>
      </c>
      <c r="G67">
        <v>14</v>
      </c>
      <c r="H67">
        <v>51</v>
      </c>
      <c r="I67" s="2">
        <f t="shared" ref="I67:I130" si="3">0.005454*G67^2*H67</f>
        <v>54.518183999999998</v>
      </c>
      <c r="J67">
        <f t="shared" ref="J67:J130" si="4">I67/26.79</f>
        <v>2.0350199328107501</v>
      </c>
      <c r="K67">
        <f t="shared" ref="K67:K130" si="5">J67*(26.79/38.29)</f>
        <v>1.4238230347349174</v>
      </c>
    </row>
    <row r="68" spans="1:11" x14ac:dyDescent="0.25">
      <c r="A68" s="1">
        <v>1958</v>
      </c>
      <c r="B68" s="1" t="s">
        <v>99</v>
      </c>
      <c r="C68" t="s">
        <v>6</v>
      </c>
      <c r="D68" s="1" t="s">
        <v>3</v>
      </c>
      <c r="E68">
        <v>40</v>
      </c>
      <c r="F68" s="1" t="s">
        <v>101</v>
      </c>
      <c r="G68">
        <v>16</v>
      </c>
      <c r="H68">
        <v>33</v>
      </c>
      <c r="I68" s="2">
        <f t="shared" si="3"/>
        <v>46.075391999999994</v>
      </c>
      <c r="J68">
        <f t="shared" si="4"/>
        <v>1.7198727883538631</v>
      </c>
      <c r="K68">
        <f t="shared" si="5"/>
        <v>1.2033270305562809</v>
      </c>
    </row>
    <row r="69" spans="1:11" x14ac:dyDescent="0.25">
      <c r="A69" s="1">
        <v>1958</v>
      </c>
      <c r="B69" s="1" t="s">
        <v>99</v>
      </c>
      <c r="C69" t="s">
        <v>6</v>
      </c>
      <c r="D69" s="1" t="s">
        <v>3</v>
      </c>
      <c r="E69">
        <v>40</v>
      </c>
      <c r="F69" s="1" t="s">
        <v>101</v>
      </c>
      <c r="G69">
        <v>18</v>
      </c>
      <c r="H69">
        <v>21</v>
      </c>
      <c r="I69" s="2">
        <f t="shared" si="3"/>
        <v>37.109015999999997</v>
      </c>
      <c r="J69">
        <f t="shared" si="4"/>
        <v>1.3851816349384098</v>
      </c>
      <c r="K69">
        <f t="shared" si="5"/>
        <v>0.96915685557586828</v>
      </c>
    </row>
    <row r="70" spans="1:11" x14ac:dyDescent="0.25">
      <c r="A70" s="1">
        <v>1958</v>
      </c>
      <c r="B70" s="1" t="s">
        <v>99</v>
      </c>
      <c r="C70" t="s">
        <v>6</v>
      </c>
      <c r="D70" s="1" t="s">
        <v>3</v>
      </c>
      <c r="E70">
        <v>40</v>
      </c>
      <c r="F70" s="1" t="s">
        <v>101</v>
      </c>
      <c r="G70">
        <v>20</v>
      </c>
      <c r="H70">
        <v>16</v>
      </c>
      <c r="I70" s="2">
        <f t="shared" si="3"/>
        <v>34.9056</v>
      </c>
      <c r="J70">
        <f t="shared" si="4"/>
        <v>1.3029339305711087</v>
      </c>
      <c r="K70">
        <f t="shared" si="5"/>
        <v>0.91161138678506137</v>
      </c>
    </row>
    <row r="71" spans="1:11" x14ac:dyDescent="0.25">
      <c r="A71" s="1">
        <v>1958</v>
      </c>
      <c r="B71" s="1" t="s">
        <v>99</v>
      </c>
      <c r="C71" t="s">
        <v>6</v>
      </c>
      <c r="D71" s="1" t="s">
        <v>3</v>
      </c>
      <c r="E71">
        <v>40</v>
      </c>
      <c r="F71" s="1" t="s">
        <v>101</v>
      </c>
      <c r="G71">
        <v>22</v>
      </c>
      <c r="H71">
        <v>18</v>
      </c>
      <c r="I71" s="2">
        <f t="shared" si="3"/>
        <v>47.515247999999993</v>
      </c>
      <c r="J71">
        <f t="shared" si="4"/>
        <v>1.7736188129899213</v>
      </c>
      <c r="K71">
        <f t="shared" si="5"/>
        <v>1.2409310002611644</v>
      </c>
    </row>
    <row r="72" spans="1:11" x14ac:dyDescent="0.25">
      <c r="A72" s="1">
        <v>1958</v>
      </c>
      <c r="B72" s="1" t="s">
        <v>99</v>
      </c>
      <c r="C72" t="s">
        <v>6</v>
      </c>
      <c r="D72" s="1" t="s">
        <v>3</v>
      </c>
      <c r="E72">
        <v>40</v>
      </c>
      <c r="F72" s="1" t="s">
        <v>101</v>
      </c>
      <c r="G72">
        <v>24</v>
      </c>
      <c r="H72">
        <v>4</v>
      </c>
      <c r="I72" s="2">
        <f t="shared" si="3"/>
        <v>12.566015999999999</v>
      </c>
      <c r="J72">
        <f t="shared" si="4"/>
        <v>0.46905621500559908</v>
      </c>
      <c r="K72">
        <f t="shared" si="5"/>
        <v>0.32818009924262204</v>
      </c>
    </row>
    <row r="73" spans="1:11" x14ac:dyDescent="0.25">
      <c r="A73" s="1">
        <v>1958</v>
      </c>
      <c r="B73" s="1" t="s">
        <v>99</v>
      </c>
      <c r="C73" t="s">
        <v>6</v>
      </c>
      <c r="D73" s="1" t="s">
        <v>3</v>
      </c>
      <c r="E73">
        <v>40</v>
      </c>
      <c r="F73" s="1" t="s">
        <v>101</v>
      </c>
      <c r="G73">
        <v>26</v>
      </c>
      <c r="H73">
        <v>3</v>
      </c>
      <c r="I73" s="2">
        <f t="shared" si="3"/>
        <v>11.060711999999999</v>
      </c>
      <c r="J73">
        <f t="shared" si="4"/>
        <v>0.41286718924971999</v>
      </c>
      <c r="K73">
        <f t="shared" si="5"/>
        <v>0.28886685818751628</v>
      </c>
    </row>
    <row r="74" spans="1:11" x14ac:dyDescent="0.25">
      <c r="A74" s="1">
        <v>1958</v>
      </c>
      <c r="B74" s="1" t="s">
        <v>99</v>
      </c>
      <c r="C74" t="s">
        <v>6</v>
      </c>
      <c r="D74" s="1" t="s">
        <v>3</v>
      </c>
      <c r="E74">
        <v>40</v>
      </c>
      <c r="F74" s="1" t="s">
        <v>101</v>
      </c>
      <c r="G74">
        <v>28</v>
      </c>
      <c r="H74">
        <v>2</v>
      </c>
      <c r="I74" s="2">
        <f t="shared" si="3"/>
        <v>8.5518719999999995</v>
      </c>
      <c r="J74">
        <f t="shared" si="4"/>
        <v>0.31921881298992161</v>
      </c>
      <c r="K74">
        <f t="shared" si="5"/>
        <v>0.22334478976234001</v>
      </c>
    </row>
    <row r="75" spans="1:11" x14ac:dyDescent="0.25">
      <c r="A75" s="1">
        <v>1958</v>
      </c>
      <c r="B75" s="1" t="s">
        <v>99</v>
      </c>
      <c r="C75" t="s">
        <v>6</v>
      </c>
      <c r="D75" s="1" t="s">
        <v>3</v>
      </c>
      <c r="E75">
        <v>40</v>
      </c>
      <c r="F75" s="1" t="s">
        <v>101</v>
      </c>
      <c r="G75">
        <v>30</v>
      </c>
      <c r="H75">
        <v>1</v>
      </c>
      <c r="I75" s="2">
        <f t="shared" si="3"/>
        <v>4.9085999999999999</v>
      </c>
      <c r="J75">
        <f t="shared" si="4"/>
        <v>0.18322508398656215</v>
      </c>
      <c r="K75">
        <f t="shared" si="5"/>
        <v>0.12819535126664924</v>
      </c>
    </row>
    <row r="76" spans="1:11" x14ac:dyDescent="0.25">
      <c r="A76" s="1">
        <v>1958</v>
      </c>
      <c r="B76" s="1" t="s">
        <v>99</v>
      </c>
      <c r="C76" t="s">
        <v>6</v>
      </c>
      <c r="D76" s="1" t="s">
        <v>3</v>
      </c>
      <c r="E76">
        <v>40</v>
      </c>
      <c r="F76" s="1" t="s">
        <v>101</v>
      </c>
      <c r="G76">
        <v>32</v>
      </c>
      <c r="H76">
        <v>1</v>
      </c>
      <c r="I76" s="2">
        <f t="shared" si="3"/>
        <v>5.5848959999999996</v>
      </c>
      <c r="J76">
        <f t="shared" si="4"/>
        <v>0.20846942889137737</v>
      </c>
      <c r="K76">
        <f t="shared" si="5"/>
        <v>0.14585782188560981</v>
      </c>
    </row>
    <row r="77" spans="1:11" x14ac:dyDescent="0.25">
      <c r="A77" s="1">
        <v>1958</v>
      </c>
      <c r="B77" s="1" t="s">
        <v>99</v>
      </c>
      <c r="C77" t="s">
        <v>6</v>
      </c>
      <c r="D77" s="1" t="s">
        <v>3</v>
      </c>
      <c r="E77">
        <v>53</v>
      </c>
      <c r="F77" s="1" t="s">
        <v>101</v>
      </c>
      <c r="G77">
        <v>6</v>
      </c>
      <c r="H77">
        <v>48</v>
      </c>
      <c r="I77" s="2">
        <f t="shared" si="3"/>
        <v>9.424512</v>
      </c>
      <c r="J77">
        <f t="shared" si="4"/>
        <v>0.35179216125419932</v>
      </c>
      <c r="K77">
        <f t="shared" si="5"/>
        <v>0.24613507443196656</v>
      </c>
    </row>
    <row r="78" spans="1:11" x14ac:dyDescent="0.25">
      <c r="A78" s="1">
        <v>1958</v>
      </c>
      <c r="B78" s="1" t="s">
        <v>99</v>
      </c>
      <c r="C78" t="s">
        <v>6</v>
      </c>
      <c r="D78" s="1" t="s">
        <v>3</v>
      </c>
      <c r="E78">
        <v>53</v>
      </c>
      <c r="F78" s="1" t="s">
        <v>101</v>
      </c>
      <c r="G78">
        <v>8</v>
      </c>
      <c r="H78">
        <v>22</v>
      </c>
      <c r="I78" s="2">
        <f t="shared" si="3"/>
        <v>7.6792319999999998</v>
      </c>
      <c r="J78">
        <f t="shared" si="4"/>
        <v>0.28664546472564389</v>
      </c>
      <c r="K78">
        <f t="shared" si="5"/>
        <v>0.2005545050927135</v>
      </c>
    </row>
    <row r="79" spans="1:11" x14ac:dyDescent="0.25">
      <c r="A79" s="1">
        <v>1958</v>
      </c>
      <c r="B79" s="1" t="s">
        <v>99</v>
      </c>
      <c r="C79" t="s">
        <v>6</v>
      </c>
      <c r="D79" s="1" t="s">
        <v>3</v>
      </c>
      <c r="E79">
        <v>53</v>
      </c>
      <c r="F79" s="1" t="s">
        <v>101</v>
      </c>
      <c r="G79">
        <v>10</v>
      </c>
      <c r="H79">
        <v>15</v>
      </c>
      <c r="I79" s="2">
        <f t="shared" si="3"/>
        <v>8.1809999999999992</v>
      </c>
      <c r="J79">
        <f t="shared" si="4"/>
        <v>0.30537513997760357</v>
      </c>
      <c r="K79">
        <f t="shared" si="5"/>
        <v>0.21365891877774873</v>
      </c>
    </row>
    <row r="80" spans="1:11" x14ac:dyDescent="0.25">
      <c r="A80" s="1">
        <v>1958</v>
      </c>
      <c r="B80" s="1" t="s">
        <v>99</v>
      </c>
      <c r="C80" t="s">
        <v>6</v>
      </c>
      <c r="D80" s="1" t="s">
        <v>3</v>
      </c>
      <c r="E80">
        <v>53</v>
      </c>
      <c r="F80" s="1" t="s">
        <v>101</v>
      </c>
      <c r="G80">
        <v>12</v>
      </c>
      <c r="H80">
        <v>3</v>
      </c>
      <c r="I80" s="2">
        <f t="shared" si="3"/>
        <v>2.356128</v>
      </c>
      <c r="J80">
        <f t="shared" si="4"/>
        <v>8.794804031354983E-2</v>
      </c>
      <c r="K80">
        <f t="shared" si="5"/>
        <v>6.1533768607991639E-2</v>
      </c>
    </row>
    <row r="81" spans="1:11" x14ac:dyDescent="0.25">
      <c r="A81" s="1">
        <v>1958</v>
      </c>
      <c r="B81" s="1" t="s">
        <v>99</v>
      </c>
      <c r="C81" t="s">
        <v>6</v>
      </c>
      <c r="D81" s="1" t="s">
        <v>3</v>
      </c>
      <c r="E81">
        <v>53</v>
      </c>
      <c r="F81" s="1" t="s">
        <v>101</v>
      </c>
      <c r="G81">
        <v>14</v>
      </c>
      <c r="H81">
        <v>4</v>
      </c>
      <c r="I81" s="2">
        <f t="shared" si="3"/>
        <v>4.2759359999999997</v>
      </c>
      <c r="J81">
        <f t="shared" si="4"/>
        <v>0.1596094064949608</v>
      </c>
      <c r="K81">
        <f t="shared" si="5"/>
        <v>0.11167239488117001</v>
      </c>
    </row>
    <row r="82" spans="1:11" x14ac:dyDescent="0.25">
      <c r="A82" s="1">
        <v>1958</v>
      </c>
      <c r="B82" s="1" t="s">
        <v>99</v>
      </c>
      <c r="C82" t="s">
        <v>6</v>
      </c>
      <c r="D82" s="1" t="s">
        <v>3</v>
      </c>
      <c r="E82">
        <v>53</v>
      </c>
      <c r="F82" s="1" t="s">
        <v>101</v>
      </c>
      <c r="G82">
        <v>16</v>
      </c>
      <c r="H82">
        <v>6</v>
      </c>
      <c r="I82" s="2">
        <f t="shared" si="3"/>
        <v>8.377343999999999</v>
      </c>
      <c r="J82">
        <f t="shared" si="4"/>
        <v>0.31270414333706603</v>
      </c>
      <c r="K82">
        <f t="shared" si="5"/>
        <v>0.21878673282841468</v>
      </c>
    </row>
    <row r="83" spans="1:11" x14ac:dyDescent="0.25">
      <c r="A83" s="1">
        <v>1958</v>
      </c>
      <c r="B83" s="1" t="s">
        <v>99</v>
      </c>
      <c r="C83" t="s">
        <v>6</v>
      </c>
      <c r="D83" s="1" t="s">
        <v>3</v>
      </c>
      <c r="E83">
        <v>53</v>
      </c>
      <c r="F83" s="1" t="s">
        <v>101</v>
      </c>
      <c r="G83">
        <v>22</v>
      </c>
      <c r="H83">
        <v>1</v>
      </c>
      <c r="I83" s="2">
        <f t="shared" si="3"/>
        <v>2.6397359999999996</v>
      </c>
      <c r="J83">
        <f t="shared" si="4"/>
        <v>9.8534378499440078E-2</v>
      </c>
      <c r="K83">
        <f t="shared" si="5"/>
        <v>6.8940611125620249E-2</v>
      </c>
    </row>
    <row r="84" spans="1:11" x14ac:dyDescent="0.25">
      <c r="A84" s="1">
        <v>1958</v>
      </c>
      <c r="B84" s="1" t="s">
        <v>99</v>
      </c>
      <c r="C84" t="s">
        <v>6</v>
      </c>
      <c r="D84" s="1" t="s">
        <v>3</v>
      </c>
      <c r="E84">
        <v>54</v>
      </c>
      <c r="F84" s="1" t="s">
        <v>101</v>
      </c>
      <c r="G84">
        <v>6</v>
      </c>
      <c r="H84">
        <v>67</v>
      </c>
      <c r="I84" s="2">
        <f t="shared" si="3"/>
        <v>13.155047999999999</v>
      </c>
      <c r="J84">
        <f t="shared" si="4"/>
        <v>0.49104322508398651</v>
      </c>
      <c r="K84">
        <f t="shared" si="5"/>
        <v>0.34356354139461992</v>
      </c>
    </row>
    <row r="85" spans="1:11" x14ac:dyDescent="0.25">
      <c r="A85" s="1">
        <v>1958</v>
      </c>
      <c r="B85" s="1" t="s">
        <v>99</v>
      </c>
      <c r="C85" t="s">
        <v>6</v>
      </c>
      <c r="D85" s="1" t="s">
        <v>3</v>
      </c>
      <c r="E85">
        <v>54</v>
      </c>
      <c r="F85" s="1" t="s">
        <v>101</v>
      </c>
      <c r="G85">
        <v>8</v>
      </c>
      <c r="H85">
        <v>32</v>
      </c>
      <c r="I85" s="2">
        <f t="shared" si="3"/>
        <v>11.169791999999999</v>
      </c>
      <c r="J85">
        <f t="shared" si="4"/>
        <v>0.41693885778275475</v>
      </c>
      <c r="K85">
        <f t="shared" si="5"/>
        <v>0.29171564377121961</v>
      </c>
    </row>
    <row r="86" spans="1:11" x14ac:dyDescent="0.25">
      <c r="A86" s="1">
        <v>1958</v>
      </c>
      <c r="B86" s="1" t="s">
        <v>99</v>
      </c>
      <c r="C86" t="s">
        <v>6</v>
      </c>
      <c r="D86" s="1" t="s">
        <v>3</v>
      </c>
      <c r="E86">
        <v>54</v>
      </c>
      <c r="F86" s="1" t="s">
        <v>101</v>
      </c>
      <c r="G86">
        <v>10</v>
      </c>
      <c r="H86">
        <v>18</v>
      </c>
      <c r="I86" s="2">
        <f t="shared" si="3"/>
        <v>9.8171999999999997</v>
      </c>
      <c r="J86">
        <f t="shared" si="4"/>
        <v>0.3664501679731243</v>
      </c>
      <c r="K86">
        <f t="shared" si="5"/>
        <v>0.25639070253329849</v>
      </c>
    </row>
    <row r="87" spans="1:11" x14ac:dyDescent="0.25">
      <c r="A87" s="1">
        <v>1958</v>
      </c>
      <c r="B87" s="1" t="s">
        <v>99</v>
      </c>
      <c r="C87" t="s">
        <v>6</v>
      </c>
      <c r="D87" s="1" t="s">
        <v>3</v>
      </c>
      <c r="E87">
        <v>54</v>
      </c>
      <c r="F87" s="1" t="s">
        <v>101</v>
      </c>
      <c r="G87">
        <v>12</v>
      </c>
      <c r="H87">
        <v>1</v>
      </c>
      <c r="I87" s="2">
        <f t="shared" si="3"/>
        <v>0.78537599999999996</v>
      </c>
      <c r="J87">
        <f t="shared" si="4"/>
        <v>2.9316013437849942E-2</v>
      </c>
      <c r="K87">
        <f t="shared" si="5"/>
        <v>2.0511256202663877E-2</v>
      </c>
    </row>
    <row r="88" spans="1:11" x14ac:dyDescent="0.25">
      <c r="A88" s="1">
        <v>1958</v>
      </c>
      <c r="B88" s="1" t="s">
        <v>99</v>
      </c>
      <c r="C88" t="s">
        <v>6</v>
      </c>
      <c r="D88" s="1" t="s">
        <v>3</v>
      </c>
      <c r="E88">
        <v>54</v>
      </c>
      <c r="F88" s="1" t="s">
        <v>101</v>
      </c>
      <c r="G88">
        <v>14</v>
      </c>
      <c r="H88">
        <v>1</v>
      </c>
      <c r="I88" s="2">
        <f t="shared" si="3"/>
        <v>1.0689839999999999</v>
      </c>
      <c r="J88">
        <f t="shared" si="4"/>
        <v>3.9902351623740201E-2</v>
      </c>
      <c r="K88">
        <f t="shared" si="5"/>
        <v>2.7918098720292502E-2</v>
      </c>
    </row>
    <row r="89" spans="1:11" x14ac:dyDescent="0.25">
      <c r="A89" s="1">
        <v>1958</v>
      </c>
      <c r="B89" s="1" t="s">
        <v>99</v>
      </c>
      <c r="C89" t="s">
        <v>6</v>
      </c>
      <c r="D89" s="1" t="s">
        <v>3</v>
      </c>
      <c r="E89">
        <v>56</v>
      </c>
      <c r="F89" s="1" t="s">
        <v>101</v>
      </c>
      <c r="G89">
        <v>6</v>
      </c>
      <c r="H89">
        <v>46</v>
      </c>
      <c r="I89" s="2">
        <f t="shared" si="3"/>
        <v>9.0318240000000003</v>
      </c>
      <c r="J89">
        <f t="shared" si="4"/>
        <v>0.3371341545352744</v>
      </c>
      <c r="K89">
        <f t="shared" si="5"/>
        <v>0.23587944633063465</v>
      </c>
    </row>
    <row r="90" spans="1:11" x14ac:dyDescent="0.25">
      <c r="A90" s="1">
        <v>1958</v>
      </c>
      <c r="B90" s="1" t="s">
        <v>99</v>
      </c>
      <c r="C90" t="s">
        <v>6</v>
      </c>
      <c r="D90" s="1" t="s">
        <v>3</v>
      </c>
      <c r="E90">
        <v>56</v>
      </c>
      <c r="F90" s="1" t="s">
        <v>101</v>
      </c>
      <c r="G90">
        <v>8</v>
      </c>
      <c r="H90">
        <v>59</v>
      </c>
      <c r="I90" s="2">
        <f t="shared" si="3"/>
        <v>20.594303999999998</v>
      </c>
      <c r="J90">
        <f t="shared" si="4"/>
        <v>0.76873101903695407</v>
      </c>
      <c r="K90">
        <f t="shared" si="5"/>
        <v>0.5378507182031862</v>
      </c>
    </row>
    <row r="91" spans="1:11" x14ac:dyDescent="0.25">
      <c r="A91" s="1">
        <v>1958</v>
      </c>
      <c r="B91" s="1" t="s">
        <v>99</v>
      </c>
      <c r="C91" t="s">
        <v>6</v>
      </c>
      <c r="D91" s="1" t="s">
        <v>3</v>
      </c>
      <c r="E91">
        <v>56</v>
      </c>
      <c r="F91" s="1" t="s">
        <v>101</v>
      </c>
      <c r="G91">
        <v>10</v>
      </c>
      <c r="H91">
        <v>35</v>
      </c>
      <c r="I91" s="2">
        <f t="shared" si="3"/>
        <v>19.088999999999999</v>
      </c>
      <c r="J91">
        <f t="shared" si="4"/>
        <v>0.71254199328107504</v>
      </c>
      <c r="K91">
        <f t="shared" si="5"/>
        <v>0.49853747714808039</v>
      </c>
    </row>
    <row r="92" spans="1:11" x14ac:dyDescent="0.25">
      <c r="A92" s="1">
        <v>1958</v>
      </c>
      <c r="B92" s="1" t="s">
        <v>99</v>
      </c>
      <c r="C92" t="s">
        <v>6</v>
      </c>
      <c r="D92" s="1" t="s">
        <v>3</v>
      </c>
      <c r="E92">
        <v>56</v>
      </c>
      <c r="F92" s="1" t="s">
        <v>101</v>
      </c>
      <c r="G92">
        <v>12</v>
      </c>
      <c r="H92">
        <v>46</v>
      </c>
      <c r="I92" s="2">
        <f t="shared" si="3"/>
        <v>36.127296000000001</v>
      </c>
      <c r="J92">
        <f t="shared" si="4"/>
        <v>1.3485366181410976</v>
      </c>
      <c r="K92">
        <f t="shared" si="5"/>
        <v>0.9435177853225386</v>
      </c>
    </row>
    <row r="93" spans="1:11" x14ac:dyDescent="0.25">
      <c r="A93" s="1">
        <v>1958</v>
      </c>
      <c r="B93" s="1" t="s">
        <v>99</v>
      </c>
      <c r="C93" t="s">
        <v>6</v>
      </c>
      <c r="D93" s="1" t="s">
        <v>3</v>
      </c>
      <c r="E93">
        <v>56</v>
      </c>
      <c r="F93" s="1" t="s">
        <v>101</v>
      </c>
      <c r="G93">
        <v>14</v>
      </c>
      <c r="H93">
        <v>24</v>
      </c>
      <c r="I93" s="2">
        <f t="shared" si="3"/>
        <v>25.655615999999998</v>
      </c>
      <c r="J93">
        <f t="shared" si="4"/>
        <v>0.95765643896976482</v>
      </c>
      <c r="K93">
        <f t="shared" si="5"/>
        <v>0.67003436928702009</v>
      </c>
    </row>
    <row r="94" spans="1:11" x14ac:dyDescent="0.25">
      <c r="A94" s="1">
        <v>1958</v>
      </c>
      <c r="B94" s="1" t="s">
        <v>99</v>
      </c>
      <c r="C94" t="s">
        <v>6</v>
      </c>
      <c r="D94" s="1" t="s">
        <v>3</v>
      </c>
      <c r="E94">
        <v>56</v>
      </c>
      <c r="F94" s="1" t="s">
        <v>101</v>
      </c>
      <c r="G94">
        <v>16</v>
      </c>
      <c r="H94">
        <v>13</v>
      </c>
      <c r="I94" s="2">
        <f t="shared" si="3"/>
        <v>18.150911999999998</v>
      </c>
      <c r="J94">
        <f t="shared" si="4"/>
        <v>0.67752564389697645</v>
      </c>
      <c r="K94">
        <f t="shared" si="5"/>
        <v>0.47403792112823184</v>
      </c>
    </row>
    <row r="95" spans="1:11" x14ac:dyDescent="0.25">
      <c r="A95" s="1">
        <v>1958</v>
      </c>
      <c r="B95" s="1" t="s">
        <v>99</v>
      </c>
      <c r="C95" t="s">
        <v>6</v>
      </c>
      <c r="D95" s="1" t="s">
        <v>3</v>
      </c>
      <c r="E95">
        <v>56</v>
      </c>
      <c r="F95" s="1" t="s">
        <v>101</v>
      </c>
      <c r="G95">
        <v>18</v>
      </c>
      <c r="H95">
        <v>7</v>
      </c>
      <c r="I95" s="2">
        <f t="shared" si="3"/>
        <v>12.369671999999998</v>
      </c>
      <c r="J95">
        <f t="shared" si="4"/>
        <v>0.46172721164613656</v>
      </c>
      <c r="K95">
        <f t="shared" si="5"/>
        <v>0.32305228519195606</v>
      </c>
    </row>
    <row r="96" spans="1:11" x14ac:dyDescent="0.25">
      <c r="A96" s="1">
        <v>1958</v>
      </c>
      <c r="B96" s="1" t="s">
        <v>99</v>
      </c>
      <c r="C96" t="s">
        <v>6</v>
      </c>
      <c r="D96" s="1" t="s">
        <v>3</v>
      </c>
      <c r="E96">
        <v>56</v>
      </c>
      <c r="F96" s="1" t="s">
        <v>101</v>
      </c>
      <c r="G96">
        <v>26</v>
      </c>
      <c r="H96">
        <v>1</v>
      </c>
      <c r="I96" s="2">
        <f t="shared" si="3"/>
        <v>3.6869039999999997</v>
      </c>
      <c r="J96">
        <f t="shared" si="4"/>
        <v>0.13762239641657334</v>
      </c>
      <c r="K96">
        <f t="shared" si="5"/>
        <v>9.6288952729172095E-2</v>
      </c>
    </row>
    <row r="97" spans="1:11" x14ac:dyDescent="0.25">
      <c r="A97" s="1">
        <v>1958</v>
      </c>
      <c r="B97" s="1" t="s">
        <v>99</v>
      </c>
      <c r="C97" t="s">
        <v>6</v>
      </c>
      <c r="D97" s="1" t="s">
        <v>3</v>
      </c>
      <c r="E97">
        <v>58</v>
      </c>
      <c r="F97" s="1" t="s">
        <v>101</v>
      </c>
      <c r="G97">
        <v>6</v>
      </c>
      <c r="H97">
        <v>226</v>
      </c>
      <c r="I97" s="2">
        <f t="shared" si="3"/>
        <v>44.373743999999995</v>
      </c>
      <c r="J97">
        <f t="shared" si="4"/>
        <v>1.6563547592385217</v>
      </c>
      <c r="K97">
        <f t="shared" si="5"/>
        <v>1.1588859754505092</v>
      </c>
    </row>
    <row r="98" spans="1:11" x14ac:dyDescent="0.25">
      <c r="A98" s="1">
        <v>1958</v>
      </c>
      <c r="B98" s="1" t="s">
        <v>99</v>
      </c>
      <c r="C98" t="s">
        <v>6</v>
      </c>
      <c r="D98" s="1" t="s">
        <v>3</v>
      </c>
      <c r="E98">
        <v>58</v>
      </c>
      <c r="F98" s="1" t="s">
        <v>101</v>
      </c>
      <c r="G98">
        <v>8</v>
      </c>
      <c r="H98">
        <v>43</v>
      </c>
      <c r="I98" s="2">
        <f t="shared" si="3"/>
        <v>15.009407999999999</v>
      </c>
      <c r="J98">
        <f t="shared" si="4"/>
        <v>0.56026159014557664</v>
      </c>
      <c r="K98">
        <f t="shared" si="5"/>
        <v>0.39199289631757633</v>
      </c>
    </row>
    <row r="99" spans="1:11" x14ac:dyDescent="0.25">
      <c r="A99" s="1">
        <v>1958</v>
      </c>
      <c r="B99" s="1" t="s">
        <v>99</v>
      </c>
      <c r="C99" t="s">
        <v>6</v>
      </c>
      <c r="D99" s="1" t="s">
        <v>3</v>
      </c>
      <c r="E99">
        <v>58</v>
      </c>
      <c r="F99" s="1" t="s">
        <v>101</v>
      </c>
      <c r="G99">
        <v>10</v>
      </c>
      <c r="H99">
        <v>9</v>
      </c>
      <c r="I99" s="2">
        <f t="shared" si="3"/>
        <v>4.9085999999999999</v>
      </c>
      <c r="J99">
        <f t="shared" si="4"/>
        <v>0.18322508398656215</v>
      </c>
      <c r="K99">
        <f t="shared" si="5"/>
        <v>0.12819535126664924</v>
      </c>
    </row>
    <row r="100" spans="1:11" x14ac:dyDescent="0.25">
      <c r="A100" s="1">
        <v>1958</v>
      </c>
      <c r="B100" s="1" t="s">
        <v>99</v>
      </c>
      <c r="C100" t="s">
        <v>6</v>
      </c>
      <c r="D100" s="1" t="s">
        <v>3</v>
      </c>
      <c r="E100">
        <v>63</v>
      </c>
      <c r="F100" s="1" t="s">
        <v>101</v>
      </c>
      <c r="G100">
        <v>6</v>
      </c>
      <c r="H100">
        <v>15</v>
      </c>
      <c r="I100" s="2">
        <f t="shared" si="3"/>
        <v>2.94516</v>
      </c>
      <c r="J100">
        <f t="shared" si="4"/>
        <v>0.10993505039193729</v>
      </c>
      <c r="K100">
        <f t="shared" si="5"/>
        <v>7.6917210759989557E-2</v>
      </c>
    </row>
    <row r="101" spans="1:11" x14ac:dyDescent="0.25">
      <c r="A101" s="1">
        <v>1958</v>
      </c>
      <c r="B101" s="1" t="s">
        <v>99</v>
      </c>
      <c r="C101" t="s">
        <v>6</v>
      </c>
      <c r="D101" s="1" t="s">
        <v>3</v>
      </c>
      <c r="E101">
        <v>63</v>
      </c>
      <c r="F101" s="1" t="s">
        <v>101</v>
      </c>
      <c r="G101">
        <v>8</v>
      </c>
      <c r="H101">
        <v>3</v>
      </c>
      <c r="I101" s="2">
        <f t="shared" si="3"/>
        <v>1.0471679999999999</v>
      </c>
      <c r="J101">
        <f t="shared" si="4"/>
        <v>3.9088017917133254E-2</v>
      </c>
      <c r="K101">
        <f t="shared" si="5"/>
        <v>2.7348341603551835E-2</v>
      </c>
    </row>
    <row r="102" spans="1:11" x14ac:dyDescent="0.25">
      <c r="A102" s="1">
        <v>1958</v>
      </c>
      <c r="B102" s="1" t="s">
        <v>99</v>
      </c>
      <c r="C102" t="s">
        <v>6</v>
      </c>
      <c r="D102" s="1" t="s">
        <v>3</v>
      </c>
      <c r="E102">
        <v>63</v>
      </c>
      <c r="F102" s="1" t="s">
        <v>101</v>
      </c>
      <c r="G102">
        <v>10</v>
      </c>
      <c r="H102">
        <v>1</v>
      </c>
      <c r="I102" s="2">
        <f t="shared" si="3"/>
        <v>0.5454</v>
      </c>
      <c r="J102">
        <f t="shared" si="4"/>
        <v>2.0358342665173574E-2</v>
      </c>
      <c r="K102">
        <f t="shared" si="5"/>
        <v>1.4243927918516584E-2</v>
      </c>
    </row>
    <row r="103" spans="1:11" x14ac:dyDescent="0.25">
      <c r="A103" s="1">
        <v>1958</v>
      </c>
      <c r="B103" s="1" t="s">
        <v>99</v>
      </c>
      <c r="C103" t="s">
        <v>6</v>
      </c>
      <c r="D103" s="1" t="s">
        <v>3</v>
      </c>
      <c r="E103">
        <v>63</v>
      </c>
      <c r="F103" s="1" t="s">
        <v>101</v>
      </c>
      <c r="G103">
        <v>12</v>
      </c>
      <c r="H103">
        <v>1</v>
      </c>
      <c r="I103" s="2">
        <f t="shared" si="3"/>
        <v>0.78537599999999996</v>
      </c>
      <c r="J103">
        <f t="shared" si="4"/>
        <v>2.9316013437849942E-2</v>
      </c>
      <c r="K103">
        <f t="shared" si="5"/>
        <v>2.0511256202663877E-2</v>
      </c>
    </row>
    <row r="104" spans="1:11" x14ac:dyDescent="0.25">
      <c r="A104" s="1">
        <v>1958</v>
      </c>
      <c r="B104" s="1" t="s">
        <v>99</v>
      </c>
      <c r="C104" t="s">
        <v>6</v>
      </c>
      <c r="D104" s="1" t="s">
        <v>3</v>
      </c>
      <c r="E104">
        <v>65</v>
      </c>
      <c r="F104" s="1" t="s">
        <v>101</v>
      </c>
      <c r="G104">
        <v>12</v>
      </c>
      <c r="H104">
        <v>1</v>
      </c>
      <c r="I104" s="2">
        <f t="shared" si="3"/>
        <v>0.78537599999999996</v>
      </c>
      <c r="J104">
        <f t="shared" si="4"/>
        <v>2.9316013437849942E-2</v>
      </c>
      <c r="K104">
        <f t="shared" si="5"/>
        <v>2.0511256202663877E-2</v>
      </c>
    </row>
    <row r="105" spans="1:11" x14ac:dyDescent="0.25">
      <c r="A105" s="1">
        <v>1958</v>
      </c>
      <c r="B105" s="1" t="s">
        <v>99</v>
      </c>
      <c r="C105" t="s">
        <v>6</v>
      </c>
      <c r="D105" s="1" t="s">
        <v>3</v>
      </c>
      <c r="E105">
        <v>66</v>
      </c>
      <c r="F105" s="1" t="s">
        <v>101</v>
      </c>
      <c r="G105">
        <v>6</v>
      </c>
      <c r="H105">
        <v>10</v>
      </c>
      <c r="I105" s="2">
        <f t="shared" si="3"/>
        <v>1.9634399999999999</v>
      </c>
      <c r="J105">
        <f t="shared" si="4"/>
        <v>7.3290033594624854E-2</v>
      </c>
      <c r="K105">
        <f t="shared" si="5"/>
        <v>5.1278140506659693E-2</v>
      </c>
    </row>
    <row r="106" spans="1:11" x14ac:dyDescent="0.25">
      <c r="A106" s="1">
        <v>1958</v>
      </c>
      <c r="B106" s="1" t="s">
        <v>99</v>
      </c>
      <c r="C106" t="s">
        <v>6</v>
      </c>
      <c r="D106" s="1" t="s">
        <v>3</v>
      </c>
      <c r="E106">
        <v>66</v>
      </c>
      <c r="F106" s="1" t="s">
        <v>101</v>
      </c>
      <c r="G106">
        <v>8</v>
      </c>
      <c r="H106">
        <v>12</v>
      </c>
      <c r="I106" s="2">
        <f t="shared" si="3"/>
        <v>4.1886719999999995</v>
      </c>
      <c r="J106">
        <f t="shared" si="4"/>
        <v>0.15635207166853302</v>
      </c>
      <c r="K106">
        <f t="shared" si="5"/>
        <v>0.10939336641420734</v>
      </c>
    </row>
    <row r="107" spans="1:11" x14ac:dyDescent="0.25">
      <c r="A107" s="1">
        <v>1958</v>
      </c>
      <c r="B107" s="1" t="s">
        <v>99</v>
      </c>
      <c r="C107" t="s">
        <v>6</v>
      </c>
      <c r="D107" s="1" t="s">
        <v>3</v>
      </c>
      <c r="E107">
        <v>66</v>
      </c>
      <c r="F107" s="1" t="s">
        <v>101</v>
      </c>
      <c r="G107">
        <v>10</v>
      </c>
      <c r="H107">
        <v>4</v>
      </c>
      <c r="I107" s="2">
        <f t="shared" si="3"/>
        <v>2.1816</v>
      </c>
      <c r="J107">
        <f t="shared" si="4"/>
        <v>8.1433370660694296E-2</v>
      </c>
      <c r="K107">
        <f t="shared" si="5"/>
        <v>5.6975711674066336E-2</v>
      </c>
    </row>
    <row r="108" spans="1:11" x14ac:dyDescent="0.25">
      <c r="A108" s="1">
        <v>1958</v>
      </c>
      <c r="B108" s="1" t="s">
        <v>99</v>
      </c>
      <c r="C108" t="s">
        <v>6</v>
      </c>
      <c r="D108" s="1" t="s">
        <v>3</v>
      </c>
      <c r="E108">
        <v>66</v>
      </c>
      <c r="F108" s="1" t="s">
        <v>101</v>
      </c>
      <c r="G108">
        <v>12</v>
      </c>
      <c r="H108">
        <v>10</v>
      </c>
      <c r="I108" s="2">
        <f t="shared" si="3"/>
        <v>7.8537599999999994</v>
      </c>
      <c r="J108">
        <f t="shared" si="4"/>
        <v>0.29316013437849942</v>
      </c>
      <c r="K108">
        <f t="shared" si="5"/>
        <v>0.20511256202663877</v>
      </c>
    </row>
    <row r="109" spans="1:11" x14ac:dyDescent="0.25">
      <c r="A109" s="1">
        <v>1958</v>
      </c>
      <c r="B109" s="1" t="s">
        <v>99</v>
      </c>
      <c r="C109" t="s">
        <v>6</v>
      </c>
      <c r="D109" s="1" t="s">
        <v>3</v>
      </c>
      <c r="E109">
        <v>66</v>
      </c>
      <c r="F109" s="1" t="s">
        <v>101</v>
      </c>
      <c r="G109">
        <v>14</v>
      </c>
      <c r="H109">
        <v>6</v>
      </c>
      <c r="I109" s="2">
        <f t="shared" si="3"/>
        <v>6.4139039999999996</v>
      </c>
      <c r="J109">
        <f t="shared" si="4"/>
        <v>0.23941410974244121</v>
      </c>
      <c r="K109">
        <f t="shared" si="5"/>
        <v>0.16750859232175502</v>
      </c>
    </row>
    <row r="110" spans="1:11" x14ac:dyDescent="0.25">
      <c r="A110" s="1">
        <v>1958</v>
      </c>
      <c r="B110" s="1" t="s">
        <v>99</v>
      </c>
      <c r="C110" t="s">
        <v>6</v>
      </c>
      <c r="D110" s="1" t="s">
        <v>3</v>
      </c>
      <c r="E110">
        <v>66</v>
      </c>
      <c r="F110" s="1" t="s">
        <v>101</v>
      </c>
      <c r="G110">
        <v>16</v>
      </c>
      <c r="H110">
        <v>1</v>
      </c>
      <c r="I110" s="2">
        <f t="shared" si="3"/>
        <v>1.3962239999999999</v>
      </c>
      <c r="J110">
        <f t="shared" si="4"/>
        <v>5.2117357222844343E-2</v>
      </c>
      <c r="K110">
        <f t="shared" si="5"/>
        <v>3.6464455471402452E-2</v>
      </c>
    </row>
    <row r="111" spans="1:11" x14ac:dyDescent="0.25">
      <c r="A111" s="1">
        <v>1958</v>
      </c>
      <c r="B111" s="1" t="s">
        <v>99</v>
      </c>
      <c r="C111" t="s">
        <v>6</v>
      </c>
      <c r="D111" s="1" t="s">
        <v>3</v>
      </c>
      <c r="E111">
        <v>66</v>
      </c>
      <c r="F111" s="1" t="s">
        <v>101</v>
      </c>
      <c r="G111">
        <v>18</v>
      </c>
      <c r="H111">
        <v>5</v>
      </c>
      <c r="I111" s="2">
        <f t="shared" si="3"/>
        <v>8.8354799999999987</v>
      </c>
      <c r="J111">
        <f t="shared" si="4"/>
        <v>0.32980515117581183</v>
      </c>
      <c r="K111">
        <f t="shared" si="5"/>
        <v>0.23075163227996862</v>
      </c>
    </row>
    <row r="112" spans="1:11" x14ac:dyDescent="0.25">
      <c r="A112" s="1">
        <v>1958</v>
      </c>
      <c r="B112" s="1" t="s">
        <v>99</v>
      </c>
      <c r="C112" t="s">
        <v>6</v>
      </c>
      <c r="D112" s="1" t="s">
        <v>3</v>
      </c>
      <c r="E112">
        <v>71</v>
      </c>
      <c r="F112" s="1" t="s">
        <v>101</v>
      </c>
      <c r="G112">
        <v>6</v>
      </c>
      <c r="H112">
        <v>114</v>
      </c>
      <c r="I112" s="2">
        <f t="shared" si="3"/>
        <v>22.383215999999997</v>
      </c>
      <c r="J112">
        <f t="shared" si="4"/>
        <v>0.83550638297872337</v>
      </c>
      <c r="K112">
        <f t="shared" si="5"/>
        <v>0.58457080177592058</v>
      </c>
    </row>
    <row r="113" spans="1:11" x14ac:dyDescent="0.25">
      <c r="A113" s="1">
        <v>1958</v>
      </c>
      <c r="B113" s="1" t="s">
        <v>99</v>
      </c>
      <c r="C113" t="s">
        <v>6</v>
      </c>
      <c r="D113" s="1" t="s">
        <v>3</v>
      </c>
      <c r="E113">
        <v>71</v>
      </c>
      <c r="F113" s="1" t="s">
        <v>101</v>
      </c>
      <c r="G113">
        <v>8</v>
      </c>
      <c r="H113">
        <v>110</v>
      </c>
      <c r="I113" s="2">
        <f t="shared" si="3"/>
        <v>38.396159999999995</v>
      </c>
      <c r="J113">
        <f t="shared" si="4"/>
        <v>1.4332273236282194</v>
      </c>
      <c r="K113">
        <f t="shared" si="5"/>
        <v>1.0027725254635673</v>
      </c>
    </row>
    <row r="114" spans="1:11" x14ac:dyDescent="0.25">
      <c r="A114" s="1">
        <v>1958</v>
      </c>
      <c r="B114" s="1" t="s">
        <v>99</v>
      </c>
      <c r="C114" t="s">
        <v>6</v>
      </c>
      <c r="D114" s="1" t="s">
        <v>3</v>
      </c>
      <c r="E114">
        <v>71</v>
      </c>
      <c r="F114" s="1" t="s">
        <v>101</v>
      </c>
      <c r="G114">
        <v>10</v>
      </c>
      <c r="H114">
        <v>63</v>
      </c>
      <c r="I114" s="2">
        <f t="shared" si="3"/>
        <v>34.360199999999999</v>
      </c>
      <c r="J114">
        <f t="shared" si="4"/>
        <v>1.2825755879059351</v>
      </c>
      <c r="K114">
        <f t="shared" si="5"/>
        <v>0.89736745886654479</v>
      </c>
    </row>
    <row r="115" spans="1:11" x14ac:dyDescent="0.25">
      <c r="A115" s="1">
        <v>1958</v>
      </c>
      <c r="B115" s="1" t="s">
        <v>99</v>
      </c>
      <c r="C115" t="s">
        <v>6</v>
      </c>
      <c r="D115" s="1" t="s">
        <v>3</v>
      </c>
      <c r="E115">
        <v>71</v>
      </c>
      <c r="F115" s="1" t="s">
        <v>101</v>
      </c>
      <c r="G115">
        <v>12</v>
      </c>
      <c r="H115">
        <v>22</v>
      </c>
      <c r="I115" s="2">
        <f t="shared" si="3"/>
        <v>17.278271999999998</v>
      </c>
      <c r="J115">
        <f t="shared" si="4"/>
        <v>0.64495229563269874</v>
      </c>
      <c r="K115">
        <f t="shared" si="5"/>
        <v>0.45124763645860533</v>
      </c>
    </row>
    <row r="116" spans="1:11" x14ac:dyDescent="0.25">
      <c r="A116" s="1">
        <v>1958</v>
      </c>
      <c r="B116" s="1" t="s">
        <v>99</v>
      </c>
      <c r="C116" t="s">
        <v>6</v>
      </c>
      <c r="D116" s="1" t="s">
        <v>3</v>
      </c>
      <c r="E116">
        <v>71</v>
      </c>
      <c r="F116" s="1" t="s">
        <v>101</v>
      </c>
      <c r="G116">
        <v>14</v>
      </c>
      <c r="H116">
        <v>7</v>
      </c>
      <c r="I116" s="2">
        <f t="shared" si="3"/>
        <v>7.4828879999999991</v>
      </c>
      <c r="J116">
        <f t="shared" si="4"/>
        <v>0.27931646136618138</v>
      </c>
      <c r="K116">
        <f t="shared" si="5"/>
        <v>0.19542669104204749</v>
      </c>
    </row>
    <row r="117" spans="1:11" x14ac:dyDescent="0.25">
      <c r="A117" s="1">
        <v>1958</v>
      </c>
      <c r="B117" s="1" t="s">
        <v>99</v>
      </c>
      <c r="C117" t="s">
        <v>6</v>
      </c>
      <c r="D117" s="1" t="s">
        <v>3</v>
      </c>
      <c r="E117">
        <v>71</v>
      </c>
      <c r="F117" s="1" t="s">
        <v>101</v>
      </c>
      <c r="G117">
        <v>16</v>
      </c>
      <c r="H117">
        <v>2</v>
      </c>
      <c r="I117" s="2">
        <f t="shared" si="3"/>
        <v>2.7924479999999998</v>
      </c>
      <c r="J117">
        <f t="shared" si="4"/>
        <v>0.10423471444568869</v>
      </c>
      <c r="K117">
        <f t="shared" si="5"/>
        <v>7.2928910942804903E-2</v>
      </c>
    </row>
    <row r="118" spans="1:11" x14ac:dyDescent="0.25">
      <c r="A118" s="1">
        <v>1958</v>
      </c>
      <c r="B118" s="1" t="s">
        <v>99</v>
      </c>
      <c r="C118" t="s">
        <v>6</v>
      </c>
      <c r="D118" s="1" t="s">
        <v>3</v>
      </c>
      <c r="E118">
        <v>76</v>
      </c>
      <c r="F118" s="1" t="s">
        <v>101</v>
      </c>
      <c r="G118">
        <v>6</v>
      </c>
      <c r="H118">
        <v>45</v>
      </c>
      <c r="I118" s="2">
        <f t="shared" si="3"/>
        <v>8.8354800000000004</v>
      </c>
      <c r="J118">
        <f t="shared" si="4"/>
        <v>0.32980515117581188</v>
      </c>
      <c r="K118">
        <f t="shared" si="5"/>
        <v>0.23075163227996864</v>
      </c>
    </row>
    <row r="119" spans="1:11" x14ac:dyDescent="0.25">
      <c r="A119" s="1">
        <v>1958</v>
      </c>
      <c r="B119" s="1" t="s">
        <v>99</v>
      </c>
      <c r="C119" t="s">
        <v>6</v>
      </c>
      <c r="D119" s="1" t="s">
        <v>3</v>
      </c>
      <c r="E119">
        <v>76</v>
      </c>
      <c r="F119" s="1" t="s">
        <v>101</v>
      </c>
      <c r="G119">
        <v>8</v>
      </c>
      <c r="H119">
        <v>6</v>
      </c>
      <c r="I119" s="2">
        <f t="shared" si="3"/>
        <v>2.0943359999999998</v>
      </c>
      <c r="J119">
        <f t="shared" si="4"/>
        <v>7.8176035834266508E-2</v>
      </c>
      <c r="K119">
        <f t="shared" si="5"/>
        <v>5.469668320710367E-2</v>
      </c>
    </row>
    <row r="120" spans="1:11" x14ac:dyDescent="0.25">
      <c r="A120" s="1">
        <v>1958</v>
      </c>
      <c r="B120" s="1" t="s">
        <v>99</v>
      </c>
      <c r="C120" t="s">
        <v>6</v>
      </c>
      <c r="D120" s="1" t="s">
        <v>3</v>
      </c>
      <c r="E120">
        <v>76</v>
      </c>
      <c r="F120" s="1" t="s">
        <v>101</v>
      </c>
      <c r="G120">
        <v>10</v>
      </c>
      <c r="H120">
        <v>1</v>
      </c>
      <c r="I120" s="2">
        <f t="shared" si="3"/>
        <v>0.5454</v>
      </c>
      <c r="J120">
        <f t="shared" si="4"/>
        <v>2.0358342665173574E-2</v>
      </c>
      <c r="K120">
        <f t="shared" si="5"/>
        <v>1.4243927918516584E-2</v>
      </c>
    </row>
    <row r="121" spans="1:11" x14ac:dyDescent="0.25">
      <c r="A121" s="1">
        <v>1958</v>
      </c>
      <c r="B121" s="1" t="s">
        <v>99</v>
      </c>
      <c r="C121" t="s">
        <v>6</v>
      </c>
      <c r="D121" s="1" t="s">
        <v>3</v>
      </c>
      <c r="E121">
        <v>76</v>
      </c>
      <c r="F121" s="1" t="s">
        <v>101</v>
      </c>
      <c r="G121">
        <v>12</v>
      </c>
      <c r="H121">
        <v>1</v>
      </c>
      <c r="I121" s="2">
        <f t="shared" si="3"/>
        <v>0.78537599999999996</v>
      </c>
      <c r="J121">
        <f t="shared" si="4"/>
        <v>2.9316013437849942E-2</v>
      </c>
      <c r="K121">
        <f t="shared" si="5"/>
        <v>2.0511256202663877E-2</v>
      </c>
    </row>
    <row r="122" spans="1:11" x14ac:dyDescent="0.25">
      <c r="A122" s="1">
        <v>1958</v>
      </c>
      <c r="B122" s="1" t="s">
        <v>99</v>
      </c>
      <c r="C122" t="s">
        <v>6</v>
      </c>
      <c r="D122" s="1" t="s">
        <v>3</v>
      </c>
      <c r="E122">
        <v>76</v>
      </c>
      <c r="F122" s="1" t="s">
        <v>101</v>
      </c>
      <c r="G122">
        <v>20</v>
      </c>
      <c r="H122">
        <v>4</v>
      </c>
      <c r="I122" s="2">
        <f t="shared" si="3"/>
        <v>8.7263999999999999</v>
      </c>
      <c r="J122">
        <f t="shared" si="4"/>
        <v>0.32573348264277718</v>
      </c>
      <c r="K122">
        <f t="shared" si="5"/>
        <v>0.22790284669626534</v>
      </c>
    </row>
    <row r="123" spans="1:11" x14ac:dyDescent="0.25">
      <c r="A123" s="1">
        <v>1958</v>
      </c>
      <c r="B123" s="1" t="s">
        <v>99</v>
      </c>
      <c r="C123" t="s">
        <v>6</v>
      </c>
      <c r="D123" s="1" t="s">
        <v>3</v>
      </c>
      <c r="E123">
        <v>76</v>
      </c>
      <c r="F123" s="1" t="s">
        <v>101</v>
      </c>
      <c r="G123">
        <v>22</v>
      </c>
      <c r="H123">
        <v>3</v>
      </c>
      <c r="I123" s="2">
        <f t="shared" si="3"/>
        <v>7.9192079999999994</v>
      </c>
      <c r="J123">
        <f t="shared" si="4"/>
        <v>0.29560313549832024</v>
      </c>
      <c r="K123">
        <f t="shared" si="5"/>
        <v>0.20682183337686078</v>
      </c>
    </row>
    <row r="124" spans="1:11" x14ac:dyDescent="0.25">
      <c r="A124" s="1">
        <v>1958</v>
      </c>
      <c r="B124" s="1" t="s">
        <v>99</v>
      </c>
      <c r="C124" t="s">
        <v>6</v>
      </c>
      <c r="D124" s="1" t="s">
        <v>3</v>
      </c>
      <c r="E124">
        <v>76</v>
      </c>
      <c r="F124" s="1" t="s">
        <v>101</v>
      </c>
      <c r="G124">
        <v>26</v>
      </c>
      <c r="H124">
        <v>2</v>
      </c>
      <c r="I124" s="2">
        <f t="shared" si="3"/>
        <v>7.3738079999999995</v>
      </c>
      <c r="J124">
        <f t="shared" si="4"/>
        <v>0.27524479283314668</v>
      </c>
      <c r="K124">
        <f t="shared" si="5"/>
        <v>0.19257790545834419</v>
      </c>
    </row>
    <row r="125" spans="1:11" x14ac:dyDescent="0.25">
      <c r="A125" s="1">
        <v>1958</v>
      </c>
      <c r="B125" s="1" t="s">
        <v>99</v>
      </c>
      <c r="C125" t="s">
        <v>6</v>
      </c>
      <c r="D125" s="1" t="s">
        <v>3</v>
      </c>
      <c r="E125">
        <v>76</v>
      </c>
      <c r="F125" s="1" t="s">
        <v>101</v>
      </c>
      <c r="G125">
        <v>28</v>
      </c>
      <c r="H125">
        <v>2</v>
      </c>
      <c r="I125" s="2">
        <f t="shared" si="3"/>
        <v>8.5518719999999995</v>
      </c>
      <c r="J125">
        <f t="shared" si="4"/>
        <v>0.31921881298992161</v>
      </c>
      <c r="K125">
        <f t="shared" si="5"/>
        <v>0.22334478976234001</v>
      </c>
    </row>
    <row r="126" spans="1:11" x14ac:dyDescent="0.25">
      <c r="A126" s="1">
        <v>1958</v>
      </c>
      <c r="B126" s="1" t="s">
        <v>99</v>
      </c>
      <c r="C126" t="s">
        <v>6</v>
      </c>
      <c r="D126" s="1" t="s">
        <v>3</v>
      </c>
      <c r="E126">
        <v>76</v>
      </c>
      <c r="F126" s="1" t="s">
        <v>101</v>
      </c>
      <c r="G126">
        <v>30</v>
      </c>
      <c r="H126">
        <v>1</v>
      </c>
      <c r="I126" s="2">
        <f t="shared" si="3"/>
        <v>4.9085999999999999</v>
      </c>
      <c r="J126">
        <f t="shared" si="4"/>
        <v>0.18322508398656215</v>
      </c>
      <c r="K126">
        <f t="shared" si="5"/>
        <v>0.12819535126664924</v>
      </c>
    </row>
    <row r="127" spans="1:11" x14ac:dyDescent="0.25">
      <c r="A127" s="1">
        <v>1958</v>
      </c>
      <c r="B127" s="1" t="s">
        <v>99</v>
      </c>
      <c r="C127" t="s">
        <v>6</v>
      </c>
      <c r="D127" s="1" t="s">
        <v>3</v>
      </c>
      <c r="E127">
        <v>78</v>
      </c>
      <c r="F127" s="1" t="s">
        <v>101</v>
      </c>
      <c r="G127">
        <v>6</v>
      </c>
      <c r="H127">
        <v>13</v>
      </c>
      <c r="I127" s="2">
        <f t="shared" si="3"/>
        <v>2.5524719999999999</v>
      </c>
      <c r="J127">
        <f t="shared" si="4"/>
        <v>9.5277043673012318E-2</v>
      </c>
      <c r="K127">
        <f t="shared" si="5"/>
        <v>6.6661582658657612E-2</v>
      </c>
    </row>
    <row r="128" spans="1:11" x14ac:dyDescent="0.25">
      <c r="A128" s="1">
        <v>1958</v>
      </c>
      <c r="B128" s="1" t="s">
        <v>99</v>
      </c>
      <c r="C128" t="s">
        <v>6</v>
      </c>
      <c r="D128" s="1" t="s">
        <v>3</v>
      </c>
      <c r="E128">
        <v>79</v>
      </c>
      <c r="F128" s="1" t="s">
        <v>101</v>
      </c>
      <c r="G128">
        <v>6</v>
      </c>
      <c r="H128">
        <v>182</v>
      </c>
      <c r="I128" s="2">
        <f t="shared" si="3"/>
        <v>35.734608000000001</v>
      </c>
      <c r="J128">
        <f t="shared" si="4"/>
        <v>1.3338786114221726</v>
      </c>
      <c r="K128">
        <f t="shared" si="5"/>
        <v>0.93326215722120665</v>
      </c>
    </row>
    <row r="129" spans="1:11" x14ac:dyDescent="0.25">
      <c r="A129" s="1">
        <v>1958</v>
      </c>
      <c r="B129" s="1" t="s">
        <v>99</v>
      </c>
      <c r="C129" t="s">
        <v>6</v>
      </c>
      <c r="D129" s="1" t="s">
        <v>3</v>
      </c>
      <c r="E129">
        <v>79</v>
      </c>
      <c r="F129" s="1" t="s">
        <v>101</v>
      </c>
      <c r="G129">
        <v>8</v>
      </c>
      <c r="H129">
        <v>54</v>
      </c>
      <c r="I129" s="2">
        <f t="shared" si="3"/>
        <v>18.849024</v>
      </c>
      <c r="J129">
        <f t="shared" si="4"/>
        <v>0.70358432250839864</v>
      </c>
      <c r="K129">
        <f t="shared" si="5"/>
        <v>0.49227014886393311</v>
      </c>
    </row>
    <row r="130" spans="1:11" x14ac:dyDescent="0.25">
      <c r="A130" s="1">
        <v>1958</v>
      </c>
      <c r="B130" s="1" t="s">
        <v>99</v>
      </c>
      <c r="C130" t="s">
        <v>6</v>
      </c>
      <c r="D130" s="1" t="s">
        <v>3</v>
      </c>
      <c r="E130">
        <v>79</v>
      </c>
      <c r="F130" s="1" t="s">
        <v>101</v>
      </c>
      <c r="G130">
        <v>10</v>
      </c>
      <c r="H130">
        <v>27</v>
      </c>
      <c r="I130" s="2">
        <f t="shared" si="3"/>
        <v>14.7258</v>
      </c>
      <c r="J130">
        <f t="shared" si="4"/>
        <v>0.54967525195968647</v>
      </c>
      <c r="K130">
        <f t="shared" si="5"/>
        <v>0.38458605379994776</v>
      </c>
    </row>
    <row r="131" spans="1:11" x14ac:dyDescent="0.25">
      <c r="A131" s="1">
        <v>1958</v>
      </c>
      <c r="B131" s="1" t="s">
        <v>99</v>
      </c>
      <c r="C131" t="s">
        <v>6</v>
      </c>
      <c r="D131" s="1" t="s">
        <v>3</v>
      </c>
      <c r="E131">
        <v>79</v>
      </c>
      <c r="F131" s="1" t="s">
        <v>101</v>
      </c>
      <c r="G131">
        <v>12</v>
      </c>
      <c r="H131">
        <v>11</v>
      </c>
      <c r="I131" s="2">
        <f t="shared" ref="I131:I194" si="6">0.005454*G131^2*H131</f>
        <v>8.6391359999999988</v>
      </c>
      <c r="J131">
        <f t="shared" ref="J131:J194" si="7">I131/26.79</f>
        <v>0.32247614781634937</v>
      </c>
      <c r="K131">
        <f t="shared" ref="K131:K194" si="8">J131*(26.79/38.29)</f>
        <v>0.22562381822930266</v>
      </c>
    </row>
    <row r="132" spans="1:11" x14ac:dyDescent="0.25">
      <c r="A132" s="1">
        <v>1958</v>
      </c>
      <c r="B132" s="1" t="s">
        <v>99</v>
      </c>
      <c r="C132" t="s">
        <v>6</v>
      </c>
      <c r="D132" s="1" t="s">
        <v>3</v>
      </c>
      <c r="E132">
        <v>79</v>
      </c>
      <c r="F132" s="1" t="s">
        <v>101</v>
      </c>
      <c r="G132">
        <v>14</v>
      </c>
      <c r="H132">
        <v>4</v>
      </c>
      <c r="I132" s="2">
        <f t="shared" si="6"/>
        <v>4.2759359999999997</v>
      </c>
      <c r="J132">
        <f t="shared" si="7"/>
        <v>0.1596094064949608</v>
      </c>
      <c r="K132">
        <f t="shared" si="8"/>
        <v>0.11167239488117001</v>
      </c>
    </row>
    <row r="133" spans="1:11" x14ac:dyDescent="0.25">
      <c r="A133" s="1">
        <v>1958</v>
      </c>
      <c r="B133" s="1" t="s">
        <v>99</v>
      </c>
      <c r="C133" t="s">
        <v>6</v>
      </c>
      <c r="D133" s="1" t="s">
        <v>3</v>
      </c>
      <c r="E133">
        <v>79</v>
      </c>
      <c r="F133" s="1" t="s">
        <v>101</v>
      </c>
      <c r="G133">
        <v>18</v>
      </c>
      <c r="H133">
        <v>1</v>
      </c>
      <c r="I133" s="2">
        <f t="shared" si="6"/>
        <v>1.7670959999999998</v>
      </c>
      <c r="J133">
        <f t="shared" si="7"/>
        <v>6.5961030235162366E-2</v>
      </c>
      <c r="K133">
        <f t="shared" si="8"/>
        <v>4.615032645599372E-2</v>
      </c>
    </row>
    <row r="134" spans="1:11" x14ac:dyDescent="0.25">
      <c r="A134" s="1">
        <v>1958</v>
      </c>
      <c r="B134" s="1" t="s">
        <v>99</v>
      </c>
      <c r="C134" t="s">
        <v>6</v>
      </c>
      <c r="D134" s="1" t="s">
        <v>3</v>
      </c>
      <c r="E134">
        <v>79</v>
      </c>
      <c r="F134" s="1" t="s">
        <v>101</v>
      </c>
      <c r="G134">
        <v>20</v>
      </c>
      <c r="H134">
        <v>1</v>
      </c>
      <c r="I134" s="2">
        <f t="shared" si="6"/>
        <v>2.1816</v>
      </c>
      <c r="J134">
        <f t="shared" si="7"/>
        <v>8.1433370660694296E-2</v>
      </c>
      <c r="K134">
        <f t="shared" si="8"/>
        <v>5.6975711674066336E-2</v>
      </c>
    </row>
    <row r="135" spans="1:11" x14ac:dyDescent="0.25">
      <c r="A135" s="1">
        <v>1958</v>
      </c>
      <c r="B135" s="1" t="s">
        <v>99</v>
      </c>
      <c r="C135" t="s">
        <v>6</v>
      </c>
      <c r="D135" s="1" t="s">
        <v>3</v>
      </c>
      <c r="E135">
        <v>79</v>
      </c>
      <c r="F135" s="1" t="s">
        <v>101</v>
      </c>
      <c r="G135">
        <v>22</v>
      </c>
      <c r="H135">
        <v>2</v>
      </c>
      <c r="I135" s="2">
        <f t="shared" si="6"/>
        <v>5.2794719999999993</v>
      </c>
      <c r="J135">
        <f t="shared" si="7"/>
        <v>0.19706875699888016</v>
      </c>
      <c r="K135">
        <f t="shared" si="8"/>
        <v>0.1378812222512405</v>
      </c>
    </row>
    <row r="136" spans="1:11" x14ac:dyDescent="0.25">
      <c r="A136" s="1">
        <v>1958</v>
      </c>
      <c r="B136" s="1" t="s">
        <v>99</v>
      </c>
      <c r="C136" t="s">
        <v>6</v>
      </c>
      <c r="D136" s="1" t="s">
        <v>3</v>
      </c>
      <c r="E136">
        <v>79</v>
      </c>
      <c r="F136" s="1" t="s">
        <v>101</v>
      </c>
      <c r="G136">
        <v>24</v>
      </c>
      <c r="H136">
        <v>3</v>
      </c>
      <c r="I136" s="2">
        <f t="shared" si="6"/>
        <v>9.424512</v>
      </c>
      <c r="J136">
        <f t="shared" si="7"/>
        <v>0.35179216125419932</v>
      </c>
      <c r="K136">
        <f t="shared" si="8"/>
        <v>0.24613507443196656</v>
      </c>
    </row>
    <row r="137" spans="1:11" x14ac:dyDescent="0.25">
      <c r="A137" s="1">
        <v>1958</v>
      </c>
      <c r="B137" s="1" t="s">
        <v>99</v>
      </c>
      <c r="C137" t="s">
        <v>6</v>
      </c>
      <c r="D137" s="1" t="s">
        <v>3</v>
      </c>
      <c r="E137">
        <v>79</v>
      </c>
      <c r="F137" s="1" t="s">
        <v>101</v>
      </c>
      <c r="G137">
        <v>28</v>
      </c>
      <c r="H137">
        <v>1</v>
      </c>
      <c r="I137" s="2">
        <f t="shared" si="6"/>
        <v>4.2759359999999997</v>
      </c>
      <c r="J137">
        <f t="shared" si="7"/>
        <v>0.1596094064949608</v>
      </c>
      <c r="K137">
        <f t="shared" si="8"/>
        <v>0.11167239488117001</v>
      </c>
    </row>
    <row r="138" spans="1:11" x14ac:dyDescent="0.25">
      <c r="A138" s="1">
        <v>1958</v>
      </c>
      <c r="B138" s="1" t="s">
        <v>99</v>
      </c>
      <c r="C138" t="s">
        <v>6</v>
      </c>
      <c r="D138" s="1" t="s">
        <v>3</v>
      </c>
      <c r="E138">
        <v>79</v>
      </c>
      <c r="F138" s="1" t="s">
        <v>101</v>
      </c>
      <c r="G138">
        <v>32</v>
      </c>
      <c r="H138">
        <v>1</v>
      </c>
      <c r="I138" s="2">
        <f t="shared" si="6"/>
        <v>5.5848959999999996</v>
      </c>
      <c r="J138">
        <f t="shared" si="7"/>
        <v>0.20846942889137737</v>
      </c>
      <c r="K138">
        <f t="shared" si="8"/>
        <v>0.14585782188560981</v>
      </c>
    </row>
    <row r="139" spans="1:11" x14ac:dyDescent="0.25">
      <c r="A139" s="1">
        <v>1958</v>
      </c>
      <c r="B139" s="1" t="s">
        <v>99</v>
      </c>
      <c r="C139" t="s">
        <v>6</v>
      </c>
      <c r="D139" s="1" t="s">
        <v>3</v>
      </c>
      <c r="E139">
        <v>84</v>
      </c>
      <c r="F139" s="1" t="s">
        <v>101</v>
      </c>
      <c r="G139">
        <v>6</v>
      </c>
      <c r="H139">
        <v>3</v>
      </c>
      <c r="I139" s="2">
        <f t="shared" si="6"/>
        <v>0.589032</v>
      </c>
      <c r="J139">
        <f t="shared" si="7"/>
        <v>2.1987010078387458E-2</v>
      </c>
      <c r="K139">
        <f t="shared" si="8"/>
        <v>1.538344215199791E-2</v>
      </c>
    </row>
    <row r="140" spans="1:11" x14ac:dyDescent="0.25">
      <c r="A140" s="1">
        <v>1958</v>
      </c>
      <c r="B140" s="1" t="s">
        <v>99</v>
      </c>
      <c r="C140" t="s">
        <v>6</v>
      </c>
      <c r="D140" s="1" t="s">
        <v>3</v>
      </c>
      <c r="E140">
        <v>84</v>
      </c>
      <c r="F140" s="1" t="s">
        <v>101</v>
      </c>
      <c r="G140">
        <v>8</v>
      </c>
      <c r="H140">
        <v>3</v>
      </c>
      <c r="I140" s="2">
        <f t="shared" si="6"/>
        <v>1.0471679999999999</v>
      </c>
      <c r="J140">
        <f t="shared" si="7"/>
        <v>3.9088017917133254E-2</v>
      </c>
      <c r="K140">
        <f t="shared" si="8"/>
        <v>2.7348341603551835E-2</v>
      </c>
    </row>
    <row r="141" spans="1:11" x14ac:dyDescent="0.25">
      <c r="A141" s="1">
        <v>1958</v>
      </c>
      <c r="B141" s="1" t="s">
        <v>99</v>
      </c>
      <c r="C141" t="s">
        <v>6</v>
      </c>
      <c r="D141" s="1" t="s">
        <v>3</v>
      </c>
      <c r="E141">
        <v>84</v>
      </c>
      <c r="F141" s="1" t="s">
        <v>101</v>
      </c>
      <c r="G141">
        <v>10</v>
      </c>
      <c r="H141">
        <v>2</v>
      </c>
      <c r="I141" s="2">
        <f t="shared" si="6"/>
        <v>1.0908</v>
      </c>
      <c r="J141">
        <f t="shared" si="7"/>
        <v>4.0716685330347148E-2</v>
      </c>
      <c r="K141">
        <f t="shared" si="8"/>
        <v>2.8487855837033168E-2</v>
      </c>
    </row>
    <row r="142" spans="1:11" x14ac:dyDescent="0.25">
      <c r="A142" s="1">
        <v>1958</v>
      </c>
      <c r="B142" s="1" t="s">
        <v>99</v>
      </c>
      <c r="C142" t="s">
        <v>6</v>
      </c>
      <c r="D142" s="1" t="s">
        <v>3</v>
      </c>
      <c r="E142">
        <v>84</v>
      </c>
      <c r="F142" s="1" t="s">
        <v>101</v>
      </c>
      <c r="G142">
        <v>14</v>
      </c>
      <c r="H142">
        <v>1</v>
      </c>
      <c r="I142" s="2">
        <f t="shared" si="6"/>
        <v>1.0689839999999999</v>
      </c>
      <c r="J142">
        <f t="shared" si="7"/>
        <v>3.9902351623740201E-2</v>
      </c>
      <c r="K142">
        <f t="shared" si="8"/>
        <v>2.7918098720292502E-2</v>
      </c>
    </row>
    <row r="143" spans="1:11" x14ac:dyDescent="0.25">
      <c r="A143" s="1">
        <v>1958</v>
      </c>
      <c r="B143" s="1" t="s">
        <v>99</v>
      </c>
      <c r="C143" t="s">
        <v>6</v>
      </c>
      <c r="D143" s="1" t="s">
        <v>3</v>
      </c>
      <c r="E143">
        <v>84</v>
      </c>
      <c r="F143" s="1" t="s">
        <v>101</v>
      </c>
      <c r="G143">
        <v>18</v>
      </c>
      <c r="H143">
        <v>1</v>
      </c>
      <c r="I143" s="2">
        <f t="shared" si="6"/>
        <v>1.7670959999999998</v>
      </c>
      <c r="J143">
        <f t="shared" si="7"/>
        <v>6.5961030235162366E-2</v>
      </c>
      <c r="K143">
        <f t="shared" si="8"/>
        <v>4.615032645599372E-2</v>
      </c>
    </row>
    <row r="144" spans="1:11" x14ac:dyDescent="0.25">
      <c r="A144" s="1">
        <v>1958</v>
      </c>
      <c r="B144" s="1" t="s">
        <v>99</v>
      </c>
      <c r="C144" t="s">
        <v>6</v>
      </c>
      <c r="D144" s="1" t="s">
        <v>3</v>
      </c>
      <c r="E144">
        <v>85</v>
      </c>
      <c r="F144" s="1" t="s">
        <v>101</v>
      </c>
      <c r="G144">
        <v>6</v>
      </c>
      <c r="H144">
        <v>2</v>
      </c>
      <c r="I144" s="2">
        <f t="shared" si="6"/>
        <v>0.39268799999999998</v>
      </c>
      <c r="J144">
        <f t="shared" si="7"/>
        <v>1.4658006718924971E-2</v>
      </c>
      <c r="K144">
        <f t="shared" si="8"/>
        <v>1.0255628101331939E-2</v>
      </c>
    </row>
    <row r="145" spans="1:11" x14ac:dyDescent="0.25">
      <c r="A145" s="1">
        <v>1958</v>
      </c>
      <c r="B145" s="1" t="s">
        <v>99</v>
      </c>
      <c r="C145" t="s">
        <v>6</v>
      </c>
      <c r="D145" s="1" t="s">
        <v>3</v>
      </c>
      <c r="E145">
        <v>85</v>
      </c>
      <c r="F145" s="1" t="s">
        <v>101</v>
      </c>
      <c r="G145">
        <v>8</v>
      </c>
      <c r="H145">
        <v>9</v>
      </c>
      <c r="I145" s="2">
        <f t="shared" si="6"/>
        <v>3.1415039999999999</v>
      </c>
      <c r="J145">
        <f t="shared" si="7"/>
        <v>0.11726405375139977</v>
      </c>
      <c r="K145">
        <f t="shared" si="8"/>
        <v>8.2045024810655509E-2</v>
      </c>
    </row>
    <row r="146" spans="1:11" x14ac:dyDescent="0.25">
      <c r="A146" s="1">
        <v>1958</v>
      </c>
      <c r="B146" s="1" t="s">
        <v>99</v>
      </c>
      <c r="C146" t="s">
        <v>6</v>
      </c>
      <c r="D146" s="1" t="s">
        <v>3</v>
      </c>
      <c r="E146">
        <v>85</v>
      </c>
      <c r="F146" s="1" t="s">
        <v>101</v>
      </c>
      <c r="G146">
        <v>10</v>
      </c>
      <c r="H146">
        <v>11</v>
      </c>
      <c r="I146" s="2">
        <f t="shared" si="6"/>
        <v>5.9993999999999996</v>
      </c>
      <c r="J146">
        <f t="shared" si="7"/>
        <v>0.22394176931690929</v>
      </c>
      <c r="K146">
        <f t="shared" si="8"/>
        <v>0.15668320710368241</v>
      </c>
    </row>
    <row r="147" spans="1:11" x14ac:dyDescent="0.25">
      <c r="A147" s="1">
        <v>1958</v>
      </c>
      <c r="B147" s="1" t="s">
        <v>99</v>
      </c>
      <c r="C147" t="s">
        <v>6</v>
      </c>
      <c r="D147" s="1" t="s">
        <v>3</v>
      </c>
      <c r="E147">
        <v>85</v>
      </c>
      <c r="F147" s="1" t="s">
        <v>101</v>
      </c>
      <c r="G147">
        <v>12</v>
      </c>
      <c r="H147">
        <v>18</v>
      </c>
      <c r="I147" s="2">
        <f t="shared" si="6"/>
        <v>14.136768</v>
      </c>
      <c r="J147">
        <f t="shared" si="7"/>
        <v>0.52768824188129904</v>
      </c>
      <c r="K147">
        <f t="shared" si="8"/>
        <v>0.36920261164794987</v>
      </c>
    </row>
    <row r="148" spans="1:11" x14ac:dyDescent="0.25">
      <c r="A148" s="1">
        <v>1958</v>
      </c>
      <c r="B148" s="1" t="s">
        <v>99</v>
      </c>
      <c r="C148" t="s">
        <v>6</v>
      </c>
      <c r="D148" s="1" t="s">
        <v>3</v>
      </c>
      <c r="E148">
        <v>85</v>
      </c>
      <c r="F148" s="1" t="s">
        <v>101</v>
      </c>
      <c r="G148">
        <v>14</v>
      </c>
      <c r="H148">
        <v>35</v>
      </c>
      <c r="I148" s="2">
        <f t="shared" si="6"/>
        <v>37.414439999999999</v>
      </c>
      <c r="J148">
        <f t="shared" si="7"/>
        <v>1.3965823068309071</v>
      </c>
      <c r="K148">
        <f t="shared" si="8"/>
        <v>0.97713345521023764</v>
      </c>
    </row>
    <row r="149" spans="1:11" x14ac:dyDescent="0.25">
      <c r="A149" s="1">
        <v>1958</v>
      </c>
      <c r="B149" s="1" t="s">
        <v>99</v>
      </c>
      <c r="C149" t="s">
        <v>6</v>
      </c>
      <c r="D149" s="1" t="s">
        <v>3</v>
      </c>
      <c r="E149">
        <v>85</v>
      </c>
      <c r="F149" s="1" t="s">
        <v>101</v>
      </c>
      <c r="G149">
        <v>16</v>
      </c>
      <c r="H149">
        <v>14</v>
      </c>
      <c r="I149" s="2">
        <f t="shared" si="6"/>
        <v>19.547135999999998</v>
      </c>
      <c r="J149">
        <f t="shared" si="7"/>
        <v>0.72964300111982083</v>
      </c>
      <c r="K149">
        <f t="shared" si="8"/>
        <v>0.51050237659963438</v>
      </c>
    </row>
    <row r="150" spans="1:11" x14ac:dyDescent="0.25">
      <c r="A150" s="1">
        <v>1958</v>
      </c>
      <c r="B150" s="1" t="s">
        <v>99</v>
      </c>
      <c r="C150" t="s">
        <v>6</v>
      </c>
      <c r="D150" s="1" t="s">
        <v>3</v>
      </c>
      <c r="E150">
        <v>85</v>
      </c>
      <c r="F150" s="1" t="s">
        <v>101</v>
      </c>
      <c r="G150">
        <v>18</v>
      </c>
      <c r="H150">
        <v>12</v>
      </c>
      <c r="I150" s="2">
        <f t="shared" si="6"/>
        <v>21.205151999999998</v>
      </c>
      <c r="J150">
        <f t="shared" si="7"/>
        <v>0.7915323628219485</v>
      </c>
      <c r="K150">
        <f t="shared" si="8"/>
        <v>0.5538039174719247</v>
      </c>
    </row>
    <row r="151" spans="1:11" x14ac:dyDescent="0.25">
      <c r="A151" s="1">
        <v>1958</v>
      </c>
      <c r="B151" s="1" t="s">
        <v>99</v>
      </c>
      <c r="C151" t="s">
        <v>6</v>
      </c>
      <c r="D151" s="1" t="s">
        <v>3</v>
      </c>
      <c r="E151">
        <v>85</v>
      </c>
      <c r="F151" s="1" t="s">
        <v>101</v>
      </c>
      <c r="G151">
        <v>20</v>
      </c>
      <c r="H151">
        <v>3</v>
      </c>
      <c r="I151" s="2">
        <f t="shared" si="6"/>
        <v>6.5448000000000004</v>
      </c>
      <c r="J151">
        <f t="shared" si="7"/>
        <v>0.2443001119820829</v>
      </c>
      <c r="K151">
        <f t="shared" si="8"/>
        <v>0.17092713502219903</v>
      </c>
    </row>
    <row r="152" spans="1:11" x14ac:dyDescent="0.25">
      <c r="A152" s="1">
        <v>1958</v>
      </c>
      <c r="B152" s="1" t="s">
        <v>99</v>
      </c>
      <c r="C152" t="s">
        <v>6</v>
      </c>
      <c r="D152" s="1" t="s">
        <v>3</v>
      </c>
      <c r="E152">
        <v>86</v>
      </c>
      <c r="F152" s="1" t="s">
        <v>101</v>
      </c>
      <c r="G152">
        <v>6</v>
      </c>
      <c r="H152">
        <v>21</v>
      </c>
      <c r="I152" s="2">
        <f t="shared" si="6"/>
        <v>4.1232239999999996</v>
      </c>
      <c r="J152">
        <f t="shared" si="7"/>
        <v>0.1539090705487122</v>
      </c>
      <c r="K152">
        <f t="shared" si="8"/>
        <v>0.10768409506398537</v>
      </c>
    </row>
    <row r="153" spans="1:11" x14ac:dyDescent="0.25">
      <c r="A153" s="1">
        <v>1958</v>
      </c>
      <c r="B153" s="1" t="s">
        <v>99</v>
      </c>
      <c r="C153" t="s">
        <v>6</v>
      </c>
      <c r="D153" s="1" t="s">
        <v>3</v>
      </c>
      <c r="E153">
        <v>88</v>
      </c>
      <c r="F153" s="1" t="s">
        <v>101</v>
      </c>
      <c r="G153">
        <v>6</v>
      </c>
      <c r="H153">
        <v>11</v>
      </c>
      <c r="I153" s="2">
        <f t="shared" si="6"/>
        <v>2.1597839999999997</v>
      </c>
      <c r="J153">
        <f t="shared" si="7"/>
        <v>8.0619036954087342E-2</v>
      </c>
      <c r="K153">
        <f t="shared" si="8"/>
        <v>5.6405954557325666E-2</v>
      </c>
    </row>
    <row r="154" spans="1:11" x14ac:dyDescent="0.25">
      <c r="A154" s="1">
        <v>1958</v>
      </c>
      <c r="B154" s="1" t="s">
        <v>99</v>
      </c>
      <c r="C154" t="s">
        <v>6</v>
      </c>
      <c r="D154" s="1" t="s">
        <v>3</v>
      </c>
      <c r="E154">
        <v>88</v>
      </c>
      <c r="F154" s="1" t="s">
        <v>101</v>
      </c>
      <c r="G154">
        <v>8</v>
      </c>
      <c r="H154">
        <v>5</v>
      </c>
      <c r="I154" s="2">
        <f t="shared" si="6"/>
        <v>1.7452799999999999</v>
      </c>
      <c r="J154">
        <f t="shared" si="7"/>
        <v>6.5146696528555426E-2</v>
      </c>
      <c r="K154">
        <f t="shared" si="8"/>
        <v>4.5580569339253064E-2</v>
      </c>
    </row>
    <row r="155" spans="1:11" x14ac:dyDescent="0.25">
      <c r="A155" s="1">
        <v>1958</v>
      </c>
      <c r="B155" s="1" t="s">
        <v>99</v>
      </c>
      <c r="C155" t="s">
        <v>6</v>
      </c>
      <c r="D155" s="1" t="s">
        <v>3</v>
      </c>
      <c r="E155">
        <v>88</v>
      </c>
      <c r="F155" s="1" t="s">
        <v>101</v>
      </c>
      <c r="G155">
        <v>10</v>
      </c>
      <c r="H155">
        <v>4</v>
      </c>
      <c r="I155" s="2">
        <f t="shared" si="6"/>
        <v>2.1816</v>
      </c>
      <c r="J155">
        <f t="shared" si="7"/>
        <v>8.1433370660694296E-2</v>
      </c>
      <c r="K155">
        <f t="shared" si="8"/>
        <v>5.6975711674066336E-2</v>
      </c>
    </row>
    <row r="156" spans="1:11" x14ac:dyDescent="0.25">
      <c r="A156" s="1">
        <v>1958</v>
      </c>
      <c r="B156" s="1" t="s">
        <v>99</v>
      </c>
      <c r="C156" t="s">
        <v>6</v>
      </c>
      <c r="D156" s="1" t="s">
        <v>3</v>
      </c>
      <c r="E156">
        <v>88</v>
      </c>
      <c r="F156" s="1" t="s">
        <v>101</v>
      </c>
      <c r="G156">
        <v>12</v>
      </c>
      <c r="H156">
        <v>1</v>
      </c>
      <c r="I156" s="2">
        <f t="shared" si="6"/>
        <v>0.78537599999999996</v>
      </c>
      <c r="J156">
        <f t="shared" si="7"/>
        <v>2.9316013437849942E-2</v>
      </c>
      <c r="K156">
        <f t="shared" si="8"/>
        <v>2.0511256202663877E-2</v>
      </c>
    </row>
    <row r="157" spans="1:11" x14ac:dyDescent="0.25">
      <c r="A157" s="1">
        <v>1958</v>
      </c>
      <c r="B157" s="1" t="s">
        <v>99</v>
      </c>
      <c r="C157" t="s">
        <v>6</v>
      </c>
      <c r="D157" s="1" t="s">
        <v>3</v>
      </c>
      <c r="E157">
        <v>91</v>
      </c>
      <c r="F157" s="1" t="s">
        <v>101</v>
      </c>
      <c r="G157">
        <v>6</v>
      </c>
      <c r="H157">
        <v>28</v>
      </c>
      <c r="I157" s="2">
        <f t="shared" si="6"/>
        <v>5.4976319999999994</v>
      </c>
      <c r="J157">
        <f t="shared" si="7"/>
        <v>0.20521209406494959</v>
      </c>
      <c r="K157">
        <f t="shared" si="8"/>
        <v>0.14357879341864713</v>
      </c>
    </row>
    <row r="158" spans="1:11" x14ac:dyDescent="0.25">
      <c r="A158" s="1">
        <v>1958</v>
      </c>
      <c r="B158" s="1" t="s">
        <v>99</v>
      </c>
      <c r="C158" t="s">
        <v>6</v>
      </c>
      <c r="D158" s="1" t="s">
        <v>3</v>
      </c>
      <c r="E158">
        <v>91</v>
      </c>
      <c r="F158" s="1" t="s">
        <v>101</v>
      </c>
      <c r="G158">
        <v>8</v>
      </c>
      <c r="H158">
        <v>12</v>
      </c>
      <c r="I158" s="2">
        <f t="shared" si="6"/>
        <v>4.1886719999999995</v>
      </c>
      <c r="J158">
        <f t="shared" si="7"/>
        <v>0.15635207166853302</v>
      </c>
      <c r="K158">
        <f t="shared" si="8"/>
        <v>0.10939336641420734</v>
      </c>
    </row>
    <row r="159" spans="1:11" x14ac:dyDescent="0.25">
      <c r="A159" s="1">
        <v>1958</v>
      </c>
      <c r="B159" s="1" t="s">
        <v>99</v>
      </c>
      <c r="C159" t="s">
        <v>6</v>
      </c>
      <c r="D159" s="1" t="s">
        <v>3</v>
      </c>
      <c r="E159">
        <v>91</v>
      </c>
      <c r="F159" s="1" t="s">
        <v>101</v>
      </c>
      <c r="G159">
        <v>10</v>
      </c>
      <c r="H159">
        <v>10</v>
      </c>
      <c r="I159" s="2">
        <f t="shared" si="6"/>
        <v>5.4539999999999997</v>
      </c>
      <c r="J159">
        <f t="shared" si="7"/>
        <v>0.20358342665173573</v>
      </c>
      <c r="K159">
        <f t="shared" si="8"/>
        <v>0.14243927918516583</v>
      </c>
    </row>
    <row r="160" spans="1:11" x14ac:dyDescent="0.25">
      <c r="A160" s="1">
        <v>1958</v>
      </c>
      <c r="B160" s="1" t="s">
        <v>99</v>
      </c>
      <c r="C160" t="s">
        <v>6</v>
      </c>
      <c r="D160" s="1" t="s">
        <v>3</v>
      </c>
      <c r="E160">
        <v>91</v>
      </c>
      <c r="F160" s="1" t="s">
        <v>101</v>
      </c>
      <c r="G160">
        <v>12</v>
      </c>
      <c r="H160">
        <v>3</v>
      </c>
      <c r="I160" s="2">
        <f t="shared" si="6"/>
        <v>2.356128</v>
      </c>
      <c r="J160">
        <f t="shared" si="7"/>
        <v>8.794804031354983E-2</v>
      </c>
      <c r="K160">
        <f t="shared" si="8"/>
        <v>6.1533768607991639E-2</v>
      </c>
    </row>
    <row r="161" spans="1:11" x14ac:dyDescent="0.25">
      <c r="A161" s="1">
        <v>1958</v>
      </c>
      <c r="B161" s="1" t="s">
        <v>99</v>
      </c>
      <c r="C161" t="s">
        <v>6</v>
      </c>
      <c r="D161" s="1" t="s">
        <v>3</v>
      </c>
      <c r="E161">
        <v>91</v>
      </c>
      <c r="F161" s="1" t="s">
        <v>101</v>
      </c>
      <c r="G161">
        <v>14</v>
      </c>
      <c r="H161">
        <v>1</v>
      </c>
      <c r="I161" s="2">
        <f t="shared" si="6"/>
        <v>1.0689839999999999</v>
      </c>
      <c r="J161">
        <f t="shared" si="7"/>
        <v>3.9902351623740201E-2</v>
      </c>
      <c r="K161">
        <f t="shared" si="8"/>
        <v>2.7918098720292502E-2</v>
      </c>
    </row>
    <row r="162" spans="1:11" x14ac:dyDescent="0.25">
      <c r="A162" s="1">
        <v>1958</v>
      </c>
      <c r="B162" s="1" t="s">
        <v>99</v>
      </c>
      <c r="C162" t="s">
        <v>6</v>
      </c>
      <c r="D162" s="1" t="s">
        <v>5</v>
      </c>
      <c r="E162">
        <v>21</v>
      </c>
      <c r="F162" s="1" t="s">
        <v>101</v>
      </c>
      <c r="G162">
        <v>8</v>
      </c>
      <c r="H162">
        <v>1</v>
      </c>
      <c r="I162" s="2">
        <f t="shared" si="6"/>
        <v>0.34905599999999998</v>
      </c>
      <c r="J162">
        <f t="shared" si="7"/>
        <v>1.3029339305711086E-2</v>
      </c>
      <c r="K162">
        <f t="shared" si="8"/>
        <v>9.1161138678506129E-3</v>
      </c>
    </row>
    <row r="163" spans="1:11" x14ac:dyDescent="0.25">
      <c r="A163" s="1">
        <v>1958</v>
      </c>
      <c r="B163" s="1" t="s">
        <v>99</v>
      </c>
      <c r="C163" t="s">
        <v>6</v>
      </c>
      <c r="D163" s="1" t="s">
        <v>5</v>
      </c>
      <c r="E163">
        <v>32</v>
      </c>
      <c r="F163" s="1" t="s">
        <v>101</v>
      </c>
      <c r="G163">
        <v>6</v>
      </c>
      <c r="H163">
        <v>1</v>
      </c>
      <c r="I163" s="2">
        <f t="shared" si="6"/>
        <v>0.19634399999999999</v>
      </c>
      <c r="J163">
        <f t="shared" si="7"/>
        <v>7.3290033594624856E-3</v>
      </c>
      <c r="K163">
        <f t="shared" si="8"/>
        <v>5.1278140506659693E-3</v>
      </c>
    </row>
    <row r="164" spans="1:11" x14ac:dyDescent="0.25">
      <c r="A164" s="1">
        <v>1958</v>
      </c>
      <c r="B164" s="1" t="s">
        <v>99</v>
      </c>
      <c r="C164" t="s">
        <v>6</v>
      </c>
      <c r="D164" s="1" t="s">
        <v>5</v>
      </c>
      <c r="E164">
        <v>32</v>
      </c>
      <c r="F164" s="1" t="s">
        <v>101</v>
      </c>
      <c r="G164">
        <v>8</v>
      </c>
      <c r="H164">
        <v>2</v>
      </c>
      <c r="I164" s="2">
        <f t="shared" si="6"/>
        <v>0.69811199999999995</v>
      </c>
      <c r="J164">
        <f t="shared" si="7"/>
        <v>2.6058678611422172E-2</v>
      </c>
      <c r="K164">
        <f t="shared" si="8"/>
        <v>1.8232227735701226E-2</v>
      </c>
    </row>
    <row r="165" spans="1:11" x14ac:dyDescent="0.25">
      <c r="A165" s="1">
        <v>1958</v>
      </c>
      <c r="B165" s="1" t="s">
        <v>99</v>
      </c>
      <c r="C165" t="s">
        <v>6</v>
      </c>
      <c r="D165" s="1" t="s">
        <v>5</v>
      </c>
      <c r="E165">
        <v>32</v>
      </c>
      <c r="F165" s="1" t="s">
        <v>101</v>
      </c>
      <c r="G165">
        <v>10</v>
      </c>
      <c r="H165">
        <v>2</v>
      </c>
      <c r="I165" s="2">
        <f t="shared" si="6"/>
        <v>1.0908</v>
      </c>
      <c r="J165">
        <f t="shared" si="7"/>
        <v>4.0716685330347148E-2</v>
      </c>
      <c r="K165">
        <f t="shared" si="8"/>
        <v>2.8487855837033168E-2</v>
      </c>
    </row>
    <row r="166" spans="1:11" x14ac:dyDescent="0.25">
      <c r="A166" s="1">
        <v>1958</v>
      </c>
      <c r="B166" s="1" t="s">
        <v>99</v>
      </c>
      <c r="C166" t="s">
        <v>6</v>
      </c>
      <c r="D166" s="1" t="s">
        <v>5</v>
      </c>
      <c r="E166">
        <v>32</v>
      </c>
      <c r="F166" s="1" t="s">
        <v>101</v>
      </c>
      <c r="G166">
        <v>12</v>
      </c>
      <c r="H166">
        <v>2</v>
      </c>
      <c r="I166" s="2">
        <f t="shared" si="6"/>
        <v>1.5707519999999999</v>
      </c>
      <c r="J166">
        <f t="shared" si="7"/>
        <v>5.8632026875699884E-2</v>
      </c>
      <c r="K166">
        <f t="shared" si="8"/>
        <v>4.1022512405327755E-2</v>
      </c>
    </row>
    <row r="167" spans="1:11" x14ac:dyDescent="0.25">
      <c r="A167" s="1">
        <v>1958</v>
      </c>
      <c r="B167" s="1" t="s">
        <v>99</v>
      </c>
      <c r="C167" t="s">
        <v>6</v>
      </c>
      <c r="D167" s="1" t="s">
        <v>5</v>
      </c>
      <c r="E167">
        <v>32</v>
      </c>
      <c r="F167" s="1" t="s">
        <v>101</v>
      </c>
      <c r="G167">
        <v>14</v>
      </c>
      <c r="H167">
        <v>1</v>
      </c>
      <c r="I167" s="2">
        <f t="shared" si="6"/>
        <v>1.0689839999999999</v>
      </c>
      <c r="J167">
        <f t="shared" si="7"/>
        <v>3.9902351623740201E-2</v>
      </c>
      <c r="K167">
        <f t="shared" si="8"/>
        <v>2.7918098720292502E-2</v>
      </c>
    </row>
    <row r="168" spans="1:11" x14ac:dyDescent="0.25">
      <c r="A168" s="1">
        <v>1958</v>
      </c>
      <c r="B168" s="1" t="s">
        <v>99</v>
      </c>
      <c r="C168" t="s">
        <v>6</v>
      </c>
      <c r="D168" s="1" t="s">
        <v>5</v>
      </c>
      <c r="E168">
        <v>32</v>
      </c>
      <c r="F168" s="1" t="s">
        <v>101</v>
      </c>
      <c r="G168">
        <v>16</v>
      </c>
      <c r="H168">
        <v>8</v>
      </c>
      <c r="I168" s="2">
        <f t="shared" si="6"/>
        <v>11.169791999999999</v>
      </c>
      <c r="J168">
        <f t="shared" si="7"/>
        <v>0.41693885778275475</v>
      </c>
      <c r="K168">
        <f t="shared" si="8"/>
        <v>0.29171564377121961</v>
      </c>
    </row>
    <row r="169" spans="1:11" x14ac:dyDescent="0.25">
      <c r="A169" s="1">
        <v>1958</v>
      </c>
      <c r="B169" s="1" t="s">
        <v>99</v>
      </c>
      <c r="C169" t="s">
        <v>6</v>
      </c>
      <c r="D169" s="1" t="s">
        <v>5</v>
      </c>
      <c r="E169">
        <v>32</v>
      </c>
      <c r="F169" s="1" t="s">
        <v>101</v>
      </c>
      <c r="G169">
        <v>18</v>
      </c>
      <c r="H169">
        <v>4</v>
      </c>
      <c r="I169" s="2">
        <f t="shared" si="6"/>
        <v>7.0683839999999991</v>
      </c>
      <c r="J169">
        <f t="shared" si="7"/>
        <v>0.26384412094064946</v>
      </c>
      <c r="K169">
        <f t="shared" si="8"/>
        <v>0.18460130582397488</v>
      </c>
    </row>
    <row r="170" spans="1:11" x14ac:dyDescent="0.25">
      <c r="A170" s="1">
        <v>1958</v>
      </c>
      <c r="B170" s="1" t="s">
        <v>99</v>
      </c>
      <c r="C170" t="s">
        <v>6</v>
      </c>
      <c r="D170" s="1" t="s">
        <v>5</v>
      </c>
      <c r="E170">
        <v>32</v>
      </c>
      <c r="F170" s="1" t="s">
        <v>101</v>
      </c>
      <c r="G170">
        <v>20</v>
      </c>
      <c r="H170">
        <v>1</v>
      </c>
      <c r="I170" s="2">
        <f t="shared" si="6"/>
        <v>2.1816</v>
      </c>
      <c r="J170">
        <f t="shared" si="7"/>
        <v>8.1433370660694296E-2</v>
      </c>
      <c r="K170">
        <f t="shared" si="8"/>
        <v>5.6975711674066336E-2</v>
      </c>
    </row>
    <row r="171" spans="1:11" x14ac:dyDescent="0.25">
      <c r="A171" s="1">
        <v>1958</v>
      </c>
      <c r="B171" s="1" t="s">
        <v>99</v>
      </c>
      <c r="C171" t="s">
        <v>6</v>
      </c>
      <c r="D171" s="1" t="s">
        <v>5</v>
      </c>
      <c r="E171">
        <v>32</v>
      </c>
      <c r="F171" s="1" t="s">
        <v>101</v>
      </c>
      <c r="G171">
        <v>22</v>
      </c>
      <c r="H171">
        <v>1</v>
      </c>
      <c r="I171" s="2">
        <f t="shared" si="6"/>
        <v>2.6397359999999996</v>
      </c>
      <c r="J171">
        <f t="shared" si="7"/>
        <v>9.8534378499440078E-2</v>
      </c>
      <c r="K171">
        <f t="shared" si="8"/>
        <v>6.8940611125620249E-2</v>
      </c>
    </row>
    <row r="172" spans="1:11" x14ac:dyDescent="0.25">
      <c r="A172" s="1">
        <v>1958</v>
      </c>
      <c r="B172" s="1" t="s">
        <v>99</v>
      </c>
      <c r="C172" t="s">
        <v>6</v>
      </c>
      <c r="D172" s="1" t="s">
        <v>5</v>
      </c>
      <c r="E172">
        <v>32</v>
      </c>
      <c r="F172" s="1" t="s">
        <v>101</v>
      </c>
      <c r="G172">
        <v>24</v>
      </c>
      <c r="H172">
        <v>2</v>
      </c>
      <c r="I172" s="2">
        <f t="shared" si="6"/>
        <v>6.2830079999999997</v>
      </c>
      <c r="J172">
        <f t="shared" si="7"/>
        <v>0.23452810750279954</v>
      </c>
      <c r="K172">
        <f t="shared" si="8"/>
        <v>0.16409004962131102</v>
      </c>
    </row>
    <row r="173" spans="1:11" x14ac:dyDescent="0.25">
      <c r="A173" s="1">
        <v>1958</v>
      </c>
      <c r="B173" s="1" t="s">
        <v>99</v>
      </c>
      <c r="C173" t="s">
        <v>6</v>
      </c>
      <c r="D173" s="1" t="s">
        <v>5</v>
      </c>
      <c r="E173">
        <v>34</v>
      </c>
      <c r="F173" s="1" t="s">
        <v>101</v>
      </c>
      <c r="G173">
        <v>6</v>
      </c>
      <c r="H173">
        <v>1</v>
      </c>
      <c r="I173" s="2">
        <f t="shared" si="6"/>
        <v>0.19634399999999999</v>
      </c>
      <c r="J173">
        <f t="shared" si="7"/>
        <v>7.3290033594624856E-3</v>
      </c>
      <c r="K173">
        <f t="shared" si="8"/>
        <v>5.1278140506659693E-3</v>
      </c>
    </row>
    <row r="174" spans="1:11" x14ac:dyDescent="0.25">
      <c r="A174" s="1">
        <v>1958</v>
      </c>
      <c r="B174" s="1" t="s">
        <v>99</v>
      </c>
      <c r="C174" t="s">
        <v>6</v>
      </c>
      <c r="D174" s="1" t="s">
        <v>5</v>
      </c>
      <c r="E174">
        <v>38</v>
      </c>
      <c r="F174" s="1" t="s">
        <v>101</v>
      </c>
      <c r="G174">
        <v>6</v>
      </c>
      <c r="H174">
        <v>2</v>
      </c>
      <c r="I174" s="2">
        <f t="shared" si="6"/>
        <v>0.39268799999999998</v>
      </c>
      <c r="J174">
        <f t="shared" si="7"/>
        <v>1.4658006718924971E-2</v>
      </c>
      <c r="K174">
        <f t="shared" si="8"/>
        <v>1.0255628101331939E-2</v>
      </c>
    </row>
    <row r="175" spans="1:11" x14ac:dyDescent="0.25">
      <c r="A175" s="1">
        <v>1958</v>
      </c>
      <c r="B175" s="1" t="s">
        <v>99</v>
      </c>
      <c r="C175" t="s">
        <v>6</v>
      </c>
      <c r="D175" s="1" t="s">
        <v>5</v>
      </c>
      <c r="E175">
        <v>38</v>
      </c>
      <c r="F175" s="1" t="s">
        <v>101</v>
      </c>
      <c r="G175">
        <v>8</v>
      </c>
      <c r="H175">
        <v>2</v>
      </c>
      <c r="I175" s="2">
        <f t="shared" si="6"/>
        <v>0.69811199999999995</v>
      </c>
      <c r="J175">
        <f t="shared" si="7"/>
        <v>2.6058678611422172E-2</v>
      </c>
      <c r="K175">
        <f t="shared" si="8"/>
        <v>1.8232227735701226E-2</v>
      </c>
    </row>
    <row r="176" spans="1:11" x14ac:dyDescent="0.25">
      <c r="A176" s="1">
        <v>1958</v>
      </c>
      <c r="B176" s="1" t="s">
        <v>99</v>
      </c>
      <c r="C176" t="s">
        <v>6</v>
      </c>
      <c r="D176" s="1" t="s">
        <v>5</v>
      </c>
      <c r="E176">
        <v>38</v>
      </c>
      <c r="F176" s="1" t="s">
        <v>101</v>
      </c>
      <c r="G176">
        <v>20</v>
      </c>
      <c r="H176">
        <v>1</v>
      </c>
      <c r="I176" s="2">
        <f t="shared" si="6"/>
        <v>2.1816</v>
      </c>
      <c r="J176">
        <f t="shared" si="7"/>
        <v>8.1433370660694296E-2</v>
      </c>
      <c r="K176">
        <f t="shared" si="8"/>
        <v>5.6975711674066336E-2</v>
      </c>
    </row>
    <row r="177" spans="1:11" x14ac:dyDescent="0.25">
      <c r="A177" s="1">
        <v>1958</v>
      </c>
      <c r="B177" s="1" t="s">
        <v>99</v>
      </c>
      <c r="C177" t="s">
        <v>6</v>
      </c>
      <c r="D177" s="1" t="s">
        <v>5</v>
      </c>
      <c r="E177">
        <v>40</v>
      </c>
      <c r="F177" s="1" t="s">
        <v>101</v>
      </c>
      <c r="G177">
        <v>6</v>
      </c>
      <c r="H177">
        <v>4</v>
      </c>
      <c r="I177" s="2">
        <f t="shared" si="6"/>
        <v>0.78537599999999996</v>
      </c>
      <c r="J177">
        <f t="shared" si="7"/>
        <v>2.9316013437849942E-2</v>
      </c>
      <c r="K177">
        <f t="shared" si="8"/>
        <v>2.0511256202663877E-2</v>
      </c>
    </row>
    <row r="178" spans="1:11" x14ac:dyDescent="0.25">
      <c r="A178" s="1">
        <v>1958</v>
      </c>
      <c r="B178" s="1" t="s">
        <v>99</v>
      </c>
      <c r="C178" t="s">
        <v>6</v>
      </c>
      <c r="D178" s="1" t="s">
        <v>5</v>
      </c>
      <c r="E178">
        <v>40</v>
      </c>
      <c r="F178" s="1" t="s">
        <v>101</v>
      </c>
      <c r="G178">
        <v>10</v>
      </c>
      <c r="H178">
        <v>1</v>
      </c>
      <c r="I178" s="2">
        <f t="shared" si="6"/>
        <v>0.5454</v>
      </c>
      <c r="J178">
        <f t="shared" si="7"/>
        <v>2.0358342665173574E-2</v>
      </c>
      <c r="K178">
        <f t="shared" si="8"/>
        <v>1.4243927918516584E-2</v>
      </c>
    </row>
    <row r="179" spans="1:11" x14ac:dyDescent="0.25">
      <c r="A179" s="1">
        <v>1958</v>
      </c>
      <c r="B179" s="1" t="s">
        <v>99</v>
      </c>
      <c r="C179" t="s">
        <v>6</v>
      </c>
      <c r="D179" s="1" t="s">
        <v>5</v>
      </c>
      <c r="E179">
        <v>40</v>
      </c>
      <c r="F179" s="1" t="s">
        <v>101</v>
      </c>
      <c r="G179">
        <v>30</v>
      </c>
      <c r="H179">
        <v>1</v>
      </c>
      <c r="I179" s="2">
        <f t="shared" si="6"/>
        <v>4.9085999999999999</v>
      </c>
      <c r="J179">
        <f t="shared" si="7"/>
        <v>0.18322508398656215</v>
      </c>
      <c r="K179">
        <f t="shared" si="8"/>
        <v>0.12819535126664924</v>
      </c>
    </row>
    <row r="180" spans="1:11" x14ac:dyDescent="0.25">
      <c r="A180" s="1">
        <v>1958</v>
      </c>
      <c r="B180" s="1" t="s">
        <v>99</v>
      </c>
      <c r="C180" t="s">
        <v>6</v>
      </c>
      <c r="D180" s="1" t="s">
        <v>5</v>
      </c>
      <c r="E180">
        <v>53</v>
      </c>
      <c r="F180" s="1" t="s">
        <v>101</v>
      </c>
      <c r="G180">
        <v>6</v>
      </c>
      <c r="H180">
        <v>1</v>
      </c>
      <c r="I180" s="2">
        <f t="shared" si="6"/>
        <v>0.19634399999999999</v>
      </c>
      <c r="J180">
        <f t="shared" si="7"/>
        <v>7.3290033594624856E-3</v>
      </c>
      <c r="K180">
        <f t="shared" si="8"/>
        <v>5.1278140506659693E-3</v>
      </c>
    </row>
    <row r="181" spans="1:11" x14ac:dyDescent="0.25">
      <c r="A181" s="1">
        <v>1958</v>
      </c>
      <c r="B181" s="1" t="s">
        <v>99</v>
      </c>
      <c r="C181" t="s">
        <v>6</v>
      </c>
      <c r="D181" s="1" t="s">
        <v>5</v>
      </c>
      <c r="E181">
        <v>53</v>
      </c>
      <c r="F181" s="1" t="s">
        <v>101</v>
      </c>
      <c r="G181">
        <v>10</v>
      </c>
      <c r="H181">
        <v>1</v>
      </c>
      <c r="I181" s="2">
        <f t="shared" si="6"/>
        <v>0.5454</v>
      </c>
      <c r="J181">
        <f t="shared" si="7"/>
        <v>2.0358342665173574E-2</v>
      </c>
      <c r="K181">
        <f t="shared" si="8"/>
        <v>1.4243927918516584E-2</v>
      </c>
    </row>
    <row r="182" spans="1:11" x14ac:dyDescent="0.25">
      <c r="A182" s="1">
        <v>1958</v>
      </c>
      <c r="B182" s="1" t="s">
        <v>99</v>
      </c>
      <c r="C182" t="s">
        <v>6</v>
      </c>
      <c r="D182" s="1" t="s">
        <v>5</v>
      </c>
      <c r="E182">
        <v>54</v>
      </c>
      <c r="F182" s="1" t="s">
        <v>101</v>
      </c>
      <c r="G182">
        <v>6</v>
      </c>
      <c r="H182">
        <v>1</v>
      </c>
      <c r="I182" s="2">
        <f t="shared" si="6"/>
        <v>0.19634399999999999</v>
      </c>
      <c r="J182">
        <f t="shared" si="7"/>
        <v>7.3290033594624856E-3</v>
      </c>
      <c r="K182">
        <f t="shared" si="8"/>
        <v>5.1278140506659693E-3</v>
      </c>
    </row>
    <row r="183" spans="1:11" x14ac:dyDescent="0.25">
      <c r="A183" s="1">
        <v>1958</v>
      </c>
      <c r="B183" s="1" t="s">
        <v>99</v>
      </c>
      <c r="C183" t="s">
        <v>6</v>
      </c>
      <c r="D183" s="1" t="s">
        <v>5</v>
      </c>
      <c r="E183">
        <v>56</v>
      </c>
      <c r="F183" s="1" t="s">
        <v>101</v>
      </c>
      <c r="G183">
        <v>6</v>
      </c>
      <c r="H183">
        <v>2</v>
      </c>
      <c r="I183" s="2">
        <f t="shared" si="6"/>
        <v>0.39268799999999998</v>
      </c>
      <c r="J183">
        <f t="shared" si="7"/>
        <v>1.4658006718924971E-2</v>
      </c>
      <c r="K183">
        <f t="shared" si="8"/>
        <v>1.0255628101331939E-2</v>
      </c>
    </row>
    <row r="184" spans="1:11" x14ac:dyDescent="0.25">
      <c r="A184" s="1">
        <v>1958</v>
      </c>
      <c r="B184" s="1" t="s">
        <v>99</v>
      </c>
      <c r="C184" t="s">
        <v>6</v>
      </c>
      <c r="D184" s="1" t="s">
        <v>5</v>
      </c>
      <c r="E184">
        <v>56</v>
      </c>
      <c r="F184" s="1" t="s">
        <v>101</v>
      </c>
      <c r="G184">
        <v>10</v>
      </c>
      <c r="H184">
        <v>1</v>
      </c>
      <c r="I184" s="2">
        <f t="shared" si="6"/>
        <v>0.5454</v>
      </c>
      <c r="J184">
        <f t="shared" si="7"/>
        <v>2.0358342665173574E-2</v>
      </c>
      <c r="K184">
        <f t="shared" si="8"/>
        <v>1.4243927918516584E-2</v>
      </c>
    </row>
    <row r="185" spans="1:11" x14ac:dyDescent="0.25">
      <c r="A185" s="1">
        <v>1958</v>
      </c>
      <c r="B185" s="1" t="s">
        <v>99</v>
      </c>
      <c r="C185" t="s">
        <v>6</v>
      </c>
      <c r="D185" s="1" t="s">
        <v>5</v>
      </c>
      <c r="E185">
        <v>58</v>
      </c>
      <c r="F185" s="1" t="s">
        <v>101</v>
      </c>
      <c r="G185">
        <v>6</v>
      </c>
      <c r="H185">
        <v>16</v>
      </c>
      <c r="I185" s="2">
        <f t="shared" si="6"/>
        <v>3.1415039999999999</v>
      </c>
      <c r="J185">
        <f t="shared" si="7"/>
        <v>0.11726405375139977</v>
      </c>
      <c r="K185">
        <f t="shared" si="8"/>
        <v>8.2045024810655509E-2</v>
      </c>
    </row>
    <row r="186" spans="1:11" x14ac:dyDescent="0.25">
      <c r="A186" s="1">
        <v>1958</v>
      </c>
      <c r="B186" s="1" t="s">
        <v>99</v>
      </c>
      <c r="C186" t="s">
        <v>6</v>
      </c>
      <c r="D186" s="1" t="s">
        <v>5</v>
      </c>
      <c r="E186">
        <v>58</v>
      </c>
      <c r="F186" s="1" t="s">
        <v>101</v>
      </c>
      <c r="G186">
        <v>8</v>
      </c>
      <c r="H186">
        <v>1</v>
      </c>
      <c r="I186" s="2">
        <f t="shared" si="6"/>
        <v>0.34905599999999998</v>
      </c>
      <c r="J186">
        <f t="shared" si="7"/>
        <v>1.3029339305711086E-2</v>
      </c>
      <c r="K186">
        <f t="shared" si="8"/>
        <v>9.1161138678506129E-3</v>
      </c>
    </row>
    <row r="187" spans="1:11" x14ac:dyDescent="0.25">
      <c r="A187" s="1">
        <v>1958</v>
      </c>
      <c r="B187" s="1" t="s">
        <v>99</v>
      </c>
      <c r="C187" t="s">
        <v>6</v>
      </c>
      <c r="D187" s="1" t="s">
        <v>5</v>
      </c>
      <c r="E187">
        <v>66</v>
      </c>
      <c r="F187" s="1" t="s">
        <v>101</v>
      </c>
      <c r="G187">
        <v>10</v>
      </c>
      <c r="H187">
        <v>1</v>
      </c>
      <c r="I187" s="2">
        <f t="shared" si="6"/>
        <v>0.5454</v>
      </c>
      <c r="J187">
        <f t="shared" si="7"/>
        <v>2.0358342665173574E-2</v>
      </c>
      <c r="K187">
        <f t="shared" si="8"/>
        <v>1.4243927918516584E-2</v>
      </c>
    </row>
    <row r="188" spans="1:11" x14ac:dyDescent="0.25">
      <c r="A188" s="1">
        <v>1958</v>
      </c>
      <c r="B188" s="1" t="s">
        <v>99</v>
      </c>
      <c r="C188" t="s">
        <v>6</v>
      </c>
      <c r="D188" s="1" t="s">
        <v>5</v>
      </c>
      <c r="E188">
        <v>71</v>
      </c>
      <c r="F188" s="1" t="s">
        <v>101</v>
      </c>
      <c r="G188">
        <v>6</v>
      </c>
      <c r="H188">
        <v>1</v>
      </c>
      <c r="I188" s="2">
        <f t="shared" si="6"/>
        <v>0.19634399999999999</v>
      </c>
      <c r="J188">
        <f t="shared" si="7"/>
        <v>7.3290033594624856E-3</v>
      </c>
      <c r="K188">
        <f t="shared" si="8"/>
        <v>5.1278140506659693E-3</v>
      </c>
    </row>
    <row r="189" spans="1:11" x14ac:dyDescent="0.25">
      <c r="A189" s="1">
        <v>1958</v>
      </c>
      <c r="B189" s="1" t="s">
        <v>99</v>
      </c>
      <c r="C189" t="s">
        <v>6</v>
      </c>
      <c r="D189" s="1" t="s">
        <v>5</v>
      </c>
      <c r="E189">
        <v>71</v>
      </c>
      <c r="F189" s="1" t="s">
        <v>101</v>
      </c>
      <c r="G189">
        <v>8</v>
      </c>
      <c r="H189">
        <v>1</v>
      </c>
      <c r="I189" s="2">
        <f t="shared" si="6"/>
        <v>0.34905599999999998</v>
      </c>
      <c r="J189">
        <f t="shared" si="7"/>
        <v>1.3029339305711086E-2</v>
      </c>
      <c r="K189">
        <f t="shared" si="8"/>
        <v>9.1161138678506129E-3</v>
      </c>
    </row>
    <row r="190" spans="1:11" x14ac:dyDescent="0.25">
      <c r="A190" s="1">
        <v>1958</v>
      </c>
      <c r="B190" s="1" t="s">
        <v>99</v>
      </c>
      <c r="C190" t="s">
        <v>6</v>
      </c>
      <c r="D190" s="1" t="s">
        <v>5</v>
      </c>
      <c r="E190">
        <v>79</v>
      </c>
      <c r="F190" s="1" t="s">
        <v>101</v>
      </c>
      <c r="G190">
        <v>6</v>
      </c>
      <c r="H190">
        <v>2</v>
      </c>
      <c r="I190" s="2">
        <f t="shared" si="6"/>
        <v>0.39268799999999998</v>
      </c>
      <c r="J190">
        <f t="shared" si="7"/>
        <v>1.4658006718924971E-2</v>
      </c>
      <c r="K190">
        <f t="shared" si="8"/>
        <v>1.0255628101331939E-2</v>
      </c>
    </row>
    <row r="191" spans="1:11" x14ac:dyDescent="0.25">
      <c r="A191" s="1">
        <v>1958</v>
      </c>
      <c r="B191" s="1" t="s">
        <v>99</v>
      </c>
      <c r="C191" t="s">
        <v>6</v>
      </c>
      <c r="D191" s="1" t="s">
        <v>5</v>
      </c>
      <c r="E191">
        <v>79</v>
      </c>
      <c r="F191" s="1" t="s">
        <v>101</v>
      </c>
      <c r="G191">
        <v>8</v>
      </c>
      <c r="H191">
        <v>1</v>
      </c>
      <c r="I191" s="2">
        <f t="shared" si="6"/>
        <v>0.34905599999999998</v>
      </c>
      <c r="J191">
        <f t="shared" si="7"/>
        <v>1.3029339305711086E-2</v>
      </c>
      <c r="K191">
        <f t="shared" si="8"/>
        <v>9.1161138678506129E-3</v>
      </c>
    </row>
    <row r="192" spans="1:11" x14ac:dyDescent="0.25">
      <c r="A192" s="1">
        <v>1958</v>
      </c>
      <c r="B192" s="1" t="s">
        <v>99</v>
      </c>
      <c r="C192" t="s">
        <v>6</v>
      </c>
      <c r="D192" s="1" t="s">
        <v>5</v>
      </c>
      <c r="E192">
        <v>79</v>
      </c>
      <c r="F192" s="1" t="s">
        <v>101</v>
      </c>
      <c r="G192">
        <v>10</v>
      </c>
      <c r="H192">
        <v>2</v>
      </c>
      <c r="I192" s="2">
        <f t="shared" si="6"/>
        <v>1.0908</v>
      </c>
      <c r="J192">
        <f t="shared" si="7"/>
        <v>4.0716685330347148E-2</v>
      </c>
      <c r="K192">
        <f t="shared" si="8"/>
        <v>2.8487855837033168E-2</v>
      </c>
    </row>
    <row r="193" spans="1:11" x14ac:dyDescent="0.25">
      <c r="A193" s="1">
        <v>1958</v>
      </c>
      <c r="B193" s="1" t="s">
        <v>99</v>
      </c>
      <c r="C193" t="s">
        <v>6</v>
      </c>
      <c r="D193" s="1" t="s">
        <v>5</v>
      </c>
      <c r="E193">
        <v>79</v>
      </c>
      <c r="F193" s="1" t="s">
        <v>101</v>
      </c>
      <c r="G193">
        <v>16</v>
      </c>
      <c r="H193">
        <v>2</v>
      </c>
      <c r="I193" s="2">
        <f t="shared" si="6"/>
        <v>2.7924479999999998</v>
      </c>
      <c r="J193">
        <f t="shared" si="7"/>
        <v>0.10423471444568869</v>
      </c>
      <c r="K193">
        <f t="shared" si="8"/>
        <v>7.2928910942804903E-2</v>
      </c>
    </row>
    <row r="194" spans="1:11" x14ac:dyDescent="0.25">
      <c r="A194" s="1">
        <v>1958</v>
      </c>
      <c r="B194" s="1" t="s">
        <v>99</v>
      </c>
      <c r="C194" t="s">
        <v>6</v>
      </c>
      <c r="D194" s="1" t="s">
        <v>5</v>
      </c>
      <c r="E194">
        <v>79</v>
      </c>
      <c r="F194" s="1" t="s">
        <v>101</v>
      </c>
      <c r="G194">
        <v>18</v>
      </c>
      <c r="H194">
        <v>3</v>
      </c>
      <c r="I194" s="2">
        <f t="shared" si="6"/>
        <v>5.3012879999999996</v>
      </c>
      <c r="J194">
        <f t="shared" si="7"/>
        <v>0.19788309070548712</v>
      </c>
      <c r="K194">
        <f t="shared" si="8"/>
        <v>0.13845097936798118</v>
      </c>
    </row>
    <row r="195" spans="1:11" x14ac:dyDescent="0.25">
      <c r="A195" s="1">
        <v>1958</v>
      </c>
      <c r="B195" s="1" t="s">
        <v>99</v>
      </c>
      <c r="C195" t="s">
        <v>6</v>
      </c>
      <c r="D195" s="1" t="s">
        <v>5</v>
      </c>
      <c r="E195">
        <v>79</v>
      </c>
      <c r="F195" s="1" t="s">
        <v>101</v>
      </c>
      <c r="G195">
        <v>20</v>
      </c>
      <c r="H195">
        <v>1</v>
      </c>
      <c r="I195" s="2">
        <f t="shared" ref="I195:I258" si="9">0.005454*G195^2*H195</f>
        <v>2.1816</v>
      </c>
      <c r="J195">
        <f t="shared" ref="J195:J258" si="10">I195/26.79</f>
        <v>8.1433370660694296E-2</v>
      </c>
      <c r="K195">
        <f t="shared" ref="K195:K258" si="11">J195*(26.79/38.29)</f>
        <v>5.6975711674066336E-2</v>
      </c>
    </row>
    <row r="196" spans="1:11" x14ac:dyDescent="0.25">
      <c r="A196" s="1">
        <v>1958</v>
      </c>
      <c r="B196" s="1" t="s">
        <v>99</v>
      </c>
      <c r="C196" t="s">
        <v>6</v>
      </c>
      <c r="D196" s="1" t="s">
        <v>5</v>
      </c>
      <c r="E196">
        <v>79</v>
      </c>
      <c r="F196" s="1" t="s">
        <v>101</v>
      </c>
      <c r="G196">
        <v>22</v>
      </c>
      <c r="H196">
        <v>2</v>
      </c>
      <c r="I196" s="2">
        <f t="shared" si="9"/>
        <v>5.2794719999999993</v>
      </c>
      <c r="J196">
        <f t="shared" si="10"/>
        <v>0.19706875699888016</v>
      </c>
      <c r="K196">
        <f t="shared" si="11"/>
        <v>0.1378812222512405</v>
      </c>
    </row>
    <row r="197" spans="1:11" x14ac:dyDescent="0.25">
      <c r="A197" s="1">
        <v>1958</v>
      </c>
      <c r="B197" s="1" t="s">
        <v>99</v>
      </c>
      <c r="C197" t="s">
        <v>6</v>
      </c>
      <c r="D197" s="1" t="s">
        <v>5</v>
      </c>
      <c r="E197">
        <v>79</v>
      </c>
      <c r="F197" s="1" t="s">
        <v>101</v>
      </c>
      <c r="G197">
        <v>26</v>
      </c>
      <c r="H197">
        <v>1</v>
      </c>
      <c r="I197" s="2">
        <f t="shared" si="9"/>
        <v>3.6869039999999997</v>
      </c>
      <c r="J197">
        <f t="shared" si="10"/>
        <v>0.13762239641657334</v>
      </c>
      <c r="K197">
        <f t="shared" si="11"/>
        <v>9.6288952729172095E-2</v>
      </c>
    </row>
    <row r="198" spans="1:11" x14ac:dyDescent="0.25">
      <c r="A198" s="1">
        <v>1958</v>
      </c>
      <c r="B198" s="1" t="s">
        <v>99</v>
      </c>
      <c r="C198" t="s">
        <v>6</v>
      </c>
      <c r="D198" s="1" t="s">
        <v>5</v>
      </c>
      <c r="E198">
        <v>79</v>
      </c>
      <c r="F198" s="1" t="s">
        <v>101</v>
      </c>
      <c r="G198">
        <v>28</v>
      </c>
      <c r="H198">
        <v>2</v>
      </c>
      <c r="I198" s="2">
        <f t="shared" si="9"/>
        <v>8.5518719999999995</v>
      </c>
      <c r="J198">
        <f t="shared" si="10"/>
        <v>0.31921881298992161</v>
      </c>
      <c r="K198">
        <f t="shared" si="11"/>
        <v>0.22334478976234001</v>
      </c>
    </row>
    <row r="199" spans="1:11" x14ac:dyDescent="0.25">
      <c r="A199" s="1">
        <v>1958</v>
      </c>
      <c r="B199" s="1" t="s">
        <v>99</v>
      </c>
      <c r="C199" t="s">
        <v>6</v>
      </c>
      <c r="D199" s="1" t="s">
        <v>5</v>
      </c>
      <c r="E199">
        <v>85</v>
      </c>
      <c r="F199" s="1" t="s">
        <v>101</v>
      </c>
      <c r="G199">
        <v>6</v>
      </c>
      <c r="H199">
        <v>1</v>
      </c>
      <c r="I199" s="2">
        <f t="shared" si="9"/>
        <v>0.19634399999999999</v>
      </c>
      <c r="J199">
        <f t="shared" si="10"/>
        <v>7.3290033594624856E-3</v>
      </c>
      <c r="K199">
        <f t="shared" si="11"/>
        <v>5.1278140506659693E-3</v>
      </c>
    </row>
    <row r="200" spans="1:11" x14ac:dyDescent="0.25">
      <c r="A200" s="1">
        <v>1958</v>
      </c>
      <c r="B200" s="1" t="s">
        <v>99</v>
      </c>
      <c r="C200" t="s">
        <v>6</v>
      </c>
      <c r="D200" s="1" t="s">
        <v>5</v>
      </c>
      <c r="E200">
        <v>85</v>
      </c>
      <c r="F200" s="1" t="s">
        <v>101</v>
      </c>
      <c r="G200">
        <v>8</v>
      </c>
      <c r="H200">
        <v>1</v>
      </c>
      <c r="I200" s="2">
        <f t="shared" si="9"/>
        <v>0.34905599999999998</v>
      </c>
      <c r="J200">
        <f t="shared" si="10"/>
        <v>1.3029339305711086E-2</v>
      </c>
      <c r="K200">
        <f t="shared" si="11"/>
        <v>9.1161138678506129E-3</v>
      </c>
    </row>
    <row r="201" spans="1:11" x14ac:dyDescent="0.25">
      <c r="A201" s="1">
        <v>1958</v>
      </c>
      <c r="B201" s="1" t="s">
        <v>99</v>
      </c>
      <c r="C201" t="s">
        <v>6</v>
      </c>
      <c r="D201" s="1" t="s">
        <v>5</v>
      </c>
      <c r="E201">
        <v>85</v>
      </c>
      <c r="F201" s="1" t="s">
        <v>101</v>
      </c>
      <c r="G201">
        <v>10</v>
      </c>
      <c r="H201">
        <v>1</v>
      </c>
      <c r="I201" s="2">
        <f t="shared" si="9"/>
        <v>0.5454</v>
      </c>
      <c r="J201">
        <f t="shared" si="10"/>
        <v>2.0358342665173574E-2</v>
      </c>
      <c r="K201">
        <f t="shared" si="11"/>
        <v>1.4243927918516584E-2</v>
      </c>
    </row>
    <row r="202" spans="1:11" x14ac:dyDescent="0.25">
      <c r="A202" s="1">
        <v>1958</v>
      </c>
      <c r="B202" s="1" t="s">
        <v>99</v>
      </c>
      <c r="C202" t="s">
        <v>6</v>
      </c>
      <c r="D202" s="1" t="s">
        <v>5</v>
      </c>
      <c r="E202">
        <v>85</v>
      </c>
      <c r="F202" s="1" t="s">
        <v>101</v>
      </c>
      <c r="G202">
        <v>16</v>
      </c>
      <c r="H202">
        <v>1</v>
      </c>
      <c r="I202" s="2">
        <f t="shared" si="9"/>
        <v>1.3962239999999999</v>
      </c>
      <c r="J202">
        <f t="shared" si="10"/>
        <v>5.2117357222844343E-2</v>
      </c>
      <c r="K202">
        <f t="shared" si="11"/>
        <v>3.6464455471402452E-2</v>
      </c>
    </row>
    <row r="203" spans="1:11" x14ac:dyDescent="0.25">
      <c r="A203" s="1">
        <v>1958</v>
      </c>
      <c r="B203" s="1" t="s">
        <v>99</v>
      </c>
      <c r="C203" t="s">
        <v>6</v>
      </c>
      <c r="D203" s="1" t="s">
        <v>5</v>
      </c>
      <c r="E203">
        <v>86</v>
      </c>
      <c r="F203" s="1" t="s">
        <v>101</v>
      </c>
      <c r="G203">
        <v>6</v>
      </c>
      <c r="H203">
        <v>4</v>
      </c>
      <c r="I203" s="2">
        <f t="shared" si="9"/>
        <v>0.78537599999999996</v>
      </c>
      <c r="J203">
        <f t="shared" si="10"/>
        <v>2.9316013437849942E-2</v>
      </c>
      <c r="K203">
        <f t="shared" si="11"/>
        <v>2.0511256202663877E-2</v>
      </c>
    </row>
    <row r="204" spans="1:11" x14ac:dyDescent="0.25">
      <c r="A204" s="1">
        <v>1958</v>
      </c>
      <c r="B204" s="1" t="s">
        <v>99</v>
      </c>
      <c r="C204" t="s">
        <v>6</v>
      </c>
      <c r="D204" s="1" t="s">
        <v>5</v>
      </c>
      <c r="E204">
        <v>86</v>
      </c>
      <c r="F204" s="1" t="s">
        <v>101</v>
      </c>
      <c r="G204">
        <v>8</v>
      </c>
      <c r="H204">
        <v>1</v>
      </c>
      <c r="I204" s="2">
        <f t="shared" si="9"/>
        <v>0.34905599999999998</v>
      </c>
      <c r="J204">
        <f t="shared" si="10"/>
        <v>1.3029339305711086E-2</v>
      </c>
      <c r="K204">
        <f t="shared" si="11"/>
        <v>9.1161138678506129E-3</v>
      </c>
    </row>
    <row r="205" spans="1:11" x14ac:dyDescent="0.25">
      <c r="A205" s="1">
        <v>1958</v>
      </c>
      <c r="B205" s="1" t="s">
        <v>99</v>
      </c>
      <c r="C205" t="s">
        <v>6</v>
      </c>
      <c r="D205" s="1" t="s">
        <v>5</v>
      </c>
      <c r="E205">
        <v>88</v>
      </c>
      <c r="F205" s="1" t="s">
        <v>101</v>
      </c>
      <c r="G205">
        <v>6</v>
      </c>
      <c r="H205">
        <v>2</v>
      </c>
      <c r="I205" s="2">
        <f t="shared" si="9"/>
        <v>0.39268799999999998</v>
      </c>
      <c r="J205">
        <f t="shared" si="10"/>
        <v>1.4658006718924971E-2</v>
      </c>
      <c r="K205">
        <f t="shared" si="11"/>
        <v>1.0255628101331939E-2</v>
      </c>
    </row>
    <row r="206" spans="1:11" x14ac:dyDescent="0.25">
      <c r="A206" s="1">
        <v>1958</v>
      </c>
      <c r="B206" s="1" t="s">
        <v>99</v>
      </c>
      <c r="C206" t="s">
        <v>6</v>
      </c>
      <c r="D206" s="1" t="s">
        <v>5</v>
      </c>
      <c r="E206">
        <v>88</v>
      </c>
      <c r="F206" s="1" t="s">
        <v>101</v>
      </c>
      <c r="G206">
        <v>8</v>
      </c>
      <c r="H206">
        <v>1</v>
      </c>
      <c r="I206" s="2">
        <f t="shared" si="9"/>
        <v>0.34905599999999998</v>
      </c>
      <c r="J206">
        <f t="shared" si="10"/>
        <v>1.3029339305711086E-2</v>
      </c>
      <c r="K206">
        <f t="shared" si="11"/>
        <v>9.1161138678506129E-3</v>
      </c>
    </row>
    <row r="207" spans="1:11" x14ac:dyDescent="0.25">
      <c r="A207" s="1">
        <v>1958</v>
      </c>
      <c r="B207" s="1" t="s">
        <v>99</v>
      </c>
      <c r="C207" t="s">
        <v>6</v>
      </c>
      <c r="D207" s="1" t="s">
        <v>5</v>
      </c>
      <c r="E207">
        <v>91</v>
      </c>
      <c r="F207" s="1" t="s">
        <v>101</v>
      </c>
      <c r="G207">
        <v>6</v>
      </c>
      <c r="H207">
        <v>1</v>
      </c>
      <c r="I207" s="2">
        <f t="shared" si="9"/>
        <v>0.19634399999999999</v>
      </c>
      <c r="J207">
        <f t="shared" si="10"/>
        <v>7.3290033594624856E-3</v>
      </c>
      <c r="K207">
        <f t="shared" si="11"/>
        <v>5.1278140506659693E-3</v>
      </c>
    </row>
    <row r="208" spans="1:11" x14ac:dyDescent="0.25">
      <c r="A208" s="1">
        <v>1958</v>
      </c>
      <c r="B208" s="1" t="s">
        <v>99</v>
      </c>
      <c r="C208" t="s">
        <v>8</v>
      </c>
      <c r="D208" s="1" t="s">
        <v>3</v>
      </c>
      <c r="E208">
        <v>17</v>
      </c>
      <c r="F208" s="1" t="s">
        <v>101</v>
      </c>
      <c r="G208">
        <v>8</v>
      </c>
      <c r="H208">
        <v>1</v>
      </c>
      <c r="I208" s="2">
        <f t="shared" si="9"/>
        <v>0.34905599999999998</v>
      </c>
      <c r="J208">
        <f t="shared" si="10"/>
        <v>1.3029339305711086E-2</v>
      </c>
      <c r="K208">
        <f t="shared" si="11"/>
        <v>9.1161138678506129E-3</v>
      </c>
    </row>
    <row r="209" spans="1:11" x14ac:dyDescent="0.25">
      <c r="A209" s="1">
        <v>1958</v>
      </c>
      <c r="B209" s="1" t="s">
        <v>99</v>
      </c>
      <c r="C209" t="s">
        <v>8</v>
      </c>
      <c r="D209" s="1" t="s">
        <v>3</v>
      </c>
      <c r="E209">
        <v>17</v>
      </c>
      <c r="F209" s="1" t="s">
        <v>101</v>
      </c>
      <c r="G209">
        <v>12</v>
      </c>
      <c r="H209">
        <v>1</v>
      </c>
      <c r="I209" s="2">
        <f t="shared" si="9"/>
        <v>0.78537599999999996</v>
      </c>
      <c r="J209">
        <f t="shared" si="10"/>
        <v>2.9316013437849942E-2</v>
      </c>
      <c r="K209">
        <f t="shared" si="11"/>
        <v>2.0511256202663877E-2</v>
      </c>
    </row>
    <row r="210" spans="1:11" x14ac:dyDescent="0.25">
      <c r="A210" s="1">
        <v>1958</v>
      </c>
      <c r="B210" s="1" t="s">
        <v>99</v>
      </c>
      <c r="C210" t="s">
        <v>8</v>
      </c>
      <c r="D210" s="1" t="s">
        <v>3</v>
      </c>
      <c r="E210">
        <v>17</v>
      </c>
      <c r="F210" s="1" t="s">
        <v>101</v>
      </c>
      <c r="G210">
        <v>14</v>
      </c>
      <c r="H210">
        <v>2</v>
      </c>
      <c r="I210" s="2">
        <f t="shared" si="9"/>
        <v>2.1379679999999999</v>
      </c>
      <c r="J210">
        <f t="shared" si="10"/>
        <v>7.9804703247480402E-2</v>
      </c>
      <c r="K210">
        <f t="shared" si="11"/>
        <v>5.5836197440585003E-2</v>
      </c>
    </row>
    <row r="211" spans="1:11" x14ac:dyDescent="0.25">
      <c r="A211" s="1">
        <v>1958</v>
      </c>
      <c r="B211" s="1" t="s">
        <v>99</v>
      </c>
      <c r="C211" t="s">
        <v>8</v>
      </c>
      <c r="D211" s="1" t="s">
        <v>3</v>
      </c>
      <c r="E211">
        <v>19</v>
      </c>
      <c r="F211" s="1" t="s">
        <v>101</v>
      </c>
      <c r="G211">
        <v>14</v>
      </c>
      <c r="H211">
        <v>1</v>
      </c>
      <c r="I211" s="2">
        <f t="shared" si="9"/>
        <v>1.0689839999999999</v>
      </c>
      <c r="J211">
        <f t="shared" si="10"/>
        <v>3.9902351623740201E-2</v>
      </c>
      <c r="K211">
        <f t="shared" si="11"/>
        <v>2.7918098720292502E-2</v>
      </c>
    </row>
    <row r="212" spans="1:11" x14ac:dyDescent="0.25">
      <c r="A212" s="1">
        <v>1958</v>
      </c>
      <c r="B212" s="1" t="s">
        <v>99</v>
      </c>
      <c r="C212" t="s">
        <v>8</v>
      </c>
      <c r="D212" s="1" t="s">
        <v>3</v>
      </c>
      <c r="E212">
        <v>21</v>
      </c>
      <c r="F212" s="1" t="s">
        <v>101</v>
      </c>
      <c r="G212">
        <v>12</v>
      </c>
      <c r="H212">
        <v>1</v>
      </c>
      <c r="I212" s="2">
        <f t="shared" si="9"/>
        <v>0.78537599999999996</v>
      </c>
      <c r="J212">
        <f t="shared" si="10"/>
        <v>2.9316013437849942E-2</v>
      </c>
      <c r="K212">
        <f t="shared" si="11"/>
        <v>2.0511256202663877E-2</v>
      </c>
    </row>
    <row r="213" spans="1:11" x14ac:dyDescent="0.25">
      <c r="A213" s="1">
        <v>1958</v>
      </c>
      <c r="B213" s="1" t="s">
        <v>99</v>
      </c>
      <c r="C213" t="s">
        <v>8</v>
      </c>
      <c r="D213" s="1" t="s">
        <v>3</v>
      </c>
      <c r="E213">
        <v>21</v>
      </c>
      <c r="F213" s="1" t="s">
        <v>101</v>
      </c>
      <c r="G213">
        <v>14</v>
      </c>
      <c r="H213">
        <v>1</v>
      </c>
      <c r="I213" s="2">
        <f t="shared" si="9"/>
        <v>1.0689839999999999</v>
      </c>
      <c r="J213">
        <f t="shared" si="10"/>
        <v>3.9902351623740201E-2</v>
      </c>
      <c r="K213">
        <f t="shared" si="11"/>
        <v>2.7918098720292502E-2</v>
      </c>
    </row>
    <row r="214" spans="1:11" x14ac:dyDescent="0.25">
      <c r="A214" s="1">
        <v>1958</v>
      </c>
      <c r="B214" s="1" t="s">
        <v>99</v>
      </c>
      <c r="C214" t="s">
        <v>8</v>
      </c>
      <c r="D214" s="1" t="s">
        <v>3</v>
      </c>
      <c r="E214">
        <v>21</v>
      </c>
      <c r="F214" s="1" t="s">
        <v>101</v>
      </c>
      <c r="G214">
        <v>18</v>
      </c>
      <c r="H214">
        <v>23</v>
      </c>
      <c r="I214" s="2">
        <f t="shared" si="9"/>
        <v>40.643207999999994</v>
      </c>
      <c r="J214">
        <f t="shared" si="10"/>
        <v>1.5171036954087345</v>
      </c>
      <c r="K214">
        <f t="shared" si="11"/>
        <v>1.0614575084878557</v>
      </c>
    </row>
    <row r="215" spans="1:11" x14ac:dyDescent="0.25">
      <c r="A215" s="1">
        <v>1958</v>
      </c>
      <c r="B215" s="1" t="s">
        <v>99</v>
      </c>
      <c r="C215" t="s">
        <v>8</v>
      </c>
      <c r="D215" s="1" t="s">
        <v>3</v>
      </c>
      <c r="E215">
        <v>21</v>
      </c>
      <c r="F215" s="1" t="s">
        <v>101</v>
      </c>
      <c r="G215">
        <v>20</v>
      </c>
      <c r="H215">
        <v>18</v>
      </c>
      <c r="I215" s="2">
        <f t="shared" si="9"/>
        <v>39.268799999999999</v>
      </c>
      <c r="J215">
        <f t="shared" si="10"/>
        <v>1.4658006718924972</v>
      </c>
      <c r="K215">
        <f t="shared" si="11"/>
        <v>1.0255628101331939</v>
      </c>
    </row>
    <row r="216" spans="1:11" x14ac:dyDescent="0.25">
      <c r="A216" s="1">
        <v>1958</v>
      </c>
      <c r="B216" s="1" t="s">
        <v>99</v>
      </c>
      <c r="C216" t="s">
        <v>8</v>
      </c>
      <c r="D216" s="1" t="s">
        <v>3</v>
      </c>
      <c r="E216">
        <v>21</v>
      </c>
      <c r="F216" s="1" t="s">
        <v>101</v>
      </c>
      <c r="G216">
        <v>22</v>
      </c>
      <c r="H216">
        <v>9</v>
      </c>
      <c r="I216" s="2">
        <f t="shared" si="9"/>
        <v>23.757623999999996</v>
      </c>
      <c r="J216">
        <f t="shared" si="10"/>
        <v>0.88680940649496065</v>
      </c>
      <c r="K216">
        <f t="shared" si="11"/>
        <v>0.62046550013058221</v>
      </c>
    </row>
    <row r="217" spans="1:11" x14ac:dyDescent="0.25">
      <c r="A217" s="1">
        <v>1958</v>
      </c>
      <c r="B217" s="1" t="s">
        <v>99</v>
      </c>
      <c r="C217" t="s">
        <v>8</v>
      </c>
      <c r="D217" s="1" t="s">
        <v>3</v>
      </c>
      <c r="E217">
        <v>21</v>
      </c>
      <c r="F217" s="1" t="s">
        <v>101</v>
      </c>
      <c r="G217">
        <v>24</v>
      </c>
      <c r="H217">
        <v>5</v>
      </c>
      <c r="I217" s="2">
        <f t="shared" si="9"/>
        <v>15.707519999999999</v>
      </c>
      <c r="J217">
        <f t="shared" si="10"/>
        <v>0.58632026875699883</v>
      </c>
      <c r="K217">
        <f t="shared" si="11"/>
        <v>0.41022512405327755</v>
      </c>
    </row>
    <row r="218" spans="1:11" x14ac:dyDescent="0.25">
      <c r="A218" s="1">
        <v>1958</v>
      </c>
      <c r="B218" s="1" t="s">
        <v>99</v>
      </c>
      <c r="C218" t="s">
        <v>8</v>
      </c>
      <c r="D218" s="1" t="s">
        <v>3</v>
      </c>
      <c r="E218">
        <v>25</v>
      </c>
      <c r="F218" s="1" t="s">
        <v>101</v>
      </c>
      <c r="G218">
        <v>20</v>
      </c>
      <c r="H218">
        <v>1</v>
      </c>
      <c r="I218" s="2">
        <f t="shared" si="9"/>
        <v>2.1816</v>
      </c>
      <c r="J218">
        <f t="shared" si="10"/>
        <v>8.1433370660694296E-2</v>
      </c>
      <c r="K218">
        <f t="shared" si="11"/>
        <v>5.6975711674066336E-2</v>
      </c>
    </row>
    <row r="219" spans="1:11" x14ac:dyDescent="0.25">
      <c r="A219" s="1">
        <v>1958</v>
      </c>
      <c r="B219" s="1" t="s">
        <v>99</v>
      </c>
      <c r="C219" t="s">
        <v>8</v>
      </c>
      <c r="D219" s="1" t="s">
        <v>3</v>
      </c>
      <c r="E219">
        <v>28</v>
      </c>
      <c r="F219" s="1" t="s">
        <v>101</v>
      </c>
      <c r="G219">
        <v>10</v>
      </c>
      <c r="H219">
        <v>1</v>
      </c>
      <c r="I219" s="2">
        <f t="shared" si="9"/>
        <v>0.5454</v>
      </c>
      <c r="J219">
        <f t="shared" si="10"/>
        <v>2.0358342665173574E-2</v>
      </c>
      <c r="K219">
        <f t="shared" si="11"/>
        <v>1.4243927918516584E-2</v>
      </c>
    </row>
    <row r="220" spans="1:11" x14ac:dyDescent="0.25">
      <c r="A220" s="1">
        <v>1958</v>
      </c>
      <c r="B220" s="1" t="s">
        <v>99</v>
      </c>
      <c r="C220" t="s">
        <v>8</v>
      </c>
      <c r="D220" s="1" t="s">
        <v>3</v>
      </c>
      <c r="E220">
        <v>29</v>
      </c>
      <c r="F220" s="1" t="s">
        <v>101</v>
      </c>
      <c r="G220">
        <v>6</v>
      </c>
      <c r="H220">
        <v>10</v>
      </c>
      <c r="I220" s="2">
        <f t="shared" si="9"/>
        <v>1.9634399999999999</v>
      </c>
      <c r="J220">
        <f t="shared" si="10"/>
        <v>7.3290033594624854E-2</v>
      </c>
      <c r="K220">
        <f t="shared" si="11"/>
        <v>5.1278140506659693E-2</v>
      </c>
    </row>
    <row r="221" spans="1:11" x14ac:dyDescent="0.25">
      <c r="A221" s="1">
        <v>1958</v>
      </c>
      <c r="B221" s="1" t="s">
        <v>99</v>
      </c>
      <c r="C221" t="s">
        <v>8</v>
      </c>
      <c r="D221" s="1" t="s">
        <v>3</v>
      </c>
      <c r="E221">
        <v>29</v>
      </c>
      <c r="F221" s="1" t="s">
        <v>101</v>
      </c>
      <c r="G221">
        <v>8</v>
      </c>
      <c r="H221">
        <v>33</v>
      </c>
      <c r="I221" s="2">
        <f t="shared" si="9"/>
        <v>11.518847999999998</v>
      </c>
      <c r="J221">
        <f t="shared" si="10"/>
        <v>0.42996819708846579</v>
      </c>
      <c r="K221">
        <f t="shared" si="11"/>
        <v>0.30083175763907022</v>
      </c>
    </row>
    <row r="222" spans="1:11" x14ac:dyDescent="0.25">
      <c r="A222" s="1">
        <v>1958</v>
      </c>
      <c r="B222" s="1" t="s">
        <v>99</v>
      </c>
      <c r="C222" t="s">
        <v>8</v>
      </c>
      <c r="D222" s="1" t="s">
        <v>3</v>
      </c>
      <c r="E222">
        <v>29</v>
      </c>
      <c r="F222" s="1" t="s">
        <v>101</v>
      </c>
      <c r="G222">
        <v>10</v>
      </c>
      <c r="H222">
        <v>14</v>
      </c>
      <c r="I222" s="2">
        <f t="shared" si="9"/>
        <v>7.6356000000000002</v>
      </c>
      <c r="J222">
        <f t="shared" si="10"/>
        <v>0.28501679731243001</v>
      </c>
      <c r="K222">
        <f t="shared" si="11"/>
        <v>0.19941499085923217</v>
      </c>
    </row>
    <row r="223" spans="1:11" x14ac:dyDescent="0.25">
      <c r="A223" s="1">
        <v>1958</v>
      </c>
      <c r="B223" s="1" t="s">
        <v>99</v>
      </c>
      <c r="C223" t="s">
        <v>8</v>
      </c>
      <c r="D223" s="1" t="s">
        <v>3</v>
      </c>
      <c r="E223">
        <v>29</v>
      </c>
      <c r="F223" s="1" t="s">
        <v>101</v>
      </c>
      <c r="G223">
        <v>12</v>
      </c>
      <c r="H223">
        <v>4</v>
      </c>
      <c r="I223" s="2">
        <f t="shared" si="9"/>
        <v>3.1415039999999999</v>
      </c>
      <c r="J223">
        <f t="shared" si="10"/>
        <v>0.11726405375139977</v>
      </c>
      <c r="K223">
        <f t="shared" si="11"/>
        <v>8.2045024810655509E-2</v>
      </c>
    </row>
    <row r="224" spans="1:11" x14ac:dyDescent="0.25">
      <c r="A224" s="1">
        <v>1958</v>
      </c>
      <c r="B224" s="1" t="s">
        <v>99</v>
      </c>
      <c r="C224" t="s">
        <v>8</v>
      </c>
      <c r="D224" s="1" t="s">
        <v>3</v>
      </c>
      <c r="E224">
        <v>29</v>
      </c>
      <c r="F224" s="1" t="s">
        <v>101</v>
      </c>
      <c r="G224">
        <v>16</v>
      </c>
      <c r="H224">
        <v>2</v>
      </c>
      <c r="I224" s="2">
        <f t="shared" si="9"/>
        <v>2.7924479999999998</v>
      </c>
      <c r="J224">
        <f t="shared" si="10"/>
        <v>0.10423471444568869</v>
      </c>
      <c r="K224">
        <f t="shared" si="11"/>
        <v>7.2928910942804903E-2</v>
      </c>
    </row>
    <row r="225" spans="1:11" x14ac:dyDescent="0.25">
      <c r="A225" s="1">
        <v>1958</v>
      </c>
      <c r="B225" s="1" t="s">
        <v>99</v>
      </c>
      <c r="C225" t="s">
        <v>8</v>
      </c>
      <c r="D225" s="1" t="s">
        <v>3</v>
      </c>
      <c r="E225">
        <v>29</v>
      </c>
      <c r="F225" s="1" t="s">
        <v>101</v>
      </c>
      <c r="G225">
        <v>24</v>
      </c>
      <c r="H225">
        <v>1</v>
      </c>
      <c r="I225" s="2">
        <f t="shared" si="9"/>
        <v>3.1415039999999999</v>
      </c>
      <c r="J225">
        <f t="shared" si="10"/>
        <v>0.11726405375139977</v>
      </c>
      <c r="K225">
        <f t="shared" si="11"/>
        <v>8.2045024810655509E-2</v>
      </c>
    </row>
    <row r="226" spans="1:11" x14ac:dyDescent="0.25">
      <c r="A226" s="1">
        <v>1958</v>
      </c>
      <c r="B226" s="1" t="s">
        <v>99</v>
      </c>
      <c r="C226" t="s">
        <v>8</v>
      </c>
      <c r="D226" s="1" t="s">
        <v>3</v>
      </c>
      <c r="E226">
        <v>30</v>
      </c>
      <c r="F226" s="1" t="s">
        <v>101</v>
      </c>
      <c r="G226">
        <v>8</v>
      </c>
      <c r="H226">
        <v>1</v>
      </c>
      <c r="I226" s="2">
        <f t="shared" si="9"/>
        <v>0.34905599999999998</v>
      </c>
      <c r="J226">
        <f t="shared" si="10"/>
        <v>1.3029339305711086E-2</v>
      </c>
      <c r="K226">
        <f t="shared" si="11"/>
        <v>9.1161138678506129E-3</v>
      </c>
    </row>
    <row r="227" spans="1:11" x14ac:dyDescent="0.25">
      <c r="A227" s="1">
        <v>1958</v>
      </c>
      <c r="B227" s="1" t="s">
        <v>99</v>
      </c>
      <c r="C227" t="s">
        <v>8</v>
      </c>
      <c r="D227" s="1" t="s">
        <v>3</v>
      </c>
      <c r="E227">
        <v>32</v>
      </c>
      <c r="F227" s="1" t="s">
        <v>101</v>
      </c>
      <c r="G227">
        <v>10</v>
      </c>
      <c r="H227">
        <v>2</v>
      </c>
      <c r="I227" s="2">
        <f t="shared" si="9"/>
        <v>1.0908</v>
      </c>
      <c r="J227">
        <f t="shared" si="10"/>
        <v>4.0716685330347148E-2</v>
      </c>
      <c r="K227">
        <f t="shared" si="11"/>
        <v>2.8487855837033168E-2</v>
      </c>
    </row>
    <row r="228" spans="1:11" x14ac:dyDescent="0.25">
      <c r="A228" s="1">
        <v>1958</v>
      </c>
      <c r="B228" s="1" t="s">
        <v>99</v>
      </c>
      <c r="C228" t="s">
        <v>8</v>
      </c>
      <c r="D228" s="1" t="s">
        <v>3</v>
      </c>
      <c r="E228">
        <v>32</v>
      </c>
      <c r="F228" s="1" t="s">
        <v>101</v>
      </c>
      <c r="G228">
        <v>12</v>
      </c>
      <c r="H228">
        <v>2</v>
      </c>
      <c r="I228" s="2">
        <f t="shared" si="9"/>
        <v>1.5707519999999999</v>
      </c>
      <c r="J228">
        <f t="shared" si="10"/>
        <v>5.8632026875699884E-2</v>
      </c>
      <c r="K228">
        <f t="shared" si="11"/>
        <v>4.1022512405327755E-2</v>
      </c>
    </row>
    <row r="229" spans="1:11" x14ac:dyDescent="0.25">
      <c r="A229" s="1">
        <v>1958</v>
      </c>
      <c r="B229" s="1" t="s">
        <v>99</v>
      </c>
      <c r="C229" t="s">
        <v>8</v>
      </c>
      <c r="D229" s="1" t="s">
        <v>3</v>
      </c>
      <c r="E229">
        <v>32</v>
      </c>
      <c r="F229" s="1" t="s">
        <v>101</v>
      </c>
      <c r="G229">
        <v>14</v>
      </c>
      <c r="H229">
        <v>2</v>
      </c>
      <c r="I229" s="2">
        <f t="shared" si="9"/>
        <v>2.1379679999999999</v>
      </c>
      <c r="J229">
        <f t="shared" si="10"/>
        <v>7.9804703247480402E-2</v>
      </c>
      <c r="K229">
        <f t="shared" si="11"/>
        <v>5.5836197440585003E-2</v>
      </c>
    </row>
    <row r="230" spans="1:11" x14ac:dyDescent="0.25">
      <c r="A230" s="1">
        <v>1958</v>
      </c>
      <c r="B230" s="1" t="s">
        <v>99</v>
      </c>
      <c r="C230" t="s">
        <v>8</v>
      </c>
      <c r="D230" s="1" t="s">
        <v>3</v>
      </c>
      <c r="E230">
        <v>32</v>
      </c>
      <c r="F230" s="1" t="s">
        <v>101</v>
      </c>
      <c r="G230">
        <v>16</v>
      </c>
      <c r="H230">
        <v>1</v>
      </c>
      <c r="I230" s="2">
        <f t="shared" si="9"/>
        <v>1.3962239999999999</v>
      </c>
      <c r="J230">
        <f t="shared" si="10"/>
        <v>5.2117357222844343E-2</v>
      </c>
      <c r="K230">
        <f t="shared" si="11"/>
        <v>3.6464455471402452E-2</v>
      </c>
    </row>
    <row r="231" spans="1:11" x14ac:dyDescent="0.25">
      <c r="A231" s="1">
        <v>1958</v>
      </c>
      <c r="B231" s="1" t="s">
        <v>99</v>
      </c>
      <c r="C231" t="s">
        <v>8</v>
      </c>
      <c r="D231" s="1" t="s">
        <v>3</v>
      </c>
      <c r="E231">
        <v>32</v>
      </c>
      <c r="F231" s="1" t="s">
        <v>101</v>
      </c>
      <c r="G231">
        <v>18</v>
      </c>
      <c r="H231">
        <v>5</v>
      </c>
      <c r="I231" s="2">
        <f t="shared" si="9"/>
        <v>8.8354799999999987</v>
      </c>
      <c r="J231">
        <f t="shared" si="10"/>
        <v>0.32980515117581183</v>
      </c>
      <c r="K231">
        <f t="shared" si="11"/>
        <v>0.23075163227996862</v>
      </c>
    </row>
    <row r="232" spans="1:11" x14ac:dyDescent="0.25">
      <c r="A232" s="1">
        <v>1958</v>
      </c>
      <c r="B232" s="1" t="s">
        <v>99</v>
      </c>
      <c r="C232" t="s">
        <v>8</v>
      </c>
      <c r="D232" s="1" t="s">
        <v>3</v>
      </c>
      <c r="E232">
        <v>32</v>
      </c>
      <c r="F232" s="1" t="s">
        <v>101</v>
      </c>
      <c r="G232">
        <v>20</v>
      </c>
      <c r="H232">
        <v>2</v>
      </c>
      <c r="I232" s="2">
        <f t="shared" si="9"/>
        <v>4.3632</v>
      </c>
      <c r="J232">
        <f t="shared" si="10"/>
        <v>0.16286674132138859</v>
      </c>
      <c r="K232">
        <f t="shared" si="11"/>
        <v>0.11395142334813267</v>
      </c>
    </row>
    <row r="233" spans="1:11" x14ac:dyDescent="0.25">
      <c r="A233" s="1">
        <v>1958</v>
      </c>
      <c r="B233" s="1" t="s">
        <v>99</v>
      </c>
      <c r="C233" t="s">
        <v>8</v>
      </c>
      <c r="D233" s="1" t="s">
        <v>3</v>
      </c>
      <c r="E233">
        <v>32</v>
      </c>
      <c r="F233" s="1" t="s">
        <v>101</v>
      </c>
      <c r="G233">
        <v>22</v>
      </c>
      <c r="H233">
        <v>3</v>
      </c>
      <c r="I233" s="2">
        <f t="shared" si="9"/>
        <v>7.9192079999999994</v>
      </c>
      <c r="J233">
        <f t="shared" si="10"/>
        <v>0.29560313549832024</v>
      </c>
      <c r="K233">
        <f t="shared" si="11"/>
        <v>0.20682183337686078</v>
      </c>
    </row>
    <row r="234" spans="1:11" x14ac:dyDescent="0.25">
      <c r="A234" s="1">
        <v>1958</v>
      </c>
      <c r="B234" s="1" t="s">
        <v>99</v>
      </c>
      <c r="C234" t="s">
        <v>8</v>
      </c>
      <c r="D234" s="1" t="s">
        <v>3</v>
      </c>
      <c r="E234">
        <v>32</v>
      </c>
      <c r="F234" s="1" t="s">
        <v>101</v>
      </c>
      <c r="G234">
        <v>26</v>
      </c>
      <c r="H234">
        <v>2</v>
      </c>
      <c r="I234" s="2">
        <f t="shared" si="9"/>
        <v>7.3738079999999995</v>
      </c>
      <c r="J234">
        <f t="shared" si="10"/>
        <v>0.27524479283314668</v>
      </c>
      <c r="K234">
        <f t="shared" si="11"/>
        <v>0.19257790545834419</v>
      </c>
    </row>
    <row r="235" spans="1:11" x14ac:dyDescent="0.25">
      <c r="A235" s="1">
        <v>1958</v>
      </c>
      <c r="B235" s="1" t="s">
        <v>99</v>
      </c>
      <c r="C235" t="s">
        <v>8</v>
      </c>
      <c r="D235" s="1" t="s">
        <v>3</v>
      </c>
      <c r="E235">
        <v>34</v>
      </c>
      <c r="F235" s="1" t="s">
        <v>101</v>
      </c>
      <c r="G235">
        <v>6</v>
      </c>
      <c r="H235">
        <v>4</v>
      </c>
      <c r="I235" s="2">
        <f t="shared" si="9"/>
        <v>0.78537599999999996</v>
      </c>
      <c r="J235">
        <f t="shared" si="10"/>
        <v>2.9316013437849942E-2</v>
      </c>
      <c r="K235">
        <f t="shared" si="11"/>
        <v>2.0511256202663877E-2</v>
      </c>
    </row>
    <row r="236" spans="1:11" x14ac:dyDescent="0.25">
      <c r="A236" s="1">
        <v>1958</v>
      </c>
      <c r="B236" s="1" t="s">
        <v>99</v>
      </c>
      <c r="C236" t="s">
        <v>8</v>
      </c>
      <c r="D236" s="1" t="s">
        <v>3</v>
      </c>
      <c r="E236">
        <v>34</v>
      </c>
      <c r="F236" s="1" t="s">
        <v>101</v>
      </c>
      <c r="G236">
        <v>10</v>
      </c>
      <c r="H236">
        <v>2</v>
      </c>
      <c r="I236" s="2">
        <f t="shared" si="9"/>
        <v>1.0908</v>
      </c>
      <c r="J236">
        <f t="shared" si="10"/>
        <v>4.0716685330347148E-2</v>
      </c>
      <c r="K236">
        <f t="shared" si="11"/>
        <v>2.8487855837033168E-2</v>
      </c>
    </row>
    <row r="237" spans="1:11" x14ac:dyDescent="0.25">
      <c r="A237" s="1">
        <v>1958</v>
      </c>
      <c r="B237" s="1" t="s">
        <v>99</v>
      </c>
      <c r="C237" t="s">
        <v>8</v>
      </c>
      <c r="D237" s="1" t="s">
        <v>3</v>
      </c>
      <c r="E237">
        <v>34</v>
      </c>
      <c r="F237" s="1" t="s">
        <v>101</v>
      </c>
      <c r="G237">
        <v>12</v>
      </c>
      <c r="H237">
        <v>5</v>
      </c>
      <c r="I237" s="2">
        <f t="shared" si="9"/>
        <v>3.9268799999999997</v>
      </c>
      <c r="J237">
        <f t="shared" si="10"/>
        <v>0.14658006718924971</v>
      </c>
      <c r="K237">
        <f t="shared" si="11"/>
        <v>0.10255628101331939</v>
      </c>
    </row>
    <row r="238" spans="1:11" x14ac:dyDescent="0.25">
      <c r="A238" s="1">
        <v>1958</v>
      </c>
      <c r="B238" s="1" t="s">
        <v>99</v>
      </c>
      <c r="C238" t="s">
        <v>8</v>
      </c>
      <c r="D238" s="1" t="s">
        <v>3</v>
      </c>
      <c r="E238">
        <v>34</v>
      </c>
      <c r="F238" s="1" t="s">
        <v>101</v>
      </c>
      <c r="G238">
        <v>14</v>
      </c>
      <c r="H238">
        <v>2</v>
      </c>
      <c r="I238" s="2">
        <f t="shared" si="9"/>
        <v>2.1379679999999999</v>
      </c>
      <c r="J238">
        <f t="shared" si="10"/>
        <v>7.9804703247480402E-2</v>
      </c>
      <c r="K238">
        <f t="shared" si="11"/>
        <v>5.5836197440585003E-2</v>
      </c>
    </row>
    <row r="239" spans="1:11" x14ac:dyDescent="0.25">
      <c r="A239" s="1">
        <v>1958</v>
      </c>
      <c r="B239" s="1" t="s">
        <v>99</v>
      </c>
      <c r="C239" t="s">
        <v>8</v>
      </c>
      <c r="D239" s="1" t="s">
        <v>3</v>
      </c>
      <c r="E239">
        <v>34</v>
      </c>
      <c r="F239" s="1" t="s">
        <v>101</v>
      </c>
      <c r="G239">
        <v>16</v>
      </c>
      <c r="H239">
        <v>3</v>
      </c>
      <c r="I239" s="2">
        <f t="shared" si="9"/>
        <v>4.1886719999999995</v>
      </c>
      <c r="J239">
        <f t="shared" si="10"/>
        <v>0.15635207166853302</v>
      </c>
      <c r="K239">
        <f t="shared" si="11"/>
        <v>0.10939336641420734</v>
      </c>
    </row>
    <row r="240" spans="1:11" x14ac:dyDescent="0.25">
      <c r="A240" s="1">
        <v>1958</v>
      </c>
      <c r="B240" s="1" t="s">
        <v>99</v>
      </c>
      <c r="C240" t="s">
        <v>8</v>
      </c>
      <c r="D240" s="1" t="s">
        <v>3</v>
      </c>
      <c r="E240">
        <v>34</v>
      </c>
      <c r="F240" s="1" t="s">
        <v>101</v>
      </c>
      <c r="G240">
        <v>18</v>
      </c>
      <c r="H240">
        <v>26</v>
      </c>
      <c r="I240" s="2">
        <f t="shared" si="9"/>
        <v>45.944495999999994</v>
      </c>
      <c r="J240">
        <f t="shared" si="10"/>
        <v>1.7149867861142216</v>
      </c>
      <c r="K240">
        <f t="shared" si="11"/>
        <v>1.1999084878558368</v>
      </c>
    </row>
    <row r="241" spans="1:11" x14ac:dyDescent="0.25">
      <c r="A241" s="1">
        <v>1958</v>
      </c>
      <c r="B241" s="1" t="s">
        <v>99</v>
      </c>
      <c r="C241" t="s">
        <v>8</v>
      </c>
      <c r="D241" s="1" t="s">
        <v>3</v>
      </c>
      <c r="E241">
        <v>34</v>
      </c>
      <c r="F241" s="1" t="s">
        <v>101</v>
      </c>
      <c r="G241">
        <v>20</v>
      </c>
      <c r="H241">
        <v>12</v>
      </c>
      <c r="I241" s="2">
        <f t="shared" si="9"/>
        <v>26.179200000000002</v>
      </c>
      <c r="J241">
        <f t="shared" si="10"/>
        <v>0.97720044792833161</v>
      </c>
      <c r="K241">
        <f t="shared" si="11"/>
        <v>0.68370854008879611</v>
      </c>
    </row>
    <row r="242" spans="1:11" x14ac:dyDescent="0.25">
      <c r="A242" s="1">
        <v>1958</v>
      </c>
      <c r="B242" s="1" t="s">
        <v>99</v>
      </c>
      <c r="C242" t="s">
        <v>8</v>
      </c>
      <c r="D242" s="1" t="s">
        <v>3</v>
      </c>
      <c r="E242">
        <v>34</v>
      </c>
      <c r="F242" s="1" t="s">
        <v>101</v>
      </c>
      <c r="G242">
        <v>22</v>
      </c>
      <c r="H242">
        <v>8</v>
      </c>
      <c r="I242" s="2">
        <f t="shared" si="9"/>
        <v>21.117887999999997</v>
      </c>
      <c r="J242">
        <f t="shared" si="10"/>
        <v>0.78827502799552063</v>
      </c>
      <c r="K242">
        <f t="shared" si="11"/>
        <v>0.55152488900496199</v>
      </c>
    </row>
    <row r="243" spans="1:11" x14ac:dyDescent="0.25">
      <c r="A243" s="1">
        <v>1958</v>
      </c>
      <c r="B243" s="1" t="s">
        <v>99</v>
      </c>
      <c r="C243" t="s">
        <v>8</v>
      </c>
      <c r="D243" s="1" t="s">
        <v>3</v>
      </c>
      <c r="E243">
        <v>34</v>
      </c>
      <c r="F243" s="1" t="s">
        <v>101</v>
      </c>
      <c r="G243">
        <v>24</v>
      </c>
      <c r="H243">
        <v>4</v>
      </c>
      <c r="I243" s="2">
        <f t="shared" si="9"/>
        <v>12.566015999999999</v>
      </c>
      <c r="J243">
        <f t="shared" si="10"/>
        <v>0.46905621500559908</v>
      </c>
      <c r="K243">
        <f t="shared" si="11"/>
        <v>0.32818009924262204</v>
      </c>
    </row>
    <row r="244" spans="1:11" x14ac:dyDescent="0.25">
      <c r="A244" s="1">
        <v>1958</v>
      </c>
      <c r="B244" s="1" t="s">
        <v>99</v>
      </c>
      <c r="C244" t="s">
        <v>8</v>
      </c>
      <c r="D244" s="1" t="s">
        <v>3</v>
      </c>
      <c r="E244">
        <v>34</v>
      </c>
      <c r="F244" s="1" t="s">
        <v>101</v>
      </c>
      <c r="G244">
        <v>26</v>
      </c>
      <c r="H244">
        <v>2</v>
      </c>
      <c r="I244" s="2">
        <f t="shared" si="9"/>
        <v>7.3738079999999995</v>
      </c>
      <c r="J244">
        <f t="shared" si="10"/>
        <v>0.27524479283314668</v>
      </c>
      <c r="K244">
        <f t="shared" si="11"/>
        <v>0.19257790545834419</v>
      </c>
    </row>
    <row r="245" spans="1:11" x14ac:dyDescent="0.25">
      <c r="A245" s="1">
        <v>1958</v>
      </c>
      <c r="B245" s="1" t="s">
        <v>99</v>
      </c>
      <c r="C245" t="s">
        <v>8</v>
      </c>
      <c r="D245" s="1" t="s">
        <v>3</v>
      </c>
      <c r="E245">
        <v>34</v>
      </c>
      <c r="F245" s="1" t="s">
        <v>101</v>
      </c>
      <c r="G245">
        <v>30</v>
      </c>
      <c r="H245">
        <v>2</v>
      </c>
      <c r="I245" s="2">
        <f t="shared" si="9"/>
        <v>9.8171999999999997</v>
      </c>
      <c r="J245">
        <f t="shared" si="10"/>
        <v>0.3664501679731243</v>
      </c>
      <c r="K245">
        <f t="shared" si="11"/>
        <v>0.25639070253329849</v>
      </c>
    </row>
    <row r="246" spans="1:11" x14ac:dyDescent="0.25">
      <c r="A246" s="1">
        <v>1958</v>
      </c>
      <c r="B246" s="1" t="s">
        <v>99</v>
      </c>
      <c r="C246" t="s">
        <v>8</v>
      </c>
      <c r="D246" s="1" t="s">
        <v>3</v>
      </c>
      <c r="E246">
        <v>38</v>
      </c>
      <c r="F246" s="1" t="s">
        <v>101</v>
      </c>
      <c r="G246">
        <v>6</v>
      </c>
      <c r="H246">
        <v>2</v>
      </c>
      <c r="I246" s="2">
        <f t="shared" si="9"/>
        <v>0.39268799999999998</v>
      </c>
      <c r="J246">
        <f t="shared" si="10"/>
        <v>1.4658006718924971E-2</v>
      </c>
      <c r="K246">
        <f t="shared" si="11"/>
        <v>1.0255628101331939E-2</v>
      </c>
    </row>
    <row r="247" spans="1:11" x14ac:dyDescent="0.25">
      <c r="A247" s="1">
        <v>1958</v>
      </c>
      <c r="B247" s="1" t="s">
        <v>99</v>
      </c>
      <c r="C247" t="s">
        <v>8</v>
      </c>
      <c r="D247" s="1" t="s">
        <v>3</v>
      </c>
      <c r="E247">
        <v>38</v>
      </c>
      <c r="F247" s="1" t="s">
        <v>101</v>
      </c>
      <c r="G247">
        <v>8</v>
      </c>
      <c r="H247">
        <v>3</v>
      </c>
      <c r="I247" s="2">
        <f t="shared" si="9"/>
        <v>1.0471679999999999</v>
      </c>
      <c r="J247">
        <f t="shared" si="10"/>
        <v>3.9088017917133254E-2</v>
      </c>
      <c r="K247">
        <f t="shared" si="11"/>
        <v>2.7348341603551835E-2</v>
      </c>
    </row>
    <row r="248" spans="1:11" x14ac:dyDescent="0.25">
      <c r="A248" s="1">
        <v>1958</v>
      </c>
      <c r="B248" s="1" t="s">
        <v>99</v>
      </c>
      <c r="C248" t="s">
        <v>8</v>
      </c>
      <c r="D248" s="1" t="s">
        <v>3</v>
      </c>
      <c r="E248">
        <v>38</v>
      </c>
      <c r="F248" s="1" t="s">
        <v>101</v>
      </c>
      <c r="G248">
        <v>10</v>
      </c>
      <c r="H248">
        <v>1</v>
      </c>
      <c r="I248" s="2">
        <f t="shared" si="9"/>
        <v>0.5454</v>
      </c>
      <c r="J248">
        <f t="shared" si="10"/>
        <v>2.0358342665173574E-2</v>
      </c>
      <c r="K248">
        <f t="shared" si="11"/>
        <v>1.4243927918516584E-2</v>
      </c>
    </row>
    <row r="249" spans="1:11" x14ac:dyDescent="0.25">
      <c r="A249" s="1">
        <v>1958</v>
      </c>
      <c r="B249" s="1" t="s">
        <v>99</v>
      </c>
      <c r="C249" t="s">
        <v>8</v>
      </c>
      <c r="D249" s="1" t="s">
        <v>3</v>
      </c>
      <c r="E249">
        <v>38</v>
      </c>
      <c r="F249" s="1" t="s">
        <v>101</v>
      </c>
      <c r="G249">
        <v>12</v>
      </c>
      <c r="H249">
        <v>1</v>
      </c>
      <c r="I249" s="2">
        <f t="shared" si="9"/>
        <v>0.78537599999999996</v>
      </c>
      <c r="J249">
        <f t="shared" si="10"/>
        <v>2.9316013437849942E-2</v>
      </c>
      <c r="K249">
        <f t="shared" si="11"/>
        <v>2.0511256202663877E-2</v>
      </c>
    </row>
    <row r="250" spans="1:11" x14ac:dyDescent="0.25">
      <c r="A250" s="1">
        <v>1958</v>
      </c>
      <c r="B250" s="1" t="s">
        <v>99</v>
      </c>
      <c r="C250" t="s">
        <v>8</v>
      </c>
      <c r="D250" s="1" t="s">
        <v>3</v>
      </c>
      <c r="E250">
        <v>38</v>
      </c>
      <c r="F250" s="1" t="s">
        <v>101</v>
      </c>
      <c r="G250">
        <v>18</v>
      </c>
      <c r="H250">
        <v>31</v>
      </c>
      <c r="I250" s="2">
        <f t="shared" si="9"/>
        <v>54.779975999999991</v>
      </c>
      <c r="J250">
        <f t="shared" si="10"/>
        <v>2.0447919372900332</v>
      </c>
      <c r="K250">
        <f t="shared" si="11"/>
        <v>1.4306601201358053</v>
      </c>
    </row>
    <row r="251" spans="1:11" x14ac:dyDescent="0.25">
      <c r="A251" s="1">
        <v>1958</v>
      </c>
      <c r="B251" s="1" t="s">
        <v>99</v>
      </c>
      <c r="C251" t="s">
        <v>8</v>
      </c>
      <c r="D251" s="1" t="s">
        <v>3</v>
      </c>
      <c r="E251">
        <v>38</v>
      </c>
      <c r="F251" s="1" t="s">
        <v>101</v>
      </c>
      <c r="G251">
        <v>20</v>
      </c>
      <c r="H251">
        <v>17</v>
      </c>
      <c r="I251" s="2">
        <f t="shared" si="9"/>
        <v>37.087200000000003</v>
      </c>
      <c r="J251">
        <f t="shared" si="10"/>
        <v>1.384367301231803</v>
      </c>
      <c r="K251">
        <f t="shared" si="11"/>
        <v>0.96858709845912772</v>
      </c>
    </row>
    <row r="252" spans="1:11" x14ac:dyDescent="0.25">
      <c r="A252" s="1">
        <v>1958</v>
      </c>
      <c r="B252" s="1" t="s">
        <v>99</v>
      </c>
      <c r="C252" t="s">
        <v>8</v>
      </c>
      <c r="D252" s="1" t="s">
        <v>3</v>
      </c>
      <c r="E252">
        <v>38</v>
      </c>
      <c r="F252" s="1" t="s">
        <v>101</v>
      </c>
      <c r="G252">
        <v>22</v>
      </c>
      <c r="H252">
        <v>17</v>
      </c>
      <c r="I252" s="2">
        <f t="shared" si="9"/>
        <v>44.875511999999993</v>
      </c>
      <c r="J252">
        <f t="shared" si="10"/>
        <v>1.6750844344904814</v>
      </c>
      <c r="K252">
        <f t="shared" si="11"/>
        <v>1.1719903891355443</v>
      </c>
    </row>
    <row r="253" spans="1:11" x14ac:dyDescent="0.25">
      <c r="A253" s="1">
        <v>1958</v>
      </c>
      <c r="B253" s="1" t="s">
        <v>99</v>
      </c>
      <c r="C253" t="s">
        <v>8</v>
      </c>
      <c r="D253" s="1" t="s">
        <v>3</v>
      </c>
      <c r="E253">
        <v>38</v>
      </c>
      <c r="F253" s="1" t="s">
        <v>101</v>
      </c>
      <c r="G253">
        <v>24</v>
      </c>
      <c r="H253">
        <v>2</v>
      </c>
      <c r="I253" s="2">
        <f t="shared" si="9"/>
        <v>6.2830079999999997</v>
      </c>
      <c r="J253">
        <f t="shared" si="10"/>
        <v>0.23452810750279954</v>
      </c>
      <c r="K253">
        <f t="shared" si="11"/>
        <v>0.16409004962131102</v>
      </c>
    </row>
    <row r="254" spans="1:11" x14ac:dyDescent="0.25">
      <c r="A254" s="1">
        <v>1958</v>
      </c>
      <c r="B254" s="1" t="s">
        <v>99</v>
      </c>
      <c r="C254" t="s">
        <v>8</v>
      </c>
      <c r="D254" s="1" t="s">
        <v>3</v>
      </c>
      <c r="E254">
        <v>38</v>
      </c>
      <c r="F254" s="1" t="s">
        <v>101</v>
      </c>
      <c r="G254">
        <v>26</v>
      </c>
      <c r="H254">
        <v>7</v>
      </c>
      <c r="I254" s="2">
        <f t="shared" si="9"/>
        <v>25.808327999999999</v>
      </c>
      <c r="J254">
        <f t="shared" si="10"/>
        <v>0.96335677491601346</v>
      </c>
      <c r="K254">
        <f t="shared" si="11"/>
        <v>0.67402266910420472</v>
      </c>
    </row>
    <row r="255" spans="1:11" x14ac:dyDescent="0.25">
      <c r="A255" s="1">
        <v>1958</v>
      </c>
      <c r="B255" s="1" t="s">
        <v>99</v>
      </c>
      <c r="C255" t="s">
        <v>8</v>
      </c>
      <c r="D255" s="1" t="s">
        <v>3</v>
      </c>
      <c r="E255">
        <v>38</v>
      </c>
      <c r="F255" s="1" t="s">
        <v>101</v>
      </c>
      <c r="G255">
        <v>28</v>
      </c>
      <c r="H255">
        <v>3</v>
      </c>
      <c r="I255" s="2">
        <f t="shared" si="9"/>
        <v>12.827807999999999</v>
      </c>
      <c r="J255">
        <f t="shared" si="10"/>
        <v>0.47882821948488241</v>
      </c>
      <c r="K255">
        <f t="shared" si="11"/>
        <v>0.33501718464351005</v>
      </c>
    </row>
    <row r="256" spans="1:11" x14ac:dyDescent="0.25">
      <c r="A256" s="1">
        <v>1958</v>
      </c>
      <c r="B256" s="1" t="s">
        <v>99</v>
      </c>
      <c r="C256" t="s">
        <v>8</v>
      </c>
      <c r="D256" s="1" t="s">
        <v>3</v>
      </c>
      <c r="E256">
        <v>38</v>
      </c>
      <c r="F256" s="1" t="s">
        <v>101</v>
      </c>
      <c r="G256">
        <v>30</v>
      </c>
      <c r="H256">
        <v>2</v>
      </c>
      <c r="I256" s="2">
        <f t="shared" si="9"/>
        <v>9.8171999999999997</v>
      </c>
      <c r="J256">
        <f t="shared" si="10"/>
        <v>0.3664501679731243</v>
      </c>
      <c r="K256">
        <f t="shared" si="11"/>
        <v>0.25639070253329849</v>
      </c>
    </row>
    <row r="257" spans="1:11" x14ac:dyDescent="0.25">
      <c r="A257" s="1">
        <v>1958</v>
      </c>
      <c r="B257" s="1" t="s">
        <v>99</v>
      </c>
      <c r="C257" t="s">
        <v>8</v>
      </c>
      <c r="D257" s="1" t="s">
        <v>3</v>
      </c>
      <c r="E257">
        <v>40</v>
      </c>
      <c r="F257" s="1" t="s">
        <v>101</v>
      </c>
      <c r="G257">
        <v>6</v>
      </c>
      <c r="H257">
        <v>36</v>
      </c>
      <c r="I257" s="2">
        <f t="shared" si="9"/>
        <v>7.068384</v>
      </c>
      <c r="J257">
        <f t="shared" si="10"/>
        <v>0.26384412094064952</v>
      </c>
      <c r="K257">
        <f t="shared" si="11"/>
        <v>0.18460130582397494</v>
      </c>
    </row>
    <row r="258" spans="1:11" x14ac:dyDescent="0.25">
      <c r="A258" s="1">
        <v>1958</v>
      </c>
      <c r="B258" s="1" t="s">
        <v>99</v>
      </c>
      <c r="C258" t="s">
        <v>8</v>
      </c>
      <c r="D258" s="1" t="s">
        <v>3</v>
      </c>
      <c r="E258">
        <v>40</v>
      </c>
      <c r="F258" s="1" t="s">
        <v>101</v>
      </c>
      <c r="G258">
        <v>8</v>
      </c>
      <c r="H258">
        <v>19</v>
      </c>
      <c r="I258" s="2">
        <f t="shared" si="9"/>
        <v>6.6320639999999997</v>
      </c>
      <c r="J258">
        <f t="shared" si="10"/>
        <v>0.24755744680851063</v>
      </c>
      <c r="K258">
        <f t="shared" si="11"/>
        <v>0.17320616348916165</v>
      </c>
    </row>
    <row r="259" spans="1:11" x14ac:dyDescent="0.25">
      <c r="A259" s="1">
        <v>1958</v>
      </c>
      <c r="B259" s="1" t="s">
        <v>99</v>
      </c>
      <c r="C259" t="s">
        <v>8</v>
      </c>
      <c r="D259" s="1" t="s">
        <v>3</v>
      </c>
      <c r="E259">
        <v>40</v>
      </c>
      <c r="F259" s="1" t="s">
        <v>101</v>
      </c>
      <c r="G259">
        <v>10</v>
      </c>
      <c r="H259">
        <v>13</v>
      </c>
      <c r="I259" s="2">
        <f t="shared" ref="I259:I322" si="12">0.005454*G259^2*H259</f>
        <v>7.0902000000000003</v>
      </c>
      <c r="J259">
        <f t="shared" ref="J259:J322" si="13">I259/26.79</f>
        <v>0.26465845464725646</v>
      </c>
      <c r="K259">
        <f t="shared" ref="K259:K322" si="14">J259*(26.79/38.29)</f>
        <v>0.18517106294071559</v>
      </c>
    </row>
    <row r="260" spans="1:11" x14ac:dyDescent="0.25">
      <c r="A260" s="1">
        <v>1958</v>
      </c>
      <c r="B260" s="1" t="s">
        <v>99</v>
      </c>
      <c r="C260" t="s">
        <v>8</v>
      </c>
      <c r="D260" s="1" t="s">
        <v>3</v>
      </c>
      <c r="E260">
        <v>40</v>
      </c>
      <c r="F260" s="1" t="s">
        <v>101</v>
      </c>
      <c r="G260">
        <v>12</v>
      </c>
      <c r="H260">
        <v>6</v>
      </c>
      <c r="I260" s="2">
        <f t="shared" si="12"/>
        <v>4.712256</v>
      </c>
      <c r="J260">
        <f t="shared" si="13"/>
        <v>0.17589608062709966</v>
      </c>
      <c r="K260">
        <f t="shared" si="14"/>
        <v>0.12306753721598328</v>
      </c>
    </row>
    <row r="261" spans="1:11" x14ac:dyDescent="0.25">
      <c r="A261" s="1">
        <v>1958</v>
      </c>
      <c r="B261" s="1" t="s">
        <v>99</v>
      </c>
      <c r="C261" t="s">
        <v>8</v>
      </c>
      <c r="D261" s="1" t="s">
        <v>3</v>
      </c>
      <c r="E261">
        <v>40</v>
      </c>
      <c r="F261" s="1" t="s">
        <v>101</v>
      </c>
      <c r="G261">
        <v>14</v>
      </c>
      <c r="H261">
        <v>4</v>
      </c>
      <c r="I261" s="2">
        <f t="shared" si="12"/>
        <v>4.2759359999999997</v>
      </c>
      <c r="J261">
        <f t="shared" si="13"/>
        <v>0.1596094064949608</v>
      </c>
      <c r="K261">
        <f t="shared" si="14"/>
        <v>0.11167239488117001</v>
      </c>
    </row>
    <row r="262" spans="1:11" x14ac:dyDescent="0.25">
      <c r="A262" s="1">
        <v>1958</v>
      </c>
      <c r="B262" s="1" t="s">
        <v>99</v>
      </c>
      <c r="C262" t="s">
        <v>8</v>
      </c>
      <c r="D262" s="1" t="s">
        <v>3</v>
      </c>
      <c r="E262">
        <v>40</v>
      </c>
      <c r="F262" s="1" t="s">
        <v>101</v>
      </c>
      <c r="G262">
        <v>18</v>
      </c>
      <c r="H262">
        <v>21</v>
      </c>
      <c r="I262" s="2">
        <f t="shared" si="12"/>
        <v>37.109015999999997</v>
      </c>
      <c r="J262">
        <f t="shared" si="13"/>
        <v>1.3851816349384098</v>
      </c>
      <c r="K262">
        <f t="shared" si="14"/>
        <v>0.96915685557586828</v>
      </c>
    </row>
    <row r="263" spans="1:11" x14ac:dyDescent="0.25">
      <c r="A263" s="1">
        <v>1958</v>
      </c>
      <c r="B263" s="1" t="s">
        <v>99</v>
      </c>
      <c r="C263" t="s">
        <v>8</v>
      </c>
      <c r="D263" s="1" t="s">
        <v>3</v>
      </c>
      <c r="E263">
        <v>40</v>
      </c>
      <c r="F263" s="1" t="s">
        <v>101</v>
      </c>
      <c r="G263">
        <v>20</v>
      </c>
      <c r="H263">
        <v>16</v>
      </c>
      <c r="I263" s="2">
        <f t="shared" si="12"/>
        <v>34.9056</v>
      </c>
      <c r="J263">
        <f t="shared" si="13"/>
        <v>1.3029339305711087</v>
      </c>
      <c r="K263">
        <f t="shared" si="14"/>
        <v>0.91161138678506137</v>
      </c>
    </row>
    <row r="264" spans="1:11" x14ac:dyDescent="0.25">
      <c r="A264" s="1">
        <v>1958</v>
      </c>
      <c r="B264" s="1" t="s">
        <v>99</v>
      </c>
      <c r="C264" t="s">
        <v>8</v>
      </c>
      <c r="D264" s="1" t="s">
        <v>3</v>
      </c>
      <c r="E264">
        <v>40</v>
      </c>
      <c r="F264" s="1" t="s">
        <v>101</v>
      </c>
      <c r="G264">
        <v>22</v>
      </c>
      <c r="H264">
        <v>18</v>
      </c>
      <c r="I264" s="2">
        <f t="shared" si="12"/>
        <v>47.515247999999993</v>
      </c>
      <c r="J264">
        <f t="shared" si="13"/>
        <v>1.7736188129899213</v>
      </c>
      <c r="K264">
        <f t="shared" si="14"/>
        <v>1.2409310002611644</v>
      </c>
    </row>
    <row r="265" spans="1:11" x14ac:dyDescent="0.25">
      <c r="A265" s="1">
        <v>1958</v>
      </c>
      <c r="B265" s="1" t="s">
        <v>99</v>
      </c>
      <c r="C265" t="s">
        <v>8</v>
      </c>
      <c r="D265" s="1" t="s">
        <v>3</v>
      </c>
      <c r="E265">
        <v>40</v>
      </c>
      <c r="F265" s="1" t="s">
        <v>101</v>
      </c>
      <c r="G265">
        <v>24</v>
      </c>
      <c r="H265">
        <v>4</v>
      </c>
      <c r="I265" s="2">
        <f t="shared" si="12"/>
        <v>12.566015999999999</v>
      </c>
      <c r="J265">
        <f t="shared" si="13"/>
        <v>0.46905621500559908</v>
      </c>
      <c r="K265">
        <f t="shared" si="14"/>
        <v>0.32818009924262204</v>
      </c>
    </row>
    <row r="266" spans="1:11" x14ac:dyDescent="0.25">
      <c r="A266" s="1">
        <v>1958</v>
      </c>
      <c r="B266" s="1" t="s">
        <v>99</v>
      </c>
      <c r="C266" t="s">
        <v>8</v>
      </c>
      <c r="D266" s="1" t="s">
        <v>3</v>
      </c>
      <c r="E266">
        <v>40</v>
      </c>
      <c r="F266" s="1" t="s">
        <v>101</v>
      </c>
      <c r="G266">
        <v>26</v>
      </c>
      <c r="H266">
        <v>3</v>
      </c>
      <c r="I266" s="2">
        <f t="shared" si="12"/>
        <v>11.060711999999999</v>
      </c>
      <c r="J266">
        <f t="shared" si="13"/>
        <v>0.41286718924971999</v>
      </c>
      <c r="K266">
        <f t="shared" si="14"/>
        <v>0.28886685818751628</v>
      </c>
    </row>
    <row r="267" spans="1:11" x14ac:dyDescent="0.25">
      <c r="A267" s="1">
        <v>1958</v>
      </c>
      <c r="B267" s="1" t="s">
        <v>99</v>
      </c>
      <c r="C267" t="s">
        <v>8</v>
      </c>
      <c r="D267" s="1" t="s">
        <v>3</v>
      </c>
      <c r="E267">
        <v>40</v>
      </c>
      <c r="F267" s="1" t="s">
        <v>101</v>
      </c>
      <c r="G267">
        <v>28</v>
      </c>
      <c r="H267">
        <v>2</v>
      </c>
      <c r="I267" s="2">
        <f t="shared" si="12"/>
        <v>8.5518719999999995</v>
      </c>
      <c r="J267">
        <f t="shared" si="13"/>
        <v>0.31921881298992161</v>
      </c>
      <c r="K267">
        <f t="shared" si="14"/>
        <v>0.22334478976234001</v>
      </c>
    </row>
    <row r="268" spans="1:11" x14ac:dyDescent="0.25">
      <c r="A268" s="1">
        <v>1958</v>
      </c>
      <c r="B268" s="1" t="s">
        <v>99</v>
      </c>
      <c r="C268" t="s">
        <v>8</v>
      </c>
      <c r="D268" s="1" t="s">
        <v>3</v>
      </c>
      <c r="E268">
        <v>40</v>
      </c>
      <c r="F268" s="1" t="s">
        <v>101</v>
      </c>
      <c r="G268">
        <v>30</v>
      </c>
      <c r="H268">
        <v>1</v>
      </c>
      <c r="I268" s="2">
        <f t="shared" si="12"/>
        <v>4.9085999999999999</v>
      </c>
      <c r="J268">
        <f t="shared" si="13"/>
        <v>0.18322508398656215</v>
      </c>
      <c r="K268">
        <f t="shared" si="14"/>
        <v>0.12819535126664924</v>
      </c>
    </row>
    <row r="269" spans="1:11" x14ac:dyDescent="0.25">
      <c r="A269" s="1">
        <v>1958</v>
      </c>
      <c r="B269" s="1" t="s">
        <v>99</v>
      </c>
      <c r="C269" t="s">
        <v>8</v>
      </c>
      <c r="D269" s="1" t="s">
        <v>3</v>
      </c>
      <c r="E269">
        <v>40</v>
      </c>
      <c r="F269" s="1" t="s">
        <v>101</v>
      </c>
      <c r="G269">
        <v>32</v>
      </c>
      <c r="H269">
        <v>1</v>
      </c>
      <c r="I269" s="2">
        <f t="shared" si="12"/>
        <v>5.5848959999999996</v>
      </c>
      <c r="J269">
        <f t="shared" si="13"/>
        <v>0.20846942889137737</v>
      </c>
      <c r="K269">
        <f t="shared" si="14"/>
        <v>0.14585782188560981</v>
      </c>
    </row>
    <row r="270" spans="1:11" x14ac:dyDescent="0.25">
      <c r="A270" s="1">
        <v>1958</v>
      </c>
      <c r="B270" s="1" t="s">
        <v>99</v>
      </c>
      <c r="C270" t="s">
        <v>8</v>
      </c>
      <c r="D270" s="1" t="s">
        <v>3</v>
      </c>
      <c r="E270">
        <v>53</v>
      </c>
      <c r="F270" s="1" t="s">
        <v>101</v>
      </c>
      <c r="G270">
        <v>6</v>
      </c>
      <c r="H270">
        <v>1</v>
      </c>
      <c r="I270" s="2">
        <f t="shared" si="12"/>
        <v>0.19634399999999999</v>
      </c>
      <c r="J270">
        <f t="shared" si="13"/>
        <v>7.3290033594624856E-3</v>
      </c>
      <c r="K270">
        <f t="shared" si="14"/>
        <v>5.1278140506659693E-3</v>
      </c>
    </row>
    <row r="271" spans="1:11" x14ac:dyDescent="0.25">
      <c r="A271" s="1">
        <v>1958</v>
      </c>
      <c r="B271" s="1" t="s">
        <v>99</v>
      </c>
      <c r="C271" t="s">
        <v>8</v>
      </c>
      <c r="D271" s="1" t="s">
        <v>3</v>
      </c>
      <c r="E271">
        <v>53</v>
      </c>
      <c r="F271" s="1" t="s">
        <v>101</v>
      </c>
      <c r="G271">
        <v>8</v>
      </c>
      <c r="H271">
        <v>5</v>
      </c>
      <c r="I271" s="2">
        <f t="shared" si="12"/>
        <v>1.7452799999999999</v>
      </c>
      <c r="J271">
        <f t="shared" si="13"/>
        <v>6.5146696528555426E-2</v>
      </c>
      <c r="K271">
        <f t="shared" si="14"/>
        <v>4.5580569339253064E-2</v>
      </c>
    </row>
    <row r="272" spans="1:11" x14ac:dyDescent="0.25">
      <c r="A272" s="1">
        <v>1958</v>
      </c>
      <c r="B272" s="1" t="s">
        <v>99</v>
      </c>
      <c r="C272" t="s">
        <v>8</v>
      </c>
      <c r="D272" s="1" t="s">
        <v>3</v>
      </c>
      <c r="E272">
        <v>53</v>
      </c>
      <c r="F272" s="1" t="s">
        <v>101</v>
      </c>
      <c r="G272">
        <v>10</v>
      </c>
      <c r="H272">
        <v>1</v>
      </c>
      <c r="I272" s="2">
        <f t="shared" si="12"/>
        <v>0.5454</v>
      </c>
      <c r="J272">
        <f t="shared" si="13"/>
        <v>2.0358342665173574E-2</v>
      </c>
      <c r="K272">
        <f t="shared" si="14"/>
        <v>1.4243927918516584E-2</v>
      </c>
    </row>
    <row r="273" spans="1:11" x14ac:dyDescent="0.25">
      <c r="A273" s="1">
        <v>1958</v>
      </c>
      <c r="B273" s="1" t="s">
        <v>99</v>
      </c>
      <c r="C273" t="s">
        <v>8</v>
      </c>
      <c r="D273" s="1" t="s">
        <v>3</v>
      </c>
      <c r="E273">
        <v>53</v>
      </c>
      <c r="F273" s="1" t="s">
        <v>101</v>
      </c>
      <c r="G273">
        <v>22</v>
      </c>
      <c r="H273">
        <v>1</v>
      </c>
      <c r="I273" s="2">
        <f t="shared" si="12"/>
        <v>2.6397359999999996</v>
      </c>
      <c r="J273">
        <f t="shared" si="13"/>
        <v>9.8534378499440078E-2</v>
      </c>
      <c r="K273">
        <f t="shared" si="14"/>
        <v>6.8940611125620249E-2</v>
      </c>
    </row>
    <row r="274" spans="1:11" x14ac:dyDescent="0.25">
      <c r="A274" s="1">
        <v>1958</v>
      </c>
      <c r="B274" s="1" t="s">
        <v>99</v>
      </c>
      <c r="C274" t="s">
        <v>8</v>
      </c>
      <c r="D274" s="1" t="s">
        <v>3</v>
      </c>
      <c r="E274">
        <v>54</v>
      </c>
      <c r="F274" s="1" t="s">
        <v>101</v>
      </c>
      <c r="G274">
        <v>6</v>
      </c>
      <c r="H274">
        <v>7</v>
      </c>
      <c r="I274" s="2">
        <f t="shared" si="12"/>
        <v>1.3744079999999999</v>
      </c>
      <c r="J274">
        <f t="shared" si="13"/>
        <v>5.1303023516237396E-2</v>
      </c>
      <c r="K274">
        <f t="shared" si="14"/>
        <v>3.5894698354661782E-2</v>
      </c>
    </row>
    <row r="275" spans="1:11" x14ac:dyDescent="0.25">
      <c r="A275" s="1">
        <v>1958</v>
      </c>
      <c r="B275" s="1" t="s">
        <v>99</v>
      </c>
      <c r="C275" t="s">
        <v>8</v>
      </c>
      <c r="D275" s="1" t="s">
        <v>3</v>
      </c>
      <c r="E275">
        <v>54</v>
      </c>
      <c r="F275" s="1" t="s">
        <v>101</v>
      </c>
      <c r="G275">
        <v>8</v>
      </c>
      <c r="H275">
        <v>32</v>
      </c>
      <c r="I275" s="2">
        <f t="shared" si="12"/>
        <v>11.169791999999999</v>
      </c>
      <c r="J275">
        <f t="shared" si="13"/>
        <v>0.41693885778275475</v>
      </c>
      <c r="K275">
        <f t="shared" si="14"/>
        <v>0.29171564377121961</v>
      </c>
    </row>
    <row r="276" spans="1:11" x14ac:dyDescent="0.25">
      <c r="A276" s="1">
        <v>1958</v>
      </c>
      <c r="B276" s="1" t="s">
        <v>99</v>
      </c>
      <c r="C276" t="s">
        <v>8</v>
      </c>
      <c r="D276" s="1" t="s">
        <v>3</v>
      </c>
      <c r="E276">
        <v>54</v>
      </c>
      <c r="F276" s="1" t="s">
        <v>101</v>
      </c>
      <c r="G276">
        <v>10</v>
      </c>
      <c r="H276">
        <v>18</v>
      </c>
      <c r="I276" s="2">
        <f t="shared" si="12"/>
        <v>9.8171999999999997</v>
      </c>
      <c r="J276">
        <f t="shared" si="13"/>
        <v>0.3664501679731243</v>
      </c>
      <c r="K276">
        <f t="shared" si="14"/>
        <v>0.25639070253329849</v>
      </c>
    </row>
    <row r="277" spans="1:11" x14ac:dyDescent="0.25">
      <c r="A277" s="1">
        <v>1958</v>
      </c>
      <c r="B277" s="1" t="s">
        <v>99</v>
      </c>
      <c r="C277" t="s">
        <v>8</v>
      </c>
      <c r="D277" s="1" t="s">
        <v>3</v>
      </c>
      <c r="E277">
        <v>54</v>
      </c>
      <c r="F277" s="1" t="s">
        <v>101</v>
      </c>
      <c r="G277">
        <v>12</v>
      </c>
      <c r="H277">
        <v>1</v>
      </c>
      <c r="I277" s="2">
        <f t="shared" si="12"/>
        <v>0.78537599999999996</v>
      </c>
      <c r="J277">
        <f t="shared" si="13"/>
        <v>2.9316013437849942E-2</v>
      </c>
      <c r="K277">
        <f t="shared" si="14"/>
        <v>2.0511256202663877E-2</v>
      </c>
    </row>
    <row r="278" spans="1:11" x14ac:dyDescent="0.25">
      <c r="A278" s="1">
        <v>1958</v>
      </c>
      <c r="B278" s="1" t="s">
        <v>99</v>
      </c>
      <c r="C278" t="s">
        <v>8</v>
      </c>
      <c r="D278" s="1" t="s">
        <v>3</v>
      </c>
      <c r="E278">
        <v>54</v>
      </c>
      <c r="F278" s="1" t="s">
        <v>101</v>
      </c>
      <c r="G278">
        <v>14</v>
      </c>
      <c r="H278">
        <v>1</v>
      </c>
      <c r="I278" s="2">
        <f t="shared" si="12"/>
        <v>1.0689839999999999</v>
      </c>
      <c r="J278">
        <f t="shared" si="13"/>
        <v>3.9902351623740201E-2</v>
      </c>
      <c r="K278">
        <f t="shared" si="14"/>
        <v>2.7918098720292502E-2</v>
      </c>
    </row>
    <row r="279" spans="1:11" x14ac:dyDescent="0.25">
      <c r="A279" s="1">
        <v>1958</v>
      </c>
      <c r="B279" s="1" t="s">
        <v>99</v>
      </c>
      <c r="C279" t="s">
        <v>8</v>
      </c>
      <c r="D279" s="1" t="s">
        <v>3</v>
      </c>
      <c r="E279">
        <v>56</v>
      </c>
      <c r="F279" s="1" t="s">
        <v>101</v>
      </c>
      <c r="G279">
        <v>6</v>
      </c>
      <c r="H279">
        <v>1</v>
      </c>
      <c r="I279" s="2">
        <f t="shared" si="12"/>
        <v>0.19634399999999999</v>
      </c>
      <c r="J279">
        <f t="shared" si="13"/>
        <v>7.3290033594624856E-3</v>
      </c>
      <c r="K279">
        <f t="shared" si="14"/>
        <v>5.1278140506659693E-3</v>
      </c>
    </row>
    <row r="280" spans="1:11" x14ac:dyDescent="0.25">
      <c r="A280" s="1">
        <v>1958</v>
      </c>
      <c r="B280" s="1" t="s">
        <v>99</v>
      </c>
      <c r="C280" t="s">
        <v>8</v>
      </c>
      <c r="D280" s="1" t="s">
        <v>3</v>
      </c>
      <c r="E280">
        <v>56</v>
      </c>
      <c r="F280" s="1" t="s">
        <v>101</v>
      </c>
      <c r="G280">
        <v>8</v>
      </c>
      <c r="H280">
        <v>6</v>
      </c>
      <c r="I280" s="2">
        <f t="shared" si="12"/>
        <v>2.0943359999999998</v>
      </c>
      <c r="J280">
        <f t="shared" si="13"/>
        <v>7.8176035834266508E-2</v>
      </c>
      <c r="K280">
        <f t="shared" si="14"/>
        <v>5.469668320710367E-2</v>
      </c>
    </row>
    <row r="281" spans="1:11" x14ac:dyDescent="0.25">
      <c r="A281" s="1">
        <v>1958</v>
      </c>
      <c r="B281" s="1" t="s">
        <v>99</v>
      </c>
      <c r="C281" t="s">
        <v>8</v>
      </c>
      <c r="D281" s="1" t="s">
        <v>3</v>
      </c>
      <c r="E281">
        <v>56</v>
      </c>
      <c r="F281" s="1" t="s">
        <v>101</v>
      </c>
      <c r="G281">
        <v>10</v>
      </c>
      <c r="H281">
        <v>2</v>
      </c>
      <c r="I281" s="2">
        <f t="shared" si="12"/>
        <v>1.0908</v>
      </c>
      <c r="J281">
        <f t="shared" si="13"/>
        <v>4.0716685330347148E-2</v>
      </c>
      <c r="K281">
        <f t="shared" si="14"/>
        <v>2.8487855837033168E-2</v>
      </c>
    </row>
    <row r="282" spans="1:11" x14ac:dyDescent="0.25">
      <c r="A282" s="1">
        <v>1958</v>
      </c>
      <c r="B282" s="1" t="s">
        <v>99</v>
      </c>
      <c r="C282" t="s">
        <v>8</v>
      </c>
      <c r="D282" s="1" t="s">
        <v>3</v>
      </c>
      <c r="E282">
        <v>56</v>
      </c>
      <c r="F282" s="1" t="s">
        <v>101</v>
      </c>
      <c r="G282">
        <v>12</v>
      </c>
      <c r="H282">
        <v>5</v>
      </c>
      <c r="I282" s="2">
        <f t="shared" si="12"/>
        <v>3.9268799999999997</v>
      </c>
      <c r="J282">
        <f t="shared" si="13"/>
        <v>0.14658006718924971</v>
      </c>
      <c r="K282">
        <f t="shared" si="14"/>
        <v>0.10255628101331939</v>
      </c>
    </row>
    <row r="283" spans="1:11" x14ac:dyDescent="0.25">
      <c r="A283" s="1">
        <v>1958</v>
      </c>
      <c r="B283" s="1" t="s">
        <v>99</v>
      </c>
      <c r="C283" t="s">
        <v>8</v>
      </c>
      <c r="D283" s="1" t="s">
        <v>3</v>
      </c>
      <c r="E283">
        <v>56</v>
      </c>
      <c r="F283" s="1" t="s">
        <v>101</v>
      </c>
      <c r="G283">
        <v>14</v>
      </c>
      <c r="H283">
        <v>1</v>
      </c>
      <c r="I283" s="2">
        <f t="shared" si="12"/>
        <v>1.0689839999999999</v>
      </c>
      <c r="J283">
        <f t="shared" si="13"/>
        <v>3.9902351623740201E-2</v>
      </c>
      <c r="K283">
        <f t="shared" si="14"/>
        <v>2.7918098720292502E-2</v>
      </c>
    </row>
    <row r="284" spans="1:11" x14ac:dyDescent="0.25">
      <c r="A284" s="1">
        <v>1958</v>
      </c>
      <c r="B284" s="1" t="s">
        <v>99</v>
      </c>
      <c r="C284" t="s">
        <v>8</v>
      </c>
      <c r="D284" s="1" t="s">
        <v>3</v>
      </c>
      <c r="E284">
        <v>56</v>
      </c>
      <c r="F284" s="1" t="s">
        <v>101</v>
      </c>
      <c r="G284">
        <v>16</v>
      </c>
      <c r="H284">
        <v>1</v>
      </c>
      <c r="I284" s="2">
        <f t="shared" si="12"/>
        <v>1.3962239999999999</v>
      </c>
      <c r="J284">
        <f t="shared" si="13"/>
        <v>5.2117357222844343E-2</v>
      </c>
      <c r="K284">
        <f t="shared" si="14"/>
        <v>3.6464455471402452E-2</v>
      </c>
    </row>
    <row r="285" spans="1:11" x14ac:dyDescent="0.25">
      <c r="A285" s="1">
        <v>1958</v>
      </c>
      <c r="B285" s="1" t="s">
        <v>99</v>
      </c>
      <c r="C285" t="s">
        <v>8</v>
      </c>
      <c r="D285" s="1" t="s">
        <v>3</v>
      </c>
      <c r="E285">
        <v>56</v>
      </c>
      <c r="F285" s="1" t="s">
        <v>101</v>
      </c>
      <c r="G285">
        <v>18</v>
      </c>
      <c r="H285">
        <v>7</v>
      </c>
      <c r="I285" s="2">
        <f t="shared" si="12"/>
        <v>12.369671999999998</v>
      </c>
      <c r="J285">
        <f t="shared" si="13"/>
        <v>0.46172721164613656</v>
      </c>
      <c r="K285">
        <f t="shared" si="14"/>
        <v>0.32305228519195606</v>
      </c>
    </row>
    <row r="286" spans="1:11" x14ac:dyDescent="0.25">
      <c r="A286" s="1">
        <v>1958</v>
      </c>
      <c r="B286" s="1" t="s">
        <v>99</v>
      </c>
      <c r="C286" t="s">
        <v>8</v>
      </c>
      <c r="D286" s="1" t="s">
        <v>3</v>
      </c>
      <c r="E286">
        <v>56</v>
      </c>
      <c r="F286" s="1" t="s">
        <v>101</v>
      </c>
      <c r="G286">
        <v>26</v>
      </c>
      <c r="H286">
        <v>1</v>
      </c>
      <c r="I286" s="2">
        <f t="shared" si="12"/>
        <v>3.6869039999999997</v>
      </c>
      <c r="J286">
        <f t="shared" si="13"/>
        <v>0.13762239641657334</v>
      </c>
      <c r="K286">
        <f t="shared" si="14"/>
        <v>9.6288952729172095E-2</v>
      </c>
    </row>
    <row r="287" spans="1:11" x14ac:dyDescent="0.25">
      <c r="A287" s="1">
        <v>1958</v>
      </c>
      <c r="B287" s="1" t="s">
        <v>99</v>
      </c>
      <c r="C287" t="s">
        <v>8</v>
      </c>
      <c r="D287" s="1" t="s">
        <v>3</v>
      </c>
      <c r="E287">
        <v>58</v>
      </c>
      <c r="F287" s="1" t="s">
        <v>101</v>
      </c>
      <c r="G287">
        <v>6</v>
      </c>
      <c r="H287">
        <v>12</v>
      </c>
      <c r="I287" s="2">
        <f t="shared" si="12"/>
        <v>2.356128</v>
      </c>
      <c r="J287">
        <f t="shared" si="13"/>
        <v>8.794804031354983E-2</v>
      </c>
      <c r="K287">
        <f t="shared" si="14"/>
        <v>6.1533768607991639E-2</v>
      </c>
    </row>
    <row r="288" spans="1:11" x14ac:dyDescent="0.25">
      <c r="A288" s="1">
        <v>1958</v>
      </c>
      <c r="B288" s="1" t="s">
        <v>99</v>
      </c>
      <c r="C288" t="s">
        <v>8</v>
      </c>
      <c r="D288" s="1" t="s">
        <v>3</v>
      </c>
      <c r="E288">
        <v>58</v>
      </c>
      <c r="F288" s="1" t="s">
        <v>101</v>
      </c>
      <c r="G288">
        <v>8</v>
      </c>
      <c r="H288">
        <v>43</v>
      </c>
      <c r="I288" s="2">
        <f t="shared" si="12"/>
        <v>15.009407999999999</v>
      </c>
      <c r="J288">
        <f t="shared" si="13"/>
        <v>0.56026159014557664</v>
      </c>
      <c r="K288">
        <f t="shared" si="14"/>
        <v>0.39199289631757633</v>
      </c>
    </row>
    <row r="289" spans="1:11" x14ac:dyDescent="0.25">
      <c r="A289" s="1">
        <v>1958</v>
      </c>
      <c r="B289" s="1" t="s">
        <v>99</v>
      </c>
      <c r="C289" t="s">
        <v>8</v>
      </c>
      <c r="D289" s="1" t="s">
        <v>3</v>
      </c>
      <c r="E289">
        <v>58</v>
      </c>
      <c r="F289" s="1" t="s">
        <v>101</v>
      </c>
      <c r="G289">
        <v>10</v>
      </c>
      <c r="H289">
        <v>9</v>
      </c>
      <c r="I289" s="2">
        <f t="shared" si="12"/>
        <v>4.9085999999999999</v>
      </c>
      <c r="J289">
        <f t="shared" si="13"/>
        <v>0.18322508398656215</v>
      </c>
      <c r="K289">
        <f t="shared" si="14"/>
        <v>0.12819535126664924</v>
      </c>
    </row>
    <row r="290" spans="1:11" x14ac:dyDescent="0.25">
      <c r="A290" s="1">
        <v>1958</v>
      </c>
      <c r="B290" s="1" t="s">
        <v>99</v>
      </c>
      <c r="C290" t="s">
        <v>8</v>
      </c>
      <c r="D290" s="1" t="s">
        <v>3</v>
      </c>
      <c r="E290">
        <v>63</v>
      </c>
      <c r="F290" s="1" t="s">
        <v>101</v>
      </c>
      <c r="G290">
        <v>6</v>
      </c>
      <c r="H290">
        <v>1</v>
      </c>
      <c r="I290" s="2">
        <f t="shared" si="12"/>
        <v>0.19634399999999999</v>
      </c>
      <c r="J290">
        <f t="shared" si="13"/>
        <v>7.3290033594624856E-3</v>
      </c>
      <c r="K290">
        <f t="shared" si="14"/>
        <v>5.1278140506659693E-3</v>
      </c>
    </row>
    <row r="291" spans="1:11" x14ac:dyDescent="0.25">
      <c r="A291" s="1">
        <v>1958</v>
      </c>
      <c r="B291" s="1" t="s">
        <v>99</v>
      </c>
      <c r="C291" t="s">
        <v>8</v>
      </c>
      <c r="D291" s="1" t="s">
        <v>3</v>
      </c>
      <c r="E291">
        <v>63</v>
      </c>
      <c r="F291" s="1" t="s">
        <v>101</v>
      </c>
      <c r="G291">
        <v>8</v>
      </c>
      <c r="H291">
        <v>3</v>
      </c>
      <c r="I291" s="2">
        <f t="shared" si="12"/>
        <v>1.0471679999999999</v>
      </c>
      <c r="J291">
        <f t="shared" si="13"/>
        <v>3.9088017917133254E-2</v>
      </c>
      <c r="K291">
        <f t="shared" si="14"/>
        <v>2.7348341603551835E-2</v>
      </c>
    </row>
    <row r="292" spans="1:11" x14ac:dyDescent="0.25">
      <c r="A292" s="1">
        <v>1958</v>
      </c>
      <c r="B292" s="1" t="s">
        <v>99</v>
      </c>
      <c r="C292" t="s">
        <v>8</v>
      </c>
      <c r="D292" s="1" t="s">
        <v>3</v>
      </c>
      <c r="E292">
        <v>63</v>
      </c>
      <c r="F292" s="1" t="s">
        <v>101</v>
      </c>
      <c r="G292">
        <v>10</v>
      </c>
      <c r="H292">
        <v>1</v>
      </c>
      <c r="I292" s="2">
        <f t="shared" si="12"/>
        <v>0.5454</v>
      </c>
      <c r="J292">
        <f t="shared" si="13"/>
        <v>2.0358342665173574E-2</v>
      </c>
      <c r="K292">
        <f t="shared" si="14"/>
        <v>1.4243927918516584E-2</v>
      </c>
    </row>
    <row r="293" spans="1:11" x14ac:dyDescent="0.25">
      <c r="A293" s="1">
        <v>1958</v>
      </c>
      <c r="B293" s="1" t="s">
        <v>99</v>
      </c>
      <c r="C293" t="s">
        <v>8</v>
      </c>
      <c r="D293" s="1" t="s">
        <v>3</v>
      </c>
      <c r="E293">
        <v>63</v>
      </c>
      <c r="F293" s="1" t="s">
        <v>101</v>
      </c>
      <c r="G293">
        <v>12</v>
      </c>
      <c r="H293">
        <v>1</v>
      </c>
      <c r="I293" s="2">
        <f t="shared" si="12"/>
        <v>0.78537599999999996</v>
      </c>
      <c r="J293">
        <f t="shared" si="13"/>
        <v>2.9316013437849942E-2</v>
      </c>
      <c r="K293">
        <f t="shared" si="14"/>
        <v>2.0511256202663877E-2</v>
      </c>
    </row>
    <row r="294" spans="1:11" x14ac:dyDescent="0.25">
      <c r="A294" s="1">
        <v>1958</v>
      </c>
      <c r="B294" s="1" t="s">
        <v>99</v>
      </c>
      <c r="C294" t="s">
        <v>8</v>
      </c>
      <c r="D294" s="1" t="s">
        <v>3</v>
      </c>
      <c r="E294">
        <v>65</v>
      </c>
      <c r="F294" s="1" t="s">
        <v>101</v>
      </c>
      <c r="G294">
        <v>12</v>
      </c>
      <c r="H294">
        <v>1</v>
      </c>
      <c r="I294" s="2">
        <f t="shared" si="12"/>
        <v>0.78537599999999996</v>
      </c>
      <c r="J294">
        <f t="shared" si="13"/>
        <v>2.9316013437849942E-2</v>
      </c>
      <c r="K294">
        <f t="shared" si="14"/>
        <v>2.0511256202663877E-2</v>
      </c>
    </row>
    <row r="295" spans="1:11" x14ac:dyDescent="0.25">
      <c r="A295" s="1">
        <v>1958</v>
      </c>
      <c r="B295" s="1" t="s">
        <v>99</v>
      </c>
      <c r="C295" t="s">
        <v>8</v>
      </c>
      <c r="D295" s="1" t="s">
        <v>3</v>
      </c>
      <c r="E295">
        <v>66</v>
      </c>
      <c r="F295" s="1" t="s">
        <v>101</v>
      </c>
      <c r="G295">
        <v>8</v>
      </c>
      <c r="H295">
        <v>1</v>
      </c>
      <c r="I295" s="2">
        <f t="shared" si="12"/>
        <v>0.34905599999999998</v>
      </c>
      <c r="J295">
        <f t="shared" si="13"/>
        <v>1.3029339305711086E-2</v>
      </c>
      <c r="K295">
        <f t="shared" si="14"/>
        <v>9.1161138678506129E-3</v>
      </c>
    </row>
    <row r="296" spans="1:11" x14ac:dyDescent="0.25">
      <c r="A296" s="1">
        <v>1958</v>
      </c>
      <c r="B296" s="1" t="s">
        <v>99</v>
      </c>
      <c r="C296" t="s">
        <v>8</v>
      </c>
      <c r="D296" s="1" t="s">
        <v>3</v>
      </c>
      <c r="E296">
        <v>66</v>
      </c>
      <c r="F296" s="1" t="s">
        <v>101</v>
      </c>
      <c r="G296">
        <v>18</v>
      </c>
      <c r="H296">
        <v>5</v>
      </c>
      <c r="I296" s="2">
        <f t="shared" si="12"/>
        <v>8.8354799999999987</v>
      </c>
      <c r="J296">
        <f t="shared" si="13"/>
        <v>0.32980515117581183</v>
      </c>
      <c r="K296">
        <f t="shared" si="14"/>
        <v>0.23075163227996862</v>
      </c>
    </row>
    <row r="297" spans="1:11" x14ac:dyDescent="0.25">
      <c r="A297" s="1">
        <v>1958</v>
      </c>
      <c r="B297" s="1" t="s">
        <v>99</v>
      </c>
      <c r="C297" t="s">
        <v>8</v>
      </c>
      <c r="D297" s="1" t="s">
        <v>3</v>
      </c>
      <c r="E297">
        <v>71</v>
      </c>
      <c r="F297" s="1" t="s">
        <v>101</v>
      </c>
      <c r="G297">
        <v>6</v>
      </c>
      <c r="H297">
        <v>1</v>
      </c>
      <c r="I297" s="2">
        <f t="shared" si="12"/>
        <v>0.19634399999999999</v>
      </c>
      <c r="J297">
        <f t="shared" si="13"/>
        <v>7.3290033594624856E-3</v>
      </c>
      <c r="K297">
        <f t="shared" si="14"/>
        <v>5.1278140506659693E-3</v>
      </c>
    </row>
    <row r="298" spans="1:11" x14ac:dyDescent="0.25">
      <c r="A298" s="1">
        <v>1958</v>
      </c>
      <c r="B298" s="1" t="s">
        <v>99</v>
      </c>
      <c r="C298" t="s">
        <v>8</v>
      </c>
      <c r="D298" s="1" t="s">
        <v>3</v>
      </c>
      <c r="E298">
        <v>71</v>
      </c>
      <c r="F298" s="1" t="s">
        <v>101</v>
      </c>
      <c r="G298">
        <v>8</v>
      </c>
      <c r="H298">
        <v>110</v>
      </c>
      <c r="I298" s="2">
        <f t="shared" si="12"/>
        <v>38.396159999999995</v>
      </c>
      <c r="J298">
        <f t="shared" si="13"/>
        <v>1.4332273236282194</v>
      </c>
      <c r="K298">
        <f t="shared" si="14"/>
        <v>1.0027725254635673</v>
      </c>
    </row>
    <row r="299" spans="1:11" x14ac:dyDescent="0.25">
      <c r="A299" s="1">
        <v>1958</v>
      </c>
      <c r="B299" s="1" t="s">
        <v>99</v>
      </c>
      <c r="C299" t="s">
        <v>8</v>
      </c>
      <c r="D299" s="1" t="s">
        <v>3</v>
      </c>
      <c r="E299">
        <v>71</v>
      </c>
      <c r="F299" s="1" t="s">
        <v>101</v>
      </c>
      <c r="G299">
        <v>10</v>
      </c>
      <c r="H299">
        <v>63</v>
      </c>
      <c r="I299" s="2">
        <f t="shared" si="12"/>
        <v>34.360199999999999</v>
      </c>
      <c r="J299">
        <f t="shared" si="13"/>
        <v>1.2825755879059351</v>
      </c>
      <c r="K299">
        <f t="shared" si="14"/>
        <v>0.89736745886654479</v>
      </c>
    </row>
    <row r="300" spans="1:11" x14ac:dyDescent="0.25">
      <c r="A300" s="1">
        <v>1958</v>
      </c>
      <c r="B300" s="1" t="s">
        <v>99</v>
      </c>
      <c r="C300" t="s">
        <v>8</v>
      </c>
      <c r="D300" s="1" t="s">
        <v>3</v>
      </c>
      <c r="E300">
        <v>71</v>
      </c>
      <c r="F300" s="1" t="s">
        <v>101</v>
      </c>
      <c r="G300">
        <v>12</v>
      </c>
      <c r="H300">
        <v>22</v>
      </c>
      <c r="I300" s="2">
        <f t="shared" si="12"/>
        <v>17.278271999999998</v>
      </c>
      <c r="J300">
        <f t="shared" si="13"/>
        <v>0.64495229563269874</v>
      </c>
      <c r="K300">
        <f t="shared" si="14"/>
        <v>0.45124763645860533</v>
      </c>
    </row>
    <row r="301" spans="1:11" x14ac:dyDescent="0.25">
      <c r="A301" s="1">
        <v>1958</v>
      </c>
      <c r="B301" s="1" t="s">
        <v>99</v>
      </c>
      <c r="C301" t="s">
        <v>8</v>
      </c>
      <c r="D301" s="1" t="s">
        <v>3</v>
      </c>
      <c r="E301">
        <v>71</v>
      </c>
      <c r="F301" s="1" t="s">
        <v>101</v>
      </c>
      <c r="G301">
        <v>14</v>
      </c>
      <c r="H301">
        <v>7</v>
      </c>
      <c r="I301" s="2">
        <f t="shared" si="12"/>
        <v>7.4828879999999991</v>
      </c>
      <c r="J301">
        <f t="shared" si="13"/>
        <v>0.27931646136618138</v>
      </c>
      <c r="K301">
        <f t="shared" si="14"/>
        <v>0.19542669104204749</v>
      </c>
    </row>
    <row r="302" spans="1:11" x14ac:dyDescent="0.25">
      <c r="A302" s="1">
        <v>1958</v>
      </c>
      <c r="B302" s="1" t="s">
        <v>99</v>
      </c>
      <c r="C302" t="s">
        <v>8</v>
      </c>
      <c r="D302" s="1" t="s">
        <v>3</v>
      </c>
      <c r="E302">
        <v>71</v>
      </c>
      <c r="F302" s="1" t="s">
        <v>101</v>
      </c>
      <c r="G302">
        <v>16</v>
      </c>
      <c r="H302">
        <v>2</v>
      </c>
      <c r="I302" s="2">
        <f t="shared" si="12"/>
        <v>2.7924479999999998</v>
      </c>
      <c r="J302">
        <f t="shared" si="13"/>
        <v>0.10423471444568869</v>
      </c>
      <c r="K302">
        <f t="shared" si="14"/>
        <v>7.2928910942804903E-2</v>
      </c>
    </row>
    <row r="303" spans="1:11" x14ac:dyDescent="0.25">
      <c r="A303" s="1">
        <v>1958</v>
      </c>
      <c r="B303" s="1" t="s">
        <v>99</v>
      </c>
      <c r="C303" t="s">
        <v>8</v>
      </c>
      <c r="D303" s="1" t="s">
        <v>3</v>
      </c>
      <c r="E303">
        <v>76</v>
      </c>
      <c r="F303" s="1" t="s">
        <v>101</v>
      </c>
      <c r="G303">
        <v>6</v>
      </c>
      <c r="H303">
        <v>6</v>
      </c>
      <c r="I303" s="2">
        <f t="shared" si="12"/>
        <v>1.178064</v>
      </c>
      <c r="J303">
        <f t="shared" si="13"/>
        <v>4.3974020156774915E-2</v>
      </c>
      <c r="K303">
        <f t="shared" si="14"/>
        <v>3.0766884303995819E-2</v>
      </c>
    </row>
    <row r="304" spans="1:11" x14ac:dyDescent="0.25">
      <c r="A304" s="1">
        <v>1958</v>
      </c>
      <c r="B304" s="1" t="s">
        <v>99</v>
      </c>
      <c r="C304" t="s">
        <v>8</v>
      </c>
      <c r="D304" s="1" t="s">
        <v>3</v>
      </c>
      <c r="E304">
        <v>76</v>
      </c>
      <c r="F304" s="1" t="s">
        <v>101</v>
      </c>
      <c r="G304">
        <v>8</v>
      </c>
      <c r="H304">
        <v>4</v>
      </c>
      <c r="I304" s="2">
        <f t="shared" si="12"/>
        <v>1.3962239999999999</v>
      </c>
      <c r="J304">
        <f t="shared" si="13"/>
        <v>5.2117357222844343E-2</v>
      </c>
      <c r="K304">
        <f t="shared" si="14"/>
        <v>3.6464455471402452E-2</v>
      </c>
    </row>
    <row r="305" spans="1:11" x14ac:dyDescent="0.25">
      <c r="A305" s="1">
        <v>1958</v>
      </c>
      <c r="B305" s="1" t="s">
        <v>99</v>
      </c>
      <c r="C305" t="s">
        <v>8</v>
      </c>
      <c r="D305" s="1" t="s">
        <v>3</v>
      </c>
      <c r="E305">
        <v>76</v>
      </c>
      <c r="F305" s="1" t="s">
        <v>101</v>
      </c>
      <c r="G305">
        <v>10</v>
      </c>
      <c r="H305">
        <v>1</v>
      </c>
      <c r="I305" s="2">
        <f t="shared" si="12"/>
        <v>0.5454</v>
      </c>
      <c r="J305">
        <f t="shared" si="13"/>
        <v>2.0358342665173574E-2</v>
      </c>
      <c r="K305">
        <f t="shared" si="14"/>
        <v>1.4243927918516584E-2</v>
      </c>
    </row>
    <row r="306" spans="1:11" x14ac:dyDescent="0.25">
      <c r="A306" s="1">
        <v>1958</v>
      </c>
      <c r="B306" s="1" t="s">
        <v>99</v>
      </c>
      <c r="C306" t="s">
        <v>8</v>
      </c>
      <c r="D306" s="1" t="s">
        <v>3</v>
      </c>
      <c r="E306">
        <v>76</v>
      </c>
      <c r="F306" s="1" t="s">
        <v>101</v>
      </c>
      <c r="G306">
        <v>20</v>
      </c>
      <c r="H306">
        <v>4</v>
      </c>
      <c r="I306" s="2">
        <f t="shared" si="12"/>
        <v>8.7263999999999999</v>
      </c>
      <c r="J306">
        <f t="shared" si="13"/>
        <v>0.32573348264277718</v>
      </c>
      <c r="K306">
        <f t="shared" si="14"/>
        <v>0.22790284669626534</v>
      </c>
    </row>
    <row r="307" spans="1:11" x14ac:dyDescent="0.25">
      <c r="A307" s="1">
        <v>1958</v>
      </c>
      <c r="B307" s="1" t="s">
        <v>99</v>
      </c>
      <c r="C307" t="s">
        <v>8</v>
      </c>
      <c r="D307" s="1" t="s">
        <v>3</v>
      </c>
      <c r="E307">
        <v>76</v>
      </c>
      <c r="F307" s="1" t="s">
        <v>101</v>
      </c>
      <c r="G307">
        <v>22</v>
      </c>
      <c r="H307">
        <v>3</v>
      </c>
      <c r="I307" s="2">
        <f t="shared" si="12"/>
        <v>7.9192079999999994</v>
      </c>
      <c r="J307">
        <f t="shared" si="13"/>
        <v>0.29560313549832024</v>
      </c>
      <c r="K307">
        <f t="shared" si="14"/>
        <v>0.20682183337686078</v>
      </c>
    </row>
    <row r="308" spans="1:11" x14ac:dyDescent="0.25">
      <c r="A308" s="1">
        <v>1958</v>
      </c>
      <c r="B308" s="1" t="s">
        <v>99</v>
      </c>
      <c r="C308" t="s">
        <v>8</v>
      </c>
      <c r="D308" s="1" t="s">
        <v>3</v>
      </c>
      <c r="E308">
        <v>76</v>
      </c>
      <c r="F308" s="1" t="s">
        <v>101</v>
      </c>
      <c r="G308">
        <v>26</v>
      </c>
      <c r="H308">
        <v>2</v>
      </c>
      <c r="I308" s="2">
        <f t="shared" si="12"/>
        <v>7.3738079999999995</v>
      </c>
      <c r="J308">
        <f t="shared" si="13"/>
        <v>0.27524479283314668</v>
      </c>
      <c r="K308">
        <f t="shared" si="14"/>
        <v>0.19257790545834419</v>
      </c>
    </row>
    <row r="309" spans="1:11" x14ac:dyDescent="0.25">
      <c r="A309" s="1">
        <v>1958</v>
      </c>
      <c r="B309" s="1" t="s">
        <v>99</v>
      </c>
      <c r="C309" t="s">
        <v>8</v>
      </c>
      <c r="D309" s="1" t="s">
        <v>3</v>
      </c>
      <c r="E309">
        <v>76</v>
      </c>
      <c r="F309" s="1" t="s">
        <v>101</v>
      </c>
      <c r="G309">
        <v>28</v>
      </c>
      <c r="H309">
        <v>2</v>
      </c>
      <c r="I309" s="2">
        <f t="shared" si="12"/>
        <v>8.5518719999999995</v>
      </c>
      <c r="J309">
        <f t="shared" si="13"/>
        <v>0.31921881298992161</v>
      </c>
      <c r="K309">
        <f t="shared" si="14"/>
        <v>0.22334478976234001</v>
      </c>
    </row>
    <row r="310" spans="1:11" x14ac:dyDescent="0.25">
      <c r="A310" s="1">
        <v>1958</v>
      </c>
      <c r="B310" s="1" t="s">
        <v>99</v>
      </c>
      <c r="C310" t="s">
        <v>8</v>
      </c>
      <c r="D310" s="1" t="s">
        <v>3</v>
      </c>
      <c r="E310">
        <v>76</v>
      </c>
      <c r="F310" s="1" t="s">
        <v>101</v>
      </c>
      <c r="G310">
        <v>30</v>
      </c>
      <c r="H310">
        <v>1</v>
      </c>
      <c r="I310" s="2">
        <f t="shared" si="12"/>
        <v>4.9085999999999999</v>
      </c>
      <c r="J310">
        <f t="shared" si="13"/>
        <v>0.18322508398656215</v>
      </c>
      <c r="K310">
        <f t="shared" si="14"/>
        <v>0.12819535126664924</v>
      </c>
    </row>
    <row r="311" spans="1:11" x14ac:dyDescent="0.25">
      <c r="A311" s="1">
        <v>1958</v>
      </c>
      <c r="B311" s="1" t="s">
        <v>99</v>
      </c>
      <c r="C311" t="s">
        <v>8</v>
      </c>
      <c r="D311" s="1" t="s">
        <v>3</v>
      </c>
      <c r="E311">
        <v>79</v>
      </c>
      <c r="F311" s="1" t="s">
        <v>101</v>
      </c>
      <c r="G311">
        <v>6</v>
      </c>
      <c r="H311">
        <v>3</v>
      </c>
      <c r="I311" s="2">
        <f t="shared" si="12"/>
        <v>0.589032</v>
      </c>
      <c r="J311">
        <f t="shared" si="13"/>
        <v>2.1987010078387458E-2</v>
      </c>
      <c r="K311">
        <f t="shared" si="14"/>
        <v>1.538344215199791E-2</v>
      </c>
    </row>
    <row r="312" spans="1:11" x14ac:dyDescent="0.25">
      <c r="A312" s="1">
        <v>1958</v>
      </c>
      <c r="B312" s="1" t="s">
        <v>99</v>
      </c>
      <c r="C312" t="s">
        <v>8</v>
      </c>
      <c r="D312" s="1" t="s">
        <v>3</v>
      </c>
      <c r="E312">
        <v>79</v>
      </c>
      <c r="F312" s="1" t="s">
        <v>101</v>
      </c>
      <c r="G312">
        <v>8</v>
      </c>
      <c r="H312">
        <v>1</v>
      </c>
      <c r="I312" s="2">
        <f t="shared" si="12"/>
        <v>0.34905599999999998</v>
      </c>
      <c r="J312">
        <f t="shared" si="13"/>
        <v>1.3029339305711086E-2</v>
      </c>
      <c r="K312">
        <f t="shared" si="14"/>
        <v>9.1161138678506129E-3</v>
      </c>
    </row>
    <row r="313" spans="1:11" x14ac:dyDescent="0.25">
      <c r="A313" s="1">
        <v>1958</v>
      </c>
      <c r="B313" s="1" t="s">
        <v>99</v>
      </c>
      <c r="C313" t="s">
        <v>8</v>
      </c>
      <c r="D313" s="1" t="s">
        <v>3</v>
      </c>
      <c r="E313">
        <v>79</v>
      </c>
      <c r="F313" s="1" t="s">
        <v>101</v>
      </c>
      <c r="G313">
        <v>10</v>
      </c>
      <c r="H313">
        <v>2</v>
      </c>
      <c r="I313" s="2">
        <f t="shared" si="12"/>
        <v>1.0908</v>
      </c>
      <c r="J313">
        <f t="shared" si="13"/>
        <v>4.0716685330347148E-2</v>
      </c>
      <c r="K313">
        <f t="shared" si="14"/>
        <v>2.8487855837033168E-2</v>
      </c>
    </row>
    <row r="314" spans="1:11" x14ac:dyDescent="0.25">
      <c r="A314" s="1">
        <v>1958</v>
      </c>
      <c r="B314" s="1" t="s">
        <v>99</v>
      </c>
      <c r="C314" t="s">
        <v>8</v>
      </c>
      <c r="D314" s="1" t="s">
        <v>3</v>
      </c>
      <c r="E314">
        <v>79</v>
      </c>
      <c r="F314" s="1" t="s">
        <v>101</v>
      </c>
      <c r="G314">
        <v>14</v>
      </c>
      <c r="H314">
        <v>1</v>
      </c>
      <c r="I314" s="2">
        <f t="shared" si="12"/>
        <v>1.0689839999999999</v>
      </c>
      <c r="J314">
        <f t="shared" si="13"/>
        <v>3.9902351623740201E-2</v>
      </c>
      <c r="K314">
        <f t="shared" si="14"/>
        <v>2.7918098720292502E-2</v>
      </c>
    </row>
    <row r="315" spans="1:11" x14ac:dyDescent="0.25">
      <c r="A315" s="1">
        <v>1958</v>
      </c>
      <c r="B315" s="1" t="s">
        <v>99</v>
      </c>
      <c r="C315" t="s">
        <v>8</v>
      </c>
      <c r="D315" s="1" t="s">
        <v>3</v>
      </c>
      <c r="E315">
        <v>79</v>
      </c>
      <c r="F315" s="1" t="s">
        <v>101</v>
      </c>
      <c r="G315">
        <v>18</v>
      </c>
      <c r="H315">
        <v>1</v>
      </c>
      <c r="I315" s="2">
        <f t="shared" si="12"/>
        <v>1.7670959999999998</v>
      </c>
      <c r="J315">
        <f t="shared" si="13"/>
        <v>6.5961030235162366E-2</v>
      </c>
      <c r="K315">
        <f t="shared" si="14"/>
        <v>4.615032645599372E-2</v>
      </c>
    </row>
    <row r="316" spans="1:11" x14ac:dyDescent="0.25">
      <c r="A316" s="1">
        <v>1958</v>
      </c>
      <c r="B316" s="1" t="s">
        <v>99</v>
      </c>
      <c r="C316" t="s">
        <v>8</v>
      </c>
      <c r="D316" s="1" t="s">
        <v>3</v>
      </c>
      <c r="E316">
        <v>79</v>
      </c>
      <c r="F316" s="1" t="s">
        <v>101</v>
      </c>
      <c r="G316">
        <v>20</v>
      </c>
      <c r="H316">
        <v>1</v>
      </c>
      <c r="I316" s="2">
        <f t="shared" si="12"/>
        <v>2.1816</v>
      </c>
      <c r="J316">
        <f t="shared" si="13"/>
        <v>8.1433370660694296E-2</v>
      </c>
      <c r="K316">
        <f t="shared" si="14"/>
        <v>5.6975711674066336E-2</v>
      </c>
    </row>
    <row r="317" spans="1:11" x14ac:dyDescent="0.25">
      <c r="A317" s="1">
        <v>1958</v>
      </c>
      <c r="B317" s="1" t="s">
        <v>99</v>
      </c>
      <c r="C317" t="s">
        <v>8</v>
      </c>
      <c r="D317" s="1" t="s">
        <v>3</v>
      </c>
      <c r="E317">
        <v>79</v>
      </c>
      <c r="F317" s="1" t="s">
        <v>101</v>
      </c>
      <c r="G317">
        <v>22</v>
      </c>
      <c r="H317">
        <v>2</v>
      </c>
      <c r="I317" s="2">
        <f t="shared" si="12"/>
        <v>5.2794719999999993</v>
      </c>
      <c r="J317">
        <f t="shared" si="13"/>
        <v>0.19706875699888016</v>
      </c>
      <c r="K317">
        <f t="shared" si="14"/>
        <v>0.1378812222512405</v>
      </c>
    </row>
    <row r="318" spans="1:11" x14ac:dyDescent="0.25">
      <c r="A318" s="1">
        <v>1958</v>
      </c>
      <c r="B318" s="1" t="s">
        <v>99</v>
      </c>
      <c r="C318" t="s">
        <v>8</v>
      </c>
      <c r="D318" s="1" t="s">
        <v>3</v>
      </c>
      <c r="E318">
        <v>79</v>
      </c>
      <c r="F318" s="1" t="s">
        <v>101</v>
      </c>
      <c r="G318">
        <v>24</v>
      </c>
      <c r="H318">
        <v>3</v>
      </c>
      <c r="I318" s="2">
        <f t="shared" si="12"/>
        <v>9.424512</v>
      </c>
      <c r="J318">
        <f t="shared" si="13"/>
        <v>0.35179216125419932</v>
      </c>
      <c r="K318">
        <f t="shared" si="14"/>
        <v>0.24613507443196656</v>
      </c>
    </row>
    <row r="319" spans="1:11" x14ac:dyDescent="0.25">
      <c r="A319" s="1">
        <v>1958</v>
      </c>
      <c r="B319" s="1" t="s">
        <v>99</v>
      </c>
      <c r="C319" t="s">
        <v>8</v>
      </c>
      <c r="D319" s="1" t="s">
        <v>3</v>
      </c>
      <c r="E319">
        <v>79</v>
      </c>
      <c r="F319" s="1" t="s">
        <v>101</v>
      </c>
      <c r="G319">
        <v>28</v>
      </c>
      <c r="H319">
        <v>1</v>
      </c>
      <c r="I319" s="2">
        <f t="shared" si="12"/>
        <v>4.2759359999999997</v>
      </c>
      <c r="J319">
        <f t="shared" si="13"/>
        <v>0.1596094064949608</v>
      </c>
      <c r="K319">
        <f t="shared" si="14"/>
        <v>0.11167239488117001</v>
      </c>
    </row>
    <row r="320" spans="1:11" x14ac:dyDescent="0.25">
      <c r="A320" s="1">
        <v>1958</v>
      </c>
      <c r="B320" s="1" t="s">
        <v>99</v>
      </c>
      <c r="C320" t="s">
        <v>8</v>
      </c>
      <c r="D320" s="1" t="s">
        <v>3</v>
      </c>
      <c r="E320">
        <v>79</v>
      </c>
      <c r="F320" s="1" t="s">
        <v>101</v>
      </c>
      <c r="G320">
        <v>32</v>
      </c>
      <c r="H320">
        <v>1</v>
      </c>
      <c r="I320" s="2">
        <f t="shared" si="12"/>
        <v>5.5848959999999996</v>
      </c>
      <c r="J320">
        <f t="shared" si="13"/>
        <v>0.20846942889137737</v>
      </c>
      <c r="K320">
        <f t="shared" si="14"/>
        <v>0.14585782188560981</v>
      </c>
    </row>
    <row r="321" spans="1:11" x14ac:dyDescent="0.25">
      <c r="A321" s="1">
        <v>1958</v>
      </c>
      <c r="B321" s="1" t="s">
        <v>99</v>
      </c>
      <c r="C321" t="s">
        <v>8</v>
      </c>
      <c r="D321" s="1" t="s">
        <v>3</v>
      </c>
      <c r="E321">
        <v>84</v>
      </c>
      <c r="F321" s="1" t="s">
        <v>101</v>
      </c>
      <c r="G321">
        <v>6</v>
      </c>
      <c r="H321">
        <v>2</v>
      </c>
      <c r="I321" s="2">
        <f t="shared" si="12"/>
        <v>0.39268799999999998</v>
      </c>
      <c r="J321">
        <f t="shared" si="13"/>
        <v>1.4658006718924971E-2</v>
      </c>
      <c r="K321">
        <f t="shared" si="14"/>
        <v>1.0255628101331939E-2</v>
      </c>
    </row>
    <row r="322" spans="1:11" x14ac:dyDescent="0.25">
      <c r="A322" s="1">
        <v>1958</v>
      </c>
      <c r="B322" s="1" t="s">
        <v>99</v>
      </c>
      <c r="C322" t="s">
        <v>8</v>
      </c>
      <c r="D322" s="1" t="s">
        <v>3</v>
      </c>
      <c r="E322">
        <v>84</v>
      </c>
      <c r="F322" s="1" t="s">
        <v>101</v>
      </c>
      <c r="G322">
        <v>18</v>
      </c>
      <c r="H322">
        <v>1</v>
      </c>
      <c r="I322" s="2">
        <f t="shared" si="12"/>
        <v>1.7670959999999998</v>
      </c>
      <c r="J322">
        <f t="shared" si="13"/>
        <v>6.5961030235162366E-2</v>
      </c>
      <c r="K322">
        <f t="shared" si="14"/>
        <v>4.615032645599372E-2</v>
      </c>
    </row>
    <row r="323" spans="1:11" x14ac:dyDescent="0.25">
      <c r="A323" s="1">
        <v>1958</v>
      </c>
      <c r="B323" s="1" t="s">
        <v>99</v>
      </c>
      <c r="C323" t="s">
        <v>8</v>
      </c>
      <c r="D323" s="1" t="s">
        <v>3</v>
      </c>
      <c r="E323">
        <v>85</v>
      </c>
      <c r="F323" s="1" t="s">
        <v>101</v>
      </c>
      <c r="G323">
        <v>6</v>
      </c>
      <c r="H323">
        <v>1</v>
      </c>
      <c r="I323" s="2">
        <f t="shared" ref="I323:I386" si="15">0.005454*G323^2*H323</f>
        <v>0.19634399999999999</v>
      </c>
      <c r="J323">
        <f t="shared" ref="J323:J386" si="16">I323/26.79</f>
        <v>7.3290033594624856E-3</v>
      </c>
      <c r="K323">
        <f t="shared" ref="K323:K386" si="17">J323*(26.79/38.29)</f>
        <v>5.1278140506659693E-3</v>
      </c>
    </row>
    <row r="324" spans="1:11" x14ac:dyDescent="0.25">
      <c r="A324" s="1">
        <v>1958</v>
      </c>
      <c r="B324" s="1" t="s">
        <v>99</v>
      </c>
      <c r="C324" t="s">
        <v>8</v>
      </c>
      <c r="D324" s="1" t="s">
        <v>3</v>
      </c>
      <c r="E324">
        <v>85</v>
      </c>
      <c r="F324" s="1" t="s">
        <v>101</v>
      </c>
      <c r="G324">
        <v>8</v>
      </c>
      <c r="H324">
        <v>1</v>
      </c>
      <c r="I324" s="2">
        <f t="shared" si="15"/>
        <v>0.34905599999999998</v>
      </c>
      <c r="J324">
        <f t="shared" si="16"/>
        <v>1.3029339305711086E-2</v>
      </c>
      <c r="K324">
        <f t="shared" si="17"/>
        <v>9.1161138678506129E-3</v>
      </c>
    </row>
    <row r="325" spans="1:11" x14ac:dyDescent="0.25">
      <c r="A325" s="1">
        <v>1958</v>
      </c>
      <c r="B325" s="1" t="s">
        <v>99</v>
      </c>
      <c r="C325" t="s">
        <v>8</v>
      </c>
      <c r="D325" s="1" t="s">
        <v>3</v>
      </c>
      <c r="E325">
        <v>85</v>
      </c>
      <c r="F325" s="1" t="s">
        <v>101</v>
      </c>
      <c r="G325">
        <v>18</v>
      </c>
      <c r="H325">
        <v>12</v>
      </c>
      <c r="I325" s="2">
        <f t="shared" si="15"/>
        <v>21.205151999999998</v>
      </c>
      <c r="J325">
        <f t="shared" si="16"/>
        <v>0.7915323628219485</v>
      </c>
      <c r="K325">
        <f t="shared" si="17"/>
        <v>0.5538039174719247</v>
      </c>
    </row>
    <row r="326" spans="1:11" x14ac:dyDescent="0.25">
      <c r="A326" s="1">
        <v>1958</v>
      </c>
      <c r="B326" s="1" t="s">
        <v>99</v>
      </c>
      <c r="C326" t="s">
        <v>8</v>
      </c>
      <c r="D326" s="1" t="s">
        <v>3</v>
      </c>
      <c r="E326">
        <v>85</v>
      </c>
      <c r="F326" s="1" t="s">
        <v>101</v>
      </c>
      <c r="G326">
        <v>20</v>
      </c>
      <c r="H326">
        <v>3</v>
      </c>
      <c r="I326" s="2">
        <f t="shared" si="15"/>
        <v>6.5448000000000004</v>
      </c>
      <c r="J326">
        <f t="shared" si="16"/>
        <v>0.2443001119820829</v>
      </c>
      <c r="K326">
        <f t="shared" si="17"/>
        <v>0.17092713502219903</v>
      </c>
    </row>
    <row r="327" spans="1:11" x14ac:dyDescent="0.25">
      <c r="A327" s="1">
        <v>1958</v>
      </c>
      <c r="B327" s="1" t="s">
        <v>99</v>
      </c>
      <c r="C327" t="s">
        <v>8</v>
      </c>
      <c r="D327" s="1" t="s">
        <v>3</v>
      </c>
      <c r="E327">
        <v>86</v>
      </c>
      <c r="F327" s="1" t="s">
        <v>101</v>
      </c>
      <c r="G327">
        <v>6</v>
      </c>
      <c r="H327">
        <v>1</v>
      </c>
      <c r="I327" s="2">
        <f t="shared" si="15"/>
        <v>0.19634399999999999</v>
      </c>
      <c r="J327">
        <f t="shared" si="16"/>
        <v>7.3290033594624856E-3</v>
      </c>
      <c r="K327">
        <f t="shared" si="17"/>
        <v>5.1278140506659693E-3</v>
      </c>
    </row>
    <row r="328" spans="1:11" x14ac:dyDescent="0.25">
      <c r="A328" s="1">
        <v>1958</v>
      </c>
      <c r="B328" s="1" t="s">
        <v>99</v>
      </c>
      <c r="C328" t="s">
        <v>8</v>
      </c>
      <c r="D328" s="1" t="s">
        <v>3</v>
      </c>
      <c r="E328">
        <v>88</v>
      </c>
      <c r="F328" s="1" t="s">
        <v>101</v>
      </c>
      <c r="G328">
        <v>8</v>
      </c>
      <c r="H328">
        <v>5</v>
      </c>
      <c r="I328" s="2">
        <f t="shared" si="15"/>
        <v>1.7452799999999999</v>
      </c>
      <c r="J328">
        <f t="shared" si="16"/>
        <v>6.5146696528555426E-2</v>
      </c>
      <c r="K328">
        <f t="shared" si="17"/>
        <v>4.5580569339253064E-2</v>
      </c>
    </row>
    <row r="329" spans="1:11" x14ac:dyDescent="0.25">
      <c r="A329" s="1">
        <v>1958</v>
      </c>
      <c r="B329" s="1" t="s">
        <v>99</v>
      </c>
      <c r="C329" t="s">
        <v>8</v>
      </c>
      <c r="D329" s="1" t="s">
        <v>3</v>
      </c>
      <c r="E329">
        <v>88</v>
      </c>
      <c r="F329" s="1" t="s">
        <v>101</v>
      </c>
      <c r="G329">
        <v>10</v>
      </c>
      <c r="H329">
        <v>4</v>
      </c>
      <c r="I329" s="2">
        <f t="shared" si="15"/>
        <v>2.1816</v>
      </c>
      <c r="J329">
        <f t="shared" si="16"/>
        <v>8.1433370660694296E-2</v>
      </c>
      <c r="K329">
        <f t="shared" si="17"/>
        <v>5.6975711674066336E-2</v>
      </c>
    </row>
    <row r="330" spans="1:11" x14ac:dyDescent="0.25">
      <c r="A330" s="1">
        <v>1958</v>
      </c>
      <c r="B330" s="1" t="s">
        <v>99</v>
      </c>
      <c r="C330" t="s">
        <v>8</v>
      </c>
      <c r="D330" s="1" t="s">
        <v>3</v>
      </c>
      <c r="E330">
        <v>88</v>
      </c>
      <c r="F330" s="1" t="s">
        <v>101</v>
      </c>
      <c r="G330">
        <v>12</v>
      </c>
      <c r="H330">
        <v>1</v>
      </c>
      <c r="I330" s="2">
        <f t="shared" si="15"/>
        <v>0.78537599999999996</v>
      </c>
      <c r="J330">
        <f t="shared" si="16"/>
        <v>2.9316013437849942E-2</v>
      </c>
      <c r="K330">
        <f t="shared" si="17"/>
        <v>2.0511256202663877E-2</v>
      </c>
    </row>
    <row r="331" spans="1:11" x14ac:dyDescent="0.25">
      <c r="A331" s="1">
        <v>1958</v>
      </c>
      <c r="B331" s="1" t="s">
        <v>99</v>
      </c>
      <c r="C331" t="s">
        <v>8</v>
      </c>
      <c r="D331" s="1" t="s">
        <v>3</v>
      </c>
      <c r="E331">
        <v>91</v>
      </c>
      <c r="F331" s="1" t="s">
        <v>101</v>
      </c>
      <c r="G331">
        <v>6</v>
      </c>
      <c r="H331">
        <v>7</v>
      </c>
      <c r="I331" s="2">
        <f t="shared" si="15"/>
        <v>1.3744079999999999</v>
      </c>
      <c r="J331">
        <f t="shared" si="16"/>
        <v>5.1303023516237396E-2</v>
      </c>
      <c r="K331">
        <f t="shared" si="17"/>
        <v>3.5894698354661782E-2</v>
      </c>
    </row>
    <row r="332" spans="1:11" x14ac:dyDescent="0.25">
      <c r="A332" s="1">
        <v>1958</v>
      </c>
      <c r="B332" s="1" t="s">
        <v>99</v>
      </c>
      <c r="C332" t="s">
        <v>8</v>
      </c>
      <c r="D332" s="1" t="s">
        <v>3</v>
      </c>
      <c r="E332">
        <v>91</v>
      </c>
      <c r="F332" s="1" t="s">
        <v>101</v>
      </c>
      <c r="G332">
        <v>8</v>
      </c>
      <c r="H332">
        <v>3</v>
      </c>
      <c r="I332" s="2">
        <f t="shared" si="15"/>
        <v>1.0471679999999999</v>
      </c>
      <c r="J332">
        <f t="shared" si="16"/>
        <v>3.9088017917133254E-2</v>
      </c>
      <c r="K332">
        <f t="shared" si="17"/>
        <v>2.7348341603551835E-2</v>
      </c>
    </row>
    <row r="333" spans="1:11" x14ac:dyDescent="0.25">
      <c r="A333" s="1">
        <v>1958</v>
      </c>
      <c r="B333" s="1" t="s">
        <v>99</v>
      </c>
      <c r="C333" t="s">
        <v>8</v>
      </c>
      <c r="D333" s="1" t="s">
        <v>3</v>
      </c>
      <c r="E333">
        <v>91</v>
      </c>
      <c r="F333" s="1" t="s">
        <v>101</v>
      </c>
      <c r="G333">
        <v>12</v>
      </c>
      <c r="H333">
        <v>1</v>
      </c>
      <c r="I333" s="2">
        <f t="shared" si="15"/>
        <v>0.78537599999999996</v>
      </c>
      <c r="J333">
        <f t="shared" si="16"/>
        <v>2.9316013437849942E-2</v>
      </c>
      <c r="K333">
        <f t="shared" si="17"/>
        <v>2.0511256202663877E-2</v>
      </c>
    </row>
    <row r="334" spans="1:11" x14ac:dyDescent="0.25">
      <c r="A334" s="1">
        <v>1958</v>
      </c>
      <c r="B334" s="1" t="s">
        <v>99</v>
      </c>
      <c r="C334" t="s">
        <v>8</v>
      </c>
      <c r="D334" s="1" t="s">
        <v>5</v>
      </c>
      <c r="E334">
        <v>32</v>
      </c>
      <c r="F334" s="1" t="s">
        <v>101</v>
      </c>
      <c r="G334">
        <v>18</v>
      </c>
      <c r="H334">
        <v>4</v>
      </c>
      <c r="I334" s="2">
        <f t="shared" si="15"/>
        <v>7.0683839999999991</v>
      </c>
      <c r="J334">
        <f t="shared" si="16"/>
        <v>0.26384412094064946</v>
      </c>
      <c r="K334">
        <f t="shared" si="17"/>
        <v>0.18460130582397488</v>
      </c>
    </row>
    <row r="335" spans="1:11" x14ac:dyDescent="0.25">
      <c r="A335" s="1">
        <v>1958</v>
      </c>
      <c r="B335" s="1" t="s">
        <v>99</v>
      </c>
      <c r="C335" t="s">
        <v>8</v>
      </c>
      <c r="D335" s="1" t="s">
        <v>5</v>
      </c>
      <c r="E335">
        <v>32</v>
      </c>
      <c r="F335" s="1" t="s">
        <v>101</v>
      </c>
      <c r="G335">
        <v>20</v>
      </c>
      <c r="H335">
        <v>1</v>
      </c>
      <c r="I335" s="2">
        <f t="shared" si="15"/>
        <v>2.1816</v>
      </c>
      <c r="J335">
        <f t="shared" si="16"/>
        <v>8.1433370660694296E-2</v>
      </c>
      <c r="K335">
        <f t="shared" si="17"/>
        <v>5.6975711674066336E-2</v>
      </c>
    </row>
    <row r="336" spans="1:11" x14ac:dyDescent="0.25">
      <c r="A336" s="1">
        <v>1958</v>
      </c>
      <c r="B336" s="1" t="s">
        <v>99</v>
      </c>
      <c r="C336" t="s">
        <v>8</v>
      </c>
      <c r="D336" s="1" t="s">
        <v>5</v>
      </c>
      <c r="E336">
        <v>32</v>
      </c>
      <c r="F336" s="1" t="s">
        <v>101</v>
      </c>
      <c r="G336">
        <v>22</v>
      </c>
      <c r="H336">
        <v>1</v>
      </c>
      <c r="I336" s="2">
        <f t="shared" si="15"/>
        <v>2.6397359999999996</v>
      </c>
      <c r="J336">
        <f t="shared" si="16"/>
        <v>9.8534378499440078E-2</v>
      </c>
      <c r="K336">
        <f t="shared" si="17"/>
        <v>6.8940611125620249E-2</v>
      </c>
    </row>
    <row r="337" spans="1:11" x14ac:dyDescent="0.25">
      <c r="A337" s="1">
        <v>1958</v>
      </c>
      <c r="B337" s="1" t="s">
        <v>99</v>
      </c>
      <c r="C337" t="s">
        <v>8</v>
      </c>
      <c r="D337" s="1" t="s">
        <v>5</v>
      </c>
      <c r="E337">
        <v>32</v>
      </c>
      <c r="F337" s="1" t="s">
        <v>101</v>
      </c>
      <c r="G337">
        <v>24</v>
      </c>
      <c r="H337">
        <v>2</v>
      </c>
      <c r="I337" s="2">
        <f t="shared" si="15"/>
        <v>6.2830079999999997</v>
      </c>
      <c r="J337">
        <f t="shared" si="16"/>
        <v>0.23452810750279954</v>
      </c>
      <c r="K337">
        <f t="shared" si="17"/>
        <v>0.16409004962131102</v>
      </c>
    </row>
    <row r="338" spans="1:11" x14ac:dyDescent="0.25">
      <c r="A338" s="1">
        <v>1958</v>
      </c>
      <c r="B338" s="1" t="s">
        <v>99</v>
      </c>
      <c r="C338" t="s">
        <v>8</v>
      </c>
      <c r="D338" s="1" t="s">
        <v>5</v>
      </c>
      <c r="E338">
        <v>38</v>
      </c>
      <c r="F338" s="1" t="s">
        <v>101</v>
      </c>
      <c r="G338">
        <v>20</v>
      </c>
      <c r="H338">
        <v>1</v>
      </c>
      <c r="I338" s="2">
        <f t="shared" si="15"/>
        <v>2.1816</v>
      </c>
      <c r="J338">
        <f t="shared" si="16"/>
        <v>8.1433370660694296E-2</v>
      </c>
      <c r="K338">
        <f t="shared" si="17"/>
        <v>5.6975711674066336E-2</v>
      </c>
    </row>
    <row r="339" spans="1:11" x14ac:dyDescent="0.25">
      <c r="A339" s="1">
        <v>1958</v>
      </c>
      <c r="B339" s="1" t="s">
        <v>99</v>
      </c>
      <c r="C339" t="s">
        <v>8</v>
      </c>
      <c r="D339" s="1" t="s">
        <v>5</v>
      </c>
      <c r="E339">
        <v>40</v>
      </c>
      <c r="F339" s="1" t="s">
        <v>101</v>
      </c>
      <c r="G339">
        <v>30</v>
      </c>
      <c r="H339">
        <v>1</v>
      </c>
      <c r="I339" s="2">
        <f t="shared" si="15"/>
        <v>4.9085999999999999</v>
      </c>
      <c r="J339">
        <f t="shared" si="16"/>
        <v>0.18322508398656215</v>
      </c>
      <c r="K339">
        <f t="shared" si="17"/>
        <v>0.12819535126664924</v>
      </c>
    </row>
    <row r="340" spans="1:11" x14ac:dyDescent="0.25">
      <c r="A340" s="1">
        <v>1958</v>
      </c>
      <c r="B340" s="1" t="s">
        <v>99</v>
      </c>
      <c r="C340" t="s">
        <v>8</v>
      </c>
      <c r="D340" s="1" t="s">
        <v>5</v>
      </c>
      <c r="E340">
        <v>79</v>
      </c>
      <c r="F340" s="1" t="s">
        <v>101</v>
      </c>
      <c r="G340">
        <v>18</v>
      </c>
      <c r="H340">
        <v>3</v>
      </c>
      <c r="I340" s="2">
        <f t="shared" si="15"/>
        <v>5.3012879999999996</v>
      </c>
      <c r="J340">
        <f t="shared" si="16"/>
        <v>0.19788309070548712</v>
      </c>
      <c r="K340">
        <f t="shared" si="17"/>
        <v>0.13845097936798118</v>
      </c>
    </row>
    <row r="341" spans="1:11" x14ac:dyDescent="0.25">
      <c r="A341" s="1">
        <v>1958</v>
      </c>
      <c r="B341" s="1" t="s">
        <v>99</v>
      </c>
      <c r="C341" t="s">
        <v>8</v>
      </c>
      <c r="D341" s="1" t="s">
        <v>5</v>
      </c>
      <c r="E341">
        <v>79</v>
      </c>
      <c r="F341" s="1" t="s">
        <v>101</v>
      </c>
      <c r="G341">
        <v>20</v>
      </c>
      <c r="H341">
        <v>1</v>
      </c>
      <c r="I341" s="2">
        <f t="shared" si="15"/>
        <v>2.1816</v>
      </c>
      <c r="J341">
        <f t="shared" si="16"/>
        <v>8.1433370660694296E-2</v>
      </c>
      <c r="K341">
        <f t="shared" si="17"/>
        <v>5.6975711674066336E-2</v>
      </c>
    </row>
    <row r="342" spans="1:11" x14ac:dyDescent="0.25">
      <c r="A342" s="1">
        <v>1958</v>
      </c>
      <c r="B342" s="1" t="s">
        <v>99</v>
      </c>
      <c r="C342" t="s">
        <v>8</v>
      </c>
      <c r="D342" s="1" t="s">
        <v>5</v>
      </c>
      <c r="E342">
        <v>79</v>
      </c>
      <c r="F342" s="1" t="s">
        <v>101</v>
      </c>
      <c r="G342">
        <v>22</v>
      </c>
      <c r="H342">
        <v>2</v>
      </c>
      <c r="I342" s="2">
        <f t="shared" si="15"/>
        <v>5.2794719999999993</v>
      </c>
      <c r="J342">
        <f t="shared" si="16"/>
        <v>0.19706875699888016</v>
      </c>
      <c r="K342">
        <f t="shared" si="17"/>
        <v>0.1378812222512405</v>
      </c>
    </row>
    <row r="343" spans="1:11" x14ac:dyDescent="0.25">
      <c r="A343" s="1">
        <v>1958</v>
      </c>
      <c r="B343" s="1" t="s">
        <v>99</v>
      </c>
      <c r="C343" t="s">
        <v>8</v>
      </c>
      <c r="D343" s="1" t="s">
        <v>5</v>
      </c>
      <c r="E343">
        <v>79</v>
      </c>
      <c r="F343" s="1" t="s">
        <v>101</v>
      </c>
      <c r="G343">
        <v>26</v>
      </c>
      <c r="H343">
        <v>1</v>
      </c>
      <c r="I343" s="2">
        <f t="shared" si="15"/>
        <v>3.6869039999999997</v>
      </c>
      <c r="J343">
        <f t="shared" si="16"/>
        <v>0.13762239641657334</v>
      </c>
      <c r="K343">
        <f t="shared" si="17"/>
        <v>9.6288952729172095E-2</v>
      </c>
    </row>
    <row r="344" spans="1:11" x14ac:dyDescent="0.25">
      <c r="A344" s="1">
        <v>1958</v>
      </c>
      <c r="B344" s="1" t="s">
        <v>99</v>
      </c>
      <c r="C344" t="s">
        <v>8</v>
      </c>
      <c r="D344" s="1" t="s">
        <v>5</v>
      </c>
      <c r="E344">
        <v>79</v>
      </c>
      <c r="F344" s="1" t="s">
        <v>101</v>
      </c>
      <c r="G344">
        <v>28</v>
      </c>
      <c r="H344">
        <v>2</v>
      </c>
      <c r="I344" s="2">
        <f t="shared" si="15"/>
        <v>8.5518719999999995</v>
      </c>
      <c r="J344">
        <f t="shared" si="16"/>
        <v>0.31921881298992161</v>
      </c>
      <c r="K344">
        <f t="shared" si="17"/>
        <v>0.22334478976234001</v>
      </c>
    </row>
    <row r="345" spans="1:11" x14ac:dyDescent="0.25">
      <c r="A345" s="1">
        <v>1958</v>
      </c>
      <c r="B345" s="1" t="s">
        <v>99</v>
      </c>
      <c r="C345" t="s">
        <v>7</v>
      </c>
      <c r="D345" s="1" t="s">
        <v>3</v>
      </c>
      <c r="E345">
        <v>21</v>
      </c>
      <c r="F345" s="1" t="s">
        <v>101</v>
      </c>
      <c r="G345">
        <v>6</v>
      </c>
      <c r="H345">
        <v>14</v>
      </c>
      <c r="I345" s="2">
        <f t="shared" si="15"/>
        <v>2.7488159999999997</v>
      </c>
      <c r="J345">
        <f t="shared" si="16"/>
        <v>0.10260604703247479</v>
      </c>
      <c r="K345">
        <f t="shared" si="17"/>
        <v>7.1789396709323564E-2</v>
      </c>
    </row>
    <row r="346" spans="1:11" x14ac:dyDescent="0.25">
      <c r="A346" s="1">
        <v>1958</v>
      </c>
      <c r="B346" s="1" t="s">
        <v>99</v>
      </c>
      <c r="C346" t="s">
        <v>7</v>
      </c>
      <c r="D346" s="1" t="s">
        <v>3</v>
      </c>
      <c r="E346">
        <v>21</v>
      </c>
      <c r="F346" s="1" t="s">
        <v>101</v>
      </c>
      <c r="G346">
        <v>8</v>
      </c>
      <c r="H346">
        <v>10</v>
      </c>
      <c r="I346" s="2">
        <f t="shared" si="15"/>
        <v>3.4905599999999999</v>
      </c>
      <c r="J346">
        <f t="shared" si="16"/>
        <v>0.13029339305711085</v>
      </c>
      <c r="K346">
        <f t="shared" si="17"/>
        <v>9.1161138678506129E-2</v>
      </c>
    </row>
    <row r="347" spans="1:11" x14ac:dyDescent="0.25">
      <c r="A347" s="1">
        <v>1958</v>
      </c>
      <c r="B347" s="1" t="s">
        <v>99</v>
      </c>
      <c r="C347" t="s">
        <v>7</v>
      </c>
      <c r="D347" s="1" t="s">
        <v>3</v>
      </c>
      <c r="E347">
        <v>21</v>
      </c>
      <c r="F347" s="1" t="s">
        <v>101</v>
      </c>
      <c r="G347">
        <v>10</v>
      </c>
      <c r="H347">
        <v>8</v>
      </c>
      <c r="I347" s="2">
        <f t="shared" si="15"/>
        <v>4.3632</v>
      </c>
      <c r="J347">
        <f t="shared" si="16"/>
        <v>0.16286674132138859</v>
      </c>
      <c r="K347">
        <f t="shared" si="17"/>
        <v>0.11395142334813267</v>
      </c>
    </row>
    <row r="348" spans="1:11" x14ac:dyDescent="0.25">
      <c r="A348" s="1">
        <v>1958</v>
      </c>
      <c r="B348" s="1" t="s">
        <v>99</v>
      </c>
      <c r="C348" t="s">
        <v>7</v>
      </c>
      <c r="D348" s="1" t="s">
        <v>3</v>
      </c>
      <c r="E348">
        <v>21</v>
      </c>
      <c r="F348" s="1" t="s">
        <v>101</v>
      </c>
      <c r="G348">
        <v>12</v>
      </c>
      <c r="H348">
        <v>8</v>
      </c>
      <c r="I348" s="2">
        <f t="shared" si="15"/>
        <v>6.2830079999999997</v>
      </c>
      <c r="J348">
        <f t="shared" si="16"/>
        <v>0.23452810750279954</v>
      </c>
      <c r="K348">
        <f t="shared" si="17"/>
        <v>0.16409004962131102</v>
      </c>
    </row>
    <row r="349" spans="1:11" x14ac:dyDescent="0.25">
      <c r="A349" s="1">
        <v>1958</v>
      </c>
      <c r="B349" s="1" t="s">
        <v>99</v>
      </c>
      <c r="C349" t="s">
        <v>7</v>
      </c>
      <c r="D349" s="1" t="s">
        <v>3</v>
      </c>
      <c r="E349">
        <v>21</v>
      </c>
      <c r="F349" s="1" t="s">
        <v>101</v>
      </c>
      <c r="G349">
        <v>14</v>
      </c>
      <c r="H349">
        <v>13</v>
      </c>
      <c r="I349" s="2">
        <f t="shared" si="15"/>
        <v>13.896792</v>
      </c>
      <c r="J349">
        <f t="shared" si="16"/>
        <v>0.51873057110862264</v>
      </c>
      <c r="K349">
        <f t="shared" si="17"/>
        <v>0.36293528336380254</v>
      </c>
    </row>
    <row r="350" spans="1:11" x14ac:dyDescent="0.25">
      <c r="A350" s="1">
        <v>1958</v>
      </c>
      <c r="B350" s="1" t="s">
        <v>99</v>
      </c>
      <c r="C350" t="s">
        <v>7</v>
      </c>
      <c r="D350" s="1" t="s">
        <v>3</v>
      </c>
      <c r="E350">
        <v>21</v>
      </c>
      <c r="F350" s="1" t="s">
        <v>101</v>
      </c>
      <c r="G350">
        <v>16</v>
      </c>
      <c r="H350">
        <v>19</v>
      </c>
      <c r="I350" s="2">
        <f t="shared" si="15"/>
        <v>26.528255999999999</v>
      </c>
      <c r="J350">
        <f t="shared" si="16"/>
        <v>0.99022978723404254</v>
      </c>
      <c r="K350">
        <f t="shared" si="17"/>
        <v>0.69282465395664661</v>
      </c>
    </row>
    <row r="351" spans="1:11" x14ac:dyDescent="0.25">
      <c r="A351" s="1">
        <v>1958</v>
      </c>
      <c r="B351" s="1" t="s">
        <v>99</v>
      </c>
      <c r="C351" t="s">
        <v>7</v>
      </c>
      <c r="D351" s="1" t="s">
        <v>3</v>
      </c>
      <c r="E351">
        <v>25</v>
      </c>
      <c r="F351" s="1" t="s">
        <v>101</v>
      </c>
      <c r="G351">
        <v>10</v>
      </c>
      <c r="H351">
        <v>1</v>
      </c>
      <c r="I351" s="2">
        <f t="shared" si="15"/>
        <v>0.5454</v>
      </c>
      <c r="J351">
        <f t="shared" si="16"/>
        <v>2.0358342665173574E-2</v>
      </c>
      <c r="K351">
        <f t="shared" si="17"/>
        <v>1.4243927918516584E-2</v>
      </c>
    </row>
    <row r="352" spans="1:11" x14ac:dyDescent="0.25">
      <c r="A352" s="1">
        <v>1958</v>
      </c>
      <c r="B352" s="1" t="s">
        <v>99</v>
      </c>
      <c r="C352" t="s">
        <v>7</v>
      </c>
      <c r="D352" s="1" t="s">
        <v>3</v>
      </c>
      <c r="E352">
        <v>25</v>
      </c>
      <c r="F352" s="1" t="s">
        <v>101</v>
      </c>
      <c r="G352">
        <v>16</v>
      </c>
      <c r="H352">
        <v>1</v>
      </c>
      <c r="I352" s="2">
        <f t="shared" si="15"/>
        <v>1.3962239999999999</v>
      </c>
      <c r="J352">
        <f t="shared" si="16"/>
        <v>5.2117357222844343E-2</v>
      </c>
      <c r="K352">
        <f t="shared" si="17"/>
        <v>3.6464455471402452E-2</v>
      </c>
    </row>
    <row r="353" spans="1:11" x14ac:dyDescent="0.25">
      <c r="A353" s="1">
        <v>1958</v>
      </c>
      <c r="B353" s="1" t="s">
        <v>99</v>
      </c>
      <c r="C353" t="s">
        <v>7</v>
      </c>
      <c r="D353" s="1" t="s">
        <v>3</v>
      </c>
      <c r="E353">
        <v>29</v>
      </c>
      <c r="F353" s="1" t="s">
        <v>101</v>
      </c>
      <c r="G353">
        <v>6</v>
      </c>
      <c r="H353">
        <v>59</v>
      </c>
      <c r="I353" s="2">
        <f t="shared" si="15"/>
        <v>11.584296</v>
      </c>
      <c r="J353">
        <f t="shared" si="16"/>
        <v>0.43241119820828672</v>
      </c>
      <c r="K353">
        <f t="shared" si="17"/>
        <v>0.30254102898929225</v>
      </c>
    </row>
    <row r="354" spans="1:11" x14ac:dyDescent="0.25">
      <c r="A354" s="1">
        <v>1958</v>
      </c>
      <c r="B354" s="1" t="s">
        <v>99</v>
      </c>
      <c r="C354" t="s">
        <v>7</v>
      </c>
      <c r="D354" s="1" t="s">
        <v>3</v>
      </c>
      <c r="E354">
        <v>30</v>
      </c>
      <c r="F354" s="1" t="s">
        <v>101</v>
      </c>
      <c r="G354">
        <v>6</v>
      </c>
      <c r="H354">
        <v>1</v>
      </c>
      <c r="I354" s="2">
        <f t="shared" si="15"/>
        <v>0.19634399999999999</v>
      </c>
      <c r="J354">
        <f t="shared" si="16"/>
        <v>7.3290033594624856E-3</v>
      </c>
      <c r="K354">
        <f t="shared" si="17"/>
        <v>5.1278140506659693E-3</v>
      </c>
    </row>
    <row r="355" spans="1:11" x14ac:dyDescent="0.25">
      <c r="A355" s="1">
        <v>1958</v>
      </c>
      <c r="B355" s="1" t="s">
        <v>99</v>
      </c>
      <c r="C355" t="s">
        <v>7</v>
      </c>
      <c r="D355" s="1" t="s">
        <v>3</v>
      </c>
      <c r="E355">
        <v>32</v>
      </c>
      <c r="F355" s="1" t="s">
        <v>101</v>
      </c>
      <c r="G355">
        <v>6</v>
      </c>
      <c r="H355">
        <v>9</v>
      </c>
      <c r="I355" s="2">
        <f t="shared" si="15"/>
        <v>1.767096</v>
      </c>
      <c r="J355">
        <f t="shared" si="16"/>
        <v>6.596103023516238E-2</v>
      </c>
      <c r="K355">
        <f t="shared" si="17"/>
        <v>4.6150326455993734E-2</v>
      </c>
    </row>
    <row r="356" spans="1:11" x14ac:dyDescent="0.25">
      <c r="A356" s="1">
        <v>1958</v>
      </c>
      <c r="B356" s="1" t="s">
        <v>99</v>
      </c>
      <c r="C356" t="s">
        <v>7</v>
      </c>
      <c r="D356" s="1" t="s">
        <v>3</v>
      </c>
      <c r="E356">
        <v>32</v>
      </c>
      <c r="F356" s="1" t="s">
        <v>101</v>
      </c>
      <c r="G356">
        <v>8</v>
      </c>
      <c r="H356">
        <v>8</v>
      </c>
      <c r="I356" s="2">
        <f t="shared" si="15"/>
        <v>2.7924479999999998</v>
      </c>
      <c r="J356">
        <f t="shared" si="16"/>
        <v>0.10423471444568869</v>
      </c>
      <c r="K356">
        <f t="shared" si="17"/>
        <v>7.2928910942804903E-2</v>
      </c>
    </row>
    <row r="357" spans="1:11" x14ac:dyDescent="0.25">
      <c r="A357" s="1">
        <v>1958</v>
      </c>
      <c r="B357" s="1" t="s">
        <v>99</v>
      </c>
      <c r="C357" t="s">
        <v>7</v>
      </c>
      <c r="D357" s="1" t="s">
        <v>3</v>
      </c>
      <c r="E357">
        <v>32</v>
      </c>
      <c r="F357" s="1" t="s">
        <v>101</v>
      </c>
      <c r="G357">
        <v>12</v>
      </c>
      <c r="H357">
        <v>10</v>
      </c>
      <c r="I357" s="2">
        <f t="shared" si="15"/>
        <v>7.8537599999999994</v>
      </c>
      <c r="J357">
        <f t="shared" si="16"/>
        <v>0.29316013437849942</v>
      </c>
      <c r="K357">
        <f t="shared" si="17"/>
        <v>0.20511256202663877</v>
      </c>
    </row>
    <row r="358" spans="1:11" x14ac:dyDescent="0.25">
      <c r="A358" s="1">
        <v>1958</v>
      </c>
      <c r="B358" s="1" t="s">
        <v>99</v>
      </c>
      <c r="C358" t="s">
        <v>7</v>
      </c>
      <c r="D358" s="1" t="s">
        <v>3</v>
      </c>
      <c r="E358">
        <v>32</v>
      </c>
      <c r="F358" s="1" t="s">
        <v>101</v>
      </c>
      <c r="G358">
        <v>14</v>
      </c>
      <c r="H358">
        <v>4</v>
      </c>
      <c r="I358" s="2">
        <f t="shared" si="15"/>
        <v>4.2759359999999997</v>
      </c>
      <c r="J358">
        <f t="shared" si="16"/>
        <v>0.1596094064949608</v>
      </c>
      <c r="K358">
        <f t="shared" si="17"/>
        <v>0.11167239488117001</v>
      </c>
    </row>
    <row r="359" spans="1:11" x14ac:dyDescent="0.25">
      <c r="A359" s="1">
        <v>1958</v>
      </c>
      <c r="B359" s="1" t="s">
        <v>99</v>
      </c>
      <c r="C359" t="s">
        <v>7</v>
      </c>
      <c r="D359" s="1" t="s">
        <v>3</v>
      </c>
      <c r="E359">
        <v>32</v>
      </c>
      <c r="F359" s="1" t="s">
        <v>101</v>
      </c>
      <c r="G359">
        <v>16</v>
      </c>
      <c r="H359">
        <v>7</v>
      </c>
      <c r="I359" s="2">
        <f t="shared" si="15"/>
        <v>9.7735679999999991</v>
      </c>
      <c r="J359">
        <f t="shared" si="16"/>
        <v>0.36482150055991042</v>
      </c>
      <c r="K359">
        <f t="shared" si="17"/>
        <v>0.25525118829981719</v>
      </c>
    </row>
    <row r="360" spans="1:11" x14ac:dyDescent="0.25">
      <c r="A360" s="1">
        <v>1958</v>
      </c>
      <c r="B360" s="1" t="s">
        <v>99</v>
      </c>
      <c r="C360" t="s">
        <v>7</v>
      </c>
      <c r="D360" s="1" t="s">
        <v>3</v>
      </c>
      <c r="E360">
        <v>34</v>
      </c>
      <c r="F360" s="1" t="s">
        <v>101</v>
      </c>
      <c r="G360">
        <v>6</v>
      </c>
      <c r="H360">
        <v>114</v>
      </c>
      <c r="I360" s="2">
        <f t="shared" si="15"/>
        <v>22.383215999999997</v>
      </c>
      <c r="J360">
        <f t="shared" si="16"/>
        <v>0.83550638297872337</v>
      </c>
      <c r="K360">
        <f t="shared" si="17"/>
        <v>0.58457080177592058</v>
      </c>
    </row>
    <row r="361" spans="1:11" x14ac:dyDescent="0.25">
      <c r="A361" s="1">
        <v>1958</v>
      </c>
      <c r="B361" s="1" t="s">
        <v>99</v>
      </c>
      <c r="C361" t="s">
        <v>7</v>
      </c>
      <c r="D361" s="1" t="s">
        <v>3</v>
      </c>
      <c r="E361">
        <v>34</v>
      </c>
      <c r="F361" s="1" t="s">
        <v>101</v>
      </c>
      <c r="G361">
        <v>8</v>
      </c>
      <c r="H361">
        <v>66</v>
      </c>
      <c r="I361" s="2">
        <f t="shared" si="15"/>
        <v>23.037695999999997</v>
      </c>
      <c r="J361">
        <f t="shared" si="16"/>
        <v>0.85993639417693157</v>
      </c>
      <c r="K361">
        <f t="shared" si="17"/>
        <v>0.60166351527814044</v>
      </c>
    </row>
    <row r="362" spans="1:11" x14ac:dyDescent="0.25">
      <c r="A362" s="1">
        <v>1958</v>
      </c>
      <c r="B362" s="1" t="s">
        <v>99</v>
      </c>
      <c r="C362" t="s">
        <v>7</v>
      </c>
      <c r="D362" s="1" t="s">
        <v>3</v>
      </c>
      <c r="E362">
        <v>34</v>
      </c>
      <c r="F362" s="1" t="s">
        <v>101</v>
      </c>
      <c r="G362">
        <v>10</v>
      </c>
      <c r="H362">
        <v>30</v>
      </c>
      <c r="I362" s="2">
        <f t="shared" si="15"/>
        <v>16.361999999999998</v>
      </c>
      <c r="J362">
        <f t="shared" si="16"/>
        <v>0.61075027995520714</v>
      </c>
      <c r="K362">
        <f t="shared" si="17"/>
        <v>0.42731783755549746</v>
      </c>
    </row>
    <row r="363" spans="1:11" x14ac:dyDescent="0.25">
      <c r="A363" s="1">
        <v>1958</v>
      </c>
      <c r="B363" s="1" t="s">
        <v>99</v>
      </c>
      <c r="C363" t="s">
        <v>7</v>
      </c>
      <c r="D363" s="1" t="s">
        <v>3</v>
      </c>
      <c r="E363">
        <v>34</v>
      </c>
      <c r="F363" s="1" t="s">
        <v>101</v>
      </c>
      <c r="G363">
        <v>12</v>
      </c>
      <c r="H363">
        <v>30</v>
      </c>
      <c r="I363" s="2">
        <f t="shared" si="15"/>
        <v>23.56128</v>
      </c>
      <c r="J363">
        <f t="shared" si="16"/>
        <v>0.87948040313549836</v>
      </c>
      <c r="K363">
        <f t="shared" si="17"/>
        <v>0.61533768607991646</v>
      </c>
    </row>
    <row r="364" spans="1:11" x14ac:dyDescent="0.25">
      <c r="A364" s="1">
        <v>1958</v>
      </c>
      <c r="B364" s="1" t="s">
        <v>99</v>
      </c>
      <c r="C364" t="s">
        <v>7</v>
      </c>
      <c r="D364" s="1" t="s">
        <v>3</v>
      </c>
      <c r="E364">
        <v>34</v>
      </c>
      <c r="F364" s="1" t="s">
        <v>101</v>
      </c>
      <c r="G364">
        <v>14</v>
      </c>
      <c r="H364">
        <v>36</v>
      </c>
      <c r="I364" s="2">
        <f t="shared" si="15"/>
        <v>38.483423999999999</v>
      </c>
      <c r="J364">
        <f t="shared" si="16"/>
        <v>1.4364846584546473</v>
      </c>
      <c r="K364">
        <f t="shared" si="17"/>
        <v>1.0050515539305303</v>
      </c>
    </row>
    <row r="365" spans="1:11" x14ac:dyDescent="0.25">
      <c r="A365" s="1">
        <v>1958</v>
      </c>
      <c r="B365" s="1" t="s">
        <v>99</v>
      </c>
      <c r="C365" t="s">
        <v>7</v>
      </c>
      <c r="D365" s="1" t="s">
        <v>3</v>
      </c>
      <c r="E365">
        <v>34</v>
      </c>
      <c r="F365" s="1" t="s">
        <v>101</v>
      </c>
      <c r="G365">
        <v>16</v>
      </c>
      <c r="H365">
        <v>35</v>
      </c>
      <c r="I365" s="2">
        <f t="shared" si="15"/>
        <v>48.867839999999994</v>
      </c>
      <c r="J365">
        <f t="shared" si="16"/>
        <v>1.8241075027995519</v>
      </c>
      <c r="K365">
        <f t="shared" si="17"/>
        <v>1.2762559414990857</v>
      </c>
    </row>
    <row r="366" spans="1:11" x14ac:dyDescent="0.25">
      <c r="A366" s="1">
        <v>1958</v>
      </c>
      <c r="B366" s="1" t="s">
        <v>99</v>
      </c>
      <c r="C366" t="s">
        <v>7</v>
      </c>
      <c r="D366" s="1" t="s">
        <v>3</v>
      </c>
      <c r="E366">
        <v>38</v>
      </c>
      <c r="F366" s="1" t="s">
        <v>101</v>
      </c>
      <c r="G366">
        <v>6</v>
      </c>
      <c r="H366">
        <v>296</v>
      </c>
      <c r="I366" s="2">
        <f t="shared" si="15"/>
        <v>58.117823999999999</v>
      </c>
      <c r="J366">
        <f t="shared" si="16"/>
        <v>2.1693849944008958</v>
      </c>
      <c r="K366">
        <f t="shared" si="17"/>
        <v>1.5178329589971271</v>
      </c>
    </row>
    <row r="367" spans="1:11" x14ac:dyDescent="0.25">
      <c r="A367" s="1">
        <v>1958</v>
      </c>
      <c r="B367" s="1" t="s">
        <v>99</v>
      </c>
      <c r="C367" t="s">
        <v>7</v>
      </c>
      <c r="D367" s="1" t="s">
        <v>3</v>
      </c>
      <c r="E367">
        <v>38</v>
      </c>
      <c r="F367" s="1" t="s">
        <v>101</v>
      </c>
      <c r="G367">
        <v>8</v>
      </c>
      <c r="H367">
        <v>193</v>
      </c>
      <c r="I367" s="2">
        <f t="shared" si="15"/>
        <v>67.367807999999997</v>
      </c>
      <c r="J367">
        <f t="shared" si="16"/>
        <v>2.5146624860022397</v>
      </c>
      <c r="K367">
        <f t="shared" si="17"/>
        <v>1.7594099764951685</v>
      </c>
    </row>
    <row r="368" spans="1:11" x14ac:dyDescent="0.25">
      <c r="A368" s="1">
        <v>1958</v>
      </c>
      <c r="B368" s="1" t="s">
        <v>99</v>
      </c>
      <c r="C368" t="s">
        <v>7</v>
      </c>
      <c r="D368" s="1" t="s">
        <v>3</v>
      </c>
      <c r="E368">
        <v>38</v>
      </c>
      <c r="F368" s="1" t="s">
        <v>101</v>
      </c>
      <c r="G368">
        <v>10</v>
      </c>
      <c r="H368">
        <v>105</v>
      </c>
      <c r="I368" s="2">
        <f t="shared" si="15"/>
        <v>57.267000000000003</v>
      </c>
      <c r="J368">
        <f t="shared" si="16"/>
        <v>2.1376259798432251</v>
      </c>
      <c r="K368">
        <f t="shared" si="17"/>
        <v>1.4956124314442412</v>
      </c>
    </row>
    <row r="369" spans="1:11" x14ac:dyDescent="0.25">
      <c r="A369" s="1">
        <v>1958</v>
      </c>
      <c r="B369" s="1" t="s">
        <v>99</v>
      </c>
      <c r="C369" t="s">
        <v>7</v>
      </c>
      <c r="D369" s="1" t="s">
        <v>3</v>
      </c>
      <c r="E369">
        <v>38</v>
      </c>
      <c r="F369" s="1" t="s">
        <v>101</v>
      </c>
      <c r="G369">
        <v>12</v>
      </c>
      <c r="H369">
        <v>71</v>
      </c>
      <c r="I369" s="2">
        <f t="shared" si="15"/>
        <v>55.761696000000001</v>
      </c>
      <c r="J369">
        <f t="shared" si="16"/>
        <v>2.0814369540873461</v>
      </c>
      <c r="K369">
        <f t="shared" si="17"/>
        <v>1.4562991903891356</v>
      </c>
    </row>
    <row r="370" spans="1:11" x14ac:dyDescent="0.25">
      <c r="A370" s="1">
        <v>1958</v>
      </c>
      <c r="B370" s="1" t="s">
        <v>99</v>
      </c>
      <c r="C370" t="s">
        <v>7</v>
      </c>
      <c r="D370" s="1" t="s">
        <v>3</v>
      </c>
      <c r="E370">
        <v>38</v>
      </c>
      <c r="F370" s="1" t="s">
        <v>101</v>
      </c>
      <c r="G370">
        <v>14</v>
      </c>
      <c r="H370">
        <v>27</v>
      </c>
      <c r="I370" s="2">
        <f t="shared" si="15"/>
        <v>28.862568</v>
      </c>
      <c r="J370">
        <f t="shared" si="16"/>
        <v>1.0773634938409855</v>
      </c>
      <c r="K370">
        <f t="shared" si="17"/>
        <v>0.75378866544789758</v>
      </c>
    </row>
    <row r="371" spans="1:11" x14ac:dyDescent="0.25">
      <c r="A371" s="1">
        <v>1958</v>
      </c>
      <c r="B371" s="1" t="s">
        <v>99</v>
      </c>
      <c r="C371" t="s">
        <v>7</v>
      </c>
      <c r="D371" s="1" t="s">
        <v>3</v>
      </c>
      <c r="E371">
        <v>38</v>
      </c>
      <c r="F371" s="1" t="s">
        <v>101</v>
      </c>
      <c r="G371">
        <v>16</v>
      </c>
      <c r="H371">
        <v>51</v>
      </c>
      <c r="I371" s="2">
        <f t="shared" si="15"/>
        <v>71.207423999999989</v>
      </c>
      <c r="J371">
        <f t="shared" si="16"/>
        <v>2.6579852183650612</v>
      </c>
      <c r="K371">
        <f t="shared" si="17"/>
        <v>1.8596872290415247</v>
      </c>
    </row>
    <row r="372" spans="1:11" x14ac:dyDescent="0.25">
      <c r="A372" s="1">
        <v>1958</v>
      </c>
      <c r="B372" s="1" t="s">
        <v>99</v>
      </c>
      <c r="C372" t="s">
        <v>7</v>
      </c>
      <c r="D372" s="1" t="s">
        <v>3</v>
      </c>
      <c r="E372">
        <v>40</v>
      </c>
      <c r="F372" s="1" t="s">
        <v>101</v>
      </c>
      <c r="G372">
        <v>6</v>
      </c>
      <c r="H372">
        <v>276</v>
      </c>
      <c r="I372" s="2">
        <f t="shared" si="15"/>
        <v>54.190943999999995</v>
      </c>
      <c r="J372">
        <f t="shared" si="16"/>
        <v>2.022804927211646</v>
      </c>
      <c r="K372">
        <f t="shared" si="17"/>
        <v>1.4152766779838075</v>
      </c>
    </row>
    <row r="373" spans="1:11" x14ac:dyDescent="0.25">
      <c r="A373" s="1">
        <v>1958</v>
      </c>
      <c r="B373" s="1" t="s">
        <v>99</v>
      </c>
      <c r="C373" t="s">
        <v>7</v>
      </c>
      <c r="D373" s="1" t="s">
        <v>3</v>
      </c>
      <c r="E373">
        <v>40</v>
      </c>
      <c r="F373" s="1" t="s">
        <v>101</v>
      </c>
      <c r="G373">
        <v>8</v>
      </c>
      <c r="H373">
        <v>176</v>
      </c>
      <c r="I373" s="2">
        <f t="shared" si="15"/>
        <v>61.433855999999999</v>
      </c>
      <c r="J373">
        <f t="shared" si="16"/>
        <v>2.2931637178051512</v>
      </c>
      <c r="K373">
        <f t="shared" si="17"/>
        <v>1.604436040741708</v>
      </c>
    </row>
    <row r="374" spans="1:11" x14ac:dyDescent="0.25">
      <c r="A374" s="1">
        <v>1958</v>
      </c>
      <c r="B374" s="1" t="s">
        <v>99</v>
      </c>
      <c r="C374" t="s">
        <v>7</v>
      </c>
      <c r="D374" s="1" t="s">
        <v>3</v>
      </c>
      <c r="E374">
        <v>40</v>
      </c>
      <c r="F374" s="1" t="s">
        <v>101</v>
      </c>
      <c r="G374">
        <v>10</v>
      </c>
      <c r="H374">
        <v>129</v>
      </c>
      <c r="I374" s="2">
        <f t="shared" si="15"/>
        <v>70.3566</v>
      </c>
      <c r="J374">
        <f t="shared" si="16"/>
        <v>2.6262262038073909</v>
      </c>
      <c r="K374">
        <f t="shared" si="17"/>
        <v>1.8374667014886392</v>
      </c>
    </row>
    <row r="375" spans="1:11" x14ac:dyDescent="0.25">
      <c r="A375" s="1">
        <v>1958</v>
      </c>
      <c r="B375" s="1" t="s">
        <v>99</v>
      </c>
      <c r="C375" t="s">
        <v>7</v>
      </c>
      <c r="D375" s="1" t="s">
        <v>3</v>
      </c>
      <c r="E375">
        <v>40</v>
      </c>
      <c r="F375" s="1" t="s">
        <v>101</v>
      </c>
      <c r="G375">
        <v>12</v>
      </c>
      <c r="H375">
        <v>75</v>
      </c>
      <c r="I375" s="2">
        <f t="shared" si="15"/>
        <v>58.903199999999998</v>
      </c>
      <c r="J375">
        <f t="shared" si="16"/>
        <v>2.1987010078387459</v>
      </c>
      <c r="K375">
        <f t="shared" si="17"/>
        <v>1.538344215199791</v>
      </c>
    </row>
    <row r="376" spans="1:11" x14ac:dyDescent="0.25">
      <c r="A376" s="1">
        <v>1958</v>
      </c>
      <c r="B376" s="1" t="s">
        <v>99</v>
      </c>
      <c r="C376" t="s">
        <v>7</v>
      </c>
      <c r="D376" s="1" t="s">
        <v>3</v>
      </c>
      <c r="E376">
        <v>40</v>
      </c>
      <c r="F376" s="1" t="s">
        <v>101</v>
      </c>
      <c r="G376">
        <v>14</v>
      </c>
      <c r="H376">
        <v>47</v>
      </c>
      <c r="I376" s="2">
        <f t="shared" si="15"/>
        <v>50.242247999999996</v>
      </c>
      <c r="J376">
        <f t="shared" si="16"/>
        <v>1.8754105263157894</v>
      </c>
      <c r="K376">
        <f t="shared" si="17"/>
        <v>1.3121506398537477</v>
      </c>
    </row>
    <row r="377" spans="1:11" x14ac:dyDescent="0.25">
      <c r="A377" s="1">
        <v>1958</v>
      </c>
      <c r="B377" s="1" t="s">
        <v>99</v>
      </c>
      <c r="C377" t="s">
        <v>7</v>
      </c>
      <c r="D377" s="1" t="s">
        <v>3</v>
      </c>
      <c r="E377">
        <v>40</v>
      </c>
      <c r="F377" s="1" t="s">
        <v>101</v>
      </c>
      <c r="G377">
        <v>16</v>
      </c>
      <c r="H377">
        <v>33</v>
      </c>
      <c r="I377" s="2">
        <f t="shared" si="15"/>
        <v>46.075391999999994</v>
      </c>
      <c r="J377">
        <f t="shared" si="16"/>
        <v>1.7198727883538631</v>
      </c>
      <c r="K377">
        <f t="shared" si="17"/>
        <v>1.2033270305562809</v>
      </c>
    </row>
    <row r="378" spans="1:11" x14ac:dyDescent="0.25">
      <c r="A378" s="1">
        <v>1958</v>
      </c>
      <c r="B378" s="1" t="s">
        <v>99</v>
      </c>
      <c r="C378" t="s">
        <v>7</v>
      </c>
      <c r="D378" s="1" t="s">
        <v>3</v>
      </c>
      <c r="E378">
        <v>53</v>
      </c>
      <c r="F378" s="1" t="s">
        <v>101</v>
      </c>
      <c r="G378">
        <v>6</v>
      </c>
      <c r="H378">
        <v>47</v>
      </c>
      <c r="I378" s="2">
        <f t="shared" si="15"/>
        <v>9.2281680000000001</v>
      </c>
      <c r="J378">
        <f t="shared" si="16"/>
        <v>0.34446315789473686</v>
      </c>
      <c r="K378">
        <f t="shared" si="17"/>
        <v>0.2410072603813006</v>
      </c>
    </row>
    <row r="379" spans="1:11" x14ac:dyDescent="0.25">
      <c r="A379" s="1">
        <v>1958</v>
      </c>
      <c r="B379" s="1" t="s">
        <v>99</v>
      </c>
      <c r="C379" t="s">
        <v>7</v>
      </c>
      <c r="D379" s="1" t="s">
        <v>3</v>
      </c>
      <c r="E379">
        <v>53</v>
      </c>
      <c r="F379" s="1" t="s">
        <v>101</v>
      </c>
      <c r="G379">
        <v>8</v>
      </c>
      <c r="H379">
        <v>17</v>
      </c>
      <c r="I379" s="2">
        <f t="shared" si="15"/>
        <v>5.9339519999999997</v>
      </c>
      <c r="J379">
        <f t="shared" si="16"/>
        <v>0.22149876819708847</v>
      </c>
      <c r="K379">
        <f t="shared" si="17"/>
        <v>0.15497393575346041</v>
      </c>
    </row>
    <row r="380" spans="1:11" x14ac:dyDescent="0.25">
      <c r="A380" s="1">
        <v>1958</v>
      </c>
      <c r="B380" s="1" t="s">
        <v>99</v>
      </c>
      <c r="C380" t="s">
        <v>7</v>
      </c>
      <c r="D380" s="1" t="s">
        <v>3</v>
      </c>
      <c r="E380">
        <v>53</v>
      </c>
      <c r="F380" s="1" t="s">
        <v>101</v>
      </c>
      <c r="G380">
        <v>10</v>
      </c>
      <c r="H380">
        <v>14</v>
      </c>
      <c r="I380" s="2">
        <f t="shared" si="15"/>
        <v>7.6356000000000002</v>
      </c>
      <c r="J380">
        <f t="shared" si="16"/>
        <v>0.28501679731243001</v>
      </c>
      <c r="K380">
        <f t="shared" si="17"/>
        <v>0.19941499085923217</v>
      </c>
    </row>
    <row r="381" spans="1:11" x14ac:dyDescent="0.25">
      <c r="A381" s="1">
        <v>1958</v>
      </c>
      <c r="B381" s="1" t="s">
        <v>99</v>
      </c>
      <c r="C381" t="s">
        <v>7</v>
      </c>
      <c r="D381" s="1" t="s">
        <v>3</v>
      </c>
      <c r="E381">
        <v>53</v>
      </c>
      <c r="F381" s="1" t="s">
        <v>101</v>
      </c>
      <c r="G381">
        <v>12</v>
      </c>
      <c r="H381">
        <v>3</v>
      </c>
      <c r="I381" s="2">
        <f t="shared" si="15"/>
        <v>2.356128</v>
      </c>
      <c r="J381">
        <f t="shared" si="16"/>
        <v>8.794804031354983E-2</v>
      </c>
      <c r="K381">
        <f t="shared" si="17"/>
        <v>6.1533768607991639E-2</v>
      </c>
    </row>
    <row r="382" spans="1:11" x14ac:dyDescent="0.25">
      <c r="A382" s="1">
        <v>1958</v>
      </c>
      <c r="B382" s="1" t="s">
        <v>99</v>
      </c>
      <c r="C382" t="s">
        <v>7</v>
      </c>
      <c r="D382" s="1" t="s">
        <v>3</v>
      </c>
      <c r="E382">
        <v>53</v>
      </c>
      <c r="F382" s="1" t="s">
        <v>101</v>
      </c>
      <c r="G382">
        <v>14</v>
      </c>
      <c r="H382">
        <v>4</v>
      </c>
      <c r="I382" s="2">
        <f t="shared" si="15"/>
        <v>4.2759359999999997</v>
      </c>
      <c r="J382">
        <f t="shared" si="16"/>
        <v>0.1596094064949608</v>
      </c>
      <c r="K382">
        <f t="shared" si="17"/>
        <v>0.11167239488117001</v>
      </c>
    </row>
    <row r="383" spans="1:11" x14ac:dyDescent="0.25">
      <c r="A383" s="1">
        <v>1958</v>
      </c>
      <c r="B383" s="1" t="s">
        <v>99</v>
      </c>
      <c r="C383" t="s">
        <v>7</v>
      </c>
      <c r="D383" s="1" t="s">
        <v>3</v>
      </c>
      <c r="E383">
        <v>53</v>
      </c>
      <c r="F383" s="1" t="s">
        <v>101</v>
      </c>
      <c r="G383">
        <v>16</v>
      </c>
      <c r="H383">
        <v>6</v>
      </c>
      <c r="I383" s="2">
        <f t="shared" si="15"/>
        <v>8.377343999999999</v>
      </c>
      <c r="J383">
        <f t="shared" si="16"/>
        <v>0.31270414333706603</v>
      </c>
      <c r="K383">
        <f t="shared" si="17"/>
        <v>0.21878673282841468</v>
      </c>
    </row>
    <row r="384" spans="1:11" x14ac:dyDescent="0.25">
      <c r="A384" s="1">
        <v>1958</v>
      </c>
      <c r="B384" s="1" t="s">
        <v>99</v>
      </c>
      <c r="C384" t="s">
        <v>7</v>
      </c>
      <c r="D384" s="1" t="s">
        <v>3</v>
      </c>
      <c r="E384">
        <v>54</v>
      </c>
      <c r="F384" s="1" t="s">
        <v>101</v>
      </c>
      <c r="G384">
        <v>6</v>
      </c>
      <c r="H384">
        <v>60</v>
      </c>
      <c r="I384" s="2">
        <f t="shared" si="15"/>
        <v>11.78064</v>
      </c>
      <c r="J384">
        <f t="shared" si="16"/>
        <v>0.43974020156774918</v>
      </c>
      <c r="K384">
        <f t="shared" si="17"/>
        <v>0.30766884303995823</v>
      </c>
    </row>
    <row r="385" spans="1:11" x14ac:dyDescent="0.25">
      <c r="A385" s="1">
        <v>1958</v>
      </c>
      <c r="B385" s="1" t="s">
        <v>99</v>
      </c>
      <c r="C385" t="s">
        <v>7</v>
      </c>
      <c r="D385" s="1" t="s">
        <v>3</v>
      </c>
      <c r="E385">
        <v>56</v>
      </c>
      <c r="F385" s="1" t="s">
        <v>101</v>
      </c>
      <c r="G385">
        <v>6</v>
      </c>
      <c r="H385">
        <v>45</v>
      </c>
      <c r="I385" s="2">
        <f t="shared" si="15"/>
        <v>8.8354800000000004</v>
      </c>
      <c r="J385">
        <f t="shared" si="16"/>
        <v>0.32980515117581188</v>
      </c>
      <c r="K385">
        <f t="shared" si="17"/>
        <v>0.23075163227996864</v>
      </c>
    </row>
    <row r="386" spans="1:11" x14ac:dyDescent="0.25">
      <c r="A386" s="1">
        <v>1958</v>
      </c>
      <c r="B386" s="1" t="s">
        <v>99</v>
      </c>
      <c r="C386" t="s">
        <v>7</v>
      </c>
      <c r="D386" s="1" t="s">
        <v>3</v>
      </c>
      <c r="E386">
        <v>56</v>
      </c>
      <c r="F386" s="1" t="s">
        <v>101</v>
      </c>
      <c r="G386">
        <v>8</v>
      </c>
      <c r="H386">
        <v>53</v>
      </c>
      <c r="I386" s="2">
        <f t="shared" si="15"/>
        <v>18.499967999999999</v>
      </c>
      <c r="J386">
        <f t="shared" si="16"/>
        <v>0.6905549832026876</v>
      </c>
      <c r="K386">
        <f t="shared" si="17"/>
        <v>0.4831540349960825</v>
      </c>
    </row>
    <row r="387" spans="1:11" x14ac:dyDescent="0.25">
      <c r="A387" s="1">
        <v>1958</v>
      </c>
      <c r="B387" s="1" t="s">
        <v>99</v>
      </c>
      <c r="C387" t="s">
        <v>7</v>
      </c>
      <c r="D387" s="1" t="s">
        <v>3</v>
      </c>
      <c r="E387">
        <v>56</v>
      </c>
      <c r="F387" s="1" t="s">
        <v>101</v>
      </c>
      <c r="G387">
        <v>10</v>
      </c>
      <c r="H387">
        <v>33</v>
      </c>
      <c r="I387" s="2">
        <f t="shared" ref="I387:I450" si="18">0.005454*G387^2*H387</f>
        <v>17.998200000000001</v>
      </c>
      <c r="J387">
        <f t="shared" ref="J387:J450" si="19">I387/26.79</f>
        <v>0.67182530795072792</v>
      </c>
      <c r="K387">
        <f t="shared" ref="K387:K450" si="20">J387*(26.79/38.29)</f>
        <v>0.47004962131104727</v>
      </c>
    </row>
    <row r="388" spans="1:11" x14ac:dyDescent="0.25">
      <c r="A388" s="1">
        <v>1958</v>
      </c>
      <c r="B388" s="1" t="s">
        <v>99</v>
      </c>
      <c r="C388" t="s">
        <v>7</v>
      </c>
      <c r="D388" s="1" t="s">
        <v>3</v>
      </c>
      <c r="E388">
        <v>56</v>
      </c>
      <c r="F388" s="1" t="s">
        <v>101</v>
      </c>
      <c r="G388">
        <v>12</v>
      </c>
      <c r="H388">
        <v>41</v>
      </c>
      <c r="I388" s="2">
        <f t="shared" si="18"/>
        <v>32.200415999999997</v>
      </c>
      <c r="J388">
        <f t="shared" si="19"/>
        <v>1.2019565509518477</v>
      </c>
      <c r="K388">
        <f t="shared" si="20"/>
        <v>0.84096150430921912</v>
      </c>
    </row>
    <row r="389" spans="1:11" x14ac:dyDescent="0.25">
      <c r="A389" s="1">
        <v>1958</v>
      </c>
      <c r="B389" s="1" t="s">
        <v>99</v>
      </c>
      <c r="C389" t="s">
        <v>7</v>
      </c>
      <c r="D389" s="1" t="s">
        <v>3</v>
      </c>
      <c r="E389">
        <v>56</v>
      </c>
      <c r="F389" s="1" t="s">
        <v>101</v>
      </c>
      <c r="G389">
        <v>14</v>
      </c>
      <c r="H389">
        <v>23</v>
      </c>
      <c r="I389" s="2">
        <f t="shared" si="18"/>
        <v>24.586631999999998</v>
      </c>
      <c r="J389">
        <f t="shared" si="19"/>
        <v>0.91775408734602459</v>
      </c>
      <c r="K389">
        <f t="shared" si="20"/>
        <v>0.64211627056672749</v>
      </c>
    </row>
    <row r="390" spans="1:11" x14ac:dyDescent="0.25">
      <c r="A390" s="1">
        <v>1958</v>
      </c>
      <c r="B390" s="1" t="s">
        <v>99</v>
      </c>
      <c r="C390" t="s">
        <v>7</v>
      </c>
      <c r="D390" s="1" t="s">
        <v>3</v>
      </c>
      <c r="E390">
        <v>56</v>
      </c>
      <c r="F390" s="1" t="s">
        <v>101</v>
      </c>
      <c r="G390">
        <v>16</v>
      </c>
      <c r="H390">
        <v>12</v>
      </c>
      <c r="I390" s="2">
        <f t="shared" si="18"/>
        <v>16.754687999999998</v>
      </c>
      <c r="J390">
        <f t="shared" si="19"/>
        <v>0.62540828667413206</v>
      </c>
      <c r="K390">
        <f t="shared" si="20"/>
        <v>0.43757346565682936</v>
      </c>
    </row>
    <row r="391" spans="1:11" x14ac:dyDescent="0.25">
      <c r="A391" s="1">
        <v>1958</v>
      </c>
      <c r="B391" s="1" t="s">
        <v>99</v>
      </c>
      <c r="C391" t="s">
        <v>7</v>
      </c>
      <c r="D391" s="1" t="s">
        <v>3</v>
      </c>
      <c r="E391">
        <v>58</v>
      </c>
      <c r="F391" s="1" t="s">
        <v>101</v>
      </c>
      <c r="G391">
        <v>6</v>
      </c>
      <c r="H391">
        <v>214</v>
      </c>
      <c r="I391" s="2">
        <f t="shared" si="18"/>
        <v>42.017615999999997</v>
      </c>
      <c r="J391">
        <f t="shared" si="19"/>
        <v>1.568406718924972</v>
      </c>
      <c r="K391">
        <f t="shared" si="20"/>
        <v>1.0973522068425174</v>
      </c>
    </row>
    <row r="392" spans="1:11" x14ac:dyDescent="0.25">
      <c r="A392" s="1">
        <v>1958</v>
      </c>
      <c r="B392" s="1" t="s">
        <v>99</v>
      </c>
      <c r="C392" t="s">
        <v>7</v>
      </c>
      <c r="D392" s="1" t="s">
        <v>3</v>
      </c>
      <c r="E392">
        <v>63</v>
      </c>
      <c r="F392" s="1" t="s">
        <v>101</v>
      </c>
      <c r="G392">
        <v>6</v>
      </c>
      <c r="H392">
        <v>14</v>
      </c>
      <c r="I392" s="2">
        <f t="shared" si="18"/>
        <v>2.7488159999999997</v>
      </c>
      <c r="J392">
        <f t="shared" si="19"/>
        <v>0.10260604703247479</v>
      </c>
      <c r="K392">
        <f t="shared" si="20"/>
        <v>7.1789396709323564E-2</v>
      </c>
    </row>
    <row r="393" spans="1:11" x14ac:dyDescent="0.25">
      <c r="A393" s="1">
        <v>1958</v>
      </c>
      <c r="B393" s="1" t="s">
        <v>99</v>
      </c>
      <c r="C393" t="s">
        <v>7</v>
      </c>
      <c r="D393" s="1" t="s">
        <v>3</v>
      </c>
      <c r="E393">
        <v>66</v>
      </c>
      <c r="F393" s="1" t="s">
        <v>101</v>
      </c>
      <c r="G393">
        <v>6</v>
      </c>
      <c r="H393">
        <v>10</v>
      </c>
      <c r="I393" s="2">
        <f t="shared" si="18"/>
        <v>1.9634399999999999</v>
      </c>
      <c r="J393">
        <f t="shared" si="19"/>
        <v>7.3290033594624854E-2</v>
      </c>
      <c r="K393">
        <f t="shared" si="20"/>
        <v>5.1278140506659693E-2</v>
      </c>
    </row>
    <row r="394" spans="1:11" x14ac:dyDescent="0.25">
      <c r="A394" s="1">
        <v>1958</v>
      </c>
      <c r="B394" s="1" t="s">
        <v>99</v>
      </c>
      <c r="C394" t="s">
        <v>7</v>
      </c>
      <c r="D394" s="1" t="s">
        <v>3</v>
      </c>
      <c r="E394">
        <v>66</v>
      </c>
      <c r="F394" s="1" t="s">
        <v>101</v>
      </c>
      <c r="G394">
        <v>8</v>
      </c>
      <c r="H394">
        <v>11</v>
      </c>
      <c r="I394" s="2">
        <f t="shared" si="18"/>
        <v>3.8396159999999999</v>
      </c>
      <c r="J394">
        <f t="shared" si="19"/>
        <v>0.14332273236282195</v>
      </c>
      <c r="K394">
        <f t="shared" si="20"/>
        <v>0.10027725254635675</v>
      </c>
    </row>
    <row r="395" spans="1:11" x14ac:dyDescent="0.25">
      <c r="A395" s="1">
        <v>1958</v>
      </c>
      <c r="B395" s="1" t="s">
        <v>99</v>
      </c>
      <c r="C395" t="s">
        <v>7</v>
      </c>
      <c r="D395" s="1" t="s">
        <v>3</v>
      </c>
      <c r="E395">
        <v>66</v>
      </c>
      <c r="F395" s="1" t="s">
        <v>101</v>
      </c>
      <c r="G395">
        <v>10</v>
      </c>
      <c r="H395">
        <v>4</v>
      </c>
      <c r="I395" s="2">
        <f t="shared" si="18"/>
        <v>2.1816</v>
      </c>
      <c r="J395">
        <f t="shared" si="19"/>
        <v>8.1433370660694296E-2</v>
      </c>
      <c r="K395">
        <f t="shared" si="20"/>
        <v>5.6975711674066336E-2</v>
      </c>
    </row>
    <row r="396" spans="1:11" x14ac:dyDescent="0.25">
      <c r="A396" s="1">
        <v>1958</v>
      </c>
      <c r="B396" s="1" t="s">
        <v>99</v>
      </c>
      <c r="C396" t="s">
        <v>7</v>
      </c>
      <c r="D396" s="1" t="s">
        <v>3</v>
      </c>
      <c r="E396">
        <v>66</v>
      </c>
      <c r="F396" s="1" t="s">
        <v>101</v>
      </c>
      <c r="G396">
        <v>12</v>
      </c>
      <c r="H396">
        <v>10</v>
      </c>
      <c r="I396" s="2">
        <f t="shared" si="18"/>
        <v>7.8537599999999994</v>
      </c>
      <c r="J396">
        <f t="shared" si="19"/>
        <v>0.29316013437849942</v>
      </c>
      <c r="K396">
        <f t="shared" si="20"/>
        <v>0.20511256202663877</v>
      </c>
    </row>
    <row r="397" spans="1:11" x14ac:dyDescent="0.25">
      <c r="A397" s="1">
        <v>1958</v>
      </c>
      <c r="B397" s="1" t="s">
        <v>99</v>
      </c>
      <c r="C397" t="s">
        <v>7</v>
      </c>
      <c r="D397" s="1" t="s">
        <v>3</v>
      </c>
      <c r="E397">
        <v>66</v>
      </c>
      <c r="F397" s="1" t="s">
        <v>101</v>
      </c>
      <c r="G397">
        <v>14</v>
      </c>
      <c r="H397">
        <v>6</v>
      </c>
      <c r="I397" s="2">
        <f t="shared" si="18"/>
        <v>6.4139039999999996</v>
      </c>
      <c r="J397">
        <f t="shared" si="19"/>
        <v>0.23941410974244121</v>
      </c>
      <c r="K397">
        <f t="shared" si="20"/>
        <v>0.16750859232175502</v>
      </c>
    </row>
    <row r="398" spans="1:11" x14ac:dyDescent="0.25">
      <c r="A398" s="1">
        <v>1958</v>
      </c>
      <c r="B398" s="1" t="s">
        <v>99</v>
      </c>
      <c r="C398" t="s">
        <v>7</v>
      </c>
      <c r="D398" s="1" t="s">
        <v>3</v>
      </c>
      <c r="E398">
        <v>66</v>
      </c>
      <c r="F398" s="1" t="s">
        <v>101</v>
      </c>
      <c r="G398">
        <v>16</v>
      </c>
      <c r="H398">
        <v>1</v>
      </c>
      <c r="I398" s="2">
        <f t="shared" si="18"/>
        <v>1.3962239999999999</v>
      </c>
      <c r="J398">
        <f t="shared" si="19"/>
        <v>5.2117357222844343E-2</v>
      </c>
      <c r="K398">
        <f t="shared" si="20"/>
        <v>3.6464455471402452E-2</v>
      </c>
    </row>
    <row r="399" spans="1:11" x14ac:dyDescent="0.25">
      <c r="A399" s="1">
        <v>1958</v>
      </c>
      <c r="B399" s="1" t="s">
        <v>99</v>
      </c>
      <c r="C399" t="s">
        <v>7</v>
      </c>
      <c r="D399" s="1" t="s">
        <v>3</v>
      </c>
      <c r="E399">
        <v>71</v>
      </c>
      <c r="F399" s="1" t="s">
        <v>101</v>
      </c>
      <c r="G399">
        <v>6</v>
      </c>
      <c r="H399">
        <v>113</v>
      </c>
      <c r="I399" s="2">
        <f t="shared" si="18"/>
        <v>22.186871999999997</v>
      </c>
      <c r="J399">
        <f t="shared" si="19"/>
        <v>0.82817737961926086</v>
      </c>
      <c r="K399">
        <f t="shared" si="20"/>
        <v>0.5794429877252546</v>
      </c>
    </row>
    <row r="400" spans="1:11" x14ac:dyDescent="0.25">
      <c r="A400" s="1">
        <v>1958</v>
      </c>
      <c r="B400" s="1" t="s">
        <v>99</v>
      </c>
      <c r="C400" t="s">
        <v>7</v>
      </c>
      <c r="D400" s="1" t="s">
        <v>3</v>
      </c>
      <c r="E400">
        <v>76</v>
      </c>
      <c r="F400" s="1" t="s">
        <v>101</v>
      </c>
      <c r="G400">
        <v>6</v>
      </c>
      <c r="H400">
        <v>39</v>
      </c>
      <c r="I400" s="2">
        <f t="shared" si="18"/>
        <v>7.6574159999999996</v>
      </c>
      <c r="J400">
        <f t="shared" si="19"/>
        <v>0.28583113101903695</v>
      </c>
      <c r="K400">
        <f t="shared" si="20"/>
        <v>0.19998474797597282</v>
      </c>
    </row>
    <row r="401" spans="1:11" x14ac:dyDescent="0.25">
      <c r="A401" s="1">
        <v>1958</v>
      </c>
      <c r="B401" s="1" t="s">
        <v>99</v>
      </c>
      <c r="C401" t="s">
        <v>7</v>
      </c>
      <c r="D401" s="1" t="s">
        <v>3</v>
      </c>
      <c r="E401">
        <v>76</v>
      </c>
      <c r="F401" s="1" t="s">
        <v>101</v>
      </c>
      <c r="G401">
        <v>8</v>
      </c>
      <c r="H401">
        <v>2</v>
      </c>
      <c r="I401" s="2">
        <f t="shared" si="18"/>
        <v>0.69811199999999995</v>
      </c>
      <c r="J401">
        <f t="shared" si="19"/>
        <v>2.6058678611422172E-2</v>
      </c>
      <c r="K401">
        <f t="shared" si="20"/>
        <v>1.8232227735701226E-2</v>
      </c>
    </row>
    <row r="402" spans="1:11" x14ac:dyDescent="0.25">
      <c r="A402" s="1">
        <v>1958</v>
      </c>
      <c r="B402" s="1" t="s">
        <v>99</v>
      </c>
      <c r="C402" t="s">
        <v>7</v>
      </c>
      <c r="D402" s="1" t="s">
        <v>3</v>
      </c>
      <c r="E402">
        <v>76</v>
      </c>
      <c r="F402" s="1" t="s">
        <v>101</v>
      </c>
      <c r="G402">
        <v>12</v>
      </c>
      <c r="H402">
        <v>1</v>
      </c>
      <c r="I402" s="2">
        <f t="shared" si="18"/>
        <v>0.78537599999999996</v>
      </c>
      <c r="J402">
        <f t="shared" si="19"/>
        <v>2.9316013437849942E-2</v>
      </c>
      <c r="K402">
        <f t="shared" si="20"/>
        <v>2.0511256202663877E-2</v>
      </c>
    </row>
    <row r="403" spans="1:11" x14ac:dyDescent="0.25">
      <c r="A403" s="1">
        <v>1958</v>
      </c>
      <c r="B403" s="1" t="s">
        <v>99</v>
      </c>
      <c r="C403" t="s">
        <v>7</v>
      </c>
      <c r="D403" s="1" t="s">
        <v>3</v>
      </c>
      <c r="E403">
        <v>78</v>
      </c>
      <c r="F403" s="1" t="s">
        <v>101</v>
      </c>
      <c r="G403">
        <v>6</v>
      </c>
      <c r="H403">
        <v>13</v>
      </c>
      <c r="I403" s="2">
        <f t="shared" si="18"/>
        <v>2.5524719999999999</v>
      </c>
      <c r="J403">
        <f t="shared" si="19"/>
        <v>9.5277043673012318E-2</v>
      </c>
      <c r="K403">
        <f t="shared" si="20"/>
        <v>6.6661582658657612E-2</v>
      </c>
    </row>
    <row r="404" spans="1:11" x14ac:dyDescent="0.25">
      <c r="A404" s="1">
        <v>1958</v>
      </c>
      <c r="B404" s="1" t="s">
        <v>99</v>
      </c>
      <c r="C404" t="s">
        <v>7</v>
      </c>
      <c r="D404" s="1" t="s">
        <v>3</v>
      </c>
      <c r="E404">
        <v>79</v>
      </c>
      <c r="F404" s="1" t="s">
        <v>101</v>
      </c>
      <c r="G404">
        <v>6</v>
      </c>
      <c r="H404">
        <v>179</v>
      </c>
      <c r="I404" s="2">
        <f t="shared" si="18"/>
        <v>35.145575999999998</v>
      </c>
      <c r="J404">
        <f t="shared" si="19"/>
        <v>1.3118916013437849</v>
      </c>
      <c r="K404">
        <f t="shared" si="20"/>
        <v>0.91787871506920859</v>
      </c>
    </row>
    <row r="405" spans="1:11" x14ac:dyDescent="0.25">
      <c r="A405" s="1">
        <v>1958</v>
      </c>
      <c r="B405" s="1" t="s">
        <v>99</v>
      </c>
      <c r="C405" t="s">
        <v>7</v>
      </c>
      <c r="D405" s="1" t="s">
        <v>3</v>
      </c>
      <c r="E405">
        <v>79</v>
      </c>
      <c r="F405" s="1" t="s">
        <v>101</v>
      </c>
      <c r="G405">
        <v>8</v>
      </c>
      <c r="H405">
        <v>53</v>
      </c>
      <c r="I405" s="2">
        <f t="shared" si="18"/>
        <v>18.499967999999999</v>
      </c>
      <c r="J405">
        <f t="shared" si="19"/>
        <v>0.6905549832026876</v>
      </c>
      <c r="K405">
        <f t="shared" si="20"/>
        <v>0.4831540349960825</v>
      </c>
    </row>
    <row r="406" spans="1:11" x14ac:dyDescent="0.25">
      <c r="A406" s="1">
        <v>1958</v>
      </c>
      <c r="B406" s="1" t="s">
        <v>99</v>
      </c>
      <c r="C406" t="s">
        <v>7</v>
      </c>
      <c r="D406" s="1" t="s">
        <v>3</v>
      </c>
      <c r="E406">
        <v>79</v>
      </c>
      <c r="F406" s="1" t="s">
        <v>101</v>
      </c>
      <c r="G406">
        <v>10</v>
      </c>
      <c r="H406">
        <v>25</v>
      </c>
      <c r="I406" s="2">
        <f t="shared" si="18"/>
        <v>13.635</v>
      </c>
      <c r="J406">
        <f t="shared" si="19"/>
        <v>0.50895856662933936</v>
      </c>
      <c r="K406">
        <f t="shared" si="20"/>
        <v>0.35609819796291459</v>
      </c>
    </row>
    <row r="407" spans="1:11" x14ac:dyDescent="0.25">
      <c r="A407" s="1">
        <v>1958</v>
      </c>
      <c r="B407" s="1" t="s">
        <v>99</v>
      </c>
      <c r="C407" t="s">
        <v>7</v>
      </c>
      <c r="D407" s="1" t="s">
        <v>3</v>
      </c>
      <c r="E407">
        <v>79</v>
      </c>
      <c r="F407" s="1" t="s">
        <v>101</v>
      </c>
      <c r="G407">
        <v>12</v>
      </c>
      <c r="H407">
        <v>11</v>
      </c>
      <c r="I407" s="2">
        <f t="shared" si="18"/>
        <v>8.6391359999999988</v>
      </c>
      <c r="J407">
        <f t="shared" si="19"/>
        <v>0.32247614781634937</v>
      </c>
      <c r="K407">
        <f t="shared" si="20"/>
        <v>0.22562381822930266</v>
      </c>
    </row>
    <row r="408" spans="1:11" x14ac:dyDescent="0.25">
      <c r="A408" s="1">
        <v>1958</v>
      </c>
      <c r="B408" s="1" t="s">
        <v>99</v>
      </c>
      <c r="C408" t="s">
        <v>7</v>
      </c>
      <c r="D408" s="1" t="s">
        <v>3</v>
      </c>
      <c r="E408">
        <v>79</v>
      </c>
      <c r="F408" s="1" t="s">
        <v>101</v>
      </c>
      <c r="G408">
        <v>14</v>
      </c>
      <c r="H408">
        <v>3</v>
      </c>
      <c r="I408" s="2">
        <f t="shared" si="18"/>
        <v>3.2069519999999998</v>
      </c>
      <c r="J408">
        <f t="shared" si="19"/>
        <v>0.1197070548712206</v>
      </c>
      <c r="K408">
        <f t="shared" si="20"/>
        <v>8.3754296160877512E-2</v>
      </c>
    </row>
    <row r="409" spans="1:11" x14ac:dyDescent="0.25">
      <c r="A409" s="1">
        <v>1958</v>
      </c>
      <c r="B409" s="1" t="s">
        <v>99</v>
      </c>
      <c r="C409" t="s">
        <v>7</v>
      </c>
      <c r="D409" s="1" t="s">
        <v>3</v>
      </c>
      <c r="E409">
        <v>84</v>
      </c>
      <c r="F409" s="1" t="s">
        <v>101</v>
      </c>
      <c r="G409">
        <v>6</v>
      </c>
      <c r="H409">
        <v>1</v>
      </c>
      <c r="I409" s="2">
        <f t="shared" si="18"/>
        <v>0.19634399999999999</v>
      </c>
      <c r="J409">
        <f t="shared" si="19"/>
        <v>7.3290033594624856E-3</v>
      </c>
      <c r="K409">
        <f t="shared" si="20"/>
        <v>5.1278140506659693E-3</v>
      </c>
    </row>
    <row r="410" spans="1:11" x14ac:dyDescent="0.25">
      <c r="A410" s="1">
        <v>1958</v>
      </c>
      <c r="B410" s="1" t="s">
        <v>99</v>
      </c>
      <c r="C410" t="s">
        <v>7</v>
      </c>
      <c r="D410" s="1" t="s">
        <v>3</v>
      </c>
      <c r="E410">
        <v>84</v>
      </c>
      <c r="F410" s="1" t="s">
        <v>101</v>
      </c>
      <c r="G410">
        <v>8</v>
      </c>
      <c r="H410">
        <v>3</v>
      </c>
      <c r="I410" s="2">
        <f t="shared" si="18"/>
        <v>1.0471679999999999</v>
      </c>
      <c r="J410">
        <f t="shared" si="19"/>
        <v>3.9088017917133254E-2</v>
      </c>
      <c r="K410">
        <f t="shared" si="20"/>
        <v>2.7348341603551835E-2</v>
      </c>
    </row>
    <row r="411" spans="1:11" x14ac:dyDescent="0.25">
      <c r="A411" s="1">
        <v>1958</v>
      </c>
      <c r="B411" s="1" t="s">
        <v>99</v>
      </c>
      <c r="C411" t="s">
        <v>7</v>
      </c>
      <c r="D411" s="1" t="s">
        <v>3</v>
      </c>
      <c r="E411">
        <v>84</v>
      </c>
      <c r="F411" s="1" t="s">
        <v>101</v>
      </c>
      <c r="G411">
        <v>10</v>
      </c>
      <c r="H411">
        <v>2</v>
      </c>
      <c r="I411" s="2">
        <f t="shared" si="18"/>
        <v>1.0908</v>
      </c>
      <c r="J411">
        <f t="shared" si="19"/>
        <v>4.0716685330347148E-2</v>
      </c>
      <c r="K411">
        <f t="shared" si="20"/>
        <v>2.8487855837033168E-2</v>
      </c>
    </row>
    <row r="412" spans="1:11" x14ac:dyDescent="0.25">
      <c r="A412" s="1">
        <v>1958</v>
      </c>
      <c r="B412" s="1" t="s">
        <v>99</v>
      </c>
      <c r="C412" t="s">
        <v>7</v>
      </c>
      <c r="D412" s="1" t="s">
        <v>3</v>
      </c>
      <c r="E412">
        <v>84</v>
      </c>
      <c r="F412" s="1" t="s">
        <v>101</v>
      </c>
      <c r="G412">
        <v>14</v>
      </c>
      <c r="H412">
        <v>1</v>
      </c>
      <c r="I412" s="2">
        <f t="shared" si="18"/>
        <v>1.0689839999999999</v>
      </c>
      <c r="J412">
        <f t="shared" si="19"/>
        <v>3.9902351623740201E-2</v>
      </c>
      <c r="K412">
        <f t="shared" si="20"/>
        <v>2.7918098720292502E-2</v>
      </c>
    </row>
    <row r="413" spans="1:11" x14ac:dyDescent="0.25">
      <c r="A413" s="1">
        <v>1958</v>
      </c>
      <c r="B413" s="1" t="s">
        <v>99</v>
      </c>
      <c r="C413" t="s">
        <v>7</v>
      </c>
      <c r="D413" s="1" t="s">
        <v>3</v>
      </c>
      <c r="E413">
        <v>85</v>
      </c>
      <c r="F413" s="1" t="s">
        <v>101</v>
      </c>
      <c r="G413">
        <v>6</v>
      </c>
      <c r="H413">
        <v>1</v>
      </c>
      <c r="I413" s="2">
        <f t="shared" si="18"/>
        <v>0.19634399999999999</v>
      </c>
      <c r="J413">
        <f t="shared" si="19"/>
        <v>7.3290033594624856E-3</v>
      </c>
      <c r="K413">
        <f t="shared" si="20"/>
        <v>5.1278140506659693E-3</v>
      </c>
    </row>
    <row r="414" spans="1:11" x14ac:dyDescent="0.25">
      <c r="A414" s="1">
        <v>1958</v>
      </c>
      <c r="B414" s="1" t="s">
        <v>99</v>
      </c>
      <c r="C414" t="s">
        <v>7</v>
      </c>
      <c r="D414" s="1" t="s">
        <v>3</v>
      </c>
      <c r="E414">
        <v>85</v>
      </c>
      <c r="F414" s="1" t="s">
        <v>101</v>
      </c>
      <c r="G414">
        <v>8</v>
      </c>
      <c r="H414">
        <v>8</v>
      </c>
      <c r="I414" s="2">
        <f t="shared" si="18"/>
        <v>2.7924479999999998</v>
      </c>
      <c r="J414">
        <f t="shared" si="19"/>
        <v>0.10423471444568869</v>
      </c>
      <c r="K414">
        <f t="shared" si="20"/>
        <v>7.2928910942804903E-2</v>
      </c>
    </row>
    <row r="415" spans="1:11" x14ac:dyDescent="0.25">
      <c r="A415" s="1">
        <v>1958</v>
      </c>
      <c r="B415" s="1" t="s">
        <v>99</v>
      </c>
      <c r="C415" t="s">
        <v>7</v>
      </c>
      <c r="D415" s="1" t="s">
        <v>3</v>
      </c>
      <c r="E415">
        <v>85</v>
      </c>
      <c r="F415" s="1" t="s">
        <v>101</v>
      </c>
      <c r="G415">
        <v>10</v>
      </c>
      <c r="H415">
        <v>11</v>
      </c>
      <c r="I415" s="2">
        <f t="shared" si="18"/>
        <v>5.9993999999999996</v>
      </c>
      <c r="J415">
        <f t="shared" si="19"/>
        <v>0.22394176931690929</v>
      </c>
      <c r="K415">
        <f t="shared" si="20"/>
        <v>0.15668320710368241</v>
      </c>
    </row>
    <row r="416" spans="1:11" x14ac:dyDescent="0.25">
      <c r="A416" s="1">
        <v>1958</v>
      </c>
      <c r="B416" s="1" t="s">
        <v>99</v>
      </c>
      <c r="C416" t="s">
        <v>7</v>
      </c>
      <c r="D416" s="1" t="s">
        <v>3</v>
      </c>
      <c r="E416">
        <v>85</v>
      </c>
      <c r="F416" s="1" t="s">
        <v>101</v>
      </c>
      <c r="G416">
        <v>12</v>
      </c>
      <c r="H416">
        <v>18</v>
      </c>
      <c r="I416" s="2">
        <f t="shared" si="18"/>
        <v>14.136768</v>
      </c>
      <c r="J416">
        <f t="shared" si="19"/>
        <v>0.52768824188129904</v>
      </c>
      <c r="K416">
        <f t="shared" si="20"/>
        <v>0.36920261164794987</v>
      </c>
    </row>
    <row r="417" spans="1:11" x14ac:dyDescent="0.25">
      <c r="A417" s="1">
        <v>1958</v>
      </c>
      <c r="B417" s="1" t="s">
        <v>99</v>
      </c>
      <c r="C417" t="s">
        <v>7</v>
      </c>
      <c r="D417" s="1" t="s">
        <v>3</v>
      </c>
      <c r="E417">
        <v>85</v>
      </c>
      <c r="F417" s="1" t="s">
        <v>101</v>
      </c>
      <c r="G417">
        <v>14</v>
      </c>
      <c r="H417">
        <v>35</v>
      </c>
      <c r="I417" s="2">
        <f t="shared" si="18"/>
        <v>37.414439999999999</v>
      </c>
      <c r="J417">
        <f t="shared" si="19"/>
        <v>1.3965823068309071</v>
      </c>
      <c r="K417">
        <f t="shared" si="20"/>
        <v>0.97713345521023764</v>
      </c>
    </row>
    <row r="418" spans="1:11" x14ac:dyDescent="0.25">
      <c r="A418" s="1">
        <v>1958</v>
      </c>
      <c r="B418" s="1" t="s">
        <v>99</v>
      </c>
      <c r="C418" t="s">
        <v>7</v>
      </c>
      <c r="D418" s="1" t="s">
        <v>3</v>
      </c>
      <c r="E418">
        <v>85</v>
      </c>
      <c r="F418" s="1" t="s">
        <v>101</v>
      </c>
      <c r="G418">
        <v>16</v>
      </c>
      <c r="H418">
        <v>14</v>
      </c>
      <c r="I418" s="2">
        <f t="shared" si="18"/>
        <v>19.547135999999998</v>
      </c>
      <c r="J418">
        <f t="shared" si="19"/>
        <v>0.72964300111982083</v>
      </c>
      <c r="K418">
        <f t="shared" si="20"/>
        <v>0.51050237659963438</v>
      </c>
    </row>
    <row r="419" spans="1:11" x14ac:dyDescent="0.25">
      <c r="A419" s="1">
        <v>1958</v>
      </c>
      <c r="B419" s="1" t="s">
        <v>99</v>
      </c>
      <c r="C419" t="s">
        <v>7</v>
      </c>
      <c r="D419" s="1" t="s">
        <v>3</v>
      </c>
      <c r="E419">
        <v>86</v>
      </c>
      <c r="F419" s="1" t="s">
        <v>101</v>
      </c>
      <c r="G419">
        <v>6</v>
      </c>
      <c r="H419">
        <v>20</v>
      </c>
      <c r="I419" s="2">
        <f t="shared" si="18"/>
        <v>3.9268799999999997</v>
      </c>
      <c r="J419">
        <f t="shared" si="19"/>
        <v>0.14658006718924971</v>
      </c>
      <c r="K419">
        <f t="shared" si="20"/>
        <v>0.10255628101331939</v>
      </c>
    </row>
    <row r="420" spans="1:11" x14ac:dyDescent="0.25">
      <c r="A420" s="1">
        <v>1958</v>
      </c>
      <c r="B420" s="1" t="s">
        <v>99</v>
      </c>
      <c r="C420" t="s">
        <v>7</v>
      </c>
      <c r="D420" s="1" t="s">
        <v>3</v>
      </c>
      <c r="E420">
        <v>88</v>
      </c>
      <c r="F420" s="1" t="s">
        <v>101</v>
      </c>
      <c r="G420">
        <v>6</v>
      </c>
      <c r="H420">
        <v>11</v>
      </c>
      <c r="I420" s="2">
        <f t="shared" si="18"/>
        <v>2.1597839999999997</v>
      </c>
      <c r="J420">
        <f t="shared" si="19"/>
        <v>8.0619036954087342E-2</v>
      </c>
      <c r="K420">
        <f t="shared" si="20"/>
        <v>5.6405954557325666E-2</v>
      </c>
    </row>
    <row r="421" spans="1:11" x14ac:dyDescent="0.25">
      <c r="A421" s="1">
        <v>1958</v>
      </c>
      <c r="B421" s="1" t="s">
        <v>99</v>
      </c>
      <c r="C421" t="s">
        <v>7</v>
      </c>
      <c r="D421" s="1" t="s">
        <v>3</v>
      </c>
      <c r="E421">
        <v>91</v>
      </c>
      <c r="F421" s="1" t="s">
        <v>101</v>
      </c>
      <c r="G421">
        <v>6</v>
      </c>
      <c r="H421">
        <v>21</v>
      </c>
      <c r="I421" s="2">
        <f t="shared" si="18"/>
        <v>4.1232239999999996</v>
      </c>
      <c r="J421">
        <f t="shared" si="19"/>
        <v>0.1539090705487122</v>
      </c>
      <c r="K421">
        <f t="shared" si="20"/>
        <v>0.10768409506398537</v>
      </c>
    </row>
    <row r="422" spans="1:11" x14ac:dyDescent="0.25">
      <c r="A422" s="1">
        <v>1958</v>
      </c>
      <c r="B422" s="1" t="s">
        <v>99</v>
      </c>
      <c r="C422" t="s">
        <v>7</v>
      </c>
      <c r="D422" s="1" t="s">
        <v>3</v>
      </c>
      <c r="E422">
        <v>91</v>
      </c>
      <c r="F422" s="1" t="s">
        <v>101</v>
      </c>
      <c r="G422">
        <v>8</v>
      </c>
      <c r="H422">
        <v>9</v>
      </c>
      <c r="I422" s="2">
        <f t="shared" si="18"/>
        <v>3.1415039999999999</v>
      </c>
      <c r="J422">
        <f t="shared" si="19"/>
        <v>0.11726405375139977</v>
      </c>
      <c r="K422">
        <f t="shared" si="20"/>
        <v>8.2045024810655509E-2</v>
      </c>
    </row>
    <row r="423" spans="1:11" x14ac:dyDescent="0.25">
      <c r="A423" s="1">
        <v>1958</v>
      </c>
      <c r="B423" s="1" t="s">
        <v>99</v>
      </c>
      <c r="C423" t="s">
        <v>7</v>
      </c>
      <c r="D423" s="1" t="s">
        <v>3</v>
      </c>
      <c r="E423">
        <v>91</v>
      </c>
      <c r="F423" s="1" t="s">
        <v>101</v>
      </c>
      <c r="G423">
        <v>10</v>
      </c>
      <c r="H423">
        <v>10</v>
      </c>
      <c r="I423" s="2">
        <f t="shared" si="18"/>
        <v>5.4539999999999997</v>
      </c>
      <c r="J423">
        <f t="shared" si="19"/>
        <v>0.20358342665173573</v>
      </c>
      <c r="K423">
        <f t="shared" si="20"/>
        <v>0.14243927918516583</v>
      </c>
    </row>
    <row r="424" spans="1:11" x14ac:dyDescent="0.25">
      <c r="A424" s="1">
        <v>1958</v>
      </c>
      <c r="B424" s="1" t="s">
        <v>99</v>
      </c>
      <c r="C424" t="s">
        <v>7</v>
      </c>
      <c r="D424" s="1" t="s">
        <v>3</v>
      </c>
      <c r="E424">
        <v>91</v>
      </c>
      <c r="F424" s="1" t="s">
        <v>101</v>
      </c>
      <c r="G424">
        <v>12</v>
      </c>
      <c r="H424">
        <v>2</v>
      </c>
      <c r="I424" s="2">
        <f t="shared" si="18"/>
        <v>1.5707519999999999</v>
      </c>
      <c r="J424">
        <f t="shared" si="19"/>
        <v>5.8632026875699884E-2</v>
      </c>
      <c r="K424">
        <f t="shared" si="20"/>
        <v>4.1022512405327755E-2</v>
      </c>
    </row>
    <row r="425" spans="1:11" x14ac:dyDescent="0.25">
      <c r="A425" s="1">
        <v>1958</v>
      </c>
      <c r="B425" s="1" t="s">
        <v>99</v>
      </c>
      <c r="C425" t="s">
        <v>7</v>
      </c>
      <c r="D425" s="1" t="s">
        <v>3</v>
      </c>
      <c r="E425">
        <v>91</v>
      </c>
      <c r="F425" s="1" t="s">
        <v>101</v>
      </c>
      <c r="G425">
        <v>14</v>
      </c>
      <c r="H425">
        <v>1</v>
      </c>
      <c r="I425" s="2">
        <f t="shared" si="18"/>
        <v>1.0689839999999999</v>
      </c>
      <c r="J425">
        <f t="shared" si="19"/>
        <v>3.9902351623740201E-2</v>
      </c>
      <c r="K425">
        <f t="shared" si="20"/>
        <v>2.7918098720292502E-2</v>
      </c>
    </row>
    <row r="426" spans="1:11" x14ac:dyDescent="0.25">
      <c r="A426" s="1">
        <v>1958</v>
      </c>
      <c r="B426" s="1" t="s">
        <v>99</v>
      </c>
      <c r="C426" t="s">
        <v>7</v>
      </c>
      <c r="D426" s="1" t="s">
        <v>5</v>
      </c>
      <c r="E426">
        <v>21</v>
      </c>
      <c r="F426" s="1" t="s">
        <v>101</v>
      </c>
      <c r="G426">
        <v>8</v>
      </c>
      <c r="H426">
        <v>1</v>
      </c>
      <c r="I426" s="2">
        <f t="shared" si="18"/>
        <v>0.34905599999999998</v>
      </c>
      <c r="J426">
        <f t="shared" si="19"/>
        <v>1.3029339305711086E-2</v>
      </c>
      <c r="K426">
        <f t="shared" si="20"/>
        <v>9.1161138678506129E-3</v>
      </c>
    </row>
    <row r="427" spans="1:11" x14ac:dyDescent="0.25">
      <c r="A427" s="1">
        <v>1958</v>
      </c>
      <c r="B427" s="1" t="s">
        <v>99</v>
      </c>
      <c r="C427" t="s">
        <v>7</v>
      </c>
      <c r="D427" s="1" t="s">
        <v>5</v>
      </c>
      <c r="E427">
        <v>32</v>
      </c>
      <c r="F427" s="1" t="s">
        <v>101</v>
      </c>
      <c r="G427">
        <v>6</v>
      </c>
      <c r="H427">
        <v>1</v>
      </c>
      <c r="I427" s="2">
        <f t="shared" si="18"/>
        <v>0.19634399999999999</v>
      </c>
      <c r="J427">
        <f t="shared" si="19"/>
        <v>7.3290033594624856E-3</v>
      </c>
      <c r="K427">
        <f t="shared" si="20"/>
        <v>5.1278140506659693E-3</v>
      </c>
    </row>
    <row r="428" spans="1:11" x14ac:dyDescent="0.25">
      <c r="A428" s="1">
        <v>1958</v>
      </c>
      <c r="B428" s="1" t="s">
        <v>99</v>
      </c>
      <c r="C428" t="s">
        <v>7</v>
      </c>
      <c r="D428" s="1" t="s">
        <v>5</v>
      </c>
      <c r="E428">
        <v>32</v>
      </c>
      <c r="F428" s="1" t="s">
        <v>101</v>
      </c>
      <c r="G428">
        <v>8</v>
      </c>
      <c r="H428">
        <v>2</v>
      </c>
      <c r="I428" s="2">
        <f t="shared" si="18"/>
        <v>0.69811199999999995</v>
      </c>
      <c r="J428">
        <f t="shared" si="19"/>
        <v>2.6058678611422172E-2</v>
      </c>
      <c r="K428">
        <f t="shared" si="20"/>
        <v>1.8232227735701226E-2</v>
      </c>
    </row>
    <row r="429" spans="1:11" x14ac:dyDescent="0.25">
      <c r="A429" s="1">
        <v>1958</v>
      </c>
      <c r="B429" s="1" t="s">
        <v>99</v>
      </c>
      <c r="C429" t="s">
        <v>7</v>
      </c>
      <c r="D429" s="1" t="s">
        <v>5</v>
      </c>
      <c r="E429">
        <v>32</v>
      </c>
      <c r="F429" s="1" t="s">
        <v>101</v>
      </c>
      <c r="G429">
        <v>10</v>
      </c>
      <c r="H429">
        <v>2</v>
      </c>
      <c r="I429" s="2">
        <f t="shared" si="18"/>
        <v>1.0908</v>
      </c>
      <c r="J429">
        <f t="shared" si="19"/>
        <v>4.0716685330347148E-2</v>
      </c>
      <c r="K429">
        <f t="shared" si="20"/>
        <v>2.8487855837033168E-2</v>
      </c>
    </row>
    <row r="430" spans="1:11" x14ac:dyDescent="0.25">
      <c r="A430" s="1">
        <v>1958</v>
      </c>
      <c r="B430" s="1" t="s">
        <v>99</v>
      </c>
      <c r="C430" t="s">
        <v>7</v>
      </c>
      <c r="D430" s="1" t="s">
        <v>5</v>
      </c>
      <c r="E430">
        <v>32</v>
      </c>
      <c r="F430" s="1" t="s">
        <v>101</v>
      </c>
      <c r="G430">
        <v>12</v>
      </c>
      <c r="H430">
        <v>2</v>
      </c>
      <c r="I430" s="2">
        <f t="shared" si="18"/>
        <v>1.5707519999999999</v>
      </c>
      <c r="J430">
        <f t="shared" si="19"/>
        <v>5.8632026875699884E-2</v>
      </c>
      <c r="K430">
        <f t="shared" si="20"/>
        <v>4.1022512405327755E-2</v>
      </c>
    </row>
    <row r="431" spans="1:11" x14ac:dyDescent="0.25">
      <c r="A431" s="1">
        <v>1958</v>
      </c>
      <c r="B431" s="1" t="s">
        <v>99</v>
      </c>
      <c r="C431" t="s">
        <v>7</v>
      </c>
      <c r="D431" s="1" t="s">
        <v>5</v>
      </c>
      <c r="E431">
        <v>32</v>
      </c>
      <c r="F431" s="1" t="s">
        <v>101</v>
      </c>
      <c r="G431">
        <v>14</v>
      </c>
      <c r="H431">
        <v>1</v>
      </c>
      <c r="I431" s="2">
        <f t="shared" si="18"/>
        <v>1.0689839999999999</v>
      </c>
      <c r="J431">
        <f t="shared" si="19"/>
        <v>3.9902351623740201E-2</v>
      </c>
      <c r="K431">
        <f t="shared" si="20"/>
        <v>2.7918098720292502E-2</v>
      </c>
    </row>
    <row r="432" spans="1:11" x14ac:dyDescent="0.25">
      <c r="A432" s="1">
        <v>1958</v>
      </c>
      <c r="B432" s="1" t="s">
        <v>99</v>
      </c>
      <c r="C432" t="s">
        <v>7</v>
      </c>
      <c r="D432" s="1" t="s">
        <v>5</v>
      </c>
      <c r="E432">
        <v>32</v>
      </c>
      <c r="F432" s="1" t="s">
        <v>101</v>
      </c>
      <c r="G432">
        <v>16</v>
      </c>
      <c r="H432">
        <v>8</v>
      </c>
      <c r="I432" s="2">
        <f t="shared" si="18"/>
        <v>11.169791999999999</v>
      </c>
      <c r="J432">
        <f t="shared" si="19"/>
        <v>0.41693885778275475</v>
      </c>
      <c r="K432">
        <f t="shared" si="20"/>
        <v>0.29171564377121961</v>
      </c>
    </row>
    <row r="433" spans="1:11" x14ac:dyDescent="0.25">
      <c r="A433" s="1">
        <v>1958</v>
      </c>
      <c r="B433" s="1" t="s">
        <v>99</v>
      </c>
      <c r="C433" t="s">
        <v>7</v>
      </c>
      <c r="D433" s="1" t="s">
        <v>5</v>
      </c>
      <c r="E433">
        <v>34</v>
      </c>
      <c r="F433" s="1" t="s">
        <v>101</v>
      </c>
      <c r="G433">
        <v>6</v>
      </c>
      <c r="H433">
        <v>1</v>
      </c>
      <c r="I433" s="2">
        <f t="shared" si="18"/>
        <v>0.19634399999999999</v>
      </c>
      <c r="J433">
        <f t="shared" si="19"/>
        <v>7.3290033594624856E-3</v>
      </c>
      <c r="K433">
        <f t="shared" si="20"/>
        <v>5.1278140506659693E-3</v>
      </c>
    </row>
    <row r="434" spans="1:11" x14ac:dyDescent="0.25">
      <c r="A434" s="1">
        <v>1958</v>
      </c>
      <c r="B434" s="1" t="s">
        <v>99</v>
      </c>
      <c r="C434" t="s">
        <v>7</v>
      </c>
      <c r="D434" s="1" t="s">
        <v>5</v>
      </c>
      <c r="E434">
        <v>38</v>
      </c>
      <c r="F434" s="1" t="s">
        <v>101</v>
      </c>
      <c r="G434">
        <v>6</v>
      </c>
      <c r="H434">
        <v>2</v>
      </c>
      <c r="I434" s="2">
        <f t="shared" si="18"/>
        <v>0.39268799999999998</v>
      </c>
      <c r="J434">
        <f t="shared" si="19"/>
        <v>1.4658006718924971E-2</v>
      </c>
      <c r="K434">
        <f t="shared" si="20"/>
        <v>1.0255628101331939E-2</v>
      </c>
    </row>
    <row r="435" spans="1:11" x14ac:dyDescent="0.25">
      <c r="A435" s="1">
        <v>1958</v>
      </c>
      <c r="B435" s="1" t="s">
        <v>99</v>
      </c>
      <c r="C435" t="s">
        <v>7</v>
      </c>
      <c r="D435" s="1" t="s">
        <v>5</v>
      </c>
      <c r="E435">
        <v>38</v>
      </c>
      <c r="F435" s="1" t="s">
        <v>101</v>
      </c>
      <c r="G435">
        <v>8</v>
      </c>
      <c r="H435">
        <v>2</v>
      </c>
      <c r="I435" s="2">
        <f t="shared" si="18"/>
        <v>0.69811199999999995</v>
      </c>
      <c r="J435">
        <f t="shared" si="19"/>
        <v>2.6058678611422172E-2</v>
      </c>
      <c r="K435">
        <f t="shared" si="20"/>
        <v>1.8232227735701226E-2</v>
      </c>
    </row>
    <row r="436" spans="1:11" x14ac:dyDescent="0.25">
      <c r="A436" s="1">
        <v>1958</v>
      </c>
      <c r="B436" s="1" t="s">
        <v>99</v>
      </c>
      <c r="C436" t="s">
        <v>7</v>
      </c>
      <c r="D436" s="1" t="s">
        <v>5</v>
      </c>
      <c r="E436">
        <v>40</v>
      </c>
      <c r="F436" s="1" t="s">
        <v>101</v>
      </c>
      <c r="G436">
        <v>6</v>
      </c>
      <c r="H436">
        <v>4</v>
      </c>
      <c r="I436" s="2">
        <f t="shared" si="18"/>
        <v>0.78537599999999996</v>
      </c>
      <c r="J436">
        <f t="shared" si="19"/>
        <v>2.9316013437849942E-2</v>
      </c>
      <c r="K436">
        <f t="shared" si="20"/>
        <v>2.0511256202663877E-2</v>
      </c>
    </row>
    <row r="437" spans="1:11" x14ac:dyDescent="0.25">
      <c r="A437" s="1">
        <v>1958</v>
      </c>
      <c r="B437" s="1" t="s">
        <v>99</v>
      </c>
      <c r="C437" t="s">
        <v>7</v>
      </c>
      <c r="D437" s="1" t="s">
        <v>5</v>
      </c>
      <c r="E437">
        <v>40</v>
      </c>
      <c r="F437" s="1" t="s">
        <v>101</v>
      </c>
      <c r="G437">
        <v>10</v>
      </c>
      <c r="H437">
        <v>1</v>
      </c>
      <c r="I437" s="2">
        <f t="shared" si="18"/>
        <v>0.5454</v>
      </c>
      <c r="J437">
        <f t="shared" si="19"/>
        <v>2.0358342665173574E-2</v>
      </c>
      <c r="K437">
        <f t="shared" si="20"/>
        <v>1.4243927918516584E-2</v>
      </c>
    </row>
    <row r="438" spans="1:11" x14ac:dyDescent="0.25">
      <c r="A438" s="1">
        <v>1958</v>
      </c>
      <c r="B438" s="1" t="s">
        <v>99</v>
      </c>
      <c r="C438" t="s">
        <v>7</v>
      </c>
      <c r="D438" s="1" t="s">
        <v>5</v>
      </c>
      <c r="E438">
        <v>53</v>
      </c>
      <c r="F438" s="1" t="s">
        <v>101</v>
      </c>
      <c r="G438">
        <v>6</v>
      </c>
      <c r="H438">
        <v>1</v>
      </c>
      <c r="I438" s="2">
        <f t="shared" si="18"/>
        <v>0.19634399999999999</v>
      </c>
      <c r="J438">
        <f t="shared" si="19"/>
        <v>7.3290033594624856E-3</v>
      </c>
      <c r="K438">
        <f t="shared" si="20"/>
        <v>5.1278140506659693E-3</v>
      </c>
    </row>
    <row r="439" spans="1:11" x14ac:dyDescent="0.25">
      <c r="A439" s="1">
        <v>1958</v>
      </c>
      <c r="B439" s="1" t="s">
        <v>99</v>
      </c>
      <c r="C439" t="s">
        <v>7</v>
      </c>
      <c r="D439" s="1" t="s">
        <v>5</v>
      </c>
      <c r="E439">
        <v>53</v>
      </c>
      <c r="F439" s="1" t="s">
        <v>101</v>
      </c>
      <c r="G439">
        <v>10</v>
      </c>
      <c r="H439">
        <v>1</v>
      </c>
      <c r="I439" s="2">
        <f t="shared" si="18"/>
        <v>0.5454</v>
      </c>
      <c r="J439">
        <f t="shared" si="19"/>
        <v>2.0358342665173574E-2</v>
      </c>
      <c r="K439">
        <f t="shared" si="20"/>
        <v>1.4243927918516584E-2</v>
      </c>
    </row>
    <row r="440" spans="1:11" x14ac:dyDescent="0.25">
      <c r="A440" s="1">
        <v>1958</v>
      </c>
      <c r="B440" s="1" t="s">
        <v>99</v>
      </c>
      <c r="C440" t="s">
        <v>7</v>
      </c>
      <c r="D440" s="1" t="s">
        <v>5</v>
      </c>
      <c r="E440">
        <v>54</v>
      </c>
      <c r="F440" s="1" t="s">
        <v>101</v>
      </c>
      <c r="G440">
        <v>6</v>
      </c>
      <c r="H440">
        <v>1</v>
      </c>
      <c r="I440" s="2">
        <f t="shared" si="18"/>
        <v>0.19634399999999999</v>
      </c>
      <c r="J440">
        <f t="shared" si="19"/>
        <v>7.3290033594624856E-3</v>
      </c>
      <c r="K440">
        <f t="shared" si="20"/>
        <v>5.1278140506659693E-3</v>
      </c>
    </row>
    <row r="441" spans="1:11" x14ac:dyDescent="0.25">
      <c r="A441" s="1">
        <v>1958</v>
      </c>
      <c r="B441" s="1" t="s">
        <v>99</v>
      </c>
      <c r="C441" t="s">
        <v>7</v>
      </c>
      <c r="D441" s="1" t="s">
        <v>5</v>
      </c>
      <c r="E441">
        <v>56</v>
      </c>
      <c r="F441" s="1" t="s">
        <v>101</v>
      </c>
      <c r="G441">
        <v>6</v>
      </c>
      <c r="H441">
        <v>2</v>
      </c>
      <c r="I441" s="2">
        <f t="shared" si="18"/>
        <v>0.39268799999999998</v>
      </c>
      <c r="J441">
        <f t="shared" si="19"/>
        <v>1.4658006718924971E-2</v>
      </c>
      <c r="K441">
        <f t="shared" si="20"/>
        <v>1.0255628101331939E-2</v>
      </c>
    </row>
    <row r="442" spans="1:11" x14ac:dyDescent="0.25">
      <c r="A442" s="1">
        <v>1958</v>
      </c>
      <c r="B442" s="1" t="s">
        <v>99</v>
      </c>
      <c r="C442" t="s">
        <v>7</v>
      </c>
      <c r="D442" s="1" t="s">
        <v>5</v>
      </c>
      <c r="E442">
        <v>56</v>
      </c>
      <c r="F442" s="1" t="s">
        <v>101</v>
      </c>
      <c r="G442">
        <v>10</v>
      </c>
      <c r="H442">
        <v>1</v>
      </c>
      <c r="I442" s="2">
        <f t="shared" si="18"/>
        <v>0.5454</v>
      </c>
      <c r="J442">
        <f t="shared" si="19"/>
        <v>2.0358342665173574E-2</v>
      </c>
      <c r="K442">
        <f t="shared" si="20"/>
        <v>1.4243927918516584E-2</v>
      </c>
    </row>
    <row r="443" spans="1:11" x14ac:dyDescent="0.25">
      <c r="A443" s="1">
        <v>1958</v>
      </c>
      <c r="B443" s="1" t="s">
        <v>99</v>
      </c>
      <c r="C443" t="s">
        <v>7</v>
      </c>
      <c r="D443" s="1" t="s">
        <v>5</v>
      </c>
      <c r="E443">
        <v>58</v>
      </c>
      <c r="F443" s="1" t="s">
        <v>101</v>
      </c>
      <c r="G443">
        <v>6</v>
      </c>
      <c r="H443">
        <v>16</v>
      </c>
      <c r="I443" s="2">
        <f t="shared" si="18"/>
        <v>3.1415039999999999</v>
      </c>
      <c r="J443">
        <f t="shared" si="19"/>
        <v>0.11726405375139977</v>
      </c>
      <c r="K443">
        <f t="shared" si="20"/>
        <v>8.2045024810655509E-2</v>
      </c>
    </row>
    <row r="444" spans="1:11" x14ac:dyDescent="0.25">
      <c r="A444" s="1">
        <v>1958</v>
      </c>
      <c r="B444" s="1" t="s">
        <v>99</v>
      </c>
      <c r="C444" t="s">
        <v>7</v>
      </c>
      <c r="D444" s="1" t="s">
        <v>5</v>
      </c>
      <c r="E444">
        <v>58</v>
      </c>
      <c r="F444" s="1" t="s">
        <v>101</v>
      </c>
      <c r="G444">
        <v>8</v>
      </c>
      <c r="H444">
        <v>1</v>
      </c>
      <c r="I444" s="2">
        <f t="shared" si="18"/>
        <v>0.34905599999999998</v>
      </c>
      <c r="J444">
        <f t="shared" si="19"/>
        <v>1.3029339305711086E-2</v>
      </c>
      <c r="K444">
        <f t="shared" si="20"/>
        <v>9.1161138678506129E-3</v>
      </c>
    </row>
    <row r="445" spans="1:11" x14ac:dyDescent="0.25">
      <c r="A445" s="1">
        <v>1958</v>
      </c>
      <c r="B445" s="1" t="s">
        <v>99</v>
      </c>
      <c r="C445" t="s">
        <v>7</v>
      </c>
      <c r="D445" s="1" t="s">
        <v>5</v>
      </c>
      <c r="E445">
        <v>66</v>
      </c>
      <c r="F445" s="1" t="s">
        <v>101</v>
      </c>
      <c r="G445">
        <v>10</v>
      </c>
      <c r="H445">
        <v>1</v>
      </c>
      <c r="I445" s="2">
        <f t="shared" si="18"/>
        <v>0.5454</v>
      </c>
      <c r="J445">
        <f t="shared" si="19"/>
        <v>2.0358342665173574E-2</v>
      </c>
      <c r="K445">
        <f t="shared" si="20"/>
        <v>1.4243927918516584E-2</v>
      </c>
    </row>
    <row r="446" spans="1:11" x14ac:dyDescent="0.25">
      <c r="A446" s="1">
        <v>1958</v>
      </c>
      <c r="B446" s="1" t="s">
        <v>99</v>
      </c>
      <c r="C446" t="s">
        <v>7</v>
      </c>
      <c r="D446" s="1" t="s">
        <v>5</v>
      </c>
      <c r="E446">
        <v>71</v>
      </c>
      <c r="F446" s="1" t="s">
        <v>101</v>
      </c>
      <c r="G446">
        <v>6</v>
      </c>
      <c r="H446">
        <v>1</v>
      </c>
      <c r="I446" s="2">
        <f t="shared" si="18"/>
        <v>0.19634399999999999</v>
      </c>
      <c r="J446">
        <f t="shared" si="19"/>
        <v>7.3290033594624856E-3</v>
      </c>
      <c r="K446">
        <f t="shared" si="20"/>
        <v>5.1278140506659693E-3</v>
      </c>
    </row>
    <row r="447" spans="1:11" x14ac:dyDescent="0.25">
      <c r="A447" s="1">
        <v>1958</v>
      </c>
      <c r="B447" s="1" t="s">
        <v>99</v>
      </c>
      <c r="C447" t="s">
        <v>7</v>
      </c>
      <c r="D447" s="1" t="s">
        <v>5</v>
      </c>
      <c r="E447">
        <v>71</v>
      </c>
      <c r="F447" s="1" t="s">
        <v>101</v>
      </c>
      <c r="G447">
        <v>8</v>
      </c>
      <c r="H447">
        <v>1</v>
      </c>
      <c r="I447" s="2">
        <f t="shared" si="18"/>
        <v>0.34905599999999998</v>
      </c>
      <c r="J447">
        <f t="shared" si="19"/>
        <v>1.3029339305711086E-2</v>
      </c>
      <c r="K447">
        <f t="shared" si="20"/>
        <v>9.1161138678506129E-3</v>
      </c>
    </row>
    <row r="448" spans="1:11" x14ac:dyDescent="0.25">
      <c r="A448" s="1">
        <v>1958</v>
      </c>
      <c r="B448" s="1" t="s">
        <v>99</v>
      </c>
      <c r="C448" t="s">
        <v>7</v>
      </c>
      <c r="D448" s="1" t="s">
        <v>5</v>
      </c>
      <c r="E448">
        <v>79</v>
      </c>
      <c r="F448" s="1" t="s">
        <v>101</v>
      </c>
      <c r="G448">
        <v>6</v>
      </c>
      <c r="H448">
        <v>2</v>
      </c>
      <c r="I448" s="2">
        <f t="shared" si="18"/>
        <v>0.39268799999999998</v>
      </c>
      <c r="J448">
        <f t="shared" si="19"/>
        <v>1.4658006718924971E-2</v>
      </c>
      <c r="K448">
        <f t="shared" si="20"/>
        <v>1.0255628101331939E-2</v>
      </c>
    </row>
    <row r="449" spans="1:11" x14ac:dyDescent="0.25">
      <c r="A449" s="1">
        <v>1958</v>
      </c>
      <c r="B449" s="1" t="s">
        <v>99</v>
      </c>
      <c r="C449" t="s">
        <v>7</v>
      </c>
      <c r="D449" s="1" t="s">
        <v>5</v>
      </c>
      <c r="E449">
        <v>79</v>
      </c>
      <c r="F449" s="1" t="s">
        <v>101</v>
      </c>
      <c r="G449">
        <v>8</v>
      </c>
      <c r="H449">
        <v>1</v>
      </c>
      <c r="I449" s="2">
        <f t="shared" si="18"/>
        <v>0.34905599999999998</v>
      </c>
      <c r="J449">
        <f t="shared" si="19"/>
        <v>1.3029339305711086E-2</v>
      </c>
      <c r="K449">
        <f t="shared" si="20"/>
        <v>9.1161138678506129E-3</v>
      </c>
    </row>
    <row r="450" spans="1:11" x14ac:dyDescent="0.25">
      <c r="A450" s="1">
        <v>1958</v>
      </c>
      <c r="B450" s="1" t="s">
        <v>99</v>
      </c>
      <c r="C450" t="s">
        <v>7</v>
      </c>
      <c r="D450" s="1" t="s">
        <v>5</v>
      </c>
      <c r="E450">
        <v>79</v>
      </c>
      <c r="F450" s="1" t="s">
        <v>101</v>
      </c>
      <c r="G450">
        <v>10</v>
      </c>
      <c r="H450">
        <v>2</v>
      </c>
      <c r="I450" s="2">
        <f t="shared" si="18"/>
        <v>1.0908</v>
      </c>
      <c r="J450">
        <f t="shared" si="19"/>
        <v>4.0716685330347148E-2</v>
      </c>
      <c r="K450">
        <f t="shared" si="20"/>
        <v>2.8487855837033168E-2</v>
      </c>
    </row>
    <row r="451" spans="1:11" x14ac:dyDescent="0.25">
      <c r="A451" s="1">
        <v>1958</v>
      </c>
      <c r="B451" s="1" t="s">
        <v>99</v>
      </c>
      <c r="C451" t="s">
        <v>7</v>
      </c>
      <c r="D451" s="1" t="s">
        <v>5</v>
      </c>
      <c r="E451">
        <v>79</v>
      </c>
      <c r="F451" s="1" t="s">
        <v>101</v>
      </c>
      <c r="G451">
        <v>16</v>
      </c>
      <c r="H451">
        <v>2</v>
      </c>
      <c r="I451" s="2">
        <f t="shared" ref="I451:I514" si="21">0.005454*G451^2*H451</f>
        <v>2.7924479999999998</v>
      </c>
      <c r="J451">
        <f t="shared" ref="J451:J514" si="22">I451/26.79</f>
        <v>0.10423471444568869</v>
      </c>
      <c r="K451">
        <f t="shared" ref="K451:K514" si="23">J451*(26.79/38.29)</f>
        <v>7.2928910942804903E-2</v>
      </c>
    </row>
    <row r="452" spans="1:11" x14ac:dyDescent="0.25">
      <c r="A452" s="1">
        <v>1958</v>
      </c>
      <c r="B452" s="1" t="s">
        <v>99</v>
      </c>
      <c r="C452" t="s">
        <v>7</v>
      </c>
      <c r="D452" s="1" t="s">
        <v>5</v>
      </c>
      <c r="E452">
        <v>85</v>
      </c>
      <c r="F452" s="1" t="s">
        <v>101</v>
      </c>
      <c r="G452">
        <v>6</v>
      </c>
      <c r="H452">
        <v>1</v>
      </c>
      <c r="I452" s="2">
        <f t="shared" si="21"/>
        <v>0.19634399999999999</v>
      </c>
      <c r="J452">
        <f t="shared" si="22"/>
        <v>7.3290033594624856E-3</v>
      </c>
      <c r="K452">
        <f t="shared" si="23"/>
        <v>5.1278140506659693E-3</v>
      </c>
    </row>
    <row r="453" spans="1:11" x14ac:dyDescent="0.25">
      <c r="A453" s="1">
        <v>1958</v>
      </c>
      <c r="B453" s="1" t="s">
        <v>99</v>
      </c>
      <c r="C453" t="s">
        <v>7</v>
      </c>
      <c r="D453" s="1" t="s">
        <v>5</v>
      </c>
      <c r="E453">
        <v>85</v>
      </c>
      <c r="F453" s="1" t="s">
        <v>101</v>
      </c>
      <c r="G453">
        <v>8</v>
      </c>
      <c r="H453">
        <v>1</v>
      </c>
      <c r="I453" s="2">
        <f t="shared" si="21"/>
        <v>0.34905599999999998</v>
      </c>
      <c r="J453">
        <f t="shared" si="22"/>
        <v>1.3029339305711086E-2</v>
      </c>
      <c r="K453">
        <f t="shared" si="23"/>
        <v>9.1161138678506129E-3</v>
      </c>
    </row>
    <row r="454" spans="1:11" x14ac:dyDescent="0.25">
      <c r="A454" s="1">
        <v>1958</v>
      </c>
      <c r="B454" s="1" t="s">
        <v>99</v>
      </c>
      <c r="C454" t="s">
        <v>7</v>
      </c>
      <c r="D454" s="1" t="s">
        <v>5</v>
      </c>
      <c r="E454">
        <v>85</v>
      </c>
      <c r="F454" s="1" t="s">
        <v>101</v>
      </c>
      <c r="G454">
        <v>10</v>
      </c>
      <c r="H454">
        <v>1</v>
      </c>
      <c r="I454" s="2">
        <f t="shared" si="21"/>
        <v>0.5454</v>
      </c>
      <c r="J454">
        <f t="shared" si="22"/>
        <v>2.0358342665173574E-2</v>
      </c>
      <c r="K454">
        <f t="shared" si="23"/>
        <v>1.4243927918516584E-2</v>
      </c>
    </row>
    <row r="455" spans="1:11" x14ac:dyDescent="0.25">
      <c r="A455" s="1">
        <v>1958</v>
      </c>
      <c r="B455" s="1" t="s">
        <v>99</v>
      </c>
      <c r="C455" t="s">
        <v>7</v>
      </c>
      <c r="D455" s="1" t="s">
        <v>5</v>
      </c>
      <c r="E455">
        <v>85</v>
      </c>
      <c r="F455" s="1" t="s">
        <v>101</v>
      </c>
      <c r="G455">
        <v>16</v>
      </c>
      <c r="H455">
        <v>1</v>
      </c>
      <c r="I455" s="2">
        <f t="shared" si="21"/>
        <v>1.3962239999999999</v>
      </c>
      <c r="J455">
        <f t="shared" si="22"/>
        <v>5.2117357222844343E-2</v>
      </c>
      <c r="K455">
        <f t="shared" si="23"/>
        <v>3.6464455471402452E-2</v>
      </c>
    </row>
    <row r="456" spans="1:11" x14ac:dyDescent="0.25">
      <c r="A456" s="1">
        <v>1958</v>
      </c>
      <c r="B456" s="1" t="s">
        <v>99</v>
      </c>
      <c r="C456" t="s">
        <v>7</v>
      </c>
      <c r="D456" s="1" t="s">
        <v>5</v>
      </c>
      <c r="E456">
        <v>86</v>
      </c>
      <c r="F456" s="1" t="s">
        <v>101</v>
      </c>
      <c r="G456">
        <v>6</v>
      </c>
      <c r="H456">
        <v>4</v>
      </c>
      <c r="I456" s="2">
        <f t="shared" si="21"/>
        <v>0.78537599999999996</v>
      </c>
      <c r="J456">
        <f t="shared" si="22"/>
        <v>2.9316013437849942E-2</v>
      </c>
      <c r="K456">
        <f t="shared" si="23"/>
        <v>2.0511256202663877E-2</v>
      </c>
    </row>
    <row r="457" spans="1:11" x14ac:dyDescent="0.25">
      <c r="A457" s="1">
        <v>1958</v>
      </c>
      <c r="B457" s="1" t="s">
        <v>99</v>
      </c>
      <c r="C457" t="s">
        <v>7</v>
      </c>
      <c r="D457" s="1" t="s">
        <v>5</v>
      </c>
      <c r="E457">
        <v>86</v>
      </c>
      <c r="F457" s="1" t="s">
        <v>101</v>
      </c>
      <c r="G457">
        <v>8</v>
      </c>
      <c r="H457">
        <v>1</v>
      </c>
      <c r="I457" s="2">
        <f t="shared" si="21"/>
        <v>0.34905599999999998</v>
      </c>
      <c r="J457">
        <f t="shared" si="22"/>
        <v>1.3029339305711086E-2</v>
      </c>
      <c r="K457">
        <f t="shared" si="23"/>
        <v>9.1161138678506129E-3</v>
      </c>
    </row>
    <row r="458" spans="1:11" x14ac:dyDescent="0.25">
      <c r="A458" s="1">
        <v>1958</v>
      </c>
      <c r="B458" s="1" t="s">
        <v>99</v>
      </c>
      <c r="C458" t="s">
        <v>7</v>
      </c>
      <c r="D458" s="1" t="s">
        <v>5</v>
      </c>
      <c r="E458">
        <v>88</v>
      </c>
      <c r="F458" s="1" t="s">
        <v>101</v>
      </c>
      <c r="G458">
        <v>6</v>
      </c>
      <c r="H458">
        <v>2</v>
      </c>
      <c r="I458" s="2">
        <f t="shared" si="21"/>
        <v>0.39268799999999998</v>
      </c>
      <c r="J458">
        <f t="shared" si="22"/>
        <v>1.4658006718924971E-2</v>
      </c>
      <c r="K458">
        <f t="shared" si="23"/>
        <v>1.0255628101331939E-2</v>
      </c>
    </row>
    <row r="459" spans="1:11" x14ac:dyDescent="0.25">
      <c r="A459" s="1">
        <v>1958</v>
      </c>
      <c r="B459" s="1" t="s">
        <v>99</v>
      </c>
      <c r="C459" t="s">
        <v>7</v>
      </c>
      <c r="D459" s="1" t="s">
        <v>5</v>
      </c>
      <c r="E459">
        <v>88</v>
      </c>
      <c r="F459" s="1" t="s">
        <v>101</v>
      </c>
      <c r="G459">
        <v>8</v>
      </c>
      <c r="H459">
        <v>1</v>
      </c>
      <c r="I459" s="2">
        <f t="shared" si="21"/>
        <v>0.34905599999999998</v>
      </c>
      <c r="J459">
        <f t="shared" si="22"/>
        <v>1.3029339305711086E-2</v>
      </c>
      <c r="K459">
        <f t="shared" si="23"/>
        <v>9.1161138678506129E-3</v>
      </c>
    </row>
    <row r="460" spans="1:11" x14ac:dyDescent="0.25">
      <c r="A460" s="1">
        <v>1958</v>
      </c>
      <c r="B460" s="1" t="s">
        <v>99</v>
      </c>
      <c r="C460" t="s">
        <v>7</v>
      </c>
      <c r="D460" s="1" t="s">
        <v>5</v>
      </c>
      <c r="E460">
        <v>91</v>
      </c>
      <c r="F460" s="1" t="s">
        <v>101</v>
      </c>
      <c r="G460">
        <v>6</v>
      </c>
      <c r="H460">
        <v>1</v>
      </c>
      <c r="I460" s="2">
        <f t="shared" si="21"/>
        <v>0.19634399999999999</v>
      </c>
      <c r="J460">
        <f t="shared" si="22"/>
        <v>7.3290033594624856E-3</v>
      </c>
      <c r="K460">
        <f t="shared" si="23"/>
        <v>5.1278140506659693E-3</v>
      </c>
    </row>
    <row r="461" spans="1:11" x14ac:dyDescent="0.25">
      <c r="A461" s="1">
        <v>1962</v>
      </c>
      <c r="B461" s="1" t="s">
        <v>99</v>
      </c>
      <c r="C461" t="s">
        <v>9</v>
      </c>
      <c r="D461" s="1" t="s">
        <v>3</v>
      </c>
      <c r="E461">
        <v>17</v>
      </c>
      <c r="F461" s="1" t="s">
        <v>101</v>
      </c>
      <c r="G461">
        <v>8</v>
      </c>
      <c r="H461">
        <v>1</v>
      </c>
      <c r="I461" s="2">
        <f t="shared" si="21"/>
        <v>0.34905599999999998</v>
      </c>
      <c r="J461">
        <f t="shared" si="22"/>
        <v>1.3029339305711086E-2</v>
      </c>
      <c r="K461">
        <f t="shared" si="23"/>
        <v>9.1161138678506129E-3</v>
      </c>
    </row>
    <row r="462" spans="1:11" x14ac:dyDescent="0.25">
      <c r="A462" s="1">
        <v>1962</v>
      </c>
      <c r="B462" s="1" t="s">
        <v>99</v>
      </c>
      <c r="C462" t="s">
        <v>9</v>
      </c>
      <c r="D462" s="1" t="s">
        <v>3</v>
      </c>
      <c r="E462">
        <v>21</v>
      </c>
      <c r="F462" s="1" t="s">
        <v>101</v>
      </c>
      <c r="G462">
        <v>6</v>
      </c>
      <c r="H462">
        <v>14</v>
      </c>
      <c r="I462" s="2">
        <f t="shared" si="21"/>
        <v>2.7488159999999997</v>
      </c>
      <c r="J462">
        <f t="shared" si="22"/>
        <v>0.10260604703247479</v>
      </c>
      <c r="K462">
        <f t="shared" si="23"/>
        <v>7.1789396709323564E-2</v>
      </c>
    </row>
    <row r="463" spans="1:11" x14ac:dyDescent="0.25">
      <c r="A463" s="1">
        <v>1962</v>
      </c>
      <c r="B463" s="1" t="s">
        <v>99</v>
      </c>
      <c r="C463" t="s">
        <v>9</v>
      </c>
      <c r="D463" s="1" t="s">
        <v>3</v>
      </c>
      <c r="E463">
        <v>21</v>
      </c>
      <c r="F463" s="1" t="s">
        <v>101</v>
      </c>
      <c r="G463">
        <v>8</v>
      </c>
      <c r="H463">
        <v>7</v>
      </c>
      <c r="I463" s="2">
        <f t="shared" si="21"/>
        <v>2.4433919999999998</v>
      </c>
      <c r="J463">
        <f t="shared" si="22"/>
        <v>9.1205375139977604E-2</v>
      </c>
      <c r="K463">
        <f t="shared" si="23"/>
        <v>6.3812797074954297E-2</v>
      </c>
    </row>
    <row r="464" spans="1:11" x14ac:dyDescent="0.25">
      <c r="A464" s="1">
        <v>1962</v>
      </c>
      <c r="B464" s="1" t="s">
        <v>99</v>
      </c>
      <c r="C464" t="s">
        <v>9</v>
      </c>
      <c r="D464" s="1" t="s">
        <v>3</v>
      </c>
      <c r="E464">
        <v>21</v>
      </c>
      <c r="F464" s="1" t="s">
        <v>101</v>
      </c>
      <c r="G464">
        <v>10</v>
      </c>
      <c r="H464">
        <v>9</v>
      </c>
      <c r="I464" s="2">
        <f t="shared" si="21"/>
        <v>4.9085999999999999</v>
      </c>
      <c r="J464">
        <f t="shared" si="22"/>
        <v>0.18322508398656215</v>
      </c>
      <c r="K464">
        <f t="shared" si="23"/>
        <v>0.12819535126664924</v>
      </c>
    </row>
    <row r="465" spans="1:11" x14ac:dyDescent="0.25">
      <c r="A465" s="1">
        <v>1962</v>
      </c>
      <c r="B465" s="1" t="s">
        <v>99</v>
      </c>
      <c r="C465" t="s">
        <v>9</v>
      </c>
      <c r="D465" s="1" t="s">
        <v>3</v>
      </c>
      <c r="E465">
        <v>21</v>
      </c>
      <c r="F465" s="1" t="s">
        <v>101</v>
      </c>
      <c r="G465">
        <v>12</v>
      </c>
      <c r="H465">
        <v>6</v>
      </c>
      <c r="I465" s="2">
        <f t="shared" si="21"/>
        <v>4.712256</v>
      </c>
      <c r="J465">
        <f t="shared" si="22"/>
        <v>0.17589608062709966</v>
      </c>
      <c r="K465">
        <f t="shared" si="23"/>
        <v>0.12306753721598328</v>
      </c>
    </row>
    <row r="466" spans="1:11" x14ac:dyDescent="0.25">
      <c r="A466" s="1">
        <v>1962</v>
      </c>
      <c r="B466" s="1" t="s">
        <v>99</v>
      </c>
      <c r="C466" t="s">
        <v>9</v>
      </c>
      <c r="D466" s="1" t="s">
        <v>3</v>
      </c>
      <c r="E466">
        <v>21</v>
      </c>
      <c r="F466" s="1" t="s">
        <v>101</v>
      </c>
      <c r="G466">
        <v>14</v>
      </c>
      <c r="H466">
        <v>6</v>
      </c>
      <c r="I466" s="2">
        <f t="shared" si="21"/>
        <v>6.4139039999999996</v>
      </c>
      <c r="J466">
        <f t="shared" si="22"/>
        <v>0.23941410974244121</v>
      </c>
      <c r="K466">
        <f t="shared" si="23"/>
        <v>0.16750859232175502</v>
      </c>
    </row>
    <row r="467" spans="1:11" x14ac:dyDescent="0.25">
      <c r="A467" s="1">
        <v>1962</v>
      </c>
      <c r="B467" s="1" t="s">
        <v>99</v>
      </c>
      <c r="C467" t="s">
        <v>9</v>
      </c>
      <c r="D467" s="1" t="s">
        <v>3</v>
      </c>
      <c r="E467">
        <v>21</v>
      </c>
      <c r="F467" s="1" t="s">
        <v>101</v>
      </c>
      <c r="G467">
        <v>16</v>
      </c>
      <c r="H467">
        <v>16</v>
      </c>
      <c r="I467" s="2">
        <f t="shared" si="21"/>
        <v>22.339583999999999</v>
      </c>
      <c r="J467">
        <f t="shared" si="22"/>
        <v>0.83387771556550949</v>
      </c>
      <c r="K467">
        <f t="shared" si="23"/>
        <v>0.58343128754243923</v>
      </c>
    </row>
    <row r="468" spans="1:11" x14ac:dyDescent="0.25">
      <c r="A468" s="1">
        <v>1962</v>
      </c>
      <c r="B468" s="1" t="s">
        <v>99</v>
      </c>
      <c r="C468" t="s">
        <v>9</v>
      </c>
      <c r="D468" s="1" t="s">
        <v>3</v>
      </c>
      <c r="E468">
        <v>21</v>
      </c>
      <c r="F468" s="1" t="s">
        <v>101</v>
      </c>
      <c r="G468">
        <v>18</v>
      </c>
      <c r="H468">
        <v>5</v>
      </c>
      <c r="I468" s="2">
        <f t="shared" si="21"/>
        <v>8.8354799999999987</v>
      </c>
      <c r="J468">
        <f t="shared" si="22"/>
        <v>0.32980515117581183</v>
      </c>
      <c r="K468">
        <f t="shared" si="23"/>
        <v>0.23075163227996862</v>
      </c>
    </row>
    <row r="469" spans="1:11" x14ac:dyDescent="0.25">
      <c r="A469" s="1">
        <v>1962</v>
      </c>
      <c r="B469" s="1" t="s">
        <v>99</v>
      </c>
      <c r="C469" t="s">
        <v>9</v>
      </c>
      <c r="D469" s="1" t="s">
        <v>3</v>
      </c>
      <c r="E469">
        <v>25</v>
      </c>
      <c r="F469" s="1" t="s">
        <v>101</v>
      </c>
      <c r="G469">
        <v>6</v>
      </c>
      <c r="H469">
        <v>1</v>
      </c>
      <c r="I469" s="2">
        <f t="shared" si="21"/>
        <v>0.19634399999999999</v>
      </c>
      <c r="J469">
        <f t="shared" si="22"/>
        <v>7.3290033594624856E-3</v>
      </c>
      <c r="K469">
        <f t="shared" si="23"/>
        <v>5.1278140506659693E-3</v>
      </c>
    </row>
    <row r="470" spans="1:11" x14ac:dyDescent="0.25">
      <c r="A470" s="1">
        <v>1962</v>
      </c>
      <c r="B470" s="1" t="s">
        <v>99</v>
      </c>
      <c r="C470" t="s">
        <v>9</v>
      </c>
      <c r="D470" s="1" t="s">
        <v>3</v>
      </c>
      <c r="E470">
        <v>25</v>
      </c>
      <c r="F470" s="1" t="s">
        <v>101</v>
      </c>
      <c r="G470">
        <v>8</v>
      </c>
      <c r="H470">
        <v>1</v>
      </c>
      <c r="I470" s="2">
        <f t="shared" si="21"/>
        <v>0.34905599999999998</v>
      </c>
      <c r="J470">
        <f t="shared" si="22"/>
        <v>1.3029339305711086E-2</v>
      </c>
      <c r="K470">
        <f t="shared" si="23"/>
        <v>9.1161138678506129E-3</v>
      </c>
    </row>
    <row r="471" spans="1:11" x14ac:dyDescent="0.25">
      <c r="A471" s="1">
        <v>1962</v>
      </c>
      <c r="B471" s="1" t="s">
        <v>99</v>
      </c>
      <c r="C471" t="s">
        <v>9</v>
      </c>
      <c r="D471" s="1" t="s">
        <v>3</v>
      </c>
      <c r="E471">
        <v>25</v>
      </c>
      <c r="F471" s="1" t="s">
        <v>101</v>
      </c>
      <c r="G471">
        <v>10</v>
      </c>
      <c r="H471">
        <v>2</v>
      </c>
      <c r="I471" s="2">
        <f t="shared" si="21"/>
        <v>1.0908</v>
      </c>
      <c r="J471">
        <f t="shared" si="22"/>
        <v>4.0716685330347148E-2</v>
      </c>
      <c r="K471">
        <f t="shared" si="23"/>
        <v>2.8487855837033168E-2</v>
      </c>
    </row>
    <row r="472" spans="1:11" x14ac:dyDescent="0.25">
      <c r="A472" s="1">
        <v>1962</v>
      </c>
      <c r="B472" s="1" t="s">
        <v>99</v>
      </c>
      <c r="C472" t="s">
        <v>9</v>
      </c>
      <c r="D472" s="1" t="s">
        <v>3</v>
      </c>
      <c r="E472">
        <v>25</v>
      </c>
      <c r="F472" s="1" t="s">
        <v>101</v>
      </c>
      <c r="G472">
        <v>16</v>
      </c>
      <c r="H472">
        <v>1</v>
      </c>
      <c r="I472" s="2">
        <f t="shared" si="21"/>
        <v>1.3962239999999999</v>
      </c>
      <c r="J472">
        <f t="shared" si="22"/>
        <v>5.2117357222844343E-2</v>
      </c>
      <c r="K472">
        <f t="shared" si="23"/>
        <v>3.6464455471402452E-2</v>
      </c>
    </row>
    <row r="473" spans="1:11" x14ac:dyDescent="0.25">
      <c r="A473" s="1">
        <v>1962</v>
      </c>
      <c r="B473" s="1" t="s">
        <v>99</v>
      </c>
      <c r="C473" t="s">
        <v>9</v>
      </c>
      <c r="D473" s="1" t="s">
        <v>3</v>
      </c>
      <c r="E473">
        <v>28</v>
      </c>
      <c r="F473" s="1" t="s">
        <v>101</v>
      </c>
      <c r="G473">
        <v>6</v>
      </c>
      <c r="H473">
        <v>1</v>
      </c>
      <c r="I473" s="2">
        <f t="shared" si="21"/>
        <v>0.19634399999999999</v>
      </c>
      <c r="J473">
        <f t="shared" si="22"/>
        <v>7.3290033594624856E-3</v>
      </c>
      <c r="K473">
        <f t="shared" si="23"/>
        <v>5.1278140506659693E-3</v>
      </c>
    </row>
    <row r="474" spans="1:11" x14ac:dyDescent="0.25">
      <c r="A474" s="1">
        <v>1962</v>
      </c>
      <c r="B474" s="1" t="s">
        <v>99</v>
      </c>
      <c r="C474" t="s">
        <v>9</v>
      </c>
      <c r="D474" s="1" t="s">
        <v>3</v>
      </c>
      <c r="E474">
        <v>29</v>
      </c>
      <c r="F474" s="1" t="s">
        <v>101</v>
      </c>
      <c r="G474">
        <v>6</v>
      </c>
      <c r="H474">
        <v>50</v>
      </c>
      <c r="I474" s="2">
        <f t="shared" si="21"/>
        <v>9.8171999999999997</v>
      </c>
      <c r="J474">
        <f t="shared" si="22"/>
        <v>0.3664501679731243</v>
      </c>
      <c r="K474">
        <f t="shared" si="23"/>
        <v>0.25639070253329849</v>
      </c>
    </row>
    <row r="475" spans="1:11" x14ac:dyDescent="0.25">
      <c r="A475" s="1">
        <v>1962</v>
      </c>
      <c r="B475" s="1" t="s">
        <v>99</v>
      </c>
      <c r="C475" t="s">
        <v>9</v>
      </c>
      <c r="D475" s="1" t="s">
        <v>3</v>
      </c>
      <c r="E475">
        <v>29</v>
      </c>
      <c r="F475" s="1" t="s">
        <v>101</v>
      </c>
      <c r="G475">
        <v>8</v>
      </c>
      <c r="H475">
        <v>25</v>
      </c>
      <c r="I475" s="2">
        <f t="shared" si="21"/>
        <v>8.7263999999999999</v>
      </c>
      <c r="J475">
        <f t="shared" si="22"/>
        <v>0.32573348264277718</v>
      </c>
      <c r="K475">
        <f t="shared" si="23"/>
        <v>0.22790284669626534</v>
      </c>
    </row>
    <row r="476" spans="1:11" x14ac:dyDescent="0.25">
      <c r="A476" s="1">
        <v>1962</v>
      </c>
      <c r="B476" s="1" t="s">
        <v>99</v>
      </c>
      <c r="C476" t="s">
        <v>9</v>
      </c>
      <c r="D476" s="1" t="s">
        <v>3</v>
      </c>
      <c r="E476">
        <v>29</v>
      </c>
      <c r="F476" s="1" t="s">
        <v>101</v>
      </c>
      <c r="G476">
        <v>10</v>
      </c>
      <c r="H476">
        <v>1</v>
      </c>
      <c r="I476" s="2">
        <f t="shared" si="21"/>
        <v>0.5454</v>
      </c>
      <c r="J476">
        <f t="shared" si="22"/>
        <v>2.0358342665173574E-2</v>
      </c>
      <c r="K476">
        <f t="shared" si="23"/>
        <v>1.4243927918516584E-2</v>
      </c>
    </row>
    <row r="477" spans="1:11" x14ac:dyDescent="0.25">
      <c r="A477" s="1">
        <v>1962</v>
      </c>
      <c r="B477" s="1" t="s">
        <v>99</v>
      </c>
      <c r="C477" t="s">
        <v>9</v>
      </c>
      <c r="D477" s="1" t="s">
        <v>3</v>
      </c>
      <c r="E477">
        <v>29</v>
      </c>
      <c r="F477" s="1" t="s">
        <v>101</v>
      </c>
      <c r="G477">
        <v>12</v>
      </c>
      <c r="H477">
        <v>1</v>
      </c>
      <c r="I477" s="2">
        <f t="shared" si="21"/>
        <v>0.78537599999999996</v>
      </c>
      <c r="J477">
        <f t="shared" si="22"/>
        <v>2.9316013437849942E-2</v>
      </c>
      <c r="K477">
        <f t="shared" si="23"/>
        <v>2.0511256202663877E-2</v>
      </c>
    </row>
    <row r="478" spans="1:11" x14ac:dyDescent="0.25">
      <c r="A478" s="1">
        <v>1962</v>
      </c>
      <c r="B478" s="1" t="s">
        <v>99</v>
      </c>
      <c r="C478" t="s">
        <v>9</v>
      </c>
      <c r="D478" s="1" t="s">
        <v>3</v>
      </c>
      <c r="E478">
        <v>30</v>
      </c>
      <c r="F478" s="1" t="s">
        <v>101</v>
      </c>
      <c r="G478">
        <v>6</v>
      </c>
      <c r="H478">
        <v>3</v>
      </c>
      <c r="I478" s="2">
        <f t="shared" si="21"/>
        <v>0.589032</v>
      </c>
      <c r="J478">
        <f t="shared" si="22"/>
        <v>2.1987010078387458E-2</v>
      </c>
      <c r="K478">
        <f t="shared" si="23"/>
        <v>1.538344215199791E-2</v>
      </c>
    </row>
    <row r="479" spans="1:11" x14ac:dyDescent="0.25">
      <c r="A479" s="1">
        <v>1962</v>
      </c>
      <c r="B479" s="1" t="s">
        <v>99</v>
      </c>
      <c r="C479" t="s">
        <v>9</v>
      </c>
      <c r="D479" s="1" t="s">
        <v>3</v>
      </c>
      <c r="E479">
        <v>32</v>
      </c>
      <c r="F479" s="1" t="s">
        <v>101</v>
      </c>
      <c r="G479">
        <v>6</v>
      </c>
      <c r="H479">
        <v>28</v>
      </c>
      <c r="I479" s="2">
        <f t="shared" si="21"/>
        <v>5.4976319999999994</v>
      </c>
      <c r="J479">
        <f t="shared" si="22"/>
        <v>0.20521209406494959</v>
      </c>
      <c r="K479">
        <f t="shared" si="23"/>
        <v>0.14357879341864713</v>
      </c>
    </row>
    <row r="480" spans="1:11" x14ac:dyDescent="0.25">
      <c r="A480" s="1">
        <v>1962</v>
      </c>
      <c r="B480" s="1" t="s">
        <v>99</v>
      </c>
      <c r="C480" t="s">
        <v>9</v>
      </c>
      <c r="D480" s="1" t="s">
        <v>3</v>
      </c>
      <c r="E480">
        <v>32</v>
      </c>
      <c r="F480" s="1" t="s">
        <v>101</v>
      </c>
      <c r="G480">
        <v>8</v>
      </c>
      <c r="H480">
        <v>9</v>
      </c>
      <c r="I480" s="2">
        <f t="shared" si="21"/>
        <v>3.1415039999999999</v>
      </c>
      <c r="J480">
        <f t="shared" si="22"/>
        <v>0.11726405375139977</v>
      </c>
      <c r="K480">
        <f t="shared" si="23"/>
        <v>8.2045024810655509E-2</v>
      </c>
    </row>
    <row r="481" spans="1:11" x14ac:dyDescent="0.25">
      <c r="A481" s="1">
        <v>1962</v>
      </c>
      <c r="B481" s="1" t="s">
        <v>99</v>
      </c>
      <c r="C481" t="s">
        <v>9</v>
      </c>
      <c r="D481" s="1" t="s">
        <v>3</v>
      </c>
      <c r="E481">
        <v>32</v>
      </c>
      <c r="F481" s="1" t="s">
        <v>101</v>
      </c>
      <c r="G481">
        <v>10</v>
      </c>
      <c r="H481">
        <v>2</v>
      </c>
      <c r="I481" s="2">
        <f t="shared" si="21"/>
        <v>1.0908</v>
      </c>
      <c r="J481">
        <f t="shared" si="22"/>
        <v>4.0716685330347148E-2</v>
      </c>
      <c r="K481">
        <f t="shared" si="23"/>
        <v>2.8487855837033168E-2</v>
      </c>
    </row>
    <row r="482" spans="1:11" x14ac:dyDescent="0.25">
      <c r="A482" s="1">
        <v>1962</v>
      </c>
      <c r="B482" s="1" t="s">
        <v>99</v>
      </c>
      <c r="C482" t="s">
        <v>9</v>
      </c>
      <c r="D482" s="1" t="s">
        <v>3</v>
      </c>
      <c r="E482">
        <v>32</v>
      </c>
      <c r="F482" s="1" t="s">
        <v>101</v>
      </c>
      <c r="G482">
        <v>12</v>
      </c>
      <c r="H482">
        <v>5</v>
      </c>
      <c r="I482" s="2">
        <f t="shared" si="21"/>
        <v>3.9268799999999997</v>
      </c>
      <c r="J482">
        <f t="shared" si="22"/>
        <v>0.14658006718924971</v>
      </c>
      <c r="K482">
        <f t="shared" si="23"/>
        <v>0.10255628101331939</v>
      </c>
    </row>
    <row r="483" spans="1:11" x14ac:dyDescent="0.25">
      <c r="A483" s="1">
        <v>1962</v>
      </c>
      <c r="B483" s="1" t="s">
        <v>99</v>
      </c>
      <c r="C483" t="s">
        <v>9</v>
      </c>
      <c r="D483" s="1" t="s">
        <v>3</v>
      </c>
      <c r="E483">
        <v>32</v>
      </c>
      <c r="F483" s="1" t="s">
        <v>101</v>
      </c>
      <c r="G483">
        <v>14</v>
      </c>
      <c r="H483">
        <v>5</v>
      </c>
      <c r="I483" s="2">
        <f t="shared" si="21"/>
        <v>5.3449200000000001</v>
      </c>
      <c r="J483">
        <f t="shared" si="22"/>
        <v>0.199511758118701</v>
      </c>
      <c r="K483">
        <f t="shared" si="23"/>
        <v>0.1395904936014625</v>
      </c>
    </row>
    <row r="484" spans="1:11" x14ac:dyDescent="0.25">
      <c r="A484" s="1">
        <v>1962</v>
      </c>
      <c r="B484" s="1" t="s">
        <v>99</v>
      </c>
      <c r="C484" t="s">
        <v>9</v>
      </c>
      <c r="D484" s="1" t="s">
        <v>3</v>
      </c>
      <c r="E484">
        <v>32</v>
      </c>
      <c r="F484" s="1" t="s">
        <v>101</v>
      </c>
      <c r="G484">
        <v>16</v>
      </c>
      <c r="H484">
        <v>7</v>
      </c>
      <c r="I484" s="2">
        <f t="shared" si="21"/>
        <v>9.7735679999999991</v>
      </c>
      <c r="J484">
        <f t="shared" si="22"/>
        <v>0.36482150055991042</v>
      </c>
      <c r="K484">
        <f t="shared" si="23"/>
        <v>0.25525118829981719</v>
      </c>
    </row>
    <row r="485" spans="1:11" x14ac:dyDescent="0.25">
      <c r="A485" s="1">
        <v>1962</v>
      </c>
      <c r="B485" s="1" t="s">
        <v>99</v>
      </c>
      <c r="C485" t="s">
        <v>9</v>
      </c>
      <c r="D485" s="1" t="s">
        <v>3</v>
      </c>
      <c r="E485">
        <v>32</v>
      </c>
      <c r="F485" s="1" t="s">
        <v>101</v>
      </c>
      <c r="G485">
        <v>18</v>
      </c>
      <c r="H485">
        <v>2</v>
      </c>
      <c r="I485" s="2">
        <f t="shared" si="21"/>
        <v>3.5341919999999996</v>
      </c>
      <c r="J485">
        <f t="shared" si="22"/>
        <v>0.13192206047032473</v>
      </c>
      <c r="K485">
        <f t="shared" si="23"/>
        <v>9.2300652911987441E-2</v>
      </c>
    </row>
    <row r="486" spans="1:11" x14ac:dyDescent="0.25">
      <c r="A486" s="1">
        <v>1962</v>
      </c>
      <c r="B486" s="1" t="s">
        <v>99</v>
      </c>
      <c r="C486" t="s">
        <v>9</v>
      </c>
      <c r="D486" s="1" t="s">
        <v>3</v>
      </c>
      <c r="E486">
        <v>34</v>
      </c>
      <c r="F486" s="1" t="s">
        <v>101</v>
      </c>
      <c r="G486">
        <v>6</v>
      </c>
      <c r="H486">
        <v>119</v>
      </c>
      <c r="I486" s="2">
        <f t="shared" si="21"/>
        <v>23.364936</v>
      </c>
      <c r="J486">
        <f t="shared" si="22"/>
        <v>0.87215139977603584</v>
      </c>
      <c r="K486">
        <f t="shared" si="23"/>
        <v>0.61020987202925037</v>
      </c>
    </row>
    <row r="487" spans="1:11" x14ac:dyDescent="0.25">
      <c r="A487" s="1">
        <v>1962</v>
      </c>
      <c r="B487" s="1" t="s">
        <v>99</v>
      </c>
      <c r="C487" t="s">
        <v>9</v>
      </c>
      <c r="D487" s="1" t="s">
        <v>3</v>
      </c>
      <c r="E487">
        <v>34</v>
      </c>
      <c r="F487" s="1" t="s">
        <v>101</v>
      </c>
      <c r="G487">
        <v>8</v>
      </c>
      <c r="H487">
        <v>50</v>
      </c>
      <c r="I487" s="2">
        <f t="shared" si="21"/>
        <v>17.4528</v>
      </c>
      <c r="J487">
        <f t="shared" si="22"/>
        <v>0.65146696528555437</v>
      </c>
      <c r="K487">
        <f t="shared" si="23"/>
        <v>0.45580569339253069</v>
      </c>
    </row>
    <row r="488" spans="1:11" x14ac:dyDescent="0.25">
      <c r="A488" s="1">
        <v>1962</v>
      </c>
      <c r="B488" s="1" t="s">
        <v>99</v>
      </c>
      <c r="C488" t="s">
        <v>9</v>
      </c>
      <c r="D488" s="1" t="s">
        <v>3</v>
      </c>
      <c r="E488">
        <v>34</v>
      </c>
      <c r="F488" s="1" t="s">
        <v>101</v>
      </c>
      <c r="G488">
        <v>10</v>
      </c>
      <c r="H488">
        <v>45</v>
      </c>
      <c r="I488" s="2">
        <f t="shared" si="21"/>
        <v>24.542999999999999</v>
      </c>
      <c r="J488">
        <f t="shared" si="22"/>
        <v>0.91612541993281071</v>
      </c>
      <c r="K488">
        <f t="shared" si="23"/>
        <v>0.64097675633324624</v>
      </c>
    </row>
    <row r="489" spans="1:11" x14ac:dyDescent="0.25">
      <c r="A489" s="1">
        <v>1962</v>
      </c>
      <c r="B489" s="1" t="s">
        <v>99</v>
      </c>
      <c r="C489" t="s">
        <v>9</v>
      </c>
      <c r="D489" s="1" t="s">
        <v>3</v>
      </c>
      <c r="E489">
        <v>34</v>
      </c>
      <c r="F489" s="1" t="s">
        <v>101</v>
      </c>
      <c r="G489">
        <v>12</v>
      </c>
      <c r="H489">
        <v>30</v>
      </c>
      <c r="I489" s="2">
        <f t="shared" si="21"/>
        <v>23.56128</v>
      </c>
      <c r="J489">
        <f t="shared" si="22"/>
        <v>0.87948040313549836</v>
      </c>
      <c r="K489">
        <f t="shared" si="23"/>
        <v>0.61533768607991646</v>
      </c>
    </row>
    <row r="490" spans="1:11" x14ac:dyDescent="0.25">
      <c r="A490" s="1">
        <v>1962</v>
      </c>
      <c r="B490" s="1" t="s">
        <v>99</v>
      </c>
      <c r="C490" t="s">
        <v>9</v>
      </c>
      <c r="D490" s="1" t="s">
        <v>3</v>
      </c>
      <c r="E490">
        <v>34</v>
      </c>
      <c r="F490" s="1" t="s">
        <v>101</v>
      </c>
      <c r="G490">
        <v>14</v>
      </c>
      <c r="H490">
        <v>34</v>
      </c>
      <c r="I490" s="2">
        <f t="shared" si="21"/>
        <v>36.345455999999999</v>
      </c>
      <c r="J490">
        <f t="shared" si="22"/>
        <v>1.3566799552071669</v>
      </c>
      <c r="K490">
        <f t="shared" si="23"/>
        <v>0.94921535648994515</v>
      </c>
    </row>
    <row r="491" spans="1:11" x14ac:dyDescent="0.25">
      <c r="A491" s="1">
        <v>1962</v>
      </c>
      <c r="B491" s="1" t="s">
        <v>99</v>
      </c>
      <c r="C491" t="s">
        <v>9</v>
      </c>
      <c r="D491" s="1" t="s">
        <v>3</v>
      </c>
      <c r="E491">
        <v>34</v>
      </c>
      <c r="F491" s="1" t="s">
        <v>101</v>
      </c>
      <c r="G491">
        <v>16</v>
      </c>
      <c r="H491">
        <v>33</v>
      </c>
      <c r="I491" s="2">
        <f t="shared" si="21"/>
        <v>46.075391999999994</v>
      </c>
      <c r="J491">
        <f t="shared" si="22"/>
        <v>1.7198727883538631</v>
      </c>
      <c r="K491">
        <f t="shared" si="23"/>
        <v>1.2033270305562809</v>
      </c>
    </row>
    <row r="492" spans="1:11" x14ac:dyDescent="0.25">
      <c r="A492" s="1">
        <v>1962</v>
      </c>
      <c r="B492" s="1" t="s">
        <v>99</v>
      </c>
      <c r="C492" t="s">
        <v>9</v>
      </c>
      <c r="D492" s="1" t="s">
        <v>3</v>
      </c>
      <c r="E492">
        <v>34</v>
      </c>
      <c r="F492" s="1" t="s">
        <v>101</v>
      </c>
      <c r="G492">
        <v>18</v>
      </c>
      <c r="H492">
        <v>23</v>
      </c>
      <c r="I492" s="2">
        <f t="shared" si="21"/>
        <v>40.643207999999994</v>
      </c>
      <c r="J492">
        <f t="shared" si="22"/>
        <v>1.5171036954087345</v>
      </c>
      <c r="K492">
        <f t="shared" si="23"/>
        <v>1.0614575084878557</v>
      </c>
    </row>
    <row r="493" spans="1:11" x14ac:dyDescent="0.25">
      <c r="A493" s="1">
        <v>1962</v>
      </c>
      <c r="B493" s="1" t="s">
        <v>99</v>
      </c>
      <c r="C493" t="s">
        <v>9</v>
      </c>
      <c r="D493" s="1" t="s">
        <v>3</v>
      </c>
      <c r="E493">
        <v>38</v>
      </c>
      <c r="F493" s="1" t="s">
        <v>101</v>
      </c>
      <c r="G493">
        <v>6</v>
      </c>
      <c r="H493">
        <v>189</v>
      </c>
      <c r="I493" s="2">
        <f t="shared" si="21"/>
        <v>37.109015999999997</v>
      </c>
      <c r="J493">
        <f t="shared" si="22"/>
        <v>1.3851816349384098</v>
      </c>
      <c r="K493">
        <f t="shared" si="23"/>
        <v>0.96915685557586828</v>
      </c>
    </row>
    <row r="494" spans="1:11" x14ac:dyDescent="0.25">
      <c r="A494" s="1">
        <v>1962</v>
      </c>
      <c r="B494" s="1" t="s">
        <v>99</v>
      </c>
      <c r="C494" t="s">
        <v>9</v>
      </c>
      <c r="D494" s="1" t="s">
        <v>3</v>
      </c>
      <c r="E494">
        <v>38</v>
      </c>
      <c r="F494" s="1" t="s">
        <v>101</v>
      </c>
      <c r="G494">
        <v>8</v>
      </c>
      <c r="H494">
        <v>170</v>
      </c>
      <c r="I494" s="2">
        <f t="shared" si="21"/>
        <v>59.339519999999993</v>
      </c>
      <c r="J494">
        <f t="shared" si="22"/>
        <v>2.2149876819708845</v>
      </c>
      <c r="K494">
        <f t="shared" si="23"/>
        <v>1.5497393575346041</v>
      </c>
    </row>
    <row r="495" spans="1:11" x14ac:dyDescent="0.25">
      <c r="A495" s="1">
        <v>1962</v>
      </c>
      <c r="B495" s="1" t="s">
        <v>99</v>
      </c>
      <c r="C495" t="s">
        <v>9</v>
      </c>
      <c r="D495" s="1" t="s">
        <v>3</v>
      </c>
      <c r="E495">
        <v>38</v>
      </c>
      <c r="F495" s="1" t="s">
        <v>101</v>
      </c>
      <c r="G495">
        <v>10</v>
      </c>
      <c r="H495">
        <v>128</v>
      </c>
      <c r="I495" s="2">
        <f t="shared" si="21"/>
        <v>69.811199999999999</v>
      </c>
      <c r="J495">
        <f t="shared" si="22"/>
        <v>2.6058678611422175</v>
      </c>
      <c r="K495">
        <f t="shared" si="23"/>
        <v>1.8232227735701227</v>
      </c>
    </row>
    <row r="496" spans="1:11" x14ac:dyDescent="0.25">
      <c r="A496" s="1">
        <v>1962</v>
      </c>
      <c r="B496" s="1" t="s">
        <v>99</v>
      </c>
      <c r="C496" t="s">
        <v>9</v>
      </c>
      <c r="D496" s="1" t="s">
        <v>3</v>
      </c>
      <c r="E496">
        <v>38</v>
      </c>
      <c r="F496" s="1" t="s">
        <v>101</v>
      </c>
      <c r="G496">
        <v>12</v>
      </c>
      <c r="H496">
        <v>85</v>
      </c>
      <c r="I496" s="2">
        <f t="shared" si="21"/>
        <v>66.756959999999992</v>
      </c>
      <c r="J496">
        <f t="shared" si="22"/>
        <v>2.4918611422172452</v>
      </c>
      <c r="K496">
        <f t="shared" si="23"/>
        <v>1.7434567772264298</v>
      </c>
    </row>
    <row r="497" spans="1:11" x14ac:dyDescent="0.25">
      <c r="A497" s="1">
        <v>1962</v>
      </c>
      <c r="B497" s="1" t="s">
        <v>99</v>
      </c>
      <c r="C497" t="s">
        <v>9</v>
      </c>
      <c r="D497" s="1" t="s">
        <v>3</v>
      </c>
      <c r="E497">
        <v>38</v>
      </c>
      <c r="F497" s="1" t="s">
        <v>101</v>
      </c>
      <c r="G497">
        <v>14</v>
      </c>
      <c r="H497">
        <v>42</v>
      </c>
      <c r="I497" s="2">
        <f t="shared" si="21"/>
        <v>44.897327999999995</v>
      </c>
      <c r="J497">
        <f t="shared" si="22"/>
        <v>1.6758987681970883</v>
      </c>
      <c r="K497">
        <f t="shared" si="23"/>
        <v>1.172560146252285</v>
      </c>
    </row>
    <row r="498" spans="1:11" x14ac:dyDescent="0.25">
      <c r="A498" s="1">
        <v>1962</v>
      </c>
      <c r="B498" s="1" t="s">
        <v>99</v>
      </c>
      <c r="C498" t="s">
        <v>9</v>
      </c>
      <c r="D498" s="1" t="s">
        <v>3</v>
      </c>
      <c r="E498">
        <v>38</v>
      </c>
      <c r="F498" s="1" t="s">
        <v>101</v>
      </c>
      <c r="G498">
        <v>16</v>
      </c>
      <c r="H498">
        <v>32</v>
      </c>
      <c r="I498" s="2">
        <f t="shared" si="21"/>
        <v>44.679167999999997</v>
      </c>
      <c r="J498">
        <f t="shared" si="22"/>
        <v>1.667755431131019</v>
      </c>
      <c r="K498">
        <f t="shared" si="23"/>
        <v>1.1668625750848785</v>
      </c>
    </row>
    <row r="499" spans="1:11" x14ac:dyDescent="0.25">
      <c r="A499" s="1">
        <v>1962</v>
      </c>
      <c r="B499" s="1" t="s">
        <v>99</v>
      </c>
      <c r="C499" t="s">
        <v>9</v>
      </c>
      <c r="D499" s="1" t="s">
        <v>3</v>
      </c>
      <c r="E499">
        <v>38</v>
      </c>
      <c r="F499" s="1" t="s">
        <v>101</v>
      </c>
      <c r="G499">
        <v>18</v>
      </c>
      <c r="H499">
        <v>22</v>
      </c>
      <c r="I499" s="2">
        <f t="shared" si="21"/>
        <v>38.876111999999992</v>
      </c>
      <c r="J499">
        <f t="shared" si="22"/>
        <v>1.4511426651735719</v>
      </c>
      <c r="K499">
        <f t="shared" si="23"/>
        <v>1.0153071820318618</v>
      </c>
    </row>
    <row r="500" spans="1:11" x14ac:dyDescent="0.25">
      <c r="A500" s="1">
        <v>1962</v>
      </c>
      <c r="B500" s="1" t="s">
        <v>99</v>
      </c>
      <c r="C500" t="s">
        <v>9</v>
      </c>
      <c r="D500" s="1" t="s">
        <v>3</v>
      </c>
      <c r="E500">
        <v>40</v>
      </c>
      <c r="F500" s="1" t="s">
        <v>101</v>
      </c>
      <c r="G500">
        <v>6</v>
      </c>
      <c r="H500">
        <v>198</v>
      </c>
      <c r="I500" s="2">
        <f t="shared" si="21"/>
        <v>38.876111999999999</v>
      </c>
      <c r="J500">
        <f t="shared" si="22"/>
        <v>1.4511426651735722</v>
      </c>
      <c r="K500">
        <f t="shared" si="23"/>
        <v>1.015307182031862</v>
      </c>
    </row>
    <row r="501" spans="1:11" x14ac:dyDescent="0.25">
      <c r="A501" s="1">
        <v>1962</v>
      </c>
      <c r="B501" s="1" t="s">
        <v>99</v>
      </c>
      <c r="C501" t="s">
        <v>9</v>
      </c>
      <c r="D501" s="1" t="s">
        <v>3</v>
      </c>
      <c r="E501">
        <v>40</v>
      </c>
      <c r="F501" s="1" t="s">
        <v>101</v>
      </c>
      <c r="G501">
        <v>8</v>
      </c>
      <c r="H501">
        <v>161</v>
      </c>
      <c r="I501" s="2">
        <f t="shared" si="21"/>
        <v>56.198015999999996</v>
      </c>
      <c r="J501">
        <f t="shared" si="22"/>
        <v>2.0977236282194847</v>
      </c>
      <c r="K501">
        <f t="shared" si="23"/>
        <v>1.4676943327239484</v>
      </c>
    </row>
    <row r="502" spans="1:11" x14ac:dyDescent="0.25">
      <c r="A502" s="1">
        <v>1962</v>
      </c>
      <c r="B502" s="1" t="s">
        <v>99</v>
      </c>
      <c r="C502" t="s">
        <v>9</v>
      </c>
      <c r="D502" s="1" t="s">
        <v>3</v>
      </c>
      <c r="E502">
        <v>40</v>
      </c>
      <c r="F502" s="1" t="s">
        <v>101</v>
      </c>
      <c r="G502">
        <v>10</v>
      </c>
      <c r="H502">
        <v>141</v>
      </c>
      <c r="I502" s="2">
        <f t="shared" si="21"/>
        <v>76.901399999999995</v>
      </c>
      <c r="J502">
        <f t="shared" si="22"/>
        <v>2.8705263157894736</v>
      </c>
      <c r="K502">
        <f t="shared" si="23"/>
        <v>2.0083938365108382</v>
      </c>
    </row>
    <row r="503" spans="1:11" x14ac:dyDescent="0.25">
      <c r="A503" s="1">
        <v>1962</v>
      </c>
      <c r="B503" s="1" t="s">
        <v>99</v>
      </c>
      <c r="C503" t="s">
        <v>9</v>
      </c>
      <c r="D503" s="1" t="s">
        <v>3</v>
      </c>
      <c r="E503">
        <v>40</v>
      </c>
      <c r="F503" s="1" t="s">
        <v>101</v>
      </c>
      <c r="G503">
        <v>12</v>
      </c>
      <c r="H503">
        <v>88</v>
      </c>
      <c r="I503" s="2">
        <f t="shared" si="21"/>
        <v>69.113087999999991</v>
      </c>
      <c r="J503">
        <f t="shared" si="22"/>
        <v>2.5798091825307949</v>
      </c>
      <c r="K503">
        <f t="shared" si="23"/>
        <v>1.8049905458344213</v>
      </c>
    </row>
    <row r="504" spans="1:11" x14ac:dyDescent="0.25">
      <c r="A504" s="1">
        <v>1962</v>
      </c>
      <c r="B504" s="1" t="s">
        <v>99</v>
      </c>
      <c r="C504" t="s">
        <v>9</v>
      </c>
      <c r="D504" s="1" t="s">
        <v>3</v>
      </c>
      <c r="E504">
        <v>40</v>
      </c>
      <c r="F504" s="1" t="s">
        <v>101</v>
      </c>
      <c r="G504">
        <v>14</v>
      </c>
      <c r="H504">
        <v>53</v>
      </c>
      <c r="I504" s="2">
        <f t="shared" si="21"/>
        <v>56.656151999999999</v>
      </c>
      <c r="J504">
        <f t="shared" si="22"/>
        <v>2.1148246360582306</v>
      </c>
      <c r="K504">
        <f t="shared" si="23"/>
        <v>1.4796592321755027</v>
      </c>
    </row>
    <row r="505" spans="1:11" x14ac:dyDescent="0.25">
      <c r="A505" s="1">
        <v>1962</v>
      </c>
      <c r="B505" s="1" t="s">
        <v>99</v>
      </c>
      <c r="C505" t="s">
        <v>9</v>
      </c>
      <c r="D505" s="1" t="s">
        <v>3</v>
      </c>
      <c r="E505">
        <v>40</v>
      </c>
      <c r="F505" s="1" t="s">
        <v>101</v>
      </c>
      <c r="G505">
        <v>16</v>
      </c>
      <c r="H505">
        <v>39</v>
      </c>
      <c r="I505" s="2">
        <f t="shared" si="21"/>
        <v>54.452735999999994</v>
      </c>
      <c r="J505">
        <f t="shared" si="22"/>
        <v>2.0325769316909295</v>
      </c>
      <c r="K505">
        <f t="shared" si="23"/>
        <v>1.4221137633846956</v>
      </c>
    </row>
    <row r="506" spans="1:11" x14ac:dyDescent="0.25">
      <c r="A506" s="1">
        <v>1962</v>
      </c>
      <c r="B506" s="1" t="s">
        <v>99</v>
      </c>
      <c r="C506" t="s">
        <v>9</v>
      </c>
      <c r="D506" s="1" t="s">
        <v>3</v>
      </c>
      <c r="E506">
        <v>40</v>
      </c>
      <c r="F506" s="1" t="s">
        <v>101</v>
      </c>
      <c r="G506">
        <v>18</v>
      </c>
      <c r="H506">
        <v>15</v>
      </c>
      <c r="I506" s="2">
        <f t="shared" si="21"/>
        <v>26.506439999999998</v>
      </c>
      <c r="J506">
        <f t="shared" si="22"/>
        <v>0.98941545352743554</v>
      </c>
      <c r="K506">
        <f t="shared" si="23"/>
        <v>0.69225489683990593</v>
      </c>
    </row>
    <row r="507" spans="1:11" x14ac:dyDescent="0.25">
      <c r="A507" s="1">
        <v>1962</v>
      </c>
      <c r="B507" s="1" t="s">
        <v>99</v>
      </c>
      <c r="C507" t="s">
        <v>9</v>
      </c>
      <c r="D507" s="1" t="s">
        <v>3</v>
      </c>
      <c r="E507">
        <v>40</v>
      </c>
      <c r="F507" s="1" t="s">
        <v>101</v>
      </c>
      <c r="G507">
        <v>20</v>
      </c>
      <c r="H507">
        <v>4</v>
      </c>
      <c r="I507" s="2">
        <f t="shared" si="21"/>
        <v>8.7263999999999999</v>
      </c>
      <c r="J507">
        <f t="shared" si="22"/>
        <v>0.32573348264277718</v>
      </c>
      <c r="K507">
        <f t="shared" si="23"/>
        <v>0.22790284669626534</v>
      </c>
    </row>
    <row r="508" spans="1:11" x14ac:dyDescent="0.25">
      <c r="A508" s="1">
        <v>1962</v>
      </c>
      <c r="B508" s="1" t="s">
        <v>99</v>
      </c>
      <c r="C508" t="s">
        <v>9</v>
      </c>
      <c r="D508" s="1" t="s">
        <v>3</v>
      </c>
      <c r="E508">
        <v>41</v>
      </c>
      <c r="F508" s="1" t="s">
        <v>101</v>
      </c>
      <c r="G508">
        <v>6</v>
      </c>
      <c r="H508">
        <v>4</v>
      </c>
      <c r="I508" s="2">
        <f t="shared" si="21"/>
        <v>0.78537599999999996</v>
      </c>
      <c r="J508">
        <f t="shared" si="22"/>
        <v>2.9316013437849942E-2</v>
      </c>
      <c r="K508">
        <f t="shared" si="23"/>
        <v>2.0511256202663877E-2</v>
      </c>
    </row>
    <row r="509" spans="1:11" x14ac:dyDescent="0.25">
      <c r="A509" s="1">
        <v>1962</v>
      </c>
      <c r="B509" s="1" t="s">
        <v>99</v>
      </c>
      <c r="C509" t="s">
        <v>9</v>
      </c>
      <c r="D509" s="1" t="s">
        <v>3</v>
      </c>
      <c r="E509">
        <v>41</v>
      </c>
      <c r="F509" s="1" t="s">
        <v>101</v>
      </c>
      <c r="G509">
        <v>8</v>
      </c>
      <c r="H509">
        <v>8</v>
      </c>
      <c r="I509" s="2">
        <f t="shared" si="21"/>
        <v>2.7924479999999998</v>
      </c>
      <c r="J509">
        <f t="shared" si="22"/>
        <v>0.10423471444568869</v>
      </c>
      <c r="K509">
        <f t="shared" si="23"/>
        <v>7.2928910942804903E-2</v>
      </c>
    </row>
    <row r="510" spans="1:11" x14ac:dyDescent="0.25">
      <c r="A510" s="1">
        <v>1962</v>
      </c>
      <c r="B510" s="1" t="s">
        <v>99</v>
      </c>
      <c r="C510" t="s">
        <v>9</v>
      </c>
      <c r="D510" s="1" t="s">
        <v>3</v>
      </c>
      <c r="E510">
        <v>41</v>
      </c>
      <c r="F510" s="1" t="s">
        <v>101</v>
      </c>
      <c r="G510">
        <v>10</v>
      </c>
      <c r="H510">
        <v>9</v>
      </c>
      <c r="I510" s="2">
        <f t="shared" si="21"/>
        <v>4.9085999999999999</v>
      </c>
      <c r="J510">
        <f t="shared" si="22"/>
        <v>0.18322508398656215</v>
      </c>
      <c r="K510">
        <f t="shared" si="23"/>
        <v>0.12819535126664924</v>
      </c>
    </row>
    <row r="511" spans="1:11" x14ac:dyDescent="0.25">
      <c r="A511" s="1">
        <v>1962</v>
      </c>
      <c r="B511" s="1" t="s">
        <v>99</v>
      </c>
      <c r="C511" t="s">
        <v>9</v>
      </c>
      <c r="D511" s="1" t="s">
        <v>3</v>
      </c>
      <c r="E511">
        <v>41</v>
      </c>
      <c r="F511" s="1" t="s">
        <v>101</v>
      </c>
      <c r="G511">
        <v>12</v>
      </c>
      <c r="H511">
        <v>8</v>
      </c>
      <c r="I511" s="2">
        <f t="shared" si="21"/>
        <v>6.2830079999999997</v>
      </c>
      <c r="J511">
        <f t="shared" si="22"/>
        <v>0.23452810750279954</v>
      </c>
      <c r="K511">
        <f t="shared" si="23"/>
        <v>0.16409004962131102</v>
      </c>
    </row>
    <row r="512" spans="1:11" x14ac:dyDescent="0.25">
      <c r="A512" s="1">
        <v>1962</v>
      </c>
      <c r="B512" s="1" t="s">
        <v>99</v>
      </c>
      <c r="C512" t="s">
        <v>9</v>
      </c>
      <c r="D512" s="1" t="s">
        <v>3</v>
      </c>
      <c r="E512">
        <v>41</v>
      </c>
      <c r="F512" s="1" t="s">
        <v>101</v>
      </c>
      <c r="G512">
        <v>14</v>
      </c>
      <c r="H512">
        <v>14</v>
      </c>
      <c r="I512" s="2">
        <f t="shared" si="21"/>
        <v>14.965775999999998</v>
      </c>
      <c r="J512">
        <f t="shared" si="22"/>
        <v>0.55863292273236276</v>
      </c>
      <c r="K512">
        <f t="shared" si="23"/>
        <v>0.39085338208409498</v>
      </c>
    </row>
    <row r="513" spans="1:11" x14ac:dyDescent="0.25">
      <c r="A513" s="1">
        <v>1962</v>
      </c>
      <c r="B513" s="1" t="s">
        <v>99</v>
      </c>
      <c r="C513" t="s">
        <v>9</v>
      </c>
      <c r="D513" s="1" t="s">
        <v>3</v>
      </c>
      <c r="E513">
        <v>41</v>
      </c>
      <c r="F513" s="1" t="s">
        <v>101</v>
      </c>
      <c r="G513">
        <v>16</v>
      </c>
      <c r="H513">
        <v>4</v>
      </c>
      <c r="I513" s="2">
        <f t="shared" si="21"/>
        <v>5.5848959999999996</v>
      </c>
      <c r="J513">
        <f t="shared" si="22"/>
        <v>0.20846942889137737</v>
      </c>
      <c r="K513">
        <f t="shared" si="23"/>
        <v>0.14585782188560981</v>
      </c>
    </row>
    <row r="514" spans="1:11" x14ac:dyDescent="0.25">
      <c r="A514" s="1">
        <v>1962</v>
      </c>
      <c r="B514" s="1" t="s">
        <v>99</v>
      </c>
      <c r="C514" t="s">
        <v>9</v>
      </c>
      <c r="D514" s="1" t="s">
        <v>3</v>
      </c>
      <c r="E514">
        <v>41</v>
      </c>
      <c r="F514" s="1" t="s">
        <v>101</v>
      </c>
      <c r="G514">
        <v>18</v>
      </c>
      <c r="H514">
        <v>6</v>
      </c>
      <c r="I514" s="2">
        <f t="shared" si="21"/>
        <v>10.602575999999999</v>
      </c>
      <c r="J514">
        <f t="shared" si="22"/>
        <v>0.39576618141097425</v>
      </c>
      <c r="K514">
        <f t="shared" si="23"/>
        <v>0.27690195873596235</v>
      </c>
    </row>
    <row r="515" spans="1:11" x14ac:dyDescent="0.25">
      <c r="A515" s="1">
        <v>1962</v>
      </c>
      <c r="B515" s="1" t="s">
        <v>99</v>
      </c>
      <c r="C515" t="s">
        <v>9</v>
      </c>
      <c r="D515" s="1" t="s">
        <v>3</v>
      </c>
      <c r="E515">
        <v>47</v>
      </c>
      <c r="F515" s="1" t="s">
        <v>101</v>
      </c>
      <c r="G515">
        <v>6</v>
      </c>
      <c r="H515">
        <v>8</v>
      </c>
      <c r="I515" s="2">
        <f t="shared" ref="I515:I578" si="24">0.005454*G515^2*H515</f>
        <v>1.5707519999999999</v>
      </c>
      <c r="J515">
        <f t="shared" ref="J515:J578" si="25">I515/26.79</f>
        <v>5.8632026875699884E-2</v>
      </c>
      <c r="K515">
        <f t="shared" ref="K515:K578" si="26">J515*(26.79/38.29)</f>
        <v>4.1022512405327755E-2</v>
      </c>
    </row>
    <row r="516" spans="1:11" x14ac:dyDescent="0.25">
      <c r="A516" s="1">
        <v>1962</v>
      </c>
      <c r="B516" s="1" t="s">
        <v>99</v>
      </c>
      <c r="C516" t="s">
        <v>9</v>
      </c>
      <c r="D516" s="1" t="s">
        <v>3</v>
      </c>
      <c r="E516">
        <v>47</v>
      </c>
      <c r="F516" s="1" t="s">
        <v>101</v>
      </c>
      <c r="G516">
        <v>8</v>
      </c>
      <c r="H516">
        <v>9</v>
      </c>
      <c r="I516" s="2">
        <f t="shared" si="24"/>
        <v>3.1415039999999999</v>
      </c>
      <c r="J516">
        <f t="shared" si="25"/>
        <v>0.11726405375139977</v>
      </c>
      <c r="K516">
        <f t="shared" si="26"/>
        <v>8.2045024810655509E-2</v>
      </c>
    </row>
    <row r="517" spans="1:11" x14ac:dyDescent="0.25">
      <c r="A517" s="1">
        <v>1962</v>
      </c>
      <c r="B517" s="1" t="s">
        <v>99</v>
      </c>
      <c r="C517" t="s">
        <v>9</v>
      </c>
      <c r="D517" s="1" t="s">
        <v>3</v>
      </c>
      <c r="E517">
        <v>47</v>
      </c>
      <c r="F517" s="1" t="s">
        <v>101</v>
      </c>
      <c r="G517">
        <v>10</v>
      </c>
      <c r="H517">
        <v>2</v>
      </c>
      <c r="I517" s="2">
        <f t="shared" si="24"/>
        <v>1.0908</v>
      </c>
      <c r="J517">
        <f t="shared" si="25"/>
        <v>4.0716685330347148E-2</v>
      </c>
      <c r="K517">
        <f t="shared" si="26"/>
        <v>2.8487855837033168E-2</v>
      </c>
    </row>
    <row r="518" spans="1:11" x14ac:dyDescent="0.25">
      <c r="A518" s="1">
        <v>1962</v>
      </c>
      <c r="B518" s="1" t="s">
        <v>99</v>
      </c>
      <c r="C518" t="s">
        <v>9</v>
      </c>
      <c r="D518" s="1" t="s">
        <v>3</v>
      </c>
      <c r="E518">
        <v>47</v>
      </c>
      <c r="F518" s="1" t="s">
        <v>101</v>
      </c>
      <c r="G518">
        <v>12</v>
      </c>
      <c r="H518">
        <v>3</v>
      </c>
      <c r="I518" s="2">
        <f t="shared" si="24"/>
        <v>2.356128</v>
      </c>
      <c r="J518">
        <f t="shared" si="25"/>
        <v>8.794804031354983E-2</v>
      </c>
      <c r="K518">
        <f t="shared" si="26"/>
        <v>6.1533768607991639E-2</v>
      </c>
    </row>
    <row r="519" spans="1:11" x14ac:dyDescent="0.25">
      <c r="A519" s="1">
        <v>1962</v>
      </c>
      <c r="B519" s="1" t="s">
        <v>99</v>
      </c>
      <c r="C519" t="s">
        <v>9</v>
      </c>
      <c r="D519" s="1" t="s">
        <v>3</v>
      </c>
      <c r="E519">
        <v>47</v>
      </c>
      <c r="F519" s="1" t="s">
        <v>101</v>
      </c>
      <c r="G519">
        <v>14</v>
      </c>
      <c r="H519">
        <v>3</v>
      </c>
      <c r="I519" s="2">
        <f t="shared" si="24"/>
        <v>3.2069519999999998</v>
      </c>
      <c r="J519">
        <f t="shared" si="25"/>
        <v>0.1197070548712206</v>
      </c>
      <c r="K519">
        <f t="shared" si="26"/>
        <v>8.3754296160877512E-2</v>
      </c>
    </row>
    <row r="520" spans="1:11" x14ac:dyDescent="0.25">
      <c r="A520" s="1">
        <v>1962</v>
      </c>
      <c r="B520" s="1" t="s">
        <v>99</v>
      </c>
      <c r="C520" t="s">
        <v>9</v>
      </c>
      <c r="D520" s="1" t="s">
        <v>3</v>
      </c>
      <c r="E520">
        <v>47</v>
      </c>
      <c r="F520" s="1" t="s">
        <v>101</v>
      </c>
      <c r="G520">
        <v>16</v>
      </c>
      <c r="H520">
        <v>2</v>
      </c>
      <c r="I520" s="2">
        <f t="shared" si="24"/>
        <v>2.7924479999999998</v>
      </c>
      <c r="J520">
        <f t="shared" si="25"/>
        <v>0.10423471444568869</v>
      </c>
      <c r="K520">
        <f t="shared" si="26"/>
        <v>7.2928910942804903E-2</v>
      </c>
    </row>
    <row r="521" spans="1:11" x14ac:dyDescent="0.25">
      <c r="A521" s="1">
        <v>1962</v>
      </c>
      <c r="B521" s="1" t="s">
        <v>99</v>
      </c>
      <c r="C521" t="s">
        <v>9</v>
      </c>
      <c r="D521" s="1" t="s">
        <v>3</v>
      </c>
      <c r="E521">
        <v>47</v>
      </c>
      <c r="F521" s="1" t="s">
        <v>101</v>
      </c>
      <c r="G521">
        <v>18</v>
      </c>
      <c r="H521">
        <v>2</v>
      </c>
      <c r="I521" s="2">
        <f t="shared" si="24"/>
        <v>3.5341919999999996</v>
      </c>
      <c r="J521">
        <f t="shared" si="25"/>
        <v>0.13192206047032473</v>
      </c>
      <c r="K521">
        <f t="shared" si="26"/>
        <v>9.2300652911987441E-2</v>
      </c>
    </row>
    <row r="522" spans="1:11" x14ac:dyDescent="0.25">
      <c r="A522" s="1">
        <v>1962</v>
      </c>
      <c r="B522" s="1" t="s">
        <v>99</v>
      </c>
      <c r="C522" t="s">
        <v>9</v>
      </c>
      <c r="D522" s="1" t="s">
        <v>3</v>
      </c>
      <c r="E522">
        <v>53</v>
      </c>
      <c r="F522" s="1" t="s">
        <v>101</v>
      </c>
      <c r="G522">
        <v>6</v>
      </c>
      <c r="H522">
        <v>26</v>
      </c>
      <c r="I522" s="2">
        <f t="shared" si="24"/>
        <v>5.1049439999999997</v>
      </c>
      <c r="J522">
        <f t="shared" si="25"/>
        <v>0.19055408734602464</v>
      </c>
      <c r="K522">
        <f t="shared" si="26"/>
        <v>0.13332316531731522</v>
      </c>
    </row>
    <row r="523" spans="1:11" x14ac:dyDescent="0.25">
      <c r="A523" s="1">
        <v>1962</v>
      </c>
      <c r="B523" s="1" t="s">
        <v>99</v>
      </c>
      <c r="C523" t="s">
        <v>9</v>
      </c>
      <c r="D523" s="1" t="s">
        <v>3</v>
      </c>
      <c r="E523">
        <v>53</v>
      </c>
      <c r="F523" s="1" t="s">
        <v>101</v>
      </c>
      <c r="G523">
        <v>8</v>
      </c>
      <c r="H523">
        <v>32</v>
      </c>
      <c r="I523" s="2">
        <f t="shared" si="24"/>
        <v>11.169791999999999</v>
      </c>
      <c r="J523">
        <f t="shared" si="25"/>
        <v>0.41693885778275475</v>
      </c>
      <c r="K523">
        <f t="shared" si="26"/>
        <v>0.29171564377121961</v>
      </c>
    </row>
    <row r="524" spans="1:11" x14ac:dyDescent="0.25">
      <c r="A524" s="1">
        <v>1962</v>
      </c>
      <c r="B524" s="1" t="s">
        <v>99</v>
      </c>
      <c r="C524" t="s">
        <v>9</v>
      </c>
      <c r="D524" s="1" t="s">
        <v>3</v>
      </c>
      <c r="E524">
        <v>53</v>
      </c>
      <c r="F524" s="1" t="s">
        <v>101</v>
      </c>
      <c r="G524">
        <v>10</v>
      </c>
      <c r="H524">
        <v>14</v>
      </c>
      <c r="I524" s="2">
        <f t="shared" si="24"/>
        <v>7.6356000000000002</v>
      </c>
      <c r="J524">
        <f t="shared" si="25"/>
        <v>0.28501679731243001</v>
      </c>
      <c r="K524">
        <f t="shared" si="26"/>
        <v>0.19941499085923217</v>
      </c>
    </row>
    <row r="525" spans="1:11" x14ac:dyDescent="0.25">
      <c r="A525" s="1">
        <v>1962</v>
      </c>
      <c r="B525" s="1" t="s">
        <v>99</v>
      </c>
      <c r="C525" t="s">
        <v>9</v>
      </c>
      <c r="D525" s="1" t="s">
        <v>3</v>
      </c>
      <c r="E525">
        <v>53</v>
      </c>
      <c r="F525" s="1" t="s">
        <v>101</v>
      </c>
      <c r="G525">
        <v>12</v>
      </c>
      <c r="H525">
        <v>7</v>
      </c>
      <c r="I525" s="2">
        <f t="shared" si="24"/>
        <v>5.4976319999999994</v>
      </c>
      <c r="J525">
        <f t="shared" si="25"/>
        <v>0.20521209406494959</v>
      </c>
      <c r="K525">
        <f t="shared" si="26"/>
        <v>0.14357879341864713</v>
      </c>
    </row>
    <row r="526" spans="1:11" x14ac:dyDescent="0.25">
      <c r="A526" s="1">
        <v>1962</v>
      </c>
      <c r="B526" s="1" t="s">
        <v>99</v>
      </c>
      <c r="C526" t="s">
        <v>9</v>
      </c>
      <c r="D526" s="1" t="s">
        <v>3</v>
      </c>
      <c r="E526">
        <v>53</v>
      </c>
      <c r="F526" s="1" t="s">
        <v>101</v>
      </c>
      <c r="G526">
        <v>14</v>
      </c>
      <c r="H526">
        <v>2</v>
      </c>
      <c r="I526" s="2">
        <f t="shared" si="24"/>
        <v>2.1379679999999999</v>
      </c>
      <c r="J526">
        <f t="shared" si="25"/>
        <v>7.9804703247480402E-2</v>
      </c>
      <c r="K526">
        <f t="shared" si="26"/>
        <v>5.5836197440585003E-2</v>
      </c>
    </row>
    <row r="527" spans="1:11" x14ac:dyDescent="0.25">
      <c r="A527" s="1">
        <v>1962</v>
      </c>
      <c r="B527" s="1" t="s">
        <v>99</v>
      </c>
      <c r="C527" t="s">
        <v>9</v>
      </c>
      <c r="D527" s="1" t="s">
        <v>3</v>
      </c>
      <c r="E527">
        <v>53</v>
      </c>
      <c r="F527" s="1" t="s">
        <v>101</v>
      </c>
      <c r="G527">
        <v>16</v>
      </c>
      <c r="H527">
        <v>5</v>
      </c>
      <c r="I527" s="2">
        <f t="shared" si="24"/>
        <v>6.9811199999999998</v>
      </c>
      <c r="J527">
        <f t="shared" si="25"/>
        <v>0.2605867861142217</v>
      </c>
      <c r="K527">
        <f t="shared" si="26"/>
        <v>0.18232227735701226</v>
      </c>
    </row>
    <row r="528" spans="1:11" x14ac:dyDescent="0.25">
      <c r="A528" s="1">
        <v>1962</v>
      </c>
      <c r="B528" s="1" t="s">
        <v>99</v>
      </c>
      <c r="C528" t="s">
        <v>9</v>
      </c>
      <c r="D528" s="1" t="s">
        <v>3</v>
      </c>
      <c r="E528">
        <v>53</v>
      </c>
      <c r="F528" s="1" t="s">
        <v>101</v>
      </c>
      <c r="G528">
        <v>18</v>
      </c>
      <c r="H528">
        <v>1</v>
      </c>
      <c r="I528" s="2">
        <f t="shared" si="24"/>
        <v>1.7670959999999998</v>
      </c>
      <c r="J528">
        <f t="shared" si="25"/>
        <v>6.5961030235162366E-2</v>
      </c>
      <c r="K528">
        <f t="shared" si="26"/>
        <v>4.615032645599372E-2</v>
      </c>
    </row>
    <row r="529" spans="1:11" x14ac:dyDescent="0.25">
      <c r="A529" s="1">
        <v>1962</v>
      </c>
      <c r="B529" s="1" t="s">
        <v>99</v>
      </c>
      <c r="C529" t="s">
        <v>9</v>
      </c>
      <c r="D529" s="1" t="s">
        <v>3</v>
      </c>
      <c r="E529">
        <v>54</v>
      </c>
      <c r="F529" s="1" t="s">
        <v>101</v>
      </c>
      <c r="G529">
        <v>6</v>
      </c>
      <c r="H529">
        <v>41</v>
      </c>
      <c r="I529" s="2">
        <f t="shared" si="24"/>
        <v>8.0501039999999993</v>
      </c>
      <c r="J529">
        <f t="shared" si="25"/>
        <v>0.30048913773796193</v>
      </c>
      <c r="K529">
        <f t="shared" si="26"/>
        <v>0.21024037607730478</v>
      </c>
    </row>
    <row r="530" spans="1:11" x14ac:dyDescent="0.25">
      <c r="A530" s="1">
        <v>1962</v>
      </c>
      <c r="B530" s="1" t="s">
        <v>99</v>
      </c>
      <c r="C530" t="s">
        <v>9</v>
      </c>
      <c r="D530" s="1" t="s">
        <v>3</v>
      </c>
      <c r="E530">
        <v>54</v>
      </c>
      <c r="F530" s="1" t="s">
        <v>101</v>
      </c>
      <c r="G530">
        <v>8</v>
      </c>
      <c r="H530">
        <v>29</v>
      </c>
      <c r="I530" s="2">
        <f t="shared" si="24"/>
        <v>10.122624</v>
      </c>
      <c r="J530">
        <f t="shared" si="25"/>
        <v>0.37785083986562151</v>
      </c>
      <c r="K530">
        <f t="shared" si="26"/>
        <v>0.26436730216766779</v>
      </c>
    </row>
    <row r="531" spans="1:11" x14ac:dyDescent="0.25">
      <c r="A531" s="1">
        <v>1962</v>
      </c>
      <c r="B531" s="1" t="s">
        <v>99</v>
      </c>
      <c r="C531" t="s">
        <v>9</v>
      </c>
      <c r="D531" s="1" t="s">
        <v>3</v>
      </c>
      <c r="E531">
        <v>54</v>
      </c>
      <c r="F531" s="1" t="s">
        <v>101</v>
      </c>
      <c r="G531">
        <v>10</v>
      </c>
      <c r="H531">
        <v>4</v>
      </c>
      <c r="I531" s="2">
        <f t="shared" si="24"/>
        <v>2.1816</v>
      </c>
      <c r="J531">
        <f t="shared" si="25"/>
        <v>8.1433370660694296E-2</v>
      </c>
      <c r="K531">
        <f t="shared" si="26"/>
        <v>5.6975711674066336E-2</v>
      </c>
    </row>
    <row r="532" spans="1:11" x14ac:dyDescent="0.25">
      <c r="A532" s="1">
        <v>1962</v>
      </c>
      <c r="B532" s="1" t="s">
        <v>99</v>
      </c>
      <c r="C532" t="s">
        <v>9</v>
      </c>
      <c r="D532" s="1" t="s">
        <v>3</v>
      </c>
      <c r="E532">
        <v>56</v>
      </c>
      <c r="F532" s="1" t="s">
        <v>101</v>
      </c>
      <c r="G532">
        <v>6</v>
      </c>
      <c r="H532">
        <v>28</v>
      </c>
      <c r="I532" s="2">
        <f t="shared" si="24"/>
        <v>5.4976319999999994</v>
      </c>
      <c r="J532">
        <f t="shared" si="25"/>
        <v>0.20521209406494959</v>
      </c>
      <c r="K532">
        <f t="shared" si="26"/>
        <v>0.14357879341864713</v>
      </c>
    </row>
    <row r="533" spans="1:11" x14ac:dyDescent="0.25">
      <c r="A533" s="1">
        <v>1962</v>
      </c>
      <c r="B533" s="1" t="s">
        <v>99</v>
      </c>
      <c r="C533" t="s">
        <v>9</v>
      </c>
      <c r="D533" s="1" t="s">
        <v>3</v>
      </c>
      <c r="E533">
        <v>56</v>
      </c>
      <c r="F533" s="1" t="s">
        <v>101</v>
      </c>
      <c r="G533">
        <v>8</v>
      </c>
      <c r="H533">
        <v>30</v>
      </c>
      <c r="I533" s="2">
        <f t="shared" si="24"/>
        <v>10.471679999999999</v>
      </c>
      <c r="J533">
        <f t="shared" si="25"/>
        <v>0.39088017917133255</v>
      </c>
      <c r="K533">
        <f t="shared" si="26"/>
        <v>0.27348341603551835</v>
      </c>
    </row>
    <row r="534" spans="1:11" x14ac:dyDescent="0.25">
      <c r="A534" s="1">
        <v>1962</v>
      </c>
      <c r="B534" s="1" t="s">
        <v>99</v>
      </c>
      <c r="C534" t="s">
        <v>9</v>
      </c>
      <c r="D534" s="1" t="s">
        <v>3</v>
      </c>
      <c r="E534">
        <v>56</v>
      </c>
      <c r="F534" s="1" t="s">
        <v>101</v>
      </c>
      <c r="G534">
        <v>10</v>
      </c>
      <c r="H534">
        <v>32</v>
      </c>
      <c r="I534" s="2">
        <f t="shared" si="24"/>
        <v>17.4528</v>
      </c>
      <c r="J534">
        <f t="shared" si="25"/>
        <v>0.65146696528555437</v>
      </c>
      <c r="K534">
        <f t="shared" si="26"/>
        <v>0.45580569339253069</v>
      </c>
    </row>
    <row r="535" spans="1:11" x14ac:dyDescent="0.25">
      <c r="A535" s="1">
        <v>1962</v>
      </c>
      <c r="B535" s="1" t="s">
        <v>99</v>
      </c>
      <c r="C535" t="s">
        <v>9</v>
      </c>
      <c r="D535" s="1" t="s">
        <v>3</v>
      </c>
      <c r="E535">
        <v>56</v>
      </c>
      <c r="F535" s="1" t="s">
        <v>101</v>
      </c>
      <c r="G535">
        <v>12</v>
      </c>
      <c r="H535">
        <v>27</v>
      </c>
      <c r="I535" s="2">
        <f t="shared" si="24"/>
        <v>21.205151999999998</v>
      </c>
      <c r="J535">
        <f t="shared" si="25"/>
        <v>0.7915323628219485</v>
      </c>
      <c r="K535">
        <f t="shared" si="26"/>
        <v>0.5538039174719247</v>
      </c>
    </row>
    <row r="536" spans="1:11" x14ac:dyDescent="0.25">
      <c r="A536" s="1">
        <v>1962</v>
      </c>
      <c r="B536" s="1" t="s">
        <v>99</v>
      </c>
      <c r="C536" t="s">
        <v>9</v>
      </c>
      <c r="D536" s="1" t="s">
        <v>3</v>
      </c>
      <c r="E536">
        <v>56</v>
      </c>
      <c r="F536" s="1" t="s">
        <v>101</v>
      </c>
      <c r="G536">
        <v>14</v>
      </c>
      <c r="H536">
        <v>29</v>
      </c>
      <c r="I536" s="2">
        <f t="shared" si="24"/>
        <v>31.000535999999997</v>
      </c>
      <c r="J536">
        <f t="shared" si="25"/>
        <v>1.1571681970884657</v>
      </c>
      <c r="K536">
        <f t="shared" si="26"/>
        <v>0.80962486288848245</v>
      </c>
    </row>
    <row r="537" spans="1:11" x14ac:dyDescent="0.25">
      <c r="A537" s="1">
        <v>1962</v>
      </c>
      <c r="B537" s="1" t="s">
        <v>99</v>
      </c>
      <c r="C537" t="s">
        <v>9</v>
      </c>
      <c r="D537" s="1" t="s">
        <v>3</v>
      </c>
      <c r="E537">
        <v>56</v>
      </c>
      <c r="F537" s="1" t="s">
        <v>101</v>
      </c>
      <c r="G537">
        <v>16</v>
      </c>
      <c r="H537">
        <v>21</v>
      </c>
      <c r="I537" s="2">
        <f t="shared" si="24"/>
        <v>29.320703999999999</v>
      </c>
      <c r="J537">
        <f t="shared" si="25"/>
        <v>1.0944645016797312</v>
      </c>
      <c r="K537">
        <f t="shared" si="26"/>
        <v>0.76575356489945146</v>
      </c>
    </row>
    <row r="538" spans="1:11" x14ac:dyDescent="0.25">
      <c r="A538" s="1">
        <v>1962</v>
      </c>
      <c r="B538" s="1" t="s">
        <v>99</v>
      </c>
      <c r="C538" t="s">
        <v>9</v>
      </c>
      <c r="D538" s="1" t="s">
        <v>3</v>
      </c>
      <c r="E538">
        <v>56</v>
      </c>
      <c r="F538" s="1" t="s">
        <v>101</v>
      </c>
      <c r="G538">
        <v>18</v>
      </c>
      <c r="H538">
        <v>8</v>
      </c>
      <c r="I538" s="2">
        <f t="shared" si="24"/>
        <v>14.136767999999998</v>
      </c>
      <c r="J538">
        <f t="shared" si="25"/>
        <v>0.52768824188129893</v>
      </c>
      <c r="K538">
        <f t="shared" si="26"/>
        <v>0.36920261164794976</v>
      </c>
    </row>
    <row r="539" spans="1:11" x14ac:dyDescent="0.25">
      <c r="A539" s="1">
        <v>1962</v>
      </c>
      <c r="B539" s="1" t="s">
        <v>99</v>
      </c>
      <c r="C539" t="s">
        <v>9</v>
      </c>
      <c r="D539" s="1" t="s">
        <v>3</v>
      </c>
      <c r="E539">
        <v>58</v>
      </c>
      <c r="F539" s="1" t="s">
        <v>101</v>
      </c>
      <c r="G539">
        <v>6</v>
      </c>
      <c r="H539">
        <v>170</v>
      </c>
      <c r="I539" s="2">
        <f t="shared" si="24"/>
        <v>33.378479999999996</v>
      </c>
      <c r="J539">
        <f t="shared" si="25"/>
        <v>1.2459305711086226</v>
      </c>
      <c r="K539">
        <f t="shared" si="26"/>
        <v>0.87172838861321489</v>
      </c>
    </row>
    <row r="540" spans="1:11" x14ac:dyDescent="0.25">
      <c r="A540" s="1">
        <v>1962</v>
      </c>
      <c r="B540" s="1" t="s">
        <v>99</v>
      </c>
      <c r="C540" t="s">
        <v>9</v>
      </c>
      <c r="D540" s="1" t="s">
        <v>3</v>
      </c>
      <c r="E540">
        <v>58</v>
      </c>
      <c r="F540" s="1" t="s">
        <v>101</v>
      </c>
      <c r="G540">
        <v>8</v>
      </c>
      <c r="H540">
        <v>47</v>
      </c>
      <c r="I540" s="2">
        <f t="shared" si="24"/>
        <v>16.405632000000001</v>
      </c>
      <c r="J540">
        <f t="shared" si="25"/>
        <v>0.61237894736842113</v>
      </c>
      <c r="K540">
        <f t="shared" si="26"/>
        <v>0.42845735178897887</v>
      </c>
    </row>
    <row r="541" spans="1:11" x14ac:dyDescent="0.25">
      <c r="A541" s="1">
        <v>1962</v>
      </c>
      <c r="B541" s="1" t="s">
        <v>99</v>
      </c>
      <c r="C541" t="s">
        <v>9</v>
      </c>
      <c r="D541" s="1" t="s">
        <v>3</v>
      </c>
      <c r="E541">
        <v>63</v>
      </c>
      <c r="F541" s="1" t="s">
        <v>101</v>
      </c>
      <c r="G541">
        <v>6</v>
      </c>
      <c r="H541">
        <v>16</v>
      </c>
      <c r="I541" s="2">
        <f t="shared" si="24"/>
        <v>3.1415039999999999</v>
      </c>
      <c r="J541">
        <f t="shared" si="25"/>
        <v>0.11726405375139977</v>
      </c>
      <c r="K541">
        <f t="shared" si="26"/>
        <v>8.2045024810655509E-2</v>
      </c>
    </row>
    <row r="542" spans="1:11" x14ac:dyDescent="0.25">
      <c r="A542" s="1">
        <v>1962</v>
      </c>
      <c r="B542" s="1" t="s">
        <v>99</v>
      </c>
      <c r="C542" t="s">
        <v>9</v>
      </c>
      <c r="D542" s="1" t="s">
        <v>3</v>
      </c>
      <c r="E542">
        <v>63</v>
      </c>
      <c r="F542" s="1" t="s">
        <v>101</v>
      </c>
      <c r="G542">
        <v>8</v>
      </c>
      <c r="H542">
        <v>4</v>
      </c>
      <c r="I542" s="2">
        <f t="shared" si="24"/>
        <v>1.3962239999999999</v>
      </c>
      <c r="J542">
        <f t="shared" si="25"/>
        <v>5.2117357222844343E-2</v>
      </c>
      <c r="K542">
        <f t="shared" si="26"/>
        <v>3.6464455471402452E-2</v>
      </c>
    </row>
    <row r="543" spans="1:11" x14ac:dyDescent="0.25">
      <c r="A543" s="1">
        <v>1962</v>
      </c>
      <c r="B543" s="1" t="s">
        <v>99</v>
      </c>
      <c r="C543" t="s">
        <v>9</v>
      </c>
      <c r="D543" s="1" t="s">
        <v>3</v>
      </c>
      <c r="E543">
        <v>63</v>
      </c>
      <c r="F543" s="1" t="s">
        <v>101</v>
      </c>
      <c r="G543">
        <v>10</v>
      </c>
      <c r="H543">
        <v>1</v>
      </c>
      <c r="I543" s="2">
        <f t="shared" si="24"/>
        <v>0.5454</v>
      </c>
      <c r="J543">
        <f t="shared" si="25"/>
        <v>2.0358342665173574E-2</v>
      </c>
      <c r="K543">
        <f t="shared" si="26"/>
        <v>1.4243927918516584E-2</v>
      </c>
    </row>
    <row r="544" spans="1:11" x14ac:dyDescent="0.25">
      <c r="A544" s="1">
        <v>1962</v>
      </c>
      <c r="B544" s="1" t="s">
        <v>99</v>
      </c>
      <c r="C544" t="s">
        <v>9</v>
      </c>
      <c r="D544" s="1" t="s">
        <v>3</v>
      </c>
      <c r="E544">
        <v>66</v>
      </c>
      <c r="F544" s="1" t="s">
        <v>101</v>
      </c>
      <c r="G544">
        <v>6</v>
      </c>
      <c r="H544">
        <v>10</v>
      </c>
      <c r="I544" s="2">
        <f t="shared" si="24"/>
        <v>1.9634399999999999</v>
      </c>
      <c r="J544">
        <f t="shared" si="25"/>
        <v>7.3290033594624854E-2</v>
      </c>
      <c r="K544">
        <f t="shared" si="26"/>
        <v>5.1278140506659693E-2</v>
      </c>
    </row>
    <row r="545" spans="1:11" x14ac:dyDescent="0.25">
      <c r="A545" s="1">
        <v>1962</v>
      </c>
      <c r="B545" s="1" t="s">
        <v>99</v>
      </c>
      <c r="C545" t="s">
        <v>9</v>
      </c>
      <c r="D545" s="1" t="s">
        <v>3</v>
      </c>
      <c r="E545">
        <v>66</v>
      </c>
      <c r="F545" s="1" t="s">
        <v>101</v>
      </c>
      <c r="G545">
        <v>8</v>
      </c>
      <c r="H545">
        <v>8</v>
      </c>
      <c r="I545" s="2">
        <f t="shared" si="24"/>
        <v>2.7924479999999998</v>
      </c>
      <c r="J545">
        <f t="shared" si="25"/>
        <v>0.10423471444568869</v>
      </c>
      <c r="K545">
        <f t="shared" si="26"/>
        <v>7.2928910942804903E-2</v>
      </c>
    </row>
    <row r="546" spans="1:11" x14ac:dyDescent="0.25">
      <c r="A546" s="1">
        <v>1962</v>
      </c>
      <c r="B546" s="1" t="s">
        <v>99</v>
      </c>
      <c r="C546" t="s">
        <v>9</v>
      </c>
      <c r="D546" s="1" t="s">
        <v>3</v>
      </c>
      <c r="E546">
        <v>66</v>
      </c>
      <c r="F546" s="1" t="s">
        <v>101</v>
      </c>
      <c r="G546">
        <v>10</v>
      </c>
      <c r="H546">
        <v>5</v>
      </c>
      <c r="I546" s="2">
        <f t="shared" si="24"/>
        <v>2.7269999999999999</v>
      </c>
      <c r="J546">
        <f t="shared" si="25"/>
        <v>0.10179171332586787</v>
      </c>
      <c r="K546">
        <f t="shared" si="26"/>
        <v>7.1219639592582915E-2</v>
      </c>
    </row>
    <row r="547" spans="1:11" x14ac:dyDescent="0.25">
      <c r="A547" s="1">
        <v>1962</v>
      </c>
      <c r="B547" s="1" t="s">
        <v>99</v>
      </c>
      <c r="C547" t="s">
        <v>9</v>
      </c>
      <c r="D547" s="1" t="s">
        <v>3</v>
      </c>
      <c r="E547">
        <v>66</v>
      </c>
      <c r="F547" s="1" t="s">
        <v>101</v>
      </c>
      <c r="G547">
        <v>12</v>
      </c>
      <c r="H547">
        <v>4</v>
      </c>
      <c r="I547" s="2">
        <f t="shared" si="24"/>
        <v>3.1415039999999999</v>
      </c>
      <c r="J547">
        <f t="shared" si="25"/>
        <v>0.11726405375139977</v>
      </c>
      <c r="K547">
        <f t="shared" si="26"/>
        <v>8.2045024810655509E-2</v>
      </c>
    </row>
    <row r="548" spans="1:11" x14ac:dyDescent="0.25">
      <c r="A548" s="1">
        <v>1962</v>
      </c>
      <c r="B548" s="1" t="s">
        <v>99</v>
      </c>
      <c r="C548" t="s">
        <v>9</v>
      </c>
      <c r="D548" s="1" t="s">
        <v>3</v>
      </c>
      <c r="E548">
        <v>66</v>
      </c>
      <c r="F548" s="1" t="s">
        <v>101</v>
      </c>
      <c r="G548">
        <v>14</v>
      </c>
      <c r="H548">
        <v>7</v>
      </c>
      <c r="I548" s="2">
        <f t="shared" si="24"/>
        <v>7.4828879999999991</v>
      </c>
      <c r="J548">
        <f t="shared" si="25"/>
        <v>0.27931646136618138</v>
      </c>
      <c r="K548">
        <f t="shared" si="26"/>
        <v>0.19542669104204749</v>
      </c>
    </row>
    <row r="549" spans="1:11" x14ac:dyDescent="0.25">
      <c r="A549" s="1">
        <v>1962</v>
      </c>
      <c r="B549" s="1" t="s">
        <v>99</v>
      </c>
      <c r="C549" t="s">
        <v>9</v>
      </c>
      <c r="D549" s="1" t="s">
        <v>3</v>
      </c>
      <c r="E549">
        <v>66</v>
      </c>
      <c r="F549" s="1" t="s">
        <v>101</v>
      </c>
      <c r="G549">
        <v>16</v>
      </c>
      <c r="H549">
        <v>3</v>
      </c>
      <c r="I549" s="2">
        <f t="shared" si="24"/>
        <v>4.1886719999999995</v>
      </c>
      <c r="J549">
        <f t="shared" si="25"/>
        <v>0.15635207166853302</v>
      </c>
      <c r="K549">
        <f t="shared" si="26"/>
        <v>0.10939336641420734</v>
      </c>
    </row>
    <row r="550" spans="1:11" x14ac:dyDescent="0.25">
      <c r="A550" s="1">
        <v>1962</v>
      </c>
      <c r="B550" s="1" t="s">
        <v>99</v>
      </c>
      <c r="C550" t="s">
        <v>9</v>
      </c>
      <c r="D550" s="1" t="s">
        <v>3</v>
      </c>
      <c r="E550">
        <v>71</v>
      </c>
      <c r="F550" s="1" t="s">
        <v>101</v>
      </c>
      <c r="G550">
        <v>6</v>
      </c>
      <c r="H550">
        <v>49</v>
      </c>
      <c r="I550" s="2">
        <f t="shared" si="24"/>
        <v>9.6208559999999999</v>
      </c>
      <c r="J550">
        <f t="shared" si="25"/>
        <v>0.35912116461366184</v>
      </c>
      <c r="K550">
        <f t="shared" si="26"/>
        <v>0.25126288848263256</v>
      </c>
    </row>
    <row r="551" spans="1:11" x14ac:dyDescent="0.25">
      <c r="A551" s="1">
        <v>1962</v>
      </c>
      <c r="B551" s="1" t="s">
        <v>99</v>
      </c>
      <c r="C551" t="s">
        <v>9</v>
      </c>
      <c r="D551" s="1" t="s">
        <v>3</v>
      </c>
      <c r="E551">
        <v>71</v>
      </c>
      <c r="F551" s="1" t="s">
        <v>101</v>
      </c>
      <c r="G551">
        <v>8</v>
      </c>
      <c r="H551">
        <v>25</v>
      </c>
      <c r="I551" s="2">
        <f t="shared" si="24"/>
        <v>8.7263999999999999</v>
      </c>
      <c r="J551">
        <f t="shared" si="25"/>
        <v>0.32573348264277718</v>
      </c>
      <c r="K551">
        <f t="shared" si="26"/>
        <v>0.22790284669626534</v>
      </c>
    </row>
    <row r="552" spans="1:11" x14ac:dyDescent="0.25">
      <c r="A552" s="1">
        <v>1962</v>
      </c>
      <c r="B552" s="1" t="s">
        <v>99</v>
      </c>
      <c r="C552" t="s">
        <v>9</v>
      </c>
      <c r="D552" s="1" t="s">
        <v>3</v>
      </c>
      <c r="E552">
        <v>71</v>
      </c>
      <c r="F552" s="1" t="s">
        <v>101</v>
      </c>
      <c r="G552">
        <v>10</v>
      </c>
      <c r="H552">
        <v>3</v>
      </c>
      <c r="I552" s="2">
        <f t="shared" si="24"/>
        <v>1.6362000000000001</v>
      </c>
      <c r="J552">
        <f t="shared" si="25"/>
        <v>6.1075027995520725E-2</v>
      </c>
      <c r="K552">
        <f t="shared" si="26"/>
        <v>4.2731783755549757E-2</v>
      </c>
    </row>
    <row r="553" spans="1:11" x14ac:dyDescent="0.25">
      <c r="A553" s="1">
        <v>1962</v>
      </c>
      <c r="B553" s="1" t="s">
        <v>99</v>
      </c>
      <c r="C553" t="s">
        <v>9</v>
      </c>
      <c r="D553" s="1" t="s">
        <v>3</v>
      </c>
      <c r="E553">
        <v>76</v>
      </c>
      <c r="F553" s="1" t="s">
        <v>101</v>
      </c>
      <c r="G553">
        <v>6</v>
      </c>
      <c r="H553">
        <v>82</v>
      </c>
      <c r="I553" s="2">
        <f t="shared" si="24"/>
        <v>16.100207999999999</v>
      </c>
      <c r="J553">
        <f t="shared" si="25"/>
        <v>0.60097827547592386</v>
      </c>
      <c r="K553">
        <f t="shared" si="26"/>
        <v>0.42048075215460956</v>
      </c>
    </row>
    <row r="554" spans="1:11" x14ac:dyDescent="0.25">
      <c r="A554" s="1">
        <v>1962</v>
      </c>
      <c r="B554" s="1" t="s">
        <v>99</v>
      </c>
      <c r="C554" t="s">
        <v>9</v>
      </c>
      <c r="D554" s="1" t="s">
        <v>3</v>
      </c>
      <c r="E554">
        <v>76</v>
      </c>
      <c r="F554" s="1" t="s">
        <v>101</v>
      </c>
      <c r="G554">
        <v>8</v>
      </c>
      <c r="H554">
        <v>25</v>
      </c>
      <c r="I554" s="2">
        <f t="shared" si="24"/>
        <v>8.7263999999999999</v>
      </c>
      <c r="J554">
        <f t="shared" si="25"/>
        <v>0.32573348264277718</v>
      </c>
      <c r="K554">
        <f t="shared" si="26"/>
        <v>0.22790284669626534</v>
      </c>
    </row>
    <row r="555" spans="1:11" x14ac:dyDescent="0.25">
      <c r="A555" s="1">
        <v>1962</v>
      </c>
      <c r="B555" s="1" t="s">
        <v>99</v>
      </c>
      <c r="C555" t="s">
        <v>9</v>
      </c>
      <c r="D555" s="1" t="s">
        <v>3</v>
      </c>
      <c r="E555">
        <v>76</v>
      </c>
      <c r="F555" s="1" t="s">
        <v>101</v>
      </c>
      <c r="G555">
        <v>10</v>
      </c>
      <c r="H555">
        <v>3</v>
      </c>
      <c r="I555" s="2">
        <f t="shared" si="24"/>
        <v>1.6362000000000001</v>
      </c>
      <c r="J555">
        <f t="shared" si="25"/>
        <v>6.1075027995520725E-2</v>
      </c>
      <c r="K555">
        <f t="shared" si="26"/>
        <v>4.2731783755549757E-2</v>
      </c>
    </row>
    <row r="556" spans="1:11" x14ac:dyDescent="0.25">
      <c r="A556" s="1">
        <v>1962</v>
      </c>
      <c r="B556" s="1" t="s">
        <v>99</v>
      </c>
      <c r="C556" t="s">
        <v>9</v>
      </c>
      <c r="D556" s="1" t="s">
        <v>3</v>
      </c>
      <c r="E556">
        <v>76</v>
      </c>
      <c r="F556" s="1" t="s">
        <v>101</v>
      </c>
      <c r="G556">
        <v>12</v>
      </c>
      <c r="H556">
        <v>1</v>
      </c>
      <c r="I556" s="2">
        <f t="shared" si="24"/>
        <v>0.78537599999999996</v>
      </c>
      <c r="J556">
        <f t="shared" si="25"/>
        <v>2.9316013437849942E-2</v>
      </c>
      <c r="K556">
        <f t="shared" si="26"/>
        <v>2.0511256202663877E-2</v>
      </c>
    </row>
    <row r="557" spans="1:11" x14ac:dyDescent="0.25">
      <c r="A557" s="1">
        <v>1962</v>
      </c>
      <c r="B557" s="1" t="s">
        <v>99</v>
      </c>
      <c r="C557" t="s">
        <v>9</v>
      </c>
      <c r="D557" s="1" t="s">
        <v>3</v>
      </c>
      <c r="E557">
        <v>76</v>
      </c>
      <c r="F557" s="1" t="s">
        <v>101</v>
      </c>
      <c r="G557">
        <v>14</v>
      </c>
      <c r="H557">
        <v>4</v>
      </c>
      <c r="I557" s="2">
        <f t="shared" si="24"/>
        <v>4.2759359999999997</v>
      </c>
      <c r="J557">
        <f t="shared" si="25"/>
        <v>0.1596094064949608</v>
      </c>
      <c r="K557">
        <f t="shared" si="26"/>
        <v>0.11167239488117001</v>
      </c>
    </row>
    <row r="558" spans="1:11" x14ac:dyDescent="0.25">
      <c r="A558" s="1">
        <v>1962</v>
      </c>
      <c r="B558" s="1" t="s">
        <v>99</v>
      </c>
      <c r="C558" t="s">
        <v>9</v>
      </c>
      <c r="D558" s="1" t="s">
        <v>3</v>
      </c>
      <c r="E558">
        <v>76</v>
      </c>
      <c r="F558" s="1" t="s">
        <v>101</v>
      </c>
      <c r="G558">
        <v>16</v>
      </c>
      <c r="H558">
        <v>1</v>
      </c>
      <c r="I558" s="2">
        <f t="shared" si="24"/>
        <v>1.3962239999999999</v>
      </c>
      <c r="J558">
        <f t="shared" si="25"/>
        <v>5.2117357222844343E-2</v>
      </c>
      <c r="K558">
        <f t="shared" si="26"/>
        <v>3.6464455471402452E-2</v>
      </c>
    </row>
    <row r="559" spans="1:11" x14ac:dyDescent="0.25">
      <c r="A559" s="1">
        <v>1962</v>
      </c>
      <c r="B559" s="1" t="s">
        <v>99</v>
      </c>
      <c r="C559" t="s">
        <v>9</v>
      </c>
      <c r="D559" s="1" t="s">
        <v>3</v>
      </c>
      <c r="E559">
        <v>78</v>
      </c>
      <c r="F559" s="1" t="s">
        <v>101</v>
      </c>
      <c r="G559">
        <v>6</v>
      </c>
      <c r="H559">
        <v>1</v>
      </c>
      <c r="I559" s="2">
        <f t="shared" si="24"/>
        <v>0.19634399999999999</v>
      </c>
      <c r="J559">
        <f t="shared" si="25"/>
        <v>7.3290033594624856E-3</v>
      </c>
      <c r="K559">
        <f t="shared" si="26"/>
        <v>5.1278140506659693E-3</v>
      </c>
    </row>
    <row r="560" spans="1:11" x14ac:dyDescent="0.25">
      <c r="A560" s="1">
        <v>1962</v>
      </c>
      <c r="B560" s="1" t="s">
        <v>99</v>
      </c>
      <c r="C560" t="s">
        <v>9</v>
      </c>
      <c r="D560" s="1" t="s">
        <v>3</v>
      </c>
      <c r="E560">
        <v>78</v>
      </c>
      <c r="F560" s="1" t="s">
        <v>101</v>
      </c>
      <c r="G560">
        <v>8</v>
      </c>
      <c r="H560">
        <v>1</v>
      </c>
      <c r="I560" s="2">
        <f t="shared" si="24"/>
        <v>0.34905599999999998</v>
      </c>
      <c r="J560">
        <f t="shared" si="25"/>
        <v>1.3029339305711086E-2</v>
      </c>
      <c r="K560">
        <f t="shared" si="26"/>
        <v>9.1161138678506129E-3</v>
      </c>
    </row>
    <row r="561" spans="1:11" x14ac:dyDescent="0.25">
      <c r="A561" s="1">
        <v>1962</v>
      </c>
      <c r="B561" s="1" t="s">
        <v>99</v>
      </c>
      <c r="C561" t="s">
        <v>9</v>
      </c>
      <c r="D561" s="1" t="s">
        <v>3</v>
      </c>
      <c r="E561">
        <v>79</v>
      </c>
      <c r="F561" s="1" t="s">
        <v>101</v>
      </c>
      <c r="G561">
        <v>6</v>
      </c>
      <c r="H561">
        <v>190</v>
      </c>
      <c r="I561" s="2">
        <f t="shared" si="24"/>
        <v>37.30536</v>
      </c>
      <c r="J561">
        <f t="shared" si="25"/>
        <v>1.3925106382978725</v>
      </c>
      <c r="K561">
        <f t="shared" si="26"/>
        <v>0.97428466962653437</v>
      </c>
    </row>
    <row r="562" spans="1:11" x14ac:dyDescent="0.25">
      <c r="A562" s="1">
        <v>1962</v>
      </c>
      <c r="B562" s="1" t="s">
        <v>99</v>
      </c>
      <c r="C562" t="s">
        <v>9</v>
      </c>
      <c r="D562" s="1" t="s">
        <v>3</v>
      </c>
      <c r="E562">
        <v>79</v>
      </c>
      <c r="F562" s="1" t="s">
        <v>101</v>
      </c>
      <c r="G562">
        <v>8</v>
      </c>
      <c r="H562">
        <v>89</v>
      </c>
      <c r="I562" s="2">
        <f t="shared" si="24"/>
        <v>31.065983999999997</v>
      </c>
      <c r="J562">
        <f t="shared" si="25"/>
        <v>1.1596111982082866</v>
      </c>
      <c r="K562">
        <f t="shared" si="26"/>
        <v>0.81133413423870449</v>
      </c>
    </row>
    <row r="563" spans="1:11" x14ac:dyDescent="0.25">
      <c r="A563" s="1">
        <v>1962</v>
      </c>
      <c r="B563" s="1" t="s">
        <v>99</v>
      </c>
      <c r="C563" t="s">
        <v>9</v>
      </c>
      <c r="D563" s="1" t="s">
        <v>3</v>
      </c>
      <c r="E563">
        <v>79</v>
      </c>
      <c r="F563" s="1" t="s">
        <v>101</v>
      </c>
      <c r="G563">
        <v>10</v>
      </c>
      <c r="H563">
        <v>37</v>
      </c>
      <c r="I563" s="2">
        <f t="shared" si="24"/>
        <v>20.1798</v>
      </c>
      <c r="J563">
        <f t="shared" si="25"/>
        <v>0.75325867861142215</v>
      </c>
      <c r="K563">
        <f t="shared" si="26"/>
        <v>0.52702533298511356</v>
      </c>
    </row>
    <row r="564" spans="1:11" x14ac:dyDescent="0.25">
      <c r="A564" s="1">
        <v>1962</v>
      </c>
      <c r="B564" s="1" t="s">
        <v>99</v>
      </c>
      <c r="C564" t="s">
        <v>9</v>
      </c>
      <c r="D564" s="1" t="s">
        <v>3</v>
      </c>
      <c r="E564">
        <v>79</v>
      </c>
      <c r="F564" s="1" t="s">
        <v>101</v>
      </c>
      <c r="G564">
        <v>12</v>
      </c>
      <c r="H564">
        <v>17</v>
      </c>
      <c r="I564" s="2">
        <f t="shared" si="24"/>
        <v>13.351391999999999</v>
      </c>
      <c r="J564">
        <f t="shared" si="25"/>
        <v>0.49837222844344903</v>
      </c>
      <c r="K564">
        <f t="shared" si="26"/>
        <v>0.34869135544528596</v>
      </c>
    </row>
    <row r="565" spans="1:11" x14ac:dyDescent="0.25">
      <c r="A565" s="1">
        <v>1962</v>
      </c>
      <c r="B565" s="1" t="s">
        <v>99</v>
      </c>
      <c r="C565" t="s">
        <v>9</v>
      </c>
      <c r="D565" s="1" t="s">
        <v>3</v>
      </c>
      <c r="E565">
        <v>79</v>
      </c>
      <c r="F565" s="1" t="s">
        <v>101</v>
      </c>
      <c r="G565">
        <v>14</v>
      </c>
      <c r="H565">
        <v>1</v>
      </c>
      <c r="I565" s="2">
        <f t="shared" si="24"/>
        <v>1.0689839999999999</v>
      </c>
      <c r="J565">
        <f t="shared" si="25"/>
        <v>3.9902351623740201E-2</v>
      </c>
      <c r="K565">
        <f t="shared" si="26"/>
        <v>2.7918098720292502E-2</v>
      </c>
    </row>
    <row r="566" spans="1:11" x14ac:dyDescent="0.25">
      <c r="A566" s="1">
        <v>1962</v>
      </c>
      <c r="B566" s="1" t="s">
        <v>99</v>
      </c>
      <c r="C566" t="s">
        <v>9</v>
      </c>
      <c r="D566" s="1" t="s">
        <v>3</v>
      </c>
      <c r="E566">
        <v>79</v>
      </c>
      <c r="F566" s="1" t="s">
        <v>101</v>
      </c>
      <c r="G566">
        <v>16</v>
      </c>
      <c r="H566">
        <v>1</v>
      </c>
      <c r="I566" s="2">
        <f t="shared" si="24"/>
        <v>1.3962239999999999</v>
      </c>
      <c r="J566">
        <f t="shared" si="25"/>
        <v>5.2117357222844343E-2</v>
      </c>
      <c r="K566">
        <f t="shared" si="26"/>
        <v>3.6464455471402452E-2</v>
      </c>
    </row>
    <row r="567" spans="1:11" x14ac:dyDescent="0.25">
      <c r="A567" s="1">
        <v>1962</v>
      </c>
      <c r="B567" s="1" t="s">
        <v>99</v>
      </c>
      <c r="C567" t="s">
        <v>9</v>
      </c>
      <c r="D567" s="1" t="s">
        <v>3</v>
      </c>
      <c r="E567">
        <v>81</v>
      </c>
      <c r="F567" s="1" t="s">
        <v>101</v>
      </c>
      <c r="G567">
        <v>6</v>
      </c>
      <c r="H567">
        <v>5</v>
      </c>
      <c r="I567" s="2">
        <f t="shared" si="24"/>
        <v>0.98171999999999993</v>
      </c>
      <c r="J567">
        <f t="shared" si="25"/>
        <v>3.6645016797312427E-2</v>
      </c>
      <c r="K567">
        <f t="shared" si="26"/>
        <v>2.5639070253329847E-2</v>
      </c>
    </row>
    <row r="568" spans="1:11" x14ac:dyDescent="0.25">
      <c r="A568" s="1">
        <v>1962</v>
      </c>
      <c r="B568" s="1" t="s">
        <v>99</v>
      </c>
      <c r="C568" t="s">
        <v>9</v>
      </c>
      <c r="D568" s="1" t="s">
        <v>3</v>
      </c>
      <c r="E568">
        <v>84</v>
      </c>
      <c r="F568" s="1" t="s">
        <v>101</v>
      </c>
      <c r="G568">
        <v>6</v>
      </c>
      <c r="H568">
        <v>4</v>
      </c>
      <c r="I568" s="2">
        <f t="shared" si="24"/>
        <v>0.78537599999999996</v>
      </c>
      <c r="J568">
        <f t="shared" si="25"/>
        <v>2.9316013437849942E-2</v>
      </c>
      <c r="K568">
        <f t="shared" si="26"/>
        <v>2.0511256202663877E-2</v>
      </c>
    </row>
    <row r="569" spans="1:11" x14ac:dyDescent="0.25">
      <c r="A569" s="1">
        <v>1962</v>
      </c>
      <c r="B569" s="1" t="s">
        <v>99</v>
      </c>
      <c r="C569" t="s">
        <v>9</v>
      </c>
      <c r="D569" s="1" t="s">
        <v>3</v>
      </c>
      <c r="E569">
        <v>84</v>
      </c>
      <c r="F569" s="1" t="s">
        <v>101</v>
      </c>
      <c r="G569">
        <v>8</v>
      </c>
      <c r="H569">
        <v>1</v>
      </c>
      <c r="I569" s="2">
        <f t="shared" si="24"/>
        <v>0.34905599999999998</v>
      </c>
      <c r="J569">
        <f t="shared" si="25"/>
        <v>1.3029339305711086E-2</v>
      </c>
      <c r="K569">
        <f t="shared" si="26"/>
        <v>9.1161138678506129E-3</v>
      </c>
    </row>
    <row r="570" spans="1:11" x14ac:dyDescent="0.25">
      <c r="A570" s="1">
        <v>1962</v>
      </c>
      <c r="B570" s="1" t="s">
        <v>99</v>
      </c>
      <c r="C570" t="s">
        <v>9</v>
      </c>
      <c r="D570" s="1" t="s">
        <v>3</v>
      </c>
      <c r="E570">
        <v>84</v>
      </c>
      <c r="F570" s="1" t="s">
        <v>101</v>
      </c>
      <c r="G570">
        <v>14</v>
      </c>
      <c r="H570">
        <v>1</v>
      </c>
      <c r="I570" s="2">
        <f t="shared" si="24"/>
        <v>1.0689839999999999</v>
      </c>
      <c r="J570">
        <f t="shared" si="25"/>
        <v>3.9902351623740201E-2</v>
      </c>
      <c r="K570">
        <f t="shared" si="26"/>
        <v>2.7918098720292502E-2</v>
      </c>
    </row>
    <row r="571" spans="1:11" x14ac:dyDescent="0.25">
      <c r="A571" s="1">
        <v>1962</v>
      </c>
      <c r="B571" s="1" t="s">
        <v>99</v>
      </c>
      <c r="C571" t="s">
        <v>9</v>
      </c>
      <c r="D571" s="1" t="s">
        <v>3</v>
      </c>
      <c r="E571">
        <v>85</v>
      </c>
      <c r="F571" s="1" t="s">
        <v>101</v>
      </c>
      <c r="G571">
        <v>6</v>
      </c>
      <c r="H571">
        <v>2</v>
      </c>
      <c r="I571" s="2">
        <f t="shared" si="24"/>
        <v>0.39268799999999998</v>
      </c>
      <c r="J571">
        <f t="shared" si="25"/>
        <v>1.4658006718924971E-2</v>
      </c>
      <c r="K571">
        <f t="shared" si="26"/>
        <v>1.0255628101331939E-2</v>
      </c>
    </row>
    <row r="572" spans="1:11" x14ac:dyDescent="0.25">
      <c r="A572" s="1">
        <v>1962</v>
      </c>
      <c r="B572" s="1" t="s">
        <v>99</v>
      </c>
      <c r="C572" t="s">
        <v>9</v>
      </c>
      <c r="D572" s="1" t="s">
        <v>3</v>
      </c>
      <c r="E572">
        <v>85</v>
      </c>
      <c r="F572" s="1" t="s">
        <v>101</v>
      </c>
      <c r="G572">
        <v>8</v>
      </c>
      <c r="H572">
        <v>12</v>
      </c>
      <c r="I572" s="2">
        <f t="shared" si="24"/>
        <v>4.1886719999999995</v>
      </c>
      <c r="J572">
        <f t="shared" si="25"/>
        <v>0.15635207166853302</v>
      </c>
      <c r="K572">
        <f t="shared" si="26"/>
        <v>0.10939336641420734</v>
      </c>
    </row>
    <row r="573" spans="1:11" x14ac:dyDescent="0.25">
      <c r="A573" s="1">
        <v>1962</v>
      </c>
      <c r="B573" s="1" t="s">
        <v>99</v>
      </c>
      <c r="C573" t="s">
        <v>9</v>
      </c>
      <c r="D573" s="1" t="s">
        <v>3</v>
      </c>
      <c r="E573">
        <v>85</v>
      </c>
      <c r="F573" s="1" t="s">
        <v>101</v>
      </c>
      <c r="G573">
        <v>10</v>
      </c>
      <c r="H573">
        <v>10</v>
      </c>
      <c r="I573" s="2">
        <f t="shared" si="24"/>
        <v>5.4539999999999997</v>
      </c>
      <c r="J573">
        <f t="shared" si="25"/>
        <v>0.20358342665173573</v>
      </c>
      <c r="K573">
        <f t="shared" si="26"/>
        <v>0.14243927918516583</v>
      </c>
    </row>
    <row r="574" spans="1:11" x14ac:dyDescent="0.25">
      <c r="A574" s="1">
        <v>1962</v>
      </c>
      <c r="B574" s="1" t="s">
        <v>99</v>
      </c>
      <c r="C574" t="s">
        <v>9</v>
      </c>
      <c r="D574" s="1" t="s">
        <v>3</v>
      </c>
      <c r="E574">
        <v>85</v>
      </c>
      <c r="F574" s="1" t="s">
        <v>101</v>
      </c>
      <c r="G574">
        <v>12</v>
      </c>
      <c r="H574">
        <v>18</v>
      </c>
      <c r="I574" s="2">
        <f t="shared" si="24"/>
        <v>14.136768</v>
      </c>
      <c r="J574">
        <f t="shared" si="25"/>
        <v>0.52768824188129904</v>
      </c>
      <c r="K574">
        <f t="shared" si="26"/>
        <v>0.36920261164794987</v>
      </c>
    </row>
    <row r="575" spans="1:11" x14ac:dyDescent="0.25">
      <c r="A575" s="1">
        <v>1962</v>
      </c>
      <c r="B575" s="1" t="s">
        <v>99</v>
      </c>
      <c r="C575" t="s">
        <v>9</v>
      </c>
      <c r="D575" s="1" t="s">
        <v>3</v>
      </c>
      <c r="E575">
        <v>85</v>
      </c>
      <c r="F575" s="1" t="s">
        <v>101</v>
      </c>
      <c r="G575">
        <v>14</v>
      </c>
      <c r="H575">
        <v>25</v>
      </c>
      <c r="I575" s="2">
        <f t="shared" si="24"/>
        <v>26.724599999999999</v>
      </c>
      <c r="J575">
        <f t="shared" si="25"/>
        <v>0.99755879059350505</v>
      </c>
      <c r="K575">
        <f t="shared" si="26"/>
        <v>0.69795246800731259</v>
      </c>
    </row>
    <row r="576" spans="1:11" x14ac:dyDescent="0.25">
      <c r="A576" s="1">
        <v>1962</v>
      </c>
      <c r="B576" s="1" t="s">
        <v>99</v>
      </c>
      <c r="C576" t="s">
        <v>9</v>
      </c>
      <c r="D576" s="1" t="s">
        <v>3</v>
      </c>
      <c r="E576">
        <v>85</v>
      </c>
      <c r="F576" s="1" t="s">
        <v>101</v>
      </c>
      <c r="G576">
        <v>16</v>
      </c>
      <c r="H576">
        <v>19</v>
      </c>
      <c r="I576" s="2">
        <f t="shared" si="24"/>
        <v>26.528255999999999</v>
      </c>
      <c r="J576">
        <f t="shared" si="25"/>
        <v>0.99022978723404254</v>
      </c>
      <c r="K576">
        <f t="shared" si="26"/>
        <v>0.69282465395664661</v>
      </c>
    </row>
    <row r="577" spans="1:11" x14ac:dyDescent="0.25">
      <c r="A577" s="1">
        <v>1962</v>
      </c>
      <c r="B577" s="1" t="s">
        <v>99</v>
      </c>
      <c r="C577" t="s">
        <v>9</v>
      </c>
      <c r="D577" s="1" t="s">
        <v>3</v>
      </c>
      <c r="E577">
        <v>85</v>
      </c>
      <c r="F577" s="1" t="s">
        <v>101</v>
      </c>
      <c r="G577">
        <v>18</v>
      </c>
      <c r="H577">
        <v>2</v>
      </c>
      <c r="I577" s="2">
        <f t="shared" si="24"/>
        <v>3.5341919999999996</v>
      </c>
      <c r="J577">
        <f t="shared" si="25"/>
        <v>0.13192206047032473</v>
      </c>
      <c r="K577">
        <f t="shared" si="26"/>
        <v>9.2300652911987441E-2</v>
      </c>
    </row>
    <row r="578" spans="1:11" x14ac:dyDescent="0.25">
      <c r="A578" s="1">
        <v>1962</v>
      </c>
      <c r="B578" s="1" t="s">
        <v>99</v>
      </c>
      <c r="C578" t="s">
        <v>9</v>
      </c>
      <c r="D578" s="1" t="s">
        <v>3</v>
      </c>
      <c r="E578">
        <v>86</v>
      </c>
      <c r="F578" s="1" t="s">
        <v>101</v>
      </c>
      <c r="G578">
        <v>6</v>
      </c>
      <c r="H578">
        <v>6</v>
      </c>
      <c r="I578" s="2">
        <f t="shared" si="24"/>
        <v>1.178064</v>
      </c>
      <c r="J578">
        <f t="shared" si="25"/>
        <v>4.3974020156774915E-2</v>
      </c>
      <c r="K578">
        <f t="shared" si="26"/>
        <v>3.0766884303995819E-2</v>
      </c>
    </row>
    <row r="579" spans="1:11" x14ac:dyDescent="0.25">
      <c r="A579" s="1">
        <v>1962</v>
      </c>
      <c r="B579" s="1" t="s">
        <v>99</v>
      </c>
      <c r="C579" t="s">
        <v>9</v>
      </c>
      <c r="D579" s="1" t="s">
        <v>3</v>
      </c>
      <c r="E579">
        <v>86</v>
      </c>
      <c r="F579" s="1" t="s">
        <v>101</v>
      </c>
      <c r="G579">
        <v>8</v>
      </c>
      <c r="H579">
        <v>3</v>
      </c>
      <c r="I579" s="2">
        <f t="shared" ref="I579:I642" si="27">0.005454*G579^2*H579</f>
        <v>1.0471679999999999</v>
      </c>
      <c r="J579">
        <f t="shared" ref="J579:J642" si="28">I579/26.79</f>
        <v>3.9088017917133254E-2</v>
      </c>
      <c r="K579">
        <f t="shared" ref="K579:K642" si="29">J579*(26.79/38.29)</f>
        <v>2.7348341603551835E-2</v>
      </c>
    </row>
    <row r="580" spans="1:11" x14ac:dyDescent="0.25">
      <c r="A580" s="1">
        <v>1962</v>
      </c>
      <c r="B580" s="1" t="s">
        <v>99</v>
      </c>
      <c r="C580" t="s">
        <v>9</v>
      </c>
      <c r="D580" s="1" t="s">
        <v>3</v>
      </c>
      <c r="E580">
        <v>88</v>
      </c>
      <c r="F580" s="1" t="s">
        <v>101</v>
      </c>
      <c r="G580">
        <v>6</v>
      </c>
      <c r="H580">
        <v>5</v>
      </c>
      <c r="I580" s="2">
        <f t="shared" si="27"/>
        <v>0.98171999999999993</v>
      </c>
      <c r="J580">
        <f t="shared" si="28"/>
        <v>3.6645016797312427E-2</v>
      </c>
      <c r="K580">
        <f t="shared" si="29"/>
        <v>2.5639070253329847E-2</v>
      </c>
    </row>
    <row r="581" spans="1:11" x14ac:dyDescent="0.25">
      <c r="A581" s="1">
        <v>1962</v>
      </c>
      <c r="B581" s="1" t="s">
        <v>99</v>
      </c>
      <c r="C581" t="s">
        <v>9</v>
      </c>
      <c r="D581" s="1" t="s">
        <v>3</v>
      </c>
      <c r="E581">
        <v>88</v>
      </c>
      <c r="F581" s="1" t="s">
        <v>101</v>
      </c>
      <c r="G581">
        <v>8</v>
      </c>
      <c r="H581">
        <v>5</v>
      </c>
      <c r="I581" s="2">
        <f t="shared" si="27"/>
        <v>1.7452799999999999</v>
      </c>
      <c r="J581">
        <f t="shared" si="28"/>
        <v>6.5146696528555426E-2</v>
      </c>
      <c r="K581">
        <f t="shared" si="29"/>
        <v>4.5580569339253064E-2</v>
      </c>
    </row>
    <row r="582" spans="1:11" x14ac:dyDescent="0.25">
      <c r="A582" s="1">
        <v>1962</v>
      </c>
      <c r="B582" s="1" t="s">
        <v>99</v>
      </c>
      <c r="C582" t="s">
        <v>9</v>
      </c>
      <c r="D582" s="1" t="s">
        <v>3</v>
      </c>
      <c r="E582">
        <v>91</v>
      </c>
      <c r="F582" s="1" t="s">
        <v>101</v>
      </c>
      <c r="G582">
        <v>6</v>
      </c>
      <c r="H582">
        <v>14</v>
      </c>
      <c r="I582" s="2">
        <f t="shared" si="27"/>
        <v>2.7488159999999997</v>
      </c>
      <c r="J582">
        <f t="shared" si="28"/>
        <v>0.10260604703247479</v>
      </c>
      <c r="K582">
        <f t="shared" si="29"/>
        <v>7.1789396709323564E-2</v>
      </c>
    </row>
    <row r="583" spans="1:11" x14ac:dyDescent="0.25">
      <c r="A583" s="1">
        <v>1962</v>
      </c>
      <c r="B583" s="1" t="s">
        <v>99</v>
      </c>
      <c r="C583" t="s">
        <v>9</v>
      </c>
      <c r="D583" s="1" t="s">
        <v>3</v>
      </c>
      <c r="E583">
        <v>91</v>
      </c>
      <c r="F583" s="1" t="s">
        <v>101</v>
      </c>
      <c r="G583">
        <v>8</v>
      </c>
      <c r="H583">
        <v>10</v>
      </c>
      <c r="I583" s="2">
        <f t="shared" si="27"/>
        <v>3.4905599999999999</v>
      </c>
      <c r="J583">
        <f t="shared" si="28"/>
        <v>0.13029339305711085</v>
      </c>
      <c r="K583">
        <f t="shared" si="29"/>
        <v>9.1161138678506129E-2</v>
      </c>
    </row>
    <row r="584" spans="1:11" x14ac:dyDescent="0.25">
      <c r="A584" s="1">
        <v>1962</v>
      </c>
      <c r="B584" s="1" t="s">
        <v>99</v>
      </c>
      <c r="C584" t="s">
        <v>9</v>
      </c>
      <c r="D584" s="1" t="s">
        <v>3</v>
      </c>
      <c r="E584">
        <v>91</v>
      </c>
      <c r="F584" s="1" t="s">
        <v>101</v>
      </c>
      <c r="G584">
        <v>10</v>
      </c>
      <c r="H584">
        <v>12</v>
      </c>
      <c r="I584" s="2">
        <f t="shared" si="27"/>
        <v>6.5448000000000004</v>
      </c>
      <c r="J584">
        <f t="shared" si="28"/>
        <v>0.2443001119820829</v>
      </c>
      <c r="K584">
        <f t="shared" si="29"/>
        <v>0.17092713502219903</v>
      </c>
    </row>
    <row r="585" spans="1:11" x14ac:dyDescent="0.25">
      <c r="A585" s="1">
        <v>1962</v>
      </c>
      <c r="B585" s="1" t="s">
        <v>99</v>
      </c>
      <c r="C585" t="s">
        <v>9</v>
      </c>
      <c r="D585" s="1" t="s">
        <v>3</v>
      </c>
      <c r="E585">
        <v>91</v>
      </c>
      <c r="F585" s="1" t="s">
        <v>101</v>
      </c>
      <c r="G585">
        <v>12</v>
      </c>
      <c r="H585">
        <v>6</v>
      </c>
      <c r="I585" s="2">
        <f t="shared" si="27"/>
        <v>4.712256</v>
      </c>
      <c r="J585">
        <f t="shared" si="28"/>
        <v>0.17589608062709966</v>
      </c>
      <c r="K585">
        <f t="shared" si="29"/>
        <v>0.12306753721598328</v>
      </c>
    </row>
    <row r="586" spans="1:11" x14ac:dyDescent="0.25">
      <c r="A586" s="1">
        <v>1962</v>
      </c>
      <c r="B586" s="1" t="s">
        <v>99</v>
      </c>
      <c r="C586" t="s">
        <v>9</v>
      </c>
      <c r="D586" s="1" t="s">
        <v>3</v>
      </c>
      <c r="E586">
        <v>91</v>
      </c>
      <c r="F586" s="1" t="s">
        <v>101</v>
      </c>
      <c r="G586">
        <v>14</v>
      </c>
      <c r="H586">
        <v>1</v>
      </c>
      <c r="I586" s="2">
        <f t="shared" si="27"/>
        <v>1.0689839999999999</v>
      </c>
      <c r="J586">
        <f t="shared" si="28"/>
        <v>3.9902351623740201E-2</v>
      </c>
      <c r="K586">
        <f t="shared" si="29"/>
        <v>2.7918098720292502E-2</v>
      </c>
    </row>
    <row r="587" spans="1:11" x14ac:dyDescent="0.25">
      <c r="A587" s="1">
        <v>1962</v>
      </c>
      <c r="B587" s="1" t="s">
        <v>99</v>
      </c>
      <c r="C587" t="s">
        <v>9</v>
      </c>
      <c r="D587" s="1" t="s">
        <v>3</v>
      </c>
      <c r="E587">
        <v>91</v>
      </c>
      <c r="F587" s="1" t="s">
        <v>101</v>
      </c>
      <c r="G587">
        <v>16</v>
      </c>
      <c r="H587">
        <v>1</v>
      </c>
      <c r="I587" s="2">
        <f t="shared" si="27"/>
        <v>1.3962239999999999</v>
      </c>
      <c r="J587">
        <f t="shared" si="28"/>
        <v>5.2117357222844343E-2</v>
      </c>
      <c r="K587">
        <f t="shared" si="29"/>
        <v>3.6464455471402452E-2</v>
      </c>
    </row>
    <row r="588" spans="1:11" x14ac:dyDescent="0.25">
      <c r="A588" s="1">
        <v>1962</v>
      </c>
      <c r="B588" s="1" t="s">
        <v>99</v>
      </c>
      <c r="C588" t="s">
        <v>9</v>
      </c>
      <c r="D588" s="1" t="s">
        <v>5</v>
      </c>
      <c r="E588">
        <v>21</v>
      </c>
      <c r="F588" s="1" t="s">
        <v>101</v>
      </c>
      <c r="G588">
        <v>6</v>
      </c>
      <c r="H588">
        <v>1</v>
      </c>
      <c r="I588" s="2">
        <f t="shared" si="27"/>
        <v>0.19634399999999999</v>
      </c>
      <c r="J588">
        <f t="shared" si="28"/>
        <v>7.3290033594624856E-3</v>
      </c>
      <c r="K588">
        <f t="shared" si="29"/>
        <v>5.1278140506659693E-3</v>
      </c>
    </row>
    <row r="589" spans="1:11" x14ac:dyDescent="0.25">
      <c r="A589" s="1">
        <v>1962</v>
      </c>
      <c r="B589" s="1" t="s">
        <v>99</v>
      </c>
      <c r="C589" t="s">
        <v>9</v>
      </c>
      <c r="D589" s="1" t="s">
        <v>5</v>
      </c>
      <c r="E589">
        <v>21</v>
      </c>
      <c r="F589" s="1" t="s">
        <v>101</v>
      </c>
      <c r="G589">
        <v>12</v>
      </c>
      <c r="H589">
        <v>1</v>
      </c>
      <c r="I589" s="2">
        <f t="shared" si="27"/>
        <v>0.78537599999999996</v>
      </c>
      <c r="J589">
        <f t="shared" si="28"/>
        <v>2.9316013437849942E-2</v>
      </c>
      <c r="K589">
        <f t="shared" si="29"/>
        <v>2.0511256202663877E-2</v>
      </c>
    </row>
    <row r="590" spans="1:11" x14ac:dyDescent="0.25">
      <c r="A590" s="1">
        <v>1962</v>
      </c>
      <c r="B590" s="1" t="s">
        <v>99</v>
      </c>
      <c r="C590" t="s">
        <v>9</v>
      </c>
      <c r="D590" s="1" t="s">
        <v>5</v>
      </c>
      <c r="E590">
        <v>21</v>
      </c>
      <c r="F590" s="1" t="s">
        <v>101</v>
      </c>
      <c r="G590">
        <v>16</v>
      </c>
      <c r="H590">
        <v>1</v>
      </c>
      <c r="I590" s="2">
        <f t="shared" si="27"/>
        <v>1.3962239999999999</v>
      </c>
      <c r="J590">
        <f t="shared" si="28"/>
        <v>5.2117357222844343E-2</v>
      </c>
      <c r="K590">
        <f t="shared" si="29"/>
        <v>3.6464455471402452E-2</v>
      </c>
    </row>
    <row r="591" spans="1:11" x14ac:dyDescent="0.25">
      <c r="A591" s="1">
        <v>1962</v>
      </c>
      <c r="B591" s="1" t="s">
        <v>99</v>
      </c>
      <c r="C591" t="s">
        <v>9</v>
      </c>
      <c r="D591" s="1" t="s">
        <v>5</v>
      </c>
      <c r="E591">
        <v>25</v>
      </c>
      <c r="F591" s="1" t="s">
        <v>101</v>
      </c>
      <c r="G591">
        <v>6</v>
      </c>
      <c r="H591">
        <v>1</v>
      </c>
      <c r="I591" s="2">
        <f t="shared" si="27"/>
        <v>0.19634399999999999</v>
      </c>
      <c r="J591">
        <f t="shared" si="28"/>
        <v>7.3290033594624856E-3</v>
      </c>
      <c r="K591">
        <f t="shared" si="29"/>
        <v>5.1278140506659693E-3</v>
      </c>
    </row>
    <row r="592" spans="1:11" x14ac:dyDescent="0.25">
      <c r="A592" s="1">
        <v>1962</v>
      </c>
      <c r="B592" s="1" t="s">
        <v>99</v>
      </c>
      <c r="C592" t="s">
        <v>9</v>
      </c>
      <c r="D592" s="1" t="s">
        <v>5</v>
      </c>
      <c r="E592">
        <v>29</v>
      </c>
      <c r="F592" s="1" t="s">
        <v>101</v>
      </c>
      <c r="G592">
        <v>6</v>
      </c>
      <c r="H592">
        <v>3</v>
      </c>
      <c r="I592" s="2">
        <f t="shared" si="27"/>
        <v>0.589032</v>
      </c>
      <c r="J592">
        <f t="shared" si="28"/>
        <v>2.1987010078387458E-2</v>
      </c>
      <c r="K592">
        <f t="shared" si="29"/>
        <v>1.538344215199791E-2</v>
      </c>
    </row>
    <row r="593" spans="1:11" x14ac:dyDescent="0.25">
      <c r="A593" s="1">
        <v>1962</v>
      </c>
      <c r="B593" s="1" t="s">
        <v>99</v>
      </c>
      <c r="C593" t="s">
        <v>9</v>
      </c>
      <c r="D593" s="1" t="s">
        <v>5</v>
      </c>
      <c r="E593">
        <v>32</v>
      </c>
      <c r="F593" s="1" t="s">
        <v>101</v>
      </c>
      <c r="G593">
        <v>6</v>
      </c>
      <c r="H593">
        <v>1</v>
      </c>
      <c r="I593" s="2">
        <f t="shared" si="27"/>
        <v>0.19634399999999999</v>
      </c>
      <c r="J593">
        <f t="shared" si="28"/>
        <v>7.3290033594624856E-3</v>
      </c>
      <c r="K593">
        <f t="shared" si="29"/>
        <v>5.1278140506659693E-3</v>
      </c>
    </row>
    <row r="594" spans="1:11" x14ac:dyDescent="0.25">
      <c r="A594" s="1">
        <v>1962</v>
      </c>
      <c r="B594" s="1" t="s">
        <v>99</v>
      </c>
      <c r="C594" t="s">
        <v>9</v>
      </c>
      <c r="D594" s="1" t="s">
        <v>5</v>
      </c>
      <c r="E594">
        <v>32</v>
      </c>
      <c r="F594" s="1" t="s">
        <v>101</v>
      </c>
      <c r="G594">
        <v>10</v>
      </c>
      <c r="H594">
        <v>1</v>
      </c>
      <c r="I594" s="2">
        <f t="shared" si="27"/>
        <v>0.5454</v>
      </c>
      <c r="J594">
        <f t="shared" si="28"/>
        <v>2.0358342665173574E-2</v>
      </c>
      <c r="K594">
        <f t="shared" si="29"/>
        <v>1.4243927918516584E-2</v>
      </c>
    </row>
    <row r="595" spans="1:11" x14ac:dyDescent="0.25">
      <c r="A595" s="1">
        <v>1962</v>
      </c>
      <c r="B595" s="1" t="s">
        <v>99</v>
      </c>
      <c r="C595" t="s">
        <v>9</v>
      </c>
      <c r="D595" s="1" t="s">
        <v>5</v>
      </c>
      <c r="E595">
        <v>32</v>
      </c>
      <c r="F595" s="1" t="s">
        <v>101</v>
      </c>
      <c r="G595">
        <v>12</v>
      </c>
      <c r="H595">
        <v>2</v>
      </c>
      <c r="I595" s="2">
        <f t="shared" si="27"/>
        <v>1.5707519999999999</v>
      </c>
      <c r="J595">
        <f t="shared" si="28"/>
        <v>5.8632026875699884E-2</v>
      </c>
      <c r="K595">
        <f t="shared" si="29"/>
        <v>4.1022512405327755E-2</v>
      </c>
    </row>
    <row r="596" spans="1:11" x14ac:dyDescent="0.25">
      <c r="A596" s="1">
        <v>1962</v>
      </c>
      <c r="B596" s="1" t="s">
        <v>99</v>
      </c>
      <c r="C596" t="s">
        <v>9</v>
      </c>
      <c r="D596" s="1" t="s">
        <v>5</v>
      </c>
      <c r="E596">
        <v>32</v>
      </c>
      <c r="F596" s="1" t="s">
        <v>101</v>
      </c>
      <c r="G596">
        <v>14</v>
      </c>
      <c r="H596">
        <v>3</v>
      </c>
      <c r="I596" s="2">
        <f t="shared" si="27"/>
        <v>3.2069519999999998</v>
      </c>
      <c r="J596">
        <f t="shared" si="28"/>
        <v>0.1197070548712206</v>
      </c>
      <c r="K596">
        <f t="shared" si="29"/>
        <v>8.3754296160877512E-2</v>
      </c>
    </row>
    <row r="597" spans="1:11" x14ac:dyDescent="0.25">
      <c r="A597" s="1">
        <v>1962</v>
      </c>
      <c r="B597" s="1" t="s">
        <v>99</v>
      </c>
      <c r="C597" t="s">
        <v>9</v>
      </c>
      <c r="D597" s="1" t="s">
        <v>5</v>
      </c>
      <c r="E597">
        <v>32</v>
      </c>
      <c r="F597" s="1" t="s">
        <v>101</v>
      </c>
      <c r="G597">
        <v>16</v>
      </c>
      <c r="H597">
        <v>4</v>
      </c>
      <c r="I597" s="2">
        <f t="shared" si="27"/>
        <v>5.5848959999999996</v>
      </c>
      <c r="J597">
        <f t="shared" si="28"/>
        <v>0.20846942889137737</v>
      </c>
      <c r="K597">
        <f t="shared" si="29"/>
        <v>0.14585782188560981</v>
      </c>
    </row>
    <row r="598" spans="1:11" x14ac:dyDescent="0.25">
      <c r="A598" s="1">
        <v>1962</v>
      </c>
      <c r="B598" s="1" t="s">
        <v>99</v>
      </c>
      <c r="C598" t="s">
        <v>9</v>
      </c>
      <c r="D598" s="1" t="s">
        <v>5</v>
      </c>
      <c r="E598">
        <v>34</v>
      </c>
      <c r="F598" s="1" t="s">
        <v>101</v>
      </c>
      <c r="G598">
        <v>6</v>
      </c>
      <c r="H598">
        <v>1</v>
      </c>
      <c r="I598" s="2">
        <f t="shared" si="27"/>
        <v>0.19634399999999999</v>
      </c>
      <c r="J598">
        <f t="shared" si="28"/>
        <v>7.3290033594624856E-3</v>
      </c>
      <c r="K598">
        <f t="shared" si="29"/>
        <v>5.1278140506659693E-3</v>
      </c>
    </row>
    <row r="599" spans="1:11" x14ac:dyDescent="0.25">
      <c r="A599" s="1">
        <v>1962</v>
      </c>
      <c r="B599" s="1" t="s">
        <v>99</v>
      </c>
      <c r="C599" t="s">
        <v>9</v>
      </c>
      <c r="D599" s="1" t="s">
        <v>5</v>
      </c>
      <c r="E599">
        <v>38</v>
      </c>
      <c r="F599" s="1" t="s">
        <v>101</v>
      </c>
      <c r="G599">
        <v>6</v>
      </c>
      <c r="H599">
        <v>1</v>
      </c>
      <c r="I599" s="2">
        <f t="shared" si="27"/>
        <v>0.19634399999999999</v>
      </c>
      <c r="J599">
        <f t="shared" si="28"/>
        <v>7.3290033594624856E-3</v>
      </c>
      <c r="K599">
        <f t="shared" si="29"/>
        <v>5.1278140506659693E-3</v>
      </c>
    </row>
    <row r="600" spans="1:11" x14ac:dyDescent="0.25">
      <c r="A600" s="1">
        <v>1962</v>
      </c>
      <c r="B600" s="1" t="s">
        <v>99</v>
      </c>
      <c r="C600" t="s">
        <v>9</v>
      </c>
      <c r="D600" s="1" t="s">
        <v>5</v>
      </c>
      <c r="E600">
        <v>38</v>
      </c>
      <c r="F600" s="1" t="s">
        <v>101</v>
      </c>
      <c r="G600">
        <v>12</v>
      </c>
      <c r="H600">
        <v>1</v>
      </c>
      <c r="I600" s="2">
        <f t="shared" si="27"/>
        <v>0.78537599999999996</v>
      </c>
      <c r="J600">
        <f t="shared" si="28"/>
        <v>2.9316013437849942E-2</v>
      </c>
      <c r="K600">
        <f t="shared" si="29"/>
        <v>2.0511256202663877E-2</v>
      </c>
    </row>
    <row r="601" spans="1:11" x14ac:dyDescent="0.25">
      <c r="A601" s="1">
        <v>1962</v>
      </c>
      <c r="B601" s="1" t="s">
        <v>99</v>
      </c>
      <c r="C601" t="s">
        <v>9</v>
      </c>
      <c r="D601" s="1" t="s">
        <v>5</v>
      </c>
      <c r="E601">
        <v>40</v>
      </c>
      <c r="F601" s="1" t="s">
        <v>101</v>
      </c>
      <c r="G601">
        <v>10</v>
      </c>
      <c r="H601">
        <v>1</v>
      </c>
      <c r="I601" s="2">
        <f t="shared" si="27"/>
        <v>0.5454</v>
      </c>
      <c r="J601">
        <f t="shared" si="28"/>
        <v>2.0358342665173574E-2</v>
      </c>
      <c r="K601">
        <f t="shared" si="29"/>
        <v>1.4243927918516584E-2</v>
      </c>
    </row>
    <row r="602" spans="1:11" x14ac:dyDescent="0.25">
      <c r="A602" s="1">
        <v>1962</v>
      </c>
      <c r="B602" s="1" t="s">
        <v>99</v>
      </c>
      <c r="C602" t="s">
        <v>9</v>
      </c>
      <c r="D602" s="1" t="s">
        <v>5</v>
      </c>
      <c r="E602">
        <v>53</v>
      </c>
      <c r="F602" s="1" t="s">
        <v>101</v>
      </c>
      <c r="G602">
        <v>10</v>
      </c>
      <c r="H602">
        <v>1</v>
      </c>
      <c r="I602" s="2">
        <f t="shared" si="27"/>
        <v>0.5454</v>
      </c>
      <c r="J602">
        <f t="shared" si="28"/>
        <v>2.0358342665173574E-2</v>
      </c>
      <c r="K602">
        <f t="shared" si="29"/>
        <v>1.4243927918516584E-2</v>
      </c>
    </row>
    <row r="603" spans="1:11" x14ac:dyDescent="0.25">
      <c r="A603" s="1">
        <v>1962</v>
      </c>
      <c r="B603" s="1" t="s">
        <v>99</v>
      </c>
      <c r="C603" t="s">
        <v>9</v>
      </c>
      <c r="D603" s="1" t="s">
        <v>5</v>
      </c>
      <c r="E603">
        <v>54</v>
      </c>
      <c r="F603" s="1" t="s">
        <v>101</v>
      </c>
      <c r="G603">
        <v>6</v>
      </c>
      <c r="H603">
        <v>1</v>
      </c>
      <c r="I603" s="2">
        <f t="shared" si="27"/>
        <v>0.19634399999999999</v>
      </c>
      <c r="J603">
        <f t="shared" si="28"/>
        <v>7.3290033594624856E-3</v>
      </c>
      <c r="K603">
        <f t="shared" si="29"/>
        <v>5.1278140506659693E-3</v>
      </c>
    </row>
    <row r="604" spans="1:11" x14ac:dyDescent="0.25">
      <c r="A604" s="1">
        <v>1962</v>
      </c>
      <c r="B604" s="1" t="s">
        <v>99</v>
      </c>
      <c r="C604" t="s">
        <v>9</v>
      </c>
      <c r="D604" s="1" t="s">
        <v>5</v>
      </c>
      <c r="E604">
        <v>56</v>
      </c>
      <c r="F604" s="1" t="s">
        <v>101</v>
      </c>
      <c r="G604">
        <v>6</v>
      </c>
      <c r="H604">
        <v>4</v>
      </c>
      <c r="I604" s="2">
        <f t="shared" si="27"/>
        <v>0.78537599999999996</v>
      </c>
      <c r="J604">
        <f t="shared" si="28"/>
        <v>2.9316013437849942E-2</v>
      </c>
      <c r="K604">
        <f t="shared" si="29"/>
        <v>2.0511256202663877E-2</v>
      </c>
    </row>
    <row r="605" spans="1:11" x14ac:dyDescent="0.25">
      <c r="A605" s="1">
        <v>1962</v>
      </c>
      <c r="B605" s="1" t="s">
        <v>99</v>
      </c>
      <c r="C605" t="s">
        <v>9</v>
      </c>
      <c r="D605" s="1" t="s">
        <v>5</v>
      </c>
      <c r="E605">
        <v>56</v>
      </c>
      <c r="F605" s="1" t="s">
        <v>101</v>
      </c>
      <c r="G605">
        <v>8</v>
      </c>
      <c r="H605">
        <v>3</v>
      </c>
      <c r="I605" s="2">
        <f t="shared" si="27"/>
        <v>1.0471679999999999</v>
      </c>
      <c r="J605">
        <f t="shared" si="28"/>
        <v>3.9088017917133254E-2</v>
      </c>
      <c r="K605">
        <f t="shared" si="29"/>
        <v>2.7348341603551835E-2</v>
      </c>
    </row>
    <row r="606" spans="1:11" x14ac:dyDescent="0.25">
      <c r="A606" s="1">
        <v>1962</v>
      </c>
      <c r="B606" s="1" t="s">
        <v>99</v>
      </c>
      <c r="C606" t="s">
        <v>9</v>
      </c>
      <c r="D606" s="1" t="s">
        <v>5</v>
      </c>
      <c r="E606">
        <v>56</v>
      </c>
      <c r="F606" s="1" t="s">
        <v>101</v>
      </c>
      <c r="G606">
        <v>10</v>
      </c>
      <c r="H606">
        <v>1</v>
      </c>
      <c r="I606" s="2">
        <f t="shared" si="27"/>
        <v>0.5454</v>
      </c>
      <c r="J606">
        <f t="shared" si="28"/>
        <v>2.0358342665173574E-2</v>
      </c>
      <c r="K606">
        <f t="shared" si="29"/>
        <v>1.4243927918516584E-2</v>
      </c>
    </row>
    <row r="607" spans="1:11" x14ac:dyDescent="0.25">
      <c r="A607" s="1">
        <v>1962</v>
      </c>
      <c r="B607" s="1" t="s">
        <v>99</v>
      </c>
      <c r="C607" t="s">
        <v>9</v>
      </c>
      <c r="D607" s="1" t="s">
        <v>5</v>
      </c>
      <c r="E607">
        <v>58</v>
      </c>
      <c r="F607" s="1" t="s">
        <v>101</v>
      </c>
      <c r="G607">
        <v>6</v>
      </c>
      <c r="H607">
        <v>1</v>
      </c>
      <c r="I607" s="2">
        <f t="shared" si="27"/>
        <v>0.19634399999999999</v>
      </c>
      <c r="J607">
        <f t="shared" si="28"/>
        <v>7.3290033594624856E-3</v>
      </c>
      <c r="K607">
        <f t="shared" si="29"/>
        <v>5.1278140506659693E-3</v>
      </c>
    </row>
    <row r="608" spans="1:11" x14ac:dyDescent="0.25">
      <c r="A608" s="1">
        <v>1962</v>
      </c>
      <c r="B608" s="1" t="s">
        <v>99</v>
      </c>
      <c r="C608" t="s">
        <v>9</v>
      </c>
      <c r="D608" s="1" t="s">
        <v>5</v>
      </c>
      <c r="E608">
        <v>63</v>
      </c>
      <c r="F608" s="1" t="s">
        <v>101</v>
      </c>
      <c r="G608">
        <v>8</v>
      </c>
      <c r="H608">
        <v>1</v>
      </c>
      <c r="I608" s="2">
        <f t="shared" si="27"/>
        <v>0.34905599999999998</v>
      </c>
      <c r="J608">
        <f t="shared" si="28"/>
        <v>1.3029339305711086E-2</v>
      </c>
      <c r="K608">
        <f t="shared" si="29"/>
        <v>9.1161138678506129E-3</v>
      </c>
    </row>
    <row r="609" spans="1:11" x14ac:dyDescent="0.25">
      <c r="A609" s="1">
        <v>1962</v>
      </c>
      <c r="B609" s="1" t="s">
        <v>99</v>
      </c>
      <c r="C609" t="s">
        <v>9</v>
      </c>
      <c r="D609" s="1" t="s">
        <v>5</v>
      </c>
      <c r="E609">
        <v>66</v>
      </c>
      <c r="F609" s="1" t="s">
        <v>101</v>
      </c>
      <c r="G609">
        <v>10</v>
      </c>
      <c r="H609">
        <v>1</v>
      </c>
      <c r="I609" s="2">
        <f t="shared" si="27"/>
        <v>0.5454</v>
      </c>
      <c r="J609">
        <f t="shared" si="28"/>
        <v>2.0358342665173574E-2</v>
      </c>
      <c r="K609">
        <f t="shared" si="29"/>
        <v>1.4243927918516584E-2</v>
      </c>
    </row>
    <row r="610" spans="1:11" x14ac:dyDescent="0.25">
      <c r="A610" s="1">
        <v>1962</v>
      </c>
      <c r="B610" s="1" t="s">
        <v>99</v>
      </c>
      <c r="C610" t="s">
        <v>9</v>
      </c>
      <c r="D610" s="1" t="s">
        <v>5</v>
      </c>
      <c r="E610">
        <v>71</v>
      </c>
      <c r="F610" s="1" t="s">
        <v>101</v>
      </c>
      <c r="G610">
        <v>6</v>
      </c>
      <c r="H610">
        <v>3</v>
      </c>
      <c r="I610" s="2">
        <f t="shared" si="27"/>
        <v>0.589032</v>
      </c>
      <c r="J610">
        <f t="shared" si="28"/>
        <v>2.1987010078387458E-2</v>
      </c>
      <c r="K610">
        <f t="shared" si="29"/>
        <v>1.538344215199791E-2</v>
      </c>
    </row>
    <row r="611" spans="1:11" x14ac:dyDescent="0.25">
      <c r="A611" s="1">
        <v>1962</v>
      </c>
      <c r="B611" s="1" t="s">
        <v>99</v>
      </c>
      <c r="C611" t="s">
        <v>9</v>
      </c>
      <c r="D611" s="1" t="s">
        <v>5</v>
      </c>
      <c r="E611">
        <v>71</v>
      </c>
      <c r="F611" s="1" t="s">
        <v>101</v>
      </c>
      <c r="G611">
        <v>8</v>
      </c>
      <c r="H611">
        <v>4</v>
      </c>
      <c r="I611" s="2">
        <f t="shared" si="27"/>
        <v>1.3962239999999999</v>
      </c>
      <c r="J611">
        <f t="shared" si="28"/>
        <v>5.2117357222844343E-2</v>
      </c>
      <c r="K611">
        <f t="shared" si="29"/>
        <v>3.6464455471402452E-2</v>
      </c>
    </row>
    <row r="612" spans="1:11" x14ac:dyDescent="0.25">
      <c r="A612" s="1">
        <v>1962</v>
      </c>
      <c r="B612" s="1" t="s">
        <v>99</v>
      </c>
      <c r="C612" t="s">
        <v>9</v>
      </c>
      <c r="D612" s="1" t="s">
        <v>5</v>
      </c>
      <c r="E612">
        <v>79</v>
      </c>
      <c r="F612" s="1" t="s">
        <v>101</v>
      </c>
      <c r="G612">
        <v>6</v>
      </c>
      <c r="H612">
        <v>6</v>
      </c>
      <c r="I612" s="2">
        <f t="shared" si="27"/>
        <v>1.178064</v>
      </c>
      <c r="J612">
        <f t="shared" si="28"/>
        <v>4.3974020156774915E-2</v>
      </c>
      <c r="K612">
        <f t="shared" si="29"/>
        <v>3.0766884303995819E-2</v>
      </c>
    </row>
    <row r="613" spans="1:11" x14ac:dyDescent="0.25">
      <c r="A613" s="1">
        <v>1962</v>
      </c>
      <c r="B613" s="1" t="s">
        <v>99</v>
      </c>
      <c r="C613" t="s">
        <v>9</v>
      </c>
      <c r="D613" s="1" t="s">
        <v>5</v>
      </c>
      <c r="E613">
        <v>79</v>
      </c>
      <c r="F613" s="1" t="s">
        <v>101</v>
      </c>
      <c r="G613">
        <v>8</v>
      </c>
      <c r="H613">
        <v>1</v>
      </c>
      <c r="I613" s="2">
        <f t="shared" si="27"/>
        <v>0.34905599999999998</v>
      </c>
      <c r="J613">
        <f t="shared" si="28"/>
        <v>1.3029339305711086E-2</v>
      </c>
      <c r="K613">
        <f t="shared" si="29"/>
        <v>9.1161138678506129E-3</v>
      </c>
    </row>
    <row r="614" spans="1:11" x14ac:dyDescent="0.25">
      <c r="A614" s="1">
        <v>1962</v>
      </c>
      <c r="B614" s="1" t="s">
        <v>99</v>
      </c>
      <c r="C614" t="s">
        <v>9</v>
      </c>
      <c r="D614" s="1" t="s">
        <v>5</v>
      </c>
      <c r="E614">
        <v>79</v>
      </c>
      <c r="F614" s="1" t="s">
        <v>101</v>
      </c>
      <c r="G614">
        <v>10</v>
      </c>
      <c r="H614">
        <v>1</v>
      </c>
      <c r="I614" s="2">
        <f t="shared" si="27"/>
        <v>0.5454</v>
      </c>
      <c r="J614">
        <f t="shared" si="28"/>
        <v>2.0358342665173574E-2</v>
      </c>
      <c r="K614">
        <f t="shared" si="29"/>
        <v>1.4243927918516584E-2</v>
      </c>
    </row>
    <row r="615" spans="1:11" x14ac:dyDescent="0.25">
      <c r="A615" s="1">
        <v>1962</v>
      </c>
      <c r="B615" s="1" t="s">
        <v>99</v>
      </c>
      <c r="C615" t="s">
        <v>9</v>
      </c>
      <c r="D615" s="1" t="s">
        <v>5</v>
      </c>
      <c r="E615">
        <v>79</v>
      </c>
      <c r="F615" s="1" t="s">
        <v>101</v>
      </c>
      <c r="G615">
        <v>18</v>
      </c>
      <c r="H615">
        <v>1</v>
      </c>
      <c r="I615" s="2">
        <f t="shared" si="27"/>
        <v>1.7670959999999998</v>
      </c>
      <c r="J615">
        <f t="shared" si="28"/>
        <v>6.5961030235162366E-2</v>
      </c>
      <c r="K615">
        <f t="shared" si="29"/>
        <v>4.615032645599372E-2</v>
      </c>
    </row>
    <row r="616" spans="1:11" x14ac:dyDescent="0.25">
      <c r="A616" s="1">
        <v>1962</v>
      </c>
      <c r="B616" s="1" t="s">
        <v>99</v>
      </c>
      <c r="C616" t="s">
        <v>9</v>
      </c>
      <c r="D616" s="1" t="s">
        <v>5</v>
      </c>
      <c r="E616">
        <v>84</v>
      </c>
      <c r="F616" s="1" t="s">
        <v>101</v>
      </c>
      <c r="G616">
        <v>10</v>
      </c>
      <c r="H616">
        <v>1</v>
      </c>
      <c r="I616" s="2">
        <f t="shared" si="27"/>
        <v>0.5454</v>
      </c>
      <c r="J616">
        <f t="shared" si="28"/>
        <v>2.0358342665173574E-2</v>
      </c>
      <c r="K616">
        <f t="shared" si="29"/>
        <v>1.4243927918516584E-2</v>
      </c>
    </row>
    <row r="617" spans="1:11" x14ac:dyDescent="0.25">
      <c r="A617" s="1">
        <v>1962</v>
      </c>
      <c r="B617" s="1" t="s">
        <v>99</v>
      </c>
      <c r="C617" t="s">
        <v>9</v>
      </c>
      <c r="D617" s="1" t="s">
        <v>5</v>
      </c>
      <c r="E617">
        <v>85</v>
      </c>
      <c r="F617" s="1" t="s">
        <v>101</v>
      </c>
      <c r="G617">
        <v>10</v>
      </c>
      <c r="H617">
        <v>1</v>
      </c>
      <c r="I617" s="2">
        <f t="shared" si="27"/>
        <v>0.5454</v>
      </c>
      <c r="J617">
        <f t="shared" si="28"/>
        <v>2.0358342665173574E-2</v>
      </c>
      <c r="K617">
        <f t="shared" si="29"/>
        <v>1.4243927918516584E-2</v>
      </c>
    </row>
    <row r="618" spans="1:11" x14ac:dyDescent="0.25">
      <c r="A618" s="1">
        <v>1962</v>
      </c>
      <c r="B618" s="1" t="s">
        <v>99</v>
      </c>
      <c r="C618" t="s">
        <v>9</v>
      </c>
      <c r="D618" s="1" t="s">
        <v>5</v>
      </c>
      <c r="E618">
        <v>85</v>
      </c>
      <c r="F618" s="1" t="s">
        <v>101</v>
      </c>
      <c r="G618">
        <v>12</v>
      </c>
      <c r="H618">
        <v>2</v>
      </c>
      <c r="I618" s="2">
        <f t="shared" si="27"/>
        <v>1.5707519999999999</v>
      </c>
      <c r="J618">
        <f t="shared" si="28"/>
        <v>5.8632026875699884E-2</v>
      </c>
      <c r="K618">
        <f t="shared" si="29"/>
        <v>4.1022512405327755E-2</v>
      </c>
    </row>
    <row r="619" spans="1:11" x14ac:dyDescent="0.25">
      <c r="A619" s="1">
        <v>1962</v>
      </c>
      <c r="B619" s="1" t="s">
        <v>99</v>
      </c>
      <c r="C619" t="s">
        <v>9</v>
      </c>
      <c r="D619" s="1" t="s">
        <v>5</v>
      </c>
      <c r="E619">
        <v>85</v>
      </c>
      <c r="F619" s="1" t="s">
        <v>101</v>
      </c>
      <c r="G619">
        <v>14</v>
      </c>
      <c r="H619">
        <v>2</v>
      </c>
      <c r="I619" s="2">
        <f t="shared" si="27"/>
        <v>2.1379679999999999</v>
      </c>
      <c r="J619">
        <f t="shared" si="28"/>
        <v>7.9804703247480402E-2</v>
      </c>
      <c r="K619">
        <f t="shared" si="29"/>
        <v>5.5836197440585003E-2</v>
      </c>
    </row>
    <row r="620" spans="1:11" x14ac:dyDescent="0.25">
      <c r="A620" s="1">
        <v>1962</v>
      </c>
      <c r="B620" s="1" t="s">
        <v>99</v>
      </c>
      <c r="C620" t="s">
        <v>9</v>
      </c>
      <c r="D620" s="1" t="s">
        <v>5</v>
      </c>
      <c r="E620">
        <v>85</v>
      </c>
      <c r="F620" s="1" t="s">
        <v>101</v>
      </c>
      <c r="G620">
        <v>16</v>
      </c>
      <c r="H620">
        <v>1</v>
      </c>
      <c r="I620" s="2">
        <f t="shared" si="27"/>
        <v>1.3962239999999999</v>
      </c>
      <c r="J620">
        <f t="shared" si="28"/>
        <v>5.2117357222844343E-2</v>
      </c>
      <c r="K620">
        <f t="shared" si="29"/>
        <v>3.6464455471402452E-2</v>
      </c>
    </row>
    <row r="621" spans="1:11" x14ac:dyDescent="0.25">
      <c r="A621" s="1">
        <v>1962</v>
      </c>
      <c r="B621" s="1" t="s">
        <v>99</v>
      </c>
      <c r="C621" t="s">
        <v>9</v>
      </c>
      <c r="D621" s="1" t="s">
        <v>5</v>
      </c>
      <c r="E621">
        <v>86</v>
      </c>
      <c r="F621" s="1" t="s">
        <v>101</v>
      </c>
      <c r="G621">
        <v>6</v>
      </c>
      <c r="H621">
        <v>5</v>
      </c>
      <c r="I621" s="2">
        <f t="shared" si="27"/>
        <v>0.98171999999999993</v>
      </c>
      <c r="J621">
        <f t="shared" si="28"/>
        <v>3.6645016797312427E-2</v>
      </c>
      <c r="K621">
        <f t="shared" si="29"/>
        <v>2.5639070253329847E-2</v>
      </c>
    </row>
    <row r="622" spans="1:11" x14ac:dyDescent="0.25">
      <c r="A622" s="1">
        <v>1962</v>
      </c>
      <c r="B622" s="1" t="s">
        <v>99</v>
      </c>
      <c r="C622" t="s">
        <v>9</v>
      </c>
      <c r="D622" s="1" t="s">
        <v>5</v>
      </c>
      <c r="E622">
        <v>88</v>
      </c>
      <c r="F622" s="1" t="s">
        <v>101</v>
      </c>
      <c r="G622">
        <v>6</v>
      </c>
      <c r="H622">
        <v>1</v>
      </c>
      <c r="I622" s="2">
        <f t="shared" si="27"/>
        <v>0.19634399999999999</v>
      </c>
      <c r="J622">
        <f t="shared" si="28"/>
        <v>7.3290033594624856E-3</v>
      </c>
      <c r="K622">
        <f t="shared" si="29"/>
        <v>5.1278140506659693E-3</v>
      </c>
    </row>
    <row r="623" spans="1:11" x14ac:dyDescent="0.25">
      <c r="A623" s="1">
        <v>1972</v>
      </c>
      <c r="B623" s="1" t="s">
        <v>99</v>
      </c>
      <c r="C623" t="s">
        <v>9</v>
      </c>
      <c r="D623" s="1" t="s">
        <v>3</v>
      </c>
      <c r="E623">
        <v>17</v>
      </c>
      <c r="F623" s="1" t="s">
        <v>101</v>
      </c>
      <c r="G623">
        <v>8</v>
      </c>
      <c r="H623">
        <v>1</v>
      </c>
      <c r="I623" s="2">
        <f t="shared" si="27"/>
        <v>0.34905599999999998</v>
      </c>
      <c r="J623">
        <f t="shared" si="28"/>
        <v>1.3029339305711086E-2</v>
      </c>
      <c r="K623">
        <f t="shared" si="29"/>
        <v>9.1161138678506129E-3</v>
      </c>
    </row>
    <row r="624" spans="1:11" x14ac:dyDescent="0.25">
      <c r="A624" s="1">
        <v>1972</v>
      </c>
      <c r="B624" s="1" t="s">
        <v>99</v>
      </c>
      <c r="C624" t="s">
        <v>9</v>
      </c>
      <c r="D624" s="1" t="s">
        <v>3</v>
      </c>
      <c r="E624">
        <v>21</v>
      </c>
      <c r="F624" s="1" t="s">
        <v>101</v>
      </c>
      <c r="G624">
        <v>6</v>
      </c>
      <c r="H624">
        <v>31</v>
      </c>
      <c r="I624" s="2">
        <f t="shared" si="27"/>
        <v>6.0866639999999999</v>
      </c>
      <c r="J624">
        <f t="shared" si="28"/>
        <v>0.22719910414333708</v>
      </c>
      <c r="K624">
        <f t="shared" si="29"/>
        <v>0.15896223557064507</v>
      </c>
    </row>
    <row r="625" spans="1:11" x14ac:dyDescent="0.25">
      <c r="A625" s="1">
        <v>1972</v>
      </c>
      <c r="B625" s="1" t="s">
        <v>99</v>
      </c>
      <c r="C625" t="s">
        <v>9</v>
      </c>
      <c r="D625" s="1" t="s">
        <v>3</v>
      </c>
      <c r="E625">
        <v>21</v>
      </c>
      <c r="F625" s="1" t="s">
        <v>101</v>
      </c>
      <c r="G625">
        <v>8</v>
      </c>
      <c r="H625">
        <v>7</v>
      </c>
      <c r="I625" s="2">
        <f t="shared" si="27"/>
        <v>2.4433919999999998</v>
      </c>
      <c r="J625">
        <f t="shared" si="28"/>
        <v>9.1205375139977604E-2</v>
      </c>
      <c r="K625">
        <f t="shared" si="29"/>
        <v>6.3812797074954297E-2</v>
      </c>
    </row>
    <row r="626" spans="1:11" x14ac:dyDescent="0.25">
      <c r="A626" s="1">
        <v>1972</v>
      </c>
      <c r="B626" s="1" t="s">
        <v>99</v>
      </c>
      <c r="C626" t="s">
        <v>9</v>
      </c>
      <c r="D626" s="1" t="s">
        <v>3</v>
      </c>
      <c r="E626">
        <v>21</v>
      </c>
      <c r="F626" s="1" t="s">
        <v>101</v>
      </c>
      <c r="G626">
        <v>10</v>
      </c>
      <c r="H626">
        <v>11</v>
      </c>
      <c r="I626" s="2">
        <f t="shared" si="27"/>
        <v>5.9993999999999996</v>
      </c>
      <c r="J626">
        <f t="shared" si="28"/>
        <v>0.22394176931690929</v>
      </c>
      <c r="K626">
        <f t="shared" si="29"/>
        <v>0.15668320710368241</v>
      </c>
    </row>
    <row r="627" spans="1:11" x14ac:dyDescent="0.25">
      <c r="A627" s="1">
        <v>1972</v>
      </c>
      <c r="B627" s="1" t="s">
        <v>99</v>
      </c>
      <c r="C627" t="s">
        <v>9</v>
      </c>
      <c r="D627" s="1" t="s">
        <v>3</v>
      </c>
      <c r="E627">
        <v>21</v>
      </c>
      <c r="F627" s="1" t="s">
        <v>101</v>
      </c>
      <c r="G627">
        <v>12</v>
      </c>
      <c r="H627">
        <v>6</v>
      </c>
      <c r="I627" s="2">
        <f t="shared" si="27"/>
        <v>4.712256</v>
      </c>
      <c r="J627">
        <f t="shared" si="28"/>
        <v>0.17589608062709966</v>
      </c>
      <c r="K627">
        <f t="shared" si="29"/>
        <v>0.12306753721598328</v>
      </c>
    </row>
    <row r="628" spans="1:11" x14ac:dyDescent="0.25">
      <c r="A628" s="1">
        <v>1972</v>
      </c>
      <c r="B628" s="1" t="s">
        <v>99</v>
      </c>
      <c r="C628" t="s">
        <v>9</v>
      </c>
      <c r="D628" s="1" t="s">
        <v>3</v>
      </c>
      <c r="E628">
        <v>21</v>
      </c>
      <c r="F628" s="1" t="s">
        <v>101</v>
      </c>
      <c r="G628">
        <v>14</v>
      </c>
      <c r="H628">
        <v>5</v>
      </c>
      <c r="I628" s="2">
        <f t="shared" si="27"/>
        <v>5.3449200000000001</v>
      </c>
      <c r="J628">
        <f t="shared" si="28"/>
        <v>0.199511758118701</v>
      </c>
      <c r="K628">
        <f t="shared" si="29"/>
        <v>0.1395904936014625</v>
      </c>
    </row>
    <row r="629" spans="1:11" x14ac:dyDescent="0.25">
      <c r="A629" s="1">
        <v>1972</v>
      </c>
      <c r="B629" s="1" t="s">
        <v>99</v>
      </c>
      <c r="C629" t="s">
        <v>9</v>
      </c>
      <c r="D629" s="1" t="s">
        <v>3</v>
      </c>
      <c r="E629">
        <v>21</v>
      </c>
      <c r="F629" s="1" t="s">
        <v>101</v>
      </c>
      <c r="G629">
        <v>16</v>
      </c>
      <c r="H629">
        <v>10</v>
      </c>
      <c r="I629" s="2">
        <f t="shared" si="27"/>
        <v>13.96224</v>
      </c>
      <c r="J629">
        <f t="shared" si="28"/>
        <v>0.5211735722284434</v>
      </c>
      <c r="K629">
        <f t="shared" si="29"/>
        <v>0.36464455471402452</v>
      </c>
    </row>
    <row r="630" spans="1:11" x14ac:dyDescent="0.25">
      <c r="A630" s="1">
        <v>1972</v>
      </c>
      <c r="B630" s="1" t="s">
        <v>99</v>
      </c>
      <c r="C630" t="s">
        <v>9</v>
      </c>
      <c r="D630" s="1" t="s">
        <v>3</v>
      </c>
      <c r="E630">
        <v>21</v>
      </c>
      <c r="F630" s="1" t="s">
        <v>101</v>
      </c>
      <c r="G630">
        <v>18</v>
      </c>
      <c r="H630">
        <v>13</v>
      </c>
      <c r="I630" s="2">
        <f t="shared" si="27"/>
        <v>22.972247999999997</v>
      </c>
      <c r="J630">
        <f t="shared" si="28"/>
        <v>0.85749339305711081</v>
      </c>
      <c r="K630">
        <f t="shared" si="29"/>
        <v>0.59995424392791841</v>
      </c>
    </row>
    <row r="631" spans="1:11" x14ac:dyDescent="0.25">
      <c r="A631" s="1">
        <v>1972</v>
      </c>
      <c r="B631" s="1" t="s">
        <v>99</v>
      </c>
      <c r="C631" t="s">
        <v>9</v>
      </c>
      <c r="D631" s="1" t="s">
        <v>3</v>
      </c>
      <c r="E631">
        <v>25</v>
      </c>
      <c r="F631" s="1" t="s">
        <v>101</v>
      </c>
      <c r="G631">
        <v>6</v>
      </c>
      <c r="H631">
        <v>2</v>
      </c>
      <c r="I631" s="2">
        <f t="shared" si="27"/>
        <v>0.39268799999999998</v>
      </c>
      <c r="J631">
        <f t="shared" si="28"/>
        <v>1.4658006718924971E-2</v>
      </c>
      <c r="K631">
        <f t="shared" si="29"/>
        <v>1.0255628101331939E-2</v>
      </c>
    </row>
    <row r="632" spans="1:11" x14ac:dyDescent="0.25">
      <c r="A632" s="1">
        <v>1972</v>
      </c>
      <c r="B632" s="1" t="s">
        <v>99</v>
      </c>
      <c r="C632" t="s">
        <v>9</v>
      </c>
      <c r="D632" s="1" t="s">
        <v>3</v>
      </c>
      <c r="E632">
        <v>25</v>
      </c>
      <c r="F632" s="1" t="s">
        <v>101</v>
      </c>
      <c r="G632">
        <v>8</v>
      </c>
      <c r="H632">
        <v>2</v>
      </c>
      <c r="I632" s="2">
        <f t="shared" si="27"/>
        <v>0.69811199999999995</v>
      </c>
      <c r="J632">
        <f t="shared" si="28"/>
        <v>2.6058678611422172E-2</v>
      </c>
      <c r="K632">
        <f t="shared" si="29"/>
        <v>1.8232227735701226E-2</v>
      </c>
    </row>
    <row r="633" spans="1:11" x14ac:dyDescent="0.25">
      <c r="A633" s="1">
        <v>1972</v>
      </c>
      <c r="B633" s="1" t="s">
        <v>99</v>
      </c>
      <c r="C633" t="s">
        <v>9</v>
      </c>
      <c r="D633" s="1" t="s">
        <v>3</v>
      </c>
      <c r="E633">
        <v>25</v>
      </c>
      <c r="F633" s="1" t="s">
        <v>101</v>
      </c>
      <c r="G633">
        <v>16</v>
      </c>
      <c r="H633">
        <v>1</v>
      </c>
      <c r="I633" s="2">
        <f t="shared" si="27"/>
        <v>1.3962239999999999</v>
      </c>
      <c r="J633">
        <f t="shared" si="28"/>
        <v>5.2117357222844343E-2</v>
      </c>
      <c r="K633">
        <f t="shared" si="29"/>
        <v>3.6464455471402452E-2</v>
      </c>
    </row>
    <row r="634" spans="1:11" x14ac:dyDescent="0.25">
      <c r="A634" s="1">
        <v>1972</v>
      </c>
      <c r="B634" s="1" t="s">
        <v>99</v>
      </c>
      <c r="C634" t="s">
        <v>9</v>
      </c>
      <c r="D634" s="1" t="s">
        <v>3</v>
      </c>
      <c r="E634">
        <v>25</v>
      </c>
      <c r="F634" s="1" t="s">
        <v>101</v>
      </c>
      <c r="G634">
        <v>18</v>
      </c>
      <c r="H634">
        <v>1</v>
      </c>
      <c r="I634" s="2">
        <f t="shared" si="27"/>
        <v>1.7670959999999998</v>
      </c>
      <c r="J634">
        <f t="shared" si="28"/>
        <v>6.5961030235162366E-2</v>
      </c>
      <c r="K634">
        <f t="shared" si="29"/>
        <v>4.615032645599372E-2</v>
      </c>
    </row>
    <row r="635" spans="1:11" x14ac:dyDescent="0.25">
      <c r="A635" s="1">
        <v>1972</v>
      </c>
      <c r="B635" s="1" t="s">
        <v>99</v>
      </c>
      <c r="C635" t="s">
        <v>9</v>
      </c>
      <c r="D635" s="1" t="s">
        <v>3</v>
      </c>
      <c r="E635">
        <v>28</v>
      </c>
      <c r="F635" s="1" t="s">
        <v>101</v>
      </c>
      <c r="G635">
        <v>6</v>
      </c>
      <c r="H635">
        <v>2</v>
      </c>
      <c r="I635" s="2">
        <f t="shared" si="27"/>
        <v>0.39268799999999998</v>
      </c>
      <c r="J635">
        <f t="shared" si="28"/>
        <v>1.4658006718924971E-2</v>
      </c>
      <c r="K635">
        <f t="shared" si="29"/>
        <v>1.0255628101331939E-2</v>
      </c>
    </row>
    <row r="636" spans="1:11" x14ac:dyDescent="0.25">
      <c r="A636" s="1">
        <v>1972</v>
      </c>
      <c r="B636" s="1" t="s">
        <v>99</v>
      </c>
      <c r="C636" t="s">
        <v>9</v>
      </c>
      <c r="D636" s="1" t="s">
        <v>3</v>
      </c>
      <c r="E636">
        <v>28</v>
      </c>
      <c r="F636" s="1" t="s">
        <v>101</v>
      </c>
      <c r="G636">
        <v>8</v>
      </c>
      <c r="H636">
        <v>1</v>
      </c>
      <c r="I636" s="2">
        <f t="shared" si="27"/>
        <v>0.34905599999999998</v>
      </c>
      <c r="J636">
        <f t="shared" si="28"/>
        <v>1.3029339305711086E-2</v>
      </c>
      <c r="K636">
        <f t="shared" si="29"/>
        <v>9.1161138678506129E-3</v>
      </c>
    </row>
    <row r="637" spans="1:11" x14ac:dyDescent="0.25">
      <c r="A637" s="1">
        <v>1972</v>
      </c>
      <c r="B637" s="1" t="s">
        <v>99</v>
      </c>
      <c r="C637" t="s">
        <v>9</v>
      </c>
      <c r="D637" s="1" t="s">
        <v>3</v>
      </c>
      <c r="E637">
        <v>29</v>
      </c>
      <c r="F637" s="1" t="s">
        <v>101</v>
      </c>
      <c r="G637">
        <v>6</v>
      </c>
      <c r="H637">
        <v>91</v>
      </c>
      <c r="I637" s="2">
        <f t="shared" si="27"/>
        <v>17.867304000000001</v>
      </c>
      <c r="J637">
        <f t="shared" si="28"/>
        <v>0.66693930571108628</v>
      </c>
      <c r="K637">
        <f t="shared" si="29"/>
        <v>0.46663107861060332</v>
      </c>
    </row>
    <row r="638" spans="1:11" x14ac:dyDescent="0.25">
      <c r="A638" s="1">
        <v>1972</v>
      </c>
      <c r="B638" s="1" t="s">
        <v>99</v>
      </c>
      <c r="C638" t="s">
        <v>9</v>
      </c>
      <c r="D638" s="1" t="s">
        <v>3</v>
      </c>
      <c r="E638">
        <v>29</v>
      </c>
      <c r="F638" s="1" t="s">
        <v>101</v>
      </c>
      <c r="G638">
        <v>8</v>
      </c>
      <c r="H638">
        <v>47</v>
      </c>
      <c r="I638" s="2">
        <f t="shared" si="27"/>
        <v>16.405632000000001</v>
      </c>
      <c r="J638">
        <f t="shared" si="28"/>
        <v>0.61237894736842113</v>
      </c>
      <c r="K638">
        <f t="shared" si="29"/>
        <v>0.42845735178897887</v>
      </c>
    </row>
    <row r="639" spans="1:11" x14ac:dyDescent="0.25">
      <c r="A639" s="1">
        <v>1972</v>
      </c>
      <c r="B639" s="1" t="s">
        <v>99</v>
      </c>
      <c r="C639" t="s">
        <v>9</v>
      </c>
      <c r="D639" s="1" t="s">
        <v>3</v>
      </c>
      <c r="E639">
        <v>29</v>
      </c>
      <c r="F639" s="1" t="s">
        <v>101</v>
      </c>
      <c r="G639">
        <v>10</v>
      </c>
      <c r="H639">
        <v>11</v>
      </c>
      <c r="I639" s="2">
        <f t="shared" si="27"/>
        <v>5.9993999999999996</v>
      </c>
      <c r="J639">
        <f t="shared" si="28"/>
        <v>0.22394176931690929</v>
      </c>
      <c r="K639">
        <f t="shared" si="29"/>
        <v>0.15668320710368241</v>
      </c>
    </row>
    <row r="640" spans="1:11" x14ac:dyDescent="0.25">
      <c r="A640" s="1">
        <v>1972</v>
      </c>
      <c r="B640" s="1" t="s">
        <v>99</v>
      </c>
      <c r="C640" t="s">
        <v>9</v>
      </c>
      <c r="D640" s="1" t="s">
        <v>3</v>
      </c>
      <c r="E640">
        <v>29</v>
      </c>
      <c r="F640" s="1" t="s">
        <v>101</v>
      </c>
      <c r="G640">
        <v>16</v>
      </c>
      <c r="H640">
        <v>1</v>
      </c>
      <c r="I640" s="2">
        <f t="shared" si="27"/>
        <v>1.3962239999999999</v>
      </c>
      <c r="J640">
        <f t="shared" si="28"/>
        <v>5.2117357222844343E-2</v>
      </c>
      <c r="K640">
        <f t="shared" si="29"/>
        <v>3.6464455471402452E-2</v>
      </c>
    </row>
    <row r="641" spans="1:11" x14ac:dyDescent="0.25">
      <c r="A641" s="1">
        <v>1972</v>
      </c>
      <c r="B641" s="1" t="s">
        <v>99</v>
      </c>
      <c r="C641" t="s">
        <v>9</v>
      </c>
      <c r="D641" s="1" t="s">
        <v>3</v>
      </c>
      <c r="E641">
        <v>30</v>
      </c>
      <c r="F641" s="1" t="s">
        <v>101</v>
      </c>
      <c r="G641">
        <v>6</v>
      </c>
      <c r="H641">
        <v>3</v>
      </c>
      <c r="I641" s="2">
        <f t="shared" si="27"/>
        <v>0.589032</v>
      </c>
      <c r="J641">
        <f t="shared" si="28"/>
        <v>2.1987010078387458E-2</v>
      </c>
      <c r="K641">
        <f t="shared" si="29"/>
        <v>1.538344215199791E-2</v>
      </c>
    </row>
    <row r="642" spans="1:11" x14ac:dyDescent="0.25">
      <c r="A642" s="1">
        <v>1972</v>
      </c>
      <c r="B642" s="1" t="s">
        <v>99</v>
      </c>
      <c r="C642" t="s">
        <v>9</v>
      </c>
      <c r="D642" s="1" t="s">
        <v>3</v>
      </c>
      <c r="E642">
        <v>30</v>
      </c>
      <c r="F642" s="1" t="s">
        <v>101</v>
      </c>
      <c r="G642">
        <v>8</v>
      </c>
      <c r="H642">
        <v>1</v>
      </c>
      <c r="I642" s="2">
        <f t="shared" si="27"/>
        <v>0.34905599999999998</v>
      </c>
      <c r="J642">
        <f t="shared" si="28"/>
        <v>1.3029339305711086E-2</v>
      </c>
      <c r="K642">
        <f t="shared" si="29"/>
        <v>9.1161138678506129E-3</v>
      </c>
    </row>
    <row r="643" spans="1:11" x14ac:dyDescent="0.25">
      <c r="A643" s="1">
        <v>1972</v>
      </c>
      <c r="B643" s="1" t="s">
        <v>99</v>
      </c>
      <c r="C643" t="s">
        <v>9</v>
      </c>
      <c r="D643" s="1" t="s">
        <v>3</v>
      </c>
      <c r="E643">
        <v>32</v>
      </c>
      <c r="F643" s="1" t="s">
        <v>101</v>
      </c>
      <c r="G643">
        <v>6</v>
      </c>
      <c r="H643">
        <v>70</v>
      </c>
      <c r="I643" s="2">
        <f t="shared" ref="I643:I706" si="30">0.005454*G643^2*H643</f>
        <v>13.744079999999999</v>
      </c>
      <c r="J643">
        <f t="shared" ref="J643:J706" si="31">I643/26.79</f>
        <v>0.513030235162374</v>
      </c>
      <c r="K643">
        <f t="shared" ref="K643:K706" si="32">J643*(26.79/38.29)</f>
        <v>0.35894698354661786</v>
      </c>
    </row>
    <row r="644" spans="1:11" x14ac:dyDescent="0.25">
      <c r="A644" s="1">
        <v>1972</v>
      </c>
      <c r="B644" s="1" t="s">
        <v>99</v>
      </c>
      <c r="C644" t="s">
        <v>9</v>
      </c>
      <c r="D644" s="1" t="s">
        <v>3</v>
      </c>
      <c r="E644">
        <v>32</v>
      </c>
      <c r="F644" s="1" t="s">
        <v>101</v>
      </c>
      <c r="G644">
        <v>8</v>
      </c>
      <c r="H644">
        <v>21</v>
      </c>
      <c r="I644" s="2">
        <f t="shared" si="30"/>
        <v>7.3301759999999998</v>
      </c>
      <c r="J644">
        <f t="shared" si="31"/>
        <v>0.2736161254199328</v>
      </c>
      <c r="K644">
        <f t="shared" si="32"/>
        <v>0.19143839122486286</v>
      </c>
    </row>
    <row r="645" spans="1:11" x14ac:dyDescent="0.25">
      <c r="A645" s="1">
        <v>1972</v>
      </c>
      <c r="B645" s="1" t="s">
        <v>99</v>
      </c>
      <c r="C645" t="s">
        <v>9</v>
      </c>
      <c r="D645" s="1" t="s">
        <v>3</v>
      </c>
      <c r="E645">
        <v>32</v>
      </c>
      <c r="F645" s="1" t="s">
        <v>101</v>
      </c>
      <c r="G645">
        <v>10</v>
      </c>
      <c r="H645">
        <v>8</v>
      </c>
      <c r="I645" s="2">
        <f t="shared" si="30"/>
        <v>4.3632</v>
      </c>
      <c r="J645">
        <f t="shared" si="31"/>
        <v>0.16286674132138859</v>
      </c>
      <c r="K645">
        <f t="shared" si="32"/>
        <v>0.11395142334813267</v>
      </c>
    </row>
    <row r="646" spans="1:11" x14ac:dyDescent="0.25">
      <c r="A646" s="1">
        <v>1972</v>
      </c>
      <c r="B646" s="1" t="s">
        <v>99</v>
      </c>
      <c r="C646" t="s">
        <v>9</v>
      </c>
      <c r="D646" s="1" t="s">
        <v>3</v>
      </c>
      <c r="E646">
        <v>32</v>
      </c>
      <c r="F646" s="1" t="s">
        <v>101</v>
      </c>
      <c r="G646">
        <v>12</v>
      </c>
      <c r="H646">
        <v>5</v>
      </c>
      <c r="I646" s="2">
        <f t="shared" si="30"/>
        <v>3.9268799999999997</v>
      </c>
      <c r="J646">
        <f t="shared" si="31"/>
        <v>0.14658006718924971</v>
      </c>
      <c r="K646">
        <f t="shared" si="32"/>
        <v>0.10255628101331939</v>
      </c>
    </row>
    <row r="647" spans="1:11" x14ac:dyDescent="0.25">
      <c r="A647" s="1">
        <v>1972</v>
      </c>
      <c r="B647" s="1" t="s">
        <v>99</v>
      </c>
      <c r="C647" t="s">
        <v>9</v>
      </c>
      <c r="D647" s="1" t="s">
        <v>3</v>
      </c>
      <c r="E647">
        <v>32</v>
      </c>
      <c r="F647" s="1" t="s">
        <v>101</v>
      </c>
      <c r="G647">
        <v>14</v>
      </c>
      <c r="H647">
        <v>2</v>
      </c>
      <c r="I647" s="2">
        <f t="shared" si="30"/>
        <v>2.1379679999999999</v>
      </c>
      <c r="J647">
        <f t="shared" si="31"/>
        <v>7.9804703247480402E-2</v>
      </c>
      <c r="K647">
        <f t="shared" si="32"/>
        <v>5.5836197440585003E-2</v>
      </c>
    </row>
    <row r="648" spans="1:11" x14ac:dyDescent="0.25">
      <c r="A648" s="1">
        <v>1972</v>
      </c>
      <c r="B648" s="1" t="s">
        <v>99</v>
      </c>
      <c r="C648" t="s">
        <v>9</v>
      </c>
      <c r="D648" s="1" t="s">
        <v>3</v>
      </c>
      <c r="E648">
        <v>32</v>
      </c>
      <c r="F648" s="1" t="s">
        <v>101</v>
      </c>
      <c r="G648">
        <v>16</v>
      </c>
      <c r="H648">
        <v>2</v>
      </c>
      <c r="I648" s="2">
        <f t="shared" si="30"/>
        <v>2.7924479999999998</v>
      </c>
      <c r="J648">
        <f t="shared" si="31"/>
        <v>0.10423471444568869</v>
      </c>
      <c r="K648">
        <f t="shared" si="32"/>
        <v>7.2928910942804903E-2</v>
      </c>
    </row>
    <row r="649" spans="1:11" x14ac:dyDescent="0.25">
      <c r="A649" s="1">
        <v>1972</v>
      </c>
      <c r="B649" s="1" t="s">
        <v>99</v>
      </c>
      <c r="C649" t="s">
        <v>9</v>
      </c>
      <c r="D649" s="1" t="s">
        <v>3</v>
      </c>
      <c r="E649">
        <v>32</v>
      </c>
      <c r="F649" s="1" t="s">
        <v>101</v>
      </c>
      <c r="G649">
        <v>18</v>
      </c>
      <c r="H649">
        <v>3</v>
      </c>
      <c r="I649" s="2">
        <f t="shared" si="30"/>
        <v>5.3012879999999996</v>
      </c>
      <c r="J649">
        <f t="shared" si="31"/>
        <v>0.19788309070548712</v>
      </c>
      <c r="K649">
        <f t="shared" si="32"/>
        <v>0.13845097936798118</v>
      </c>
    </row>
    <row r="650" spans="1:11" x14ac:dyDescent="0.25">
      <c r="A650" s="1">
        <v>1972</v>
      </c>
      <c r="B650" s="1" t="s">
        <v>99</v>
      </c>
      <c r="C650" t="s">
        <v>9</v>
      </c>
      <c r="D650" s="1" t="s">
        <v>3</v>
      </c>
      <c r="E650">
        <v>32</v>
      </c>
      <c r="F650" s="1" t="s">
        <v>101</v>
      </c>
      <c r="G650">
        <v>20</v>
      </c>
      <c r="H650">
        <v>1</v>
      </c>
      <c r="I650" s="2">
        <f t="shared" si="30"/>
        <v>2.1816</v>
      </c>
      <c r="J650">
        <f t="shared" si="31"/>
        <v>8.1433370660694296E-2</v>
      </c>
      <c r="K650">
        <f t="shared" si="32"/>
        <v>5.6975711674066336E-2</v>
      </c>
    </row>
    <row r="651" spans="1:11" x14ac:dyDescent="0.25">
      <c r="A651" s="1">
        <v>1972</v>
      </c>
      <c r="B651" s="1" t="s">
        <v>99</v>
      </c>
      <c r="C651" t="s">
        <v>9</v>
      </c>
      <c r="D651" s="1" t="s">
        <v>3</v>
      </c>
      <c r="E651">
        <v>34</v>
      </c>
      <c r="F651" s="1" t="s">
        <v>101</v>
      </c>
      <c r="G651">
        <v>6</v>
      </c>
      <c r="H651">
        <v>112</v>
      </c>
      <c r="I651" s="2">
        <f t="shared" si="30"/>
        <v>21.990527999999998</v>
      </c>
      <c r="J651">
        <f t="shared" si="31"/>
        <v>0.82084837625979834</v>
      </c>
      <c r="K651">
        <f t="shared" si="32"/>
        <v>0.57431517367458851</v>
      </c>
    </row>
    <row r="652" spans="1:11" x14ac:dyDescent="0.25">
      <c r="A652" s="1">
        <v>1972</v>
      </c>
      <c r="B652" s="1" t="s">
        <v>99</v>
      </c>
      <c r="C652" t="s">
        <v>9</v>
      </c>
      <c r="D652" s="1" t="s">
        <v>3</v>
      </c>
      <c r="E652">
        <v>34</v>
      </c>
      <c r="F652" s="1" t="s">
        <v>101</v>
      </c>
      <c r="G652">
        <v>8</v>
      </c>
      <c r="H652">
        <v>61</v>
      </c>
      <c r="I652" s="2">
        <f t="shared" si="30"/>
        <v>21.292415999999999</v>
      </c>
      <c r="J652">
        <f t="shared" si="31"/>
        <v>0.79478969764837626</v>
      </c>
      <c r="K652">
        <f t="shared" si="32"/>
        <v>0.55608294593888741</v>
      </c>
    </row>
    <row r="653" spans="1:11" x14ac:dyDescent="0.25">
      <c r="A653" s="1">
        <v>1972</v>
      </c>
      <c r="B653" s="1" t="s">
        <v>99</v>
      </c>
      <c r="C653" t="s">
        <v>9</v>
      </c>
      <c r="D653" s="1" t="s">
        <v>3</v>
      </c>
      <c r="E653">
        <v>34</v>
      </c>
      <c r="F653" s="1" t="s">
        <v>101</v>
      </c>
      <c r="G653">
        <v>10</v>
      </c>
      <c r="H653">
        <v>41</v>
      </c>
      <c r="I653" s="2">
        <f t="shared" si="30"/>
        <v>22.3614</v>
      </c>
      <c r="J653">
        <f t="shared" si="31"/>
        <v>0.83469204927211649</v>
      </c>
      <c r="K653">
        <f t="shared" si="32"/>
        <v>0.5840010446591799</v>
      </c>
    </row>
    <row r="654" spans="1:11" x14ac:dyDescent="0.25">
      <c r="A654" s="1">
        <v>1972</v>
      </c>
      <c r="B654" s="1" t="s">
        <v>99</v>
      </c>
      <c r="C654" t="s">
        <v>9</v>
      </c>
      <c r="D654" s="1" t="s">
        <v>3</v>
      </c>
      <c r="E654">
        <v>34</v>
      </c>
      <c r="F654" s="1" t="s">
        <v>101</v>
      </c>
      <c r="G654">
        <v>12</v>
      </c>
      <c r="H654">
        <v>31</v>
      </c>
      <c r="I654" s="2">
        <f t="shared" si="30"/>
        <v>24.346655999999999</v>
      </c>
      <c r="J654">
        <f t="shared" si="31"/>
        <v>0.90879641657334831</v>
      </c>
      <c r="K654">
        <f t="shared" si="32"/>
        <v>0.63584894228258027</v>
      </c>
    </row>
    <row r="655" spans="1:11" x14ac:dyDescent="0.25">
      <c r="A655" s="1">
        <v>1972</v>
      </c>
      <c r="B655" s="1" t="s">
        <v>99</v>
      </c>
      <c r="C655" t="s">
        <v>9</v>
      </c>
      <c r="D655" s="1" t="s">
        <v>3</v>
      </c>
      <c r="E655">
        <v>34</v>
      </c>
      <c r="F655" s="1" t="s">
        <v>101</v>
      </c>
      <c r="G655">
        <v>14</v>
      </c>
      <c r="H655">
        <v>32</v>
      </c>
      <c r="I655" s="2">
        <f t="shared" si="30"/>
        <v>34.207487999999998</v>
      </c>
      <c r="J655">
        <f t="shared" si="31"/>
        <v>1.2768752519596864</v>
      </c>
      <c r="K655">
        <f t="shared" si="32"/>
        <v>0.89337915904936005</v>
      </c>
    </row>
    <row r="656" spans="1:11" x14ac:dyDescent="0.25">
      <c r="A656" s="1">
        <v>1972</v>
      </c>
      <c r="B656" s="1" t="s">
        <v>99</v>
      </c>
      <c r="C656" t="s">
        <v>9</v>
      </c>
      <c r="D656" s="1" t="s">
        <v>3</v>
      </c>
      <c r="E656">
        <v>34</v>
      </c>
      <c r="F656" s="1" t="s">
        <v>101</v>
      </c>
      <c r="G656">
        <v>16</v>
      </c>
      <c r="H656">
        <v>35</v>
      </c>
      <c r="I656" s="2">
        <f t="shared" si="30"/>
        <v>48.867839999999994</v>
      </c>
      <c r="J656">
        <f t="shared" si="31"/>
        <v>1.8241075027995519</v>
      </c>
      <c r="K656">
        <f t="shared" si="32"/>
        <v>1.2762559414990857</v>
      </c>
    </row>
    <row r="657" spans="1:11" x14ac:dyDescent="0.25">
      <c r="A657" s="1">
        <v>1972</v>
      </c>
      <c r="B657" s="1" t="s">
        <v>99</v>
      </c>
      <c r="C657" t="s">
        <v>9</v>
      </c>
      <c r="D657" s="1" t="s">
        <v>3</v>
      </c>
      <c r="E657">
        <v>34</v>
      </c>
      <c r="F657" s="1" t="s">
        <v>101</v>
      </c>
      <c r="G657">
        <v>18</v>
      </c>
      <c r="H657">
        <v>27</v>
      </c>
      <c r="I657" s="2">
        <f t="shared" si="30"/>
        <v>47.711591999999996</v>
      </c>
      <c r="J657">
        <f t="shared" si="31"/>
        <v>1.7809478163493839</v>
      </c>
      <c r="K657">
        <f t="shared" si="32"/>
        <v>1.2460588143118305</v>
      </c>
    </row>
    <row r="658" spans="1:11" x14ac:dyDescent="0.25">
      <c r="A658" s="1">
        <v>1972</v>
      </c>
      <c r="B658" s="1" t="s">
        <v>99</v>
      </c>
      <c r="C658" t="s">
        <v>9</v>
      </c>
      <c r="D658" s="1" t="s">
        <v>3</v>
      </c>
      <c r="E658">
        <v>34</v>
      </c>
      <c r="F658" s="1" t="s">
        <v>101</v>
      </c>
      <c r="G658">
        <v>20</v>
      </c>
      <c r="H658">
        <v>12</v>
      </c>
      <c r="I658" s="2">
        <f t="shared" si="30"/>
        <v>26.179200000000002</v>
      </c>
      <c r="J658">
        <f t="shared" si="31"/>
        <v>0.97720044792833161</v>
      </c>
      <c r="K658">
        <f t="shared" si="32"/>
        <v>0.68370854008879611</v>
      </c>
    </row>
    <row r="659" spans="1:11" x14ac:dyDescent="0.25">
      <c r="A659" s="1">
        <v>1972</v>
      </c>
      <c r="B659" s="1" t="s">
        <v>99</v>
      </c>
      <c r="C659" t="s">
        <v>9</v>
      </c>
      <c r="D659" s="1" t="s">
        <v>3</v>
      </c>
      <c r="E659">
        <v>34</v>
      </c>
      <c r="F659" s="1" t="s">
        <v>101</v>
      </c>
      <c r="G659">
        <v>22</v>
      </c>
      <c r="H659">
        <v>2</v>
      </c>
      <c r="I659" s="2">
        <f t="shared" si="30"/>
        <v>5.2794719999999993</v>
      </c>
      <c r="J659">
        <f t="shared" si="31"/>
        <v>0.19706875699888016</v>
      </c>
      <c r="K659">
        <f t="shared" si="32"/>
        <v>0.1378812222512405</v>
      </c>
    </row>
    <row r="660" spans="1:11" x14ac:dyDescent="0.25">
      <c r="A660" s="1">
        <v>1972</v>
      </c>
      <c r="B660" s="1" t="s">
        <v>99</v>
      </c>
      <c r="C660" t="s">
        <v>9</v>
      </c>
      <c r="D660" s="1" t="s">
        <v>3</v>
      </c>
      <c r="E660">
        <v>38</v>
      </c>
      <c r="F660" s="1" t="s">
        <v>101</v>
      </c>
      <c r="G660">
        <v>6</v>
      </c>
      <c r="H660">
        <v>159</v>
      </c>
      <c r="I660" s="2">
        <f t="shared" si="30"/>
        <v>31.218695999999998</v>
      </c>
      <c r="J660">
        <f t="shared" si="31"/>
        <v>1.1653115341545353</v>
      </c>
      <c r="K660">
        <f t="shared" si="32"/>
        <v>0.81532243405588922</v>
      </c>
    </row>
    <row r="661" spans="1:11" x14ac:dyDescent="0.25">
      <c r="A661" s="1">
        <v>1972</v>
      </c>
      <c r="B661" s="1" t="s">
        <v>99</v>
      </c>
      <c r="C661" t="s">
        <v>9</v>
      </c>
      <c r="D661" s="1" t="s">
        <v>3</v>
      </c>
      <c r="E661">
        <v>38</v>
      </c>
      <c r="F661" s="1" t="s">
        <v>101</v>
      </c>
      <c r="G661">
        <v>8</v>
      </c>
      <c r="H661">
        <v>163</v>
      </c>
      <c r="I661" s="2">
        <f t="shared" si="30"/>
        <v>56.896127999999997</v>
      </c>
      <c r="J661">
        <f t="shared" si="31"/>
        <v>2.1237823068309072</v>
      </c>
      <c r="K661">
        <f t="shared" si="32"/>
        <v>1.4859265604596501</v>
      </c>
    </row>
    <row r="662" spans="1:11" x14ac:dyDescent="0.25">
      <c r="A662" s="1">
        <v>1972</v>
      </c>
      <c r="B662" s="1" t="s">
        <v>99</v>
      </c>
      <c r="C662" t="s">
        <v>9</v>
      </c>
      <c r="D662" s="1" t="s">
        <v>3</v>
      </c>
      <c r="E662">
        <v>38</v>
      </c>
      <c r="F662" s="1" t="s">
        <v>101</v>
      </c>
      <c r="G662">
        <v>10</v>
      </c>
      <c r="H662">
        <v>146</v>
      </c>
      <c r="I662" s="2">
        <f t="shared" si="30"/>
        <v>79.628399999999999</v>
      </c>
      <c r="J662">
        <f t="shared" si="31"/>
        <v>2.9723180291153417</v>
      </c>
      <c r="K662">
        <f t="shared" si="32"/>
        <v>2.0796134761034213</v>
      </c>
    </row>
    <row r="663" spans="1:11" x14ac:dyDescent="0.25">
      <c r="A663" s="1">
        <v>1972</v>
      </c>
      <c r="B663" s="1" t="s">
        <v>99</v>
      </c>
      <c r="C663" t="s">
        <v>9</v>
      </c>
      <c r="D663" s="1" t="s">
        <v>3</v>
      </c>
      <c r="E663">
        <v>38</v>
      </c>
      <c r="F663" s="1" t="s">
        <v>101</v>
      </c>
      <c r="G663">
        <v>12</v>
      </c>
      <c r="H663">
        <v>105</v>
      </c>
      <c r="I663" s="2">
        <f t="shared" si="30"/>
        <v>82.464479999999995</v>
      </c>
      <c r="J663">
        <f t="shared" si="31"/>
        <v>3.0781814109742438</v>
      </c>
      <c r="K663">
        <f t="shared" si="32"/>
        <v>2.153681901279707</v>
      </c>
    </row>
    <row r="664" spans="1:11" x14ac:dyDescent="0.25">
      <c r="A664" s="1">
        <v>1972</v>
      </c>
      <c r="B664" s="1" t="s">
        <v>99</v>
      </c>
      <c r="C664" t="s">
        <v>9</v>
      </c>
      <c r="D664" s="1" t="s">
        <v>3</v>
      </c>
      <c r="E664">
        <v>38</v>
      </c>
      <c r="F664" s="1" t="s">
        <v>101</v>
      </c>
      <c r="G664">
        <v>14</v>
      </c>
      <c r="H664">
        <v>57</v>
      </c>
      <c r="I664" s="2">
        <f t="shared" si="30"/>
        <v>60.932087999999993</v>
      </c>
      <c r="J664">
        <f t="shared" si="31"/>
        <v>2.2744340425531915</v>
      </c>
      <c r="K664">
        <f t="shared" si="32"/>
        <v>1.5913316270566726</v>
      </c>
    </row>
    <row r="665" spans="1:11" x14ac:dyDescent="0.25">
      <c r="A665" s="1">
        <v>1972</v>
      </c>
      <c r="B665" s="1" t="s">
        <v>99</v>
      </c>
      <c r="C665" t="s">
        <v>9</v>
      </c>
      <c r="D665" s="1" t="s">
        <v>3</v>
      </c>
      <c r="E665">
        <v>38</v>
      </c>
      <c r="F665" s="1" t="s">
        <v>101</v>
      </c>
      <c r="G665">
        <v>16</v>
      </c>
      <c r="H665">
        <v>43</v>
      </c>
      <c r="I665" s="2">
        <f t="shared" si="30"/>
        <v>60.037631999999995</v>
      </c>
      <c r="J665">
        <f t="shared" si="31"/>
        <v>2.2410463605823066</v>
      </c>
      <c r="K665">
        <f t="shared" si="32"/>
        <v>1.5679715852703053</v>
      </c>
    </row>
    <row r="666" spans="1:11" x14ac:dyDescent="0.25">
      <c r="A666" s="1">
        <v>1972</v>
      </c>
      <c r="B666" s="1" t="s">
        <v>99</v>
      </c>
      <c r="C666" t="s">
        <v>9</v>
      </c>
      <c r="D666" s="1" t="s">
        <v>3</v>
      </c>
      <c r="E666">
        <v>38</v>
      </c>
      <c r="F666" s="1" t="s">
        <v>101</v>
      </c>
      <c r="G666">
        <v>18</v>
      </c>
      <c r="H666">
        <v>36</v>
      </c>
      <c r="I666" s="2">
        <f t="shared" si="30"/>
        <v>63.615455999999995</v>
      </c>
      <c r="J666">
        <f t="shared" si="31"/>
        <v>2.3745970884658454</v>
      </c>
      <c r="K666">
        <f t="shared" si="32"/>
        <v>1.6614117524157741</v>
      </c>
    </row>
    <row r="667" spans="1:11" x14ac:dyDescent="0.25">
      <c r="A667" s="1">
        <v>1972</v>
      </c>
      <c r="B667" s="1" t="s">
        <v>99</v>
      </c>
      <c r="C667" t="s">
        <v>9</v>
      </c>
      <c r="D667" s="1" t="s">
        <v>3</v>
      </c>
      <c r="E667">
        <v>38</v>
      </c>
      <c r="F667" s="1" t="s">
        <v>101</v>
      </c>
      <c r="G667">
        <v>20</v>
      </c>
      <c r="H667">
        <v>10</v>
      </c>
      <c r="I667" s="2">
        <f t="shared" si="30"/>
        <v>21.815999999999999</v>
      </c>
      <c r="J667">
        <f t="shared" si="31"/>
        <v>0.81433370660694293</v>
      </c>
      <c r="K667">
        <f t="shared" si="32"/>
        <v>0.56975711674066332</v>
      </c>
    </row>
    <row r="668" spans="1:11" x14ac:dyDescent="0.25">
      <c r="A668" s="1">
        <v>1972</v>
      </c>
      <c r="B668" s="1" t="s">
        <v>99</v>
      </c>
      <c r="C668" t="s">
        <v>9</v>
      </c>
      <c r="D668" s="1" t="s">
        <v>3</v>
      </c>
      <c r="E668">
        <v>40</v>
      </c>
      <c r="F668" s="1" t="s">
        <v>101</v>
      </c>
      <c r="G668">
        <v>6</v>
      </c>
      <c r="H668">
        <v>173</v>
      </c>
      <c r="I668" s="2">
        <f t="shared" si="30"/>
        <v>33.967511999999999</v>
      </c>
      <c r="J668">
        <f t="shared" si="31"/>
        <v>1.26791758118701</v>
      </c>
      <c r="K668">
        <f t="shared" si="32"/>
        <v>0.88711183076521272</v>
      </c>
    </row>
    <row r="669" spans="1:11" x14ac:dyDescent="0.25">
      <c r="A669" s="1">
        <v>1972</v>
      </c>
      <c r="B669" s="1" t="s">
        <v>99</v>
      </c>
      <c r="C669" t="s">
        <v>9</v>
      </c>
      <c r="D669" s="1" t="s">
        <v>3</v>
      </c>
      <c r="E669">
        <v>40</v>
      </c>
      <c r="F669" s="1" t="s">
        <v>101</v>
      </c>
      <c r="G669">
        <v>8</v>
      </c>
      <c r="H669">
        <v>145</v>
      </c>
      <c r="I669" s="2">
        <f t="shared" si="30"/>
        <v>50.613119999999995</v>
      </c>
      <c r="J669">
        <f t="shared" si="31"/>
        <v>1.8892541993281073</v>
      </c>
      <c r="K669">
        <f t="shared" si="32"/>
        <v>1.3218365108383388</v>
      </c>
    </row>
    <row r="670" spans="1:11" x14ac:dyDescent="0.25">
      <c r="A670" s="1">
        <v>1972</v>
      </c>
      <c r="B670" s="1" t="s">
        <v>99</v>
      </c>
      <c r="C670" t="s">
        <v>9</v>
      </c>
      <c r="D670" s="1" t="s">
        <v>3</v>
      </c>
      <c r="E670">
        <v>40</v>
      </c>
      <c r="F670" s="1" t="s">
        <v>101</v>
      </c>
      <c r="G670">
        <v>10</v>
      </c>
      <c r="H670">
        <v>138</v>
      </c>
      <c r="I670" s="2">
        <f t="shared" si="30"/>
        <v>75.265199999999993</v>
      </c>
      <c r="J670">
        <f t="shared" si="31"/>
        <v>2.8094512877939528</v>
      </c>
      <c r="K670">
        <f t="shared" si="32"/>
        <v>1.9656620527552884</v>
      </c>
    </row>
    <row r="671" spans="1:11" x14ac:dyDescent="0.25">
      <c r="A671" s="1">
        <v>1972</v>
      </c>
      <c r="B671" s="1" t="s">
        <v>99</v>
      </c>
      <c r="C671" t="s">
        <v>9</v>
      </c>
      <c r="D671" s="1" t="s">
        <v>3</v>
      </c>
      <c r="E671">
        <v>40</v>
      </c>
      <c r="F671" s="1" t="s">
        <v>101</v>
      </c>
      <c r="G671">
        <v>12</v>
      </c>
      <c r="H671">
        <v>111</v>
      </c>
      <c r="I671" s="2">
        <f t="shared" si="30"/>
        <v>87.176735999999991</v>
      </c>
      <c r="J671">
        <f t="shared" si="31"/>
        <v>3.2540774916013437</v>
      </c>
      <c r="K671">
        <f t="shared" si="32"/>
        <v>2.2767494384956906</v>
      </c>
    </row>
    <row r="672" spans="1:11" x14ac:dyDescent="0.25">
      <c r="A672" s="1">
        <v>1972</v>
      </c>
      <c r="B672" s="1" t="s">
        <v>99</v>
      </c>
      <c r="C672" t="s">
        <v>9</v>
      </c>
      <c r="D672" s="1" t="s">
        <v>3</v>
      </c>
      <c r="E672">
        <v>40</v>
      </c>
      <c r="F672" s="1" t="s">
        <v>101</v>
      </c>
      <c r="G672">
        <v>14</v>
      </c>
      <c r="H672">
        <v>100</v>
      </c>
      <c r="I672" s="2">
        <f t="shared" si="30"/>
        <v>106.8984</v>
      </c>
      <c r="J672">
        <f t="shared" si="31"/>
        <v>3.9902351623740202</v>
      </c>
      <c r="K672">
        <f t="shared" si="32"/>
        <v>2.7918098720292504</v>
      </c>
    </row>
    <row r="673" spans="1:11" x14ac:dyDescent="0.25">
      <c r="A673" s="1">
        <v>1972</v>
      </c>
      <c r="B673" s="1" t="s">
        <v>99</v>
      </c>
      <c r="C673" t="s">
        <v>9</v>
      </c>
      <c r="D673" s="1" t="s">
        <v>3</v>
      </c>
      <c r="E673">
        <v>40</v>
      </c>
      <c r="F673" s="1" t="s">
        <v>101</v>
      </c>
      <c r="G673">
        <v>16</v>
      </c>
      <c r="H673">
        <v>75</v>
      </c>
      <c r="I673" s="2">
        <f t="shared" si="30"/>
        <v>104.71679999999999</v>
      </c>
      <c r="J673">
        <f t="shared" si="31"/>
        <v>3.9088017917133255</v>
      </c>
      <c r="K673">
        <f t="shared" si="32"/>
        <v>2.7348341603551836</v>
      </c>
    </row>
    <row r="674" spans="1:11" x14ac:dyDescent="0.25">
      <c r="A674" s="1">
        <v>1972</v>
      </c>
      <c r="B674" s="1" t="s">
        <v>99</v>
      </c>
      <c r="C674" t="s">
        <v>9</v>
      </c>
      <c r="D674" s="1" t="s">
        <v>3</v>
      </c>
      <c r="E674">
        <v>40</v>
      </c>
      <c r="F674" s="1" t="s">
        <v>101</v>
      </c>
      <c r="G674">
        <v>18</v>
      </c>
      <c r="H674">
        <v>50</v>
      </c>
      <c r="I674" s="2">
        <f t="shared" si="30"/>
        <v>88.354799999999983</v>
      </c>
      <c r="J674">
        <f t="shared" si="31"/>
        <v>3.2980515117581182</v>
      </c>
      <c r="K674">
        <f t="shared" si="32"/>
        <v>2.3075163227996862</v>
      </c>
    </row>
    <row r="675" spans="1:11" x14ac:dyDescent="0.25">
      <c r="A675" s="1">
        <v>1972</v>
      </c>
      <c r="B675" s="1" t="s">
        <v>99</v>
      </c>
      <c r="C675" t="s">
        <v>9</v>
      </c>
      <c r="D675" s="1" t="s">
        <v>3</v>
      </c>
      <c r="E675">
        <v>40</v>
      </c>
      <c r="F675" s="1" t="s">
        <v>101</v>
      </c>
      <c r="G675">
        <v>20</v>
      </c>
      <c r="H675">
        <v>30</v>
      </c>
      <c r="I675" s="2">
        <f t="shared" si="30"/>
        <v>65.447999999999993</v>
      </c>
      <c r="J675">
        <f t="shared" si="31"/>
        <v>2.4430011198208286</v>
      </c>
      <c r="K675">
        <f t="shared" si="32"/>
        <v>1.7092713502219898</v>
      </c>
    </row>
    <row r="676" spans="1:11" x14ac:dyDescent="0.25">
      <c r="A676" s="1">
        <v>1972</v>
      </c>
      <c r="B676" s="1" t="s">
        <v>99</v>
      </c>
      <c r="C676" t="s">
        <v>9</v>
      </c>
      <c r="D676" s="1" t="s">
        <v>3</v>
      </c>
      <c r="E676">
        <v>40</v>
      </c>
      <c r="F676" s="1" t="s">
        <v>101</v>
      </c>
      <c r="G676">
        <v>22</v>
      </c>
      <c r="H676">
        <v>14</v>
      </c>
      <c r="I676" s="2">
        <f t="shared" si="30"/>
        <v>36.956303999999996</v>
      </c>
      <c r="J676">
        <f t="shared" si="31"/>
        <v>1.3794812989921612</v>
      </c>
      <c r="K676">
        <f t="shared" si="32"/>
        <v>0.96516855575868366</v>
      </c>
    </row>
    <row r="677" spans="1:11" x14ac:dyDescent="0.25">
      <c r="A677" s="1">
        <v>1972</v>
      </c>
      <c r="B677" s="1" t="s">
        <v>99</v>
      </c>
      <c r="C677" t="s">
        <v>9</v>
      </c>
      <c r="D677" s="1" t="s">
        <v>3</v>
      </c>
      <c r="E677">
        <v>40</v>
      </c>
      <c r="F677" s="1" t="s">
        <v>101</v>
      </c>
      <c r="G677">
        <v>24</v>
      </c>
      <c r="H677">
        <v>4</v>
      </c>
      <c r="I677" s="2">
        <f t="shared" si="30"/>
        <v>12.566015999999999</v>
      </c>
      <c r="J677">
        <f t="shared" si="31"/>
        <v>0.46905621500559908</v>
      </c>
      <c r="K677">
        <f t="shared" si="32"/>
        <v>0.32818009924262204</v>
      </c>
    </row>
    <row r="678" spans="1:11" x14ac:dyDescent="0.25">
      <c r="A678" s="1">
        <v>1972</v>
      </c>
      <c r="B678" s="1" t="s">
        <v>99</v>
      </c>
      <c r="C678" t="s">
        <v>9</v>
      </c>
      <c r="D678" s="1" t="s">
        <v>3</v>
      </c>
      <c r="E678">
        <v>41</v>
      </c>
      <c r="F678" s="1" t="s">
        <v>101</v>
      </c>
      <c r="G678">
        <v>6</v>
      </c>
      <c r="H678">
        <v>2</v>
      </c>
      <c r="I678" s="2">
        <f t="shared" si="30"/>
        <v>0.39268799999999998</v>
      </c>
      <c r="J678">
        <f t="shared" si="31"/>
        <v>1.4658006718924971E-2</v>
      </c>
      <c r="K678">
        <f t="shared" si="32"/>
        <v>1.0255628101331939E-2</v>
      </c>
    </row>
    <row r="679" spans="1:11" x14ac:dyDescent="0.25">
      <c r="A679" s="1">
        <v>1972</v>
      </c>
      <c r="B679" s="1" t="s">
        <v>99</v>
      </c>
      <c r="C679" t="s">
        <v>9</v>
      </c>
      <c r="D679" s="1" t="s">
        <v>3</v>
      </c>
      <c r="E679">
        <v>41</v>
      </c>
      <c r="F679" s="1" t="s">
        <v>101</v>
      </c>
      <c r="G679">
        <v>8</v>
      </c>
      <c r="H679">
        <v>1</v>
      </c>
      <c r="I679" s="2">
        <f t="shared" si="30"/>
        <v>0.34905599999999998</v>
      </c>
      <c r="J679">
        <f t="shared" si="31"/>
        <v>1.3029339305711086E-2</v>
      </c>
      <c r="K679">
        <f t="shared" si="32"/>
        <v>9.1161138678506129E-3</v>
      </c>
    </row>
    <row r="680" spans="1:11" x14ac:dyDescent="0.25">
      <c r="A680" s="1">
        <v>1972</v>
      </c>
      <c r="B680" s="1" t="s">
        <v>99</v>
      </c>
      <c r="C680" t="s">
        <v>9</v>
      </c>
      <c r="D680" s="1" t="s">
        <v>3</v>
      </c>
      <c r="E680">
        <v>41</v>
      </c>
      <c r="F680" s="1" t="s">
        <v>101</v>
      </c>
      <c r="G680">
        <v>10</v>
      </c>
      <c r="H680">
        <v>4</v>
      </c>
      <c r="I680" s="2">
        <f t="shared" si="30"/>
        <v>2.1816</v>
      </c>
      <c r="J680">
        <f t="shared" si="31"/>
        <v>8.1433370660694296E-2</v>
      </c>
      <c r="K680">
        <f t="shared" si="32"/>
        <v>5.6975711674066336E-2</v>
      </c>
    </row>
    <row r="681" spans="1:11" x14ac:dyDescent="0.25">
      <c r="A681" s="1">
        <v>1972</v>
      </c>
      <c r="B681" s="1" t="s">
        <v>99</v>
      </c>
      <c r="C681" t="s">
        <v>9</v>
      </c>
      <c r="D681" s="1" t="s">
        <v>3</v>
      </c>
      <c r="E681">
        <v>41</v>
      </c>
      <c r="F681" s="1" t="s">
        <v>101</v>
      </c>
      <c r="G681">
        <v>12</v>
      </c>
      <c r="H681">
        <v>3</v>
      </c>
      <c r="I681" s="2">
        <f t="shared" si="30"/>
        <v>2.356128</v>
      </c>
      <c r="J681">
        <f t="shared" si="31"/>
        <v>8.794804031354983E-2</v>
      </c>
      <c r="K681">
        <f t="shared" si="32"/>
        <v>6.1533768607991639E-2</v>
      </c>
    </row>
    <row r="682" spans="1:11" x14ac:dyDescent="0.25">
      <c r="A682" s="1">
        <v>1972</v>
      </c>
      <c r="B682" s="1" t="s">
        <v>99</v>
      </c>
      <c r="C682" t="s">
        <v>9</v>
      </c>
      <c r="D682" s="1" t="s">
        <v>3</v>
      </c>
      <c r="E682">
        <v>41</v>
      </c>
      <c r="F682" s="1" t="s">
        <v>101</v>
      </c>
      <c r="G682">
        <v>14</v>
      </c>
      <c r="H682">
        <v>2</v>
      </c>
      <c r="I682" s="2">
        <f t="shared" si="30"/>
        <v>2.1379679999999999</v>
      </c>
      <c r="J682">
        <f t="shared" si="31"/>
        <v>7.9804703247480402E-2</v>
      </c>
      <c r="K682">
        <f t="shared" si="32"/>
        <v>5.5836197440585003E-2</v>
      </c>
    </row>
    <row r="683" spans="1:11" x14ac:dyDescent="0.25">
      <c r="A683" s="1">
        <v>1972</v>
      </c>
      <c r="B683" s="1" t="s">
        <v>99</v>
      </c>
      <c r="C683" t="s">
        <v>9</v>
      </c>
      <c r="D683" s="1" t="s">
        <v>3</v>
      </c>
      <c r="E683">
        <v>41</v>
      </c>
      <c r="F683" s="1" t="s">
        <v>101</v>
      </c>
      <c r="G683">
        <v>16</v>
      </c>
      <c r="H683">
        <v>1</v>
      </c>
      <c r="I683" s="2">
        <f t="shared" si="30"/>
        <v>1.3962239999999999</v>
      </c>
      <c r="J683">
        <f t="shared" si="31"/>
        <v>5.2117357222844343E-2</v>
      </c>
      <c r="K683">
        <f t="shared" si="32"/>
        <v>3.6464455471402452E-2</v>
      </c>
    </row>
    <row r="684" spans="1:11" x14ac:dyDescent="0.25">
      <c r="A684" s="1">
        <v>1972</v>
      </c>
      <c r="B684" s="1" t="s">
        <v>99</v>
      </c>
      <c r="C684" t="s">
        <v>9</v>
      </c>
      <c r="D684" s="1" t="s">
        <v>3</v>
      </c>
      <c r="E684">
        <v>41</v>
      </c>
      <c r="F684" s="1" t="s">
        <v>101</v>
      </c>
      <c r="G684">
        <v>18</v>
      </c>
      <c r="H684">
        <v>2</v>
      </c>
      <c r="I684" s="2">
        <f t="shared" si="30"/>
        <v>3.5341919999999996</v>
      </c>
      <c r="J684">
        <f t="shared" si="31"/>
        <v>0.13192206047032473</v>
      </c>
      <c r="K684">
        <f t="shared" si="32"/>
        <v>9.2300652911987441E-2</v>
      </c>
    </row>
    <row r="685" spans="1:11" x14ac:dyDescent="0.25">
      <c r="A685" s="1">
        <v>1972</v>
      </c>
      <c r="B685" s="1" t="s">
        <v>99</v>
      </c>
      <c r="C685" t="s">
        <v>9</v>
      </c>
      <c r="D685" s="1" t="s">
        <v>3</v>
      </c>
      <c r="E685">
        <v>41</v>
      </c>
      <c r="F685" s="1" t="s">
        <v>101</v>
      </c>
      <c r="G685">
        <v>20</v>
      </c>
      <c r="H685">
        <v>2</v>
      </c>
      <c r="I685" s="2">
        <f t="shared" si="30"/>
        <v>4.3632</v>
      </c>
      <c r="J685">
        <f t="shared" si="31"/>
        <v>0.16286674132138859</v>
      </c>
      <c r="K685">
        <f t="shared" si="32"/>
        <v>0.11395142334813267</v>
      </c>
    </row>
    <row r="686" spans="1:11" x14ac:dyDescent="0.25">
      <c r="A686" s="1">
        <v>1972</v>
      </c>
      <c r="B686" s="1" t="s">
        <v>99</v>
      </c>
      <c r="C686" t="s">
        <v>9</v>
      </c>
      <c r="D686" s="1" t="s">
        <v>3</v>
      </c>
      <c r="E686">
        <v>47</v>
      </c>
      <c r="F686" s="1" t="s">
        <v>101</v>
      </c>
      <c r="G686">
        <v>6</v>
      </c>
      <c r="H686">
        <v>1</v>
      </c>
      <c r="I686" s="2">
        <f t="shared" si="30"/>
        <v>0.19634399999999999</v>
      </c>
      <c r="J686">
        <f t="shared" si="31"/>
        <v>7.3290033594624856E-3</v>
      </c>
      <c r="K686">
        <f t="shared" si="32"/>
        <v>5.1278140506659693E-3</v>
      </c>
    </row>
    <row r="687" spans="1:11" x14ac:dyDescent="0.25">
      <c r="A687" s="1">
        <v>1972</v>
      </c>
      <c r="B687" s="1" t="s">
        <v>99</v>
      </c>
      <c r="C687" t="s">
        <v>9</v>
      </c>
      <c r="D687" s="1" t="s">
        <v>3</v>
      </c>
      <c r="E687">
        <v>47</v>
      </c>
      <c r="F687" s="1" t="s">
        <v>101</v>
      </c>
      <c r="G687">
        <v>8</v>
      </c>
      <c r="H687">
        <v>4</v>
      </c>
      <c r="I687" s="2">
        <f t="shared" si="30"/>
        <v>1.3962239999999999</v>
      </c>
      <c r="J687">
        <f t="shared" si="31"/>
        <v>5.2117357222844343E-2</v>
      </c>
      <c r="K687">
        <f t="shared" si="32"/>
        <v>3.6464455471402452E-2</v>
      </c>
    </row>
    <row r="688" spans="1:11" x14ac:dyDescent="0.25">
      <c r="A688" s="1">
        <v>1972</v>
      </c>
      <c r="B688" s="1" t="s">
        <v>99</v>
      </c>
      <c r="C688" t="s">
        <v>9</v>
      </c>
      <c r="D688" s="1" t="s">
        <v>3</v>
      </c>
      <c r="E688">
        <v>47</v>
      </c>
      <c r="F688" s="1" t="s">
        <v>101</v>
      </c>
      <c r="G688">
        <v>10</v>
      </c>
      <c r="H688">
        <v>2</v>
      </c>
      <c r="I688" s="2">
        <f t="shared" si="30"/>
        <v>1.0908</v>
      </c>
      <c r="J688">
        <f t="shared" si="31"/>
        <v>4.0716685330347148E-2</v>
      </c>
      <c r="K688">
        <f t="shared" si="32"/>
        <v>2.8487855837033168E-2</v>
      </c>
    </row>
    <row r="689" spans="1:11" x14ac:dyDescent="0.25">
      <c r="A689" s="1">
        <v>1972</v>
      </c>
      <c r="B689" s="1" t="s">
        <v>99</v>
      </c>
      <c r="C689" t="s">
        <v>9</v>
      </c>
      <c r="D689" s="1" t="s">
        <v>3</v>
      </c>
      <c r="E689">
        <v>47</v>
      </c>
      <c r="F689" s="1" t="s">
        <v>101</v>
      </c>
      <c r="G689">
        <v>12</v>
      </c>
      <c r="H689">
        <v>2</v>
      </c>
      <c r="I689" s="2">
        <f t="shared" si="30"/>
        <v>1.5707519999999999</v>
      </c>
      <c r="J689">
        <f t="shared" si="31"/>
        <v>5.8632026875699884E-2</v>
      </c>
      <c r="K689">
        <f t="shared" si="32"/>
        <v>4.1022512405327755E-2</v>
      </c>
    </row>
    <row r="690" spans="1:11" x14ac:dyDescent="0.25">
      <c r="A690" s="1">
        <v>1972</v>
      </c>
      <c r="B690" s="1" t="s">
        <v>99</v>
      </c>
      <c r="C690" t="s">
        <v>9</v>
      </c>
      <c r="D690" s="1" t="s">
        <v>3</v>
      </c>
      <c r="E690">
        <v>47</v>
      </c>
      <c r="F690" s="1" t="s">
        <v>101</v>
      </c>
      <c r="G690">
        <v>14</v>
      </c>
      <c r="H690">
        <v>1</v>
      </c>
      <c r="I690" s="2">
        <f t="shared" si="30"/>
        <v>1.0689839999999999</v>
      </c>
      <c r="J690">
        <f t="shared" si="31"/>
        <v>3.9902351623740201E-2</v>
      </c>
      <c r="K690">
        <f t="shared" si="32"/>
        <v>2.7918098720292502E-2</v>
      </c>
    </row>
    <row r="691" spans="1:11" x14ac:dyDescent="0.25">
      <c r="A691" s="1">
        <v>1972</v>
      </c>
      <c r="B691" s="1" t="s">
        <v>99</v>
      </c>
      <c r="C691" t="s">
        <v>9</v>
      </c>
      <c r="D691" s="1" t="s">
        <v>3</v>
      </c>
      <c r="E691">
        <v>47</v>
      </c>
      <c r="F691" s="1" t="s">
        <v>101</v>
      </c>
      <c r="G691">
        <v>16</v>
      </c>
      <c r="H691">
        <v>2</v>
      </c>
      <c r="I691" s="2">
        <f t="shared" si="30"/>
        <v>2.7924479999999998</v>
      </c>
      <c r="J691">
        <f t="shared" si="31"/>
        <v>0.10423471444568869</v>
      </c>
      <c r="K691">
        <f t="shared" si="32"/>
        <v>7.2928910942804903E-2</v>
      </c>
    </row>
    <row r="692" spans="1:11" x14ac:dyDescent="0.25">
      <c r="A692" s="1">
        <v>1972</v>
      </c>
      <c r="B692" s="1" t="s">
        <v>99</v>
      </c>
      <c r="C692" t="s">
        <v>9</v>
      </c>
      <c r="D692" s="1" t="s">
        <v>3</v>
      </c>
      <c r="E692">
        <v>47</v>
      </c>
      <c r="F692" s="1" t="s">
        <v>101</v>
      </c>
      <c r="G692">
        <v>18</v>
      </c>
      <c r="H692">
        <v>1</v>
      </c>
      <c r="I692" s="2">
        <f t="shared" si="30"/>
        <v>1.7670959999999998</v>
      </c>
      <c r="J692">
        <f t="shared" si="31"/>
        <v>6.5961030235162366E-2</v>
      </c>
      <c r="K692">
        <f t="shared" si="32"/>
        <v>4.615032645599372E-2</v>
      </c>
    </row>
    <row r="693" spans="1:11" x14ac:dyDescent="0.25">
      <c r="A693" s="1">
        <v>1972</v>
      </c>
      <c r="B693" s="1" t="s">
        <v>99</v>
      </c>
      <c r="C693" t="s">
        <v>9</v>
      </c>
      <c r="D693" s="1" t="s">
        <v>3</v>
      </c>
      <c r="E693">
        <v>47</v>
      </c>
      <c r="F693" s="1" t="s">
        <v>101</v>
      </c>
      <c r="G693">
        <v>20</v>
      </c>
      <c r="H693">
        <v>1</v>
      </c>
      <c r="I693" s="2">
        <f t="shared" si="30"/>
        <v>2.1816</v>
      </c>
      <c r="J693">
        <f t="shared" si="31"/>
        <v>8.1433370660694296E-2</v>
      </c>
      <c r="K693">
        <f t="shared" si="32"/>
        <v>5.6975711674066336E-2</v>
      </c>
    </row>
    <row r="694" spans="1:11" x14ac:dyDescent="0.25">
      <c r="A694" s="1">
        <v>1972</v>
      </c>
      <c r="B694" s="1" t="s">
        <v>99</v>
      </c>
      <c r="C694" t="s">
        <v>9</v>
      </c>
      <c r="D694" s="1" t="s">
        <v>3</v>
      </c>
      <c r="E694">
        <v>53</v>
      </c>
      <c r="F694" s="1" t="s">
        <v>101</v>
      </c>
      <c r="G694">
        <v>6</v>
      </c>
      <c r="H694">
        <v>37</v>
      </c>
      <c r="I694" s="2">
        <f t="shared" si="30"/>
        <v>7.2647279999999999</v>
      </c>
      <c r="J694">
        <f t="shared" si="31"/>
        <v>0.27117312430011198</v>
      </c>
      <c r="K694">
        <f t="shared" si="32"/>
        <v>0.18972911987464089</v>
      </c>
    </row>
    <row r="695" spans="1:11" x14ac:dyDescent="0.25">
      <c r="A695" s="1">
        <v>1972</v>
      </c>
      <c r="B695" s="1" t="s">
        <v>99</v>
      </c>
      <c r="C695" t="s">
        <v>9</v>
      </c>
      <c r="D695" s="1" t="s">
        <v>3</v>
      </c>
      <c r="E695">
        <v>53</v>
      </c>
      <c r="F695" s="1" t="s">
        <v>101</v>
      </c>
      <c r="G695">
        <v>8</v>
      </c>
      <c r="H695">
        <v>29</v>
      </c>
      <c r="I695" s="2">
        <f t="shared" si="30"/>
        <v>10.122624</v>
      </c>
      <c r="J695">
        <f t="shared" si="31"/>
        <v>0.37785083986562151</v>
      </c>
      <c r="K695">
        <f t="shared" si="32"/>
        <v>0.26436730216766779</v>
      </c>
    </row>
    <row r="696" spans="1:11" x14ac:dyDescent="0.25">
      <c r="A696" s="1">
        <v>1972</v>
      </c>
      <c r="B696" s="1" t="s">
        <v>99</v>
      </c>
      <c r="C696" t="s">
        <v>9</v>
      </c>
      <c r="D696" s="1" t="s">
        <v>3</v>
      </c>
      <c r="E696">
        <v>53</v>
      </c>
      <c r="F696" s="1" t="s">
        <v>101</v>
      </c>
      <c r="G696">
        <v>10</v>
      </c>
      <c r="H696">
        <v>24</v>
      </c>
      <c r="I696" s="2">
        <f t="shared" si="30"/>
        <v>13.089600000000001</v>
      </c>
      <c r="J696">
        <f t="shared" si="31"/>
        <v>0.4886002239641658</v>
      </c>
      <c r="K696">
        <f t="shared" si="32"/>
        <v>0.34185427004439806</v>
      </c>
    </row>
    <row r="697" spans="1:11" x14ac:dyDescent="0.25">
      <c r="A697" s="1">
        <v>1972</v>
      </c>
      <c r="B697" s="1" t="s">
        <v>99</v>
      </c>
      <c r="C697" t="s">
        <v>9</v>
      </c>
      <c r="D697" s="1" t="s">
        <v>3</v>
      </c>
      <c r="E697">
        <v>53</v>
      </c>
      <c r="F697" s="1" t="s">
        <v>101</v>
      </c>
      <c r="G697">
        <v>12</v>
      </c>
      <c r="H697">
        <v>6</v>
      </c>
      <c r="I697" s="2">
        <f t="shared" si="30"/>
        <v>4.712256</v>
      </c>
      <c r="J697">
        <f t="shared" si="31"/>
        <v>0.17589608062709966</v>
      </c>
      <c r="K697">
        <f t="shared" si="32"/>
        <v>0.12306753721598328</v>
      </c>
    </row>
    <row r="698" spans="1:11" x14ac:dyDescent="0.25">
      <c r="A698" s="1">
        <v>1972</v>
      </c>
      <c r="B698" s="1" t="s">
        <v>99</v>
      </c>
      <c r="C698" t="s">
        <v>9</v>
      </c>
      <c r="D698" s="1" t="s">
        <v>3</v>
      </c>
      <c r="E698">
        <v>53</v>
      </c>
      <c r="F698" s="1" t="s">
        <v>101</v>
      </c>
      <c r="G698">
        <v>14</v>
      </c>
      <c r="H698">
        <v>8</v>
      </c>
      <c r="I698" s="2">
        <f t="shared" si="30"/>
        <v>8.5518719999999995</v>
      </c>
      <c r="J698">
        <f t="shared" si="31"/>
        <v>0.31921881298992161</v>
      </c>
      <c r="K698">
        <f t="shared" si="32"/>
        <v>0.22334478976234001</v>
      </c>
    </row>
    <row r="699" spans="1:11" x14ac:dyDescent="0.25">
      <c r="A699" s="1">
        <v>1972</v>
      </c>
      <c r="B699" s="1" t="s">
        <v>99</v>
      </c>
      <c r="C699" t="s">
        <v>9</v>
      </c>
      <c r="D699" s="1" t="s">
        <v>3</v>
      </c>
      <c r="E699">
        <v>53</v>
      </c>
      <c r="F699" s="1" t="s">
        <v>101</v>
      </c>
      <c r="G699">
        <v>16</v>
      </c>
      <c r="H699">
        <v>4</v>
      </c>
      <c r="I699" s="2">
        <f t="shared" si="30"/>
        <v>5.5848959999999996</v>
      </c>
      <c r="J699">
        <f t="shared" si="31"/>
        <v>0.20846942889137737</v>
      </c>
      <c r="K699">
        <f t="shared" si="32"/>
        <v>0.14585782188560981</v>
      </c>
    </row>
    <row r="700" spans="1:11" x14ac:dyDescent="0.25">
      <c r="A700" s="1">
        <v>1972</v>
      </c>
      <c r="B700" s="1" t="s">
        <v>99</v>
      </c>
      <c r="C700" t="s">
        <v>9</v>
      </c>
      <c r="D700" s="1" t="s">
        <v>3</v>
      </c>
      <c r="E700">
        <v>53</v>
      </c>
      <c r="F700" s="1" t="s">
        <v>101</v>
      </c>
      <c r="G700">
        <v>18</v>
      </c>
      <c r="H700">
        <v>3</v>
      </c>
      <c r="I700" s="2">
        <f t="shared" si="30"/>
        <v>5.3012879999999996</v>
      </c>
      <c r="J700">
        <f t="shared" si="31"/>
        <v>0.19788309070548712</v>
      </c>
      <c r="K700">
        <f t="shared" si="32"/>
        <v>0.13845097936798118</v>
      </c>
    </row>
    <row r="701" spans="1:11" x14ac:dyDescent="0.25">
      <c r="A701" s="1">
        <v>1972</v>
      </c>
      <c r="B701" s="1" t="s">
        <v>99</v>
      </c>
      <c r="C701" t="s">
        <v>9</v>
      </c>
      <c r="D701" s="1" t="s">
        <v>3</v>
      </c>
      <c r="E701">
        <v>53</v>
      </c>
      <c r="F701" s="1" t="s">
        <v>101</v>
      </c>
      <c r="G701">
        <v>22</v>
      </c>
      <c r="H701">
        <v>1</v>
      </c>
      <c r="I701" s="2">
        <f t="shared" si="30"/>
        <v>2.6397359999999996</v>
      </c>
      <c r="J701">
        <f t="shared" si="31"/>
        <v>9.8534378499440078E-2</v>
      </c>
      <c r="K701">
        <f t="shared" si="32"/>
        <v>6.8940611125620249E-2</v>
      </c>
    </row>
    <row r="702" spans="1:11" x14ac:dyDescent="0.25">
      <c r="A702" s="1">
        <v>1972</v>
      </c>
      <c r="B702" s="1" t="s">
        <v>99</v>
      </c>
      <c r="C702" t="s">
        <v>9</v>
      </c>
      <c r="D702" s="1" t="s">
        <v>3</v>
      </c>
      <c r="E702">
        <v>54</v>
      </c>
      <c r="F702" s="1" t="s">
        <v>101</v>
      </c>
      <c r="G702">
        <v>6</v>
      </c>
      <c r="H702">
        <v>35</v>
      </c>
      <c r="I702" s="2">
        <f t="shared" si="30"/>
        <v>6.8720399999999993</v>
      </c>
      <c r="J702">
        <f t="shared" si="31"/>
        <v>0.256515117581187</v>
      </c>
      <c r="K702">
        <f t="shared" si="32"/>
        <v>0.17947349177330893</v>
      </c>
    </row>
    <row r="703" spans="1:11" x14ac:dyDescent="0.25">
      <c r="A703" s="1">
        <v>1972</v>
      </c>
      <c r="B703" s="1" t="s">
        <v>99</v>
      </c>
      <c r="C703" t="s">
        <v>9</v>
      </c>
      <c r="D703" s="1" t="s">
        <v>3</v>
      </c>
      <c r="E703">
        <v>54</v>
      </c>
      <c r="F703" s="1" t="s">
        <v>101</v>
      </c>
      <c r="G703">
        <v>8</v>
      </c>
      <c r="H703">
        <v>37</v>
      </c>
      <c r="I703" s="2">
        <f t="shared" si="30"/>
        <v>12.915071999999999</v>
      </c>
      <c r="J703">
        <f t="shared" si="31"/>
        <v>0.48208555431131017</v>
      </c>
      <c r="K703">
        <f t="shared" si="32"/>
        <v>0.3372962131104727</v>
      </c>
    </row>
    <row r="704" spans="1:11" x14ac:dyDescent="0.25">
      <c r="A704" s="1">
        <v>1972</v>
      </c>
      <c r="B704" s="1" t="s">
        <v>99</v>
      </c>
      <c r="C704" t="s">
        <v>9</v>
      </c>
      <c r="D704" s="1" t="s">
        <v>3</v>
      </c>
      <c r="E704">
        <v>54</v>
      </c>
      <c r="F704" s="1" t="s">
        <v>101</v>
      </c>
      <c r="G704">
        <v>10</v>
      </c>
      <c r="H704">
        <v>14</v>
      </c>
      <c r="I704" s="2">
        <f t="shared" si="30"/>
        <v>7.6356000000000002</v>
      </c>
      <c r="J704">
        <f t="shared" si="31"/>
        <v>0.28501679731243001</v>
      </c>
      <c r="K704">
        <f t="shared" si="32"/>
        <v>0.19941499085923217</v>
      </c>
    </row>
    <row r="705" spans="1:11" x14ac:dyDescent="0.25">
      <c r="A705" s="1">
        <v>1972</v>
      </c>
      <c r="B705" s="1" t="s">
        <v>99</v>
      </c>
      <c r="C705" t="s">
        <v>9</v>
      </c>
      <c r="D705" s="1" t="s">
        <v>3</v>
      </c>
      <c r="E705">
        <v>54</v>
      </c>
      <c r="F705" s="1" t="s">
        <v>101</v>
      </c>
      <c r="G705">
        <v>12</v>
      </c>
      <c r="H705">
        <v>2</v>
      </c>
      <c r="I705" s="2">
        <f t="shared" si="30"/>
        <v>1.5707519999999999</v>
      </c>
      <c r="J705">
        <f t="shared" si="31"/>
        <v>5.8632026875699884E-2</v>
      </c>
      <c r="K705">
        <f t="shared" si="32"/>
        <v>4.1022512405327755E-2</v>
      </c>
    </row>
    <row r="706" spans="1:11" x14ac:dyDescent="0.25">
      <c r="A706" s="1">
        <v>1972</v>
      </c>
      <c r="B706" s="1" t="s">
        <v>99</v>
      </c>
      <c r="C706" t="s">
        <v>9</v>
      </c>
      <c r="D706" s="1" t="s">
        <v>3</v>
      </c>
      <c r="E706">
        <v>56</v>
      </c>
      <c r="F706" s="1" t="s">
        <v>101</v>
      </c>
      <c r="G706">
        <v>6</v>
      </c>
      <c r="H706">
        <v>36</v>
      </c>
      <c r="I706" s="2">
        <f t="shared" si="30"/>
        <v>7.068384</v>
      </c>
      <c r="J706">
        <f t="shared" si="31"/>
        <v>0.26384412094064952</v>
      </c>
      <c r="K706">
        <f t="shared" si="32"/>
        <v>0.18460130582397494</v>
      </c>
    </row>
    <row r="707" spans="1:11" x14ac:dyDescent="0.25">
      <c r="A707" s="1">
        <v>1972</v>
      </c>
      <c r="B707" s="1" t="s">
        <v>99</v>
      </c>
      <c r="C707" t="s">
        <v>9</v>
      </c>
      <c r="D707" s="1" t="s">
        <v>3</v>
      </c>
      <c r="E707">
        <v>56</v>
      </c>
      <c r="F707" s="1" t="s">
        <v>101</v>
      </c>
      <c r="G707">
        <v>8</v>
      </c>
      <c r="H707">
        <v>23</v>
      </c>
      <c r="I707" s="2">
        <f t="shared" ref="I707:I770" si="33">0.005454*G707^2*H707</f>
        <v>8.0282879999999999</v>
      </c>
      <c r="J707">
        <f t="shared" ref="J707:J770" si="34">I707/26.79</f>
        <v>0.29967480403135499</v>
      </c>
      <c r="K707">
        <f t="shared" ref="K707:K770" si="35">J707*(26.79/38.29)</f>
        <v>0.2096706189605641</v>
      </c>
    </row>
    <row r="708" spans="1:11" x14ac:dyDescent="0.25">
      <c r="A708" s="1">
        <v>1972</v>
      </c>
      <c r="B708" s="1" t="s">
        <v>99</v>
      </c>
      <c r="C708" t="s">
        <v>9</v>
      </c>
      <c r="D708" s="1" t="s">
        <v>3</v>
      </c>
      <c r="E708">
        <v>56</v>
      </c>
      <c r="F708" s="1" t="s">
        <v>101</v>
      </c>
      <c r="G708">
        <v>10</v>
      </c>
      <c r="H708">
        <v>28</v>
      </c>
      <c r="I708" s="2">
        <f t="shared" si="33"/>
        <v>15.2712</v>
      </c>
      <c r="J708">
        <f t="shared" si="34"/>
        <v>0.57003359462486003</v>
      </c>
      <c r="K708">
        <f t="shared" si="35"/>
        <v>0.39882998171846434</v>
      </c>
    </row>
    <row r="709" spans="1:11" x14ac:dyDescent="0.25">
      <c r="A709" s="1">
        <v>1972</v>
      </c>
      <c r="B709" s="1" t="s">
        <v>99</v>
      </c>
      <c r="C709" t="s">
        <v>9</v>
      </c>
      <c r="D709" s="1" t="s">
        <v>3</v>
      </c>
      <c r="E709">
        <v>56</v>
      </c>
      <c r="F709" s="1" t="s">
        <v>101</v>
      </c>
      <c r="G709">
        <v>12</v>
      </c>
      <c r="H709">
        <v>23</v>
      </c>
      <c r="I709" s="2">
        <f t="shared" si="33"/>
        <v>18.063648000000001</v>
      </c>
      <c r="J709">
        <f t="shared" si="34"/>
        <v>0.6742683090705488</v>
      </c>
      <c r="K709">
        <f t="shared" si="35"/>
        <v>0.4717588926612693</v>
      </c>
    </row>
    <row r="710" spans="1:11" x14ac:dyDescent="0.25">
      <c r="A710" s="1">
        <v>1972</v>
      </c>
      <c r="B710" s="1" t="s">
        <v>99</v>
      </c>
      <c r="C710" t="s">
        <v>9</v>
      </c>
      <c r="D710" s="1" t="s">
        <v>3</v>
      </c>
      <c r="E710">
        <v>56</v>
      </c>
      <c r="F710" s="1" t="s">
        <v>101</v>
      </c>
      <c r="G710">
        <v>14</v>
      </c>
      <c r="H710">
        <v>34</v>
      </c>
      <c r="I710" s="2">
        <f t="shared" si="33"/>
        <v>36.345455999999999</v>
      </c>
      <c r="J710">
        <f t="shared" si="34"/>
        <v>1.3566799552071669</v>
      </c>
      <c r="K710">
        <f t="shared" si="35"/>
        <v>0.94921535648994515</v>
      </c>
    </row>
    <row r="711" spans="1:11" x14ac:dyDescent="0.25">
      <c r="A711" s="1">
        <v>1972</v>
      </c>
      <c r="B711" s="1" t="s">
        <v>99</v>
      </c>
      <c r="C711" t="s">
        <v>9</v>
      </c>
      <c r="D711" s="1" t="s">
        <v>3</v>
      </c>
      <c r="E711">
        <v>56</v>
      </c>
      <c r="F711" s="1" t="s">
        <v>101</v>
      </c>
      <c r="G711">
        <v>16</v>
      </c>
      <c r="H711">
        <v>23</v>
      </c>
      <c r="I711" s="2">
        <f t="shared" si="33"/>
        <v>32.113151999999999</v>
      </c>
      <c r="J711">
        <f t="shared" si="34"/>
        <v>1.19869921612542</v>
      </c>
      <c r="K711">
        <f t="shared" si="35"/>
        <v>0.83868247584225641</v>
      </c>
    </row>
    <row r="712" spans="1:11" x14ac:dyDescent="0.25">
      <c r="A712" s="1">
        <v>1972</v>
      </c>
      <c r="B712" s="1" t="s">
        <v>99</v>
      </c>
      <c r="C712" t="s">
        <v>9</v>
      </c>
      <c r="D712" s="1" t="s">
        <v>3</v>
      </c>
      <c r="E712">
        <v>56</v>
      </c>
      <c r="F712" s="1" t="s">
        <v>101</v>
      </c>
      <c r="G712">
        <v>18</v>
      </c>
      <c r="H712">
        <v>20</v>
      </c>
      <c r="I712" s="2">
        <f t="shared" si="33"/>
        <v>35.341919999999995</v>
      </c>
      <c r="J712">
        <f t="shared" si="34"/>
        <v>1.3192206047032473</v>
      </c>
      <c r="K712">
        <f t="shared" si="35"/>
        <v>0.92300652911987446</v>
      </c>
    </row>
    <row r="713" spans="1:11" x14ac:dyDescent="0.25">
      <c r="A713" s="1">
        <v>1972</v>
      </c>
      <c r="B713" s="1" t="s">
        <v>99</v>
      </c>
      <c r="C713" t="s">
        <v>9</v>
      </c>
      <c r="D713" s="1" t="s">
        <v>3</v>
      </c>
      <c r="E713">
        <v>56</v>
      </c>
      <c r="F713" s="1" t="s">
        <v>101</v>
      </c>
      <c r="G713">
        <v>20</v>
      </c>
      <c r="H713">
        <v>6</v>
      </c>
      <c r="I713" s="2">
        <f t="shared" si="33"/>
        <v>13.089600000000001</v>
      </c>
      <c r="J713">
        <f t="shared" si="34"/>
        <v>0.4886002239641658</v>
      </c>
      <c r="K713">
        <f t="shared" si="35"/>
        <v>0.34185427004439806</v>
      </c>
    </row>
    <row r="714" spans="1:11" x14ac:dyDescent="0.25">
      <c r="A714" s="1">
        <v>1972</v>
      </c>
      <c r="B714" s="1" t="s">
        <v>99</v>
      </c>
      <c r="C714" t="s">
        <v>9</v>
      </c>
      <c r="D714" s="1" t="s">
        <v>3</v>
      </c>
      <c r="E714">
        <v>56</v>
      </c>
      <c r="F714" s="1" t="s">
        <v>101</v>
      </c>
      <c r="G714">
        <v>22</v>
      </c>
      <c r="H714">
        <v>1</v>
      </c>
      <c r="I714" s="2">
        <f t="shared" si="33"/>
        <v>2.6397359999999996</v>
      </c>
      <c r="J714">
        <f t="shared" si="34"/>
        <v>9.8534378499440078E-2</v>
      </c>
      <c r="K714">
        <f t="shared" si="35"/>
        <v>6.8940611125620249E-2</v>
      </c>
    </row>
    <row r="715" spans="1:11" x14ac:dyDescent="0.25">
      <c r="A715" s="1">
        <v>1972</v>
      </c>
      <c r="B715" s="1" t="s">
        <v>99</v>
      </c>
      <c r="C715" t="s">
        <v>9</v>
      </c>
      <c r="D715" s="1" t="s">
        <v>3</v>
      </c>
      <c r="E715">
        <v>58</v>
      </c>
      <c r="F715" s="1" t="s">
        <v>101</v>
      </c>
      <c r="G715">
        <v>6</v>
      </c>
      <c r="H715">
        <v>116</v>
      </c>
      <c r="I715" s="2">
        <f t="shared" si="33"/>
        <v>22.775904000000001</v>
      </c>
      <c r="J715">
        <f t="shared" si="34"/>
        <v>0.8501643896976484</v>
      </c>
      <c r="K715">
        <f t="shared" si="35"/>
        <v>0.59482642987725254</v>
      </c>
    </row>
    <row r="716" spans="1:11" x14ac:dyDescent="0.25">
      <c r="A716" s="1">
        <v>1972</v>
      </c>
      <c r="B716" s="1" t="s">
        <v>99</v>
      </c>
      <c r="C716" t="s">
        <v>9</v>
      </c>
      <c r="D716" s="1" t="s">
        <v>3</v>
      </c>
      <c r="E716">
        <v>58</v>
      </c>
      <c r="F716" s="1" t="s">
        <v>101</v>
      </c>
      <c r="G716">
        <v>8</v>
      </c>
      <c r="H716">
        <v>62</v>
      </c>
      <c r="I716" s="2">
        <f t="shared" si="33"/>
        <v>21.641472</v>
      </c>
      <c r="J716">
        <f t="shared" si="34"/>
        <v>0.80781903695408741</v>
      </c>
      <c r="K716">
        <f t="shared" si="35"/>
        <v>0.56519905980673801</v>
      </c>
    </row>
    <row r="717" spans="1:11" x14ac:dyDescent="0.25">
      <c r="A717" s="1">
        <v>1972</v>
      </c>
      <c r="B717" s="1" t="s">
        <v>99</v>
      </c>
      <c r="C717" t="s">
        <v>9</v>
      </c>
      <c r="D717" s="1" t="s">
        <v>3</v>
      </c>
      <c r="E717">
        <v>58</v>
      </c>
      <c r="F717" s="1" t="s">
        <v>101</v>
      </c>
      <c r="G717">
        <v>10</v>
      </c>
      <c r="H717">
        <v>2</v>
      </c>
      <c r="I717" s="2">
        <f t="shared" si="33"/>
        <v>1.0908</v>
      </c>
      <c r="J717">
        <f t="shared" si="34"/>
        <v>4.0716685330347148E-2</v>
      </c>
      <c r="K717">
        <f t="shared" si="35"/>
        <v>2.8487855837033168E-2</v>
      </c>
    </row>
    <row r="718" spans="1:11" x14ac:dyDescent="0.25">
      <c r="A718" s="1">
        <v>1972</v>
      </c>
      <c r="B718" s="1" t="s">
        <v>99</v>
      </c>
      <c r="C718" t="s">
        <v>9</v>
      </c>
      <c r="D718" s="1" t="s">
        <v>3</v>
      </c>
      <c r="E718">
        <v>63</v>
      </c>
      <c r="F718" s="1" t="s">
        <v>101</v>
      </c>
      <c r="G718">
        <v>6</v>
      </c>
      <c r="H718">
        <v>36</v>
      </c>
      <c r="I718" s="2">
        <f t="shared" si="33"/>
        <v>7.068384</v>
      </c>
      <c r="J718">
        <f t="shared" si="34"/>
        <v>0.26384412094064952</v>
      </c>
      <c r="K718">
        <f t="shared" si="35"/>
        <v>0.18460130582397494</v>
      </c>
    </row>
    <row r="719" spans="1:11" x14ac:dyDescent="0.25">
      <c r="A719" s="1">
        <v>1972</v>
      </c>
      <c r="B719" s="1" t="s">
        <v>99</v>
      </c>
      <c r="C719" t="s">
        <v>9</v>
      </c>
      <c r="D719" s="1" t="s">
        <v>3</v>
      </c>
      <c r="E719">
        <v>63</v>
      </c>
      <c r="F719" s="1" t="s">
        <v>101</v>
      </c>
      <c r="G719">
        <v>8</v>
      </c>
      <c r="H719">
        <v>5</v>
      </c>
      <c r="I719" s="2">
        <f t="shared" si="33"/>
        <v>1.7452799999999999</v>
      </c>
      <c r="J719">
        <f t="shared" si="34"/>
        <v>6.5146696528555426E-2</v>
      </c>
      <c r="K719">
        <f t="shared" si="35"/>
        <v>4.5580569339253064E-2</v>
      </c>
    </row>
    <row r="720" spans="1:11" x14ac:dyDescent="0.25">
      <c r="A720" s="1">
        <v>1972</v>
      </c>
      <c r="B720" s="1" t="s">
        <v>99</v>
      </c>
      <c r="C720" t="s">
        <v>9</v>
      </c>
      <c r="D720" s="1" t="s">
        <v>3</v>
      </c>
      <c r="E720">
        <v>63</v>
      </c>
      <c r="F720" s="1" t="s">
        <v>101</v>
      </c>
      <c r="G720">
        <v>10</v>
      </c>
      <c r="H720">
        <v>1</v>
      </c>
      <c r="I720" s="2">
        <f t="shared" si="33"/>
        <v>0.5454</v>
      </c>
      <c r="J720">
        <f t="shared" si="34"/>
        <v>2.0358342665173574E-2</v>
      </c>
      <c r="K720">
        <f t="shared" si="35"/>
        <v>1.4243927918516584E-2</v>
      </c>
    </row>
    <row r="721" spans="1:11" x14ac:dyDescent="0.25">
      <c r="A721" s="1">
        <v>1972</v>
      </c>
      <c r="B721" s="1" t="s">
        <v>99</v>
      </c>
      <c r="C721" t="s">
        <v>9</v>
      </c>
      <c r="D721" s="1" t="s">
        <v>3</v>
      </c>
      <c r="E721">
        <v>63</v>
      </c>
      <c r="F721" s="1" t="s">
        <v>101</v>
      </c>
      <c r="G721">
        <v>12</v>
      </c>
      <c r="H721">
        <v>1</v>
      </c>
      <c r="I721" s="2">
        <f t="shared" si="33"/>
        <v>0.78537599999999996</v>
      </c>
      <c r="J721">
        <f t="shared" si="34"/>
        <v>2.9316013437849942E-2</v>
      </c>
      <c r="K721">
        <f t="shared" si="35"/>
        <v>2.0511256202663877E-2</v>
      </c>
    </row>
    <row r="722" spans="1:11" x14ac:dyDescent="0.25">
      <c r="A722" s="1">
        <v>1972</v>
      </c>
      <c r="B722" s="1" t="s">
        <v>99</v>
      </c>
      <c r="C722" t="s">
        <v>9</v>
      </c>
      <c r="D722" s="1" t="s">
        <v>3</v>
      </c>
      <c r="E722">
        <v>65</v>
      </c>
      <c r="F722" s="1" t="s">
        <v>101</v>
      </c>
      <c r="G722">
        <v>6</v>
      </c>
      <c r="H722">
        <v>6</v>
      </c>
      <c r="I722" s="2">
        <f t="shared" si="33"/>
        <v>1.178064</v>
      </c>
      <c r="J722">
        <f t="shared" si="34"/>
        <v>4.3974020156774915E-2</v>
      </c>
      <c r="K722">
        <f t="shared" si="35"/>
        <v>3.0766884303995819E-2</v>
      </c>
    </row>
    <row r="723" spans="1:11" x14ac:dyDescent="0.25">
      <c r="A723" s="1">
        <v>1972</v>
      </c>
      <c r="B723" s="1" t="s">
        <v>99</v>
      </c>
      <c r="C723" t="s">
        <v>9</v>
      </c>
      <c r="D723" s="1" t="s">
        <v>3</v>
      </c>
      <c r="E723">
        <v>65</v>
      </c>
      <c r="F723" s="1" t="s">
        <v>101</v>
      </c>
      <c r="G723">
        <v>8</v>
      </c>
      <c r="H723">
        <v>1</v>
      </c>
      <c r="I723" s="2">
        <f t="shared" si="33"/>
        <v>0.34905599999999998</v>
      </c>
      <c r="J723">
        <f t="shared" si="34"/>
        <v>1.3029339305711086E-2</v>
      </c>
      <c r="K723">
        <f t="shared" si="35"/>
        <v>9.1161138678506129E-3</v>
      </c>
    </row>
    <row r="724" spans="1:11" x14ac:dyDescent="0.25">
      <c r="A724" s="1">
        <v>1972</v>
      </c>
      <c r="B724" s="1" t="s">
        <v>99</v>
      </c>
      <c r="C724" t="s">
        <v>9</v>
      </c>
      <c r="D724" s="1" t="s">
        <v>3</v>
      </c>
      <c r="E724">
        <v>66</v>
      </c>
      <c r="F724" s="1" t="s">
        <v>101</v>
      </c>
      <c r="G724">
        <v>6</v>
      </c>
      <c r="H724">
        <v>6</v>
      </c>
      <c r="I724" s="2">
        <f t="shared" si="33"/>
        <v>1.178064</v>
      </c>
      <c r="J724">
        <f t="shared" si="34"/>
        <v>4.3974020156774915E-2</v>
      </c>
      <c r="K724">
        <f t="shared" si="35"/>
        <v>3.0766884303995819E-2</v>
      </c>
    </row>
    <row r="725" spans="1:11" x14ac:dyDescent="0.25">
      <c r="A725" s="1">
        <v>1972</v>
      </c>
      <c r="B725" s="1" t="s">
        <v>99</v>
      </c>
      <c r="C725" t="s">
        <v>9</v>
      </c>
      <c r="D725" s="1" t="s">
        <v>3</v>
      </c>
      <c r="E725">
        <v>66</v>
      </c>
      <c r="F725" s="1" t="s">
        <v>101</v>
      </c>
      <c r="G725">
        <v>8</v>
      </c>
      <c r="H725">
        <v>4</v>
      </c>
      <c r="I725" s="2">
        <f t="shared" si="33"/>
        <v>1.3962239999999999</v>
      </c>
      <c r="J725">
        <f t="shared" si="34"/>
        <v>5.2117357222844343E-2</v>
      </c>
      <c r="K725">
        <f t="shared" si="35"/>
        <v>3.6464455471402452E-2</v>
      </c>
    </row>
    <row r="726" spans="1:11" x14ac:dyDescent="0.25">
      <c r="A726" s="1">
        <v>1972</v>
      </c>
      <c r="B726" s="1" t="s">
        <v>99</v>
      </c>
      <c r="C726" t="s">
        <v>9</v>
      </c>
      <c r="D726" s="1" t="s">
        <v>3</v>
      </c>
      <c r="E726">
        <v>66</v>
      </c>
      <c r="F726" s="1" t="s">
        <v>101</v>
      </c>
      <c r="G726">
        <v>10</v>
      </c>
      <c r="H726">
        <v>7</v>
      </c>
      <c r="I726" s="2">
        <f t="shared" si="33"/>
        <v>3.8178000000000001</v>
      </c>
      <c r="J726">
        <f t="shared" si="34"/>
        <v>0.14250839865621501</v>
      </c>
      <c r="K726">
        <f t="shared" si="35"/>
        <v>9.9707495429616086E-2</v>
      </c>
    </row>
    <row r="727" spans="1:11" x14ac:dyDescent="0.25">
      <c r="A727" s="1">
        <v>1972</v>
      </c>
      <c r="B727" s="1" t="s">
        <v>99</v>
      </c>
      <c r="C727" t="s">
        <v>9</v>
      </c>
      <c r="D727" s="1" t="s">
        <v>3</v>
      </c>
      <c r="E727">
        <v>66</v>
      </c>
      <c r="F727" s="1" t="s">
        <v>101</v>
      </c>
      <c r="G727">
        <v>12</v>
      </c>
      <c r="H727">
        <v>4</v>
      </c>
      <c r="I727" s="2">
        <f t="shared" si="33"/>
        <v>3.1415039999999999</v>
      </c>
      <c r="J727">
        <f t="shared" si="34"/>
        <v>0.11726405375139977</v>
      </c>
      <c r="K727">
        <f t="shared" si="35"/>
        <v>8.2045024810655509E-2</v>
      </c>
    </row>
    <row r="728" spans="1:11" x14ac:dyDescent="0.25">
      <c r="A728" s="1">
        <v>1972</v>
      </c>
      <c r="B728" s="1" t="s">
        <v>99</v>
      </c>
      <c r="C728" t="s">
        <v>9</v>
      </c>
      <c r="D728" s="1" t="s">
        <v>3</v>
      </c>
      <c r="E728">
        <v>66</v>
      </c>
      <c r="F728" s="1" t="s">
        <v>101</v>
      </c>
      <c r="G728">
        <v>14</v>
      </c>
      <c r="H728">
        <v>6</v>
      </c>
      <c r="I728" s="2">
        <f t="shared" si="33"/>
        <v>6.4139039999999996</v>
      </c>
      <c r="J728">
        <f t="shared" si="34"/>
        <v>0.23941410974244121</v>
      </c>
      <c r="K728">
        <f t="shared" si="35"/>
        <v>0.16750859232175502</v>
      </c>
    </row>
    <row r="729" spans="1:11" x14ac:dyDescent="0.25">
      <c r="A729" s="1">
        <v>1972</v>
      </c>
      <c r="B729" s="1" t="s">
        <v>99</v>
      </c>
      <c r="C729" t="s">
        <v>9</v>
      </c>
      <c r="D729" s="1" t="s">
        <v>3</v>
      </c>
      <c r="E729">
        <v>66</v>
      </c>
      <c r="F729" s="1" t="s">
        <v>101</v>
      </c>
      <c r="G729">
        <v>16</v>
      </c>
      <c r="H729">
        <v>4</v>
      </c>
      <c r="I729" s="2">
        <f t="shared" si="33"/>
        <v>5.5848959999999996</v>
      </c>
      <c r="J729">
        <f t="shared" si="34"/>
        <v>0.20846942889137737</v>
      </c>
      <c r="K729">
        <f t="shared" si="35"/>
        <v>0.14585782188560981</v>
      </c>
    </row>
    <row r="730" spans="1:11" x14ac:dyDescent="0.25">
      <c r="A730" s="1">
        <v>1972</v>
      </c>
      <c r="B730" s="1" t="s">
        <v>99</v>
      </c>
      <c r="C730" t="s">
        <v>9</v>
      </c>
      <c r="D730" s="1" t="s">
        <v>3</v>
      </c>
      <c r="E730">
        <v>66</v>
      </c>
      <c r="F730" s="1" t="s">
        <v>101</v>
      </c>
      <c r="G730">
        <v>18</v>
      </c>
      <c r="H730">
        <v>2</v>
      </c>
      <c r="I730" s="2">
        <f t="shared" si="33"/>
        <v>3.5341919999999996</v>
      </c>
      <c r="J730">
        <f t="shared" si="34"/>
        <v>0.13192206047032473</v>
      </c>
      <c r="K730">
        <f t="shared" si="35"/>
        <v>9.2300652911987441E-2</v>
      </c>
    </row>
    <row r="731" spans="1:11" x14ac:dyDescent="0.25">
      <c r="A731" s="1">
        <v>1972</v>
      </c>
      <c r="B731" s="1" t="s">
        <v>99</v>
      </c>
      <c r="C731" t="s">
        <v>9</v>
      </c>
      <c r="D731" s="1" t="s">
        <v>3</v>
      </c>
      <c r="E731">
        <v>71</v>
      </c>
      <c r="F731" s="1" t="s">
        <v>101</v>
      </c>
      <c r="G731">
        <v>6</v>
      </c>
      <c r="H731">
        <v>9</v>
      </c>
      <c r="I731" s="2">
        <f t="shared" si="33"/>
        <v>1.767096</v>
      </c>
      <c r="J731">
        <f t="shared" si="34"/>
        <v>6.596103023516238E-2</v>
      </c>
      <c r="K731">
        <f t="shared" si="35"/>
        <v>4.6150326455993734E-2</v>
      </c>
    </row>
    <row r="732" spans="1:11" x14ac:dyDescent="0.25">
      <c r="A732" s="1">
        <v>1972</v>
      </c>
      <c r="B732" s="1" t="s">
        <v>99</v>
      </c>
      <c r="C732" t="s">
        <v>9</v>
      </c>
      <c r="D732" s="1" t="s">
        <v>3</v>
      </c>
      <c r="E732">
        <v>71</v>
      </c>
      <c r="F732" s="1" t="s">
        <v>101</v>
      </c>
      <c r="G732">
        <v>8</v>
      </c>
      <c r="H732">
        <v>19</v>
      </c>
      <c r="I732" s="2">
        <f t="shared" si="33"/>
        <v>6.6320639999999997</v>
      </c>
      <c r="J732">
        <f t="shared" si="34"/>
        <v>0.24755744680851063</v>
      </c>
      <c r="K732">
        <f t="shared" si="35"/>
        <v>0.17320616348916165</v>
      </c>
    </row>
    <row r="733" spans="1:11" x14ac:dyDescent="0.25">
      <c r="A733" s="1">
        <v>1972</v>
      </c>
      <c r="B733" s="1" t="s">
        <v>99</v>
      </c>
      <c r="C733" t="s">
        <v>9</v>
      </c>
      <c r="D733" s="1" t="s">
        <v>3</v>
      </c>
      <c r="E733">
        <v>71</v>
      </c>
      <c r="F733" s="1" t="s">
        <v>101</v>
      </c>
      <c r="G733">
        <v>12</v>
      </c>
      <c r="H733">
        <v>4</v>
      </c>
      <c r="I733" s="2">
        <f t="shared" si="33"/>
        <v>3.1415039999999999</v>
      </c>
      <c r="J733">
        <f t="shared" si="34"/>
        <v>0.11726405375139977</v>
      </c>
      <c r="K733">
        <f t="shared" si="35"/>
        <v>8.2045024810655509E-2</v>
      </c>
    </row>
    <row r="734" spans="1:11" x14ac:dyDescent="0.25">
      <c r="A734" s="1">
        <v>1972</v>
      </c>
      <c r="B734" s="1" t="s">
        <v>99</v>
      </c>
      <c r="C734" t="s">
        <v>9</v>
      </c>
      <c r="D734" s="1" t="s">
        <v>3</v>
      </c>
      <c r="E734">
        <v>76</v>
      </c>
      <c r="F734" s="1" t="s">
        <v>101</v>
      </c>
      <c r="G734">
        <v>6</v>
      </c>
      <c r="H734">
        <v>105</v>
      </c>
      <c r="I734" s="2">
        <f t="shared" si="33"/>
        <v>20.616119999999999</v>
      </c>
      <c r="J734">
        <f t="shared" si="34"/>
        <v>0.76954535274356095</v>
      </c>
      <c r="K734">
        <f t="shared" si="35"/>
        <v>0.53842047531992676</v>
      </c>
    </row>
    <row r="735" spans="1:11" x14ac:dyDescent="0.25">
      <c r="A735" s="1">
        <v>1972</v>
      </c>
      <c r="B735" s="1" t="s">
        <v>99</v>
      </c>
      <c r="C735" t="s">
        <v>9</v>
      </c>
      <c r="D735" s="1" t="s">
        <v>3</v>
      </c>
      <c r="E735">
        <v>76</v>
      </c>
      <c r="F735" s="1" t="s">
        <v>101</v>
      </c>
      <c r="G735">
        <v>8</v>
      </c>
      <c r="H735">
        <v>42</v>
      </c>
      <c r="I735" s="2">
        <f t="shared" si="33"/>
        <v>14.660352</v>
      </c>
      <c r="J735">
        <f t="shared" si="34"/>
        <v>0.5472322508398656</v>
      </c>
      <c r="K735">
        <f t="shared" si="35"/>
        <v>0.38287678244972573</v>
      </c>
    </row>
    <row r="736" spans="1:11" x14ac:dyDescent="0.25">
      <c r="A736" s="1">
        <v>1972</v>
      </c>
      <c r="B736" s="1" t="s">
        <v>99</v>
      </c>
      <c r="C736" t="s">
        <v>9</v>
      </c>
      <c r="D736" s="1" t="s">
        <v>3</v>
      </c>
      <c r="E736">
        <v>76</v>
      </c>
      <c r="F736" s="1" t="s">
        <v>101</v>
      </c>
      <c r="G736">
        <v>10</v>
      </c>
      <c r="H736">
        <v>23</v>
      </c>
      <c r="I736" s="2">
        <f t="shared" si="33"/>
        <v>12.5442</v>
      </c>
      <c r="J736">
        <f t="shared" si="34"/>
        <v>0.46824188129899219</v>
      </c>
      <c r="K736">
        <f t="shared" si="35"/>
        <v>0.32761034212588142</v>
      </c>
    </row>
    <row r="737" spans="1:11" x14ac:dyDescent="0.25">
      <c r="A737" s="1">
        <v>1972</v>
      </c>
      <c r="B737" s="1" t="s">
        <v>99</v>
      </c>
      <c r="C737" t="s">
        <v>9</v>
      </c>
      <c r="D737" s="1" t="s">
        <v>3</v>
      </c>
      <c r="E737">
        <v>76</v>
      </c>
      <c r="F737" s="1" t="s">
        <v>101</v>
      </c>
      <c r="G737">
        <v>12</v>
      </c>
      <c r="H737">
        <v>5</v>
      </c>
      <c r="I737" s="2">
        <f t="shared" si="33"/>
        <v>3.9268799999999997</v>
      </c>
      <c r="J737">
        <f t="shared" si="34"/>
        <v>0.14658006718924971</v>
      </c>
      <c r="K737">
        <f t="shared" si="35"/>
        <v>0.10255628101331939</v>
      </c>
    </row>
    <row r="738" spans="1:11" x14ac:dyDescent="0.25">
      <c r="A738" s="1">
        <v>1972</v>
      </c>
      <c r="B738" s="1" t="s">
        <v>99</v>
      </c>
      <c r="C738" t="s">
        <v>9</v>
      </c>
      <c r="D738" s="1" t="s">
        <v>3</v>
      </c>
      <c r="E738">
        <v>76</v>
      </c>
      <c r="F738" s="1" t="s">
        <v>101</v>
      </c>
      <c r="G738">
        <v>14</v>
      </c>
      <c r="H738">
        <v>1</v>
      </c>
      <c r="I738" s="2">
        <f t="shared" si="33"/>
        <v>1.0689839999999999</v>
      </c>
      <c r="J738">
        <f t="shared" si="34"/>
        <v>3.9902351623740201E-2</v>
      </c>
      <c r="K738">
        <f t="shared" si="35"/>
        <v>2.7918098720292502E-2</v>
      </c>
    </row>
    <row r="739" spans="1:11" x14ac:dyDescent="0.25">
      <c r="A739" s="1">
        <v>1972</v>
      </c>
      <c r="B739" s="1" t="s">
        <v>99</v>
      </c>
      <c r="C739" t="s">
        <v>9</v>
      </c>
      <c r="D739" s="1" t="s">
        <v>3</v>
      </c>
      <c r="E739">
        <v>79</v>
      </c>
      <c r="F739" s="1" t="s">
        <v>101</v>
      </c>
      <c r="G739">
        <v>6</v>
      </c>
      <c r="H739">
        <v>303</v>
      </c>
      <c r="I739" s="2">
        <f t="shared" si="33"/>
        <v>59.492231999999994</v>
      </c>
      <c r="J739">
        <f t="shared" si="34"/>
        <v>2.2206880179171331</v>
      </c>
      <c r="K739">
        <f t="shared" si="35"/>
        <v>1.5537276573517889</v>
      </c>
    </row>
    <row r="740" spans="1:11" x14ac:dyDescent="0.25">
      <c r="A740" s="1">
        <v>1972</v>
      </c>
      <c r="B740" s="1" t="s">
        <v>99</v>
      </c>
      <c r="C740" t="s">
        <v>9</v>
      </c>
      <c r="D740" s="1" t="s">
        <v>3</v>
      </c>
      <c r="E740">
        <v>79</v>
      </c>
      <c r="F740" s="1" t="s">
        <v>101</v>
      </c>
      <c r="G740">
        <v>8</v>
      </c>
      <c r="H740">
        <v>147</v>
      </c>
      <c r="I740" s="2">
        <f t="shared" si="33"/>
        <v>51.311231999999997</v>
      </c>
      <c r="J740">
        <f t="shared" si="34"/>
        <v>1.9153128779395296</v>
      </c>
      <c r="K740">
        <f t="shared" si="35"/>
        <v>1.3400687385740402</v>
      </c>
    </row>
    <row r="741" spans="1:11" x14ac:dyDescent="0.25">
      <c r="A741" s="1">
        <v>1972</v>
      </c>
      <c r="B741" s="1" t="s">
        <v>99</v>
      </c>
      <c r="C741" t="s">
        <v>9</v>
      </c>
      <c r="D741" s="1" t="s">
        <v>3</v>
      </c>
      <c r="E741">
        <v>79</v>
      </c>
      <c r="F741" s="1" t="s">
        <v>101</v>
      </c>
      <c r="G741">
        <v>10</v>
      </c>
      <c r="H741">
        <v>70</v>
      </c>
      <c r="I741" s="2">
        <f t="shared" si="33"/>
        <v>38.177999999999997</v>
      </c>
      <c r="J741">
        <f t="shared" si="34"/>
        <v>1.4250839865621501</v>
      </c>
      <c r="K741">
        <f t="shared" si="35"/>
        <v>0.99707495429616078</v>
      </c>
    </row>
    <row r="742" spans="1:11" x14ac:dyDescent="0.25">
      <c r="A742" s="1">
        <v>1972</v>
      </c>
      <c r="B742" s="1" t="s">
        <v>99</v>
      </c>
      <c r="C742" t="s">
        <v>9</v>
      </c>
      <c r="D742" s="1" t="s">
        <v>3</v>
      </c>
      <c r="E742">
        <v>79</v>
      </c>
      <c r="F742" s="1" t="s">
        <v>101</v>
      </c>
      <c r="G742">
        <v>12</v>
      </c>
      <c r="H742">
        <v>34</v>
      </c>
      <c r="I742" s="2">
        <f t="shared" si="33"/>
        <v>26.702783999999998</v>
      </c>
      <c r="J742">
        <f t="shared" si="34"/>
        <v>0.99674445688689806</v>
      </c>
      <c r="K742">
        <f t="shared" si="35"/>
        <v>0.69738271089057191</v>
      </c>
    </row>
    <row r="743" spans="1:11" x14ac:dyDescent="0.25">
      <c r="A743" s="1">
        <v>1972</v>
      </c>
      <c r="B743" s="1" t="s">
        <v>99</v>
      </c>
      <c r="C743" t="s">
        <v>9</v>
      </c>
      <c r="D743" s="1" t="s">
        <v>3</v>
      </c>
      <c r="E743">
        <v>79</v>
      </c>
      <c r="F743" s="1" t="s">
        <v>101</v>
      </c>
      <c r="G743">
        <v>14</v>
      </c>
      <c r="H743">
        <v>17</v>
      </c>
      <c r="I743" s="2">
        <f t="shared" si="33"/>
        <v>18.172727999999999</v>
      </c>
      <c r="J743">
        <f t="shared" si="34"/>
        <v>0.67833997760358344</v>
      </c>
      <c r="K743">
        <f t="shared" si="35"/>
        <v>0.47460767824497258</v>
      </c>
    </row>
    <row r="744" spans="1:11" x14ac:dyDescent="0.25">
      <c r="A744" s="1">
        <v>1972</v>
      </c>
      <c r="B744" s="1" t="s">
        <v>99</v>
      </c>
      <c r="C744" t="s">
        <v>9</v>
      </c>
      <c r="D744" s="1" t="s">
        <v>3</v>
      </c>
      <c r="E744">
        <v>79</v>
      </c>
      <c r="F744" s="1" t="s">
        <v>101</v>
      </c>
      <c r="G744">
        <v>16</v>
      </c>
      <c r="H744">
        <v>2</v>
      </c>
      <c r="I744" s="2">
        <f t="shared" si="33"/>
        <v>2.7924479999999998</v>
      </c>
      <c r="J744">
        <f t="shared" si="34"/>
        <v>0.10423471444568869</v>
      </c>
      <c r="K744">
        <f t="shared" si="35"/>
        <v>7.2928910942804903E-2</v>
      </c>
    </row>
    <row r="745" spans="1:11" x14ac:dyDescent="0.25">
      <c r="A745" s="1">
        <v>1972</v>
      </c>
      <c r="B745" s="1" t="s">
        <v>99</v>
      </c>
      <c r="C745" t="s">
        <v>9</v>
      </c>
      <c r="D745" s="1" t="s">
        <v>3</v>
      </c>
      <c r="E745">
        <v>79</v>
      </c>
      <c r="F745" s="1" t="s">
        <v>101</v>
      </c>
      <c r="G745">
        <v>20</v>
      </c>
      <c r="H745">
        <v>1</v>
      </c>
      <c r="I745" s="2">
        <f t="shared" si="33"/>
        <v>2.1816</v>
      </c>
      <c r="J745">
        <f t="shared" si="34"/>
        <v>8.1433370660694296E-2</v>
      </c>
      <c r="K745">
        <f t="shared" si="35"/>
        <v>5.6975711674066336E-2</v>
      </c>
    </row>
    <row r="746" spans="1:11" x14ac:dyDescent="0.25">
      <c r="A746" s="1">
        <v>1972</v>
      </c>
      <c r="B746" s="1" t="s">
        <v>99</v>
      </c>
      <c r="C746" t="s">
        <v>9</v>
      </c>
      <c r="D746" s="1" t="s">
        <v>3</v>
      </c>
      <c r="E746">
        <v>84</v>
      </c>
      <c r="F746" s="1" t="s">
        <v>101</v>
      </c>
      <c r="G746">
        <v>6</v>
      </c>
      <c r="H746">
        <v>4</v>
      </c>
      <c r="I746" s="2">
        <f t="shared" si="33"/>
        <v>0.78537599999999996</v>
      </c>
      <c r="J746">
        <f t="shared" si="34"/>
        <v>2.9316013437849942E-2</v>
      </c>
      <c r="K746">
        <f t="shared" si="35"/>
        <v>2.0511256202663877E-2</v>
      </c>
    </row>
    <row r="747" spans="1:11" x14ac:dyDescent="0.25">
      <c r="A747" s="1">
        <v>1972</v>
      </c>
      <c r="B747" s="1" t="s">
        <v>99</v>
      </c>
      <c r="C747" t="s">
        <v>9</v>
      </c>
      <c r="D747" s="1" t="s">
        <v>3</v>
      </c>
      <c r="E747">
        <v>84</v>
      </c>
      <c r="F747" s="1" t="s">
        <v>101</v>
      </c>
      <c r="G747">
        <v>8</v>
      </c>
      <c r="H747">
        <v>1</v>
      </c>
      <c r="I747" s="2">
        <f t="shared" si="33"/>
        <v>0.34905599999999998</v>
      </c>
      <c r="J747">
        <f t="shared" si="34"/>
        <v>1.3029339305711086E-2</v>
      </c>
      <c r="K747">
        <f t="shared" si="35"/>
        <v>9.1161138678506129E-3</v>
      </c>
    </row>
    <row r="748" spans="1:11" x14ac:dyDescent="0.25">
      <c r="A748" s="1">
        <v>1972</v>
      </c>
      <c r="B748" s="1" t="s">
        <v>99</v>
      </c>
      <c r="C748" t="s">
        <v>9</v>
      </c>
      <c r="D748" s="1" t="s">
        <v>3</v>
      </c>
      <c r="E748">
        <v>84</v>
      </c>
      <c r="F748" s="1" t="s">
        <v>101</v>
      </c>
      <c r="G748">
        <v>10</v>
      </c>
      <c r="H748">
        <v>2</v>
      </c>
      <c r="I748" s="2">
        <f t="shared" si="33"/>
        <v>1.0908</v>
      </c>
      <c r="J748">
        <f t="shared" si="34"/>
        <v>4.0716685330347148E-2</v>
      </c>
      <c r="K748">
        <f t="shared" si="35"/>
        <v>2.8487855837033168E-2</v>
      </c>
    </row>
    <row r="749" spans="1:11" x14ac:dyDescent="0.25">
      <c r="A749" s="1">
        <v>1972</v>
      </c>
      <c r="B749" s="1" t="s">
        <v>99</v>
      </c>
      <c r="C749" t="s">
        <v>9</v>
      </c>
      <c r="D749" s="1" t="s">
        <v>3</v>
      </c>
      <c r="E749">
        <v>84</v>
      </c>
      <c r="F749" s="1" t="s">
        <v>101</v>
      </c>
      <c r="G749">
        <v>12</v>
      </c>
      <c r="H749">
        <v>1</v>
      </c>
      <c r="I749" s="2">
        <f t="shared" si="33"/>
        <v>0.78537599999999996</v>
      </c>
      <c r="J749">
        <f t="shared" si="34"/>
        <v>2.9316013437849942E-2</v>
      </c>
      <c r="K749">
        <f t="shared" si="35"/>
        <v>2.0511256202663877E-2</v>
      </c>
    </row>
    <row r="750" spans="1:11" x14ac:dyDescent="0.25">
      <c r="A750" s="1">
        <v>1972</v>
      </c>
      <c r="B750" s="1" t="s">
        <v>99</v>
      </c>
      <c r="C750" t="s">
        <v>9</v>
      </c>
      <c r="D750" s="1" t="s">
        <v>3</v>
      </c>
      <c r="E750">
        <v>84</v>
      </c>
      <c r="F750" s="1" t="s">
        <v>101</v>
      </c>
      <c r="G750">
        <v>16</v>
      </c>
      <c r="H750">
        <v>1</v>
      </c>
      <c r="I750" s="2">
        <f t="shared" si="33"/>
        <v>1.3962239999999999</v>
      </c>
      <c r="J750">
        <f t="shared" si="34"/>
        <v>5.2117357222844343E-2</v>
      </c>
      <c r="K750">
        <f t="shared" si="35"/>
        <v>3.6464455471402452E-2</v>
      </c>
    </row>
    <row r="751" spans="1:11" x14ac:dyDescent="0.25">
      <c r="A751" s="1">
        <v>1972</v>
      </c>
      <c r="B751" s="1" t="s">
        <v>99</v>
      </c>
      <c r="C751" t="s">
        <v>9</v>
      </c>
      <c r="D751" s="1" t="s">
        <v>3</v>
      </c>
      <c r="E751">
        <v>85</v>
      </c>
      <c r="F751" s="1" t="s">
        <v>101</v>
      </c>
      <c r="G751">
        <v>6</v>
      </c>
      <c r="H751">
        <v>2</v>
      </c>
      <c r="I751" s="2">
        <f t="shared" si="33"/>
        <v>0.39268799999999998</v>
      </c>
      <c r="J751">
        <f t="shared" si="34"/>
        <v>1.4658006718924971E-2</v>
      </c>
      <c r="K751">
        <f t="shared" si="35"/>
        <v>1.0255628101331939E-2</v>
      </c>
    </row>
    <row r="752" spans="1:11" x14ac:dyDescent="0.25">
      <c r="A752" s="1">
        <v>1972</v>
      </c>
      <c r="B752" s="1" t="s">
        <v>99</v>
      </c>
      <c r="C752" t="s">
        <v>9</v>
      </c>
      <c r="D752" s="1" t="s">
        <v>3</v>
      </c>
      <c r="E752">
        <v>85</v>
      </c>
      <c r="F752" s="1" t="s">
        <v>101</v>
      </c>
      <c r="G752">
        <v>8</v>
      </c>
      <c r="H752">
        <v>3</v>
      </c>
      <c r="I752" s="2">
        <f t="shared" si="33"/>
        <v>1.0471679999999999</v>
      </c>
      <c r="J752">
        <f t="shared" si="34"/>
        <v>3.9088017917133254E-2</v>
      </c>
      <c r="K752">
        <f t="shared" si="35"/>
        <v>2.7348341603551835E-2</v>
      </c>
    </row>
    <row r="753" spans="1:11" x14ac:dyDescent="0.25">
      <c r="A753" s="1">
        <v>1972</v>
      </c>
      <c r="B753" s="1" t="s">
        <v>99</v>
      </c>
      <c r="C753" t="s">
        <v>9</v>
      </c>
      <c r="D753" s="1" t="s">
        <v>3</v>
      </c>
      <c r="E753">
        <v>85</v>
      </c>
      <c r="F753" s="1" t="s">
        <v>101</v>
      </c>
      <c r="G753">
        <v>10</v>
      </c>
      <c r="H753">
        <v>13</v>
      </c>
      <c r="I753" s="2">
        <f t="shared" si="33"/>
        <v>7.0902000000000003</v>
      </c>
      <c r="J753">
        <f t="shared" si="34"/>
        <v>0.26465845464725646</v>
      </c>
      <c r="K753">
        <f t="shared" si="35"/>
        <v>0.18517106294071559</v>
      </c>
    </row>
    <row r="754" spans="1:11" x14ac:dyDescent="0.25">
      <c r="A754" s="1">
        <v>1972</v>
      </c>
      <c r="B754" s="1" t="s">
        <v>99</v>
      </c>
      <c r="C754" t="s">
        <v>9</v>
      </c>
      <c r="D754" s="1" t="s">
        <v>3</v>
      </c>
      <c r="E754">
        <v>85</v>
      </c>
      <c r="F754" s="1" t="s">
        <v>101</v>
      </c>
      <c r="G754">
        <v>12</v>
      </c>
      <c r="H754">
        <v>9</v>
      </c>
      <c r="I754" s="2">
        <f t="shared" si="33"/>
        <v>7.068384</v>
      </c>
      <c r="J754">
        <f t="shared" si="34"/>
        <v>0.26384412094064952</v>
      </c>
      <c r="K754">
        <f t="shared" si="35"/>
        <v>0.18460130582397494</v>
      </c>
    </row>
    <row r="755" spans="1:11" x14ac:dyDescent="0.25">
      <c r="A755" s="1">
        <v>1972</v>
      </c>
      <c r="B755" s="1" t="s">
        <v>99</v>
      </c>
      <c r="C755" t="s">
        <v>9</v>
      </c>
      <c r="D755" s="1" t="s">
        <v>3</v>
      </c>
      <c r="E755">
        <v>85</v>
      </c>
      <c r="F755" s="1" t="s">
        <v>101</v>
      </c>
      <c r="G755">
        <v>14</v>
      </c>
      <c r="H755">
        <v>22</v>
      </c>
      <c r="I755" s="2">
        <f t="shared" si="33"/>
        <v>23.517647999999998</v>
      </c>
      <c r="J755">
        <f t="shared" si="34"/>
        <v>0.87785173572228437</v>
      </c>
      <c r="K755">
        <f t="shared" si="35"/>
        <v>0.61419817184643499</v>
      </c>
    </row>
    <row r="756" spans="1:11" x14ac:dyDescent="0.25">
      <c r="A756" s="1">
        <v>1972</v>
      </c>
      <c r="B756" s="1" t="s">
        <v>99</v>
      </c>
      <c r="C756" t="s">
        <v>9</v>
      </c>
      <c r="D756" s="1" t="s">
        <v>3</v>
      </c>
      <c r="E756">
        <v>85</v>
      </c>
      <c r="F756" s="1" t="s">
        <v>101</v>
      </c>
      <c r="G756">
        <v>16</v>
      </c>
      <c r="H756">
        <v>29</v>
      </c>
      <c r="I756" s="2">
        <f t="shared" si="33"/>
        <v>40.490496</v>
      </c>
      <c r="J756">
        <f t="shared" si="34"/>
        <v>1.5114033594624861</v>
      </c>
      <c r="K756">
        <f t="shared" si="35"/>
        <v>1.0574692086706712</v>
      </c>
    </row>
    <row r="757" spans="1:11" x14ac:dyDescent="0.25">
      <c r="A757" s="1">
        <v>1972</v>
      </c>
      <c r="B757" s="1" t="s">
        <v>99</v>
      </c>
      <c r="C757" t="s">
        <v>9</v>
      </c>
      <c r="D757" s="1" t="s">
        <v>3</v>
      </c>
      <c r="E757">
        <v>85</v>
      </c>
      <c r="F757" s="1" t="s">
        <v>101</v>
      </c>
      <c r="G757">
        <v>18</v>
      </c>
      <c r="H757">
        <v>4</v>
      </c>
      <c r="I757" s="2">
        <f t="shared" si="33"/>
        <v>7.0683839999999991</v>
      </c>
      <c r="J757">
        <f t="shared" si="34"/>
        <v>0.26384412094064946</v>
      </c>
      <c r="K757">
        <f t="shared" si="35"/>
        <v>0.18460130582397488</v>
      </c>
    </row>
    <row r="758" spans="1:11" x14ac:dyDescent="0.25">
      <c r="A758" s="1">
        <v>1972</v>
      </c>
      <c r="B758" s="1" t="s">
        <v>99</v>
      </c>
      <c r="C758" t="s">
        <v>9</v>
      </c>
      <c r="D758" s="1" t="s">
        <v>3</v>
      </c>
      <c r="E758">
        <v>86</v>
      </c>
      <c r="F758" s="1" t="s">
        <v>101</v>
      </c>
      <c r="G758">
        <v>6</v>
      </c>
      <c r="H758">
        <v>7</v>
      </c>
      <c r="I758" s="2">
        <f t="shared" si="33"/>
        <v>1.3744079999999999</v>
      </c>
      <c r="J758">
        <f t="shared" si="34"/>
        <v>5.1303023516237396E-2</v>
      </c>
      <c r="K758">
        <f t="shared" si="35"/>
        <v>3.5894698354661782E-2</v>
      </c>
    </row>
    <row r="759" spans="1:11" x14ac:dyDescent="0.25">
      <c r="A759" s="1">
        <v>1972</v>
      </c>
      <c r="B759" s="1" t="s">
        <v>99</v>
      </c>
      <c r="C759" t="s">
        <v>9</v>
      </c>
      <c r="D759" s="1" t="s">
        <v>3</v>
      </c>
      <c r="E759">
        <v>86</v>
      </c>
      <c r="F759" s="1" t="s">
        <v>101</v>
      </c>
      <c r="G759">
        <v>8</v>
      </c>
      <c r="H759">
        <v>1</v>
      </c>
      <c r="I759" s="2">
        <f t="shared" si="33"/>
        <v>0.34905599999999998</v>
      </c>
      <c r="J759">
        <f t="shared" si="34"/>
        <v>1.3029339305711086E-2</v>
      </c>
      <c r="K759">
        <f t="shared" si="35"/>
        <v>9.1161138678506129E-3</v>
      </c>
    </row>
    <row r="760" spans="1:11" x14ac:dyDescent="0.25">
      <c r="A760" s="1">
        <v>1972</v>
      </c>
      <c r="B760" s="1" t="s">
        <v>99</v>
      </c>
      <c r="C760" t="s">
        <v>9</v>
      </c>
      <c r="D760" s="1" t="s">
        <v>3</v>
      </c>
      <c r="E760">
        <v>88</v>
      </c>
      <c r="F760" s="1" t="s">
        <v>101</v>
      </c>
      <c r="G760">
        <v>6</v>
      </c>
      <c r="H760">
        <v>4</v>
      </c>
      <c r="I760" s="2">
        <f t="shared" si="33"/>
        <v>0.78537599999999996</v>
      </c>
      <c r="J760">
        <f t="shared" si="34"/>
        <v>2.9316013437849942E-2</v>
      </c>
      <c r="K760">
        <f t="shared" si="35"/>
        <v>2.0511256202663877E-2</v>
      </c>
    </row>
    <row r="761" spans="1:11" x14ac:dyDescent="0.25">
      <c r="A761" s="1">
        <v>1972</v>
      </c>
      <c r="B761" s="1" t="s">
        <v>99</v>
      </c>
      <c r="C761" t="s">
        <v>9</v>
      </c>
      <c r="D761" s="1" t="s">
        <v>3</v>
      </c>
      <c r="E761">
        <v>88</v>
      </c>
      <c r="F761" s="1" t="s">
        <v>101</v>
      </c>
      <c r="G761">
        <v>8</v>
      </c>
      <c r="H761">
        <v>6</v>
      </c>
      <c r="I761" s="2">
        <f t="shared" si="33"/>
        <v>2.0943359999999998</v>
      </c>
      <c r="J761">
        <f t="shared" si="34"/>
        <v>7.8176035834266508E-2</v>
      </c>
      <c r="K761">
        <f t="shared" si="35"/>
        <v>5.469668320710367E-2</v>
      </c>
    </row>
    <row r="762" spans="1:11" x14ac:dyDescent="0.25">
      <c r="A762" s="1">
        <v>1972</v>
      </c>
      <c r="B762" s="1" t="s">
        <v>99</v>
      </c>
      <c r="C762" t="s">
        <v>9</v>
      </c>
      <c r="D762" s="1" t="s">
        <v>3</v>
      </c>
      <c r="E762">
        <v>91</v>
      </c>
      <c r="F762" s="1" t="s">
        <v>101</v>
      </c>
      <c r="G762">
        <v>6</v>
      </c>
      <c r="H762">
        <v>19</v>
      </c>
      <c r="I762" s="2">
        <f t="shared" si="33"/>
        <v>3.7305359999999999</v>
      </c>
      <c r="J762">
        <f t="shared" si="34"/>
        <v>0.13925106382978722</v>
      </c>
      <c r="K762">
        <f t="shared" si="35"/>
        <v>9.7428466962653421E-2</v>
      </c>
    </row>
    <row r="763" spans="1:11" x14ac:dyDescent="0.25">
      <c r="A763" s="1">
        <v>1972</v>
      </c>
      <c r="B763" s="1" t="s">
        <v>99</v>
      </c>
      <c r="C763" t="s">
        <v>9</v>
      </c>
      <c r="D763" s="1" t="s">
        <v>3</v>
      </c>
      <c r="E763">
        <v>91</v>
      </c>
      <c r="F763" s="1" t="s">
        <v>101</v>
      </c>
      <c r="G763">
        <v>8</v>
      </c>
      <c r="H763">
        <v>8</v>
      </c>
      <c r="I763" s="2">
        <f t="shared" si="33"/>
        <v>2.7924479999999998</v>
      </c>
      <c r="J763">
        <f t="shared" si="34"/>
        <v>0.10423471444568869</v>
      </c>
      <c r="K763">
        <f t="shared" si="35"/>
        <v>7.2928910942804903E-2</v>
      </c>
    </row>
    <row r="764" spans="1:11" x14ac:dyDescent="0.25">
      <c r="A764" s="1">
        <v>1972</v>
      </c>
      <c r="B764" s="1" t="s">
        <v>99</v>
      </c>
      <c r="C764" t="s">
        <v>9</v>
      </c>
      <c r="D764" s="1" t="s">
        <v>3</v>
      </c>
      <c r="E764">
        <v>91</v>
      </c>
      <c r="F764" s="1" t="s">
        <v>101</v>
      </c>
      <c r="G764">
        <v>10</v>
      </c>
      <c r="H764">
        <v>8</v>
      </c>
      <c r="I764" s="2">
        <f t="shared" si="33"/>
        <v>4.3632</v>
      </c>
      <c r="J764">
        <f t="shared" si="34"/>
        <v>0.16286674132138859</v>
      </c>
      <c r="K764">
        <f t="shared" si="35"/>
        <v>0.11395142334813267</v>
      </c>
    </row>
    <row r="765" spans="1:11" x14ac:dyDescent="0.25">
      <c r="A765" s="1">
        <v>1972</v>
      </c>
      <c r="B765" s="1" t="s">
        <v>99</v>
      </c>
      <c r="C765" t="s">
        <v>9</v>
      </c>
      <c r="D765" s="1" t="s">
        <v>3</v>
      </c>
      <c r="E765">
        <v>91</v>
      </c>
      <c r="F765" s="1" t="s">
        <v>101</v>
      </c>
      <c r="G765">
        <v>12</v>
      </c>
      <c r="H765">
        <v>9</v>
      </c>
      <c r="I765" s="2">
        <f t="shared" si="33"/>
        <v>7.068384</v>
      </c>
      <c r="J765">
        <f t="shared" si="34"/>
        <v>0.26384412094064952</v>
      </c>
      <c r="K765">
        <f t="shared" si="35"/>
        <v>0.18460130582397494</v>
      </c>
    </row>
    <row r="766" spans="1:11" x14ac:dyDescent="0.25">
      <c r="A766" s="1">
        <v>1972</v>
      </c>
      <c r="B766" s="1" t="s">
        <v>99</v>
      </c>
      <c r="C766" t="s">
        <v>9</v>
      </c>
      <c r="D766" s="1" t="s">
        <v>3</v>
      </c>
      <c r="E766">
        <v>91</v>
      </c>
      <c r="F766" s="1" t="s">
        <v>101</v>
      </c>
      <c r="G766">
        <v>14</v>
      </c>
      <c r="H766">
        <v>5</v>
      </c>
      <c r="I766" s="2">
        <f t="shared" si="33"/>
        <v>5.3449200000000001</v>
      </c>
      <c r="J766">
        <f t="shared" si="34"/>
        <v>0.199511758118701</v>
      </c>
      <c r="K766">
        <f t="shared" si="35"/>
        <v>0.1395904936014625</v>
      </c>
    </row>
    <row r="767" spans="1:11" x14ac:dyDescent="0.25">
      <c r="A767" s="1">
        <v>1972</v>
      </c>
      <c r="B767" s="1" t="s">
        <v>99</v>
      </c>
      <c r="C767" t="s">
        <v>9</v>
      </c>
      <c r="D767" s="1" t="s">
        <v>3</v>
      </c>
      <c r="E767">
        <v>91</v>
      </c>
      <c r="F767" s="1" t="s">
        <v>101</v>
      </c>
      <c r="G767">
        <v>20</v>
      </c>
      <c r="H767">
        <v>1</v>
      </c>
      <c r="I767" s="2">
        <f t="shared" si="33"/>
        <v>2.1816</v>
      </c>
      <c r="J767">
        <f t="shared" si="34"/>
        <v>8.1433370660694296E-2</v>
      </c>
      <c r="K767">
        <f t="shared" si="35"/>
        <v>5.6975711674066336E-2</v>
      </c>
    </row>
    <row r="768" spans="1:11" x14ac:dyDescent="0.25">
      <c r="A768" s="1">
        <v>1972</v>
      </c>
      <c r="B768" s="1" t="s">
        <v>99</v>
      </c>
      <c r="C768" t="s">
        <v>9</v>
      </c>
      <c r="D768" s="1" t="s">
        <v>5</v>
      </c>
      <c r="E768">
        <v>21</v>
      </c>
      <c r="F768" s="1" t="s">
        <v>101</v>
      </c>
      <c r="G768">
        <v>6</v>
      </c>
      <c r="H768">
        <v>2</v>
      </c>
      <c r="I768" s="2">
        <f t="shared" si="33"/>
        <v>0.39268799999999998</v>
      </c>
      <c r="J768">
        <f t="shared" si="34"/>
        <v>1.4658006718924971E-2</v>
      </c>
      <c r="K768">
        <f t="shared" si="35"/>
        <v>1.0255628101331939E-2</v>
      </c>
    </row>
    <row r="769" spans="1:11" x14ac:dyDescent="0.25">
      <c r="A769" s="1">
        <v>1972</v>
      </c>
      <c r="B769" s="1" t="s">
        <v>99</v>
      </c>
      <c r="C769" t="s">
        <v>9</v>
      </c>
      <c r="D769" s="1" t="s">
        <v>5</v>
      </c>
      <c r="E769">
        <v>29</v>
      </c>
      <c r="F769" s="1" t="s">
        <v>101</v>
      </c>
      <c r="G769">
        <v>6</v>
      </c>
      <c r="H769">
        <v>2</v>
      </c>
      <c r="I769" s="2">
        <f t="shared" si="33"/>
        <v>0.39268799999999998</v>
      </c>
      <c r="J769">
        <f t="shared" si="34"/>
        <v>1.4658006718924971E-2</v>
      </c>
      <c r="K769">
        <f t="shared" si="35"/>
        <v>1.0255628101331939E-2</v>
      </c>
    </row>
    <row r="770" spans="1:11" x14ac:dyDescent="0.25">
      <c r="A770" s="1">
        <v>1972</v>
      </c>
      <c r="B770" s="1" t="s">
        <v>99</v>
      </c>
      <c r="C770" t="s">
        <v>9</v>
      </c>
      <c r="D770" s="1" t="s">
        <v>5</v>
      </c>
      <c r="E770">
        <v>32</v>
      </c>
      <c r="F770" s="1" t="s">
        <v>101</v>
      </c>
      <c r="G770">
        <v>12</v>
      </c>
      <c r="H770">
        <v>2</v>
      </c>
      <c r="I770" s="2">
        <f t="shared" si="33"/>
        <v>1.5707519999999999</v>
      </c>
      <c r="J770">
        <f t="shared" si="34"/>
        <v>5.8632026875699884E-2</v>
      </c>
      <c r="K770">
        <f t="shared" si="35"/>
        <v>4.1022512405327755E-2</v>
      </c>
    </row>
    <row r="771" spans="1:11" x14ac:dyDescent="0.25">
      <c r="A771" s="1">
        <v>1972</v>
      </c>
      <c r="B771" s="1" t="s">
        <v>99</v>
      </c>
      <c r="C771" t="s">
        <v>9</v>
      </c>
      <c r="D771" s="1" t="s">
        <v>5</v>
      </c>
      <c r="E771">
        <v>32</v>
      </c>
      <c r="F771" s="1" t="s">
        <v>101</v>
      </c>
      <c r="G771">
        <v>14</v>
      </c>
      <c r="H771">
        <v>4</v>
      </c>
      <c r="I771" s="2">
        <f t="shared" ref="I771:I834" si="36">0.005454*G771^2*H771</f>
        <v>4.2759359999999997</v>
      </c>
      <c r="J771">
        <f t="shared" ref="J771:J834" si="37">I771/26.79</f>
        <v>0.1596094064949608</v>
      </c>
      <c r="K771">
        <f t="shared" ref="K771:K834" si="38">J771*(26.79/38.29)</f>
        <v>0.11167239488117001</v>
      </c>
    </row>
    <row r="772" spans="1:11" x14ac:dyDescent="0.25">
      <c r="A772" s="1">
        <v>1972</v>
      </c>
      <c r="B772" s="1" t="s">
        <v>99</v>
      </c>
      <c r="C772" t="s">
        <v>9</v>
      </c>
      <c r="D772" s="1" t="s">
        <v>5</v>
      </c>
      <c r="E772">
        <v>32</v>
      </c>
      <c r="F772" s="1" t="s">
        <v>101</v>
      </c>
      <c r="G772">
        <v>16</v>
      </c>
      <c r="H772">
        <v>5</v>
      </c>
      <c r="I772" s="2">
        <f t="shared" si="36"/>
        <v>6.9811199999999998</v>
      </c>
      <c r="J772">
        <f t="shared" si="37"/>
        <v>0.2605867861142217</v>
      </c>
      <c r="K772">
        <f t="shared" si="38"/>
        <v>0.18232227735701226</v>
      </c>
    </row>
    <row r="773" spans="1:11" x14ac:dyDescent="0.25">
      <c r="A773" s="1">
        <v>1972</v>
      </c>
      <c r="B773" s="1" t="s">
        <v>99</v>
      </c>
      <c r="C773" t="s">
        <v>9</v>
      </c>
      <c r="D773" s="1" t="s">
        <v>5</v>
      </c>
      <c r="E773">
        <v>32</v>
      </c>
      <c r="F773" s="1" t="s">
        <v>101</v>
      </c>
      <c r="G773">
        <v>18</v>
      </c>
      <c r="H773">
        <v>2</v>
      </c>
      <c r="I773" s="2">
        <f t="shared" si="36"/>
        <v>3.5341919999999996</v>
      </c>
      <c r="J773">
        <f t="shared" si="37"/>
        <v>0.13192206047032473</v>
      </c>
      <c r="K773">
        <f t="shared" si="38"/>
        <v>9.2300652911987441E-2</v>
      </c>
    </row>
    <row r="774" spans="1:11" x14ac:dyDescent="0.25">
      <c r="A774" s="1">
        <v>1972</v>
      </c>
      <c r="B774" s="1" t="s">
        <v>99</v>
      </c>
      <c r="C774" t="s">
        <v>9</v>
      </c>
      <c r="D774" s="1" t="s">
        <v>5</v>
      </c>
      <c r="E774">
        <v>34</v>
      </c>
      <c r="F774" s="1" t="s">
        <v>101</v>
      </c>
      <c r="G774">
        <v>6</v>
      </c>
      <c r="H774">
        <v>2</v>
      </c>
      <c r="I774" s="2">
        <f t="shared" si="36"/>
        <v>0.39268799999999998</v>
      </c>
      <c r="J774">
        <f t="shared" si="37"/>
        <v>1.4658006718924971E-2</v>
      </c>
      <c r="K774">
        <f t="shared" si="38"/>
        <v>1.0255628101331939E-2</v>
      </c>
    </row>
    <row r="775" spans="1:11" x14ac:dyDescent="0.25">
      <c r="A775" s="1">
        <v>1972</v>
      </c>
      <c r="B775" s="1" t="s">
        <v>99</v>
      </c>
      <c r="C775" t="s">
        <v>9</v>
      </c>
      <c r="D775" s="1" t="s">
        <v>5</v>
      </c>
      <c r="E775">
        <v>34</v>
      </c>
      <c r="F775" s="1" t="s">
        <v>101</v>
      </c>
      <c r="G775">
        <v>12</v>
      </c>
      <c r="H775">
        <v>1</v>
      </c>
      <c r="I775" s="2">
        <f t="shared" si="36"/>
        <v>0.78537599999999996</v>
      </c>
      <c r="J775">
        <f t="shared" si="37"/>
        <v>2.9316013437849942E-2</v>
      </c>
      <c r="K775">
        <f t="shared" si="38"/>
        <v>2.0511256202663877E-2</v>
      </c>
    </row>
    <row r="776" spans="1:11" x14ac:dyDescent="0.25">
      <c r="A776" s="1">
        <v>1972</v>
      </c>
      <c r="B776" s="1" t="s">
        <v>99</v>
      </c>
      <c r="C776" t="s">
        <v>9</v>
      </c>
      <c r="D776" s="1" t="s">
        <v>5</v>
      </c>
      <c r="E776">
        <v>34</v>
      </c>
      <c r="F776" s="1" t="s">
        <v>101</v>
      </c>
      <c r="G776">
        <v>20</v>
      </c>
      <c r="H776">
        <v>1</v>
      </c>
      <c r="I776" s="2">
        <f t="shared" si="36"/>
        <v>2.1816</v>
      </c>
      <c r="J776">
        <f t="shared" si="37"/>
        <v>8.1433370660694296E-2</v>
      </c>
      <c r="K776">
        <f t="shared" si="38"/>
        <v>5.6975711674066336E-2</v>
      </c>
    </row>
    <row r="777" spans="1:11" x14ac:dyDescent="0.25">
      <c r="A777" s="1">
        <v>1972</v>
      </c>
      <c r="B777" s="1" t="s">
        <v>99</v>
      </c>
      <c r="C777" t="s">
        <v>9</v>
      </c>
      <c r="D777" s="1" t="s">
        <v>5</v>
      </c>
      <c r="E777">
        <v>38</v>
      </c>
      <c r="F777" s="1" t="s">
        <v>101</v>
      </c>
      <c r="G777">
        <v>6</v>
      </c>
      <c r="H777">
        <v>2</v>
      </c>
      <c r="I777" s="2">
        <f t="shared" si="36"/>
        <v>0.39268799999999998</v>
      </c>
      <c r="J777">
        <f t="shared" si="37"/>
        <v>1.4658006718924971E-2</v>
      </c>
      <c r="K777">
        <f t="shared" si="38"/>
        <v>1.0255628101331939E-2</v>
      </c>
    </row>
    <row r="778" spans="1:11" x14ac:dyDescent="0.25">
      <c r="A778" s="1">
        <v>1972</v>
      </c>
      <c r="B778" s="1" t="s">
        <v>99</v>
      </c>
      <c r="C778" t="s">
        <v>9</v>
      </c>
      <c r="D778" s="1" t="s">
        <v>5</v>
      </c>
      <c r="E778">
        <v>38</v>
      </c>
      <c r="F778" s="1" t="s">
        <v>101</v>
      </c>
      <c r="G778">
        <v>8</v>
      </c>
      <c r="H778">
        <v>1</v>
      </c>
      <c r="I778" s="2">
        <f t="shared" si="36"/>
        <v>0.34905599999999998</v>
      </c>
      <c r="J778">
        <f t="shared" si="37"/>
        <v>1.3029339305711086E-2</v>
      </c>
      <c r="K778">
        <f t="shared" si="38"/>
        <v>9.1161138678506129E-3</v>
      </c>
    </row>
    <row r="779" spans="1:11" x14ac:dyDescent="0.25">
      <c r="A779" s="1">
        <v>1972</v>
      </c>
      <c r="B779" s="1" t="s">
        <v>99</v>
      </c>
      <c r="C779" t="s">
        <v>9</v>
      </c>
      <c r="D779" s="1" t="s">
        <v>5</v>
      </c>
      <c r="E779">
        <v>38</v>
      </c>
      <c r="F779" s="1" t="s">
        <v>101</v>
      </c>
      <c r="G779">
        <v>10</v>
      </c>
      <c r="H779">
        <v>1</v>
      </c>
      <c r="I779" s="2">
        <f t="shared" si="36"/>
        <v>0.5454</v>
      </c>
      <c r="J779">
        <f t="shared" si="37"/>
        <v>2.0358342665173574E-2</v>
      </c>
      <c r="K779">
        <f t="shared" si="38"/>
        <v>1.4243927918516584E-2</v>
      </c>
    </row>
    <row r="780" spans="1:11" x14ac:dyDescent="0.25">
      <c r="A780" s="1">
        <v>1972</v>
      </c>
      <c r="B780" s="1" t="s">
        <v>99</v>
      </c>
      <c r="C780" t="s">
        <v>9</v>
      </c>
      <c r="D780" s="1" t="s">
        <v>5</v>
      </c>
      <c r="E780">
        <v>40</v>
      </c>
      <c r="F780" s="1" t="s">
        <v>101</v>
      </c>
      <c r="G780">
        <v>6</v>
      </c>
      <c r="H780">
        <v>5</v>
      </c>
      <c r="I780" s="2">
        <f t="shared" si="36"/>
        <v>0.98171999999999993</v>
      </c>
      <c r="J780">
        <f t="shared" si="37"/>
        <v>3.6645016797312427E-2</v>
      </c>
      <c r="K780">
        <f t="shared" si="38"/>
        <v>2.5639070253329847E-2</v>
      </c>
    </row>
    <row r="781" spans="1:11" x14ac:dyDescent="0.25">
      <c r="A781" s="1">
        <v>1972</v>
      </c>
      <c r="B781" s="1" t="s">
        <v>99</v>
      </c>
      <c r="C781" t="s">
        <v>9</v>
      </c>
      <c r="D781" s="1" t="s">
        <v>5</v>
      </c>
      <c r="E781">
        <v>40</v>
      </c>
      <c r="F781" s="1" t="s">
        <v>101</v>
      </c>
      <c r="G781">
        <v>8</v>
      </c>
      <c r="H781">
        <v>1</v>
      </c>
      <c r="I781" s="2">
        <f t="shared" si="36"/>
        <v>0.34905599999999998</v>
      </c>
      <c r="J781">
        <f t="shared" si="37"/>
        <v>1.3029339305711086E-2</v>
      </c>
      <c r="K781">
        <f t="shared" si="38"/>
        <v>9.1161138678506129E-3</v>
      </c>
    </row>
    <row r="782" spans="1:11" x14ac:dyDescent="0.25">
      <c r="A782" s="1">
        <v>1972</v>
      </c>
      <c r="B782" s="1" t="s">
        <v>99</v>
      </c>
      <c r="C782" t="s">
        <v>9</v>
      </c>
      <c r="D782" s="1" t="s">
        <v>5</v>
      </c>
      <c r="E782">
        <v>40</v>
      </c>
      <c r="F782" s="1" t="s">
        <v>101</v>
      </c>
      <c r="G782">
        <v>10</v>
      </c>
      <c r="H782">
        <v>1</v>
      </c>
      <c r="I782" s="2">
        <f t="shared" si="36"/>
        <v>0.5454</v>
      </c>
      <c r="J782">
        <f t="shared" si="37"/>
        <v>2.0358342665173574E-2</v>
      </c>
      <c r="K782">
        <f t="shared" si="38"/>
        <v>1.4243927918516584E-2</v>
      </c>
    </row>
    <row r="783" spans="1:11" x14ac:dyDescent="0.25">
      <c r="A783" s="1">
        <v>1972</v>
      </c>
      <c r="B783" s="1" t="s">
        <v>99</v>
      </c>
      <c r="C783" t="s">
        <v>9</v>
      </c>
      <c r="D783" s="1" t="s">
        <v>5</v>
      </c>
      <c r="E783">
        <v>40</v>
      </c>
      <c r="F783" s="1" t="s">
        <v>101</v>
      </c>
      <c r="G783">
        <v>12</v>
      </c>
      <c r="H783">
        <v>2</v>
      </c>
      <c r="I783" s="2">
        <f t="shared" si="36"/>
        <v>1.5707519999999999</v>
      </c>
      <c r="J783">
        <f t="shared" si="37"/>
        <v>5.8632026875699884E-2</v>
      </c>
      <c r="K783">
        <f t="shared" si="38"/>
        <v>4.1022512405327755E-2</v>
      </c>
    </row>
    <row r="784" spans="1:11" x14ac:dyDescent="0.25">
      <c r="A784" s="1">
        <v>1972</v>
      </c>
      <c r="B784" s="1" t="s">
        <v>99</v>
      </c>
      <c r="C784" t="s">
        <v>9</v>
      </c>
      <c r="D784" s="1" t="s">
        <v>5</v>
      </c>
      <c r="E784">
        <v>41</v>
      </c>
      <c r="F784" s="1" t="s">
        <v>101</v>
      </c>
      <c r="G784">
        <v>18</v>
      </c>
      <c r="H784">
        <v>1</v>
      </c>
      <c r="I784" s="2">
        <f t="shared" si="36"/>
        <v>1.7670959999999998</v>
      </c>
      <c r="J784">
        <f t="shared" si="37"/>
        <v>6.5961030235162366E-2</v>
      </c>
      <c r="K784">
        <f t="shared" si="38"/>
        <v>4.615032645599372E-2</v>
      </c>
    </row>
    <row r="785" spans="1:11" x14ac:dyDescent="0.25">
      <c r="A785" s="1">
        <v>1972</v>
      </c>
      <c r="B785" s="1" t="s">
        <v>99</v>
      </c>
      <c r="C785" t="s">
        <v>9</v>
      </c>
      <c r="D785" s="1" t="s">
        <v>5</v>
      </c>
      <c r="E785">
        <v>47</v>
      </c>
      <c r="F785" s="1" t="s">
        <v>101</v>
      </c>
      <c r="G785">
        <v>16</v>
      </c>
      <c r="H785">
        <v>1</v>
      </c>
      <c r="I785" s="2">
        <f t="shared" si="36"/>
        <v>1.3962239999999999</v>
      </c>
      <c r="J785">
        <f t="shared" si="37"/>
        <v>5.2117357222844343E-2</v>
      </c>
      <c r="K785">
        <f t="shared" si="38"/>
        <v>3.6464455471402452E-2</v>
      </c>
    </row>
    <row r="786" spans="1:11" x14ac:dyDescent="0.25">
      <c r="A786" s="1">
        <v>1972</v>
      </c>
      <c r="B786" s="1" t="s">
        <v>99</v>
      </c>
      <c r="C786" t="s">
        <v>9</v>
      </c>
      <c r="D786" s="1" t="s">
        <v>5</v>
      </c>
      <c r="E786">
        <v>53</v>
      </c>
      <c r="F786" s="1" t="s">
        <v>101</v>
      </c>
      <c r="G786">
        <v>6</v>
      </c>
      <c r="H786">
        <v>1</v>
      </c>
      <c r="I786" s="2">
        <f t="shared" si="36"/>
        <v>0.19634399999999999</v>
      </c>
      <c r="J786">
        <f t="shared" si="37"/>
        <v>7.3290033594624856E-3</v>
      </c>
      <c r="K786">
        <f t="shared" si="38"/>
        <v>5.1278140506659693E-3</v>
      </c>
    </row>
    <row r="787" spans="1:11" x14ac:dyDescent="0.25">
      <c r="A787" s="1">
        <v>1972</v>
      </c>
      <c r="B787" s="1" t="s">
        <v>99</v>
      </c>
      <c r="C787" t="s">
        <v>9</v>
      </c>
      <c r="D787" s="1" t="s">
        <v>5</v>
      </c>
      <c r="E787">
        <v>53</v>
      </c>
      <c r="F787" s="1" t="s">
        <v>101</v>
      </c>
      <c r="G787">
        <v>8</v>
      </c>
      <c r="H787">
        <v>1</v>
      </c>
      <c r="I787" s="2">
        <f t="shared" si="36"/>
        <v>0.34905599999999998</v>
      </c>
      <c r="J787">
        <f t="shared" si="37"/>
        <v>1.3029339305711086E-2</v>
      </c>
      <c r="K787">
        <f t="shared" si="38"/>
        <v>9.1161138678506129E-3</v>
      </c>
    </row>
    <row r="788" spans="1:11" x14ac:dyDescent="0.25">
      <c r="A788" s="1">
        <v>1972</v>
      </c>
      <c r="B788" s="1" t="s">
        <v>99</v>
      </c>
      <c r="C788" t="s">
        <v>9</v>
      </c>
      <c r="D788" s="1" t="s">
        <v>5</v>
      </c>
      <c r="E788">
        <v>53</v>
      </c>
      <c r="F788" s="1" t="s">
        <v>101</v>
      </c>
      <c r="G788">
        <v>10</v>
      </c>
      <c r="H788">
        <v>1</v>
      </c>
      <c r="I788" s="2">
        <f t="shared" si="36"/>
        <v>0.5454</v>
      </c>
      <c r="J788">
        <f t="shared" si="37"/>
        <v>2.0358342665173574E-2</v>
      </c>
      <c r="K788">
        <f t="shared" si="38"/>
        <v>1.4243927918516584E-2</v>
      </c>
    </row>
    <row r="789" spans="1:11" x14ac:dyDescent="0.25">
      <c r="A789" s="1">
        <v>1972</v>
      </c>
      <c r="B789" s="1" t="s">
        <v>99</v>
      </c>
      <c r="C789" t="s">
        <v>9</v>
      </c>
      <c r="D789" s="1" t="s">
        <v>5</v>
      </c>
      <c r="E789">
        <v>54</v>
      </c>
      <c r="F789" s="1" t="s">
        <v>101</v>
      </c>
      <c r="G789">
        <v>6</v>
      </c>
      <c r="H789">
        <v>1</v>
      </c>
      <c r="I789" s="2">
        <f t="shared" si="36"/>
        <v>0.19634399999999999</v>
      </c>
      <c r="J789">
        <f t="shared" si="37"/>
        <v>7.3290033594624856E-3</v>
      </c>
      <c r="K789">
        <f t="shared" si="38"/>
        <v>5.1278140506659693E-3</v>
      </c>
    </row>
    <row r="790" spans="1:11" x14ac:dyDescent="0.25">
      <c r="A790" s="1">
        <v>1972</v>
      </c>
      <c r="B790" s="1" t="s">
        <v>99</v>
      </c>
      <c r="C790" t="s">
        <v>9</v>
      </c>
      <c r="D790" s="1" t="s">
        <v>5</v>
      </c>
      <c r="E790">
        <v>56</v>
      </c>
      <c r="F790" s="1" t="s">
        <v>101</v>
      </c>
      <c r="G790">
        <v>6</v>
      </c>
      <c r="H790">
        <v>2</v>
      </c>
      <c r="I790" s="2">
        <f t="shared" si="36"/>
        <v>0.39268799999999998</v>
      </c>
      <c r="J790">
        <f t="shared" si="37"/>
        <v>1.4658006718924971E-2</v>
      </c>
      <c r="K790">
        <f t="shared" si="38"/>
        <v>1.0255628101331939E-2</v>
      </c>
    </row>
    <row r="791" spans="1:11" x14ac:dyDescent="0.25">
      <c r="A791" s="1">
        <v>1972</v>
      </c>
      <c r="B791" s="1" t="s">
        <v>99</v>
      </c>
      <c r="C791" t="s">
        <v>9</v>
      </c>
      <c r="D791" s="1" t="s">
        <v>5</v>
      </c>
      <c r="E791">
        <v>56</v>
      </c>
      <c r="F791" s="1" t="s">
        <v>101</v>
      </c>
      <c r="G791">
        <v>8</v>
      </c>
      <c r="H791">
        <v>1</v>
      </c>
      <c r="I791" s="2">
        <f t="shared" si="36"/>
        <v>0.34905599999999998</v>
      </c>
      <c r="J791">
        <f t="shared" si="37"/>
        <v>1.3029339305711086E-2</v>
      </c>
      <c r="K791">
        <f t="shared" si="38"/>
        <v>9.1161138678506129E-3</v>
      </c>
    </row>
    <row r="792" spans="1:11" x14ac:dyDescent="0.25">
      <c r="A792" s="1">
        <v>1972</v>
      </c>
      <c r="B792" s="1" t="s">
        <v>99</v>
      </c>
      <c r="C792" t="s">
        <v>9</v>
      </c>
      <c r="D792" s="1" t="s">
        <v>5</v>
      </c>
      <c r="E792">
        <v>56</v>
      </c>
      <c r="F792" s="1" t="s">
        <v>101</v>
      </c>
      <c r="G792">
        <v>10</v>
      </c>
      <c r="H792">
        <v>2</v>
      </c>
      <c r="I792" s="2">
        <f t="shared" si="36"/>
        <v>1.0908</v>
      </c>
      <c r="J792">
        <f t="shared" si="37"/>
        <v>4.0716685330347148E-2</v>
      </c>
      <c r="K792">
        <f t="shared" si="38"/>
        <v>2.8487855837033168E-2</v>
      </c>
    </row>
    <row r="793" spans="1:11" x14ac:dyDescent="0.25">
      <c r="A793" s="1">
        <v>1972</v>
      </c>
      <c r="B793" s="1" t="s">
        <v>99</v>
      </c>
      <c r="C793" t="s">
        <v>9</v>
      </c>
      <c r="D793" s="1" t="s">
        <v>5</v>
      </c>
      <c r="E793">
        <v>58</v>
      </c>
      <c r="F793" s="1" t="s">
        <v>101</v>
      </c>
      <c r="G793">
        <v>6</v>
      </c>
      <c r="H793">
        <v>11</v>
      </c>
      <c r="I793" s="2">
        <f t="shared" si="36"/>
        <v>2.1597839999999997</v>
      </c>
      <c r="J793">
        <f t="shared" si="37"/>
        <v>8.0619036954087342E-2</v>
      </c>
      <c r="K793">
        <f t="shared" si="38"/>
        <v>5.6405954557325666E-2</v>
      </c>
    </row>
    <row r="794" spans="1:11" x14ac:dyDescent="0.25">
      <c r="A794" s="1">
        <v>1972</v>
      </c>
      <c r="B794" s="1" t="s">
        <v>99</v>
      </c>
      <c r="C794" t="s">
        <v>9</v>
      </c>
      <c r="D794" s="1" t="s">
        <v>5</v>
      </c>
      <c r="E794">
        <v>58</v>
      </c>
      <c r="F794" s="1" t="s">
        <v>101</v>
      </c>
      <c r="G794">
        <v>8</v>
      </c>
      <c r="H794">
        <v>3</v>
      </c>
      <c r="I794" s="2">
        <f t="shared" si="36"/>
        <v>1.0471679999999999</v>
      </c>
      <c r="J794">
        <f t="shared" si="37"/>
        <v>3.9088017917133254E-2</v>
      </c>
      <c r="K794">
        <f t="shared" si="38"/>
        <v>2.7348341603551835E-2</v>
      </c>
    </row>
    <row r="795" spans="1:11" x14ac:dyDescent="0.25">
      <c r="A795" s="1">
        <v>1972</v>
      </c>
      <c r="B795" s="1" t="s">
        <v>99</v>
      </c>
      <c r="C795" t="s">
        <v>9</v>
      </c>
      <c r="D795" s="1" t="s">
        <v>5</v>
      </c>
      <c r="E795">
        <v>58</v>
      </c>
      <c r="F795" s="1" t="s">
        <v>101</v>
      </c>
      <c r="G795">
        <v>10</v>
      </c>
      <c r="H795">
        <v>1</v>
      </c>
      <c r="I795" s="2">
        <f t="shared" si="36"/>
        <v>0.5454</v>
      </c>
      <c r="J795">
        <f t="shared" si="37"/>
        <v>2.0358342665173574E-2</v>
      </c>
      <c r="K795">
        <f t="shared" si="38"/>
        <v>1.4243927918516584E-2</v>
      </c>
    </row>
    <row r="796" spans="1:11" x14ac:dyDescent="0.25">
      <c r="A796" s="1">
        <v>1972</v>
      </c>
      <c r="B796" s="1" t="s">
        <v>99</v>
      </c>
      <c r="C796" t="s">
        <v>9</v>
      </c>
      <c r="D796" s="1" t="s">
        <v>5</v>
      </c>
      <c r="E796">
        <v>63</v>
      </c>
      <c r="F796" s="1" t="s">
        <v>101</v>
      </c>
      <c r="G796">
        <v>6</v>
      </c>
      <c r="H796">
        <v>2</v>
      </c>
      <c r="I796" s="2">
        <f t="shared" si="36"/>
        <v>0.39268799999999998</v>
      </c>
      <c r="J796">
        <f t="shared" si="37"/>
        <v>1.4658006718924971E-2</v>
      </c>
      <c r="K796">
        <f t="shared" si="38"/>
        <v>1.0255628101331939E-2</v>
      </c>
    </row>
    <row r="797" spans="1:11" x14ac:dyDescent="0.25">
      <c r="A797" s="1">
        <v>1972</v>
      </c>
      <c r="B797" s="1" t="s">
        <v>99</v>
      </c>
      <c r="C797" t="s">
        <v>9</v>
      </c>
      <c r="D797" s="1" t="s">
        <v>5</v>
      </c>
      <c r="E797">
        <v>66</v>
      </c>
      <c r="F797" s="1" t="s">
        <v>101</v>
      </c>
      <c r="G797">
        <v>6</v>
      </c>
      <c r="H797">
        <v>1</v>
      </c>
      <c r="I797" s="2">
        <f t="shared" si="36"/>
        <v>0.19634399999999999</v>
      </c>
      <c r="J797">
        <f t="shared" si="37"/>
        <v>7.3290033594624856E-3</v>
      </c>
      <c r="K797">
        <f t="shared" si="38"/>
        <v>5.1278140506659693E-3</v>
      </c>
    </row>
    <row r="798" spans="1:11" x14ac:dyDescent="0.25">
      <c r="A798" s="1">
        <v>1972</v>
      </c>
      <c r="B798" s="1" t="s">
        <v>99</v>
      </c>
      <c r="C798" t="s">
        <v>9</v>
      </c>
      <c r="D798" s="1" t="s">
        <v>5</v>
      </c>
      <c r="E798">
        <v>71</v>
      </c>
      <c r="F798" s="1" t="s">
        <v>101</v>
      </c>
      <c r="G798">
        <v>6</v>
      </c>
      <c r="H798">
        <v>11</v>
      </c>
      <c r="I798" s="2">
        <f t="shared" si="36"/>
        <v>2.1597839999999997</v>
      </c>
      <c r="J798">
        <f t="shared" si="37"/>
        <v>8.0619036954087342E-2</v>
      </c>
      <c r="K798">
        <f t="shared" si="38"/>
        <v>5.6405954557325666E-2</v>
      </c>
    </row>
    <row r="799" spans="1:11" x14ac:dyDescent="0.25">
      <c r="A799" s="1">
        <v>1972</v>
      </c>
      <c r="B799" s="1" t="s">
        <v>99</v>
      </c>
      <c r="C799" t="s">
        <v>9</v>
      </c>
      <c r="D799" s="1" t="s">
        <v>5</v>
      </c>
      <c r="E799">
        <v>71</v>
      </c>
      <c r="F799" s="1" t="s">
        <v>101</v>
      </c>
      <c r="G799">
        <v>8</v>
      </c>
      <c r="H799">
        <v>11</v>
      </c>
      <c r="I799" s="2">
        <f t="shared" si="36"/>
        <v>3.8396159999999999</v>
      </c>
      <c r="J799">
        <f t="shared" si="37"/>
        <v>0.14332273236282195</v>
      </c>
      <c r="K799">
        <f t="shared" si="38"/>
        <v>0.10027725254635675</v>
      </c>
    </row>
    <row r="800" spans="1:11" x14ac:dyDescent="0.25">
      <c r="A800" s="1">
        <v>1972</v>
      </c>
      <c r="B800" s="1" t="s">
        <v>99</v>
      </c>
      <c r="C800" t="s">
        <v>9</v>
      </c>
      <c r="D800" s="1" t="s">
        <v>5</v>
      </c>
      <c r="E800">
        <v>71</v>
      </c>
      <c r="F800" s="1" t="s">
        <v>101</v>
      </c>
      <c r="G800">
        <v>10</v>
      </c>
      <c r="H800">
        <v>3</v>
      </c>
      <c r="I800" s="2">
        <f t="shared" si="36"/>
        <v>1.6362000000000001</v>
      </c>
      <c r="J800">
        <f t="shared" si="37"/>
        <v>6.1075027995520725E-2</v>
      </c>
      <c r="K800">
        <f t="shared" si="38"/>
        <v>4.2731783755549757E-2</v>
      </c>
    </row>
    <row r="801" spans="1:11" x14ac:dyDescent="0.25">
      <c r="A801" s="1">
        <v>1972</v>
      </c>
      <c r="B801" s="1" t="s">
        <v>99</v>
      </c>
      <c r="C801" t="s">
        <v>9</v>
      </c>
      <c r="D801" s="1" t="s">
        <v>5</v>
      </c>
      <c r="E801">
        <v>76</v>
      </c>
      <c r="F801" s="1" t="s">
        <v>101</v>
      </c>
      <c r="G801">
        <v>6</v>
      </c>
      <c r="H801">
        <v>8</v>
      </c>
      <c r="I801" s="2">
        <f t="shared" si="36"/>
        <v>1.5707519999999999</v>
      </c>
      <c r="J801">
        <f t="shared" si="37"/>
        <v>5.8632026875699884E-2</v>
      </c>
      <c r="K801">
        <f t="shared" si="38"/>
        <v>4.1022512405327755E-2</v>
      </c>
    </row>
    <row r="802" spans="1:11" x14ac:dyDescent="0.25">
      <c r="A802" s="1">
        <v>1972</v>
      </c>
      <c r="B802" s="1" t="s">
        <v>99</v>
      </c>
      <c r="C802" t="s">
        <v>9</v>
      </c>
      <c r="D802" s="1" t="s">
        <v>5</v>
      </c>
      <c r="E802">
        <v>76</v>
      </c>
      <c r="F802" s="1" t="s">
        <v>101</v>
      </c>
      <c r="G802">
        <v>10</v>
      </c>
      <c r="H802">
        <v>1</v>
      </c>
      <c r="I802" s="2">
        <f t="shared" si="36"/>
        <v>0.5454</v>
      </c>
      <c r="J802">
        <f t="shared" si="37"/>
        <v>2.0358342665173574E-2</v>
      </c>
      <c r="K802">
        <f t="shared" si="38"/>
        <v>1.4243927918516584E-2</v>
      </c>
    </row>
    <row r="803" spans="1:11" x14ac:dyDescent="0.25">
      <c r="A803" s="1">
        <v>1972</v>
      </c>
      <c r="B803" s="1" t="s">
        <v>99</v>
      </c>
      <c r="C803" t="s">
        <v>9</v>
      </c>
      <c r="D803" s="1" t="s">
        <v>5</v>
      </c>
      <c r="E803">
        <v>79</v>
      </c>
      <c r="F803" s="1" t="s">
        <v>101</v>
      </c>
      <c r="G803">
        <v>6</v>
      </c>
      <c r="H803">
        <v>10</v>
      </c>
      <c r="I803" s="2">
        <f t="shared" si="36"/>
        <v>1.9634399999999999</v>
      </c>
      <c r="J803">
        <f t="shared" si="37"/>
        <v>7.3290033594624854E-2</v>
      </c>
      <c r="K803">
        <f t="shared" si="38"/>
        <v>5.1278140506659693E-2</v>
      </c>
    </row>
    <row r="804" spans="1:11" x14ac:dyDescent="0.25">
      <c r="A804" s="1">
        <v>1972</v>
      </c>
      <c r="B804" s="1" t="s">
        <v>99</v>
      </c>
      <c r="C804" t="s">
        <v>9</v>
      </c>
      <c r="D804" s="1" t="s">
        <v>5</v>
      </c>
      <c r="E804">
        <v>79</v>
      </c>
      <c r="F804" s="1" t="s">
        <v>101</v>
      </c>
      <c r="G804">
        <v>8</v>
      </c>
      <c r="H804">
        <v>5</v>
      </c>
      <c r="I804" s="2">
        <f t="shared" si="36"/>
        <v>1.7452799999999999</v>
      </c>
      <c r="J804">
        <f t="shared" si="37"/>
        <v>6.5146696528555426E-2</v>
      </c>
      <c r="K804">
        <f t="shared" si="38"/>
        <v>4.5580569339253064E-2</v>
      </c>
    </row>
    <row r="805" spans="1:11" x14ac:dyDescent="0.25">
      <c r="A805" s="1">
        <v>1972</v>
      </c>
      <c r="B805" s="1" t="s">
        <v>99</v>
      </c>
      <c r="C805" t="s">
        <v>9</v>
      </c>
      <c r="D805" s="1" t="s">
        <v>5</v>
      </c>
      <c r="E805">
        <v>85</v>
      </c>
      <c r="F805" s="1" t="s">
        <v>101</v>
      </c>
      <c r="G805">
        <v>6</v>
      </c>
      <c r="H805">
        <v>1</v>
      </c>
      <c r="I805" s="2">
        <f t="shared" si="36"/>
        <v>0.19634399999999999</v>
      </c>
      <c r="J805">
        <f t="shared" si="37"/>
        <v>7.3290033594624856E-3</v>
      </c>
      <c r="K805">
        <f t="shared" si="38"/>
        <v>5.1278140506659693E-3</v>
      </c>
    </row>
    <row r="806" spans="1:11" x14ac:dyDescent="0.25">
      <c r="A806" s="1">
        <v>1972</v>
      </c>
      <c r="B806" s="1" t="s">
        <v>99</v>
      </c>
      <c r="C806" t="s">
        <v>9</v>
      </c>
      <c r="D806" s="1" t="s">
        <v>5</v>
      </c>
      <c r="E806">
        <v>85</v>
      </c>
      <c r="F806" s="1" t="s">
        <v>101</v>
      </c>
      <c r="G806">
        <v>10</v>
      </c>
      <c r="H806">
        <v>1</v>
      </c>
      <c r="I806" s="2">
        <f t="shared" si="36"/>
        <v>0.5454</v>
      </c>
      <c r="J806">
        <f t="shared" si="37"/>
        <v>2.0358342665173574E-2</v>
      </c>
      <c r="K806">
        <f t="shared" si="38"/>
        <v>1.4243927918516584E-2</v>
      </c>
    </row>
    <row r="807" spans="1:11" x14ac:dyDescent="0.25">
      <c r="A807" s="1">
        <v>1972</v>
      </c>
      <c r="B807" s="1" t="s">
        <v>99</v>
      </c>
      <c r="C807" t="s">
        <v>9</v>
      </c>
      <c r="D807" s="1" t="s">
        <v>5</v>
      </c>
      <c r="E807">
        <v>85</v>
      </c>
      <c r="F807" s="1" t="s">
        <v>101</v>
      </c>
      <c r="G807">
        <v>12</v>
      </c>
      <c r="H807">
        <v>1</v>
      </c>
      <c r="I807" s="2">
        <f t="shared" si="36"/>
        <v>0.78537599999999996</v>
      </c>
      <c r="J807">
        <f t="shared" si="37"/>
        <v>2.9316013437849942E-2</v>
      </c>
      <c r="K807">
        <f t="shared" si="38"/>
        <v>2.0511256202663877E-2</v>
      </c>
    </row>
    <row r="808" spans="1:11" x14ac:dyDescent="0.25">
      <c r="A808" s="1">
        <v>1972</v>
      </c>
      <c r="B808" s="1" t="s">
        <v>99</v>
      </c>
      <c r="C808" t="s">
        <v>9</v>
      </c>
      <c r="D808" s="1" t="s">
        <v>5</v>
      </c>
      <c r="E808">
        <v>85</v>
      </c>
      <c r="F808" s="1" t="s">
        <v>101</v>
      </c>
      <c r="G808">
        <v>14</v>
      </c>
      <c r="H808">
        <v>5</v>
      </c>
      <c r="I808" s="2">
        <f t="shared" si="36"/>
        <v>5.3449200000000001</v>
      </c>
      <c r="J808">
        <f t="shared" si="37"/>
        <v>0.199511758118701</v>
      </c>
      <c r="K808">
        <f t="shared" si="38"/>
        <v>0.1395904936014625</v>
      </c>
    </row>
    <row r="809" spans="1:11" x14ac:dyDescent="0.25">
      <c r="A809" s="1">
        <v>1972</v>
      </c>
      <c r="B809" s="1" t="s">
        <v>99</v>
      </c>
      <c r="C809" t="s">
        <v>9</v>
      </c>
      <c r="D809" s="1" t="s">
        <v>5</v>
      </c>
      <c r="E809">
        <v>85</v>
      </c>
      <c r="F809" s="1" t="s">
        <v>101</v>
      </c>
      <c r="G809">
        <v>16</v>
      </c>
      <c r="H809">
        <v>1</v>
      </c>
      <c r="I809" s="2">
        <f t="shared" si="36"/>
        <v>1.3962239999999999</v>
      </c>
      <c r="J809">
        <f t="shared" si="37"/>
        <v>5.2117357222844343E-2</v>
      </c>
      <c r="K809">
        <f t="shared" si="38"/>
        <v>3.6464455471402452E-2</v>
      </c>
    </row>
    <row r="810" spans="1:11" x14ac:dyDescent="0.25">
      <c r="A810" s="1">
        <v>1972</v>
      </c>
      <c r="B810" s="1" t="s">
        <v>99</v>
      </c>
      <c r="C810" t="s">
        <v>9</v>
      </c>
      <c r="D810" s="1" t="s">
        <v>5</v>
      </c>
      <c r="E810">
        <v>86</v>
      </c>
      <c r="F810" s="1" t="s">
        <v>101</v>
      </c>
      <c r="G810">
        <v>6</v>
      </c>
      <c r="H810">
        <v>2</v>
      </c>
      <c r="I810" s="2">
        <f t="shared" si="36"/>
        <v>0.39268799999999998</v>
      </c>
      <c r="J810">
        <f t="shared" si="37"/>
        <v>1.4658006718924971E-2</v>
      </c>
      <c r="K810">
        <f t="shared" si="38"/>
        <v>1.0255628101331939E-2</v>
      </c>
    </row>
    <row r="811" spans="1:11" x14ac:dyDescent="0.25">
      <c r="A811" s="1">
        <v>1972</v>
      </c>
      <c r="B811" s="1" t="s">
        <v>99</v>
      </c>
      <c r="C811" t="s">
        <v>9</v>
      </c>
      <c r="D811" s="1" t="s">
        <v>5</v>
      </c>
      <c r="E811">
        <v>86</v>
      </c>
      <c r="F811" s="1" t="s">
        <v>101</v>
      </c>
      <c r="G811">
        <v>8</v>
      </c>
      <c r="H811">
        <v>1</v>
      </c>
      <c r="I811" s="2">
        <f t="shared" si="36"/>
        <v>0.34905599999999998</v>
      </c>
      <c r="J811">
        <f t="shared" si="37"/>
        <v>1.3029339305711086E-2</v>
      </c>
      <c r="K811">
        <f t="shared" si="38"/>
        <v>9.1161138678506129E-3</v>
      </c>
    </row>
    <row r="812" spans="1:11" x14ac:dyDescent="0.25">
      <c r="A812" s="1">
        <v>1972</v>
      </c>
      <c r="B812" s="1" t="s">
        <v>99</v>
      </c>
      <c r="C812" t="s">
        <v>9</v>
      </c>
      <c r="D812" s="1" t="s">
        <v>5</v>
      </c>
      <c r="E812">
        <v>88</v>
      </c>
      <c r="F812" s="1" t="s">
        <v>101</v>
      </c>
      <c r="G812">
        <v>6</v>
      </c>
      <c r="H812">
        <v>2</v>
      </c>
      <c r="I812" s="2">
        <f t="shared" si="36"/>
        <v>0.39268799999999998</v>
      </c>
      <c r="J812">
        <f t="shared" si="37"/>
        <v>1.4658006718924971E-2</v>
      </c>
      <c r="K812">
        <f t="shared" si="38"/>
        <v>1.0255628101331939E-2</v>
      </c>
    </row>
    <row r="813" spans="1:11" x14ac:dyDescent="0.25">
      <c r="A813" s="1">
        <v>1972</v>
      </c>
      <c r="B813" s="1" t="s">
        <v>99</v>
      </c>
      <c r="C813" t="s">
        <v>9</v>
      </c>
      <c r="D813" s="1" t="s">
        <v>5</v>
      </c>
      <c r="E813">
        <v>88</v>
      </c>
      <c r="F813" s="1" t="s">
        <v>101</v>
      </c>
      <c r="G813">
        <v>8</v>
      </c>
      <c r="H813">
        <v>1</v>
      </c>
      <c r="I813" s="2">
        <f t="shared" si="36"/>
        <v>0.34905599999999998</v>
      </c>
      <c r="J813">
        <f t="shared" si="37"/>
        <v>1.3029339305711086E-2</v>
      </c>
      <c r="K813">
        <f t="shared" si="38"/>
        <v>9.1161138678506129E-3</v>
      </c>
    </row>
    <row r="814" spans="1:11" x14ac:dyDescent="0.25">
      <c r="A814" s="1">
        <v>1972</v>
      </c>
      <c r="B814" s="1" t="s">
        <v>99</v>
      </c>
      <c r="C814" t="s">
        <v>9</v>
      </c>
      <c r="D814" s="1" t="s">
        <v>5</v>
      </c>
      <c r="E814">
        <v>91</v>
      </c>
      <c r="F814" s="1" t="s">
        <v>101</v>
      </c>
      <c r="G814">
        <v>6</v>
      </c>
      <c r="H814">
        <v>1</v>
      </c>
      <c r="I814" s="2">
        <f t="shared" si="36"/>
        <v>0.19634399999999999</v>
      </c>
      <c r="J814">
        <f t="shared" si="37"/>
        <v>7.3290033594624856E-3</v>
      </c>
      <c r="K814">
        <f t="shared" si="38"/>
        <v>5.1278140506659693E-3</v>
      </c>
    </row>
    <row r="815" spans="1:11" x14ac:dyDescent="0.25">
      <c r="A815" s="1">
        <v>1972</v>
      </c>
      <c r="B815" s="1" t="s">
        <v>99</v>
      </c>
      <c r="C815" t="s">
        <v>8</v>
      </c>
      <c r="D815" s="1" t="s">
        <v>3</v>
      </c>
      <c r="E815">
        <v>21</v>
      </c>
      <c r="F815" s="1" t="s">
        <v>101</v>
      </c>
      <c r="G815">
        <v>6</v>
      </c>
      <c r="H815">
        <v>1</v>
      </c>
      <c r="I815" s="2">
        <f t="shared" si="36"/>
        <v>0.19634399999999999</v>
      </c>
      <c r="J815">
        <f t="shared" si="37"/>
        <v>7.3290033594624856E-3</v>
      </c>
      <c r="K815">
        <f t="shared" si="38"/>
        <v>5.1278140506659693E-3</v>
      </c>
    </row>
    <row r="816" spans="1:11" x14ac:dyDescent="0.25">
      <c r="A816" s="1">
        <v>1972</v>
      </c>
      <c r="B816" s="1" t="s">
        <v>99</v>
      </c>
      <c r="C816" t="s">
        <v>8</v>
      </c>
      <c r="D816" s="1" t="s">
        <v>3</v>
      </c>
      <c r="E816">
        <v>21</v>
      </c>
      <c r="F816" s="1" t="s">
        <v>101</v>
      </c>
      <c r="G816">
        <v>18</v>
      </c>
      <c r="H816">
        <v>13</v>
      </c>
      <c r="I816" s="2">
        <f t="shared" si="36"/>
        <v>22.972247999999997</v>
      </c>
      <c r="J816">
        <f t="shared" si="37"/>
        <v>0.85749339305711081</v>
      </c>
      <c r="K816">
        <f t="shared" si="38"/>
        <v>0.59995424392791841</v>
      </c>
    </row>
    <row r="817" spans="1:11" x14ac:dyDescent="0.25">
      <c r="A817" s="1">
        <v>1972</v>
      </c>
      <c r="B817" s="1" t="s">
        <v>99</v>
      </c>
      <c r="C817" t="s">
        <v>8</v>
      </c>
      <c r="D817" s="1" t="s">
        <v>3</v>
      </c>
      <c r="E817">
        <v>25</v>
      </c>
      <c r="F817" s="1" t="s">
        <v>101</v>
      </c>
      <c r="G817">
        <v>18</v>
      </c>
      <c r="H817">
        <v>1</v>
      </c>
      <c r="I817" s="2">
        <f t="shared" si="36"/>
        <v>1.7670959999999998</v>
      </c>
      <c r="J817">
        <f t="shared" si="37"/>
        <v>6.5961030235162366E-2</v>
      </c>
      <c r="K817">
        <f t="shared" si="38"/>
        <v>4.615032645599372E-2</v>
      </c>
    </row>
    <row r="818" spans="1:11" x14ac:dyDescent="0.25">
      <c r="A818" s="1">
        <v>1972</v>
      </c>
      <c r="B818" s="1" t="s">
        <v>99</v>
      </c>
      <c r="C818" t="s">
        <v>8</v>
      </c>
      <c r="D818" s="1" t="s">
        <v>3</v>
      </c>
      <c r="E818">
        <v>29</v>
      </c>
      <c r="F818" s="1" t="s">
        <v>101</v>
      </c>
      <c r="G818">
        <v>6</v>
      </c>
      <c r="H818">
        <v>8</v>
      </c>
      <c r="I818" s="2">
        <f t="shared" si="36"/>
        <v>1.5707519999999999</v>
      </c>
      <c r="J818">
        <f t="shared" si="37"/>
        <v>5.8632026875699884E-2</v>
      </c>
      <c r="K818">
        <f t="shared" si="38"/>
        <v>4.1022512405327755E-2</v>
      </c>
    </row>
    <row r="819" spans="1:11" x14ac:dyDescent="0.25">
      <c r="A819" s="1">
        <v>1972</v>
      </c>
      <c r="B819" s="1" t="s">
        <v>99</v>
      </c>
      <c r="C819" t="s">
        <v>8</v>
      </c>
      <c r="D819" s="1" t="s">
        <v>3</v>
      </c>
      <c r="E819">
        <v>32</v>
      </c>
      <c r="F819" s="1" t="s">
        <v>101</v>
      </c>
      <c r="G819">
        <v>6</v>
      </c>
      <c r="H819">
        <v>1</v>
      </c>
      <c r="I819" s="2">
        <f t="shared" si="36"/>
        <v>0.19634399999999999</v>
      </c>
      <c r="J819">
        <f t="shared" si="37"/>
        <v>7.3290033594624856E-3</v>
      </c>
      <c r="K819">
        <f t="shared" si="38"/>
        <v>5.1278140506659693E-3</v>
      </c>
    </row>
    <row r="820" spans="1:11" x14ac:dyDescent="0.25">
      <c r="A820" s="1">
        <v>1972</v>
      </c>
      <c r="B820" s="1" t="s">
        <v>99</v>
      </c>
      <c r="C820" t="s">
        <v>8</v>
      </c>
      <c r="D820" s="1" t="s">
        <v>3</v>
      </c>
      <c r="E820">
        <v>32</v>
      </c>
      <c r="F820" s="1" t="s">
        <v>101</v>
      </c>
      <c r="G820">
        <v>18</v>
      </c>
      <c r="H820">
        <v>3</v>
      </c>
      <c r="I820" s="2">
        <f t="shared" si="36"/>
        <v>5.3012879999999996</v>
      </c>
      <c r="J820">
        <f t="shared" si="37"/>
        <v>0.19788309070548712</v>
      </c>
      <c r="K820">
        <f t="shared" si="38"/>
        <v>0.13845097936798118</v>
      </c>
    </row>
    <row r="821" spans="1:11" x14ac:dyDescent="0.25">
      <c r="A821" s="1">
        <v>1972</v>
      </c>
      <c r="B821" s="1" t="s">
        <v>99</v>
      </c>
      <c r="C821" t="s">
        <v>8</v>
      </c>
      <c r="D821" s="1" t="s">
        <v>3</v>
      </c>
      <c r="E821">
        <v>32</v>
      </c>
      <c r="F821" s="1" t="s">
        <v>101</v>
      </c>
      <c r="G821">
        <v>20</v>
      </c>
      <c r="H821">
        <v>1</v>
      </c>
      <c r="I821" s="2">
        <f t="shared" si="36"/>
        <v>2.1816</v>
      </c>
      <c r="J821">
        <f t="shared" si="37"/>
        <v>8.1433370660694296E-2</v>
      </c>
      <c r="K821">
        <f t="shared" si="38"/>
        <v>5.6975711674066336E-2</v>
      </c>
    </row>
    <row r="822" spans="1:11" x14ac:dyDescent="0.25">
      <c r="A822" s="1">
        <v>1972</v>
      </c>
      <c r="B822" s="1" t="s">
        <v>99</v>
      </c>
      <c r="C822" t="s">
        <v>8</v>
      </c>
      <c r="D822" s="1" t="s">
        <v>3</v>
      </c>
      <c r="E822">
        <v>34</v>
      </c>
      <c r="F822" s="1" t="s">
        <v>101</v>
      </c>
      <c r="G822">
        <v>6</v>
      </c>
      <c r="H822">
        <v>2</v>
      </c>
      <c r="I822" s="2">
        <f t="shared" si="36"/>
        <v>0.39268799999999998</v>
      </c>
      <c r="J822">
        <f t="shared" si="37"/>
        <v>1.4658006718924971E-2</v>
      </c>
      <c r="K822">
        <f t="shared" si="38"/>
        <v>1.0255628101331939E-2</v>
      </c>
    </row>
    <row r="823" spans="1:11" x14ac:dyDescent="0.25">
      <c r="A823" s="1">
        <v>1972</v>
      </c>
      <c r="B823" s="1" t="s">
        <v>99</v>
      </c>
      <c r="C823" t="s">
        <v>8</v>
      </c>
      <c r="D823" s="1" t="s">
        <v>3</v>
      </c>
      <c r="E823">
        <v>34</v>
      </c>
      <c r="F823" s="1" t="s">
        <v>101</v>
      </c>
      <c r="G823">
        <v>10</v>
      </c>
      <c r="H823">
        <v>1</v>
      </c>
      <c r="I823" s="2">
        <f t="shared" si="36"/>
        <v>0.5454</v>
      </c>
      <c r="J823">
        <f t="shared" si="37"/>
        <v>2.0358342665173574E-2</v>
      </c>
      <c r="K823">
        <f t="shared" si="38"/>
        <v>1.4243927918516584E-2</v>
      </c>
    </row>
    <row r="824" spans="1:11" x14ac:dyDescent="0.25">
      <c r="A824" s="1">
        <v>1972</v>
      </c>
      <c r="B824" s="1" t="s">
        <v>99</v>
      </c>
      <c r="C824" t="s">
        <v>8</v>
      </c>
      <c r="D824" s="1" t="s">
        <v>3</v>
      </c>
      <c r="E824">
        <v>34</v>
      </c>
      <c r="F824" s="1" t="s">
        <v>101</v>
      </c>
      <c r="G824">
        <v>18</v>
      </c>
      <c r="H824">
        <v>27</v>
      </c>
      <c r="I824" s="2">
        <f t="shared" si="36"/>
        <v>47.711591999999996</v>
      </c>
      <c r="J824">
        <f t="shared" si="37"/>
        <v>1.7809478163493839</v>
      </c>
      <c r="K824">
        <f t="shared" si="38"/>
        <v>1.2460588143118305</v>
      </c>
    </row>
    <row r="825" spans="1:11" x14ac:dyDescent="0.25">
      <c r="A825" s="1">
        <v>1972</v>
      </c>
      <c r="B825" s="1" t="s">
        <v>99</v>
      </c>
      <c r="C825" t="s">
        <v>8</v>
      </c>
      <c r="D825" s="1" t="s">
        <v>3</v>
      </c>
      <c r="E825">
        <v>34</v>
      </c>
      <c r="F825" s="1" t="s">
        <v>101</v>
      </c>
      <c r="G825">
        <v>20</v>
      </c>
      <c r="H825">
        <v>12</v>
      </c>
      <c r="I825" s="2">
        <f t="shared" si="36"/>
        <v>26.179200000000002</v>
      </c>
      <c r="J825">
        <f t="shared" si="37"/>
        <v>0.97720044792833161</v>
      </c>
      <c r="K825">
        <f t="shared" si="38"/>
        <v>0.68370854008879611</v>
      </c>
    </row>
    <row r="826" spans="1:11" x14ac:dyDescent="0.25">
      <c r="A826" s="1">
        <v>1972</v>
      </c>
      <c r="B826" s="1" t="s">
        <v>99</v>
      </c>
      <c r="C826" t="s">
        <v>8</v>
      </c>
      <c r="D826" s="1" t="s">
        <v>3</v>
      </c>
      <c r="E826">
        <v>34</v>
      </c>
      <c r="F826" s="1" t="s">
        <v>101</v>
      </c>
      <c r="G826">
        <v>22</v>
      </c>
      <c r="H826">
        <v>2</v>
      </c>
      <c r="I826" s="2">
        <f t="shared" si="36"/>
        <v>5.2794719999999993</v>
      </c>
      <c r="J826">
        <f t="shared" si="37"/>
        <v>0.19706875699888016</v>
      </c>
      <c r="K826">
        <f t="shared" si="38"/>
        <v>0.1378812222512405</v>
      </c>
    </row>
    <row r="827" spans="1:11" x14ac:dyDescent="0.25">
      <c r="A827" s="1">
        <v>1972</v>
      </c>
      <c r="B827" s="1" t="s">
        <v>99</v>
      </c>
      <c r="C827" t="s">
        <v>8</v>
      </c>
      <c r="D827" s="1" t="s">
        <v>3</v>
      </c>
      <c r="E827">
        <v>38</v>
      </c>
      <c r="F827" s="1" t="s">
        <v>101</v>
      </c>
      <c r="G827">
        <v>6</v>
      </c>
      <c r="H827">
        <v>9</v>
      </c>
      <c r="I827" s="2">
        <f t="shared" si="36"/>
        <v>1.767096</v>
      </c>
      <c r="J827">
        <f t="shared" si="37"/>
        <v>6.596103023516238E-2</v>
      </c>
      <c r="K827">
        <f t="shared" si="38"/>
        <v>4.6150326455993734E-2</v>
      </c>
    </row>
    <row r="828" spans="1:11" x14ac:dyDescent="0.25">
      <c r="A828" s="1">
        <v>1972</v>
      </c>
      <c r="B828" s="1" t="s">
        <v>99</v>
      </c>
      <c r="C828" t="s">
        <v>8</v>
      </c>
      <c r="D828" s="1" t="s">
        <v>3</v>
      </c>
      <c r="E828">
        <v>38</v>
      </c>
      <c r="F828" s="1" t="s">
        <v>101</v>
      </c>
      <c r="G828">
        <v>8</v>
      </c>
      <c r="H828">
        <v>7</v>
      </c>
      <c r="I828" s="2">
        <f t="shared" si="36"/>
        <v>2.4433919999999998</v>
      </c>
      <c r="J828">
        <f t="shared" si="37"/>
        <v>9.1205375139977604E-2</v>
      </c>
      <c r="K828">
        <f t="shared" si="38"/>
        <v>6.3812797074954297E-2</v>
      </c>
    </row>
    <row r="829" spans="1:11" x14ac:dyDescent="0.25">
      <c r="A829" s="1">
        <v>1972</v>
      </c>
      <c r="B829" s="1" t="s">
        <v>99</v>
      </c>
      <c r="C829" t="s">
        <v>8</v>
      </c>
      <c r="D829" s="1" t="s">
        <v>3</v>
      </c>
      <c r="E829">
        <v>38</v>
      </c>
      <c r="F829" s="1" t="s">
        <v>101</v>
      </c>
      <c r="G829">
        <v>10</v>
      </c>
      <c r="H829">
        <v>7</v>
      </c>
      <c r="I829" s="2">
        <f t="shared" si="36"/>
        <v>3.8178000000000001</v>
      </c>
      <c r="J829">
        <f t="shared" si="37"/>
        <v>0.14250839865621501</v>
      </c>
      <c r="K829">
        <f t="shared" si="38"/>
        <v>9.9707495429616086E-2</v>
      </c>
    </row>
    <row r="830" spans="1:11" x14ac:dyDescent="0.25">
      <c r="A830" s="1">
        <v>1972</v>
      </c>
      <c r="B830" s="1" t="s">
        <v>99</v>
      </c>
      <c r="C830" t="s">
        <v>8</v>
      </c>
      <c r="D830" s="1" t="s">
        <v>3</v>
      </c>
      <c r="E830">
        <v>38</v>
      </c>
      <c r="F830" s="1" t="s">
        <v>101</v>
      </c>
      <c r="G830">
        <v>18</v>
      </c>
      <c r="H830">
        <v>36</v>
      </c>
      <c r="I830" s="2">
        <f t="shared" si="36"/>
        <v>63.615455999999995</v>
      </c>
      <c r="J830">
        <f t="shared" si="37"/>
        <v>2.3745970884658454</v>
      </c>
      <c r="K830">
        <f t="shared" si="38"/>
        <v>1.6614117524157741</v>
      </c>
    </row>
    <row r="831" spans="1:11" x14ac:dyDescent="0.25">
      <c r="A831" s="1">
        <v>1972</v>
      </c>
      <c r="B831" s="1" t="s">
        <v>99</v>
      </c>
      <c r="C831" t="s">
        <v>8</v>
      </c>
      <c r="D831" s="1" t="s">
        <v>3</v>
      </c>
      <c r="E831">
        <v>38</v>
      </c>
      <c r="F831" s="1" t="s">
        <v>101</v>
      </c>
      <c r="G831">
        <v>20</v>
      </c>
      <c r="H831">
        <v>10</v>
      </c>
      <c r="I831" s="2">
        <f t="shared" si="36"/>
        <v>21.815999999999999</v>
      </c>
      <c r="J831">
        <f t="shared" si="37"/>
        <v>0.81433370660694293</v>
      </c>
      <c r="K831">
        <f t="shared" si="38"/>
        <v>0.56975711674066332</v>
      </c>
    </row>
    <row r="832" spans="1:11" x14ac:dyDescent="0.25">
      <c r="A832" s="1">
        <v>1972</v>
      </c>
      <c r="B832" s="1" t="s">
        <v>99</v>
      </c>
      <c r="C832" t="s">
        <v>8</v>
      </c>
      <c r="D832" s="1" t="s">
        <v>3</v>
      </c>
      <c r="E832">
        <v>40</v>
      </c>
      <c r="F832" s="1" t="s">
        <v>101</v>
      </c>
      <c r="G832">
        <v>6</v>
      </c>
      <c r="H832">
        <v>11</v>
      </c>
      <c r="I832" s="2">
        <f t="shared" si="36"/>
        <v>2.1597839999999997</v>
      </c>
      <c r="J832">
        <f t="shared" si="37"/>
        <v>8.0619036954087342E-2</v>
      </c>
      <c r="K832">
        <f t="shared" si="38"/>
        <v>5.6405954557325666E-2</v>
      </c>
    </row>
    <row r="833" spans="1:11" x14ac:dyDescent="0.25">
      <c r="A833" s="1">
        <v>1972</v>
      </c>
      <c r="B833" s="1" t="s">
        <v>99</v>
      </c>
      <c r="C833" t="s">
        <v>8</v>
      </c>
      <c r="D833" s="1" t="s">
        <v>3</v>
      </c>
      <c r="E833">
        <v>40</v>
      </c>
      <c r="F833" s="1" t="s">
        <v>101</v>
      </c>
      <c r="G833">
        <v>8</v>
      </c>
      <c r="H833">
        <v>3</v>
      </c>
      <c r="I833" s="2">
        <f t="shared" si="36"/>
        <v>1.0471679999999999</v>
      </c>
      <c r="J833">
        <f t="shared" si="37"/>
        <v>3.9088017917133254E-2</v>
      </c>
      <c r="K833">
        <f t="shared" si="38"/>
        <v>2.7348341603551835E-2</v>
      </c>
    </row>
    <row r="834" spans="1:11" x14ac:dyDescent="0.25">
      <c r="A834" s="1">
        <v>1972</v>
      </c>
      <c r="B834" s="1" t="s">
        <v>99</v>
      </c>
      <c r="C834" t="s">
        <v>8</v>
      </c>
      <c r="D834" s="1" t="s">
        <v>3</v>
      </c>
      <c r="E834">
        <v>40</v>
      </c>
      <c r="F834" s="1" t="s">
        <v>101</v>
      </c>
      <c r="G834">
        <v>10</v>
      </c>
      <c r="H834">
        <v>6</v>
      </c>
      <c r="I834" s="2">
        <f t="shared" si="36"/>
        <v>3.2724000000000002</v>
      </c>
      <c r="J834">
        <f t="shared" si="37"/>
        <v>0.12215005599104145</v>
      </c>
      <c r="K834">
        <f t="shared" si="38"/>
        <v>8.5463567511099514E-2</v>
      </c>
    </row>
    <row r="835" spans="1:11" x14ac:dyDescent="0.25">
      <c r="A835" s="1">
        <v>1972</v>
      </c>
      <c r="B835" s="1" t="s">
        <v>99</v>
      </c>
      <c r="C835" t="s">
        <v>8</v>
      </c>
      <c r="D835" s="1" t="s">
        <v>3</v>
      </c>
      <c r="E835">
        <v>40</v>
      </c>
      <c r="F835" s="1" t="s">
        <v>101</v>
      </c>
      <c r="G835">
        <v>12</v>
      </c>
      <c r="H835">
        <v>2</v>
      </c>
      <c r="I835" s="2">
        <f t="shared" ref="I835:I898" si="39">0.005454*G835^2*H835</f>
        <v>1.5707519999999999</v>
      </c>
      <c r="J835">
        <f t="shared" ref="J835:J898" si="40">I835/26.79</f>
        <v>5.8632026875699884E-2</v>
      </c>
      <c r="K835">
        <f t="shared" ref="K835:K898" si="41">J835*(26.79/38.29)</f>
        <v>4.1022512405327755E-2</v>
      </c>
    </row>
    <row r="836" spans="1:11" x14ac:dyDescent="0.25">
      <c r="A836" s="1">
        <v>1972</v>
      </c>
      <c r="B836" s="1" t="s">
        <v>99</v>
      </c>
      <c r="C836" t="s">
        <v>8</v>
      </c>
      <c r="D836" s="1" t="s">
        <v>3</v>
      </c>
      <c r="E836">
        <v>40</v>
      </c>
      <c r="F836" s="1" t="s">
        <v>101</v>
      </c>
      <c r="G836">
        <v>14</v>
      </c>
      <c r="H836">
        <v>1</v>
      </c>
      <c r="I836" s="2">
        <f t="shared" si="39"/>
        <v>1.0689839999999999</v>
      </c>
      <c r="J836">
        <f t="shared" si="40"/>
        <v>3.9902351623740201E-2</v>
      </c>
      <c r="K836">
        <f t="shared" si="41"/>
        <v>2.7918098720292502E-2</v>
      </c>
    </row>
    <row r="837" spans="1:11" x14ac:dyDescent="0.25">
      <c r="A837" s="1">
        <v>1972</v>
      </c>
      <c r="B837" s="1" t="s">
        <v>99</v>
      </c>
      <c r="C837" t="s">
        <v>8</v>
      </c>
      <c r="D837" s="1" t="s">
        <v>3</v>
      </c>
      <c r="E837">
        <v>40</v>
      </c>
      <c r="F837" s="1" t="s">
        <v>101</v>
      </c>
      <c r="G837">
        <v>18</v>
      </c>
      <c r="H837">
        <v>49</v>
      </c>
      <c r="I837" s="2">
        <f t="shared" si="39"/>
        <v>86.587703999999988</v>
      </c>
      <c r="J837">
        <f t="shared" si="40"/>
        <v>3.2320904815229561</v>
      </c>
      <c r="K837">
        <f t="shared" si="41"/>
        <v>2.2613659963436925</v>
      </c>
    </row>
    <row r="838" spans="1:11" x14ac:dyDescent="0.25">
      <c r="A838" s="1">
        <v>1972</v>
      </c>
      <c r="B838" s="1" t="s">
        <v>99</v>
      </c>
      <c r="C838" t="s">
        <v>8</v>
      </c>
      <c r="D838" s="1" t="s">
        <v>3</v>
      </c>
      <c r="E838">
        <v>40</v>
      </c>
      <c r="F838" s="1" t="s">
        <v>101</v>
      </c>
      <c r="G838">
        <v>20</v>
      </c>
      <c r="H838">
        <v>29</v>
      </c>
      <c r="I838" s="2">
        <f t="shared" si="39"/>
        <v>63.266399999999997</v>
      </c>
      <c r="J838">
        <f t="shared" si="40"/>
        <v>2.3615677491601343</v>
      </c>
      <c r="K838">
        <f t="shared" si="41"/>
        <v>1.6522956385479235</v>
      </c>
    </row>
    <row r="839" spans="1:11" x14ac:dyDescent="0.25">
      <c r="A839" s="1">
        <v>1972</v>
      </c>
      <c r="B839" s="1" t="s">
        <v>99</v>
      </c>
      <c r="C839" t="s">
        <v>8</v>
      </c>
      <c r="D839" s="1" t="s">
        <v>3</v>
      </c>
      <c r="E839">
        <v>40</v>
      </c>
      <c r="F839" s="1" t="s">
        <v>101</v>
      </c>
      <c r="G839">
        <v>22</v>
      </c>
      <c r="H839">
        <v>14</v>
      </c>
      <c r="I839" s="2">
        <f t="shared" si="39"/>
        <v>36.956303999999996</v>
      </c>
      <c r="J839">
        <f t="shared" si="40"/>
        <v>1.3794812989921612</v>
      </c>
      <c r="K839">
        <f t="shared" si="41"/>
        <v>0.96516855575868366</v>
      </c>
    </row>
    <row r="840" spans="1:11" x14ac:dyDescent="0.25">
      <c r="A840" s="1">
        <v>1972</v>
      </c>
      <c r="B840" s="1" t="s">
        <v>99</v>
      </c>
      <c r="C840" t="s">
        <v>8</v>
      </c>
      <c r="D840" s="1" t="s">
        <v>3</v>
      </c>
      <c r="E840">
        <v>40</v>
      </c>
      <c r="F840" s="1" t="s">
        <v>101</v>
      </c>
      <c r="G840">
        <v>24</v>
      </c>
      <c r="H840">
        <v>4</v>
      </c>
      <c r="I840" s="2">
        <f t="shared" si="39"/>
        <v>12.566015999999999</v>
      </c>
      <c r="J840">
        <f t="shared" si="40"/>
        <v>0.46905621500559908</v>
      </c>
      <c r="K840">
        <f t="shared" si="41"/>
        <v>0.32818009924262204</v>
      </c>
    </row>
    <row r="841" spans="1:11" x14ac:dyDescent="0.25">
      <c r="A841" s="1">
        <v>1972</v>
      </c>
      <c r="B841" s="1" t="s">
        <v>99</v>
      </c>
      <c r="C841" t="s">
        <v>8</v>
      </c>
      <c r="D841" s="1" t="s">
        <v>3</v>
      </c>
      <c r="E841">
        <v>41</v>
      </c>
      <c r="F841" s="1" t="s">
        <v>101</v>
      </c>
      <c r="G841">
        <v>18</v>
      </c>
      <c r="H841">
        <v>2</v>
      </c>
      <c r="I841" s="2">
        <f t="shared" si="39"/>
        <v>3.5341919999999996</v>
      </c>
      <c r="J841">
        <f t="shared" si="40"/>
        <v>0.13192206047032473</v>
      </c>
      <c r="K841">
        <f t="shared" si="41"/>
        <v>9.2300652911987441E-2</v>
      </c>
    </row>
    <row r="842" spans="1:11" x14ac:dyDescent="0.25">
      <c r="A842" s="1">
        <v>1972</v>
      </c>
      <c r="B842" s="1" t="s">
        <v>99</v>
      </c>
      <c r="C842" t="s">
        <v>8</v>
      </c>
      <c r="D842" s="1" t="s">
        <v>3</v>
      </c>
      <c r="E842">
        <v>41</v>
      </c>
      <c r="F842" s="1" t="s">
        <v>101</v>
      </c>
      <c r="G842">
        <v>20</v>
      </c>
      <c r="H842">
        <v>2</v>
      </c>
      <c r="I842" s="2">
        <f t="shared" si="39"/>
        <v>4.3632</v>
      </c>
      <c r="J842">
        <f t="shared" si="40"/>
        <v>0.16286674132138859</v>
      </c>
      <c r="K842">
        <f t="shared" si="41"/>
        <v>0.11395142334813267</v>
      </c>
    </row>
    <row r="843" spans="1:11" x14ac:dyDescent="0.25">
      <c r="A843" s="1">
        <v>1972</v>
      </c>
      <c r="B843" s="1" t="s">
        <v>99</v>
      </c>
      <c r="C843" t="s">
        <v>8</v>
      </c>
      <c r="D843" s="1" t="s">
        <v>3</v>
      </c>
      <c r="E843">
        <v>47</v>
      </c>
      <c r="F843" s="1" t="s">
        <v>101</v>
      </c>
      <c r="G843">
        <v>18</v>
      </c>
      <c r="H843">
        <v>1</v>
      </c>
      <c r="I843" s="2">
        <f t="shared" si="39"/>
        <v>1.7670959999999998</v>
      </c>
      <c r="J843">
        <f t="shared" si="40"/>
        <v>6.5961030235162366E-2</v>
      </c>
      <c r="K843">
        <f t="shared" si="41"/>
        <v>4.615032645599372E-2</v>
      </c>
    </row>
    <row r="844" spans="1:11" x14ac:dyDescent="0.25">
      <c r="A844" s="1">
        <v>1972</v>
      </c>
      <c r="B844" s="1" t="s">
        <v>99</v>
      </c>
      <c r="C844" t="s">
        <v>8</v>
      </c>
      <c r="D844" s="1" t="s">
        <v>3</v>
      </c>
      <c r="E844">
        <v>53</v>
      </c>
      <c r="F844" s="1" t="s">
        <v>101</v>
      </c>
      <c r="G844">
        <v>6</v>
      </c>
      <c r="H844">
        <v>1</v>
      </c>
      <c r="I844" s="2">
        <f t="shared" si="39"/>
        <v>0.19634399999999999</v>
      </c>
      <c r="J844">
        <f t="shared" si="40"/>
        <v>7.3290033594624856E-3</v>
      </c>
      <c r="K844">
        <f t="shared" si="41"/>
        <v>5.1278140506659693E-3</v>
      </c>
    </row>
    <row r="845" spans="1:11" x14ac:dyDescent="0.25">
      <c r="A845" s="1">
        <v>1972</v>
      </c>
      <c r="B845" s="1" t="s">
        <v>99</v>
      </c>
      <c r="C845" t="s">
        <v>8</v>
      </c>
      <c r="D845" s="1" t="s">
        <v>3</v>
      </c>
      <c r="E845">
        <v>53</v>
      </c>
      <c r="F845" s="1" t="s">
        <v>101</v>
      </c>
      <c r="G845">
        <v>8</v>
      </c>
      <c r="H845">
        <v>1</v>
      </c>
      <c r="I845" s="2">
        <f t="shared" si="39"/>
        <v>0.34905599999999998</v>
      </c>
      <c r="J845">
        <f t="shared" si="40"/>
        <v>1.3029339305711086E-2</v>
      </c>
      <c r="K845">
        <f t="shared" si="41"/>
        <v>9.1161138678506129E-3</v>
      </c>
    </row>
    <row r="846" spans="1:11" x14ac:dyDescent="0.25">
      <c r="A846" s="1">
        <v>1972</v>
      </c>
      <c r="B846" s="1" t="s">
        <v>99</v>
      </c>
      <c r="C846" t="s">
        <v>8</v>
      </c>
      <c r="D846" s="1" t="s">
        <v>3</v>
      </c>
      <c r="E846">
        <v>53</v>
      </c>
      <c r="F846" s="1" t="s">
        <v>101</v>
      </c>
      <c r="G846">
        <v>10</v>
      </c>
      <c r="H846">
        <v>1</v>
      </c>
      <c r="I846" s="2">
        <f t="shared" si="39"/>
        <v>0.5454</v>
      </c>
      <c r="J846">
        <f t="shared" si="40"/>
        <v>2.0358342665173574E-2</v>
      </c>
      <c r="K846">
        <f t="shared" si="41"/>
        <v>1.4243927918516584E-2</v>
      </c>
    </row>
    <row r="847" spans="1:11" x14ac:dyDescent="0.25">
      <c r="A847" s="1">
        <v>1972</v>
      </c>
      <c r="B847" s="1" t="s">
        <v>99</v>
      </c>
      <c r="C847" t="s">
        <v>8</v>
      </c>
      <c r="D847" s="1" t="s">
        <v>3</v>
      </c>
      <c r="E847">
        <v>53</v>
      </c>
      <c r="F847" s="1" t="s">
        <v>101</v>
      </c>
      <c r="G847">
        <v>18</v>
      </c>
      <c r="H847">
        <v>3</v>
      </c>
      <c r="I847" s="2">
        <f t="shared" si="39"/>
        <v>5.3012879999999996</v>
      </c>
      <c r="J847">
        <f t="shared" si="40"/>
        <v>0.19788309070548712</v>
      </c>
      <c r="K847">
        <f t="shared" si="41"/>
        <v>0.13845097936798118</v>
      </c>
    </row>
    <row r="848" spans="1:11" x14ac:dyDescent="0.25">
      <c r="A848" s="1">
        <v>1972</v>
      </c>
      <c r="B848" s="1" t="s">
        <v>99</v>
      </c>
      <c r="C848" t="s">
        <v>8</v>
      </c>
      <c r="D848" s="1" t="s">
        <v>3</v>
      </c>
      <c r="E848">
        <v>53</v>
      </c>
      <c r="F848" s="1" t="s">
        <v>101</v>
      </c>
      <c r="G848">
        <v>22</v>
      </c>
      <c r="H848">
        <v>1</v>
      </c>
      <c r="I848" s="2">
        <f t="shared" si="39"/>
        <v>2.6397359999999996</v>
      </c>
      <c r="J848">
        <f t="shared" si="40"/>
        <v>9.8534378499440078E-2</v>
      </c>
      <c r="K848">
        <f t="shared" si="41"/>
        <v>6.8940611125620249E-2</v>
      </c>
    </row>
    <row r="849" spans="1:11" x14ac:dyDescent="0.25">
      <c r="A849" s="1">
        <v>1972</v>
      </c>
      <c r="B849" s="1" t="s">
        <v>99</v>
      </c>
      <c r="C849" t="s">
        <v>8</v>
      </c>
      <c r="D849" s="1" t="s">
        <v>3</v>
      </c>
      <c r="E849">
        <v>56</v>
      </c>
      <c r="F849" s="1" t="s">
        <v>101</v>
      </c>
      <c r="G849">
        <v>8</v>
      </c>
      <c r="H849">
        <v>1</v>
      </c>
      <c r="I849" s="2">
        <f t="shared" si="39"/>
        <v>0.34905599999999998</v>
      </c>
      <c r="J849">
        <f t="shared" si="40"/>
        <v>1.3029339305711086E-2</v>
      </c>
      <c r="K849">
        <f t="shared" si="41"/>
        <v>9.1161138678506129E-3</v>
      </c>
    </row>
    <row r="850" spans="1:11" x14ac:dyDescent="0.25">
      <c r="A850" s="1">
        <v>1972</v>
      </c>
      <c r="B850" s="1" t="s">
        <v>99</v>
      </c>
      <c r="C850" t="s">
        <v>8</v>
      </c>
      <c r="D850" s="1" t="s">
        <v>3</v>
      </c>
      <c r="E850">
        <v>56</v>
      </c>
      <c r="F850" s="1" t="s">
        <v>101</v>
      </c>
      <c r="G850">
        <v>14</v>
      </c>
      <c r="H850">
        <v>1</v>
      </c>
      <c r="I850" s="2">
        <f t="shared" si="39"/>
        <v>1.0689839999999999</v>
      </c>
      <c r="J850">
        <f t="shared" si="40"/>
        <v>3.9902351623740201E-2</v>
      </c>
      <c r="K850">
        <f t="shared" si="41"/>
        <v>2.7918098720292502E-2</v>
      </c>
    </row>
    <row r="851" spans="1:11" x14ac:dyDescent="0.25">
      <c r="A851" s="1">
        <v>1972</v>
      </c>
      <c r="B851" s="1" t="s">
        <v>99</v>
      </c>
      <c r="C851" t="s">
        <v>8</v>
      </c>
      <c r="D851" s="1" t="s">
        <v>3</v>
      </c>
      <c r="E851">
        <v>56</v>
      </c>
      <c r="F851" s="1" t="s">
        <v>101</v>
      </c>
      <c r="G851">
        <v>18</v>
      </c>
      <c r="H851">
        <v>20</v>
      </c>
      <c r="I851" s="2">
        <f t="shared" si="39"/>
        <v>35.341919999999995</v>
      </c>
      <c r="J851">
        <f t="shared" si="40"/>
        <v>1.3192206047032473</v>
      </c>
      <c r="K851">
        <f t="shared" si="41"/>
        <v>0.92300652911987446</v>
      </c>
    </row>
    <row r="852" spans="1:11" x14ac:dyDescent="0.25">
      <c r="A852" s="1">
        <v>1972</v>
      </c>
      <c r="B852" s="1" t="s">
        <v>99</v>
      </c>
      <c r="C852" t="s">
        <v>8</v>
      </c>
      <c r="D852" s="1" t="s">
        <v>3</v>
      </c>
      <c r="E852">
        <v>56</v>
      </c>
      <c r="F852" s="1" t="s">
        <v>101</v>
      </c>
      <c r="G852">
        <v>20</v>
      </c>
      <c r="H852">
        <v>6</v>
      </c>
      <c r="I852" s="2">
        <f t="shared" si="39"/>
        <v>13.089600000000001</v>
      </c>
      <c r="J852">
        <f t="shared" si="40"/>
        <v>0.4886002239641658</v>
      </c>
      <c r="K852">
        <f t="shared" si="41"/>
        <v>0.34185427004439806</v>
      </c>
    </row>
    <row r="853" spans="1:11" x14ac:dyDescent="0.25">
      <c r="A853" s="1">
        <v>1972</v>
      </c>
      <c r="B853" s="1" t="s">
        <v>99</v>
      </c>
      <c r="C853" t="s">
        <v>8</v>
      </c>
      <c r="D853" s="1" t="s">
        <v>3</v>
      </c>
      <c r="E853">
        <v>56</v>
      </c>
      <c r="F853" s="1" t="s">
        <v>101</v>
      </c>
      <c r="G853">
        <v>22</v>
      </c>
      <c r="H853">
        <v>1</v>
      </c>
      <c r="I853" s="2">
        <f t="shared" si="39"/>
        <v>2.6397359999999996</v>
      </c>
      <c r="J853">
        <f t="shared" si="40"/>
        <v>9.8534378499440078E-2</v>
      </c>
      <c r="K853">
        <f t="shared" si="41"/>
        <v>6.8940611125620249E-2</v>
      </c>
    </row>
    <row r="854" spans="1:11" x14ac:dyDescent="0.25">
      <c r="A854" s="1">
        <v>1972</v>
      </c>
      <c r="B854" s="1" t="s">
        <v>99</v>
      </c>
      <c r="C854" t="s">
        <v>8</v>
      </c>
      <c r="D854" s="1" t="s">
        <v>3</v>
      </c>
      <c r="E854">
        <v>58</v>
      </c>
      <c r="F854" s="1" t="s">
        <v>101</v>
      </c>
      <c r="G854">
        <v>6</v>
      </c>
      <c r="H854">
        <v>7</v>
      </c>
      <c r="I854" s="2">
        <f t="shared" si="39"/>
        <v>1.3744079999999999</v>
      </c>
      <c r="J854">
        <f t="shared" si="40"/>
        <v>5.1303023516237396E-2</v>
      </c>
      <c r="K854">
        <f t="shared" si="41"/>
        <v>3.5894698354661782E-2</v>
      </c>
    </row>
    <row r="855" spans="1:11" x14ac:dyDescent="0.25">
      <c r="A855" s="1">
        <v>1972</v>
      </c>
      <c r="B855" s="1" t="s">
        <v>99</v>
      </c>
      <c r="C855" t="s">
        <v>8</v>
      </c>
      <c r="D855" s="1" t="s">
        <v>3</v>
      </c>
      <c r="E855">
        <v>58</v>
      </c>
      <c r="F855" s="1" t="s">
        <v>101</v>
      </c>
      <c r="G855">
        <v>8</v>
      </c>
      <c r="H855">
        <v>4</v>
      </c>
      <c r="I855" s="2">
        <f t="shared" si="39"/>
        <v>1.3962239999999999</v>
      </c>
      <c r="J855">
        <f t="shared" si="40"/>
        <v>5.2117357222844343E-2</v>
      </c>
      <c r="K855">
        <f t="shared" si="41"/>
        <v>3.6464455471402452E-2</v>
      </c>
    </row>
    <row r="856" spans="1:11" x14ac:dyDescent="0.25">
      <c r="A856" s="1">
        <v>1972</v>
      </c>
      <c r="B856" s="1" t="s">
        <v>99</v>
      </c>
      <c r="C856" t="s">
        <v>8</v>
      </c>
      <c r="D856" s="1" t="s">
        <v>3</v>
      </c>
      <c r="E856">
        <v>63</v>
      </c>
      <c r="F856" s="1" t="s">
        <v>101</v>
      </c>
      <c r="G856">
        <v>6</v>
      </c>
      <c r="H856">
        <v>1</v>
      </c>
      <c r="I856" s="2">
        <f t="shared" si="39"/>
        <v>0.19634399999999999</v>
      </c>
      <c r="J856">
        <f t="shared" si="40"/>
        <v>7.3290033594624856E-3</v>
      </c>
      <c r="K856">
        <f t="shared" si="41"/>
        <v>5.1278140506659693E-3</v>
      </c>
    </row>
    <row r="857" spans="1:11" x14ac:dyDescent="0.25">
      <c r="A857" s="1">
        <v>1972</v>
      </c>
      <c r="B857" s="1" t="s">
        <v>99</v>
      </c>
      <c r="C857" t="s">
        <v>8</v>
      </c>
      <c r="D857" s="1" t="s">
        <v>3</v>
      </c>
      <c r="E857">
        <v>66</v>
      </c>
      <c r="F857" s="1" t="s">
        <v>101</v>
      </c>
      <c r="G857">
        <v>18</v>
      </c>
      <c r="H857">
        <v>2</v>
      </c>
      <c r="I857" s="2">
        <f t="shared" si="39"/>
        <v>3.5341919999999996</v>
      </c>
      <c r="J857">
        <f t="shared" si="40"/>
        <v>0.13192206047032473</v>
      </c>
      <c r="K857">
        <f t="shared" si="41"/>
        <v>9.2300652911987441E-2</v>
      </c>
    </row>
    <row r="858" spans="1:11" x14ac:dyDescent="0.25">
      <c r="A858" s="1">
        <v>1972</v>
      </c>
      <c r="B858" s="1" t="s">
        <v>99</v>
      </c>
      <c r="C858" t="s">
        <v>8</v>
      </c>
      <c r="D858" s="1" t="s">
        <v>3</v>
      </c>
      <c r="E858">
        <v>71</v>
      </c>
      <c r="F858" s="1" t="s">
        <v>101</v>
      </c>
      <c r="G858">
        <v>6</v>
      </c>
      <c r="H858">
        <v>1</v>
      </c>
      <c r="I858" s="2">
        <f t="shared" si="39"/>
        <v>0.19634399999999999</v>
      </c>
      <c r="J858">
        <f t="shared" si="40"/>
        <v>7.3290033594624856E-3</v>
      </c>
      <c r="K858">
        <f t="shared" si="41"/>
        <v>5.1278140506659693E-3</v>
      </c>
    </row>
    <row r="859" spans="1:11" x14ac:dyDescent="0.25">
      <c r="A859" s="1">
        <v>1972</v>
      </c>
      <c r="B859" s="1" t="s">
        <v>99</v>
      </c>
      <c r="C859" t="s">
        <v>8</v>
      </c>
      <c r="D859" s="1" t="s">
        <v>3</v>
      </c>
      <c r="E859">
        <v>71</v>
      </c>
      <c r="F859" s="1" t="s">
        <v>101</v>
      </c>
      <c r="G859">
        <v>8</v>
      </c>
      <c r="H859">
        <v>1</v>
      </c>
      <c r="I859" s="2">
        <f t="shared" si="39"/>
        <v>0.34905599999999998</v>
      </c>
      <c r="J859">
        <f t="shared" si="40"/>
        <v>1.3029339305711086E-2</v>
      </c>
      <c r="K859">
        <f t="shared" si="41"/>
        <v>9.1161138678506129E-3</v>
      </c>
    </row>
    <row r="860" spans="1:11" x14ac:dyDescent="0.25">
      <c r="A860" s="1">
        <v>1972</v>
      </c>
      <c r="B860" s="1" t="s">
        <v>99</v>
      </c>
      <c r="C860" t="s">
        <v>8</v>
      </c>
      <c r="D860" s="1" t="s">
        <v>3</v>
      </c>
      <c r="E860">
        <v>76</v>
      </c>
      <c r="F860" s="1" t="s">
        <v>101</v>
      </c>
      <c r="G860">
        <v>6</v>
      </c>
      <c r="H860">
        <v>8</v>
      </c>
      <c r="I860" s="2">
        <f t="shared" si="39"/>
        <v>1.5707519999999999</v>
      </c>
      <c r="J860">
        <f t="shared" si="40"/>
        <v>5.8632026875699884E-2</v>
      </c>
      <c r="K860">
        <f t="shared" si="41"/>
        <v>4.1022512405327755E-2</v>
      </c>
    </row>
    <row r="861" spans="1:11" x14ac:dyDescent="0.25">
      <c r="A861" s="1">
        <v>1972</v>
      </c>
      <c r="B861" s="1" t="s">
        <v>99</v>
      </c>
      <c r="C861" t="s">
        <v>8</v>
      </c>
      <c r="D861" s="1" t="s">
        <v>3</v>
      </c>
      <c r="E861">
        <v>76</v>
      </c>
      <c r="F861" s="1" t="s">
        <v>101</v>
      </c>
      <c r="G861">
        <v>8</v>
      </c>
      <c r="H861">
        <v>2</v>
      </c>
      <c r="I861" s="2">
        <f t="shared" si="39"/>
        <v>0.69811199999999995</v>
      </c>
      <c r="J861">
        <f t="shared" si="40"/>
        <v>2.6058678611422172E-2</v>
      </c>
      <c r="K861">
        <f t="shared" si="41"/>
        <v>1.8232227735701226E-2</v>
      </c>
    </row>
    <row r="862" spans="1:11" x14ac:dyDescent="0.25">
      <c r="A862" s="1">
        <v>1972</v>
      </c>
      <c r="B862" s="1" t="s">
        <v>99</v>
      </c>
      <c r="C862" t="s">
        <v>8</v>
      </c>
      <c r="D862" s="1" t="s">
        <v>3</v>
      </c>
      <c r="E862">
        <v>76</v>
      </c>
      <c r="F862" s="1" t="s">
        <v>101</v>
      </c>
      <c r="G862">
        <v>10</v>
      </c>
      <c r="H862">
        <v>1</v>
      </c>
      <c r="I862" s="2">
        <f t="shared" si="39"/>
        <v>0.5454</v>
      </c>
      <c r="J862">
        <f t="shared" si="40"/>
        <v>2.0358342665173574E-2</v>
      </c>
      <c r="K862">
        <f t="shared" si="41"/>
        <v>1.4243927918516584E-2</v>
      </c>
    </row>
    <row r="863" spans="1:11" x14ac:dyDescent="0.25">
      <c r="A863" s="1">
        <v>1972</v>
      </c>
      <c r="B863" s="1" t="s">
        <v>99</v>
      </c>
      <c r="C863" t="s">
        <v>8</v>
      </c>
      <c r="D863" s="1" t="s">
        <v>3</v>
      </c>
      <c r="E863">
        <v>79</v>
      </c>
      <c r="F863" s="1" t="s">
        <v>101</v>
      </c>
      <c r="G863">
        <v>6</v>
      </c>
      <c r="H863">
        <v>13</v>
      </c>
      <c r="I863" s="2">
        <f t="shared" si="39"/>
        <v>2.5524719999999999</v>
      </c>
      <c r="J863">
        <f t="shared" si="40"/>
        <v>9.5277043673012318E-2</v>
      </c>
      <c r="K863">
        <f t="shared" si="41"/>
        <v>6.6661582658657612E-2</v>
      </c>
    </row>
    <row r="864" spans="1:11" x14ac:dyDescent="0.25">
      <c r="A864" s="1">
        <v>1972</v>
      </c>
      <c r="B864" s="1" t="s">
        <v>99</v>
      </c>
      <c r="C864" t="s">
        <v>8</v>
      </c>
      <c r="D864" s="1" t="s">
        <v>3</v>
      </c>
      <c r="E864">
        <v>79</v>
      </c>
      <c r="F864" s="1" t="s">
        <v>101</v>
      </c>
      <c r="G864">
        <v>8</v>
      </c>
      <c r="H864">
        <v>6</v>
      </c>
      <c r="I864" s="2">
        <f t="shared" si="39"/>
        <v>2.0943359999999998</v>
      </c>
      <c r="J864">
        <f t="shared" si="40"/>
        <v>7.8176035834266508E-2</v>
      </c>
      <c r="K864">
        <f t="shared" si="41"/>
        <v>5.469668320710367E-2</v>
      </c>
    </row>
    <row r="865" spans="1:11" x14ac:dyDescent="0.25">
      <c r="A865" s="1">
        <v>1972</v>
      </c>
      <c r="B865" s="1" t="s">
        <v>99</v>
      </c>
      <c r="C865" t="s">
        <v>8</v>
      </c>
      <c r="D865" s="1" t="s">
        <v>3</v>
      </c>
      <c r="E865">
        <v>79</v>
      </c>
      <c r="F865" s="1" t="s">
        <v>101</v>
      </c>
      <c r="G865">
        <v>10</v>
      </c>
      <c r="H865">
        <v>4</v>
      </c>
      <c r="I865" s="2">
        <f t="shared" si="39"/>
        <v>2.1816</v>
      </c>
      <c r="J865">
        <f t="shared" si="40"/>
        <v>8.1433370660694296E-2</v>
      </c>
      <c r="K865">
        <f t="shared" si="41"/>
        <v>5.6975711674066336E-2</v>
      </c>
    </row>
    <row r="866" spans="1:11" x14ac:dyDescent="0.25">
      <c r="A866" s="1">
        <v>1972</v>
      </c>
      <c r="B866" s="1" t="s">
        <v>99</v>
      </c>
      <c r="C866" t="s">
        <v>8</v>
      </c>
      <c r="D866" s="1" t="s">
        <v>3</v>
      </c>
      <c r="E866">
        <v>79</v>
      </c>
      <c r="F866" s="1" t="s">
        <v>101</v>
      </c>
      <c r="G866">
        <v>12</v>
      </c>
      <c r="H866">
        <v>1</v>
      </c>
      <c r="I866" s="2">
        <f t="shared" si="39"/>
        <v>0.78537599999999996</v>
      </c>
      <c r="J866">
        <f t="shared" si="40"/>
        <v>2.9316013437849942E-2</v>
      </c>
      <c r="K866">
        <f t="shared" si="41"/>
        <v>2.0511256202663877E-2</v>
      </c>
    </row>
    <row r="867" spans="1:11" x14ac:dyDescent="0.25">
      <c r="A867" s="1">
        <v>1972</v>
      </c>
      <c r="B867" s="1" t="s">
        <v>99</v>
      </c>
      <c r="C867" t="s">
        <v>8</v>
      </c>
      <c r="D867" s="1" t="s">
        <v>3</v>
      </c>
      <c r="E867">
        <v>79</v>
      </c>
      <c r="F867" s="1" t="s">
        <v>101</v>
      </c>
      <c r="G867">
        <v>20</v>
      </c>
      <c r="H867">
        <v>1</v>
      </c>
      <c r="I867" s="2">
        <f t="shared" si="39"/>
        <v>2.1816</v>
      </c>
      <c r="J867">
        <f t="shared" si="40"/>
        <v>8.1433370660694296E-2</v>
      </c>
      <c r="K867">
        <f t="shared" si="41"/>
        <v>5.6975711674066336E-2</v>
      </c>
    </row>
    <row r="868" spans="1:11" x14ac:dyDescent="0.25">
      <c r="A868" s="1">
        <v>1972</v>
      </c>
      <c r="B868" s="1" t="s">
        <v>99</v>
      </c>
      <c r="C868" t="s">
        <v>8</v>
      </c>
      <c r="D868" s="1" t="s">
        <v>3</v>
      </c>
      <c r="E868">
        <v>85</v>
      </c>
      <c r="F868" s="1" t="s">
        <v>101</v>
      </c>
      <c r="G868">
        <v>6</v>
      </c>
      <c r="H868">
        <v>1</v>
      </c>
      <c r="I868" s="2">
        <f t="shared" si="39"/>
        <v>0.19634399999999999</v>
      </c>
      <c r="J868">
        <f t="shared" si="40"/>
        <v>7.3290033594624856E-3</v>
      </c>
      <c r="K868">
        <f t="shared" si="41"/>
        <v>5.1278140506659693E-3</v>
      </c>
    </row>
    <row r="869" spans="1:11" x14ac:dyDescent="0.25">
      <c r="A869" s="1">
        <v>1972</v>
      </c>
      <c r="B869" s="1" t="s">
        <v>99</v>
      </c>
      <c r="C869" t="s">
        <v>8</v>
      </c>
      <c r="D869" s="1" t="s">
        <v>3</v>
      </c>
      <c r="E869">
        <v>85</v>
      </c>
      <c r="F869" s="1" t="s">
        <v>101</v>
      </c>
      <c r="G869">
        <v>18</v>
      </c>
      <c r="H869">
        <v>4</v>
      </c>
      <c r="I869" s="2">
        <f t="shared" si="39"/>
        <v>7.0683839999999991</v>
      </c>
      <c r="J869">
        <f t="shared" si="40"/>
        <v>0.26384412094064946</v>
      </c>
      <c r="K869">
        <f t="shared" si="41"/>
        <v>0.18460130582397488</v>
      </c>
    </row>
    <row r="870" spans="1:11" x14ac:dyDescent="0.25">
      <c r="A870" s="1">
        <v>1972</v>
      </c>
      <c r="B870" s="1" t="s">
        <v>99</v>
      </c>
      <c r="C870" t="s">
        <v>8</v>
      </c>
      <c r="D870" s="1" t="s">
        <v>3</v>
      </c>
      <c r="E870">
        <v>91</v>
      </c>
      <c r="F870" s="1" t="s">
        <v>101</v>
      </c>
      <c r="G870">
        <v>6</v>
      </c>
      <c r="H870">
        <v>3</v>
      </c>
      <c r="I870" s="2">
        <f t="shared" si="39"/>
        <v>0.589032</v>
      </c>
      <c r="J870">
        <f t="shared" si="40"/>
        <v>2.1987010078387458E-2</v>
      </c>
      <c r="K870">
        <f t="shared" si="41"/>
        <v>1.538344215199791E-2</v>
      </c>
    </row>
    <row r="871" spans="1:11" x14ac:dyDescent="0.25">
      <c r="A871" s="1">
        <v>1972</v>
      </c>
      <c r="B871" s="1" t="s">
        <v>99</v>
      </c>
      <c r="C871" t="s">
        <v>8</v>
      </c>
      <c r="D871" s="1" t="s">
        <v>3</v>
      </c>
      <c r="E871">
        <v>91</v>
      </c>
      <c r="F871" s="1" t="s">
        <v>101</v>
      </c>
      <c r="G871">
        <v>10</v>
      </c>
      <c r="H871">
        <v>1</v>
      </c>
      <c r="I871" s="2">
        <f t="shared" si="39"/>
        <v>0.5454</v>
      </c>
      <c r="J871">
        <f t="shared" si="40"/>
        <v>2.0358342665173574E-2</v>
      </c>
      <c r="K871">
        <f t="shared" si="41"/>
        <v>1.4243927918516584E-2</v>
      </c>
    </row>
    <row r="872" spans="1:11" x14ac:dyDescent="0.25">
      <c r="A872" s="1">
        <v>1972</v>
      </c>
      <c r="B872" s="1" t="s">
        <v>99</v>
      </c>
      <c r="C872" t="s">
        <v>8</v>
      </c>
      <c r="D872" s="1" t="s">
        <v>3</v>
      </c>
      <c r="E872">
        <v>91</v>
      </c>
      <c r="F872" s="1" t="s">
        <v>101</v>
      </c>
      <c r="G872">
        <v>20</v>
      </c>
      <c r="H872">
        <v>1</v>
      </c>
      <c r="I872" s="2">
        <f t="shared" si="39"/>
        <v>2.1816</v>
      </c>
      <c r="J872">
        <f t="shared" si="40"/>
        <v>8.1433370660694296E-2</v>
      </c>
      <c r="K872">
        <f t="shared" si="41"/>
        <v>5.6975711674066336E-2</v>
      </c>
    </row>
    <row r="873" spans="1:11" x14ac:dyDescent="0.25">
      <c r="A873" s="1">
        <v>1972</v>
      </c>
      <c r="B873" s="1" t="s">
        <v>99</v>
      </c>
      <c r="C873" t="s">
        <v>8</v>
      </c>
      <c r="D873" s="1" t="s">
        <v>5</v>
      </c>
      <c r="E873">
        <v>32</v>
      </c>
      <c r="F873" s="1" t="s">
        <v>101</v>
      </c>
      <c r="G873">
        <v>18</v>
      </c>
      <c r="H873">
        <v>2</v>
      </c>
      <c r="I873" s="2">
        <f t="shared" si="39"/>
        <v>3.5341919999999996</v>
      </c>
      <c r="J873">
        <f t="shared" si="40"/>
        <v>0.13192206047032473</v>
      </c>
      <c r="K873">
        <f t="shared" si="41"/>
        <v>9.2300652911987441E-2</v>
      </c>
    </row>
    <row r="874" spans="1:11" x14ac:dyDescent="0.25">
      <c r="A874" s="1">
        <v>1972</v>
      </c>
      <c r="B874" s="1" t="s">
        <v>99</v>
      </c>
      <c r="C874" t="s">
        <v>8</v>
      </c>
      <c r="D874" s="1" t="s">
        <v>5</v>
      </c>
      <c r="E874">
        <v>34</v>
      </c>
      <c r="F874" s="1" t="s">
        <v>101</v>
      </c>
      <c r="G874">
        <v>20</v>
      </c>
      <c r="H874">
        <v>1</v>
      </c>
      <c r="I874" s="2">
        <f t="shared" si="39"/>
        <v>2.1816</v>
      </c>
      <c r="J874">
        <f t="shared" si="40"/>
        <v>8.1433370660694296E-2</v>
      </c>
      <c r="K874">
        <f t="shared" si="41"/>
        <v>5.6975711674066336E-2</v>
      </c>
    </row>
    <row r="875" spans="1:11" x14ac:dyDescent="0.25">
      <c r="A875" s="1">
        <v>1972</v>
      </c>
      <c r="B875" s="1" t="s">
        <v>99</v>
      </c>
      <c r="C875" t="s">
        <v>8</v>
      </c>
      <c r="D875" s="1" t="s">
        <v>5</v>
      </c>
      <c r="E875">
        <v>41</v>
      </c>
      <c r="F875" s="1" t="s">
        <v>101</v>
      </c>
      <c r="G875">
        <v>18</v>
      </c>
      <c r="H875">
        <v>1</v>
      </c>
      <c r="I875" s="2">
        <f t="shared" si="39"/>
        <v>1.7670959999999998</v>
      </c>
      <c r="J875">
        <f t="shared" si="40"/>
        <v>6.5961030235162366E-2</v>
      </c>
      <c r="K875">
        <f t="shared" si="41"/>
        <v>4.615032645599372E-2</v>
      </c>
    </row>
    <row r="876" spans="1:11" x14ac:dyDescent="0.25">
      <c r="A876" s="1">
        <v>1972</v>
      </c>
      <c r="B876" s="1" t="s">
        <v>99</v>
      </c>
      <c r="C876" t="s">
        <v>7</v>
      </c>
      <c r="D876" s="1" t="s">
        <v>3</v>
      </c>
      <c r="E876">
        <v>17</v>
      </c>
      <c r="F876" s="1" t="s">
        <v>101</v>
      </c>
      <c r="G876">
        <v>8</v>
      </c>
      <c r="H876">
        <v>1</v>
      </c>
      <c r="I876" s="2">
        <f t="shared" si="39"/>
        <v>0.34905599999999998</v>
      </c>
      <c r="J876">
        <f t="shared" si="40"/>
        <v>1.3029339305711086E-2</v>
      </c>
      <c r="K876">
        <f t="shared" si="41"/>
        <v>9.1161138678506129E-3</v>
      </c>
    </row>
    <row r="877" spans="1:11" x14ac:dyDescent="0.25">
      <c r="A877" s="1">
        <v>1972</v>
      </c>
      <c r="B877" s="1" t="s">
        <v>99</v>
      </c>
      <c r="C877" t="s">
        <v>7</v>
      </c>
      <c r="D877" s="1" t="s">
        <v>3</v>
      </c>
      <c r="E877">
        <v>21</v>
      </c>
      <c r="F877" s="1" t="s">
        <v>101</v>
      </c>
      <c r="G877">
        <v>6</v>
      </c>
      <c r="H877">
        <v>30</v>
      </c>
      <c r="I877" s="2">
        <f t="shared" si="39"/>
        <v>5.89032</v>
      </c>
      <c r="J877">
        <f t="shared" si="40"/>
        <v>0.21987010078387459</v>
      </c>
      <c r="K877">
        <f t="shared" si="41"/>
        <v>0.15383442151997911</v>
      </c>
    </row>
    <row r="878" spans="1:11" x14ac:dyDescent="0.25">
      <c r="A878" s="1">
        <v>1972</v>
      </c>
      <c r="B878" s="1" t="s">
        <v>99</v>
      </c>
      <c r="C878" t="s">
        <v>7</v>
      </c>
      <c r="D878" s="1" t="s">
        <v>3</v>
      </c>
      <c r="E878">
        <v>21</v>
      </c>
      <c r="F878" s="1" t="s">
        <v>101</v>
      </c>
      <c r="G878">
        <v>8</v>
      </c>
      <c r="H878">
        <v>7</v>
      </c>
      <c r="I878" s="2">
        <f t="shared" si="39"/>
        <v>2.4433919999999998</v>
      </c>
      <c r="J878">
        <f t="shared" si="40"/>
        <v>9.1205375139977604E-2</v>
      </c>
      <c r="K878">
        <f t="shared" si="41"/>
        <v>6.3812797074954297E-2</v>
      </c>
    </row>
    <row r="879" spans="1:11" x14ac:dyDescent="0.25">
      <c r="A879" s="1">
        <v>1972</v>
      </c>
      <c r="B879" s="1" t="s">
        <v>99</v>
      </c>
      <c r="C879" t="s">
        <v>7</v>
      </c>
      <c r="D879" s="1" t="s">
        <v>3</v>
      </c>
      <c r="E879">
        <v>21</v>
      </c>
      <c r="F879" s="1" t="s">
        <v>101</v>
      </c>
      <c r="G879">
        <v>10</v>
      </c>
      <c r="H879">
        <v>11</v>
      </c>
      <c r="I879" s="2">
        <f t="shared" si="39"/>
        <v>5.9993999999999996</v>
      </c>
      <c r="J879">
        <f t="shared" si="40"/>
        <v>0.22394176931690929</v>
      </c>
      <c r="K879">
        <f t="shared" si="41"/>
        <v>0.15668320710368241</v>
      </c>
    </row>
    <row r="880" spans="1:11" x14ac:dyDescent="0.25">
      <c r="A880" s="1">
        <v>1972</v>
      </c>
      <c r="B880" s="1" t="s">
        <v>99</v>
      </c>
      <c r="C880" t="s">
        <v>7</v>
      </c>
      <c r="D880" s="1" t="s">
        <v>3</v>
      </c>
      <c r="E880">
        <v>21</v>
      </c>
      <c r="F880" s="1" t="s">
        <v>101</v>
      </c>
      <c r="G880">
        <v>12</v>
      </c>
      <c r="H880">
        <v>6</v>
      </c>
      <c r="I880" s="2">
        <f t="shared" si="39"/>
        <v>4.712256</v>
      </c>
      <c r="J880">
        <f t="shared" si="40"/>
        <v>0.17589608062709966</v>
      </c>
      <c r="K880">
        <f t="shared" si="41"/>
        <v>0.12306753721598328</v>
      </c>
    </row>
    <row r="881" spans="1:11" x14ac:dyDescent="0.25">
      <c r="A881" s="1">
        <v>1972</v>
      </c>
      <c r="B881" s="1" t="s">
        <v>99</v>
      </c>
      <c r="C881" t="s">
        <v>7</v>
      </c>
      <c r="D881" s="1" t="s">
        <v>3</v>
      </c>
      <c r="E881">
        <v>21</v>
      </c>
      <c r="F881" s="1" t="s">
        <v>101</v>
      </c>
      <c r="G881">
        <v>14</v>
      </c>
      <c r="H881">
        <v>5</v>
      </c>
      <c r="I881" s="2">
        <f t="shared" si="39"/>
        <v>5.3449200000000001</v>
      </c>
      <c r="J881">
        <f t="shared" si="40"/>
        <v>0.199511758118701</v>
      </c>
      <c r="K881">
        <f t="shared" si="41"/>
        <v>0.1395904936014625</v>
      </c>
    </row>
    <row r="882" spans="1:11" x14ac:dyDescent="0.25">
      <c r="A882" s="1">
        <v>1972</v>
      </c>
      <c r="B882" s="1" t="s">
        <v>99</v>
      </c>
      <c r="C882" t="s">
        <v>7</v>
      </c>
      <c r="D882" s="1" t="s">
        <v>3</v>
      </c>
      <c r="E882">
        <v>21</v>
      </c>
      <c r="F882" s="1" t="s">
        <v>101</v>
      </c>
      <c r="G882">
        <v>16</v>
      </c>
      <c r="H882">
        <v>10</v>
      </c>
      <c r="I882" s="2">
        <f t="shared" si="39"/>
        <v>13.96224</v>
      </c>
      <c r="J882">
        <f t="shared" si="40"/>
        <v>0.5211735722284434</v>
      </c>
      <c r="K882">
        <f t="shared" si="41"/>
        <v>0.36464455471402452</v>
      </c>
    </row>
    <row r="883" spans="1:11" x14ac:dyDescent="0.25">
      <c r="A883" s="1">
        <v>1972</v>
      </c>
      <c r="B883" s="1" t="s">
        <v>99</v>
      </c>
      <c r="C883" t="s">
        <v>7</v>
      </c>
      <c r="D883" s="1" t="s">
        <v>3</v>
      </c>
      <c r="E883">
        <v>25</v>
      </c>
      <c r="F883" s="1" t="s">
        <v>101</v>
      </c>
      <c r="G883">
        <v>6</v>
      </c>
      <c r="H883">
        <v>2</v>
      </c>
      <c r="I883" s="2">
        <f t="shared" si="39"/>
        <v>0.39268799999999998</v>
      </c>
      <c r="J883">
        <f t="shared" si="40"/>
        <v>1.4658006718924971E-2</v>
      </c>
      <c r="K883">
        <f t="shared" si="41"/>
        <v>1.0255628101331939E-2</v>
      </c>
    </row>
    <row r="884" spans="1:11" x14ac:dyDescent="0.25">
      <c r="A884" s="1">
        <v>1972</v>
      </c>
      <c r="B884" s="1" t="s">
        <v>99</v>
      </c>
      <c r="C884" t="s">
        <v>7</v>
      </c>
      <c r="D884" s="1" t="s">
        <v>3</v>
      </c>
      <c r="E884">
        <v>25</v>
      </c>
      <c r="F884" s="1" t="s">
        <v>101</v>
      </c>
      <c r="G884">
        <v>8</v>
      </c>
      <c r="H884">
        <v>2</v>
      </c>
      <c r="I884" s="2">
        <f t="shared" si="39"/>
        <v>0.69811199999999995</v>
      </c>
      <c r="J884">
        <f t="shared" si="40"/>
        <v>2.6058678611422172E-2</v>
      </c>
      <c r="K884">
        <f t="shared" si="41"/>
        <v>1.8232227735701226E-2</v>
      </c>
    </row>
    <row r="885" spans="1:11" x14ac:dyDescent="0.25">
      <c r="A885" s="1">
        <v>1972</v>
      </c>
      <c r="B885" s="1" t="s">
        <v>99</v>
      </c>
      <c r="C885" t="s">
        <v>7</v>
      </c>
      <c r="D885" s="1" t="s">
        <v>3</v>
      </c>
      <c r="E885">
        <v>25</v>
      </c>
      <c r="F885" s="1" t="s">
        <v>101</v>
      </c>
      <c r="G885">
        <v>16</v>
      </c>
      <c r="H885">
        <v>1</v>
      </c>
      <c r="I885" s="2">
        <f t="shared" si="39"/>
        <v>1.3962239999999999</v>
      </c>
      <c r="J885">
        <f t="shared" si="40"/>
        <v>5.2117357222844343E-2</v>
      </c>
      <c r="K885">
        <f t="shared" si="41"/>
        <v>3.6464455471402452E-2</v>
      </c>
    </row>
    <row r="886" spans="1:11" x14ac:dyDescent="0.25">
      <c r="A886" s="1">
        <v>1972</v>
      </c>
      <c r="B886" s="1" t="s">
        <v>99</v>
      </c>
      <c r="C886" t="s">
        <v>7</v>
      </c>
      <c r="D886" s="1" t="s">
        <v>3</v>
      </c>
      <c r="E886">
        <v>28</v>
      </c>
      <c r="F886" s="1" t="s">
        <v>101</v>
      </c>
      <c r="G886">
        <v>6</v>
      </c>
      <c r="H886">
        <v>2</v>
      </c>
      <c r="I886" s="2">
        <f t="shared" si="39"/>
        <v>0.39268799999999998</v>
      </c>
      <c r="J886">
        <f t="shared" si="40"/>
        <v>1.4658006718924971E-2</v>
      </c>
      <c r="K886">
        <f t="shared" si="41"/>
        <v>1.0255628101331939E-2</v>
      </c>
    </row>
    <row r="887" spans="1:11" x14ac:dyDescent="0.25">
      <c r="A887" s="1">
        <v>1972</v>
      </c>
      <c r="B887" s="1" t="s">
        <v>99</v>
      </c>
      <c r="C887" t="s">
        <v>7</v>
      </c>
      <c r="D887" s="1" t="s">
        <v>3</v>
      </c>
      <c r="E887">
        <v>28</v>
      </c>
      <c r="F887" s="1" t="s">
        <v>101</v>
      </c>
      <c r="G887">
        <v>8</v>
      </c>
      <c r="H887">
        <v>1</v>
      </c>
      <c r="I887" s="2">
        <f t="shared" si="39"/>
        <v>0.34905599999999998</v>
      </c>
      <c r="J887">
        <f t="shared" si="40"/>
        <v>1.3029339305711086E-2</v>
      </c>
      <c r="K887">
        <f t="shared" si="41"/>
        <v>9.1161138678506129E-3</v>
      </c>
    </row>
    <row r="888" spans="1:11" x14ac:dyDescent="0.25">
      <c r="A888" s="1">
        <v>1972</v>
      </c>
      <c r="B888" s="1" t="s">
        <v>99</v>
      </c>
      <c r="C888" t="s">
        <v>7</v>
      </c>
      <c r="D888" s="1" t="s">
        <v>3</v>
      </c>
      <c r="E888">
        <v>29</v>
      </c>
      <c r="F888" s="1" t="s">
        <v>101</v>
      </c>
      <c r="G888">
        <v>6</v>
      </c>
      <c r="H888">
        <v>83</v>
      </c>
      <c r="I888" s="2">
        <f t="shared" si="39"/>
        <v>16.296551999999998</v>
      </c>
      <c r="J888">
        <f t="shared" si="40"/>
        <v>0.60830727883538627</v>
      </c>
      <c r="K888">
        <f t="shared" si="41"/>
        <v>0.42560856620527543</v>
      </c>
    </row>
    <row r="889" spans="1:11" x14ac:dyDescent="0.25">
      <c r="A889" s="1">
        <v>1972</v>
      </c>
      <c r="B889" s="1" t="s">
        <v>99</v>
      </c>
      <c r="C889" t="s">
        <v>7</v>
      </c>
      <c r="D889" s="1" t="s">
        <v>3</v>
      </c>
      <c r="E889">
        <v>29</v>
      </c>
      <c r="F889" s="1" t="s">
        <v>101</v>
      </c>
      <c r="G889">
        <v>8</v>
      </c>
      <c r="H889">
        <v>47</v>
      </c>
      <c r="I889" s="2">
        <f t="shared" si="39"/>
        <v>16.405632000000001</v>
      </c>
      <c r="J889">
        <f t="shared" si="40"/>
        <v>0.61237894736842113</v>
      </c>
      <c r="K889">
        <f t="shared" si="41"/>
        <v>0.42845735178897887</v>
      </c>
    </row>
    <row r="890" spans="1:11" x14ac:dyDescent="0.25">
      <c r="A890" s="1">
        <v>1972</v>
      </c>
      <c r="B890" s="1" t="s">
        <v>99</v>
      </c>
      <c r="C890" t="s">
        <v>7</v>
      </c>
      <c r="D890" s="1" t="s">
        <v>3</v>
      </c>
      <c r="E890">
        <v>29</v>
      </c>
      <c r="F890" s="1" t="s">
        <v>101</v>
      </c>
      <c r="G890">
        <v>10</v>
      </c>
      <c r="H890">
        <v>11</v>
      </c>
      <c r="I890" s="2">
        <f t="shared" si="39"/>
        <v>5.9993999999999996</v>
      </c>
      <c r="J890">
        <f t="shared" si="40"/>
        <v>0.22394176931690929</v>
      </c>
      <c r="K890">
        <f t="shared" si="41"/>
        <v>0.15668320710368241</v>
      </c>
    </row>
    <row r="891" spans="1:11" x14ac:dyDescent="0.25">
      <c r="A891" s="1">
        <v>1972</v>
      </c>
      <c r="B891" s="1" t="s">
        <v>99</v>
      </c>
      <c r="C891" t="s">
        <v>7</v>
      </c>
      <c r="D891" s="1" t="s">
        <v>3</v>
      </c>
      <c r="E891">
        <v>29</v>
      </c>
      <c r="F891" s="1" t="s">
        <v>101</v>
      </c>
      <c r="G891">
        <v>16</v>
      </c>
      <c r="H891">
        <v>1</v>
      </c>
      <c r="I891" s="2">
        <f t="shared" si="39"/>
        <v>1.3962239999999999</v>
      </c>
      <c r="J891">
        <f t="shared" si="40"/>
        <v>5.2117357222844343E-2</v>
      </c>
      <c r="K891">
        <f t="shared" si="41"/>
        <v>3.6464455471402452E-2</v>
      </c>
    </row>
    <row r="892" spans="1:11" x14ac:dyDescent="0.25">
      <c r="A892" s="1">
        <v>1972</v>
      </c>
      <c r="B892" s="1" t="s">
        <v>99</v>
      </c>
      <c r="C892" t="s">
        <v>7</v>
      </c>
      <c r="D892" s="1" t="s">
        <v>3</v>
      </c>
      <c r="E892">
        <v>30</v>
      </c>
      <c r="F892" s="1" t="s">
        <v>101</v>
      </c>
      <c r="G892">
        <v>6</v>
      </c>
      <c r="H892">
        <v>3</v>
      </c>
      <c r="I892" s="2">
        <f t="shared" si="39"/>
        <v>0.589032</v>
      </c>
      <c r="J892">
        <f t="shared" si="40"/>
        <v>2.1987010078387458E-2</v>
      </c>
      <c r="K892">
        <f t="shared" si="41"/>
        <v>1.538344215199791E-2</v>
      </c>
    </row>
    <row r="893" spans="1:11" x14ac:dyDescent="0.25">
      <c r="A893" s="1">
        <v>1972</v>
      </c>
      <c r="B893" s="1" t="s">
        <v>99</v>
      </c>
      <c r="C893" t="s">
        <v>7</v>
      </c>
      <c r="D893" s="1" t="s">
        <v>3</v>
      </c>
      <c r="E893">
        <v>30</v>
      </c>
      <c r="F893" s="1" t="s">
        <v>101</v>
      </c>
      <c r="G893">
        <v>8</v>
      </c>
      <c r="H893">
        <v>1</v>
      </c>
      <c r="I893" s="2">
        <f t="shared" si="39"/>
        <v>0.34905599999999998</v>
      </c>
      <c r="J893">
        <f t="shared" si="40"/>
        <v>1.3029339305711086E-2</v>
      </c>
      <c r="K893">
        <f t="shared" si="41"/>
        <v>9.1161138678506129E-3</v>
      </c>
    </row>
    <row r="894" spans="1:11" x14ac:dyDescent="0.25">
      <c r="A894" s="1">
        <v>1972</v>
      </c>
      <c r="B894" s="1" t="s">
        <v>99</v>
      </c>
      <c r="C894" t="s">
        <v>7</v>
      </c>
      <c r="D894" s="1" t="s">
        <v>3</v>
      </c>
      <c r="E894">
        <v>32</v>
      </c>
      <c r="F894" s="1" t="s">
        <v>101</v>
      </c>
      <c r="G894">
        <v>6</v>
      </c>
      <c r="H894">
        <v>69</v>
      </c>
      <c r="I894" s="2">
        <f t="shared" si="39"/>
        <v>13.547735999999999</v>
      </c>
      <c r="J894">
        <f t="shared" si="40"/>
        <v>0.50570123180291149</v>
      </c>
      <c r="K894">
        <f t="shared" si="41"/>
        <v>0.35381916949595188</v>
      </c>
    </row>
    <row r="895" spans="1:11" x14ac:dyDescent="0.25">
      <c r="A895" s="1">
        <v>1972</v>
      </c>
      <c r="B895" s="1" t="s">
        <v>99</v>
      </c>
      <c r="C895" t="s">
        <v>7</v>
      </c>
      <c r="D895" s="1" t="s">
        <v>3</v>
      </c>
      <c r="E895">
        <v>32</v>
      </c>
      <c r="F895" s="1" t="s">
        <v>101</v>
      </c>
      <c r="G895">
        <v>8</v>
      </c>
      <c r="H895">
        <v>21</v>
      </c>
      <c r="I895" s="2">
        <f t="shared" si="39"/>
        <v>7.3301759999999998</v>
      </c>
      <c r="J895">
        <f t="shared" si="40"/>
        <v>0.2736161254199328</v>
      </c>
      <c r="K895">
        <f t="shared" si="41"/>
        <v>0.19143839122486286</v>
      </c>
    </row>
    <row r="896" spans="1:11" x14ac:dyDescent="0.25">
      <c r="A896" s="1">
        <v>1972</v>
      </c>
      <c r="B896" s="1" t="s">
        <v>99</v>
      </c>
      <c r="C896" t="s">
        <v>7</v>
      </c>
      <c r="D896" s="1" t="s">
        <v>3</v>
      </c>
      <c r="E896">
        <v>32</v>
      </c>
      <c r="F896" s="1" t="s">
        <v>101</v>
      </c>
      <c r="G896">
        <v>10</v>
      </c>
      <c r="H896">
        <v>8</v>
      </c>
      <c r="I896" s="2">
        <f t="shared" si="39"/>
        <v>4.3632</v>
      </c>
      <c r="J896">
        <f t="shared" si="40"/>
        <v>0.16286674132138859</v>
      </c>
      <c r="K896">
        <f t="shared" si="41"/>
        <v>0.11395142334813267</v>
      </c>
    </row>
    <row r="897" spans="1:11" x14ac:dyDescent="0.25">
      <c r="A897" s="1">
        <v>1972</v>
      </c>
      <c r="B897" s="1" t="s">
        <v>99</v>
      </c>
      <c r="C897" t="s">
        <v>7</v>
      </c>
      <c r="D897" s="1" t="s">
        <v>3</v>
      </c>
      <c r="E897">
        <v>32</v>
      </c>
      <c r="F897" s="1" t="s">
        <v>101</v>
      </c>
      <c r="G897">
        <v>12</v>
      </c>
      <c r="H897">
        <v>5</v>
      </c>
      <c r="I897" s="2">
        <f t="shared" si="39"/>
        <v>3.9268799999999997</v>
      </c>
      <c r="J897">
        <f t="shared" si="40"/>
        <v>0.14658006718924971</v>
      </c>
      <c r="K897">
        <f t="shared" si="41"/>
        <v>0.10255628101331939</v>
      </c>
    </row>
    <row r="898" spans="1:11" x14ac:dyDescent="0.25">
      <c r="A898" s="1">
        <v>1972</v>
      </c>
      <c r="B898" s="1" t="s">
        <v>99</v>
      </c>
      <c r="C898" t="s">
        <v>7</v>
      </c>
      <c r="D898" s="1" t="s">
        <v>3</v>
      </c>
      <c r="E898">
        <v>32</v>
      </c>
      <c r="F898" s="1" t="s">
        <v>101</v>
      </c>
      <c r="G898">
        <v>14</v>
      </c>
      <c r="H898">
        <v>2</v>
      </c>
      <c r="I898" s="2">
        <f t="shared" si="39"/>
        <v>2.1379679999999999</v>
      </c>
      <c r="J898">
        <f t="shared" si="40"/>
        <v>7.9804703247480402E-2</v>
      </c>
      <c r="K898">
        <f t="shared" si="41"/>
        <v>5.5836197440585003E-2</v>
      </c>
    </row>
    <row r="899" spans="1:11" x14ac:dyDescent="0.25">
      <c r="A899" s="1">
        <v>1972</v>
      </c>
      <c r="B899" s="1" t="s">
        <v>99</v>
      </c>
      <c r="C899" t="s">
        <v>7</v>
      </c>
      <c r="D899" s="1" t="s">
        <v>3</v>
      </c>
      <c r="E899">
        <v>32</v>
      </c>
      <c r="F899" s="1" t="s">
        <v>101</v>
      </c>
      <c r="G899">
        <v>16</v>
      </c>
      <c r="H899">
        <v>2</v>
      </c>
      <c r="I899" s="2">
        <f t="shared" ref="I899:I962" si="42">0.005454*G899^2*H899</f>
        <v>2.7924479999999998</v>
      </c>
      <c r="J899">
        <f t="shared" ref="J899:J962" si="43">I899/26.79</f>
        <v>0.10423471444568869</v>
      </c>
      <c r="K899">
        <f t="shared" ref="K899:K962" si="44">J899*(26.79/38.29)</f>
        <v>7.2928910942804903E-2</v>
      </c>
    </row>
    <row r="900" spans="1:11" x14ac:dyDescent="0.25">
      <c r="A900" s="1">
        <v>1972</v>
      </c>
      <c r="B900" s="1" t="s">
        <v>99</v>
      </c>
      <c r="C900" t="s">
        <v>7</v>
      </c>
      <c r="D900" s="1" t="s">
        <v>3</v>
      </c>
      <c r="E900">
        <v>34</v>
      </c>
      <c r="F900" s="1" t="s">
        <v>101</v>
      </c>
      <c r="G900">
        <v>6</v>
      </c>
      <c r="H900">
        <v>110</v>
      </c>
      <c r="I900" s="2">
        <f t="shared" si="42"/>
        <v>21.597839999999998</v>
      </c>
      <c r="J900">
        <f t="shared" si="43"/>
        <v>0.80619036954087342</v>
      </c>
      <c r="K900">
        <f t="shared" si="44"/>
        <v>0.56405954557325666</v>
      </c>
    </row>
    <row r="901" spans="1:11" x14ac:dyDescent="0.25">
      <c r="A901" s="1">
        <v>1972</v>
      </c>
      <c r="B901" s="1" t="s">
        <v>99</v>
      </c>
      <c r="C901" t="s">
        <v>7</v>
      </c>
      <c r="D901" s="1" t="s">
        <v>3</v>
      </c>
      <c r="E901">
        <v>34</v>
      </c>
      <c r="F901" s="1" t="s">
        <v>101</v>
      </c>
      <c r="G901">
        <v>8</v>
      </c>
      <c r="H901">
        <v>61</v>
      </c>
      <c r="I901" s="2">
        <f t="shared" si="42"/>
        <v>21.292415999999999</v>
      </c>
      <c r="J901">
        <f t="shared" si="43"/>
        <v>0.79478969764837626</v>
      </c>
      <c r="K901">
        <f t="shared" si="44"/>
        <v>0.55608294593888741</v>
      </c>
    </row>
    <row r="902" spans="1:11" x14ac:dyDescent="0.25">
      <c r="A902" s="1">
        <v>1972</v>
      </c>
      <c r="B902" s="1" t="s">
        <v>99</v>
      </c>
      <c r="C902" t="s">
        <v>7</v>
      </c>
      <c r="D902" s="1" t="s">
        <v>3</v>
      </c>
      <c r="E902">
        <v>34</v>
      </c>
      <c r="F902" s="1" t="s">
        <v>101</v>
      </c>
      <c r="G902">
        <v>10</v>
      </c>
      <c r="H902">
        <v>40</v>
      </c>
      <c r="I902" s="2">
        <f t="shared" si="42"/>
        <v>21.815999999999999</v>
      </c>
      <c r="J902">
        <f t="shared" si="43"/>
        <v>0.81433370660694293</v>
      </c>
      <c r="K902">
        <f t="shared" si="44"/>
        <v>0.56975711674066332</v>
      </c>
    </row>
    <row r="903" spans="1:11" x14ac:dyDescent="0.25">
      <c r="A903" s="1">
        <v>1972</v>
      </c>
      <c r="B903" s="1" t="s">
        <v>99</v>
      </c>
      <c r="C903" t="s">
        <v>7</v>
      </c>
      <c r="D903" s="1" t="s">
        <v>3</v>
      </c>
      <c r="E903">
        <v>34</v>
      </c>
      <c r="F903" s="1" t="s">
        <v>101</v>
      </c>
      <c r="G903">
        <v>12</v>
      </c>
      <c r="H903">
        <v>31</v>
      </c>
      <c r="I903" s="2">
        <f t="shared" si="42"/>
        <v>24.346655999999999</v>
      </c>
      <c r="J903">
        <f t="shared" si="43"/>
        <v>0.90879641657334831</v>
      </c>
      <c r="K903">
        <f t="shared" si="44"/>
        <v>0.63584894228258027</v>
      </c>
    </row>
    <row r="904" spans="1:11" x14ac:dyDescent="0.25">
      <c r="A904" s="1">
        <v>1972</v>
      </c>
      <c r="B904" s="1" t="s">
        <v>99</v>
      </c>
      <c r="C904" t="s">
        <v>7</v>
      </c>
      <c r="D904" s="1" t="s">
        <v>3</v>
      </c>
      <c r="E904">
        <v>34</v>
      </c>
      <c r="F904" s="1" t="s">
        <v>101</v>
      </c>
      <c r="G904">
        <v>14</v>
      </c>
      <c r="H904">
        <v>32</v>
      </c>
      <c r="I904" s="2">
        <f t="shared" si="42"/>
        <v>34.207487999999998</v>
      </c>
      <c r="J904">
        <f t="shared" si="43"/>
        <v>1.2768752519596864</v>
      </c>
      <c r="K904">
        <f t="shared" si="44"/>
        <v>0.89337915904936005</v>
      </c>
    </row>
    <row r="905" spans="1:11" x14ac:dyDescent="0.25">
      <c r="A905" s="1">
        <v>1972</v>
      </c>
      <c r="B905" s="1" t="s">
        <v>99</v>
      </c>
      <c r="C905" t="s">
        <v>7</v>
      </c>
      <c r="D905" s="1" t="s">
        <v>3</v>
      </c>
      <c r="E905">
        <v>34</v>
      </c>
      <c r="F905" s="1" t="s">
        <v>101</v>
      </c>
      <c r="G905">
        <v>16</v>
      </c>
      <c r="H905">
        <v>35</v>
      </c>
      <c r="I905" s="2">
        <f t="shared" si="42"/>
        <v>48.867839999999994</v>
      </c>
      <c r="J905">
        <f t="shared" si="43"/>
        <v>1.8241075027995519</v>
      </c>
      <c r="K905">
        <f t="shared" si="44"/>
        <v>1.2762559414990857</v>
      </c>
    </row>
    <row r="906" spans="1:11" x14ac:dyDescent="0.25">
      <c r="A906" s="1">
        <v>1972</v>
      </c>
      <c r="B906" s="1" t="s">
        <v>99</v>
      </c>
      <c r="C906" t="s">
        <v>7</v>
      </c>
      <c r="D906" s="1" t="s">
        <v>3</v>
      </c>
      <c r="E906">
        <v>38</v>
      </c>
      <c r="F906" s="1" t="s">
        <v>101</v>
      </c>
      <c r="G906">
        <v>6</v>
      </c>
      <c r="H906">
        <v>150</v>
      </c>
      <c r="I906" s="2">
        <f t="shared" si="42"/>
        <v>29.451599999999999</v>
      </c>
      <c r="J906">
        <f t="shared" si="43"/>
        <v>1.0993505039193729</v>
      </c>
      <c r="K906">
        <f t="shared" si="44"/>
        <v>0.76917210759989552</v>
      </c>
    </row>
    <row r="907" spans="1:11" x14ac:dyDescent="0.25">
      <c r="A907" s="1">
        <v>1972</v>
      </c>
      <c r="B907" s="1" t="s">
        <v>99</v>
      </c>
      <c r="C907" t="s">
        <v>7</v>
      </c>
      <c r="D907" s="1" t="s">
        <v>3</v>
      </c>
      <c r="E907">
        <v>38</v>
      </c>
      <c r="F907" s="1" t="s">
        <v>101</v>
      </c>
      <c r="G907">
        <v>8</v>
      </c>
      <c r="H907">
        <v>156</v>
      </c>
      <c r="I907" s="2">
        <f t="shared" si="42"/>
        <v>54.452735999999994</v>
      </c>
      <c r="J907">
        <f t="shared" si="43"/>
        <v>2.0325769316909295</v>
      </c>
      <c r="K907">
        <f t="shared" si="44"/>
        <v>1.4221137633846956</v>
      </c>
    </row>
    <row r="908" spans="1:11" x14ac:dyDescent="0.25">
      <c r="A908" s="1">
        <v>1972</v>
      </c>
      <c r="B908" s="1" t="s">
        <v>99</v>
      </c>
      <c r="C908" t="s">
        <v>7</v>
      </c>
      <c r="D908" s="1" t="s">
        <v>3</v>
      </c>
      <c r="E908">
        <v>38</v>
      </c>
      <c r="F908" s="1" t="s">
        <v>101</v>
      </c>
      <c r="G908">
        <v>10</v>
      </c>
      <c r="H908">
        <v>139</v>
      </c>
      <c r="I908" s="2">
        <f t="shared" si="42"/>
        <v>75.810599999999994</v>
      </c>
      <c r="J908">
        <f t="shared" si="43"/>
        <v>2.8298096304591263</v>
      </c>
      <c r="K908">
        <f t="shared" si="44"/>
        <v>1.9799059806738049</v>
      </c>
    </row>
    <row r="909" spans="1:11" x14ac:dyDescent="0.25">
      <c r="A909" s="1">
        <v>1972</v>
      </c>
      <c r="B909" s="1" t="s">
        <v>99</v>
      </c>
      <c r="C909" t="s">
        <v>7</v>
      </c>
      <c r="D909" s="1" t="s">
        <v>3</v>
      </c>
      <c r="E909">
        <v>38</v>
      </c>
      <c r="F909" s="1" t="s">
        <v>101</v>
      </c>
      <c r="G909">
        <v>12</v>
      </c>
      <c r="H909">
        <v>105</v>
      </c>
      <c r="I909" s="2">
        <f t="shared" si="42"/>
        <v>82.464479999999995</v>
      </c>
      <c r="J909">
        <f t="shared" si="43"/>
        <v>3.0781814109742438</v>
      </c>
      <c r="K909">
        <f t="shared" si="44"/>
        <v>2.153681901279707</v>
      </c>
    </row>
    <row r="910" spans="1:11" x14ac:dyDescent="0.25">
      <c r="A910" s="1">
        <v>1972</v>
      </c>
      <c r="B910" s="1" t="s">
        <v>99</v>
      </c>
      <c r="C910" t="s">
        <v>7</v>
      </c>
      <c r="D910" s="1" t="s">
        <v>3</v>
      </c>
      <c r="E910">
        <v>38</v>
      </c>
      <c r="F910" s="1" t="s">
        <v>101</v>
      </c>
      <c r="G910">
        <v>14</v>
      </c>
      <c r="H910">
        <v>57</v>
      </c>
      <c r="I910" s="2">
        <f t="shared" si="42"/>
        <v>60.932087999999993</v>
      </c>
      <c r="J910">
        <f t="shared" si="43"/>
        <v>2.2744340425531915</v>
      </c>
      <c r="K910">
        <f t="shared" si="44"/>
        <v>1.5913316270566726</v>
      </c>
    </row>
    <row r="911" spans="1:11" x14ac:dyDescent="0.25">
      <c r="A911" s="1">
        <v>1972</v>
      </c>
      <c r="B911" s="1" t="s">
        <v>99</v>
      </c>
      <c r="C911" t="s">
        <v>7</v>
      </c>
      <c r="D911" s="1" t="s">
        <v>3</v>
      </c>
      <c r="E911">
        <v>38</v>
      </c>
      <c r="F911" s="1" t="s">
        <v>101</v>
      </c>
      <c r="G911">
        <v>16</v>
      </c>
      <c r="H911">
        <v>43</v>
      </c>
      <c r="I911" s="2">
        <f t="shared" si="42"/>
        <v>60.037631999999995</v>
      </c>
      <c r="J911">
        <f t="shared" si="43"/>
        <v>2.2410463605823066</v>
      </c>
      <c r="K911">
        <f t="shared" si="44"/>
        <v>1.5679715852703053</v>
      </c>
    </row>
    <row r="912" spans="1:11" x14ac:dyDescent="0.25">
      <c r="A912" s="1">
        <v>1972</v>
      </c>
      <c r="B912" s="1" t="s">
        <v>99</v>
      </c>
      <c r="C912" t="s">
        <v>7</v>
      </c>
      <c r="D912" s="1" t="s">
        <v>3</v>
      </c>
      <c r="E912">
        <v>40</v>
      </c>
      <c r="F912" s="1" t="s">
        <v>101</v>
      </c>
      <c r="G912">
        <v>6</v>
      </c>
      <c r="H912">
        <v>162</v>
      </c>
      <c r="I912" s="2">
        <f t="shared" si="42"/>
        <v>31.807727999999997</v>
      </c>
      <c r="J912">
        <f t="shared" si="43"/>
        <v>1.1872985442329227</v>
      </c>
      <c r="K912">
        <f t="shared" si="44"/>
        <v>0.83070587620788705</v>
      </c>
    </row>
    <row r="913" spans="1:11" x14ac:dyDescent="0.25">
      <c r="A913" s="1">
        <v>1972</v>
      </c>
      <c r="B913" s="1" t="s">
        <v>99</v>
      </c>
      <c r="C913" t="s">
        <v>7</v>
      </c>
      <c r="D913" s="1" t="s">
        <v>3</v>
      </c>
      <c r="E913">
        <v>40</v>
      </c>
      <c r="F913" s="1" t="s">
        <v>101</v>
      </c>
      <c r="G913">
        <v>8</v>
      </c>
      <c r="H913">
        <v>142</v>
      </c>
      <c r="I913" s="2">
        <f t="shared" si="42"/>
        <v>49.565951999999996</v>
      </c>
      <c r="J913">
        <f t="shared" si="43"/>
        <v>1.8501661814109742</v>
      </c>
      <c r="K913">
        <f t="shared" si="44"/>
        <v>1.2944881692347869</v>
      </c>
    </row>
    <row r="914" spans="1:11" x14ac:dyDescent="0.25">
      <c r="A914" s="1">
        <v>1972</v>
      </c>
      <c r="B914" s="1" t="s">
        <v>99</v>
      </c>
      <c r="C914" t="s">
        <v>7</v>
      </c>
      <c r="D914" s="1" t="s">
        <v>3</v>
      </c>
      <c r="E914">
        <v>40</v>
      </c>
      <c r="F914" s="1" t="s">
        <v>101</v>
      </c>
      <c r="G914">
        <v>10</v>
      </c>
      <c r="H914">
        <v>132</v>
      </c>
      <c r="I914" s="2">
        <f t="shared" si="42"/>
        <v>71.992800000000003</v>
      </c>
      <c r="J914">
        <f t="shared" si="43"/>
        <v>2.6873012318029117</v>
      </c>
      <c r="K914">
        <f t="shared" si="44"/>
        <v>1.8801984852441891</v>
      </c>
    </row>
    <row r="915" spans="1:11" x14ac:dyDescent="0.25">
      <c r="A915" s="1">
        <v>1972</v>
      </c>
      <c r="B915" s="1" t="s">
        <v>99</v>
      </c>
      <c r="C915" t="s">
        <v>7</v>
      </c>
      <c r="D915" s="1" t="s">
        <v>3</v>
      </c>
      <c r="E915">
        <v>40</v>
      </c>
      <c r="F915" s="1" t="s">
        <v>101</v>
      </c>
      <c r="G915">
        <v>12</v>
      </c>
      <c r="H915">
        <v>109</v>
      </c>
      <c r="I915" s="2">
        <f t="shared" si="42"/>
        <v>85.605983999999992</v>
      </c>
      <c r="J915">
        <f t="shared" si="43"/>
        <v>3.1954454647256436</v>
      </c>
      <c r="K915">
        <f t="shared" si="44"/>
        <v>2.2357269260903627</v>
      </c>
    </row>
    <row r="916" spans="1:11" x14ac:dyDescent="0.25">
      <c r="A916" s="1">
        <v>1972</v>
      </c>
      <c r="B916" s="1" t="s">
        <v>99</v>
      </c>
      <c r="C916" t="s">
        <v>7</v>
      </c>
      <c r="D916" s="1" t="s">
        <v>3</v>
      </c>
      <c r="E916">
        <v>40</v>
      </c>
      <c r="F916" s="1" t="s">
        <v>101</v>
      </c>
      <c r="G916">
        <v>14</v>
      </c>
      <c r="H916">
        <v>99</v>
      </c>
      <c r="I916" s="2">
        <f t="shared" si="42"/>
        <v>105.82941599999999</v>
      </c>
      <c r="J916">
        <f t="shared" si="43"/>
        <v>3.9503328107502798</v>
      </c>
      <c r="K916">
        <f t="shared" si="44"/>
        <v>2.7638917733089574</v>
      </c>
    </row>
    <row r="917" spans="1:11" x14ac:dyDescent="0.25">
      <c r="A917" s="1">
        <v>1972</v>
      </c>
      <c r="B917" s="1" t="s">
        <v>99</v>
      </c>
      <c r="C917" t="s">
        <v>7</v>
      </c>
      <c r="D917" s="1" t="s">
        <v>3</v>
      </c>
      <c r="E917">
        <v>40</v>
      </c>
      <c r="F917" s="1" t="s">
        <v>101</v>
      </c>
      <c r="G917">
        <v>16</v>
      </c>
      <c r="H917">
        <v>75</v>
      </c>
      <c r="I917" s="2">
        <f t="shared" si="42"/>
        <v>104.71679999999999</v>
      </c>
      <c r="J917">
        <f t="shared" si="43"/>
        <v>3.9088017917133255</v>
      </c>
      <c r="K917">
        <f t="shared" si="44"/>
        <v>2.7348341603551836</v>
      </c>
    </row>
    <row r="918" spans="1:11" x14ac:dyDescent="0.25">
      <c r="A918" s="1">
        <v>1972</v>
      </c>
      <c r="B918" s="1" t="s">
        <v>99</v>
      </c>
      <c r="C918" t="s">
        <v>7</v>
      </c>
      <c r="D918" s="1" t="s">
        <v>3</v>
      </c>
      <c r="E918">
        <v>40</v>
      </c>
      <c r="F918" s="1" t="s">
        <v>101</v>
      </c>
      <c r="G918">
        <v>18</v>
      </c>
      <c r="H918">
        <v>1</v>
      </c>
      <c r="I918" s="2">
        <f t="shared" si="42"/>
        <v>1.7670959999999998</v>
      </c>
      <c r="J918">
        <f t="shared" si="43"/>
        <v>6.5961030235162366E-2</v>
      </c>
      <c r="K918">
        <f t="shared" si="44"/>
        <v>4.615032645599372E-2</v>
      </c>
    </row>
    <row r="919" spans="1:11" x14ac:dyDescent="0.25">
      <c r="A919" s="1">
        <v>1972</v>
      </c>
      <c r="B919" s="1" t="s">
        <v>99</v>
      </c>
      <c r="C919" t="s">
        <v>7</v>
      </c>
      <c r="D919" s="1" t="s">
        <v>3</v>
      </c>
      <c r="E919">
        <v>40</v>
      </c>
      <c r="F919" s="1" t="s">
        <v>101</v>
      </c>
      <c r="G919">
        <v>20</v>
      </c>
      <c r="H919">
        <v>1</v>
      </c>
      <c r="I919" s="2">
        <f t="shared" si="42"/>
        <v>2.1816</v>
      </c>
      <c r="J919">
        <f t="shared" si="43"/>
        <v>8.1433370660694296E-2</v>
      </c>
      <c r="K919">
        <f t="shared" si="44"/>
        <v>5.6975711674066336E-2</v>
      </c>
    </row>
    <row r="920" spans="1:11" x14ac:dyDescent="0.25">
      <c r="A920" s="1">
        <v>1972</v>
      </c>
      <c r="B920" s="1" t="s">
        <v>99</v>
      </c>
      <c r="C920" t="s">
        <v>7</v>
      </c>
      <c r="D920" s="1" t="s">
        <v>3</v>
      </c>
      <c r="E920">
        <v>41</v>
      </c>
      <c r="F920" s="1" t="s">
        <v>101</v>
      </c>
      <c r="G920">
        <v>6</v>
      </c>
      <c r="H920">
        <v>2</v>
      </c>
      <c r="I920" s="2">
        <f t="shared" si="42"/>
        <v>0.39268799999999998</v>
      </c>
      <c r="J920">
        <f t="shared" si="43"/>
        <v>1.4658006718924971E-2</v>
      </c>
      <c r="K920">
        <f t="shared" si="44"/>
        <v>1.0255628101331939E-2</v>
      </c>
    </row>
    <row r="921" spans="1:11" x14ac:dyDescent="0.25">
      <c r="A921" s="1">
        <v>1972</v>
      </c>
      <c r="B921" s="1" t="s">
        <v>99</v>
      </c>
      <c r="C921" t="s">
        <v>7</v>
      </c>
      <c r="D921" s="1" t="s">
        <v>3</v>
      </c>
      <c r="E921">
        <v>41</v>
      </c>
      <c r="F921" s="1" t="s">
        <v>101</v>
      </c>
      <c r="G921">
        <v>8</v>
      </c>
      <c r="H921">
        <v>1</v>
      </c>
      <c r="I921" s="2">
        <f t="shared" si="42"/>
        <v>0.34905599999999998</v>
      </c>
      <c r="J921">
        <f t="shared" si="43"/>
        <v>1.3029339305711086E-2</v>
      </c>
      <c r="K921">
        <f t="shared" si="44"/>
        <v>9.1161138678506129E-3</v>
      </c>
    </row>
    <row r="922" spans="1:11" x14ac:dyDescent="0.25">
      <c r="A922" s="1">
        <v>1972</v>
      </c>
      <c r="B922" s="1" t="s">
        <v>99</v>
      </c>
      <c r="C922" t="s">
        <v>7</v>
      </c>
      <c r="D922" s="1" t="s">
        <v>3</v>
      </c>
      <c r="E922">
        <v>41</v>
      </c>
      <c r="F922" s="1" t="s">
        <v>101</v>
      </c>
      <c r="G922">
        <v>10</v>
      </c>
      <c r="H922">
        <v>4</v>
      </c>
      <c r="I922" s="2">
        <f t="shared" si="42"/>
        <v>2.1816</v>
      </c>
      <c r="J922">
        <f t="shared" si="43"/>
        <v>8.1433370660694296E-2</v>
      </c>
      <c r="K922">
        <f t="shared" si="44"/>
        <v>5.6975711674066336E-2</v>
      </c>
    </row>
    <row r="923" spans="1:11" x14ac:dyDescent="0.25">
      <c r="A923" s="1">
        <v>1972</v>
      </c>
      <c r="B923" s="1" t="s">
        <v>99</v>
      </c>
      <c r="C923" t="s">
        <v>7</v>
      </c>
      <c r="D923" s="1" t="s">
        <v>3</v>
      </c>
      <c r="E923">
        <v>41</v>
      </c>
      <c r="F923" s="1" t="s">
        <v>101</v>
      </c>
      <c r="G923">
        <v>12</v>
      </c>
      <c r="H923">
        <v>3</v>
      </c>
      <c r="I923" s="2">
        <f t="shared" si="42"/>
        <v>2.356128</v>
      </c>
      <c r="J923">
        <f t="shared" si="43"/>
        <v>8.794804031354983E-2</v>
      </c>
      <c r="K923">
        <f t="shared" si="44"/>
        <v>6.1533768607991639E-2</v>
      </c>
    </row>
    <row r="924" spans="1:11" x14ac:dyDescent="0.25">
      <c r="A924" s="1">
        <v>1972</v>
      </c>
      <c r="B924" s="1" t="s">
        <v>99</v>
      </c>
      <c r="C924" t="s">
        <v>7</v>
      </c>
      <c r="D924" s="1" t="s">
        <v>3</v>
      </c>
      <c r="E924">
        <v>41</v>
      </c>
      <c r="F924" s="1" t="s">
        <v>101</v>
      </c>
      <c r="G924">
        <v>14</v>
      </c>
      <c r="H924">
        <v>2</v>
      </c>
      <c r="I924" s="2">
        <f t="shared" si="42"/>
        <v>2.1379679999999999</v>
      </c>
      <c r="J924">
        <f t="shared" si="43"/>
        <v>7.9804703247480402E-2</v>
      </c>
      <c r="K924">
        <f t="shared" si="44"/>
        <v>5.5836197440585003E-2</v>
      </c>
    </row>
    <row r="925" spans="1:11" x14ac:dyDescent="0.25">
      <c r="A925" s="1">
        <v>1972</v>
      </c>
      <c r="B925" s="1" t="s">
        <v>99</v>
      </c>
      <c r="C925" t="s">
        <v>7</v>
      </c>
      <c r="D925" s="1" t="s">
        <v>3</v>
      </c>
      <c r="E925">
        <v>41</v>
      </c>
      <c r="F925" s="1" t="s">
        <v>101</v>
      </c>
      <c r="G925">
        <v>16</v>
      </c>
      <c r="H925">
        <v>1</v>
      </c>
      <c r="I925" s="2">
        <f t="shared" si="42"/>
        <v>1.3962239999999999</v>
      </c>
      <c r="J925">
        <f t="shared" si="43"/>
        <v>5.2117357222844343E-2</v>
      </c>
      <c r="K925">
        <f t="shared" si="44"/>
        <v>3.6464455471402452E-2</v>
      </c>
    </row>
    <row r="926" spans="1:11" x14ac:dyDescent="0.25">
      <c r="A926" s="1">
        <v>1972</v>
      </c>
      <c r="B926" s="1" t="s">
        <v>99</v>
      </c>
      <c r="C926" t="s">
        <v>7</v>
      </c>
      <c r="D926" s="1" t="s">
        <v>3</v>
      </c>
      <c r="E926">
        <v>47</v>
      </c>
      <c r="F926" s="1" t="s">
        <v>101</v>
      </c>
      <c r="G926">
        <v>6</v>
      </c>
      <c r="H926">
        <v>1</v>
      </c>
      <c r="I926" s="2">
        <f t="shared" si="42"/>
        <v>0.19634399999999999</v>
      </c>
      <c r="J926">
        <f t="shared" si="43"/>
        <v>7.3290033594624856E-3</v>
      </c>
      <c r="K926">
        <f t="shared" si="44"/>
        <v>5.1278140506659693E-3</v>
      </c>
    </row>
    <row r="927" spans="1:11" x14ac:dyDescent="0.25">
      <c r="A927" s="1">
        <v>1972</v>
      </c>
      <c r="B927" s="1" t="s">
        <v>99</v>
      </c>
      <c r="C927" t="s">
        <v>7</v>
      </c>
      <c r="D927" s="1" t="s">
        <v>3</v>
      </c>
      <c r="E927">
        <v>47</v>
      </c>
      <c r="F927" s="1" t="s">
        <v>101</v>
      </c>
      <c r="G927">
        <v>8</v>
      </c>
      <c r="H927">
        <v>4</v>
      </c>
      <c r="I927" s="2">
        <f t="shared" si="42"/>
        <v>1.3962239999999999</v>
      </c>
      <c r="J927">
        <f t="shared" si="43"/>
        <v>5.2117357222844343E-2</v>
      </c>
      <c r="K927">
        <f t="shared" si="44"/>
        <v>3.6464455471402452E-2</v>
      </c>
    </row>
    <row r="928" spans="1:11" x14ac:dyDescent="0.25">
      <c r="A928" s="1">
        <v>1972</v>
      </c>
      <c r="B928" s="1" t="s">
        <v>99</v>
      </c>
      <c r="C928" t="s">
        <v>7</v>
      </c>
      <c r="D928" s="1" t="s">
        <v>3</v>
      </c>
      <c r="E928">
        <v>47</v>
      </c>
      <c r="F928" s="1" t="s">
        <v>101</v>
      </c>
      <c r="G928">
        <v>10</v>
      </c>
      <c r="H928">
        <v>2</v>
      </c>
      <c r="I928" s="2">
        <f t="shared" si="42"/>
        <v>1.0908</v>
      </c>
      <c r="J928">
        <f t="shared" si="43"/>
        <v>4.0716685330347148E-2</v>
      </c>
      <c r="K928">
        <f t="shared" si="44"/>
        <v>2.8487855837033168E-2</v>
      </c>
    </row>
    <row r="929" spans="1:11" x14ac:dyDescent="0.25">
      <c r="A929" s="1">
        <v>1972</v>
      </c>
      <c r="B929" s="1" t="s">
        <v>99</v>
      </c>
      <c r="C929" t="s">
        <v>7</v>
      </c>
      <c r="D929" s="1" t="s">
        <v>3</v>
      </c>
      <c r="E929">
        <v>47</v>
      </c>
      <c r="F929" s="1" t="s">
        <v>101</v>
      </c>
      <c r="G929">
        <v>12</v>
      </c>
      <c r="H929">
        <v>2</v>
      </c>
      <c r="I929" s="2">
        <f t="shared" si="42"/>
        <v>1.5707519999999999</v>
      </c>
      <c r="J929">
        <f t="shared" si="43"/>
        <v>5.8632026875699884E-2</v>
      </c>
      <c r="K929">
        <f t="shared" si="44"/>
        <v>4.1022512405327755E-2</v>
      </c>
    </row>
    <row r="930" spans="1:11" x14ac:dyDescent="0.25">
      <c r="A930" s="1">
        <v>1972</v>
      </c>
      <c r="B930" s="1" t="s">
        <v>99</v>
      </c>
      <c r="C930" t="s">
        <v>7</v>
      </c>
      <c r="D930" s="1" t="s">
        <v>3</v>
      </c>
      <c r="E930">
        <v>47</v>
      </c>
      <c r="F930" s="1" t="s">
        <v>101</v>
      </c>
      <c r="G930">
        <v>14</v>
      </c>
      <c r="H930">
        <v>1</v>
      </c>
      <c r="I930" s="2">
        <f t="shared" si="42"/>
        <v>1.0689839999999999</v>
      </c>
      <c r="J930">
        <f t="shared" si="43"/>
        <v>3.9902351623740201E-2</v>
      </c>
      <c r="K930">
        <f t="shared" si="44"/>
        <v>2.7918098720292502E-2</v>
      </c>
    </row>
    <row r="931" spans="1:11" x14ac:dyDescent="0.25">
      <c r="A931" s="1">
        <v>1972</v>
      </c>
      <c r="B931" s="1" t="s">
        <v>99</v>
      </c>
      <c r="C931" t="s">
        <v>7</v>
      </c>
      <c r="D931" s="1" t="s">
        <v>3</v>
      </c>
      <c r="E931">
        <v>47</v>
      </c>
      <c r="F931" s="1" t="s">
        <v>101</v>
      </c>
      <c r="G931">
        <v>16</v>
      </c>
      <c r="H931">
        <v>2</v>
      </c>
      <c r="I931" s="2">
        <f t="shared" si="42"/>
        <v>2.7924479999999998</v>
      </c>
      <c r="J931">
        <f t="shared" si="43"/>
        <v>0.10423471444568869</v>
      </c>
      <c r="K931">
        <f t="shared" si="44"/>
        <v>7.2928910942804903E-2</v>
      </c>
    </row>
    <row r="932" spans="1:11" x14ac:dyDescent="0.25">
      <c r="A932" s="1">
        <v>1972</v>
      </c>
      <c r="B932" s="1" t="s">
        <v>99</v>
      </c>
      <c r="C932" t="s">
        <v>7</v>
      </c>
      <c r="D932" s="1" t="s">
        <v>3</v>
      </c>
      <c r="E932">
        <v>47</v>
      </c>
      <c r="F932" s="1" t="s">
        <v>101</v>
      </c>
      <c r="G932">
        <v>20</v>
      </c>
      <c r="H932">
        <v>1</v>
      </c>
      <c r="I932" s="2">
        <f t="shared" si="42"/>
        <v>2.1816</v>
      </c>
      <c r="J932">
        <f t="shared" si="43"/>
        <v>8.1433370660694296E-2</v>
      </c>
      <c r="K932">
        <f t="shared" si="44"/>
        <v>5.6975711674066336E-2</v>
      </c>
    </row>
    <row r="933" spans="1:11" x14ac:dyDescent="0.25">
      <c r="A933" s="1">
        <v>1972</v>
      </c>
      <c r="B933" s="1" t="s">
        <v>99</v>
      </c>
      <c r="C933" t="s">
        <v>7</v>
      </c>
      <c r="D933" s="1" t="s">
        <v>3</v>
      </c>
      <c r="E933">
        <v>53</v>
      </c>
      <c r="F933" s="1" t="s">
        <v>101</v>
      </c>
      <c r="G933">
        <v>6</v>
      </c>
      <c r="H933">
        <v>36</v>
      </c>
      <c r="I933" s="2">
        <f t="shared" si="42"/>
        <v>7.068384</v>
      </c>
      <c r="J933">
        <f t="shared" si="43"/>
        <v>0.26384412094064952</v>
      </c>
      <c r="K933">
        <f t="shared" si="44"/>
        <v>0.18460130582397494</v>
      </c>
    </row>
    <row r="934" spans="1:11" x14ac:dyDescent="0.25">
      <c r="A934" s="1">
        <v>1972</v>
      </c>
      <c r="B934" s="1" t="s">
        <v>99</v>
      </c>
      <c r="C934" t="s">
        <v>7</v>
      </c>
      <c r="D934" s="1" t="s">
        <v>3</v>
      </c>
      <c r="E934">
        <v>53</v>
      </c>
      <c r="F934" s="1" t="s">
        <v>101</v>
      </c>
      <c r="G934">
        <v>8</v>
      </c>
      <c r="H934">
        <v>28</v>
      </c>
      <c r="I934" s="2">
        <f t="shared" si="42"/>
        <v>9.7735679999999991</v>
      </c>
      <c r="J934">
        <f t="shared" si="43"/>
        <v>0.36482150055991042</v>
      </c>
      <c r="K934">
        <f t="shared" si="44"/>
        <v>0.25525118829981719</v>
      </c>
    </row>
    <row r="935" spans="1:11" x14ac:dyDescent="0.25">
      <c r="A935" s="1">
        <v>1972</v>
      </c>
      <c r="B935" s="1" t="s">
        <v>99</v>
      </c>
      <c r="C935" t="s">
        <v>7</v>
      </c>
      <c r="D935" s="1" t="s">
        <v>3</v>
      </c>
      <c r="E935">
        <v>53</v>
      </c>
      <c r="F935" s="1" t="s">
        <v>101</v>
      </c>
      <c r="G935">
        <v>10</v>
      </c>
      <c r="H935">
        <v>23</v>
      </c>
      <c r="I935" s="2">
        <f t="shared" si="42"/>
        <v>12.5442</v>
      </c>
      <c r="J935">
        <f t="shared" si="43"/>
        <v>0.46824188129899219</v>
      </c>
      <c r="K935">
        <f t="shared" si="44"/>
        <v>0.32761034212588142</v>
      </c>
    </row>
    <row r="936" spans="1:11" x14ac:dyDescent="0.25">
      <c r="A936" s="1">
        <v>1972</v>
      </c>
      <c r="B936" s="1" t="s">
        <v>99</v>
      </c>
      <c r="C936" t="s">
        <v>7</v>
      </c>
      <c r="D936" s="1" t="s">
        <v>3</v>
      </c>
      <c r="E936">
        <v>53</v>
      </c>
      <c r="F936" s="1" t="s">
        <v>101</v>
      </c>
      <c r="G936">
        <v>12</v>
      </c>
      <c r="H936">
        <v>6</v>
      </c>
      <c r="I936" s="2">
        <f t="shared" si="42"/>
        <v>4.712256</v>
      </c>
      <c r="J936">
        <f t="shared" si="43"/>
        <v>0.17589608062709966</v>
      </c>
      <c r="K936">
        <f t="shared" si="44"/>
        <v>0.12306753721598328</v>
      </c>
    </row>
    <row r="937" spans="1:11" x14ac:dyDescent="0.25">
      <c r="A937" s="1">
        <v>1972</v>
      </c>
      <c r="B937" s="1" t="s">
        <v>99</v>
      </c>
      <c r="C937" t="s">
        <v>7</v>
      </c>
      <c r="D937" s="1" t="s">
        <v>3</v>
      </c>
      <c r="E937">
        <v>53</v>
      </c>
      <c r="F937" s="1" t="s">
        <v>101</v>
      </c>
      <c r="G937">
        <v>14</v>
      </c>
      <c r="H937">
        <v>8</v>
      </c>
      <c r="I937" s="2">
        <f t="shared" si="42"/>
        <v>8.5518719999999995</v>
      </c>
      <c r="J937">
        <f t="shared" si="43"/>
        <v>0.31921881298992161</v>
      </c>
      <c r="K937">
        <f t="shared" si="44"/>
        <v>0.22334478976234001</v>
      </c>
    </row>
    <row r="938" spans="1:11" x14ac:dyDescent="0.25">
      <c r="A938" s="1">
        <v>1972</v>
      </c>
      <c r="B938" s="1" t="s">
        <v>99</v>
      </c>
      <c r="C938" t="s">
        <v>7</v>
      </c>
      <c r="D938" s="1" t="s">
        <v>3</v>
      </c>
      <c r="E938">
        <v>53</v>
      </c>
      <c r="F938" s="1" t="s">
        <v>101</v>
      </c>
      <c r="G938">
        <v>16</v>
      </c>
      <c r="H938">
        <v>4</v>
      </c>
      <c r="I938" s="2">
        <f t="shared" si="42"/>
        <v>5.5848959999999996</v>
      </c>
      <c r="J938">
        <f t="shared" si="43"/>
        <v>0.20846942889137737</v>
      </c>
      <c r="K938">
        <f t="shared" si="44"/>
        <v>0.14585782188560981</v>
      </c>
    </row>
    <row r="939" spans="1:11" x14ac:dyDescent="0.25">
      <c r="A939" s="1">
        <v>1972</v>
      </c>
      <c r="B939" s="1" t="s">
        <v>99</v>
      </c>
      <c r="C939" t="s">
        <v>7</v>
      </c>
      <c r="D939" s="1" t="s">
        <v>3</v>
      </c>
      <c r="E939">
        <v>54</v>
      </c>
      <c r="F939" s="1" t="s">
        <v>101</v>
      </c>
      <c r="G939">
        <v>6</v>
      </c>
      <c r="H939">
        <v>35</v>
      </c>
      <c r="I939" s="2">
        <f t="shared" si="42"/>
        <v>6.8720399999999993</v>
      </c>
      <c r="J939">
        <f t="shared" si="43"/>
        <v>0.256515117581187</v>
      </c>
      <c r="K939">
        <f t="shared" si="44"/>
        <v>0.17947349177330893</v>
      </c>
    </row>
    <row r="940" spans="1:11" x14ac:dyDescent="0.25">
      <c r="A940" s="1">
        <v>1972</v>
      </c>
      <c r="B940" s="1" t="s">
        <v>99</v>
      </c>
      <c r="C940" t="s">
        <v>7</v>
      </c>
      <c r="D940" s="1" t="s">
        <v>3</v>
      </c>
      <c r="E940">
        <v>54</v>
      </c>
      <c r="F940" s="1" t="s">
        <v>101</v>
      </c>
      <c r="G940">
        <v>8</v>
      </c>
      <c r="H940">
        <v>37</v>
      </c>
      <c r="I940" s="2">
        <f t="shared" si="42"/>
        <v>12.915071999999999</v>
      </c>
      <c r="J940">
        <f t="shared" si="43"/>
        <v>0.48208555431131017</v>
      </c>
      <c r="K940">
        <f t="shared" si="44"/>
        <v>0.3372962131104727</v>
      </c>
    </row>
    <row r="941" spans="1:11" x14ac:dyDescent="0.25">
      <c r="A941" s="1">
        <v>1972</v>
      </c>
      <c r="B941" s="1" t="s">
        <v>99</v>
      </c>
      <c r="C941" t="s">
        <v>7</v>
      </c>
      <c r="D941" s="1" t="s">
        <v>3</v>
      </c>
      <c r="E941">
        <v>54</v>
      </c>
      <c r="F941" s="1" t="s">
        <v>101</v>
      </c>
      <c r="G941">
        <v>10</v>
      </c>
      <c r="H941">
        <v>14</v>
      </c>
      <c r="I941" s="2">
        <f t="shared" si="42"/>
        <v>7.6356000000000002</v>
      </c>
      <c r="J941">
        <f t="shared" si="43"/>
        <v>0.28501679731243001</v>
      </c>
      <c r="K941">
        <f t="shared" si="44"/>
        <v>0.19941499085923217</v>
      </c>
    </row>
    <row r="942" spans="1:11" x14ac:dyDescent="0.25">
      <c r="A942" s="1">
        <v>1972</v>
      </c>
      <c r="B942" s="1" t="s">
        <v>99</v>
      </c>
      <c r="C942" t="s">
        <v>7</v>
      </c>
      <c r="D942" s="1" t="s">
        <v>3</v>
      </c>
      <c r="E942">
        <v>54</v>
      </c>
      <c r="F942" s="1" t="s">
        <v>101</v>
      </c>
      <c r="G942">
        <v>12</v>
      </c>
      <c r="H942">
        <v>2</v>
      </c>
      <c r="I942" s="2">
        <f t="shared" si="42"/>
        <v>1.5707519999999999</v>
      </c>
      <c r="J942">
        <f t="shared" si="43"/>
        <v>5.8632026875699884E-2</v>
      </c>
      <c r="K942">
        <f t="shared" si="44"/>
        <v>4.1022512405327755E-2</v>
      </c>
    </row>
    <row r="943" spans="1:11" x14ac:dyDescent="0.25">
      <c r="A943" s="1">
        <v>1972</v>
      </c>
      <c r="B943" s="1" t="s">
        <v>99</v>
      </c>
      <c r="C943" t="s">
        <v>7</v>
      </c>
      <c r="D943" s="1" t="s">
        <v>3</v>
      </c>
      <c r="E943">
        <v>56</v>
      </c>
      <c r="F943" s="1" t="s">
        <v>101</v>
      </c>
      <c r="G943">
        <v>6</v>
      </c>
      <c r="H943">
        <v>36</v>
      </c>
      <c r="I943" s="2">
        <f t="shared" si="42"/>
        <v>7.068384</v>
      </c>
      <c r="J943">
        <f t="shared" si="43"/>
        <v>0.26384412094064952</v>
      </c>
      <c r="K943">
        <f t="shared" si="44"/>
        <v>0.18460130582397494</v>
      </c>
    </row>
    <row r="944" spans="1:11" x14ac:dyDescent="0.25">
      <c r="A944" s="1">
        <v>1972</v>
      </c>
      <c r="B944" s="1" t="s">
        <v>99</v>
      </c>
      <c r="C944" t="s">
        <v>7</v>
      </c>
      <c r="D944" s="1" t="s">
        <v>3</v>
      </c>
      <c r="E944">
        <v>56</v>
      </c>
      <c r="F944" s="1" t="s">
        <v>101</v>
      </c>
      <c r="G944">
        <v>8</v>
      </c>
      <c r="H944">
        <v>22</v>
      </c>
      <c r="I944" s="2">
        <f t="shared" si="42"/>
        <v>7.6792319999999998</v>
      </c>
      <c r="J944">
        <f t="shared" si="43"/>
        <v>0.28664546472564389</v>
      </c>
      <c r="K944">
        <f t="shared" si="44"/>
        <v>0.2005545050927135</v>
      </c>
    </row>
    <row r="945" spans="1:11" x14ac:dyDescent="0.25">
      <c r="A945" s="1">
        <v>1972</v>
      </c>
      <c r="B945" s="1" t="s">
        <v>99</v>
      </c>
      <c r="C945" t="s">
        <v>7</v>
      </c>
      <c r="D945" s="1" t="s">
        <v>3</v>
      </c>
      <c r="E945">
        <v>56</v>
      </c>
      <c r="F945" s="1" t="s">
        <v>101</v>
      </c>
      <c r="G945">
        <v>10</v>
      </c>
      <c r="H945">
        <v>28</v>
      </c>
      <c r="I945" s="2">
        <f t="shared" si="42"/>
        <v>15.2712</v>
      </c>
      <c r="J945">
        <f t="shared" si="43"/>
        <v>0.57003359462486003</v>
      </c>
      <c r="K945">
        <f t="shared" si="44"/>
        <v>0.39882998171846434</v>
      </c>
    </row>
    <row r="946" spans="1:11" x14ac:dyDescent="0.25">
      <c r="A946" s="1">
        <v>1972</v>
      </c>
      <c r="B946" s="1" t="s">
        <v>99</v>
      </c>
      <c r="C946" t="s">
        <v>7</v>
      </c>
      <c r="D946" s="1" t="s">
        <v>3</v>
      </c>
      <c r="E946">
        <v>56</v>
      </c>
      <c r="F946" s="1" t="s">
        <v>101</v>
      </c>
      <c r="G946">
        <v>12</v>
      </c>
      <c r="H946">
        <v>23</v>
      </c>
      <c r="I946" s="2">
        <f t="shared" si="42"/>
        <v>18.063648000000001</v>
      </c>
      <c r="J946">
        <f t="shared" si="43"/>
        <v>0.6742683090705488</v>
      </c>
      <c r="K946">
        <f t="shared" si="44"/>
        <v>0.4717588926612693</v>
      </c>
    </row>
    <row r="947" spans="1:11" x14ac:dyDescent="0.25">
      <c r="A947" s="1">
        <v>1972</v>
      </c>
      <c r="B947" s="1" t="s">
        <v>99</v>
      </c>
      <c r="C947" t="s">
        <v>7</v>
      </c>
      <c r="D947" s="1" t="s">
        <v>3</v>
      </c>
      <c r="E947">
        <v>56</v>
      </c>
      <c r="F947" s="1" t="s">
        <v>101</v>
      </c>
      <c r="G947">
        <v>14</v>
      </c>
      <c r="H947">
        <v>33</v>
      </c>
      <c r="I947" s="2">
        <f t="shared" si="42"/>
        <v>35.276471999999998</v>
      </c>
      <c r="J947">
        <f t="shared" si="43"/>
        <v>1.3167776035834267</v>
      </c>
      <c r="K947">
        <f t="shared" si="44"/>
        <v>0.92129725776965254</v>
      </c>
    </row>
    <row r="948" spans="1:11" x14ac:dyDescent="0.25">
      <c r="A948" s="1">
        <v>1972</v>
      </c>
      <c r="B948" s="1" t="s">
        <v>99</v>
      </c>
      <c r="C948" t="s">
        <v>7</v>
      </c>
      <c r="D948" s="1" t="s">
        <v>3</v>
      </c>
      <c r="E948">
        <v>56</v>
      </c>
      <c r="F948" s="1" t="s">
        <v>101</v>
      </c>
      <c r="G948">
        <v>16</v>
      </c>
      <c r="H948">
        <v>23</v>
      </c>
      <c r="I948" s="2">
        <f t="shared" si="42"/>
        <v>32.113151999999999</v>
      </c>
      <c r="J948">
        <f t="shared" si="43"/>
        <v>1.19869921612542</v>
      </c>
      <c r="K948">
        <f t="shared" si="44"/>
        <v>0.83868247584225641</v>
      </c>
    </row>
    <row r="949" spans="1:11" x14ac:dyDescent="0.25">
      <c r="A949" s="1">
        <v>1972</v>
      </c>
      <c r="B949" s="1" t="s">
        <v>99</v>
      </c>
      <c r="C949" t="s">
        <v>7</v>
      </c>
      <c r="D949" s="1" t="s">
        <v>3</v>
      </c>
      <c r="E949">
        <v>58</v>
      </c>
      <c r="F949" s="1" t="s">
        <v>101</v>
      </c>
      <c r="G949">
        <v>6</v>
      </c>
      <c r="H949">
        <v>109</v>
      </c>
      <c r="I949" s="2">
        <f t="shared" si="42"/>
        <v>21.401495999999998</v>
      </c>
      <c r="J949">
        <f t="shared" si="43"/>
        <v>0.7988613661814109</v>
      </c>
      <c r="K949">
        <f t="shared" si="44"/>
        <v>0.55893173152259068</v>
      </c>
    </row>
    <row r="950" spans="1:11" x14ac:dyDescent="0.25">
      <c r="A950" s="1">
        <v>1972</v>
      </c>
      <c r="B950" s="1" t="s">
        <v>99</v>
      </c>
      <c r="C950" t="s">
        <v>7</v>
      </c>
      <c r="D950" s="1" t="s">
        <v>3</v>
      </c>
      <c r="E950">
        <v>58</v>
      </c>
      <c r="F950" s="1" t="s">
        <v>101</v>
      </c>
      <c r="G950">
        <v>8</v>
      </c>
      <c r="H950">
        <v>58</v>
      </c>
      <c r="I950" s="2">
        <f t="shared" si="42"/>
        <v>20.245248</v>
      </c>
      <c r="J950">
        <f t="shared" si="43"/>
        <v>0.75570167973124303</v>
      </c>
      <c r="K950">
        <f t="shared" si="44"/>
        <v>0.52873460433533559</v>
      </c>
    </row>
    <row r="951" spans="1:11" x14ac:dyDescent="0.25">
      <c r="A951" s="1">
        <v>1972</v>
      </c>
      <c r="B951" s="1" t="s">
        <v>99</v>
      </c>
      <c r="C951" t="s">
        <v>7</v>
      </c>
      <c r="D951" s="1" t="s">
        <v>3</v>
      </c>
      <c r="E951">
        <v>58</v>
      </c>
      <c r="F951" s="1" t="s">
        <v>101</v>
      </c>
      <c r="G951">
        <v>10</v>
      </c>
      <c r="H951">
        <v>2</v>
      </c>
      <c r="I951" s="2">
        <f t="shared" si="42"/>
        <v>1.0908</v>
      </c>
      <c r="J951">
        <f t="shared" si="43"/>
        <v>4.0716685330347148E-2</v>
      </c>
      <c r="K951">
        <f t="shared" si="44"/>
        <v>2.8487855837033168E-2</v>
      </c>
    </row>
    <row r="952" spans="1:11" x14ac:dyDescent="0.25">
      <c r="A952" s="1">
        <v>1972</v>
      </c>
      <c r="B952" s="1" t="s">
        <v>99</v>
      </c>
      <c r="C952" t="s">
        <v>7</v>
      </c>
      <c r="D952" s="1" t="s">
        <v>3</v>
      </c>
      <c r="E952">
        <v>63</v>
      </c>
      <c r="F952" s="1" t="s">
        <v>101</v>
      </c>
      <c r="G952">
        <v>6</v>
      </c>
      <c r="H952">
        <v>35</v>
      </c>
      <c r="I952" s="2">
        <f t="shared" si="42"/>
        <v>6.8720399999999993</v>
      </c>
      <c r="J952">
        <f t="shared" si="43"/>
        <v>0.256515117581187</v>
      </c>
      <c r="K952">
        <f t="shared" si="44"/>
        <v>0.17947349177330893</v>
      </c>
    </row>
    <row r="953" spans="1:11" x14ac:dyDescent="0.25">
      <c r="A953" s="1">
        <v>1972</v>
      </c>
      <c r="B953" s="1" t="s">
        <v>99</v>
      </c>
      <c r="C953" t="s">
        <v>7</v>
      </c>
      <c r="D953" s="1" t="s">
        <v>3</v>
      </c>
      <c r="E953">
        <v>63</v>
      </c>
      <c r="F953" s="1" t="s">
        <v>101</v>
      </c>
      <c r="G953">
        <v>8</v>
      </c>
      <c r="H953">
        <v>5</v>
      </c>
      <c r="I953" s="2">
        <f t="shared" si="42"/>
        <v>1.7452799999999999</v>
      </c>
      <c r="J953">
        <f t="shared" si="43"/>
        <v>6.5146696528555426E-2</v>
      </c>
      <c r="K953">
        <f t="shared" si="44"/>
        <v>4.5580569339253064E-2</v>
      </c>
    </row>
    <row r="954" spans="1:11" x14ac:dyDescent="0.25">
      <c r="A954" s="1">
        <v>1972</v>
      </c>
      <c r="B954" s="1" t="s">
        <v>99</v>
      </c>
      <c r="C954" t="s">
        <v>7</v>
      </c>
      <c r="D954" s="1" t="s">
        <v>3</v>
      </c>
      <c r="E954">
        <v>63</v>
      </c>
      <c r="F954" s="1" t="s">
        <v>101</v>
      </c>
      <c r="G954">
        <v>10</v>
      </c>
      <c r="H954">
        <v>1</v>
      </c>
      <c r="I954" s="2">
        <f t="shared" si="42"/>
        <v>0.5454</v>
      </c>
      <c r="J954">
        <f t="shared" si="43"/>
        <v>2.0358342665173574E-2</v>
      </c>
      <c r="K954">
        <f t="shared" si="44"/>
        <v>1.4243927918516584E-2</v>
      </c>
    </row>
    <row r="955" spans="1:11" x14ac:dyDescent="0.25">
      <c r="A955" s="1">
        <v>1972</v>
      </c>
      <c r="B955" s="1" t="s">
        <v>99</v>
      </c>
      <c r="C955" t="s">
        <v>7</v>
      </c>
      <c r="D955" s="1" t="s">
        <v>3</v>
      </c>
      <c r="E955">
        <v>63</v>
      </c>
      <c r="F955" s="1" t="s">
        <v>101</v>
      </c>
      <c r="G955">
        <v>12</v>
      </c>
      <c r="H955">
        <v>1</v>
      </c>
      <c r="I955" s="2">
        <f t="shared" si="42"/>
        <v>0.78537599999999996</v>
      </c>
      <c r="J955">
        <f t="shared" si="43"/>
        <v>2.9316013437849942E-2</v>
      </c>
      <c r="K955">
        <f t="shared" si="44"/>
        <v>2.0511256202663877E-2</v>
      </c>
    </row>
    <row r="956" spans="1:11" x14ac:dyDescent="0.25">
      <c r="A956" s="1">
        <v>1972</v>
      </c>
      <c r="B956" s="1" t="s">
        <v>99</v>
      </c>
      <c r="C956" t="s">
        <v>7</v>
      </c>
      <c r="D956" s="1" t="s">
        <v>3</v>
      </c>
      <c r="E956">
        <v>65</v>
      </c>
      <c r="F956" s="1" t="s">
        <v>101</v>
      </c>
      <c r="G956">
        <v>6</v>
      </c>
      <c r="H956">
        <v>6</v>
      </c>
      <c r="I956" s="2">
        <f t="shared" si="42"/>
        <v>1.178064</v>
      </c>
      <c r="J956">
        <f t="shared" si="43"/>
        <v>4.3974020156774915E-2</v>
      </c>
      <c r="K956">
        <f t="shared" si="44"/>
        <v>3.0766884303995819E-2</v>
      </c>
    </row>
    <row r="957" spans="1:11" x14ac:dyDescent="0.25">
      <c r="A957" s="1">
        <v>1972</v>
      </c>
      <c r="B957" s="1" t="s">
        <v>99</v>
      </c>
      <c r="C957" t="s">
        <v>7</v>
      </c>
      <c r="D957" s="1" t="s">
        <v>3</v>
      </c>
      <c r="E957">
        <v>65</v>
      </c>
      <c r="F957" s="1" t="s">
        <v>101</v>
      </c>
      <c r="G957">
        <v>8</v>
      </c>
      <c r="H957">
        <v>1</v>
      </c>
      <c r="I957" s="2">
        <f t="shared" si="42"/>
        <v>0.34905599999999998</v>
      </c>
      <c r="J957">
        <f t="shared" si="43"/>
        <v>1.3029339305711086E-2</v>
      </c>
      <c r="K957">
        <f t="shared" si="44"/>
        <v>9.1161138678506129E-3</v>
      </c>
    </row>
    <row r="958" spans="1:11" x14ac:dyDescent="0.25">
      <c r="A958" s="1">
        <v>1972</v>
      </c>
      <c r="B958" s="1" t="s">
        <v>99</v>
      </c>
      <c r="C958" t="s">
        <v>7</v>
      </c>
      <c r="D958" s="1" t="s">
        <v>3</v>
      </c>
      <c r="E958">
        <v>66</v>
      </c>
      <c r="F958" s="1" t="s">
        <v>101</v>
      </c>
      <c r="G958">
        <v>6</v>
      </c>
      <c r="H958">
        <v>6</v>
      </c>
      <c r="I958" s="2">
        <f t="shared" si="42"/>
        <v>1.178064</v>
      </c>
      <c r="J958">
        <f t="shared" si="43"/>
        <v>4.3974020156774915E-2</v>
      </c>
      <c r="K958">
        <f t="shared" si="44"/>
        <v>3.0766884303995819E-2</v>
      </c>
    </row>
    <row r="959" spans="1:11" x14ac:dyDescent="0.25">
      <c r="A959" s="1">
        <v>1972</v>
      </c>
      <c r="B959" s="1" t="s">
        <v>99</v>
      </c>
      <c r="C959" t="s">
        <v>7</v>
      </c>
      <c r="D959" s="1" t="s">
        <v>3</v>
      </c>
      <c r="E959">
        <v>66</v>
      </c>
      <c r="F959" s="1" t="s">
        <v>101</v>
      </c>
      <c r="G959">
        <v>8</v>
      </c>
      <c r="H959">
        <v>4</v>
      </c>
      <c r="I959" s="2">
        <f t="shared" si="42"/>
        <v>1.3962239999999999</v>
      </c>
      <c r="J959">
        <f t="shared" si="43"/>
        <v>5.2117357222844343E-2</v>
      </c>
      <c r="K959">
        <f t="shared" si="44"/>
        <v>3.6464455471402452E-2</v>
      </c>
    </row>
    <row r="960" spans="1:11" x14ac:dyDescent="0.25">
      <c r="A960" s="1">
        <v>1972</v>
      </c>
      <c r="B960" s="1" t="s">
        <v>99</v>
      </c>
      <c r="C960" t="s">
        <v>7</v>
      </c>
      <c r="D960" s="1" t="s">
        <v>3</v>
      </c>
      <c r="E960">
        <v>66</v>
      </c>
      <c r="F960" s="1" t="s">
        <v>101</v>
      </c>
      <c r="G960">
        <v>10</v>
      </c>
      <c r="H960">
        <v>7</v>
      </c>
      <c r="I960" s="2">
        <f t="shared" si="42"/>
        <v>3.8178000000000001</v>
      </c>
      <c r="J960">
        <f t="shared" si="43"/>
        <v>0.14250839865621501</v>
      </c>
      <c r="K960">
        <f t="shared" si="44"/>
        <v>9.9707495429616086E-2</v>
      </c>
    </row>
    <row r="961" spans="1:11" x14ac:dyDescent="0.25">
      <c r="A961" s="1">
        <v>1972</v>
      </c>
      <c r="B961" s="1" t="s">
        <v>99</v>
      </c>
      <c r="C961" t="s">
        <v>7</v>
      </c>
      <c r="D961" s="1" t="s">
        <v>3</v>
      </c>
      <c r="E961">
        <v>66</v>
      </c>
      <c r="F961" s="1" t="s">
        <v>101</v>
      </c>
      <c r="G961">
        <v>12</v>
      </c>
      <c r="H961">
        <v>4</v>
      </c>
      <c r="I961" s="2">
        <f t="shared" si="42"/>
        <v>3.1415039999999999</v>
      </c>
      <c r="J961">
        <f t="shared" si="43"/>
        <v>0.11726405375139977</v>
      </c>
      <c r="K961">
        <f t="shared" si="44"/>
        <v>8.2045024810655509E-2</v>
      </c>
    </row>
    <row r="962" spans="1:11" x14ac:dyDescent="0.25">
      <c r="A962" s="1">
        <v>1972</v>
      </c>
      <c r="B962" s="1" t="s">
        <v>99</v>
      </c>
      <c r="C962" t="s">
        <v>7</v>
      </c>
      <c r="D962" s="1" t="s">
        <v>3</v>
      </c>
      <c r="E962">
        <v>66</v>
      </c>
      <c r="F962" s="1" t="s">
        <v>101</v>
      </c>
      <c r="G962">
        <v>14</v>
      </c>
      <c r="H962">
        <v>6</v>
      </c>
      <c r="I962" s="2">
        <f t="shared" si="42"/>
        <v>6.4139039999999996</v>
      </c>
      <c r="J962">
        <f t="shared" si="43"/>
        <v>0.23941410974244121</v>
      </c>
      <c r="K962">
        <f t="shared" si="44"/>
        <v>0.16750859232175502</v>
      </c>
    </row>
    <row r="963" spans="1:11" x14ac:dyDescent="0.25">
      <c r="A963" s="1">
        <v>1972</v>
      </c>
      <c r="B963" s="1" t="s">
        <v>99</v>
      </c>
      <c r="C963" t="s">
        <v>7</v>
      </c>
      <c r="D963" s="1" t="s">
        <v>3</v>
      </c>
      <c r="E963">
        <v>66</v>
      </c>
      <c r="F963" s="1" t="s">
        <v>101</v>
      </c>
      <c r="G963">
        <v>16</v>
      </c>
      <c r="H963">
        <v>4</v>
      </c>
      <c r="I963" s="2">
        <f t="shared" ref="I963:I1026" si="45">0.005454*G963^2*H963</f>
        <v>5.5848959999999996</v>
      </c>
      <c r="J963">
        <f t="shared" ref="J963:J1026" si="46">I963/26.79</f>
        <v>0.20846942889137737</v>
      </c>
      <c r="K963">
        <f t="shared" ref="K963:K1026" si="47">J963*(26.79/38.29)</f>
        <v>0.14585782188560981</v>
      </c>
    </row>
    <row r="964" spans="1:11" x14ac:dyDescent="0.25">
      <c r="A964" s="1">
        <v>1972</v>
      </c>
      <c r="B964" s="1" t="s">
        <v>99</v>
      </c>
      <c r="C964" t="s">
        <v>7</v>
      </c>
      <c r="D964" s="1" t="s">
        <v>3</v>
      </c>
      <c r="E964">
        <v>71</v>
      </c>
      <c r="F964" s="1" t="s">
        <v>101</v>
      </c>
      <c r="G964">
        <v>6</v>
      </c>
      <c r="H964">
        <v>8</v>
      </c>
      <c r="I964" s="2">
        <f t="shared" si="45"/>
        <v>1.5707519999999999</v>
      </c>
      <c r="J964">
        <f t="shared" si="46"/>
        <v>5.8632026875699884E-2</v>
      </c>
      <c r="K964">
        <f t="shared" si="47"/>
        <v>4.1022512405327755E-2</v>
      </c>
    </row>
    <row r="965" spans="1:11" x14ac:dyDescent="0.25">
      <c r="A965" s="1">
        <v>1972</v>
      </c>
      <c r="B965" s="1" t="s">
        <v>99</v>
      </c>
      <c r="C965" t="s">
        <v>7</v>
      </c>
      <c r="D965" s="1" t="s">
        <v>3</v>
      </c>
      <c r="E965">
        <v>71</v>
      </c>
      <c r="F965" s="1" t="s">
        <v>101</v>
      </c>
      <c r="G965">
        <v>8</v>
      </c>
      <c r="H965">
        <v>18</v>
      </c>
      <c r="I965" s="2">
        <f t="shared" si="45"/>
        <v>6.2830079999999997</v>
      </c>
      <c r="J965">
        <f t="shared" si="46"/>
        <v>0.23452810750279954</v>
      </c>
      <c r="K965">
        <f t="shared" si="47"/>
        <v>0.16409004962131102</v>
      </c>
    </row>
    <row r="966" spans="1:11" x14ac:dyDescent="0.25">
      <c r="A966" s="1">
        <v>1972</v>
      </c>
      <c r="B966" s="1" t="s">
        <v>99</v>
      </c>
      <c r="C966" t="s">
        <v>7</v>
      </c>
      <c r="D966" s="1" t="s">
        <v>3</v>
      </c>
      <c r="E966">
        <v>71</v>
      </c>
      <c r="F966" s="1" t="s">
        <v>101</v>
      </c>
      <c r="G966">
        <v>12</v>
      </c>
      <c r="H966">
        <v>4</v>
      </c>
      <c r="I966" s="2">
        <f t="shared" si="45"/>
        <v>3.1415039999999999</v>
      </c>
      <c r="J966">
        <f t="shared" si="46"/>
        <v>0.11726405375139977</v>
      </c>
      <c r="K966">
        <f t="shared" si="47"/>
        <v>8.2045024810655509E-2</v>
      </c>
    </row>
    <row r="967" spans="1:11" x14ac:dyDescent="0.25">
      <c r="A967" s="1">
        <v>1972</v>
      </c>
      <c r="B967" s="1" t="s">
        <v>99</v>
      </c>
      <c r="C967" t="s">
        <v>7</v>
      </c>
      <c r="D967" s="1" t="s">
        <v>3</v>
      </c>
      <c r="E967">
        <v>76</v>
      </c>
      <c r="F967" s="1" t="s">
        <v>101</v>
      </c>
      <c r="G967">
        <v>6</v>
      </c>
      <c r="H967">
        <v>97</v>
      </c>
      <c r="I967" s="2">
        <f t="shared" si="45"/>
        <v>19.045368</v>
      </c>
      <c r="J967">
        <f t="shared" si="46"/>
        <v>0.71091332586786116</v>
      </c>
      <c r="K967">
        <f t="shared" si="47"/>
        <v>0.49739796291459909</v>
      </c>
    </row>
    <row r="968" spans="1:11" x14ac:dyDescent="0.25">
      <c r="A968" s="1">
        <v>1972</v>
      </c>
      <c r="B968" s="1" t="s">
        <v>99</v>
      </c>
      <c r="C968" t="s">
        <v>7</v>
      </c>
      <c r="D968" s="1" t="s">
        <v>3</v>
      </c>
      <c r="E968">
        <v>76</v>
      </c>
      <c r="F968" s="1" t="s">
        <v>101</v>
      </c>
      <c r="G968">
        <v>8</v>
      </c>
      <c r="H968">
        <v>40</v>
      </c>
      <c r="I968" s="2">
        <f t="shared" si="45"/>
        <v>13.96224</v>
      </c>
      <c r="J968">
        <f t="shared" si="46"/>
        <v>0.5211735722284434</v>
      </c>
      <c r="K968">
        <f t="shared" si="47"/>
        <v>0.36464455471402452</v>
      </c>
    </row>
    <row r="969" spans="1:11" x14ac:dyDescent="0.25">
      <c r="A969" s="1">
        <v>1972</v>
      </c>
      <c r="B969" s="1" t="s">
        <v>99</v>
      </c>
      <c r="C969" t="s">
        <v>7</v>
      </c>
      <c r="D969" s="1" t="s">
        <v>3</v>
      </c>
      <c r="E969">
        <v>76</v>
      </c>
      <c r="F969" s="1" t="s">
        <v>101</v>
      </c>
      <c r="G969">
        <v>10</v>
      </c>
      <c r="H969">
        <v>22</v>
      </c>
      <c r="I969" s="2">
        <f t="shared" si="45"/>
        <v>11.998799999999999</v>
      </c>
      <c r="J969">
        <f t="shared" si="46"/>
        <v>0.44788353863381858</v>
      </c>
      <c r="K969">
        <f t="shared" si="47"/>
        <v>0.31336641420736483</v>
      </c>
    </row>
    <row r="970" spans="1:11" x14ac:dyDescent="0.25">
      <c r="A970" s="1">
        <v>1972</v>
      </c>
      <c r="B970" s="1" t="s">
        <v>99</v>
      </c>
      <c r="C970" t="s">
        <v>7</v>
      </c>
      <c r="D970" s="1" t="s">
        <v>3</v>
      </c>
      <c r="E970">
        <v>76</v>
      </c>
      <c r="F970" s="1" t="s">
        <v>101</v>
      </c>
      <c r="G970">
        <v>12</v>
      </c>
      <c r="H970">
        <v>5</v>
      </c>
      <c r="I970" s="2">
        <f t="shared" si="45"/>
        <v>3.9268799999999997</v>
      </c>
      <c r="J970">
        <f t="shared" si="46"/>
        <v>0.14658006718924971</v>
      </c>
      <c r="K970">
        <f t="shared" si="47"/>
        <v>0.10255628101331939</v>
      </c>
    </row>
    <row r="971" spans="1:11" x14ac:dyDescent="0.25">
      <c r="A971" s="1">
        <v>1972</v>
      </c>
      <c r="B971" s="1" t="s">
        <v>99</v>
      </c>
      <c r="C971" t="s">
        <v>7</v>
      </c>
      <c r="D971" s="1" t="s">
        <v>3</v>
      </c>
      <c r="E971">
        <v>76</v>
      </c>
      <c r="F971" s="1" t="s">
        <v>101</v>
      </c>
      <c r="G971">
        <v>14</v>
      </c>
      <c r="H971">
        <v>1</v>
      </c>
      <c r="I971" s="2">
        <f t="shared" si="45"/>
        <v>1.0689839999999999</v>
      </c>
      <c r="J971">
        <f t="shared" si="46"/>
        <v>3.9902351623740201E-2</v>
      </c>
      <c r="K971">
        <f t="shared" si="47"/>
        <v>2.7918098720292502E-2</v>
      </c>
    </row>
    <row r="972" spans="1:11" x14ac:dyDescent="0.25">
      <c r="A972" s="1">
        <v>1972</v>
      </c>
      <c r="B972" s="1" t="s">
        <v>99</v>
      </c>
      <c r="C972" t="s">
        <v>7</v>
      </c>
      <c r="D972" s="1" t="s">
        <v>3</v>
      </c>
      <c r="E972">
        <v>79</v>
      </c>
      <c r="F972" s="1" t="s">
        <v>101</v>
      </c>
      <c r="G972">
        <v>6</v>
      </c>
      <c r="H972">
        <v>290</v>
      </c>
      <c r="I972" s="2">
        <f t="shared" si="45"/>
        <v>56.93976</v>
      </c>
      <c r="J972">
        <f t="shared" si="46"/>
        <v>2.125410974244121</v>
      </c>
      <c r="K972">
        <f t="shared" si="47"/>
        <v>1.4870660746931312</v>
      </c>
    </row>
    <row r="973" spans="1:11" x14ac:dyDescent="0.25">
      <c r="A973" s="1">
        <v>1972</v>
      </c>
      <c r="B973" s="1" t="s">
        <v>99</v>
      </c>
      <c r="C973" t="s">
        <v>7</v>
      </c>
      <c r="D973" s="1" t="s">
        <v>3</v>
      </c>
      <c r="E973">
        <v>79</v>
      </c>
      <c r="F973" s="1" t="s">
        <v>101</v>
      </c>
      <c r="G973">
        <v>8</v>
      </c>
      <c r="H973">
        <v>141</v>
      </c>
      <c r="I973" s="2">
        <f t="shared" si="45"/>
        <v>49.216895999999998</v>
      </c>
      <c r="J973">
        <f t="shared" si="46"/>
        <v>1.8371368421052632</v>
      </c>
      <c r="K973">
        <f t="shared" si="47"/>
        <v>1.2853720553669366</v>
      </c>
    </row>
    <row r="974" spans="1:11" x14ac:dyDescent="0.25">
      <c r="A974" s="1">
        <v>1972</v>
      </c>
      <c r="B974" s="1" t="s">
        <v>99</v>
      </c>
      <c r="C974" t="s">
        <v>7</v>
      </c>
      <c r="D974" s="1" t="s">
        <v>3</v>
      </c>
      <c r="E974">
        <v>79</v>
      </c>
      <c r="F974" s="1" t="s">
        <v>101</v>
      </c>
      <c r="G974">
        <v>10</v>
      </c>
      <c r="H974">
        <v>66</v>
      </c>
      <c r="I974" s="2">
        <f t="shared" si="45"/>
        <v>35.996400000000001</v>
      </c>
      <c r="J974">
        <f t="shared" si="46"/>
        <v>1.3436506159014558</v>
      </c>
      <c r="K974">
        <f t="shared" si="47"/>
        <v>0.94009924262209454</v>
      </c>
    </row>
    <row r="975" spans="1:11" x14ac:dyDescent="0.25">
      <c r="A975" s="1">
        <v>1972</v>
      </c>
      <c r="B975" s="1" t="s">
        <v>99</v>
      </c>
      <c r="C975" t="s">
        <v>7</v>
      </c>
      <c r="D975" s="1" t="s">
        <v>3</v>
      </c>
      <c r="E975">
        <v>79</v>
      </c>
      <c r="F975" s="1" t="s">
        <v>101</v>
      </c>
      <c r="G975">
        <v>12</v>
      </c>
      <c r="H975">
        <v>33</v>
      </c>
      <c r="I975" s="2">
        <f t="shared" si="45"/>
        <v>25.917407999999998</v>
      </c>
      <c r="J975">
        <f t="shared" si="46"/>
        <v>0.9674284434490481</v>
      </c>
      <c r="K975">
        <f t="shared" si="47"/>
        <v>0.67687145468790799</v>
      </c>
    </row>
    <row r="976" spans="1:11" x14ac:dyDescent="0.25">
      <c r="A976" s="1">
        <v>1972</v>
      </c>
      <c r="B976" s="1" t="s">
        <v>99</v>
      </c>
      <c r="C976" t="s">
        <v>7</v>
      </c>
      <c r="D976" s="1" t="s">
        <v>3</v>
      </c>
      <c r="E976">
        <v>79</v>
      </c>
      <c r="F976" s="1" t="s">
        <v>101</v>
      </c>
      <c r="G976">
        <v>14</v>
      </c>
      <c r="H976">
        <v>17</v>
      </c>
      <c r="I976" s="2">
        <f t="shared" si="45"/>
        <v>18.172727999999999</v>
      </c>
      <c r="J976">
        <f t="shared" si="46"/>
        <v>0.67833997760358344</v>
      </c>
      <c r="K976">
        <f t="shared" si="47"/>
        <v>0.47460767824497258</v>
      </c>
    </row>
    <row r="977" spans="1:11" x14ac:dyDescent="0.25">
      <c r="A977" s="1">
        <v>1972</v>
      </c>
      <c r="B977" s="1" t="s">
        <v>99</v>
      </c>
      <c r="C977" t="s">
        <v>7</v>
      </c>
      <c r="D977" s="1" t="s">
        <v>3</v>
      </c>
      <c r="E977">
        <v>79</v>
      </c>
      <c r="F977" s="1" t="s">
        <v>101</v>
      </c>
      <c r="G977">
        <v>16</v>
      </c>
      <c r="H977">
        <v>2</v>
      </c>
      <c r="I977" s="2">
        <f t="shared" si="45"/>
        <v>2.7924479999999998</v>
      </c>
      <c r="J977">
        <f t="shared" si="46"/>
        <v>0.10423471444568869</v>
      </c>
      <c r="K977">
        <f t="shared" si="47"/>
        <v>7.2928910942804903E-2</v>
      </c>
    </row>
    <row r="978" spans="1:11" x14ac:dyDescent="0.25">
      <c r="A978" s="1">
        <v>1972</v>
      </c>
      <c r="B978" s="1" t="s">
        <v>99</v>
      </c>
      <c r="C978" t="s">
        <v>7</v>
      </c>
      <c r="D978" s="1" t="s">
        <v>3</v>
      </c>
      <c r="E978">
        <v>84</v>
      </c>
      <c r="F978" s="1" t="s">
        <v>101</v>
      </c>
      <c r="G978">
        <v>6</v>
      </c>
      <c r="H978">
        <v>4</v>
      </c>
      <c r="I978" s="2">
        <f t="shared" si="45"/>
        <v>0.78537599999999996</v>
      </c>
      <c r="J978">
        <f t="shared" si="46"/>
        <v>2.9316013437849942E-2</v>
      </c>
      <c r="K978">
        <f t="shared" si="47"/>
        <v>2.0511256202663877E-2</v>
      </c>
    </row>
    <row r="979" spans="1:11" x14ac:dyDescent="0.25">
      <c r="A979" s="1">
        <v>1972</v>
      </c>
      <c r="B979" s="1" t="s">
        <v>99</v>
      </c>
      <c r="C979" t="s">
        <v>7</v>
      </c>
      <c r="D979" s="1" t="s">
        <v>3</v>
      </c>
      <c r="E979">
        <v>84</v>
      </c>
      <c r="F979" s="1" t="s">
        <v>101</v>
      </c>
      <c r="G979">
        <v>8</v>
      </c>
      <c r="H979">
        <v>1</v>
      </c>
      <c r="I979" s="2">
        <f t="shared" si="45"/>
        <v>0.34905599999999998</v>
      </c>
      <c r="J979">
        <f t="shared" si="46"/>
        <v>1.3029339305711086E-2</v>
      </c>
      <c r="K979">
        <f t="shared" si="47"/>
        <v>9.1161138678506129E-3</v>
      </c>
    </row>
    <row r="980" spans="1:11" x14ac:dyDescent="0.25">
      <c r="A980" s="1">
        <v>1972</v>
      </c>
      <c r="B980" s="1" t="s">
        <v>99</v>
      </c>
      <c r="C980" t="s">
        <v>7</v>
      </c>
      <c r="D980" s="1" t="s">
        <v>3</v>
      </c>
      <c r="E980">
        <v>84</v>
      </c>
      <c r="F980" s="1" t="s">
        <v>101</v>
      </c>
      <c r="G980">
        <v>10</v>
      </c>
      <c r="H980">
        <v>2</v>
      </c>
      <c r="I980" s="2">
        <f t="shared" si="45"/>
        <v>1.0908</v>
      </c>
      <c r="J980">
        <f t="shared" si="46"/>
        <v>4.0716685330347148E-2</v>
      </c>
      <c r="K980">
        <f t="shared" si="47"/>
        <v>2.8487855837033168E-2</v>
      </c>
    </row>
    <row r="981" spans="1:11" x14ac:dyDescent="0.25">
      <c r="A981" s="1">
        <v>1972</v>
      </c>
      <c r="B981" s="1" t="s">
        <v>99</v>
      </c>
      <c r="C981" t="s">
        <v>7</v>
      </c>
      <c r="D981" s="1" t="s">
        <v>3</v>
      </c>
      <c r="E981">
        <v>84</v>
      </c>
      <c r="F981" s="1" t="s">
        <v>101</v>
      </c>
      <c r="G981">
        <v>12</v>
      </c>
      <c r="H981">
        <v>1</v>
      </c>
      <c r="I981" s="2">
        <f t="shared" si="45"/>
        <v>0.78537599999999996</v>
      </c>
      <c r="J981">
        <f t="shared" si="46"/>
        <v>2.9316013437849942E-2</v>
      </c>
      <c r="K981">
        <f t="shared" si="47"/>
        <v>2.0511256202663877E-2</v>
      </c>
    </row>
    <row r="982" spans="1:11" x14ac:dyDescent="0.25">
      <c r="A982" s="1">
        <v>1972</v>
      </c>
      <c r="B982" s="1" t="s">
        <v>99</v>
      </c>
      <c r="C982" t="s">
        <v>7</v>
      </c>
      <c r="D982" s="1" t="s">
        <v>3</v>
      </c>
      <c r="E982">
        <v>84</v>
      </c>
      <c r="F982" s="1" t="s">
        <v>101</v>
      </c>
      <c r="G982">
        <v>16</v>
      </c>
      <c r="H982">
        <v>1</v>
      </c>
      <c r="I982" s="2">
        <f t="shared" si="45"/>
        <v>1.3962239999999999</v>
      </c>
      <c r="J982">
        <f t="shared" si="46"/>
        <v>5.2117357222844343E-2</v>
      </c>
      <c r="K982">
        <f t="shared" si="47"/>
        <v>3.6464455471402452E-2</v>
      </c>
    </row>
    <row r="983" spans="1:11" x14ac:dyDescent="0.25">
      <c r="A983" s="1">
        <v>1972</v>
      </c>
      <c r="B983" s="1" t="s">
        <v>99</v>
      </c>
      <c r="C983" t="s">
        <v>7</v>
      </c>
      <c r="D983" s="1" t="s">
        <v>3</v>
      </c>
      <c r="E983">
        <v>85</v>
      </c>
      <c r="F983" s="1" t="s">
        <v>101</v>
      </c>
      <c r="G983">
        <v>6</v>
      </c>
      <c r="H983">
        <v>1</v>
      </c>
      <c r="I983" s="2">
        <f t="shared" si="45"/>
        <v>0.19634399999999999</v>
      </c>
      <c r="J983">
        <f t="shared" si="46"/>
        <v>7.3290033594624856E-3</v>
      </c>
      <c r="K983">
        <f t="shared" si="47"/>
        <v>5.1278140506659693E-3</v>
      </c>
    </row>
    <row r="984" spans="1:11" x14ac:dyDescent="0.25">
      <c r="A984" s="1">
        <v>1972</v>
      </c>
      <c r="B984" s="1" t="s">
        <v>99</v>
      </c>
      <c r="C984" t="s">
        <v>7</v>
      </c>
      <c r="D984" s="1" t="s">
        <v>3</v>
      </c>
      <c r="E984">
        <v>85</v>
      </c>
      <c r="F984" s="1" t="s">
        <v>101</v>
      </c>
      <c r="G984">
        <v>8</v>
      </c>
      <c r="H984">
        <v>3</v>
      </c>
      <c r="I984" s="2">
        <f t="shared" si="45"/>
        <v>1.0471679999999999</v>
      </c>
      <c r="J984">
        <f t="shared" si="46"/>
        <v>3.9088017917133254E-2</v>
      </c>
      <c r="K984">
        <f t="shared" si="47"/>
        <v>2.7348341603551835E-2</v>
      </c>
    </row>
    <row r="985" spans="1:11" x14ac:dyDescent="0.25">
      <c r="A985" s="1">
        <v>1972</v>
      </c>
      <c r="B985" s="1" t="s">
        <v>99</v>
      </c>
      <c r="C985" t="s">
        <v>7</v>
      </c>
      <c r="D985" s="1" t="s">
        <v>3</v>
      </c>
      <c r="E985">
        <v>85</v>
      </c>
      <c r="F985" s="1" t="s">
        <v>101</v>
      </c>
      <c r="G985">
        <v>10</v>
      </c>
      <c r="H985">
        <v>13</v>
      </c>
      <c r="I985" s="2">
        <f t="shared" si="45"/>
        <v>7.0902000000000003</v>
      </c>
      <c r="J985">
        <f t="shared" si="46"/>
        <v>0.26465845464725646</v>
      </c>
      <c r="K985">
        <f t="shared" si="47"/>
        <v>0.18517106294071559</v>
      </c>
    </row>
    <row r="986" spans="1:11" x14ac:dyDescent="0.25">
      <c r="A986" s="1">
        <v>1972</v>
      </c>
      <c r="B986" s="1" t="s">
        <v>99</v>
      </c>
      <c r="C986" t="s">
        <v>7</v>
      </c>
      <c r="D986" s="1" t="s">
        <v>3</v>
      </c>
      <c r="E986">
        <v>85</v>
      </c>
      <c r="F986" s="1" t="s">
        <v>101</v>
      </c>
      <c r="G986">
        <v>12</v>
      </c>
      <c r="H986">
        <v>9</v>
      </c>
      <c r="I986" s="2">
        <f t="shared" si="45"/>
        <v>7.068384</v>
      </c>
      <c r="J986">
        <f t="shared" si="46"/>
        <v>0.26384412094064952</v>
      </c>
      <c r="K986">
        <f t="shared" si="47"/>
        <v>0.18460130582397494</v>
      </c>
    </row>
    <row r="987" spans="1:11" x14ac:dyDescent="0.25">
      <c r="A987" s="1">
        <v>1972</v>
      </c>
      <c r="B987" s="1" t="s">
        <v>99</v>
      </c>
      <c r="C987" t="s">
        <v>7</v>
      </c>
      <c r="D987" s="1" t="s">
        <v>3</v>
      </c>
      <c r="E987">
        <v>85</v>
      </c>
      <c r="F987" s="1" t="s">
        <v>101</v>
      </c>
      <c r="G987">
        <v>14</v>
      </c>
      <c r="H987">
        <v>22</v>
      </c>
      <c r="I987" s="2">
        <f t="shared" si="45"/>
        <v>23.517647999999998</v>
      </c>
      <c r="J987">
        <f t="shared" si="46"/>
        <v>0.87785173572228437</v>
      </c>
      <c r="K987">
        <f t="shared" si="47"/>
        <v>0.61419817184643499</v>
      </c>
    </row>
    <row r="988" spans="1:11" x14ac:dyDescent="0.25">
      <c r="A988" s="1">
        <v>1972</v>
      </c>
      <c r="B988" s="1" t="s">
        <v>99</v>
      </c>
      <c r="C988" t="s">
        <v>7</v>
      </c>
      <c r="D988" s="1" t="s">
        <v>3</v>
      </c>
      <c r="E988">
        <v>85</v>
      </c>
      <c r="F988" s="1" t="s">
        <v>101</v>
      </c>
      <c r="G988">
        <v>16</v>
      </c>
      <c r="H988">
        <v>29</v>
      </c>
      <c r="I988" s="2">
        <f t="shared" si="45"/>
        <v>40.490496</v>
      </c>
      <c r="J988">
        <f t="shared" si="46"/>
        <v>1.5114033594624861</v>
      </c>
      <c r="K988">
        <f t="shared" si="47"/>
        <v>1.0574692086706712</v>
      </c>
    </row>
    <row r="989" spans="1:11" x14ac:dyDescent="0.25">
      <c r="A989" s="1">
        <v>1972</v>
      </c>
      <c r="B989" s="1" t="s">
        <v>99</v>
      </c>
      <c r="C989" t="s">
        <v>7</v>
      </c>
      <c r="D989" s="1" t="s">
        <v>3</v>
      </c>
      <c r="E989">
        <v>86</v>
      </c>
      <c r="F989" s="1" t="s">
        <v>101</v>
      </c>
      <c r="G989">
        <v>6</v>
      </c>
      <c r="H989">
        <v>7</v>
      </c>
      <c r="I989" s="2">
        <f t="shared" si="45"/>
        <v>1.3744079999999999</v>
      </c>
      <c r="J989">
        <f t="shared" si="46"/>
        <v>5.1303023516237396E-2</v>
      </c>
      <c r="K989">
        <f t="shared" si="47"/>
        <v>3.5894698354661782E-2</v>
      </c>
    </row>
    <row r="990" spans="1:11" x14ac:dyDescent="0.25">
      <c r="A990" s="1">
        <v>1972</v>
      </c>
      <c r="B990" s="1" t="s">
        <v>99</v>
      </c>
      <c r="C990" t="s">
        <v>7</v>
      </c>
      <c r="D990" s="1" t="s">
        <v>3</v>
      </c>
      <c r="E990">
        <v>86</v>
      </c>
      <c r="F990" s="1" t="s">
        <v>101</v>
      </c>
      <c r="G990">
        <v>8</v>
      </c>
      <c r="H990">
        <v>1</v>
      </c>
      <c r="I990" s="2">
        <f t="shared" si="45"/>
        <v>0.34905599999999998</v>
      </c>
      <c r="J990">
        <f t="shared" si="46"/>
        <v>1.3029339305711086E-2</v>
      </c>
      <c r="K990">
        <f t="shared" si="47"/>
        <v>9.1161138678506129E-3</v>
      </c>
    </row>
    <row r="991" spans="1:11" x14ac:dyDescent="0.25">
      <c r="A991" s="1">
        <v>1972</v>
      </c>
      <c r="B991" s="1" t="s">
        <v>99</v>
      </c>
      <c r="C991" t="s">
        <v>7</v>
      </c>
      <c r="D991" s="1" t="s">
        <v>3</v>
      </c>
      <c r="E991">
        <v>88</v>
      </c>
      <c r="F991" s="1" t="s">
        <v>101</v>
      </c>
      <c r="G991">
        <v>6</v>
      </c>
      <c r="H991">
        <v>4</v>
      </c>
      <c r="I991" s="2">
        <f t="shared" si="45"/>
        <v>0.78537599999999996</v>
      </c>
      <c r="J991">
        <f t="shared" si="46"/>
        <v>2.9316013437849942E-2</v>
      </c>
      <c r="K991">
        <f t="shared" si="47"/>
        <v>2.0511256202663877E-2</v>
      </c>
    </row>
    <row r="992" spans="1:11" x14ac:dyDescent="0.25">
      <c r="A992" s="1">
        <v>1972</v>
      </c>
      <c r="B992" s="1" t="s">
        <v>99</v>
      </c>
      <c r="C992" t="s">
        <v>7</v>
      </c>
      <c r="D992" s="1" t="s">
        <v>3</v>
      </c>
      <c r="E992">
        <v>88</v>
      </c>
      <c r="F992" s="1" t="s">
        <v>101</v>
      </c>
      <c r="G992">
        <v>8</v>
      </c>
      <c r="H992">
        <v>6</v>
      </c>
      <c r="I992" s="2">
        <f t="shared" si="45"/>
        <v>2.0943359999999998</v>
      </c>
      <c r="J992">
        <f t="shared" si="46"/>
        <v>7.8176035834266508E-2</v>
      </c>
      <c r="K992">
        <f t="shared" si="47"/>
        <v>5.469668320710367E-2</v>
      </c>
    </row>
    <row r="993" spans="1:11" x14ac:dyDescent="0.25">
      <c r="A993" s="1">
        <v>1972</v>
      </c>
      <c r="B993" s="1" t="s">
        <v>99</v>
      </c>
      <c r="C993" t="s">
        <v>7</v>
      </c>
      <c r="D993" s="1" t="s">
        <v>3</v>
      </c>
      <c r="E993">
        <v>91</v>
      </c>
      <c r="F993" s="1" t="s">
        <v>101</v>
      </c>
      <c r="G993">
        <v>6</v>
      </c>
      <c r="H993">
        <v>16</v>
      </c>
      <c r="I993" s="2">
        <f t="shared" si="45"/>
        <v>3.1415039999999999</v>
      </c>
      <c r="J993">
        <f t="shared" si="46"/>
        <v>0.11726405375139977</v>
      </c>
      <c r="K993">
        <f t="shared" si="47"/>
        <v>8.2045024810655509E-2</v>
      </c>
    </row>
    <row r="994" spans="1:11" x14ac:dyDescent="0.25">
      <c r="A994" s="1">
        <v>1972</v>
      </c>
      <c r="B994" s="1" t="s">
        <v>99</v>
      </c>
      <c r="C994" t="s">
        <v>7</v>
      </c>
      <c r="D994" s="1" t="s">
        <v>3</v>
      </c>
      <c r="E994">
        <v>91</v>
      </c>
      <c r="F994" s="1" t="s">
        <v>101</v>
      </c>
      <c r="G994">
        <v>8</v>
      </c>
      <c r="H994">
        <v>8</v>
      </c>
      <c r="I994" s="2">
        <f t="shared" si="45"/>
        <v>2.7924479999999998</v>
      </c>
      <c r="J994">
        <f t="shared" si="46"/>
        <v>0.10423471444568869</v>
      </c>
      <c r="K994">
        <f t="shared" si="47"/>
        <v>7.2928910942804903E-2</v>
      </c>
    </row>
    <row r="995" spans="1:11" x14ac:dyDescent="0.25">
      <c r="A995" s="1">
        <v>1972</v>
      </c>
      <c r="B995" s="1" t="s">
        <v>99</v>
      </c>
      <c r="C995" t="s">
        <v>7</v>
      </c>
      <c r="D995" s="1" t="s">
        <v>3</v>
      </c>
      <c r="E995">
        <v>91</v>
      </c>
      <c r="F995" s="1" t="s">
        <v>101</v>
      </c>
      <c r="G995">
        <v>10</v>
      </c>
      <c r="H995">
        <v>7</v>
      </c>
      <c r="I995" s="2">
        <f t="shared" si="45"/>
        <v>3.8178000000000001</v>
      </c>
      <c r="J995">
        <f t="shared" si="46"/>
        <v>0.14250839865621501</v>
      </c>
      <c r="K995">
        <f t="shared" si="47"/>
        <v>9.9707495429616086E-2</v>
      </c>
    </row>
    <row r="996" spans="1:11" x14ac:dyDescent="0.25">
      <c r="A996" s="1">
        <v>1972</v>
      </c>
      <c r="B996" s="1" t="s">
        <v>99</v>
      </c>
      <c r="C996" t="s">
        <v>7</v>
      </c>
      <c r="D996" s="1" t="s">
        <v>3</v>
      </c>
      <c r="E996">
        <v>91</v>
      </c>
      <c r="F996" s="1" t="s">
        <v>101</v>
      </c>
      <c r="G996">
        <v>12</v>
      </c>
      <c r="H996">
        <v>9</v>
      </c>
      <c r="I996" s="2">
        <f t="shared" si="45"/>
        <v>7.068384</v>
      </c>
      <c r="J996">
        <f t="shared" si="46"/>
        <v>0.26384412094064952</v>
      </c>
      <c r="K996">
        <f t="shared" si="47"/>
        <v>0.18460130582397494</v>
      </c>
    </row>
    <row r="997" spans="1:11" x14ac:dyDescent="0.25">
      <c r="A997" s="1">
        <v>1972</v>
      </c>
      <c r="B997" s="1" t="s">
        <v>99</v>
      </c>
      <c r="C997" t="s">
        <v>7</v>
      </c>
      <c r="D997" s="1" t="s">
        <v>3</v>
      </c>
      <c r="E997">
        <v>91</v>
      </c>
      <c r="F997" s="1" t="s">
        <v>101</v>
      </c>
      <c r="G997">
        <v>14</v>
      </c>
      <c r="H997">
        <v>5</v>
      </c>
      <c r="I997" s="2">
        <f t="shared" si="45"/>
        <v>5.3449200000000001</v>
      </c>
      <c r="J997">
        <f t="shared" si="46"/>
        <v>0.199511758118701</v>
      </c>
      <c r="K997">
        <f t="shared" si="47"/>
        <v>0.1395904936014625</v>
      </c>
    </row>
    <row r="998" spans="1:11" x14ac:dyDescent="0.25">
      <c r="A998" s="1">
        <v>1972</v>
      </c>
      <c r="B998" s="1" t="s">
        <v>99</v>
      </c>
      <c r="C998" t="s">
        <v>7</v>
      </c>
      <c r="D998" s="1" t="s">
        <v>5</v>
      </c>
      <c r="E998">
        <v>21</v>
      </c>
      <c r="F998" s="1" t="s">
        <v>101</v>
      </c>
      <c r="G998">
        <v>6</v>
      </c>
      <c r="H998">
        <v>2</v>
      </c>
      <c r="I998" s="2">
        <f t="shared" si="45"/>
        <v>0.39268799999999998</v>
      </c>
      <c r="J998">
        <f t="shared" si="46"/>
        <v>1.4658006718924971E-2</v>
      </c>
      <c r="K998">
        <f t="shared" si="47"/>
        <v>1.0255628101331939E-2</v>
      </c>
    </row>
    <row r="999" spans="1:11" x14ac:dyDescent="0.25">
      <c r="A999" s="1">
        <v>1972</v>
      </c>
      <c r="B999" s="1" t="s">
        <v>99</v>
      </c>
      <c r="C999" t="s">
        <v>7</v>
      </c>
      <c r="D999" s="1" t="s">
        <v>5</v>
      </c>
      <c r="E999">
        <v>29</v>
      </c>
      <c r="F999" s="1" t="s">
        <v>101</v>
      </c>
      <c r="G999">
        <v>6</v>
      </c>
      <c r="H999">
        <v>2</v>
      </c>
      <c r="I999" s="2">
        <f t="shared" si="45"/>
        <v>0.39268799999999998</v>
      </c>
      <c r="J999">
        <f t="shared" si="46"/>
        <v>1.4658006718924971E-2</v>
      </c>
      <c r="K999">
        <f t="shared" si="47"/>
        <v>1.0255628101331939E-2</v>
      </c>
    </row>
    <row r="1000" spans="1:11" x14ac:dyDescent="0.25">
      <c r="A1000" s="1">
        <v>1972</v>
      </c>
      <c r="B1000" s="1" t="s">
        <v>99</v>
      </c>
      <c r="C1000" t="s">
        <v>7</v>
      </c>
      <c r="D1000" s="1" t="s">
        <v>5</v>
      </c>
      <c r="E1000">
        <v>32</v>
      </c>
      <c r="F1000" s="1" t="s">
        <v>101</v>
      </c>
      <c r="G1000">
        <v>12</v>
      </c>
      <c r="H1000">
        <v>2</v>
      </c>
      <c r="I1000" s="2">
        <f t="shared" si="45"/>
        <v>1.5707519999999999</v>
      </c>
      <c r="J1000">
        <f t="shared" si="46"/>
        <v>5.8632026875699884E-2</v>
      </c>
      <c r="K1000">
        <f t="shared" si="47"/>
        <v>4.1022512405327755E-2</v>
      </c>
    </row>
    <row r="1001" spans="1:11" x14ac:dyDescent="0.25">
      <c r="A1001" s="1">
        <v>1972</v>
      </c>
      <c r="B1001" s="1" t="s">
        <v>99</v>
      </c>
      <c r="C1001" t="s">
        <v>7</v>
      </c>
      <c r="D1001" s="1" t="s">
        <v>5</v>
      </c>
      <c r="E1001">
        <v>32</v>
      </c>
      <c r="F1001" s="1" t="s">
        <v>101</v>
      </c>
      <c r="G1001">
        <v>14</v>
      </c>
      <c r="H1001">
        <v>4</v>
      </c>
      <c r="I1001" s="2">
        <f t="shared" si="45"/>
        <v>4.2759359999999997</v>
      </c>
      <c r="J1001">
        <f t="shared" si="46"/>
        <v>0.1596094064949608</v>
      </c>
      <c r="K1001">
        <f t="shared" si="47"/>
        <v>0.11167239488117001</v>
      </c>
    </row>
    <row r="1002" spans="1:11" x14ac:dyDescent="0.25">
      <c r="A1002" s="1">
        <v>1972</v>
      </c>
      <c r="B1002" s="1" t="s">
        <v>99</v>
      </c>
      <c r="C1002" t="s">
        <v>7</v>
      </c>
      <c r="D1002" s="1" t="s">
        <v>5</v>
      </c>
      <c r="E1002">
        <v>32</v>
      </c>
      <c r="F1002" s="1" t="s">
        <v>101</v>
      </c>
      <c r="G1002">
        <v>16</v>
      </c>
      <c r="H1002">
        <v>5</v>
      </c>
      <c r="I1002" s="2">
        <f t="shared" si="45"/>
        <v>6.9811199999999998</v>
      </c>
      <c r="J1002">
        <f t="shared" si="46"/>
        <v>0.2605867861142217</v>
      </c>
      <c r="K1002">
        <f t="shared" si="47"/>
        <v>0.18232227735701226</v>
      </c>
    </row>
    <row r="1003" spans="1:11" x14ac:dyDescent="0.25">
      <c r="A1003" s="1">
        <v>1972</v>
      </c>
      <c r="B1003" s="1" t="s">
        <v>99</v>
      </c>
      <c r="C1003" t="s">
        <v>7</v>
      </c>
      <c r="D1003" s="1" t="s">
        <v>5</v>
      </c>
      <c r="E1003">
        <v>34</v>
      </c>
      <c r="F1003" s="1" t="s">
        <v>101</v>
      </c>
      <c r="G1003">
        <v>6</v>
      </c>
      <c r="H1003">
        <v>2</v>
      </c>
      <c r="I1003" s="2">
        <f t="shared" si="45"/>
        <v>0.39268799999999998</v>
      </c>
      <c r="J1003">
        <f t="shared" si="46"/>
        <v>1.4658006718924971E-2</v>
      </c>
      <c r="K1003">
        <f t="shared" si="47"/>
        <v>1.0255628101331939E-2</v>
      </c>
    </row>
    <row r="1004" spans="1:11" x14ac:dyDescent="0.25">
      <c r="A1004" s="1">
        <v>1972</v>
      </c>
      <c r="B1004" s="1" t="s">
        <v>99</v>
      </c>
      <c r="C1004" t="s">
        <v>7</v>
      </c>
      <c r="D1004" s="1" t="s">
        <v>5</v>
      </c>
      <c r="E1004">
        <v>34</v>
      </c>
      <c r="F1004" s="1" t="s">
        <v>101</v>
      </c>
      <c r="G1004">
        <v>12</v>
      </c>
      <c r="H1004">
        <v>1</v>
      </c>
      <c r="I1004" s="2">
        <f t="shared" si="45"/>
        <v>0.78537599999999996</v>
      </c>
      <c r="J1004">
        <f t="shared" si="46"/>
        <v>2.9316013437849942E-2</v>
      </c>
      <c r="K1004">
        <f t="shared" si="47"/>
        <v>2.0511256202663877E-2</v>
      </c>
    </row>
    <row r="1005" spans="1:11" x14ac:dyDescent="0.25">
      <c r="A1005" s="1">
        <v>1972</v>
      </c>
      <c r="B1005" s="1" t="s">
        <v>99</v>
      </c>
      <c r="C1005" t="s">
        <v>7</v>
      </c>
      <c r="D1005" s="1" t="s">
        <v>5</v>
      </c>
      <c r="E1005">
        <v>38</v>
      </c>
      <c r="F1005" s="1" t="s">
        <v>101</v>
      </c>
      <c r="G1005">
        <v>6</v>
      </c>
      <c r="H1005">
        <v>2</v>
      </c>
      <c r="I1005" s="2">
        <f t="shared" si="45"/>
        <v>0.39268799999999998</v>
      </c>
      <c r="J1005">
        <f t="shared" si="46"/>
        <v>1.4658006718924971E-2</v>
      </c>
      <c r="K1005">
        <f t="shared" si="47"/>
        <v>1.0255628101331939E-2</v>
      </c>
    </row>
    <row r="1006" spans="1:11" x14ac:dyDescent="0.25">
      <c r="A1006" s="1">
        <v>1972</v>
      </c>
      <c r="B1006" s="1" t="s">
        <v>99</v>
      </c>
      <c r="C1006" t="s">
        <v>7</v>
      </c>
      <c r="D1006" s="1" t="s">
        <v>5</v>
      </c>
      <c r="E1006">
        <v>38</v>
      </c>
      <c r="F1006" s="1" t="s">
        <v>101</v>
      </c>
      <c r="G1006">
        <v>8</v>
      </c>
      <c r="H1006">
        <v>1</v>
      </c>
      <c r="I1006" s="2">
        <f t="shared" si="45"/>
        <v>0.34905599999999998</v>
      </c>
      <c r="J1006">
        <f t="shared" si="46"/>
        <v>1.3029339305711086E-2</v>
      </c>
      <c r="K1006">
        <f t="shared" si="47"/>
        <v>9.1161138678506129E-3</v>
      </c>
    </row>
    <row r="1007" spans="1:11" x14ac:dyDescent="0.25">
      <c r="A1007" s="1">
        <v>1972</v>
      </c>
      <c r="B1007" s="1" t="s">
        <v>99</v>
      </c>
      <c r="C1007" t="s">
        <v>7</v>
      </c>
      <c r="D1007" s="1" t="s">
        <v>5</v>
      </c>
      <c r="E1007">
        <v>38</v>
      </c>
      <c r="F1007" s="1" t="s">
        <v>101</v>
      </c>
      <c r="G1007">
        <v>10</v>
      </c>
      <c r="H1007">
        <v>1</v>
      </c>
      <c r="I1007" s="2">
        <f t="shared" si="45"/>
        <v>0.5454</v>
      </c>
      <c r="J1007">
        <f t="shared" si="46"/>
        <v>2.0358342665173574E-2</v>
      </c>
      <c r="K1007">
        <f t="shared" si="47"/>
        <v>1.4243927918516584E-2</v>
      </c>
    </row>
    <row r="1008" spans="1:11" x14ac:dyDescent="0.25">
      <c r="A1008" s="1">
        <v>1972</v>
      </c>
      <c r="B1008" s="1" t="s">
        <v>99</v>
      </c>
      <c r="C1008" t="s">
        <v>7</v>
      </c>
      <c r="D1008" s="1" t="s">
        <v>5</v>
      </c>
      <c r="E1008">
        <v>40</v>
      </c>
      <c r="F1008" s="1" t="s">
        <v>101</v>
      </c>
      <c r="G1008">
        <v>6</v>
      </c>
      <c r="H1008">
        <v>5</v>
      </c>
      <c r="I1008" s="2">
        <f t="shared" si="45"/>
        <v>0.98171999999999993</v>
      </c>
      <c r="J1008">
        <f t="shared" si="46"/>
        <v>3.6645016797312427E-2</v>
      </c>
      <c r="K1008">
        <f t="shared" si="47"/>
        <v>2.5639070253329847E-2</v>
      </c>
    </row>
    <row r="1009" spans="1:11" x14ac:dyDescent="0.25">
      <c r="A1009" s="1">
        <v>1972</v>
      </c>
      <c r="B1009" s="1" t="s">
        <v>99</v>
      </c>
      <c r="C1009" t="s">
        <v>7</v>
      </c>
      <c r="D1009" s="1" t="s">
        <v>5</v>
      </c>
      <c r="E1009">
        <v>40</v>
      </c>
      <c r="F1009" s="1" t="s">
        <v>101</v>
      </c>
      <c r="G1009">
        <v>8</v>
      </c>
      <c r="H1009">
        <v>1</v>
      </c>
      <c r="I1009" s="2">
        <f t="shared" si="45"/>
        <v>0.34905599999999998</v>
      </c>
      <c r="J1009">
        <f t="shared" si="46"/>
        <v>1.3029339305711086E-2</v>
      </c>
      <c r="K1009">
        <f t="shared" si="47"/>
        <v>9.1161138678506129E-3</v>
      </c>
    </row>
    <row r="1010" spans="1:11" x14ac:dyDescent="0.25">
      <c r="A1010" s="1">
        <v>1972</v>
      </c>
      <c r="B1010" s="1" t="s">
        <v>99</v>
      </c>
      <c r="C1010" t="s">
        <v>7</v>
      </c>
      <c r="D1010" s="1" t="s">
        <v>5</v>
      </c>
      <c r="E1010">
        <v>40</v>
      </c>
      <c r="F1010" s="1" t="s">
        <v>101</v>
      </c>
      <c r="G1010">
        <v>10</v>
      </c>
      <c r="H1010">
        <v>1</v>
      </c>
      <c r="I1010" s="2">
        <f t="shared" si="45"/>
        <v>0.5454</v>
      </c>
      <c r="J1010">
        <f t="shared" si="46"/>
        <v>2.0358342665173574E-2</v>
      </c>
      <c r="K1010">
        <f t="shared" si="47"/>
        <v>1.4243927918516584E-2</v>
      </c>
    </row>
    <row r="1011" spans="1:11" x14ac:dyDescent="0.25">
      <c r="A1011" s="1">
        <v>1972</v>
      </c>
      <c r="B1011" s="1" t="s">
        <v>99</v>
      </c>
      <c r="C1011" t="s">
        <v>7</v>
      </c>
      <c r="D1011" s="1" t="s">
        <v>5</v>
      </c>
      <c r="E1011">
        <v>40</v>
      </c>
      <c r="F1011" s="1" t="s">
        <v>101</v>
      </c>
      <c r="G1011">
        <v>12</v>
      </c>
      <c r="H1011">
        <v>2</v>
      </c>
      <c r="I1011" s="2">
        <f t="shared" si="45"/>
        <v>1.5707519999999999</v>
      </c>
      <c r="J1011">
        <f t="shared" si="46"/>
        <v>5.8632026875699884E-2</v>
      </c>
      <c r="K1011">
        <f t="shared" si="47"/>
        <v>4.1022512405327755E-2</v>
      </c>
    </row>
    <row r="1012" spans="1:11" x14ac:dyDescent="0.25">
      <c r="A1012" s="1">
        <v>1972</v>
      </c>
      <c r="B1012" s="1" t="s">
        <v>99</v>
      </c>
      <c r="C1012" t="s">
        <v>7</v>
      </c>
      <c r="D1012" s="1" t="s">
        <v>5</v>
      </c>
      <c r="E1012">
        <v>47</v>
      </c>
      <c r="F1012" s="1" t="s">
        <v>101</v>
      </c>
      <c r="G1012">
        <v>16</v>
      </c>
      <c r="H1012">
        <v>1</v>
      </c>
      <c r="I1012" s="2">
        <f t="shared" si="45"/>
        <v>1.3962239999999999</v>
      </c>
      <c r="J1012">
        <f t="shared" si="46"/>
        <v>5.2117357222844343E-2</v>
      </c>
      <c r="K1012">
        <f t="shared" si="47"/>
        <v>3.6464455471402452E-2</v>
      </c>
    </row>
    <row r="1013" spans="1:11" x14ac:dyDescent="0.25">
      <c r="A1013" s="1">
        <v>1972</v>
      </c>
      <c r="B1013" s="1" t="s">
        <v>99</v>
      </c>
      <c r="C1013" t="s">
        <v>7</v>
      </c>
      <c r="D1013" s="1" t="s">
        <v>5</v>
      </c>
      <c r="E1013">
        <v>53</v>
      </c>
      <c r="F1013" s="1" t="s">
        <v>101</v>
      </c>
      <c r="G1013">
        <v>6</v>
      </c>
      <c r="H1013">
        <v>1</v>
      </c>
      <c r="I1013" s="2">
        <f t="shared" si="45"/>
        <v>0.19634399999999999</v>
      </c>
      <c r="J1013">
        <f t="shared" si="46"/>
        <v>7.3290033594624856E-3</v>
      </c>
      <c r="K1013">
        <f t="shared" si="47"/>
        <v>5.1278140506659693E-3</v>
      </c>
    </row>
    <row r="1014" spans="1:11" x14ac:dyDescent="0.25">
      <c r="A1014" s="1">
        <v>1972</v>
      </c>
      <c r="B1014" s="1" t="s">
        <v>99</v>
      </c>
      <c r="C1014" t="s">
        <v>7</v>
      </c>
      <c r="D1014" s="1" t="s">
        <v>5</v>
      </c>
      <c r="E1014">
        <v>53</v>
      </c>
      <c r="F1014" s="1" t="s">
        <v>101</v>
      </c>
      <c r="G1014">
        <v>8</v>
      </c>
      <c r="H1014">
        <v>1</v>
      </c>
      <c r="I1014" s="2">
        <f t="shared" si="45"/>
        <v>0.34905599999999998</v>
      </c>
      <c r="J1014">
        <f t="shared" si="46"/>
        <v>1.3029339305711086E-2</v>
      </c>
      <c r="K1014">
        <f t="shared" si="47"/>
        <v>9.1161138678506129E-3</v>
      </c>
    </row>
    <row r="1015" spans="1:11" x14ac:dyDescent="0.25">
      <c r="A1015" s="1">
        <v>1972</v>
      </c>
      <c r="B1015" s="1" t="s">
        <v>99</v>
      </c>
      <c r="C1015" t="s">
        <v>7</v>
      </c>
      <c r="D1015" s="1" t="s">
        <v>5</v>
      </c>
      <c r="E1015">
        <v>53</v>
      </c>
      <c r="F1015" s="1" t="s">
        <v>101</v>
      </c>
      <c r="G1015">
        <v>10</v>
      </c>
      <c r="H1015">
        <v>1</v>
      </c>
      <c r="I1015" s="2">
        <f t="shared" si="45"/>
        <v>0.5454</v>
      </c>
      <c r="J1015">
        <f t="shared" si="46"/>
        <v>2.0358342665173574E-2</v>
      </c>
      <c r="K1015">
        <f t="shared" si="47"/>
        <v>1.4243927918516584E-2</v>
      </c>
    </row>
    <row r="1016" spans="1:11" x14ac:dyDescent="0.25">
      <c r="A1016" s="1">
        <v>1972</v>
      </c>
      <c r="B1016" s="1" t="s">
        <v>99</v>
      </c>
      <c r="C1016" t="s">
        <v>7</v>
      </c>
      <c r="D1016" s="1" t="s">
        <v>5</v>
      </c>
      <c r="E1016">
        <v>54</v>
      </c>
      <c r="F1016" s="1" t="s">
        <v>101</v>
      </c>
      <c r="G1016">
        <v>6</v>
      </c>
      <c r="H1016">
        <v>1</v>
      </c>
      <c r="I1016" s="2">
        <f t="shared" si="45"/>
        <v>0.19634399999999999</v>
      </c>
      <c r="J1016">
        <f t="shared" si="46"/>
        <v>7.3290033594624856E-3</v>
      </c>
      <c r="K1016">
        <f t="shared" si="47"/>
        <v>5.1278140506659693E-3</v>
      </c>
    </row>
    <row r="1017" spans="1:11" x14ac:dyDescent="0.25">
      <c r="A1017" s="1">
        <v>1972</v>
      </c>
      <c r="B1017" s="1" t="s">
        <v>99</v>
      </c>
      <c r="C1017" t="s">
        <v>7</v>
      </c>
      <c r="D1017" s="1" t="s">
        <v>5</v>
      </c>
      <c r="E1017">
        <v>56</v>
      </c>
      <c r="F1017" s="1" t="s">
        <v>101</v>
      </c>
      <c r="G1017">
        <v>6</v>
      </c>
      <c r="H1017">
        <v>2</v>
      </c>
      <c r="I1017" s="2">
        <f t="shared" si="45"/>
        <v>0.39268799999999998</v>
      </c>
      <c r="J1017">
        <f t="shared" si="46"/>
        <v>1.4658006718924971E-2</v>
      </c>
      <c r="K1017">
        <f t="shared" si="47"/>
        <v>1.0255628101331939E-2</v>
      </c>
    </row>
    <row r="1018" spans="1:11" x14ac:dyDescent="0.25">
      <c r="A1018" s="1">
        <v>1972</v>
      </c>
      <c r="B1018" s="1" t="s">
        <v>99</v>
      </c>
      <c r="C1018" t="s">
        <v>7</v>
      </c>
      <c r="D1018" s="1" t="s">
        <v>5</v>
      </c>
      <c r="E1018">
        <v>56</v>
      </c>
      <c r="F1018" s="1" t="s">
        <v>101</v>
      </c>
      <c r="G1018">
        <v>8</v>
      </c>
      <c r="H1018">
        <v>1</v>
      </c>
      <c r="I1018" s="2">
        <f t="shared" si="45"/>
        <v>0.34905599999999998</v>
      </c>
      <c r="J1018">
        <f t="shared" si="46"/>
        <v>1.3029339305711086E-2</v>
      </c>
      <c r="K1018">
        <f t="shared" si="47"/>
        <v>9.1161138678506129E-3</v>
      </c>
    </row>
    <row r="1019" spans="1:11" x14ac:dyDescent="0.25">
      <c r="A1019" s="1">
        <v>1972</v>
      </c>
      <c r="B1019" s="1" t="s">
        <v>99</v>
      </c>
      <c r="C1019" t="s">
        <v>7</v>
      </c>
      <c r="D1019" s="1" t="s">
        <v>5</v>
      </c>
      <c r="E1019">
        <v>56</v>
      </c>
      <c r="F1019" s="1" t="s">
        <v>101</v>
      </c>
      <c r="G1019">
        <v>10</v>
      </c>
      <c r="H1019">
        <v>2</v>
      </c>
      <c r="I1019" s="2">
        <f t="shared" si="45"/>
        <v>1.0908</v>
      </c>
      <c r="J1019">
        <f t="shared" si="46"/>
        <v>4.0716685330347148E-2</v>
      </c>
      <c r="K1019">
        <f t="shared" si="47"/>
        <v>2.8487855837033168E-2</v>
      </c>
    </row>
    <row r="1020" spans="1:11" x14ac:dyDescent="0.25">
      <c r="A1020" s="1">
        <v>1972</v>
      </c>
      <c r="B1020" s="1" t="s">
        <v>99</v>
      </c>
      <c r="C1020" t="s">
        <v>7</v>
      </c>
      <c r="D1020" s="1" t="s">
        <v>5</v>
      </c>
      <c r="E1020">
        <v>58</v>
      </c>
      <c r="F1020" s="1" t="s">
        <v>101</v>
      </c>
      <c r="G1020">
        <v>6</v>
      </c>
      <c r="H1020">
        <v>11</v>
      </c>
      <c r="I1020" s="2">
        <f t="shared" si="45"/>
        <v>2.1597839999999997</v>
      </c>
      <c r="J1020">
        <f t="shared" si="46"/>
        <v>8.0619036954087342E-2</v>
      </c>
      <c r="K1020">
        <f t="shared" si="47"/>
        <v>5.6405954557325666E-2</v>
      </c>
    </row>
    <row r="1021" spans="1:11" x14ac:dyDescent="0.25">
      <c r="A1021" s="1">
        <v>1972</v>
      </c>
      <c r="B1021" s="1" t="s">
        <v>99</v>
      </c>
      <c r="C1021" t="s">
        <v>7</v>
      </c>
      <c r="D1021" s="1" t="s">
        <v>5</v>
      </c>
      <c r="E1021">
        <v>58</v>
      </c>
      <c r="F1021" s="1" t="s">
        <v>101</v>
      </c>
      <c r="G1021">
        <v>8</v>
      </c>
      <c r="H1021">
        <v>3</v>
      </c>
      <c r="I1021" s="2">
        <f t="shared" si="45"/>
        <v>1.0471679999999999</v>
      </c>
      <c r="J1021">
        <f t="shared" si="46"/>
        <v>3.9088017917133254E-2</v>
      </c>
      <c r="K1021">
        <f t="shared" si="47"/>
        <v>2.7348341603551835E-2</v>
      </c>
    </row>
    <row r="1022" spans="1:11" x14ac:dyDescent="0.25">
      <c r="A1022" s="1">
        <v>1972</v>
      </c>
      <c r="B1022" s="1" t="s">
        <v>99</v>
      </c>
      <c r="C1022" t="s">
        <v>7</v>
      </c>
      <c r="D1022" s="1" t="s">
        <v>5</v>
      </c>
      <c r="E1022">
        <v>58</v>
      </c>
      <c r="F1022" s="1" t="s">
        <v>101</v>
      </c>
      <c r="G1022">
        <v>10</v>
      </c>
      <c r="H1022">
        <v>1</v>
      </c>
      <c r="I1022" s="2">
        <f t="shared" si="45"/>
        <v>0.5454</v>
      </c>
      <c r="J1022">
        <f t="shared" si="46"/>
        <v>2.0358342665173574E-2</v>
      </c>
      <c r="K1022">
        <f t="shared" si="47"/>
        <v>1.4243927918516584E-2</v>
      </c>
    </row>
    <row r="1023" spans="1:11" x14ac:dyDescent="0.25">
      <c r="A1023" s="1">
        <v>1972</v>
      </c>
      <c r="B1023" s="1" t="s">
        <v>99</v>
      </c>
      <c r="C1023" t="s">
        <v>7</v>
      </c>
      <c r="D1023" s="1" t="s">
        <v>5</v>
      </c>
      <c r="E1023">
        <v>63</v>
      </c>
      <c r="F1023" s="1" t="s">
        <v>101</v>
      </c>
      <c r="G1023">
        <v>6</v>
      </c>
      <c r="H1023">
        <v>2</v>
      </c>
      <c r="I1023" s="2">
        <f t="shared" si="45"/>
        <v>0.39268799999999998</v>
      </c>
      <c r="J1023">
        <f t="shared" si="46"/>
        <v>1.4658006718924971E-2</v>
      </c>
      <c r="K1023">
        <f t="shared" si="47"/>
        <v>1.0255628101331939E-2</v>
      </c>
    </row>
    <row r="1024" spans="1:11" x14ac:dyDescent="0.25">
      <c r="A1024" s="1">
        <v>1972</v>
      </c>
      <c r="B1024" s="1" t="s">
        <v>99</v>
      </c>
      <c r="C1024" t="s">
        <v>7</v>
      </c>
      <c r="D1024" s="1" t="s">
        <v>5</v>
      </c>
      <c r="E1024">
        <v>66</v>
      </c>
      <c r="F1024" s="1" t="s">
        <v>101</v>
      </c>
      <c r="G1024">
        <v>6</v>
      </c>
      <c r="H1024">
        <v>1</v>
      </c>
      <c r="I1024" s="2">
        <f t="shared" si="45"/>
        <v>0.19634399999999999</v>
      </c>
      <c r="J1024">
        <f t="shared" si="46"/>
        <v>7.3290033594624856E-3</v>
      </c>
      <c r="K1024">
        <f t="shared" si="47"/>
        <v>5.1278140506659693E-3</v>
      </c>
    </row>
    <row r="1025" spans="1:11" x14ac:dyDescent="0.25">
      <c r="A1025" s="1">
        <v>1972</v>
      </c>
      <c r="B1025" s="1" t="s">
        <v>99</v>
      </c>
      <c r="C1025" t="s">
        <v>7</v>
      </c>
      <c r="D1025" s="1" t="s">
        <v>5</v>
      </c>
      <c r="E1025">
        <v>71</v>
      </c>
      <c r="F1025" s="1" t="s">
        <v>101</v>
      </c>
      <c r="G1025">
        <v>6</v>
      </c>
      <c r="H1025">
        <v>11</v>
      </c>
      <c r="I1025" s="2">
        <f t="shared" si="45"/>
        <v>2.1597839999999997</v>
      </c>
      <c r="J1025">
        <f t="shared" si="46"/>
        <v>8.0619036954087342E-2</v>
      </c>
      <c r="K1025">
        <f t="shared" si="47"/>
        <v>5.6405954557325666E-2</v>
      </c>
    </row>
    <row r="1026" spans="1:11" x14ac:dyDescent="0.25">
      <c r="A1026" s="1">
        <v>1972</v>
      </c>
      <c r="B1026" s="1" t="s">
        <v>99</v>
      </c>
      <c r="C1026" t="s">
        <v>7</v>
      </c>
      <c r="D1026" s="1" t="s">
        <v>5</v>
      </c>
      <c r="E1026">
        <v>71</v>
      </c>
      <c r="F1026" s="1" t="s">
        <v>101</v>
      </c>
      <c r="G1026">
        <v>8</v>
      </c>
      <c r="H1026">
        <v>11</v>
      </c>
      <c r="I1026" s="2">
        <f t="shared" si="45"/>
        <v>3.8396159999999999</v>
      </c>
      <c r="J1026">
        <f t="shared" si="46"/>
        <v>0.14332273236282195</v>
      </c>
      <c r="K1026">
        <f t="shared" si="47"/>
        <v>0.10027725254635675</v>
      </c>
    </row>
    <row r="1027" spans="1:11" x14ac:dyDescent="0.25">
      <c r="A1027" s="1">
        <v>1972</v>
      </c>
      <c r="B1027" s="1" t="s">
        <v>99</v>
      </c>
      <c r="C1027" t="s">
        <v>7</v>
      </c>
      <c r="D1027" s="1" t="s">
        <v>5</v>
      </c>
      <c r="E1027">
        <v>71</v>
      </c>
      <c r="F1027" s="1" t="s">
        <v>101</v>
      </c>
      <c r="G1027">
        <v>10</v>
      </c>
      <c r="H1027">
        <v>3</v>
      </c>
      <c r="I1027" s="2">
        <f t="shared" ref="I1027:I1090" si="48">0.005454*G1027^2*H1027</f>
        <v>1.6362000000000001</v>
      </c>
      <c r="J1027">
        <f t="shared" ref="J1027:J1090" si="49">I1027/26.79</f>
        <v>6.1075027995520725E-2</v>
      </c>
      <c r="K1027">
        <f t="shared" ref="K1027:K1090" si="50">J1027*(26.79/38.29)</f>
        <v>4.2731783755549757E-2</v>
      </c>
    </row>
    <row r="1028" spans="1:11" x14ac:dyDescent="0.25">
      <c r="A1028" s="1">
        <v>1972</v>
      </c>
      <c r="B1028" s="1" t="s">
        <v>99</v>
      </c>
      <c r="C1028" t="s">
        <v>7</v>
      </c>
      <c r="D1028" s="1" t="s">
        <v>5</v>
      </c>
      <c r="E1028">
        <v>76</v>
      </c>
      <c r="F1028" s="1" t="s">
        <v>101</v>
      </c>
      <c r="G1028">
        <v>6</v>
      </c>
      <c r="H1028">
        <v>8</v>
      </c>
      <c r="I1028" s="2">
        <f t="shared" si="48"/>
        <v>1.5707519999999999</v>
      </c>
      <c r="J1028">
        <f t="shared" si="49"/>
        <v>5.8632026875699884E-2</v>
      </c>
      <c r="K1028">
        <f t="shared" si="50"/>
        <v>4.1022512405327755E-2</v>
      </c>
    </row>
    <row r="1029" spans="1:11" x14ac:dyDescent="0.25">
      <c r="A1029" s="1">
        <v>1972</v>
      </c>
      <c r="B1029" s="1" t="s">
        <v>99</v>
      </c>
      <c r="C1029" t="s">
        <v>7</v>
      </c>
      <c r="D1029" s="1" t="s">
        <v>5</v>
      </c>
      <c r="E1029">
        <v>76</v>
      </c>
      <c r="F1029" s="1" t="s">
        <v>101</v>
      </c>
      <c r="G1029">
        <v>10</v>
      </c>
      <c r="H1029">
        <v>1</v>
      </c>
      <c r="I1029" s="2">
        <f t="shared" si="48"/>
        <v>0.5454</v>
      </c>
      <c r="J1029">
        <f t="shared" si="49"/>
        <v>2.0358342665173574E-2</v>
      </c>
      <c r="K1029">
        <f t="shared" si="50"/>
        <v>1.4243927918516584E-2</v>
      </c>
    </row>
    <row r="1030" spans="1:11" x14ac:dyDescent="0.25">
      <c r="A1030" s="1">
        <v>1972</v>
      </c>
      <c r="B1030" s="1" t="s">
        <v>99</v>
      </c>
      <c r="C1030" t="s">
        <v>7</v>
      </c>
      <c r="D1030" s="1" t="s">
        <v>5</v>
      </c>
      <c r="E1030">
        <v>79</v>
      </c>
      <c r="F1030" s="1" t="s">
        <v>101</v>
      </c>
      <c r="G1030">
        <v>6</v>
      </c>
      <c r="H1030">
        <v>10</v>
      </c>
      <c r="I1030" s="2">
        <f t="shared" si="48"/>
        <v>1.9634399999999999</v>
      </c>
      <c r="J1030">
        <f t="shared" si="49"/>
        <v>7.3290033594624854E-2</v>
      </c>
      <c r="K1030">
        <f t="shared" si="50"/>
        <v>5.1278140506659693E-2</v>
      </c>
    </row>
    <row r="1031" spans="1:11" x14ac:dyDescent="0.25">
      <c r="A1031" s="1">
        <v>1972</v>
      </c>
      <c r="B1031" s="1" t="s">
        <v>99</v>
      </c>
      <c r="C1031" t="s">
        <v>7</v>
      </c>
      <c r="D1031" s="1" t="s">
        <v>5</v>
      </c>
      <c r="E1031">
        <v>79</v>
      </c>
      <c r="F1031" s="1" t="s">
        <v>101</v>
      </c>
      <c r="G1031">
        <v>8</v>
      </c>
      <c r="H1031">
        <v>5</v>
      </c>
      <c r="I1031" s="2">
        <f t="shared" si="48"/>
        <v>1.7452799999999999</v>
      </c>
      <c r="J1031">
        <f t="shared" si="49"/>
        <v>6.5146696528555426E-2</v>
      </c>
      <c r="K1031">
        <f t="shared" si="50"/>
        <v>4.5580569339253064E-2</v>
      </c>
    </row>
    <row r="1032" spans="1:11" x14ac:dyDescent="0.25">
      <c r="A1032" s="1">
        <v>1972</v>
      </c>
      <c r="B1032" s="1" t="s">
        <v>99</v>
      </c>
      <c r="C1032" t="s">
        <v>7</v>
      </c>
      <c r="D1032" s="1" t="s">
        <v>5</v>
      </c>
      <c r="E1032">
        <v>85</v>
      </c>
      <c r="F1032" s="1" t="s">
        <v>101</v>
      </c>
      <c r="G1032">
        <v>6</v>
      </c>
      <c r="H1032">
        <v>1</v>
      </c>
      <c r="I1032" s="2">
        <f t="shared" si="48"/>
        <v>0.19634399999999999</v>
      </c>
      <c r="J1032">
        <f t="shared" si="49"/>
        <v>7.3290033594624856E-3</v>
      </c>
      <c r="K1032">
        <f t="shared" si="50"/>
        <v>5.1278140506659693E-3</v>
      </c>
    </row>
    <row r="1033" spans="1:11" x14ac:dyDescent="0.25">
      <c r="A1033" s="1">
        <v>1972</v>
      </c>
      <c r="B1033" s="1" t="s">
        <v>99</v>
      </c>
      <c r="C1033" t="s">
        <v>7</v>
      </c>
      <c r="D1033" s="1" t="s">
        <v>5</v>
      </c>
      <c r="E1033">
        <v>85</v>
      </c>
      <c r="F1033" s="1" t="s">
        <v>101</v>
      </c>
      <c r="G1033">
        <v>10</v>
      </c>
      <c r="H1033">
        <v>1</v>
      </c>
      <c r="I1033" s="2">
        <f t="shared" si="48"/>
        <v>0.5454</v>
      </c>
      <c r="J1033">
        <f t="shared" si="49"/>
        <v>2.0358342665173574E-2</v>
      </c>
      <c r="K1033">
        <f t="shared" si="50"/>
        <v>1.4243927918516584E-2</v>
      </c>
    </row>
    <row r="1034" spans="1:11" x14ac:dyDescent="0.25">
      <c r="A1034" s="1">
        <v>1972</v>
      </c>
      <c r="B1034" s="1" t="s">
        <v>99</v>
      </c>
      <c r="C1034" t="s">
        <v>7</v>
      </c>
      <c r="D1034" s="1" t="s">
        <v>5</v>
      </c>
      <c r="E1034">
        <v>85</v>
      </c>
      <c r="F1034" s="1" t="s">
        <v>101</v>
      </c>
      <c r="G1034">
        <v>12</v>
      </c>
      <c r="H1034">
        <v>1</v>
      </c>
      <c r="I1034" s="2">
        <f t="shared" si="48"/>
        <v>0.78537599999999996</v>
      </c>
      <c r="J1034">
        <f t="shared" si="49"/>
        <v>2.9316013437849942E-2</v>
      </c>
      <c r="K1034">
        <f t="shared" si="50"/>
        <v>2.0511256202663877E-2</v>
      </c>
    </row>
    <row r="1035" spans="1:11" x14ac:dyDescent="0.25">
      <c r="A1035" s="1">
        <v>1972</v>
      </c>
      <c r="B1035" s="1" t="s">
        <v>99</v>
      </c>
      <c r="C1035" t="s">
        <v>7</v>
      </c>
      <c r="D1035" s="1" t="s">
        <v>5</v>
      </c>
      <c r="E1035">
        <v>85</v>
      </c>
      <c r="F1035" s="1" t="s">
        <v>101</v>
      </c>
      <c r="G1035">
        <v>14</v>
      </c>
      <c r="H1035">
        <v>5</v>
      </c>
      <c r="I1035" s="2">
        <f t="shared" si="48"/>
        <v>5.3449200000000001</v>
      </c>
      <c r="J1035">
        <f t="shared" si="49"/>
        <v>0.199511758118701</v>
      </c>
      <c r="K1035">
        <f t="shared" si="50"/>
        <v>0.1395904936014625</v>
      </c>
    </row>
    <row r="1036" spans="1:11" x14ac:dyDescent="0.25">
      <c r="A1036" s="1">
        <v>1972</v>
      </c>
      <c r="B1036" s="1" t="s">
        <v>99</v>
      </c>
      <c r="C1036" t="s">
        <v>7</v>
      </c>
      <c r="D1036" s="1" t="s">
        <v>5</v>
      </c>
      <c r="E1036">
        <v>85</v>
      </c>
      <c r="F1036" s="1" t="s">
        <v>101</v>
      </c>
      <c r="G1036">
        <v>16</v>
      </c>
      <c r="H1036">
        <v>1</v>
      </c>
      <c r="I1036" s="2">
        <f t="shared" si="48"/>
        <v>1.3962239999999999</v>
      </c>
      <c r="J1036">
        <f t="shared" si="49"/>
        <v>5.2117357222844343E-2</v>
      </c>
      <c r="K1036">
        <f t="shared" si="50"/>
        <v>3.6464455471402452E-2</v>
      </c>
    </row>
    <row r="1037" spans="1:11" x14ac:dyDescent="0.25">
      <c r="A1037" s="1">
        <v>1972</v>
      </c>
      <c r="B1037" s="1" t="s">
        <v>99</v>
      </c>
      <c r="C1037" t="s">
        <v>7</v>
      </c>
      <c r="D1037" s="1" t="s">
        <v>5</v>
      </c>
      <c r="E1037">
        <v>86</v>
      </c>
      <c r="F1037" s="1" t="s">
        <v>101</v>
      </c>
      <c r="G1037">
        <v>6</v>
      </c>
      <c r="H1037">
        <v>2</v>
      </c>
      <c r="I1037" s="2">
        <f t="shared" si="48"/>
        <v>0.39268799999999998</v>
      </c>
      <c r="J1037">
        <f t="shared" si="49"/>
        <v>1.4658006718924971E-2</v>
      </c>
      <c r="K1037">
        <f t="shared" si="50"/>
        <v>1.0255628101331939E-2</v>
      </c>
    </row>
    <row r="1038" spans="1:11" x14ac:dyDescent="0.25">
      <c r="A1038" s="1">
        <v>1972</v>
      </c>
      <c r="B1038" s="1" t="s">
        <v>99</v>
      </c>
      <c r="C1038" t="s">
        <v>7</v>
      </c>
      <c r="D1038" s="1" t="s">
        <v>5</v>
      </c>
      <c r="E1038">
        <v>86</v>
      </c>
      <c r="F1038" s="1" t="s">
        <v>101</v>
      </c>
      <c r="G1038">
        <v>8</v>
      </c>
      <c r="H1038">
        <v>1</v>
      </c>
      <c r="I1038" s="2">
        <f t="shared" si="48"/>
        <v>0.34905599999999998</v>
      </c>
      <c r="J1038">
        <f t="shared" si="49"/>
        <v>1.3029339305711086E-2</v>
      </c>
      <c r="K1038">
        <f t="shared" si="50"/>
        <v>9.1161138678506129E-3</v>
      </c>
    </row>
    <row r="1039" spans="1:11" x14ac:dyDescent="0.25">
      <c r="A1039" s="1">
        <v>1972</v>
      </c>
      <c r="B1039" s="1" t="s">
        <v>99</v>
      </c>
      <c r="C1039" t="s">
        <v>7</v>
      </c>
      <c r="D1039" s="1" t="s">
        <v>5</v>
      </c>
      <c r="E1039">
        <v>88</v>
      </c>
      <c r="F1039" s="1" t="s">
        <v>101</v>
      </c>
      <c r="G1039">
        <v>6</v>
      </c>
      <c r="H1039">
        <v>2</v>
      </c>
      <c r="I1039" s="2">
        <f t="shared" si="48"/>
        <v>0.39268799999999998</v>
      </c>
      <c r="J1039">
        <f t="shared" si="49"/>
        <v>1.4658006718924971E-2</v>
      </c>
      <c r="K1039">
        <f t="shared" si="50"/>
        <v>1.0255628101331939E-2</v>
      </c>
    </row>
    <row r="1040" spans="1:11" x14ac:dyDescent="0.25">
      <c r="A1040" s="1">
        <v>1972</v>
      </c>
      <c r="B1040" s="1" t="s">
        <v>99</v>
      </c>
      <c r="C1040" t="s">
        <v>7</v>
      </c>
      <c r="D1040" s="1" t="s">
        <v>5</v>
      </c>
      <c r="E1040">
        <v>88</v>
      </c>
      <c r="F1040" s="1" t="s">
        <v>101</v>
      </c>
      <c r="G1040">
        <v>8</v>
      </c>
      <c r="H1040">
        <v>1</v>
      </c>
      <c r="I1040" s="2">
        <f t="shared" si="48"/>
        <v>0.34905599999999998</v>
      </c>
      <c r="J1040">
        <f t="shared" si="49"/>
        <v>1.3029339305711086E-2</v>
      </c>
      <c r="K1040">
        <f t="shared" si="50"/>
        <v>9.1161138678506129E-3</v>
      </c>
    </row>
    <row r="1041" spans="1:11" x14ac:dyDescent="0.25">
      <c r="A1041" s="1">
        <v>1972</v>
      </c>
      <c r="B1041" s="1" t="s">
        <v>99</v>
      </c>
      <c r="C1041" t="s">
        <v>7</v>
      </c>
      <c r="D1041" s="1" t="s">
        <v>5</v>
      </c>
      <c r="E1041">
        <v>91</v>
      </c>
      <c r="F1041" s="1" t="s">
        <v>101</v>
      </c>
      <c r="G1041">
        <v>6</v>
      </c>
      <c r="H1041">
        <v>1</v>
      </c>
      <c r="I1041" s="2">
        <f t="shared" si="48"/>
        <v>0.19634399999999999</v>
      </c>
      <c r="J1041">
        <f t="shared" si="49"/>
        <v>7.3290033594624856E-3</v>
      </c>
      <c r="K1041">
        <f t="shared" si="50"/>
        <v>5.1278140506659693E-3</v>
      </c>
    </row>
    <row r="1042" spans="1:11" x14ac:dyDescent="0.25">
      <c r="A1042" s="1">
        <v>1987</v>
      </c>
      <c r="B1042" s="1" t="s">
        <v>99</v>
      </c>
      <c r="C1042" t="s">
        <v>9</v>
      </c>
      <c r="D1042" s="1" t="s">
        <v>3</v>
      </c>
      <c r="E1042">
        <v>11</v>
      </c>
      <c r="F1042" s="1" t="s">
        <v>101</v>
      </c>
      <c r="G1042">
        <v>6</v>
      </c>
      <c r="H1042">
        <v>3</v>
      </c>
      <c r="I1042" s="2">
        <f t="shared" si="48"/>
        <v>0.589032</v>
      </c>
      <c r="J1042">
        <f t="shared" si="49"/>
        <v>2.1987010078387458E-2</v>
      </c>
      <c r="K1042">
        <f t="shared" si="50"/>
        <v>1.538344215199791E-2</v>
      </c>
    </row>
    <row r="1043" spans="1:11" x14ac:dyDescent="0.25">
      <c r="A1043" s="1">
        <v>1987</v>
      </c>
      <c r="B1043" s="1" t="s">
        <v>99</v>
      </c>
      <c r="C1043" t="s">
        <v>9</v>
      </c>
      <c r="D1043" s="1" t="s">
        <v>3</v>
      </c>
      <c r="E1043">
        <v>17</v>
      </c>
      <c r="F1043" s="1" t="s">
        <v>101</v>
      </c>
      <c r="G1043">
        <v>10</v>
      </c>
      <c r="H1043">
        <v>1</v>
      </c>
      <c r="I1043" s="2">
        <f t="shared" si="48"/>
        <v>0.5454</v>
      </c>
      <c r="J1043">
        <f t="shared" si="49"/>
        <v>2.0358342665173574E-2</v>
      </c>
      <c r="K1043">
        <f t="shared" si="50"/>
        <v>1.4243927918516584E-2</v>
      </c>
    </row>
    <row r="1044" spans="1:11" x14ac:dyDescent="0.25">
      <c r="A1044" s="1">
        <v>1987</v>
      </c>
      <c r="B1044" s="1" t="s">
        <v>99</v>
      </c>
      <c r="C1044" t="s">
        <v>9</v>
      </c>
      <c r="D1044" s="1" t="s">
        <v>3</v>
      </c>
      <c r="E1044">
        <v>21</v>
      </c>
      <c r="F1044" s="1" t="s">
        <v>101</v>
      </c>
      <c r="G1044">
        <v>6</v>
      </c>
      <c r="H1044">
        <v>26</v>
      </c>
      <c r="I1044" s="2">
        <f t="shared" si="48"/>
        <v>5.1049439999999997</v>
      </c>
      <c r="J1044">
        <f t="shared" si="49"/>
        <v>0.19055408734602464</v>
      </c>
      <c r="K1044">
        <f t="shared" si="50"/>
        <v>0.13332316531731522</v>
      </c>
    </row>
    <row r="1045" spans="1:11" x14ac:dyDescent="0.25">
      <c r="A1045" s="1">
        <v>1987</v>
      </c>
      <c r="B1045" s="1" t="s">
        <v>99</v>
      </c>
      <c r="C1045" t="s">
        <v>9</v>
      </c>
      <c r="D1045" s="1" t="s">
        <v>3</v>
      </c>
      <c r="E1045">
        <v>21</v>
      </c>
      <c r="F1045" s="1" t="s">
        <v>101</v>
      </c>
      <c r="G1045">
        <v>8</v>
      </c>
      <c r="H1045">
        <v>11</v>
      </c>
      <c r="I1045" s="2">
        <f t="shared" si="48"/>
        <v>3.8396159999999999</v>
      </c>
      <c r="J1045">
        <f t="shared" si="49"/>
        <v>0.14332273236282195</v>
      </c>
      <c r="K1045">
        <f t="shared" si="50"/>
        <v>0.10027725254635675</v>
      </c>
    </row>
    <row r="1046" spans="1:11" x14ac:dyDescent="0.25">
      <c r="A1046" s="1">
        <v>1987</v>
      </c>
      <c r="B1046" s="1" t="s">
        <v>99</v>
      </c>
      <c r="C1046" t="s">
        <v>9</v>
      </c>
      <c r="D1046" s="1" t="s">
        <v>3</v>
      </c>
      <c r="E1046">
        <v>21</v>
      </c>
      <c r="F1046" s="1" t="s">
        <v>101</v>
      </c>
      <c r="G1046">
        <v>10</v>
      </c>
      <c r="H1046">
        <v>12</v>
      </c>
      <c r="I1046" s="2">
        <f t="shared" si="48"/>
        <v>6.5448000000000004</v>
      </c>
      <c r="J1046">
        <f t="shared" si="49"/>
        <v>0.2443001119820829</v>
      </c>
      <c r="K1046">
        <f t="shared" si="50"/>
        <v>0.17092713502219903</v>
      </c>
    </row>
    <row r="1047" spans="1:11" x14ac:dyDescent="0.25">
      <c r="A1047" s="1">
        <v>1987</v>
      </c>
      <c r="B1047" s="1" t="s">
        <v>99</v>
      </c>
      <c r="C1047" t="s">
        <v>9</v>
      </c>
      <c r="D1047" s="1" t="s">
        <v>3</v>
      </c>
      <c r="E1047">
        <v>21</v>
      </c>
      <c r="F1047" s="1" t="s">
        <v>101</v>
      </c>
      <c r="G1047">
        <v>12</v>
      </c>
      <c r="H1047">
        <v>5</v>
      </c>
      <c r="I1047" s="2">
        <f t="shared" si="48"/>
        <v>3.9268799999999997</v>
      </c>
      <c r="J1047">
        <f t="shared" si="49"/>
        <v>0.14658006718924971</v>
      </c>
      <c r="K1047">
        <f t="shared" si="50"/>
        <v>0.10255628101331939</v>
      </c>
    </row>
    <row r="1048" spans="1:11" x14ac:dyDescent="0.25">
      <c r="A1048" s="1">
        <v>1987</v>
      </c>
      <c r="B1048" s="1" t="s">
        <v>99</v>
      </c>
      <c r="C1048" t="s">
        <v>9</v>
      </c>
      <c r="D1048" s="1" t="s">
        <v>3</v>
      </c>
      <c r="E1048">
        <v>21</v>
      </c>
      <c r="F1048" s="1" t="s">
        <v>101</v>
      </c>
      <c r="G1048">
        <v>14</v>
      </c>
      <c r="H1048">
        <v>5</v>
      </c>
      <c r="I1048" s="2">
        <f t="shared" si="48"/>
        <v>5.3449200000000001</v>
      </c>
      <c r="J1048">
        <f t="shared" si="49"/>
        <v>0.199511758118701</v>
      </c>
      <c r="K1048">
        <f t="shared" si="50"/>
        <v>0.1395904936014625</v>
      </c>
    </row>
    <row r="1049" spans="1:11" x14ac:dyDescent="0.25">
      <c r="A1049" s="1">
        <v>1987</v>
      </c>
      <c r="B1049" s="1" t="s">
        <v>99</v>
      </c>
      <c r="C1049" t="s">
        <v>9</v>
      </c>
      <c r="D1049" s="1" t="s">
        <v>3</v>
      </c>
      <c r="E1049">
        <v>21</v>
      </c>
      <c r="F1049" s="1" t="s">
        <v>101</v>
      </c>
      <c r="G1049">
        <v>16</v>
      </c>
      <c r="H1049">
        <v>4</v>
      </c>
      <c r="I1049" s="2">
        <f t="shared" si="48"/>
        <v>5.5848959999999996</v>
      </c>
      <c r="J1049">
        <f t="shared" si="49"/>
        <v>0.20846942889137737</v>
      </c>
      <c r="K1049">
        <f t="shared" si="50"/>
        <v>0.14585782188560981</v>
      </c>
    </row>
    <row r="1050" spans="1:11" x14ac:dyDescent="0.25">
      <c r="A1050" s="1">
        <v>1987</v>
      </c>
      <c r="B1050" s="1" t="s">
        <v>99</v>
      </c>
      <c r="C1050" t="s">
        <v>9</v>
      </c>
      <c r="D1050" s="1" t="s">
        <v>3</v>
      </c>
      <c r="E1050">
        <v>21</v>
      </c>
      <c r="F1050" s="1" t="s">
        <v>101</v>
      </c>
      <c r="G1050">
        <v>18</v>
      </c>
      <c r="H1050">
        <v>4</v>
      </c>
      <c r="I1050" s="2">
        <f t="shared" si="48"/>
        <v>7.0683839999999991</v>
      </c>
      <c r="J1050">
        <f t="shared" si="49"/>
        <v>0.26384412094064946</v>
      </c>
      <c r="K1050">
        <f t="shared" si="50"/>
        <v>0.18460130582397488</v>
      </c>
    </row>
    <row r="1051" spans="1:11" x14ac:dyDescent="0.25">
      <c r="A1051" s="1">
        <v>1987</v>
      </c>
      <c r="B1051" s="1" t="s">
        <v>99</v>
      </c>
      <c r="C1051" t="s">
        <v>9</v>
      </c>
      <c r="D1051" s="1" t="s">
        <v>3</v>
      </c>
      <c r="E1051">
        <v>21</v>
      </c>
      <c r="F1051" s="1" t="s">
        <v>101</v>
      </c>
      <c r="G1051">
        <v>20</v>
      </c>
      <c r="H1051">
        <v>2</v>
      </c>
      <c r="I1051" s="2">
        <f t="shared" si="48"/>
        <v>4.3632</v>
      </c>
      <c r="J1051">
        <f t="shared" si="49"/>
        <v>0.16286674132138859</v>
      </c>
      <c r="K1051">
        <f t="shared" si="50"/>
        <v>0.11395142334813267</v>
      </c>
    </row>
    <row r="1052" spans="1:11" x14ac:dyDescent="0.25">
      <c r="A1052" s="1">
        <v>1987</v>
      </c>
      <c r="B1052" s="1" t="s">
        <v>99</v>
      </c>
      <c r="C1052" t="s">
        <v>9</v>
      </c>
      <c r="D1052" s="1" t="s">
        <v>3</v>
      </c>
      <c r="E1052">
        <v>25</v>
      </c>
      <c r="F1052" s="1" t="s">
        <v>101</v>
      </c>
      <c r="G1052">
        <v>6</v>
      </c>
      <c r="H1052">
        <v>3</v>
      </c>
      <c r="I1052" s="2">
        <f t="shared" si="48"/>
        <v>0.589032</v>
      </c>
      <c r="J1052">
        <f t="shared" si="49"/>
        <v>2.1987010078387458E-2</v>
      </c>
      <c r="K1052">
        <f t="shared" si="50"/>
        <v>1.538344215199791E-2</v>
      </c>
    </row>
    <row r="1053" spans="1:11" x14ac:dyDescent="0.25">
      <c r="A1053" s="1">
        <v>1987</v>
      </c>
      <c r="B1053" s="1" t="s">
        <v>99</v>
      </c>
      <c r="C1053" t="s">
        <v>9</v>
      </c>
      <c r="D1053" s="1" t="s">
        <v>3</v>
      </c>
      <c r="E1053">
        <v>28</v>
      </c>
      <c r="F1053" s="1" t="s">
        <v>101</v>
      </c>
      <c r="G1053">
        <v>8</v>
      </c>
      <c r="H1053">
        <v>1</v>
      </c>
      <c r="I1053" s="2">
        <f t="shared" si="48"/>
        <v>0.34905599999999998</v>
      </c>
      <c r="J1053">
        <f t="shared" si="49"/>
        <v>1.3029339305711086E-2</v>
      </c>
      <c r="K1053">
        <f t="shared" si="50"/>
        <v>9.1161138678506129E-3</v>
      </c>
    </row>
    <row r="1054" spans="1:11" x14ac:dyDescent="0.25">
      <c r="A1054" s="1">
        <v>1987</v>
      </c>
      <c r="B1054" s="1" t="s">
        <v>99</v>
      </c>
      <c r="C1054" t="s">
        <v>9</v>
      </c>
      <c r="D1054" s="1" t="s">
        <v>3</v>
      </c>
      <c r="E1054">
        <v>28</v>
      </c>
      <c r="F1054" s="1" t="s">
        <v>101</v>
      </c>
      <c r="G1054">
        <v>10</v>
      </c>
      <c r="H1054">
        <v>1</v>
      </c>
      <c r="I1054" s="2">
        <f t="shared" si="48"/>
        <v>0.5454</v>
      </c>
      <c r="J1054">
        <f t="shared" si="49"/>
        <v>2.0358342665173574E-2</v>
      </c>
      <c r="K1054">
        <f t="shared" si="50"/>
        <v>1.4243927918516584E-2</v>
      </c>
    </row>
    <row r="1055" spans="1:11" x14ac:dyDescent="0.25">
      <c r="A1055" s="1">
        <v>1987</v>
      </c>
      <c r="B1055" s="1" t="s">
        <v>99</v>
      </c>
      <c r="C1055" t="s">
        <v>9</v>
      </c>
      <c r="D1055" s="1" t="s">
        <v>3</v>
      </c>
      <c r="E1055">
        <v>29</v>
      </c>
      <c r="F1055" s="1" t="s">
        <v>101</v>
      </c>
      <c r="G1055">
        <v>6</v>
      </c>
      <c r="H1055">
        <v>65</v>
      </c>
      <c r="I1055" s="2">
        <f t="shared" si="48"/>
        <v>12.762359999999999</v>
      </c>
      <c r="J1055">
        <f t="shared" si="49"/>
        <v>0.47638521836506159</v>
      </c>
      <c r="K1055">
        <f t="shared" si="50"/>
        <v>0.33330791329328802</v>
      </c>
    </row>
    <row r="1056" spans="1:11" x14ac:dyDescent="0.25">
      <c r="A1056" s="1">
        <v>1987</v>
      </c>
      <c r="B1056" s="1" t="s">
        <v>99</v>
      </c>
      <c r="C1056" t="s">
        <v>9</v>
      </c>
      <c r="D1056" s="1" t="s">
        <v>3</v>
      </c>
      <c r="E1056">
        <v>29</v>
      </c>
      <c r="F1056" s="1" t="s">
        <v>101</v>
      </c>
      <c r="G1056">
        <v>8</v>
      </c>
      <c r="H1056">
        <v>55</v>
      </c>
      <c r="I1056" s="2">
        <f t="shared" si="48"/>
        <v>19.198079999999997</v>
      </c>
      <c r="J1056">
        <f t="shared" si="49"/>
        <v>0.71661366181410968</v>
      </c>
      <c r="K1056">
        <f t="shared" si="50"/>
        <v>0.50138626273178366</v>
      </c>
    </row>
    <row r="1057" spans="1:11" x14ac:dyDescent="0.25">
      <c r="A1057" s="1">
        <v>1987</v>
      </c>
      <c r="B1057" s="1" t="s">
        <v>99</v>
      </c>
      <c r="C1057" t="s">
        <v>9</v>
      </c>
      <c r="D1057" s="1" t="s">
        <v>3</v>
      </c>
      <c r="E1057">
        <v>29</v>
      </c>
      <c r="F1057" s="1" t="s">
        <v>101</v>
      </c>
      <c r="G1057">
        <v>10</v>
      </c>
      <c r="H1057">
        <v>43</v>
      </c>
      <c r="I1057" s="2">
        <f t="shared" si="48"/>
        <v>23.452200000000001</v>
      </c>
      <c r="J1057">
        <f t="shared" si="49"/>
        <v>0.87540873460246371</v>
      </c>
      <c r="K1057">
        <f t="shared" si="50"/>
        <v>0.61248890049621318</v>
      </c>
    </row>
    <row r="1058" spans="1:11" x14ac:dyDescent="0.25">
      <c r="A1058" s="1">
        <v>1987</v>
      </c>
      <c r="B1058" s="1" t="s">
        <v>99</v>
      </c>
      <c r="C1058" t="s">
        <v>9</v>
      </c>
      <c r="D1058" s="1" t="s">
        <v>3</v>
      </c>
      <c r="E1058">
        <v>29</v>
      </c>
      <c r="F1058" s="1" t="s">
        <v>101</v>
      </c>
      <c r="G1058">
        <v>12</v>
      </c>
      <c r="H1058">
        <v>31</v>
      </c>
      <c r="I1058" s="2">
        <f t="shared" si="48"/>
        <v>24.346655999999999</v>
      </c>
      <c r="J1058">
        <f t="shared" si="49"/>
        <v>0.90879641657334831</v>
      </c>
      <c r="K1058">
        <f t="shared" si="50"/>
        <v>0.63584894228258027</v>
      </c>
    </row>
    <row r="1059" spans="1:11" x14ac:dyDescent="0.25">
      <c r="A1059" s="1">
        <v>1987</v>
      </c>
      <c r="B1059" s="1" t="s">
        <v>99</v>
      </c>
      <c r="C1059" t="s">
        <v>9</v>
      </c>
      <c r="D1059" s="1" t="s">
        <v>3</v>
      </c>
      <c r="E1059">
        <v>29</v>
      </c>
      <c r="F1059" s="1" t="s">
        <v>101</v>
      </c>
      <c r="G1059">
        <v>14</v>
      </c>
      <c r="H1059">
        <v>2</v>
      </c>
      <c r="I1059" s="2">
        <f t="shared" si="48"/>
        <v>2.1379679999999999</v>
      </c>
      <c r="J1059">
        <f t="shared" si="49"/>
        <v>7.9804703247480402E-2</v>
      </c>
      <c r="K1059">
        <f t="shared" si="50"/>
        <v>5.5836197440585003E-2</v>
      </c>
    </row>
    <row r="1060" spans="1:11" x14ac:dyDescent="0.25">
      <c r="A1060" s="1">
        <v>1987</v>
      </c>
      <c r="B1060" s="1" t="s">
        <v>99</v>
      </c>
      <c r="C1060" t="s">
        <v>9</v>
      </c>
      <c r="D1060" s="1" t="s">
        <v>3</v>
      </c>
      <c r="E1060">
        <v>29</v>
      </c>
      <c r="F1060" s="1" t="s">
        <v>101</v>
      </c>
      <c r="G1060">
        <v>20</v>
      </c>
      <c r="H1060">
        <v>1</v>
      </c>
      <c r="I1060" s="2">
        <f t="shared" si="48"/>
        <v>2.1816</v>
      </c>
      <c r="J1060">
        <f t="shared" si="49"/>
        <v>8.1433370660694296E-2</v>
      </c>
      <c r="K1060">
        <f t="shared" si="50"/>
        <v>5.6975711674066336E-2</v>
      </c>
    </row>
    <row r="1061" spans="1:11" x14ac:dyDescent="0.25">
      <c r="A1061" s="1">
        <v>1987</v>
      </c>
      <c r="B1061" s="1" t="s">
        <v>99</v>
      </c>
      <c r="C1061" t="s">
        <v>9</v>
      </c>
      <c r="D1061" s="1" t="s">
        <v>3</v>
      </c>
      <c r="E1061">
        <v>30</v>
      </c>
      <c r="F1061" s="1" t="s">
        <v>101</v>
      </c>
      <c r="G1061">
        <v>6</v>
      </c>
      <c r="H1061">
        <v>1</v>
      </c>
      <c r="I1061" s="2">
        <f t="shared" si="48"/>
        <v>0.19634399999999999</v>
      </c>
      <c r="J1061">
        <f t="shared" si="49"/>
        <v>7.3290033594624856E-3</v>
      </c>
      <c r="K1061">
        <f t="shared" si="50"/>
        <v>5.1278140506659693E-3</v>
      </c>
    </row>
    <row r="1062" spans="1:11" x14ac:dyDescent="0.25">
      <c r="A1062" s="1">
        <v>1987</v>
      </c>
      <c r="B1062" s="1" t="s">
        <v>99</v>
      </c>
      <c r="C1062" t="s">
        <v>9</v>
      </c>
      <c r="D1062" s="1" t="s">
        <v>3</v>
      </c>
      <c r="E1062">
        <v>30</v>
      </c>
      <c r="F1062" s="1" t="s">
        <v>101</v>
      </c>
      <c r="G1062">
        <v>8</v>
      </c>
      <c r="H1062">
        <v>3</v>
      </c>
      <c r="I1062" s="2">
        <f t="shared" si="48"/>
        <v>1.0471679999999999</v>
      </c>
      <c r="J1062">
        <f t="shared" si="49"/>
        <v>3.9088017917133254E-2</v>
      </c>
      <c r="K1062">
        <f t="shared" si="50"/>
        <v>2.7348341603551835E-2</v>
      </c>
    </row>
    <row r="1063" spans="1:11" x14ac:dyDescent="0.25">
      <c r="A1063" s="1">
        <v>1987</v>
      </c>
      <c r="B1063" s="1" t="s">
        <v>99</v>
      </c>
      <c r="C1063" t="s">
        <v>9</v>
      </c>
      <c r="D1063" s="1" t="s">
        <v>3</v>
      </c>
      <c r="E1063">
        <v>30</v>
      </c>
      <c r="F1063" s="1" t="s">
        <v>101</v>
      </c>
      <c r="G1063">
        <v>10</v>
      </c>
      <c r="H1063">
        <v>1</v>
      </c>
      <c r="I1063" s="2">
        <f t="shared" si="48"/>
        <v>0.5454</v>
      </c>
      <c r="J1063">
        <f t="shared" si="49"/>
        <v>2.0358342665173574E-2</v>
      </c>
      <c r="K1063">
        <f t="shared" si="50"/>
        <v>1.4243927918516584E-2</v>
      </c>
    </row>
    <row r="1064" spans="1:11" x14ac:dyDescent="0.25">
      <c r="A1064" s="1">
        <v>1987</v>
      </c>
      <c r="B1064" s="1" t="s">
        <v>99</v>
      </c>
      <c r="C1064" t="s">
        <v>9</v>
      </c>
      <c r="D1064" s="1" t="s">
        <v>3</v>
      </c>
      <c r="E1064">
        <v>32</v>
      </c>
      <c r="F1064" s="1" t="s">
        <v>101</v>
      </c>
      <c r="G1064">
        <v>6</v>
      </c>
      <c r="H1064">
        <v>137</v>
      </c>
      <c r="I1064" s="2">
        <f t="shared" si="48"/>
        <v>26.899127999999997</v>
      </c>
      <c r="J1064">
        <f t="shared" si="49"/>
        <v>1.0040734602463606</v>
      </c>
      <c r="K1064">
        <f t="shared" si="50"/>
        <v>0.70251052494123789</v>
      </c>
    </row>
    <row r="1065" spans="1:11" x14ac:dyDescent="0.25">
      <c r="A1065" s="1">
        <v>1987</v>
      </c>
      <c r="B1065" s="1" t="s">
        <v>99</v>
      </c>
      <c r="C1065" t="s">
        <v>9</v>
      </c>
      <c r="D1065" s="1" t="s">
        <v>3</v>
      </c>
      <c r="E1065">
        <v>32</v>
      </c>
      <c r="F1065" s="1" t="s">
        <v>101</v>
      </c>
      <c r="G1065">
        <v>8</v>
      </c>
      <c r="H1065">
        <v>64</v>
      </c>
      <c r="I1065" s="2">
        <f t="shared" si="48"/>
        <v>22.339583999999999</v>
      </c>
      <c r="J1065">
        <f t="shared" si="49"/>
        <v>0.83387771556550949</v>
      </c>
      <c r="K1065">
        <f t="shared" si="50"/>
        <v>0.58343128754243923</v>
      </c>
    </row>
    <row r="1066" spans="1:11" x14ac:dyDescent="0.25">
      <c r="A1066" s="1">
        <v>1987</v>
      </c>
      <c r="B1066" s="1" t="s">
        <v>99</v>
      </c>
      <c r="C1066" t="s">
        <v>9</v>
      </c>
      <c r="D1066" s="1" t="s">
        <v>3</v>
      </c>
      <c r="E1066">
        <v>32</v>
      </c>
      <c r="F1066" s="1" t="s">
        <v>101</v>
      </c>
      <c r="G1066">
        <v>10</v>
      </c>
      <c r="H1066">
        <v>25</v>
      </c>
      <c r="I1066" s="2">
        <f t="shared" si="48"/>
        <v>13.635</v>
      </c>
      <c r="J1066">
        <f t="shared" si="49"/>
        <v>0.50895856662933936</v>
      </c>
      <c r="K1066">
        <f t="shared" si="50"/>
        <v>0.35609819796291459</v>
      </c>
    </row>
    <row r="1067" spans="1:11" x14ac:dyDescent="0.25">
      <c r="A1067" s="1">
        <v>1987</v>
      </c>
      <c r="B1067" s="1" t="s">
        <v>99</v>
      </c>
      <c r="C1067" t="s">
        <v>9</v>
      </c>
      <c r="D1067" s="1" t="s">
        <v>3</v>
      </c>
      <c r="E1067">
        <v>32</v>
      </c>
      <c r="F1067" s="1" t="s">
        <v>101</v>
      </c>
      <c r="G1067">
        <v>12</v>
      </c>
      <c r="H1067">
        <v>9</v>
      </c>
      <c r="I1067" s="2">
        <f t="shared" si="48"/>
        <v>7.068384</v>
      </c>
      <c r="J1067">
        <f t="shared" si="49"/>
        <v>0.26384412094064952</v>
      </c>
      <c r="K1067">
        <f t="shared" si="50"/>
        <v>0.18460130582397494</v>
      </c>
    </row>
    <row r="1068" spans="1:11" x14ac:dyDescent="0.25">
      <c r="A1068" s="1">
        <v>1987</v>
      </c>
      <c r="B1068" s="1" t="s">
        <v>99</v>
      </c>
      <c r="C1068" t="s">
        <v>9</v>
      </c>
      <c r="D1068" s="1" t="s">
        <v>3</v>
      </c>
      <c r="E1068">
        <v>32</v>
      </c>
      <c r="F1068" s="1" t="s">
        <v>101</v>
      </c>
      <c r="G1068">
        <v>14</v>
      </c>
      <c r="H1068">
        <v>5</v>
      </c>
      <c r="I1068" s="2">
        <f t="shared" si="48"/>
        <v>5.3449200000000001</v>
      </c>
      <c r="J1068">
        <f t="shared" si="49"/>
        <v>0.199511758118701</v>
      </c>
      <c r="K1068">
        <f t="shared" si="50"/>
        <v>0.1395904936014625</v>
      </c>
    </row>
    <row r="1069" spans="1:11" x14ac:dyDescent="0.25">
      <c r="A1069" s="1">
        <v>1987</v>
      </c>
      <c r="B1069" s="1" t="s">
        <v>99</v>
      </c>
      <c r="C1069" t="s">
        <v>9</v>
      </c>
      <c r="D1069" s="1" t="s">
        <v>3</v>
      </c>
      <c r="E1069">
        <v>32</v>
      </c>
      <c r="F1069" s="1" t="s">
        <v>101</v>
      </c>
      <c r="G1069">
        <v>16</v>
      </c>
      <c r="H1069">
        <v>3</v>
      </c>
      <c r="I1069" s="2">
        <f t="shared" si="48"/>
        <v>4.1886719999999995</v>
      </c>
      <c r="J1069">
        <f t="shared" si="49"/>
        <v>0.15635207166853302</v>
      </c>
      <c r="K1069">
        <f t="shared" si="50"/>
        <v>0.10939336641420734</v>
      </c>
    </row>
    <row r="1070" spans="1:11" x14ac:dyDescent="0.25">
      <c r="A1070" s="1">
        <v>1987</v>
      </c>
      <c r="B1070" s="1" t="s">
        <v>99</v>
      </c>
      <c r="C1070" t="s">
        <v>9</v>
      </c>
      <c r="D1070" s="1" t="s">
        <v>3</v>
      </c>
      <c r="E1070">
        <v>32</v>
      </c>
      <c r="F1070" s="1" t="s">
        <v>101</v>
      </c>
      <c r="G1070">
        <v>18</v>
      </c>
      <c r="H1070">
        <v>2</v>
      </c>
      <c r="I1070" s="2">
        <f t="shared" si="48"/>
        <v>3.5341919999999996</v>
      </c>
      <c r="J1070">
        <f t="shared" si="49"/>
        <v>0.13192206047032473</v>
      </c>
      <c r="K1070">
        <f t="shared" si="50"/>
        <v>9.2300652911987441E-2</v>
      </c>
    </row>
    <row r="1071" spans="1:11" x14ac:dyDescent="0.25">
      <c r="A1071" s="1">
        <v>1987</v>
      </c>
      <c r="B1071" s="1" t="s">
        <v>99</v>
      </c>
      <c r="C1071" t="s">
        <v>9</v>
      </c>
      <c r="D1071" s="1" t="s">
        <v>3</v>
      </c>
      <c r="E1071">
        <v>32</v>
      </c>
      <c r="F1071" s="1" t="s">
        <v>101</v>
      </c>
      <c r="G1071">
        <v>20</v>
      </c>
      <c r="H1071">
        <v>1</v>
      </c>
      <c r="I1071" s="2">
        <f t="shared" si="48"/>
        <v>2.1816</v>
      </c>
      <c r="J1071">
        <f t="shared" si="49"/>
        <v>8.1433370660694296E-2</v>
      </c>
      <c r="K1071">
        <f t="shared" si="50"/>
        <v>5.6975711674066336E-2</v>
      </c>
    </row>
    <row r="1072" spans="1:11" x14ac:dyDescent="0.25">
      <c r="A1072" s="1">
        <v>1987</v>
      </c>
      <c r="B1072" s="1" t="s">
        <v>99</v>
      </c>
      <c r="C1072" t="s">
        <v>9</v>
      </c>
      <c r="D1072" s="1" t="s">
        <v>3</v>
      </c>
      <c r="E1072">
        <v>34</v>
      </c>
      <c r="F1072" s="1" t="s">
        <v>101</v>
      </c>
      <c r="G1072">
        <v>6</v>
      </c>
      <c r="H1072">
        <v>68</v>
      </c>
      <c r="I1072" s="2">
        <f t="shared" si="48"/>
        <v>13.351391999999999</v>
      </c>
      <c r="J1072">
        <f t="shared" si="49"/>
        <v>0.49837222844344903</v>
      </c>
      <c r="K1072">
        <f t="shared" si="50"/>
        <v>0.34869135544528596</v>
      </c>
    </row>
    <row r="1073" spans="1:11" x14ac:dyDescent="0.25">
      <c r="A1073" s="1">
        <v>1987</v>
      </c>
      <c r="B1073" s="1" t="s">
        <v>99</v>
      </c>
      <c r="C1073" t="s">
        <v>9</v>
      </c>
      <c r="D1073" s="1" t="s">
        <v>3</v>
      </c>
      <c r="E1073">
        <v>34</v>
      </c>
      <c r="F1073" s="1" t="s">
        <v>101</v>
      </c>
      <c r="G1073">
        <v>8</v>
      </c>
      <c r="H1073">
        <v>43</v>
      </c>
      <c r="I1073" s="2">
        <f t="shared" si="48"/>
        <v>15.009407999999999</v>
      </c>
      <c r="J1073">
        <f t="shared" si="49"/>
        <v>0.56026159014557664</v>
      </c>
      <c r="K1073">
        <f t="shared" si="50"/>
        <v>0.39199289631757633</v>
      </c>
    </row>
    <row r="1074" spans="1:11" x14ac:dyDescent="0.25">
      <c r="A1074" s="1">
        <v>1987</v>
      </c>
      <c r="B1074" s="1" t="s">
        <v>99</v>
      </c>
      <c r="C1074" t="s">
        <v>9</v>
      </c>
      <c r="D1074" s="1" t="s">
        <v>3</v>
      </c>
      <c r="E1074">
        <v>34</v>
      </c>
      <c r="F1074" s="1" t="s">
        <v>101</v>
      </c>
      <c r="G1074">
        <v>10</v>
      </c>
      <c r="H1074">
        <v>45</v>
      </c>
      <c r="I1074" s="2">
        <f t="shared" si="48"/>
        <v>24.542999999999999</v>
      </c>
      <c r="J1074">
        <f t="shared" si="49"/>
        <v>0.91612541993281071</v>
      </c>
      <c r="K1074">
        <f t="shared" si="50"/>
        <v>0.64097675633324624</v>
      </c>
    </row>
    <row r="1075" spans="1:11" x14ac:dyDescent="0.25">
      <c r="A1075" s="1">
        <v>1987</v>
      </c>
      <c r="B1075" s="1" t="s">
        <v>99</v>
      </c>
      <c r="C1075" t="s">
        <v>9</v>
      </c>
      <c r="D1075" s="1" t="s">
        <v>3</v>
      </c>
      <c r="E1075">
        <v>34</v>
      </c>
      <c r="F1075" s="1" t="s">
        <v>101</v>
      </c>
      <c r="G1075">
        <v>12</v>
      </c>
      <c r="H1075">
        <v>33</v>
      </c>
      <c r="I1075" s="2">
        <f t="shared" si="48"/>
        <v>25.917407999999998</v>
      </c>
      <c r="J1075">
        <f t="shared" si="49"/>
        <v>0.9674284434490481</v>
      </c>
      <c r="K1075">
        <f t="shared" si="50"/>
        <v>0.67687145468790799</v>
      </c>
    </row>
    <row r="1076" spans="1:11" x14ac:dyDescent="0.25">
      <c r="A1076" s="1">
        <v>1987</v>
      </c>
      <c r="B1076" s="1" t="s">
        <v>99</v>
      </c>
      <c r="C1076" t="s">
        <v>9</v>
      </c>
      <c r="D1076" s="1" t="s">
        <v>3</v>
      </c>
      <c r="E1076">
        <v>34</v>
      </c>
      <c r="F1076" s="1" t="s">
        <v>101</v>
      </c>
      <c r="G1076">
        <v>14</v>
      </c>
      <c r="H1076">
        <v>25</v>
      </c>
      <c r="I1076" s="2">
        <f t="shared" si="48"/>
        <v>26.724599999999999</v>
      </c>
      <c r="J1076">
        <f t="shared" si="49"/>
        <v>0.99755879059350505</v>
      </c>
      <c r="K1076">
        <f t="shared" si="50"/>
        <v>0.69795246800731259</v>
      </c>
    </row>
    <row r="1077" spans="1:11" x14ac:dyDescent="0.25">
      <c r="A1077" s="1">
        <v>1987</v>
      </c>
      <c r="B1077" s="1" t="s">
        <v>99</v>
      </c>
      <c r="C1077" t="s">
        <v>9</v>
      </c>
      <c r="D1077" s="1" t="s">
        <v>3</v>
      </c>
      <c r="E1077">
        <v>34</v>
      </c>
      <c r="F1077" s="1" t="s">
        <v>101</v>
      </c>
      <c r="G1077">
        <v>16</v>
      </c>
      <c r="H1077">
        <v>28</v>
      </c>
      <c r="I1077" s="2">
        <f t="shared" si="48"/>
        <v>39.094271999999997</v>
      </c>
      <c r="J1077">
        <f t="shared" si="49"/>
        <v>1.4592860022396417</v>
      </c>
      <c r="K1077">
        <f t="shared" si="50"/>
        <v>1.0210047531992688</v>
      </c>
    </row>
    <row r="1078" spans="1:11" x14ac:dyDescent="0.25">
      <c r="A1078" s="1">
        <v>1987</v>
      </c>
      <c r="B1078" s="1" t="s">
        <v>99</v>
      </c>
      <c r="C1078" t="s">
        <v>9</v>
      </c>
      <c r="D1078" s="1" t="s">
        <v>3</v>
      </c>
      <c r="E1078">
        <v>34</v>
      </c>
      <c r="F1078" s="1" t="s">
        <v>101</v>
      </c>
      <c r="G1078">
        <v>18</v>
      </c>
      <c r="H1078">
        <v>34</v>
      </c>
      <c r="I1078" s="2">
        <f t="shared" si="48"/>
        <v>60.08126399999999</v>
      </c>
      <c r="J1078">
        <f t="shared" si="49"/>
        <v>2.2426750279955203</v>
      </c>
      <c r="K1078">
        <f t="shared" si="50"/>
        <v>1.5691110995037865</v>
      </c>
    </row>
    <row r="1079" spans="1:11" x14ac:dyDescent="0.25">
      <c r="A1079" s="1">
        <v>1987</v>
      </c>
      <c r="B1079" s="1" t="s">
        <v>99</v>
      </c>
      <c r="C1079" t="s">
        <v>9</v>
      </c>
      <c r="D1079" s="1" t="s">
        <v>3</v>
      </c>
      <c r="E1079">
        <v>34</v>
      </c>
      <c r="F1079" s="1" t="s">
        <v>101</v>
      </c>
      <c r="G1079">
        <v>20</v>
      </c>
      <c r="H1079">
        <v>18</v>
      </c>
      <c r="I1079" s="2">
        <f t="shared" si="48"/>
        <v>39.268799999999999</v>
      </c>
      <c r="J1079">
        <f t="shared" si="49"/>
        <v>1.4658006718924972</v>
      </c>
      <c r="K1079">
        <f t="shared" si="50"/>
        <v>1.0255628101331939</v>
      </c>
    </row>
    <row r="1080" spans="1:11" x14ac:dyDescent="0.25">
      <c r="A1080" s="1">
        <v>1987</v>
      </c>
      <c r="B1080" s="1" t="s">
        <v>99</v>
      </c>
      <c r="C1080" t="s">
        <v>9</v>
      </c>
      <c r="D1080" s="1" t="s">
        <v>3</v>
      </c>
      <c r="E1080">
        <v>34</v>
      </c>
      <c r="F1080" s="1" t="s">
        <v>101</v>
      </c>
      <c r="G1080">
        <v>22</v>
      </c>
      <c r="H1080">
        <v>1</v>
      </c>
      <c r="I1080" s="2">
        <f t="shared" si="48"/>
        <v>2.6397359999999996</v>
      </c>
      <c r="J1080">
        <f t="shared" si="49"/>
        <v>9.8534378499440078E-2</v>
      </c>
      <c r="K1080">
        <f t="shared" si="50"/>
        <v>6.8940611125620249E-2</v>
      </c>
    </row>
    <row r="1081" spans="1:11" x14ac:dyDescent="0.25">
      <c r="A1081" s="1">
        <v>1987</v>
      </c>
      <c r="B1081" s="1" t="s">
        <v>99</v>
      </c>
      <c r="C1081" t="s">
        <v>9</v>
      </c>
      <c r="D1081" s="1" t="s">
        <v>3</v>
      </c>
      <c r="E1081">
        <v>38</v>
      </c>
      <c r="F1081" s="1" t="s">
        <v>101</v>
      </c>
      <c r="G1081">
        <v>6</v>
      </c>
      <c r="H1081">
        <v>62</v>
      </c>
      <c r="I1081" s="2">
        <f t="shared" si="48"/>
        <v>12.173328</v>
      </c>
      <c r="J1081">
        <f t="shared" si="49"/>
        <v>0.45439820828667415</v>
      </c>
      <c r="K1081">
        <f t="shared" si="50"/>
        <v>0.31792447114129013</v>
      </c>
    </row>
    <row r="1082" spans="1:11" x14ac:dyDescent="0.25">
      <c r="A1082" s="1">
        <v>1987</v>
      </c>
      <c r="B1082" s="1" t="s">
        <v>99</v>
      </c>
      <c r="C1082" t="s">
        <v>9</v>
      </c>
      <c r="D1082" s="1" t="s">
        <v>3</v>
      </c>
      <c r="E1082">
        <v>38</v>
      </c>
      <c r="F1082" s="1" t="s">
        <v>101</v>
      </c>
      <c r="G1082">
        <v>8</v>
      </c>
      <c r="H1082">
        <v>105</v>
      </c>
      <c r="I1082" s="2">
        <f t="shared" si="48"/>
        <v>36.650880000000001</v>
      </c>
      <c r="J1082">
        <f t="shared" si="49"/>
        <v>1.3680806270996642</v>
      </c>
      <c r="K1082">
        <f t="shared" si="50"/>
        <v>0.9571919561243144</v>
      </c>
    </row>
    <row r="1083" spans="1:11" x14ac:dyDescent="0.25">
      <c r="A1083" s="1">
        <v>1987</v>
      </c>
      <c r="B1083" s="1" t="s">
        <v>99</v>
      </c>
      <c r="C1083" t="s">
        <v>9</v>
      </c>
      <c r="D1083" s="1" t="s">
        <v>3</v>
      </c>
      <c r="E1083">
        <v>38</v>
      </c>
      <c r="F1083" s="1" t="s">
        <v>101</v>
      </c>
      <c r="G1083">
        <v>10</v>
      </c>
      <c r="H1083">
        <v>97</v>
      </c>
      <c r="I1083" s="2">
        <f t="shared" si="48"/>
        <v>52.903799999999997</v>
      </c>
      <c r="J1083">
        <f t="shared" si="49"/>
        <v>1.9747592385218364</v>
      </c>
      <c r="K1083">
        <f t="shared" si="50"/>
        <v>1.3816610080961085</v>
      </c>
    </row>
    <row r="1084" spans="1:11" x14ac:dyDescent="0.25">
      <c r="A1084" s="1">
        <v>1987</v>
      </c>
      <c r="B1084" s="1" t="s">
        <v>99</v>
      </c>
      <c r="C1084" t="s">
        <v>9</v>
      </c>
      <c r="D1084" s="1" t="s">
        <v>3</v>
      </c>
      <c r="E1084">
        <v>38</v>
      </c>
      <c r="F1084" s="1" t="s">
        <v>101</v>
      </c>
      <c r="G1084">
        <v>12</v>
      </c>
      <c r="H1084">
        <v>102</v>
      </c>
      <c r="I1084" s="2">
        <f t="shared" si="48"/>
        <v>80.108351999999996</v>
      </c>
      <c r="J1084">
        <f t="shared" si="49"/>
        <v>2.9902333706606941</v>
      </c>
      <c r="K1084">
        <f t="shared" si="50"/>
        <v>2.0921481326717157</v>
      </c>
    </row>
    <row r="1085" spans="1:11" x14ac:dyDescent="0.25">
      <c r="A1085" s="1">
        <v>1987</v>
      </c>
      <c r="B1085" s="1" t="s">
        <v>99</v>
      </c>
      <c r="C1085" t="s">
        <v>9</v>
      </c>
      <c r="D1085" s="1" t="s">
        <v>3</v>
      </c>
      <c r="E1085">
        <v>38</v>
      </c>
      <c r="F1085" s="1" t="s">
        <v>101</v>
      </c>
      <c r="G1085">
        <v>14</v>
      </c>
      <c r="H1085">
        <v>110</v>
      </c>
      <c r="I1085" s="2">
        <f t="shared" si="48"/>
        <v>117.58824</v>
      </c>
      <c r="J1085">
        <f t="shared" si="49"/>
        <v>4.389258678611422</v>
      </c>
      <c r="K1085">
        <f t="shared" si="50"/>
        <v>3.0709908592321753</v>
      </c>
    </row>
    <row r="1086" spans="1:11" x14ac:dyDescent="0.25">
      <c r="A1086" s="1">
        <v>1987</v>
      </c>
      <c r="B1086" s="1" t="s">
        <v>99</v>
      </c>
      <c r="C1086" t="s">
        <v>9</v>
      </c>
      <c r="D1086" s="1" t="s">
        <v>3</v>
      </c>
      <c r="E1086">
        <v>38</v>
      </c>
      <c r="F1086" s="1" t="s">
        <v>101</v>
      </c>
      <c r="G1086">
        <v>16</v>
      </c>
      <c r="H1086">
        <v>65</v>
      </c>
      <c r="I1086" s="2">
        <f t="shared" si="48"/>
        <v>90.754559999999998</v>
      </c>
      <c r="J1086">
        <f t="shared" si="49"/>
        <v>3.3876282194848826</v>
      </c>
      <c r="K1086">
        <f t="shared" si="50"/>
        <v>2.3701896056411593</v>
      </c>
    </row>
    <row r="1087" spans="1:11" x14ac:dyDescent="0.25">
      <c r="A1087" s="1">
        <v>1987</v>
      </c>
      <c r="B1087" s="1" t="s">
        <v>99</v>
      </c>
      <c r="C1087" t="s">
        <v>9</v>
      </c>
      <c r="D1087" s="1" t="s">
        <v>3</v>
      </c>
      <c r="E1087">
        <v>38</v>
      </c>
      <c r="F1087" s="1" t="s">
        <v>101</v>
      </c>
      <c r="G1087">
        <v>18</v>
      </c>
      <c r="H1087">
        <v>42</v>
      </c>
      <c r="I1087" s="2">
        <f t="shared" si="48"/>
        <v>74.218031999999994</v>
      </c>
      <c r="J1087">
        <f t="shared" si="49"/>
        <v>2.7703632698768197</v>
      </c>
      <c r="K1087">
        <f t="shared" si="50"/>
        <v>1.9383137111517366</v>
      </c>
    </row>
    <row r="1088" spans="1:11" x14ac:dyDescent="0.25">
      <c r="A1088" s="1">
        <v>1987</v>
      </c>
      <c r="B1088" s="1" t="s">
        <v>99</v>
      </c>
      <c r="C1088" t="s">
        <v>9</v>
      </c>
      <c r="D1088" s="1" t="s">
        <v>3</v>
      </c>
      <c r="E1088">
        <v>38</v>
      </c>
      <c r="F1088" s="1" t="s">
        <v>101</v>
      </c>
      <c r="G1088">
        <v>20</v>
      </c>
      <c r="H1088">
        <v>14</v>
      </c>
      <c r="I1088" s="2">
        <f t="shared" si="48"/>
        <v>30.542400000000001</v>
      </c>
      <c r="J1088">
        <f t="shared" si="49"/>
        <v>1.1400671892497201</v>
      </c>
      <c r="K1088">
        <f t="shared" si="50"/>
        <v>0.79765996343692869</v>
      </c>
    </row>
    <row r="1089" spans="1:11" x14ac:dyDescent="0.25">
      <c r="A1089" s="1">
        <v>1987</v>
      </c>
      <c r="B1089" s="1" t="s">
        <v>99</v>
      </c>
      <c r="C1089" t="s">
        <v>9</v>
      </c>
      <c r="D1089" s="1" t="s">
        <v>3</v>
      </c>
      <c r="E1089">
        <v>38</v>
      </c>
      <c r="F1089" s="1" t="s">
        <v>101</v>
      </c>
      <c r="G1089">
        <v>22</v>
      </c>
      <c r="H1089">
        <v>5</v>
      </c>
      <c r="I1089" s="2">
        <f t="shared" si="48"/>
        <v>13.198679999999998</v>
      </c>
      <c r="J1089">
        <f t="shared" si="49"/>
        <v>0.49267189249720039</v>
      </c>
      <c r="K1089">
        <f t="shared" si="50"/>
        <v>0.34470305562810127</v>
      </c>
    </row>
    <row r="1090" spans="1:11" x14ac:dyDescent="0.25">
      <c r="A1090" s="1">
        <v>1987</v>
      </c>
      <c r="B1090" s="1" t="s">
        <v>99</v>
      </c>
      <c r="C1090" t="s">
        <v>9</v>
      </c>
      <c r="D1090" s="1" t="s">
        <v>3</v>
      </c>
      <c r="E1090">
        <v>40</v>
      </c>
      <c r="F1090" s="1" t="s">
        <v>101</v>
      </c>
      <c r="G1090">
        <v>6</v>
      </c>
      <c r="H1090">
        <v>79</v>
      </c>
      <c r="I1090" s="2">
        <f t="shared" si="48"/>
        <v>15.511175999999999</v>
      </c>
      <c r="J1090">
        <f t="shared" si="49"/>
        <v>0.57899126539753643</v>
      </c>
      <c r="K1090">
        <f t="shared" si="50"/>
        <v>0.40509731000261162</v>
      </c>
    </row>
    <row r="1091" spans="1:11" x14ac:dyDescent="0.25">
      <c r="A1091" s="1">
        <v>1987</v>
      </c>
      <c r="B1091" s="1" t="s">
        <v>99</v>
      </c>
      <c r="C1091" t="s">
        <v>9</v>
      </c>
      <c r="D1091" s="1" t="s">
        <v>3</v>
      </c>
      <c r="E1091">
        <v>40</v>
      </c>
      <c r="F1091" s="1" t="s">
        <v>101</v>
      </c>
      <c r="G1091">
        <v>8</v>
      </c>
      <c r="H1091">
        <v>76</v>
      </c>
      <c r="I1091" s="2">
        <f t="shared" ref="I1091:I1154" si="51">0.005454*G1091^2*H1091</f>
        <v>26.528255999999999</v>
      </c>
      <c r="J1091">
        <f t="shared" ref="J1091:J1154" si="52">I1091/26.79</f>
        <v>0.99022978723404254</v>
      </c>
      <c r="K1091">
        <f t="shared" ref="K1091:K1154" si="53">J1091*(26.79/38.29)</f>
        <v>0.69282465395664661</v>
      </c>
    </row>
    <row r="1092" spans="1:11" x14ac:dyDescent="0.25">
      <c r="A1092" s="1">
        <v>1987</v>
      </c>
      <c r="B1092" s="1" t="s">
        <v>99</v>
      </c>
      <c r="C1092" t="s">
        <v>9</v>
      </c>
      <c r="D1092" s="1" t="s">
        <v>3</v>
      </c>
      <c r="E1092">
        <v>40</v>
      </c>
      <c r="F1092" s="1" t="s">
        <v>101</v>
      </c>
      <c r="G1092">
        <v>10</v>
      </c>
      <c r="H1092">
        <v>76</v>
      </c>
      <c r="I1092" s="2">
        <f t="shared" si="51"/>
        <v>41.450400000000002</v>
      </c>
      <c r="J1092">
        <f t="shared" si="52"/>
        <v>1.5472340425531916</v>
      </c>
      <c r="K1092">
        <f t="shared" si="53"/>
        <v>1.0825385218072605</v>
      </c>
    </row>
    <row r="1093" spans="1:11" x14ac:dyDescent="0.25">
      <c r="A1093" s="1">
        <v>1987</v>
      </c>
      <c r="B1093" s="1" t="s">
        <v>99</v>
      </c>
      <c r="C1093" t="s">
        <v>9</v>
      </c>
      <c r="D1093" s="1" t="s">
        <v>3</v>
      </c>
      <c r="E1093">
        <v>40</v>
      </c>
      <c r="F1093" s="1" t="s">
        <v>101</v>
      </c>
      <c r="G1093">
        <v>12</v>
      </c>
      <c r="H1093">
        <v>83</v>
      </c>
      <c r="I1093" s="2">
        <f t="shared" si="51"/>
        <v>65.186207999999993</v>
      </c>
      <c r="J1093">
        <f t="shared" si="52"/>
        <v>2.4332291153415451</v>
      </c>
      <c r="K1093">
        <f t="shared" si="53"/>
        <v>1.7024342648211017</v>
      </c>
    </row>
    <row r="1094" spans="1:11" x14ac:dyDescent="0.25">
      <c r="A1094" s="1">
        <v>1987</v>
      </c>
      <c r="B1094" s="1" t="s">
        <v>99</v>
      </c>
      <c r="C1094" t="s">
        <v>9</v>
      </c>
      <c r="D1094" s="1" t="s">
        <v>3</v>
      </c>
      <c r="E1094">
        <v>40</v>
      </c>
      <c r="F1094" s="1" t="s">
        <v>101</v>
      </c>
      <c r="G1094">
        <v>14</v>
      </c>
      <c r="H1094">
        <v>106</v>
      </c>
      <c r="I1094" s="2">
        <f t="shared" si="51"/>
        <v>113.312304</v>
      </c>
      <c r="J1094">
        <f t="shared" si="52"/>
        <v>4.2296492721164611</v>
      </c>
      <c r="K1094">
        <f t="shared" si="53"/>
        <v>2.9593184643510053</v>
      </c>
    </row>
    <row r="1095" spans="1:11" x14ac:dyDescent="0.25">
      <c r="A1095" s="1">
        <v>1987</v>
      </c>
      <c r="B1095" s="1" t="s">
        <v>99</v>
      </c>
      <c r="C1095" t="s">
        <v>9</v>
      </c>
      <c r="D1095" s="1" t="s">
        <v>3</v>
      </c>
      <c r="E1095">
        <v>40</v>
      </c>
      <c r="F1095" s="1" t="s">
        <v>101</v>
      </c>
      <c r="G1095">
        <v>16</v>
      </c>
      <c r="H1095">
        <v>88</v>
      </c>
      <c r="I1095" s="2">
        <f t="shared" si="51"/>
        <v>122.867712</v>
      </c>
      <c r="J1095">
        <f t="shared" si="52"/>
        <v>4.5863274356103023</v>
      </c>
      <c r="K1095">
        <f t="shared" si="53"/>
        <v>3.208872081483416</v>
      </c>
    </row>
    <row r="1096" spans="1:11" x14ac:dyDescent="0.25">
      <c r="A1096" s="1">
        <v>1987</v>
      </c>
      <c r="B1096" s="1" t="s">
        <v>99</v>
      </c>
      <c r="C1096" t="s">
        <v>9</v>
      </c>
      <c r="D1096" s="1" t="s">
        <v>3</v>
      </c>
      <c r="E1096">
        <v>40</v>
      </c>
      <c r="F1096" s="1" t="s">
        <v>101</v>
      </c>
      <c r="G1096">
        <v>18</v>
      </c>
      <c r="H1096">
        <v>82</v>
      </c>
      <c r="I1096" s="2">
        <f t="shared" si="51"/>
        <v>144.90187199999997</v>
      </c>
      <c r="J1096">
        <f t="shared" si="52"/>
        <v>5.4088044792833134</v>
      </c>
      <c r="K1096">
        <f t="shared" si="53"/>
        <v>3.7843267693914848</v>
      </c>
    </row>
    <row r="1097" spans="1:11" x14ac:dyDescent="0.25">
      <c r="A1097" s="1">
        <v>1987</v>
      </c>
      <c r="B1097" s="1" t="s">
        <v>99</v>
      </c>
      <c r="C1097" t="s">
        <v>9</v>
      </c>
      <c r="D1097" s="1" t="s">
        <v>3</v>
      </c>
      <c r="E1097">
        <v>40</v>
      </c>
      <c r="F1097" s="1" t="s">
        <v>101</v>
      </c>
      <c r="G1097">
        <v>20</v>
      </c>
      <c r="H1097">
        <v>68</v>
      </c>
      <c r="I1097" s="2">
        <f t="shared" si="51"/>
        <v>148.34880000000001</v>
      </c>
      <c r="J1097">
        <f t="shared" si="52"/>
        <v>5.5374692049272118</v>
      </c>
      <c r="K1097">
        <f t="shared" si="53"/>
        <v>3.8743483938365109</v>
      </c>
    </row>
    <row r="1098" spans="1:11" x14ac:dyDescent="0.25">
      <c r="A1098" s="1">
        <v>1987</v>
      </c>
      <c r="B1098" s="1" t="s">
        <v>99</v>
      </c>
      <c r="C1098" t="s">
        <v>9</v>
      </c>
      <c r="D1098" s="1" t="s">
        <v>3</v>
      </c>
      <c r="E1098">
        <v>40</v>
      </c>
      <c r="F1098" s="1" t="s">
        <v>101</v>
      </c>
      <c r="G1098">
        <v>22</v>
      </c>
      <c r="H1098">
        <v>32</v>
      </c>
      <c r="I1098" s="2">
        <f t="shared" si="51"/>
        <v>84.471551999999988</v>
      </c>
      <c r="J1098">
        <f t="shared" si="52"/>
        <v>3.1531001119820825</v>
      </c>
      <c r="K1098">
        <f t="shared" si="53"/>
        <v>2.206099556019848</v>
      </c>
    </row>
    <row r="1099" spans="1:11" x14ac:dyDescent="0.25">
      <c r="A1099" s="1">
        <v>1987</v>
      </c>
      <c r="B1099" s="1" t="s">
        <v>99</v>
      </c>
      <c r="C1099" t="s">
        <v>9</v>
      </c>
      <c r="D1099" s="1" t="s">
        <v>3</v>
      </c>
      <c r="E1099">
        <v>40</v>
      </c>
      <c r="F1099" s="1" t="s">
        <v>101</v>
      </c>
      <c r="G1099">
        <v>24</v>
      </c>
      <c r="H1099">
        <v>3</v>
      </c>
      <c r="I1099" s="2">
        <f t="shared" si="51"/>
        <v>9.424512</v>
      </c>
      <c r="J1099">
        <f t="shared" si="52"/>
        <v>0.35179216125419932</v>
      </c>
      <c r="K1099">
        <f t="shared" si="53"/>
        <v>0.24613507443196656</v>
      </c>
    </row>
    <row r="1100" spans="1:11" x14ac:dyDescent="0.25">
      <c r="A1100" s="1">
        <v>1987</v>
      </c>
      <c r="B1100" s="1" t="s">
        <v>99</v>
      </c>
      <c r="C1100" t="s">
        <v>9</v>
      </c>
      <c r="D1100" s="1" t="s">
        <v>3</v>
      </c>
      <c r="E1100">
        <v>40</v>
      </c>
      <c r="F1100" s="1" t="s">
        <v>101</v>
      </c>
      <c r="G1100">
        <v>26</v>
      </c>
      <c r="H1100">
        <v>1</v>
      </c>
      <c r="I1100" s="2">
        <f t="shared" si="51"/>
        <v>3.6869039999999997</v>
      </c>
      <c r="J1100">
        <f t="shared" si="52"/>
        <v>0.13762239641657334</v>
      </c>
      <c r="K1100">
        <f t="shared" si="53"/>
        <v>9.6288952729172095E-2</v>
      </c>
    </row>
    <row r="1101" spans="1:11" x14ac:dyDescent="0.25">
      <c r="A1101" s="1">
        <v>1987</v>
      </c>
      <c r="B1101" s="1" t="s">
        <v>99</v>
      </c>
      <c r="C1101" t="s">
        <v>9</v>
      </c>
      <c r="D1101" s="1" t="s">
        <v>3</v>
      </c>
      <c r="E1101">
        <v>41</v>
      </c>
      <c r="F1101" s="1" t="s">
        <v>101</v>
      </c>
      <c r="G1101">
        <v>8</v>
      </c>
      <c r="H1101">
        <v>1</v>
      </c>
      <c r="I1101" s="2">
        <f t="shared" si="51"/>
        <v>0.34905599999999998</v>
      </c>
      <c r="J1101">
        <f t="shared" si="52"/>
        <v>1.3029339305711086E-2</v>
      </c>
      <c r="K1101">
        <f t="shared" si="53"/>
        <v>9.1161138678506129E-3</v>
      </c>
    </row>
    <row r="1102" spans="1:11" x14ac:dyDescent="0.25">
      <c r="A1102" s="1">
        <v>1987</v>
      </c>
      <c r="B1102" s="1" t="s">
        <v>99</v>
      </c>
      <c r="C1102" t="s">
        <v>9</v>
      </c>
      <c r="D1102" s="1" t="s">
        <v>3</v>
      </c>
      <c r="E1102">
        <v>41</v>
      </c>
      <c r="F1102" s="1" t="s">
        <v>101</v>
      </c>
      <c r="G1102">
        <v>10</v>
      </c>
      <c r="H1102">
        <v>3</v>
      </c>
      <c r="I1102" s="2">
        <f t="shared" si="51"/>
        <v>1.6362000000000001</v>
      </c>
      <c r="J1102">
        <f t="shared" si="52"/>
        <v>6.1075027995520725E-2</v>
      </c>
      <c r="K1102">
        <f t="shared" si="53"/>
        <v>4.2731783755549757E-2</v>
      </c>
    </row>
    <row r="1103" spans="1:11" x14ac:dyDescent="0.25">
      <c r="A1103" s="1">
        <v>1987</v>
      </c>
      <c r="B1103" s="1" t="s">
        <v>99</v>
      </c>
      <c r="C1103" t="s">
        <v>9</v>
      </c>
      <c r="D1103" s="1" t="s">
        <v>3</v>
      </c>
      <c r="E1103">
        <v>41</v>
      </c>
      <c r="F1103" s="1" t="s">
        <v>101</v>
      </c>
      <c r="G1103">
        <v>12</v>
      </c>
      <c r="H1103">
        <v>3</v>
      </c>
      <c r="I1103" s="2">
        <f t="shared" si="51"/>
        <v>2.356128</v>
      </c>
      <c r="J1103">
        <f t="shared" si="52"/>
        <v>8.794804031354983E-2</v>
      </c>
      <c r="K1103">
        <f t="shared" si="53"/>
        <v>6.1533768607991639E-2</v>
      </c>
    </row>
    <row r="1104" spans="1:11" x14ac:dyDescent="0.25">
      <c r="A1104" s="1">
        <v>1987</v>
      </c>
      <c r="B1104" s="1" t="s">
        <v>99</v>
      </c>
      <c r="C1104" t="s">
        <v>9</v>
      </c>
      <c r="D1104" s="1" t="s">
        <v>3</v>
      </c>
      <c r="E1104">
        <v>41</v>
      </c>
      <c r="F1104" s="1" t="s">
        <v>101</v>
      </c>
      <c r="G1104">
        <v>14</v>
      </c>
      <c r="H1104">
        <v>6</v>
      </c>
      <c r="I1104" s="2">
        <f t="shared" si="51"/>
        <v>6.4139039999999996</v>
      </c>
      <c r="J1104">
        <f t="shared" si="52"/>
        <v>0.23941410974244121</v>
      </c>
      <c r="K1104">
        <f t="shared" si="53"/>
        <v>0.16750859232175502</v>
      </c>
    </row>
    <row r="1105" spans="1:11" x14ac:dyDescent="0.25">
      <c r="A1105" s="1">
        <v>1987</v>
      </c>
      <c r="B1105" s="1" t="s">
        <v>99</v>
      </c>
      <c r="C1105" t="s">
        <v>9</v>
      </c>
      <c r="D1105" s="1" t="s">
        <v>3</v>
      </c>
      <c r="E1105">
        <v>41</v>
      </c>
      <c r="F1105" s="1" t="s">
        <v>101</v>
      </c>
      <c r="G1105">
        <v>16</v>
      </c>
      <c r="H1105">
        <v>1</v>
      </c>
      <c r="I1105" s="2">
        <f t="shared" si="51"/>
        <v>1.3962239999999999</v>
      </c>
      <c r="J1105">
        <f t="shared" si="52"/>
        <v>5.2117357222844343E-2</v>
      </c>
      <c r="K1105">
        <f t="shared" si="53"/>
        <v>3.6464455471402452E-2</v>
      </c>
    </row>
    <row r="1106" spans="1:11" x14ac:dyDescent="0.25">
      <c r="A1106" s="1">
        <v>1987</v>
      </c>
      <c r="B1106" s="1" t="s">
        <v>99</v>
      </c>
      <c r="C1106" t="s">
        <v>9</v>
      </c>
      <c r="D1106" s="1" t="s">
        <v>3</v>
      </c>
      <c r="E1106">
        <v>41</v>
      </c>
      <c r="F1106" s="1" t="s">
        <v>101</v>
      </c>
      <c r="G1106">
        <v>18</v>
      </c>
      <c r="H1106">
        <v>6</v>
      </c>
      <c r="I1106" s="2">
        <f t="shared" si="51"/>
        <v>10.602575999999999</v>
      </c>
      <c r="J1106">
        <f t="shared" si="52"/>
        <v>0.39576618141097425</v>
      </c>
      <c r="K1106">
        <f t="shared" si="53"/>
        <v>0.27690195873596235</v>
      </c>
    </row>
    <row r="1107" spans="1:11" x14ac:dyDescent="0.25">
      <c r="A1107" s="1">
        <v>1987</v>
      </c>
      <c r="B1107" s="1" t="s">
        <v>99</v>
      </c>
      <c r="C1107" t="s">
        <v>9</v>
      </c>
      <c r="D1107" s="1" t="s">
        <v>3</v>
      </c>
      <c r="E1107">
        <v>41</v>
      </c>
      <c r="F1107" s="1" t="s">
        <v>101</v>
      </c>
      <c r="G1107">
        <v>20</v>
      </c>
      <c r="H1107">
        <v>1</v>
      </c>
      <c r="I1107" s="2">
        <f t="shared" si="51"/>
        <v>2.1816</v>
      </c>
      <c r="J1107">
        <f t="shared" si="52"/>
        <v>8.1433370660694296E-2</v>
      </c>
      <c r="K1107">
        <f t="shared" si="53"/>
        <v>5.6975711674066336E-2</v>
      </c>
    </row>
    <row r="1108" spans="1:11" x14ac:dyDescent="0.25">
      <c r="A1108" s="1">
        <v>1987</v>
      </c>
      <c r="B1108" s="1" t="s">
        <v>99</v>
      </c>
      <c r="C1108" t="s">
        <v>9</v>
      </c>
      <c r="D1108" s="1" t="s">
        <v>3</v>
      </c>
      <c r="E1108">
        <v>41</v>
      </c>
      <c r="F1108" s="1" t="s">
        <v>101</v>
      </c>
      <c r="G1108">
        <v>22</v>
      </c>
      <c r="H1108">
        <v>2</v>
      </c>
      <c r="I1108" s="2">
        <f t="shared" si="51"/>
        <v>5.2794719999999993</v>
      </c>
      <c r="J1108">
        <f t="shared" si="52"/>
        <v>0.19706875699888016</v>
      </c>
      <c r="K1108">
        <f t="shared" si="53"/>
        <v>0.1378812222512405</v>
      </c>
    </row>
    <row r="1109" spans="1:11" x14ac:dyDescent="0.25">
      <c r="A1109" s="1">
        <v>1987</v>
      </c>
      <c r="B1109" s="1" t="s">
        <v>99</v>
      </c>
      <c r="C1109" t="s">
        <v>9</v>
      </c>
      <c r="D1109" s="1" t="s">
        <v>3</v>
      </c>
      <c r="E1109">
        <v>41</v>
      </c>
      <c r="F1109" s="1" t="s">
        <v>101</v>
      </c>
      <c r="G1109">
        <v>24</v>
      </c>
      <c r="H1109">
        <v>1</v>
      </c>
      <c r="I1109" s="2">
        <f t="shared" si="51"/>
        <v>3.1415039999999999</v>
      </c>
      <c r="J1109">
        <f t="shared" si="52"/>
        <v>0.11726405375139977</v>
      </c>
      <c r="K1109">
        <f t="shared" si="53"/>
        <v>8.2045024810655509E-2</v>
      </c>
    </row>
    <row r="1110" spans="1:11" x14ac:dyDescent="0.25">
      <c r="A1110" s="1">
        <v>1987</v>
      </c>
      <c r="B1110" s="1" t="s">
        <v>99</v>
      </c>
      <c r="C1110" t="s">
        <v>9</v>
      </c>
      <c r="D1110" s="1" t="s">
        <v>3</v>
      </c>
      <c r="E1110">
        <v>47</v>
      </c>
      <c r="F1110" s="1" t="s">
        <v>101</v>
      </c>
      <c r="G1110">
        <v>6</v>
      </c>
      <c r="H1110">
        <v>2</v>
      </c>
      <c r="I1110" s="2">
        <f t="shared" si="51"/>
        <v>0.39268799999999998</v>
      </c>
      <c r="J1110">
        <f t="shared" si="52"/>
        <v>1.4658006718924971E-2</v>
      </c>
      <c r="K1110">
        <f t="shared" si="53"/>
        <v>1.0255628101331939E-2</v>
      </c>
    </row>
    <row r="1111" spans="1:11" x14ac:dyDescent="0.25">
      <c r="A1111" s="1">
        <v>1987</v>
      </c>
      <c r="B1111" s="1" t="s">
        <v>99</v>
      </c>
      <c r="C1111" t="s">
        <v>9</v>
      </c>
      <c r="D1111" s="1" t="s">
        <v>3</v>
      </c>
      <c r="E1111">
        <v>47</v>
      </c>
      <c r="F1111" s="1" t="s">
        <v>101</v>
      </c>
      <c r="G1111">
        <v>8</v>
      </c>
      <c r="H1111">
        <v>1</v>
      </c>
      <c r="I1111" s="2">
        <f t="shared" si="51"/>
        <v>0.34905599999999998</v>
      </c>
      <c r="J1111">
        <f t="shared" si="52"/>
        <v>1.3029339305711086E-2</v>
      </c>
      <c r="K1111">
        <f t="shared" si="53"/>
        <v>9.1161138678506129E-3</v>
      </c>
    </row>
    <row r="1112" spans="1:11" x14ac:dyDescent="0.25">
      <c r="A1112" s="1">
        <v>1987</v>
      </c>
      <c r="B1112" s="1" t="s">
        <v>99</v>
      </c>
      <c r="C1112" t="s">
        <v>9</v>
      </c>
      <c r="D1112" s="1" t="s">
        <v>3</v>
      </c>
      <c r="E1112">
        <v>47</v>
      </c>
      <c r="F1112" s="1" t="s">
        <v>101</v>
      </c>
      <c r="G1112">
        <v>10</v>
      </c>
      <c r="H1112">
        <v>6</v>
      </c>
      <c r="I1112" s="2">
        <f t="shared" si="51"/>
        <v>3.2724000000000002</v>
      </c>
      <c r="J1112">
        <f t="shared" si="52"/>
        <v>0.12215005599104145</v>
      </c>
      <c r="K1112">
        <f t="shared" si="53"/>
        <v>8.5463567511099514E-2</v>
      </c>
    </row>
    <row r="1113" spans="1:11" x14ac:dyDescent="0.25">
      <c r="A1113" s="1">
        <v>1987</v>
      </c>
      <c r="B1113" s="1" t="s">
        <v>99</v>
      </c>
      <c r="C1113" t="s">
        <v>9</v>
      </c>
      <c r="D1113" s="1" t="s">
        <v>3</v>
      </c>
      <c r="E1113">
        <v>47</v>
      </c>
      <c r="F1113" s="1" t="s">
        <v>101</v>
      </c>
      <c r="G1113">
        <v>12</v>
      </c>
      <c r="H1113">
        <v>1</v>
      </c>
      <c r="I1113" s="2">
        <f t="shared" si="51"/>
        <v>0.78537599999999996</v>
      </c>
      <c r="J1113">
        <f t="shared" si="52"/>
        <v>2.9316013437849942E-2</v>
      </c>
      <c r="K1113">
        <f t="shared" si="53"/>
        <v>2.0511256202663877E-2</v>
      </c>
    </row>
    <row r="1114" spans="1:11" x14ac:dyDescent="0.25">
      <c r="A1114" s="1">
        <v>1987</v>
      </c>
      <c r="B1114" s="1" t="s">
        <v>99</v>
      </c>
      <c r="C1114" t="s">
        <v>9</v>
      </c>
      <c r="D1114" s="1" t="s">
        <v>3</v>
      </c>
      <c r="E1114">
        <v>47</v>
      </c>
      <c r="F1114" s="1" t="s">
        <v>101</v>
      </c>
      <c r="G1114">
        <v>14</v>
      </c>
      <c r="H1114">
        <v>1</v>
      </c>
      <c r="I1114" s="2">
        <f t="shared" si="51"/>
        <v>1.0689839999999999</v>
      </c>
      <c r="J1114">
        <f t="shared" si="52"/>
        <v>3.9902351623740201E-2</v>
      </c>
      <c r="K1114">
        <f t="shared" si="53"/>
        <v>2.7918098720292502E-2</v>
      </c>
    </row>
    <row r="1115" spans="1:11" x14ac:dyDescent="0.25">
      <c r="A1115" s="1">
        <v>1987</v>
      </c>
      <c r="B1115" s="1" t="s">
        <v>99</v>
      </c>
      <c r="C1115" t="s">
        <v>9</v>
      </c>
      <c r="D1115" s="1" t="s">
        <v>3</v>
      </c>
      <c r="E1115">
        <v>47</v>
      </c>
      <c r="F1115" s="1" t="s">
        <v>101</v>
      </c>
      <c r="G1115">
        <v>16</v>
      </c>
      <c r="H1115">
        <v>2</v>
      </c>
      <c r="I1115" s="2">
        <f t="shared" si="51"/>
        <v>2.7924479999999998</v>
      </c>
      <c r="J1115">
        <f t="shared" si="52"/>
        <v>0.10423471444568869</v>
      </c>
      <c r="K1115">
        <f t="shared" si="53"/>
        <v>7.2928910942804903E-2</v>
      </c>
    </row>
    <row r="1116" spans="1:11" x14ac:dyDescent="0.25">
      <c r="A1116" s="1">
        <v>1987</v>
      </c>
      <c r="B1116" s="1" t="s">
        <v>99</v>
      </c>
      <c r="C1116" t="s">
        <v>9</v>
      </c>
      <c r="D1116" s="1" t="s">
        <v>3</v>
      </c>
      <c r="E1116">
        <v>47</v>
      </c>
      <c r="F1116" s="1" t="s">
        <v>101</v>
      </c>
      <c r="G1116">
        <v>18</v>
      </c>
      <c r="H1116">
        <v>3</v>
      </c>
      <c r="I1116" s="2">
        <f t="shared" si="51"/>
        <v>5.3012879999999996</v>
      </c>
      <c r="J1116">
        <f t="shared" si="52"/>
        <v>0.19788309070548712</v>
      </c>
      <c r="K1116">
        <f t="shared" si="53"/>
        <v>0.13845097936798118</v>
      </c>
    </row>
    <row r="1117" spans="1:11" x14ac:dyDescent="0.25">
      <c r="A1117" s="1">
        <v>1987</v>
      </c>
      <c r="B1117" s="1" t="s">
        <v>99</v>
      </c>
      <c r="C1117" t="s">
        <v>9</v>
      </c>
      <c r="D1117" s="1" t="s">
        <v>3</v>
      </c>
      <c r="E1117">
        <v>47</v>
      </c>
      <c r="F1117" s="1" t="s">
        <v>101</v>
      </c>
      <c r="G1117">
        <v>20</v>
      </c>
      <c r="H1117">
        <v>1</v>
      </c>
      <c r="I1117" s="2">
        <f t="shared" si="51"/>
        <v>2.1816</v>
      </c>
      <c r="J1117">
        <f t="shared" si="52"/>
        <v>8.1433370660694296E-2</v>
      </c>
      <c r="K1117">
        <f t="shared" si="53"/>
        <v>5.6975711674066336E-2</v>
      </c>
    </row>
    <row r="1118" spans="1:11" x14ac:dyDescent="0.25">
      <c r="A1118" s="1">
        <v>1987</v>
      </c>
      <c r="B1118" s="1" t="s">
        <v>99</v>
      </c>
      <c r="C1118" t="s">
        <v>9</v>
      </c>
      <c r="D1118" s="1" t="s">
        <v>3</v>
      </c>
      <c r="E1118">
        <v>47</v>
      </c>
      <c r="F1118" s="1" t="s">
        <v>101</v>
      </c>
      <c r="G1118">
        <v>22</v>
      </c>
      <c r="H1118">
        <v>1</v>
      </c>
      <c r="I1118" s="2">
        <f t="shared" si="51"/>
        <v>2.6397359999999996</v>
      </c>
      <c r="J1118">
        <f t="shared" si="52"/>
        <v>9.8534378499440078E-2</v>
      </c>
      <c r="K1118">
        <f t="shared" si="53"/>
        <v>6.8940611125620249E-2</v>
      </c>
    </row>
    <row r="1119" spans="1:11" x14ac:dyDescent="0.25">
      <c r="A1119" s="1">
        <v>1987</v>
      </c>
      <c r="B1119" s="1" t="s">
        <v>99</v>
      </c>
      <c r="C1119" t="s">
        <v>9</v>
      </c>
      <c r="D1119" s="1" t="s">
        <v>3</v>
      </c>
      <c r="E1119">
        <v>53</v>
      </c>
      <c r="F1119" s="1" t="s">
        <v>101</v>
      </c>
      <c r="G1119">
        <v>6</v>
      </c>
      <c r="H1119">
        <v>37</v>
      </c>
      <c r="I1119" s="2">
        <f t="shared" si="51"/>
        <v>7.2647279999999999</v>
      </c>
      <c r="J1119">
        <f t="shared" si="52"/>
        <v>0.27117312430011198</v>
      </c>
      <c r="K1119">
        <f t="shared" si="53"/>
        <v>0.18972911987464089</v>
      </c>
    </row>
    <row r="1120" spans="1:11" x14ac:dyDescent="0.25">
      <c r="A1120" s="1">
        <v>1987</v>
      </c>
      <c r="B1120" s="1" t="s">
        <v>99</v>
      </c>
      <c r="C1120" t="s">
        <v>9</v>
      </c>
      <c r="D1120" s="1" t="s">
        <v>3</v>
      </c>
      <c r="E1120">
        <v>53</v>
      </c>
      <c r="F1120" s="1" t="s">
        <v>101</v>
      </c>
      <c r="G1120">
        <v>8</v>
      </c>
      <c r="H1120">
        <v>20</v>
      </c>
      <c r="I1120" s="2">
        <f t="shared" si="51"/>
        <v>6.9811199999999998</v>
      </c>
      <c r="J1120">
        <f t="shared" si="52"/>
        <v>0.2605867861142217</v>
      </c>
      <c r="K1120">
        <f t="shared" si="53"/>
        <v>0.18232227735701226</v>
      </c>
    </row>
    <row r="1121" spans="1:11" x14ac:dyDescent="0.25">
      <c r="A1121" s="1">
        <v>1987</v>
      </c>
      <c r="B1121" s="1" t="s">
        <v>99</v>
      </c>
      <c r="C1121" t="s">
        <v>9</v>
      </c>
      <c r="D1121" s="1" t="s">
        <v>3</v>
      </c>
      <c r="E1121">
        <v>53</v>
      </c>
      <c r="F1121" s="1" t="s">
        <v>101</v>
      </c>
      <c r="G1121">
        <v>10</v>
      </c>
      <c r="H1121">
        <v>27</v>
      </c>
      <c r="I1121" s="2">
        <f t="shared" si="51"/>
        <v>14.7258</v>
      </c>
      <c r="J1121">
        <f t="shared" si="52"/>
        <v>0.54967525195968647</v>
      </c>
      <c r="K1121">
        <f t="shared" si="53"/>
        <v>0.38458605379994776</v>
      </c>
    </row>
    <row r="1122" spans="1:11" x14ac:dyDescent="0.25">
      <c r="A1122" s="1">
        <v>1987</v>
      </c>
      <c r="B1122" s="1" t="s">
        <v>99</v>
      </c>
      <c r="C1122" t="s">
        <v>9</v>
      </c>
      <c r="D1122" s="1" t="s">
        <v>3</v>
      </c>
      <c r="E1122">
        <v>53</v>
      </c>
      <c r="F1122" s="1" t="s">
        <v>101</v>
      </c>
      <c r="G1122">
        <v>12</v>
      </c>
      <c r="H1122">
        <v>11</v>
      </c>
      <c r="I1122" s="2">
        <f t="shared" si="51"/>
        <v>8.6391359999999988</v>
      </c>
      <c r="J1122">
        <f t="shared" si="52"/>
        <v>0.32247614781634937</v>
      </c>
      <c r="K1122">
        <f t="shared" si="53"/>
        <v>0.22562381822930266</v>
      </c>
    </row>
    <row r="1123" spans="1:11" x14ac:dyDescent="0.25">
      <c r="A1123" s="1">
        <v>1987</v>
      </c>
      <c r="B1123" s="1" t="s">
        <v>99</v>
      </c>
      <c r="C1123" t="s">
        <v>9</v>
      </c>
      <c r="D1123" s="1" t="s">
        <v>3</v>
      </c>
      <c r="E1123">
        <v>53</v>
      </c>
      <c r="F1123" s="1" t="s">
        <v>101</v>
      </c>
      <c r="G1123">
        <v>14</v>
      </c>
      <c r="H1123">
        <v>13</v>
      </c>
      <c r="I1123" s="2">
        <f t="shared" si="51"/>
        <v>13.896792</v>
      </c>
      <c r="J1123">
        <f t="shared" si="52"/>
        <v>0.51873057110862264</v>
      </c>
      <c r="K1123">
        <f t="shared" si="53"/>
        <v>0.36293528336380254</v>
      </c>
    </row>
    <row r="1124" spans="1:11" x14ac:dyDescent="0.25">
      <c r="A1124" s="1">
        <v>1987</v>
      </c>
      <c r="B1124" s="1" t="s">
        <v>99</v>
      </c>
      <c r="C1124" t="s">
        <v>9</v>
      </c>
      <c r="D1124" s="1" t="s">
        <v>3</v>
      </c>
      <c r="E1124">
        <v>53</v>
      </c>
      <c r="F1124" s="1" t="s">
        <v>101</v>
      </c>
      <c r="G1124">
        <v>16</v>
      </c>
      <c r="H1124">
        <v>12</v>
      </c>
      <c r="I1124" s="2">
        <f t="shared" si="51"/>
        <v>16.754687999999998</v>
      </c>
      <c r="J1124">
        <f t="shared" si="52"/>
        <v>0.62540828667413206</v>
      </c>
      <c r="K1124">
        <f t="shared" si="53"/>
        <v>0.43757346565682936</v>
      </c>
    </row>
    <row r="1125" spans="1:11" x14ac:dyDescent="0.25">
      <c r="A1125" s="1">
        <v>1987</v>
      </c>
      <c r="B1125" s="1" t="s">
        <v>99</v>
      </c>
      <c r="C1125" t="s">
        <v>9</v>
      </c>
      <c r="D1125" s="1" t="s">
        <v>3</v>
      </c>
      <c r="E1125">
        <v>53</v>
      </c>
      <c r="F1125" s="1" t="s">
        <v>101</v>
      </c>
      <c r="G1125">
        <v>18</v>
      </c>
      <c r="H1125">
        <v>4</v>
      </c>
      <c r="I1125" s="2">
        <f t="shared" si="51"/>
        <v>7.0683839999999991</v>
      </c>
      <c r="J1125">
        <f t="shared" si="52"/>
        <v>0.26384412094064946</v>
      </c>
      <c r="K1125">
        <f t="shared" si="53"/>
        <v>0.18460130582397488</v>
      </c>
    </row>
    <row r="1126" spans="1:11" x14ac:dyDescent="0.25">
      <c r="A1126" s="1">
        <v>1987</v>
      </c>
      <c r="B1126" s="1" t="s">
        <v>99</v>
      </c>
      <c r="C1126" t="s">
        <v>9</v>
      </c>
      <c r="D1126" s="1" t="s">
        <v>3</v>
      </c>
      <c r="E1126">
        <v>53</v>
      </c>
      <c r="F1126" s="1" t="s">
        <v>101</v>
      </c>
      <c r="G1126">
        <v>20</v>
      </c>
      <c r="H1126">
        <v>1</v>
      </c>
      <c r="I1126" s="2">
        <f t="shared" si="51"/>
        <v>2.1816</v>
      </c>
      <c r="J1126">
        <f t="shared" si="52"/>
        <v>8.1433370660694296E-2</v>
      </c>
      <c r="K1126">
        <f t="shared" si="53"/>
        <v>5.6975711674066336E-2</v>
      </c>
    </row>
    <row r="1127" spans="1:11" x14ac:dyDescent="0.25">
      <c r="A1127" s="1">
        <v>1987</v>
      </c>
      <c r="B1127" s="1" t="s">
        <v>99</v>
      </c>
      <c r="C1127" t="s">
        <v>9</v>
      </c>
      <c r="D1127" s="1" t="s">
        <v>3</v>
      </c>
      <c r="E1127">
        <v>54</v>
      </c>
      <c r="F1127" s="1" t="s">
        <v>101</v>
      </c>
      <c r="G1127">
        <v>6</v>
      </c>
      <c r="H1127">
        <v>50</v>
      </c>
      <c r="I1127" s="2">
        <f t="shared" si="51"/>
        <v>9.8171999999999997</v>
      </c>
      <c r="J1127">
        <f t="shared" si="52"/>
        <v>0.3664501679731243</v>
      </c>
      <c r="K1127">
        <f t="shared" si="53"/>
        <v>0.25639070253329849</v>
      </c>
    </row>
    <row r="1128" spans="1:11" x14ac:dyDescent="0.25">
      <c r="A1128" s="1">
        <v>1987</v>
      </c>
      <c r="B1128" s="1" t="s">
        <v>99</v>
      </c>
      <c r="C1128" t="s">
        <v>9</v>
      </c>
      <c r="D1128" s="1" t="s">
        <v>3</v>
      </c>
      <c r="E1128">
        <v>54</v>
      </c>
      <c r="F1128" s="1" t="s">
        <v>101</v>
      </c>
      <c r="G1128">
        <v>8</v>
      </c>
      <c r="H1128">
        <v>24</v>
      </c>
      <c r="I1128" s="2">
        <f t="shared" si="51"/>
        <v>8.377343999999999</v>
      </c>
      <c r="J1128">
        <f t="shared" si="52"/>
        <v>0.31270414333706603</v>
      </c>
      <c r="K1128">
        <f t="shared" si="53"/>
        <v>0.21878673282841468</v>
      </c>
    </row>
    <row r="1129" spans="1:11" x14ac:dyDescent="0.25">
      <c r="A1129" s="1">
        <v>1987</v>
      </c>
      <c r="B1129" s="1" t="s">
        <v>99</v>
      </c>
      <c r="C1129" t="s">
        <v>9</v>
      </c>
      <c r="D1129" s="1" t="s">
        <v>3</v>
      </c>
      <c r="E1129">
        <v>54</v>
      </c>
      <c r="F1129" s="1" t="s">
        <v>101</v>
      </c>
      <c r="G1129">
        <v>10</v>
      </c>
      <c r="H1129">
        <v>30</v>
      </c>
      <c r="I1129" s="2">
        <f t="shared" si="51"/>
        <v>16.361999999999998</v>
      </c>
      <c r="J1129">
        <f t="shared" si="52"/>
        <v>0.61075027995520714</v>
      </c>
      <c r="K1129">
        <f t="shared" si="53"/>
        <v>0.42731783755549746</v>
      </c>
    </row>
    <row r="1130" spans="1:11" x14ac:dyDescent="0.25">
      <c r="A1130" s="1">
        <v>1987</v>
      </c>
      <c r="B1130" s="1" t="s">
        <v>99</v>
      </c>
      <c r="C1130" t="s">
        <v>9</v>
      </c>
      <c r="D1130" s="1" t="s">
        <v>3</v>
      </c>
      <c r="E1130">
        <v>54</v>
      </c>
      <c r="F1130" s="1" t="s">
        <v>101</v>
      </c>
      <c r="G1130">
        <v>12</v>
      </c>
      <c r="H1130">
        <v>12</v>
      </c>
      <c r="I1130" s="2">
        <f t="shared" si="51"/>
        <v>9.424512</v>
      </c>
      <c r="J1130">
        <f t="shared" si="52"/>
        <v>0.35179216125419932</v>
      </c>
      <c r="K1130">
        <f t="shared" si="53"/>
        <v>0.24613507443196656</v>
      </c>
    </row>
    <row r="1131" spans="1:11" x14ac:dyDescent="0.25">
      <c r="A1131" s="1">
        <v>1987</v>
      </c>
      <c r="B1131" s="1" t="s">
        <v>99</v>
      </c>
      <c r="C1131" t="s">
        <v>9</v>
      </c>
      <c r="D1131" s="1" t="s">
        <v>3</v>
      </c>
      <c r="E1131">
        <v>54</v>
      </c>
      <c r="F1131" s="1" t="s">
        <v>101</v>
      </c>
      <c r="G1131">
        <v>14</v>
      </c>
      <c r="H1131">
        <v>8</v>
      </c>
      <c r="I1131" s="2">
        <f t="shared" si="51"/>
        <v>8.5518719999999995</v>
      </c>
      <c r="J1131">
        <f t="shared" si="52"/>
        <v>0.31921881298992161</v>
      </c>
      <c r="K1131">
        <f t="shared" si="53"/>
        <v>0.22334478976234001</v>
      </c>
    </row>
    <row r="1132" spans="1:11" x14ac:dyDescent="0.25">
      <c r="A1132" s="1">
        <v>1987</v>
      </c>
      <c r="B1132" s="1" t="s">
        <v>99</v>
      </c>
      <c r="C1132" t="s">
        <v>9</v>
      </c>
      <c r="D1132" s="1" t="s">
        <v>3</v>
      </c>
      <c r="E1132">
        <v>54</v>
      </c>
      <c r="F1132" s="1" t="s">
        <v>101</v>
      </c>
      <c r="G1132">
        <v>16</v>
      </c>
      <c r="H1132">
        <v>1</v>
      </c>
      <c r="I1132" s="2">
        <f t="shared" si="51"/>
        <v>1.3962239999999999</v>
      </c>
      <c r="J1132">
        <f t="shared" si="52"/>
        <v>5.2117357222844343E-2</v>
      </c>
      <c r="K1132">
        <f t="shared" si="53"/>
        <v>3.6464455471402452E-2</v>
      </c>
    </row>
    <row r="1133" spans="1:11" x14ac:dyDescent="0.25">
      <c r="A1133" s="1">
        <v>1987</v>
      </c>
      <c r="B1133" s="1" t="s">
        <v>99</v>
      </c>
      <c r="C1133" t="s">
        <v>9</v>
      </c>
      <c r="D1133" s="1" t="s">
        <v>3</v>
      </c>
      <c r="E1133">
        <v>56</v>
      </c>
      <c r="F1133" s="1" t="s">
        <v>101</v>
      </c>
      <c r="G1133">
        <v>6</v>
      </c>
      <c r="H1133">
        <v>33</v>
      </c>
      <c r="I1133" s="2">
        <f t="shared" si="51"/>
        <v>6.4793519999999996</v>
      </c>
      <c r="J1133">
        <f t="shared" si="52"/>
        <v>0.24185711086226203</v>
      </c>
      <c r="K1133">
        <f t="shared" si="53"/>
        <v>0.169217863671977</v>
      </c>
    </row>
    <row r="1134" spans="1:11" x14ac:dyDescent="0.25">
      <c r="A1134" s="1">
        <v>1987</v>
      </c>
      <c r="B1134" s="1" t="s">
        <v>99</v>
      </c>
      <c r="C1134" t="s">
        <v>9</v>
      </c>
      <c r="D1134" s="1" t="s">
        <v>3</v>
      </c>
      <c r="E1134">
        <v>56</v>
      </c>
      <c r="F1134" s="1" t="s">
        <v>101</v>
      </c>
      <c r="G1134">
        <v>8</v>
      </c>
      <c r="H1134">
        <v>23</v>
      </c>
      <c r="I1134" s="2">
        <f t="shared" si="51"/>
        <v>8.0282879999999999</v>
      </c>
      <c r="J1134">
        <f t="shared" si="52"/>
        <v>0.29967480403135499</v>
      </c>
      <c r="K1134">
        <f t="shared" si="53"/>
        <v>0.2096706189605641</v>
      </c>
    </row>
    <row r="1135" spans="1:11" x14ac:dyDescent="0.25">
      <c r="A1135" s="1">
        <v>1987</v>
      </c>
      <c r="B1135" s="1" t="s">
        <v>99</v>
      </c>
      <c r="C1135" t="s">
        <v>9</v>
      </c>
      <c r="D1135" s="1" t="s">
        <v>3</v>
      </c>
      <c r="E1135">
        <v>56</v>
      </c>
      <c r="F1135" s="1" t="s">
        <v>101</v>
      </c>
      <c r="G1135">
        <v>10</v>
      </c>
      <c r="H1135">
        <v>24</v>
      </c>
      <c r="I1135" s="2">
        <f t="shared" si="51"/>
        <v>13.089600000000001</v>
      </c>
      <c r="J1135">
        <f t="shared" si="52"/>
        <v>0.4886002239641658</v>
      </c>
      <c r="K1135">
        <f t="shared" si="53"/>
        <v>0.34185427004439806</v>
      </c>
    </row>
    <row r="1136" spans="1:11" x14ac:dyDescent="0.25">
      <c r="A1136" s="1">
        <v>1987</v>
      </c>
      <c r="B1136" s="1" t="s">
        <v>99</v>
      </c>
      <c r="C1136" t="s">
        <v>9</v>
      </c>
      <c r="D1136" s="1" t="s">
        <v>3</v>
      </c>
      <c r="E1136">
        <v>56</v>
      </c>
      <c r="F1136" s="1" t="s">
        <v>101</v>
      </c>
      <c r="G1136">
        <v>12</v>
      </c>
      <c r="H1136">
        <v>17</v>
      </c>
      <c r="I1136" s="2">
        <f t="shared" si="51"/>
        <v>13.351391999999999</v>
      </c>
      <c r="J1136">
        <f t="shared" si="52"/>
        <v>0.49837222844344903</v>
      </c>
      <c r="K1136">
        <f t="shared" si="53"/>
        <v>0.34869135544528596</v>
      </c>
    </row>
    <row r="1137" spans="1:11" x14ac:dyDescent="0.25">
      <c r="A1137" s="1">
        <v>1987</v>
      </c>
      <c r="B1137" s="1" t="s">
        <v>99</v>
      </c>
      <c r="C1137" t="s">
        <v>9</v>
      </c>
      <c r="D1137" s="1" t="s">
        <v>3</v>
      </c>
      <c r="E1137">
        <v>56</v>
      </c>
      <c r="F1137" s="1" t="s">
        <v>101</v>
      </c>
      <c r="G1137">
        <v>14</v>
      </c>
      <c r="H1137">
        <v>17</v>
      </c>
      <c r="I1137" s="2">
        <f t="shared" si="51"/>
        <v>18.172727999999999</v>
      </c>
      <c r="J1137">
        <f t="shared" si="52"/>
        <v>0.67833997760358344</v>
      </c>
      <c r="K1137">
        <f t="shared" si="53"/>
        <v>0.47460767824497258</v>
      </c>
    </row>
    <row r="1138" spans="1:11" x14ac:dyDescent="0.25">
      <c r="A1138" s="1">
        <v>1987</v>
      </c>
      <c r="B1138" s="1" t="s">
        <v>99</v>
      </c>
      <c r="C1138" t="s">
        <v>9</v>
      </c>
      <c r="D1138" s="1" t="s">
        <v>3</v>
      </c>
      <c r="E1138">
        <v>56</v>
      </c>
      <c r="F1138" s="1" t="s">
        <v>101</v>
      </c>
      <c r="G1138">
        <v>16</v>
      </c>
      <c r="H1138">
        <v>33</v>
      </c>
      <c r="I1138" s="2">
        <f t="shared" si="51"/>
        <v>46.075391999999994</v>
      </c>
      <c r="J1138">
        <f t="shared" si="52"/>
        <v>1.7198727883538631</v>
      </c>
      <c r="K1138">
        <f t="shared" si="53"/>
        <v>1.2033270305562809</v>
      </c>
    </row>
    <row r="1139" spans="1:11" x14ac:dyDescent="0.25">
      <c r="A1139" s="1">
        <v>1987</v>
      </c>
      <c r="B1139" s="1" t="s">
        <v>99</v>
      </c>
      <c r="C1139" t="s">
        <v>9</v>
      </c>
      <c r="D1139" s="1" t="s">
        <v>3</v>
      </c>
      <c r="E1139">
        <v>56</v>
      </c>
      <c r="F1139" s="1" t="s">
        <v>101</v>
      </c>
      <c r="G1139">
        <v>18</v>
      </c>
      <c r="H1139">
        <v>23</v>
      </c>
      <c r="I1139" s="2">
        <f t="shared" si="51"/>
        <v>40.643207999999994</v>
      </c>
      <c r="J1139">
        <f t="shared" si="52"/>
        <v>1.5171036954087345</v>
      </c>
      <c r="K1139">
        <f t="shared" si="53"/>
        <v>1.0614575084878557</v>
      </c>
    </row>
    <row r="1140" spans="1:11" x14ac:dyDescent="0.25">
      <c r="A1140" s="1">
        <v>1987</v>
      </c>
      <c r="B1140" s="1" t="s">
        <v>99</v>
      </c>
      <c r="C1140" t="s">
        <v>9</v>
      </c>
      <c r="D1140" s="1" t="s">
        <v>3</v>
      </c>
      <c r="E1140">
        <v>56</v>
      </c>
      <c r="F1140" s="1" t="s">
        <v>101</v>
      </c>
      <c r="G1140">
        <v>20</v>
      </c>
      <c r="H1140">
        <v>12</v>
      </c>
      <c r="I1140" s="2">
        <f t="shared" si="51"/>
        <v>26.179200000000002</v>
      </c>
      <c r="J1140">
        <f t="shared" si="52"/>
        <v>0.97720044792833161</v>
      </c>
      <c r="K1140">
        <f t="shared" si="53"/>
        <v>0.68370854008879611</v>
      </c>
    </row>
    <row r="1141" spans="1:11" x14ac:dyDescent="0.25">
      <c r="A1141" s="1">
        <v>1987</v>
      </c>
      <c r="B1141" s="1" t="s">
        <v>99</v>
      </c>
      <c r="C1141" t="s">
        <v>9</v>
      </c>
      <c r="D1141" s="1" t="s">
        <v>3</v>
      </c>
      <c r="E1141">
        <v>56</v>
      </c>
      <c r="F1141" s="1" t="s">
        <v>101</v>
      </c>
      <c r="G1141">
        <v>22</v>
      </c>
      <c r="H1141">
        <v>8</v>
      </c>
      <c r="I1141" s="2">
        <f t="shared" si="51"/>
        <v>21.117887999999997</v>
      </c>
      <c r="J1141">
        <f t="shared" si="52"/>
        <v>0.78827502799552063</v>
      </c>
      <c r="K1141">
        <f t="shared" si="53"/>
        <v>0.55152488900496199</v>
      </c>
    </row>
    <row r="1142" spans="1:11" x14ac:dyDescent="0.25">
      <c r="A1142" s="1">
        <v>1987</v>
      </c>
      <c r="B1142" s="1" t="s">
        <v>99</v>
      </c>
      <c r="C1142" t="s">
        <v>9</v>
      </c>
      <c r="D1142" s="1" t="s">
        <v>3</v>
      </c>
      <c r="E1142">
        <v>56</v>
      </c>
      <c r="F1142" s="1" t="s">
        <v>101</v>
      </c>
      <c r="G1142">
        <v>24</v>
      </c>
      <c r="H1142">
        <v>2</v>
      </c>
      <c r="I1142" s="2">
        <f t="shared" si="51"/>
        <v>6.2830079999999997</v>
      </c>
      <c r="J1142">
        <f t="shared" si="52"/>
        <v>0.23452810750279954</v>
      </c>
      <c r="K1142">
        <f t="shared" si="53"/>
        <v>0.16409004962131102</v>
      </c>
    </row>
    <row r="1143" spans="1:11" x14ac:dyDescent="0.25">
      <c r="A1143" s="1">
        <v>1987</v>
      </c>
      <c r="B1143" s="1" t="s">
        <v>99</v>
      </c>
      <c r="C1143" t="s">
        <v>9</v>
      </c>
      <c r="D1143" s="1" t="s">
        <v>3</v>
      </c>
      <c r="E1143">
        <v>58</v>
      </c>
      <c r="F1143" s="1" t="s">
        <v>101</v>
      </c>
      <c r="G1143">
        <v>6</v>
      </c>
      <c r="H1143">
        <v>18</v>
      </c>
      <c r="I1143" s="2">
        <f t="shared" si="51"/>
        <v>3.534192</v>
      </c>
      <c r="J1143">
        <f t="shared" si="52"/>
        <v>0.13192206047032476</v>
      </c>
      <c r="K1143">
        <f t="shared" si="53"/>
        <v>9.2300652911987469E-2</v>
      </c>
    </row>
    <row r="1144" spans="1:11" x14ac:dyDescent="0.25">
      <c r="A1144" s="1">
        <v>1987</v>
      </c>
      <c r="B1144" s="1" t="s">
        <v>99</v>
      </c>
      <c r="C1144" t="s">
        <v>9</v>
      </c>
      <c r="D1144" s="1" t="s">
        <v>3</v>
      </c>
      <c r="E1144">
        <v>58</v>
      </c>
      <c r="F1144" s="1" t="s">
        <v>101</v>
      </c>
      <c r="G1144">
        <v>8</v>
      </c>
      <c r="H1144">
        <v>19</v>
      </c>
      <c r="I1144" s="2">
        <f t="shared" si="51"/>
        <v>6.6320639999999997</v>
      </c>
      <c r="J1144">
        <f t="shared" si="52"/>
        <v>0.24755744680851063</v>
      </c>
      <c r="K1144">
        <f t="shared" si="53"/>
        <v>0.17320616348916165</v>
      </c>
    </row>
    <row r="1145" spans="1:11" x14ac:dyDescent="0.25">
      <c r="A1145" s="1">
        <v>1987</v>
      </c>
      <c r="B1145" s="1" t="s">
        <v>99</v>
      </c>
      <c r="C1145" t="s">
        <v>9</v>
      </c>
      <c r="D1145" s="1" t="s">
        <v>3</v>
      </c>
      <c r="E1145">
        <v>58</v>
      </c>
      <c r="F1145" s="1" t="s">
        <v>101</v>
      </c>
      <c r="G1145">
        <v>10</v>
      </c>
      <c r="H1145">
        <v>14</v>
      </c>
      <c r="I1145" s="2">
        <f t="shared" si="51"/>
        <v>7.6356000000000002</v>
      </c>
      <c r="J1145">
        <f t="shared" si="52"/>
        <v>0.28501679731243001</v>
      </c>
      <c r="K1145">
        <f t="shared" si="53"/>
        <v>0.19941499085923217</v>
      </c>
    </row>
    <row r="1146" spans="1:11" x14ac:dyDescent="0.25">
      <c r="A1146" s="1">
        <v>1987</v>
      </c>
      <c r="B1146" s="1" t="s">
        <v>99</v>
      </c>
      <c r="C1146" t="s">
        <v>9</v>
      </c>
      <c r="D1146" s="1" t="s">
        <v>3</v>
      </c>
      <c r="E1146">
        <v>58</v>
      </c>
      <c r="F1146" s="1" t="s">
        <v>101</v>
      </c>
      <c r="G1146">
        <v>12</v>
      </c>
      <c r="H1146">
        <v>1</v>
      </c>
      <c r="I1146" s="2">
        <f t="shared" si="51"/>
        <v>0.78537599999999996</v>
      </c>
      <c r="J1146">
        <f t="shared" si="52"/>
        <v>2.9316013437849942E-2</v>
      </c>
      <c r="K1146">
        <f t="shared" si="53"/>
        <v>2.0511256202663877E-2</v>
      </c>
    </row>
    <row r="1147" spans="1:11" x14ac:dyDescent="0.25">
      <c r="A1147" s="1">
        <v>1987</v>
      </c>
      <c r="B1147" s="1" t="s">
        <v>99</v>
      </c>
      <c r="C1147" t="s">
        <v>9</v>
      </c>
      <c r="D1147" s="1" t="s">
        <v>3</v>
      </c>
      <c r="E1147">
        <v>63</v>
      </c>
      <c r="F1147" s="1" t="s">
        <v>101</v>
      </c>
      <c r="G1147">
        <v>6</v>
      </c>
      <c r="H1147">
        <v>65</v>
      </c>
      <c r="I1147" s="2">
        <f t="shared" si="51"/>
        <v>12.762359999999999</v>
      </c>
      <c r="J1147">
        <f t="shared" si="52"/>
        <v>0.47638521836506159</v>
      </c>
      <c r="K1147">
        <f t="shared" si="53"/>
        <v>0.33330791329328802</v>
      </c>
    </row>
    <row r="1148" spans="1:11" x14ac:dyDescent="0.25">
      <c r="A1148" s="1">
        <v>1987</v>
      </c>
      <c r="B1148" s="1" t="s">
        <v>99</v>
      </c>
      <c r="C1148" t="s">
        <v>9</v>
      </c>
      <c r="D1148" s="1" t="s">
        <v>3</v>
      </c>
      <c r="E1148">
        <v>63</v>
      </c>
      <c r="F1148" s="1" t="s">
        <v>101</v>
      </c>
      <c r="G1148">
        <v>8</v>
      </c>
      <c r="H1148">
        <v>8</v>
      </c>
      <c r="I1148" s="2">
        <f t="shared" si="51"/>
        <v>2.7924479999999998</v>
      </c>
      <c r="J1148">
        <f t="shared" si="52"/>
        <v>0.10423471444568869</v>
      </c>
      <c r="K1148">
        <f t="shared" si="53"/>
        <v>7.2928910942804903E-2</v>
      </c>
    </row>
    <row r="1149" spans="1:11" x14ac:dyDescent="0.25">
      <c r="A1149" s="1">
        <v>1987</v>
      </c>
      <c r="B1149" s="1" t="s">
        <v>99</v>
      </c>
      <c r="C1149" t="s">
        <v>9</v>
      </c>
      <c r="D1149" s="1" t="s">
        <v>3</v>
      </c>
      <c r="E1149">
        <v>63</v>
      </c>
      <c r="F1149" s="1" t="s">
        <v>101</v>
      </c>
      <c r="G1149">
        <v>10</v>
      </c>
      <c r="H1149">
        <v>3</v>
      </c>
      <c r="I1149" s="2">
        <f t="shared" si="51"/>
        <v>1.6362000000000001</v>
      </c>
      <c r="J1149">
        <f t="shared" si="52"/>
        <v>6.1075027995520725E-2</v>
      </c>
      <c r="K1149">
        <f t="shared" si="53"/>
        <v>4.2731783755549757E-2</v>
      </c>
    </row>
    <row r="1150" spans="1:11" x14ac:dyDescent="0.25">
      <c r="A1150" s="1">
        <v>1987</v>
      </c>
      <c r="B1150" s="1" t="s">
        <v>99</v>
      </c>
      <c r="C1150" t="s">
        <v>9</v>
      </c>
      <c r="D1150" s="1" t="s">
        <v>3</v>
      </c>
      <c r="E1150">
        <v>65</v>
      </c>
      <c r="F1150" s="1" t="s">
        <v>101</v>
      </c>
      <c r="G1150">
        <v>6</v>
      </c>
      <c r="H1150">
        <v>3</v>
      </c>
      <c r="I1150" s="2">
        <f t="shared" si="51"/>
        <v>0.589032</v>
      </c>
      <c r="J1150">
        <f t="shared" si="52"/>
        <v>2.1987010078387458E-2</v>
      </c>
      <c r="K1150">
        <f t="shared" si="53"/>
        <v>1.538344215199791E-2</v>
      </c>
    </row>
    <row r="1151" spans="1:11" x14ac:dyDescent="0.25">
      <c r="A1151" s="1">
        <v>1987</v>
      </c>
      <c r="B1151" s="1" t="s">
        <v>99</v>
      </c>
      <c r="C1151" t="s">
        <v>9</v>
      </c>
      <c r="D1151" s="1" t="s">
        <v>3</v>
      </c>
      <c r="E1151">
        <v>65</v>
      </c>
      <c r="F1151" s="1" t="s">
        <v>101</v>
      </c>
      <c r="G1151">
        <v>8</v>
      </c>
      <c r="H1151">
        <v>3</v>
      </c>
      <c r="I1151" s="2">
        <f t="shared" si="51"/>
        <v>1.0471679999999999</v>
      </c>
      <c r="J1151">
        <f t="shared" si="52"/>
        <v>3.9088017917133254E-2</v>
      </c>
      <c r="K1151">
        <f t="shared" si="53"/>
        <v>2.7348341603551835E-2</v>
      </c>
    </row>
    <row r="1152" spans="1:11" x14ac:dyDescent="0.25">
      <c r="A1152" s="1">
        <v>1987</v>
      </c>
      <c r="B1152" s="1" t="s">
        <v>99</v>
      </c>
      <c r="C1152" t="s">
        <v>9</v>
      </c>
      <c r="D1152" s="1" t="s">
        <v>3</v>
      </c>
      <c r="E1152">
        <v>65</v>
      </c>
      <c r="F1152" s="1" t="s">
        <v>101</v>
      </c>
      <c r="G1152">
        <v>10</v>
      </c>
      <c r="H1152">
        <v>1</v>
      </c>
      <c r="I1152" s="2">
        <f t="shared" si="51"/>
        <v>0.5454</v>
      </c>
      <c r="J1152">
        <f t="shared" si="52"/>
        <v>2.0358342665173574E-2</v>
      </c>
      <c r="K1152">
        <f t="shared" si="53"/>
        <v>1.4243927918516584E-2</v>
      </c>
    </row>
    <row r="1153" spans="1:11" x14ac:dyDescent="0.25">
      <c r="A1153" s="1">
        <v>1987</v>
      </c>
      <c r="B1153" s="1" t="s">
        <v>99</v>
      </c>
      <c r="C1153" t="s">
        <v>9</v>
      </c>
      <c r="D1153" s="1" t="s">
        <v>3</v>
      </c>
      <c r="E1153">
        <v>65</v>
      </c>
      <c r="F1153" s="1" t="s">
        <v>101</v>
      </c>
      <c r="G1153">
        <v>12</v>
      </c>
      <c r="H1153">
        <v>2</v>
      </c>
      <c r="I1153" s="2">
        <f t="shared" si="51"/>
        <v>1.5707519999999999</v>
      </c>
      <c r="J1153">
        <f t="shared" si="52"/>
        <v>5.8632026875699884E-2</v>
      </c>
      <c r="K1153">
        <f t="shared" si="53"/>
        <v>4.1022512405327755E-2</v>
      </c>
    </row>
    <row r="1154" spans="1:11" x14ac:dyDescent="0.25">
      <c r="A1154" s="1">
        <v>1987</v>
      </c>
      <c r="B1154" s="1" t="s">
        <v>99</v>
      </c>
      <c r="C1154" t="s">
        <v>9</v>
      </c>
      <c r="D1154" s="1" t="s">
        <v>3</v>
      </c>
      <c r="E1154">
        <v>66</v>
      </c>
      <c r="F1154" s="1" t="s">
        <v>101</v>
      </c>
      <c r="G1154">
        <v>6</v>
      </c>
      <c r="H1154">
        <v>14</v>
      </c>
      <c r="I1154" s="2">
        <f t="shared" si="51"/>
        <v>2.7488159999999997</v>
      </c>
      <c r="J1154">
        <f t="shared" si="52"/>
        <v>0.10260604703247479</v>
      </c>
      <c r="K1154">
        <f t="shared" si="53"/>
        <v>7.1789396709323564E-2</v>
      </c>
    </row>
    <row r="1155" spans="1:11" x14ac:dyDescent="0.25">
      <c r="A1155" s="1">
        <v>1987</v>
      </c>
      <c r="B1155" s="1" t="s">
        <v>99</v>
      </c>
      <c r="C1155" t="s">
        <v>9</v>
      </c>
      <c r="D1155" s="1" t="s">
        <v>3</v>
      </c>
      <c r="E1155">
        <v>66</v>
      </c>
      <c r="F1155" s="1" t="s">
        <v>101</v>
      </c>
      <c r="G1155">
        <v>8</v>
      </c>
      <c r="H1155">
        <v>6</v>
      </c>
      <c r="I1155" s="2">
        <f t="shared" ref="I1155:I1218" si="54">0.005454*G1155^2*H1155</f>
        <v>2.0943359999999998</v>
      </c>
      <c r="J1155">
        <f t="shared" ref="J1155:J1218" si="55">I1155/26.79</f>
        <v>7.8176035834266508E-2</v>
      </c>
      <c r="K1155">
        <f t="shared" ref="K1155:K1218" si="56">J1155*(26.79/38.29)</f>
        <v>5.469668320710367E-2</v>
      </c>
    </row>
    <row r="1156" spans="1:11" x14ac:dyDescent="0.25">
      <c r="A1156" s="1">
        <v>1987</v>
      </c>
      <c r="B1156" s="1" t="s">
        <v>99</v>
      </c>
      <c r="C1156" t="s">
        <v>9</v>
      </c>
      <c r="D1156" s="1" t="s">
        <v>3</v>
      </c>
      <c r="E1156">
        <v>66</v>
      </c>
      <c r="F1156" s="1" t="s">
        <v>101</v>
      </c>
      <c r="G1156">
        <v>10</v>
      </c>
      <c r="H1156">
        <v>5</v>
      </c>
      <c r="I1156" s="2">
        <f t="shared" si="54"/>
        <v>2.7269999999999999</v>
      </c>
      <c r="J1156">
        <f t="shared" si="55"/>
        <v>0.10179171332586787</v>
      </c>
      <c r="K1156">
        <f t="shared" si="56"/>
        <v>7.1219639592582915E-2</v>
      </c>
    </row>
    <row r="1157" spans="1:11" x14ac:dyDescent="0.25">
      <c r="A1157" s="1">
        <v>1987</v>
      </c>
      <c r="B1157" s="1" t="s">
        <v>99</v>
      </c>
      <c r="C1157" t="s">
        <v>9</v>
      </c>
      <c r="D1157" s="1" t="s">
        <v>3</v>
      </c>
      <c r="E1157">
        <v>66</v>
      </c>
      <c r="F1157" s="1" t="s">
        <v>101</v>
      </c>
      <c r="G1157">
        <v>12</v>
      </c>
      <c r="H1157">
        <v>1</v>
      </c>
      <c r="I1157" s="2">
        <f t="shared" si="54"/>
        <v>0.78537599999999996</v>
      </c>
      <c r="J1157">
        <f t="shared" si="55"/>
        <v>2.9316013437849942E-2</v>
      </c>
      <c r="K1157">
        <f t="shared" si="56"/>
        <v>2.0511256202663877E-2</v>
      </c>
    </row>
    <row r="1158" spans="1:11" x14ac:dyDescent="0.25">
      <c r="A1158" s="1">
        <v>1987</v>
      </c>
      <c r="B1158" s="1" t="s">
        <v>99</v>
      </c>
      <c r="C1158" t="s">
        <v>9</v>
      </c>
      <c r="D1158" s="1" t="s">
        <v>3</v>
      </c>
      <c r="E1158">
        <v>66</v>
      </c>
      <c r="F1158" s="1" t="s">
        <v>101</v>
      </c>
      <c r="G1158">
        <v>14</v>
      </c>
      <c r="H1158">
        <v>3</v>
      </c>
      <c r="I1158" s="2">
        <f t="shared" si="54"/>
        <v>3.2069519999999998</v>
      </c>
      <c r="J1158">
        <f t="shared" si="55"/>
        <v>0.1197070548712206</v>
      </c>
      <c r="K1158">
        <f t="shared" si="56"/>
        <v>8.3754296160877512E-2</v>
      </c>
    </row>
    <row r="1159" spans="1:11" x14ac:dyDescent="0.25">
      <c r="A1159" s="1">
        <v>1987</v>
      </c>
      <c r="B1159" s="1" t="s">
        <v>99</v>
      </c>
      <c r="C1159" t="s">
        <v>9</v>
      </c>
      <c r="D1159" s="1" t="s">
        <v>3</v>
      </c>
      <c r="E1159">
        <v>66</v>
      </c>
      <c r="F1159" s="1" t="s">
        <v>101</v>
      </c>
      <c r="G1159">
        <v>16</v>
      </c>
      <c r="H1159">
        <v>4</v>
      </c>
      <c r="I1159" s="2">
        <f t="shared" si="54"/>
        <v>5.5848959999999996</v>
      </c>
      <c r="J1159">
        <f t="shared" si="55"/>
        <v>0.20846942889137737</v>
      </c>
      <c r="K1159">
        <f t="shared" si="56"/>
        <v>0.14585782188560981</v>
      </c>
    </row>
    <row r="1160" spans="1:11" x14ac:dyDescent="0.25">
      <c r="A1160" s="1">
        <v>1987</v>
      </c>
      <c r="B1160" s="1" t="s">
        <v>99</v>
      </c>
      <c r="C1160" t="s">
        <v>9</v>
      </c>
      <c r="D1160" s="1" t="s">
        <v>3</v>
      </c>
      <c r="E1160">
        <v>66</v>
      </c>
      <c r="F1160" s="1" t="s">
        <v>101</v>
      </c>
      <c r="G1160">
        <v>18</v>
      </c>
      <c r="H1160">
        <v>8</v>
      </c>
      <c r="I1160" s="2">
        <f t="shared" si="54"/>
        <v>14.136767999999998</v>
      </c>
      <c r="J1160">
        <f t="shared" si="55"/>
        <v>0.52768824188129893</v>
      </c>
      <c r="K1160">
        <f t="shared" si="56"/>
        <v>0.36920261164794976</v>
      </c>
    </row>
    <row r="1161" spans="1:11" x14ac:dyDescent="0.25">
      <c r="A1161" s="1">
        <v>1987</v>
      </c>
      <c r="B1161" s="1" t="s">
        <v>99</v>
      </c>
      <c r="C1161" t="s">
        <v>9</v>
      </c>
      <c r="D1161" s="1" t="s">
        <v>3</v>
      </c>
      <c r="E1161">
        <v>66</v>
      </c>
      <c r="F1161" s="1" t="s">
        <v>101</v>
      </c>
      <c r="G1161">
        <v>20</v>
      </c>
      <c r="H1161">
        <v>4</v>
      </c>
      <c r="I1161" s="2">
        <f t="shared" si="54"/>
        <v>8.7263999999999999</v>
      </c>
      <c r="J1161">
        <f t="shared" si="55"/>
        <v>0.32573348264277718</v>
      </c>
      <c r="K1161">
        <f t="shared" si="56"/>
        <v>0.22790284669626534</v>
      </c>
    </row>
    <row r="1162" spans="1:11" x14ac:dyDescent="0.25">
      <c r="A1162" s="1">
        <v>1987</v>
      </c>
      <c r="B1162" s="1" t="s">
        <v>99</v>
      </c>
      <c r="C1162" t="s">
        <v>9</v>
      </c>
      <c r="D1162" s="1" t="s">
        <v>3</v>
      </c>
      <c r="E1162">
        <v>66</v>
      </c>
      <c r="F1162" s="1" t="s">
        <v>101</v>
      </c>
      <c r="G1162">
        <v>22</v>
      </c>
      <c r="H1162">
        <v>4</v>
      </c>
      <c r="I1162" s="2">
        <f t="shared" si="54"/>
        <v>10.558943999999999</v>
      </c>
      <c r="J1162">
        <f t="shared" si="55"/>
        <v>0.39413751399776031</v>
      </c>
      <c r="K1162">
        <f t="shared" si="56"/>
        <v>0.275762444502481</v>
      </c>
    </row>
    <row r="1163" spans="1:11" x14ac:dyDescent="0.25">
      <c r="A1163" s="1">
        <v>1987</v>
      </c>
      <c r="B1163" s="1" t="s">
        <v>99</v>
      </c>
      <c r="C1163" t="s">
        <v>9</v>
      </c>
      <c r="D1163" s="1" t="s">
        <v>3</v>
      </c>
      <c r="E1163">
        <v>71</v>
      </c>
      <c r="F1163" s="1" t="s">
        <v>101</v>
      </c>
      <c r="G1163">
        <v>6</v>
      </c>
      <c r="H1163">
        <v>37</v>
      </c>
      <c r="I1163" s="2">
        <f t="shared" si="54"/>
        <v>7.2647279999999999</v>
      </c>
      <c r="J1163">
        <f t="shared" si="55"/>
        <v>0.27117312430011198</v>
      </c>
      <c r="K1163">
        <f t="shared" si="56"/>
        <v>0.18972911987464089</v>
      </c>
    </row>
    <row r="1164" spans="1:11" x14ac:dyDescent="0.25">
      <c r="A1164" s="1">
        <v>1987</v>
      </c>
      <c r="B1164" s="1" t="s">
        <v>99</v>
      </c>
      <c r="C1164" t="s">
        <v>9</v>
      </c>
      <c r="D1164" s="1" t="s">
        <v>3</v>
      </c>
      <c r="E1164">
        <v>71</v>
      </c>
      <c r="F1164" s="1" t="s">
        <v>101</v>
      </c>
      <c r="G1164">
        <v>8</v>
      </c>
      <c r="H1164">
        <v>17</v>
      </c>
      <c r="I1164" s="2">
        <f t="shared" si="54"/>
        <v>5.9339519999999997</v>
      </c>
      <c r="J1164">
        <f t="shared" si="55"/>
        <v>0.22149876819708847</v>
      </c>
      <c r="K1164">
        <f t="shared" si="56"/>
        <v>0.15497393575346041</v>
      </c>
    </row>
    <row r="1165" spans="1:11" x14ac:dyDescent="0.25">
      <c r="A1165" s="1">
        <v>1987</v>
      </c>
      <c r="B1165" s="1" t="s">
        <v>99</v>
      </c>
      <c r="C1165" t="s">
        <v>9</v>
      </c>
      <c r="D1165" s="1" t="s">
        <v>3</v>
      </c>
      <c r="E1165">
        <v>71</v>
      </c>
      <c r="F1165" s="1" t="s">
        <v>101</v>
      </c>
      <c r="G1165">
        <v>10</v>
      </c>
      <c r="H1165">
        <v>2</v>
      </c>
      <c r="I1165" s="2">
        <f t="shared" si="54"/>
        <v>1.0908</v>
      </c>
      <c r="J1165">
        <f t="shared" si="55"/>
        <v>4.0716685330347148E-2</v>
      </c>
      <c r="K1165">
        <f t="shared" si="56"/>
        <v>2.8487855837033168E-2</v>
      </c>
    </row>
    <row r="1166" spans="1:11" x14ac:dyDescent="0.25">
      <c r="A1166" s="1">
        <v>1987</v>
      </c>
      <c r="B1166" s="1" t="s">
        <v>99</v>
      </c>
      <c r="C1166" t="s">
        <v>9</v>
      </c>
      <c r="D1166" s="1" t="s">
        <v>3</v>
      </c>
      <c r="E1166">
        <v>71</v>
      </c>
      <c r="F1166" s="1" t="s">
        <v>101</v>
      </c>
      <c r="G1166">
        <v>14</v>
      </c>
      <c r="H1166">
        <v>3</v>
      </c>
      <c r="I1166" s="2">
        <f t="shared" si="54"/>
        <v>3.2069519999999998</v>
      </c>
      <c r="J1166">
        <f t="shared" si="55"/>
        <v>0.1197070548712206</v>
      </c>
      <c r="K1166">
        <f t="shared" si="56"/>
        <v>8.3754296160877512E-2</v>
      </c>
    </row>
    <row r="1167" spans="1:11" x14ac:dyDescent="0.25">
      <c r="A1167" s="1">
        <v>1987</v>
      </c>
      <c r="B1167" s="1" t="s">
        <v>99</v>
      </c>
      <c r="C1167" t="s">
        <v>9</v>
      </c>
      <c r="D1167" s="1" t="s">
        <v>3</v>
      </c>
      <c r="E1167">
        <v>71</v>
      </c>
      <c r="F1167" s="1" t="s">
        <v>101</v>
      </c>
      <c r="G1167">
        <v>16</v>
      </c>
      <c r="H1167">
        <v>1</v>
      </c>
      <c r="I1167" s="2">
        <f t="shared" si="54"/>
        <v>1.3962239999999999</v>
      </c>
      <c r="J1167">
        <f t="shared" si="55"/>
        <v>5.2117357222844343E-2</v>
      </c>
      <c r="K1167">
        <f t="shared" si="56"/>
        <v>3.6464455471402452E-2</v>
      </c>
    </row>
    <row r="1168" spans="1:11" x14ac:dyDescent="0.25">
      <c r="A1168" s="1">
        <v>1987</v>
      </c>
      <c r="B1168" s="1" t="s">
        <v>99</v>
      </c>
      <c r="C1168" t="s">
        <v>9</v>
      </c>
      <c r="D1168" s="1" t="s">
        <v>3</v>
      </c>
      <c r="E1168">
        <v>76</v>
      </c>
      <c r="F1168" s="1" t="s">
        <v>101</v>
      </c>
      <c r="G1168">
        <v>6</v>
      </c>
      <c r="H1168">
        <v>25</v>
      </c>
      <c r="I1168" s="2">
        <f t="shared" si="54"/>
        <v>4.9085999999999999</v>
      </c>
      <c r="J1168">
        <f t="shared" si="55"/>
        <v>0.18322508398656215</v>
      </c>
      <c r="K1168">
        <f t="shared" si="56"/>
        <v>0.12819535126664924</v>
      </c>
    </row>
    <row r="1169" spans="1:11" x14ac:dyDescent="0.25">
      <c r="A1169" s="1">
        <v>1987</v>
      </c>
      <c r="B1169" s="1" t="s">
        <v>99</v>
      </c>
      <c r="C1169" t="s">
        <v>9</v>
      </c>
      <c r="D1169" s="1" t="s">
        <v>3</v>
      </c>
      <c r="E1169">
        <v>76</v>
      </c>
      <c r="F1169" s="1" t="s">
        <v>101</v>
      </c>
      <c r="G1169">
        <v>8</v>
      </c>
      <c r="H1169">
        <v>22</v>
      </c>
      <c r="I1169" s="2">
        <f t="shared" si="54"/>
        <v>7.6792319999999998</v>
      </c>
      <c r="J1169">
        <f t="shared" si="55"/>
        <v>0.28664546472564389</v>
      </c>
      <c r="K1169">
        <f t="shared" si="56"/>
        <v>0.2005545050927135</v>
      </c>
    </row>
    <row r="1170" spans="1:11" x14ac:dyDescent="0.25">
      <c r="A1170" s="1">
        <v>1987</v>
      </c>
      <c r="B1170" s="1" t="s">
        <v>99</v>
      </c>
      <c r="C1170" t="s">
        <v>9</v>
      </c>
      <c r="D1170" s="1" t="s">
        <v>3</v>
      </c>
      <c r="E1170">
        <v>76</v>
      </c>
      <c r="F1170" s="1" t="s">
        <v>101</v>
      </c>
      <c r="G1170">
        <v>10</v>
      </c>
      <c r="H1170">
        <v>8</v>
      </c>
      <c r="I1170" s="2">
        <f t="shared" si="54"/>
        <v>4.3632</v>
      </c>
      <c r="J1170">
        <f t="shared" si="55"/>
        <v>0.16286674132138859</v>
      </c>
      <c r="K1170">
        <f t="shared" si="56"/>
        <v>0.11395142334813267</v>
      </c>
    </row>
    <row r="1171" spans="1:11" x14ac:dyDescent="0.25">
      <c r="A1171" s="1">
        <v>1987</v>
      </c>
      <c r="B1171" s="1" t="s">
        <v>99</v>
      </c>
      <c r="C1171" t="s">
        <v>9</v>
      </c>
      <c r="D1171" s="1" t="s">
        <v>3</v>
      </c>
      <c r="E1171">
        <v>76</v>
      </c>
      <c r="F1171" s="1" t="s">
        <v>101</v>
      </c>
      <c r="G1171">
        <v>12</v>
      </c>
      <c r="H1171">
        <v>2</v>
      </c>
      <c r="I1171" s="2">
        <f t="shared" si="54"/>
        <v>1.5707519999999999</v>
      </c>
      <c r="J1171">
        <f t="shared" si="55"/>
        <v>5.8632026875699884E-2</v>
      </c>
      <c r="K1171">
        <f t="shared" si="56"/>
        <v>4.1022512405327755E-2</v>
      </c>
    </row>
    <row r="1172" spans="1:11" x14ac:dyDescent="0.25">
      <c r="A1172" s="1">
        <v>1987</v>
      </c>
      <c r="B1172" s="1" t="s">
        <v>99</v>
      </c>
      <c r="C1172" t="s">
        <v>9</v>
      </c>
      <c r="D1172" s="1" t="s">
        <v>3</v>
      </c>
      <c r="E1172">
        <v>76</v>
      </c>
      <c r="F1172" s="1" t="s">
        <v>101</v>
      </c>
      <c r="G1172">
        <v>14</v>
      </c>
      <c r="H1172">
        <v>1</v>
      </c>
      <c r="I1172" s="2">
        <f t="shared" si="54"/>
        <v>1.0689839999999999</v>
      </c>
      <c r="J1172">
        <f t="shared" si="55"/>
        <v>3.9902351623740201E-2</v>
      </c>
      <c r="K1172">
        <f t="shared" si="56"/>
        <v>2.7918098720292502E-2</v>
      </c>
    </row>
    <row r="1173" spans="1:11" x14ac:dyDescent="0.25">
      <c r="A1173" s="1">
        <v>1987</v>
      </c>
      <c r="B1173" s="1" t="s">
        <v>99</v>
      </c>
      <c r="C1173" t="s">
        <v>9</v>
      </c>
      <c r="D1173" s="1" t="s">
        <v>3</v>
      </c>
      <c r="E1173">
        <v>76</v>
      </c>
      <c r="F1173" s="1" t="s">
        <v>101</v>
      </c>
      <c r="G1173">
        <v>16</v>
      </c>
      <c r="H1173">
        <v>2</v>
      </c>
      <c r="I1173" s="2">
        <f t="shared" si="54"/>
        <v>2.7924479999999998</v>
      </c>
      <c r="J1173">
        <f t="shared" si="55"/>
        <v>0.10423471444568869</v>
      </c>
      <c r="K1173">
        <f t="shared" si="56"/>
        <v>7.2928910942804903E-2</v>
      </c>
    </row>
    <row r="1174" spans="1:11" x14ac:dyDescent="0.25">
      <c r="A1174" s="1">
        <v>1987</v>
      </c>
      <c r="B1174" s="1" t="s">
        <v>99</v>
      </c>
      <c r="C1174" t="s">
        <v>9</v>
      </c>
      <c r="D1174" s="1" t="s">
        <v>3</v>
      </c>
      <c r="E1174">
        <v>79</v>
      </c>
      <c r="F1174" s="1" t="s">
        <v>101</v>
      </c>
      <c r="G1174">
        <v>6</v>
      </c>
      <c r="H1174">
        <v>433</v>
      </c>
      <c r="I1174" s="2">
        <f t="shared" si="54"/>
        <v>85.016951999999989</v>
      </c>
      <c r="J1174">
        <f t="shared" si="55"/>
        <v>3.173458454647256</v>
      </c>
      <c r="K1174">
        <f t="shared" si="56"/>
        <v>2.2203434839383647</v>
      </c>
    </row>
    <row r="1175" spans="1:11" x14ac:dyDescent="0.25">
      <c r="A1175" s="1">
        <v>1987</v>
      </c>
      <c r="B1175" s="1" t="s">
        <v>99</v>
      </c>
      <c r="C1175" t="s">
        <v>9</v>
      </c>
      <c r="D1175" s="1" t="s">
        <v>3</v>
      </c>
      <c r="E1175">
        <v>79</v>
      </c>
      <c r="F1175" s="1" t="s">
        <v>101</v>
      </c>
      <c r="G1175">
        <v>8</v>
      </c>
      <c r="H1175">
        <v>279</v>
      </c>
      <c r="I1175" s="2">
        <f t="shared" si="54"/>
        <v>97.386623999999998</v>
      </c>
      <c r="J1175">
        <f t="shared" si="55"/>
        <v>3.6351856662933932</v>
      </c>
      <c r="K1175">
        <f t="shared" si="56"/>
        <v>2.5433957691303211</v>
      </c>
    </row>
    <row r="1176" spans="1:11" x14ac:dyDescent="0.25">
      <c r="A1176" s="1">
        <v>1987</v>
      </c>
      <c r="B1176" s="1" t="s">
        <v>99</v>
      </c>
      <c r="C1176" t="s">
        <v>9</v>
      </c>
      <c r="D1176" s="1" t="s">
        <v>3</v>
      </c>
      <c r="E1176">
        <v>79</v>
      </c>
      <c r="F1176" s="1" t="s">
        <v>101</v>
      </c>
      <c r="G1176">
        <v>10</v>
      </c>
      <c r="H1176">
        <v>194</v>
      </c>
      <c r="I1176" s="2">
        <f t="shared" si="54"/>
        <v>105.80759999999999</v>
      </c>
      <c r="J1176">
        <f t="shared" si="55"/>
        <v>3.9495184770436729</v>
      </c>
      <c r="K1176">
        <f t="shared" si="56"/>
        <v>2.763322016192217</v>
      </c>
    </row>
    <row r="1177" spans="1:11" x14ac:dyDescent="0.25">
      <c r="A1177" s="1">
        <v>1987</v>
      </c>
      <c r="B1177" s="1" t="s">
        <v>99</v>
      </c>
      <c r="C1177" t="s">
        <v>9</v>
      </c>
      <c r="D1177" s="1" t="s">
        <v>3</v>
      </c>
      <c r="E1177">
        <v>79</v>
      </c>
      <c r="F1177" s="1" t="s">
        <v>101</v>
      </c>
      <c r="G1177">
        <v>12</v>
      </c>
      <c r="H1177">
        <v>114</v>
      </c>
      <c r="I1177" s="2">
        <f t="shared" si="54"/>
        <v>89.532863999999989</v>
      </c>
      <c r="J1177">
        <f t="shared" si="55"/>
        <v>3.3420255319148935</v>
      </c>
      <c r="K1177">
        <f t="shared" si="56"/>
        <v>2.3382832071036823</v>
      </c>
    </row>
    <row r="1178" spans="1:11" x14ac:dyDescent="0.25">
      <c r="A1178" s="1">
        <v>1987</v>
      </c>
      <c r="B1178" s="1" t="s">
        <v>99</v>
      </c>
      <c r="C1178" t="s">
        <v>9</v>
      </c>
      <c r="D1178" s="1" t="s">
        <v>3</v>
      </c>
      <c r="E1178">
        <v>79</v>
      </c>
      <c r="F1178" s="1" t="s">
        <v>101</v>
      </c>
      <c r="G1178">
        <v>14</v>
      </c>
      <c r="H1178">
        <v>66</v>
      </c>
      <c r="I1178" s="2">
        <f t="shared" si="54"/>
        <v>70.552943999999997</v>
      </c>
      <c r="J1178">
        <f t="shared" si="55"/>
        <v>2.6335552071668533</v>
      </c>
      <c r="K1178">
        <f t="shared" si="56"/>
        <v>1.8425945155393051</v>
      </c>
    </row>
    <row r="1179" spans="1:11" x14ac:dyDescent="0.25">
      <c r="A1179" s="1">
        <v>1987</v>
      </c>
      <c r="B1179" s="1" t="s">
        <v>99</v>
      </c>
      <c r="C1179" t="s">
        <v>9</v>
      </c>
      <c r="D1179" s="1" t="s">
        <v>3</v>
      </c>
      <c r="E1179">
        <v>79</v>
      </c>
      <c r="F1179" s="1" t="s">
        <v>101</v>
      </c>
      <c r="G1179">
        <v>16</v>
      </c>
      <c r="H1179">
        <v>45</v>
      </c>
      <c r="I1179" s="2">
        <f t="shared" si="54"/>
        <v>62.830079999999995</v>
      </c>
      <c r="J1179">
        <f t="shared" si="55"/>
        <v>2.3452810750279953</v>
      </c>
      <c r="K1179">
        <f t="shared" si="56"/>
        <v>1.6409004962131102</v>
      </c>
    </row>
    <row r="1180" spans="1:11" x14ac:dyDescent="0.25">
      <c r="A1180" s="1">
        <v>1987</v>
      </c>
      <c r="B1180" s="1" t="s">
        <v>99</v>
      </c>
      <c r="C1180" t="s">
        <v>9</v>
      </c>
      <c r="D1180" s="1" t="s">
        <v>3</v>
      </c>
      <c r="E1180">
        <v>79</v>
      </c>
      <c r="F1180" s="1" t="s">
        <v>101</v>
      </c>
      <c r="G1180">
        <v>18</v>
      </c>
      <c r="H1180">
        <v>21</v>
      </c>
      <c r="I1180" s="2">
        <f t="shared" si="54"/>
        <v>37.109015999999997</v>
      </c>
      <c r="J1180">
        <f t="shared" si="55"/>
        <v>1.3851816349384098</v>
      </c>
      <c r="K1180">
        <f t="shared" si="56"/>
        <v>0.96915685557586828</v>
      </c>
    </row>
    <row r="1181" spans="1:11" x14ac:dyDescent="0.25">
      <c r="A1181" s="1">
        <v>1987</v>
      </c>
      <c r="B1181" s="1" t="s">
        <v>99</v>
      </c>
      <c r="C1181" t="s">
        <v>9</v>
      </c>
      <c r="D1181" s="1" t="s">
        <v>3</v>
      </c>
      <c r="E1181">
        <v>79</v>
      </c>
      <c r="F1181" s="1" t="s">
        <v>101</v>
      </c>
      <c r="G1181">
        <v>20</v>
      </c>
      <c r="H1181">
        <v>7</v>
      </c>
      <c r="I1181" s="2">
        <f t="shared" si="54"/>
        <v>15.2712</v>
      </c>
      <c r="J1181">
        <f t="shared" si="55"/>
        <v>0.57003359462486003</v>
      </c>
      <c r="K1181">
        <f t="shared" si="56"/>
        <v>0.39882998171846434</v>
      </c>
    </row>
    <row r="1182" spans="1:11" x14ac:dyDescent="0.25">
      <c r="A1182" s="1">
        <v>1987</v>
      </c>
      <c r="B1182" s="1" t="s">
        <v>99</v>
      </c>
      <c r="C1182" t="s">
        <v>9</v>
      </c>
      <c r="D1182" s="1" t="s">
        <v>3</v>
      </c>
      <c r="E1182">
        <v>79</v>
      </c>
      <c r="F1182" s="1" t="s">
        <v>101</v>
      </c>
      <c r="G1182">
        <v>22</v>
      </c>
      <c r="H1182">
        <v>1</v>
      </c>
      <c r="I1182" s="2">
        <f t="shared" si="54"/>
        <v>2.6397359999999996</v>
      </c>
      <c r="J1182">
        <f t="shared" si="55"/>
        <v>9.8534378499440078E-2</v>
      </c>
      <c r="K1182">
        <f t="shared" si="56"/>
        <v>6.8940611125620249E-2</v>
      </c>
    </row>
    <row r="1183" spans="1:11" x14ac:dyDescent="0.25">
      <c r="A1183" s="1">
        <v>1987</v>
      </c>
      <c r="B1183" s="1" t="s">
        <v>99</v>
      </c>
      <c r="C1183" t="s">
        <v>9</v>
      </c>
      <c r="D1183" s="1" t="s">
        <v>3</v>
      </c>
      <c r="E1183">
        <v>84</v>
      </c>
      <c r="F1183" s="1" t="s">
        <v>101</v>
      </c>
      <c r="G1183">
        <v>6</v>
      </c>
      <c r="H1183">
        <v>1</v>
      </c>
      <c r="I1183" s="2">
        <f t="shared" si="54"/>
        <v>0.19634399999999999</v>
      </c>
      <c r="J1183">
        <f t="shared" si="55"/>
        <v>7.3290033594624856E-3</v>
      </c>
      <c r="K1183">
        <f t="shared" si="56"/>
        <v>5.1278140506659693E-3</v>
      </c>
    </row>
    <row r="1184" spans="1:11" x14ac:dyDescent="0.25">
      <c r="A1184" s="1">
        <v>1987</v>
      </c>
      <c r="B1184" s="1" t="s">
        <v>99</v>
      </c>
      <c r="C1184" t="s">
        <v>9</v>
      </c>
      <c r="D1184" s="1" t="s">
        <v>3</v>
      </c>
      <c r="E1184">
        <v>84</v>
      </c>
      <c r="F1184" s="1" t="s">
        <v>101</v>
      </c>
      <c r="G1184">
        <v>10</v>
      </c>
      <c r="H1184">
        <v>1</v>
      </c>
      <c r="I1184" s="2">
        <f t="shared" si="54"/>
        <v>0.5454</v>
      </c>
      <c r="J1184">
        <f t="shared" si="55"/>
        <v>2.0358342665173574E-2</v>
      </c>
      <c r="K1184">
        <f t="shared" si="56"/>
        <v>1.4243927918516584E-2</v>
      </c>
    </row>
    <row r="1185" spans="1:11" x14ac:dyDescent="0.25">
      <c r="A1185" s="1">
        <v>1987</v>
      </c>
      <c r="B1185" s="1" t="s">
        <v>99</v>
      </c>
      <c r="C1185" t="s">
        <v>9</v>
      </c>
      <c r="D1185" s="1" t="s">
        <v>3</v>
      </c>
      <c r="E1185">
        <v>84</v>
      </c>
      <c r="F1185" s="1" t="s">
        <v>101</v>
      </c>
      <c r="G1185">
        <v>12</v>
      </c>
      <c r="H1185">
        <v>1</v>
      </c>
      <c r="I1185" s="2">
        <f t="shared" si="54"/>
        <v>0.78537599999999996</v>
      </c>
      <c r="J1185">
        <f t="shared" si="55"/>
        <v>2.9316013437849942E-2</v>
      </c>
      <c r="K1185">
        <f t="shared" si="56"/>
        <v>2.0511256202663877E-2</v>
      </c>
    </row>
    <row r="1186" spans="1:11" x14ac:dyDescent="0.25">
      <c r="A1186" s="1">
        <v>1987</v>
      </c>
      <c r="B1186" s="1" t="s">
        <v>99</v>
      </c>
      <c r="C1186" t="s">
        <v>9</v>
      </c>
      <c r="D1186" s="1" t="s">
        <v>3</v>
      </c>
      <c r="E1186">
        <v>84</v>
      </c>
      <c r="F1186" s="1" t="s">
        <v>101</v>
      </c>
      <c r="G1186">
        <v>24</v>
      </c>
      <c r="H1186">
        <v>1</v>
      </c>
      <c r="I1186" s="2">
        <f t="shared" si="54"/>
        <v>3.1415039999999999</v>
      </c>
      <c r="J1186">
        <f t="shared" si="55"/>
        <v>0.11726405375139977</v>
      </c>
      <c r="K1186">
        <f t="shared" si="56"/>
        <v>8.2045024810655509E-2</v>
      </c>
    </row>
    <row r="1187" spans="1:11" x14ac:dyDescent="0.25">
      <c r="A1187" s="1">
        <v>1987</v>
      </c>
      <c r="B1187" s="1" t="s">
        <v>99</v>
      </c>
      <c r="C1187" t="s">
        <v>9</v>
      </c>
      <c r="D1187" s="1" t="s">
        <v>3</v>
      </c>
      <c r="E1187">
        <v>85</v>
      </c>
      <c r="F1187" s="1" t="s">
        <v>101</v>
      </c>
      <c r="G1187">
        <v>6</v>
      </c>
      <c r="H1187">
        <v>6</v>
      </c>
      <c r="I1187" s="2">
        <f t="shared" si="54"/>
        <v>1.178064</v>
      </c>
      <c r="J1187">
        <f t="shared" si="55"/>
        <v>4.3974020156774915E-2</v>
      </c>
      <c r="K1187">
        <f t="shared" si="56"/>
        <v>3.0766884303995819E-2</v>
      </c>
    </row>
    <row r="1188" spans="1:11" x14ac:dyDescent="0.25">
      <c r="A1188" s="1">
        <v>1987</v>
      </c>
      <c r="B1188" s="1" t="s">
        <v>99</v>
      </c>
      <c r="C1188" t="s">
        <v>9</v>
      </c>
      <c r="D1188" s="1" t="s">
        <v>3</v>
      </c>
      <c r="E1188">
        <v>85</v>
      </c>
      <c r="F1188" s="1" t="s">
        <v>101</v>
      </c>
      <c r="G1188">
        <v>8</v>
      </c>
      <c r="H1188">
        <v>2</v>
      </c>
      <c r="I1188" s="2">
        <f t="shared" si="54"/>
        <v>0.69811199999999995</v>
      </c>
      <c r="J1188">
        <f t="shared" si="55"/>
        <v>2.6058678611422172E-2</v>
      </c>
      <c r="K1188">
        <f t="shared" si="56"/>
        <v>1.8232227735701226E-2</v>
      </c>
    </row>
    <row r="1189" spans="1:11" x14ac:dyDescent="0.25">
      <c r="A1189" s="1">
        <v>1987</v>
      </c>
      <c r="B1189" s="1" t="s">
        <v>99</v>
      </c>
      <c r="C1189" t="s">
        <v>9</v>
      </c>
      <c r="D1189" s="1" t="s">
        <v>3</v>
      </c>
      <c r="E1189">
        <v>85</v>
      </c>
      <c r="F1189" s="1" t="s">
        <v>101</v>
      </c>
      <c r="G1189">
        <v>10</v>
      </c>
      <c r="H1189">
        <v>4</v>
      </c>
      <c r="I1189" s="2">
        <f t="shared" si="54"/>
        <v>2.1816</v>
      </c>
      <c r="J1189">
        <f t="shared" si="55"/>
        <v>8.1433370660694296E-2</v>
      </c>
      <c r="K1189">
        <f t="shared" si="56"/>
        <v>5.6975711674066336E-2</v>
      </c>
    </row>
    <row r="1190" spans="1:11" x14ac:dyDescent="0.25">
      <c r="A1190" s="1">
        <v>1987</v>
      </c>
      <c r="B1190" s="1" t="s">
        <v>99</v>
      </c>
      <c r="C1190" t="s">
        <v>9</v>
      </c>
      <c r="D1190" s="1" t="s">
        <v>3</v>
      </c>
      <c r="E1190">
        <v>85</v>
      </c>
      <c r="F1190" s="1" t="s">
        <v>101</v>
      </c>
      <c r="G1190">
        <v>12</v>
      </c>
      <c r="H1190">
        <v>7</v>
      </c>
      <c r="I1190" s="2">
        <f t="shared" si="54"/>
        <v>5.4976319999999994</v>
      </c>
      <c r="J1190">
        <f t="shared" si="55"/>
        <v>0.20521209406494959</v>
      </c>
      <c r="K1190">
        <f t="shared" si="56"/>
        <v>0.14357879341864713</v>
      </c>
    </row>
    <row r="1191" spans="1:11" x14ac:dyDescent="0.25">
      <c r="A1191" s="1">
        <v>1987</v>
      </c>
      <c r="B1191" s="1" t="s">
        <v>99</v>
      </c>
      <c r="C1191" t="s">
        <v>9</v>
      </c>
      <c r="D1191" s="1" t="s">
        <v>3</v>
      </c>
      <c r="E1191">
        <v>85</v>
      </c>
      <c r="F1191" s="1" t="s">
        <v>101</v>
      </c>
      <c r="G1191">
        <v>14</v>
      </c>
      <c r="H1191">
        <v>11</v>
      </c>
      <c r="I1191" s="2">
        <f t="shared" si="54"/>
        <v>11.758823999999999</v>
      </c>
      <c r="J1191">
        <f t="shared" si="55"/>
        <v>0.43892586786114218</v>
      </c>
      <c r="K1191">
        <f t="shared" si="56"/>
        <v>0.3070990859232175</v>
      </c>
    </row>
    <row r="1192" spans="1:11" x14ac:dyDescent="0.25">
      <c r="A1192" s="1">
        <v>1987</v>
      </c>
      <c r="B1192" s="1" t="s">
        <v>99</v>
      </c>
      <c r="C1192" t="s">
        <v>9</v>
      </c>
      <c r="D1192" s="1" t="s">
        <v>3</v>
      </c>
      <c r="E1192">
        <v>85</v>
      </c>
      <c r="F1192" s="1" t="s">
        <v>101</v>
      </c>
      <c r="G1192">
        <v>16</v>
      </c>
      <c r="H1192">
        <v>24</v>
      </c>
      <c r="I1192" s="2">
        <f t="shared" si="54"/>
        <v>33.509375999999996</v>
      </c>
      <c r="J1192">
        <f t="shared" si="55"/>
        <v>1.2508165733482641</v>
      </c>
      <c r="K1192">
        <f t="shared" si="56"/>
        <v>0.87514693131365873</v>
      </c>
    </row>
    <row r="1193" spans="1:11" x14ac:dyDescent="0.25">
      <c r="A1193" s="1">
        <v>1987</v>
      </c>
      <c r="B1193" s="1" t="s">
        <v>99</v>
      </c>
      <c r="C1193" t="s">
        <v>9</v>
      </c>
      <c r="D1193" s="1" t="s">
        <v>3</v>
      </c>
      <c r="E1193">
        <v>85</v>
      </c>
      <c r="F1193" s="1" t="s">
        <v>101</v>
      </c>
      <c r="G1193">
        <v>18</v>
      </c>
      <c r="H1193">
        <v>17</v>
      </c>
      <c r="I1193" s="2">
        <f t="shared" si="54"/>
        <v>30.040631999999995</v>
      </c>
      <c r="J1193">
        <f t="shared" si="55"/>
        <v>1.1213375139977602</v>
      </c>
      <c r="K1193">
        <f t="shared" si="56"/>
        <v>0.78455554975189323</v>
      </c>
    </row>
    <row r="1194" spans="1:11" x14ac:dyDescent="0.25">
      <c r="A1194" s="1">
        <v>1987</v>
      </c>
      <c r="B1194" s="1" t="s">
        <v>99</v>
      </c>
      <c r="C1194" t="s">
        <v>9</v>
      </c>
      <c r="D1194" s="1" t="s">
        <v>3</v>
      </c>
      <c r="E1194">
        <v>86</v>
      </c>
      <c r="F1194" s="1" t="s">
        <v>101</v>
      </c>
      <c r="G1194">
        <v>6</v>
      </c>
      <c r="H1194">
        <v>3</v>
      </c>
      <c r="I1194" s="2">
        <f t="shared" si="54"/>
        <v>0.589032</v>
      </c>
      <c r="J1194">
        <f t="shared" si="55"/>
        <v>2.1987010078387458E-2</v>
      </c>
      <c r="K1194">
        <f t="shared" si="56"/>
        <v>1.538344215199791E-2</v>
      </c>
    </row>
    <row r="1195" spans="1:11" x14ac:dyDescent="0.25">
      <c r="A1195" s="1">
        <v>1987</v>
      </c>
      <c r="B1195" s="1" t="s">
        <v>99</v>
      </c>
      <c r="C1195" t="s">
        <v>9</v>
      </c>
      <c r="D1195" s="1" t="s">
        <v>3</v>
      </c>
      <c r="E1195">
        <v>88</v>
      </c>
      <c r="F1195" s="1" t="s">
        <v>101</v>
      </c>
      <c r="G1195">
        <v>6</v>
      </c>
      <c r="H1195">
        <v>2</v>
      </c>
      <c r="I1195" s="2">
        <f t="shared" si="54"/>
        <v>0.39268799999999998</v>
      </c>
      <c r="J1195">
        <f t="shared" si="55"/>
        <v>1.4658006718924971E-2</v>
      </c>
      <c r="K1195">
        <f t="shared" si="56"/>
        <v>1.0255628101331939E-2</v>
      </c>
    </row>
    <row r="1196" spans="1:11" x14ac:dyDescent="0.25">
      <c r="A1196" s="1">
        <v>1987</v>
      </c>
      <c r="B1196" s="1" t="s">
        <v>99</v>
      </c>
      <c r="C1196" t="s">
        <v>9</v>
      </c>
      <c r="D1196" s="1" t="s">
        <v>3</v>
      </c>
      <c r="E1196">
        <v>88</v>
      </c>
      <c r="F1196" s="1" t="s">
        <v>101</v>
      </c>
      <c r="G1196">
        <v>8</v>
      </c>
      <c r="H1196">
        <v>1</v>
      </c>
      <c r="I1196" s="2">
        <f t="shared" si="54"/>
        <v>0.34905599999999998</v>
      </c>
      <c r="J1196">
        <f t="shared" si="55"/>
        <v>1.3029339305711086E-2</v>
      </c>
      <c r="K1196">
        <f t="shared" si="56"/>
        <v>9.1161138678506129E-3</v>
      </c>
    </row>
    <row r="1197" spans="1:11" x14ac:dyDescent="0.25">
      <c r="A1197" s="1">
        <v>1987</v>
      </c>
      <c r="B1197" s="1" t="s">
        <v>99</v>
      </c>
      <c r="C1197" t="s">
        <v>9</v>
      </c>
      <c r="D1197" s="1" t="s">
        <v>3</v>
      </c>
      <c r="E1197">
        <v>88</v>
      </c>
      <c r="F1197" s="1" t="s">
        <v>101</v>
      </c>
      <c r="G1197">
        <v>10</v>
      </c>
      <c r="H1197">
        <v>5</v>
      </c>
      <c r="I1197" s="2">
        <f t="shared" si="54"/>
        <v>2.7269999999999999</v>
      </c>
      <c r="J1197">
        <f t="shared" si="55"/>
        <v>0.10179171332586787</v>
      </c>
      <c r="K1197">
        <f t="shared" si="56"/>
        <v>7.1219639592582915E-2</v>
      </c>
    </row>
    <row r="1198" spans="1:11" x14ac:dyDescent="0.25">
      <c r="A1198" s="1">
        <v>1987</v>
      </c>
      <c r="B1198" s="1" t="s">
        <v>99</v>
      </c>
      <c r="C1198" t="s">
        <v>9</v>
      </c>
      <c r="D1198" s="1" t="s">
        <v>3</v>
      </c>
      <c r="E1198">
        <v>91</v>
      </c>
      <c r="F1198" s="1" t="s">
        <v>101</v>
      </c>
      <c r="G1198">
        <v>6</v>
      </c>
      <c r="H1198">
        <v>14</v>
      </c>
      <c r="I1198" s="2">
        <f t="shared" si="54"/>
        <v>2.7488159999999997</v>
      </c>
      <c r="J1198">
        <f t="shared" si="55"/>
        <v>0.10260604703247479</v>
      </c>
      <c r="K1198">
        <f t="shared" si="56"/>
        <v>7.1789396709323564E-2</v>
      </c>
    </row>
    <row r="1199" spans="1:11" x14ac:dyDescent="0.25">
      <c r="A1199" s="1">
        <v>1987</v>
      </c>
      <c r="B1199" s="1" t="s">
        <v>99</v>
      </c>
      <c r="C1199" t="s">
        <v>9</v>
      </c>
      <c r="D1199" s="1" t="s">
        <v>3</v>
      </c>
      <c r="E1199">
        <v>91</v>
      </c>
      <c r="F1199" s="1" t="s">
        <v>101</v>
      </c>
      <c r="G1199">
        <v>8</v>
      </c>
      <c r="H1199">
        <v>8</v>
      </c>
      <c r="I1199" s="2">
        <f t="shared" si="54"/>
        <v>2.7924479999999998</v>
      </c>
      <c r="J1199">
        <f t="shared" si="55"/>
        <v>0.10423471444568869</v>
      </c>
      <c r="K1199">
        <f t="shared" si="56"/>
        <v>7.2928910942804903E-2</v>
      </c>
    </row>
    <row r="1200" spans="1:11" x14ac:dyDescent="0.25">
      <c r="A1200" s="1">
        <v>1987</v>
      </c>
      <c r="B1200" s="1" t="s">
        <v>99</v>
      </c>
      <c r="C1200" t="s">
        <v>9</v>
      </c>
      <c r="D1200" s="1" t="s">
        <v>3</v>
      </c>
      <c r="E1200">
        <v>91</v>
      </c>
      <c r="F1200" s="1" t="s">
        <v>101</v>
      </c>
      <c r="G1200">
        <v>10</v>
      </c>
      <c r="H1200">
        <v>8</v>
      </c>
      <c r="I1200" s="2">
        <f t="shared" si="54"/>
        <v>4.3632</v>
      </c>
      <c r="J1200">
        <f t="shared" si="55"/>
        <v>0.16286674132138859</v>
      </c>
      <c r="K1200">
        <f t="shared" si="56"/>
        <v>0.11395142334813267</v>
      </c>
    </row>
    <row r="1201" spans="1:11" x14ac:dyDescent="0.25">
      <c r="A1201" s="1">
        <v>1987</v>
      </c>
      <c r="B1201" s="1" t="s">
        <v>99</v>
      </c>
      <c r="C1201" t="s">
        <v>9</v>
      </c>
      <c r="D1201" s="1" t="s">
        <v>3</v>
      </c>
      <c r="E1201">
        <v>91</v>
      </c>
      <c r="F1201" s="1" t="s">
        <v>101</v>
      </c>
      <c r="G1201">
        <v>12</v>
      </c>
      <c r="H1201">
        <v>3</v>
      </c>
      <c r="I1201" s="2">
        <f t="shared" si="54"/>
        <v>2.356128</v>
      </c>
      <c r="J1201">
        <f t="shared" si="55"/>
        <v>8.794804031354983E-2</v>
      </c>
      <c r="K1201">
        <f t="shared" si="56"/>
        <v>6.1533768607991639E-2</v>
      </c>
    </row>
    <row r="1202" spans="1:11" x14ac:dyDescent="0.25">
      <c r="A1202" s="1">
        <v>1987</v>
      </c>
      <c r="B1202" s="1" t="s">
        <v>99</v>
      </c>
      <c r="C1202" t="s">
        <v>9</v>
      </c>
      <c r="D1202" s="1" t="s">
        <v>3</v>
      </c>
      <c r="E1202">
        <v>91</v>
      </c>
      <c r="F1202" s="1" t="s">
        <v>101</v>
      </c>
      <c r="G1202">
        <v>14</v>
      </c>
      <c r="H1202">
        <v>7</v>
      </c>
      <c r="I1202" s="2">
        <f t="shared" si="54"/>
        <v>7.4828879999999991</v>
      </c>
      <c r="J1202">
        <f t="shared" si="55"/>
        <v>0.27931646136618138</v>
      </c>
      <c r="K1202">
        <f t="shared" si="56"/>
        <v>0.19542669104204749</v>
      </c>
    </row>
    <row r="1203" spans="1:11" x14ac:dyDescent="0.25">
      <c r="A1203" s="1">
        <v>1987</v>
      </c>
      <c r="B1203" s="1" t="s">
        <v>99</v>
      </c>
      <c r="C1203" t="s">
        <v>9</v>
      </c>
      <c r="D1203" s="1" t="s">
        <v>3</v>
      </c>
      <c r="E1203">
        <v>91</v>
      </c>
      <c r="F1203" s="1" t="s">
        <v>101</v>
      </c>
      <c r="G1203">
        <v>16</v>
      </c>
      <c r="H1203">
        <v>8</v>
      </c>
      <c r="I1203" s="2">
        <f t="shared" si="54"/>
        <v>11.169791999999999</v>
      </c>
      <c r="J1203">
        <f t="shared" si="55"/>
        <v>0.41693885778275475</v>
      </c>
      <c r="K1203">
        <f t="shared" si="56"/>
        <v>0.29171564377121961</v>
      </c>
    </row>
    <row r="1204" spans="1:11" x14ac:dyDescent="0.25">
      <c r="A1204" s="1">
        <v>1987</v>
      </c>
      <c r="B1204" s="1" t="s">
        <v>99</v>
      </c>
      <c r="C1204" t="s">
        <v>9</v>
      </c>
      <c r="D1204" s="1" t="s">
        <v>3</v>
      </c>
      <c r="E1204">
        <v>91</v>
      </c>
      <c r="F1204" s="1" t="s">
        <v>101</v>
      </c>
      <c r="G1204">
        <v>18</v>
      </c>
      <c r="H1204">
        <v>4</v>
      </c>
      <c r="I1204" s="2">
        <f t="shared" si="54"/>
        <v>7.0683839999999991</v>
      </c>
      <c r="J1204">
        <f t="shared" si="55"/>
        <v>0.26384412094064946</v>
      </c>
      <c r="K1204">
        <f t="shared" si="56"/>
        <v>0.18460130582397488</v>
      </c>
    </row>
    <row r="1205" spans="1:11" x14ac:dyDescent="0.25">
      <c r="A1205" s="1">
        <v>1987</v>
      </c>
      <c r="B1205" s="1" t="s">
        <v>99</v>
      </c>
      <c r="C1205" t="s">
        <v>9</v>
      </c>
      <c r="D1205" s="1" t="s">
        <v>5</v>
      </c>
      <c r="E1205">
        <v>21</v>
      </c>
      <c r="F1205" s="1" t="s">
        <v>101</v>
      </c>
      <c r="G1205">
        <v>14</v>
      </c>
      <c r="H1205">
        <v>1</v>
      </c>
      <c r="I1205" s="2">
        <f t="shared" si="54"/>
        <v>1.0689839999999999</v>
      </c>
      <c r="J1205">
        <f t="shared" si="55"/>
        <v>3.9902351623740201E-2</v>
      </c>
      <c r="K1205">
        <f t="shared" si="56"/>
        <v>2.7918098720292502E-2</v>
      </c>
    </row>
    <row r="1206" spans="1:11" x14ac:dyDescent="0.25">
      <c r="A1206" s="1">
        <v>1987</v>
      </c>
      <c r="B1206" s="1" t="s">
        <v>99</v>
      </c>
      <c r="C1206" t="s">
        <v>9</v>
      </c>
      <c r="D1206" s="1" t="s">
        <v>5</v>
      </c>
      <c r="E1206">
        <v>28</v>
      </c>
      <c r="F1206" s="1" t="s">
        <v>101</v>
      </c>
      <c r="G1206">
        <v>6</v>
      </c>
      <c r="H1206">
        <v>1</v>
      </c>
      <c r="I1206" s="2">
        <f t="shared" si="54"/>
        <v>0.19634399999999999</v>
      </c>
      <c r="J1206">
        <f t="shared" si="55"/>
        <v>7.3290033594624856E-3</v>
      </c>
      <c r="K1206">
        <f t="shared" si="56"/>
        <v>5.1278140506659693E-3</v>
      </c>
    </row>
    <row r="1207" spans="1:11" x14ac:dyDescent="0.25">
      <c r="A1207" s="1">
        <v>1987</v>
      </c>
      <c r="B1207" s="1" t="s">
        <v>99</v>
      </c>
      <c r="C1207" t="s">
        <v>9</v>
      </c>
      <c r="D1207" s="1" t="s">
        <v>5</v>
      </c>
      <c r="E1207">
        <v>29</v>
      </c>
      <c r="F1207" s="1" t="s">
        <v>101</v>
      </c>
      <c r="G1207">
        <v>6</v>
      </c>
      <c r="H1207">
        <v>2</v>
      </c>
      <c r="I1207" s="2">
        <f t="shared" si="54"/>
        <v>0.39268799999999998</v>
      </c>
      <c r="J1207">
        <f t="shared" si="55"/>
        <v>1.4658006718924971E-2</v>
      </c>
      <c r="K1207">
        <f t="shared" si="56"/>
        <v>1.0255628101331939E-2</v>
      </c>
    </row>
    <row r="1208" spans="1:11" x14ac:dyDescent="0.25">
      <c r="A1208" s="1">
        <v>1987</v>
      </c>
      <c r="B1208" s="1" t="s">
        <v>99</v>
      </c>
      <c r="C1208" t="s">
        <v>9</v>
      </c>
      <c r="D1208" s="1" t="s">
        <v>5</v>
      </c>
      <c r="E1208">
        <v>29</v>
      </c>
      <c r="F1208" s="1" t="s">
        <v>101</v>
      </c>
      <c r="G1208">
        <v>8</v>
      </c>
      <c r="H1208">
        <v>1</v>
      </c>
      <c r="I1208" s="2">
        <f t="shared" si="54"/>
        <v>0.34905599999999998</v>
      </c>
      <c r="J1208">
        <f t="shared" si="55"/>
        <v>1.3029339305711086E-2</v>
      </c>
      <c r="K1208">
        <f t="shared" si="56"/>
        <v>9.1161138678506129E-3</v>
      </c>
    </row>
    <row r="1209" spans="1:11" x14ac:dyDescent="0.25">
      <c r="A1209" s="1">
        <v>1987</v>
      </c>
      <c r="B1209" s="1" t="s">
        <v>99</v>
      </c>
      <c r="C1209" t="s">
        <v>9</v>
      </c>
      <c r="D1209" s="1" t="s">
        <v>5</v>
      </c>
      <c r="E1209">
        <v>32</v>
      </c>
      <c r="F1209" s="1" t="s">
        <v>101</v>
      </c>
      <c r="G1209">
        <v>6</v>
      </c>
      <c r="H1209">
        <v>3</v>
      </c>
      <c r="I1209" s="2">
        <f t="shared" si="54"/>
        <v>0.589032</v>
      </c>
      <c r="J1209">
        <f t="shared" si="55"/>
        <v>2.1987010078387458E-2</v>
      </c>
      <c r="K1209">
        <f t="shared" si="56"/>
        <v>1.538344215199791E-2</v>
      </c>
    </row>
    <row r="1210" spans="1:11" x14ac:dyDescent="0.25">
      <c r="A1210" s="1">
        <v>1987</v>
      </c>
      <c r="B1210" s="1" t="s">
        <v>99</v>
      </c>
      <c r="C1210" t="s">
        <v>9</v>
      </c>
      <c r="D1210" s="1" t="s">
        <v>5</v>
      </c>
      <c r="E1210">
        <v>32</v>
      </c>
      <c r="F1210" s="1" t="s">
        <v>101</v>
      </c>
      <c r="G1210">
        <v>8</v>
      </c>
      <c r="H1210">
        <v>1</v>
      </c>
      <c r="I1210" s="2">
        <f t="shared" si="54"/>
        <v>0.34905599999999998</v>
      </c>
      <c r="J1210">
        <f t="shared" si="55"/>
        <v>1.3029339305711086E-2</v>
      </c>
      <c r="K1210">
        <f t="shared" si="56"/>
        <v>9.1161138678506129E-3</v>
      </c>
    </row>
    <row r="1211" spans="1:11" x14ac:dyDescent="0.25">
      <c r="A1211" s="1">
        <v>1987</v>
      </c>
      <c r="B1211" s="1" t="s">
        <v>99</v>
      </c>
      <c r="C1211" t="s">
        <v>9</v>
      </c>
      <c r="D1211" s="1" t="s">
        <v>5</v>
      </c>
      <c r="E1211">
        <v>32</v>
      </c>
      <c r="F1211" s="1" t="s">
        <v>101</v>
      </c>
      <c r="G1211">
        <v>12</v>
      </c>
      <c r="H1211">
        <v>2</v>
      </c>
      <c r="I1211" s="2">
        <f t="shared" si="54"/>
        <v>1.5707519999999999</v>
      </c>
      <c r="J1211">
        <f t="shared" si="55"/>
        <v>5.8632026875699884E-2</v>
      </c>
      <c r="K1211">
        <f t="shared" si="56"/>
        <v>4.1022512405327755E-2</v>
      </c>
    </row>
    <row r="1212" spans="1:11" x14ac:dyDescent="0.25">
      <c r="A1212" s="1">
        <v>1987</v>
      </c>
      <c r="B1212" s="1" t="s">
        <v>99</v>
      </c>
      <c r="C1212" t="s">
        <v>9</v>
      </c>
      <c r="D1212" s="1" t="s">
        <v>5</v>
      </c>
      <c r="E1212">
        <v>32</v>
      </c>
      <c r="F1212" s="1" t="s">
        <v>101</v>
      </c>
      <c r="G1212">
        <v>14</v>
      </c>
      <c r="H1212">
        <v>3</v>
      </c>
      <c r="I1212" s="2">
        <f t="shared" si="54"/>
        <v>3.2069519999999998</v>
      </c>
      <c r="J1212">
        <f t="shared" si="55"/>
        <v>0.1197070548712206</v>
      </c>
      <c r="K1212">
        <f t="shared" si="56"/>
        <v>8.3754296160877512E-2</v>
      </c>
    </row>
    <row r="1213" spans="1:11" x14ac:dyDescent="0.25">
      <c r="A1213" s="1">
        <v>1987</v>
      </c>
      <c r="B1213" s="1" t="s">
        <v>99</v>
      </c>
      <c r="C1213" t="s">
        <v>9</v>
      </c>
      <c r="D1213" s="1" t="s">
        <v>5</v>
      </c>
      <c r="E1213">
        <v>32</v>
      </c>
      <c r="F1213" s="1" t="s">
        <v>101</v>
      </c>
      <c r="G1213">
        <v>16</v>
      </c>
      <c r="H1213">
        <v>3</v>
      </c>
      <c r="I1213" s="2">
        <f t="shared" si="54"/>
        <v>4.1886719999999995</v>
      </c>
      <c r="J1213">
        <f t="shared" si="55"/>
        <v>0.15635207166853302</v>
      </c>
      <c r="K1213">
        <f t="shared" si="56"/>
        <v>0.10939336641420734</v>
      </c>
    </row>
    <row r="1214" spans="1:11" x14ac:dyDescent="0.25">
      <c r="A1214" s="1">
        <v>1987</v>
      </c>
      <c r="B1214" s="1" t="s">
        <v>99</v>
      </c>
      <c r="C1214" t="s">
        <v>9</v>
      </c>
      <c r="D1214" s="1" t="s">
        <v>5</v>
      </c>
      <c r="E1214">
        <v>32</v>
      </c>
      <c r="F1214" s="1" t="s">
        <v>101</v>
      </c>
      <c r="G1214">
        <v>18</v>
      </c>
      <c r="H1214">
        <v>3</v>
      </c>
      <c r="I1214" s="2">
        <f t="shared" si="54"/>
        <v>5.3012879999999996</v>
      </c>
      <c r="J1214">
        <f t="shared" si="55"/>
        <v>0.19788309070548712</v>
      </c>
      <c r="K1214">
        <f t="shared" si="56"/>
        <v>0.13845097936798118</v>
      </c>
    </row>
    <row r="1215" spans="1:11" x14ac:dyDescent="0.25">
      <c r="A1215" s="1">
        <v>1987</v>
      </c>
      <c r="B1215" s="1" t="s">
        <v>99</v>
      </c>
      <c r="C1215" t="s">
        <v>9</v>
      </c>
      <c r="D1215" s="1" t="s">
        <v>5</v>
      </c>
      <c r="E1215">
        <v>32</v>
      </c>
      <c r="F1215" s="1" t="s">
        <v>101</v>
      </c>
      <c r="G1215">
        <v>20</v>
      </c>
      <c r="H1215">
        <v>1</v>
      </c>
      <c r="I1215" s="2">
        <f t="shared" si="54"/>
        <v>2.1816</v>
      </c>
      <c r="J1215">
        <f t="shared" si="55"/>
        <v>8.1433370660694296E-2</v>
      </c>
      <c r="K1215">
        <f t="shared" si="56"/>
        <v>5.6975711674066336E-2</v>
      </c>
    </row>
    <row r="1216" spans="1:11" x14ac:dyDescent="0.25">
      <c r="A1216" s="1">
        <v>1987</v>
      </c>
      <c r="B1216" s="1" t="s">
        <v>99</v>
      </c>
      <c r="C1216" t="s">
        <v>9</v>
      </c>
      <c r="D1216" s="1" t="s">
        <v>5</v>
      </c>
      <c r="E1216">
        <v>34</v>
      </c>
      <c r="F1216" s="1" t="s">
        <v>101</v>
      </c>
      <c r="G1216">
        <v>6</v>
      </c>
      <c r="H1216">
        <v>3</v>
      </c>
      <c r="I1216" s="2">
        <f t="shared" si="54"/>
        <v>0.589032</v>
      </c>
      <c r="J1216">
        <f t="shared" si="55"/>
        <v>2.1987010078387458E-2</v>
      </c>
      <c r="K1216">
        <f t="shared" si="56"/>
        <v>1.538344215199791E-2</v>
      </c>
    </row>
    <row r="1217" spans="1:11" x14ac:dyDescent="0.25">
      <c r="A1217" s="1">
        <v>1987</v>
      </c>
      <c r="B1217" s="1" t="s">
        <v>99</v>
      </c>
      <c r="C1217" t="s">
        <v>9</v>
      </c>
      <c r="D1217" s="1" t="s">
        <v>5</v>
      </c>
      <c r="E1217">
        <v>34</v>
      </c>
      <c r="F1217" s="1" t="s">
        <v>101</v>
      </c>
      <c r="G1217">
        <v>22</v>
      </c>
      <c r="H1217">
        <v>1</v>
      </c>
      <c r="I1217" s="2">
        <f t="shared" si="54"/>
        <v>2.6397359999999996</v>
      </c>
      <c r="J1217">
        <f t="shared" si="55"/>
        <v>9.8534378499440078E-2</v>
      </c>
      <c r="K1217">
        <f t="shared" si="56"/>
        <v>6.8940611125620249E-2</v>
      </c>
    </row>
    <row r="1218" spans="1:11" x14ac:dyDescent="0.25">
      <c r="A1218" s="1">
        <v>1987</v>
      </c>
      <c r="B1218" s="1" t="s">
        <v>99</v>
      </c>
      <c r="C1218" t="s">
        <v>9</v>
      </c>
      <c r="D1218" s="1" t="s">
        <v>5</v>
      </c>
      <c r="E1218">
        <v>38</v>
      </c>
      <c r="F1218" s="1" t="s">
        <v>101</v>
      </c>
      <c r="G1218">
        <v>6</v>
      </c>
      <c r="H1218">
        <v>3</v>
      </c>
      <c r="I1218" s="2">
        <f t="shared" si="54"/>
        <v>0.589032</v>
      </c>
      <c r="J1218">
        <f t="shared" si="55"/>
        <v>2.1987010078387458E-2</v>
      </c>
      <c r="K1218">
        <f t="shared" si="56"/>
        <v>1.538344215199791E-2</v>
      </c>
    </row>
    <row r="1219" spans="1:11" x14ac:dyDescent="0.25">
      <c r="A1219" s="1">
        <v>1987</v>
      </c>
      <c r="B1219" s="1" t="s">
        <v>99</v>
      </c>
      <c r="C1219" t="s">
        <v>9</v>
      </c>
      <c r="D1219" s="1" t="s">
        <v>5</v>
      </c>
      <c r="E1219">
        <v>38</v>
      </c>
      <c r="F1219" s="1" t="s">
        <v>101</v>
      </c>
      <c r="G1219">
        <v>8</v>
      </c>
      <c r="H1219">
        <v>1</v>
      </c>
      <c r="I1219" s="2">
        <f t="shared" ref="I1219:I1282" si="57">0.005454*G1219^2*H1219</f>
        <v>0.34905599999999998</v>
      </c>
      <c r="J1219">
        <f t="shared" ref="J1219:J1282" si="58">I1219/26.79</f>
        <v>1.3029339305711086E-2</v>
      </c>
      <c r="K1219">
        <f t="shared" ref="K1219:K1282" si="59">J1219*(26.79/38.29)</f>
        <v>9.1161138678506129E-3</v>
      </c>
    </row>
    <row r="1220" spans="1:11" x14ac:dyDescent="0.25">
      <c r="A1220" s="1">
        <v>1987</v>
      </c>
      <c r="B1220" s="1" t="s">
        <v>99</v>
      </c>
      <c r="C1220" t="s">
        <v>9</v>
      </c>
      <c r="D1220" s="1" t="s">
        <v>5</v>
      </c>
      <c r="E1220">
        <v>38</v>
      </c>
      <c r="F1220" s="1" t="s">
        <v>101</v>
      </c>
      <c r="G1220">
        <v>10</v>
      </c>
      <c r="H1220">
        <v>1</v>
      </c>
      <c r="I1220" s="2">
        <f t="shared" si="57"/>
        <v>0.5454</v>
      </c>
      <c r="J1220">
        <f t="shared" si="58"/>
        <v>2.0358342665173574E-2</v>
      </c>
      <c r="K1220">
        <f t="shared" si="59"/>
        <v>1.4243927918516584E-2</v>
      </c>
    </row>
    <row r="1221" spans="1:11" x14ac:dyDescent="0.25">
      <c r="A1221" s="1">
        <v>1987</v>
      </c>
      <c r="B1221" s="1" t="s">
        <v>99</v>
      </c>
      <c r="C1221" t="s">
        <v>9</v>
      </c>
      <c r="D1221" s="1" t="s">
        <v>5</v>
      </c>
      <c r="E1221">
        <v>38</v>
      </c>
      <c r="F1221" s="1" t="s">
        <v>101</v>
      </c>
      <c r="G1221">
        <v>14</v>
      </c>
      <c r="H1221">
        <v>1</v>
      </c>
      <c r="I1221" s="2">
        <f t="shared" si="57"/>
        <v>1.0689839999999999</v>
      </c>
      <c r="J1221">
        <f t="shared" si="58"/>
        <v>3.9902351623740201E-2</v>
      </c>
      <c r="K1221">
        <f t="shared" si="59"/>
        <v>2.7918098720292502E-2</v>
      </c>
    </row>
    <row r="1222" spans="1:11" x14ac:dyDescent="0.25">
      <c r="A1222" s="1">
        <v>1987</v>
      </c>
      <c r="B1222" s="1" t="s">
        <v>99</v>
      </c>
      <c r="C1222" t="s">
        <v>9</v>
      </c>
      <c r="D1222" s="1" t="s">
        <v>5</v>
      </c>
      <c r="E1222">
        <v>40</v>
      </c>
      <c r="F1222" s="1" t="s">
        <v>101</v>
      </c>
      <c r="G1222">
        <v>6</v>
      </c>
      <c r="H1222">
        <v>3</v>
      </c>
      <c r="I1222" s="2">
        <f t="shared" si="57"/>
        <v>0.589032</v>
      </c>
      <c r="J1222">
        <f t="shared" si="58"/>
        <v>2.1987010078387458E-2</v>
      </c>
      <c r="K1222">
        <f t="shared" si="59"/>
        <v>1.538344215199791E-2</v>
      </c>
    </row>
    <row r="1223" spans="1:11" x14ac:dyDescent="0.25">
      <c r="A1223" s="1">
        <v>1987</v>
      </c>
      <c r="B1223" s="1" t="s">
        <v>99</v>
      </c>
      <c r="C1223" t="s">
        <v>9</v>
      </c>
      <c r="D1223" s="1" t="s">
        <v>5</v>
      </c>
      <c r="E1223">
        <v>40</v>
      </c>
      <c r="F1223" s="1" t="s">
        <v>101</v>
      </c>
      <c r="G1223">
        <v>8</v>
      </c>
      <c r="H1223">
        <v>2</v>
      </c>
      <c r="I1223" s="2">
        <f t="shared" si="57"/>
        <v>0.69811199999999995</v>
      </c>
      <c r="J1223">
        <f t="shared" si="58"/>
        <v>2.6058678611422172E-2</v>
      </c>
      <c r="K1223">
        <f t="shared" si="59"/>
        <v>1.8232227735701226E-2</v>
      </c>
    </row>
    <row r="1224" spans="1:11" x14ac:dyDescent="0.25">
      <c r="A1224" s="1">
        <v>1987</v>
      </c>
      <c r="B1224" s="1" t="s">
        <v>99</v>
      </c>
      <c r="C1224" t="s">
        <v>9</v>
      </c>
      <c r="D1224" s="1" t="s">
        <v>5</v>
      </c>
      <c r="E1224">
        <v>40</v>
      </c>
      <c r="F1224" s="1" t="s">
        <v>101</v>
      </c>
      <c r="G1224">
        <v>12</v>
      </c>
      <c r="H1224">
        <v>2</v>
      </c>
      <c r="I1224" s="2">
        <f t="shared" si="57"/>
        <v>1.5707519999999999</v>
      </c>
      <c r="J1224">
        <f t="shared" si="58"/>
        <v>5.8632026875699884E-2</v>
      </c>
      <c r="K1224">
        <f t="shared" si="59"/>
        <v>4.1022512405327755E-2</v>
      </c>
    </row>
    <row r="1225" spans="1:11" x14ac:dyDescent="0.25">
      <c r="A1225" s="1">
        <v>1987</v>
      </c>
      <c r="B1225" s="1" t="s">
        <v>99</v>
      </c>
      <c r="C1225" t="s">
        <v>9</v>
      </c>
      <c r="D1225" s="1" t="s">
        <v>5</v>
      </c>
      <c r="E1225">
        <v>40</v>
      </c>
      <c r="F1225" s="1" t="s">
        <v>101</v>
      </c>
      <c r="G1225">
        <v>18</v>
      </c>
      <c r="H1225">
        <v>1</v>
      </c>
      <c r="I1225" s="2">
        <f t="shared" si="57"/>
        <v>1.7670959999999998</v>
      </c>
      <c r="J1225">
        <f t="shared" si="58"/>
        <v>6.5961030235162366E-2</v>
      </c>
      <c r="K1225">
        <f t="shared" si="59"/>
        <v>4.615032645599372E-2</v>
      </c>
    </row>
    <row r="1226" spans="1:11" x14ac:dyDescent="0.25">
      <c r="A1226" s="1">
        <v>1987</v>
      </c>
      <c r="B1226" s="1" t="s">
        <v>99</v>
      </c>
      <c r="C1226" t="s">
        <v>9</v>
      </c>
      <c r="D1226" s="1" t="s">
        <v>5</v>
      </c>
      <c r="E1226">
        <v>53</v>
      </c>
      <c r="F1226" s="1" t="s">
        <v>101</v>
      </c>
      <c r="G1226">
        <v>6</v>
      </c>
      <c r="H1226">
        <v>2</v>
      </c>
      <c r="I1226" s="2">
        <f t="shared" si="57"/>
        <v>0.39268799999999998</v>
      </c>
      <c r="J1226">
        <f t="shared" si="58"/>
        <v>1.4658006718924971E-2</v>
      </c>
      <c r="K1226">
        <f t="shared" si="59"/>
        <v>1.0255628101331939E-2</v>
      </c>
    </row>
    <row r="1227" spans="1:11" x14ac:dyDescent="0.25">
      <c r="A1227" s="1">
        <v>1987</v>
      </c>
      <c r="B1227" s="1" t="s">
        <v>99</v>
      </c>
      <c r="C1227" t="s">
        <v>9</v>
      </c>
      <c r="D1227" s="1" t="s">
        <v>5</v>
      </c>
      <c r="E1227">
        <v>53</v>
      </c>
      <c r="F1227" s="1" t="s">
        <v>101</v>
      </c>
      <c r="G1227">
        <v>10</v>
      </c>
      <c r="H1227">
        <v>2</v>
      </c>
      <c r="I1227" s="2">
        <f t="shared" si="57"/>
        <v>1.0908</v>
      </c>
      <c r="J1227">
        <f t="shared" si="58"/>
        <v>4.0716685330347148E-2</v>
      </c>
      <c r="K1227">
        <f t="shared" si="59"/>
        <v>2.8487855837033168E-2</v>
      </c>
    </row>
    <row r="1228" spans="1:11" x14ac:dyDescent="0.25">
      <c r="A1228" s="1">
        <v>1987</v>
      </c>
      <c r="B1228" s="1" t="s">
        <v>99</v>
      </c>
      <c r="C1228" t="s">
        <v>9</v>
      </c>
      <c r="D1228" s="1" t="s">
        <v>5</v>
      </c>
      <c r="E1228">
        <v>54</v>
      </c>
      <c r="F1228" s="1" t="s">
        <v>101</v>
      </c>
      <c r="G1228">
        <v>6</v>
      </c>
      <c r="H1228">
        <v>2</v>
      </c>
      <c r="I1228" s="2">
        <f t="shared" si="57"/>
        <v>0.39268799999999998</v>
      </c>
      <c r="J1228">
        <f t="shared" si="58"/>
        <v>1.4658006718924971E-2</v>
      </c>
      <c r="K1228">
        <f t="shared" si="59"/>
        <v>1.0255628101331939E-2</v>
      </c>
    </row>
    <row r="1229" spans="1:11" x14ac:dyDescent="0.25">
      <c r="A1229" s="1">
        <v>1987</v>
      </c>
      <c r="B1229" s="1" t="s">
        <v>99</v>
      </c>
      <c r="C1229" t="s">
        <v>9</v>
      </c>
      <c r="D1229" s="1" t="s">
        <v>5</v>
      </c>
      <c r="E1229">
        <v>54</v>
      </c>
      <c r="F1229" s="1" t="s">
        <v>101</v>
      </c>
      <c r="G1229">
        <v>10</v>
      </c>
      <c r="H1229">
        <v>2</v>
      </c>
      <c r="I1229" s="2">
        <f t="shared" si="57"/>
        <v>1.0908</v>
      </c>
      <c r="J1229">
        <f t="shared" si="58"/>
        <v>4.0716685330347148E-2</v>
      </c>
      <c r="K1229">
        <f t="shared" si="59"/>
        <v>2.8487855837033168E-2</v>
      </c>
    </row>
    <row r="1230" spans="1:11" x14ac:dyDescent="0.25">
      <c r="A1230" s="1">
        <v>1987</v>
      </c>
      <c r="B1230" s="1" t="s">
        <v>99</v>
      </c>
      <c r="C1230" t="s">
        <v>9</v>
      </c>
      <c r="D1230" s="1" t="s">
        <v>5</v>
      </c>
      <c r="E1230">
        <v>54</v>
      </c>
      <c r="F1230" s="1" t="s">
        <v>101</v>
      </c>
      <c r="G1230">
        <v>12</v>
      </c>
      <c r="H1230">
        <v>1</v>
      </c>
      <c r="I1230" s="2">
        <f t="shared" si="57"/>
        <v>0.78537599999999996</v>
      </c>
      <c r="J1230">
        <f t="shared" si="58"/>
        <v>2.9316013437849942E-2</v>
      </c>
      <c r="K1230">
        <f t="shared" si="59"/>
        <v>2.0511256202663877E-2</v>
      </c>
    </row>
    <row r="1231" spans="1:11" x14ac:dyDescent="0.25">
      <c r="A1231" s="1">
        <v>1987</v>
      </c>
      <c r="B1231" s="1" t="s">
        <v>99</v>
      </c>
      <c r="C1231" t="s">
        <v>9</v>
      </c>
      <c r="D1231" s="1" t="s">
        <v>5</v>
      </c>
      <c r="E1231">
        <v>54</v>
      </c>
      <c r="F1231" s="1" t="s">
        <v>101</v>
      </c>
      <c r="G1231">
        <v>14</v>
      </c>
      <c r="H1231">
        <v>1</v>
      </c>
      <c r="I1231" s="2">
        <f t="shared" si="57"/>
        <v>1.0689839999999999</v>
      </c>
      <c r="J1231">
        <f t="shared" si="58"/>
        <v>3.9902351623740201E-2</v>
      </c>
      <c r="K1231">
        <f t="shared" si="59"/>
        <v>2.7918098720292502E-2</v>
      </c>
    </row>
    <row r="1232" spans="1:11" x14ac:dyDescent="0.25">
      <c r="A1232" s="1">
        <v>1987</v>
      </c>
      <c r="B1232" s="1" t="s">
        <v>99</v>
      </c>
      <c r="C1232" t="s">
        <v>9</v>
      </c>
      <c r="D1232" s="1" t="s">
        <v>5</v>
      </c>
      <c r="E1232">
        <v>56</v>
      </c>
      <c r="F1232" s="1" t="s">
        <v>101</v>
      </c>
      <c r="G1232">
        <v>6</v>
      </c>
      <c r="H1232">
        <v>4</v>
      </c>
      <c r="I1232" s="2">
        <f t="shared" si="57"/>
        <v>0.78537599999999996</v>
      </c>
      <c r="J1232">
        <f t="shared" si="58"/>
        <v>2.9316013437849942E-2</v>
      </c>
      <c r="K1232">
        <f t="shared" si="59"/>
        <v>2.0511256202663877E-2</v>
      </c>
    </row>
    <row r="1233" spans="1:11" x14ac:dyDescent="0.25">
      <c r="A1233" s="1">
        <v>1987</v>
      </c>
      <c r="B1233" s="1" t="s">
        <v>99</v>
      </c>
      <c r="C1233" t="s">
        <v>9</v>
      </c>
      <c r="D1233" s="1" t="s">
        <v>5</v>
      </c>
      <c r="E1233">
        <v>56</v>
      </c>
      <c r="F1233" s="1" t="s">
        <v>101</v>
      </c>
      <c r="G1233">
        <v>8</v>
      </c>
      <c r="H1233">
        <v>1</v>
      </c>
      <c r="I1233" s="2">
        <f t="shared" si="57"/>
        <v>0.34905599999999998</v>
      </c>
      <c r="J1233">
        <f t="shared" si="58"/>
        <v>1.3029339305711086E-2</v>
      </c>
      <c r="K1233">
        <f t="shared" si="59"/>
        <v>9.1161138678506129E-3</v>
      </c>
    </row>
    <row r="1234" spans="1:11" x14ac:dyDescent="0.25">
      <c r="A1234" s="1">
        <v>1987</v>
      </c>
      <c r="B1234" s="1" t="s">
        <v>99</v>
      </c>
      <c r="C1234" t="s">
        <v>9</v>
      </c>
      <c r="D1234" s="1" t="s">
        <v>5</v>
      </c>
      <c r="E1234">
        <v>56</v>
      </c>
      <c r="F1234" s="1" t="s">
        <v>101</v>
      </c>
      <c r="G1234">
        <v>10</v>
      </c>
      <c r="H1234">
        <v>1</v>
      </c>
      <c r="I1234" s="2">
        <f t="shared" si="57"/>
        <v>0.5454</v>
      </c>
      <c r="J1234">
        <f t="shared" si="58"/>
        <v>2.0358342665173574E-2</v>
      </c>
      <c r="K1234">
        <f t="shared" si="59"/>
        <v>1.4243927918516584E-2</v>
      </c>
    </row>
    <row r="1235" spans="1:11" x14ac:dyDescent="0.25">
      <c r="A1235" s="1">
        <v>1987</v>
      </c>
      <c r="B1235" s="1" t="s">
        <v>99</v>
      </c>
      <c r="C1235" t="s">
        <v>9</v>
      </c>
      <c r="D1235" s="1" t="s">
        <v>5</v>
      </c>
      <c r="E1235">
        <v>56</v>
      </c>
      <c r="F1235" s="1" t="s">
        <v>101</v>
      </c>
      <c r="G1235">
        <v>12</v>
      </c>
      <c r="H1235">
        <v>2</v>
      </c>
      <c r="I1235" s="2">
        <f t="shared" si="57"/>
        <v>1.5707519999999999</v>
      </c>
      <c r="J1235">
        <f t="shared" si="58"/>
        <v>5.8632026875699884E-2</v>
      </c>
      <c r="K1235">
        <f t="shared" si="59"/>
        <v>4.1022512405327755E-2</v>
      </c>
    </row>
    <row r="1236" spans="1:11" x14ac:dyDescent="0.25">
      <c r="A1236" s="1">
        <v>1987</v>
      </c>
      <c r="B1236" s="1" t="s">
        <v>99</v>
      </c>
      <c r="C1236" t="s">
        <v>9</v>
      </c>
      <c r="D1236" s="1" t="s">
        <v>5</v>
      </c>
      <c r="E1236">
        <v>56</v>
      </c>
      <c r="F1236" s="1" t="s">
        <v>101</v>
      </c>
      <c r="G1236">
        <v>14</v>
      </c>
      <c r="H1236">
        <v>1</v>
      </c>
      <c r="I1236" s="2">
        <f t="shared" si="57"/>
        <v>1.0689839999999999</v>
      </c>
      <c r="J1236">
        <f t="shared" si="58"/>
        <v>3.9902351623740201E-2</v>
      </c>
      <c r="K1236">
        <f t="shared" si="59"/>
        <v>2.7918098720292502E-2</v>
      </c>
    </row>
    <row r="1237" spans="1:11" x14ac:dyDescent="0.25">
      <c r="A1237" s="1">
        <v>1987</v>
      </c>
      <c r="B1237" s="1" t="s">
        <v>99</v>
      </c>
      <c r="C1237" t="s">
        <v>9</v>
      </c>
      <c r="D1237" s="1" t="s">
        <v>5</v>
      </c>
      <c r="E1237">
        <v>56</v>
      </c>
      <c r="F1237" s="1" t="s">
        <v>101</v>
      </c>
      <c r="G1237">
        <v>16</v>
      </c>
      <c r="H1237">
        <v>1</v>
      </c>
      <c r="I1237" s="2">
        <f t="shared" si="57"/>
        <v>1.3962239999999999</v>
      </c>
      <c r="J1237">
        <f t="shared" si="58"/>
        <v>5.2117357222844343E-2</v>
      </c>
      <c r="K1237">
        <f t="shared" si="59"/>
        <v>3.6464455471402452E-2</v>
      </c>
    </row>
    <row r="1238" spans="1:11" x14ac:dyDescent="0.25">
      <c r="A1238" s="1">
        <v>1987</v>
      </c>
      <c r="B1238" s="1" t="s">
        <v>99</v>
      </c>
      <c r="C1238" t="s">
        <v>9</v>
      </c>
      <c r="D1238" s="1" t="s">
        <v>5</v>
      </c>
      <c r="E1238">
        <v>58</v>
      </c>
      <c r="F1238" s="1" t="s">
        <v>101</v>
      </c>
      <c r="G1238">
        <v>8</v>
      </c>
      <c r="H1238">
        <v>4</v>
      </c>
      <c r="I1238" s="2">
        <f t="shared" si="57"/>
        <v>1.3962239999999999</v>
      </c>
      <c r="J1238">
        <f t="shared" si="58"/>
        <v>5.2117357222844343E-2</v>
      </c>
      <c r="K1238">
        <f t="shared" si="59"/>
        <v>3.6464455471402452E-2</v>
      </c>
    </row>
    <row r="1239" spans="1:11" x14ac:dyDescent="0.25">
      <c r="A1239" s="1">
        <v>1987</v>
      </c>
      <c r="B1239" s="1" t="s">
        <v>99</v>
      </c>
      <c r="C1239" t="s">
        <v>9</v>
      </c>
      <c r="D1239" s="1" t="s">
        <v>5</v>
      </c>
      <c r="E1239">
        <v>58</v>
      </c>
      <c r="F1239" s="1" t="s">
        <v>101</v>
      </c>
      <c r="G1239">
        <v>10</v>
      </c>
      <c r="H1239">
        <v>3</v>
      </c>
      <c r="I1239" s="2">
        <f t="shared" si="57"/>
        <v>1.6362000000000001</v>
      </c>
      <c r="J1239">
        <f t="shared" si="58"/>
        <v>6.1075027995520725E-2</v>
      </c>
      <c r="K1239">
        <f t="shared" si="59"/>
        <v>4.2731783755549757E-2</v>
      </c>
    </row>
    <row r="1240" spans="1:11" x14ac:dyDescent="0.25">
      <c r="A1240" s="1">
        <v>1987</v>
      </c>
      <c r="B1240" s="1" t="s">
        <v>99</v>
      </c>
      <c r="C1240" t="s">
        <v>9</v>
      </c>
      <c r="D1240" s="1" t="s">
        <v>5</v>
      </c>
      <c r="E1240">
        <v>63</v>
      </c>
      <c r="F1240" s="1" t="s">
        <v>101</v>
      </c>
      <c r="G1240">
        <v>6</v>
      </c>
      <c r="H1240">
        <v>5</v>
      </c>
      <c r="I1240" s="2">
        <f t="shared" si="57"/>
        <v>0.98171999999999993</v>
      </c>
      <c r="J1240">
        <f t="shared" si="58"/>
        <v>3.6645016797312427E-2</v>
      </c>
      <c r="K1240">
        <f t="shared" si="59"/>
        <v>2.5639070253329847E-2</v>
      </c>
    </row>
    <row r="1241" spans="1:11" x14ac:dyDescent="0.25">
      <c r="A1241" s="1">
        <v>1987</v>
      </c>
      <c r="B1241" s="1" t="s">
        <v>99</v>
      </c>
      <c r="C1241" t="s">
        <v>9</v>
      </c>
      <c r="D1241" s="1" t="s">
        <v>5</v>
      </c>
      <c r="E1241">
        <v>63</v>
      </c>
      <c r="F1241" s="1" t="s">
        <v>101</v>
      </c>
      <c r="G1241">
        <v>8</v>
      </c>
      <c r="H1241">
        <v>1</v>
      </c>
      <c r="I1241" s="2">
        <f t="shared" si="57"/>
        <v>0.34905599999999998</v>
      </c>
      <c r="J1241">
        <f t="shared" si="58"/>
        <v>1.3029339305711086E-2</v>
      </c>
      <c r="K1241">
        <f t="shared" si="59"/>
        <v>9.1161138678506129E-3</v>
      </c>
    </row>
    <row r="1242" spans="1:11" x14ac:dyDescent="0.25">
      <c r="A1242" s="1">
        <v>1987</v>
      </c>
      <c r="B1242" s="1" t="s">
        <v>99</v>
      </c>
      <c r="C1242" t="s">
        <v>9</v>
      </c>
      <c r="D1242" s="1" t="s">
        <v>5</v>
      </c>
      <c r="E1242">
        <v>66</v>
      </c>
      <c r="F1242" s="1" t="s">
        <v>101</v>
      </c>
      <c r="G1242">
        <v>6</v>
      </c>
      <c r="H1242">
        <v>1</v>
      </c>
      <c r="I1242" s="2">
        <f t="shared" si="57"/>
        <v>0.19634399999999999</v>
      </c>
      <c r="J1242">
        <f t="shared" si="58"/>
        <v>7.3290033594624856E-3</v>
      </c>
      <c r="K1242">
        <f t="shared" si="59"/>
        <v>5.1278140506659693E-3</v>
      </c>
    </row>
    <row r="1243" spans="1:11" x14ac:dyDescent="0.25">
      <c r="A1243" s="1">
        <v>1987</v>
      </c>
      <c r="B1243" s="1" t="s">
        <v>99</v>
      </c>
      <c r="C1243" t="s">
        <v>9</v>
      </c>
      <c r="D1243" s="1" t="s">
        <v>5</v>
      </c>
      <c r="E1243">
        <v>66</v>
      </c>
      <c r="F1243" s="1" t="s">
        <v>101</v>
      </c>
      <c r="G1243">
        <v>12</v>
      </c>
      <c r="H1243">
        <v>1</v>
      </c>
      <c r="I1243" s="2">
        <f t="shared" si="57"/>
        <v>0.78537599999999996</v>
      </c>
      <c r="J1243">
        <f t="shared" si="58"/>
        <v>2.9316013437849942E-2</v>
      </c>
      <c r="K1243">
        <f t="shared" si="59"/>
        <v>2.0511256202663877E-2</v>
      </c>
    </row>
    <row r="1244" spans="1:11" x14ac:dyDescent="0.25">
      <c r="A1244" s="1">
        <v>1987</v>
      </c>
      <c r="B1244" s="1" t="s">
        <v>99</v>
      </c>
      <c r="C1244" t="s">
        <v>9</v>
      </c>
      <c r="D1244" s="1" t="s">
        <v>5</v>
      </c>
      <c r="E1244">
        <v>71</v>
      </c>
      <c r="F1244" s="1" t="s">
        <v>101</v>
      </c>
      <c r="G1244">
        <v>6</v>
      </c>
      <c r="H1244">
        <v>4</v>
      </c>
      <c r="I1244" s="2">
        <f t="shared" si="57"/>
        <v>0.78537599999999996</v>
      </c>
      <c r="J1244">
        <f t="shared" si="58"/>
        <v>2.9316013437849942E-2</v>
      </c>
      <c r="K1244">
        <f t="shared" si="59"/>
        <v>2.0511256202663877E-2</v>
      </c>
    </row>
    <row r="1245" spans="1:11" x14ac:dyDescent="0.25">
      <c r="A1245" s="1">
        <v>1987</v>
      </c>
      <c r="B1245" s="1" t="s">
        <v>99</v>
      </c>
      <c r="C1245" t="s">
        <v>9</v>
      </c>
      <c r="D1245" s="1" t="s">
        <v>5</v>
      </c>
      <c r="E1245">
        <v>71</v>
      </c>
      <c r="F1245" s="1" t="s">
        <v>101</v>
      </c>
      <c r="G1245">
        <v>8</v>
      </c>
      <c r="H1245">
        <v>8</v>
      </c>
      <c r="I1245" s="2">
        <f t="shared" si="57"/>
        <v>2.7924479999999998</v>
      </c>
      <c r="J1245">
        <f t="shared" si="58"/>
        <v>0.10423471444568869</v>
      </c>
      <c r="K1245">
        <f t="shared" si="59"/>
        <v>7.2928910942804903E-2</v>
      </c>
    </row>
    <row r="1246" spans="1:11" x14ac:dyDescent="0.25">
      <c r="A1246" s="1">
        <v>1987</v>
      </c>
      <c r="B1246" s="1" t="s">
        <v>99</v>
      </c>
      <c r="C1246" t="s">
        <v>9</v>
      </c>
      <c r="D1246" s="1" t="s">
        <v>5</v>
      </c>
      <c r="E1246">
        <v>71</v>
      </c>
      <c r="F1246" s="1" t="s">
        <v>101</v>
      </c>
      <c r="G1246">
        <v>10</v>
      </c>
      <c r="H1246">
        <v>4</v>
      </c>
      <c r="I1246" s="2">
        <f t="shared" si="57"/>
        <v>2.1816</v>
      </c>
      <c r="J1246">
        <f t="shared" si="58"/>
        <v>8.1433370660694296E-2</v>
      </c>
      <c r="K1246">
        <f t="shared" si="59"/>
        <v>5.6975711674066336E-2</v>
      </c>
    </row>
    <row r="1247" spans="1:11" x14ac:dyDescent="0.25">
      <c r="A1247" s="1">
        <v>1987</v>
      </c>
      <c r="B1247" s="1" t="s">
        <v>99</v>
      </c>
      <c r="C1247" t="s">
        <v>9</v>
      </c>
      <c r="D1247" s="1" t="s">
        <v>5</v>
      </c>
      <c r="E1247">
        <v>76</v>
      </c>
      <c r="F1247" s="1" t="s">
        <v>101</v>
      </c>
      <c r="G1247">
        <v>6</v>
      </c>
      <c r="H1247">
        <v>12</v>
      </c>
      <c r="I1247" s="2">
        <f t="shared" si="57"/>
        <v>2.356128</v>
      </c>
      <c r="J1247">
        <f t="shared" si="58"/>
        <v>8.794804031354983E-2</v>
      </c>
      <c r="K1247">
        <f t="shared" si="59"/>
        <v>6.1533768607991639E-2</v>
      </c>
    </row>
    <row r="1248" spans="1:11" x14ac:dyDescent="0.25">
      <c r="A1248" s="1">
        <v>1987</v>
      </c>
      <c r="B1248" s="1" t="s">
        <v>99</v>
      </c>
      <c r="C1248" t="s">
        <v>9</v>
      </c>
      <c r="D1248" s="1" t="s">
        <v>5</v>
      </c>
      <c r="E1248">
        <v>76</v>
      </c>
      <c r="F1248" s="1" t="s">
        <v>101</v>
      </c>
      <c r="G1248">
        <v>8</v>
      </c>
      <c r="H1248">
        <v>1</v>
      </c>
      <c r="I1248" s="2">
        <f t="shared" si="57"/>
        <v>0.34905599999999998</v>
      </c>
      <c r="J1248">
        <f t="shared" si="58"/>
        <v>1.3029339305711086E-2</v>
      </c>
      <c r="K1248">
        <f t="shared" si="59"/>
        <v>9.1161138678506129E-3</v>
      </c>
    </row>
    <row r="1249" spans="1:11" x14ac:dyDescent="0.25">
      <c r="A1249" s="1">
        <v>1987</v>
      </c>
      <c r="B1249" s="1" t="s">
        <v>99</v>
      </c>
      <c r="C1249" t="s">
        <v>9</v>
      </c>
      <c r="D1249" s="1" t="s">
        <v>5</v>
      </c>
      <c r="E1249">
        <v>76</v>
      </c>
      <c r="F1249" s="1" t="s">
        <v>101</v>
      </c>
      <c r="G1249">
        <v>10</v>
      </c>
      <c r="H1249">
        <v>1</v>
      </c>
      <c r="I1249" s="2">
        <f t="shared" si="57"/>
        <v>0.5454</v>
      </c>
      <c r="J1249">
        <f t="shared" si="58"/>
        <v>2.0358342665173574E-2</v>
      </c>
      <c r="K1249">
        <f t="shared" si="59"/>
        <v>1.4243927918516584E-2</v>
      </c>
    </row>
    <row r="1250" spans="1:11" x14ac:dyDescent="0.25">
      <c r="A1250" s="1">
        <v>1987</v>
      </c>
      <c r="B1250" s="1" t="s">
        <v>99</v>
      </c>
      <c r="C1250" t="s">
        <v>9</v>
      </c>
      <c r="D1250" s="1" t="s">
        <v>5</v>
      </c>
      <c r="E1250">
        <v>76</v>
      </c>
      <c r="F1250" s="1" t="s">
        <v>101</v>
      </c>
      <c r="G1250">
        <v>12</v>
      </c>
      <c r="H1250">
        <v>3</v>
      </c>
      <c r="I1250" s="2">
        <f t="shared" si="57"/>
        <v>2.356128</v>
      </c>
      <c r="J1250">
        <f t="shared" si="58"/>
        <v>8.794804031354983E-2</v>
      </c>
      <c r="K1250">
        <f t="shared" si="59"/>
        <v>6.1533768607991639E-2</v>
      </c>
    </row>
    <row r="1251" spans="1:11" x14ac:dyDescent="0.25">
      <c r="A1251" s="1">
        <v>1987</v>
      </c>
      <c r="B1251" s="1" t="s">
        <v>99</v>
      </c>
      <c r="C1251" t="s">
        <v>9</v>
      </c>
      <c r="D1251" s="1" t="s">
        <v>5</v>
      </c>
      <c r="E1251">
        <v>79</v>
      </c>
      <c r="F1251" s="1" t="s">
        <v>101</v>
      </c>
      <c r="G1251">
        <v>6</v>
      </c>
      <c r="H1251">
        <v>21</v>
      </c>
      <c r="I1251" s="2">
        <f t="shared" si="57"/>
        <v>4.1232239999999996</v>
      </c>
      <c r="J1251">
        <f t="shared" si="58"/>
        <v>0.1539090705487122</v>
      </c>
      <c r="K1251">
        <f t="shared" si="59"/>
        <v>0.10768409506398537</v>
      </c>
    </row>
    <row r="1252" spans="1:11" x14ac:dyDescent="0.25">
      <c r="A1252" s="1">
        <v>1987</v>
      </c>
      <c r="B1252" s="1" t="s">
        <v>99</v>
      </c>
      <c r="C1252" t="s">
        <v>9</v>
      </c>
      <c r="D1252" s="1" t="s">
        <v>5</v>
      </c>
      <c r="E1252">
        <v>79</v>
      </c>
      <c r="F1252" s="1" t="s">
        <v>101</v>
      </c>
      <c r="G1252">
        <v>8</v>
      </c>
      <c r="H1252">
        <v>18</v>
      </c>
      <c r="I1252" s="2">
        <f t="shared" si="57"/>
        <v>6.2830079999999997</v>
      </c>
      <c r="J1252">
        <f t="shared" si="58"/>
        <v>0.23452810750279954</v>
      </c>
      <c r="K1252">
        <f t="shared" si="59"/>
        <v>0.16409004962131102</v>
      </c>
    </row>
    <row r="1253" spans="1:11" x14ac:dyDescent="0.25">
      <c r="A1253" s="1">
        <v>1987</v>
      </c>
      <c r="B1253" s="1" t="s">
        <v>99</v>
      </c>
      <c r="C1253" t="s">
        <v>9</v>
      </c>
      <c r="D1253" s="1" t="s">
        <v>5</v>
      </c>
      <c r="E1253">
        <v>79</v>
      </c>
      <c r="F1253" s="1" t="s">
        <v>101</v>
      </c>
      <c r="G1253">
        <v>10</v>
      </c>
      <c r="H1253">
        <v>3</v>
      </c>
      <c r="I1253" s="2">
        <f t="shared" si="57"/>
        <v>1.6362000000000001</v>
      </c>
      <c r="J1253">
        <f t="shared" si="58"/>
        <v>6.1075027995520725E-2</v>
      </c>
      <c r="K1253">
        <f t="shared" si="59"/>
        <v>4.2731783755549757E-2</v>
      </c>
    </row>
    <row r="1254" spans="1:11" x14ac:dyDescent="0.25">
      <c r="A1254" s="1">
        <v>1987</v>
      </c>
      <c r="B1254" s="1" t="s">
        <v>99</v>
      </c>
      <c r="C1254" t="s">
        <v>9</v>
      </c>
      <c r="D1254" s="1" t="s">
        <v>5</v>
      </c>
      <c r="E1254">
        <v>79</v>
      </c>
      <c r="F1254" s="1" t="s">
        <v>101</v>
      </c>
      <c r="G1254">
        <v>12</v>
      </c>
      <c r="H1254">
        <v>2</v>
      </c>
      <c r="I1254" s="2">
        <f t="shared" si="57"/>
        <v>1.5707519999999999</v>
      </c>
      <c r="J1254">
        <f t="shared" si="58"/>
        <v>5.8632026875699884E-2</v>
      </c>
      <c r="K1254">
        <f t="shared" si="59"/>
        <v>4.1022512405327755E-2</v>
      </c>
    </row>
    <row r="1255" spans="1:11" x14ac:dyDescent="0.25">
      <c r="A1255" s="1">
        <v>1987</v>
      </c>
      <c r="B1255" s="1" t="s">
        <v>99</v>
      </c>
      <c r="C1255" t="s">
        <v>9</v>
      </c>
      <c r="D1255" s="1" t="s">
        <v>5</v>
      </c>
      <c r="E1255">
        <v>79</v>
      </c>
      <c r="F1255" s="1" t="s">
        <v>101</v>
      </c>
      <c r="G1255">
        <v>14</v>
      </c>
      <c r="H1255">
        <v>1</v>
      </c>
      <c r="I1255" s="2">
        <f t="shared" si="57"/>
        <v>1.0689839999999999</v>
      </c>
      <c r="J1255">
        <f t="shared" si="58"/>
        <v>3.9902351623740201E-2</v>
      </c>
      <c r="K1255">
        <f t="shared" si="59"/>
        <v>2.7918098720292502E-2</v>
      </c>
    </row>
    <row r="1256" spans="1:11" x14ac:dyDescent="0.25">
      <c r="A1256" s="1">
        <v>1987</v>
      </c>
      <c r="B1256" s="1" t="s">
        <v>99</v>
      </c>
      <c r="C1256" t="s">
        <v>9</v>
      </c>
      <c r="D1256" s="1" t="s">
        <v>5</v>
      </c>
      <c r="E1256">
        <v>79</v>
      </c>
      <c r="F1256" s="1" t="s">
        <v>101</v>
      </c>
      <c r="G1256">
        <v>28</v>
      </c>
      <c r="H1256">
        <v>1</v>
      </c>
      <c r="I1256" s="2">
        <f t="shared" si="57"/>
        <v>4.2759359999999997</v>
      </c>
      <c r="J1256">
        <f t="shared" si="58"/>
        <v>0.1596094064949608</v>
      </c>
      <c r="K1256">
        <f t="shared" si="59"/>
        <v>0.11167239488117001</v>
      </c>
    </row>
    <row r="1257" spans="1:11" x14ac:dyDescent="0.25">
      <c r="A1257" s="1">
        <v>1987</v>
      </c>
      <c r="B1257" s="1" t="s">
        <v>99</v>
      </c>
      <c r="C1257" t="s">
        <v>9</v>
      </c>
      <c r="D1257" s="1" t="s">
        <v>5</v>
      </c>
      <c r="E1257">
        <v>84</v>
      </c>
      <c r="F1257" s="1" t="s">
        <v>101</v>
      </c>
      <c r="G1257">
        <v>12</v>
      </c>
      <c r="H1257">
        <v>1</v>
      </c>
      <c r="I1257" s="2">
        <f t="shared" si="57"/>
        <v>0.78537599999999996</v>
      </c>
      <c r="J1257">
        <f t="shared" si="58"/>
        <v>2.9316013437849942E-2</v>
      </c>
      <c r="K1257">
        <f t="shared" si="59"/>
        <v>2.0511256202663877E-2</v>
      </c>
    </row>
    <row r="1258" spans="1:11" x14ac:dyDescent="0.25">
      <c r="A1258" s="1">
        <v>1987</v>
      </c>
      <c r="B1258" s="1" t="s">
        <v>99</v>
      </c>
      <c r="C1258" t="s">
        <v>9</v>
      </c>
      <c r="D1258" s="1" t="s">
        <v>5</v>
      </c>
      <c r="E1258">
        <v>85</v>
      </c>
      <c r="F1258" s="1" t="s">
        <v>101</v>
      </c>
      <c r="G1258">
        <v>6</v>
      </c>
      <c r="H1258">
        <v>1</v>
      </c>
      <c r="I1258" s="2">
        <f t="shared" si="57"/>
        <v>0.19634399999999999</v>
      </c>
      <c r="J1258">
        <f t="shared" si="58"/>
        <v>7.3290033594624856E-3</v>
      </c>
      <c r="K1258">
        <f t="shared" si="59"/>
        <v>5.1278140506659693E-3</v>
      </c>
    </row>
    <row r="1259" spans="1:11" x14ac:dyDescent="0.25">
      <c r="A1259" s="1">
        <v>1987</v>
      </c>
      <c r="B1259" s="1" t="s">
        <v>99</v>
      </c>
      <c r="C1259" t="s">
        <v>9</v>
      </c>
      <c r="D1259" s="1" t="s">
        <v>5</v>
      </c>
      <c r="E1259">
        <v>85</v>
      </c>
      <c r="F1259" s="1" t="s">
        <v>101</v>
      </c>
      <c r="G1259">
        <v>10</v>
      </c>
      <c r="H1259">
        <v>4</v>
      </c>
      <c r="I1259" s="2">
        <f t="shared" si="57"/>
        <v>2.1816</v>
      </c>
      <c r="J1259">
        <f t="shared" si="58"/>
        <v>8.1433370660694296E-2</v>
      </c>
      <c r="K1259">
        <f t="shared" si="59"/>
        <v>5.6975711674066336E-2</v>
      </c>
    </row>
    <row r="1260" spans="1:11" x14ac:dyDescent="0.25">
      <c r="A1260" s="1">
        <v>1987</v>
      </c>
      <c r="B1260" s="1" t="s">
        <v>99</v>
      </c>
      <c r="C1260" t="s">
        <v>9</v>
      </c>
      <c r="D1260" s="1" t="s">
        <v>5</v>
      </c>
      <c r="E1260">
        <v>85</v>
      </c>
      <c r="F1260" s="1" t="s">
        <v>101</v>
      </c>
      <c r="G1260">
        <v>12</v>
      </c>
      <c r="H1260">
        <v>3</v>
      </c>
      <c r="I1260" s="2">
        <f t="shared" si="57"/>
        <v>2.356128</v>
      </c>
      <c r="J1260">
        <f t="shared" si="58"/>
        <v>8.794804031354983E-2</v>
      </c>
      <c r="K1260">
        <f t="shared" si="59"/>
        <v>6.1533768607991639E-2</v>
      </c>
    </row>
    <row r="1261" spans="1:11" x14ac:dyDescent="0.25">
      <c r="A1261" s="1">
        <v>1987</v>
      </c>
      <c r="B1261" s="1" t="s">
        <v>99</v>
      </c>
      <c r="C1261" t="s">
        <v>9</v>
      </c>
      <c r="D1261" s="1" t="s">
        <v>5</v>
      </c>
      <c r="E1261">
        <v>85</v>
      </c>
      <c r="F1261" s="1" t="s">
        <v>101</v>
      </c>
      <c r="G1261">
        <v>14</v>
      </c>
      <c r="H1261">
        <v>6</v>
      </c>
      <c r="I1261" s="2">
        <f t="shared" si="57"/>
        <v>6.4139039999999996</v>
      </c>
      <c r="J1261">
        <f t="shared" si="58"/>
        <v>0.23941410974244121</v>
      </c>
      <c r="K1261">
        <f t="shared" si="59"/>
        <v>0.16750859232175502</v>
      </c>
    </row>
    <row r="1262" spans="1:11" x14ac:dyDescent="0.25">
      <c r="A1262" s="1">
        <v>1987</v>
      </c>
      <c r="B1262" s="1" t="s">
        <v>99</v>
      </c>
      <c r="C1262" t="s">
        <v>9</v>
      </c>
      <c r="D1262" s="1" t="s">
        <v>5</v>
      </c>
      <c r="E1262">
        <v>85</v>
      </c>
      <c r="F1262" s="1" t="s">
        <v>101</v>
      </c>
      <c r="G1262">
        <v>16</v>
      </c>
      <c r="H1262">
        <v>4</v>
      </c>
      <c r="I1262" s="2">
        <f t="shared" si="57"/>
        <v>5.5848959999999996</v>
      </c>
      <c r="J1262">
        <f t="shared" si="58"/>
        <v>0.20846942889137737</v>
      </c>
      <c r="K1262">
        <f t="shared" si="59"/>
        <v>0.14585782188560981</v>
      </c>
    </row>
    <row r="1263" spans="1:11" x14ac:dyDescent="0.25">
      <c r="A1263" s="1">
        <v>1987</v>
      </c>
      <c r="B1263" s="1" t="s">
        <v>99</v>
      </c>
      <c r="C1263" t="s">
        <v>9</v>
      </c>
      <c r="D1263" s="1" t="s">
        <v>5</v>
      </c>
      <c r="E1263">
        <v>86</v>
      </c>
      <c r="F1263" s="1" t="s">
        <v>101</v>
      </c>
      <c r="G1263">
        <v>6</v>
      </c>
      <c r="H1263">
        <v>1</v>
      </c>
      <c r="I1263" s="2">
        <f t="shared" si="57"/>
        <v>0.19634399999999999</v>
      </c>
      <c r="J1263">
        <f t="shared" si="58"/>
        <v>7.3290033594624856E-3</v>
      </c>
      <c r="K1263">
        <f t="shared" si="59"/>
        <v>5.1278140506659693E-3</v>
      </c>
    </row>
    <row r="1264" spans="1:11" x14ac:dyDescent="0.25">
      <c r="A1264" s="1">
        <v>1987</v>
      </c>
      <c r="B1264" s="1" t="s">
        <v>99</v>
      </c>
      <c r="C1264" t="s">
        <v>9</v>
      </c>
      <c r="D1264" s="1" t="s">
        <v>5</v>
      </c>
      <c r="E1264">
        <v>88</v>
      </c>
      <c r="F1264" s="1" t="s">
        <v>101</v>
      </c>
      <c r="G1264">
        <v>8</v>
      </c>
      <c r="H1264">
        <v>1</v>
      </c>
      <c r="I1264" s="2">
        <f t="shared" si="57"/>
        <v>0.34905599999999998</v>
      </c>
      <c r="J1264">
        <f t="shared" si="58"/>
        <v>1.3029339305711086E-2</v>
      </c>
      <c r="K1264">
        <f t="shared" si="59"/>
        <v>9.1161138678506129E-3</v>
      </c>
    </row>
    <row r="1265" spans="1:11" x14ac:dyDescent="0.25">
      <c r="A1265" s="1">
        <v>1987</v>
      </c>
      <c r="B1265" s="1" t="s">
        <v>99</v>
      </c>
      <c r="C1265" t="s">
        <v>9</v>
      </c>
      <c r="D1265" s="1" t="s">
        <v>5</v>
      </c>
      <c r="E1265">
        <v>91</v>
      </c>
      <c r="F1265" s="1" t="s">
        <v>101</v>
      </c>
      <c r="G1265">
        <v>6</v>
      </c>
      <c r="H1265">
        <v>4</v>
      </c>
      <c r="I1265" s="2">
        <f t="shared" si="57"/>
        <v>0.78537599999999996</v>
      </c>
      <c r="J1265">
        <f t="shared" si="58"/>
        <v>2.9316013437849942E-2</v>
      </c>
      <c r="K1265">
        <f t="shared" si="59"/>
        <v>2.0511256202663877E-2</v>
      </c>
    </row>
    <row r="1266" spans="1:11" x14ac:dyDescent="0.25">
      <c r="A1266" s="1">
        <v>1988</v>
      </c>
      <c r="B1266" s="1" t="s">
        <v>99</v>
      </c>
      <c r="C1266" t="s">
        <v>8</v>
      </c>
      <c r="D1266" s="1" t="s">
        <v>3</v>
      </c>
      <c r="E1266">
        <v>21</v>
      </c>
      <c r="F1266" s="1" t="s">
        <v>101</v>
      </c>
      <c r="G1266">
        <v>14</v>
      </c>
      <c r="H1266">
        <v>2</v>
      </c>
      <c r="I1266" s="2">
        <f t="shared" si="57"/>
        <v>2.1379679999999999</v>
      </c>
      <c r="J1266">
        <f t="shared" si="58"/>
        <v>7.9804703247480402E-2</v>
      </c>
      <c r="K1266">
        <f t="shared" si="59"/>
        <v>5.5836197440585003E-2</v>
      </c>
    </row>
    <row r="1267" spans="1:11" x14ac:dyDescent="0.25">
      <c r="A1267" s="1">
        <v>1988</v>
      </c>
      <c r="B1267" s="1" t="s">
        <v>99</v>
      </c>
      <c r="C1267" t="s">
        <v>8</v>
      </c>
      <c r="D1267" s="1" t="s">
        <v>3</v>
      </c>
      <c r="E1267">
        <v>21</v>
      </c>
      <c r="F1267" s="1" t="s">
        <v>101</v>
      </c>
      <c r="G1267">
        <v>18</v>
      </c>
      <c r="H1267">
        <v>4</v>
      </c>
      <c r="I1267" s="2">
        <f t="shared" si="57"/>
        <v>7.0683839999999991</v>
      </c>
      <c r="J1267">
        <f t="shared" si="58"/>
        <v>0.26384412094064946</v>
      </c>
      <c r="K1267">
        <f t="shared" si="59"/>
        <v>0.18460130582397488</v>
      </c>
    </row>
    <row r="1268" spans="1:11" x14ac:dyDescent="0.25">
      <c r="A1268" s="1">
        <v>1988</v>
      </c>
      <c r="B1268" s="1" t="s">
        <v>99</v>
      </c>
      <c r="C1268" t="s">
        <v>8</v>
      </c>
      <c r="D1268" s="1" t="s">
        <v>3</v>
      </c>
      <c r="E1268">
        <v>21</v>
      </c>
      <c r="F1268" s="1" t="s">
        <v>101</v>
      </c>
      <c r="G1268">
        <v>20</v>
      </c>
      <c r="H1268">
        <v>2</v>
      </c>
      <c r="I1268" s="2">
        <f t="shared" si="57"/>
        <v>4.3632</v>
      </c>
      <c r="J1268">
        <f t="shared" si="58"/>
        <v>0.16286674132138859</v>
      </c>
      <c r="K1268">
        <f t="shared" si="59"/>
        <v>0.11395142334813267</v>
      </c>
    </row>
    <row r="1269" spans="1:11" x14ac:dyDescent="0.25">
      <c r="A1269" s="1">
        <v>1988</v>
      </c>
      <c r="B1269" s="1" t="s">
        <v>99</v>
      </c>
      <c r="C1269" t="s">
        <v>8</v>
      </c>
      <c r="D1269" s="1" t="s">
        <v>3</v>
      </c>
      <c r="E1269">
        <v>29</v>
      </c>
      <c r="F1269" s="1" t="s">
        <v>101</v>
      </c>
      <c r="G1269">
        <v>6</v>
      </c>
      <c r="H1269">
        <v>3</v>
      </c>
      <c r="I1269" s="2">
        <f t="shared" si="57"/>
        <v>0.589032</v>
      </c>
      <c r="J1269">
        <f t="shared" si="58"/>
        <v>2.1987010078387458E-2</v>
      </c>
      <c r="K1269">
        <f t="shared" si="59"/>
        <v>1.538344215199791E-2</v>
      </c>
    </row>
    <row r="1270" spans="1:11" x14ac:dyDescent="0.25">
      <c r="A1270" s="1">
        <v>1988</v>
      </c>
      <c r="B1270" s="1" t="s">
        <v>99</v>
      </c>
      <c r="C1270" t="s">
        <v>8</v>
      </c>
      <c r="D1270" s="1" t="s">
        <v>3</v>
      </c>
      <c r="E1270">
        <v>29</v>
      </c>
      <c r="F1270" s="1" t="s">
        <v>101</v>
      </c>
      <c r="G1270">
        <v>8</v>
      </c>
      <c r="H1270">
        <v>1</v>
      </c>
      <c r="I1270" s="2">
        <f t="shared" si="57"/>
        <v>0.34905599999999998</v>
      </c>
      <c r="J1270">
        <f t="shared" si="58"/>
        <v>1.3029339305711086E-2</v>
      </c>
      <c r="K1270">
        <f t="shared" si="59"/>
        <v>9.1161138678506129E-3</v>
      </c>
    </row>
    <row r="1271" spans="1:11" x14ac:dyDescent="0.25">
      <c r="A1271" s="1">
        <v>1988</v>
      </c>
      <c r="B1271" s="1" t="s">
        <v>99</v>
      </c>
      <c r="C1271" t="s">
        <v>8</v>
      </c>
      <c r="D1271" s="1" t="s">
        <v>3</v>
      </c>
      <c r="E1271">
        <v>29</v>
      </c>
      <c r="F1271" s="1" t="s">
        <v>101</v>
      </c>
      <c r="G1271">
        <v>10</v>
      </c>
      <c r="H1271">
        <v>2</v>
      </c>
      <c r="I1271" s="2">
        <f t="shared" si="57"/>
        <v>1.0908</v>
      </c>
      <c r="J1271">
        <f t="shared" si="58"/>
        <v>4.0716685330347148E-2</v>
      </c>
      <c r="K1271">
        <f t="shared" si="59"/>
        <v>2.8487855837033168E-2</v>
      </c>
    </row>
    <row r="1272" spans="1:11" x14ac:dyDescent="0.25">
      <c r="A1272" s="1">
        <v>1988</v>
      </c>
      <c r="B1272" s="1" t="s">
        <v>99</v>
      </c>
      <c r="C1272" t="s">
        <v>8</v>
      </c>
      <c r="D1272" s="1" t="s">
        <v>3</v>
      </c>
      <c r="E1272">
        <v>29</v>
      </c>
      <c r="F1272" s="1" t="s">
        <v>101</v>
      </c>
      <c r="G1272">
        <v>12</v>
      </c>
      <c r="H1272">
        <v>1</v>
      </c>
      <c r="I1272" s="2">
        <f t="shared" si="57"/>
        <v>0.78537599999999996</v>
      </c>
      <c r="J1272">
        <f t="shared" si="58"/>
        <v>2.9316013437849942E-2</v>
      </c>
      <c r="K1272">
        <f t="shared" si="59"/>
        <v>2.0511256202663877E-2</v>
      </c>
    </row>
    <row r="1273" spans="1:11" x14ac:dyDescent="0.25">
      <c r="A1273" s="1">
        <v>1988</v>
      </c>
      <c r="B1273" s="1" t="s">
        <v>99</v>
      </c>
      <c r="C1273" t="s">
        <v>8</v>
      </c>
      <c r="D1273" s="1" t="s">
        <v>3</v>
      </c>
      <c r="E1273">
        <v>29</v>
      </c>
      <c r="F1273" s="1" t="s">
        <v>101</v>
      </c>
      <c r="G1273">
        <v>20</v>
      </c>
      <c r="H1273">
        <v>1</v>
      </c>
      <c r="I1273" s="2">
        <f t="shared" si="57"/>
        <v>2.1816</v>
      </c>
      <c r="J1273">
        <f t="shared" si="58"/>
        <v>8.1433370660694296E-2</v>
      </c>
      <c r="K1273">
        <f t="shared" si="59"/>
        <v>5.6975711674066336E-2</v>
      </c>
    </row>
    <row r="1274" spans="1:11" x14ac:dyDescent="0.25">
      <c r="A1274" s="1">
        <v>1988</v>
      </c>
      <c r="B1274" s="1" t="s">
        <v>99</v>
      </c>
      <c r="C1274" t="s">
        <v>8</v>
      </c>
      <c r="D1274" s="1" t="s">
        <v>3</v>
      </c>
      <c r="E1274">
        <v>32</v>
      </c>
      <c r="F1274" s="1" t="s">
        <v>101</v>
      </c>
      <c r="G1274">
        <v>6</v>
      </c>
      <c r="H1274">
        <v>2</v>
      </c>
      <c r="I1274" s="2">
        <f t="shared" si="57"/>
        <v>0.39268799999999998</v>
      </c>
      <c r="J1274">
        <f t="shared" si="58"/>
        <v>1.4658006718924971E-2</v>
      </c>
      <c r="K1274">
        <f t="shared" si="59"/>
        <v>1.0255628101331939E-2</v>
      </c>
    </row>
    <row r="1275" spans="1:11" x14ac:dyDescent="0.25">
      <c r="A1275" s="1">
        <v>1988</v>
      </c>
      <c r="B1275" s="1" t="s">
        <v>99</v>
      </c>
      <c r="C1275" t="s">
        <v>8</v>
      </c>
      <c r="D1275" s="1" t="s">
        <v>3</v>
      </c>
      <c r="E1275">
        <v>32</v>
      </c>
      <c r="F1275" s="1" t="s">
        <v>101</v>
      </c>
      <c r="G1275">
        <v>8</v>
      </c>
      <c r="H1275">
        <v>1</v>
      </c>
      <c r="I1275" s="2">
        <f t="shared" si="57"/>
        <v>0.34905599999999998</v>
      </c>
      <c r="J1275">
        <f t="shared" si="58"/>
        <v>1.3029339305711086E-2</v>
      </c>
      <c r="K1275">
        <f t="shared" si="59"/>
        <v>9.1161138678506129E-3</v>
      </c>
    </row>
    <row r="1276" spans="1:11" x14ac:dyDescent="0.25">
      <c r="A1276" s="1">
        <v>1988</v>
      </c>
      <c r="B1276" s="1" t="s">
        <v>99</v>
      </c>
      <c r="C1276" t="s">
        <v>8</v>
      </c>
      <c r="D1276" s="1" t="s">
        <v>3</v>
      </c>
      <c r="E1276">
        <v>32</v>
      </c>
      <c r="F1276" s="1" t="s">
        <v>101</v>
      </c>
      <c r="G1276">
        <v>18</v>
      </c>
      <c r="H1276">
        <v>2</v>
      </c>
      <c r="I1276" s="2">
        <f t="shared" si="57"/>
        <v>3.5341919999999996</v>
      </c>
      <c r="J1276">
        <f t="shared" si="58"/>
        <v>0.13192206047032473</v>
      </c>
      <c r="K1276">
        <f t="shared" si="59"/>
        <v>9.2300652911987441E-2</v>
      </c>
    </row>
    <row r="1277" spans="1:11" x14ac:dyDescent="0.25">
      <c r="A1277" s="1">
        <v>1988</v>
      </c>
      <c r="B1277" s="1" t="s">
        <v>99</v>
      </c>
      <c r="C1277" t="s">
        <v>8</v>
      </c>
      <c r="D1277" s="1" t="s">
        <v>3</v>
      </c>
      <c r="E1277">
        <v>32</v>
      </c>
      <c r="F1277" s="1" t="s">
        <v>101</v>
      </c>
      <c r="G1277">
        <v>20</v>
      </c>
      <c r="H1277">
        <v>1</v>
      </c>
      <c r="I1277" s="2">
        <f t="shared" si="57"/>
        <v>2.1816</v>
      </c>
      <c r="J1277">
        <f t="shared" si="58"/>
        <v>8.1433370660694296E-2</v>
      </c>
      <c r="K1277">
        <f t="shared" si="59"/>
        <v>5.6975711674066336E-2</v>
      </c>
    </row>
    <row r="1278" spans="1:11" x14ac:dyDescent="0.25">
      <c r="A1278" s="1">
        <v>1988</v>
      </c>
      <c r="B1278" s="1" t="s">
        <v>99</v>
      </c>
      <c r="C1278" t="s">
        <v>8</v>
      </c>
      <c r="D1278" s="1" t="s">
        <v>3</v>
      </c>
      <c r="E1278">
        <v>34</v>
      </c>
      <c r="F1278" s="1" t="s">
        <v>101</v>
      </c>
      <c r="G1278">
        <v>14</v>
      </c>
      <c r="H1278">
        <v>1</v>
      </c>
      <c r="I1278" s="2">
        <f t="shared" si="57"/>
        <v>1.0689839999999999</v>
      </c>
      <c r="J1278">
        <f t="shared" si="58"/>
        <v>3.9902351623740201E-2</v>
      </c>
      <c r="K1278">
        <f t="shared" si="59"/>
        <v>2.7918098720292502E-2</v>
      </c>
    </row>
    <row r="1279" spans="1:11" x14ac:dyDescent="0.25">
      <c r="A1279" s="1">
        <v>1988</v>
      </c>
      <c r="B1279" s="1" t="s">
        <v>99</v>
      </c>
      <c r="C1279" t="s">
        <v>8</v>
      </c>
      <c r="D1279" s="1" t="s">
        <v>3</v>
      </c>
      <c r="E1279">
        <v>34</v>
      </c>
      <c r="F1279" s="1" t="s">
        <v>101</v>
      </c>
      <c r="G1279">
        <v>18</v>
      </c>
      <c r="H1279">
        <v>34</v>
      </c>
      <c r="I1279" s="2">
        <f t="shared" si="57"/>
        <v>60.08126399999999</v>
      </c>
      <c r="J1279">
        <f t="shared" si="58"/>
        <v>2.2426750279955203</v>
      </c>
      <c r="K1279">
        <f t="shared" si="59"/>
        <v>1.5691110995037865</v>
      </c>
    </row>
    <row r="1280" spans="1:11" x14ac:dyDescent="0.25">
      <c r="A1280" s="1">
        <v>1988</v>
      </c>
      <c r="B1280" s="1" t="s">
        <v>99</v>
      </c>
      <c r="C1280" t="s">
        <v>8</v>
      </c>
      <c r="D1280" s="1" t="s">
        <v>3</v>
      </c>
      <c r="E1280">
        <v>34</v>
      </c>
      <c r="F1280" s="1" t="s">
        <v>101</v>
      </c>
      <c r="G1280">
        <v>20</v>
      </c>
      <c r="H1280">
        <v>18</v>
      </c>
      <c r="I1280" s="2">
        <f t="shared" si="57"/>
        <v>39.268799999999999</v>
      </c>
      <c r="J1280">
        <f t="shared" si="58"/>
        <v>1.4658006718924972</v>
      </c>
      <c r="K1280">
        <f t="shared" si="59"/>
        <v>1.0255628101331939</v>
      </c>
    </row>
    <row r="1281" spans="1:11" x14ac:dyDescent="0.25">
      <c r="A1281" s="1">
        <v>1988</v>
      </c>
      <c r="B1281" s="1" t="s">
        <v>99</v>
      </c>
      <c r="C1281" t="s">
        <v>8</v>
      </c>
      <c r="D1281" s="1" t="s">
        <v>3</v>
      </c>
      <c r="E1281">
        <v>34</v>
      </c>
      <c r="F1281" s="1" t="s">
        <v>101</v>
      </c>
      <c r="G1281">
        <v>22</v>
      </c>
      <c r="H1281">
        <v>1</v>
      </c>
      <c r="I1281" s="2">
        <f t="shared" si="57"/>
        <v>2.6397359999999996</v>
      </c>
      <c r="J1281">
        <f t="shared" si="58"/>
        <v>9.8534378499440078E-2</v>
      </c>
      <c r="K1281">
        <f t="shared" si="59"/>
        <v>6.8940611125620249E-2</v>
      </c>
    </row>
    <row r="1282" spans="1:11" x14ac:dyDescent="0.25">
      <c r="A1282" s="1">
        <v>1988</v>
      </c>
      <c r="B1282" s="1" t="s">
        <v>99</v>
      </c>
      <c r="C1282" t="s">
        <v>8</v>
      </c>
      <c r="D1282" s="1" t="s">
        <v>3</v>
      </c>
      <c r="E1282">
        <v>38</v>
      </c>
      <c r="F1282" s="1" t="s">
        <v>101</v>
      </c>
      <c r="G1282">
        <v>6</v>
      </c>
      <c r="H1282">
        <v>2</v>
      </c>
      <c r="I1282" s="2">
        <f t="shared" si="57"/>
        <v>0.39268799999999998</v>
      </c>
      <c r="J1282">
        <f t="shared" si="58"/>
        <v>1.4658006718924971E-2</v>
      </c>
      <c r="K1282">
        <f t="shared" si="59"/>
        <v>1.0255628101331939E-2</v>
      </c>
    </row>
    <row r="1283" spans="1:11" x14ac:dyDescent="0.25">
      <c r="A1283" s="1">
        <v>1988</v>
      </c>
      <c r="B1283" s="1" t="s">
        <v>99</v>
      </c>
      <c r="C1283" t="s">
        <v>8</v>
      </c>
      <c r="D1283" s="1" t="s">
        <v>3</v>
      </c>
      <c r="E1283">
        <v>38</v>
      </c>
      <c r="F1283" s="1" t="s">
        <v>101</v>
      </c>
      <c r="G1283">
        <v>8</v>
      </c>
      <c r="H1283">
        <v>1</v>
      </c>
      <c r="I1283" s="2">
        <f t="shared" ref="I1283:I1346" si="60">0.005454*G1283^2*H1283</f>
        <v>0.34905599999999998</v>
      </c>
      <c r="J1283">
        <f t="shared" ref="J1283:J1346" si="61">I1283/26.79</f>
        <v>1.3029339305711086E-2</v>
      </c>
      <c r="K1283">
        <f t="shared" ref="K1283:K1346" si="62">J1283*(26.79/38.29)</f>
        <v>9.1161138678506129E-3</v>
      </c>
    </row>
    <row r="1284" spans="1:11" x14ac:dyDescent="0.25">
      <c r="A1284" s="1">
        <v>1988</v>
      </c>
      <c r="B1284" s="1" t="s">
        <v>99</v>
      </c>
      <c r="C1284" t="s">
        <v>8</v>
      </c>
      <c r="D1284" s="1" t="s">
        <v>3</v>
      </c>
      <c r="E1284">
        <v>38</v>
      </c>
      <c r="F1284" s="1" t="s">
        <v>101</v>
      </c>
      <c r="G1284">
        <v>12</v>
      </c>
      <c r="H1284">
        <v>1</v>
      </c>
      <c r="I1284" s="2">
        <f t="shared" si="60"/>
        <v>0.78537599999999996</v>
      </c>
      <c r="J1284">
        <f t="shared" si="61"/>
        <v>2.9316013437849942E-2</v>
      </c>
      <c r="K1284">
        <f t="shared" si="62"/>
        <v>2.0511256202663877E-2</v>
      </c>
    </row>
    <row r="1285" spans="1:11" x14ac:dyDescent="0.25">
      <c r="A1285" s="1">
        <v>1988</v>
      </c>
      <c r="B1285" s="1" t="s">
        <v>99</v>
      </c>
      <c r="C1285" t="s">
        <v>8</v>
      </c>
      <c r="D1285" s="1" t="s">
        <v>3</v>
      </c>
      <c r="E1285">
        <v>38</v>
      </c>
      <c r="F1285" s="1" t="s">
        <v>101</v>
      </c>
      <c r="G1285">
        <v>14</v>
      </c>
      <c r="H1285">
        <v>3</v>
      </c>
      <c r="I1285" s="2">
        <f t="shared" si="60"/>
        <v>3.2069519999999998</v>
      </c>
      <c r="J1285">
        <f t="shared" si="61"/>
        <v>0.1197070548712206</v>
      </c>
      <c r="K1285">
        <f t="shared" si="62"/>
        <v>8.3754296160877512E-2</v>
      </c>
    </row>
    <row r="1286" spans="1:11" x14ac:dyDescent="0.25">
      <c r="A1286" s="1">
        <v>1988</v>
      </c>
      <c r="B1286" s="1" t="s">
        <v>99</v>
      </c>
      <c r="C1286" t="s">
        <v>8</v>
      </c>
      <c r="D1286" s="1" t="s">
        <v>3</v>
      </c>
      <c r="E1286">
        <v>38</v>
      </c>
      <c r="F1286" s="1" t="s">
        <v>101</v>
      </c>
      <c r="G1286">
        <v>16</v>
      </c>
      <c r="H1286">
        <v>3</v>
      </c>
      <c r="I1286" s="2">
        <f t="shared" si="60"/>
        <v>4.1886719999999995</v>
      </c>
      <c r="J1286">
        <f t="shared" si="61"/>
        <v>0.15635207166853302</v>
      </c>
      <c r="K1286">
        <f t="shared" si="62"/>
        <v>0.10939336641420734</v>
      </c>
    </row>
    <row r="1287" spans="1:11" x14ac:dyDescent="0.25">
      <c r="A1287" s="1">
        <v>1988</v>
      </c>
      <c r="B1287" s="1" t="s">
        <v>99</v>
      </c>
      <c r="C1287" t="s">
        <v>8</v>
      </c>
      <c r="D1287" s="1" t="s">
        <v>3</v>
      </c>
      <c r="E1287">
        <v>38</v>
      </c>
      <c r="F1287" s="1" t="s">
        <v>101</v>
      </c>
      <c r="G1287">
        <v>18</v>
      </c>
      <c r="H1287">
        <v>42</v>
      </c>
      <c r="I1287" s="2">
        <f t="shared" si="60"/>
        <v>74.218031999999994</v>
      </c>
      <c r="J1287">
        <f t="shared" si="61"/>
        <v>2.7703632698768197</v>
      </c>
      <c r="K1287">
        <f t="shared" si="62"/>
        <v>1.9383137111517366</v>
      </c>
    </row>
    <row r="1288" spans="1:11" x14ac:dyDescent="0.25">
      <c r="A1288" s="1">
        <v>1988</v>
      </c>
      <c r="B1288" s="1" t="s">
        <v>99</v>
      </c>
      <c r="C1288" t="s">
        <v>8</v>
      </c>
      <c r="D1288" s="1" t="s">
        <v>3</v>
      </c>
      <c r="E1288">
        <v>38</v>
      </c>
      <c r="F1288" s="1" t="s">
        <v>101</v>
      </c>
      <c r="G1288">
        <v>20</v>
      </c>
      <c r="H1288">
        <v>14</v>
      </c>
      <c r="I1288" s="2">
        <f t="shared" si="60"/>
        <v>30.542400000000001</v>
      </c>
      <c r="J1288">
        <f t="shared" si="61"/>
        <v>1.1400671892497201</v>
      </c>
      <c r="K1288">
        <f t="shared" si="62"/>
        <v>0.79765996343692869</v>
      </c>
    </row>
    <row r="1289" spans="1:11" x14ac:dyDescent="0.25">
      <c r="A1289" s="1">
        <v>1988</v>
      </c>
      <c r="B1289" s="1" t="s">
        <v>99</v>
      </c>
      <c r="C1289" t="s">
        <v>8</v>
      </c>
      <c r="D1289" s="1" t="s">
        <v>3</v>
      </c>
      <c r="E1289">
        <v>38</v>
      </c>
      <c r="F1289" s="1" t="s">
        <v>101</v>
      </c>
      <c r="G1289">
        <v>22</v>
      </c>
      <c r="H1289">
        <v>5</v>
      </c>
      <c r="I1289" s="2">
        <f t="shared" si="60"/>
        <v>13.198679999999998</v>
      </c>
      <c r="J1289">
        <f t="shared" si="61"/>
        <v>0.49267189249720039</v>
      </c>
      <c r="K1289">
        <f t="shared" si="62"/>
        <v>0.34470305562810127</v>
      </c>
    </row>
    <row r="1290" spans="1:11" x14ac:dyDescent="0.25">
      <c r="A1290" s="1">
        <v>1988</v>
      </c>
      <c r="B1290" s="1" t="s">
        <v>99</v>
      </c>
      <c r="C1290" t="s">
        <v>8</v>
      </c>
      <c r="D1290" s="1" t="s">
        <v>3</v>
      </c>
      <c r="E1290">
        <v>40</v>
      </c>
      <c r="F1290" s="1" t="s">
        <v>101</v>
      </c>
      <c r="G1290">
        <v>6</v>
      </c>
      <c r="H1290">
        <v>6</v>
      </c>
      <c r="I1290" s="2">
        <f t="shared" si="60"/>
        <v>1.178064</v>
      </c>
      <c r="J1290">
        <f t="shared" si="61"/>
        <v>4.3974020156774915E-2</v>
      </c>
      <c r="K1290">
        <f t="shared" si="62"/>
        <v>3.0766884303995819E-2</v>
      </c>
    </row>
    <row r="1291" spans="1:11" x14ac:dyDescent="0.25">
      <c r="A1291" s="1">
        <v>1988</v>
      </c>
      <c r="B1291" s="1" t="s">
        <v>99</v>
      </c>
      <c r="C1291" t="s">
        <v>8</v>
      </c>
      <c r="D1291" s="1" t="s">
        <v>3</v>
      </c>
      <c r="E1291">
        <v>40</v>
      </c>
      <c r="F1291" s="1" t="s">
        <v>101</v>
      </c>
      <c r="G1291">
        <v>8</v>
      </c>
      <c r="H1291">
        <v>4</v>
      </c>
      <c r="I1291" s="2">
        <f t="shared" si="60"/>
        <v>1.3962239999999999</v>
      </c>
      <c r="J1291">
        <f t="shared" si="61"/>
        <v>5.2117357222844343E-2</v>
      </c>
      <c r="K1291">
        <f t="shared" si="62"/>
        <v>3.6464455471402452E-2</v>
      </c>
    </row>
    <row r="1292" spans="1:11" x14ac:dyDescent="0.25">
      <c r="A1292" s="1">
        <v>1988</v>
      </c>
      <c r="B1292" s="1" t="s">
        <v>99</v>
      </c>
      <c r="C1292" t="s">
        <v>8</v>
      </c>
      <c r="D1292" s="1" t="s">
        <v>3</v>
      </c>
      <c r="E1292">
        <v>40</v>
      </c>
      <c r="F1292" s="1" t="s">
        <v>101</v>
      </c>
      <c r="G1292">
        <v>10</v>
      </c>
      <c r="H1292">
        <v>2</v>
      </c>
      <c r="I1292" s="2">
        <f t="shared" si="60"/>
        <v>1.0908</v>
      </c>
      <c r="J1292">
        <f t="shared" si="61"/>
        <v>4.0716685330347148E-2</v>
      </c>
      <c r="K1292">
        <f t="shared" si="62"/>
        <v>2.8487855837033168E-2</v>
      </c>
    </row>
    <row r="1293" spans="1:11" x14ac:dyDescent="0.25">
      <c r="A1293" s="1">
        <v>1988</v>
      </c>
      <c r="B1293" s="1" t="s">
        <v>99</v>
      </c>
      <c r="C1293" t="s">
        <v>8</v>
      </c>
      <c r="D1293" s="1" t="s">
        <v>3</v>
      </c>
      <c r="E1293">
        <v>40</v>
      </c>
      <c r="F1293" s="1" t="s">
        <v>101</v>
      </c>
      <c r="G1293">
        <v>14</v>
      </c>
      <c r="H1293">
        <v>1</v>
      </c>
      <c r="I1293" s="2">
        <f t="shared" si="60"/>
        <v>1.0689839999999999</v>
      </c>
      <c r="J1293">
        <f t="shared" si="61"/>
        <v>3.9902351623740201E-2</v>
      </c>
      <c r="K1293">
        <f t="shared" si="62"/>
        <v>2.7918098720292502E-2</v>
      </c>
    </row>
    <row r="1294" spans="1:11" x14ac:dyDescent="0.25">
      <c r="A1294" s="1">
        <v>1988</v>
      </c>
      <c r="B1294" s="1" t="s">
        <v>99</v>
      </c>
      <c r="C1294" t="s">
        <v>8</v>
      </c>
      <c r="D1294" s="1" t="s">
        <v>3</v>
      </c>
      <c r="E1294">
        <v>40</v>
      </c>
      <c r="F1294" s="1" t="s">
        <v>101</v>
      </c>
      <c r="G1294">
        <v>18</v>
      </c>
      <c r="H1294">
        <v>82</v>
      </c>
      <c r="I1294" s="2">
        <f t="shared" si="60"/>
        <v>144.90187199999997</v>
      </c>
      <c r="J1294">
        <f t="shared" si="61"/>
        <v>5.4088044792833134</v>
      </c>
      <c r="K1294">
        <f t="shared" si="62"/>
        <v>3.7843267693914848</v>
      </c>
    </row>
    <row r="1295" spans="1:11" x14ac:dyDescent="0.25">
      <c r="A1295" s="1">
        <v>1988</v>
      </c>
      <c r="B1295" s="1" t="s">
        <v>99</v>
      </c>
      <c r="C1295" t="s">
        <v>8</v>
      </c>
      <c r="D1295" s="1" t="s">
        <v>3</v>
      </c>
      <c r="E1295">
        <v>40</v>
      </c>
      <c r="F1295" s="1" t="s">
        <v>101</v>
      </c>
      <c r="G1295">
        <v>20</v>
      </c>
      <c r="H1295">
        <v>68</v>
      </c>
      <c r="I1295" s="2">
        <f t="shared" si="60"/>
        <v>148.34880000000001</v>
      </c>
      <c r="J1295">
        <f t="shared" si="61"/>
        <v>5.5374692049272118</v>
      </c>
      <c r="K1295">
        <f t="shared" si="62"/>
        <v>3.8743483938365109</v>
      </c>
    </row>
    <row r="1296" spans="1:11" x14ac:dyDescent="0.25">
      <c r="A1296" s="1">
        <v>1988</v>
      </c>
      <c r="B1296" s="1" t="s">
        <v>99</v>
      </c>
      <c r="C1296" t="s">
        <v>8</v>
      </c>
      <c r="D1296" s="1" t="s">
        <v>3</v>
      </c>
      <c r="E1296">
        <v>40</v>
      </c>
      <c r="F1296" s="1" t="s">
        <v>101</v>
      </c>
      <c r="G1296">
        <v>22</v>
      </c>
      <c r="H1296">
        <v>32</v>
      </c>
      <c r="I1296" s="2">
        <f t="shared" si="60"/>
        <v>84.471551999999988</v>
      </c>
      <c r="J1296">
        <f t="shared" si="61"/>
        <v>3.1531001119820825</v>
      </c>
      <c r="K1296">
        <f t="shared" si="62"/>
        <v>2.206099556019848</v>
      </c>
    </row>
    <row r="1297" spans="1:11" x14ac:dyDescent="0.25">
      <c r="A1297" s="1">
        <v>1988</v>
      </c>
      <c r="B1297" s="1" t="s">
        <v>99</v>
      </c>
      <c r="C1297" t="s">
        <v>8</v>
      </c>
      <c r="D1297" s="1" t="s">
        <v>3</v>
      </c>
      <c r="E1297">
        <v>40</v>
      </c>
      <c r="F1297" s="1" t="s">
        <v>101</v>
      </c>
      <c r="G1297">
        <v>24</v>
      </c>
      <c r="H1297">
        <v>3</v>
      </c>
      <c r="I1297" s="2">
        <f t="shared" si="60"/>
        <v>9.424512</v>
      </c>
      <c r="J1297">
        <f t="shared" si="61"/>
        <v>0.35179216125419932</v>
      </c>
      <c r="K1297">
        <f t="shared" si="62"/>
        <v>0.24613507443196656</v>
      </c>
    </row>
    <row r="1298" spans="1:11" x14ac:dyDescent="0.25">
      <c r="A1298" s="1">
        <v>1988</v>
      </c>
      <c r="B1298" s="1" t="s">
        <v>99</v>
      </c>
      <c r="C1298" t="s">
        <v>8</v>
      </c>
      <c r="D1298" s="1" t="s">
        <v>3</v>
      </c>
      <c r="E1298">
        <v>40</v>
      </c>
      <c r="F1298" s="1" t="s">
        <v>101</v>
      </c>
      <c r="G1298">
        <v>26</v>
      </c>
      <c r="H1298">
        <v>1</v>
      </c>
      <c r="I1298" s="2">
        <f t="shared" si="60"/>
        <v>3.6869039999999997</v>
      </c>
      <c r="J1298">
        <f t="shared" si="61"/>
        <v>0.13762239641657334</v>
      </c>
      <c r="K1298">
        <f t="shared" si="62"/>
        <v>9.6288952729172095E-2</v>
      </c>
    </row>
    <row r="1299" spans="1:11" x14ac:dyDescent="0.25">
      <c r="A1299" s="1">
        <v>1988</v>
      </c>
      <c r="B1299" s="1" t="s">
        <v>99</v>
      </c>
      <c r="C1299" t="s">
        <v>8</v>
      </c>
      <c r="D1299" s="1" t="s">
        <v>3</v>
      </c>
      <c r="E1299">
        <v>41</v>
      </c>
      <c r="F1299" s="1" t="s">
        <v>101</v>
      </c>
      <c r="G1299">
        <v>12</v>
      </c>
      <c r="H1299">
        <v>1</v>
      </c>
      <c r="I1299" s="2">
        <f t="shared" si="60"/>
        <v>0.78537599999999996</v>
      </c>
      <c r="J1299">
        <f t="shared" si="61"/>
        <v>2.9316013437849942E-2</v>
      </c>
      <c r="K1299">
        <f t="shared" si="62"/>
        <v>2.0511256202663877E-2</v>
      </c>
    </row>
    <row r="1300" spans="1:11" x14ac:dyDescent="0.25">
      <c r="A1300" s="1">
        <v>1988</v>
      </c>
      <c r="B1300" s="1" t="s">
        <v>99</v>
      </c>
      <c r="C1300" t="s">
        <v>8</v>
      </c>
      <c r="D1300" s="1" t="s">
        <v>3</v>
      </c>
      <c r="E1300">
        <v>41</v>
      </c>
      <c r="F1300" s="1" t="s">
        <v>101</v>
      </c>
      <c r="G1300">
        <v>14</v>
      </c>
      <c r="H1300">
        <v>1</v>
      </c>
      <c r="I1300" s="2">
        <f t="shared" si="60"/>
        <v>1.0689839999999999</v>
      </c>
      <c r="J1300">
        <f t="shared" si="61"/>
        <v>3.9902351623740201E-2</v>
      </c>
      <c r="K1300">
        <f t="shared" si="62"/>
        <v>2.7918098720292502E-2</v>
      </c>
    </row>
    <row r="1301" spans="1:11" x14ac:dyDescent="0.25">
      <c r="A1301" s="1">
        <v>1988</v>
      </c>
      <c r="B1301" s="1" t="s">
        <v>99</v>
      </c>
      <c r="C1301" t="s">
        <v>8</v>
      </c>
      <c r="D1301" s="1" t="s">
        <v>3</v>
      </c>
      <c r="E1301">
        <v>41</v>
      </c>
      <c r="F1301" s="1" t="s">
        <v>101</v>
      </c>
      <c r="G1301">
        <v>18</v>
      </c>
      <c r="H1301">
        <v>6</v>
      </c>
      <c r="I1301" s="2">
        <f t="shared" si="60"/>
        <v>10.602575999999999</v>
      </c>
      <c r="J1301">
        <f t="shared" si="61"/>
        <v>0.39576618141097425</v>
      </c>
      <c r="K1301">
        <f t="shared" si="62"/>
        <v>0.27690195873596235</v>
      </c>
    </row>
    <row r="1302" spans="1:11" x14ac:dyDescent="0.25">
      <c r="A1302" s="1">
        <v>1988</v>
      </c>
      <c r="B1302" s="1" t="s">
        <v>99</v>
      </c>
      <c r="C1302" t="s">
        <v>8</v>
      </c>
      <c r="D1302" s="1" t="s">
        <v>3</v>
      </c>
      <c r="E1302">
        <v>41</v>
      </c>
      <c r="F1302" s="1" t="s">
        <v>101</v>
      </c>
      <c r="G1302">
        <v>20</v>
      </c>
      <c r="H1302">
        <v>1</v>
      </c>
      <c r="I1302" s="2">
        <f t="shared" si="60"/>
        <v>2.1816</v>
      </c>
      <c r="J1302">
        <f t="shared" si="61"/>
        <v>8.1433370660694296E-2</v>
      </c>
      <c r="K1302">
        <f t="shared" si="62"/>
        <v>5.6975711674066336E-2</v>
      </c>
    </row>
    <row r="1303" spans="1:11" x14ac:dyDescent="0.25">
      <c r="A1303" s="1">
        <v>1988</v>
      </c>
      <c r="B1303" s="1" t="s">
        <v>99</v>
      </c>
      <c r="C1303" t="s">
        <v>8</v>
      </c>
      <c r="D1303" s="1" t="s">
        <v>3</v>
      </c>
      <c r="E1303">
        <v>41</v>
      </c>
      <c r="F1303" s="1" t="s">
        <v>101</v>
      </c>
      <c r="G1303">
        <v>22</v>
      </c>
      <c r="H1303">
        <v>2</v>
      </c>
      <c r="I1303" s="2">
        <f t="shared" si="60"/>
        <v>5.2794719999999993</v>
      </c>
      <c r="J1303">
        <f t="shared" si="61"/>
        <v>0.19706875699888016</v>
      </c>
      <c r="K1303">
        <f t="shared" si="62"/>
        <v>0.1378812222512405</v>
      </c>
    </row>
    <row r="1304" spans="1:11" x14ac:dyDescent="0.25">
      <c r="A1304" s="1">
        <v>1988</v>
      </c>
      <c r="B1304" s="1" t="s">
        <v>99</v>
      </c>
      <c r="C1304" t="s">
        <v>8</v>
      </c>
      <c r="D1304" s="1" t="s">
        <v>3</v>
      </c>
      <c r="E1304">
        <v>41</v>
      </c>
      <c r="F1304" s="1" t="s">
        <v>101</v>
      </c>
      <c r="G1304">
        <v>24</v>
      </c>
      <c r="H1304">
        <v>1</v>
      </c>
      <c r="I1304" s="2">
        <f t="shared" si="60"/>
        <v>3.1415039999999999</v>
      </c>
      <c r="J1304">
        <f t="shared" si="61"/>
        <v>0.11726405375139977</v>
      </c>
      <c r="K1304">
        <f t="shared" si="62"/>
        <v>8.2045024810655509E-2</v>
      </c>
    </row>
    <row r="1305" spans="1:11" x14ac:dyDescent="0.25">
      <c r="A1305" s="1">
        <v>1988</v>
      </c>
      <c r="B1305" s="1" t="s">
        <v>99</v>
      </c>
      <c r="C1305" t="s">
        <v>8</v>
      </c>
      <c r="D1305" s="1" t="s">
        <v>3</v>
      </c>
      <c r="E1305">
        <v>47</v>
      </c>
      <c r="F1305" s="1" t="s">
        <v>101</v>
      </c>
      <c r="G1305">
        <v>12</v>
      </c>
      <c r="H1305">
        <v>1</v>
      </c>
      <c r="I1305" s="2">
        <f t="shared" si="60"/>
        <v>0.78537599999999996</v>
      </c>
      <c r="J1305">
        <f t="shared" si="61"/>
        <v>2.9316013437849942E-2</v>
      </c>
      <c r="K1305">
        <f t="shared" si="62"/>
        <v>2.0511256202663877E-2</v>
      </c>
    </row>
    <row r="1306" spans="1:11" x14ac:dyDescent="0.25">
      <c r="A1306" s="1">
        <v>1988</v>
      </c>
      <c r="B1306" s="1" t="s">
        <v>99</v>
      </c>
      <c r="C1306" t="s">
        <v>8</v>
      </c>
      <c r="D1306" s="1" t="s">
        <v>3</v>
      </c>
      <c r="E1306">
        <v>47</v>
      </c>
      <c r="F1306" s="1" t="s">
        <v>101</v>
      </c>
      <c r="G1306">
        <v>18</v>
      </c>
      <c r="H1306">
        <v>3</v>
      </c>
      <c r="I1306" s="2">
        <f t="shared" si="60"/>
        <v>5.3012879999999996</v>
      </c>
      <c r="J1306">
        <f t="shared" si="61"/>
        <v>0.19788309070548712</v>
      </c>
      <c r="K1306">
        <f t="shared" si="62"/>
        <v>0.13845097936798118</v>
      </c>
    </row>
    <row r="1307" spans="1:11" x14ac:dyDescent="0.25">
      <c r="A1307" s="1">
        <v>1988</v>
      </c>
      <c r="B1307" s="1" t="s">
        <v>99</v>
      </c>
      <c r="C1307" t="s">
        <v>8</v>
      </c>
      <c r="D1307" s="1" t="s">
        <v>3</v>
      </c>
      <c r="E1307">
        <v>47</v>
      </c>
      <c r="F1307" s="1" t="s">
        <v>101</v>
      </c>
      <c r="G1307">
        <v>20</v>
      </c>
      <c r="H1307">
        <v>1</v>
      </c>
      <c r="I1307" s="2">
        <f t="shared" si="60"/>
        <v>2.1816</v>
      </c>
      <c r="J1307">
        <f t="shared" si="61"/>
        <v>8.1433370660694296E-2</v>
      </c>
      <c r="K1307">
        <f t="shared" si="62"/>
        <v>5.6975711674066336E-2</v>
      </c>
    </row>
    <row r="1308" spans="1:11" x14ac:dyDescent="0.25">
      <c r="A1308" s="1">
        <v>1988</v>
      </c>
      <c r="B1308" s="1" t="s">
        <v>99</v>
      </c>
      <c r="C1308" t="s">
        <v>8</v>
      </c>
      <c r="D1308" s="1" t="s">
        <v>3</v>
      </c>
      <c r="E1308">
        <v>47</v>
      </c>
      <c r="F1308" s="1" t="s">
        <v>101</v>
      </c>
      <c r="G1308">
        <v>22</v>
      </c>
      <c r="H1308">
        <v>1</v>
      </c>
      <c r="I1308" s="2">
        <f t="shared" si="60"/>
        <v>2.6397359999999996</v>
      </c>
      <c r="J1308">
        <f t="shared" si="61"/>
        <v>9.8534378499440078E-2</v>
      </c>
      <c r="K1308">
        <f t="shared" si="62"/>
        <v>6.8940611125620249E-2</v>
      </c>
    </row>
    <row r="1309" spans="1:11" x14ac:dyDescent="0.25">
      <c r="A1309" s="1">
        <v>1988</v>
      </c>
      <c r="B1309" s="1" t="s">
        <v>99</v>
      </c>
      <c r="C1309" t="s">
        <v>8</v>
      </c>
      <c r="D1309" s="1" t="s">
        <v>3</v>
      </c>
      <c r="E1309">
        <v>53</v>
      </c>
      <c r="F1309" s="1" t="s">
        <v>101</v>
      </c>
      <c r="G1309">
        <v>16</v>
      </c>
      <c r="H1309">
        <v>1</v>
      </c>
      <c r="I1309" s="2">
        <f t="shared" si="60"/>
        <v>1.3962239999999999</v>
      </c>
      <c r="J1309">
        <f t="shared" si="61"/>
        <v>5.2117357222844343E-2</v>
      </c>
      <c r="K1309">
        <f t="shared" si="62"/>
        <v>3.6464455471402452E-2</v>
      </c>
    </row>
    <row r="1310" spans="1:11" x14ac:dyDescent="0.25">
      <c r="A1310" s="1">
        <v>1988</v>
      </c>
      <c r="B1310" s="1" t="s">
        <v>99</v>
      </c>
      <c r="C1310" t="s">
        <v>8</v>
      </c>
      <c r="D1310" s="1" t="s">
        <v>3</v>
      </c>
      <c r="E1310">
        <v>53</v>
      </c>
      <c r="F1310" s="1" t="s">
        <v>101</v>
      </c>
      <c r="G1310">
        <v>18</v>
      </c>
      <c r="H1310">
        <v>4</v>
      </c>
      <c r="I1310" s="2">
        <f t="shared" si="60"/>
        <v>7.0683839999999991</v>
      </c>
      <c r="J1310">
        <f t="shared" si="61"/>
        <v>0.26384412094064946</v>
      </c>
      <c r="K1310">
        <f t="shared" si="62"/>
        <v>0.18460130582397488</v>
      </c>
    </row>
    <row r="1311" spans="1:11" x14ac:dyDescent="0.25">
      <c r="A1311" s="1">
        <v>1988</v>
      </c>
      <c r="B1311" s="1" t="s">
        <v>99</v>
      </c>
      <c r="C1311" t="s">
        <v>8</v>
      </c>
      <c r="D1311" s="1" t="s">
        <v>3</v>
      </c>
      <c r="E1311">
        <v>53</v>
      </c>
      <c r="F1311" s="1" t="s">
        <v>101</v>
      </c>
      <c r="G1311">
        <v>20</v>
      </c>
      <c r="H1311">
        <v>1</v>
      </c>
      <c r="I1311" s="2">
        <f t="shared" si="60"/>
        <v>2.1816</v>
      </c>
      <c r="J1311">
        <f t="shared" si="61"/>
        <v>8.1433370660694296E-2</v>
      </c>
      <c r="K1311">
        <f t="shared" si="62"/>
        <v>5.6975711674066336E-2</v>
      </c>
    </row>
    <row r="1312" spans="1:11" x14ac:dyDescent="0.25">
      <c r="A1312" s="1">
        <v>1988</v>
      </c>
      <c r="B1312" s="1" t="s">
        <v>99</v>
      </c>
      <c r="C1312" t="s">
        <v>8</v>
      </c>
      <c r="D1312" s="1" t="s">
        <v>3</v>
      </c>
      <c r="E1312">
        <v>54</v>
      </c>
      <c r="F1312" s="1" t="s">
        <v>101</v>
      </c>
      <c r="G1312">
        <v>8</v>
      </c>
      <c r="H1312">
        <v>1</v>
      </c>
      <c r="I1312" s="2">
        <f t="shared" si="60"/>
        <v>0.34905599999999998</v>
      </c>
      <c r="J1312">
        <f t="shared" si="61"/>
        <v>1.3029339305711086E-2</v>
      </c>
      <c r="K1312">
        <f t="shared" si="62"/>
        <v>9.1161138678506129E-3</v>
      </c>
    </row>
    <row r="1313" spans="1:11" x14ac:dyDescent="0.25">
      <c r="A1313" s="1">
        <v>1988</v>
      </c>
      <c r="B1313" s="1" t="s">
        <v>99</v>
      </c>
      <c r="C1313" t="s">
        <v>8</v>
      </c>
      <c r="D1313" s="1" t="s">
        <v>3</v>
      </c>
      <c r="E1313">
        <v>54</v>
      </c>
      <c r="F1313" s="1" t="s">
        <v>101</v>
      </c>
      <c r="G1313">
        <v>12</v>
      </c>
      <c r="H1313">
        <v>1</v>
      </c>
      <c r="I1313" s="2">
        <f t="shared" si="60"/>
        <v>0.78537599999999996</v>
      </c>
      <c r="J1313">
        <f t="shared" si="61"/>
        <v>2.9316013437849942E-2</v>
      </c>
      <c r="K1313">
        <f t="shared" si="62"/>
        <v>2.0511256202663877E-2</v>
      </c>
    </row>
    <row r="1314" spans="1:11" x14ac:dyDescent="0.25">
      <c r="A1314" s="1">
        <v>1988</v>
      </c>
      <c r="B1314" s="1" t="s">
        <v>99</v>
      </c>
      <c r="C1314" t="s">
        <v>8</v>
      </c>
      <c r="D1314" s="1" t="s">
        <v>3</v>
      </c>
      <c r="E1314">
        <v>56</v>
      </c>
      <c r="F1314" s="1" t="s">
        <v>101</v>
      </c>
      <c r="G1314">
        <v>6</v>
      </c>
      <c r="H1314">
        <v>7</v>
      </c>
      <c r="I1314" s="2">
        <f t="shared" si="60"/>
        <v>1.3744079999999999</v>
      </c>
      <c r="J1314">
        <f t="shared" si="61"/>
        <v>5.1303023516237396E-2</v>
      </c>
      <c r="K1314">
        <f t="shared" si="62"/>
        <v>3.5894698354661782E-2</v>
      </c>
    </row>
    <row r="1315" spans="1:11" x14ac:dyDescent="0.25">
      <c r="A1315" s="1">
        <v>1988</v>
      </c>
      <c r="B1315" s="1" t="s">
        <v>99</v>
      </c>
      <c r="C1315" t="s">
        <v>8</v>
      </c>
      <c r="D1315" s="1" t="s">
        <v>3</v>
      </c>
      <c r="E1315">
        <v>56</v>
      </c>
      <c r="F1315" s="1" t="s">
        <v>101</v>
      </c>
      <c r="G1315">
        <v>8</v>
      </c>
      <c r="H1315">
        <v>3</v>
      </c>
      <c r="I1315" s="2">
        <f t="shared" si="60"/>
        <v>1.0471679999999999</v>
      </c>
      <c r="J1315">
        <f t="shared" si="61"/>
        <v>3.9088017917133254E-2</v>
      </c>
      <c r="K1315">
        <f t="shared" si="62"/>
        <v>2.7348341603551835E-2</v>
      </c>
    </row>
    <row r="1316" spans="1:11" x14ac:dyDescent="0.25">
      <c r="A1316" s="1">
        <v>1988</v>
      </c>
      <c r="B1316" s="1" t="s">
        <v>99</v>
      </c>
      <c r="C1316" t="s">
        <v>8</v>
      </c>
      <c r="D1316" s="1" t="s">
        <v>3</v>
      </c>
      <c r="E1316">
        <v>56</v>
      </c>
      <c r="F1316" s="1" t="s">
        <v>101</v>
      </c>
      <c r="G1316">
        <v>10</v>
      </c>
      <c r="H1316">
        <v>2</v>
      </c>
      <c r="I1316" s="2">
        <f t="shared" si="60"/>
        <v>1.0908</v>
      </c>
      <c r="J1316">
        <f t="shared" si="61"/>
        <v>4.0716685330347148E-2</v>
      </c>
      <c r="K1316">
        <f t="shared" si="62"/>
        <v>2.8487855837033168E-2</v>
      </c>
    </row>
    <row r="1317" spans="1:11" x14ac:dyDescent="0.25">
      <c r="A1317" s="1">
        <v>1988</v>
      </c>
      <c r="B1317" s="1" t="s">
        <v>99</v>
      </c>
      <c r="C1317" t="s">
        <v>8</v>
      </c>
      <c r="D1317" s="1" t="s">
        <v>3</v>
      </c>
      <c r="E1317">
        <v>56</v>
      </c>
      <c r="F1317" s="1" t="s">
        <v>101</v>
      </c>
      <c r="G1317">
        <v>12</v>
      </c>
      <c r="H1317">
        <v>1</v>
      </c>
      <c r="I1317" s="2">
        <f t="shared" si="60"/>
        <v>0.78537599999999996</v>
      </c>
      <c r="J1317">
        <f t="shared" si="61"/>
        <v>2.9316013437849942E-2</v>
      </c>
      <c r="K1317">
        <f t="shared" si="62"/>
        <v>2.0511256202663877E-2</v>
      </c>
    </row>
    <row r="1318" spans="1:11" x14ac:dyDescent="0.25">
      <c r="A1318" s="1">
        <v>1988</v>
      </c>
      <c r="B1318" s="1" t="s">
        <v>99</v>
      </c>
      <c r="C1318" t="s">
        <v>8</v>
      </c>
      <c r="D1318" s="1" t="s">
        <v>3</v>
      </c>
      <c r="E1318">
        <v>56</v>
      </c>
      <c r="F1318" s="1" t="s">
        <v>101</v>
      </c>
      <c r="G1318">
        <v>16</v>
      </c>
      <c r="H1318">
        <v>1</v>
      </c>
      <c r="I1318" s="2">
        <f t="shared" si="60"/>
        <v>1.3962239999999999</v>
      </c>
      <c r="J1318">
        <f t="shared" si="61"/>
        <v>5.2117357222844343E-2</v>
      </c>
      <c r="K1318">
        <f t="shared" si="62"/>
        <v>3.6464455471402452E-2</v>
      </c>
    </row>
    <row r="1319" spans="1:11" x14ac:dyDescent="0.25">
      <c r="A1319" s="1">
        <v>1988</v>
      </c>
      <c r="B1319" s="1" t="s">
        <v>99</v>
      </c>
      <c r="C1319" t="s">
        <v>8</v>
      </c>
      <c r="D1319" s="1" t="s">
        <v>3</v>
      </c>
      <c r="E1319">
        <v>56</v>
      </c>
      <c r="F1319" s="1" t="s">
        <v>101</v>
      </c>
      <c r="G1319">
        <v>18</v>
      </c>
      <c r="H1319">
        <v>23</v>
      </c>
      <c r="I1319" s="2">
        <f t="shared" si="60"/>
        <v>40.643207999999994</v>
      </c>
      <c r="J1319">
        <f t="shared" si="61"/>
        <v>1.5171036954087345</v>
      </c>
      <c r="K1319">
        <f t="shared" si="62"/>
        <v>1.0614575084878557</v>
      </c>
    </row>
    <row r="1320" spans="1:11" x14ac:dyDescent="0.25">
      <c r="A1320" s="1">
        <v>1988</v>
      </c>
      <c r="B1320" s="1" t="s">
        <v>99</v>
      </c>
      <c r="C1320" t="s">
        <v>8</v>
      </c>
      <c r="D1320" s="1" t="s">
        <v>3</v>
      </c>
      <c r="E1320">
        <v>56</v>
      </c>
      <c r="F1320" s="1" t="s">
        <v>101</v>
      </c>
      <c r="G1320">
        <v>20</v>
      </c>
      <c r="H1320">
        <v>12</v>
      </c>
      <c r="I1320" s="2">
        <f t="shared" si="60"/>
        <v>26.179200000000002</v>
      </c>
      <c r="J1320">
        <f t="shared" si="61"/>
        <v>0.97720044792833161</v>
      </c>
      <c r="K1320">
        <f t="shared" si="62"/>
        <v>0.68370854008879611</v>
      </c>
    </row>
    <row r="1321" spans="1:11" x14ac:dyDescent="0.25">
      <c r="A1321" s="1">
        <v>1988</v>
      </c>
      <c r="B1321" s="1" t="s">
        <v>99</v>
      </c>
      <c r="C1321" t="s">
        <v>8</v>
      </c>
      <c r="D1321" s="1" t="s">
        <v>3</v>
      </c>
      <c r="E1321">
        <v>56</v>
      </c>
      <c r="F1321" s="1" t="s">
        <v>101</v>
      </c>
      <c r="G1321">
        <v>22</v>
      </c>
      <c r="H1321">
        <v>8</v>
      </c>
      <c r="I1321" s="2">
        <f t="shared" si="60"/>
        <v>21.117887999999997</v>
      </c>
      <c r="J1321">
        <f t="shared" si="61"/>
        <v>0.78827502799552063</v>
      </c>
      <c r="K1321">
        <f t="shared" si="62"/>
        <v>0.55152488900496199</v>
      </c>
    </row>
    <row r="1322" spans="1:11" x14ac:dyDescent="0.25">
      <c r="A1322" s="1">
        <v>1988</v>
      </c>
      <c r="B1322" s="1" t="s">
        <v>99</v>
      </c>
      <c r="C1322" t="s">
        <v>8</v>
      </c>
      <c r="D1322" s="1" t="s">
        <v>3</v>
      </c>
      <c r="E1322">
        <v>56</v>
      </c>
      <c r="F1322" s="1" t="s">
        <v>101</v>
      </c>
      <c r="G1322">
        <v>24</v>
      </c>
      <c r="H1322">
        <v>2</v>
      </c>
      <c r="I1322" s="2">
        <f t="shared" si="60"/>
        <v>6.2830079999999997</v>
      </c>
      <c r="J1322">
        <f t="shared" si="61"/>
        <v>0.23452810750279954</v>
      </c>
      <c r="K1322">
        <f t="shared" si="62"/>
        <v>0.16409004962131102</v>
      </c>
    </row>
    <row r="1323" spans="1:11" x14ac:dyDescent="0.25">
      <c r="A1323" s="1">
        <v>1988</v>
      </c>
      <c r="B1323" s="1" t="s">
        <v>99</v>
      </c>
      <c r="C1323" t="s">
        <v>8</v>
      </c>
      <c r="D1323" s="1" t="s">
        <v>3</v>
      </c>
      <c r="E1323">
        <v>58</v>
      </c>
      <c r="F1323" s="1" t="s">
        <v>101</v>
      </c>
      <c r="G1323">
        <v>12</v>
      </c>
      <c r="H1323">
        <v>1</v>
      </c>
      <c r="I1323" s="2">
        <f t="shared" si="60"/>
        <v>0.78537599999999996</v>
      </c>
      <c r="J1323">
        <f t="shared" si="61"/>
        <v>2.9316013437849942E-2</v>
      </c>
      <c r="K1323">
        <f t="shared" si="62"/>
        <v>2.0511256202663877E-2</v>
      </c>
    </row>
    <row r="1324" spans="1:11" x14ac:dyDescent="0.25">
      <c r="A1324" s="1">
        <v>1988</v>
      </c>
      <c r="B1324" s="1" t="s">
        <v>99</v>
      </c>
      <c r="C1324" t="s">
        <v>8</v>
      </c>
      <c r="D1324" s="1" t="s">
        <v>3</v>
      </c>
      <c r="E1324">
        <v>65</v>
      </c>
      <c r="F1324" s="1" t="s">
        <v>101</v>
      </c>
      <c r="G1324">
        <v>12</v>
      </c>
      <c r="H1324">
        <v>1</v>
      </c>
      <c r="I1324" s="2">
        <f t="shared" si="60"/>
        <v>0.78537599999999996</v>
      </c>
      <c r="J1324">
        <f t="shared" si="61"/>
        <v>2.9316013437849942E-2</v>
      </c>
      <c r="K1324">
        <f t="shared" si="62"/>
        <v>2.0511256202663877E-2</v>
      </c>
    </row>
    <row r="1325" spans="1:11" x14ac:dyDescent="0.25">
      <c r="A1325" s="1">
        <v>1988</v>
      </c>
      <c r="B1325" s="1" t="s">
        <v>99</v>
      </c>
      <c r="C1325" t="s">
        <v>8</v>
      </c>
      <c r="D1325" s="1" t="s">
        <v>3</v>
      </c>
      <c r="E1325">
        <v>66</v>
      </c>
      <c r="F1325" s="1" t="s">
        <v>101</v>
      </c>
      <c r="G1325">
        <v>6</v>
      </c>
      <c r="H1325">
        <v>2</v>
      </c>
      <c r="I1325" s="2">
        <f t="shared" si="60"/>
        <v>0.39268799999999998</v>
      </c>
      <c r="J1325">
        <f t="shared" si="61"/>
        <v>1.4658006718924971E-2</v>
      </c>
      <c r="K1325">
        <f t="shared" si="62"/>
        <v>1.0255628101331939E-2</v>
      </c>
    </row>
    <row r="1326" spans="1:11" x14ac:dyDescent="0.25">
      <c r="A1326" s="1">
        <v>1988</v>
      </c>
      <c r="B1326" s="1" t="s">
        <v>99</v>
      </c>
      <c r="C1326" t="s">
        <v>8</v>
      </c>
      <c r="D1326" s="1" t="s">
        <v>3</v>
      </c>
      <c r="E1326">
        <v>66</v>
      </c>
      <c r="F1326" s="1" t="s">
        <v>101</v>
      </c>
      <c r="G1326">
        <v>18</v>
      </c>
      <c r="H1326">
        <v>8</v>
      </c>
      <c r="I1326" s="2">
        <f t="shared" si="60"/>
        <v>14.136767999999998</v>
      </c>
      <c r="J1326">
        <f t="shared" si="61"/>
        <v>0.52768824188129893</v>
      </c>
      <c r="K1326">
        <f t="shared" si="62"/>
        <v>0.36920261164794976</v>
      </c>
    </row>
    <row r="1327" spans="1:11" x14ac:dyDescent="0.25">
      <c r="A1327" s="1">
        <v>1988</v>
      </c>
      <c r="B1327" s="1" t="s">
        <v>99</v>
      </c>
      <c r="C1327" t="s">
        <v>8</v>
      </c>
      <c r="D1327" s="1" t="s">
        <v>3</v>
      </c>
      <c r="E1327">
        <v>66</v>
      </c>
      <c r="F1327" s="1" t="s">
        <v>101</v>
      </c>
      <c r="G1327">
        <v>20</v>
      </c>
      <c r="H1327">
        <v>4</v>
      </c>
      <c r="I1327" s="2">
        <f t="shared" si="60"/>
        <v>8.7263999999999999</v>
      </c>
      <c r="J1327">
        <f t="shared" si="61"/>
        <v>0.32573348264277718</v>
      </c>
      <c r="K1327">
        <f t="shared" si="62"/>
        <v>0.22790284669626534</v>
      </c>
    </row>
    <row r="1328" spans="1:11" x14ac:dyDescent="0.25">
      <c r="A1328" s="1">
        <v>1988</v>
      </c>
      <c r="B1328" s="1" t="s">
        <v>99</v>
      </c>
      <c r="C1328" t="s">
        <v>8</v>
      </c>
      <c r="D1328" s="1" t="s">
        <v>3</v>
      </c>
      <c r="E1328">
        <v>66</v>
      </c>
      <c r="F1328" s="1" t="s">
        <v>101</v>
      </c>
      <c r="G1328">
        <v>22</v>
      </c>
      <c r="H1328">
        <v>4</v>
      </c>
      <c r="I1328" s="2">
        <f t="shared" si="60"/>
        <v>10.558943999999999</v>
      </c>
      <c r="J1328">
        <f t="shared" si="61"/>
        <v>0.39413751399776031</v>
      </c>
      <c r="K1328">
        <f t="shared" si="62"/>
        <v>0.275762444502481</v>
      </c>
    </row>
    <row r="1329" spans="1:11" x14ac:dyDescent="0.25">
      <c r="A1329" s="1">
        <v>1988</v>
      </c>
      <c r="B1329" s="1" t="s">
        <v>99</v>
      </c>
      <c r="C1329" t="s">
        <v>8</v>
      </c>
      <c r="D1329" s="1" t="s">
        <v>3</v>
      </c>
      <c r="E1329">
        <v>71</v>
      </c>
      <c r="F1329" s="1" t="s">
        <v>101</v>
      </c>
      <c r="G1329">
        <v>14</v>
      </c>
      <c r="H1329">
        <v>1</v>
      </c>
      <c r="I1329" s="2">
        <f t="shared" si="60"/>
        <v>1.0689839999999999</v>
      </c>
      <c r="J1329">
        <f t="shared" si="61"/>
        <v>3.9902351623740201E-2</v>
      </c>
      <c r="K1329">
        <f t="shared" si="62"/>
        <v>2.7918098720292502E-2</v>
      </c>
    </row>
    <row r="1330" spans="1:11" x14ac:dyDescent="0.25">
      <c r="A1330" s="1">
        <v>1988</v>
      </c>
      <c r="B1330" s="1" t="s">
        <v>99</v>
      </c>
      <c r="C1330" t="s">
        <v>8</v>
      </c>
      <c r="D1330" s="1" t="s">
        <v>3</v>
      </c>
      <c r="E1330">
        <v>76</v>
      </c>
      <c r="F1330" s="1" t="s">
        <v>101</v>
      </c>
      <c r="G1330">
        <v>6</v>
      </c>
      <c r="H1330">
        <v>6</v>
      </c>
      <c r="I1330" s="2">
        <f t="shared" si="60"/>
        <v>1.178064</v>
      </c>
      <c r="J1330">
        <f t="shared" si="61"/>
        <v>4.3974020156774915E-2</v>
      </c>
      <c r="K1330">
        <f t="shared" si="62"/>
        <v>3.0766884303995819E-2</v>
      </c>
    </row>
    <row r="1331" spans="1:11" x14ac:dyDescent="0.25">
      <c r="A1331" s="1">
        <v>1988</v>
      </c>
      <c r="B1331" s="1" t="s">
        <v>99</v>
      </c>
      <c r="C1331" t="s">
        <v>8</v>
      </c>
      <c r="D1331" s="1" t="s">
        <v>3</v>
      </c>
      <c r="E1331">
        <v>76</v>
      </c>
      <c r="F1331" s="1" t="s">
        <v>101</v>
      </c>
      <c r="G1331">
        <v>8</v>
      </c>
      <c r="H1331">
        <v>7</v>
      </c>
      <c r="I1331" s="2">
        <f t="shared" si="60"/>
        <v>2.4433919999999998</v>
      </c>
      <c r="J1331">
        <f t="shared" si="61"/>
        <v>9.1205375139977604E-2</v>
      </c>
      <c r="K1331">
        <f t="shared" si="62"/>
        <v>6.3812797074954297E-2</v>
      </c>
    </row>
    <row r="1332" spans="1:11" x14ac:dyDescent="0.25">
      <c r="A1332" s="1">
        <v>1988</v>
      </c>
      <c r="B1332" s="1" t="s">
        <v>99</v>
      </c>
      <c r="C1332" t="s">
        <v>8</v>
      </c>
      <c r="D1332" s="1" t="s">
        <v>3</v>
      </c>
      <c r="E1332">
        <v>76</v>
      </c>
      <c r="F1332" s="1" t="s">
        <v>101</v>
      </c>
      <c r="G1332">
        <v>10</v>
      </c>
      <c r="H1332">
        <v>4</v>
      </c>
      <c r="I1332" s="2">
        <f t="shared" si="60"/>
        <v>2.1816</v>
      </c>
      <c r="J1332">
        <f t="shared" si="61"/>
        <v>8.1433370660694296E-2</v>
      </c>
      <c r="K1332">
        <f t="shared" si="62"/>
        <v>5.6975711674066336E-2</v>
      </c>
    </row>
    <row r="1333" spans="1:11" x14ac:dyDescent="0.25">
      <c r="A1333" s="1">
        <v>1988</v>
      </c>
      <c r="B1333" s="1" t="s">
        <v>99</v>
      </c>
      <c r="C1333" t="s">
        <v>8</v>
      </c>
      <c r="D1333" s="1" t="s">
        <v>3</v>
      </c>
      <c r="E1333">
        <v>76</v>
      </c>
      <c r="F1333" s="1" t="s">
        <v>101</v>
      </c>
      <c r="G1333">
        <v>12</v>
      </c>
      <c r="H1333">
        <v>3</v>
      </c>
      <c r="I1333" s="2">
        <f t="shared" si="60"/>
        <v>2.356128</v>
      </c>
      <c r="J1333">
        <f t="shared" si="61"/>
        <v>8.794804031354983E-2</v>
      </c>
      <c r="K1333">
        <f t="shared" si="62"/>
        <v>6.1533768607991639E-2</v>
      </c>
    </row>
    <row r="1334" spans="1:11" x14ac:dyDescent="0.25">
      <c r="A1334" s="1">
        <v>1988</v>
      </c>
      <c r="B1334" s="1" t="s">
        <v>99</v>
      </c>
      <c r="C1334" t="s">
        <v>8</v>
      </c>
      <c r="D1334" s="1" t="s">
        <v>3</v>
      </c>
      <c r="E1334">
        <v>76</v>
      </c>
      <c r="F1334" s="1" t="s">
        <v>101</v>
      </c>
      <c r="G1334">
        <v>18</v>
      </c>
      <c r="H1334">
        <v>1</v>
      </c>
      <c r="I1334" s="2">
        <f t="shared" si="60"/>
        <v>1.7670959999999998</v>
      </c>
      <c r="J1334">
        <f t="shared" si="61"/>
        <v>6.5961030235162366E-2</v>
      </c>
      <c r="K1334">
        <f t="shared" si="62"/>
        <v>4.615032645599372E-2</v>
      </c>
    </row>
    <row r="1335" spans="1:11" x14ac:dyDescent="0.25">
      <c r="A1335" s="1">
        <v>1988</v>
      </c>
      <c r="B1335" s="1" t="s">
        <v>99</v>
      </c>
      <c r="C1335" t="s">
        <v>8</v>
      </c>
      <c r="D1335" s="1" t="s">
        <v>3</v>
      </c>
      <c r="E1335">
        <v>79</v>
      </c>
      <c r="F1335" s="1" t="s">
        <v>101</v>
      </c>
      <c r="G1335">
        <v>6</v>
      </c>
      <c r="H1335">
        <v>5</v>
      </c>
      <c r="I1335" s="2">
        <f t="shared" si="60"/>
        <v>0.98171999999999993</v>
      </c>
      <c r="J1335">
        <f t="shared" si="61"/>
        <v>3.6645016797312427E-2</v>
      </c>
      <c r="K1335">
        <f t="shared" si="62"/>
        <v>2.5639070253329847E-2</v>
      </c>
    </row>
    <row r="1336" spans="1:11" x14ac:dyDescent="0.25">
      <c r="A1336" s="1">
        <v>1988</v>
      </c>
      <c r="B1336" s="1" t="s">
        <v>99</v>
      </c>
      <c r="C1336" t="s">
        <v>8</v>
      </c>
      <c r="D1336" s="1" t="s">
        <v>3</v>
      </c>
      <c r="E1336">
        <v>79</v>
      </c>
      <c r="F1336" s="1" t="s">
        <v>101</v>
      </c>
      <c r="G1336">
        <v>8</v>
      </c>
      <c r="H1336">
        <v>3</v>
      </c>
      <c r="I1336" s="2">
        <f t="shared" si="60"/>
        <v>1.0471679999999999</v>
      </c>
      <c r="J1336">
        <f t="shared" si="61"/>
        <v>3.9088017917133254E-2</v>
      </c>
      <c r="K1336">
        <f t="shared" si="62"/>
        <v>2.7348341603551835E-2</v>
      </c>
    </row>
    <row r="1337" spans="1:11" x14ac:dyDescent="0.25">
      <c r="A1337" s="1">
        <v>1988</v>
      </c>
      <c r="B1337" s="1" t="s">
        <v>99</v>
      </c>
      <c r="C1337" t="s">
        <v>8</v>
      </c>
      <c r="D1337" s="1" t="s">
        <v>3</v>
      </c>
      <c r="E1337">
        <v>79</v>
      </c>
      <c r="F1337" s="1" t="s">
        <v>101</v>
      </c>
      <c r="G1337">
        <v>10</v>
      </c>
      <c r="H1337">
        <v>3</v>
      </c>
      <c r="I1337" s="2">
        <f t="shared" si="60"/>
        <v>1.6362000000000001</v>
      </c>
      <c r="J1337">
        <f t="shared" si="61"/>
        <v>6.1075027995520725E-2</v>
      </c>
      <c r="K1337">
        <f t="shared" si="62"/>
        <v>4.2731783755549757E-2</v>
      </c>
    </row>
    <row r="1338" spans="1:11" x14ac:dyDescent="0.25">
      <c r="A1338" s="1">
        <v>1988</v>
      </c>
      <c r="B1338" s="1" t="s">
        <v>99</v>
      </c>
      <c r="C1338" t="s">
        <v>8</v>
      </c>
      <c r="D1338" s="1" t="s">
        <v>3</v>
      </c>
      <c r="E1338">
        <v>79</v>
      </c>
      <c r="F1338" s="1" t="s">
        <v>101</v>
      </c>
      <c r="G1338">
        <v>12</v>
      </c>
      <c r="H1338">
        <v>2</v>
      </c>
      <c r="I1338" s="2">
        <f t="shared" si="60"/>
        <v>1.5707519999999999</v>
      </c>
      <c r="J1338">
        <f t="shared" si="61"/>
        <v>5.8632026875699884E-2</v>
      </c>
      <c r="K1338">
        <f t="shared" si="62"/>
        <v>4.1022512405327755E-2</v>
      </c>
    </row>
    <row r="1339" spans="1:11" x14ac:dyDescent="0.25">
      <c r="A1339" s="1">
        <v>1988</v>
      </c>
      <c r="B1339" s="1" t="s">
        <v>99</v>
      </c>
      <c r="C1339" t="s">
        <v>8</v>
      </c>
      <c r="D1339" s="1" t="s">
        <v>3</v>
      </c>
      <c r="E1339">
        <v>79</v>
      </c>
      <c r="F1339" s="1" t="s">
        <v>101</v>
      </c>
      <c r="G1339">
        <v>18</v>
      </c>
      <c r="H1339">
        <v>20</v>
      </c>
      <c r="I1339" s="2">
        <f t="shared" si="60"/>
        <v>35.341919999999995</v>
      </c>
      <c r="J1339">
        <f t="shared" si="61"/>
        <v>1.3192206047032473</v>
      </c>
      <c r="K1339">
        <f t="shared" si="62"/>
        <v>0.92300652911987446</v>
      </c>
    </row>
    <row r="1340" spans="1:11" x14ac:dyDescent="0.25">
      <c r="A1340" s="1">
        <v>1988</v>
      </c>
      <c r="B1340" s="1" t="s">
        <v>99</v>
      </c>
      <c r="C1340" t="s">
        <v>8</v>
      </c>
      <c r="D1340" s="1" t="s">
        <v>3</v>
      </c>
      <c r="E1340">
        <v>79</v>
      </c>
      <c r="F1340" s="1" t="s">
        <v>101</v>
      </c>
      <c r="G1340">
        <v>20</v>
      </c>
      <c r="H1340">
        <v>7</v>
      </c>
      <c r="I1340" s="2">
        <f t="shared" si="60"/>
        <v>15.2712</v>
      </c>
      <c r="J1340">
        <f t="shared" si="61"/>
        <v>0.57003359462486003</v>
      </c>
      <c r="K1340">
        <f t="shared" si="62"/>
        <v>0.39882998171846434</v>
      </c>
    </row>
    <row r="1341" spans="1:11" x14ac:dyDescent="0.25">
      <c r="A1341" s="1">
        <v>1988</v>
      </c>
      <c r="B1341" s="1" t="s">
        <v>99</v>
      </c>
      <c r="C1341" t="s">
        <v>8</v>
      </c>
      <c r="D1341" s="1" t="s">
        <v>3</v>
      </c>
      <c r="E1341">
        <v>79</v>
      </c>
      <c r="F1341" s="1" t="s">
        <v>101</v>
      </c>
      <c r="G1341">
        <v>22</v>
      </c>
      <c r="H1341">
        <v>1</v>
      </c>
      <c r="I1341" s="2">
        <f t="shared" si="60"/>
        <v>2.6397359999999996</v>
      </c>
      <c r="J1341">
        <f t="shared" si="61"/>
        <v>9.8534378499440078E-2</v>
      </c>
      <c r="K1341">
        <f t="shared" si="62"/>
        <v>6.8940611125620249E-2</v>
      </c>
    </row>
    <row r="1342" spans="1:11" x14ac:dyDescent="0.25">
      <c r="A1342" s="1">
        <v>1988</v>
      </c>
      <c r="B1342" s="1" t="s">
        <v>99</v>
      </c>
      <c r="C1342" t="s">
        <v>8</v>
      </c>
      <c r="D1342" s="1" t="s">
        <v>3</v>
      </c>
      <c r="E1342">
        <v>84</v>
      </c>
      <c r="F1342" s="1" t="s">
        <v>101</v>
      </c>
      <c r="G1342">
        <v>6</v>
      </c>
      <c r="H1342">
        <v>2</v>
      </c>
      <c r="I1342" s="2">
        <f t="shared" si="60"/>
        <v>0.39268799999999998</v>
      </c>
      <c r="J1342">
        <f t="shared" si="61"/>
        <v>1.4658006718924971E-2</v>
      </c>
      <c r="K1342">
        <f t="shared" si="62"/>
        <v>1.0255628101331939E-2</v>
      </c>
    </row>
    <row r="1343" spans="1:11" x14ac:dyDescent="0.25">
      <c r="A1343" s="1">
        <v>1988</v>
      </c>
      <c r="B1343" s="1" t="s">
        <v>99</v>
      </c>
      <c r="C1343" t="s">
        <v>8</v>
      </c>
      <c r="D1343" s="1" t="s">
        <v>3</v>
      </c>
      <c r="E1343">
        <v>84</v>
      </c>
      <c r="F1343" s="1" t="s">
        <v>101</v>
      </c>
      <c r="G1343">
        <v>8</v>
      </c>
      <c r="H1343">
        <v>3</v>
      </c>
      <c r="I1343" s="2">
        <f t="shared" si="60"/>
        <v>1.0471679999999999</v>
      </c>
      <c r="J1343">
        <f t="shared" si="61"/>
        <v>3.9088017917133254E-2</v>
      </c>
      <c r="K1343">
        <f t="shared" si="62"/>
        <v>2.7348341603551835E-2</v>
      </c>
    </row>
    <row r="1344" spans="1:11" x14ac:dyDescent="0.25">
      <c r="A1344" s="1">
        <v>1988</v>
      </c>
      <c r="B1344" s="1" t="s">
        <v>99</v>
      </c>
      <c r="C1344" t="s">
        <v>8</v>
      </c>
      <c r="D1344" s="1" t="s">
        <v>3</v>
      </c>
      <c r="E1344">
        <v>84</v>
      </c>
      <c r="F1344" s="1" t="s">
        <v>101</v>
      </c>
      <c r="G1344">
        <v>10</v>
      </c>
      <c r="H1344">
        <v>1</v>
      </c>
      <c r="I1344" s="2">
        <f t="shared" si="60"/>
        <v>0.5454</v>
      </c>
      <c r="J1344">
        <f t="shared" si="61"/>
        <v>2.0358342665173574E-2</v>
      </c>
      <c r="K1344">
        <f t="shared" si="62"/>
        <v>1.4243927918516584E-2</v>
      </c>
    </row>
    <row r="1345" spans="1:11" x14ac:dyDescent="0.25">
      <c r="A1345" s="1">
        <v>1988</v>
      </c>
      <c r="B1345" s="1" t="s">
        <v>99</v>
      </c>
      <c r="C1345" t="s">
        <v>8</v>
      </c>
      <c r="D1345" s="1" t="s">
        <v>3</v>
      </c>
      <c r="E1345">
        <v>84</v>
      </c>
      <c r="F1345" s="1" t="s">
        <v>101</v>
      </c>
      <c r="G1345">
        <v>24</v>
      </c>
      <c r="H1345">
        <v>1</v>
      </c>
      <c r="I1345" s="2">
        <f t="shared" si="60"/>
        <v>3.1415039999999999</v>
      </c>
      <c r="J1345">
        <f t="shared" si="61"/>
        <v>0.11726405375139977</v>
      </c>
      <c r="K1345">
        <f t="shared" si="62"/>
        <v>8.2045024810655509E-2</v>
      </c>
    </row>
    <row r="1346" spans="1:11" x14ac:dyDescent="0.25">
      <c r="A1346" s="1">
        <v>1988</v>
      </c>
      <c r="B1346" s="1" t="s">
        <v>99</v>
      </c>
      <c r="C1346" t="s">
        <v>8</v>
      </c>
      <c r="D1346" s="1" t="s">
        <v>3</v>
      </c>
      <c r="E1346">
        <v>85</v>
      </c>
      <c r="F1346" s="1" t="s">
        <v>101</v>
      </c>
      <c r="G1346">
        <v>8</v>
      </c>
      <c r="H1346">
        <v>2</v>
      </c>
      <c r="I1346" s="2">
        <f t="shared" si="60"/>
        <v>0.69811199999999995</v>
      </c>
      <c r="J1346">
        <f t="shared" si="61"/>
        <v>2.6058678611422172E-2</v>
      </c>
      <c r="K1346">
        <f t="shared" si="62"/>
        <v>1.8232227735701226E-2</v>
      </c>
    </row>
    <row r="1347" spans="1:11" x14ac:dyDescent="0.25">
      <c r="A1347" s="1">
        <v>1988</v>
      </c>
      <c r="B1347" s="1" t="s">
        <v>99</v>
      </c>
      <c r="C1347" t="s">
        <v>8</v>
      </c>
      <c r="D1347" s="1" t="s">
        <v>3</v>
      </c>
      <c r="E1347">
        <v>85</v>
      </c>
      <c r="F1347" s="1" t="s">
        <v>101</v>
      </c>
      <c r="G1347">
        <v>10</v>
      </c>
      <c r="H1347">
        <v>3</v>
      </c>
      <c r="I1347" s="2">
        <f t="shared" ref="I1347:I1410" si="63">0.005454*G1347^2*H1347</f>
        <v>1.6362000000000001</v>
      </c>
      <c r="J1347">
        <f t="shared" ref="J1347:J1410" si="64">I1347/26.79</f>
        <v>6.1075027995520725E-2</v>
      </c>
      <c r="K1347">
        <f t="shared" ref="K1347:K1410" si="65">J1347*(26.79/38.29)</f>
        <v>4.2731783755549757E-2</v>
      </c>
    </row>
    <row r="1348" spans="1:11" x14ac:dyDescent="0.25">
      <c r="A1348" s="1">
        <v>1988</v>
      </c>
      <c r="B1348" s="1" t="s">
        <v>99</v>
      </c>
      <c r="C1348" t="s">
        <v>8</v>
      </c>
      <c r="D1348" s="1" t="s">
        <v>3</v>
      </c>
      <c r="E1348">
        <v>85</v>
      </c>
      <c r="F1348" s="1" t="s">
        <v>101</v>
      </c>
      <c r="G1348">
        <v>18</v>
      </c>
      <c r="H1348">
        <v>17</v>
      </c>
      <c r="I1348" s="2">
        <f t="shared" si="63"/>
        <v>30.040631999999995</v>
      </c>
      <c r="J1348">
        <f t="shared" si="64"/>
        <v>1.1213375139977602</v>
      </c>
      <c r="K1348">
        <f t="shared" si="65"/>
        <v>0.78455554975189323</v>
      </c>
    </row>
    <row r="1349" spans="1:11" x14ac:dyDescent="0.25">
      <c r="A1349" s="1">
        <v>1988</v>
      </c>
      <c r="B1349" s="1" t="s">
        <v>99</v>
      </c>
      <c r="C1349" t="s">
        <v>8</v>
      </c>
      <c r="D1349" s="1" t="s">
        <v>3</v>
      </c>
      <c r="E1349">
        <v>91</v>
      </c>
      <c r="F1349" s="1" t="s">
        <v>101</v>
      </c>
      <c r="G1349">
        <v>16</v>
      </c>
      <c r="H1349">
        <v>1</v>
      </c>
      <c r="I1349" s="2">
        <f t="shared" si="63"/>
        <v>1.3962239999999999</v>
      </c>
      <c r="J1349">
        <f t="shared" si="64"/>
        <v>5.2117357222844343E-2</v>
      </c>
      <c r="K1349">
        <f t="shared" si="65"/>
        <v>3.6464455471402452E-2</v>
      </c>
    </row>
    <row r="1350" spans="1:11" x14ac:dyDescent="0.25">
      <c r="A1350" s="1">
        <v>1988</v>
      </c>
      <c r="B1350" s="1" t="s">
        <v>99</v>
      </c>
      <c r="C1350" t="s">
        <v>8</v>
      </c>
      <c r="D1350" s="1" t="s">
        <v>3</v>
      </c>
      <c r="E1350">
        <v>91</v>
      </c>
      <c r="F1350" s="1" t="s">
        <v>101</v>
      </c>
      <c r="G1350">
        <v>18</v>
      </c>
      <c r="H1350">
        <v>4</v>
      </c>
      <c r="I1350" s="2">
        <f t="shared" si="63"/>
        <v>7.0683839999999991</v>
      </c>
      <c r="J1350">
        <f t="shared" si="64"/>
        <v>0.26384412094064946</v>
      </c>
      <c r="K1350">
        <f t="shared" si="65"/>
        <v>0.18460130582397488</v>
      </c>
    </row>
    <row r="1351" spans="1:11" x14ac:dyDescent="0.25">
      <c r="A1351" s="1">
        <v>1988</v>
      </c>
      <c r="B1351" s="1" t="s">
        <v>99</v>
      </c>
      <c r="C1351" t="s">
        <v>8</v>
      </c>
      <c r="D1351" s="1" t="s">
        <v>5</v>
      </c>
      <c r="E1351">
        <v>32</v>
      </c>
      <c r="F1351" s="1" t="s">
        <v>101</v>
      </c>
      <c r="G1351">
        <v>18</v>
      </c>
      <c r="H1351">
        <v>3</v>
      </c>
      <c r="I1351" s="2">
        <f t="shared" si="63"/>
        <v>5.3012879999999996</v>
      </c>
      <c r="J1351">
        <f t="shared" si="64"/>
        <v>0.19788309070548712</v>
      </c>
      <c r="K1351">
        <f t="shared" si="65"/>
        <v>0.13845097936798118</v>
      </c>
    </row>
    <row r="1352" spans="1:11" x14ac:dyDescent="0.25">
      <c r="A1352" s="1">
        <v>1988</v>
      </c>
      <c r="B1352" s="1" t="s">
        <v>99</v>
      </c>
      <c r="C1352" t="s">
        <v>8</v>
      </c>
      <c r="D1352" s="1" t="s">
        <v>5</v>
      </c>
      <c r="E1352">
        <v>32</v>
      </c>
      <c r="F1352" s="1" t="s">
        <v>101</v>
      </c>
      <c r="G1352">
        <v>20</v>
      </c>
      <c r="H1352">
        <v>1</v>
      </c>
      <c r="I1352" s="2">
        <f t="shared" si="63"/>
        <v>2.1816</v>
      </c>
      <c r="J1352">
        <f t="shared" si="64"/>
        <v>8.1433370660694296E-2</v>
      </c>
      <c r="K1352">
        <f t="shared" si="65"/>
        <v>5.6975711674066336E-2</v>
      </c>
    </row>
    <row r="1353" spans="1:11" x14ac:dyDescent="0.25">
      <c r="A1353" s="1">
        <v>1988</v>
      </c>
      <c r="B1353" s="1" t="s">
        <v>99</v>
      </c>
      <c r="C1353" t="s">
        <v>8</v>
      </c>
      <c r="D1353" s="1" t="s">
        <v>5</v>
      </c>
      <c r="E1353">
        <v>34</v>
      </c>
      <c r="F1353" s="1" t="s">
        <v>101</v>
      </c>
      <c r="G1353">
        <v>22</v>
      </c>
      <c r="H1353">
        <v>1</v>
      </c>
      <c r="I1353" s="2">
        <f t="shared" si="63"/>
        <v>2.6397359999999996</v>
      </c>
      <c r="J1353">
        <f t="shared" si="64"/>
        <v>9.8534378499440078E-2</v>
      </c>
      <c r="K1353">
        <f t="shared" si="65"/>
        <v>6.8940611125620249E-2</v>
      </c>
    </row>
    <row r="1354" spans="1:11" x14ac:dyDescent="0.25">
      <c r="A1354" s="1">
        <v>1988</v>
      </c>
      <c r="B1354" s="1" t="s">
        <v>99</v>
      </c>
      <c r="C1354" t="s">
        <v>8</v>
      </c>
      <c r="D1354" s="1" t="s">
        <v>5</v>
      </c>
      <c r="E1354">
        <v>40</v>
      </c>
      <c r="F1354" s="1" t="s">
        <v>101</v>
      </c>
      <c r="G1354">
        <v>18</v>
      </c>
      <c r="H1354">
        <v>1</v>
      </c>
      <c r="I1354" s="2">
        <f t="shared" si="63"/>
        <v>1.7670959999999998</v>
      </c>
      <c r="J1354">
        <f t="shared" si="64"/>
        <v>6.5961030235162366E-2</v>
      </c>
      <c r="K1354">
        <f t="shared" si="65"/>
        <v>4.615032645599372E-2</v>
      </c>
    </row>
    <row r="1355" spans="1:11" x14ac:dyDescent="0.25">
      <c r="A1355" s="1">
        <v>1988</v>
      </c>
      <c r="B1355" s="1" t="s">
        <v>99</v>
      </c>
      <c r="C1355" t="s">
        <v>8</v>
      </c>
      <c r="D1355" s="1" t="s">
        <v>5</v>
      </c>
      <c r="E1355">
        <v>79</v>
      </c>
      <c r="F1355" s="1" t="s">
        <v>101</v>
      </c>
      <c r="G1355">
        <v>28</v>
      </c>
      <c r="H1355">
        <v>1</v>
      </c>
      <c r="I1355" s="2">
        <f t="shared" si="63"/>
        <v>4.2759359999999997</v>
      </c>
      <c r="J1355">
        <f t="shared" si="64"/>
        <v>0.1596094064949608</v>
      </c>
      <c r="K1355">
        <f t="shared" si="65"/>
        <v>0.11167239488117001</v>
      </c>
    </row>
    <row r="1356" spans="1:11" x14ac:dyDescent="0.25">
      <c r="A1356" s="1">
        <v>1988</v>
      </c>
      <c r="B1356" s="1" t="s">
        <v>99</v>
      </c>
      <c r="C1356" t="s">
        <v>7</v>
      </c>
      <c r="D1356" s="1" t="s">
        <v>3</v>
      </c>
      <c r="E1356">
        <v>11</v>
      </c>
      <c r="F1356" s="1" t="s">
        <v>101</v>
      </c>
      <c r="G1356">
        <v>6</v>
      </c>
      <c r="H1356">
        <v>3</v>
      </c>
      <c r="I1356" s="2">
        <f t="shared" si="63"/>
        <v>0.589032</v>
      </c>
      <c r="J1356">
        <f t="shared" si="64"/>
        <v>2.1987010078387458E-2</v>
      </c>
      <c r="K1356">
        <f t="shared" si="65"/>
        <v>1.538344215199791E-2</v>
      </c>
    </row>
    <row r="1357" spans="1:11" x14ac:dyDescent="0.25">
      <c r="A1357" s="1">
        <v>1988</v>
      </c>
      <c r="B1357" s="1" t="s">
        <v>99</v>
      </c>
      <c r="C1357" t="s">
        <v>7</v>
      </c>
      <c r="D1357" s="1" t="s">
        <v>3</v>
      </c>
      <c r="E1357">
        <v>17</v>
      </c>
      <c r="F1357" s="1" t="s">
        <v>101</v>
      </c>
      <c r="G1357">
        <v>10</v>
      </c>
      <c r="H1357">
        <v>1</v>
      </c>
      <c r="I1357" s="2">
        <f t="shared" si="63"/>
        <v>0.5454</v>
      </c>
      <c r="J1357">
        <f t="shared" si="64"/>
        <v>2.0358342665173574E-2</v>
      </c>
      <c r="K1357">
        <f t="shared" si="65"/>
        <v>1.4243927918516584E-2</v>
      </c>
    </row>
    <row r="1358" spans="1:11" x14ac:dyDescent="0.25">
      <c r="A1358" s="1">
        <v>1988</v>
      </c>
      <c r="B1358" s="1" t="s">
        <v>99</v>
      </c>
      <c r="C1358" t="s">
        <v>7</v>
      </c>
      <c r="D1358" s="1" t="s">
        <v>3</v>
      </c>
      <c r="E1358">
        <v>21</v>
      </c>
      <c r="F1358" s="1" t="s">
        <v>101</v>
      </c>
      <c r="G1358">
        <v>6</v>
      </c>
      <c r="H1358">
        <v>26</v>
      </c>
      <c r="I1358" s="2">
        <f t="shared" si="63"/>
        <v>5.1049439999999997</v>
      </c>
      <c r="J1358">
        <f t="shared" si="64"/>
        <v>0.19055408734602464</v>
      </c>
      <c r="K1358">
        <f t="shared" si="65"/>
        <v>0.13332316531731522</v>
      </c>
    </row>
    <row r="1359" spans="1:11" x14ac:dyDescent="0.25">
      <c r="A1359" s="1">
        <v>1988</v>
      </c>
      <c r="B1359" s="1" t="s">
        <v>99</v>
      </c>
      <c r="C1359" t="s">
        <v>7</v>
      </c>
      <c r="D1359" s="1" t="s">
        <v>3</v>
      </c>
      <c r="E1359">
        <v>21</v>
      </c>
      <c r="F1359" s="1" t="s">
        <v>101</v>
      </c>
      <c r="G1359">
        <v>8</v>
      </c>
      <c r="H1359">
        <v>11</v>
      </c>
      <c r="I1359" s="2">
        <f t="shared" si="63"/>
        <v>3.8396159999999999</v>
      </c>
      <c r="J1359">
        <f t="shared" si="64"/>
        <v>0.14332273236282195</v>
      </c>
      <c r="K1359">
        <f t="shared" si="65"/>
        <v>0.10027725254635675</v>
      </c>
    </row>
    <row r="1360" spans="1:11" x14ac:dyDescent="0.25">
      <c r="A1360" s="1">
        <v>1988</v>
      </c>
      <c r="B1360" s="1" t="s">
        <v>99</v>
      </c>
      <c r="C1360" t="s">
        <v>7</v>
      </c>
      <c r="D1360" s="1" t="s">
        <v>3</v>
      </c>
      <c r="E1360">
        <v>21</v>
      </c>
      <c r="F1360" s="1" t="s">
        <v>101</v>
      </c>
      <c r="G1360">
        <v>10</v>
      </c>
      <c r="H1360">
        <v>12</v>
      </c>
      <c r="I1360" s="2">
        <f t="shared" si="63"/>
        <v>6.5448000000000004</v>
      </c>
      <c r="J1360">
        <f t="shared" si="64"/>
        <v>0.2443001119820829</v>
      </c>
      <c r="K1360">
        <f t="shared" si="65"/>
        <v>0.17092713502219903</v>
      </c>
    </row>
    <row r="1361" spans="1:11" x14ac:dyDescent="0.25">
      <c r="A1361" s="1">
        <v>1988</v>
      </c>
      <c r="B1361" s="1" t="s">
        <v>99</v>
      </c>
      <c r="C1361" t="s">
        <v>7</v>
      </c>
      <c r="D1361" s="1" t="s">
        <v>3</v>
      </c>
      <c r="E1361">
        <v>21</v>
      </c>
      <c r="F1361" s="1" t="s">
        <v>101</v>
      </c>
      <c r="G1361">
        <v>12</v>
      </c>
      <c r="H1361">
        <v>5</v>
      </c>
      <c r="I1361" s="2">
        <f t="shared" si="63"/>
        <v>3.9268799999999997</v>
      </c>
      <c r="J1361">
        <f t="shared" si="64"/>
        <v>0.14658006718924971</v>
      </c>
      <c r="K1361">
        <f t="shared" si="65"/>
        <v>0.10255628101331939</v>
      </c>
    </row>
    <row r="1362" spans="1:11" x14ac:dyDescent="0.25">
      <c r="A1362" s="1">
        <v>1988</v>
      </c>
      <c r="B1362" s="1" t="s">
        <v>99</v>
      </c>
      <c r="C1362" t="s">
        <v>7</v>
      </c>
      <c r="D1362" s="1" t="s">
        <v>3</v>
      </c>
      <c r="E1362">
        <v>21</v>
      </c>
      <c r="F1362" s="1" t="s">
        <v>101</v>
      </c>
      <c r="G1362">
        <v>14</v>
      </c>
      <c r="H1362">
        <v>3</v>
      </c>
      <c r="I1362" s="2">
        <f t="shared" si="63"/>
        <v>3.2069519999999998</v>
      </c>
      <c r="J1362">
        <f t="shared" si="64"/>
        <v>0.1197070548712206</v>
      </c>
      <c r="K1362">
        <f t="shared" si="65"/>
        <v>8.3754296160877512E-2</v>
      </c>
    </row>
    <row r="1363" spans="1:11" x14ac:dyDescent="0.25">
      <c r="A1363" s="1">
        <v>1988</v>
      </c>
      <c r="B1363" s="1" t="s">
        <v>99</v>
      </c>
      <c r="C1363" t="s">
        <v>7</v>
      </c>
      <c r="D1363" s="1" t="s">
        <v>3</v>
      </c>
      <c r="E1363">
        <v>21</v>
      </c>
      <c r="F1363" s="1" t="s">
        <v>101</v>
      </c>
      <c r="G1363">
        <v>16</v>
      </c>
      <c r="H1363">
        <v>4</v>
      </c>
      <c r="I1363" s="2">
        <f t="shared" si="63"/>
        <v>5.5848959999999996</v>
      </c>
      <c r="J1363">
        <f t="shared" si="64"/>
        <v>0.20846942889137737</v>
      </c>
      <c r="K1363">
        <f t="shared" si="65"/>
        <v>0.14585782188560981</v>
      </c>
    </row>
    <row r="1364" spans="1:11" x14ac:dyDescent="0.25">
      <c r="A1364" s="1">
        <v>1988</v>
      </c>
      <c r="B1364" s="1" t="s">
        <v>99</v>
      </c>
      <c r="C1364" t="s">
        <v>7</v>
      </c>
      <c r="D1364" s="1" t="s">
        <v>3</v>
      </c>
      <c r="E1364">
        <v>25</v>
      </c>
      <c r="F1364" s="1" t="s">
        <v>101</v>
      </c>
      <c r="G1364">
        <v>6</v>
      </c>
      <c r="H1364">
        <v>3</v>
      </c>
      <c r="I1364" s="2">
        <f t="shared" si="63"/>
        <v>0.589032</v>
      </c>
      <c r="J1364">
        <f t="shared" si="64"/>
        <v>2.1987010078387458E-2</v>
      </c>
      <c r="K1364">
        <f t="shared" si="65"/>
        <v>1.538344215199791E-2</v>
      </c>
    </row>
    <row r="1365" spans="1:11" x14ac:dyDescent="0.25">
      <c r="A1365" s="1">
        <v>1988</v>
      </c>
      <c r="B1365" s="1" t="s">
        <v>99</v>
      </c>
      <c r="C1365" t="s">
        <v>7</v>
      </c>
      <c r="D1365" s="1" t="s">
        <v>3</v>
      </c>
      <c r="E1365">
        <v>28</v>
      </c>
      <c r="F1365" s="1" t="s">
        <v>101</v>
      </c>
      <c r="G1365">
        <v>8</v>
      </c>
      <c r="H1365">
        <v>1</v>
      </c>
      <c r="I1365" s="2">
        <f t="shared" si="63"/>
        <v>0.34905599999999998</v>
      </c>
      <c r="J1365">
        <f t="shared" si="64"/>
        <v>1.3029339305711086E-2</v>
      </c>
      <c r="K1365">
        <f t="shared" si="65"/>
        <v>9.1161138678506129E-3</v>
      </c>
    </row>
    <row r="1366" spans="1:11" x14ac:dyDescent="0.25">
      <c r="A1366" s="1">
        <v>1988</v>
      </c>
      <c r="B1366" s="1" t="s">
        <v>99</v>
      </c>
      <c r="C1366" t="s">
        <v>7</v>
      </c>
      <c r="D1366" s="1" t="s">
        <v>3</v>
      </c>
      <c r="E1366">
        <v>28</v>
      </c>
      <c r="F1366" s="1" t="s">
        <v>101</v>
      </c>
      <c r="G1366">
        <v>10</v>
      </c>
      <c r="H1366">
        <v>1</v>
      </c>
      <c r="I1366" s="2">
        <f t="shared" si="63"/>
        <v>0.5454</v>
      </c>
      <c r="J1366">
        <f t="shared" si="64"/>
        <v>2.0358342665173574E-2</v>
      </c>
      <c r="K1366">
        <f t="shared" si="65"/>
        <v>1.4243927918516584E-2</v>
      </c>
    </row>
    <row r="1367" spans="1:11" x14ac:dyDescent="0.25">
      <c r="A1367" s="1">
        <v>1988</v>
      </c>
      <c r="B1367" s="1" t="s">
        <v>99</v>
      </c>
      <c r="C1367" t="s">
        <v>7</v>
      </c>
      <c r="D1367" s="1" t="s">
        <v>3</v>
      </c>
      <c r="E1367">
        <v>29</v>
      </c>
      <c r="F1367" s="1" t="s">
        <v>101</v>
      </c>
      <c r="G1367">
        <v>6</v>
      </c>
      <c r="H1367">
        <v>62</v>
      </c>
      <c r="I1367" s="2">
        <f t="shared" si="63"/>
        <v>12.173328</v>
      </c>
      <c r="J1367">
        <f t="shared" si="64"/>
        <v>0.45439820828667415</v>
      </c>
      <c r="K1367">
        <f t="shared" si="65"/>
        <v>0.31792447114129013</v>
      </c>
    </row>
    <row r="1368" spans="1:11" x14ac:dyDescent="0.25">
      <c r="A1368" s="1">
        <v>1988</v>
      </c>
      <c r="B1368" s="1" t="s">
        <v>99</v>
      </c>
      <c r="C1368" t="s">
        <v>7</v>
      </c>
      <c r="D1368" s="1" t="s">
        <v>3</v>
      </c>
      <c r="E1368">
        <v>29</v>
      </c>
      <c r="F1368" s="1" t="s">
        <v>101</v>
      </c>
      <c r="G1368">
        <v>8</v>
      </c>
      <c r="H1368">
        <v>54</v>
      </c>
      <c r="I1368" s="2">
        <f t="shared" si="63"/>
        <v>18.849024</v>
      </c>
      <c r="J1368">
        <f t="shared" si="64"/>
        <v>0.70358432250839864</v>
      </c>
      <c r="K1368">
        <f t="shared" si="65"/>
        <v>0.49227014886393311</v>
      </c>
    </row>
    <row r="1369" spans="1:11" x14ac:dyDescent="0.25">
      <c r="A1369" s="1">
        <v>1988</v>
      </c>
      <c r="B1369" s="1" t="s">
        <v>99</v>
      </c>
      <c r="C1369" t="s">
        <v>7</v>
      </c>
      <c r="D1369" s="1" t="s">
        <v>3</v>
      </c>
      <c r="E1369">
        <v>29</v>
      </c>
      <c r="F1369" s="1" t="s">
        <v>101</v>
      </c>
      <c r="G1369">
        <v>10</v>
      </c>
      <c r="H1369">
        <v>41</v>
      </c>
      <c r="I1369" s="2">
        <f t="shared" si="63"/>
        <v>22.3614</v>
      </c>
      <c r="J1369">
        <f t="shared" si="64"/>
        <v>0.83469204927211649</v>
      </c>
      <c r="K1369">
        <f t="shared" si="65"/>
        <v>0.5840010446591799</v>
      </c>
    </row>
    <row r="1370" spans="1:11" x14ac:dyDescent="0.25">
      <c r="A1370" s="1">
        <v>1988</v>
      </c>
      <c r="B1370" s="1" t="s">
        <v>99</v>
      </c>
      <c r="C1370" t="s">
        <v>7</v>
      </c>
      <c r="D1370" s="1" t="s">
        <v>3</v>
      </c>
      <c r="E1370">
        <v>29</v>
      </c>
      <c r="F1370" s="1" t="s">
        <v>101</v>
      </c>
      <c r="G1370">
        <v>12</v>
      </c>
      <c r="H1370">
        <v>30</v>
      </c>
      <c r="I1370" s="2">
        <f t="shared" si="63"/>
        <v>23.56128</v>
      </c>
      <c r="J1370">
        <f t="shared" si="64"/>
        <v>0.87948040313549836</v>
      </c>
      <c r="K1370">
        <f t="shared" si="65"/>
        <v>0.61533768607991646</v>
      </c>
    </row>
    <row r="1371" spans="1:11" x14ac:dyDescent="0.25">
      <c r="A1371" s="1">
        <v>1988</v>
      </c>
      <c r="B1371" s="1" t="s">
        <v>99</v>
      </c>
      <c r="C1371" t="s">
        <v>7</v>
      </c>
      <c r="D1371" s="1" t="s">
        <v>3</v>
      </c>
      <c r="E1371">
        <v>29</v>
      </c>
      <c r="F1371" s="1" t="s">
        <v>101</v>
      </c>
      <c r="G1371">
        <v>14</v>
      </c>
      <c r="H1371">
        <v>2</v>
      </c>
      <c r="I1371" s="2">
        <f t="shared" si="63"/>
        <v>2.1379679999999999</v>
      </c>
      <c r="J1371">
        <f t="shared" si="64"/>
        <v>7.9804703247480402E-2</v>
      </c>
      <c r="K1371">
        <f t="shared" si="65"/>
        <v>5.5836197440585003E-2</v>
      </c>
    </row>
    <row r="1372" spans="1:11" x14ac:dyDescent="0.25">
      <c r="A1372" s="1">
        <v>1988</v>
      </c>
      <c r="B1372" s="1" t="s">
        <v>99</v>
      </c>
      <c r="C1372" t="s">
        <v>7</v>
      </c>
      <c r="D1372" s="1" t="s">
        <v>3</v>
      </c>
      <c r="E1372">
        <v>30</v>
      </c>
      <c r="F1372" s="1" t="s">
        <v>101</v>
      </c>
      <c r="G1372">
        <v>6</v>
      </c>
      <c r="H1372">
        <v>1</v>
      </c>
      <c r="I1372" s="2">
        <f t="shared" si="63"/>
        <v>0.19634399999999999</v>
      </c>
      <c r="J1372">
        <f t="shared" si="64"/>
        <v>7.3290033594624856E-3</v>
      </c>
      <c r="K1372">
        <f t="shared" si="65"/>
        <v>5.1278140506659693E-3</v>
      </c>
    </row>
    <row r="1373" spans="1:11" x14ac:dyDescent="0.25">
      <c r="A1373" s="1">
        <v>1988</v>
      </c>
      <c r="B1373" s="1" t="s">
        <v>99</v>
      </c>
      <c r="C1373" t="s">
        <v>7</v>
      </c>
      <c r="D1373" s="1" t="s">
        <v>3</v>
      </c>
      <c r="E1373">
        <v>30</v>
      </c>
      <c r="F1373" s="1" t="s">
        <v>101</v>
      </c>
      <c r="G1373">
        <v>8</v>
      </c>
      <c r="H1373">
        <v>3</v>
      </c>
      <c r="I1373" s="2">
        <f t="shared" si="63"/>
        <v>1.0471679999999999</v>
      </c>
      <c r="J1373">
        <f t="shared" si="64"/>
        <v>3.9088017917133254E-2</v>
      </c>
      <c r="K1373">
        <f t="shared" si="65"/>
        <v>2.7348341603551835E-2</v>
      </c>
    </row>
    <row r="1374" spans="1:11" x14ac:dyDescent="0.25">
      <c r="A1374" s="1">
        <v>1988</v>
      </c>
      <c r="B1374" s="1" t="s">
        <v>99</v>
      </c>
      <c r="C1374" t="s">
        <v>7</v>
      </c>
      <c r="D1374" s="1" t="s">
        <v>3</v>
      </c>
      <c r="E1374">
        <v>30</v>
      </c>
      <c r="F1374" s="1" t="s">
        <v>101</v>
      </c>
      <c r="G1374">
        <v>10</v>
      </c>
      <c r="H1374">
        <v>1</v>
      </c>
      <c r="I1374" s="2">
        <f t="shared" si="63"/>
        <v>0.5454</v>
      </c>
      <c r="J1374">
        <f t="shared" si="64"/>
        <v>2.0358342665173574E-2</v>
      </c>
      <c r="K1374">
        <f t="shared" si="65"/>
        <v>1.4243927918516584E-2</v>
      </c>
    </row>
    <row r="1375" spans="1:11" x14ac:dyDescent="0.25">
      <c r="A1375" s="1">
        <v>1988</v>
      </c>
      <c r="B1375" s="1" t="s">
        <v>99</v>
      </c>
      <c r="C1375" t="s">
        <v>7</v>
      </c>
      <c r="D1375" s="1" t="s">
        <v>3</v>
      </c>
      <c r="E1375">
        <v>32</v>
      </c>
      <c r="F1375" s="1" t="s">
        <v>101</v>
      </c>
      <c r="G1375">
        <v>6</v>
      </c>
      <c r="H1375">
        <v>135</v>
      </c>
      <c r="I1375" s="2">
        <f t="shared" si="63"/>
        <v>26.506439999999998</v>
      </c>
      <c r="J1375">
        <f t="shared" si="64"/>
        <v>0.98941545352743554</v>
      </c>
      <c r="K1375">
        <f t="shared" si="65"/>
        <v>0.69225489683990593</v>
      </c>
    </row>
    <row r="1376" spans="1:11" x14ac:dyDescent="0.25">
      <c r="A1376" s="1">
        <v>1988</v>
      </c>
      <c r="B1376" s="1" t="s">
        <v>99</v>
      </c>
      <c r="C1376" t="s">
        <v>7</v>
      </c>
      <c r="D1376" s="1" t="s">
        <v>3</v>
      </c>
      <c r="E1376">
        <v>32</v>
      </c>
      <c r="F1376" s="1" t="s">
        <v>101</v>
      </c>
      <c r="G1376">
        <v>8</v>
      </c>
      <c r="H1376">
        <v>63</v>
      </c>
      <c r="I1376" s="2">
        <f t="shared" si="63"/>
        <v>21.990527999999998</v>
      </c>
      <c r="J1376">
        <f t="shared" si="64"/>
        <v>0.82084837625979834</v>
      </c>
      <c r="K1376">
        <f t="shared" si="65"/>
        <v>0.57431517367458851</v>
      </c>
    </row>
    <row r="1377" spans="1:11" x14ac:dyDescent="0.25">
      <c r="A1377" s="1">
        <v>1988</v>
      </c>
      <c r="B1377" s="1" t="s">
        <v>99</v>
      </c>
      <c r="C1377" t="s">
        <v>7</v>
      </c>
      <c r="D1377" s="1" t="s">
        <v>3</v>
      </c>
      <c r="E1377">
        <v>32</v>
      </c>
      <c r="F1377" s="1" t="s">
        <v>101</v>
      </c>
      <c r="G1377">
        <v>10</v>
      </c>
      <c r="H1377">
        <v>25</v>
      </c>
      <c r="I1377" s="2">
        <f t="shared" si="63"/>
        <v>13.635</v>
      </c>
      <c r="J1377">
        <f t="shared" si="64"/>
        <v>0.50895856662933936</v>
      </c>
      <c r="K1377">
        <f t="shared" si="65"/>
        <v>0.35609819796291459</v>
      </c>
    </row>
    <row r="1378" spans="1:11" x14ac:dyDescent="0.25">
      <c r="A1378" s="1">
        <v>1988</v>
      </c>
      <c r="B1378" s="1" t="s">
        <v>99</v>
      </c>
      <c r="C1378" t="s">
        <v>7</v>
      </c>
      <c r="D1378" s="1" t="s">
        <v>3</v>
      </c>
      <c r="E1378">
        <v>32</v>
      </c>
      <c r="F1378" s="1" t="s">
        <v>101</v>
      </c>
      <c r="G1378">
        <v>12</v>
      </c>
      <c r="H1378">
        <v>9</v>
      </c>
      <c r="I1378" s="2">
        <f t="shared" si="63"/>
        <v>7.068384</v>
      </c>
      <c r="J1378">
        <f t="shared" si="64"/>
        <v>0.26384412094064952</v>
      </c>
      <c r="K1378">
        <f t="shared" si="65"/>
        <v>0.18460130582397494</v>
      </c>
    </row>
    <row r="1379" spans="1:11" x14ac:dyDescent="0.25">
      <c r="A1379" s="1">
        <v>1988</v>
      </c>
      <c r="B1379" s="1" t="s">
        <v>99</v>
      </c>
      <c r="C1379" t="s">
        <v>7</v>
      </c>
      <c r="D1379" s="1" t="s">
        <v>3</v>
      </c>
      <c r="E1379">
        <v>32</v>
      </c>
      <c r="F1379" s="1" t="s">
        <v>101</v>
      </c>
      <c r="G1379">
        <v>14</v>
      </c>
      <c r="H1379">
        <v>5</v>
      </c>
      <c r="I1379" s="2">
        <f t="shared" si="63"/>
        <v>5.3449200000000001</v>
      </c>
      <c r="J1379">
        <f t="shared" si="64"/>
        <v>0.199511758118701</v>
      </c>
      <c r="K1379">
        <f t="shared" si="65"/>
        <v>0.1395904936014625</v>
      </c>
    </row>
    <row r="1380" spans="1:11" x14ac:dyDescent="0.25">
      <c r="A1380" s="1">
        <v>1988</v>
      </c>
      <c r="B1380" s="1" t="s">
        <v>99</v>
      </c>
      <c r="C1380" t="s">
        <v>7</v>
      </c>
      <c r="D1380" s="1" t="s">
        <v>3</v>
      </c>
      <c r="E1380">
        <v>32</v>
      </c>
      <c r="F1380" s="1" t="s">
        <v>101</v>
      </c>
      <c r="G1380">
        <v>16</v>
      </c>
      <c r="H1380">
        <v>3</v>
      </c>
      <c r="I1380" s="2">
        <f t="shared" si="63"/>
        <v>4.1886719999999995</v>
      </c>
      <c r="J1380">
        <f t="shared" si="64"/>
        <v>0.15635207166853302</v>
      </c>
      <c r="K1380">
        <f t="shared" si="65"/>
        <v>0.10939336641420734</v>
      </c>
    </row>
    <row r="1381" spans="1:11" x14ac:dyDescent="0.25">
      <c r="A1381" s="1">
        <v>1988</v>
      </c>
      <c r="B1381" s="1" t="s">
        <v>99</v>
      </c>
      <c r="C1381" t="s">
        <v>7</v>
      </c>
      <c r="D1381" s="1" t="s">
        <v>3</v>
      </c>
      <c r="E1381">
        <v>34</v>
      </c>
      <c r="F1381" s="1" t="s">
        <v>101</v>
      </c>
      <c r="G1381">
        <v>6</v>
      </c>
      <c r="H1381">
        <v>68</v>
      </c>
      <c r="I1381" s="2">
        <f t="shared" si="63"/>
        <v>13.351391999999999</v>
      </c>
      <c r="J1381">
        <f t="shared" si="64"/>
        <v>0.49837222844344903</v>
      </c>
      <c r="K1381">
        <f t="shared" si="65"/>
        <v>0.34869135544528596</v>
      </c>
    </row>
    <row r="1382" spans="1:11" x14ac:dyDescent="0.25">
      <c r="A1382" s="1">
        <v>1988</v>
      </c>
      <c r="B1382" s="1" t="s">
        <v>99</v>
      </c>
      <c r="C1382" t="s">
        <v>7</v>
      </c>
      <c r="D1382" s="1" t="s">
        <v>3</v>
      </c>
      <c r="E1382">
        <v>34</v>
      </c>
      <c r="F1382" s="1" t="s">
        <v>101</v>
      </c>
      <c r="G1382">
        <v>8</v>
      </c>
      <c r="H1382">
        <v>43</v>
      </c>
      <c r="I1382" s="2">
        <f t="shared" si="63"/>
        <v>15.009407999999999</v>
      </c>
      <c r="J1382">
        <f t="shared" si="64"/>
        <v>0.56026159014557664</v>
      </c>
      <c r="K1382">
        <f t="shared" si="65"/>
        <v>0.39199289631757633</v>
      </c>
    </row>
    <row r="1383" spans="1:11" x14ac:dyDescent="0.25">
      <c r="A1383" s="1">
        <v>1988</v>
      </c>
      <c r="B1383" s="1" t="s">
        <v>99</v>
      </c>
      <c r="C1383" t="s">
        <v>7</v>
      </c>
      <c r="D1383" s="1" t="s">
        <v>3</v>
      </c>
      <c r="E1383">
        <v>34</v>
      </c>
      <c r="F1383" s="1" t="s">
        <v>101</v>
      </c>
      <c r="G1383">
        <v>10</v>
      </c>
      <c r="H1383">
        <v>45</v>
      </c>
      <c r="I1383" s="2">
        <f t="shared" si="63"/>
        <v>24.542999999999999</v>
      </c>
      <c r="J1383">
        <f t="shared" si="64"/>
        <v>0.91612541993281071</v>
      </c>
      <c r="K1383">
        <f t="shared" si="65"/>
        <v>0.64097675633324624</v>
      </c>
    </row>
    <row r="1384" spans="1:11" x14ac:dyDescent="0.25">
      <c r="A1384" s="1">
        <v>1988</v>
      </c>
      <c r="B1384" s="1" t="s">
        <v>99</v>
      </c>
      <c r="C1384" t="s">
        <v>7</v>
      </c>
      <c r="D1384" s="1" t="s">
        <v>3</v>
      </c>
      <c r="E1384">
        <v>34</v>
      </c>
      <c r="F1384" s="1" t="s">
        <v>101</v>
      </c>
      <c r="G1384">
        <v>12</v>
      </c>
      <c r="H1384">
        <v>33</v>
      </c>
      <c r="I1384" s="2">
        <f t="shared" si="63"/>
        <v>25.917407999999998</v>
      </c>
      <c r="J1384">
        <f t="shared" si="64"/>
        <v>0.9674284434490481</v>
      </c>
      <c r="K1384">
        <f t="shared" si="65"/>
        <v>0.67687145468790799</v>
      </c>
    </row>
    <row r="1385" spans="1:11" x14ac:dyDescent="0.25">
      <c r="A1385" s="1">
        <v>1988</v>
      </c>
      <c r="B1385" s="1" t="s">
        <v>99</v>
      </c>
      <c r="C1385" t="s">
        <v>7</v>
      </c>
      <c r="D1385" s="1" t="s">
        <v>3</v>
      </c>
      <c r="E1385">
        <v>34</v>
      </c>
      <c r="F1385" s="1" t="s">
        <v>101</v>
      </c>
      <c r="G1385">
        <v>14</v>
      </c>
      <c r="H1385">
        <v>24</v>
      </c>
      <c r="I1385" s="2">
        <f t="shared" si="63"/>
        <v>25.655615999999998</v>
      </c>
      <c r="J1385">
        <f t="shared" si="64"/>
        <v>0.95765643896976482</v>
      </c>
      <c r="K1385">
        <f t="shared" si="65"/>
        <v>0.67003436928702009</v>
      </c>
    </row>
    <row r="1386" spans="1:11" x14ac:dyDescent="0.25">
      <c r="A1386" s="1">
        <v>1988</v>
      </c>
      <c r="B1386" s="1" t="s">
        <v>99</v>
      </c>
      <c r="C1386" t="s">
        <v>7</v>
      </c>
      <c r="D1386" s="1" t="s">
        <v>3</v>
      </c>
      <c r="E1386">
        <v>34</v>
      </c>
      <c r="F1386" s="1" t="s">
        <v>101</v>
      </c>
      <c r="G1386">
        <v>16</v>
      </c>
      <c r="H1386">
        <v>28</v>
      </c>
      <c r="I1386" s="2">
        <f t="shared" si="63"/>
        <v>39.094271999999997</v>
      </c>
      <c r="J1386">
        <f t="shared" si="64"/>
        <v>1.4592860022396417</v>
      </c>
      <c r="K1386">
        <f t="shared" si="65"/>
        <v>1.0210047531992688</v>
      </c>
    </row>
    <row r="1387" spans="1:11" x14ac:dyDescent="0.25">
      <c r="A1387" s="1">
        <v>1988</v>
      </c>
      <c r="B1387" s="1" t="s">
        <v>99</v>
      </c>
      <c r="C1387" t="s">
        <v>7</v>
      </c>
      <c r="D1387" s="1" t="s">
        <v>3</v>
      </c>
      <c r="E1387">
        <v>38</v>
      </c>
      <c r="F1387" s="1" t="s">
        <v>101</v>
      </c>
      <c r="G1387">
        <v>6</v>
      </c>
      <c r="H1387">
        <v>60</v>
      </c>
      <c r="I1387" s="2">
        <f t="shared" si="63"/>
        <v>11.78064</v>
      </c>
      <c r="J1387">
        <f t="shared" si="64"/>
        <v>0.43974020156774918</v>
      </c>
      <c r="K1387">
        <f t="shared" si="65"/>
        <v>0.30766884303995823</v>
      </c>
    </row>
    <row r="1388" spans="1:11" x14ac:dyDescent="0.25">
      <c r="A1388" s="1">
        <v>1988</v>
      </c>
      <c r="B1388" s="1" t="s">
        <v>99</v>
      </c>
      <c r="C1388" t="s">
        <v>7</v>
      </c>
      <c r="D1388" s="1" t="s">
        <v>3</v>
      </c>
      <c r="E1388">
        <v>38</v>
      </c>
      <c r="F1388" s="1" t="s">
        <v>101</v>
      </c>
      <c r="G1388">
        <v>8</v>
      </c>
      <c r="H1388">
        <v>104</v>
      </c>
      <c r="I1388" s="2">
        <f t="shared" si="63"/>
        <v>36.301823999999996</v>
      </c>
      <c r="J1388">
        <f t="shared" si="64"/>
        <v>1.3550512877939529</v>
      </c>
      <c r="K1388">
        <f t="shared" si="65"/>
        <v>0.94807584225646369</v>
      </c>
    </row>
    <row r="1389" spans="1:11" x14ac:dyDescent="0.25">
      <c r="A1389" s="1">
        <v>1988</v>
      </c>
      <c r="B1389" s="1" t="s">
        <v>99</v>
      </c>
      <c r="C1389" t="s">
        <v>7</v>
      </c>
      <c r="D1389" s="1" t="s">
        <v>3</v>
      </c>
      <c r="E1389">
        <v>38</v>
      </c>
      <c r="F1389" s="1" t="s">
        <v>101</v>
      </c>
      <c r="G1389">
        <v>10</v>
      </c>
      <c r="H1389">
        <v>97</v>
      </c>
      <c r="I1389" s="2">
        <f t="shared" si="63"/>
        <v>52.903799999999997</v>
      </c>
      <c r="J1389">
        <f t="shared" si="64"/>
        <v>1.9747592385218364</v>
      </c>
      <c r="K1389">
        <f t="shared" si="65"/>
        <v>1.3816610080961085</v>
      </c>
    </row>
    <row r="1390" spans="1:11" x14ac:dyDescent="0.25">
      <c r="A1390" s="1">
        <v>1988</v>
      </c>
      <c r="B1390" s="1" t="s">
        <v>99</v>
      </c>
      <c r="C1390" t="s">
        <v>7</v>
      </c>
      <c r="D1390" s="1" t="s">
        <v>3</v>
      </c>
      <c r="E1390">
        <v>38</v>
      </c>
      <c r="F1390" s="1" t="s">
        <v>101</v>
      </c>
      <c r="G1390">
        <v>12</v>
      </c>
      <c r="H1390">
        <v>101</v>
      </c>
      <c r="I1390" s="2">
        <f t="shared" si="63"/>
        <v>79.322975999999997</v>
      </c>
      <c r="J1390">
        <f t="shared" si="64"/>
        <v>2.9609173572228444</v>
      </c>
      <c r="K1390">
        <f t="shared" si="65"/>
        <v>2.0716368764690518</v>
      </c>
    </row>
    <row r="1391" spans="1:11" x14ac:dyDescent="0.25">
      <c r="A1391" s="1">
        <v>1988</v>
      </c>
      <c r="B1391" s="1" t="s">
        <v>99</v>
      </c>
      <c r="C1391" t="s">
        <v>7</v>
      </c>
      <c r="D1391" s="1" t="s">
        <v>3</v>
      </c>
      <c r="E1391">
        <v>38</v>
      </c>
      <c r="F1391" s="1" t="s">
        <v>101</v>
      </c>
      <c r="G1391">
        <v>14</v>
      </c>
      <c r="H1391">
        <v>107</v>
      </c>
      <c r="I1391" s="2">
        <f t="shared" si="63"/>
        <v>114.381288</v>
      </c>
      <c r="J1391">
        <f t="shared" si="64"/>
        <v>4.2695516237402016</v>
      </c>
      <c r="K1391">
        <f t="shared" si="65"/>
        <v>2.9872365630712978</v>
      </c>
    </row>
    <row r="1392" spans="1:11" x14ac:dyDescent="0.25">
      <c r="A1392" s="1">
        <v>1988</v>
      </c>
      <c r="B1392" s="1" t="s">
        <v>99</v>
      </c>
      <c r="C1392" t="s">
        <v>7</v>
      </c>
      <c r="D1392" s="1" t="s">
        <v>3</v>
      </c>
      <c r="E1392">
        <v>38</v>
      </c>
      <c r="F1392" s="1" t="s">
        <v>101</v>
      </c>
      <c r="G1392">
        <v>16</v>
      </c>
      <c r="H1392">
        <v>62</v>
      </c>
      <c r="I1392" s="2">
        <f t="shared" si="63"/>
        <v>86.565888000000001</v>
      </c>
      <c r="J1392">
        <f t="shared" si="64"/>
        <v>3.2312761478163496</v>
      </c>
      <c r="K1392">
        <f t="shared" si="65"/>
        <v>2.2607962392269521</v>
      </c>
    </row>
    <row r="1393" spans="1:11" x14ac:dyDescent="0.25">
      <c r="A1393" s="1">
        <v>1988</v>
      </c>
      <c r="B1393" s="1" t="s">
        <v>99</v>
      </c>
      <c r="C1393" t="s">
        <v>7</v>
      </c>
      <c r="D1393" s="1" t="s">
        <v>3</v>
      </c>
      <c r="E1393">
        <v>40</v>
      </c>
      <c r="F1393" s="1" t="s">
        <v>101</v>
      </c>
      <c r="G1393">
        <v>6</v>
      </c>
      <c r="H1393">
        <v>73</v>
      </c>
      <c r="I1393" s="2">
        <f t="shared" si="63"/>
        <v>14.333112</v>
      </c>
      <c r="J1393">
        <f t="shared" si="64"/>
        <v>0.53501724524076144</v>
      </c>
      <c r="K1393">
        <f t="shared" si="65"/>
        <v>0.3743304256986158</v>
      </c>
    </row>
    <row r="1394" spans="1:11" x14ac:dyDescent="0.25">
      <c r="A1394" s="1">
        <v>1988</v>
      </c>
      <c r="B1394" s="1" t="s">
        <v>99</v>
      </c>
      <c r="C1394" t="s">
        <v>7</v>
      </c>
      <c r="D1394" s="1" t="s">
        <v>3</v>
      </c>
      <c r="E1394">
        <v>40</v>
      </c>
      <c r="F1394" s="1" t="s">
        <v>101</v>
      </c>
      <c r="G1394">
        <v>8</v>
      </c>
      <c r="H1394">
        <v>72</v>
      </c>
      <c r="I1394" s="2">
        <f t="shared" si="63"/>
        <v>25.132031999999999</v>
      </c>
      <c r="J1394">
        <f t="shared" si="64"/>
        <v>0.93811243001119815</v>
      </c>
      <c r="K1394">
        <f t="shared" si="65"/>
        <v>0.65636019848524407</v>
      </c>
    </row>
    <row r="1395" spans="1:11" x14ac:dyDescent="0.25">
      <c r="A1395" s="1">
        <v>1988</v>
      </c>
      <c r="B1395" s="1" t="s">
        <v>99</v>
      </c>
      <c r="C1395" t="s">
        <v>7</v>
      </c>
      <c r="D1395" s="1" t="s">
        <v>3</v>
      </c>
      <c r="E1395">
        <v>40</v>
      </c>
      <c r="F1395" s="1" t="s">
        <v>101</v>
      </c>
      <c r="G1395">
        <v>10</v>
      </c>
      <c r="H1395">
        <v>74</v>
      </c>
      <c r="I1395" s="2">
        <f t="shared" si="63"/>
        <v>40.3596</v>
      </c>
      <c r="J1395">
        <f t="shared" si="64"/>
        <v>1.5065173572228443</v>
      </c>
      <c r="K1395">
        <f t="shared" si="65"/>
        <v>1.0540506659702271</v>
      </c>
    </row>
    <row r="1396" spans="1:11" x14ac:dyDescent="0.25">
      <c r="A1396" s="1">
        <v>1988</v>
      </c>
      <c r="B1396" s="1" t="s">
        <v>99</v>
      </c>
      <c r="C1396" t="s">
        <v>7</v>
      </c>
      <c r="D1396" s="1" t="s">
        <v>3</v>
      </c>
      <c r="E1396">
        <v>40</v>
      </c>
      <c r="F1396" s="1" t="s">
        <v>101</v>
      </c>
      <c r="G1396">
        <v>12</v>
      </c>
      <c r="H1396">
        <v>83</v>
      </c>
      <c r="I1396" s="2">
        <f t="shared" si="63"/>
        <v>65.186207999999993</v>
      </c>
      <c r="J1396">
        <f t="shared" si="64"/>
        <v>2.4332291153415451</v>
      </c>
      <c r="K1396">
        <f t="shared" si="65"/>
        <v>1.7024342648211017</v>
      </c>
    </row>
    <row r="1397" spans="1:11" x14ac:dyDescent="0.25">
      <c r="A1397" s="1">
        <v>1988</v>
      </c>
      <c r="B1397" s="1" t="s">
        <v>99</v>
      </c>
      <c r="C1397" t="s">
        <v>7</v>
      </c>
      <c r="D1397" s="1" t="s">
        <v>3</v>
      </c>
      <c r="E1397">
        <v>40</v>
      </c>
      <c r="F1397" s="1" t="s">
        <v>101</v>
      </c>
      <c r="G1397">
        <v>14</v>
      </c>
      <c r="H1397">
        <v>105</v>
      </c>
      <c r="I1397" s="2">
        <f t="shared" si="63"/>
        <v>112.24332</v>
      </c>
      <c r="J1397">
        <f t="shared" si="64"/>
        <v>4.1897469204927216</v>
      </c>
      <c r="K1397">
        <f t="shared" si="65"/>
        <v>2.9314003656307133</v>
      </c>
    </row>
    <row r="1398" spans="1:11" x14ac:dyDescent="0.25">
      <c r="A1398" s="1">
        <v>1988</v>
      </c>
      <c r="B1398" s="1" t="s">
        <v>99</v>
      </c>
      <c r="C1398" t="s">
        <v>7</v>
      </c>
      <c r="D1398" s="1" t="s">
        <v>3</v>
      </c>
      <c r="E1398">
        <v>40</v>
      </c>
      <c r="F1398" s="1" t="s">
        <v>101</v>
      </c>
      <c r="G1398">
        <v>16</v>
      </c>
      <c r="H1398">
        <v>88</v>
      </c>
      <c r="I1398" s="2">
        <f t="shared" si="63"/>
        <v>122.867712</v>
      </c>
      <c r="J1398">
        <f t="shared" si="64"/>
        <v>4.5863274356103023</v>
      </c>
      <c r="K1398">
        <f t="shared" si="65"/>
        <v>3.208872081483416</v>
      </c>
    </row>
    <row r="1399" spans="1:11" x14ac:dyDescent="0.25">
      <c r="A1399" s="1">
        <v>1988</v>
      </c>
      <c r="B1399" s="1" t="s">
        <v>99</v>
      </c>
      <c r="C1399" t="s">
        <v>7</v>
      </c>
      <c r="D1399" s="1" t="s">
        <v>3</v>
      </c>
      <c r="E1399">
        <v>41</v>
      </c>
      <c r="F1399" s="1" t="s">
        <v>101</v>
      </c>
      <c r="G1399">
        <v>8</v>
      </c>
      <c r="H1399">
        <v>1</v>
      </c>
      <c r="I1399" s="2">
        <f t="shared" si="63"/>
        <v>0.34905599999999998</v>
      </c>
      <c r="J1399">
        <f t="shared" si="64"/>
        <v>1.3029339305711086E-2</v>
      </c>
      <c r="K1399">
        <f t="shared" si="65"/>
        <v>9.1161138678506129E-3</v>
      </c>
    </row>
    <row r="1400" spans="1:11" x14ac:dyDescent="0.25">
      <c r="A1400" s="1">
        <v>1988</v>
      </c>
      <c r="B1400" s="1" t="s">
        <v>99</v>
      </c>
      <c r="C1400" t="s">
        <v>7</v>
      </c>
      <c r="D1400" s="1" t="s">
        <v>3</v>
      </c>
      <c r="E1400">
        <v>41</v>
      </c>
      <c r="F1400" s="1" t="s">
        <v>101</v>
      </c>
      <c r="G1400">
        <v>10</v>
      </c>
      <c r="H1400">
        <v>3</v>
      </c>
      <c r="I1400" s="2">
        <f t="shared" si="63"/>
        <v>1.6362000000000001</v>
      </c>
      <c r="J1400">
        <f t="shared" si="64"/>
        <v>6.1075027995520725E-2</v>
      </c>
      <c r="K1400">
        <f t="shared" si="65"/>
        <v>4.2731783755549757E-2</v>
      </c>
    </row>
    <row r="1401" spans="1:11" x14ac:dyDescent="0.25">
      <c r="A1401" s="1">
        <v>1988</v>
      </c>
      <c r="B1401" s="1" t="s">
        <v>99</v>
      </c>
      <c r="C1401" t="s">
        <v>7</v>
      </c>
      <c r="D1401" s="1" t="s">
        <v>3</v>
      </c>
      <c r="E1401">
        <v>41</v>
      </c>
      <c r="F1401" s="1" t="s">
        <v>101</v>
      </c>
      <c r="G1401">
        <v>12</v>
      </c>
      <c r="H1401">
        <v>2</v>
      </c>
      <c r="I1401" s="2">
        <f t="shared" si="63"/>
        <v>1.5707519999999999</v>
      </c>
      <c r="J1401">
        <f t="shared" si="64"/>
        <v>5.8632026875699884E-2</v>
      </c>
      <c r="K1401">
        <f t="shared" si="65"/>
        <v>4.1022512405327755E-2</v>
      </c>
    </row>
    <row r="1402" spans="1:11" x14ac:dyDescent="0.25">
      <c r="A1402" s="1">
        <v>1988</v>
      </c>
      <c r="B1402" s="1" t="s">
        <v>99</v>
      </c>
      <c r="C1402" t="s">
        <v>7</v>
      </c>
      <c r="D1402" s="1" t="s">
        <v>3</v>
      </c>
      <c r="E1402">
        <v>41</v>
      </c>
      <c r="F1402" s="1" t="s">
        <v>101</v>
      </c>
      <c r="G1402">
        <v>14</v>
      </c>
      <c r="H1402">
        <v>5</v>
      </c>
      <c r="I1402" s="2">
        <f t="shared" si="63"/>
        <v>5.3449200000000001</v>
      </c>
      <c r="J1402">
        <f t="shared" si="64"/>
        <v>0.199511758118701</v>
      </c>
      <c r="K1402">
        <f t="shared" si="65"/>
        <v>0.1395904936014625</v>
      </c>
    </row>
    <row r="1403" spans="1:11" x14ac:dyDescent="0.25">
      <c r="A1403" s="1">
        <v>1988</v>
      </c>
      <c r="B1403" s="1" t="s">
        <v>99</v>
      </c>
      <c r="C1403" t="s">
        <v>7</v>
      </c>
      <c r="D1403" s="1" t="s">
        <v>3</v>
      </c>
      <c r="E1403">
        <v>41</v>
      </c>
      <c r="F1403" s="1" t="s">
        <v>101</v>
      </c>
      <c r="G1403">
        <v>16</v>
      </c>
      <c r="H1403">
        <v>1</v>
      </c>
      <c r="I1403" s="2">
        <f t="shared" si="63"/>
        <v>1.3962239999999999</v>
      </c>
      <c r="J1403">
        <f t="shared" si="64"/>
        <v>5.2117357222844343E-2</v>
      </c>
      <c r="K1403">
        <f t="shared" si="65"/>
        <v>3.6464455471402452E-2</v>
      </c>
    </row>
    <row r="1404" spans="1:11" x14ac:dyDescent="0.25">
      <c r="A1404" s="1">
        <v>1988</v>
      </c>
      <c r="B1404" s="1" t="s">
        <v>99</v>
      </c>
      <c r="C1404" t="s">
        <v>7</v>
      </c>
      <c r="D1404" s="1" t="s">
        <v>3</v>
      </c>
      <c r="E1404">
        <v>47</v>
      </c>
      <c r="F1404" s="1" t="s">
        <v>101</v>
      </c>
      <c r="G1404">
        <v>6</v>
      </c>
      <c r="H1404">
        <v>2</v>
      </c>
      <c r="I1404" s="2">
        <f t="shared" si="63"/>
        <v>0.39268799999999998</v>
      </c>
      <c r="J1404">
        <f t="shared" si="64"/>
        <v>1.4658006718924971E-2</v>
      </c>
      <c r="K1404">
        <f t="shared" si="65"/>
        <v>1.0255628101331939E-2</v>
      </c>
    </row>
    <row r="1405" spans="1:11" x14ac:dyDescent="0.25">
      <c r="A1405" s="1">
        <v>1988</v>
      </c>
      <c r="B1405" s="1" t="s">
        <v>99</v>
      </c>
      <c r="C1405" t="s">
        <v>7</v>
      </c>
      <c r="D1405" s="1" t="s">
        <v>3</v>
      </c>
      <c r="E1405">
        <v>47</v>
      </c>
      <c r="F1405" s="1" t="s">
        <v>101</v>
      </c>
      <c r="G1405">
        <v>8</v>
      </c>
      <c r="H1405">
        <v>1</v>
      </c>
      <c r="I1405" s="2">
        <f t="shared" si="63"/>
        <v>0.34905599999999998</v>
      </c>
      <c r="J1405">
        <f t="shared" si="64"/>
        <v>1.3029339305711086E-2</v>
      </c>
      <c r="K1405">
        <f t="shared" si="65"/>
        <v>9.1161138678506129E-3</v>
      </c>
    </row>
    <row r="1406" spans="1:11" x14ac:dyDescent="0.25">
      <c r="A1406" s="1">
        <v>1988</v>
      </c>
      <c r="B1406" s="1" t="s">
        <v>99</v>
      </c>
      <c r="C1406" t="s">
        <v>7</v>
      </c>
      <c r="D1406" s="1" t="s">
        <v>3</v>
      </c>
      <c r="E1406">
        <v>47</v>
      </c>
      <c r="F1406" s="1" t="s">
        <v>101</v>
      </c>
      <c r="G1406">
        <v>10</v>
      </c>
      <c r="H1406">
        <v>6</v>
      </c>
      <c r="I1406" s="2">
        <f t="shared" si="63"/>
        <v>3.2724000000000002</v>
      </c>
      <c r="J1406">
        <f t="shared" si="64"/>
        <v>0.12215005599104145</v>
      </c>
      <c r="K1406">
        <f t="shared" si="65"/>
        <v>8.5463567511099514E-2</v>
      </c>
    </row>
    <row r="1407" spans="1:11" x14ac:dyDescent="0.25">
      <c r="A1407" s="1">
        <v>1988</v>
      </c>
      <c r="B1407" s="1" t="s">
        <v>99</v>
      </c>
      <c r="C1407" t="s">
        <v>7</v>
      </c>
      <c r="D1407" s="1" t="s">
        <v>3</v>
      </c>
      <c r="E1407">
        <v>47</v>
      </c>
      <c r="F1407" s="1" t="s">
        <v>101</v>
      </c>
      <c r="G1407">
        <v>14</v>
      </c>
      <c r="H1407">
        <v>1</v>
      </c>
      <c r="I1407" s="2">
        <f t="shared" si="63"/>
        <v>1.0689839999999999</v>
      </c>
      <c r="J1407">
        <f t="shared" si="64"/>
        <v>3.9902351623740201E-2</v>
      </c>
      <c r="K1407">
        <f t="shared" si="65"/>
        <v>2.7918098720292502E-2</v>
      </c>
    </row>
    <row r="1408" spans="1:11" x14ac:dyDescent="0.25">
      <c r="A1408" s="1">
        <v>1988</v>
      </c>
      <c r="B1408" s="1" t="s">
        <v>99</v>
      </c>
      <c r="C1408" t="s">
        <v>7</v>
      </c>
      <c r="D1408" s="1" t="s">
        <v>3</v>
      </c>
      <c r="E1408">
        <v>47</v>
      </c>
      <c r="F1408" s="1" t="s">
        <v>101</v>
      </c>
      <c r="G1408">
        <v>16</v>
      </c>
      <c r="H1408">
        <v>2</v>
      </c>
      <c r="I1408" s="2">
        <f t="shared" si="63"/>
        <v>2.7924479999999998</v>
      </c>
      <c r="J1408">
        <f t="shared" si="64"/>
        <v>0.10423471444568869</v>
      </c>
      <c r="K1408">
        <f t="shared" si="65"/>
        <v>7.2928910942804903E-2</v>
      </c>
    </row>
    <row r="1409" spans="1:11" x14ac:dyDescent="0.25">
      <c r="A1409" s="1">
        <v>1988</v>
      </c>
      <c r="B1409" s="1" t="s">
        <v>99</v>
      </c>
      <c r="C1409" t="s">
        <v>7</v>
      </c>
      <c r="D1409" s="1" t="s">
        <v>3</v>
      </c>
      <c r="E1409">
        <v>53</v>
      </c>
      <c r="F1409" s="1" t="s">
        <v>101</v>
      </c>
      <c r="G1409">
        <v>6</v>
      </c>
      <c r="H1409">
        <v>37</v>
      </c>
      <c r="I1409" s="2">
        <f t="shared" si="63"/>
        <v>7.2647279999999999</v>
      </c>
      <c r="J1409">
        <f t="shared" si="64"/>
        <v>0.27117312430011198</v>
      </c>
      <c r="K1409">
        <f t="shared" si="65"/>
        <v>0.18972911987464089</v>
      </c>
    </row>
    <row r="1410" spans="1:11" x14ac:dyDescent="0.25">
      <c r="A1410" s="1">
        <v>1988</v>
      </c>
      <c r="B1410" s="1" t="s">
        <v>99</v>
      </c>
      <c r="C1410" t="s">
        <v>7</v>
      </c>
      <c r="D1410" s="1" t="s">
        <v>3</v>
      </c>
      <c r="E1410">
        <v>53</v>
      </c>
      <c r="F1410" s="1" t="s">
        <v>101</v>
      </c>
      <c r="G1410">
        <v>8</v>
      </c>
      <c r="H1410">
        <v>20</v>
      </c>
      <c r="I1410" s="2">
        <f t="shared" si="63"/>
        <v>6.9811199999999998</v>
      </c>
      <c r="J1410">
        <f t="shared" si="64"/>
        <v>0.2605867861142217</v>
      </c>
      <c r="K1410">
        <f t="shared" si="65"/>
        <v>0.18232227735701226</v>
      </c>
    </row>
    <row r="1411" spans="1:11" x14ac:dyDescent="0.25">
      <c r="A1411" s="1">
        <v>1988</v>
      </c>
      <c r="B1411" s="1" t="s">
        <v>99</v>
      </c>
      <c r="C1411" t="s">
        <v>7</v>
      </c>
      <c r="D1411" s="1" t="s">
        <v>3</v>
      </c>
      <c r="E1411">
        <v>53</v>
      </c>
      <c r="F1411" s="1" t="s">
        <v>101</v>
      </c>
      <c r="G1411">
        <v>10</v>
      </c>
      <c r="H1411">
        <v>27</v>
      </c>
      <c r="I1411" s="2">
        <f t="shared" ref="I1411:I1474" si="66">0.005454*G1411^2*H1411</f>
        <v>14.7258</v>
      </c>
      <c r="J1411">
        <f t="shared" ref="J1411:J1474" si="67">I1411/26.79</f>
        <v>0.54967525195968647</v>
      </c>
      <c r="K1411">
        <f t="shared" ref="K1411:K1474" si="68">J1411*(26.79/38.29)</f>
        <v>0.38458605379994776</v>
      </c>
    </row>
    <row r="1412" spans="1:11" x14ac:dyDescent="0.25">
      <c r="A1412" s="1">
        <v>1988</v>
      </c>
      <c r="B1412" s="1" t="s">
        <v>99</v>
      </c>
      <c r="C1412" t="s">
        <v>7</v>
      </c>
      <c r="D1412" s="1" t="s">
        <v>3</v>
      </c>
      <c r="E1412">
        <v>53</v>
      </c>
      <c r="F1412" s="1" t="s">
        <v>101</v>
      </c>
      <c r="G1412">
        <v>12</v>
      </c>
      <c r="H1412">
        <v>11</v>
      </c>
      <c r="I1412" s="2">
        <f t="shared" si="66"/>
        <v>8.6391359999999988</v>
      </c>
      <c r="J1412">
        <f t="shared" si="67"/>
        <v>0.32247614781634937</v>
      </c>
      <c r="K1412">
        <f t="shared" si="68"/>
        <v>0.22562381822930266</v>
      </c>
    </row>
    <row r="1413" spans="1:11" x14ac:dyDescent="0.25">
      <c r="A1413" s="1">
        <v>1988</v>
      </c>
      <c r="B1413" s="1" t="s">
        <v>99</v>
      </c>
      <c r="C1413" t="s">
        <v>7</v>
      </c>
      <c r="D1413" s="1" t="s">
        <v>3</v>
      </c>
      <c r="E1413">
        <v>53</v>
      </c>
      <c r="F1413" s="1" t="s">
        <v>101</v>
      </c>
      <c r="G1413">
        <v>14</v>
      </c>
      <c r="H1413">
        <v>13</v>
      </c>
      <c r="I1413" s="2">
        <f t="shared" si="66"/>
        <v>13.896792</v>
      </c>
      <c r="J1413">
        <f t="shared" si="67"/>
        <v>0.51873057110862264</v>
      </c>
      <c r="K1413">
        <f t="shared" si="68"/>
        <v>0.36293528336380254</v>
      </c>
    </row>
    <row r="1414" spans="1:11" x14ac:dyDescent="0.25">
      <c r="A1414" s="1">
        <v>1988</v>
      </c>
      <c r="B1414" s="1" t="s">
        <v>99</v>
      </c>
      <c r="C1414" t="s">
        <v>7</v>
      </c>
      <c r="D1414" s="1" t="s">
        <v>3</v>
      </c>
      <c r="E1414">
        <v>53</v>
      </c>
      <c r="F1414" s="1" t="s">
        <v>101</v>
      </c>
      <c r="G1414">
        <v>16</v>
      </c>
      <c r="H1414">
        <v>11</v>
      </c>
      <c r="I1414" s="2">
        <f t="shared" si="66"/>
        <v>15.358464</v>
      </c>
      <c r="J1414">
        <f t="shared" si="67"/>
        <v>0.57329092945128779</v>
      </c>
      <c r="K1414">
        <f t="shared" si="68"/>
        <v>0.401109010185427</v>
      </c>
    </row>
    <row r="1415" spans="1:11" x14ac:dyDescent="0.25">
      <c r="A1415" s="1">
        <v>1988</v>
      </c>
      <c r="B1415" s="1" t="s">
        <v>99</v>
      </c>
      <c r="C1415" t="s">
        <v>7</v>
      </c>
      <c r="D1415" s="1" t="s">
        <v>3</v>
      </c>
      <c r="E1415">
        <v>54</v>
      </c>
      <c r="F1415" s="1" t="s">
        <v>101</v>
      </c>
      <c r="G1415">
        <v>6</v>
      </c>
      <c r="H1415">
        <v>50</v>
      </c>
      <c r="I1415" s="2">
        <f t="shared" si="66"/>
        <v>9.8171999999999997</v>
      </c>
      <c r="J1415">
        <f t="shared" si="67"/>
        <v>0.3664501679731243</v>
      </c>
      <c r="K1415">
        <f t="shared" si="68"/>
        <v>0.25639070253329849</v>
      </c>
    </row>
    <row r="1416" spans="1:11" x14ac:dyDescent="0.25">
      <c r="A1416" s="1">
        <v>1988</v>
      </c>
      <c r="B1416" s="1" t="s">
        <v>99</v>
      </c>
      <c r="C1416" t="s">
        <v>7</v>
      </c>
      <c r="D1416" s="1" t="s">
        <v>3</v>
      </c>
      <c r="E1416">
        <v>54</v>
      </c>
      <c r="F1416" s="1" t="s">
        <v>101</v>
      </c>
      <c r="G1416">
        <v>8</v>
      </c>
      <c r="H1416">
        <v>23</v>
      </c>
      <c r="I1416" s="2">
        <f t="shared" si="66"/>
        <v>8.0282879999999999</v>
      </c>
      <c r="J1416">
        <f t="shared" si="67"/>
        <v>0.29967480403135499</v>
      </c>
      <c r="K1416">
        <f t="shared" si="68"/>
        <v>0.2096706189605641</v>
      </c>
    </row>
    <row r="1417" spans="1:11" x14ac:dyDescent="0.25">
      <c r="A1417" s="1">
        <v>1988</v>
      </c>
      <c r="B1417" s="1" t="s">
        <v>99</v>
      </c>
      <c r="C1417" t="s">
        <v>7</v>
      </c>
      <c r="D1417" s="1" t="s">
        <v>3</v>
      </c>
      <c r="E1417">
        <v>54</v>
      </c>
      <c r="F1417" s="1" t="s">
        <v>101</v>
      </c>
      <c r="G1417">
        <v>10</v>
      </c>
      <c r="H1417">
        <v>30</v>
      </c>
      <c r="I1417" s="2">
        <f t="shared" si="66"/>
        <v>16.361999999999998</v>
      </c>
      <c r="J1417">
        <f t="shared" si="67"/>
        <v>0.61075027995520714</v>
      </c>
      <c r="K1417">
        <f t="shared" si="68"/>
        <v>0.42731783755549746</v>
      </c>
    </row>
    <row r="1418" spans="1:11" x14ac:dyDescent="0.25">
      <c r="A1418" s="1">
        <v>1988</v>
      </c>
      <c r="B1418" s="1" t="s">
        <v>99</v>
      </c>
      <c r="C1418" t="s">
        <v>7</v>
      </c>
      <c r="D1418" s="1" t="s">
        <v>3</v>
      </c>
      <c r="E1418">
        <v>54</v>
      </c>
      <c r="F1418" s="1" t="s">
        <v>101</v>
      </c>
      <c r="G1418">
        <v>12</v>
      </c>
      <c r="H1418">
        <v>11</v>
      </c>
      <c r="I1418" s="2">
        <f t="shared" si="66"/>
        <v>8.6391359999999988</v>
      </c>
      <c r="J1418">
        <f t="shared" si="67"/>
        <v>0.32247614781634937</v>
      </c>
      <c r="K1418">
        <f t="shared" si="68"/>
        <v>0.22562381822930266</v>
      </c>
    </row>
    <row r="1419" spans="1:11" x14ac:dyDescent="0.25">
      <c r="A1419" s="1">
        <v>1988</v>
      </c>
      <c r="B1419" s="1" t="s">
        <v>99</v>
      </c>
      <c r="C1419" t="s">
        <v>7</v>
      </c>
      <c r="D1419" s="1" t="s">
        <v>3</v>
      </c>
      <c r="E1419">
        <v>54</v>
      </c>
      <c r="F1419" s="1" t="s">
        <v>101</v>
      </c>
      <c r="G1419">
        <v>14</v>
      </c>
      <c r="H1419">
        <v>8</v>
      </c>
      <c r="I1419" s="2">
        <f t="shared" si="66"/>
        <v>8.5518719999999995</v>
      </c>
      <c r="J1419">
        <f t="shared" si="67"/>
        <v>0.31921881298992161</v>
      </c>
      <c r="K1419">
        <f t="shared" si="68"/>
        <v>0.22334478976234001</v>
      </c>
    </row>
    <row r="1420" spans="1:11" x14ac:dyDescent="0.25">
      <c r="A1420" s="1">
        <v>1988</v>
      </c>
      <c r="B1420" s="1" t="s">
        <v>99</v>
      </c>
      <c r="C1420" t="s">
        <v>7</v>
      </c>
      <c r="D1420" s="1" t="s">
        <v>3</v>
      </c>
      <c r="E1420">
        <v>54</v>
      </c>
      <c r="F1420" s="1" t="s">
        <v>101</v>
      </c>
      <c r="G1420">
        <v>16</v>
      </c>
      <c r="H1420">
        <v>1</v>
      </c>
      <c r="I1420" s="2">
        <f t="shared" si="66"/>
        <v>1.3962239999999999</v>
      </c>
      <c r="J1420">
        <f t="shared" si="67"/>
        <v>5.2117357222844343E-2</v>
      </c>
      <c r="K1420">
        <f t="shared" si="68"/>
        <v>3.6464455471402452E-2</v>
      </c>
    </row>
    <row r="1421" spans="1:11" x14ac:dyDescent="0.25">
      <c r="A1421" s="1">
        <v>1988</v>
      </c>
      <c r="B1421" s="1" t="s">
        <v>99</v>
      </c>
      <c r="C1421" t="s">
        <v>7</v>
      </c>
      <c r="D1421" s="1" t="s">
        <v>3</v>
      </c>
      <c r="E1421">
        <v>56</v>
      </c>
      <c r="F1421" s="1" t="s">
        <v>101</v>
      </c>
      <c r="G1421">
        <v>6</v>
      </c>
      <c r="H1421">
        <v>26</v>
      </c>
      <c r="I1421" s="2">
        <f t="shared" si="66"/>
        <v>5.1049439999999997</v>
      </c>
      <c r="J1421">
        <f t="shared" si="67"/>
        <v>0.19055408734602464</v>
      </c>
      <c r="K1421">
        <f t="shared" si="68"/>
        <v>0.13332316531731522</v>
      </c>
    </row>
    <row r="1422" spans="1:11" x14ac:dyDescent="0.25">
      <c r="A1422" s="1">
        <v>1988</v>
      </c>
      <c r="B1422" s="1" t="s">
        <v>99</v>
      </c>
      <c r="C1422" t="s">
        <v>7</v>
      </c>
      <c r="D1422" s="1" t="s">
        <v>3</v>
      </c>
      <c r="E1422">
        <v>56</v>
      </c>
      <c r="F1422" s="1" t="s">
        <v>101</v>
      </c>
      <c r="G1422">
        <v>8</v>
      </c>
      <c r="H1422">
        <v>20</v>
      </c>
      <c r="I1422" s="2">
        <f t="shared" si="66"/>
        <v>6.9811199999999998</v>
      </c>
      <c r="J1422">
        <f t="shared" si="67"/>
        <v>0.2605867861142217</v>
      </c>
      <c r="K1422">
        <f t="shared" si="68"/>
        <v>0.18232227735701226</v>
      </c>
    </row>
    <row r="1423" spans="1:11" x14ac:dyDescent="0.25">
      <c r="A1423" s="1">
        <v>1988</v>
      </c>
      <c r="B1423" s="1" t="s">
        <v>99</v>
      </c>
      <c r="C1423" t="s">
        <v>7</v>
      </c>
      <c r="D1423" s="1" t="s">
        <v>3</v>
      </c>
      <c r="E1423">
        <v>56</v>
      </c>
      <c r="F1423" s="1" t="s">
        <v>101</v>
      </c>
      <c r="G1423">
        <v>10</v>
      </c>
      <c r="H1423">
        <v>22</v>
      </c>
      <c r="I1423" s="2">
        <f t="shared" si="66"/>
        <v>11.998799999999999</v>
      </c>
      <c r="J1423">
        <f t="shared" si="67"/>
        <v>0.44788353863381858</v>
      </c>
      <c r="K1423">
        <f t="shared" si="68"/>
        <v>0.31336641420736483</v>
      </c>
    </row>
    <row r="1424" spans="1:11" x14ac:dyDescent="0.25">
      <c r="A1424" s="1">
        <v>1988</v>
      </c>
      <c r="B1424" s="1" t="s">
        <v>99</v>
      </c>
      <c r="C1424" t="s">
        <v>7</v>
      </c>
      <c r="D1424" s="1" t="s">
        <v>3</v>
      </c>
      <c r="E1424">
        <v>56</v>
      </c>
      <c r="F1424" s="1" t="s">
        <v>101</v>
      </c>
      <c r="G1424">
        <v>12</v>
      </c>
      <c r="H1424">
        <v>16</v>
      </c>
      <c r="I1424" s="2">
        <f t="shared" si="66"/>
        <v>12.566015999999999</v>
      </c>
      <c r="J1424">
        <f t="shared" si="67"/>
        <v>0.46905621500559908</v>
      </c>
      <c r="K1424">
        <f t="shared" si="68"/>
        <v>0.32818009924262204</v>
      </c>
    </row>
    <row r="1425" spans="1:11" x14ac:dyDescent="0.25">
      <c r="A1425" s="1">
        <v>1988</v>
      </c>
      <c r="B1425" s="1" t="s">
        <v>99</v>
      </c>
      <c r="C1425" t="s">
        <v>7</v>
      </c>
      <c r="D1425" s="1" t="s">
        <v>3</v>
      </c>
      <c r="E1425">
        <v>56</v>
      </c>
      <c r="F1425" s="1" t="s">
        <v>101</v>
      </c>
      <c r="G1425">
        <v>14</v>
      </c>
      <c r="H1425">
        <v>17</v>
      </c>
      <c r="I1425" s="2">
        <f t="shared" si="66"/>
        <v>18.172727999999999</v>
      </c>
      <c r="J1425">
        <f t="shared" si="67"/>
        <v>0.67833997760358344</v>
      </c>
      <c r="K1425">
        <f t="shared" si="68"/>
        <v>0.47460767824497258</v>
      </c>
    </row>
    <row r="1426" spans="1:11" x14ac:dyDescent="0.25">
      <c r="A1426" s="1">
        <v>1988</v>
      </c>
      <c r="B1426" s="1" t="s">
        <v>99</v>
      </c>
      <c r="C1426" t="s">
        <v>7</v>
      </c>
      <c r="D1426" s="1" t="s">
        <v>3</v>
      </c>
      <c r="E1426">
        <v>56</v>
      </c>
      <c r="F1426" s="1" t="s">
        <v>101</v>
      </c>
      <c r="G1426">
        <v>16</v>
      </c>
      <c r="H1426">
        <v>32</v>
      </c>
      <c r="I1426" s="2">
        <f t="shared" si="66"/>
        <v>44.679167999999997</v>
      </c>
      <c r="J1426">
        <f t="shared" si="67"/>
        <v>1.667755431131019</v>
      </c>
      <c r="K1426">
        <f t="shared" si="68"/>
        <v>1.1668625750848785</v>
      </c>
    </row>
    <row r="1427" spans="1:11" x14ac:dyDescent="0.25">
      <c r="A1427" s="1">
        <v>1988</v>
      </c>
      <c r="B1427" s="1" t="s">
        <v>99</v>
      </c>
      <c r="C1427" t="s">
        <v>7</v>
      </c>
      <c r="D1427" s="1" t="s">
        <v>3</v>
      </c>
      <c r="E1427">
        <v>58</v>
      </c>
      <c r="F1427" s="1" t="s">
        <v>101</v>
      </c>
      <c r="G1427">
        <v>6</v>
      </c>
      <c r="H1427">
        <v>18</v>
      </c>
      <c r="I1427" s="2">
        <f t="shared" si="66"/>
        <v>3.534192</v>
      </c>
      <c r="J1427">
        <f t="shared" si="67"/>
        <v>0.13192206047032476</v>
      </c>
      <c r="K1427">
        <f t="shared" si="68"/>
        <v>9.2300652911987469E-2</v>
      </c>
    </row>
    <row r="1428" spans="1:11" x14ac:dyDescent="0.25">
      <c r="A1428" s="1">
        <v>1988</v>
      </c>
      <c r="B1428" s="1" t="s">
        <v>99</v>
      </c>
      <c r="C1428" t="s">
        <v>7</v>
      </c>
      <c r="D1428" s="1" t="s">
        <v>3</v>
      </c>
      <c r="E1428">
        <v>58</v>
      </c>
      <c r="F1428" s="1" t="s">
        <v>101</v>
      </c>
      <c r="G1428">
        <v>8</v>
      </c>
      <c r="H1428">
        <v>19</v>
      </c>
      <c r="I1428" s="2">
        <f t="shared" si="66"/>
        <v>6.6320639999999997</v>
      </c>
      <c r="J1428">
        <f t="shared" si="67"/>
        <v>0.24755744680851063</v>
      </c>
      <c r="K1428">
        <f t="shared" si="68"/>
        <v>0.17320616348916165</v>
      </c>
    </row>
    <row r="1429" spans="1:11" x14ac:dyDescent="0.25">
      <c r="A1429" s="1">
        <v>1988</v>
      </c>
      <c r="B1429" s="1" t="s">
        <v>99</v>
      </c>
      <c r="C1429" t="s">
        <v>7</v>
      </c>
      <c r="D1429" s="1" t="s">
        <v>3</v>
      </c>
      <c r="E1429">
        <v>58</v>
      </c>
      <c r="F1429" s="1" t="s">
        <v>101</v>
      </c>
      <c r="G1429">
        <v>10</v>
      </c>
      <c r="H1429">
        <v>14</v>
      </c>
      <c r="I1429" s="2">
        <f t="shared" si="66"/>
        <v>7.6356000000000002</v>
      </c>
      <c r="J1429">
        <f t="shared" si="67"/>
        <v>0.28501679731243001</v>
      </c>
      <c r="K1429">
        <f t="shared" si="68"/>
        <v>0.19941499085923217</v>
      </c>
    </row>
    <row r="1430" spans="1:11" x14ac:dyDescent="0.25">
      <c r="A1430" s="1">
        <v>1988</v>
      </c>
      <c r="B1430" s="1" t="s">
        <v>99</v>
      </c>
      <c r="C1430" t="s">
        <v>7</v>
      </c>
      <c r="D1430" s="1" t="s">
        <v>3</v>
      </c>
      <c r="E1430">
        <v>63</v>
      </c>
      <c r="F1430" s="1" t="s">
        <v>101</v>
      </c>
      <c r="G1430">
        <v>6</v>
      </c>
      <c r="H1430">
        <v>65</v>
      </c>
      <c r="I1430" s="2">
        <f t="shared" si="66"/>
        <v>12.762359999999999</v>
      </c>
      <c r="J1430">
        <f t="shared" si="67"/>
        <v>0.47638521836506159</v>
      </c>
      <c r="K1430">
        <f t="shared" si="68"/>
        <v>0.33330791329328802</v>
      </c>
    </row>
    <row r="1431" spans="1:11" x14ac:dyDescent="0.25">
      <c r="A1431" s="1">
        <v>1988</v>
      </c>
      <c r="B1431" s="1" t="s">
        <v>99</v>
      </c>
      <c r="C1431" t="s">
        <v>7</v>
      </c>
      <c r="D1431" s="1" t="s">
        <v>3</v>
      </c>
      <c r="E1431">
        <v>63</v>
      </c>
      <c r="F1431" s="1" t="s">
        <v>101</v>
      </c>
      <c r="G1431">
        <v>8</v>
      </c>
      <c r="H1431">
        <v>8</v>
      </c>
      <c r="I1431" s="2">
        <f t="shared" si="66"/>
        <v>2.7924479999999998</v>
      </c>
      <c r="J1431">
        <f t="shared" si="67"/>
        <v>0.10423471444568869</v>
      </c>
      <c r="K1431">
        <f t="shared" si="68"/>
        <v>7.2928910942804903E-2</v>
      </c>
    </row>
    <row r="1432" spans="1:11" x14ac:dyDescent="0.25">
      <c r="A1432" s="1">
        <v>1988</v>
      </c>
      <c r="B1432" s="1" t="s">
        <v>99</v>
      </c>
      <c r="C1432" t="s">
        <v>7</v>
      </c>
      <c r="D1432" s="1" t="s">
        <v>3</v>
      </c>
      <c r="E1432">
        <v>63</v>
      </c>
      <c r="F1432" s="1" t="s">
        <v>101</v>
      </c>
      <c r="G1432">
        <v>10</v>
      </c>
      <c r="H1432">
        <v>3</v>
      </c>
      <c r="I1432" s="2">
        <f t="shared" si="66"/>
        <v>1.6362000000000001</v>
      </c>
      <c r="J1432">
        <f t="shared" si="67"/>
        <v>6.1075027995520725E-2</v>
      </c>
      <c r="K1432">
        <f t="shared" si="68"/>
        <v>4.2731783755549757E-2</v>
      </c>
    </row>
    <row r="1433" spans="1:11" x14ac:dyDescent="0.25">
      <c r="A1433" s="1">
        <v>1988</v>
      </c>
      <c r="B1433" s="1" t="s">
        <v>99</v>
      </c>
      <c r="C1433" t="s">
        <v>7</v>
      </c>
      <c r="D1433" s="1" t="s">
        <v>3</v>
      </c>
      <c r="E1433">
        <v>65</v>
      </c>
      <c r="F1433" s="1" t="s">
        <v>101</v>
      </c>
      <c r="G1433">
        <v>6</v>
      </c>
      <c r="H1433">
        <v>3</v>
      </c>
      <c r="I1433" s="2">
        <f t="shared" si="66"/>
        <v>0.589032</v>
      </c>
      <c r="J1433">
        <f t="shared" si="67"/>
        <v>2.1987010078387458E-2</v>
      </c>
      <c r="K1433">
        <f t="shared" si="68"/>
        <v>1.538344215199791E-2</v>
      </c>
    </row>
    <row r="1434" spans="1:11" x14ac:dyDescent="0.25">
      <c r="A1434" s="1">
        <v>1988</v>
      </c>
      <c r="B1434" s="1" t="s">
        <v>99</v>
      </c>
      <c r="C1434" t="s">
        <v>7</v>
      </c>
      <c r="D1434" s="1" t="s">
        <v>3</v>
      </c>
      <c r="E1434">
        <v>65</v>
      </c>
      <c r="F1434" s="1" t="s">
        <v>101</v>
      </c>
      <c r="G1434">
        <v>8</v>
      </c>
      <c r="H1434">
        <v>3</v>
      </c>
      <c r="I1434" s="2">
        <f t="shared" si="66"/>
        <v>1.0471679999999999</v>
      </c>
      <c r="J1434">
        <f t="shared" si="67"/>
        <v>3.9088017917133254E-2</v>
      </c>
      <c r="K1434">
        <f t="shared" si="68"/>
        <v>2.7348341603551835E-2</v>
      </c>
    </row>
    <row r="1435" spans="1:11" x14ac:dyDescent="0.25">
      <c r="A1435" s="1">
        <v>1988</v>
      </c>
      <c r="B1435" s="1" t="s">
        <v>99</v>
      </c>
      <c r="C1435" t="s">
        <v>7</v>
      </c>
      <c r="D1435" s="1" t="s">
        <v>3</v>
      </c>
      <c r="E1435">
        <v>65</v>
      </c>
      <c r="F1435" s="1" t="s">
        <v>101</v>
      </c>
      <c r="G1435">
        <v>10</v>
      </c>
      <c r="H1435">
        <v>1</v>
      </c>
      <c r="I1435" s="2">
        <f t="shared" si="66"/>
        <v>0.5454</v>
      </c>
      <c r="J1435">
        <f t="shared" si="67"/>
        <v>2.0358342665173574E-2</v>
      </c>
      <c r="K1435">
        <f t="shared" si="68"/>
        <v>1.4243927918516584E-2</v>
      </c>
    </row>
    <row r="1436" spans="1:11" x14ac:dyDescent="0.25">
      <c r="A1436" s="1">
        <v>1988</v>
      </c>
      <c r="B1436" s="1" t="s">
        <v>99</v>
      </c>
      <c r="C1436" t="s">
        <v>7</v>
      </c>
      <c r="D1436" s="1" t="s">
        <v>3</v>
      </c>
      <c r="E1436">
        <v>65</v>
      </c>
      <c r="F1436" s="1" t="s">
        <v>101</v>
      </c>
      <c r="G1436">
        <v>12</v>
      </c>
      <c r="H1436">
        <v>1</v>
      </c>
      <c r="I1436" s="2">
        <f t="shared" si="66"/>
        <v>0.78537599999999996</v>
      </c>
      <c r="J1436">
        <f t="shared" si="67"/>
        <v>2.9316013437849942E-2</v>
      </c>
      <c r="K1436">
        <f t="shared" si="68"/>
        <v>2.0511256202663877E-2</v>
      </c>
    </row>
    <row r="1437" spans="1:11" x14ac:dyDescent="0.25">
      <c r="A1437" s="1">
        <v>1988</v>
      </c>
      <c r="B1437" s="1" t="s">
        <v>99</v>
      </c>
      <c r="C1437" t="s">
        <v>7</v>
      </c>
      <c r="D1437" s="1" t="s">
        <v>3</v>
      </c>
      <c r="E1437">
        <v>66</v>
      </c>
      <c r="F1437" s="1" t="s">
        <v>101</v>
      </c>
      <c r="G1437">
        <v>6</v>
      </c>
      <c r="H1437">
        <v>12</v>
      </c>
      <c r="I1437" s="2">
        <f t="shared" si="66"/>
        <v>2.356128</v>
      </c>
      <c r="J1437">
        <f t="shared" si="67"/>
        <v>8.794804031354983E-2</v>
      </c>
      <c r="K1437">
        <f t="shared" si="68"/>
        <v>6.1533768607991639E-2</v>
      </c>
    </row>
    <row r="1438" spans="1:11" x14ac:dyDescent="0.25">
      <c r="A1438" s="1">
        <v>1988</v>
      </c>
      <c r="B1438" s="1" t="s">
        <v>99</v>
      </c>
      <c r="C1438" t="s">
        <v>7</v>
      </c>
      <c r="D1438" s="1" t="s">
        <v>3</v>
      </c>
      <c r="E1438">
        <v>66</v>
      </c>
      <c r="F1438" s="1" t="s">
        <v>101</v>
      </c>
      <c r="G1438">
        <v>8</v>
      </c>
      <c r="H1438">
        <v>6</v>
      </c>
      <c r="I1438" s="2">
        <f t="shared" si="66"/>
        <v>2.0943359999999998</v>
      </c>
      <c r="J1438">
        <f t="shared" si="67"/>
        <v>7.8176035834266508E-2</v>
      </c>
      <c r="K1438">
        <f t="shared" si="68"/>
        <v>5.469668320710367E-2</v>
      </c>
    </row>
    <row r="1439" spans="1:11" x14ac:dyDescent="0.25">
      <c r="A1439" s="1">
        <v>1988</v>
      </c>
      <c r="B1439" s="1" t="s">
        <v>99</v>
      </c>
      <c r="C1439" t="s">
        <v>7</v>
      </c>
      <c r="D1439" s="1" t="s">
        <v>3</v>
      </c>
      <c r="E1439">
        <v>66</v>
      </c>
      <c r="F1439" s="1" t="s">
        <v>101</v>
      </c>
      <c r="G1439">
        <v>10</v>
      </c>
      <c r="H1439">
        <v>5</v>
      </c>
      <c r="I1439" s="2">
        <f t="shared" si="66"/>
        <v>2.7269999999999999</v>
      </c>
      <c r="J1439">
        <f t="shared" si="67"/>
        <v>0.10179171332586787</v>
      </c>
      <c r="K1439">
        <f t="shared" si="68"/>
        <v>7.1219639592582915E-2</v>
      </c>
    </row>
    <row r="1440" spans="1:11" x14ac:dyDescent="0.25">
      <c r="A1440" s="1">
        <v>1988</v>
      </c>
      <c r="B1440" s="1" t="s">
        <v>99</v>
      </c>
      <c r="C1440" t="s">
        <v>7</v>
      </c>
      <c r="D1440" s="1" t="s">
        <v>3</v>
      </c>
      <c r="E1440">
        <v>66</v>
      </c>
      <c r="F1440" s="1" t="s">
        <v>101</v>
      </c>
      <c r="G1440">
        <v>12</v>
      </c>
      <c r="H1440">
        <v>1</v>
      </c>
      <c r="I1440" s="2">
        <f t="shared" si="66"/>
        <v>0.78537599999999996</v>
      </c>
      <c r="J1440">
        <f t="shared" si="67"/>
        <v>2.9316013437849942E-2</v>
      </c>
      <c r="K1440">
        <f t="shared" si="68"/>
        <v>2.0511256202663877E-2</v>
      </c>
    </row>
    <row r="1441" spans="1:11" x14ac:dyDescent="0.25">
      <c r="A1441" s="1">
        <v>1988</v>
      </c>
      <c r="B1441" s="1" t="s">
        <v>99</v>
      </c>
      <c r="C1441" t="s">
        <v>7</v>
      </c>
      <c r="D1441" s="1" t="s">
        <v>3</v>
      </c>
      <c r="E1441">
        <v>66</v>
      </c>
      <c r="F1441" s="1" t="s">
        <v>101</v>
      </c>
      <c r="G1441">
        <v>14</v>
      </c>
      <c r="H1441">
        <v>3</v>
      </c>
      <c r="I1441" s="2">
        <f t="shared" si="66"/>
        <v>3.2069519999999998</v>
      </c>
      <c r="J1441">
        <f t="shared" si="67"/>
        <v>0.1197070548712206</v>
      </c>
      <c r="K1441">
        <f t="shared" si="68"/>
        <v>8.3754296160877512E-2</v>
      </c>
    </row>
    <row r="1442" spans="1:11" x14ac:dyDescent="0.25">
      <c r="A1442" s="1">
        <v>1988</v>
      </c>
      <c r="B1442" s="1" t="s">
        <v>99</v>
      </c>
      <c r="C1442" t="s">
        <v>7</v>
      </c>
      <c r="D1442" s="1" t="s">
        <v>3</v>
      </c>
      <c r="E1442">
        <v>66</v>
      </c>
      <c r="F1442" s="1" t="s">
        <v>101</v>
      </c>
      <c r="G1442">
        <v>16</v>
      </c>
      <c r="H1442">
        <v>4</v>
      </c>
      <c r="I1442" s="2">
        <f t="shared" si="66"/>
        <v>5.5848959999999996</v>
      </c>
      <c r="J1442">
        <f t="shared" si="67"/>
        <v>0.20846942889137737</v>
      </c>
      <c r="K1442">
        <f t="shared" si="68"/>
        <v>0.14585782188560981</v>
      </c>
    </row>
    <row r="1443" spans="1:11" x14ac:dyDescent="0.25">
      <c r="A1443" s="1">
        <v>1988</v>
      </c>
      <c r="B1443" s="1" t="s">
        <v>99</v>
      </c>
      <c r="C1443" t="s">
        <v>7</v>
      </c>
      <c r="D1443" s="1" t="s">
        <v>3</v>
      </c>
      <c r="E1443">
        <v>71</v>
      </c>
      <c r="F1443" s="1" t="s">
        <v>101</v>
      </c>
      <c r="G1443">
        <v>6</v>
      </c>
      <c r="H1443">
        <v>37</v>
      </c>
      <c r="I1443" s="2">
        <f t="shared" si="66"/>
        <v>7.2647279999999999</v>
      </c>
      <c r="J1443">
        <f t="shared" si="67"/>
        <v>0.27117312430011198</v>
      </c>
      <c r="K1443">
        <f t="shared" si="68"/>
        <v>0.18972911987464089</v>
      </c>
    </row>
    <row r="1444" spans="1:11" x14ac:dyDescent="0.25">
      <c r="A1444" s="1">
        <v>1988</v>
      </c>
      <c r="B1444" s="1" t="s">
        <v>99</v>
      </c>
      <c r="C1444" t="s">
        <v>7</v>
      </c>
      <c r="D1444" s="1" t="s">
        <v>3</v>
      </c>
      <c r="E1444">
        <v>71</v>
      </c>
      <c r="F1444" s="1" t="s">
        <v>101</v>
      </c>
      <c r="G1444">
        <v>8</v>
      </c>
      <c r="H1444">
        <v>17</v>
      </c>
      <c r="I1444" s="2">
        <f t="shared" si="66"/>
        <v>5.9339519999999997</v>
      </c>
      <c r="J1444">
        <f t="shared" si="67"/>
        <v>0.22149876819708847</v>
      </c>
      <c r="K1444">
        <f t="shared" si="68"/>
        <v>0.15497393575346041</v>
      </c>
    </row>
    <row r="1445" spans="1:11" x14ac:dyDescent="0.25">
      <c r="A1445" s="1">
        <v>1988</v>
      </c>
      <c r="B1445" s="1" t="s">
        <v>99</v>
      </c>
      <c r="C1445" t="s">
        <v>7</v>
      </c>
      <c r="D1445" s="1" t="s">
        <v>3</v>
      </c>
      <c r="E1445">
        <v>71</v>
      </c>
      <c r="F1445" s="1" t="s">
        <v>101</v>
      </c>
      <c r="G1445">
        <v>10</v>
      </c>
      <c r="H1445">
        <v>2</v>
      </c>
      <c r="I1445" s="2">
        <f t="shared" si="66"/>
        <v>1.0908</v>
      </c>
      <c r="J1445">
        <f t="shared" si="67"/>
        <v>4.0716685330347148E-2</v>
      </c>
      <c r="K1445">
        <f t="shared" si="68"/>
        <v>2.8487855837033168E-2</v>
      </c>
    </row>
    <row r="1446" spans="1:11" x14ac:dyDescent="0.25">
      <c r="A1446" s="1">
        <v>1988</v>
      </c>
      <c r="B1446" s="1" t="s">
        <v>99</v>
      </c>
      <c r="C1446" t="s">
        <v>7</v>
      </c>
      <c r="D1446" s="1" t="s">
        <v>3</v>
      </c>
      <c r="E1446">
        <v>71</v>
      </c>
      <c r="F1446" s="1" t="s">
        <v>101</v>
      </c>
      <c r="G1446">
        <v>14</v>
      </c>
      <c r="H1446">
        <v>2</v>
      </c>
      <c r="I1446" s="2">
        <f t="shared" si="66"/>
        <v>2.1379679999999999</v>
      </c>
      <c r="J1446">
        <f t="shared" si="67"/>
        <v>7.9804703247480402E-2</v>
      </c>
      <c r="K1446">
        <f t="shared" si="68"/>
        <v>5.5836197440585003E-2</v>
      </c>
    </row>
    <row r="1447" spans="1:11" x14ac:dyDescent="0.25">
      <c r="A1447" s="1">
        <v>1988</v>
      </c>
      <c r="B1447" s="1" t="s">
        <v>99</v>
      </c>
      <c r="C1447" t="s">
        <v>7</v>
      </c>
      <c r="D1447" s="1" t="s">
        <v>3</v>
      </c>
      <c r="E1447">
        <v>71</v>
      </c>
      <c r="F1447" s="1" t="s">
        <v>101</v>
      </c>
      <c r="G1447">
        <v>16</v>
      </c>
      <c r="H1447">
        <v>1</v>
      </c>
      <c r="I1447" s="2">
        <f t="shared" si="66"/>
        <v>1.3962239999999999</v>
      </c>
      <c r="J1447">
        <f t="shared" si="67"/>
        <v>5.2117357222844343E-2</v>
      </c>
      <c r="K1447">
        <f t="shared" si="68"/>
        <v>3.6464455471402452E-2</v>
      </c>
    </row>
    <row r="1448" spans="1:11" x14ac:dyDescent="0.25">
      <c r="A1448" s="1">
        <v>1988</v>
      </c>
      <c r="B1448" s="1" t="s">
        <v>99</v>
      </c>
      <c r="C1448" t="s">
        <v>7</v>
      </c>
      <c r="D1448" s="1" t="s">
        <v>3</v>
      </c>
      <c r="E1448">
        <v>76</v>
      </c>
      <c r="F1448" s="1" t="s">
        <v>101</v>
      </c>
      <c r="G1448">
        <v>6</v>
      </c>
      <c r="H1448">
        <v>19</v>
      </c>
      <c r="I1448" s="2">
        <f t="shared" si="66"/>
        <v>3.7305359999999999</v>
      </c>
      <c r="J1448">
        <f t="shared" si="67"/>
        <v>0.13925106382978722</v>
      </c>
      <c r="K1448">
        <f t="shared" si="68"/>
        <v>9.7428466962653421E-2</v>
      </c>
    </row>
    <row r="1449" spans="1:11" x14ac:dyDescent="0.25">
      <c r="A1449" s="1">
        <v>1988</v>
      </c>
      <c r="B1449" s="1" t="s">
        <v>99</v>
      </c>
      <c r="C1449" t="s">
        <v>7</v>
      </c>
      <c r="D1449" s="1" t="s">
        <v>3</v>
      </c>
      <c r="E1449">
        <v>76</v>
      </c>
      <c r="F1449" s="1" t="s">
        <v>101</v>
      </c>
      <c r="G1449">
        <v>8</v>
      </c>
      <c r="H1449">
        <v>15</v>
      </c>
      <c r="I1449" s="2">
        <f t="shared" si="66"/>
        <v>5.2358399999999996</v>
      </c>
      <c r="J1449">
        <f t="shared" si="67"/>
        <v>0.19544008958566628</v>
      </c>
      <c r="K1449">
        <f t="shared" si="68"/>
        <v>0.13674170801775917</v>
      </c>
    </row>
    <row r="1450" spans="1:11" x14ac:dyDescent="0.25">
      <c r="A1450" s="1">
        <v>1988</v>
      </c>
      <c r="B1450" s="1" t="s">
        <v>99</v>
      </c>
      <c r="C1450" t="s">
        <v>7</v>
      </c>
      <c r="D1450" s="1" t="s">
        <v>3</v>
      </c>
      <c r="E1450">
        <v>76</v>
      </c>
      <c r="F1450" s="1" t="s">
        <v>101</v>
      </c>
      <c r="G1450">
        <v>10</v>
      </c>
      <c r="H1450">
        <v>4</v>
      </c>
      <c r="I1450" s="2">
        <f t="shared" si="66"/>
        <v>2.1816</v>
      </c>
      <c r="J1450">
        <f t="shared" si="67"/>
        <v>8.1433370660694296E-2</v>
      </c>
      <c r="K1450">
        <f t="shared" si="68"/>
        <v>5.6975711674066336E-2</v>
      </c>
    </row>
    <row r="1451" spans="1:11" x14ac:dyDescent="0.25">
      <c r="A1451" s="1">
        <v>1988</v>
      </c>
      <c r="B1451" s="1" t="s">
        <v>99</v>
      </c>
      <c r="C1451" t="s">
        <v>7</v>
      </c>
      <c r="D1451" s="1" t="s">
        <v>3</v>
      </c>
      <c r="E1451">
        <v>76</v>
      </c>
      <c r="F1451" s="1" t="s">
        <v>101</v>
      </c>
      <c r="G1451">
        <v>12</v>
      </c>
      <c r="H1451">
        <v>-1</v>
      </c>
      <c r="I1451" s="2">
        <f t="shared" si="66"/>
        <v>-0.78537599999999996</v>
      </c>
      <c r="J1451">
        <f t="shared" si="67"/>
        <v>-2.9316013437849942E-2</v>
      </c>
      <c r="K1451">
        <f t="shared" si="68"/>
        <v>-2.0511256202663877E-2</v>
      </c>
    </row>
    <row r="1452" spans="1:11" x14ac:dyDescent="0.25">
      <c r="A1452" s="1">
        <v>1988</v>
      </c>
      <c r="B1452" s="1" t="s">
        <v>99</v>
      </c>
      <c r="C1452" t="s">
        <v>7</v>
      </c>
      <c r="D1452" s="1" t="s">
        <v>3</v>
      </c>
      <c r="E1452">
        <v>76</v>
      </c>
      <c r="F1452" s="1" t="s">
        <v>101</v>
      </c>
      <c r="G1452">
        <v>14</v>
      </c>
      <c r="H1452">
        <v>1</v>
      </c>
      <c r="I1452" s="2">
        <f t="shared" si="66"/>
        <v>1.0689839999999999</v>
      </c>
      <c r="J1452">
        <f t="shared" si="67"/>
        <v>3.9902351623740201E-2</v>
      </c>
      <c r="K1452">
        <f t="shared" si="68"/>
        <v>2.7918098720292502E-2</v>
      </c>
    </row>
    <row r="1453" spans="1:11" x14ac:dyDescent="0.25">
      <c r="A1453" s="1">
        <v>1988</v>
      </c>
      <c r="B1453" s="1" t="s">
        <v>99</v>
      </c>
      <c r="C1453" t="s">
        <v>7</v>
      </c>
      <c r="D1453" s="1" t="s">
        <v>3</v>
      </c>
      <c r="E1453">
        <v>76</v>
      </c>
      <c r="F1453" s="1" t="s">
        <v>101</v>
      </c>
      <c r="G1453">
        <v>16</v>
      </c>
      <c r="H1453">
        <v>2</v>
      </c>
      <c r="I1453" s="2">
        <f t="shared" si="66"/>
        <v>2.7924479999999998</v>
      </c>
      <c r="J1453">
        <f t="shared" si="67"/>
        <v>0.10423471444568869</v>
      </c>
      <c r="K1453">
        <f t="shared" si="68"/>
        <v>7.2928910942804903E-2</v>
      </c>
    </row>
    <row r="1454" spans="1:11" x14ac:dyDescent="0.25">
      <c r="A1454" s="1">
        <v>1988</v>
      </c>
      <c r="B1454" s="1" t="s">
        <v>99</v>
      </c>
      <c r="C1454" t="s">
        <v>7</v>
      </c>
      <c r="D1454" s="1" t="s">
        <v>3</v>
      </c>
      <c r="E1454">
        <v>76</v>
      </c>
      <c r="F1454" s="1" t="s">
        <v>101</v>
      </c>
      <c r="G1454">
        <v>18</v>
      </c>
      <c r="H1454">
        <v>-1</v>
      </c>
      <c r="I1454" s="2">
        <f t="shared" si="66"/>
        <v>-1.7670959999999998</v>
      </c>
      <c r="J1454">
        <f t="shared" si="67"/>
        <v>-6.5961030235162366E-2</v>
      </c>
      <c r="K1454">
        <f t="shared" si="68"/>
        <v>-4.615032645599372E-2</v>
      </c>
    </row>
    <row r="1455" spans="1:11" x14ac:dyDescent="0.25">
      <c r="A1455" s="1">
        <v>1988</v>
      </c>
      <c r="B1455" s="1" t="s">
        <v>99</v>
      </c>
      <c r="C1455" t="s">
        <v>7</v>
      </c>
      <c r="D1455" s="1" t="s">
        <v>3</v>
      </c>
      <c r="E1455">
        <v>79</v>
      </c>
      <c r="F1455" s="1" t="s">
        <v>101</v>
      </c>
      <c r="G1455">
        <v>6</v>
      </c>
      <c r="H1455">
        <v>428</v>
      </c>
      <c r="I1455" s="2">
        <f t="shared" si="66"/>
        <v>84.035231999999993</v>
      </c>
      <c r="J1455">
        <f t="shared" si="67"/>
        <v>3.1368134378499439</v>
      </c>
      <c r="K1455">
        <f t="shared" si="68"/>
        <v>2.1947044136850349</v>
      </c>
    </row>
    <row r="1456" spans="1:11" x14ac:dyDescent="0.25">
      <c r="A1456" s="1">
        <v>1988</v>
      </c>
      <c r="B1456" s="1" t="s">
        <v>99</v>
      </c>
      <c r="C1456" t="s">
        <v>7</v>
      </c>
      <c r="D1456" s="1" t="s">
        <v>3</v>
      </c>
      <c r="E1456">
        <v>79</v>
      </c>
      <c r="F1456" s="1" t="s">
        <v>101</v>
      </c>
      <c r="G1456">
        <v>8</v>
      </c>
      <c r="H1456">
        <v>276</v>
      </c>
      <c r="I1456" s="2">
        <f t="shared" si="66"/>
        <v>96.339455999999998</v>
      </c>
      <c r="J1456">
        <f t="shared" si="67"/>
        <v>3.5960976483762597</v>
      </c>
      <c r="K1456">
        <f t="shared" si="68"/>
        <v>2.516047427526769</v>
      </c>
    </row>
    <row r="1457" spans="1:11" x14ac:dyDescent="0.25">
      <c r="A1457" s="1">
        <v>1988</v>
      </c>
      <c r="B1457" s="1" t="s">
        <v>99</v>
      </c>
      <c r="C1457" t="s">
        <v>7</v>
      </c>
      <c r="D1457" s="1" t="s">
        <v>3</v>
      </c>
      <c r="E1457">
        <v>79</v>
      </c>
      <c r="F1457" s="1" t="s">
        <v>101</v>
      </c>
      <c r="G1457">
        <v>10</v>
      </c>
      <c r="H1457">
        <v>191</v>
      </c>
      <c r="I1457" s="2">
        <f t="shared" si="66"/>
        <v>104.17140000000001</v>
      </c>
      <c r="J1457">
        <f t="shared" si="67"/>
        <v>3.8884434490481525</v>
      </c>
      <c r="K1457">
        <f t="shared" si="68"/>
        <v>2.7205902324366673</v>
      </c>
    </row>
    <row r="1458" spans="1:11" x14ac:dyDescent="0.25">
      <c r="A1458" s="1">
        <v>1988</v>
      </c>
      <c r="B1458" s="1" t="s">
        <v>99</v>
      </c>
      <c r="C1458" t="s">
        <v>7</v>
      </c>
      <c r="D1458" s="1" t="s">
        <v>3</v>
      </c>
      <c r="E1458">
        <v>79</v>
      </c>
      <c r="F1458" s="1" t="s">
        <v>101</v>
      </c>
      <c r="G1458">
        <v>12</v>
      </c>
      <c r="H1458">
        <v>112</v>
      </c>
      <c r="I1458" s="2">
        <f t="shared" si="66"/>
        <v>87.962111999999991</v>
      </c>
      <c r="J1458">
        <f t="shared" si="67"/>
        <v>3.2833935050391934</v>
      </c>
      <c r="K1458">
        <f t="shared" si="68"/>
        <v>2.297260694698354</v>
      </c>
    </row>
    <row r="1459" spans="1:11" x14ac:dyDescent="0.25">
      <c r="A1459" s="1">
        <v>1988</v>
      </c>
      <c r="B1459" s="1" t="s">
        <v>99</v>
      </c>
      <c r="C1459" t="s">
        <v>7</v>
      </c>
      <c r="D1459" s="1" t="s">
        <v>3</v>
      </c>
      <c r="E1459">
        <v>79</v>
      </c>
      <c r="F1459" s="1" t="s">
        <v>101</v>
      </c>
      <c r="G1459">
        <v>14</v>
      </c>
      <c r="H1459">
        <v>66</v>
      </c>
      <c r="I1459" s="2">
        <f t="shared" si="66"/>
        <v>70.552943999999997</v>
      </c>
      <c r="J1459">
        <f t="shared" si="67"/>
        <v>2.6335552071668533</v>
      </c>
      <c r="K1459">
        <f t="shared" si="68"/>
        <v>1.8425945155393051</v>
      </c>
    </row>
    <row r="1460" spans="1:11" x14ac:dyDescent="0.25">
      <c r="A1460" s="1">
        <v>1988</v>
      </c>
      <c r="B1460" s="1" t="s">
        <v>99</v>
      </c>
      <c r="C1460" t="s">
        <v>7</v>
      </c>
      <c r="D1460" s="1" t="s">
        <v>3</v>
      </c>
      <c r="E1460">
        <v>79</v>
      </c>
      <c r="F1460" s="1" t="s">
        <v>101</v>
      </c>
      <c r="G1460">
        <v>16</v>
      </c>
      <c r="H1460">
        <v>45</v>
      </c>
      <c r="I1460" s="2">
        <f t="shared" si="66"/>
        <v>62.830079999999995</v>
      </c>
      <c r="J1460">
        <f t="shared" si="67"/>
        <v>2.3452810750279953</v>
      </c>
      <c r="K1460">
        <f t="shared" si="68"/>
        <v>1.6409004962131102</v>
      </c>
    </row>
    <row r="1461" spans="1:11" x14ac:dyDescent="0.25">
      <c r="A1461" s="1">
        <v>1988</v>
      </c>
      <c r="B1461" s="1" t="s">
        <v>99</v>
      </c>
      <c r="C1461" t="s">
        <v>7</v>
      </c>
      <c r="D1461" s="1" t="s">
        <v>3</v>
      </c>
      <c r="E1461">
        <v>79</v>
      </c>
      <c r="F1461" s="1" t="s">
        <v>101</v>
      </c>
      <c r="G1461">
        <v>18</v>
      </c>
      <c r="H1461">
        <v>1</v>
      </c>
      <c r="I1461" s="2">
        <f t="shared" si="66"/>
        <v>1.7670959999999998</v>
      </c>
      <c r="J1461">
        <f t="shared" si="67"/>
        <v>6.5961030235162366E-2</v>
      </c>
      <c r="K1461">
        <f t="shared" si="68"/>
        <v>4.615032645599372E-2</v>
      </c>
    </row>
    <row r="1462" spans="1:11" x14ac:dyDescent="0.25">
      <c r="A1462" s="1">
        <v>1988</v>
      </c>
      <c r="B1462" s="1" t="s">
        <v>99</v>
      </c>
      <c r="C1462" t="s">
        <v>7</v>
      </c>
      <c r="D1462" s="1" t="s">
        <v>3</v>
      </c>
      <c r="E1462">
        <v>84</v>
      </c>
      <c r="F1462" s="1" t="s">
        <v>101</v>
      </c>
      <c r="G1462">
        <v>6</v>
      </c>
      <c r="H1462">
        <v>-1</v>
      </c>
      <c r="I1462" s="2">
        <f t="shared" si="66"/>
        <v>-0.19634399999999999</v>
      </c>
      <c r="J1462">
        <f t="shared" si="67"/>
        <v>-7.3290033594624856E-3</v>
      </c>
      <c r="K1462">
        <f t="shared" si="68"/>
        <v>-5.1278140506659693E-3</v>
      </c>
    </row>
    <row r="1463" spans="1:11" x14ac:dyDescent="0.25">
      <c r="A1463" s="1">
        <v>1988</v>
      </c>
      <c r="B1463" s="1" t="s">
        <v>99</v>
      </c>
      <c r="C1463" t="s">
        <v>7</v>
      </c>
      <c r="D1463" s="1" t="s">
        <v>3</v>
      </c>
      <c r="E1463">
        <v>84</v>
      </c>
      <c r="F1463" s="1" t="s">
        <v>101</v>
      </c>
      <c r="G1463">
        <v>8</v>
      </c>
      <c r="H1463">
        <v>-3</v>
      </c>
      <c r="I1463" s="2">
        <f t="shared" si="66"/>
        <v>-1.0471679999999999</v>
      </c>
      <c r="J1463">
        <f t="shared" si="67"/>
        <v>-3.9088017917133254E-2</v>
      </c>
      <c r="K1463">
        <f t="shared" si="68"/>
        <v>-2.7348341603551835E-2</v>
      </c>
    </row>
    <row r="1464" spans="1:11" x14ac:dyDescent="0.25">
      <c r="A1464" s="1">
        <v>1988</v>
      </c>
      <c r="B1464" s="1" t="s">
        <v>99</v>
      </c>
      <c r="C1464" t="s">
        <v>7</v>
      </c>
      <c r="D1464" s="1" t="s">
        <v>3</v>
      </c>
      <c r="E1464">
        <v>84</v>
      </c>
      <c r="F1464" s="1" t="s">
        <v>101</v>
      </c>
      <c r="G1464">
        <v>12</v>
      </c>
      <c r="H1464">
        <v>1</v>
      </c>
      <c r="I1464" s="2">
        <f t="shared" si="66"/>
        <v>0.78537599999999996</v>
      </c>
      <c r="J1464">
        <f t="shared" si="67"/>
        <v>2.9316013437849942E-2</v>
      </c>
      <c r="K1464">
        <f t="shared" si="68"/>
        <v>2.0511256202663877E-2</v>
      </c>
    </row>
    <row r="1465" spans="1:11" x14ac:dyDescent="0.25">
      <c r="A1465" s="1">
        <v>1988</v>
      </c>
      <c r="B1465" s="1" t="s">
        <v>99</v>
      </c>
      <c r="C1465" t="s">
        <v>7</v>
      </c>
      <c r="D1465" s="1" t="s">
        <v>3</v>
      </c>
      <c r="E1465">
        <v>85</v>
      </c>
      <c r="F1465" s="1" t="s">
        <v>101</v>
      </c>
      <c r="G1465">
        <v>6</v>
      </c>
      <c r="H1465">
        <v>6</v>
      </c>
      <c r="I1465" s="2">
        <f t="shared" si="66"/>
        <v>1.178064</v>
      </c>
      <c r="J1465">
        <f t="shared" si="67"/>
        <v>4.3974020156774915E-2</v>
      </c>
      <c r="K1465">
        <f t="shared" si="68"/>
        <v>3.0766884303995819E-2</v>
      </c>
    </row>
    <row r="1466" spans="1:11" x14ac:dyDescent="0.25">
      <c r="A1466" s="1">
        <v>1988</v>
      </c>
      <c r="B1466" s="1" t="s">
        <v>99</v>
      </c>
      <c r="C1466" t="s">
        <v>7</v>
      </c>
      <c r="D1466" s="1" t="s">
        <v>3</v>
      </c>
      <c r="E1466">
        <v>85</v>
      </c>
      <c r="F1466" s="1" t="s">
        <v>101</v>
      </c>
      <c r="G1466">
        <v>10</v>
      </c>
      <c r="H1466">
        <v>1</v>
      </c>
      <c r="I1466" s="2">
        <f t="shared" si="66"/>
        <v>0.5454</v>
      </c>
      <c r="J1466">
        <f t="shared" si="67"/>
        <v>2.0358342665173574E-2</v>
      </c>
      <c r="K1466">
        <f t="shared" si="68"/>
        <v>1.4243927918516584E-2</v>
      </c>
    </row>
    <row r="1467" spans="1:11" x14ac:dyDescent="0.25">
      <c r="A1467" s="1">
        <v>1988</v>
      </c>
      <c r="B1467" s="1" t="s">
        <v>99</v>
      </c>
      <c r="C1467" t="s">
        <v>7</v>
      </c>
      <c r="D1467" s="1" t="s">
        <v>3</v>
      </c>
      <c r="E1467">
        <v>85</v>
      </c>
      <c r="F1467" s="1" t="s">
        <v>101</v>
      </c>
      <c r="G1467">
        <v>12</v>
      </c>
      <c r="H1467">
        <v>7</v>
      </c>
      <c r="I1467" s="2">
        <f t="shared" si="66"/>
        <v>5.4976319999999994</v>
      </c>
      <c r="J1467">
        <f t="shared" si="67"/>
        <v>0.20521209406494959</v>
      </c>
      <c r="K1467">
        <f t="shared" si="68"/>
        <v>0.14357879341864713</v>
      </c>
    </row>
    <row r="1468" spans="1:11" x14ac:dyDescent="0.25">
      <c r="A1468" s="1">
        <v>1988</v>
      </c>
      <c r="B1468" s="1" t="s">
        <v>99</v>
      </c>
      <c r="C1468" t="s">
        <v>7</v>
      </c>
      <c r="D1468" s="1" t="s">
        <v>3</v>
      </c>
      <c r="E1468">
        <v>85</v>
      </c>
      <c r="F1468" s="1" t="s">
        <v>101</v>
      </c>
      <c r="G1468">
        <v>14</v>
      </c>
      <c r="H1468">
        <v>11</v>
      </c>
      <c r="I1468" s="2">
        <f t="shared" si="66"/>
        <v>11.758823999999999</v>
      </c>
      <c r="J1468">
        <f t="shared" si="67"/>
        <v>0.43892586786114218</v>
      </c>
      <c r="K1468">
        <f t="shared" si="68"/>
        <v>0.3070990859232175</v>
      </c>
    </row>
    <row r="1469" spans="1:11" x14ac:dyDescent="0.25">
      <c r="A1469" s="1">
        <v>1988</v>
      </c>
      <c r="B1469" s="1" t="s">
        <v>99</v>
      </c>
      <c r="C1469" t="s">
        <v>7</v>
      </c>
      <c r="D1469" s="1" t="s">
        <v>3</v>
      </c>
      <c r="E1469">
        <v>85</v>
      </c>
      <c r="F1469" s="1" t="s">
        <v>101</v>
      </c>
      <c r="G1469">
        <v>16</v>
      </c>
      <c r="H1469">
        <v>24</v>
      </c>
      <c r="I1469" s="2">
        <f t="shared" si="66"/>
        <v>33.509375999999996</v>
      </c>
      <c r="J1469">
        <f t="shared" si="67"/>
        <v>1.2508165733482641</v>
      </c>
      <c r="K1469">
        <f t="shared" si="68"/>
        <v>0.87514693131365873</v>
      </c>
    </row>
    <row r="1470" spans="1:11" x14ac:dyDescent="0.25">
      <c r="A1470" s="1">
        <v>1988</v>
      </c>
      <c r="B1470" s="1" t="s">
        <v>99</v>
      </c>
      <c r="C1470" t="s">
        <v>7</v>
      </c>
      <c r="D1470" s="1" t="s">
        <v>3</v>
      </c>
      <c r="E1470">
        <v>86</v>
      </c>
      <c r="F1470" s="1" t="s">
        <v>101</v>
      </c>
      <c r="G1470">
        <v>6</v>
      </c>
      <c r="H1470">
        <v>3</v>
      </c>
      <c r="I1470" s="2">
        <f t="shared" si="66"/>
        <v>0.589032</v>
      </c>
      <c r="J1470">
        <f t="shared" si="67"/>
        <v>2.1987010078387458E-2</v>
      </c>
      <c r="K1470">
        <f t="shared" si="68"/>
        <v>1.538344215199791E-2</v>
      </c>
    </row>
    <row r="1471" spans="1:11" x14ac:dyDescent="0.25">
      <c r="A1471" s="1">
        <v>1988</v>
      </c>
      <c r="B1471" s="1" t="s">
        <v>99</v>
      </c>
      <c r="C1471" t="s">
        <v>7</v>
      </c>
      <c r="D1471" s="1" t="s">
        <v>3</v>
      </c>
      <c r="E1471">
        <v>88</v>
      </c>
      <c r="F1471" s="1" t="s">
        <v>101</v>
      </c>
      <c r="G1471">
        <v>6</v>
      </c>
      <c r="H1471">
        <v>2</v>
      </c>
      <c r="I1471" s="2">
        <f t="shared" si="66"/>
        <v>0.39268799999999998</v>
      </c>
      <c r="J1471">
        <f t="shared" si="67"/>
        <v>1.4658006718924971E-2</v>
      </c>
      <c r="K1471">
        <f t="shared" si="68"/>
        <v>1.0255628101331939E-2</v>
      </c>
    </row>
    <row r="1472" spans="1:11" x14ac:dyDescent="0.25">
      <c r="A1472" s="1">
        <v>1988</v>
      </c>
      <c r="B1472" s="1" t="s">
        <v>99</v>
      </c>
      <c r="C1472" t="s">
        <v>7</v>
      </c>
      <c r="D1472" s="1" t="s">
        <v>3</v>
      </c>
      <c r="E1472">
        <v>88</v>
      </c>
      <c r="F1472" s="1" t="s">
        <v>101</v>
      </c>
      <c r="G1472">
        <v>8</v>
      </c>
      <c r="H1472">
        <v>1</v>
      </c>
      <c r="I1472" s="2">
        <f t="shared" si="66"/>
        <v>0.34905599999999998</v>
      </c>
      <c r="J1472">
        <f t="shared" si="67"/>
        <v>1.3029339305711086E-2</v>
      </c>
      <c r="K1472">
        <f t="shared" si="68"/>
        <v>9.1161138678506129E-3</v>
      </c>
    </row>
    <row r="1473" spans="1:11" x14ac:dyDescent="0.25">
      <c r="A1473" s="1">
        <v>1988</v>
      </c>
      <c r="B1473" s="1" t="s">
        <v>99</v>
      </c>
      <c r="C1473" t="s">
        <v>7</v>
      </c>
      <c r="D1473" s="1" t="s">
        <v>3</v>
      </c>
      <c r="E1473">
        <v>88</v>
      </c>
      <c r="F1473" s="1" t="s">
        <v>101</v>
      </c>
      <c r="G1473">
        <v>10</v>
      </c>
      <c r="H1473">
        <v>5</v>
      </c>
      <c r="I1473" s="2">
        <f t="shared" si="66"/>
        <v>2.7269999999999999</v>
      </c>
      <c r="J1473">
        <f t="shared" si="67"/>
        <v>0.10179171332586787</v>
      </c>
      <c r="K1473">
        <f t="shared" si="68"/>
        <v>7.1219639592582915E-2</v>
      </c>
    </row>
    <row r="1474" spans="1:11" x14ac:dyDescent="0.25">
      <c r="A1474" s="1">
        <v>1988</v>
      </c>
      <c r="B1474" s="1" t="s">
        <v>99</v>
      </c>
      <c r="C1474" t="s">
        <v>7</v>
      </c>
      <c r="D1474" s="1" t="s">
        <v>3</v>
      </c>
      <c r="E1474">
        <v>91</v>
      </c>
      <c r="F1474" s="1" t="s">
        <v>101</v>
      </c>
      <c r="G1474">
        <v>6</v>
      </c>
      <c r="H1474">
        <v>14</v>
      </c>
      <c r="I1474" s="2">
        <f t="shared" si="66"/>
        <v>2.7488159999999997</v>
      </c>
      <c r="J1474">
        <f t="shared" si="67"/>
        <v>0.10260604703247479</v>
      </c>
      <c r="K1474">
        <f t="shared" si="68"/>
        <v>7.1789396709323564E-2</v>
      </c>
    </row>
    <row r="1475" spans="1:11" x14ac:dyDescent="0.25">
      <c r="A1475" s="1">
        <v>1988</v>
      </c>
      <c r="B1475" s="1" t="s">
        <v>99</v>
      </c>
      <c r="C1475" t="s">
        <v>7</v>
      </c>
      <c r="D1475" s="1" t="s">
        <v>3</v>
      </c>
      <c r="E1475">
        <v>91</v>
      </c>
      <c r="F1475" s="1" t="s">
        <v>101</v>
      </c>
      <c r="G1475">
        <v>8</v>
      </c>
      <c r="H1475">
        <v>8</v>
      </c>
      <c r="I1475" s="2">
        <f t="shared" ref="I1475:I1538" si="69">0.005454*G1475^2*H1475</f>
        <v>2.7924479999999998</v>
      </c>
      <c r="J1475">
        <f t="shared" ref="J1475:J1538" si="70">I1475/26.79</f>
        <v>0.10423471444568869</v>
      </c>
      <c r="K1475">
        <f t="shared" ref="K1475:K1538" si="71">J1475*(26.79/38.29)</f>
        <v>7.2928910942804903E-2</v>
      </c>
    </row>
    <row r="1476" spans="1:11" x14ac:dyDescent="0.25">
      <c r="A1476" s="1">
        <v>1988</v>
      </c>
      <c r="B1476" s="1" t="s">
        <v>99</v>
      </c>
      <c r="C1476" t="s">
        <v>7</v>
      </c>
      <c r="D1476" s="1" t="s">
        <v>3</v>
      </c>
      <c r="E1476">
        <v>91</v>
      </c>
      <c r="F1476" s="1" t="s">
        <v>101</v>
      </c>
      <c r="G1476">
        <v>10</v>
      </c>
      <c r="H1476">
        <v>8</v>
      </c>
      <c r="I1476" s="2">
        <f t="shared" si="69"/>
        <v>4.3632</v>
      </c>
      <c r="J1476">
        <f t="shared" si="70"/>
        <v>0.16286674132138859</v>
      </c>
      <c r="K1476">
        <f t="shared" si="71"/>
        <v>0.11395142334813267</v>
      </c>
    </row>
    <row r="1477" spans="1:11" x14ac:dyDescent="0.25">
      <c r="A1477" s="1">
        <v>1988</v>
      </c>
      <c r="B1477" s="1" t="s">
        <v>99</v>
      </c>
      <c r="C1477" t="s">
        <v>7</v>
      </c>
      <c r="D1477" s="1" t="s">
        <v>3</v>
      </c>
      <c r="E1477">
        <v>91</v>
      </c>
      <c r="F1477" s="1" t="s">
        <v>101</v>
      </c>
      <c r="G1477">
        <v>12</v>
      </c>
      <c r="H1477">
        <v>3</v>
      </c>
      <c r="I1477" s="2">
        <f t="shared" si="69"/>
        <v>2.356128</v>
      </c>
      <c r="J1477">
        <f t="shared" si="70"/>
        <v>8.794804031354983E-2</v>
      </c>
      <c r="K1477">
        <f t="shared" si="71"/>
        <v>6.1533768607991639E-2</v>
      </c>
    </row>
    <row r="1478" spans="1:11" x14ac:dyDescent="0.25">
      <c r="A1478" s="1">
        <v>1988</v>
      </c>
      <c r="B1478" s="1" t="s">
        <v>99</v>
      </c>
      <c r="C1478" t="s">
        <v>7</v>
      </c>
      <c r="D1478" s="1" t="s">
        <v>3</v>
      </c>
      <c r="E1478">
        <v>91</v>
      </c>
      <c r="F1478" s="1" t="s">
        <v>101</v>
      </c>
      <c r="G1478">
        <v>14</v>
      </c>
      <c r="H1478">
        <v>7</v>
      </c>
      <c r="I1478" s="2">
        <f t="shared" si="69"/>
        <v>7.4828879999999991</v>
      </c>
      <c r="J1478">
        <f t="shared" si="70"/>
        <v>0.27931646136618138</v>
      </c>
      <c r="K1478">
        <f t="shared" si="71"/>
        <v>0.19542669104204749</v>
      </c>
    </row>
    <row r="1479" spans="1:11" x14ac:dyDescent="0.25">
      <c r="A1479" s="1">
        <v>1988</v>
      </c>
      <c r="B1479" s="1" t="s">
        <v>99</v>
      </c>
      <c r="C1479" t="s">
        <v>7</v>
      </c>
      <c r="D1479" s="1" t="s">
        <v>3</v>
      </c>
      <c r="E1479">
        <v>91</v>
      </c>
      <c r="F1479" s="1" t="s">
        <v>101</v>
      </c>
      <c r="G1479">
        <v>16</v>
      </c>
      <c r="H1479">
        <v>7</v>
      </c>
      <c r="I1479" s="2">
        <f t="shared" si="69"/>
        <v>9.7735679999999991</v>
      </c>
      <c r="J1479">
        <f t="shared" si="70"/>
        <v>0.36482150055991042</v>
      </c>
      <c r="K1479">
        <f t="shared" si="71"/>
        <v>0.25525118829981719</v>
      </c>
    </row>
    <row r="1480" spans="1:11" x14ac:dyDescent="0.25">
      <c r="A1480" s="1">
        <v>1988</v>
      </c>
      <c r="B1480" s="1" t="s">
        <v>99</v>
      </c>
      <c r="C1480" t="s">
        <v>7</v>
      </c>
      <c r="D1480" s="1" t="s">
        <v>5</v>
      </c>
      <c r="E1480">
        <v>21</v>
      </c>
      <c r="F1480" s="1" t="s">
        <v>101</v>
      </c>
      <c r="G1480">
        <v>14</v>
      </c>
      <c r="H1480">
        <v>1</v>
      </c>
      <c r="I1480" s="2">
        <f t="shared" si="69"/>
        <v>1.0689839999999999</v>
      </c>
      <c r="J1480">
        <f t="shared" si="70"/>
        <v>3.9902351623740201E-2</v>
      </c>
      <c r="K1480">
        <f t="shared" si="71"/>
        <v>2.7918098720292502E-2</v>
      </c>
    </row>
    <row r="1481" spans="1:11" x14ac:dyDescent="0.25">
      <c r="A1481" s="1">
        <v>1988</v>
      </c>
      <c r="B1481" s="1" t="s">
        <v>99</v>
      </c>
      <c r="C1481" t="s">
        <v>7</v>
      </c>
      <c r="D1481" s="1" t="s">
        <v>5</v>
      </c>
      <c r="E1481">
        <v>28</v>
      </c>
      <c r="F1481" s="1" t="s">
        <v>101</v>
      </c>
      <c r="G1481">
        <v>6</v>
      </c>
      <c r="H1481">
        <v>1</v>
      </c>
      <c r="I1481" s="2">
        <f t="shared" si="69"/>
        <v>0.19634399999999999</v>
      </c>
      <c r="J1481">
        <f t="shared" si="70"/>
        <v>7.3290033594624856E-3</v>
      </c>
      <c r="K1481">
        <f t="shared" si="71"/>
        <v>5.1278140506659693E-3</v>
      </c>
    </row>
    <row r="1482" spans="1:11" x14ac:dyDescent="0.25">
      <c r="A1482" s="1">
        <v>1988</v>
      </c>
      <c r="B1482" s="1" t="s">
        <v>99</v>
      </c>
      <c r="C1482" t="s">
        <v>7</v>
      </c>
      <c r="D1482" s="1" t="s">
        <v>5</v>
      </c>
      <c r="E1482">
        <v>29</v>
      </c>
      <c r="F1482" s="1" t="s">
        <v>101</v>
      </c>
      <c r="G1482">
        <v>6</v>
      </c>
      <c r="H1482">
        <v>2</v>
      </c>
      <c r="I1482" s="2">
        <f t="shared" si="69"/>
        <v>0.39268799999999998</v>
      </c>
      <c r="J1482">
        <f t="shared" si="70"/>
        <v>1.4658006718924971E-2</v>
      </c>
      <c r="K1482">
        <f t="shared" si="71"/>
        <v>1.0255628101331939E-2</v>
      </c>
    </row>
    <row r="1483" spans="1:11" x14ac:dyDescent="0.25">
      <c r="A1483" s="1">
        <v>1988</v>
      </c>
      <c r="B1483" s="1" t="s">
        <v>99</v>
      </c>
      <c r="C1483" t="s">
        <v>7</v>
      </c>
      <c r="D1483" s="1" t="s">
        <v>5</v>
      </c>
      <c r="E1483">
        <v>29</v>
      </c>
      <c r="F1483" s="1" t="s">
        <v>101</v>
      </c>
      <c r="G1483">
        <v>8</v>
      </c>
      <c r="H1483">
        <v>1</v>
      </c>
      <c r="I1483" s="2">
        <f t="shared" si="69"/>
        <v>0.34905599999999998</v>
      </c>
      <c r="J1483">
        <f t="shared" si="70"/>
        <v>1.3029339305711086E-2</v>
      </c>
      <c r="K1483">
        <f t="shared" si="71"/>
        <v>9.1161138678506129E-3</v>
      </c>
    </row>
    <row r="1484" spans="1:11" x14ac:dyDescent="0.25">
      <c r="A1484" s="1">
        <v>1988</v>
      </c>
      <c r="B1484" s="1" t="s">
        <v>99</v>
      </c>
      <c r="C1484" t="s">
        <v>7</v>
      </c>
      <c r="D1484" s="1" t="s">
        <v>5</v>
      </c>
      <c r="E1484">
        <v>32</v>
      </c>
      <c r="F1484" s="1" t="s">
        <v>101</v>
      </c>
      <c r="G1484">
        <v>6</v>
      </c>
      <c r="H1484">
        <v>3</v>
      </c>
      <c r="I1484" s="2">
        <f t="shared" si="69"/>
        <v>0.589032</v>
      </c>
      <c r="J1484">
        <f t="shared" si="70"/>
        <v>2.1987010078387458E-2</v>
      </c>
      <c r="K1484">
        <f t="shared" si="71"/>
        <v>1.538344215199791E-2</v>
      </c>
    </row>
    <row r="1485" spans="1:11" x14ac:dyDescent="0.25">
      <c r="A1485" s="1">
        <v>1988</v>
      </c>
      <c r="B1485" s="1" t="s">
        <v>99</v>
      </c>
      <c r="C1485" t="s">
        <v>7</v>
      </c>
      <c r="D1485" s="1" t="s">
        <v>5</v>
      </c>
      <c r="E1485">
        <v>32</v>
      </c>
      <c r="F1485" s="1" t="s">
        <v>101</v>
      </c>
      <c r="G1485">
        <v>8</v>
      </c>
      <c r="H1485">
        <v>1</v>
      </c>
      <c r="I1485" s="2">
        <f t="shared" si="69"/>
        <v>0.34905599999999998</v>
      </c>
      <c r="J1485">
        <f t="shared" si="70"/>
        <v>1.3029339305711086E-2</v>
      </c>
      <c r="K1485">
        <f t="shared" si="71"/>
        <v>9.1161138678506129E-3</v>
      </c>
    </row>
    <row r="1486" spans="1:11" x14ac:dyDescent="0.25">
      <c r="A1486" s="1">
        <v>1988</v>
      </c>
      <c r="B1486" s="1" t="s">
        <v>99</v>
      </c>
      <c r="C1486" t="s">
        <v>7</v>
      </c>
      <c r="D1486" s="1" t="s">
        <v>5</v>
      </c>
      <c r="E1486">
        <v>32</v>
      </c>
      <c r="F1486" s="1" t="s">
        <v>101</v>
      </c>
      <c r="G1486">
        <v>12</v>
      </c>
      <c r="H1486">
        <v>2</v>
      </c>
      <c r="I1486" s="2">
        <f t="shared" si="69"/>
        <v>1.5707519999999999</v>
      </c>
      <c r="J1486">
        <f t="shared" si="70"/>
        <v>5.8632026875699884E-2</v>
      </c>
      <c r="K1486">
        <f t="shared" si="71"/>
        <v>4.1022512405327755E-2</v>
      </c>
    </row>
    <row r="1487" spans="1:11" x14ac:dyDescent="0.25">
      <c r="A1487" s="1">
        <v>1988</v>
      </c>
      <c r="B1487" s="1" t="s">
        <v>99</v>
      </c>
      <c r="C1487" t="s">
        <v>7</v>
      </c>
      <c r="D1487" s="1" t="s">
        <v>5</v>
      </c>
      <c r="E1487">
        <v>32</v>
      </c>
      <c r="F1487" s="1" t="s">
        <v>101</v>
      </c>
      <c r="G1487">
        <v>14</v>
      </c>
      <c r="H1487">
        <v>3</v>
      </c>
      <c r="I1487" s="2">
        <f t="shared" si="69"/>
        <v>3.2069519999999998</v>
      </c>
      <c r="J1487">
        <f t="shared" si="70"/>
        <v>0.1197070548712206</v>
      </c>
      <c r="K1487">
        <f t="shared" si="71"/>
        <v>8.3754296160877512E-2</v>
      </c>
    </row>
    <row r="1488" spans="1:11" x14ac:dyDescent="0.25">
      <c r="A1488" s="1">
        <v>1988</v>
      </c>
      <c r="B1488" s="1" t="s">
        <v>99</v>
      </c>
      <c r="C1488" t="s">
        <v>7</v>
      </c>
      <c r="D1488" s="1" t="s">
        <v>5</v>
      </c>
      <c r="E1488">
        <v>32</v>
      </c>
      <c r="F1488" s="1" t="s">
        <v>101</v>
      </c>
      <c r="G1488">
        <v>16</v>
      </c>
      <c r="H1488">
        <v>3</v>
      </c>
      <c r="I1488" s="2">
        <f t="shared" si="69"/>
        <v>4.1886719999999995</v>
      </c>
      <c r="J1488">
        <f t="shared" si="70"/>
        <v>0.15635207166853302</v>
      </c>
      <c r="K1488">
        <f t="shared" si="71"/>
        <v>0.10939336641420734</v>
      </c>
    </row>
    <row r="1489" spans="1:11" x14ac:dyDescent="0.25">
      <c r="A1489" s="1">
        <v>1988</v>
      </c>
      <c r="B1489" s="1" t="s">
        <v>99</v>
      </c>
      <c r="C1489" t="s">
        <v>7</v>
      </c>
      <c r="D1489" s="1" t="s">
        <v>5</v>
      </c>
      <c r="E1489">
        <v>34</v>
      </c>
      <c r="F1489" s="1" t="s">
        <v>101</v>
      </c>
      <c r="G1489">
        <v>6</v>
      </c>
      <c r="H1489">
        <v>3</v>
      </c>
      <c r="I1489" s="2">
        <f t="shared" si="69"/>
        <v>0.589032</v>
      </c>
      <c r="J1489">
        <f t="shared" si="70"/>
        <v>2.1987010078387458E-2</v>
      </c>
      <c r="K1489">
        <f t="shared" si="71"/>
        <v>1.538344215199791E-2</v>
      </c>
    </row>
    <row r="1490" spans="1:11" x14ac:dyDescent="0.25">
      <c r="A1490" s="1">
        <v>1988</v>
      </c>
      <c r="B1490" s="1" t="s">
        <v>99</v>
      </c>
      <c r="C1490" t="s">
        <v>7</v>
      </c>
      <c r="D1490" s="1" t="s">
        <v>5</v>
      </c>
      <c r="E1490">
        <v>38</v>
      </c>
      <c r="F1490" s="1" t="s">
        <v>101</v>
      </c>
      <c r="G1490">
        <v>6</v>
      </c>
      <c r="H1490">
        <v>3</v>
      </c>
      <c r="I1490" s="2">
        <f t="shared" si="69"/>
        <v>0.589032</v>
      </c>
      <c r="J1490">
        <f t="shared" si="70"/>
        <v>2.1987010078387458E-2</v>
      </c>
      <c r="K1490">
        <f t="shared" si="71"/>
        <v>1.538344215199791E-2</v>
      </c>
    </row>
    <row r="1491" spans="1:11" x14ac:dyDescent="0.25">
      <c r="A1491" s="1">
        <v>1988</v>
      </c>
      <c r="B1491" s="1" t="s">
        <v>99</v>
      </c>
      <c r="C1491" t="s">
        <v>7</v>
      </c>
      <c r="D1491" s="1" t="s">
        <v>5</v>
      </c>
      <c r="E1491">
        <v>38</v>
      </c>
      <c r="F1491" s="1" t="s">
        <v>101</v>
      </c>
      <c r="G1491">
        <v>8</v>
      </c>
      <c r="H1491">
        <v>1</v>
      </c>
      <c r="I1491" s="2">
        <f t="shared" si="69"/>
        <v>0.34905599999999998</v>
      </c>
      <c r="J1491">
        <f t="shared" si="70"/>
        <v>1.3029339305711086E-2</v>
      </c>
      <c r="K1491">
        <f t="shared" si="71"/>
        <v>9.1161138678506129E-3</v>
      </c>
    </row>
    <row r="1492" spans="1:11" x14ac:dyDescent="0.25">
      <c r="A1492" s="1">
        <v>1988</v>
      </c>
      <c r="B1492" s="1" t="s">
        <v>99</v>
      </c>
      <c r="C1492" t="s">
        <v>7</v>
      </c>
      <c r="D1492" s="1" t="s">
        <v>5</v>
      </c>
      <c r="E1492">
        <v>38</v>
      </c>
      <c r="F1492" s="1" t="s">
        <v>101</v>
      </c>
      <c r="G1492">
        <v>10</v>
      </c>
      <c r="H1492">
        <v>1</v>
      </c>
      <c r="I1492" s="2">
        <f t="shared" si="69"/>
        <v>0.5454</v>
      </c>
      <c r="J1492">
        <f t="shared" si="70"/>
        <v>2.0358342665173574E-2</v>
      </c>
      <c r="K1492">
        <f t="shared" si="71"/>
        <v>1.4243927918516584E-2</v>
      </c>
    </row>
    <row r="1493" spans="1:11" x14ac:dyDescent="0.25">
      <c r="A1493" s="1">
        <v>1988</v>
      </c>
      <c r="B1493" s="1" t="s">
        <v>99</v>
      </c>
      <c r="C1493" t="s">
        <v>7</v>
      </c>
      <c r="D1493" s="1" t="s">
        <v>5</v>
      </c>
      <c r="E1493">
        <v>38</v>
      </c>
      <c r="F1493" s="1" t="s">
        <v>101</v>
      </c>
      <c r="G1493">
        <v>14</v>
      </c>
      <c r="H1493">
        <v>1</v>
      </c>
      <c r="I1493" s="2">
        <f t="shared" si="69"/>
        <v>1.0689839999999999</v>
      </c>
      <c r="J1493">
        <f t="shared" si="70"/>
        <v>3.9902351623740201E-2</v>
      </c>
      <c r="K1493">
        <f t="shared" si="71"/>
        <v>2.7918098720292502E-2</v>
      </c>
    </row>
    <row r="1494" spans="1:11" x14ac:dyDescent="0.25">
      <c r="A1494" s="1">
        <v>1988</v>
      </c>
      <c r="B1494" s="1" t="s">
        <v>99</v>
      </c>
      <c r="C1494" t="s">
        <v>7</v>
      </c>
      <c r="D1494" s="1" t="s">
        <v>5</v>
      </c>
      <c r="E1494">
        <v>40</v>
      </c>
      <c r="F1494" s="1" t="s">
        <v>101</v>
      </c>
      <c r="G1494">
        <v>6</v>
      </c>
      <c r="H1494">
        <v>3</v>
      </c>
      <c r="I1494" s="2">
        <f t="shared" si="69"/>
        <v>0.589032</v>
      </c>
      <c r="J1494">
        <f t="shared" si="70"/>
        <v>2.1987010078387458E-2</v>
      </c>
      <c r="K1494">
        <f t="shared" si="71"/>
        <v>1.538344215199791E-2</v>
      </c>
    </row>
    <row r="1495" spans="1:11" x14ac:dyDescent="0.25">
      <c r="A1495" s="1">
        <v>1988</v>
      </c>
      <c r="B1495" s="1" t="s">
        <v>99</v>
      </c>
      <c r="C1495" t="s">
        <v>7</v>
      </c>
      <c r="D1495" s="1" t="s">
        <v>5</v>
      </c>
      <c r="E1495">
        <v>40</v>
      </c>
      <c r="F1495" s="1" t="s">
        <v>101</v>
      </c>
      <c r="G1495">
        <v>8</v>
      </c>
      <c r="H1495">
        <v>2</v>
      </c>
      <c r="I1495" s="2">
        <f t="shared" si="69"/>
        <v>0.69811199999999995</v>
      </c>
      <c r="J1495">
        <f t="shared" si="70"/>
        <v>2.6058678611422172E-2</v>
      </c>
      <c r="K1495">
        <f t="shared" si="71"/>
        <v>1.8232227735701226E-2</v>
      </c>
    </row>
    <row r="1496" spans="1:11" x14ac:dyDescent="0.25">
      <c r="A1496" s="1">
        <v>1988</v>
      </c>
      <c r="B1496" s="1" t="s">
        <v>99</v>
      </c>
      <c r="C1496" t="s">
        <v>7</v>
      </c>
      <c r="D1496" s="1" t="s">
        <v>5</v>
      </c>
      <c r="E1496">
        <v>40</v>
      </c>
      <c r="F1496" s="1" t="s">
        <v>101</v>
      </c>
      <c r="G1496">
        <v>12</v>
      </c>
      <c r="H1496">
        <v>2</v>
      </c>
      <c r="I1496" s="2">
        <f t="shared" si="69"/>
        <v>1.5707519999999999</v>
      </c>
      <c r="J1496">
        <f t="shared" si="70"/>
        <v>5.8632026875699884E-2</v>
      </c>
      <c r="K1496">
        <f t="shared" si="71"/>
        <v>4.1022512405327755E-2</v>
      </c>
    </row>
    <row r="1497" spans="1:11" x14ac:dyDescent="0.25">
      <c r="A1497" s="1">
        <v>1988</v>
      </c>
      <c r="B1497" s="1" t="s">
        <v>99</v>
      </c>
      <c r="C1497" t="s">
        <v>7</v>
      </c>
      <c r="D1497" s="1" t="s">
        <v>5</v>
      </c>
      <c r="E1497">
        <v>53</v>
      </c>
      <c r="F1497" s="1" t="s">
        <v>101</v>
      </c>
      <c r="G1497">
        <v>6</v>
      </c>
      <c r="H1497">
        <v>2</v>
      </c>
      <c r="I1497" s="2">
        <f t="shared" si="69"/>
        <v>0.39268799999999998</v>
      </c>
      <c r="J1497">
        <f t="shared" si="70"/>
        <v>1.4658006718924971E-2</v>
      </c>
      <c r="K1497">
        <f t="shared" si="71"/>
        <v>1.0255628101331939E-2</v>
      </c>
    </row>
    <row r="1498" spans="1:11" x14ac:dyDescent="0.25">
      <c r="A1498" s="1">
        <v>1988</v>
      </c>
      <c r="B1498" s="1" t="s">
        <v>99</v>
      </c>
      <c r="C1498" t="s">
        <v>7</v>
      </c>
      <c r="D1498" s="1" t="s">
        <v>5</v>
      </c>
      <c r="E1498">
        <v>53</v>
      </c>
      <c r="F1498" s="1" t="s">
        <v>101</v>
      </c>
      <c r="G1498">
        <v>10</v>
      </c>
      <c r="H1498">
        <v>2</v>
      </c>
      <c r="I1498" s="2">
        <f t="shared" si="69"/>
        <v>1.0908</v>
      </c>
      <c r="J1498">
        <f t="shared" si="70"/>
        <v>4.0716685330347148E-2</v>
      </c>
      <c r="K1498">
        <f t="shared" si="71"/>
        <v>2.8487855837033168E-2</v>
      </c>
    </row>
    <row r="1499" spans="1:11" x14ac:dyDescent="0.25">
      <c r="A1499" s="1">
        <v>1988</v>
      </c>
      <c r="B1499" s="1" t="s">
        <v>99</v>
      </c>
      <c r="C1499" t="s">
        <v>7</v>
      </c>
      <c r="D1499" s="1" t="s">
        <v>5</v>
      </c>
      <c r="E1499">
        <v>54</v>
      </c>
      <c r="F1499" s="1" t="s">
        <v>101</v>
      </c>
      <c r="G1499">
        <v>6</v>
      </c>
      <c r="H1499">
        <v>2</v>
      </c>
      <c r="I1499" s="2">
        <f t="shared" si="69"/>
        <v>0.39268799999999998</v>
      </c>
      <c r="J1499">
        <f t="shared" si="70"/>
        <v>1.4658006718924971E-2</v>
      </c>
      <c r="K1499">
        <f t="shared" si="71"/>
        <v>1.0255628101331939E-2</v>
      </c>
    </row>
    <row r="1500" spans="1:11" x14ac:dyDescent="0.25">
      <c r="A1500" s="1">
        <v>1988</v>
      </c>
      <c r="B1500" s="1" t="s">
        <v>99</v>
      </c>
      <c r="C1500" t="s">
        <v>7</v>
      </c>
      <c r="D1500" s="1" t="s">
        <v>5</v>
      </c>
      <c r="E1500">
        <v>54</v>
      </c>
      <c r="F1500" s="1" t="s">
        <v>101</v>
      </c>
      <c r="G1500">
        <v>10</v>
      </c>
      <c r="H1500">
        <v>2</v>
      </c>
      <c r="I1500" s="2">
        <f t="shared" si="69"/>
        <v>1.0908</v>
      </c>
      <c r="J1500">
        <f t="shared" si="70"/>
        <v>4.0716685330347148E-2</v>
      </c>
      <c r="K1500">
        <f t="shared" si="71"/>
        <v>2.8487855837033168E-2</v>
      </c>
    </row>
    <row r="1501" spans="1:11" x14ac:dyDescent="0.25">
      <c r="A1501" s="1">
        <v>1988</v>
      </c>
      <c r="B1501" s="1" t="s">
        <v>99</v>
      </c>
      <c r="C1501" t="s">
        <v>7</v>
      </c>
      <c r="D1501" s="1" t="s">
        <v>5</v>
      </c>
      <c r="E1501">
        <v>54</v>
      </c>
      <c r="F1501" s="1" t="s">
        <v>101</v>
      </c>
      <c r="G1501">
        <v>12</v>
      </c>
      <c r="H1501">
        <v>1</v>
      </c>
      <c r="I1501" s="2">
        <f t="shared" si="69"/>
        <v>0.78537599999999996</v>
      </c>
      <c r="J1501">
        <f t="shared" si="70"/>
        <v>2.9316013437849942E-2</v>
      </c>
      <c r="K1501">
        <f t="shared" si="71"/>
        <v>2.0511256202663877E-2</v>
      </c>
    </row>
    <row r="1502" spans="1:11" x14ac:dyDescent="0.25">
      <c r="A1502" s="1">
        <v>1988</v>
      </c>
      <c r="B1502" s="1" t="s">
        <v>99</v>
      </c>
      <c r="C1502" t="s">
        <v>7</v>
      </c>
      <c r="D1502" s="1" t="s">
        <v>5</v>
      </c>
      <c r="E1502">
        <v>54</v>
      </c>
      <c r="F1502" s="1" t="s">
        <v>101</v>
      </c>
      <c r="G1502">
        <v>14</v>
      </c>
      <c r="H1502">
        <v>1</v>
      </c>
      <c r="I1502" s="2">
        <f t="shared" si="69"/>
        <v>1.0689839999999999</v>
      </c>
      <c r="J1502">
        <f t="shared" si="70"/>
        <v>3.9902351623740201E-2</v>
      </c>
      <c r="K1502">
        <f t="shared" si="71"/>
        <v>2.7918098720292502E-2</v>
      </c>
    </row>
    <row r="1503" spans="1:11" x14ac:dyDescent="0.25">
      <c r="A1503" s="1">
        <v>1988</v>
      </c>
      <c r="B1503" s="1" t="s">
        <v>99</v>
      </c>
      <c r="C1503" t="s">
        <v>7</v>
      </c>
      <c r="D1503" s="1" t="s">
        <v>5</v>
      </c>
      <c r="E1503">
        <v>56</v>
      </c>
      <c r="F1503" s="1" t="s">
        <v>101</v>
      </c>
      <c r="G1503">
        <v>6</v>
      </c>
      <c r="H1503">
        <v>4</v>
      </c>
      <c r="I1503" s="2">
        <f t="shared" si="69"/>
        <v>0.78537599999999996</v>
      </c>
      <c r="J1503">
        <f t="shared" si="70"/>
        <v>2.9316013437849942E-2</v>
      </c>
      <c r="K1503">
        <f t="shared" si="71"/>
        <v>2.0511256202663877E-2</v>
      </c>
    </row>
    <row r="1504" spans="1:11" x14ac:dyDescent="0.25">
      <c r="A1504" s="1">
        <v>1988</v>
      </c>
      <c r="B1504" s="1" t="s">
        <v>99</v>
      </c>
      <c r="C1504" t="s">
        <v>7</v>
      </c>
      <c r="D1504" s="1" t="s">
        <v>5</v>
      </c>
      <c r="E1504">
        <v>56</v>
      </c>
      <c r="F1504" s="1" t="s">
        <v>101</v>
      </c>
      <c r="G1504">
        <v>8</v>
      </c>
      <c r="H1504">
        <v>1</v>
      </c>
      <c r="I1504" s="2">
        <f t="shared" si="69"/>
        <v>0.34905599999999998</v>
      </c>
      <c r="J1504">
        <f t="shared" si="70"/>
        <v>1.3029339305711086E-2</v>
      </c>
      <c r="K1504">
        <f t="shared" si="71"/>
        <v>9.1161138678506129E-3</v>
      </c>
    </row>
    <row r="1505" spans="1:11" x14ac:dyDescent="0.25">
      <c r="A1505" s="1">
        <v>1988</v>
      </c>
      <c r="B1505" s="1" t="s">
        <v>99</v>
      </c>
      <c r="C1505" t="s">
        <v>7</v>
      </c>
      <c r="D1505" s="1" t="s">
        <v>5</v>
      </c>
      <c r="E1505">
        <v>56</v>
      </c>
      <c r="F1505" s="1" t="s">
        <v>101</v>
      </c>
      <c r="G1505">
        <v>10</v>
      </c>
      <c r="H1505">
        <v>1</v>
      </c>
      <c r="I1505" s="2">
        <f t="shared" si="69"/>
        <v>0.5454</v>
      </c>
      <c r="J1505">
        <f t="shared" si="70"/>
        <v>2.0358342665173574E-2</v>
      </c>
      <c r="K1505">
        <f t="shared" si="71"/>
        <v>1.4243927918516584E-2</v>
      </c>
    </row>
    <row r="1506" spans="1:11" x14ac:dyDescent="0.25">
      <c r="A1506" s="1">
        <v>1988</v>
      </c>
      <c r="B1506" s="1" t="s">
        <v>99</v>
      </c>
      <c r="C1506" t="s">
        <v>7</v>
      </c>
      <c r="D1506" s="1" t="s">
        <v>5</v>
      </c>
      <c r="E1506">
        <v>56</v>
      </c>
      <c r="F1506" s="1" t="s">
        <v>101</v>
      </c>
      <c r="G1506">
        <v>12</v>
      </c>
      <c r="H1506">
        <v>2</v>
      </c>
      <c r="I1506" s="2">
        <f t="shared" si="69"/>
        <v>1.5707519999999999</v>
      </c>
      <c r="J1506">
        <f t="shared" si="70"/>
        <v>5.8632026875699884E-2</v>
      </c>
      <c r="K1506">
        <f t="shared" si="71"/>
        <v>4.1022512405327755E-2</v>
      </c>
    </row>
    <row r="1507" spans="1:11" x14ac:dyDescent="0.25">
      <c r="A1507" s="1">
        <v>1988</v>
      </c>
      <c r="B1507" s="1" t="s">
        <v>99</v>
      </c>
      <c r="C1507" t="s">
        <v>7</v>
      </c>
      <c r="D1507" s="1" t="s">
        <v>5</v>
      </c>
      <c r="E1507">
        <v>56</v>
      </c>
      <c r="F1507" s="1" t="s">
        <v>101</v>
      </c>
      <c r="G1507">
        <v>14</v>
      </c>
      <c r="H1507">
        <v>1</v>
      </c>
      <c r="I1507" s="2">
        <f t="shared" si="69"/>
        <v>1.0689839999999999</v>
      </c>
      <c r="J1507">
        <f t="shared" si="70"/>
        <v>3.9902351623740201E-2</v>
      </c>
      <c r="K1507">
        <f t="shared" si="71"/>
        <v>2.7918098720292502E-2</v>
      </c>
    </row>
    <row r="1508" spans="1:11" x14ac:dyDescent="0.25">
      <c r="A1508" s="1">
        <v>1988</v>
      </c>
      <c r="B1508" s="1" t="s">
        <v>99</v>
      </c>
      <c r="C1508" t="s">
        <v>7</v>
      </c>
      <c r="D1508" s="1" t="s">
        <v>5</v>
      </c>
      <c r="E1508">
        <v>56</v>
      </c>
      <c r="F1508" s="1" t="s">
        <v>101</v>
      </c>
      <c r="G1508">
        <v>16</v>
      </c>
      <c r="H1508">
        <v>1</v>
      </c>
      <c r="I1508" s="2">
        <f t="shared" si="69"/>
        <v>1.3962239999999999</v>
      </c>
      <c r="J1508">
        <f t="shared" si="70"/>
        <v>5.2117357222844343E-2</v>
      </c>
      <c r="K1508">
        <f t="shared" si="71"/>
        <v>3.6464455471402452E-2</v>
      </c>
    </row>
    <row r="1509" spans="1:11" x14ac:dyDescent="0.25">
      <c r="A1509" s="1">
        <v>1988</v>
      </c>
      <c r="B1509" s="1" t="s">
        <v>99</v>
      </c>
      <c r="C1509" t="s">
        <v>7</v>
      </c>
      <c r="D1509" s="1" t="s">
        <v>5</v>
      </c>
      <c r="E1509">
        <v>58</v>
      </c>
      <c r="F1509" s="1" t="s">
        <v>101</v>
      </c>
      <c r="G1509">
        <v>8</v>
      </c>
      <c r="H1509">
        <v>4</v>
      </c>
      <c r="I1509" s="2">
        <f t="shared" si="69"/>
        <v>1.3962239999999999</v>
      </c>
      <c r="J1509">
        <f t="shared" si="70"/>
        <v>5.2117357222844343E-2</v>
      </c>
      <c r="K1509">
        <f t="shared" si="71"/>
        <v>3.6464455471402452E-2</v>
      </c>
    </row>
    <row r="1510" spans="1:11" x14ac:dyDescent="0.25">
      <c r="A1510" s="1">
        <v>1988</v>
      </c>
      <c r="B1510" s="1" t="s">
        <v>99</v>
      </c>
      <c r="C1510" t="s">
        <v>7</v>
      </c>
      <c r="D1510" s="1" t="s">
        <v>5</v>
      </c>
      <c r="E1510">
        <v>58</v>
      </c>
      <c r="F1510" s="1" t="s">
        <v>101</v>
      </c>
      <c r="G1510">
        <v>10</v>
      </c>
      <c r="H1510">
        <v>3</v>
      </c>
      <c r="I1510" s="2">
        <f t="shared" si="69"/>
        <v>1.6362000000000001</v>
      </c>
      <c r="J1510">
        <f t="shared" si="70"/>
        <v>6.1075027995520725E-2</v>
      </c>
      <c r="K1510">
        <f t="shared" si="71"/>
        <v>4.2731783755549757E-2</v>
      </c>
    </row>
    <row r="1511" spans="1:11" x14ac:dyDescent="0.25">
      <c r="A1511" s="1">
        <v>1988</v>
      </c>
      <c r="B1511" s="1" t="s">
        <v>99</v>
      </c>
      <c r="C1511" t="s">
        <v>7</v>
      </c>
      <c r="D1511" s="1" t="s">
        <v>5</v>
      </c>
      <c r="E1511">
        <v>63</v>
      </c>
      <c r="F1511" s="1" t="s">
        <v>101</v>
      </c>
      <c r="G1511">
        <v>6</v>
      </c>
      <c r="H1511">
        <v>5</v>
      </c>
      <c r="I1511" s="2">
        <f t="shared" si="69"/>
        <v>0.98171999999999993</v>
      </c>
      <c r="J1511">
        <f t="shared" si="70"/>
        <v>3.6645016797312427E-2</v>
      </c>
      <c r="K1511">
        <f t="shared" si="71"/>
        <v>2.5639070253329847E-2</v>
      </c>
    </row>
    <row r="1512" spans="1:11" x14ac:dyDescent="0.25">
      <c r="A1512" s="1">
        <v>1988</v>
      </c>
      <c r="B1512" s="1" t="s">
        <v>99</v>
      </c>
      <c r="C1512" t="s">
        <v>7</v>
      </c>
      <c r="D1512" s="1" t="s">
        <v>5</v>
      </c>
      <c r="E1512">
        <v>63</v>
      </c>
      <c r="F1512" s="1" t="s">
        <v>101</v>
      </c>
      <c r="G1512">
        <v>8</v>
      </c>
      <c r="H1512">
        <v>1</v>
      </c>
      <c r="I1512" s="2">
        <f t="shared" si="69"/>
        <v>0.34905599999999998</v>
      </c>
      <c r="J1512">
        <f t="shared" si="70"/>
        <v>1.3029339305711086E-2</v>
      </c>
      <c r="K1512">
        <f t="shared" si="71"/>
        <v>9.1161138678506129E-3</v>
      </c>
    </row>
    <row r="1513" spans="1:11" x14ac:dyDescent="0.25">
      <c r="A1513" s="1">
        <v>1988</v>
      </c>
      <c r="B1513" s="1" t="s">
        <v>99</v>
      </c>
      <c r="C1513" t="s">
        <v>7</v>
      </c>
      <c r="D1513" s="1" t="s">
        <v>5</v>
      </c>
      <c r="E1513">
        <v>66</v>
      </c>
      <c r="F1513" s="1" t="s">
        <v>101</v>
      </c>
      <c r="G1513">
        <v>6</v>
      </c>
      <c r="H1513">
        <v>1</v>
      </c>
      <c r="I1513" s="2">
        <f t="shared" si="69"/>
        <v>0.19634399999999999</v>
      </c>
      <c r="J1513">
        <f t="shared" si="70"/>
        <v>7.3290033594624856E-3</v>
      </c>
      <c r="K1513">
        <f t="shared" si="71"/>
        <v>5.1278140506659693E-3</v>
      </c>
    </row>
    <row r="1514" spans="1:11" x14ac:dyDescent="0.25">
      <c r="A1514" s="1">
        <v>1988</v>
      </c>
      <c r="B1514" s="1" t="s">
        <v>99</v>
      </c>
      <c r="C1514" t="s">
        <v>7</v>
      </c>
      <c r="D1514" s="1" t="s">
        <v>5</v>
      </c>
      <c r="E1514">
        <v>66</v>
      </c>
      <c r="F1514" s="1" t="s">
        <v>101</v>
      </c>
      <c r="G1514">
        <v>12</v>
      </c>
      <c r="H1514">
        <v>1</v>
      </c>
      <c r="I1514" s="2">
        <f t="shared" si="69"/>
        <v>0.78537599999999996</v>
      </c>
      <c r="J1514">
        <f t="shared" si="70"/>
        <v>2.9316013437849942E-2</v>
      </c>
      <c r="K1514">
        <f t="shared" si="71"/>
        <v>2.0511256202663877E-2</v>
      </c>
    </row>
    <row r="1515" spans="1:11" x14ac:dyDescent="0.25">
      <c r="A1515" s="1">
        <v>1988</v>
      </c>
      <c r="B1515" s="1" t="s">
        <v>99</v>
      </c>
      <c r="C1515" t="s">
        <v>7</v>
      </c>
      <c r="D1515" s="1" t="s">
        <v>5</v>
      </c>
      <c r="E1515">
        <v>71</v>
      </c>
      <c r="F1515" s="1" t="s">
        <v>101</v>
      </c>
      <c r="G1515">
        <v>6</v>
      </c>
      <c r="H1515">
        <v>4</v>
      </c>
      <c r="I1515" s="2">
        <f t="shared" si="69"/>
        <v>0.78537599999999996</v>
      </c>
      <c r="J1515">
        <f t="shared" si="70"/>
        <v>2.9316013437849942E-2</v>
      </c>
      <c r="K1515">
        <f t="shared" si="71"/>
        <v>2.0511256202663877E-2</v>
      </c>
    </row>
    <row r="1516" spans="1:11" x14ac:dyDescent="0.25">
      <c r="A1516" s="1">
        <v>1988</v>
      </c>
      <c r="B1516" s="1" t="s">
        <v>99</v>
      </c>
      <c r="C1516" t="s">
        <v>7</v>
      </c>
      <c r="D1516" s="1" t="s">
        <v>5</v>
      </c>
      <c r="E1516">
        <v>71</v>
      </c>
      <c r="F1516" s="1" t="s">
        <v>101</v>
      </c>
      <c r="G1516">
        <v>8</v>
      </c>
      <c r="H1516">
        <v>8</v>
      </c>
      <c r="I1516" s="2">
        <f t="shared" si="69"/>
        <v>2.7924479999999998</v>
      </c>
      <c r="J1516">
        <f t="shared" si="70"/>
        <v>0.10423471444568869</v>
      </c>
      <c r="K1516">
        <f t="shared" si="71"/>
        <v>7.2928910942804903E-2</v>
      </c>
    </row>
    <row r="1517" spans="1:11" x14ac:dyDescent="0.25">
      <c r="A1517" s="1">
        <v>1988</v>
      </c>
      <c r="B1517" s="1" t="s">
        <v>99</v>
      </c>
      <c r="C1517" t="s">
        <v>7</v>
      </c>
      <c r="D1517" s="1" t="s">
        <v>5</v>
      </c>
      <c r="E1517">
        <v>71</v>
      </c>
      <c r="F1517" s="1" t="s">
        <v>101</v>
      </c>
      <c r="G1517">
        <v>10</v>
      </c>
      <c r="H1517">
        <v>4</v>
      </c>
      <c r="I1517" s="2">
        <f t="shared" si="69"/>
        <v>2.1816</v>
      </c>
      <c r="J1517">
        <f t="shared" si="70"/>
        <v>8.1433370660694296E-2</v>
      </c>
      <c r="K1517">
        <f t="shared" si="71"/>
        <v>5.6975711674066336E-2</v>
      </c>
    </row>
    <row r="1518" spans="1:11" x14ac:dyDescent="0.25">
      <c r="A1518" s="1">
        <v>1988</v>
      </c>
      <c r="B1518" s="1" t="s">
        <v>99</v>
      </c>
      <c r="C1518" t="s">
        <v>7</v>
      </c>
      <c r="D1518" s="1" t="s">
        <v>5</v>
      </c>
      <c r="E1518">
        <v>76</v>
      </c>
      <c r="F1518" s="1" t="s">
        <v>101</v>
      </c>
      <c r="G1518">
        <v>6</v>
      </c>
      <c r="H1518">
        <v>12</v>
      </c>
      <c r="I1518" s="2">
        <f t="shared" si="69"/>
        <v>2.356128</v>
      </c>
      <c r="J1518">
        <f t="shared" si="70"/>
        <v>8.794804031354983E-2</v>
      </c>
      <c r="K1518">
        <f t="shared" si="71"/>
        <v>6.1533768607991639E-2</v>
      </c>
    </row>
    <row r="1519" spans="1:11" x14ac:dyDescent="0.25">
      <c r="A1519" s="1">
        <v>1988</v>
      </c>
      <c r="B1519" s="1" t="s">
        <v>99</v>
      </c>
      <c r="C1519" t="s">
        <v>7</v>
      </c>
      <c r="D1519" s="1" t="s">
        <v>5</v>
      </c>
      <c r="E1519">
        <v>76</v>
      </c>
      <c r="F1519" s="1" t="s">
        <v>101</v>
      </c>
      <c r="G1519">
        <v>8</v>
      </c>
      <c r="H1519">
        <v>1</v>
      </c>
      <c r="I1519" s="2">
        <f t="shared" si="69"/>
        <v>0.34905599999999998</v>
      </c>
      <c r="J1519">
        <f t="shared" si="70"/>
        <v>1.3029339305711086E-2</v>
      </c>
      <c r="K1519">
        <f t="shared" si="71"/>
        <v>9.1161138678506129E-3</v>
      </c>
    </row>
    <row r="1520" spans="1:11" x14ac:dyDescent="0.25">
      <c r="A1520" s="1">
        <v>1988</v>
      </c>
      <c r="B1520" s="1" t="s">
        <v>99</v>
      </c>
      <c r="C1520" t="s">
        <v>7</v>
      </c>
      <c r="D1520" s="1" t="s">
        <v>5</v>
      </c>
      <c r="E1520">
        <v>76</v>
      </c>
      <c r="F1520" s="1" t="s">
        <v>101</v>
      </c>
      <c r="G1520">
        <v>10</v>
      </c>
      <c r="H1520">
        <v>1</v>
      </c>
      <c r="I1520" s="2">
        <f t="shared" si="69"/>
        <v>0.5454</v>
      </c>
      <c r="J1520">
        <f t="shared" si="70"/>
        <v>2.0358342665173574E-2</v>
      </c>
      <c r="K1520">
        <f t="shared" si="71"/>
        <v>1.4243927918516584E-2</v>
      </c>
    </row>
    <row r="1521" spans="1:11" x14ac:dyDescent="0.25">
      <c r="A1521" s="1">
        <v>1988</v>
      </c>
      <c r="B1521" s="1" t="s">
        <v>99</v>
      </c>
      <c r="C1521" t="s">
        <v>7</v>
      </c>
      <c r="D1521" s="1" t="s">
        <v>5</v>
      </c>
      <c r="E1521">
        <v>76</v>
      </c>
      <c r="F1521" s="1" t="s">
        <v>101</v>
      </c>
      <c r="G1521">
        <v>12</v>
      </c>
      <c r="H1521">
        <v>3</v>
      </c>
      <c r="I1521" s="2">
        <f t="shared" si="69"/>
        <v>2.356128</v>
      </c>
      <c r="J1521">
        <f t="shared" si="70"/>
        <v>8.794804031354983E-2</v>
      </c>
      <c r="K1521">
        <f t="shared" si="71"/>
        <v>6.1533768607991639E-2</v>
      </c>
    </row>
    <row r="1522" spans="1:11" x14ac:dyDescent="0.25">
      <c r="A1522" s="1">
        <v>1988</v>
      </c>
      <c r="B1522" s="1" t="s">
        <v>99</v>
      </c>
      <c r="C1522" t="s">
        <v>7</v>
      </c>
      <c r="D1522" s="1" t="s">
        <v>5</v>
      </c>
      <c r="E1522">
        <v>79</v>
      </c>
      <c r="F1522" s="1" t="s">
        <v>101</v>
      </c>
      <c r="G1522">
        <v>6</v>
      </c>
      <c r="H1522">
        <v>21</v>
      </c>
      <c r="I1522" s="2">
        <f t="shared" si="69"/>
        <v>4.1232239999999996</v>
      </c>
      <c r="J1522">
        <f t="shared" si="70"/>
        <v>0.1539090705487122</v>
      </c>
      <c r="K1522">
        <f t="shared" si="71"/>
        <v>0.10768409506398537</v>
      </c>
    </row>
    <row r="1523" spans="1:11" x14ac:dyDescent="0.25">
      <c r="A1523" s="1">
        <v>1988</v>
      </c>
      <c r="B1523" s="1" t="s">
        <v>99</v>
      </c>
      <c r="C1523" t="s">
        <v>7</v>
      </c>
      <c r="D1523" s="1" t="s">
        <v>5</v>
      </c>
      <c r="E1523">
        <v>79</v>
      </c>
      <c r="F1523" s="1" t="s">
        <v>101</v>
      </c>
      <c r="G1523">
        <v>8</v>
      </c>
      <c r="H1523">
        <v>18</v>
      </c>
      <c r="I1523" s="2">
        <f t="shared" si="69"/>
        <v>6.2830079999999997</v>
      </c>
      <c r="J1523">
        <f t="shared" si="70"/>
        <v>0.23452810750279954</v>
      </c>
      <c r="K1523">
        <f t="shared" si="71"/>
        <v>0.16409004962131102</v>
      </c>
    </row>
    <row r="1524" spans="1:11" x14ac:dyDescent="0.25">
      <c r="A1524" s="1">
        <v>1988</v>
      </c>
      <c r="B1524" s="1" t="s">
        <v>99</v>
      </c>
      <c r="C1524" t="s">
        <v>7</v>
      </c>
      <c r="D1524" s="1" t="s">
        <v>5</v>
      </c>
      <c r="E1524">
        <v>79</v>
      </c>
      <c r="F1524" s="1" t="s">
        <v>101</v>
      </c>
      <c r="G1524">
        <v>10</v>
      </c>
      <c r="H1524">
        <v>3</v>
      </c>
      <c r="I1524" s="2">
        <f t="shared" si="69"/>
        <v>1.6362000000000001</v>
      </c>
      <c r="J1524">
        <f t="shared" si="70"/>
        <v>6.1075027995520725E-2</v>
      </c>
      <c r="K1524">
        <f t="shared" si="71"/>
        <v>4.2731783755549757E-2</v>
      </c>
    </row>
    <row r="1525" spans="1:11" x14ac:dyDescent="0.25">
      <c r="A1525" s="1">
        <v>1988</v>
      </c>
      <c r="B1525" s="1" t="s">
        <v>99</v>
      </c>
      <c r="C1525" t="s">
        <v>7</v>
      </c>
      <c r="D1525" s="1" t="s">
        <v>5</v>
      </c>
      <c r="E1525">
        <v>79</v>
      </c>
      <c r="F1525" s="1" t="s">
        <v>101</v>
      </c>
      <c r="G1525">
        <v>12</v>
      </c>
      <c r="H1525">
        <v>2</v>
      </c>
      <c r="I1525" s="2">
        <f t="shared" si="69"/>
        <v>1.5707519999999999</v>
      </c>
      <c r="J1525">
        <f t="shared" si="70"/>
        <v>5.8632026875699884E-2</v>
      </c>
      <c r="K1525">
        <f t="shared" si="71"/>
        <v>4.1022512405327755E-2</v>
      </c>
    </row>
    <row r="1526" spans="1:11" x14ac:dyDescent="0.25">
      <c r="A1526" s="1">
        <v>1988</v>
      </c>
      <c r="B1526" s="1" t="s">
        <v>99</v>
      </c>
      <c r="C1526" t="s">
        <v>7</v>
      </c>
      <c r="D1526" s="1" t="s">
        <v>5</v>
      </c>
      <c r="E1526">
        <v>79</v>
      </c>
      <c r="F1526" s="1" t="s">
        <v>101</v>
      </c>
      <c r="G1526">
        <v>14</v>
      </c>
      <c r="H1526">
        <v>1</v>
      </c>
      <c r="I1526" s="2">
        <f t="shared" si="69"/>
        <v>1.0689839999999999</v>
      </c>
      <c r="J1526">
        <f t="shared" si="70"/>
        <v>3.9902351623740201E-2</v>
      </c>
      <c r="K1526">
        <f t="shared" si="71"/>
        <v>2.7918098720292502E-2</v>
      </c>
    </row>
    <row r="1527" spans="1:11" x14ac:dyDescent="0.25">
      <c r="A1527" s="1">
        <v>1988</v>
      </c>
      <c r="B1527" s="1" t="s">
        <v>99</v>
      </c>
      <c r="C1527" t="s">
        <v>7</v>
      </c>
      <c r="D1527" s="1" t="s">
        <v>5</v>
      </c>
      <c r="E1527">
        <v>84</v>
      </c>
      <c r="F1527" s="1" t="s">
        <v>101</v>
      </c>
      <c r="G1527">
        <v>12</v>
      </c>
      <c r="H1527">
        <v>1</v>
      </c>
      <c r="I1527" s="2">
        <f t="shared" si="69"/>
        <v>0.78537599999999996</v>
      </c>
      <c r="J1527">
        <f t="shared" si="70"/>
        <v>2.9316013437849942E-2</v>
      </c>
      <c r="K1527">
        <f t="shared" si="71"/>
        <v>2.0511256202663877E-2</v>
      </c>
    </row>
    <row r="1528" spans="1:11" x14ac:dyDescent="0.25">
      <c r="A1528" s="1">
        <v>1988</v>
      </c>
      <c r="B1528" s="1" t="s">
        <v>99</v>
      </c>
      <c r="C1528" t="s">
        <v>7</v>
      </c>
      <c r="D1528" s="1" t="s">
        <v>5</v>
      </c>
      <c r="E1528">
        <v>85</v>
      </c>
      <c r="F1528" s="1" t="s">
        <v>101</v>
      </c>
      <c r="G1528">
        <v>6</v>
      </c>
      <c r="H1528">
        <v>1</v>
      </c>
      <c r="I1528" s="2">
        <f t="shared" si="69"/>
        <v>0.19634399999999999</v>
      </c>
      <c r="J1528">
        <f t="shared" si="70"/>
        <v>7.3290033594624856E-3</v>
      </c>
      <c r="K1528">
        <f t="shared" si="71"/>
        <v>5.1278140506659693E-3</v>
      </c>
    </row>
    <row r="1529" spans="1:11" x14ac:dyDescent="0.25">
      <c r="A1529" s="1">
        <v>1988</v>
      </c>
      <c r="B1529" s="1" t="s">
        <v>99</v>
      </c>
      <c r="C1529" t="s">
        <v>7</v>
      </c>
      <c r="D1529" s="1" t="s">
        <v>5</v>
      </c>
      <c r="E1529">
        <v>85</v>
      </c>
      <c r="F1529" s="1" t="s">
        <v>101</v>
      </c>
      <c r="G1529">
        <v>10</v>
      </c>
      <c r="H1529">
        <v>4</v>
      </c>
      <c r="I1529" s="2">
        <f t="shared" si="69"/>
        <v>2.1816</v>
      </c>
      <c r="J1529">
        <f t="shared" si="70"/>
        <v>8.1433370660694296E-2</v>
      </c>
      <c r="K1529">
        <f t="shared" si="71"/>
        <v>5.6975711674066336E-2</v>
      </c>
    </row>
    <row r="1530" spans="1:11" x14ac:dyDescent="0.25">
      <c r="A1530" s="1">
        <v>1988</v>
      </c>
      <c r="B1530" s="1" t="s">
        <v>99</v>
      </c>
      <c r="C1530" t="s">
        <v>7</v>
      </c>
      <c r="D1530" s="1" t="s">
        <v>5</v>
      </c>
      <c r="E1530">
        <v>85</v>
      </c>
      <c r="F1530" s="1" t="s">
        <v>101</v>
      </c>
      <c r="G1530">
        <v>12</v>
      </c>
      <c r="H1530">
        <v>3</v>
      </c>
      <c r="I1530" s="2">
        <f t="shared" si="69"/>
        <v>2.356128</v>
      </c>
      <c r="J1530">
        <f t="shared" si="70"/>
        <v>8.794804031354983E-2</v>
      </c>
      <c r="K1530">
        <f t="shared" si="71"/>
        <v>6.1533768607991639E-2</v>
      </c>
    </row>
    <row r="1531" spans="1:11" x14ac:dyDescent="0.25">
      <c r="A1531" s="1">
        <v>1988</v>
      </c>
      <c r="B1531" s="1" t="s">
        <v>99</v>
      </c>
      <c r="C1531" t="s">
        <v>7</v>
      </c>
      <c r="D1531" s="1" t="s">
        <v>5</v>
      </c>
      <c r="E1531">
        <v>85</v>
      </c>
      <c r="F1531" s="1" t="s">
        <v>101</v>
      </c>
      <c r="G1531">
        <v>14</v>
      </c>
      <c r="H1531">
        <v>6</v>
      </c>
      <c r="I1531" s="2">
        <f t="shared" si="69"/>
        <v>6.4139039999999996</v>
      </c>
      <c r="J1531">
        <f t="shared" si="70"/>
        <v>0.23941410974244121</v>
      </c>
      <c r="K1531">
        <f t="shared" si="71"/>
        <v>0.16750859232175502</v>
      </c>
    </row>
    <row r="1532" spans="1:11" x14ac:dyDescent="0.25">
      <c r="A1532" s="1">
        <v>1988</v>
      </c>
      <c r="B1532" s="1" t="s">
        <v>99</v>
      </c>
      <c r="C1532" t="s">
        <v>7</v>
      </c>
      <c r="D1532" s="1" t="s">
        <v>5</v>
      </c>
      <c r="E1532">
        <v>85</v>
      </c>
      <c r="F1532" s="1" t="s">
        <v>101</v>
      </c>
      <c r="G1532">
        <v>16</v>
      </c>
      <c r="H1532">
        <v>4</v>
      </c>
      <c r="I1532" s="2">
        <f t="shared" si="69"/>
        <v>5.5848959999999996</v>
      </c>
      <c r="J1532">
        <f t="shared" si="70"/>
        <v>0.20846942889137737</v>
      </c>
      <c r="K1532">
        <f t="shared" si="71"/>
        <v>0.14585782188560981</v>
      </c>
    </row>
    <row r="1533" spans="1:11" x14ac:dyDescent="0.25">
      <c r="A1533" s="1">
        <v>1988</v>
      </c>
      <c r="B1533" s="1" t="s">
        <v>99</v>
      </c>
      <c r="C1533" t="s">
        <v>7</v>
      </c>
      <c r="D1533" s="1" t="s">
        <v>5</v>
      </c>
      <c r="E1533">
        <v>86</v>
      </c>
      <c r="F1533" s="1" t="s">
        <v>101</v>
      </c>
      <c r="G1533">
        <v>6</v>
      </c>
      <c r="H1533">
        <v>1</v>
      </c>
      <c r="I1533" s="2">
        <f t="shared" si="69"/>
        <v>0.19634399999999999</v>
      </c>
      <c r="J1533">
        <f t="shared" si="70"/>
        <v>7.3290033594624856E-3</v>
      </c>
      <c r="K1533">
        <f t="shared" si="71"/>
        <v>5.1278140506659693E-3</v>
      </c>
    </row>
    <row r="1534" spans="1:11" x14ac:dyDescent="0.25">
      <c r="A1534" s="1">
        <v>1988</v>
      </c>
      <c r="B1534" s="1" t="s">
        <v>99</v>
      </c>
      <c r="C1534" t="s">
        <v>7</v>
      </c>
      <c r="D1534" s="1" t="s">
        <v>5</v>
      </c>
      <c r="E1534">
        <v>88</v>
      </c>
      <c r="F1534" s="1" t="s">
        <v>101</v>
      </c>
      <c r="G1534">
        <v>8</v>
      </c>
      <c r="H1534">
        <v>1</v>
      </c>
      <c r="I1534" s="2">
        <f t="shared" si="69"/>
        <v>0.34905599999999998</v>
      </c>
      <c r="J1534">
        <f t="shared" si="70"/>
        <v>1.3029339305711086E-2</v>
      </c>
      <c r="K1534">
        <f t="shared" si="71"/>
        <v>9.1161138678506129E-3</v>
      </c>
    </row>
    <row r="1535" spans="1:11" x14ac:dyDescent="0.25">
      <c r="A1535" s="1">
        <v>1988</v>
      </c>
      <c r="B1535" s="1" t="s">
        <v>99</v>
      </c>
      <c r="C1535" t="s">
        <v>7</v>
      </c>
      <c r="D1535" s="1" t="s">
        <v>5</v>
      </c>
      <c r="E1535">
        <v>91</v>
      </c>
      <c r="F1535" s="1" t="s">
        <v>101</v>
      </c>
      <c r="G1535">
        <v>6</v>
      </c>
      <c r="H1535">
        <v>4</v>
      </c>
      <c r="I1535" s="2">
        <f t="shared" si="69"/>
        <v>0.78537599999999996</v>
      </c>
      <c r="J1535">
        <f t="shared" si="70"/>
        <v>2.9316013437849942E-2</v>
      </c>
      <c r="K1535">
        <f t="shared" si="71"/>
        <v>2.0511256202663877E-2</v>
      </c>
    </row>
    <row r="1536" spans="1:11" x14ac:dyDescent="0.25">
      <c r="A1536" s="1">
        <v>2002</v>
      </c>
      <c r="B1536" s="1" t="s">
        <v>99</v>
      </c>
      <c r="C1536" t="s">
        <v>9</v>
      </c>
      <c r="D1536" s="1" t="s">
        <v>3</v>
      </c>
      <c r="E1536">
        <v>11</v>
      </c>
      <c r="F1536" s="1" t="s">
        <v>101</v>
      </c>
      <c r="G1536">
        <v>6</v>
      </c>
      <c r="H1536">
        <v>1</v>
      </c>
      <c r="I1536" s="2">
        <f t="shared" si="69"/>
        <v>0.19634399999999999</v>
      </c>
      <c r="J1536">
        <f t="shared" si="70"/>
        <v>7.3290033594624856E-3</v>
      </c>
      <c r="K1536">
        <f t="shared" si="71"/>
        <v>5.1278140506659693E-3</v>
      </c>
    </row>
    <row r="1537" spans="1:11" x14ac:dyDescent="0.25">
      <c r="A1537" s="1">
        <v>2002</v>
      </c>
      <c r="B1537" s="1" t="s">
        <v>99</v>
      </c>
      <c r="C1537" t="s">
        <v>9</v>
      </c>
      <c r="D1537" s="1" t="s">
        <v>3</v>
      </c>
      <c r="E1537">
        <v>11</v>
      </c>
      <c r="F1537" s="1" t="s">
        <v>101</v>
      </c>
      <c r="G1537">
        <v>8</v>
      </c>
      <c r="H1537">
        <v>1</v>
      </c>
      <c r="I1537" s="2">
        <f t="shared" si="69"/>
        <v>0.34905599999999998</v>
      </c>
      <c r="J1537">
        <f t="shared" si="70"/>
        <v>1.3029339305711086E-2</v>
      </c>
      <c r="K1537">
        <f t="shared" si="71"/>
        <v>9.1161138678506129E-3</v>
      </c>
    </row>
    <row r="1538" spans="1:11" x14ac:dyDescent="0.25">
      <c r="A1538" s="1">
        <v>2002</v>
      </c>
      <c r="B1538" s="1" t="s">
        <v>99</v>
      </c>
      <c r="C1538" t="s">
        <v>9</v>
      </c>
      <c r="D1538" s="1" t="s">
        <v>3</v>
      </c>
      <c r="E1538">
        <v>11</v>
      </c>
      <c r="F1538" s="1" t="s">
        <v>101</v>
      </c>
      <c r="G1538">
        <v>10</v>
      </c>
      <c r="H1538">
        <v>1</v>
      </c>
      <c r="I1538" s="2">
        <f t="shared" si="69"/>
        <v>0.5454</v>
      </c>
      <c r="J1538">
        <f t="shared" si="70"/>
        <v>2.0358342665173574E-2</v>
      </c>
      <c r="K1538">
        <f t="shared" si="71"/>
        <v>1.4243927918516584E-2</v>
      </c>
    </row>
    <row r="1539" spans="1:11" x14ac:dyDescent="0.25">
      <c r="A1539" s="1">
        <v>2002</v>
      </c>
      <c r="B1539" s="1" t="s">
        <v>99</v>
      </c>
      <c r="C1539" t="s">
        <v>9</v>
      </c>
      <c r="D1539" s="1" t="s">
        <v>3</v>
      </c>
      <c r="E1539">
        <v>21</v>
      </c>
      <c r="F1539" s="1" t="s">
        <v>101</v>
      </c>
      <c r="G1539">
        <v>6</v>
      </c>
      <c r="H1539">
        <v>14</v>
      </c>
      <c r="I1539" s="2">
        <f t="shared" ref="I1539:I1602" si="72">0.005454*G1539^2*H1539</f>
        <v>2.7488159999999997</v>
      </c>
      <c r="J1539">
        <f t="shared" ref="J1539:J1602" si="73">I1539/26.79</f>
        <v>0.10260604703247479</v>
      </c>
      <c r="K1539">
        <f t="shared" ref="K1539:K1602" si="74">J1539*(26.79/38.29)</f>
        <v>7.1789396709323564E-2</v>
      </c>
    </row>
    <row r="1540" spans="1:11" x14ac:dyDescent="0.25">
      <c r="A1540" s="1">
        <v>2002</v>
      </c>
      <c r="B1540" s="1" t="s">
        <v>99</v>
      </c>
      <c r="C1540" t="s">
        <v>9</v>
      </c>
      <c r="D1540" s="1" t="s">
        <v>3</v>
      </c>
      <c r="E1540">
        <v>21</v>
      </c>
      <c r="F1540" s="1" t="s">
        <v>101</v>
      </c>
      <c r="G1540">
        <v>8</v>
      </c>
      <c r="H1540">
        <v>11</v>
      </c>
      <c r="I1540" s="2">
        <f t="shared" si="72"/>
        <v>3.8396159999999999</v>
      </c>
      <c r="J1540">
        <f t="shared" si="73"/>
        <v>0.14332273236282195</v>
      </c>
      <c r="K1540">
        <f t="shared" si="74"/>
        <v>0.10027725254635675</v>
      </c>
    </row>
    <row r="1541" spans="1:11" x14ac:dyDescent="0.25">
      <c r="A1541" s="1">
        <v>2002</v>
      </c>
      <c r="B1541" s="1" t="s">
        <v>99</v>
      </c>
      <c r="C1541" t="s">
        <v>9</v>
      </c>
      <c r="D1541" s="1" t="s">
        <v>3</v>
      </c>
      <c r="E1541">
        <v>21</v>
      </c>
      <c r="F1541" s="1" t="s">
        <v>101</v>
      </c>
      <c r="G1541">
        <v>10</v>
      </c>
      <c r="H1541">
        <v>7</v>
      </c>
      <c r="I1541" s="2">
        <f t="shared" si="72"/>
        <v>3.8178000000000001</v>
      </c>
      <c r="J1541">
        <f t="shared" si="73"/>
        <v>0.14250839865621501</v>
      </c>
      <c r="K1541">
        <f t="shared" si="74"/>
        <v>9.9707495429616086E-2</v>
      </c>
    </row>
    <row r="1542" spans="1:11" x14ac:dyDescent="0.25">
      <c r="A1542" s="1">
        <v>2002</v>
      </c>
      <c r="B1542" s="1" t="s">
        <v>99</v>
      </c>
      <c r="C1542" t="s">
        <v>9</v>
      </c>
      <c r="D1542" s="1" t="s">
        <v>3</v>
      </c>
      <c r="E1542">
        <v>21</v>
      </c>
      <c r="F1542" s="1" t="s">
        <v>101</v>
      </c>
      <c r="G1542">
        <v>12</v>
      </c>
      <c r="H1542">
        <v>4</v>
      </c>
      <c r="I1542" s="2">
        <f t="shared" si="72"/>
        <v>3.1415039999999999</v>
      </c>
      <c r="J1542">
        <f t="shared" si="73"/>
        <v>0.11726405375139977</v>
      </c>
      <c r="K1542">
        <f t="shared" si="74"/>
        <v>8.2045024810655509E-2</v>
      </c>
    </row>
    <row r="1543" spans="1:11" x14ac:dyDescent="0.25">
      <c r="A1543" s="1">
        <v>2002</v>
      </c>
      <c r="B1543" s="1" t="s">
        <v>99</v>
      </c>
      <c r="C1543" t="s">
        <v>9</v>
      </c>
      <c r="D1543" s="1" t="s">
        <v>3</v>
      </c>
      <c r="E1543">
        <v>21</v>
      </c>
      <c r="F1543" s="1" t="s">
        <v>101</v>
      </c>
      <c r="G1543">
        <v>16</v>
      </c>
      <c r="H1543">
        <v>1</v>
      </c>
      <c r="I1543" s="2">
        <f t="shared" si="72"/>
        <v>1.3962239999999999</v>
      </c>
      <c r="J1543">
        <f t="shared" si="73"/>
        <v>5.2117357222844343E-2</v>
      </c>
      <c r="K1543">
        <f t="shared" si="74"/>
        <v>3.6464455471402452E-2</v>
      </c>
    </row>
    <row r="1544" spans="1:11" x14ac:dyDescent="0.25">
      <c r="A1544" s="1">
        <v>2002</v>
      </c>
      <c r="B1544" s="1" t="s">
        <v>99</v>
      </c>
      <c r="C1544" t="s">
        <v>9</v>
      </c>
      <c r="D1544" s="1" t="s">
        <v>3</v>
      </c>
      <c r="E1544">
        <v>21</v>
      </c>
      <c r="F1544" s="1" t="s">
        <v>101</v>
      </c>
      <c r="G1544">
        <v>18</v>
      </c>
      <c r="H1544">
        <v>1</v>
      </c>
      <c r="I1544" s="2">
        <f t="shared" si="72"/>
        <v>1.7670959999999998</v>
      </c>
      <c r="J1544">
        <f t="shared" si="73"/>
        <v>6.5961030235162366E-2</v>
      </c>
      <c r="K1544">
        <f t="shared" si="74"/>
        <v>4.615032645599372E-2</v>
      </c>
    </row>
    <row r="1545" spans="1:11" x14ac:dyDescent="0.25">
      <c r="A1545" s="1">
        <v>2002</v>
      </c>
      <c r="B1545" s="1" t="s">
        <v>99</v>
      </c>
      <c r="C1545" t="s">
        <v>9</v>
      </c>
      <c r="D1545" s="1" t="s">
        <v>3</v>
      </c>
      <c r="E1545">
        <v>25</v>
      </c>
      <c r="F1545" s="1" t="s">
        <v>101</v>
      </c>
      <c r="G1545">
        <v>6</v>
      </c>
      <c r="H1545">
        <v>1</v>
      </c>
      <c r="I1545" s="2">
        <f t="shared" si="72"/>
        <v>0.19634399999999999</v>
      </c>
      <c r="J1545">
        <f t="shared" si="73"/>
        <v>7.3290033594624856E-3</v>
      </c>
      <c r="K1545">
        <f t="shared" si="74"/>
        <v>5.1278140506659693E-3</v>
      </c>
    </row>
    <row r="1546" spans="1:11" x14ac:dyDescent="0.25">
      <c r="A1546" s="1">
        <v>2002</v>
      </c>
      <c r="B1546" s="1" t="s">
        <v>99</v>
      </c>
      <c r="C1546" t="s">
        <v>9</v>
      </c>
      <c r="D1546" s="1" t="s">
        <v>3</v>
      </c>
      <c r="E1546">
        <v>25</v>
      </c>
      <c r="F1546" s="1" t="s">
        <v>101</v>
      </c>
      <c r="G1546">
        <v>8</v>
      </c>
      <c r="H1546">
        <v>1</v>
      </c>
      <c r="I1546" s="2">
        <f t="shared" si="72"/>
        <v>0.34905599999999998</v>
      </c>
      <c r="J1546">
        <f t="shared" si="73"/>
        <v>1.3029339305711086E-2</v>
      </c>
      <c r="K1546">
        <f t="shared" si="74"/>
        <v>9.1161138678506129E-3</v>
      </c>
    </row>
    <row r="1547" spans="1:11" x14ac:dyDescent="0.25">
      <c r="A1547" s="1">
        <v>2002</v>
      </c>
      <c r="B1547" s="1" t="s">
        <v>99</v>
      </c>
      <c r="C1547" t="s">
        <v>9</v>
      </c>
      <c r="D1547" s="1" t="s">
        <v>3</v>
      </c>
      <c r="E1547">
        <v>25</v>
      </c>
      <c r="F1547" s="1" t="s">
        <v>101</v>
      </c>
      <c r="G1547">
        <v>10</v>
      </c>
      <c r="H1547">
        <v>1</v>
      </c>
      <c r="I1547" s="2">
        <f t="shared" si="72"/>
        <v>0.5454</v>
      </c>
      <c r="J1547">
        <f t="shared" si="73"/>
        <v>2.0358342665173574E-2</v>
      </c>
      <c r="K1547">
        <f t="shared" si="74"/>
        <v>1.4243927918516584E-2</v>
      </c>
    </row>
    <row r="1548" spans="1:11" x14ac:dyDescent="0.25">
      <c r="A1548" s="1">
        <v>2002</v>
      </c>
      <c r="B1548" s="1" t="s">
        <v>99</v>
      </c>
      <c r="C1548" t="s">
        <v>9</v>
      </c>
      <c r="D1548" s="1" t="s">
        <v>3</v>
      </c>
      <c r="E1548">
        <v>25</v>
      </c>
      <c r="F1548" s="1" t="s">
        <v>101</v>
      </c>
      <c r="G1548">
        <v>14</v>
      </c>
      <c r="H1548">
        <v>1</v>
      </c>
      <c r="I1548" s="2">
        <f t="shared" si="72"/>
        <v>1.0689839999999999</v>
      </c>
      <c r="J1548">
        <f t="shared" si="73"/>
        <v>3.9902351623740201E-2</v>
      </c>
      <c r="K1548">
        <f t="shared" si="74"/>
        <v>2.7918098720292502E-2</v>
      </c>
    </row>
    <row r="1549" spans="1:11" x14ac:dyDescent="0.25">
      <c r="A1549" s="1">
        <v>2002</v>
      </c>
      <c r="B1549" s="1" t="s">
        <v>99</v>
      </c>
      <c r="C1549" t="s">
        <v>9</v>
      </c>
      <c r="D1549" s="1" t="s">
        <v>3</v>
      </c>
      <c r="E1549">
        <v>28</v>
      </c>
      <c r="F1549" s="1" t="s">
        <v>101</v>
      </c>
      <c r="G1549">
        <v>6</v>
      </c>
      <c r="H1549">
        <v>1</v>
      </c>
      <c r="I1549" s="2">
        <f t="shared" si="72"/>
        <v>0.19634399999999999</v>
      </c>
      <c r="J1549">
        <f t="shared" si="73"/>
        <v>7.3290033594624856E-3</v>
      </c>
      <c r="K1549">
        <f t="shared" si="74"/>
        <v>5.1278140506659693E-3</v>
      </c>
    </row>
    <row r="1550" spans="1:11" x14ac:dyDescent="0.25">
      <c r="A1550" s="1">
        <v>2002</v>
      </c>
      <c r="B1550" s="1" t="s">
        <v>99</v>
      </c>
      <c r="C1550" t="s">
        <v>9</v>
      </c>
      <c r="D1550" s="1" t="s">
        <v>3</v>
      </c>
      <c r="E1550">
        <v>28</v>
      </c>
      <c r="F1550" s="1" t="s">
        <v>101</v>
      </c>
      <c r="G1550">
        <v>12</v>
      </c>
      <c r="H1550">
        <v>1</v>
      </c>
      <c r="I1550" s="2">
        <f t="shared" si="72"/>
        <v>0.78537599999999996</v>
      </c>
      <c r="J1550">
        <f t="shared" si="73"/>
        <v>2.9316013437849942E-2</v>
      </c>
      <c r="K1550">
        <f t="shared" si="74"/>
        <v>2.0511256202663877E-2</v>
      </c>
    </row>
    <row r="1551" spans="1:11" x14ac:dyDescent="0.25">
      <c r="A1551" s="1">
        <v>2002</v>
      </c>
      <c r="B1551" s="1" t="s">
        <v>99</v>
      </c>
      <c r="C1551" t="s">
        <v>9</v>
      </c>
      <c r="D1551" s="1" t="s">
        <v>3</v>
      </c>
      <c r="E1551">
        <v>29</v>
      </c>
      <c r="F1551" s="1" t="s">
        <v>101</v>
      </c>
      <c r="G1551">
        <v>6</v>
      </c>
      <c r="H1551">
        <v>59</v>
      </c>
      <c r="I1551" s="2">
        <f t="shared" si="72"/>
        <v>11.584296</v>
      </c>
      <c r="J1551">
        <f t="shared" si="73"/>
        <v>0.43241119820828672</v>
      </c>
      <c r="K1551">
        <f t="shared" si="74"/>
        <v>0.30254102898929225</v>
      </c>
    </row>
    <row r="1552" spans="1:11" x14ac:dyDescent="0.25">
      <c r="A1552" s="1">
        <v>2002</v>
      </c>
      <c r="B1552" s="1" t="s">
        <v>99</v>
      </c>
      <c r="C1552" t="s">
        <v>9</v>
      </c>
      <c r="D1552" s="1" t="s">
        <v>3</v>
      </c>
      <c r="E1552">
        <v>29</v>
      </c>
      <c r="F1552" s="1" t="s">
        <v>101</v>
      </c>
      <c r="G1552">
        <v>8</v>
      </c>
      <c r="H1552">
        <v>50</v>
      </c>
      <c r="I1552" s="2">
        <f t="shared" si="72"/>
        <v>17.4528</v>
      </c>
      <c r="J1552">
        <f t="shared" si="73"/>
        <v>0.65146696528555437</v>
      </c>
      <c r="K1552">
        <f t="shared" si="74"/>
        <v>0.45580569339253069</v>
      </c>
    </row>
    <row r="1553" spans="1:11" x14ac:dyDescent="0.25">
      <c r="A1553" s="1">
        <v>2002</v>
      </c>
      <c r="B1553" s="1" t="s">
        <v>99</v>
      </c>
      <c r="C1553" t="s">
        <v>9</v>
      </c>
      <c r="D1553" s="1" t="s">
        <v>3</v>
      </c>
      <c r="E1553">
        <v>29</v>
      </c>
      <c r="F1553" s="1" t="s">
        <v>101</v>
      </c>
      <c r="G1553">
        <v>10</v>
      </c>
      <c r="H1553">
        <v>33</v>
      </c>
      <c r="I1553" s="2">
        <f t="shared" si="72"/>
        <v>17.998200000000001</v>
      </c>
      <c r="J1553">
        <f t="shared" si="73"/>
        <v>0.67182530795072792</v>
      </c>
      <c r="K1553">
        <f t="shared" si="74"/>
        <v>0.47004962131104727</v>
      </c>
    </row>
    <row r="1554" spans="1:11" x14ac:dyDescent="0.25">
      <c r="A1554" s="1">
        <v>2002</v>
      </c>
      <c r="B1554" s="1" t="s">
        <v>99</v>
      </c>
      <c r="C1554" t="s">
        <v>9</v>
      </c>
      <c r="D1554" s="1" t="s">
        <v>3</v>
      </c>
      <c r="E1554">
        <v>29</v>
      </c>
      <c r="F1554" s="1" t="s">
        <v>101</v>
      </c>
      <c r="G1554">
        <v>12</v>
      </c>
      <c r="H1554">
        <v>46</v>
      </c>
      <c r="I1554" s="2">
        <f t="shared" si="72"/>
        <v>36.127296000000001</v>
      </c>
      <c r="J1554">
        <f t="shared" si="73"/>
        <v>1.3485366181410976</v>
      </c>
      <c r="K1554">
        <f t="shared" si="74"/>
        <v>0.9435177853225386</v>
      </c>
    </row>
    <row r="1555" spans="1:11" x14ac:dyDescent="0.25">
      <c r="A1555" s="1">
        <v>2002</v>
      </c>
      <c r="B1555" s="1" t="s">
        <v>99</v>
      </c>
      <c r="C1555" t="s">
        <v>9</v>
      </c>
      <c r="D1555" s="1" t="s">
        <v>3</v>
      </c>
      <c r="E1555">
        <v>29</v>
      </c>
      <c r="F1555" s="1" t="s">
        <v>101</v>
      </c>
      <c r="G1555">
        <v>14</v>
      </c>
      <c r="H1555">
        <v>19</v>
      </c>
      <c r="I1555" s="2">
        <f t="shared" si="72"/>
        <v>20.310696</v>
      </c>
      <c r="J1555">
        <f t="shared" si="73"/>
        <v>0.7581446808510639</v>
      </c>
      <c r="K1555">
        <f t="shared" si="74"/>
        <v>0.53044387568555762</v>
      </c>
    </row>
    <row r="1556" spans="1:11" x14ac:dyDescent="0.25">
      <c r="A1556" s="1">
        <v>2002</v>
      </c>
      <c r="B1556" s="1" t="s">
        <v>99</v>
      </c>
      <c r="C1556" t="s">
        <v>9</v>
      </c>
      <c r="D1556" s="1" t="s">
        <v>3</v>
      </c>
      <c r="E1556">
        <v>29</v>
      </c>
      <c r="F1556" s="1" t="s">
        <v>101</v>
      </c>
      <c r="G1556">
        <v>16</v>
      </c>
      <c r="H1556">
        <v>11</v>
      </c>
      <c r="I1556" s="2">
        <f t="shared" si="72"/>
        <v>15.358464</v>
      </c>
      <c r="J1556">
        <f t="shared" si="73"/>
        <v>0.57329092945128779</v>
      </c>
      <c r="K1556">
        <f t="shared" si="74"/>
        <v>0.401109010185427</v>
      </c>
    </row>
    <row r="1557" spans="1:11" x14ac:dyDescent="0.25">
      <c r="A1557" s="1">
        <v>2002</v>
      </c>
      <c r="B1557" s="1" t="s">
        <v>99</v>
      </c>
      <c r="C1557" t="s">
        <v>9</v>
      </c>
      <c r="D1557" s="1" t="s">
        <v>3</v>
      </c>
      <c r="E1557">
        <v>29</v>
      </c>
      <c r="F1557" s="1" t="s">
        <v>101</v>
      </c>
      <c r="G1557">
        <v>18</v>
      </c>
      <c r="H1557">
        <v>1</v>
      </c>
      <c r="I1557" s="2">
        <f t="shared" si="72"/>
        <v>1.7670959999999998</v>
      </c>
      <c r="J1557">
        <f t="shared" si="73"/>
        <v>6.5961030235162366E-2</v>
      </c>
      <c r="K1557">
        <f t="shared" si="74"/>
        <v>4.615032645599372E-2</v>
      </c>
    </row>
    <row r="1558" spans="1:11" x14ac:dyDescent="0.25">
      <c r="A1558" s="1">
        <v>2002</v>
      </c>
      <c r="B1558" s="1" t="s">
        <v>99</v>
      </c>
      <c r="C1558" t="s">
        <v>9</v>
      </c>
      <c r="D1558" s="1" t="s">
        <v>3</v>
      </c>
      <c r="E1558">
        <v>30</v>
      </c>
      <c r="F1558" s="1" t="s">
        <v>101</v>
      </c>
      <c r="G1558">
        <v>6</v>
      </c>
      <c r="H1558">
        <v>1</v>
      </c>
      <c r="I1558" s="2">
        <f t="shared" si="72"/>
        <v>0.19634399999999999</v>
      </c>
      <c r="J1558">
        <f t="shared" si="73"/>
        <v>7.3290033594624856E-3</v>
      </c>
      <c r="K1558">
        <f t="shared" si="74"/>
        <v>5.1278140506659693E-3</v>
      </c>
    </row>
    <row r="1559" spans="1:11" x14ac:dyDescent="0.25">
      <c r="A1559" s="1">
        <v>2002</v>
      </c>
      <c r="B1559" s="1" t="s">
        <v>99</v>
      </c>
      <c r="C1559" t="s">
        <v>9</v>
      </c>
      <c r="D1559" s="1" t="s">
        <v>3</v>
      </c>
      <c r="E1559">
        <v>30</v>
      </c>
      <c r="F1559" s="1" t="s">
        <v>101</v>
      </c>
      <c r="G1559">
        <v>8</v>
      </c>
      <c r="H1559">
        <v>1</v>
      </c>
      <c r="I1559" s="2">
        <f t="shared" si="72"/>
        <v>0.34905599999999998</v>
      </c>
      <c r="J1559">
        <f t="shared" si="73"/>
        <v>1.3029339305711086E-2</v>
      </c>
      <c r="K1559">
        <f t="shared" si="74"/>
        <v>9.1161138678506129E-3</v>
      </c>
    </row>
    <row r="1560" spans="1:11" x14ac:dyDescent="0.25">
      <c r="A1560" s="1">
        <v>2002</v>
      </c>
      <c r="B1560" s="1" t="s">
        <v>99</v>
      </c>
      <c r="C1560" t="s">
        <v>9</v>
      </c>
      <c r="D1560" s="1" t="s">
        <v>3</v>
      </c>
      <c r="E1560">
        <v>30</v>
      </c>
      <c r="F1560" s="1" t="s">
        <v>101</v>
      </c>
      <c r="G1560">
        <v>10</v>
      </c>
      <c r="H1560">
        <v>2</v>
      </c>
      <c r="I1560" s="2">
        <f t="shared" si="72"/>
        <v>1.0908</v>
      </c>
      <c r="J1560">
        <f t="shared" si="73"/>
        <v>4.0716685330347148E-2</v>
      </c>
      <c r="K1560">
        <f t="shared" si="74"/>
        <v>2.8487855837033168E-2</v>
      </c>
    </row>
    <row r="1561" spans="1:11" x14ac:dyDescent="0.25">
      <c r="A1561" s="1">
        <v>2002</v>
      </c>
      <c r="B1561" s="1" t="s">
        <v>99</v>
      </c>
      <c r="C1561" t="s">
        <v>9</v>
      </c>
      <c r="D1561" s="1" t="s">
        <v>3</v>
      </c>
      <c r="E1561">
        <v>32</v>
      </c>
      <c r="F1561" s="1" t="s">
        <v>101</v>
      </c>
      <c r="G1561">
        <v>6</v>
      </c>
      <c r="H1561">
        <v>212</v>
      </c>
      <c r="I1561" s="2">
        <f t="shared" si="72"/>
        <v>41.624927999999997</v>
      </c>
      <c r="J1561">
        <f t="shared" si="73"/>
        <v>1.5537487122060469</v>
      </c>
      <c r="K1561">
        <f t="shared" si="74"/>
        <v>1.0870965787411855</v>
      </c>
    </row>
    <row r="1562" spans="1:11" x14ac:dyDescent="0.25">
      <c r="A1562" s="1">
        <v>2002</v>
      </c>
      <c r="B1562" s="1" t="s">
        <v>99</v>
      </c>
      <c r="C1562" t="s">
        <v>9</v>
      </c>
      <c r="D1562" s="1" t="s">
        <v>3</v>
      </c>
      <c r="E1562">
        <v>32</v>
      </c>
      <c r="F1562" s="1" t="s">
        <v>101</v>
      </c>
      <c r="G1562">
        <v>8</v>
      </c>
      <c r="H1562">
        <v>86</v>
      </c>
      <c r="I1562" s="2">
        <f t="shared" si="72"/>
        <v>30.018815999999998</v>
      </c>
      <c r="J1562">
        <f t="shared" si="73"/>
        <v>1.1205231802911533</v>
      </c>
      <c r="K1562">
        <f t="shared" si="74"/>
        <v>0.78398579263515267</v>
      </c>
    </row>
    <row r="1563" spans="1:11" x14ac:dyDescent="0.25">
      <c r="A1563" s="1">
        <v>2002</v>
      </c>
      <c r="B1563" s="1" t="s">
        <v>99</v>
      </c>
      <c r="C1563" t="s">
        <v>9</v>
      </c>
      <c r="D1563" s="1" t="s">
        <v>3</v>
      </c>
      <c r="E1563">
        <v>32</v>
      </c>
      <c r="F1563" s="1" t="s">
        <v>101</v>
      </c>
      <c r="G1563">
        <v>10</v>
      </c>
      <c r="H1563">
        <v>59</v>
      </c>
      <c r="I1563" s="2">
        <f t="shared" si="72"/>
        <v>32.178600000000003</v>
      </c>
      <c r="J1563">
        <f t="shared" si="73"/>
        <v>1.2011422172452408</v>
      </c>
      <c r="K1563">
        <f t="shared" si="74"/>
        <v>0.84039174719247844</v>
      </c>
    </row>
    <row r="1564" spans="1:11" x14ac:dyDescent="0.25">
      <c r="A1564" s="1">
        <v>2002</v>
      </c>
      <c r="B1564" s="1" t="s">
        <v>99</v>
      </c>
      <c r="C1564" t="s">
        <v>9</v>
      </c>
      <c r="D1564" s="1" t="s">
        <v>3</v>
      </c>
      <c r="E1564">
        <v>32</v>
      </c>
      <c r="F1564" s="1" t="s">
        <v>101</v>
      </c>
      <c r="G1564">
        <v>12</v>
      </c>
      <c r="H1564">
        <v>37</v>
      </c>
      <c r="I1564" s="2">
        <f t="shared" si="72"/>
        <v>29.058911999999999</v>
      </c>
      <c r="J1564">
        <f t="shared" si="73"/>
        <v>1.0846924972004479</v>
      </c>
      <c r="K1564">
        <f t="shared" si="74"/>
        <v>0.75891647949856356</v>
      </c>
    </row>
    <row r="1565" spans="1:11" x14ac:dyDescent="0.25">
      <c r="A1565" s="1">
        <v>2002</v>
      </c>
      <c r="B1565" s="1" t="s">
        <v>99</v>
      </c>
      <c r="C1565" t="s">
        <v>9</v>
      </c>
      <c r="D1565" s="1" t="s">
        <v>3</v>
      </c>
      <c r="E1565">
        <v>32</v>
      </c>
      <c r="F1565" s="1" t="s">
        <v>101</v>
      </c>
      <c r="G1565">
        <v>14</v>
      </c>
      <c r="H1565">
        <v>8</v>
      </c>
      <c r="I1565" s="2">
        <f t="shared" si="72"/>
        <v>8.5518719999999995</v>
      </c>
      <c r="J1565">
        <f t="shared" si="73"/>
        <v>0.31921881298992161</v>
      </c>
      <c r="K1565">
        <f t="shared" si="74"/>
        <v>0.22334478976234001</v>
      </c>
    </row>
    <row r="1566" spans="1:11" x14ac:dyDescent="0.25">
      <c r="A1566" s="1">
        <v>2002</v>
      </c>
      <c r="B1566" s="1" t="s">
        <v>99</v>
      </c>
      <c r="C1566" t="s">
        <v>9</v>
      </c>
      <c r="D1566" s="1" t="s">
        <v>3</v>
      </c>
      <c r="E1566">
        <v>32</v>
      </c>
      <c r="F1566" s="1" t="s">
        <v>101</v>
      </c>
      <c r="G1566">
        <v>16</v>
      </c>
      <c r="H1566">
        <v>4</v>
      </c>
      <c r="I1566" s="2">
        <f t="shared" si="72"/>
        <v>5.5848959999999996</v>
      </c>
      <c r="J1566">
        <f t="shared" si="73"/>
        <v>0.20846942889137737</v>
      </c>
      <c r="K1566">
        <f t="shared" si="74"/>
        <v>0.14585782188560981</v>
      </c>
    </row>
    <row r="1567" spans="1:11" x14ac:dyDescent="0.25">
      <c r="A1567" s="1">
        <v>2002</v>
      </c>
      <c r="B1567" s="1" t="s">
        <v>99</v>
      </c>
      <c r="C1567" t="s">
        <v>9</v>
      </c>
      <c r="D1567" s="1" t="s">
        <v>3</v>
      </c>
      <c r="E1567">
        <v>32</v>
      </c>
      <c r="F1567" s="1" t="s">
        <v>101</v>
      </c>
      <c r="G1567">
        <v>18</v>
      </c>
      <c r="H1567">
        <v>4</v>
      </c>
      <c r="I1567" s="2">
        <f t="shared" si="72"/>
        <v>7.0683839999999991</v>
      </c>
      <c r="J1567">
        <f t="shared" si="73"/>
        <v>0.26384412094064946</v>
      </c>
      <c r="K1567">
        <f t="shared" si="74"/>
        <v>0.18460130582397488</v>
      </c>
    </row>
    <row r="1568" spans="1:11" x14ac:dyDescent="0.25">
      <c r="A1568" s="1">
        <v>2002</v>
      </c>
      <c r="B1568" s="1" t="s">
        <v>99</v>
      </c>
      <c r="C1568" t="s">
        <v>9</v>
      </c>
      <c r="D1568" s="1" t="s">
        <v>3</v>
      </c>
      <c r="E1568">
        <v>34</v>
      </c>
      <c r="F1568" s="1" t="s">
        <v>101</v>
      </c>
      <c r="G1568">
        <v>6</v>
      </c>
      <c r="H1568">
        <v>18</v>
      </c>
      <c r="I1568" s="2">
        <f t="shared" si="72"/>
        <v>3.534192</v>
      </c>
      <c r="J1568">
        <f t="shared" si="73"/>
        <v>0.13192206047032476</v>
      </c>
      <c r="K1568">
        <f t="shared" si="74"/>
        <v>9.2300652911987469E-2</v>
      </c>
    </row>
    <row r="1569" spans="1:11" x14ac:dyDescent="0.25">
      <c r="A1569" s="1">
        <v>2002</v>
      </c>
      <c r="B1569" s="1" t="s">
        <v>99</v>
      </c>
      <c r="C1569" t="s">
        <v>9</v>
      </c>
      <c r="D1569" s="1" t="s">
        <v>3</v>
      </c>
      <c r="E1569">
        <v>34</v>
      </c>
      <c r="F1569" s="1" t="s">
        <v>101</v>
      </c>
      <c r="G1569">
        <v>8</v>
      </c>
      <c r="H1569">
        <v>32</v>
      </c>
      <c r="I1569" s="2">
        <f t="shared" si="72"/>
        <v>11.169791999999999</v>
      </c>
      <c r="J1569">
        <f t="shared" si="73"/>
        <v>0.41693885778275475</v>
      </c>
      <c r="K1569">
        <f t="shared" si="74"/>
        <v>0.29171564377121961</v>
      </c>
    </row>
    <row r="1570" spans="1:11" x14ac:dyDescent="0.25">
      <c r="A1570" s="1">
        <v>2002</v>
      </c>
      <c r="B1570" s="1" t="s">
        <v>99</v>
      </c>
      <c r="C1570" t="s">
        <v>9</v>
      </c>
      <c r="D1570" s="1" t="s">
        <v>3</v>
      </c>
      <c r="E1570">
        <v>34</v>
      </c>
      <c r="F1570" s="1" t="s">
        <v>101</v>
      </c>
      <c r="G1570">
        <v>10</v>
      </c>
      <c r="H1570">
        <v>31</v>
      </c>
      <c r="I1570" s="2">
        <f t="shared" si="72"/>
        <v>16.907399999999999</v>
      </c>
      <c r="J1570">
        <f t="shared" si="73"/>
        <v>0.6311086226203807</v>
      </c>
      <c r="K1570">
        <f t="shared" si="74"/>
        <v>0.44156176547401405</v>
      </c>
    </row>
    <row r="1571" spans="1:11" x14ac:dyDescent="0.25">
      <c r="A1571" s="1">
        <v>2002</v>
      </c>
      <c r="B1571" s="1" t="s">
        <v>99</v>
      </c>
      <c r="C1571" t="s">
        <v>9</v>
      </c>
      <c r="D1571" s="1" t="s">
        <v>3</v>
      </c>
      <c r="E1571">
        <v>34</v>
      </c>
      <c r="F1571" s="1" t="s">
        <v>101</v>
      </c>
      <c r="G1571">
        <v>12</v>
      </c>
      <c r="H1571">
        <v>28</v>
      </c>
      <c r="I1571" s="2">
        <f t="shared" si="72"/>
        <v>21.990527999999998</v>
      </c>
      <c r="J1571">
        <f t="shared" si="73"/>
        <v>0.82084837625979834</v>
      </c>
      <c r="K1571">
        <f t="shared" si="74"/>
        <v>0.57431517367458851</v>
      </c>
    </row>
    <row r="1572" spans="1:11" x14ac:dyDescent="0.25">
      <c r="A1572" s="1">
        <v>2002</v>
      </c>
      <c r="B1572" s="1" t="s">
        <v>99</v>
      </c>
      <c r="C1572" t="s">
        <v>9</v>
      </c>
      <c r="D1572" s="1" t="s">
        <v>3</v>
      </c>
      <c r="E1572">
        <v>34</v>
      </c>
      <c r="F1572" s="1" t="s">
        <v>101</v>
      </c>
      <c r="G1572">
        <v>14</v>
      </c>
      <c r="H1572">
        <v>29</v>
      </c>
      <c r="I1572" s="2">
        <f t="shared" si="72"/>
        <v>31.000535999999997</v>
      </c>
      <c r="J1572">
        <f t="shared" si="73"/>
        <v>1.1571681970884657</v>
      </c>
      <c r="K1572">
        <f t="shared" si="74"/>
        <v>0.80962486288848245</v>
      </c>
    </row>
    <row r="1573" spans="1:11" x14ac:dyDescent="0.25">
      <c r="A1573" s="1">
        <v>2002</v>
      </c>
      <c r="B1573" s="1" t="s">
        <v>99</v>
      </c>
      <c r="C1573" t="s">
        <v>9</v>
      </c>
      <c r="D1573" s="1" t="s">
        <v>3</v>
      </c>
      <c r="E1573">
        <v>34</v>
      </c>
      <c r="F1573" s="1" t="s">
        <v>101</v>
      </c>
      <c r="G1573">
        <v>16</v>
      </c>
      <c r="H1573">
        <v>20</v>
      </c>
      <c r="I1573" s="2">
        <f t="shared" si="72"/>
        <v>27.924479999999999</v>
      </c>
      <c r="J1573">
        <f t="shared" si="73"/>
        <v>1.0423471444568868</v>
      </c>
      <c r="K1573">
        <f t="shared" si="74"/>
        <v>0.72928910942804903</v>
      </c>
    </row>
    <row r="1574" spans="1:11" x14ac:dyDescent="0.25">
      <c r="A1574" s="1">
        <v>2002</v>
      </c>
      <c r="B1574" s="1" t="s">
        <v>99</v>
      </c>
      <c r="C1574" t="s">
        <v>9</v>
      </c>
      <c r="D1574" s="1" t="s">
        <v>3</v>
      </c>
      <c r="E1574">
        <v>34</v>
      </c>
      <c r="F1574" s="1" t="s">
        <v>101</v>
      </c>
      <c r="G1574">
        <v>18</v>
      </c>
      <c r="H1574">
        <v>30</v>
      </c>
      <c r="I1574" s="2">
        <f t="shared" si="72"/>
        <v>53.012879999999996</v>
      </c>
      <c r="J1574">
        <f t="shared" si="73"/>
        <v>1.9788309070548711</v>
      </c>
      <c r="K1574">
        <f t="shared" si="74"/>
        <v>1.3845097936798119</v>
      </c>
    </row>
    <row r="1575" spans="1:11" x14ac:dyDescent="0.25">
      <c r="A1575" s="1">
        <v>2002</v>
      </c>
      <c r="B1575" s="1" t="s">
        <v>99</v>
      </c>
      <c r="C1575" t="s">
        <v>9</v>
      </c>
      <c r="D1575" s="1" t="s">
        <v>3</v>
      </c>
      <c r="E1575">
        <v>34</v>
      </c>
      <c r="F1575" s="1" t="s">
        <v>101</v>
      </c>
      <c r="G1575">
        <v>20</v>
      </c>
      <c r="H1575">
        <v>6</v>
      </c>
      <c r="I1575" s="2">
        <f t="shared" si="72"/>
        <v>13.089600000000001</v>
      </c>
      <c r="J1575">
        <f t="shared" si="73"/>
        <v>0.4886002239641658</v>
      </c>
      <c r="K1575">
        <f t="shared" si="74"/>
        <v>0.34185427004439806</v>
      </c>
    </row>
    <row r="1576" spans="1:11" x14ac:dyDescent="0.25">
      <c r="A1576" s="1">
        <v>2002</v>
      </c>
      <c r="B1576" s="1" t="s">
        <v>99</v>
      </c>
      <c r="C1576" t="s">
        <v>9</v>
      </c>
      <c r="D1576" s="1" t="s">
        <v>3</v>
      </c>
      <c r="E1576">
        <v>38</v>
      </c>
      <c r="F1576" s="1" t="s">
        <v>101</v>
      </c>
      <c r="G1576">
        <v>6</v>
      </c>
      <c r="H1576">
        <v>22</v>
      </c>
      <c r="I1576" s="2">
        <f t="shared" si="72"/>
        <v>4.3195679999999994</v>
      </c>
      <c r="J1576">
        <f t="shared" si="73"/>
        <v>0.16123807390817468</v>
      </c>
      <c r="K1576">
        <f t="shared" si="74"/>
        <v>0.11281190911465133</v>
      </c>
    </row>
    <row r="1577" spans="1:11" x14ac:dyDescent="0.25">
      <c r="A1577" s="1">
        <v>2002</v>
      </c>
      <c r="B1577" s="1" t="s">
        <v>99</v>
      </c>
      <c r="C1577" t="s">
        <v>9</v>
      </c>
      <c r="D1577" s="1" t="s">
        <v>3</v>
      </c>
      <c r="E1577">
        <v>38</v>
      </c>
      <c r="F1577" s="1" t="s">
        <v>101</v>
      </c>
      <c r="G1577">
        <v>8</v>
      </c>
      <c r="H1577">
        <v>39</v>
      </c>
      <c r="I1577" s="2">
        <f t="shared" si="72"/>
        <v>13.613183999999999</v>
      </c>
      <c r="J1577">
        <f t="shared" si="73"/>
        <v>0.50814423292273236</v>
      </c>
      <c r="K1577">
        <f t="shared" si="74"/>
        <v>0.35552844084617391</v>
      </c>
    </row>
    <row r="1578" spans="1:11" x14ac:dyDescent="0.25">
      <c r="A1578" s="1">
        <v>2002</v>
      </c>
      <c r="B1578" s="1" t="s">
        <v>99</v>
      </c>
      <c r="C1578" t="s">
        <v>9</v>
      </c>
      <c r="D1578" s="1" t="s">
        <v>3</v>
      </c>
      <c r="E1578">
        <v>38</v>
      </c>
      <c r="F1578" s="1" t="s">
        <v>101</v>
      </c>
      <c r="G1578">
        <v>10</v>
      </c>
      <c r="H1578">
        <v>69</v>
      </c>
      <c r="I1578" s="2">
        <f t="shared" si="72"/>
        <v>37.632599999999996</v>
      </c>
      <c r="J1578">
        <f t="shared" si="73"/>
        <v>1.4047256438969764</v>
      </c>
      <c r="K1578">
        <f t="shared" si="74"/>
        <v>0.98283102637764419</v>
      </c>
    </row>
    <row r="1579" spans="1:11" x14ac:dyDescent="0.25">
      <c r="A1579" s="1">
        <v>2002</v>
      </c>
      <c r="B1579" s="1" t="s">
        <v>99</v>
      </c>
      <c r="C1579" t="s">
        <v>9</v>
      </c>
      <c r="D1579" s="1" t="s">
        <v>3</v>
      </c>
      <c r="E1579">
        <v>38</v>
      </c>
      <c r="F1579" s="1" t="s">
        <v>101</v>
      </c>
      <c r="G1579">
        <v>12</v>
      </c>
      <c r="H1579">
        <v>77</v>
      </c>
      <c r="I1579" s="2">
        <f t="shared" si="72"/>
        <v>60.473951999999997</v>
      </c>
      <c r="J1579">
        <f t="shared" si="73"/>
        <v>2.2573330347144456</v>
      </c>
      <c r="K1579">
        <f t="shared" si="74"/>
        <v>1.5793667276051186</v>
      </c>
    </row>
    <row r="1580" spans="1:11" x14ac:dyDescent="0.25">
      <c r="A1580" s="1">
        <v>2002</v>
      </c>
      <c r="B1580" s="1" t="s">
        <v>99</v>
      </c>
      <c r="C1580" t="s">
        <v>9</v>
      </c>
      <c r="D1580" s="1" t="s">
        <v>3</v>
      </c>
      <c r="E1580">
        <v>38</v>
      </c>
      <c r="F1580" s="1" t="s">
        <v>101</v>
      </c>
      <c r="G1580">
        <v>14</v>
      </c>
      <c r="H1580">
        <v>79</v>
      </c>
      <c r="I1580" s="2">
        <f t="shared" si="72"/>
        <v>84.449736000000001</v>
      </c>
      <c r="J1580">
        <f t="shared" si="73"/>
        <v>3.1522857782754761</v>
      </c>
      <c r="K1580">
        <f t="shared" si="74"/>
        <v>2.205529798903108</v>
      </c>
    </row>
    <row r="1581" spans="1:11" x14ac:dyDescent="0.25">
      <c r="A1581" s="1">
        <v>2002</v>
      </c>
      <c r="B1581" s="1" t="s">
        <v>99</v>
      </c>
      <c r="C1581" t="s">
        <v>9</v>
      </c>
      <c r="D1581" s="1" t="s">
        <v>3</v>
      </c>
      <c r="E1581">
        <v>38</v>
      </c>
      <c r="F1581" s="1" t="s">
        <v>101</v>
      </c>
      <c r="G1581">
        <v>16</v>
      </c>
      <c r="H1581">
        <v>90</v>
      </c>
      <c r="I1581" s="2">
        <f t="shared" si="72"/>
        <v>125.66015999999999</v>
      </c>
      <c r="J1581">
        <f t="shared" si="73"/>
        <v>4.6905621500559906</v>
      </c>
      <c r="K1581">
        <f t="shared" si="74"/>
        <v>3.2818009924262204</v>
      </c>
    </row>
    <row r="1582" spans="1:11" x14ac:dyDescent="0.25">
      <c r="A1582" s="1">
        <v>2002</v>
      </c>
      <c r="B1582" s="1" t="s">
        <v>99</v>
      </c>
      <c r="C1582" t="s">
        <v>9</v>
      </c>
      <c r="D1582" s="1" t="s">
        <v>3</v>
      </c>
      <c r="E1582">
        <v>38</v>
      </c>
      <c r="F1582" s="1" t="s">
        <v>101</v>
      </c>
      <c r="G1582">
        <v>18</v>
      </c>
      <c r="H1582">
        <v>61</v>
      </c>
      <c r="I1582" s="2">
        <f t="shared" si="72"/>
        <v>107.79285599999999</v>
      </c>
      <c r="J1582">
        <f t="shared" si="73"/>
        <v>4.0236228443449047</v>
      </c>
      <c r="K1582">
        <f t="shared" si="74"/>
        <v>2.8151699138156174</v>
      </c>
    </row>
    <row r="1583" spans="1:11" x14ac:dyDescent="0.25">
      <c r="A1583" s="1">
        <v>2002</v>
      </c>
      <c r="B1583" s="1" t="s">
        <v>99</v>
      </c>
      <c r="C1583" t="s">
        <v>9</v>
      </c>
      <c r="D1583" s="1" t="s">
        <v>3</v>
      </c>
      <c r="E1583">
        <v>38</v>
      </c>
      <c r="F1583" s="1" t="s">
        <v>101</v>
      </c>
      <c r="G1583">
        <v>20</v>
      </c>
      <c r="H1583">
        <v>18</v>
      </c>
      <c r="I1583" s="2">
        <f t="shared" si="72"/>
        <v>39.268799999999999</v>
      </c>
      <c r="J1583">
        <f t="shared" si="73"/>
        <v>1.4658006718924972</v>
      </c>
      <c r="K1583">
        <f t="shared" si="74"/>
        <v>1.0255628101331939</v>
      </c>
    </row>
    <row r="1584" spans="1:11" x14ac:dyDescent="0.25">
      <c r="A1584" s="1">
        <v>2002</v>
      </c>
      <c r="B1584" s="1" t="s">
        <v>99</v>
      </c>
      <c r="C1584" t="s">
        <v>9</v>
      </c>
      <c r="D1584" s="1" t="s">
        <v>3</v>
      </c>
      <c r="E1584">
        <v>38</v>
      </c>
      <c r="F1584" s="1" t="s">
        <v>101</v>
      </c>
      <c r="G1584">
        <v>22</v>
      </c>
      <c r="H1584">
        <v>2</v>
      </c>
      <c r="I1584" s="2">
        <f t="shared" si="72"/>
        <v>5.2794719999999993</v>
      </c>
      <c r="J1584">
        <f t="shared" si="73"/>
        <v>0.19706875699888016</v>
      </c>
      <c r="K1584">
        <f t="shared" si="74"/>
        <v>0.1378812222512405</v>
      </c>
    </row>
    <row r="1585" spans="1:11" x14ac:dyDescent="0.25">
      <c r="A1585" s="1">
        <v>2002</v>
      </c>
      <c r="B1585" s="1" t="s">
        <v>99</v>
      </c>
      <c r="C1585" t="s">
        <v>9</v>
      </c>
      <c r="D1585" s="1" t="s">
        <v>3</v>
      </c>
      <c r="E1585">
        <v>40</v>
      </c>
      <c r="F1585" s="1" t="s">
        <v>101</v>
      </c>
      <c r="G1585">
        <v>6</v>
      </c>
      <c r="H1585">
        <v>19</v>
      </c>
      <c r="I1585" s="2">
        <f t="shared" si="72"/>
        <v>3.7305359999999999</v>
      </c>
      <c r="J1585">
        <f t="shared" si="73"/>
        <v>0.13925106382978722</v>
      </c>
      <c r="K1585">
        <f t="shared" si="74"/>
        <v>9.7428466962653421E-2</v>
      </c>
    </row>
    <row r="1586" spans="1:11" x14ac:dyDescent="0.25">
      <c r="A1586" s="1">
        <v>2002</v>
      </c>
      <c r="B1586" s="1" t="s">
        <v>99</v>
      </c>
      <c r="C1586" t="s">
        <v>9</v>
      </c>
      <c r="D1586" s="1" t="s">
        <v>3</v>
      </c>
      <c r="E1586">
        <v>40</v>
      </c>
      <c r="F1586" s="1" t="s">
        <v>101</v>
      </c>
      <c r="G1586">
        <v>8</v>
      </c>
      <c r="H1586">
        <v>24</v>
      </c>
      <c r="I1586" s="2">
        <f t="shared" si="72"/>
        <v>8.377343999999999</v>
      </c>
      <c r="J1586">
        <f t="shared" si="73"/>
        <v>0.31270414333706603</v>
      </c>
      <c r="K1586">
        <f t="shared" si="74"/>
        <v>0.21878673282841468</v>
      </c>
    </row>
    <row r="1587" spans="1:11" x14ac:dyDescent="0.25">
      <c r="A1587" s="1">
        <v>2002</v>
      </c>
      <c r="B1587" s="1" t="s">
        <v>99</v>
      </c>
      <c r="C1587" t="s">
        <v>9</v>
      </c>
      <c r="D1587" s="1" t="s">
        <v>3</v>
      </c>
      <c r="E1587">
        <v>40</v>
      </c>
      <c r="F1587" s="1" t="s">
        <v>101</v>
      </c>
      <c r="G1587">
        <v>10</v>
      </c>
      <c r="H1587">
        <v>19</v>
      </c>
      <c r="I1587" s="2">
        <f t="shared" si="72"/>
        <v>10.3626</v>
      </c>
      <c r="J1587">
        <f t="shared" si="73"/>
        <v>0.38680851063829791</v>
      </c>
      <c r="K1587">
        <f t="shared" si="74"/>
        <v>0.27063463045181513</v>
      </c>
    </row>
    <row r="1588" spans="1:11" x14ac:dyDescent="0.25">
      <c r="A1588" s="1">
        <v>2002</v>
      </c>
      <c r="B1588" s="1" t="s">
        <v>99</v>
      </c>
      <c r="C1588" t="s">
        <v>9</v>
      </c>
      <c r="D1588" s="1" t="s">
        <v>3</v>
      </c>
      <c r="E1588">
        <v>40</v>
      </c>
      <c r="F1588" s="1" t="s">
        <v>101</v>
      </c>
      <c r="G1588">
        <v>12</v>
      </c>
      <c r="H1588">
        <v>44</v>
      </c>
      <c r="I1588" s="2">
        <f t="shared" si="72"/>
        <v>34.556543999999995</v>
      </c>
      <c r="J1588">
        <f t="shared" si="73"/>
        <v>1.2899045912653975</v>
      </c>
      <c r="K1588">
        <f t="shared" si="74"/>
        <v>0.90249527291721066</v>
      </c>
    </row>
    <row r="1589" spans="1:11" x14ac:dyDescent="0.25">
      <c r="A1589" s="1">
        <v>2002</v>
      </c>
      <c r="B1589" s="1" t="s">
        <v>99</v>
      </c>
      <c r="C1589" t="s">
        <v>9</v>
      </c>
      <c r="D1589" s="1" t="s">
        <v>3</v>
      </c>
      <c r="E1589">
        <v>40</v>
      </c>
      <c r="F1589" s="1" t="s">
        <v>101</v>
      </c>
      <c r="G1589">
        <v>14</v>
      </c>
      <c r="H1589">
        <v>65</v>
      </c>
      <c r="I1589" s="2">
        <f t="shared" si="72"/>
        <v>69.483959999999996</v>
      </c>
      <c r="J1589">
        <f t="shared" si="73"/>
        <v>2.5936528555431129</v>
      </c>
      <c r="K1589">
        <f t="shared" si="74"/>
        <v>1.8146764168190126</v>
      </c>
    </row>
    <row r="1590" spans="1:11" x14ac:dyDescent="0.25">
      <c r="A1590" s="1">
        <v>2002</v>
      </c>
      <c r="B1590" s="1" t="s">
        <v>99</v>
      </c>
      <c r="C1590" t="s">
        <v>9</v>
      </c>
      <c r="D1590" s="1" t="s">
        <v>3</v>
      </c>
      <c r="E1590">
        <v>40</v>
      </c>
      <c r="F1590" s="1" t="s">
        <v>101</v>
      </c>
      <c r="G1590">
        <v>16</v>
      </c>
      <c r="H1590">
        <v>65</v>
      </c>
      <c r="I1590" s="2">
        <f t="shared" si="72"/>
        <v>90.754559999999998</v>
      </c>
      <c r="J1590">
        <f t="shared" si="73"/>
        <v>3.3876282194848826</v>
      </c>
      <c r="K1590">
        <f t="shared" si="74"/>
        <v>2.3701896056411593</v>
      </c>
    </row>
    <row r="1591" spans="1:11" x14ac:dyDescent="0.25">
      <c r="A1591" s="1">
        <v>2002</v>
      </c>
      <c r="B1591" s="1" t="s">
        <v>99</v>
      </c>
      <c r="C1591" t="s">
        <v>9</v>
      </c>
      <c r="D1591" s="1" t="s">
        <v>3</v>
      </c>
      <c r="E1591">
        <v>40</v>
      </c>
      <c r="F1591" s="1" t="s">
        <v>101</v>
      </c>
      <c r="G1591">
        <v>18</v>
      </c>
      <c r="H1591">
        <v>87</v>
      </c>
      <c r="I1591" s="2">
        <f t="shared" si="72"/>
        <v>153.73735199999999</v>
      </c>
      <c r="J1591">
        <f t="shared" si="73"/>
        <v>5.7386096304591261</v>
      </c>
      <c r="K1591">
        <f t="shared" si="74"/>
        <v>4.0150784016714542</v>
      </c>
    </row>
    <row r="1592" spans="1:11" x14ac:dyDescent="0.25">
      <c r="A1592" s="1">
        <v>2002</v>
      </c>
      <c r="B1592" s="1" t="s">
        <v>99</v>
      </c>
      <c r="C1592" t="s">
        <v>9</v>
      </c>
      <c r="D1592" s="1" t="s">
        <v>3</v>
      </c>
      <c r="E1592">
        <v>40</v>
      </c>
      <c r="F1592" s="1" t="s">
        <v>101</v>
      </c>
      <c r="G1592">
        <v>20</v>
      </c>
      <c r="H1592">
        <v>75</v>
      </c>
      <c r="I1592" s="2">
        <f t="shared" si="72"/>
        <v>163.62</v>
      </c>
      <c r="J1592">
        <f t="shared" si="73"/>
        <v>6.1075027995520719</v>
      </c>
      <c r="K1592">
        <f t="shared" si="74"/>
        <v>4.2731783755549753</v>
      </c>
    </row>
    <row r="1593" spans="1:11" x14ac:dyDescent="0.25">
      <c r="A1593" s="1">
        <v>2002</v>
      </c>
      <c r="B1593" s="1" t="s">
        <v>99</v>
      </c>
      <c r="C1593" t="s">
        <v>9</v>
      </c>
      <c r="D1593" s="1" t="s">
        <v>3</v>
      </c>
      <c r="E1593">
        <v>40</v>
      </c>
      <c r="F1593" s="1" t="s">
        <v>101</v>
      </c>
      <c r="G1593">
        <v>22</v>
      </c>
      <c r="H1593">
        <v>20</v>
      </c>
      <c r="I1593" s="2">
        <f t="shared" si="72"/>
        <v>52.794719999999991</v>
      </c>
      <c r="J1593">
        <f t="shared" si="73"/>
        <v>1.9706875699888016</v>
      </c>
      <c r="K1593">
        <f t="shared" si="74"/>
        <v>1.3788122225124051</v>
      </c>
    </row>
    <row r="1594" spans="1:11" x14ac:dyDescent="0.25">
      <c r="A1594" s="1">
        <v>2002</v>
      </c>
      <c r="B1594" s="1" t="s">
        <v>99</v>
      </c>
      <c r="C1594" t="s">
        <v>9</v>
      </c>
      <c r="D1594" s="1" t="s">
        <v>3</v>
      </c>
      <c r="E1594">
        <v>40</v>
      </c>
      <c r="F1594" s="1" t="s">
        <v>101</v>
      </c>
      <c r="G1594">
        <v>24</v>
      </c>
      <c r="H1594">
        <v>5</v>
      </c>
      <c r="I1594" s="2">
        <f t="shared" si="72"/>
        <v>15.707519999999999</v>
      </c>
      <c r="J1594">
        <f t="shared" si="73"/>
        <v>0.58632026875699883</v>
      </c>
      <c r="K1594">
        <f t="shared" si="74"/>
        <v>0.41022512405327755</v>
      </c>
    </row>
    <row r="1595" spans="1:11" x14ac:dyDescent="0.25">
      <c r="A1595" s="1">
        <v>2002</v>
      </c>
      <c r="B1595" s="1" t="s">
        <v>99</v>
      </c>
      <c r="C1595" t="s">
        <v>9</v>
      </c>
      <c r="D1595" s="1" t="s">
        <v>3</v>
      </c>
      <c r="E1595">
        <v>41</v>
      </c>
      <c r="F1595" s="1" t="s">
        <v>101</v>
      </c>
      <c r="G1595">
        <v>8</v>
      </c>
      <c r="H1595">
        <v>1</v>
      </c>
      <c r="I1595" s="2">
        <f t="shared" si="72"/>
        <v>0.34905599999999998</v>
      </c>
      <c r="J1595">
        <f t="shared" si="73"/>
        <v>1.3029339305711086E-2</v>
      </c>
      <c r="K1595">
        <f t="shared" si="74"/>
        <v>9.1161138678506129E-3</v>
      </c>
    </row>
    <row r="1596" spans="1:11" x14ac:dyDescent="0.25">
      <c r="A1596" s="1">
        <v>2002</v>
      </c>
      <c r="B1596" s="1" t="s">
        <v>99</v>
      </c>
      <c r="C1596" t="s">
        <v>9</v>
      </c>
      <c r="D1596" s="1" t="s">
        <v>3</v>
      </c>
      <c r="E1596">
        <v>41</v>
      </c>
      <c r="F1596" s="1" t="s">
        <v>101</v>
      </c>
      <c r="G1596">
        <v>10</v>
      </c>
      <c r="H1596">
        <v>2</v>
      </c>
      <c r="I1596" s="2">
        <f t="shared" si="72"/>
        <v>1.0908</v>
      </c>
      <c r="J1596">
        <f t="shared" si="73"/>
        <v>4.0716685330347148E-2</v>
      </c>
      <c r="K1596">
        <f t="shared" si="74"/>
        <v>2.8487855837033168E-2</v>
      </c>
    </row>
    <row r="1597" spans="1:11" x14ac:dyDescent="0.25">
      <c r="A1597" s="1">
        <v>2002</v>
      </c>
      <c r="B1597" s="1" t="s">
        <v>99</v>
      </c>
      <c r="C1597" t="s">
        <v>9</v>
      </c>
      <c r="D1597" s="1" t="s">
        <v>3</v>
      </c>
      <c r="E1597">
        <v>41</v>
      </c>
      <c r="F1597" s="1" t="s">
        <v>101</v>
      </c>
      <c r="G1597">
        <v>12</v>
      </c>
      <c r="H1597">
        <v>1</v>
      </c>
      <c r="I1597" s="2">
        <f t="shared" si="72"/>
        <v>0.78537599999999996</v>
      </c>
      <c r="J1597">
        <f t="shared" si="73"/>
        <v>2.9316013437849942E-2</v>
      </c>
      <c r="K1597">
        <f t="shared" si="74"/>
        <v>2.0511256202663877E-2</v>
      </c>
    </row>
    <row r="1598" spans="1:11" x14ac:dyDescent="0.25">
      <c r="A1598" s="1">
        <v>2002</v>
      </c>
      <c r="B1598" s="1" t="s">
        <v>99</v>
      </c>
      <c r="C1598" t="s">
        <v>9</v>
      </c>
      <c r="D1598" s="1" t="s">
        <v>3</v>
      </c>
      <c r="E1598">
        <v>41</v>
      </c>
      <c r="F1598" s="1" t="s">
        <v>101</v>
      </c>
      <c r="G1598">
        <v>16</v>
      </c>
      <c r="H1598">
        <v>2</v>
      </c>
      <c r="I1598" s="2">
        <f t="shared" si="72"/>
        <v>2.7924479999999998</v>
      </c>
      <c r="J1598">
        <f t="shared" si="73"/>
        <v>0.10423471444568869</v>
      </c>
      <c r="K1598">
        <f t="shared" si="74"/>
        <v>7.2928910942804903E-2</v>
      </c>
    </row>
    <row r="1599" spans="1:11" x14ac:dyDescent="0.25">
      <c r="A1599" s="1">
        <v>2002</v>
      </c>
      <c r="B1599" s="1" t="s">
        <v>99</v>
      </c>
      <c r="C1599" t="s">
        <v>9</v>
      </c>
      <c r="D1599" s="1" t="s">
        <v>3</v>
      </c>
      <c r="E1599">
        <v>41</v>
      </c>
      <c r="F1599" s="1" t="s">
        <v>101</v>
      </c>
      <c r="G1599">
        <v>18</v>
      </c>
      <c r="H1599">
        <v>4</v>
      </c>
      <c r="I1599" s="2">
        <f t="shared" si="72"/>
        <v>7.0683839999999991</v>
      </c>
      <c r="J1599">
        <f t="shared" si="73"/>
        <v>0.26384412094064946</v>
      </c>
      <c r="K1599">
        <f t="shared" si="74"/>
        <v>0.18460130582397488</v>
      </c>
    </row>
    <row r="1600" spans="1:11" x14ac:dyDescent="0.25">
      <c r="A1600" s="1">
        <v>2002</v>
      </c>
      <c r="B1600" s="1" t="s">
        <v>99</v>
      </c>
      <c r="C1600" t="s">
        <v>9</v>
      </c>
      <c r="D1600" s="1" t="s">
        <v>3</v>
      </c>
      <c r="E1600">
        <v>41</v>
      </c>
      <c r="F1600" s="1" t="s">
        <v>101</v>
      </c>
      <c r="G1600">
        <v>20</v>
      </c>
      <c r="H1600">
        <v>1</v>
      </c>
      <c r="I1600" s="2">
        <f t="shared" si="72"/>
        <v>2.1816</v>
      </c>
      <c r="J1600">
        <f t="shared" si="73"/>
        <v>8.1433370660694296E-2</v>
      </c>
      <c r="K1600">
        <f t="shared" si="74"/>
        <v>5.6975711674066336E-2</v>
      </c>
    </row>
    <row r="1601" spans="1:11" x14ac:dyDescent="0.25">
      <c r="A1601" s="1">
        <v>2002</v>
      </c>
      <c r="B1601" s="1" t="s">
        <v>99</v>
      </c>
      <c r="C1601" t="s">
        <v>9</v>
      </c>
      <c r="D1601" s="1" t="s">
        <v>3</v>
      </c>
      <c r="E1601">
        <v>41</v>
      </c>
      <c r="F1601" s="1" t="s">
        <v>101</v>
      </c>
      <c r="G1601">
        <v>22</v>
      </c>
      <c r="H1601">
        <v>1</v>
      </c>
      <c r="I1601" s="2">
        <f t="shared" si="72"/>
        <v>2.6397359999999996</v>
      </c>
      <c r="J1601">
        <f t="shared" si="73"/>
        <v>9.8534378499440078E-2</v>
      </c>
      <c r="K1601">
        <f t="shared" si="74"/>
        <v>6.8940611125620249E-2</v>
      </c>
    </row>
    <row r="1602" spans="1:11" x14ac:dyDescent="0.25">
      <c r="A1602" s="1">
        <v>2002</v>
      </c>
      <c r="B1602" s="1" t="s">
        <v>99</v>
      </c>
      <c r="C1602" t="s">
        <v>9</v>
      </c>
      <c r="D1602" s="1" t="s">
        <v>3</v>
      </c>
      <c r="E1602">
        <v>47</v>
      </c>
      <c r="F1602" s="1" t="s">
        <v>101</v>
      </c>
      <c r="G1602">
        <v>6</v>
      </c>
      <c r="H1602">
        <v>1</v>
      </c>
      <c r="I1602" s="2">
        <f t="shared" si="72"/>
        <v>0.19634399999999999</v>
      </c>
      <c r="J1602">
        <f t="shared" si="73"/>
        <v>7.3290033594624856E-3</v>
      </c>
      <c r="K1602">
        <f t="shared" si="74"/>
        <v>5.1278140506659693E-3</v>
      </c>
    </row>
    <row r="1603" spans="1:11" x14ac:dyDescent="0.25">
      <c r="A1603" s="1">
        <v>2002</v>
      </c>
      <c r="B1603" s="1" t="s">
        <v>99</v>
      </c>
      <c r="C1603" t="s">
        <v>9</v>
      </c>
      <c r="D1603" s="1" t="s">
        <v>3</v>
      </c>
      <c r="E1603">
        <v>47</v>
      </c>
      <c r="F1603" s="1" t="s">
        <v>101</v>
      </c>
      <c r="G1603">
        <v>12</v>
      </c>
      <c r="H1603">
        <v>1</v>
      </c>
      <c r="I1603" s="2">
        <f t="shared" ref="I1603:I1666" si="75">0.005454*G1603^2*H1603</f>
        <v>0.78537599999999996</v>
      </c>
      <c r="J1603">
        <f t="shared" ref="J1603:J1666" si="76">I1603/26.79</f>
        <v>2.9316013437849942E-2</v>
      </c>
      <c r="K1603">
        <f t="shared" ref="K1603:K1666" si="77">J1603*(26.79/38.29)</f>
        <v>2.0511256202663877E-2</v>
      </c>
    </row>
    <row r="1604" spans="1:11" x14ac:dyDescent="0.25">
      <c r="A1604" s="1">
        <v>2002</v>
      </c>
      <c r="B1604" s="1" t="s">
        <v>99</v>
      </c>
      <c r="C1604" t="s">
        <v>9</v>
      </c>
      <c r="D1604" s="1" t="s">
        <v>3</v>
      </c>
      <c r="E1604">
        <v>47</v>
      </c>
      <c r="F1604" s="1" t="s">
        <v>101</v>
      </c>
      <c r="G1604">
        <v>16</v>
      </c>
      <c r="H1604">
        <v>3</v>
      </c>
      <c r="I1604" s="2">
        <f t="shared" si="75"/>
        <v>4.1886719999999995</v>
      </c>
      <c r="J1604">
        <f t="shared" si="76"/>
        <v>0.15635207166853302</v>
      </c>
      <c r="K1604">
        <f t="shared" si="77"/>
        <v>0.10939336641420734</v>
      </c>
    </row>
    <row r="1605" spans="1:11" x14ac:dyDescent="0.25">
      <c r="A1605" s="1">
        <v>2002</v>
      </c>
      <c r="B1605" s="1" t="s">
        <v>99</v>
      </c>
      <c r="C1605" t="s">
        <v>9</v>
      </c>
      <c r="D1605" s="1" t="s">
        <v>3</v>
      </c>
      <c r="E1605">
        <v>47</v>
      </c>
      <c r="F1605" s="1" t="s">
        <v>101</v>
      </c>
      <c r="G1605">
        <v>18</v>
      </c>
      <c r="H1605">
        <v>2</v>
      </c>
      <c r="I1605" s="2">
        <f t="shared" si="75"/>
        <v>3.5341919999999996</v>
      </c>
      <c r="J1605">
        <f t="shared" si="76"/>
        <v>0.13192206047032473</v>
      </c>
      <c r="K1605">
        <f t="shared" si="77"/>
        <v>9.2300652911987441E-2</v>
      </c>
    </row>
    <row r="1606" spans="1:11" x14ac:dyDescent="0.25">
      <c r="A1606" s="1">
        <v>2002</v>
      </c>
      <c r="B1606" s="1" t="s">
        <v>99</v>
      </c>
      <c r="C1606" t="s">
        <v>9</v>
      </c>
      <c r="D1606" s="1" t="s">
        <v>3</v>
      </c>
      <c r="E1606">
        <v>47</v>
      </c>
      <c r="F1606" s="1" t="s">
        <v>101</v>
      </c>
      <c r="G1606">
        <v>20</v>
      </c>
      <c r="H1606">
        <v>1</v>
      </c>
      <c r="I1606" s="2">
        <f t="shared" si="75"/>
        <v>2.1816</v>
      </c>
      <c r="J1606">
        <f t="shared" si="76"/>
        <v>8.1433370660694296E-2</v>
      </c>
      <c r="K1606">
        <f t="shared" si="77"/>
        <v>5.6975711674066336E-2</v>
      </c>
    </row>
    <row r="1607" spans="1:11" x14ac:dyDescent="0.25">
      <c r="A1607" s="1">
        <v>2002</v>
      </c>
      <c r="B1607" s="1" t="s">
        <v>99</v>
      </c>
      <c r="C1607" t="s">
        <v>9</v>
      </c>
      <c r="D1607" s="1" t="s">
        <v>3</v>
      </c>
      <c r="E1607">
        <v>53</v>
      </c>
      <c r="F1607" s="1" t="s">
        <v>101</v>
      </c>
      <c r="G1607">
        <v>6</v>
      </c>
      <c r="H1607">
        <v>25</v>
      </c>
      <c r="I1607" s="2">
        <f t="shared" si="75"/>
        <v>4.9085999999999999</v>
      </c>
      <c r="J1607">
        <f t="shared" si="76"/>
        <v>0.18322508398656215</v>
      </c>
      <c r="K1607">
        <f t="shared" si="77"/>
        <v>0.12819535126664924</v>
      </c>
    </row>
    <row r="1608" spans="1:11" x14ac:dyDescent="0.25">
      <c r="A1608" s="1">
        <v>2002</v>
      </c>
      <c r="B1608" s="1" t="s">
        <v>99</v>
      </c>
      <c r="C1608" t="s">
        <v>9</v>
      </c>
      <c r="D1608" s="1" t="s">
        <v>3</v>
      </c>
      <c r="E1608">
        <v>53</v>
      </c>
      <c r="F1608" s="1" t="s">
        <v>101</v>
      </c>
      <c r="G1608">
        <v>8</v>
      </c>
      <c r="H1608">
        <v>21</v>
      </c>
      <c r="I1608" s="2">
        <f t="shared" si="75"/>
        <v>7.3301759999999998</v>
      </c>
      <c r="J1608">
        <f t="shared" si="76"/>
        <v>0.2736161254199328</v>
      </c>
      <c r="K1608">
        <f t="shared" si="77"/>
        <v>0.19143839122486286</v>
      </c>
    </row>
    <row r="1609" spans="1:11" x14ac:dyDescent="0.25">
      <c r="A1609" s="1">
        <v>2002</v>
      </c>
      <c r="B1609" s="1" t="s">
        <v>99</v>
      </c>
      <c r="C1609" t="s">
        <v>9</v>
      </c>
      <c r="D1609" s="1" t="s">
        <v>3</v>
      </c>
      <c r="E1609">
        <v>53</v>
      </c>
      <c r="F1609" s="1" t="s">
        <v>101</v>
      </c>
      <c r="G1609">
        <v>10</v>
      </c>
      <c r="H1609">
        <v>13</v>
      </c>
      <c r="I1609" s="2">
        <f t="shared" si="75"/>
        <v>7.0902000000000003</v>
      </c>
      <c r="J1609">
        <f t="shared" si="76"/>
        <v>0.26465845464725646</v>
      </c>
      <c r="K1609">
        <f t="shared" si="77"/>
        <v>0.18517106294071559</v>
      </c>
    </row>
    <row r="1610" spans="1:11" x14ac:dyDescent="0.25">
      <c r="A1610" s="1">
        <v>2002</v>
      </c>
      <c r="B1610" s="1" t="s">
        <v>99</v>
      </c>
      <c r="C1610" t="s">
        <v>9</v>
      </c>
      <c r="D1610" s="1" t="s">
        <v>3</v>
      </c>
      <c r="E1610">
        <v>53</v>
      </c>
      <c r="F1610" s="1" t="s">
        <v>101</v>
      </c>
      <c r="G1610">
        <v>12</v>
      </c>
      <c r="H1610">
        <v>23</v>
      </c>
      <c r="I1610" s="2">
        <f t="shared" si="75"/>
        <v>18.063648000000001</v>
      </c>
      <c r="J1610">
        <f t="shared" si="76"/>
        <v>0.6742683090705488</v>
      </c>
      <c r="K1610">
        <f t="shared" si="77"/>
        <v>0.4717588926612693</v>
      </c>
    </row>
    <row r="1611" spans="1:11" x14ac:dyDescent="0.25">
      <c r="A1611" s="1">
        <v>2002</v>
      </c>
      <c r="B1611" s="1" t="s">
        <v>99</v>
      </c>
      <c r="C1611" t="s">
        <v>9</v>
      </c>
      <c r="D1611" s="1" t="s">
        <v>3</v>
      </c>
      <c r="E1611">
        <v>53</v>
      </c>
      <c r="F1611" s="1" t="s">
        <v>101</v>
      </c>
      <c r="G1611">
        <v>14</v>
      </c>
      <c r="H1611">
        <v>17</v>
      </c>
      <c r="I1611" s="2">
        <f t="shared" si="75"/>
        <v>18.172727999999999</v>
      </c>
      <c r="J1611">
        <f t="shared" si="76"/>
        <v>0.67833997760358344</v>
      </c>
      <c r="K1611">
        <f t="shared" si="77"/>
        <v>0.47460767824497258</v>
      </c>
    </row>
    <row r="1612" spans="1:11" x14ac:dyDescent="0.25">
      <c r="A1612" s="1">
        <v>2002</v>
      </c>
      <c r="B1612" s="1" t="s">
        <v>99</v>
      </c>
      <c r="C1612" t="s">
        <v>9</v>
      </c>
      <c r="D1612" s="1" t="s">
        <v>3</v>
      </c>
      <c r="E1612">
        <v>53</v>
      </c>
      <c r="F1612" s="1" t="s">
        <v>101</v>
      </c>
      <c r="G1612">
        <v>16</v>
      </c>
      <c r="H1612">
        <v>7</v>
      </c>
      <c r="I1612" s="2">
        <f t="shared" si="75"/>
        <v>9.7735679999999991</v>
      </c>
      <c r="J1612">
        <f t="shared" si="76"/>
        <v>0.36482150055991042</v>
      </c>
      <c r="K1612">
        <f t="shared" si="77"/>
        <v>0.25525118829981719</v>
      </c>
    </row>
    <row r="1613" spans="1:11" x14ac:dyDescent="0.25">
      <c r="A1613" s="1">
        <v>2002</v>
      </c>
      <c r="B1613" s="1" t="s">
        <v>99</v>
      </c>
      <c r="C1613" t="s">
        <v>9</v>
      </c>
      <c r="D1613" s="1" t="s">
        <v>3</v>
      </c>
      <c r="E1613">
        <v>53</v>
      </c>
      <c r="F1613" s="1" t="s">
        <v>101</v>
      </c>
      <c r="G1613">
        <v>18</v>
      </c>
      <c r="H1613">
        <v>11</v>
      </c>
      <c r="I1613" s="2">
        <f t="shared" si="75"/>
        <v>19.438055999999996</v>
      </c>
      <c r="J1613">
        <f t="shared" si="76"/>
        <v>0.72557133258678597</v>
      </c>
      <c r="K1613">
        <f t="shared" si="77"/>
        <v>0.50765359101593088</v>
      </c>
    </row>
    <row r="1614" spans="1:11" x14ac:dyDescent="0.25">
      <c r="A1614" s="1">
        <v>2002</v>
      </c>
      <c r="B1614" s="1" t="s">
        <v>99</v>
      </c>
      <c r="C1614" t="s">
        <v>9</v>
      </c>
      <c r="D1614" s="1" t="s">
        <v>3</v>
      </c>
      <c r="E1614">
        <v>53</v>
      </c>
      <c r="F1614" s="1" t="s">
        <v>101</v>
      </c>
      <c r="G1614">
        <v>20</v>
      </c>
      <c r="H1614">
        <v>8</v>
      </c>
      <c r="I1614" s="2">
        <f t="shared" si="75"/>
        <v>17.4528</v>
      </c>
      <c r="J1614">
        <f t="shared" si="76"/>
        <v>0.65146696528555437</v>
      </c>
      <c r="K1614">
        <f t="shared" si="77"/>
        <v>0.45580569339253069</v>
      </c>
    </row>
    <row r="1615" spans="1:11" x14ac:dyDescent="0.25">
      <c r="A1615" s="1">
        <v>2002</v>
      </c>
      <c r="B1615" s="1" t="s">
        <v>99</v>
      </c>
      <c r="C1615" t="s">
        <v>9</v>
      </c>
      <c r="D1615" s="1" t="s">
        <v>3</v>
      </c>
      <c r="E1615">
        <v>54</v>
      </c>
      <c r="F1615" s="1" t="s">
        <v>101</v>
      </c>
      <c r="G1615">
        <v>6</v>
      </c>
      <c r="H1615">
        <v>45</v>
      </c>
      <c r="I1615" s="2">
        <f t="shared" si="75"/>
        <v>8.8354800000000004</v>
      </c>
      <c r="J1615">
        <f t="shared" si="76"/>
        <v>0.32980515117581188</v>
      </c>
      <c r="K1615">
        <f t="shared" si="77"/>
        <v>0.23075163227996864</v>
      </c>
    </row>
    <row r="1616" spans="1:11" x14ac:dyDescent="0.25">
      <c r="A1616" s="1">
        <v>2002</v>
      </c>
      <c r="B1616" s="1" t="s">
        <v>99</v>
      </c>
      <c r="C1616" t="s">
        <v>9</v>
      </c>
      <c r="D1616" s="1" t="s">
        <v>3</v>
      </c>
      <c r="E1616">
        <v>54</v>
      </c>
      <c r="F1616" s="1" t="s">
        <v>101</v>
      </c>
      <c r="G1616">
        <v>8</v>
      </c>
      <c r="H1616">
        <v>29</v>
      </c>
      <c r="I1616" s="2">
        <f t="shared" si="75"/>
        <v>10.122624</v>
      </c>
      <c r="J1616">
        <f t="shared" si="76"/>
        <v>0.37785083986562151</v>
      </c>
      <c r="K1616">
        <f t="shared" si="77"/>
        <v>0.26436730216766779</v>
      </c>
    </row>
    <row r="1617" spans="1:11" x14ac:dyDescent="0.25">
      <c r="A1617" s="1">
        <v>2002</v>
      </c>
      <c r="B1617" s="1" t="s">
        <v>99</v>
      </c>
      <c r="C1617" t="s">
        <v>9</v>
      </c>
      <c r="D1617" s="1" t="s">
        <v>3</v>
      </c>
      <c r="E1617">
        <v>54</v>
      </c>
      <c r="F1617" s="1" t="s">
        <v>101</v>
      </c>
      <c r="G1617">
        <v>10</v>
      </c>
      <c r="H1617">
        <v>23</v>
      </c>
      <c r="I1617" s="2">
        <f t="shared" si="75"/>
        <v>12.5442</v>
      </c>
      <c r="J1617">
        <f t="shared" si="76"/>
        <v>0.46824188129899219</v>
      </c>
      <c r="K1617">
        <f t="shared" si="77"/>
        <v>0.32761034212588142</v>
      </c>
    </row>
    <row r="1618" spans="1:11" x14ac:dyDescent="0.25">
      <c r="A1618" s="1">
        <v>2002</v>
      </c>
      <c r="B1618" s="1" t="s">
        <v>99</v>
      </c>
      <c r="C1618" t="s">
        <v>9</v>
      </c>
      <c r="D1618" s="1" t="s">
        <v>3</v>
      </c>
      <c r="E1618">
        <v>54</v>
      </c>
      <c r="F1618" s="1" t="s">
        <v>101</v>
      </c>
      <c r="G1618">
        <v>12</v>
      </c>
      <c r="H1618">
        <v>14</v>
      </c>
      <c r="I1618" s="2">
        <f t="shared" si="75"/>
        <v>10.995263999999999</v>
      </c>
      <c r="J1618">
        <f t="shared" si="76"/>
        <v>0.41042418812989917</v>
      </c>
      <c r="K1618">
        <f t="shared" si="77"/>
        <v>0.28715758683729425</v>
      </c>
    </row>
    <row r="1619" spans="1:11" x14ac:dyDescent="0.25">
      <c r="A1619" s="1">
        <v>2002</v>
      </c>
      <c r="B1619" s="1" t="s">
        <v>99</v>
      </c>
      <c r="C1619" t="s">
        <v>9</v>
      </c>
      <c r="D1619" s="1" t="s">
        <v>3</v>
      </c>
      <c r="E1619">
        <v>54</v>
      </c>
      <c r="F1619" s="1" t="s">
        <v>101</v>
      </c>
      <c r="G1619">
        <v>14</v>
      </c>
      <c r="H1619">
        <v>14</v>
      </c>
      <c r="I1619" s="2">
        <f t="shared" si="75"/>
        <v>14.965775999999998</v>
      </c>
      <c r="J1619">
        <f t="shared" si="76"/>
        <v>0.55863292273236276</v>
      </c>
      <c r="K1619">
        <f t="shared" si="77"/>
        <v>0.39085338208409498</v>
      </c>
    </row>
    <row r="1620" spans="1:11" x14ac:dyDescent="0.25">
      <c r="A1620" s="1">
        <v>2002</v>
      </c>
      <c r="B1620" s="1" t="s">
        <v>99</v>
      </c>
      <c r="C1620" t="s">
        <v>9</v>
      </c>
      <c r="D1620" s="1" t="s">
        <v>3</v>
      </c>
      <c r="E1620">
        <v>54</v>
      </c>
      <c r="F1620" s="1" t="s">
        <v>101</v>
      </c>
      <c r="G1620">
        <v>16</v>
      </c>
      <c r="H1620">
        <v>12</v>
      </c>
      <c r="I1620" s="2">
        <f t="shared" si="75"/>
        <v>16.754687999999998</v>
      </c>
      <c r="J1620">
        <f t="shared" si="76"/>
        <v>0.62540828667413206</v>
      </c>
      <c r="K1620">
        <f t="shared" si="77"/>
        <v>0.43757346565682936</v>
      </c>
    </row>
    <row r="1621" spans="1:11" x14ac:dyDescent="0.25">
      <c r="A1621" s="1">
        <v>2002</v>
      </c>
      <c r="B1621" s="1" t="s">
        <v>99</v>
      </c>
      <c r="C1621" t="s">
        <v>9</v>
      </c>
      <c r="D1621" s="1" t="s">
        <v>3</v>
      </c>
      <c r="E1621">
        <v>54</v>
      </c>
      <c r="F1621" s="1" t="s">
        <v>101</v>
      </c>
      <c r="G1621">
        <v>18</v>
      </c>
      <c r="H1621">
        <v>1</v>
      </c>
      <c r="I1621" s="2">
        <f t="shared" si="75"/>
        <v>1.7670959999999998</v>
      </c>
      <c r="J1621">
        <f t="shared" si="76"/>
        <v>6.5961030235162366E-2</v>
      </c>
      <c r="K1621">
        <f t="shared" si="77"/>
        <v>4.615032645599372E-2</v>
      </c>
    </row>
    <row r="1622" spans="1:11" x14ac:dyDescent="0.25">
      <c r="A1622" s="1">
        <v>2002</v>
      </c>
      <c r="B1622" s="1" t="s">
        <v>99</v>
      </c>
      <c r="C1622" t="s">
        <v>9</v>
      </c>
      <c r="D1622" s="1" t="s">
        <v>3</v>
      </c>
      <c r="E1622">
        <v>56</v>
      </c>
      <c r="F1622" s="1" t="s">
        <v>101</v>
      </c>
      <c r="G1622">
        <v>6</v>
      </c>
      <c r="H1622">
        <v>14</v>
      </c>
      <c r="I1622" s="2">
        <f t="shared" si="75"/>
        <v>2.7488159999999997</v>
      </c>
      <c r="J1622">
        <f t="shared" si="76"/>
        <v>0.10260604703247479</v>
      </c>
      <c r="K1622">
        <f t="shared" si="77"/>
        <v>7.1789396709323564E-2</v>
      </c>
    </row>
    <row r="1623" spans="1:11" x14ac:dyDescent="0.25">
      <c r="A1623" s="1">
        <v>2002</v>
      </c>
      <c r="B1623" s="1" t="s">
        <v>99</v>
      </c>
      <c r="C1623" t="s">
        <v>9</v>
      </c>
      <c r="D1623" s="1" t="s">
        <v>3</v>
      </c>
      <c r="E1623">
        <v>56</v>
      </c>
      <c r="F1623" s="1" t="s">
        <v>101</v>
      </c>
      <c r="G1623">
        <v>8</v>
      </c>
      <c r="H1623">
        <v>15</v>
      </c>
      <c r="I1623" s="2">
        <f t="shared" si="75"/>
        <v>5.2358399999999996</v>
      </c>
      <c r="J1623">
        <f t="shared" si="76"/>
        <v>0.19544008958566628</v>
      </c>
      <c r="K1623">
        <f t="shared" si="77"/>
        <v>0.13674170801775917</v>
      </c>
    </row>
    <row r="1624" spans="1:11" x14ac:dyDescent="0.25">
      <c r="A1624" s="1">
        <v>2002</v>
      </c>
      <c r="B1624" s="1" t="s">
        <v>99</v>
      </c>
      <c r="C1624" t="s">
        <v>9</v>
      </c>
      <c r="D1624" s="1" t="s">
        <v>3</v>
      </c>
      <c r="E1624">
        <v>56</v>
      </c>
      <c r="F1624" s="1" t="s">
        <v>101</v>
      </c>
      <c r="G1624">
        <v>10</v>
      </c>
      <c r="H1624">
        <v>15</v>
      </c>
      <c r="I1624" s="2">
        <f t="shared" si="75"/>
        <v>8.1809999999999992</v>
      </c>
      <c r="J1624">
        <f t="shared" si="76"/>
        <v>0.30537513997760357</v>
      </c>
      <c r="K1624">
        <f t="shared" si="77"/>
        <v>0.21365891877774873</v>
      </c>
    </row>
    <row r="1625" spans="1:11" x14ac:dyDescent="0.25">
      <c r="A1625" s="1">
        <v>2002</v>
      </c>
      <c r="B1625" s="1" t="s">
        <v>99</v>
      </c>
      <c r="C1625" t="s">
        <v>9</v>
      </c>
      <c r="D1625" s="1" t="s">
        <v>3</v>
      </c>
      <c r="E1625">
        <v>56</v>
      </c>
      <c r="F1625" s="1" t="s">
        <v>101</v>
      </c>
      <c r="G1625">
        <v>12</v>
      </c>
      <c r="H1625">
        <v>11</v>
      </c>
      <c r="I1625" s="2">
        <f t="shared" si="75"/>
        <v>8.6391359999999988</v>
      </c>
      <c r="J1625">
        <f t="shared" si="76"/>
        <v>0.32247614781634937</v>
      </c>
      <c r="K1625">
        <f t="shared" si="77"/>
        <v>0.22562381822930266</v>
      </c>
    </row>
    <row r="1626" spans="1:11" x14ac:dyDescent="0.25">
      <c r="A1626" s="1">
        <v>2002</v>
      </c>
      <c r="B1626" s="1" t="s">
        <v>99</v>
      </c>
      <c r="C1626" t="s">
        <v>9</v>
      </c>
      <c r="D1626" s="1" t="s">
        <v>3</v>
      </c>
      <c r="E1626">
        <v>56</v>
      </c>
      <c r="F1626" s="1" t="s">
        <v>101</v>
      </c>
      <c r="G1626">
        <v>14</v>
      </c>
      <c r="H1626">
        <v>14</v>
      </c>
      <c r="I1626" s="2">
        <f t="shared" si="75"/>
        <v>14.965775999999998</v>
      </c>
      <c r="J1626">
        <f t="shared" si="76"/>
        <v>0.55863292273236276</v>
      </c>
      <c r="K1626">
        <f t="shared" si="77"/>
        <v>0.39085338208409498</v>
      </c>
    </row>
    <row r="1627" spans="1:11" x14ac:dyDescent="0.25">
      <c r="A1627" s="1">
        <v>2002</v>
      </c>
      <c r="B1627" s="1" t="s">
        <v>99</v>
      </c>
      <c r="C1627" t="s">
        <v>9</v>
      </c>
      <c r="D1627" s="1" t="s">
        <v>3</v>
      </c>
      <c r="E1627">
        <v>56</v>
      </c>
      <c r="F1627" s="1" t="s">
        <v>101</v>
      </c>
      <c r="G1627">
        <v>16</v>
      </c>
      <c r="H1627">
        <v>20</v>
      </c>
      <c r="I1627" s="2">
        <f t="shared" si="75"/>
        <v>27.924479999999999</v>
      </c>
      <c r="J1627">
        <f t="shared" si="76"/>
        <v>1.0423471444568868</v>
      </c>
      <c r="K1627">
        <f t="shared" si="77"/>
        <v>0.72928910942804903</v>
      </c>
    </row>
    <row r="1628" spans="1:11" x14ac:dyDescent="0.25">
      <c r="A1628" s="1">
        <v>2002</v>
      </c>
      <c r="B1628" s="1" t="s">
        <v>99</v>
      </c>
      <c r="C1628" t="s">
        <v>9</v>
      </c>
      <c r="D1628" s="1" t="s">
        <v>3</v>
      </c>
      <c r="E1628">
        <v>56</v>
      </c>
      <c r="F1628" s="1" t="s">
        <v>101</v>
      </c>
      <c r="G1628">
        <v>18</v>
      </c>
      <c r="H1628">
        <v>19</v>
      </c>
      <c r="I1628" s="2">
        <f t="shared" si="75"/>
        <v>33.574823999999992</v>
      </c>
      <c r="J1628">
        <f t="shared" si="76"/>
        <v>1.2532595744680848</v>
      </c>
      <c r="K1628">
        <f t="shared" si="77"/>
        <v>0.87685620266388065</v>
      </c>
    </row>
    <row r="1629" spans="1:11" x14ac:dyDescent="0.25">
      <c r="A1629" s="1">
        <v>2002</v>
      </c>
      <c r="B1629" s="1" t="s">
        <v>99</v>
      </c>
      <c r="C1629" t="s">
        <v>9</v>
      </c>
      <c r="D1629" s="1" t="s">
        <v>3</v>
      </c>
      <c r="E1629">
        <v>56</v>
      </c>
      <c r="F1629" s="1" t="s">
        <v>101</v>
      </c>
      <c r="G1629">
        <v>20</v>
      </c>
      <c r="H1629">
        <v>19</v>
      </c>
      <c r="I1629" s="2">
        <f t="shared" si="75"/>
        <v>41.450400000000002</v>
      </c>
      <c r="J1629">
        <f t="shared" si="76"/>
        <v>1.5472340425531916</v>
      </c>
      <c r="K1629">
        <f t="shared" si="77"/>
        <v>1.0825385218072605</v>
      </c>
    </row>
    <row r="1630" spans="1:11" x14ac:dyDescent="0.25">
      <c r="A1630" s="1">
        <v>2002</v>
      </c>
      <c r="B1630" s="1" t="s">
        <v>99</v>
      </c>
      <c r="C1630" t="s">
        <v>9</v>
      </c>
      <c r="D1630" s="1" t="s">
        <v>3</v>
      </c>
      <c r="E1630">
        <v>56</v>
      </c>
      <c r="F1630" s="1" t="s">
        <v>101</v>
      </c>
      <c r="G1630">
        <v>22</v>
      </c>
      <c r="H1630">
        <v>7</v>
      </c>
      <c r="I1630" s="2">
        <f t="shared" si="75"/>
        <v>18.478151999999998</v>
      </c>
      <c r="J1630">
        <f t="shared" si="76"/>
        <v>0.6897406494960806</v>
      </c>
      <c r="K1630">
        <f t="shared" si="77"/>
        <v>0.48258427787934183</v>
      </c>
    </row>
    <row r="1631" spans="1:11" x14ac:dyDescent="0.25">
      <c r="A1631" s="1">
        <v>2002</v>
      </c>
      <c r="B1631" s="1" t="s">
        <v>99</v>
      </c>
      <c r="C1631" t="s">
        <v>9</v>
      </c>
      <c r="D1631" s="1" t="s">
        <v>3</v>
      </c>
      <c r="E1631">
        <v>58</v>
      </c>
      <c r="F1631" s="1" t="s">
        <v>101</v>
      </c>
      <c r="G1631">
        <v>6</v>
      </c>
      <c r="H1631">
        <v>9</v>
      </c>
      <c r="I1631" s="2">
        <f t="shared" si="75"/>
        <v>1.767096</v>
      </c>
      <c r="J1631">
        <f t="shared" si="76"/>
        <v>6.596103023516238E-2</v>
      </c>
      <c r="K1631">
        <f t="shared" si="77"/>
        <v>4.6150326455993734E-2</v>
      </c>
    </row>
    <row r="1632" spans="1:11" x14ac:dyDescent="0.25">
      <c r="A1632" s="1">
        <v>2002</v>
      </c>
      <c r="B1632" s="1" t="s">
        <v>99</v>
      </c>
      <c r="C1632" t="s">
        <v>9</v>
      </c>
      <c r="D1632" s="1" t="s">
        <v>3</v>
      </c>
      <c r="E1632">
        <v>58</v>
      </c>
      <c r="F1632" s="1" t="s">
        <v>101</v>
      </c>
      <c r="G1632">
        <v>8</v>
      </c>
      <c r="H1632">
        <v>8</v>
      </c>
      <c r="I1632" s="2">
        <f t="shared" si="75"/>
        <v>2.7924479999999998</v>
      </c>
      <c r="J1632">
        <f t="shared" si="76"/>
        <v>0.10423471444568869</v>
      </c>
      <c r="K1632">
        <f t="shared" si="77"/>
        <v>7.2928910942804903E-2</v>
      </c>
    </row>
    <row r="1633" spans="1:11" x14ac:dyDescent="0.25">
      <c r="A1633" s="1">
        <v>2002</v>
      </c>
      <c r="B1633" s="1" t="s">
        <v>99</v>
      </c>
      <c r="C1633" t="s">
        <v>9</v>
      </c>
      <c r="D1633" s="1" t="s">
        <v>3</v>
      </c>
      <c r="E1633">
        <v>58</v>
      </c>
      <c r="F1633" s="1" t="s">
        <v>101</v>
      </c>
      <c r="G1633">
        <v>10</v>
      </c>
      <c r="H1633">
        <v>6</v>
      </c>
      <c r="I1633" s="2">
        <f t="shared" si="75"/>
        <v>3.2724000000000002</v>
      </c>
      <c r="J1633">
        <f t="shared" si="76"/>
        <v>0.12215005599104145</v>
      </c>
      <c r="K1633">
        <f t="shared" si="77"/>
        <v>8.5463567511099514E-2</v>
      </c>
    </row>
    <row r="1634" spans="1:11" x14ac:dyDescent="0.25">
      <c r="A1634" s="1">
        <v>2002</v>
      </c>
      <c r="B1634" s="1" t="s">
        <v>99</v>
      </c>
      <c r="C1634" t="s">
        <v>9</v>
      </c>
      <c r="D1634" s="1" t="s">
        <v>3</v>
      </c>
      <c r="E1634">
        <v>58</v>
      </c>
      <c r="F1634" s="1" t="s">
        <v>101</v>
      </c>
      <c r="G1634">
        <v>12</v>
      </c>
      <c r="H1634">
        <v>7</v>
      </c>
      <c r="I1634" s="2">
        <f t="shared" si="75"/>
        <v>5.4976319999999994</v>
      </c>
      <c r="J1634">
        <f t="shared" si="76"/>
        <v>0.20521209406494959</v>
      </c>
      <c r="K1634">
        <f t="shared" si="77"/>
        <v>0.14357879341864713</v>
      </c>
    </row>
    <row r="1635" spans="1:11" x14ac:dyDescent="0.25">
      <c r="A1635" s="1">
        <v>2002</v>
      </c>
      <c r="B1635" s="1" t="s">
        <v>99</v>
      </c>
      <c r="C1635" t="s">
        <v>9</v>
      </c>
      <c r="D1635" s="1" t="s">
        <v>3</v>
      </c>
      <c r="E1635">
        <v>63</v>
      </c>
      <c r="F1635" s="1" t="s">
        <v>101</v>
      </c>
      <c r="G1635">
        <v>6</v>
      </c>
      <c r="H1635">
        <v>56</v>
      </c>
      <c r="I1635" s="2">
        <f t="shared" si="75"/>
        <v>10.995263999999999</v>
      </c>
      <c r="J1635">
        <f t="shared" si="76"/>
        <v>0.41042418812989917</v>
      </c>
      <c r="K1635">
        <f t="shared" si="77"/>
        <v>0.28715758683729425</v>
      </c>
    </row>
    <row r="1636" spans="1:11" x14ac:dyDescent="0.25">
      <c r="A1636" s="1">
        <v>2002</v>
      </c>
      <c r="B1636" s="1" t="s">
        <v>99</v>
      </c>
      <c r="C1636" t="s">
        <v>9</v>
      </c>
      <c r="D1636" s="1" t="s">
        <v>3</v>
      </c>
      <c r="E1636">
        <v>63</v>
      </c>
      <c r="F1636" s="1" t="s">
        <v>101</v>
      </c>
      <c r="G1636">
        <v>8</v>
      </c>
      <c r="H1636">
        <v>17</v>
      </c>
      <c r="I1636" s="2">
        <f t="shared" si="75"/>
        <v>5.9339519999999997</v>
      </c>
      <c r="J1636">
        <f t="shared" si="76"/>
        <v>0.22149876819708847</v>
      </c>
      <c r="K1636">
        <f t="shared" si="77"/>
        <v>0.15497393575346041</v>
      </c>
    </row>
    <row r="1637" spans="1:11" x14ac:dyDescent="0.25">
      <c r="A1637" s="1">
        <v>2002</v>
      </c>
      <c r="B1637" s="1" t="s">
        <v>99</v>
      </c>
      <c r="C1637" t="s">
        <v>9</v>
      </c>
      <c r="D1637" s="1" t="s">
        <v>3</v>
      </c>
      <c r="E1637">
        <v>63</v>
      </c>
      <c r="F1637" s="1" t="s">
        <v>101</v>
      </c>
      <c r="G1637">
        <v>10</v>
      </c>
      <c r="H1637">
        <v>5</v>
      </c>
      <c r="I1637" s="2">
        <f t="shared" si="75"/>
        <v>2.7269999999999999</v>
      </c>
      <c r="J1637">
        <f t="shared" si="76"/>
        <v>0.10179171332586787</v>
      </c>
      <c r="K1637">
        <f t="shared" si="77"/>
        <v>7.1219639592582915E-2</v>
      </c>
    </row>
    <row r="1638" spans="1:11" x14ac:dyDescent="0.25">
      <c r="A1638" s="1">
        <v>2002</v>
      </c>
      <c r="B1638" s="1" t="s">
        <v>99</v>
      </c>
      <c r="C1638" t="s">
        <v>9</v>
      </c>
      <c r="D1638" s="1" t="s">
        <v>3</v>
      </c>
      <c r="E1638">
        <v>63</v>
      </c>
      <c r="F1638" s="1" t="s">
        <v>101</v>
      </c>
      <c r="G1638">
        <v>12</v>
      </c>
      <c r="H1638">
        <v>1</v>
      </c>
      <c r="I1638" s="2">
        <f t="shared" si="75"/>
        <v>0.78537599999999996</v>
      </c>
      <c r="J1638">
        <f t="shared" si="76"/>
        <v>2.9316013437849942E-2</v>
      </c>
      <c r="K1638">
        <f t="shared" si="77"/>
        <v>2.0511256202663877E-2</v>
      </c>
    </row>
    <row r="1639" spans="1:11" x14ac:dyDescent="0.25">
      <c r="A1639" s="1">
        <v>2002</v>
      </c>
      <c r="B1639" s="1" t="s">
        <v>99</v>
      </c>
      <c r="C1639" t="s">
        <v>9</v>
      </c>
      <c r="D1639" s="1" t="s">
        <v>3</v>
      </c>
      <c r="E1639">
        <v>63</v>
      </c>
      <c r="F1639" s="1" t="s">
        <v>101</v>
      </c>
      <c r="G1639">
        <v>14</v>
      </c>
      <c r="H1639">
        <v>1</v>
      </c>
      <c r="I1639" s="2">
        <f t="shared" si="75"/>
        <v>1.0689839999999999</v>
      </c>
      <c r="J1639">
        <f t="shared" si="76"/>
        <v>3.9902351623740201E-2</v>
      </c>
      <c r="K1639">
        <f t="shared" si="77"/>
        <v>2.7918098720292502E-2</v>
      </c>
    </row>
    <row r="1640" spans="1:11" x14ac:dyDescent="0.25">
      <c r="A1640" s="1">
        <v>2002</v>
      </c>
      <c r="B1640" s="1" t="s">
        <v>99</v>
      </c>
      <c r="C1640" t="s">
        <v>9</v>
      </c>
      <c r="D1640" s="1" t="s">
        <v>3</v>
      </c>
      <c r="E1640">
        <v>65</v>
      </c>
      <c r="F1640" s="1" t="s">
        <v>101</v>
      </c>
      <c r="G1640">
        <v>8</v>
      </c>
      <c r="H1640">
        <v>2</v>
      </c>
      <c r="I1640" s="2">
        <f t="shared" si="75"/>
        <v>0.69811199999999995</v>
      </c>
      <c r="J1640">
        <f t="shared" si="76"/>
        <v>2.6058678611422172E-2</v>
      </c>
      <c r="K1640">
        <f t="shared" si="77"/>
        <v>1.8232227735701226E-2</v>
      </c>
    </row>
    <row r="1641" spans="1:11" x14ac:dyDescent="0.25">
      <c r="A1641" s="1">
        <v>2002</v>
      </c>
      <c r="B1641" s="1" t="s">
        <v>99</v>
      </c>
      <c r="C1641" t="s">
        <v>9</v>
      </c>
      <c r="D1641" s="1" t="s">
        <v>3</v>
      </c>
      <c r="E1641">
        <v>66</v>
      </c>
      <c r="F1641" s="1" t="s">
        <v>101</v>
      </c>
      <c r="G1641">
        <v>6</v>
      </c>
      <c r="H1641">
        <v>25</v>
      </c>
      <c r="I1641" s="2">
        <f t="shared" si="75"/>
        <v>4.9085999999999999</v>
      </c>
      <c r="J1641">
        <f t="shared" si="76"/>
        <v>0.18322508398656215</v>
      </c>
      <c r="K1641">
        <f t="shared" si="77"/>
        <v>0.12819535126664924</v>
      </c>
    </row>
    <row r="1642" spans="1:11" x14ac:dyDescent="0.25">
      <c r="A1642" s="1">
        <v>2002</v>
      </c>
      <c r="B1642" s="1" t="s">
        <v>99</v>
      </c>
      <c r="C1642" t="s">
        <v>9</v>
      </c>
      <c r="D1642" s="1" t="s">
        <v>3</v>
      </c>
      <c r="E1642">
        <v>66</v>
      </c>
      <c r="F1642" s="1" t="s">
        <v>101</v>
      </c>
      <c r="G1642">
        <v>8</v>
      </c>
      <c r="H1642">
        <v>12</v>
      </c>
      <c r="I1642" s="2">
        <f t="shared" si="75"/>
        <v>4.1886719999999995</v>
      </c>
      <c r="J1642">
        <f t="shared" si="76"/>
        <v>0.15635207166853302</v>
      </c>
      <c r="K1642">
        <f t="shared" si="77"/>
        <v>0.10939336641420734</v>
      </c>
    </row>
    <row r="1643" spans="1:11" x14ac:dyDescent="0.25">
      <c r="A1643" s="1">
        <v>2002</v>
      </c>
      <c r="B1643" s="1" t="s">
        <v>99</v>
      </c>
      <c r="C1643" t="s">
        <v>9</v>
      </c>
      <c r="D1643" s="1" t="s">
        <v>3</v>
      </c>
      <c r="E1643">
        <v>66</v>
      </c>
      <c r="F1643" s="1" t="s">
        <v>101</v>
      </c>
      <c r="G1643">
        <v>10</v>
      </c>
      <c r="H1643">
        <v>6</v>
      </c>
      <c r="I1643" s="2">
        <f t="shared" si="75"/>
        <v>3.2724000000000002</v>
      </c>
      <c r="J1643">
        <f t="shared" si="76"/>
        <v>0.12215005599104145</v>
      </c>
      <c r="K1643">
        <f t="shared" si="77"/>
        <v>8.5463567511099514E-2</v>
      </c>
    </row>
    <row r="1644" spans="1:11" x14ac:dyDescent="0.25">
      <c r="A1644" s="1">
        <v>2002</v>
      </c>
      <c r="B1644" s="1" t="s">
        <v>99</v>
      </c>
      <c r="C1644" t="s">
        <v>9</v>
      </c>
      <c r="D1644" s="1" t="s">
        <v>3</v>
      </c>
      <c r="E1644">
        <v>66</v>
      </c>
      <c r="F1644" s="1" t="s">
        <v>101</v>
      </c>
      <c r="G1644">
        <v>12</v>
      </c>
      <c r="H1644">
        <v>8</v>
      </c>
      <c r="I1644" s="2">
        <f t="shared" si="75"/>
        <v>6.2830079999999997</v>
      </c>
      <c r="J1644">
        <f t="shared" si="76"/>
        <v>0.23452810750279954</v>
      </c>
      <c r="K1644">
        <f t="shared" si="77"/>
        <v>0.16409004962131102</v>
      </c>
    </row>
    <row r="1645" spans="1:11" x14ac:dyDescent="0.25">
      <c r="A1645" s="1">
        <v>2002</v>
      </c>
      <c r="B1645" s="1" t="s">
        <v>99</v>
      </c>
      <c r="C1645" t="s">
        <v>9</v>
      </c>
      <c r="D1645" s="1" t="s">
        <v>3</v>
      </c>
      <c r="E1645">
        <v>66</v>
      </c>
      <c r="F1645" s="1" t="s">
        <v>101</v>
      </c>
      <c r="G1645">
        <v>14</v>
      </c>
      <c r="H1645">
        <v>5</v>
      </c>
      <c r="I1645" s="2">
        <f t="shared" si="75"/>
        <v>5.3449200000000001</v>
      </c>
      <c r="J1645">
        <f t="shared" si="76"/>
        <v>0.199511758118701</v>
      </c>
      <c r="K1645">
        <f t="shared" si="77"/>
        <v>0.1395904936014625</v>
      </c>
    </row>
    <row r="1646" spans="1:11" x14ac:dyDescent="0.25">
      <c r="A1646" s="1">
        <v>2002</v>
      </c>
      <c r="B1646" s="1" t="s">
        <v>99</v>
      </c>
      <c r="C1646" t="s">
        <v>9</v>
      </c>
      <c r="D1646" s="1" t="s">
        <v>3</v>
      </c>
      <c r="E1646">
        <v>66</v>
      </c>
      <c r="F1646" s="1" t="s">
        <v>101</v>
      </c>
      <c r="G1646">
        <v>16</v>
      </c>
      <c r="H1646">
        <v>2</v>
      </c>
      <c r="I1646" s="2">
        <f t="shared" si="75"/>
        <v>2.7924479999999998</v>
      </c>
      <c r="J1646">
        <f t="shared" si="76"/>
        <v>0.10423471444568869</v>
      </c>
      <c r="K1646">
        <f t="shared" si="77"/>
        <v>7.2928910942804903E-2</v>
      </c>
    </row>
    <row r="1647" spans="1:11" x14ac:dyDescent="0.25">
      <c r="A1647" s="1">
        <v>2002</v>
      </c>
      <c r="B1647" s="1" t="s">
        <v>99</v>
      </c>
      <c r="C1647" t="s">
        <v>9</v>
      </c>
      <c r="D1647" s="1" t="s">
        <v>3</v>
      </c>
      <c r="E1647">
        <v>66</v>
      </c>
      <c r="F1647" s="1" t="s">
        <v>101</v>
      </c>
      <c r="G1647">
        <v>18</v>
      </c>
      <c r="H1647">
        <v>3</v>
      </c>
      <c r="I1647" s="2">
        <f t="shared" si="75"/>
        <v>5.3012879999999996</v>
      </c>
      <c r="J1647">
        <f t="shared" si="76"/>
        <v>0.19788309070548712</v>
      </c>
      <c r="K1647">
        <f t="shared" si="77"/>
        <v>0.13845097936798118</v>
      </c>
    </row>
    <row r="1648" spans="1:11" x14ac:dyDescent="0.25">
      <c r="A1648" s="1">
        <v>2002</v>
      </c>
      <c r="B1648" s="1" t="s">
        <v>99</v>
      </c>
      <c r="C1648" t="s">
        <v>9</v>
      </c>
      <c r="D1648" s="1" t="s">
        <v>3</v>
      </c>
      <c r="E1648">
        <v>66</v>
      </c>
      <c r="F1648" s="1" t="s">
        <v>101</v>
      </c>
      <c r="G1648">
        <v>20</v>
      </c>
      <c r="H1648">
        <v>2</v>
      </c>
      <c r="I1648" s="2">
        <f t="shared" si="75"/>
        <v>4.3632</v>
      </c>
      <c r="J1648">
        <f t="shared" si="76"/>
        <v>0.16286674132138859</v>
      </c>
      <c r="K1648">
        <f t="shared" si="77"/>
        <v>0.11395142334813267</v>
      </c>
    </row>
    <row r="1649" spans="1:11" x14ac:dyDescent="0.25">
      <c r="A1649" s="1">
        <v>2002</v>
      </c>
      <c r="B1649" s="1" t="s">
        <v>99</v>
      </c>
      <c r="C1649" t="s">
        <v>9</v>
      </c>
      <c r="D1649" s="1" t="s">
        <v>3</v>
      </c>
      <c r="E1649">
        <v>71</v>
      </c>
      <c r="F1649" s="1" t="s">
        <v>101</v>
      </c>
      <c r="G1649">
        <v>6</v>
      </c>
      <c r="H1649">
        <v>13</v>
      </c>
      <c r="I1649" s="2">
        <f t="shared" si="75"/>
        <v>2.5524719999999999</v>
      </c>
      <c r="J1649">
        <f t="shared" si="76"/>
        <v>9.5277043673012318E-2</v>
      </c>
      <c r="K1649">
        <f t="shared" si="77"/>
        <v>6.6661582658657612E-2</v>
      </c>
    </row>
    <row r="1650" spans="1:11" x14ac:dyDescent="0.25">
      <c r="A1650" s="1">
        <v>2002</v>
      </c>
      <c r="B1650" s="1" t="s">
        <v>99</v>
      </c>
      <c r="C1650" t="s">
        <v>9</v>
      </c>
      <c r="D1650" s="1" t="s">
        <v>3</v>
      </c>
      <c r="E1650">
        <v>71</v>
      </c>
      <c r="F1650" s="1" t="s">
        <v>101</v>
      </c>
      <c r="G1650">
        <v>8</v>
      </c>
      <c r="H1650">
        <v>13</v>
      </c>
      <c r="I1650" s="2">
        <f t="shared" si="75"/>
        <v>4.5377279999999995</v>
      </c>
      <c r="J1650">
        <f t="shared" si="76"/>
        <v>0.16938141097424411</v>
      </c>
      <c r="K1650">
        <f t="shared" si="77"/>
        <v>0.11850948028205796</v>
      </c>
    </row>
    <row r="1651" spans="1:11" x14ac:dyDescent="0.25">
      <c r="A1651" s="1">
        <v>2002</v>
      </c>
      <c r="B1651" s="1" t="s">
        <v>99</v>
      </c>
      <c r="C1651" t="s">
        <v>9</v>
      </c>
      <c r="D1651" s="1" t="s">
        <v>3</v>
      </c>
      <c r="E1651">
        <v>71</v>
      </c>
      <c r="F1651" s="1" t="s">
        <v>101</v>
      </c>
      <c r="G1651">
        <v>10</v>
      </c>
      <c r="H1651">
        <v>4</v>
      </c>
      <c r="I1651" s="2">
        <f t="shared" si="75"/>
        <v>2.1816</v>
      </c>
      <c r="J1651">
        <f t="shared" si="76"/>
        <v>8.1433370660694296E-2</v>
      </c>
      <c r="K1651">
        <f t="shared" si="77"/>
        <v>5.6975711674066336E-2</v>
      </c>
    </row>
    <row r="1652" spans="1:11" x14ac:dyDescent="0.25">
      <c r="A1652" s="1">
        <v>2002</v>
      </c>
      <c r="B1652" s="1" t="s">
        <v>99</v>
      </c>
      <c r="C1652" t="s">
        <v>9</v>
      </c>
      <c r="D1652" s="1" t="s">
        <v>3</v>
      </c>
      <c r="E1652">
        <v>71</v>
      </c>
      <c r="F1652" s="1" t="s">
        <v>101</v>
      </c>
      <c r="G1652">
        <v>12</v>
      </c>
      <c r="H1652">
        <v>5</v>
      </c>
      <c r="I1652" s="2">
        <f t="shared" si="75"/>
        <v>3.9268799999999997</v>
      </c>
      <c r="J1652">
        <f t="shared" si="76"/>
        <v>0.14658006718924971</v>
      </c>
      <c r="K1652">
        <f t="shared" si="77"/>
        <v>0.10255628101331939</v>
      </c>
    </row>
    <row r="1653" spans="1:11" x14ac:dyDescent="0.25">
      <c r="A1653" s="1">
        <v>2002</v>
      </c>
      <c r="B1653" s="1" t="s">
        <v>99</v>
      </c>
      <c r="C1653" t="s">
        <v>9</v>
      </c>
      <c r="D1653" s="1" t="s">
        <v>3</v>
      </c>
      <c r="E1653">
        <v>71</v>
      </c>
      <c r="F1653" s="1" t="s">
        <v>101</v>
      </c>
      <c r="G1653">
        <v>14</v>
      </c>
      <c r="H1653">
        <v>2</v>
      </c>
      <c r="I1653" s="2">
        <f t="shared" si="75"/>
        <v>2.1379679999999999</v>
      </c>
      <c r="J1653">
        <f t="shared" si="76"/>
        <v>7.9804703247480402E-2</v>
      </c>
      <c r="K1653">
        <f t="shared" si="77"/>
        <v>5.5836197440585003E-2</v>
      </c>
    </row>
    <row r="1654" spans="1:11" x14ac:dyDescent="0.25">
      <c r="A1654" s="1">
        <v>2002</v>
      </c>
      <c r="B1654" s="1" t="s">
        <v>99</v>
      </c>
      <c r="C1654" t="s">
        <v>9</v>
      </c>
      <c r="D1654" s="1" t="s">
        <v>3</v>
      </c>
      <c r="E1654">
        <v>71</v>
      </c>
      <c r="F1654" s="1" t="s">
        <v>101</v>
      </c>
      <c r="G1654">
        <v>18</v>
      </c>
      <c r="H1654">
        <v>2</v>
      </c>
      <c r="I1654" s="2">
        <f t="shared" si="75"/>
        <v>3.5341919999999996</v>
      </c>
      <c r="J1654">
        <f t="shared" si="76"/>
        <v>0.13192206047032473</v>
      </c>
      <c r="K1654">
        <f t="shared" si="77"/>
        <v>9.2300652911987441E-2</v>
      </c>
    </row>
    <row r="1655" spans="1:11" x14ac:dyDescent="0.25">
      <c r="A1655" s="1">
        <v>2002</v>
      </c>
      <c r="B1655" s="1" t="s">
        <v>99</v>
      </c>
      <c r="C1655" t="s">
        <v>9</v>
      </c>
      <c r="D1655" s="1" t="s">
        <v>3</v>
      </c>
      <c r="E1655">
        <v>76</v>
      </c>
      <c r="F1655" s="1" t="s">
        <v>101</v>
      </c>
      <c r="G1655">
        <v>6</v>
      </c>
      <c r="H1655">
        <v>112</v>
      </c>
      <c r="I1655" s="2">
        <f t="shared" si="75"/>
        <v>21.990527999999998</v>
      </c>
      <c r="J1655">
        <f t="shared" si="76"/>
        <v>0.82084837625979834</v>
      </c>
      <c r="K1655">
        <f t="shared" si="77"/>
        <v>0.57431517367458851</v>
      </c>
    </row>
    <row r="1656" spans="1:11" x14ac:dyDescent="0.25">
      <c r="A1656" s="1">
        <v>2002</v>
      </c>
      <c r="B1656" s="1" t="s">
        <v>99</v>
      </c>
      <c r="C1656" t="s">
        <v>9</v>
      </c>
      <c r="D1656" s="1" t="s">
        <v>3</v>
      </c>
      <c r="E1656">
        <v>76</v>
      </c>
      <c r="F1656" s="1" t="s">
        <v>101</v>
      </c>
      <c r="G1656">
        <v>8</v>
      </c>
      <c r="H1656">
        <v>70</v>
      </c>
      <c r="I1656" s="2">
        <f t="shared" si="75"/>
        <v>24.433919999999997</v>
      </c>
      <c r="J1656">
        <f t="shared" si="76"/>
        <v>0.91205375139977596</v>
      </c>
      <c r="K1656">
        <f t="shared" si="77"/>
        <v>0.63812797074954286</v>
      </c>
    </row>
    <row r="1657" spans="1:11" x14ac:dyDescent="0.25">
      <c r="A1657" s="1">
        <v>2002</v>
      </c>
      <c r="B1657" s="1" t="s">
        <v>99</v>
      </c>
      <c r="C1657" t="s">
        <v>9</v>
      </c>
      <c r="D1657" s="1" t="s">
        <v>3</v>
      </c>
      <c r="E1657">
        <v>76</v>
      </c>
      <c r="F1657" s="1" t="s">
        <v>101</v>
      </c>
      <c r="G1657">
        <v>10</v>
      </c>
      <c r="H1657">
        <v>54</v>
      </c>
      <c r="I1657" s="2">
        <f t="shared" si="75"/>
        <v>29.451599999999999</v>
      </c>
      <c r="J1657">
        <f t="shared" si="76"/>
        <v>1.0993505039193729</v>
      </c>
      <c r="K1657">
        <f t="shared" si="77"/>
        <v>0.76917210759989552</v>
      </c>
    </row>
    <row r="1658" spans="1:11" x14ac:dyDescent="0.25">
      <c r="A1658" s="1">
        <v>2002</v>
      </c>
      <c r="B1658" s="1" t="s">
        <v>99</v>
      </c>
      <c r="C1658" t="s">
        <v>9</v>
      </c>
      <c r="D1658" s="1" t="s">
        <v>3</v>
      </c>
      <c r="E1658">
        <v>76</v>
      </c>
      <c r="F1658" s="1" t="s">
        <v>101</v>
      </c>
      <c r="G1658">
        <v>12</v>
      </c>
      <c r="H1658">
        <v>44</v>
      </c>
      <c r="I1658" s="2">
        <f t="shared" si="75"/>
        <v>34.556543999999995</v>
      </c>
      <c r="J1658">
        <f t="shared" si="76"/>
        <v>1.2899045912653975</v>
      </c>
      <c r="K1658">
        <f t="shared" si="77"/>
        <v>0.90249527291721066</v>
      </c>
    </row>
    <row r="1659" spans="1:11" x14ac:dyDescent="0.25">
      <c r="A1659" s="1">
        <v>2002</v>
      </c>
      <c r="B1659" s="1" t="s">
        <v>99</v>
      </c>
      <c r="C1659" t="s">
        <v>9</v>
      </c>
      <c r="D1659" s="1" t="s">
        <v>3</v>
      </c>
      <c r="E1659">
        <v>76</v>
      </c>
      <c r="F1659" s="1" t="s">
        <v>101</v>
      </c>
      <c r="G1659">
        <v>14</v>
      </c>
      <c r="H1659">
        <v>22</v>
      </c>
      <c r="I1659" s="2">
        <f t="shared" si="75"/>
        <v>23.517647999999998</v>
      </c>
      <c r="J1659">
        <f t="shared" si="76"/>
        <v>0.87785173572228437</v>
      </c>
      <c r="K1659">
        <f t="shared" si="77"/>
        <v>0.61419817184643499</v>
      </c>
    </row>
    <row r="1660" spans="1:11" x14ac:dyDescent="0.25">
      <c r="A1660" s="1">
        <v>2002</v>
      </c>
      <c r="B1660" s="1" t="s">
        <v>99</v>
      </c>
      <c r="C1660" t="s">
        <v>9</v>
      </c>
      <c r="D1660" s="1" t="s">
        <v>3</v>
      </c>
      <c r="E1660">
        <v>76</v>
      </c>
      <c r="F1660" s="1" t="s">
        <v>101</v>
      </c>
      <c r="G1660">
        <v>16</v>
      </c>
      <c r="H1660">
        <v>21</v>
      </c>
      <c r="I1660" s="2">
        <f t="shared" si="75"/>
        <v>29.320703999999999</v>
      </c>
      <c r="J1660">
        <f t="shared" si="76"/>
        <v>1.0944645016797312</v>
      </c>
      <c r="K1660">
        <f t="shared" si="77"/>
        <v>0.76575356489945146</v>
      </c>
    </row>
    <row r="1661" spans="1:11" x14ac:dyDescent="0.25">
      <c r="A1661" s="1">
        <v>2002</v>
      </c>
      <c r="B1661" s="1" t="s">
        <v>99</v>
      </c>
      <c r="C1661" t="s">
        <v>9</v>
      </c>
      <c r="D1661" s="1" t="s">
        <v>3</v>
      </c>
      <c r="E1661">
        <v>76</v>
      </c>
      <c r="F1661" s="1" t="s">
        <v>101</v>
      </c>
      <c r="G1661">
        <v>18</v>
      </c>
      <c r="H1661">
        <v>11</v>
      </c>
      <c r="I1661" s="2">
        <f t="shared" si="75"/>
        <v>19.438055999999996</v>
      </c>
      <c r="J1661">
        <f t="shared" si="76"/>
        <v>0.72557133258678597</v>
      </c>
      <c r="K1661">
        <f t="shared" si="77"/>
        <v>0.50765359101593088</v>
      </c>
    </row>
    <row r="1662" spans="1:11" x14ac:dyDescent="0.25">
      <c r="A1662" s="1">
        <v>2002</v>
      </c>
      <c r="B1662" s="1" t="s">
        <v>99</v>
      </c>
      <c r="C1662" t="s">
        <v>9</v>
      </c>
      <c r="D1662" s="1" t="s">
        <v>3</v>
      </c>
      <c r="E1662">
        <v>76</v>
      </c>
      <c r="F1662" s="1" t="s">
        <v>101</v>
      </c>
      <c r="G1662">
        <v>20</v>
      </c>
      <c r="H1662">
        <v>7</v>
      </c>
      <c r="I1662" s="2">
        <f t="shared" si="75"/>
        <v>15.2712</v>
      </c>
      <c r="J1662">
        <f t="shared" si="76"/>
        <v>0.57003359462486003</v>
      </c>
      <c r="K1662">
        <f t="shared" si="77"/>
        <v>0.39882998171846434</v>
      </c>
    </row>
    <row r="1663" spans="1:11" x14ac:dyDescent="0.25">
      <c r="A1663" s="1">
        <v>2002</v>
      </c>
      <c r="B1663" s="1" t="s">
        <v>99</v>
      </c>
      <c r="C1663" t="s">
        <v>9</v>
      </c>
      <c r="D1663" s="1" t="s">
        <v>3</v>
      </c>
      <c r="E1663">
        <v>79</v>
      </c>
      <c r="F1663" s="1" t="s">
        <v>101</v>
      </c>
      <c r="G1663">
        <v>6</v>
      </c>
      <c r="H1663">
        <v>278</v>
      </c>
      <c r="I1663" s="2">
        <f t="shared" si="75"/>
        <v>54.583631999999994</v>
      </c>
      <c r="J1663">
        <f t="shared" si="76"/>
        <v>2.0374629339305708</v>
      </c>
      <c r="K1663">
        <f t="shared" si="77"/>
        <v>1.4255323060851395</v>
      </c>
    </row>
    <row r="1664" spans="1:11" x14ac:dyDescent="0.25">
      <c r="A1664" s="1">
        <v>2002</v>
      </c>
      <c r="B1664" s="1" t="s">
        <v>99</v>
      </c>
      <c r="C1664" t="s">
        <v>9</v>
      </c>
      <c r="D1664" s="1" t="s">
        <v>3</v>
      </c>
      <c r="E1664">
        <v>79</v>
      </c>
      <c r="F1664" s="1" t="s">
        <v>101</v>
      </c>
      <c r="G1664">
        <v>8</v>
      </c>
      <c r="H1664">
        <v>198</v>
      </c>
      <c r="I1664" s="2">
        <f t="shared" si="75"/>
        <v>69.113087999999991</v>
      </c>
      <c r="J1664">
        <f t="shared" si="76"/>
        <v>2.5798091825307949</v>
      </c>
      <c r="K1664">
        <f t="shared" si="77"/>
        <v>1.8049905458344213</v>
      </c>
    </row>
    <row r="1665" spans="1:11" x14ac:dyDescent="0.25">
      <c r="A1665" s="1">
        <v>2002</v>
      </c>
      <c r="B1665" s="1" t="s">
        <v>99</v>
      </c>
      <c r="C1665" t="s">
        <v>9</v>
      </c>
      <c r="D1665" s="1" t="s">
        <v>3</v>
      </c>
      <c r="E1665">
        <v>79</v>
      </c>
      <c r="F1665" s="1" t="s">
        <v>101</v>
      </c>
      <c r="G1665">
        <v>10</v>
      </c>
      <c r="H1665">
        <v>180</v>
      </c>
      <c r="I1665" s="2">
        <f t="shared" si="75"/>
        <v>98.171999999999997</v>
      </c>
      <c r="J1665">
        <f t="shared" si="76"/>
        <v>3.6645016797312429</v>
      </c>
      <c r="K1665">
        <f t="shared" si="77"/>
        <v>2.563907025332985</v>
      </c>
    </row>
    <row r="1666" spans="1:11" x14ac:dyDescent="0.25">
      <c r="A1666" s="1">
        <v>2002</v>
      </c>
      <c r="B1666" s="1" t="s">
        <v>99</v>
      </c>
      <c r="C1666" t="s">
        <v>9</v>
      </c>
      <c r="D1666" s="1" t="s">
        <v>3</v>
      </c>
      <c r="E1666">
        <v>79</v>
      </c>
      <c r="F1666" s="1" t="s">
        <v>101</v>
      </c>
      <c r="G1666">
        <v>12</v>
      </c>
      <c r="H1666">
        <v>158</v>
      </c>
      <c r="I1666" s="2">
        <f t="shared" si="75"/>
        <v>124.08940799999999</v>
      </c>
      <c r="J1666">
        <f t="shared" si="76"/>
        <v>4.6319301231802914</v>
      </c>
      <c r="K1666">
        <f t="shared" si="77"/>
        <v>3.240778480020893</v>
      </c>
    </row>
    <row r="1667" spans="1:11" x14ac:dyDescent="0.25">
      <c r="A1667" s="1">
        <v>2002</v>
      </c>
      <c r="B1667" s="1" t="s">
        <v>99</v>
      </c>
      <c r="C1667" t="s">
        <v>9</v>
      </c>
      <c r="D1667" s="1" t="s">
        <v>3</v>
      </c>
      <c r="E1667">
        <v>79</v>
      </c>
      <c r="F1667" s="1" t="s">
        <v>101</v>
      </c>
      <c r="G1667">
        <v>14</v>
      </c>
      <c r="H1667">
        <v>123</v>
      </c>
      <c r="I1667" s="2">
        <f t="shared" ref="I1667:I1730" si="78">0.005454*G1667^2*H1667</f>
        <v>131.48503199999999</v>
      </c>
      <c r="J1667">
        <f t="shared" ref="J1667:J1730" si="79">I1667/26.79</f>
        <v>4.9079892497200444</v>
      </c>
      <c r="K1667">
        <f t="shared" ref="K1667:K1730" si="80">J1667*(26.79/38.29)</f>
        <v>3.4339261425959777</v>
      </c>
    </row>
    <row r="1668" spans="1:11" x14ac:dyDescent="0.25">
      <c r="A1668" s="1">
        <v>2002</v>
      </c>
      <c r="B1668" s="1" t="s">
        <v>99</v>
      </c>
      <c r="C1668" t="s">
        <v>9</v>
      </c>
      <c r="D1668" s="1" t="s">
        <v>3</v>
      </c>
      <c r="E1668">
        <v>79</v>
      </c>
      <c r="F1668" s="1" t="s">
        <v>101</v>
      </c>
      <c r="G1668">
        <v>16</v>
      </c>
      <c r="H1668">
        <v>74</v>
      </c>
      <c r="I1668" s="2">
        <f t="shared" si="78"/>
        <v>103.32057599999999</v>
      </c>
      <c r="J1668">
        <f t="shared" si="79"/>
        <v>3.8566844344904814</v>
      </c>
      <c r="K1668">
        <f t="shared" si="80"/>
        <v>2.6983697048837816</v>
      </c>
    </row>
    <row r="1669" spans="1:11" x14ac:dyDescent="0.25">
      <c r="A1669" s="1">
        <v>2002</v>
      </c>
      <c r="B1669" s="1" t="s">
        <v>99</v>
      </c>
      <c r="C1669" t="s">
        <v>9</v>
      </c>
      <c r="D1669" s="1" t="s">
        <v>3</v>
      </c>
      <c r="E1669">
        <v>79</v>
      </c>
      <c r="F1669" s="1" t="s">
        <v>101</v>
      </c>
      <c r="G1669">
        <v>18</v>
      </c>
      <c r="H1669">
        <v>40</v>
      </c>
      <c r="I1669" s="2">
        <f t="shared" si="78"/>
        <v>70.683839999999989</v>
      </c>
      <c r="J1669">
        <f t="shared" si="79"/>
        <v>2.6384412094064946</v>
      </c>
      <c r="K1669">
        <f t="shared" si="80"/>
        <v>1.8460130582397489</v>
      </c>
    </row>
    <row r="1670" spans="1:11" x14ac:dyDescent="0.25">
      <c r="A1670" s="1">
        <v>2002</v>
      </c>
      <c r="B1670" s="1" t="s">
        <v>99</v>
      </c>
      <c r="C1670" t="s">
        <v>9</v>
      </c>
      <c r="D1670" s="1" t="s">
        <v>3</v>
      </c>
      <c r="E1670">
        <v>79</v>
      </c>
      <c r="F1670" s="1" t="s">
        <v>101</v>
      </c>
      <c r="G1670">
        <v>20</v>
      </c>
      <c r="H1670">
        <v>21</v>
      </c>
      <c r="I1670" s="2">
        <f t="shared" si="78"/>
        <v>45.813600000000001</v>
      </c>
      <c r="J1670">
        <f t="shared" si="79"/>
        <v>1.7101007838745801</v>
      </c>
      <c r="K1670">
        <f t="shared" si="80"/>
        <v>1.196489945155393</v>
      </c>
    </row>
    <row r="1671" spans="1:11" x14ac:dyDescent="0.25">
      <c r="A1671" s="1">
        <v>2002</v>
      </c>
      <c r="B1671" s="1" t="s">
        <v>99</v>
      </c>
      <c r="C1671" t="s">
        <v>9</v>
      </c>
      <c r="D1671" s="1" t="s">
        <v>3</v>
      </c>
      <c r="E1671">
        <v>79</v>
      </c>
      <c r="F1671" s="1" t="s">
        <v>101</v>
      </c>
      <c r="G1671">
        <v>22</v>
      </c>
      <c r="H1671">
        <v>2</v>
      </c>
      <c r="I1671" s="2">
        <f t="shared" si="78"/>
        <v>5.2794719999999993</v>
      </c>
      <c r="J1671">
        <f t="shared" si="79"/>
        <v>0.19706875699888016</v>
      </c>
      <c r="K1671">
        <f t="shared" si="80"/>
        <v>0.1378812222512405</v>
      </c>
    </row>
    <row r="1672" spans="1:11" x14ac:dyDescent="0.25">
      <c r="A1672" s="1">
        <v>2002</v>
      </c>
      <c r="B1672" s="1" t="s">
        <v>99</v>
      </c>
      <c r="C1672" t="s">
        <v>9</v>
      </c>
      <c r="D1672" s="1" t="s">
        <v>3</v>
      </c>
      <c r="E1672">
        <v>79</v>
      </c>
      <c r="F1672" s="1" t="s">
        <v>101</v>
      </c>
      <c r="G1672">
        <v>24</v>
      </c>
      <c r="H1672">
        <v>1</v>
      </c>
      <c r="I1672" s="2">
        <f t="shared" si="78"/>
        <v>3.1415039999999999</v>
      </c>
      <c r="J1672">
        <f t="shared" si="79"/>
        <v>0.11726405375139977</v>
      </c>
      <c r="K1672">
        <f t="shared" si="80"/>
        <v>8.2045024810655509E-2</v>
      </c>
    </row>
    <row r="1673" spans="1:11" x14ac:dyDescent="0.25">
      <c r="A1673" s="1">
        <v>2002</v>
      </c>
      <c r="B1673" s="1" t="s">
        <v>99</v>
      </c>
      <c r="C1673" t="s">
        <v>9</v>
      </c>
      <c r="D1673" s="1" t="s">
        <v>3</v>
      </c>
      <c r="E1673">
        <v>84</v>
      </c>
      <c r="F1673" s="1" t="s">
        <v>101</v>
      </c>
      <c r="G1673">
        <v>6</v>
      </c>
      <c r="H1673">
        <v>1</v>
      </c>
      <c r="I1673" s="2">
        <f t="shared" si="78"/>
        <v>0.19634399999999999</v>
      </c>
      <c r="J1673">
        <f t="shared" si="79"/>
        <v>7.3290033594624856E-3</v>
      </c>
      <c r="K1673">
        <f t="shared" si="80"/>
        <v>5.1278140506659693E-3</v>
      </c>
    </row>
    <row r="1674" spans="1:11" x14ac:dyDescent="0.25">
      <c r="A1674" s="1">
        <v>2002</v>
      </c>
      <c r="B1674" s="1" t="s">
        <v>99</v>
      </c>
      <c r="C1674" t="s">
        <v>9</v>
      </c>
      <c r="D1674" s="1" t="s">
        <v>3</v>
      </c>
      <c r="E1674">
        <v>85</v>
      </c>
      <c r="F1674" s="1" t="s">
        <v>101</v>
      </c>
      <c r="G1674">
        <v>6</v>
      </c>
      <c r="H1674">
        <v>4</v>
      </c>
      <c r="I1674" s="2">
        <f t="shared" si="78"/>
        <v>0.78537599999999996</v>
      </c>
      <c r="J1674">
        <f t="shared" si="79"/>
        <v>2.9316013437849942E-2</v>
      </c>
      <c r="K1674">
        <f t="shared" si="80"/>
        <v>2.0511256202663877E-2</v>
      </c>
    </row>
    <row r="1675" spans="1:11" x14ac:dyDescent="0.25">
      <c r="A1675" s="1">
        <v>2002</v>
      </c>
      <c r="B1675" s="1" t="s">
        <v>99</v>
      </c>
      <c r="C1675" t="s">
        <v>9</v>
      </c>
      <c r="D1675" s="1" t="s">
        <v>3</v>
      </c>
      <c r="E1675">
        <v>85</v>
      </c>
      <c r="F1675" s="1" t="s">
        <v>101</v>
      </c>
      <c r="G1675">
        <v>12</v>
      </c>
      <c r="H1675">
        <v>8</v>
      </c>
      <c r="I1675" s="2">
        <f t="shared" si="78"/>
        <v>6.2830079999999997</v>
      </c>
      <c r="J1675">
        <f t="shared" si="79"/>
        <v>0.23452810750279954</v>
      </c>
      <c r="K1675">
        <f t="shared" si="80"/>
        <v>0.16409004962131102</v>
      </c>
    </row>
    <row r="1676" spans="1:11" x14ac:dyDescent="0.25">
      <c r="A1676" s="1">
        <v>2002</v>
      </c>
      <c r="B1676" s="1" t="s">
        <v>99</v>
      </c>
      <c r="C1676" t="s">
        <v>9</v>
      </c>
      <c r="D1676" s="1" t="s">
        <v>3</v>
      </c>
      <c r="E1676">
        <v>85</v>
      </c>
      <c r="F1676" s="1" t="s">
        <v>101</v>
      </c>
      <c r="G1676">
        <v>14</v>
      </c>
      <c r="H1676">
        <v>7</v>
      </c>
      <c r="I1676" s="2">
        <f t="shared" si="78"/>
        <v>7.4828879999999991</v>
      </c>
      <c r="J1676">
        <f t="shared" si="79"/>
        <v>0.27931646136618138</v>
      </c>
      <c r="K1676">
        <f t="shared" si="80"/>
        <v>0.19542669104204749</v>
      </c>
    </row>
    <row r="1677" spans="1:11" x14ac:dyDescent="0.25">
      <c r="A1677" s="1">
        <v>2002</v>
      </c>
      <c r="B1677" s="1" t="s">
        <v>99</v>
      </c>
      <c r="C1677" t="s">
        <v>9</v>
      </c>
      <c r="D1677" s="1" t="s">
        <v>3</v>
      </c>
      <c r="E1677">
        <v>85</v>
      </c>
      <c r="F1677" s="1" t="s">
        <v>101</v>
      </c>
      <c r="G1677">
        <v>16</v>
      </c>
      <c r="H1677">
        <v>11</v>
      </c>
      <c r="I1677" s="2">
        <f t="shared" si="78"/>
        <v>15.358464</v>
      </c>
      <c r="J1677">
        <f t="shared" si="79"/>
        <v>0.57329092945128779</v>
      </c>
      <c r="K1677">
        <f t="shared" si="80"/>
        <v>0.401109010185427</v>
      </c>
    </row>
    <row r="1678" spans="1:11" x14ac:dyDescent="0.25">
      <c r="A1678" s="1">
        <v>2002</v>
      </c>
      <c r="B1678" s="1" t="s">
        <v>99</v>
      </c>
      <c r="C1678" t="s">
        <v>9</v>
      </c>
      <c r="D1678" s="1" t="s">
        <v>3</v>
      </c>
      <c r="E1678">
        <v>85</v>
      </c>
      <c r="F1678" s="1" t="s">
        <v>101</v>
      </c>
      <c r="G1678">
        <v>18</v>
      </c>
      <c r="H1678">
        <v>17</v>
      </c>
      <c r="I1678" s="2">
        <f t="shared" si="78"/>
        <v>30.040631999999995</v>
      </c>
      <c r="J1678">
        <f t="shared" si="79"/>
        <v>1.1213375139977602</v>
      </c>
      <c r="K1678">
        <f t="shared" si="80"/>
        <v>0.78455554975189323</v>
      </c>
    </row>
    <row r="1679" spans="1:11" x14ac:dyDescent="0.25">
      <c r="A1679" s="1">
        <v>2002</v>
      </c>
      <c r="B1679" s="1" t="s">
        <v>99</v>
      </c>
      <c r="C1679" t="s">
        <v>9</v>
      </c>
      <c r="D1679" s="1" t="s">
        <v>3</v>
      </c>
      <c r="E1679">
        <v>85</v>
      </c>
      <c r="F1679" s="1" t="s">
        <v>101</v>
      </c>
      <c r="G1679">
        <v>20</v>
      </c>
      <c r="H1679">
        <v>1</v>
      </c>
      <c r="I1679" s="2">
        <f t="shared" si="78"/>
        <v>2.1816</v>
      </c>
      <c r="J1679">
        <f t="shared" si="79"/>
        <v>8.1433370660694296E-2</v>
      </c>
      <c r="K1679">
        <f t="shared" si="80"/>
        <v>5.6975711674066336E-2</v>
      </c>
    </row>
    <row r="1680" spans="1:11" x14ac:dyDescent="0.25">
      <c r="A1680" s="1">
        <v>2002</v>
      </c>
      <c r="B1680" s="1" t="s">
        <v>99</v>
      </c>
      <c r="C1680" t="s">
        <v>9</v>
      </c>
      <c r="D1680" s="1" t="s">
        <v>3</v>
      </c>
      <c r="E1680">
        <v>88</v>
      </c>
      <c r="F1680" s="1" t="s">
        <v>101</v>
      </c>
      <c r="G1680">
        <v>6</v>
      </c>
      <c r="H1680">
        <v>1</v>
      </c>
      <c r="I1680" s="2">
        <f t="shared" si="78"/>
        <v>0.19634399999999999</v>
      </c>
      <c r="J1680">
        <f t="shared" si="79"/>
        <v>7.3290033594624856E-3</v>
      </c>
      <c r="K1680">
        <f t="shared" si="80"/>
        <v>5.1278140506659693E-3</v>
      </c>
    </row>
    <row r="1681" spans="1:11" x14ac:dyDescent="0.25">
      <c r="A1681" s="1">
        <v>2002</v>
      </c>
      <c r="B1681" s="1" t="s">
        <v>99</v>
      </c>
      <c r="C1681" t="s">
        <v>9</v>
      </c>
      <c r="D1681" s="1" t="s">
        <v>3</v>
      </c>
      <c r="E1681">
        <v>88</v>
      </c>
      <c r="F1681" s="1" t="s">
        <v>101</v>
      </c>
      <c r="G1681">
        <v>8</v>
      </c>
      <c r="H1681">
        <v>1</v>
      </c>
      <c r="I1681" s="2">
        <f t="shared" si="78"/>
        <v>0.34905599999999998</v>
      </c>
      <c r="J1681">
        <f t="shared" si="79"/>
        <v>1.3029339305711086E-2</v>
      </c>
      <c r="K1681">
        <f t="shared" si="80"/>
        <v>9.1161138678506129E-3</v>
      </c>
    </row>
    <row r="1682" spans="1:11" x14ac:dyDescent="0.25">
      <c r="A1682" s="1">
        <v>2002</v>
      </c>
      <c r="B1682" s="1" t="s">
        <v>99</v>
      </c>
      <c r="C1682" t="s">
        <v>9</v>
      </c>
      <c r="D1682" s="1" t="s">
        <v>3</v>
      </c>
      <c r="E1682">
        <v>88</v>
      </c>
      <c r="F1682" s="1" t="s">
        <v>101</v>
      </c>
      <c r="G1682">
        <v>10</v>
      </c>
      <c r="H1682">
        <v>3</v>
      </c>
      <c r="I1682" s="2">
        <f t="shared" si="78"/>
        <v>1.6362000000000001</v>
      </c>
      <c r="J1682">
        <f t="shared" si="79"/>
        <v>6.1075027995520725E-2</v>
      </c>
      <c r="K1682">
        <f t="shared" si="80"/>
        <v>4.2731783755549757E-2</v>
      </c>
    </row>
    <row r="1683" spans="1:11" x14ac:dyDescent="0.25">
      <c r="A1683" s="1">
        <v>2002</v>
      </c>
      <c r="B1683" s="1" t="s">
        <v>99</v>
      </c>
      <c r="C1683" t="s">
        <v>9</v>
      </c>
      <c r="D1683" s="1" t="s">
        <v>3</v>
      </c>
      <c r="E1683">
        <v>88</v>
      </c>
      <c r="F1683" s="1" t="s">
        <v>101</v>
      </c>
      <c r="G1683">
        <v>12</v>
      </c>
      <c r="H1683">
        <v>1</v>
      </c>
      <c r="I1683" s="2">
        <f t="shared" si="78"/>
        <v>0.78537599999999996</v>
      </c>
      <c r="J1683">
        <f t="shared" si="79"/>
        <v>2.9316013437849942E-2</v>
      </c>
      <c r="K1683">
        <f t="shared" si="80"/>
        <v>2.0511256202663877E-2</v>
      </c>
    </row>
    <row r="1684" spans="1:11" x14ac:dyDescent="0.25">
      <c r="A1684" s="1">
        <v>2002</v>
      </c>
      <c r="B1684" s="1" t="s">
        <v>99</v>
      </c>
      <c r="C1684" t="s">
        <v>9</v>
      </c>
      <c r="D1684" s="1" t="s">
        <v>3</v>
      </c>
      <c r="E1684">
        <v>91</v>
      </c>
      <c r="F1684" s="1" t="s">
        <v>101</v>
      </c>
      <c r="G1684">
        <v>6</v>
      </c>
      <c r="H1684">
        <v>5</v>
      </c>
      <c r="I1684" s="2">
        <f t="shared" si="78"/>
        <v>0.98171999999999993</v>
      </c>
      <c r="J1684">
        <f t="shared" si="79"/>
        <v>3.6645016797312427E-2</v>
      </c>
      <c r="K1684">
        <f t="shared" si="80"/>
        <v>2.5639070253329847E-2</v>
      </c>
    </row>
    <row r="1685" spans="1:11" x14ac:dyDescent="0.25">
      <c r="A1685" s="1">
        <v>2002</v>
      </c>
      <c r="B1685" s="1" t="s">
        <v>99</v>
      </c>
      <c r="C1685" t="s">
        <v>9</v>
      </c>
      <c r="D1685" s="1" t="s">
        <v>3</v>
      </c>
      <c r="E1685">
        <v>91</v>
      </c>
      <c r="F1685" s="1" t="s">
        <v>101</v>
      </c>
      <c r="G1685">
        <v>8</v>
      </c>
      <c r="H1685">
        <v>4</v>
      </c>
      <c r="I1685" s="2">
        <f t="shared" si="78"/>
        <v>1.3962239999999999</v>
      </c>
      <c r="J1685">
        <f t="shared" si="79"/>
        <v>5.2117357222844343E-2</v>
      </c>
      <c r="K1685">
        <f t="shared" si="80"/>
        <v>3.6464455471402452E-2</v>
      </c>
    </row>
    <row r="1686" spans="1:11" x14ac:dyDescent="0.25">
      <c r="A1686" s="1">
        <v>2002</v>
      </c>
      <c r="B1686" s="1" t="s">
        <v>99</v>
      </c>
      <c r="C1686" t="s">
        <v>9</v>
      </c>
      <c r="D1686" s="1" t="s">
        <v>3</v>
      </c>
      <c r="E1686">
        <v>91</v>
      </c>
      <c r="F1686" s="1" t="s">
        <v>101</v>
      </c>
      <c r="G1686">
        <v>10</v>
      </c>
      <c r="H1686">
        <v>9</v>
      </c>
      <c r="I1686" s="2">
        <f t="shared" si="78"/>
        <v>4.9085999999999999</v>
      </c>
      <c r="J1686">
        <f t="shared" si="79"/>
        <v>0.18322508398656215</v>
      </c>
      <c r="K1686">
        <f t="shared" si="80"/>
        <v>0.12819535126664924</v>
      </c>
    </row>
    <row r="1687" spans="1:11" x14ac:dyDescent="0.25">
      <c r="A1687" s="1">
        <v>2002</v>
      </c>
      <c r="B1687" s="1" t="s">
        <v>99</v>
      </c>
      <c r="C1687" t="s">
        <v>9</v>
      </c>
      <c r="D1687" s="1" t="s">
        <v>3</v>
      </c>
      <c r="E1687">
        <v>91</v>
      </c>
      <c r="F1687" s="1" t="s">
        <v>101</v>
      </c>
      <c r="G1687">
        <v>12</v>
      </c>
      <c r="H1687">
        <v>3</v>
      </c>
      <c r="I1687" s="2">
        <f t="shared" si="78"/>
        <v>2.356128</v>
      </c>
      <c r="J1687">
        <f t="shared" si="79"/>
        <v>8.794804031354983E-2</v>
      </c>
      <c r="K1687">
        <f t="shared" si="80"/>
        <v>6.1533768607991639E-2</v>
      </c>
    </row>
    <row r="1688" spans="1:11" x14ac:dyDescent="0.25">
      <c r="A1688" s="1">
        <v>2002</v>
      </c>
      <c r="B1688" s="1" t="s">
        <v>99</v>
      </c>
      <c r="C1688" t="s">
        <v>9</v>
      </c>
      <c r="D1688" s="1" t="s">
        <v>3</v>
      </c>
      <c r="E1688">
        <v>91</v>
      </c>
      <c r="F1688" s="1" t="s">
        <v>101</v>
      </c>
      <c r="G1688">
        <v>14</v>
      </c>
      <c r="H1688">
        <v>2</v>
      </c>
      <c r="I1688" s="2">
        <f t="shared" si="78"/>
        <v>2.1379679999999999</v>
      </c>
      <c r="J1688">
        <f t="shared" si="79"/>
        <v>7.9804703247480402E-2</v>
      </c>
      <c r="K1688">
        <f t="shared" si="80"/>
        <v>5.5836197440585003E-2</v>
      </c>
    </row>
    <row r="1689" spans="1:11" x14ac:dyDescent="0.25">
      <c r="A1689" s="1">
        <v>2002</v>
      </c>
      <c r="B1689" s="1" t="s">
        <v>99</v>
      </c>
      <c r="C1689" t="s">
        <v>9</v>
      </c>
      <c r="D1689" s="1" t="s">
        <v>3</v>
      </c>
      <c r="E1689">
        <v>91</v>
      </c>
      <c r="F1689" s="1" t="s">
        <v>101</v>
      </c>
      <c r="G1689">
        <v>16</v>
      </c>
      <c r="H1689">
        <v>4</v>
      </c>
      <c r="I1689" s="2">
        <f t="shared" si="78"/>
        <v>5.5848959999999996</v>
      </c>
      <c r="J1689">
        <f t="shared" si="79"/>
        <v>0.20846942889137737</v>
      </c>
      <c r="K1689">
        <f t="shared" si="80"/>
        <v>0.14585782188560981</v>
      </c>
    </row>
    <row r="1690" spans="1:11" x14ac:dyDescent="0.25">
      <c r="A1690" s="1">
        <v>2002</v>
      </c>
      <c r="B1690" s="1" t="s">
        <v>99</v>
      </c>
      <c r="C1690" t="s">
        <v>9</v>
      </c>
      <c r="D1690" s="1" t="s">
        <v>3</v>
      </c>
      <c r="E1690">
        <v>91</v>
      </c>
      <c r="F1690" s="1" t="s">
        <v>101</v>
      </c>
      <c r="G1690">
        <v>18</v>
      </c>
      <c r="H1690">
        <v>6</v>
      </c>
      <c r="I1690" s="2">
        <f t="shared" si="78"/>
        <v>10.602575999999999</v>
      </c>
      <c r="J1690">
        <f t="shared" si="79"/>
        <v>0.39576618141097425</v>
      </c>
      <c r="K1690">
        <f t="shared" si="80"/>
        <v>0.27690195873596235</v>
      </c>
    </row>
    <row r="1691" spans="1:11" x14ac:dyDescent="0.25">
      <c r="A1691" s="1">
        <v>2002</v>
      </c>
      <c r="B1691" s="1" t="s">
        <v>99</v>
      </c>
      <c r="C1691" t="s">
        <v>9</v>
      </c>
      <c r="D1691" s="1" t="s">
        <v>3</v>
      </c>
      <c r="E1691">
        <v>91</v>
      </c>
      <c r="F1691" s="1" t="s">
        <v>101</v>
      </c>
      <c r="G1691">
        <v>20</v>
      </c>
      <c r="H1691">
        <v>3</v>
      </c>
      <c r="I1691" s="2">
        <f t="shared" si="78"/>
        <v>6.5448000000000004</v>
      </c>
      <c r="J1691">
        <f t="shared" si="79"/>
        <v>0.2443001119820829</v>
      </c>
      <c r="K1691">
        <f t="shared" si="80"/>
        <v>0.17092713502219903</v>
      </c>
    </row>
    <row r="1692" spans="1:11" x14ac:dyDescent="0.25">
      <c r="A1692" s="1">
        <v>2002</v>
      </c>
      <c r="B1692" s="1" t="s">
        <v>99</v>
      </c>
      <c r="C1692" t="s">
        <v>9</v>
      </c>
      <c r="D1692" s="1" t="s">
        <v>5</v>
      </c>
      <c r="E1692">
        <v>27</v>
      </c>
      <c r="F1692" s="1" t="s">
        <v>101</v>
      </c>
      <c r="G1692">
        <v>6</v>
      </c>
      <c r="H1692">
        <v>1</v>
      </c>
      <c r="I1692" s="2">
        <f t="shared" si="78"/>
        <v>0.19634399999999999</v>
      </c>
      <c r="J1692">
        <f t="shared" si="79"/>
        <v>7.3290033594624856E-3</v>
      </c>
      <c r="K1692">
        <f t="shared" si="80"/>
        <v>5.1278140506659693E-3</v>
      </c>
    </row>
    <row r="1693" spans="1:11" x14ac:dyDescent="0.25">
      <c r="A1693" s="1">
        <v>2002</v>
      </c>
      <c r="B1693" s="1" t="s">
        <v>99</v>
      </c>
      <c r="C1693" t="s">
        <v>9</v>
      </c>
      <c r="D1693" s="1" t="s">
        <v>5</v>
      </c>
      <c r="E1693">
        <v>29</v>
      </c>
      <c r="F1693" s="1" t="s">
        <v>101</v>
      </c>
      <c r="G1693">
        <v>6</v>
      </c>
      <c r="H1693">
        <v>3</v>
      </c>
      <c r="I1693" s="2">
        <f t="shared" si="78"/>
        <v>0.589032</v>
      </c>
      <c r="J1693">
        <f t="shared" si="79"/>
        <v>2.1987010078387458E-2</v>
      </c>
      <c r="K1693">
        <f t="shared" si="80"/>
        <v>1.538344215199791E-2</v>
      </c>
    </row>
    <row r="1694" spans="1:11" x14ac:dyDescent="0.25">
      <c r="A1694" s="1">
        <v>2002</v>
      </c>
      <c r="B1694" s="1" t="s">
        <v>99</v>
      </c>
      <c r="C1694" t="s">
        <v>9</v>
      </c>
      <c r="D1694" s="1" t="s">
        <v>5</v>
      </c>
      <c r="E1694">
        <v>29</v>
      </c>
      <c r="F1694" s="1" t="s">
        <v>101</v>
      </c>
      <c r="G1694">
        <v>8</v>
      </c>
      <c r="H1694">
        <v>1</v>
      </c>
      <c r="I1694" s="2">
        <f t="shared" si="78"/>
        <v>0.34905599999999998</v>
      </c>
      <c r="J1694">
        <f t="shared" si="79"/>
        <v>1.3029339305711086E-2</v>
      </c>
      <c r="K1694">
        <f t="shared" si="80"/>
        <v>9.1161138678506129E-3</v>
      </c>
    </row>
    <row r="1695" spans="1:11" x14ac:dyDescent="0.25">
      <c r="A1695" s="1">
        <v>2002</v>
      </c>
      <c r="B1695" s="1" t="s">
        <v>99</v>
      </c>
      <c r="C1695" t="s">
        <v>9</v>
      </c>
      <c r="D1695" s="1" t="s">
        <v>5</v>
      </c>
      <c r="E1695">
        <v>32</v>
      </c>
      <c r="F1695" s="1" t="s">
        <v>101</v>
      </c>
      <c r="G1695">
        <v>6</v>
      </c>
      <c r="H1695">
        <v>10</v>
      </c>
      <c r="I1695" s="2">
        <f t="shared" si="78"/>
        <v>1.9634399999999999</v>
      </c>
      <c r="J1695">
        <f t="shared" si="79"/>
        <v>7.3290033594624854E-2</v>
      </c>
      <c r="K1695">
        <f t="shared" si="80"/>
        <v>5.1278140506659693E-2</v>
      </c>
    </row>
    <row r="1696" spans="1:11" x14ac:dyDescent="0.25">
      <c r="A1696" s="1">
        <v>2002</v>
      </c>
      <c r="B1696" s="1" t="s">
        <v>99</v>
      </c>
      <c r="C1696" t="s">
        <v>9</v>
      </c>
      <c r="D1696" s="1" t="s">
        <v>5</v>
      </c>
      <c r="E1696">
        <v>32</v>
      </c>
      <c r="F1696" s="1" t="s">
        <v>101</v>
      </c>
      <c r="G1696">
        <v>8</v>
      </c>
      <c r="H1696">
        <v>3</v>
      </c>
      <c r="I1696" s="2">
        <f t="shared" si="78"/>
        <v>1.0471679999999999</v>
      </c>
      <c r="J1696">
        <f t="shared" si="79"/>
        <v>3.9088017917133254E-2</v>
      </c>
      <c r="K1696">
        <f t="shared" si="80"/>
        <v>2.7348341603551835E-2</v>
      </c>
    </row>
    <row r="1697" spans="1:11" x14ac:dyDescent="0.25">
      <c r="A1697" s="1">
        <v>2002</v>
      </c>
      <c r="B1697" s="1" t="s">
        <v>99</v>
      </c>
      <c r="C1697" t="s">
        <v>9</v>
      </c>
      <c r="D1697" s="1" t="s">
        <v>5</v>
      </c>
      <c r="E1697">
        <v>32</v>
      </c>
      <c r="F1697" s="1" t="s">
        <v>101</v>
      </c>
      <c r="G1697">
        <v>10</v>
      </c>
      <c r="H1697">
        <v>2</v>
      </c>
      <c r="I1697" s="2">
        <f t="shared" si="78"/>
        <v>1.0908</v>
      </c>
      <c r="J1697">
        <f t="shared" si="79"/>
        <v>4.0716685330347148E-2</v>
      </c>
      <c r="K1697">
        <f t="shared" si="80"/>
        <v>2.8487855837033168E-2</v>
      </c>
    </row>
    <row r="1698" spans="1:11" x14ac:dyDescent="0.25">
      <c r="A1698" s="1">
        <v>2002</v>
      </c>
      <c r="B1698" s="1" t="s">
        <v>99</v>
      </c>
      <c r="C1698" t="s">
        <v>9</v>
      </c>
      <c r="D1698" s="1" t="s">
        <v>5</v>
      </c>
      <c r="E1698">
        <v>32</v>
      </c>
      <c r="F1698" s="1" t="s">
        <v>101</v>
      </c>
      <c r="G1698">
        <v>12</v>
      </c>
      <c r="H1698">
        <v>4</v>
      </c>
      <c r="I1698" s="2">
        <f t="shared" si="78"/>
        <v>3.1415039999999999</v>
      </c>
      <c r="J1698">
        <f t="shared" si="79"/>
        <v>0.11726405375139977</v>
      </c>
      <c r="K1698">
        <f t="shared" si="80"/>
        <v>8.2045024810655509E-2</v>
      </c>
    </row>
    <row r="1699" spans="1:11" x14ac:dyDescent="0.25">
      <c r="A1699" s="1">
        <v>2002</v>
      </c>
      <c r="B1699" s="1" t="s">
        <v>99</v>
      </c>
      <c r="C1699" t="s">
        <v>9</v>
      </c>
      <c r="D1699" s="1" t="s">
        <v>5</v>
      </c>
      <c r="E1699">
        <v>32</v>
      </c>
      <c r="F1699" s="1" t="s">
        <v>101</v>
      </c>
      <c r="G1699">
        <v>16</v>
      </c>
      <c r="H1699">
        <v>1</v>
      </c>
      <c r="I1699" s="2">
        <f t="shared" si="78"/>
        <v>1.3962239999999999</v>
      </c>
      <c r="J1699">
        <f t="shared" si="79"/>
        <v>5.2117357222844343E-2</v>
      </c>
      <c r="K1699">
        <f t="shared" si="80"/>
        <v>3.6464455471402452E-2</v>
      </c>
    </row>
    <row r="1700" spans="1:11" x14ac:dyDescent="0.25">
      <c r="A1700" s="1">
        <v>2002</v>
      </c>
      <c r="B1700" s="1" t="s">
        <v>99</v>
      </c>
      <c r="C1700" t="s">
        <v>9</v>
      </c>
      <c r="D1700" s="1" t="s">
        <v>5</v>
      </c>
      <c r="E1700">
        <v>32</v>
      </c>
      <c r="F1700" s="1" t="s">
        <v>101</v>
      </c>
      <c r="G1700">
        <v>18</v>
      </c>
      <c r="H1700">
        <v>1</v>
      </c>
      <c r="I1700" s="2">
        <f t="shared" si="78"/>
        <v>1.7670959999999998</v>
      </c>
      <c r="J1700">
        <f t="shared" si="79"/>
        <v>6.5961030235162366E-2</v>
      </c>
      <c r="K1700">
        <f t="shared" si="80"/>
        <v>4.615032645599372E-2</v>
      </c>
    </row>
    <row r="1701" spans="1:11" x14ac:dyDescent="0.25">
      <c r="A1701" s="1">
        <v>2002</v>
      </c>
      <c r="B1701" s="1" t="s">
        <v>99</v>
      </c>
      <c r="C1701" t="s">
        <v>9</v>
      </c>
      <c r="D1701" s="1" t="s">
        <v>5</v>
      </c>
      <c r="E1701">
        <v>32</v>
      </c>
      <c r="F1701" s="1" t="s">
        <v>101</v>
      </c>
      <c r="G1701">
        <v>20</v>
      </c>
      <c r="H1701">
        <v>1</v>
      </c>
      <c r="I1701" s="2">
        <f t="shared" si="78"/>
        <v>2.1816</v>
      </c>
      <c r="J1701">
        <f t="shared" si="79"/>
        <v>8.1433370660694296E-2</v>
      </c>
      <c r="K1701">
        <f t="shared" si="80"/>
        <v>5.6975711674066336E-2</v>
      </c>
    </row>
    <row r="1702" spans="1:11" x14ac:dyDescent="0.25">
      <c r="A1702" s="1">
        <v>2002</v>
      </c>
      <c r="B1702" s="1" t="s">
        <v>99</v>
      </c>
      <c r="C1702" t="s">
        <v>9</v>
      </c>
      <c r="D1702" s="1" t="s">
        <v>5</v>
      </c>
      <c r="E1702">
        <v>38</v>
      </c>
      <c r="F1702" s="1" t="s">
        <v>101</v>
      </c>
      <c r="G1702">
        <v>6</v>
      </c>
      <c r="H1702">
        <v>2</v>
      </c>
      <c r="I1702" s="2">
        <f t="shared" si="78"/>
        <v>0.39268799999999998</v>
      </c>
      <c r="J1702">
        <f t="shared" si="79"/>
        <v>1.4658006718924971E-2</v>
      </c>
      <c r="K1702">
        <f t="shared" si="80"/>
        <v>1.0255628101331939E-2</v>
      </c>
    </row>
    <row r="1703" spans="1:11" x14ac:dyDescent="0.25">
      <c r="A1703" s="1">
        <v>2002</v>
      </c>
      <c r="B1703" s="1" t="s">
        <v>99</v>
      </c>
      <c r="C1703" t="s">
        <v>9</v>
      </c>
      <c r="D1703" s="1" t="s">
        <v>5</v>
      </c>
      <c r="E1703">
        <v>40</v>
      </c>
      <c r="F1703" s="1" t="s">
        <v>101</v>
      </c>
      <c r="G1703">
        <v>6</v>
      </c>
      <c r="H1703">
        <v>1</v>
      </c>
      <c r="I1703" s="2">
        <f t="shared" si="78"/>
        <v>0.19634399999999999</v>
      </c>
      <c r="J1703">
        <f t="shared" si="79"/>
        <v>7.3290033594624856E-3</v>
      </c>
      <c r="K1703">
        <f t="shared" si="80"/>
        <v>5.1278140506659693E-3</v>
      </c>
    </row>
    <row r="1704" spans="1:11" x14ac:dyDescent="0.25">
      <c r="A1704" s="1">
        <v>2002</v>
      </c>
      <c r="B1704" s="1" t="s">
        <v>99</v>
      </c>
      <c r="C1704" t="s">
        <v>9</v>
      </c>
      <c r="D1704" s="1" t="s">
        <v>5</v>
      </c>
      <c r="E1704">
        <v>40</v>
      </c>
      <c r="F1704" s="1" t="s">
        <v>101</v>
      </c>
      <c r="G1704">
        <v>8</v>
      </c>
      <c r="H1704">
        <v>2</v>
      </c>
      <c r="I1704" s="2">
        <f t="shared" si="78"/>
        <v>0.69811199999999995</v>
      </c>
      <c r="J1704">
        <f t="shared" si="79"/>
        <v>2.6058678611422172E-2</v>
      </c>
      <c r="K1704">
        <f t="shared" si="80"/>
        <v>1.8232227735701226E-2</v>
      </c>
    </row>
    <row r="1705" spans="1:11" x14ac:dyDescent="0.25">
      <c r="A1705" s="1">
        <v>2002</v>
      </c>
      <c r="B1705" s="1" t="s">
        <v>99</v>
      </c>
      <c r="C1705" t="s">
        <v>9</v>
      </c>
      <c r="D1705" s="1" t="s">
        <v>5</v>
      </c>
      <c r="E1705">
        <v>40</v>
      </c>
      <c r="F1705" s="1" t="s">
        <v>101</v>
      </c>
      <c r="G1705">
        <v>20</v>
      </c>
      <c r="H1705">
        <v>1</v>
      </c>
      <c r="I1705" s="2">
        <f t="shared" si="78"/>
        <v>2.1816</v>
      </c>
      <c r="J1705">
        <f t="shared" si="79"/>
        <v>8.1433370660694296E-2</v>
      </c>
      <c r="K1705">
        <f t="shared" si="80"/>
        <v>5.6975711674066336E-2</v>
      </c>
    </row>
    <row r="1706" spans="1:11" x14ac:dyDescent="0.25">
      <c r="A1706" s="1">
        <v>2002</v>
      </c>
      <c r="B1706" s="1" t="s">
        <v>99</v>
      </c>
      <c r="C1706" t="s">
        <v>9</v>
      </c>
      <c r="D1706" s="1" t="s">
        <v>5</v>
      </c>
      <c r="E1706">
        <v>53</v>
      </c>
      <c r="F1706" s="1" t="s">
        <v>101</v>
      </c>
      <c r="G1706">
        <v>6</v>
      </c>
      <c r="H1706">
        <v>2</v>
      </c>
      <c r="I1706" s="2">
        <f t="shared" si="78"/>
        <v>0.39268799999999998</v>
      </c>
      <c r="J1706">
        <f t="shared" si="79"/>
        <v>1.4658006718924971E-2</v>
      </c>
      <c r="K1706">
        <f t="shared" si="80"/>
        <v>1.0255628101331939E-2</v>
      </c>
    </row>
    <row r="1707" spans="1:11" x14ac:dyDescent="0.25">
      <c r="A1707" s="1">
        <v>2002</v>
      </c>
      <c r="B1707" s="1" t="s">
        <v>99</v>
      </c>
      <c r="C1707" t="s">
        <v>9</v>
      </c>
      <c r="D1707" s="1" t="s">
        <v>5</v>
      </c>
      <c r="E1707">
        <v>53</v>
      </c>
      <c r="F1707" s="1" t="s">
        <v>101</v>
      </c>
      <c r="G1707">
        <v>8</v>
      </c>
      <c r="H1707">
        <v>1</v>
      </c>
      <c r="I1707" s="2">
        <f t="shared" si="78"/>
        <v>0.34905599999999998</v>
      </c>
      <c r="J1707">
        <f t="shared" si="79"/>
        <v>1.3029339305711086E-2</v>
      </c>
      <c r="K1707">
        <f t="shared" si="80"/>
        <v>9.1161138678506129E-3</v>
      </c>
    </row>
    <row r="1708" spans="1:11" x14ac:dyDescent="0.25">
      <c r="A1708" s="1">
        <v>2002</v>
      </c>
      <c r="B1708" s="1" t="s">
        <v>99</v>
      </c>
      <c r="C1708" t="s">
        <v>9</v>
      </c>
      <c r="D1708" s="1" t="s">
        <v>5</v>
      </c>
      <c r="E1708">
        <v>53</v>
      </c>
      <c r="F1708" s="1" t="s">
        <v>101</v>
      </c>
      <c r="G1708">
        <v>10</v>
      </c>
      <c r="H1708">
        <v>1</v>
      </c>
      <c r="I1708" s="2">
        <f t="shared" si="78"/>
        <v>0.5454</v>
      </c>
      <c r="J1708">
        <f t="shared" si="79"/>
        <v>2.0358342665173574E-2</v>
      </c>
      <c r="K1708">
        <f t="shared" si="80"/>
        <v>1.4243927918516584E-2</v>
      </c>
    </row>
    <row r="1709" spans="1:11" x14ac:dyDescent="0.25">
      <c r="A1709" s="1">
        <v>2002</v>
      </c>
      <c r="B1709" s="1" t="s">
        <v>99</v>
      </c>
      <c r="C1709" t="s">
        <v>9</v>
      </c>
      <c r="D1709" s="1" t="s">
        <v>5</v>
      </c>
      <c r="E1709">
        <v>53</v>
      </c>
      <c r="F1709" s="1" t="s">
        <v>101</v>
      </c>
      <c r="G1709">
        <v>12</v>
      </c>
      <c r="H1709">
        <v>2</v>
      </c>
      <c r="I1709" s="2">
        <f t="shared" si="78"/>
        <v>1.5707519999999999</v>
      </c>
      <c r="J1709">
        <f t="shared" si="79"/>
        <v>5.8632026875699884E-2</v>
      </c>
      <c r="K1709">
        <f t="shared" si="80"/>
        <v>4.1022512405327755E-2</v>
      </c>
    </row>
    <row r="1710" spans="1:11" x14ac:dyDescent="0.25">
      <c r="A1710" s="1">
        <v>2002</v>
      </c>
      <c r="B1710" s="1" t="s">
        <v>99</v>
      </c>
      <c r="C1710" t="s">
        <v>9</v>
      </c>
      <c r="D1710" s="1" t="s">
        <v>5</v>
      </c>
      <c r="E1710">
        <v>54</v>
      </c>
      <c r="F1710" s="1" t="s">
        <v>101</v>
      </c>
      <c r="G1710">
        <v>6</v>
      </c>
      <c r="H1710">
        <v>5</v>
      </c>
      <c r="I1710" s="2">
        <f t="shared" si="78"/>
        <v>0.98171999999999993</v>
      </c>
      <c r="J1710">
        <f t="shared" si="79"/>
        <v>3.6645016797312427E-2</v>
      </c>
      <c r="K1710">
        <f t="shared" si="80"/>
        <v>2.5639070253329847E-2</v>
      </c>
    </row>
    <row r="1711" spans="1:11" x14ac:dyDescent="0.25">
      <c r="A1711" s="1">
        <v>2002</v>
      </c>
      <c r="B1711" s="1" t="s">
        <v>99</v>
      </c>
      <c r="C1711" t="s">
        <v>9</v>
      </c>
      <c r="D1711" s="1" t="s">
        <v>5</v>
      </c>
      <c r="E1711">
        <v>54</v>
      </c>
      <c r="F1711" s="1" t="s">
        <v>101</v>
      </c>
      <c r="G1711">
        <v>8</v>
      </c>
      <c r="H1711">
        <v>3</v>
      </c>
      <c r="I1711" s="2">
        <f t="shared" si="78"/>
        <v>1.0471679999999999</v>
      </c>
      <c r="J1711">
        <f t="shared" si="79"/>
        <v>3.9088017917133254E-2</v>
      </c>
      <c r="K1711">
        <f t="shared" si="80"/>
        <v>2.7348341603551835E-2</v>
      </c>
    </row>
    <row r="1712" spans="1:11" x14ac:dyDescent="0.25">
      <c r="A1712" s="1">
        <v>2002</v>
      </c>
      <c r="B1712" s="1" t="s">
        <v>99</v>
      </c>
      <c r="C1712" t="s">
        <v>9</v>
      </c>
      <c r="D1712" s="1" t="s">
        <v>5</v>
      </c>
      <c r="E1712">
        <v>54</v>
      </c>
      <c r="F1712" s="1" t="s">
        <v>101</v>
      </c>
      <c r="G1712">
        <v>10</v>
      </c>
      <c r="H1712">
        <v>2</v>
      </c>
      <c r="I1712" s="2">
        <f t="shared" si="78"/>
        <v>1.0908</v>
      </c>
      <c r="J1712">
        <f t="shared" si="79"/>
        <v>4.0716685330347148E-2</v>
      </c>
      <c r="K1712">
        <f t="shared" si="80"/>
        <v>2.8487855837033168E-2</v>
      </c>
    </row>
    <row r="1713" spans="1:11" x14ac:dyDescent="0.25">
      <c r="A1713" s="1">
        <v>2002</v>
      </c>
      <c r="B1713" s="1" t="s">
        <v>99</v>
      </c>
      <c r="C1713" t="s">
        <v>9</v>
      </c>
      <c r="D1713" s="1" t="s">
        <v>5</v>
      </c>
      <c r="E1713">
        <v>54</v>
      </c>
      <c r="F1713" s="1" t="s">
        <v>101</v>
      </c>
      <c r="G1713">
        <v>12</v>
      </c>
      <c r="H1713">
        <v>3</v>
      </c>
      <c r="I1713" s="2">
        <f t="shared" si="78"/>
        <v>2.356128</v>
      </c>
      <c r="J1713">
        <f t="shared" si="79"/>
        <v>8.794804031354983E-2</v>
      </c>
      <c r="K1713">
        <f t="shared" si="80"/>
        <v>6.1533768607991639E-2</v>
      </c>
    </row>
    <row r="1714" spans="1:11" x14ac:dyDescent="0.25">
      <c r="A1714" s="1">
        <v>2002</v>
      </c>
      <c r="B1714" s="1" t="s">
        <v>99</v>
      </c>
      <c r="C1714" t="s">
        <v>9</v>
      </c>
      <c r="D1714" s="1" t="s">
        <v>5</v>
      </c>
      <c r="E1714">
        <v>54</v>
      </c>
      <c r="F1714" s="1" t="s">
        <v>101</v>
      </c>
      <c r="G1714">
        <v>14</v>
      </c>
      <c r="H1714">
        <v>1</v>
      </c>
      <c r="I1714" s="2">
        <f t="shared" si="78"/>
        <v>1.0689839999999999</v>
      </c>
      <c r="J1714">
        <f t="shared" si="79"/>
        <v>3.9902351623740201E-2</v>
      </c>
      <c r="K1714">
        <f t="shared" si="80"/>
        <v>2.7918098720292502E-2</v>
      </c>
    </row>
    <row r="1715" spans="1:11" x14ac:dyDescent="0.25">
      <c r="A1715" s="1">
        <v>2002</v>
      </c>
      <c r="B1715" s="1" t="s">
        <v>99</v>
      </c>
      <c r="C1715" t="s">
        <v>9</v>
      </c>
      <c r="D1715" s="1" t="s">
        <v>5</v>
      </c>
      <c r="E1715">
        <v>56</v>
      </c>
      <c r="F1715" s="1" t="s">
        <v>101</v>
      </c>
      <c r="G1715">
        <v>6</v>
      </c>
      <c r="H1715">
        <v>3</v>
      </c>
      <c r="I1715" s="2">
        <f t="shared" si="78"/>
        <v>0.589032</v>
      </c>
      <c r="J1715">
        <f t="shared" si="79"/>
        <v>2.1987010078387458E-2</v>
      </c>
      <c r="K1715">
        <f t="shared" si="80"/>
        <v>1.538344215199791E-2</v>
      </c>
    </row>
    <row r="1716" spans="1:11" x14ac:dyDescent="0.25">
      <c r="A1716" s="1">
        <v>2002</v>
      </c>
      <c r="B1716" s="1" t="s">
        <v>99</v>
      </c>
      <c r="C1716" t="s">
        <v>9</v>
      </c>
      <c r="D1716" s="1" t="s">
        <v>5</v>
      </c>
      <c r="E1716">
        <v>56</v>
      </c>
      <c r="F1716" s="1" t="s">
        <v>101</v>
      </c>
      <c r="G1716">
        <v>8</v>
      </c>
      <c r="H1716">
        <v>2</v>
      </c>
      <c r="I1716" s="2">
        <f t="shared" si="78"/>
        <v>0.69811199999999995</v>
      </c>
      <c r="J1716">
        <f t="shared" si="79"/>
        <v>2.6058678611422172E-2</v>
      </c>
      <c r="K1716">
        <f t="shared" si="80"/>
        <v>1.8232227735701226E-2</v>
      </c>
    </row>
    <row r="1717" spans="1:11" x14ac:dyDescent="0.25">
      <c r="A1717" s="1">
        <v>2002</v>
      </c>
      <c r="B1717" s="1" t="s">
        <v>99</v>
      </c>
      <c r="C1717" t="s">
        <v>9</v>
      </c>
      <c r="D1717" s="1" t="s">
        <v>5</v>
      </c>
      <c r="E1717">
        <v>56</v>
      </c>
      <c r="F1717" s="1" t="s">
        <v>101</v>
      </c>
      <c r="G1717">
        <v>10</v>
      </c>
      <c r="H1717">
        <v>4</v>
      </c>
      <c r="I1717" s="2">
        <f t="shared" si="78"/>
        <v>2.1816</v>
      </c>
      <c r="J1717">
        <f t="shared" si="79"/>
        <v>8.1433370660694296E-2</v>
      </c>
      <c r="K1717">
        <f t="shared" si="80"/>
        <v>5.6975711674066336E-2</v>
      </c>
    </row>
    <row r="1718" spans="1:11" x14ac:dyDescent="0.25">
      <c r="A1718" s="1">
        <v>2002</v>
      </c>
      <c r="B1718" s="1" t="s">
        <v>99</v>
      </c>
      <c r="C1718" t="s">
        <v>9</v>
      </c>
      <c r="D1718" s="1" t="s">
        <v>5</v>
      </c>
      <c r="E1718">
        <v>58</v>
      </c>
      <c r="F1718" s="1" t="s">
        <v>101</v>
      </c>
      <c r="G1718">
        <v>6</v>
      </c>
      <c r="H1718">
        <v>13</v>
      </c>
      <c r="I1718" s="2">
        <f t="shared" si="78"/>
        <v>2.5524719999999999</v>
      </c>
      <c r="J1718">
        <f t="shared" si="79"/>
        <v>9.5277043673012318E-2</v>
      </c>
      <c r="K1718">
        <f t="shared" si="80"/>
        <v>6.6661582658657612E-2</v>
      </c>
    </row>
    <row r="1719" spans="1:11" x14ac:dyDescent="0.25">
      <c r="A1719" s="1">
        <v>2002</v>
      </c>
      <c r="B1719" s="1" t="s">
        <v>99</v>
      </c>
      <c r="C1719" t="s">
        <v>9</v>
      </c>
      <c r="D1719" s="1" t="s">
        <v>5</v>
      </c>
      <c r="E1719">
        <v>58</v>
      </c>
      <c r="F1719" s="1" t="s">
        <v>101</v>
      </c>
      <c r="G1719">
        <v>8</v>
      </c>
      <c r="H1719">
        <v>1</v>
      </c>
      <c r="I1719" s="2">
        <f t="shared" si="78"/>
        <v>0.34905599999999998</v>
      </c>
      <c r="J1719">
        <f t="shared" si="79"/>
        <v>1.3029339305711086E-2</v>
      </c>
      <c r="K1719">
        <f t="shared" si="80"/>
        <v>9.1161138678506129E-3</v>
      </c>
    </row>
    <row r="1720" spans="1:11" x14ac:dyDescent="0.25">
      <c r="A1720" s="1">
        <v>2002</v>
      </c>
      <c r="B1720" s="1" t="s">
        <v>99</v>
      </c>
      <c r="C1720" t="s">
        <v>9</v>
      </c>
      <c r="D1720" s="1" t="s">
        <v>5</v>
      </c>
      <c r="E1720">
        <v>58</v>
      </c>
      <c r="F1720" s="1" t="s">
        <v>101</v>
      </c>
      <c r="G1720">
        <v>10</v>
      </c>
      <c r="H1720">
        <v>3</v>
      </c>
      <c r="I1720" s="2">
        <f t="shared" si="78"/>
        <v>1.6362000000000001</v>
      </c>
      <c r="J1720">
        <f t="shared" si="79"/>
        <v>6.1075027995520725E-2</v>
      </c>
      <c r="K1720">
        <f t="shared" si="80"/>
        <v>4.2731783755549757E-2</v>
      </c>
    </row>
    <row r="1721" spans="1:11" x14ac:dyDescent="0.25">
      <c r="A1721" s="1">
        <v>2002</v>
      </c>
      <c r="B1721" s="1" t="s">
        <v>99</v>
      </c>
      <c r="C1721" t="s">
        <v>9</v>
      </c>
      <c r="D1721" s="1" t="s">
        <v>5</v>
      </c>
      <c r="E1721">
        <v>66</v>
      </c>
      <c r="F1721" s="1" t="s">
        <v>101</v>
      </c>
      <c r="G1721">
        <v>6</v>
      </c>
      <c r="H1721">
        <v>3</v>
      </c>
      <c r="I1721" s="2">
        <f t="shared" si="78"/>
        <v>0.589032</v>
      </c>
      <c r="J1721">
        <f t="shared" si="79"/>
        <v>2.1987010078387458E-2</v>
      </c>
      <c r="K1721">
        <f t="shared" si="80"/>
        <v>1.538344215199791E-2</v>
      </c>
    </row>
    <row r="1722" spans="1:11" x14ac:dyDescent="0.25">
      <c r="A1722" s="1">
        <v>2002</v>
      </c>
      <c r="B1722" s="1" t="s">
        <v>99</v>
      </c>
      <c r="C1722" t="s">
        <v>9</v>
      </c>
      <c r="D1722" s="1" t="s">
        <v>5</v>
      </c>
      <c r="E1722">
        <v>66</v>
      </c>
      <c r="F1722" s="1" t="s">
        <v>101</v>
      </c>
      <c r="G1722">
        <v>8</v>
      </c>
      <c r="H1722">
        <v>1</v>
      </c>
      <c r="I1722" s="2">
        <f t="shared" si="78"/>
        <v>0.34905599999999998</v>
      </c>
      <c r="J1722">
        <f t="shared" si="79"/>
        <v>1.3029339305711086E-2</v>
      </c>
      <c r="K1722">
        <f t="shared" si="80"/>
        <v>9.1161138678506129E-3</v>
      </c>
    </row>
    <row r="1723" spans="1:11" x14ac:dyDescent="0.25">
      <c r="A1723" s="1">
        <v>2002</v>
      </c>
      <c r="B1723" s="1" t="s">
        <v>99</v>
      </c>
      <c r="C1723" t="s">
        <v>9</v>
      </c>
      <c r="D1723" s="1" t="s">
        <v>5</v>
      </c>
      <c r="E1723">
        <v>71</v>
      </c>
      <c r="F1723" s="1" t="s">
        <v>101</v>
      </c>
      <c r="G1723">
        <v>6</v>
      </c>
      <c r="H1723">
        <v>4</v>
      </c>
      <c r="I1723" s="2">
        <f t="shared" si="78"/>
        <v>0.78537599999999996</v>
      </c>
      <c r="J1723">
        <f t="shared" si="79"/>
        <v>2.9316013437849942E-2</v>
      </c>
      <c r="K1723">
        <f t="shared" si="80"/>
        <v>2.0511256202663877E-2</v>
      </c>
    </row>
    <row r="1724" spans="1:11" x14ac:dyDescent="0.25">
      <c r="A1724" s="1">
        <v>2002</v>
      </c>
      <c r="B1724" s="1" t="s">
        <v>99</v>
      </c>
      <c r="C1724" t="s">
        <v>9</v>
      </c>
      <c r="D1724" s="1" t="s">
        <v>5</v>
      </c>
      <c r="E1724">
        <v>71</v>
      </c>
      <c r="F1724" s="1" t="s">
        <v>101</v>
      </c>
      <c r="G1724">
        <v>8</v>
      </c>
      <c r="H1724">
        <v>2</v>
      </c>
      <c r="I1724" s="2">
        <f t="shared" si="78"/>
        <v>0.69811199999999995</v>
      </c>
      <c r="J1724">
        <f t="shared" si="79"/>
        <v>2.6058678611422172E-2</v>
      </c>
      <c r="K1724">
        <f t="shared" si="80"/>
        <v>1.8232227735701226E-2</v>
      </c>
    </row>
    <row r="1725" spans="1:11" x14ac:dyDescent="0.25">
      <c r="A1725" s="1">
        <v>2002</v>
      </c>
      <c r="B1725" s="1" t="s">
        <v>99</v>
      </c>
      <c r="C1725" t="s">
        <v>9</v>
      </c>
      <c r="D1725" s="1" t="s">
        <v>5</v>
      </c>
      <c r="E1725">
        <v>71</v>
      </c>
      <c r="F1725" s="1" t="s">
        <v>101</v>
      </c>
      <c r="G1725">
        <v>10</v>
      </c>
      <c r="H1725">
        <v>1</v>
      </c>
      <c r="I1725" s="2">
        <f t="shared" si="78"/>
        <v>0.5454</v>
      </c>
      <c r="J1725">
        <f t="shared" si="79"/>
        <v>2.0358342665173574E-2</v>
      </c>
      <c r="K1725">
        <f t="shared" si="80"/>
        <v>1.4243927918516584E-2</v>
      </c>
    </row>
    <row r="1726" spans="1:11" x14ac:dyDescent="0.25">
      <c r="A1726" s="1">
        <v>2002</v>
      </c>
      <c r="B1726" s="1" t="s">
        <v>99</v>
      </c>
      <c r="C1726" t="s">
        <v>9</v>
      </c>
      <c r="D1726" s="1" t="s">
        <v>5</v>
      </c>
      <c r="E1726">
        <v>71</v>
      </c>
      <c r="F1726" s="1" t="s">
        <v>101</v>
      </c>
      <c r="G1726">
        <v>12</v>
      </c>
      <c r="H1726">
        <v>1</v>
      </c>
      <c r="I1726" s="2">
        <f t="shared" si="78"/>
        <v>0.78537599999999996</v>
      </c>
      <c r="J1726">
        <f t="shared" si="79"/>
        <v>2.9316013437849942E-2</v>
      </c>
      <c r="K1726">
        <f t="shared" si="80"/>
        <v>2.0511256202663877E-2</v>
      </c>
    </row>
    <row r="1727" spans="1:11" x14ac:dyDescent="0.25">
      <c r="A1727" s="1">
        <v>2002</v>
      </c>
      <c r="B1727" s="1" t="s">
        <v>99</v>
      </c>
      <c r="C1727" t="s">
        <v>9</v>
      </c>
      <c r="D1727" s="1" t="s">
        <v>5</v>
      </c>
      <c r="E1727">
        <v>76</v>
      </c>
      <c r="F1727" s="1" t="s">
        <v>101</v>
      </c>
      <c r="G1727">
        <v>6</v>
      </c>
      <c r="H1727">
        <v>11</v>
      </c>
      <c r="I1727" s="2">
        <f t="shared" si="78"/>
        <v>2.1597839999999997</v>
      </c>
      <c r="J1727">
        <f t="shared" si="79"/>
        <v>8.0619036954087342E-2</v>
      </c>
      <c r="K1727">
        <f t="shared" si="80"/>
        <v>5.6405954557325666E-2</v>
      </c>
    </row>
    <row r="1728" spans="1:11" x14ac:dyDescent="0.25">
      <c r="A1728" s="1">
        <v>2002</v>
      </c>
      <c r="B1728" s="1" t="s">
        <v>99</v>
      </c>
      <c r="C1728" t="s">
        <v>9</v>
      </c>
      <c r="D1728" s="1" t="s">
        <v>5</v>
      </c>
      <c r="E1728">
        <v>76</v>
      </c>
      <c r="F1728" s="1" t="s">
        <v>101</v>
      </c>
      <c r="G1728">
        <v>8</v>
      </c>
      <c r="H1728">
        <v>6</v>
      </c>
      <c r="I1728" s="2">
        <f t="shared" si="78"/>
        <v>2.0943359999999998</v>
      </c>
      <c r="J1728">
        <f t="shared" si="79"/>
        <v>7.8176035834266508E-2</v>
      </c>
      <c r="K1728">
        <f t="shared" si="80"/>
        <v>5.469668320710367E-2</v>
      </c>
    </row>
    <row r="1729" spans="1:11" x14ac:dyDescent="0.25">
      <c r="A1729" s="1">
        <v>2002</v>
      </c>
      <c r="B1729" s="1" t="s">
        <v>99</v>
      </c>
      <c r="C1729" t="s">
        <v>9</v>
      </c>
      <c r="D1729" s="1" t="s">
        <v>5</v>
      </c>
      <c r="E1729">
        <v>76</v>
      </c>
      <c r="F1729" s="1" t="s">
        <v>101</v>
      </c>
      <c r="G1729">
        <v>10</v>
      </c>
      <c r="H1729">
        <v>3</v>
      </c>
      <c r="I1729" s="2">
        <f t="shared" si="78"/>
        <v>1.6362000000000001</v>
      </c>
      <c r="J1729">
        <f t="shared" si="79"/>
        <v>6.1075027995520725E-2</v>
      </c>
      <c r="K1729">
        <f t="shared" si="80"/>
        <v>4.2731783755549757E-2</v>
      </c>
    </row>
    <row r="1730" spans="1:11" x14ac:dyDescent="0.25">
      <c r="A1730" s="1">
        <v>2002</v>
      </c>
      <c r="B1730" s="1" t="s">
        <v>99</v>
      </c>
      <c r="C1730" t="s">
        <v>9</v>
      </c>
      <c r="D1730" s="1" t="s">
        <v>5</v>
      </c>
      <c r="E1730">
        <v>76</v>
      </c>
      <c r="F1730" s="1" t="s">
        <v>101</v>
      </c>
      <c r="G1730">
        <v>12</v>
      </c>
      <c r="H1730">
        <v>1</v>
      </c>
      <c r="I1730" s="2">
        <f t="shared" si="78"/>
        <v>0.78537599999999996</v>
      </c>
      <c r="J1730">
        <f t="shared" si="79"/>
        <v>2.9316013437849942E-2</v>
      </c>
      <c r="K1730">
        <f t="shared" si="80"/>
        <v>2.0511256202663877E-2</v>
      </c>
    </row>
    <row r="1731" spans="1:11" x14ac:dyDescent="0.25">
      <c r="A1731" s="1">
        <v>2002</v>
      </c>
      <c r="B1731" s="1" t="s">
        <v>99</v>
      </c>
      <c r="C1731" t="s">
        <v>9</v>
      </c>
      <c r="D1731" s="1" t="s">
        <v>5</v>
      </c>
      <c r="E1731">
        <v>79</v>
      </c>
      <c r="F1731" s="1" t="s">
        <v>101</v>
      </c>
      <c r="G1731">
        <v>6</v>
      </c>
      <c r="H1731">
        <v>45</v>
      </c>
      <c r="I1731" s="2">
        <f t="shared" ref="I1731:I1794" si="81">0.005454*G1731^2*H1731</f>
        <v>8.8354800000000004</v>
      </c>
      <c r="J1731">
        <f t="shared" ref="J1731:J1794" si="82">I1731/26.79</f>
        <v>0.32980515117581188</v>
      </c>
      <c r="K1731">
        <f t="shared" ref="K1731:K1794" si="83">J1731*(26.79/38.29)</f>
        <v>0.23075163227996864</v>
      </c>
    </row>
    <row r="1732" spans="1:11" x14ac:dyDescent="0.25">
      <c r="A1732" s="1">
        <v>2002</v>
      </c>
      <c r="B1732" s="1" t="s">
        <v>99</v>
      </c>
      <c r="C1732" t="s">
        <v>9</v>
      </c>
      <c r="D1732" s="1" t="s">
        <v>5</v>
      </c>
      <c r="E1732">
        <v>79</v>
      </c>
      <c r="F1732" s="1" t="s">
        <v>101</v>
      </c>
      <c r="G1732">
        <v>8</v>
      </c>
      <c r="H1732">
        <v>16</v>
      </c>
      <c r="I1732" s="2">
        <f t="shared" si="81"/>
        <v>5.5848959999999996</v>
      </c>
      <c r="J1732">
        <f t="shared" si="82"/>
        <v>0.20846942889137737</v>
      </c>
      <c r="K1732">
        <f t="shared" si="83"/>
        <v>0.14585782188560981</v>
      </c>
    </row>
    <row r="1733" spans="1:11" x14ac:dyDescent="0.25">
      <c r="A1733" s="1">
        <v>2002</v>
      </c>
      <c r="B1733" s="1" t="s">
        <v>99</v>
      </c>
      <c r="C1733" t="s">
        <v>9</v>
      </c>
      <c r="D1733" s="1" t="s">
        <v>5</v>
      </c>
      <c r="E1733">
        <v>79</v>
      </c>
      <c r="F1733" s="1" t="s">
        <v>101</v>
      </c>
      <c r="G1733">
        <v>10</v>
      </c>
      <c r="H1733">
        <v>7</v>
      </c>
      <c r="I1733" s="2">
        <f t="shared" si="81"/>
        <v>3.8178000000000001</v>
      </c>
      <c r="J1733">
        <f t="shared" si="82"/>
        <v>0.14250839865621501</v>
      </c>
      <c r="K1733">
        <f t="shared" si="83"/>
        <v>9.9707495429616086E-2</v>
      </c>
    </row>
    <row r="1734" spans="1:11" x14ac:dyDescent="0.25">
      <c r="A1734" s="1">
        <v>2002</v>
      </c>
      <c r="B1734" s="1" t="s">
        <v>99</v>
      </c>
      <c r="C1734" t="s">
        <v>9</v>
      </c>
      <c r="D1734" s="1" t="s">
        <v>5</v>
      </c>
      <c r="E1734">
        <v>79</v>
      </c>
      <c r="F1734" s="1" t="s">
        <v>101</v>
      </c>
      <c r="G1734">
        <v>12</v>
      </c>
      <c r="H1734">
        <v>3</v>
      </c>
      <c r="I1734" s="2">
        <f t="shared" si="81"/>
        <v>2.356128</v>
      </c>
      <c r="J1734">
        <f t="shared" si="82"/>
        <v>8.794804031354983E-2</v>
      </c>
      <c r="K1734">
        <f t="shared" si="83"/>
        <v>6.1533768607991639E-2</v>
      </c>
    </row>
    <row r="1735" spans="1:11" x14ac:dyDescent="0.25">
      <c r="A1735" s="1">
        <v>2002</v>
      </c>
      <c r="B1735" s="1" t="s">
        <v>99</v>
      </c>
      <c r="C1735" t="s">
        <v>9</v>
      </c>
      <c r="D1735" s="1" t="s">
        <v>5</v>
      </c>
      <c r="E1735">
        <v>79</v>
      </c>
      <c r="F1735" s="1" t="s">
        <v>101</v>
      </c>
      <c r="G1735">
        <v>14</v>
      </c>
      <c r="H1735">
        <v>2</v>
      </c>
      <c r="I1735" s="2">
        <f t="shared" si="81"/>
        <v>2.1379679999999999</v>
      </c>
      <c r="J1735">
        <f t="shared" si="82"/>
        <v>7.9804703247480402E-2</v>
      </c>
      <c r="K1735">
        <f t="shared" si="83"/>
        <v>5.5836197440585003E-2</v>
      </c>
    </row>
    <row r="1736" spans="1:11" x14ac:dyDescent="0.25">
      <c r="A1736" s="1">
        <v>2002</v>
      </c>
      <c r="B1736" s="1" t="s">
        <v>99</v>
      </c>
      <c r="C1736" t="s">
        <v>9</v>
      </c>
      <c r="D1736" s="1" t="s">
        <v>5</v>
      </c>
      <c r="E1736">
        <v>79</v>
      </c>
      <c r="F1736" s="1" t="s">
        <v>101</v>
      </c>
      <c r="G1736">
        <v>16</v>
      </c>
      <c r="H1736">
        <v>2</v>
      </c>
      <c r="I1736" s="2">
        <f t="shared" si="81"/>
        <v>2.7924479999999998</v>
      </c>
      <c r="J1736">
        <f t="shared" si="82"/>
        <v>0.10423471444568869</v>
      </c>
      <c r="K1736">
        <f t="shared" si="83"/>
        <v>7.2928910942804903E-2</v>
      </c>
    </row>
    <row r="1737" spans="1:11" x14ac:dyDescent="0.25">
      <c r="A1737" s="1">
        <v>2002</v>
      </c>
      <c r="B1737" s="1" t="s">
        <v>99</v>
      </c>
      <c r="C1737" t="s">
        <v>9</v>
      </c>
      <c r="D1737" s="1" t="s">
        <v>5</v>
      </c>
      <c r="E1737">
        <v>84</v>
      </c>
      <c r="F1737" s="1" t="s">
        <v>101</v>
      </c>
      <c r="G1737">
        <v>10</v>
      </c>
      <c r="H1737">
        <v>1</v>
      </c>
      <c r="I1737" s="2">
        <f t="shared" si="81"/>
        <v>0.5454</v>
      </c>
      <c r="J1737">
        <f t="shared" si="82"/>
        <v>2.0358342665173574E-2</v>
      </c>
      <c r="K1737">
        <f t="shared" si="83"/>
        <v>1.4243927918516584E-2</v>
      </c>
    </row>
    <row r="1738" spans="1:11" x14ac:dyDescent="0.25">
      <c r="A1738" s="1">
        <v>2002</v>
      </c>
      <c r="B1738" s="1" t="s">
        <v>99</v>
      </c>
      <c r="C1738" t="s">
        <v>9</v>
      </c>
      <c r="D1738" s="1" t="s">
        <v>5</v>
      </c>
      <c r="E1738">
        <v>85</v>
      </c>
      <c r="F1738" s="1" t="s">
        <v>101</v>
      </c>
      <c r="G1738">
        <v>6</v>
      </c>
      <c r="H1738">
        <v>5</v>
      </c>
      <c r="I1738" s="2">
        <f t="shared" si="81"/>
        <v>0.98171999999999993</v>
      </c>
      <c r="J1738">
        <f t="shared" si="82"/>
        <v>3.6645016797312427E-2</v>
      </c>
      <c r="K1738">
        <f t="shared" si="83"/>
        <v>2.5639070253329847E-2</v>
      </c>
    </row>
    <row r="1739" spans="1:11" x14ac:dyDescent="0.25">
      <c r="A1739" s="1">
        <v>2002</v>
      </c>
      <c r="B1739" s="1" t="s">
        <v>99</v>
      </c>
      <c r="C1739" t="s">
        <v>9</v>
      </c>
      <c r="D1739" s="1" t="s">
        <v>5</v>
      </c>
      <c r="E1739">
        <v>85</v>
      </c>
      <c r="F1739" s="1" t="s">
        <v>101</v>
      </c>
      <c r="G1739">
        <v>8</v>
      </c>
      <c r="H1739">
        <v>1</v>
      </c>
      <c r="I1739" s="2">
        <f t="shared" si="81"/>
        <v>0.34905599999999998</v>
      </c>
      <c r="J1739">
        <f t="shared" si="82"/>
        <v>1.3029339305711086E-2</v>
      </c>
      <c r="K1739">
        <f t="shared" si="83"/>
        <v>9.1161138678506129E-3</v>
      </c>
    </row>
    <row r="1740" spans="1:11" x14ac:dyDescent="0.25">
      <c r="A1740" s="1">
        <v>2002</v>
      </c>
      <c r="B1740" s="1" t="s">
        <v>99</v>
      </c>
      <c r="C1740" t="s">
        <v>9</v>
      </c>
      <c r="D1740" s="1" t="s">
        <v>5</v>
      </c>
      <c r="E1740">
        <v>85</v>
      </c>
      <c r="F1740" s="1" t="s">
        <v>101</v>
      </c>
      <c r="G1740">
        <v>10</v>
      </c>
      <c r="H1740">
        <v>1</v>
      </c>
      <c r="I1740" s="2">
        <f t="shared" si="81"/>
        <v>0.5454</v>
      </c>
      <c r="J1740">
        <f t="shared" si="82"/>
        <v>2.0358342665173574E-2</v>
      </c>
      <c r="K1740">
        <f t="shared" si="83"/>
        <v>1.4243927918516584E-2</v>
      </c>
    </row>
    <row r="1741" spans="1:11" x14ac:dyDescent="0.25">
      <c r="A1741" s="1">
        <v>2002</v>
      </c>
      <c r="B1741" s="1" t="s">
        <v>99</v>
      </c>
      <c r="C1741" t="s">
        <v>9</v>
      </c>
      <c r="D1741" s="1" t="s">
        <v>5</v>
      </c>
      <c r="E1741">
        <v>85</v>
      </c>
      <c r="F1741" s="1" t="s">
        <v>101</v>
      </c>
      <c r="G1741">
        <v>12</v>
      </c>
      <c r="H1741">
        <v>2</v>
      </c>
      <c r="I1741" s="2">
        <f t="shared" si="81"/>
        <v>1.5707519999999999</v>
      </c>
      <c r="J1741">
        <f t="shared" si="82"/>
        <v>5.8632026875699884E-2</v>
      </c>
      <c r="K1741">
        <f t="shared" si="83"/>
        <v>4.1022512405327755E-2</v>
      </c>
    </row>
    <row r="1742" spans="1:11" x14ac:dyDescent="0.25">
      <c r="A1742" s="1">
        <v>2002</v>
      </c>
      <c r="B1742" s="1" t="s">
        <v>99</v>
      </c>
      <c r="C1742" t="s">
        <v>9</v>
      </c>
      <c r="D1742" s="1" t="s">
        <v>5</v>
      </c>
      <c r="E1742">
        <v>85</v>
      </c>
      <c r="F1742" s="1" t="s">
        <v>101</v>
      </c>
      <c r="G1742">
        <v>16</v>
      </c>
      <c r="H1742">
        <v>1</v>
      </c>
      <c r="I1742" s="2">
        <f t="shared" si="81"/>
        <v>1.3962239999999999</v>
      </c>
      <c r="J1742">
        <f t="shared" si="82"/>
        <v>5.2117357222844343E-2</v>
      </c>
      <c r="K1742">
        <f t="shared" si="83"/>
        <v>3.6464455471402452E-2</v>
      </c>
    </row>
    <row r="1743" spans="1:11" x14ac:dyDescent="0.25">
      <c r="A1743" s="1">
        <v>2002</v>
      </c>
      <c r="B1743" s="1" t="s">
        <v>99</v>
      </c>
      <c r="C1743" t="s">
        <v>9</v>
      </c>
      <c r="D1743" s="1" t="s">
        <v>5</v>
      </c>
      <c r="E1743">
        <v>88</v>
      </c>
      <c r="F1743" s="1" t="s">
        <v>101</v>
      </c>
      <c r="G1743">
        <v>6</v>
      </c>
      <c r="H1743">
        <v>1</v>
      </c>
      <c r="I1743" s="2">
        <f t="shared" si="81"/>
        <v>0.19634399999999999</v>
      </c>
      <c r="J1743">
        <f t="shared" si="82"/>
        <v>7.3290033594624856E-3</v>
      </c>
      <c r="K1743">
        <f t="shared" si="83"/>
        <v>5.1278140506659693E-3</v>
      </c>
    </row>
    <row r="1744" spans="1:11" x14ac:dyDescent="0.25">
      <c r="A1744" s="1">
        <v>2002</v>
      </c>
      <c r="B1744" s="1" t="s">
        <v>99</v>
      </c>
      <c r="C1744" t="s">
        <v>9</v>
      </c>
      <c r="D1744" s="1" t="s">
        <v>5</v>
      </c>
      <c r="E1744">
        <v>88</v>
      </c>
      <c r="F1744" s="1" t="s">
        <v>101</v>
      </c>
      <c r="G1744">
        <v>10</v>
      </c>
      <c r="H1744">
        <v>1</v>
      </c>
      <c r="I1744" s="2">
        <f t="shared" si="81"/>
        <v>0.5454</v>
      </c>
      <c r="J1744">
        <f t="shared" si="82"/>
        <v>2.0358342665173574E-2</v>
      </c>
      <c r="K1744">
        <f t="shared" si="83"/>
        <v>1.4243927918516584E-2</v>
      </c>
    </row>
    <row r="1745" spans="1:11" x14ac:dyDescent="0.25">
      <c r="A1745" s="1">
        <v>2002</v>
      </c>
      <c r="B1745" s="1" t="s">
        <v>99</v>
      </c>
      <c r="C1745" t="s">
        <v>9</v>
      </c>
      <c r="D1745" s="1" t="s">
        <v>5</v>
      </c>
      <c r="E1745">
        <v>91</v>
      </c>
      <c r="F1745" s="1" t="s">
        <v>101</v>
      </c>
      <c r="G1745">
        <v>10</v>
      </c>
      <c r="H1745">
        <v>2</v>
      </c>
      <c r="I1745" s="2">
        <f t="shared" si="81"/>
        <v>1.0908</v>
      </c>
      <c r="J1745">
        <f t="shared" si="82"/>
        <v>4.0716685330347148E-2</v>
      </c>
      <c r="K1745">
        <f t="shared" si="83"/>
        <v>2.8487855837033168E-2</v>
      </c>
    </row>
    <row r="1746" spans="1:11" x14ac:dyDescent="0.25">
      <c r="A1746" s="1">
        <v>2002</v>
      </c>
      <c r="B1746" s="1" t="s">
        <v>99</v>
      </c>
      <c r="C1746" t="s">
        <v>9</v>
      </c>
      <c r="D1746" s="1" t="s">
        <v>5</v>
      </c>
      <c r="E1746">
        <v>91</v>
      </c>
      <c r="F1746" s="1" t="s">
        <v>101</v>
      </c>
      <c r="G1746">
        <v>12</v>
      </c>
      <c r="H1746">
        <v>2</v>
      </c>
      <c r="I1746" s="2">
        <f t="shared" si="81"/>
        <v>1.5707519999999999</v>
      </c>
      <c r="J1746">
        <f t="shared" si="82"/>
        <v>5.8632026875699884E-2</v>
      </c>
      <c r="K1746">
        <f t="shared" si="83"/>
        <v>4.1022512405327755E-2</v>
      </c>
    </row>
    <row r="1747" spans="1:11" x14ac:dyDescent="0.25">
      <c r="A1747" s="1">
        <v>2002</v>
      </c>
      <c r="B1747" s="1" t="s">
        <v>99</v>
      </c>
      <c r="C1747" t="s">
        <v>9</v>
      </c>
      <c r="D1747" s="1" t="s">
        <v>5</v>
      </c>
      <c r="E1747">
        <v>91</v>
      </c>
      <c r="F1747" s="1" t="s">
        <v>101</v>
      </c>
      <c r="G1747">
        <v>14</v>
      </c>
      <c r="H1747">
        <v>1</v>
      </c>
      <c r="I1747" s="2">
        <f t="shared" si="81"/>
        <v>1.0689839999999999</v>
      </c>
      <c r="J1747">
        <f t="shared" si="82"/>
        <v>3.9902351623740201E-2</v>
      </c>
      <c r="K1747">
        <f t="shared" si="83"/>
        <v>2.7918098720292502E-2</v>
      </c>
    </row>
    <row r="1748" spans="1:11" x14ac:dyDescent="0.25">
      <c r="A1748" s="1">
        <v>2004</v>
      </c>
      <c r="B1748" s="1" t="s">
        <v>99</v>
      </c>
      <c r="C1748" t="s">
        <v>8</v>
      </c>
      <c r="D1748" s="1" t="s">
        <v>3</v>
      </c>
      <c r="E1748">
        <v>21</v>
      </c>
      <c r="F1748" s="1" t="s">
        <v>101</v>
      </c>
      <c r="G1748">
        <v>18</v>
      </c>
      <c r="H1748">
        <v>1</v>
      </c>
      <c r="I1748" s="2">
        <f t="shared" si="81"/>
        <v>1.7670959999999998</v>
      </c>
      <c r="J1748">
        <f t="shared" si="82"/>
        <v>6.5961030235162366E-2</v>
      </c>
      <c r="K1748">
        <f t="shared" si="83"/>
        <v>4.615032645599372E-2</v>
      </c>
    </row>
    <row r="1749" spans="1:11" x14ac:dyDescent="0.25">
      <c r="A1749" s="1">
        <v>2004</v>
      </c>
      <c r="B1749" s="1" t="s">
        <v>99</v>
      </c>
      <c r="C1749" t="s">
        <v>8</v>
      </c>
      <c r="D1749" s="1" t="s">
        <v>3</v>
      </c>
      <c r="E1749">
        <v>29</v>
      </c>
      <c r="F1749" s="1" t="s">
        <v>101</v>
      </c>
      <c r="G1749">
        <v>6</v>
      </c>
      <c r="H1749">
        <v>15</v>
      </c>
      <c r="I1749" s="2">
        <f t="shared" si="81"/>
        <v>2.94516</v>
      </c>
      <c r="J1749">
        <f t="shared" si="82"/>
        <v>0.10993505039193729</v>
      </c>
      <c r="K1749">
        <f t="shared" si="83"/>
        <v>7.6917210759989557E-2</v>
      </c>
    </row>
    <row r="1750" spans="1:11" x14ac:dyDescent="0.25">
      <c r="A1750" s="1">
        <v>2004</v>
      </c>
      <c r="B1750" s="1" t="s">
        <v>99</v>
      </c>
      <c r="C1750" t="s">
        <v>8</v>
      </c>
      <c r="D1750" s="1" t="s">
        <v>3</v>
      </c>
      <c r="E1750">
        <v>29</v>
      </c>
      <c r="F1750" s="1" t="s">
        <v>101</v>
      </c>
      <c r="G1750">
        <v>8</v>
      </c>
      <c r="H1750">
        <v>2</v>
      </c>
      <c r="I1750" s="2">
        <f t="shared" si="81"/>
        <v>0.69811199999999995</v>
      </c>
      <c r="J1750">
        <f t="shared" si="82"/>
        <v>2.6058678611422172E-2</v>
      </c>
      <c r="K1750">
        <f t="shared" si="83"/>
        <v>1.8232227735701226E-2</v>
      </c>
    </row>
    <row r="1751" spans="1:11" x14ac:dyDescent="0.25">
      <c r="A1751" s="1">
        <v>2004</v>
      </c>
      <c r="B1751" s="1" t="s">
        <v>99</v>
      </c>
      <c r="C1751" t="s">
        <v>8</v>
      </c>
      <c r="D1751" s="1" t="s">
        <v>3</v>
      </c>
      <c r="E1751">
        <v>29</v>
      </c>
      <c r="F1751" s="1" t="s">
        <v>101</v>
      </c>
      <c r="G1751">
        <v>10</v>
      </c>
      <c r="H1751">
        <v>1</v>
      </c>
      <c r="I1751" s="2">
        <f t="shared" si="81"/>
        <v>0.5454</v>
      </c>
      <c r="J1751">
        <f t="shared" si="82"/>
        <v>2.0358342665173574E-2</v>
      </c>
      <c r="K1751">
        <f t="shared" si="83"/>
        <v>1.4243927918516584E-2</v>
      </c>
    </row>
    <row r="1752" spans="1:11" x14ac:dyDescent="0.25">
      <c r="A1752" s="1">
        <v>2004</v>
      </c>
      <c r="B1752" s="1" t="s">
        <v>99</v>
      </c>
      <c r="C1752" t="s">
        <v>8</v>
      </c>
      <c r="D1752" s="1" t="s">
        <v>3</v>
      </c>
      <c r="E1752">
        <v>29</v>
      </c>
      <c r="F1752" s="1" t="s">
        <v>101</v>
      </c>
      <c r="G1752">
        <v>14</v>
      </c>
      <c r="H1752">
        <v>3</v>
      </c>
      <c r="I1752" s="2">
        <f t="shared" si="81"/>
        <v>3.2069519999999998</v>
      </c>
      <c r="J1752">
        <f t="shared" si="82"/>
        <v>0.1197070548712206</v>
      </c>
      <c r="K1752">
        <f t="shared" si="83"/>
        <v>8.3754296160877512E-2</v>
      </c>
    </row>
    <row r="1753" spans="1:11" x14ac:dyDescent="0.25">
      <c r="A1753" s="1">
        <v>2004</v>
      </c>
      <c r="B1753" s="1" t="s">
        <v>99</v>
      </c>
      <c r="C1753" t="s">
        <v>8</v>
      </c>
      <c r="D1753" s="1" t="s">
        <v>3</v>
      </c>
      <c r="E1753">
        <v>29</v>
      </c>
      <c r="F1753" s="1" t="s">
        <v>101</v>
      </c>
      <c r="G1753">
        <v>18</v>
      </c>
      <c r="H1753">
        <v>1</v>
      </c>
      <c r="I1753" s="2">
        <f t="shared" si="81"/>
        <v>1.7670959999999998</v>
      </c>
      <c r="J1753">
        <f t="shared" si="82"/>
        <v>6.5961030235162366E-2</v>
      </c>
      <c r="K1753">
        <f t="shared" si="83"/>
        <v>4.615032645599372E-2</v>
      </c>
    </row>
    <row r="1754" spans="1:11" x14ac:dyDescent="0.25">
      <c r="A1754" s="1">
        <v>2004</v>
      </c>
      <c r="B1754" s="1" t="s">
        <v>99</v>
      </c>
      <c r="C1754" t="s">
        <v>8</v>
      </c>
      <c r="D1754" s="1" t="s">
        <v>3</v>
      </c>
      <c r="E1754">
        <v>32</v>
      </c>
      <c r="F1754" s="1" t="s">
        <v>101</v>
      </c>
      <c r="G1754">
        <v>6</v>
      </c>
      <c r="H1754">
        <v>17</v>
      </c>
      <c r="I1754" s="2">
        <f t="shared" si="81"/>
        <v>3.3378479999999997</v>
      </c>
      <c r="J1754">
        <f t="shared" si="82"/>
        <v>0.12459305711086226</v>
      </c>
      <c r="K1754">
        <f t="shared" si="83"/>
        <v>8.7172838861321489E-2</v>
      </c>
    </row>
    <row r="1755" spans="1:11" x14ac:dyDescent="0.25">
      <c r="A1755" s="1">
        <v>2004</v>
      </c>
      <c r="B1755" s="1" t="s">
        <v>99</v>
      </c>
      <c r="C1755" t="s">
        <v>8</v>
      </c>
      <c r="D1755" s="1" t="s">
        <v>3</v>
      </c>
      <c r="E1755">
        <v>32</v>
      </c>
      <c r="F1755" s="1" t="s">
        <v>101</v>
      </c>
      <c r="G1755">
        <v>8</v>
      </c>
      <c r="H1755">
        <v>3</v>
      </c>
      <c r="I1755" s="2">
        <f t="shared" si="81"/>
        <v>1.0471679999999999</v>
      </c>
      <c r="J1755">
        <f t="shared" si="82"/>
        <v>3.9088017917133254E-2</v>
      </c>
      <c r="K1755">
        <f t="shared" si="83"/>
        <v>2.7348341603551835E-2</v>
      </c>
    </row>
    <row r="1756" spans="1:11" x14ac:dyDescent="0.25">
      <c r="A1756" s="1">
        <v>2004</v>
      </c>
      <c r="B1756" s="1" t="s">
        <v>99</v>
      </c>
      <c r="C1756" t="s">
        <v>8</v>
      </c>
      <c r="D1756" s="1" t="s">
        <v>3</v>
      </c>
      <c r="E1756">
        <v>32</v>
      </c>
      <c r="F1756" s="1" t="s">
        <v>101</v>
      </c>
      <c r="G1756">
        <v>10</v>
      </c>
      <c r="H1756">
        <v>1</v>
      </c>
      <c r="I1756" s="2">
        <f t="shared" si="81"/>
        <v>0.5454</v>
      </c>
      <c r="J1756">
        <f t="shared" si="82"/>
        <v>2.0358342665173574E-2</v>
      </c>
      <c r="K1756">
        <f t="shared" si="83"/>
        <v>1.4243927918516584E-2</v>
      </c>
    </row>
    <row r="1757" spans="1:11" x14ac:dyDescent="0.25">
      <c r="A1757" s="1">
        <v>2004</v>
      </c>
      <c r="B1757" s="1" t="s">
        <v>99</v>
      </c>
      <c r="C1757" t="s">
        <v>8</v>
      </c>
      <c r="D1757" s="1" t="s">
        <v>3</v>
      </c>
      <c r="E1757">
        <v>32</v>
      </c>
      <c r="F1757" s="1" t="s">
        <v>101</v>
      </c>
      <c r="G1757">
        <v>14</v>
      </c>
      <c r="H1757">
        <v>1</v>
      </c>
      <c r="I1757" s="2">
        <f t="shared" si="81"/>
        <v>1.0689839999999999</v>
      </c>
      <c r="J1757">
        <f t="shared" si="82"/>
        <v>3.9902351623740201E-2</v>
      </c>
      <c r="K1757">
        <f t="shared" si="83"/>
        <v>2.7918098720292502E-2</v>
      </c>
    </row>
    <row r="1758" spans="1:11" x14ac:dyDescent="0.25">
      <c r="A1758" s="1">
        <v>2004</v>
      </c>
      <c r="B1758" s="1" t="s">
        <v>99</v>
      </c>
      <c r="C1758" t="s">
        <v>8</v>
      </c>
      <c r="D1758" s="1" t="s">
        <v>3</v>
      </c>
      <c r="E1758">
        <v>32</v>
      </c>
      <c r="F1758" s="1" t="s">
        <v>101</v>
      </c>
      <c r="G1758">
        <v>16</v>
      </c>
      <c r="H1758">
        <v>1</v>
      </c>
      <c r="I1758" s="2">
        <f t="shared" si="81"/>
        <v>1.3962239999999999</v>
      </c>
      <c r="J1758">
        <f t="shared" si="82"/>
        <v>5.2117357222844343E-2</v>
      </c>
      <c r="K1758">
        <f t="shared" si="83"/>
        <v>3.6464455471402452E-2</v>
      </c>
    </row>
    <row r="1759" spans="1:11" x14ac:dyDescent="0.25">
      <c r="A1759" s="1">
        <v>2004</v>
      </c>
      <c r="B1759" s="1" t="s">
        <v>99</v>
      </c>
      <c r="C1759" t="s">
        <v>8</v>
      </c>
      <c r="D1759" s="1" t="s">
        <v>3</v>
      </c>
      <c r="E1759">
        <v>32</v>
      </c>
      <c r="F1759" s="1" t="s">
        <v>101</v>
      </c>
      <c r="G1759">
        <v>18</v>
      </c>
      <c r="H1759">
        <v>4</v>
      </c>
      <c r="I1759" s="2">
        <f t="shared" si="81"/>
        <v>7.0683839999999991</v>
      </c>
      <c r="J1759">
        <f t="shared" si="82"/>
        <v>0.26384412094064946</v>
      </c>
      <c r="K1759">
        <f t="shared" si="83"/>
        <v>0.18460130582397488</v>
      </c>
    </row>
    <row r="1760" spans="1:11" x14ac:dyDescent="0.25">
      <c r="A1760" s="1">
        <v>2004</v>
      </c>
      <c r="B1760" s="1" t="s">
        <v>99</v>
      </c>
      <c r="C1760" t="s">
        <v>8</v>
      </c>
      <c r="D1760" s="1" t="s">
        <v>3</v>
      </c>
      <c r="E1760">
        <v>34</v>
      </c>
      <c r="F1760" s="1" t="s">
        <v>101</v>
      </c>
      <c r="G1760">
        <v>8</v>
      </c>
      <c r="H1760">
        <v>1</v>
      </c>
      <c r="I1760" s="2">
        <f t="shared" si="81"/>
        <v>0.34905599999999998</v>
      </c>
      <c r="J1760">
        <f t="shared" si="82"/>
        <v>1.3029339305711086E-2</v>
      </c>
      <c r="K1760">
        <f t="shared" si="83"/>
        <v>9.1161138678506129E-3</v>
      </c>
    </row>
    <row r="1761" spans="1:11" x14ac:dyDescent="0.25">
      <c r="A1761" s="1">
        <v>2004</v>
      </c>
      <c r="B1761" s="1" t="s">
        <v>99</v>
      </c>
      <c r="C1761" t="s">
        <v>8</v>
      </c>
      <c r="D1761" s="1" t="s">
        <v>3</v>
      </c>
      <c r="E1761">
        <v>34</v>
      </c>
      <c r="F1761" s="1" t="s">
        <v>101</v>
      </c>
      <c r="G1761">
        <v>14</v>
      </c>
      <c r="H1761">
        <v>1</v>
      </c>
      <c r="I1761" s="2">
        <f t="shared" si="81"/>
        <v>1.0689839999999999</v>
      </c>
      <c r="J1761">
        <f t="shared" si="82"/>
        <v>3.9902351623740201E-2</v>
      </c>
      <c r="K1761">
        <f t="shared" si="83"/>
        <v>2.7918098720292502E-2</v>
      </c>
    </row>
    <row r="1762" spans="1:11" x14ac:dyDescent="0.25">
      <c r="A1762" s="1">
        <v>2004</v>
      </c>
      <c r="B1762" s="1" t="s">
        <v>99</v>
      </c>
      <c r="C1762" t="s">
        <v>8</v>
      </c>
      <c r="D1762" s="1" t="s">
        <v>3</v>
      </c>
      <c r="E1762">
        <v>34</v>
      </c>
      <c r="F1762" s="1" t="s">
        <v>101</v>
      </c>
      <c r="G1762">
        <v>18</v>
      </c>
      <c r="H1762">
        <v>30</v>
      </c>
      <c r="I1762" s="2">
        <f t="shared" si="81"/>
        <v>53.012879999999996</v>
      </c>
      <c r="J1762">
        <f t="shared" si="82"/>
        <v>1.9788309070548711</v>
      </c>
      <c r="K1762">
        <f t="shared" si="83"/>
        <v>1.3845097936798119</v>
      </c>
    </row>
    <row r="1763" spans="1:11" x14ac:dyDescent="0.25">
      <c r="A1763" s="1">
        <v>2004</v>
      </c>
      <c r="B1763" s="1" t="s">
        <v>99</v>
      </c>
      <c r="C1763" t="s">
        <v>8</v>
      </c>
      <c r="D1763" s="1" t="s">
        <v>3</v>
      </c>
      <c r="E1763">
        <v>34</v>
      </c>
      <c r="F1763" s="1" t="s">
        <v>101</v>
      </c>
      <c r="G1763">
        <v>20</v>
      </c>
      <c r="H1763">
        <v>6</v>
      </c>
      <c r="I1763" s="2">
        <f t="shared" si="81"/>
        <v>13.089600000000001</v>
      </c>
      <c r="J1763">
        <f t="shared" si="82"/>
        <v>0.4886002239641658</v>
      </c>
      <c r="K1763">
        <f t="shared" si="83"/>
        <v>0.34185427004439806</v>
      </c>
    </row>
    <row r="1764" spans="1:11" x14ac:dyDescent="0.25">
      <c r="A1764" s="1">
        <v>2004</v>
      </c>
      <c r="B1764" s="1" t="s">
        <v>99</v>
      </c>
      <c r="C1764" t="s">
        <v>8</v>
      </c>
      <c r="D1764" s="1" t="s">
        <v>3</v>
      </c>
      <c r="E1764">
        <v>38</v>
      </c>
      <c r="F1764" s="1" t="s">
        <v>101</v>
      </c>
      <c r="G1764">
        <v>6</v>
      </c>
      <c r="H1764">
        <v>4</v>
      </c>
      <c r="I1764" s="2">
        <f t="shared" si="81"/>
        <v>0.78537599999999996</v>
      </c>
      <c r="J1764">
        <f t="shared" si="82"/>
        <v>2.9316013437849942E-2</v>
      </c>
      <c r="K1764">
        <f t="shared" si="83"/>
        <v>2.0511256202663877E-2</v>
      </c>
    </row>
    <row r="1765" spans="1:11" x14ac:dyDescent="0.25">
      <c r="A1765" s="1">
        <v>2004</v>
      </c>
      <c r="B1765" s="1" t="s">
        <v>99</v>
      </c>
      <c r="C1765" t="s">
        <v>8</v>
      </c>
      <c r="D1765" s="1" t="s">
        <v>3</v>
      </c>
      <c r="E1765">
        <v>38</v>
      </c>
      <c r="F1765" s="1" t="s">
        <v>101</v>
      </c>
      <c r="G1765">
        <v>8</v>
      </c>
      <c r="H1765">
        <v>1</v>
      </c>
      <c r="I1765" s="2">
        <f t="shared" si="81"/>
        <v>0.34905599999999998</v>
      </c>
      <c r="J1765">
        <f t="shared" si="82"/>
        <v>1.3029339305711086E-2</v>
      </c>
      <c r="K1765">
        <f t="shared" si="83"/>
        <v>9.1161138678506129E-3</v>
      </c>
    </row>
    <row r="1766" spans="1:11" x14ac:dyDescent="0.25">
      <c r="A1766" s="1">
        <v>2004</v>
      </c>
      <c r="B1766" s="1" t="s">
        <v>99</v>
      </c>
      <c r="C1766" t="s">
        <v>8</v>
      </c>
      <c r="D1766" s="1" t="s">
        <v>3</v>
      </c>
      <c r="E1766">
        <v>38</v>
      </c>
      <c r="F1766" s="1" t="s">
        <v>101</v>
      </c>
      <c r="G1766">
        <v>10</v>
      </c>
      <c r="H1766">
        <v>1</v>
      </c>
      <c r="I1766" s="2">
        <f t="shared" si="81"/>
        <v>0.5454</v>
      </c>
      <c r="J1766">
        <f t="shared" si="82"/>
        <v>2.0358342665173574E-2</v>
      </c>
      <c r="K1766">
        <f t="shared" si="83"/>
        <v>1.4243927918516584E-2</v>
      </c>
    </row>
    <row r="1767" spans="1:11" x14ac:dyDescent="0.25">
      <c r="A1767" s="1">
        <v>2004</v>
      </c>
      <c r="B1767" s="1" t="s">
        <v>99</v>
      </c>
      <c r="C1767" t="s">
        <v>8</v>
      </c>
      <c r="D1767" s="1" t="s">
        <v>3</v>
      </c>
      <c r="E1767">
        <v>38</v>
      </c>
      <c r="F1767" s="1" t="s">
        <v>101</v>
      </c>
      <c r="G1767">
        <v>12</v>
      </c>
      <c r="H1767">
        <v>4</v>
      </c>
      <c r="I1767" s="2">
        <f t="shared" si="81"/>
        <v>3.1415039999999999</v>
      </c>
      <c r="J1767">
        <f t="shared" si="82"/>
        <v>0.11726405375139977</v>
      </c>
      <c r="K1767">
        <f t="shared" si="83"/>
        <v>8.2045024810655509E-2</v>
      </c>
    </row>
    <row r="1768" spans="1:11" x14ac:dyDescent="0.25">
      <c r="A1768" s="1">
        <v>2004</v>
      </c>
      <c r="B1768" s="1" t="s">
        <v>99</v>
      </c>
      <c r="C1768" t="s">
        <v>8</v>
      </c>
      <c r="D1768" s="1" t="s">
        <v>3</v>
      </c>
      <c r="E1768">
        <v>38</v>
      </c>
      <c r="F1768" s="1" t="s">
        <v>101</v>
      </c>
      <c r="G1768">
        <v>14</v>
      </c>
      <c r="H1768">
        <v>1</v>
      </c>
      <c r="I1768" s="2">
        <f t="shared" si="81"/>
        <v>1.0689839999999999</v>
      </c>
      <c r="J1768">
        <f t="shared" si="82"/>
        <v>3.9902351623740201E-2</v>
      </c>
      <c r="K1768">
        <f t="shared" si="83"/>
        <v>2.7918098720292502E-2</v>
      </c>
    </row>
    <row r="1769" spans="1:11" x14ac:dyDescent="0.25">
      <c r="A1769" s="1">
        <v>2004</v>
      </c>
      <c r="B1769" s="1" t="s">
        <v>99</v>
      </c>
      <c r="C1769" t="s">
        <v>8</v>
      </c>
      <c r="D1769" s="1" t="s">
        <v>3</v>
      </c>
      <c r="E1769">
        <v>38</v>
      </c>
      <c r="F1769" s="1" t="s">
        <v>101</v>
      </c>
      <c r="G1769">
        <v>18</v>
      </c>
      <c r="H1769">
        <v>60</v>
      </c>
      <c r="I1769" s="2">
        <f t="shared" si="81"/>
        <v>106.02575999999999</v>
      </c>
      <c r="J1769">
        <f t="shared" si="82"/>
        <v>3.9576618141097422</v>
      </c>
      <c r="K1769">
        <f t="shared" si="83"/>
        <v>2.7690195873596237</v>
      </c>
    </row>
    <row r="1770" spans="1:11" x14ac:dyDescent="0.25">
      <c r="A1770" s="1">
        <v>2004</v>
      </c>
      <c r="B1770" s="1" t="s">
        <v>99</v>
      </c>
      <c r="C1770" t="s">
        <v>8</v>
      </c>
      <c r="D1770" s="1" t="s">
        <v>3</v>
      </c>
      <c r="E1770">
        <v>38</v>
      </c>
      <c r="F1770" s="1" t="s">
        <v>101</v>
      </c>
      <c r="G1770">
        <v>20</v>
      </c>
      <c r="H1770">
        <v>18</v>
      </c>
      <c r="I1770" s="2">
        <f t="shared" si="81"/>
        <v>39.268799999999999</v>
      </c>
      <c r="J1770">
        <f t="shared" si="82"/>
        <v>1.4658006718924972</v>
      </c>
      <c r="K1770">
        <f t="shared" si="83"/>
        <v>1.0255628101331939</v>
      </c>
    </row>
    <row r="1771" spans="1:11" x14ac:dyDescent="0.25">
      <c r="A1771" s="1">
        <v>2004</v>
      </c>
      <c r="B1771" s="1" t="s">
        <v>99</v>
      </c>
      <c r="C1771" t="s">
        <v>8</v>
      </c>
      <c r="D1771" s="1" t="s">
        <v>3</v>
      </c>
      <c r="E1771">
        <v>38</v>
      </c>
      <c r="F1771" s="1" t="s">
        <v>101</v>
      </c>
      <c r="G1771">
        <v>22</v>
      </c>
      <c r="H1771">
        <v>2</v>
      </c>
      <c r="I1771" s="2">
        <f t="shared" si="81"/>
        <v>5.2794719999999993</v>
      </c>
      <c r="J1771">
        <f t="shared" si="82"/>
        <v>0.19706875699888016</v>
      </c>
      <c r="K1771">
        <f t="shared" si="83"/>
        <v>0.1378812222512405</v>
      </c>
    </row>
    <row r="1772" spans="1:11" x14ac:dyDescent="0.25">
      <c r="A1772" s="1">
        <v>2004</v>
      </c>
      <c r="B1772" s="1" t="s">
        <v>99</v>
      </c>
      <c r="C1772" t="s">
        <v>8</v>
      </c>
      <c r="D1772" s="1" t="s">
        <v>3</v>
      </c>
      <c r="E1772">
        <v>40</v>
      </c>
      <c r="F1772" s="1" t="s">
        <v>101</v>
      </c>
      <c r="G1772">
        <v>6</v>
      </c>
      <c r="H1772">
        <v>3</v>
      </c>
      <c r="I1772" s="2">
        <f t="shared" si="81"/>
        <v>0.589032</v>
      </c>
      <c r="J1772">
        <f t="shared" si="82"/>
        <v>2.1987010078387458E-2</v>
      </c>
      <c r="K1772">
        <f t="shared" si="83"/>
        <v>1.538344215199791E-2</v>
      </c>
    </row>
    <row r="1773" spans="1:11" x14ac:dyDescent="0.25">
      <c r="A1773" s="1">
        <v>2004</v>
      </c>
      <c r="B1773" s="1" t="s">
        <v>99</v>
      </c>
      <c r="C1773" t="s">
        <v>8</v>
      </c>
      <c r="D1773" s="1" t="s">
        <v>3</v>
      </c>
      <c r="E1773">
        <v>40</v>
      </c>
      <c r="F1773" s="1" t="s">
        <v>101</v>
      </c>
      <c r="G1773">
        <v>8</v>
      </c>
      <c r="H1773">
        <v>2</v>
      </c>
      <c r="I1773" s="2">
        <f t="shared" si="81"/>
        <v>0.69811199999999995</v>
      </c>
      <c r="J1773">
        <f t="shared" si="82"/>
        <v>2.6058678611422172E-2</v>
      </c>
      <c r="K1773">
        <f t="shared" si="83"/>
        <v>1.8232227735701226E-2</v>
      </c>
    </row>
    <row r="1774" spans="1:11" x14ac:dyDescent="0.25">
      <c r="A1774" s="1">
        <v>2004</v>
      </c>
      <c r="B1774" s="1" t="s">
        <v>99</v>
      </c>
      <c r="C1774" t="s">
        <v>8</v>
      </c>
      <c r="D1774" s="1" t="s">
        <v>3</v>
      </c>
      <c r="E1774">
        <v>40</v>
      </c>
      <c r="F1774" s="1" t="s">
        <v>101</v>
      </c>
      <c r="G1774">
        <v>12</v>
      </c>
      <c r="H1774">
        <v>1</v>
      </c>
      <c r="I1774" s="2">
        <f t="shared" si="81"/>
        <v>0.78537599999999996</v>
      </c>
      <c r="J1774">
        <f t="shared" si="82"/>
        <v>2.9316013437849942E-2</v>
      </c>
      <c r="K1774">
        <f t="shared" si="83"/>
        <v>2.0511256202663877E-2</v>
      </c>
    </row>
    <row r="1775" spans="1:11" x14ac:dyDescent="0.25">
      <c r="A1775" s="1">
        <v>2004</v>
      </c>
      <c r="B1775" s="1" t="s">
        <v>99</v>
      </c>
      <c r="C1775" t="s">
        <v>8</v>
      </c>
      <c r="D1775" s="1" t="s">
        <v>3</v>
      </c>
      <c r="E1775">
        <v>40</v>
      </c>
      <c r="F1775" s="1" t="s">
        <v>101</v>
      </c>
      <c r="G1775">
        <v>14</v>
      </c>
      <c r="H1775">
        <v>2</v>
      </c>
      <c r="I1775" s="2">
        <f t="shared" si="81"/>
        <v>2.1379679999999999</v>
      </c>
      <c r="J1775">
        <f t="shared" si="82"/>
        <v>7.9804703247480402E-2</v>
      </c>
      <c r="K1775">
        <f t="shared" si="83"/>
        <v>5.5836197440585003E-2</v>
      </c>
    </row>
    <row r="1776" spans="1:11" x14ac:dyDescent="0.25">
      <c r="A1776" s="1">
        <v>2004</v>
      </c>
      <c r="B1776" s="1" t="s">
        <v>99</v>
      </c>
      <c r="C1776" t="s">
        <v>8</v>
      </c>
      <c r="D1776" s="1" t="s">
        <v>3</v>
      </c>
      <c r="E1776">
        <v>40</v>
      </c>
      <c r="F1776" s="1" t="s">
        <v>101</v>
      </c>
      <c r="G1776">
        <v>18</v>
      </c>
      <c r="H1776">
        <v>82</v>
      </c>
      <c r="I1776" s="2">
        <f t="shared" si="81"/>
        <v>144.90187199999997</v>
      </c>
      <c r="J1776">
        <f t="shared" si="82"/>
        <v>5.4088044792833134</v>
      </c>
      <c r="K1776">
        <f t="shared" si="83"/>
        <v>3.7843267693914848</v>
      </c>
    </row>
    <row r="1777" spans="1:11" x14ac:dyDescent="0.25">
      <c r="A1777" s="1">
        <v>2004</v>
      </c>
      <c r="B1777" s="1" t="s">
        <v>99</v>
      </c>
      <c r="C1777" t="s">
        <v>8</v>
      </c>
      <c r="D1777" s="1" t="s">
        <v>3</v>
      </c>
      <c r="E1777">
        <v>40</v>
      </c>
      <c r="F1777" s="1" t="s">
        <v>101</v>
      </c>
      <c r="G1777">
        <v>20</v>
      </c>
      <c r="H1777">
        <v>74</v>
      </c>
      <c r="I1777" s="2">
        <f t="shared" si="81"/>
        <v>161.4384</v>
      </c>
      <c r="J1777">
        <f t="shared" si="82"/>
        <v>6.0260694288913772</v>
      </c>
      <c r="K1777">
        <f t="shared" si="83"/>
        <v>4.2162026638809085</v>
      </c>
    </row>
    <row r="1778" spans="1:11" x14ac:dyDescent="0.25">
      <c r="A1778" s="1">
        <v>2004</v>
      </c>
      <c r="B1778" s="1" t="s">
        <v>99</v>
      </c>
      <c r="C1778" t="s">
        <v>8</v>
      </c>
      <c r="D1778" s="1" t="s">
        <v>3</v>
      </c>
      <c r="E1778">
        <v>40</v>
      </c>
      <c r="F1778" s="1" t="s">
        <v>101</v>
      </c>
      <c r="G1778">
        <v>22</v>
      </c>
      <c r="H1778">
        <v>20</v>
      </c>
      <c r="I1778" s="2">
        <f t="shared" si="81"/>
        <v>52.794719999999991</v>
      </c>
      <c r="J1778">
        <f t="shared" si="82"/>
        <v>1.9706875699888016</v>
      </c>
      <c r="K1778">
        <f t="shared" si="83"/>
        <v>1.3788122225124051</v>
      </c>
    </row>
    <row r="1779" spans="1:11" x14ac:dyDescent="0.25">
      <c r="A1779" s="1">
        <v>2004</v>
      </c>
      <c r="B1779" s="1" t="s">
        <v>99</v>
      </c>
      <c r="C1779" t="s">
        <v>8</v>
      </c>
      <c r="D1779" s="1" t="s">
        <v>3</v>
      </c>
      <c r="E1779">
        <v>40</v>
      </c>
      <c r="F1779" s="1" t="s">
        <v>101</v>
      </c>
      <c r="G1779">
        <v>24</v>
      </c>
      <c r="H1779">
        <v>5</v>
      </c>
      <c r="I1779" s="2">
        <f t="shared" si="81"/>
        <v>15.707519999999999</v>
      </c>
      <c r="J1779">
        <f t="shared" si="82"/>
        <v>0.58632026875699883</v>
      </c>
      <c r="K1779">
        <f t="shared" si="83"/>
        <v>0.41022512405327755</v>
      </c>
    </row>
    <row r="1780" spans="1:11" x14ac:dyDescent="0.25">
      <c r="A1780" s="1">
        <v>2004</v>
      </c>
      <c r="B1780" s="1" t="s">
        <v>99</v>
      </c>
      <c r="C1780" t="s">
        <v>8</v>
      </c>
      <c r="D1780" s="1" t="s">
        <v>3</v>
      </c>
      <c r="E1780">
        <v>41</v>
      </c>
      <c r="F1780" s="1" t="s">
        <v>101</v>
      </c>
      <c r="G1780">
        <v>18</v>
      </c>
      <c r="H1780">
        <v>4</v>
      </c>
      <c r="I1780" s="2">
        <f t="shared" si="81"/>
        <v>7.0683839999999991</v>
      </c>
      <c r="J1780">
        <f t="shared" si="82"/>
        <v>0.26384412094064946</v>
      </c>
      <c r="K1780">
        <f t="shared" si="83"/>
        <v>0.18460130582397488</v>
      </c>
    </row>
    <row r="1781" spans="1:11" x14ac:dyDescent="0.25">
      <c r="A1781" s="1">
        <v>2004</v>
      </c>
      <c r="B1781" s="1" t="s">
        <v>99</v>
      </c>
      <c r="C1781" t="s">
        <v>8</v>
      </c>
      <c r="D1781" s="1" t="s">
        <v>3</v>
      </c>
      <c r="E1781">
        <v>41</v>
      </c>
      <c r="F1781" s="1" t="s">
        <v>101</v>
      </c>
      <c r="G1781">
        <v>20</v>
      </c>
      <c r="H1781">
        <v>1</v>
      </c>
      <c r="I1781" s="2">
        <f t="shared" si="81"/>
        <v>2.1816</v>
      </c>
      <c r="J1781">
        <f t="shared" si="82"/>
        <v>8.1433370660694296E-2</v>
      </c>
      <c r="K1781">
        <f t="shared" si="83"/>
        <v>5.6975711674066336E-2</v>
      </c>
    </row>
    <row r="1782" spans="1:11" x14ac:dyDescent="0.25">
      <c r="A1782" s="1">
        <v>2004</v>
      </c>
      <c r="B1782" s="1" t="s">
        <v>99</v>
      </c>
      <c r="C1782" t="s">
        <v>8</v>
      </c>
      <c r="D1782" s="1" t="s">
        <v>3</v>
      </c>
      <c r="E1782">
        <v>41</v>
      </c>
      <c r="F1782" s="1" t="s">
        <v>101</v>
      </c>
      <c r="G1782">
        <v>22</v>
      </c>
      <c r="H1782">
        <v>1</v>
      </c>
      <c r="I1782" s="2">
        <f t="shared" si="81"/>
        <v>2.6397359999999996</v>
      </c>
      <c r="J1782">
        <f t="shared" si="82"/>
        <v>9.8534378499440078E-2</v>
      </c>
      <c r="K1782">
        <f t="shared" si="83"/>
        <v>6.8940611125620249E-2</v>
      </c>
    </row>
    <row r="1783" spans="1:11" x14ac:dyDescent="0.25">
      <c r="A1783" s="1">
        <v>2004</v>
      </c>
      <c r="B1783" s="1" t="s">
        <v>99</v>
      </c>
      <c r="C1783" t="s">
        <v>8</v>
      </c>
      <c r="D1783" s="1" t="s">
        <v>3</v>
      </c>
      <c r="E1783">
        <v>47</v>
      </c>
      <c r="F1783" s="1" t="s">
        <v>101</v>
      </c>
      <c r="G1783">
        <v>18</v>
      </c>
      <c r="H1783">
        <v>2</v>
      </c>
      <c r="I1783" s="2">
        <f t="shared" si="81"/>
        <v>3.5341919999999996</v>
      </c>
      <c r="J1783">
        <f t="shared" si="82"/>
        <v>0.13192206047032473</v>
      </c>
      <c r="K1783">
        <f t="shared" si="83"/>
        <v>9.2300652911987441E-2</v>
      </c>
    </row>
    <row r="1784" spans="1:11" x14ac:dyDescent="0.25">
      <c r="A1784" s="1">
        <v>2004</v>
      </c>
      <c r="B1784" s="1" t="s">
        <v>99</v>
      </c>
      <c r="C1784" t="s">
        <v>8</v>
      </c>
      <c r="D1784" s="1" t="s">
        <v>3</v>
      </c>
      <c r="E1784">
        <v>47</v>
      </c>
      <c r="F1784" s="1" t="s">
        <v>101</v>
      </c>
      <c r="G1784">
        <v>20</v>
      </c>
      <c r="H1784">
        <v>1</v>
      </c>
      <c r="I1784" s="2">
        <f t="shared" si="81"/>
        <v>2.1816</v>
      </c>
      <c r="J1784">
        <f t="shared" si="82"/>
        <v>8.1433370660694296E-2</v>
      </c>
      <c r="K1784">
        <f t="shared" si="83"/>
        <v>5.6975711674066336E-2</v>
      </c>
    </row>
    <row r="1785" spans="1:11" x14ac:dyDescent="0.25">
      <c r="A1785" s="1">
        <v>2004</v>
      </c>
      <c r="B1785" s="1" t="s">
        <v>99</v>
      </c>
      <c r="C1785" t="s">
        <v>8</v>
      </c>
      <c r="D1785" s="1" t="s">
        <v>3</v>
      </c>
      <c r="E1785">
        <v>53</v>
      </c>
      <c r="F1785" s="1" t="s">
        <v>101</v>
      </c>
      <c r="G1785">
        <v>6</v>
      </c>
      <c r="H1785">
        <v>3</v>
      </c>
      <c r="I1785" s="2">
        <f t="shared" si="81"/>
        <v>0.589032</v>
      </c>
      <c r="J1785">
        <f t="shared" si="82"/>
        <v>2.1987010078387458E-2</v>
      </c>
      <c r="K1785">
        <f t="shared" si="83"/>
        <v>1.538344215199791E-2</v>
      </c>
    </row>
    <row r="1786" spans="1:11" x14ac:dyDescent="0.25">
      <c r="A1786" s="1">
        <v>2004</v>
      </c>
      <c r="B1786" s="1" t="s">
        <v>99</v>
      </c>
      <c r="C1786" t="s">
        <v>8</v>
      </c>
      <c r="D1786" s="1" t="s">
        <v>3</v>
      </c>
      <c r="E1786">
        <v>53</v>
      </c>
      <c r="F1786" s="1" t="s">
        <v>101</v>
      </c>
      <c r="G1786">
        <v>8</v>
      </c>
      <c r="H1786">
        <v>3</v>
      </c>
      <c r="I1786" s="2">
        <f t="shared" si="81"/>
        <v>1.0471679999999999</v>
      </c>
      <c r="J1786">
        <f t="shared" si="82"/>
        <v>3.9088017917133254E-2</v>
      </c>
      <c r="K1786">
        <f t="shared" si="83"/>
        <v>2.7348341603551835E-2</v>
      </c>
    </row>
    <row r="1787" spans="1:11" x14ac:dyDescent="0.25">
      <c r="A1787" s="1">
        <v>2004</v>
      </c>
      <c r="B1787" s="1" t="s">
        <v>99</v>
      </c>
      <c r="C1787" t="s">
        <v>8</v>
      </c>
      <c r="D1787" s="1" t="s">
        <v>3</v>
      </c>
      <c r="E1787">
        <v>53</v>
      </c>
      <c r="F1787" s="1" t="s">
        <v>101</v>
      </c>
      <c r="G1787">
        <v>10</v>
      </c>
      <c r="H1787">
        <v>2</v>
      </c>
      <c r="I1787" s="2">
        <f t="shared" si="81"/>
        <v>1.0908</v>
      </c>
      <c r="J1787">
        <f t="shared" si="82"/>
        <v>4.0716685330347148E-2</v>
      </c>
      <c r="K1787">
        <f t="shared" si="83"/>
        <v>2.8487855837033168E-2</v>
      </c>
    </row>
    <row r="1788" spans="1:11" x14ac:dyDescent="0.25">
      <c r="A1788" s="1">
        <v>2004</v>
      </c>
      <c r="B1788" s="1" t="s">
        <v>99</v>
      </c>
      <c r="C1788" t="s">
        <v>8</v>
      </c>
      <c r="D1788" s="1" t="s">
        <v>3</v>
      </c>
      <c r="E1788">
        <v>53</v>
      </c>
      <c r="F1788" s="1" t="s">
        <v>101</v>
      </c>
      <c r="G1788">
        <v>12</v>
      </c>
      <c r="H1788">
        <v>1</v>
      </c>
      <c r="I1788" s="2">
        <f t="shared" si="81"/>
        <v>0.78537599999999996</v>
      </c>
      <c r="J1788">
        <f t="shared" si="82"/>
        <v>2.9316013437849942E-2</v>
      </c>
      <c r="K1788">
        <f t="shared" si="83"/>
        <v>2.0511256202663877E-2</v>
      </c>
    </row>
    <row r="1789" spans="1:11" x14ac:dyDescent="0.25">
      <c r="A1789" s="1">
        <v>2004</v>
      </c>
      <c r="B1789" s="1" t="s">
        <v>99</v>
      </c>
      <c r="C1789" t="s">
        <v>8</v>
      </c>
      <c r="D1789" s="1" t="s">
        <v>3</v>
      </c>
      <c r="E1789">
        <v>53</v>
      </c>
      <c r="F1789" s="1" t="s">
        <v>101</v>
      </c>
      <c r="G1789">
        <v>14</v>
      </c>
      <c r="H1789">
        <v>1</v>
      </c>
      <c r="I1789" s="2">
        <f t="shared" si="81"/>
        <v>1.0689839999999999</v>
      </c>
      <c r="J1789">
        <f t="shared" si="82"/>
        <v>3.9902351623740201E-2</v>
      </c>
      <c r="K1789">
        <f t="shared" si="83"/>
        <v>2.7918098720292502E-2</v>
      </c>
    </row>
    <row r="1790" spans="1:11" x14ac:dyDescent="0.25">
      <c r="A1790" s="1">
        <v>2004</v>
      </c>
      <c r="B1790" s="1" t="s">
        <v>99</v>
      </c>
      <c r="C1790" t="s">
        <v>8</v>
      </c>
      <c r="D1790" s="1" t="s">
        <v>3</v>
      </c>
      <c r="E1790">
        <v>53</v>
      </c>
      <c r="F1790" s="1" t="s">
        <v>101</v>
      </c>
      <c r="G1790">
        <v>18</v>
      </c>
      <c r="H1790">
        <v>11</v>
      </c>
      <c r="I1790" s="2">
        <f t="shared" si="81"/>
        <v>19.438055999999996</v>
      </c>
      <c r="J1790">
        <f t="shared" si="82"/>
        <v>0.72557133258678597</v>
      </c>
      <c r="K1790">
        <f t="shared" si="83"/>
        <v>0.50765359101593088</v>
      </c>
    </row>
    <row r="1791" spans="1:11" x14ac:dyDescent="0.25">
      <c r="A1791" s="1">
        <v>2004</v>
      </c>
      <c r="B1791" s="1" t="s">
        <v>99</v>
      </c>
      <c r="C1791" t="s">
        <v>8</v>
      </c>
      <c r="D1791" s="1" t="s">
        <v>3</v>
      </c>
      <c r="E1791">
        <v>53</v>
      </c>
      <c r="F1791" s="1" t="s">
        <v>101</v>
      </c>
      <c r="G1791">
        <v>20</v>
      </c>
      <c r="H1791">
        <v>9</v>
      </c>
      <c r="I1791" s="2">
        <f t="shared" si="81"/>
        <v>19.634399999999999</v>
      </c>
      <c r="J1791">
        <f t="shared" si="82"/>
        <v>0.73290033594624859</v>
      </c>
      <c r="K1791">
        <f t="shared" si="83"/>
        <v>0.51278140506659697</v>
      </c>
    </row>
    <row r="1792" spans="1:11" x14ac:dyDescent="0.25">
      <c r="A1792" s="1">
        <v>2004</v>
      </c>
      <c r="B1792" s="1" t="s">
        <v>99</v>
      </c>
      <c r="C1792" t="s">
        <v>8</v>
      </c>
      <c r="D1792" s="1" t="s">
        <v>3</v>
      </c>
      <c r="E1792">
        <v>54</v>
      </c>
      <c r="F1792" s="1" t="s">
        <v>101</v>
      </c>
      <c r="G1792">
        <v>6</v>
      </c>
      <c r="H1792">
        <v>3</v>
      </c>
      <c r="I1792" s="2">
        <f t="shared" si="81"/>
        <v>0.589032</v>
      </c>
      <c r="J1792">
        <f t="shared" si="82"/>
        <v>2.1987010078387458E-2</v>
      </c>
      <c r="K1792">
        <f t="shared" si="83"/>
        <v>1.538344215199791E-2</v>
      </c>
    </row>
    <row r="1793" spans="1:11" x14ac:dyDescent="0.25">
      <c r="A1793" s="1">
        <v>2004</v>
      </c>
      <c r="B1793" s="1" t="s">
        <v>99</v>
      </c>
      <c r="C1793" t="s">
        <v>8</v>
      </c>
      <c r="D1793" s="1" t="s">
        <v>3</v>
      </c>
      <c r="E1793">
        <v>54</v>
      </c>
      <c r="F1793" s="1" t="s">
        <v>101</v>
      </c>
      <c r="G1793">
        <v>8</v>
      </c>
      <c r="H1793">
        <v>3</v>
      </c>
      <c r="I1793" s="2">
        <f t="shared" si="81"/>
        <v>1.0471679999999999</v>
      </c>
      <c r="J1793">
        <f t="shared" si="82"/>
        <v>3.9088017917133254E-2</v>
      </c>
      <c r="K1793">
        <f t="shared" si="83"/>
        <v>2.7348341603551835E-2</v>
      </c>
    </row>
    <row r="1794" spans="1:11" x14ac:dyDescent="0.25">
      <c r="A1794" s="1">
        <v>2004</v>
      </c>
      <c r="B1794" s="1" t="s">
        <v>99</v>
      </c>
      <c r="C1794" t="s">
        <v>8</v>
      </c>
      <c r="D1794" s="1" t="s">
        <v>3</v>
      </c>
      <c r="E1794">
        <v>54</v>
      </c>
      <c r="F1794" s="1" t="s">
        <v>101</v>
      </c>
      <c r="G1794">
        <v>10</v>
      </c>
      <c r="H1794">
        <v>1</v>
      </c>
      <c r="I1794" s="2">
        <f t="shared" si="81"/>
        <v>0.5454</v>
      </c>
      <c r="J1794">
        <f t="shared" si="82"/>
        <v>2.0358342665173574E-2</v>
      </c>
      <c r="K1794">
        <f t="shared" si="83"/>
        <v>1.4243927918516584E-2</v>
      </c>
    </row>
    <row r="1795" spans="1:11" x14ac:dyDescent="0.25">
      <c r="A1795" s="1">
        <v>2004</v>
      </c>
      <c r="B1795" s="1" t="s">
        <v>99</v>
      </c>
      <c r="C1795" t="s">
        <v>8</v>
      </c>
      <c r="D1795" s="1" t="s">
        <v>3</v>
      </c>
      <c r="E1795">
        <v>54</v>
      </c>
      <c r="F1795" s="1" t="s">
        <v>101</v>
      </c>
      <c r="G1795">
        <v>16</v>
      </c>
      <c r="H1795">
        <v>2</v>
      </c>
      <c r="I1795" s="2">
        <f t="shared" ref="I1795:I1858" si="84">0.005454*G1795^2*H1795</f>
        <v>2.7924479999999998</v>
      </c>
      <c r="J1795">
        <f t="shared" ref="J1795:J1858" si="85">I1795/26.79</f>
        <v>0.10423471444568869</v>
      </c>
      <c r="K1795">
        <f t="shared" ref="K1795:K1858" si="86">J1795*(26.79/38.29)</f>
        <v>7.2928910942804903E-2</v>
      </c>
    </row>
    <row r="1796" spans="1:11" x14ac:dyDescent="0.25">
      <c r="A1796" s="1">
        <v>2004</v>
      </c>
      <c r="B1796" s="1" t="s">
        <v>99</v>
      </c>
      <c r="C1796" t="s">
        <v>8</v>
      </c>
      <c r="D1796" s="1" t="s">
        <v>3</v>
      </c>
      <c r="E1796">
        <v>54</v>
      </c>
      <c r="F1796" s="1" t="s">
        <v>101</v>
      </c>
      <c r="G1796">
        <v>18</v>
      </c>
      <c r="H1796">
        <v>1</v>
      </c>
      <c r="I1796" s="2">
        <f t="shared" si="84"/>
        <v>1.7670959999999998</v>
      </c>
      <c r="J1796">
        <f t="shared" si="85"/>
        <v>6.5961030235162366E-2</v>
      </c>
      <c r="K1796">
        <f t="shared" si="86"/>
        <v>4.615032645599372E-2</v>
      </c>
    </row>
    <row r="1797" spans="1:11" x14ac:dyDescent="0.25">
      <c r="A1797" s="1">
        <v>2004</v>
      </c>
      <c r="B1797" s="1" t="s">
        <v>99</v>
      </c>
      <c r="C1797" t="s">
        <v>8</v>
      </c>
      <c r="D1797" s="1" t="s">
        <v>3</v>
      </c>
      <c r="E1797">
        <v>56</v>
      </c>
      <c r="F1797" s="1" t="s">
        <v>101</v>
      </c>
      <c r="G1797">
        <v>6</v>
      </c>
      <c r="H1797">
        <v>7</v>
      </c>
      <c r="I1797" s="2">
        <f t="shared" si="84"/>
        <v>1.3744079999999999</v>
      </c>
      <c r="J1797">
        <f t="shared" si="85"/>
        <v>5.1303023516237396E-2</v>
      </c>
      <c r="K1797">
        <f t="shared" si="86"/>
        <v>3.5894698354661782E-2</v>
      </c>
    </row>
    <row r="1798" spans="1:11" x14ac:dyDescent="0.25">
      <c r="A1798" s="1">
        <v>2004</v>
      </c>
      <c r="B1798" s="1" t="s">
        <v>99</v>
      </c>
      <c r="C1798" t="s">
        <v>8</v>
      </c>
      <c r="D1798" s="1" t="s">
        <v>3</v>
      </c>
      <c r="E1798">
        <v>56</v>
      </c>
      <c r="F1798" s="1" t="s">
        <v>101</v>
      </c>
      <c r="G1798">
        <v>8</v>
      </c>
      <c r="H1798">
        <v>3</v>
      </c>
      <c r="I1798" s="2">
        <f t="shared" si="84"/>
        <v>1.0471679999999999</v>
      </c>
      <c r="J1798">
        <f t="shared" si="85"/>
        <v>3.9088017917133254E-2</v>
      </c>
      <c r="K1798">
        <f t="shared" si="86"/>
        <v>2.7348341603551835E-2</v>
      </c>
    </row>
    <row r="1799" spans="1:11" x14ac:dyDescent="0.25">
      <c r="A1799" s="1">
        <v>2004</v>
      </c>
      <c r="B1799" s="1" t="s">
        <v>99</v>
      </c>
      <c r="C1799" t="s">
        <v>8</v>
      </c>
      <c r="D1799" s="1" t="s">
        <v>3</v>
      </c>
      <c r="E1799">
        <v>56</v>
      </c>
      <c r="F1799" s="1" t="s">
        <v>101</v>
      </c>
      <c r="G1799">
        <v>10</v>
      </c>
      <c r="H1799">
        <v>1</v>
      </c>
      <c r="I1799" s="2">
        <f t="shared" si="84"/>
        <v>0.5454</v>
      </c>
      <c r="J1799">
        <f t="shared" si="85"/>
        <v>2.0358342665173574E-2</v>
      </c>
      <c r="K1799">
        <f t="shared" si="86"/>
        <v>1.4243927918516584E-2</v>
      </c>
    </row>
    <row r="1800" spans="1:11" x14ac:dyDescent="0.25">
      <c r="A1800" s="1">
        <v>2004</v>
      </c>
      <c r="B1800" s="1" t="s">
        <v>99</v>
      </c>
      <c r="C1800" t="s">
        <v>8</v>
      </c>
      <c r="D1800" s="1" t="s">
        <v>3</v>
      </c>
      <c r="E1800">
        <v>56</v>
      </c>
      <c r="F1800" s="1" t="s">
        <v>101</v>
      </c>
      <c r="G1800">
        <v>14</v>
      </c>
      <c r="H1800">
        <v>2</v>
      </c>
      <c r="I1800" s="2">
        <f t="shared" si="84"/>
        <v>2.1379679999999999</v>
      </c>
      <c r="J1800">
        <f t="shared" si="85"/>
        <v>7.9804703247480402E-2</v>
      </c>
      <c r="K1800">
        <f t="shared" si="86"/>
        <v>5.5836197440585003E-2</v>
      </c>
    </row>
    <row r="1801" spans="1:11" x14ac:dyDescent="0.25">
      <c r="A1801" s="1">
        <v>2004</v>
      </c>
      <c r="B1801" s="1" t="s">
        <v>99</v>
      </c>
      <c r="C1801" t="s">
        <v>8</v>
      </c>
      <c r="D1801" s="1" t="s">
        <v>3</v>
      </c>
      <c r="E1801">
        <v>56</v>
      </c>
      <c r="F1801" s="1" t="s">
        <v>101</v>
      </c>
      <c r="G1801">
        <v>18</v>
      </c>
      <c r="H1801">
        <v>19</v>
      </c>
      <c r="I1801" s="2">
        <f t="shared" si="84"/>
        <v>33.574823999999992</v>
      </c>
      <c r="J1801">
        <f t="shared" si="85"/>
        <v>1.2532595744680848</v>
      </c>
      <c r="K1801">
        <f t="shared" si="86"/>
        <v>0.87685620266388065</v>
      </c>
    </row>
    <row r="1802" spans="1:11" x14ac:dyDescent="0.25">
      <c r="A1802" s="1">
        <v>2004</v>
      </c>
      <c r="B1802" s="1" t="s">
        <v>99</v>
      </c>
      <c r="C1802" t="s">
        <v>8</v>
      </c>
      <c r="D1802" s="1" t="s">
        <v>3</v>
      </c>
      <c r="E1802">
        <v>56</v>
      </c>
      <c r="F1802" s="1" t="s">
        <v>101</v>
      </c>
      <c r="G1802">
        <v>20</v>
      </c>
      <c r="H1802">
        <v>19</v>
      </c>
      <c r="I1802" s="2">
        <f t="shared" si="84"/>
        <v>41.450400000000002</v>
      </c>
      <c r="J1802">
        <f t="shared" si="85"/>
        <v>1.5472340425531916</v>
      </c>
      <c r="K1802">
        <f t="shared" si="86"/>
        <v>1.0825385218072605</v>
      </c>
    </row>
    <row r="1803" spans="1:11" x14ac:dyDescent="0.25">
      <c r="A1803" s="1">
        <v>2004</v>
      </c>
      <c r="B1803" s="1" t="s">
        <v>99</v>
      </c>
      <c r="C1803" t="s">
        <v>8</v>
      </c>
      <c r="D1803" s="1" t="s">
        <v>3</v>
      </c>
      <c r="E1803">
        <v>56</v>
      </c>
      <c r="F1803" s="1" t="s">
        <v>101</v>
      </c>
      <c r="G1803">
        <v>22</v>
      </c>
      <c r="H1803">
        <v>7</v>
      </c>
      <c r="I1803" s="2">
        <f t="shared" si="84"/>
        <v>18.478151999999998</v>
      </c>
      <c r="J1803">
        <f t="shared" si="85"/>
        <v>0.6897406494960806</v>
      </c>
      <c r="K1803">
        <f t="shared" si="86"/>
        <v>0.48258427787934183</v>
      </c>
    </row>
    <row r="1804" spans="1:11" x14ac:dyDescent="0.25">
      <c r="A1804" s="1">
        <v>2004</v>
      </c>
      <c r="B1804" s="1" t="s">
        <v>99</v>
      </c>
      <c r="C1804" t="s">
        <v>8</v>
      </c>
      <c r="D1804" s="1" t="s">
        <v>3</v>
      </c>
      <c r="E1804">
        <v>58</v>
      </c>
      <c r="F1804" s="1" t="s">
        <v>101</v>
      </c>
      <c r="G1804">
        <v>12</v>
      </c>
      <c r="H1804">
        <v>2</v>
      </c>
      <c r="I1804" s="2">
        <f t="shared" si="84"/>
        <v>1.5707519999999999</v>
      </c>
      <c r="J1804">
        <f t="shared" si="85"/>
        <v>5.8632026875699884E-2</v>
      </c>
      <c r="K1804">
        <f t="shared" si="86"/>
        <v>4.1022512405327755E-2</v>
      </c>
    </row>
    <row r="1805" spans="1:11" x14ac:dyDescent="0.25">
      <c r="A1805" s="1">
        <v>2004</v>
      </c>
      <c r="B1805" s="1" t="s">
        <v>99</v>
      </c>
      <c r="C1805" t="s">
        <v>8</v>
      </c>
      <c r="D1805" s="1" t="s">
        <v>3</v>
      </c>
      <c r="E1805">
        <v>66</v>
      </c>
      <c r="F1805" s="1" t="s">
        <v>101</v>
      </c>
      <c r="G1805">
        <v>6</v>
      </c>
      <c r="H1805">
        <v>3</v>
      </c>
      <c r="I1805" s="2">
        <f t="shared" si="84"/>
        <v>0.589032</v>
      </c>
      <c r="J1805">
        <f t="shared" si="85"/>
        <v>2.1987010078387458E-2</v>
      </c>
      <c r="K1805">
        <f t="shared" si="86"/>
        <v>1.538344215199791E-2</v>
      </c>
    </row>
    <row r="1806" spans="1:11" x14ac:dyDescent="0.25">
      <c r="A1806" s="1">
        <v>2004</v>
      </c>
      <c r="B1806" s="1" t="s">
        <v>99</v>
      </c>
      <c r="C1806" t="s">
        <v>8</v>
      </c>
      <c r="D1806" s="1" t="s">
        <v>3</v>
      </c>
      <c r="E1806">
        <v>66</v>
      </c>
      <c r="F1806" s="1" t="s">
        <v>101</v>
      </c>
      <c r="G1806">
        <v>8</v>
      </c>
      <c r="H1806">
        <v>1</v>
      </c>
      <c r="I1806" s="2">
        <f t="shared" si="84"/>
        <v>0.34905599999999998</v>
      </c>
      <c r="J1806">
        <f t="shared" si="85"/>
        <v>1.3029339305711086E-2</v>
      </c>
      <c r="K1806">
        <f t="shared" si="86"/>
        <v>9.1161138678506129E-3</v>
      </c>
    </row>
    <row r="1807" spans="1:11" x14ac:dyDescent="0.25">
      <c r="A1807" s="1">
        <v>2004</v>
      </c>
      <c r="B1807" s="1" t="s">
        <v>99</v>
      </c>
      <c r="C1807" t="s">
        <v>8</v>
      </c>
      <c r="D1807" s="1" t="s">
        <v>3</v>
      </c>
      <c r="E1807">
        <v>66</v>
      </c>
      <c r="F1807" s="1" t="s">
        <v>101</v>
      </c>
      <c r="G1807">
        <v>12</v>
      </c>
      <c r="H1807">
        <v>1</v>
      </c>
      <c r="I1807" s="2">
        <f t="shared" si="84"/>
        <v>0.78537599999999996</v>
      </c>
      <c r="J1807">
        <f t="shared" si="85"/>
        <v>2.9316013437849942E-2</v>
      </c>
      <c r="K1807">
        <f t="shared" si="86"/>
        <v>2.0511256202663877E-2</v>
      </c>
    </row>
    <row r="1808" spans="1:11" x14ac:dyDescent="0.25">
      <c r="A1808" s="1">
        <v>2004</v>
      </c>
      <c r="B1808" s="1" t="s">
        <v>99</v>
      </c>
      <c r="C1808" t="s">
        <v>8</v>
      </c>
      <c r="D1808" s="1" t="s">
        <v>3</v>
      </c>
      <c r="E1808">
        <v>66</v>
      </c>
      <c r="F1808" s="1" t="s">
        <v>101</v>
      </c>
      <c r="G1808">
        <v>18</v>
      </c>
      <c r="H1808">
        <v>3</v>
      </c>
      <c r="I1808" s="2">
        <f t="shared" si="84"/>
        <v>5.3012879999999996</v>
      </c>
      <c r="J1808">
        <f t="shared" si="85"/>
        <v>0.19788309070548712</v>
      </c>
      <c r="K1808">
        <f t="shared" si="86"/>
        <v>0.13845097936798118</v>
      </c>
    </row>
    <row r="1809" spans="1:11" x14ac:dyDescent="0.25">
      <c r="A1809" s="1">
        <v>2004</v>
      </c>
      <c r="B1809" s="1" t="s">
        <v>99</v>
      </c>
      <c r="C1809" t="s">
        <v>8</v>
      </c>
      <c r="D1809" s="1" t="s">
        <v>3</v>
      </c>
      <c r="E1809">
        <v>66</v>
      </c>
      <c r="F1809" s="1" t="s">
        <v>101</v>
      </c>
      <c r="G1809">
        <v>20</v>
      </c>
      <c r="H1809">
        <v>2</v>
      </c>
      <c r="I1809" s="2">
        <f t="shared" si="84"/>
        <v>4.3632</v>
      </c>
      <c r="J1809">
        <f t="shared" si="85"/>
        <v>0.16286674132138859</v>
      </c>
      <c r="K1809">
        <f t="shared" si="86"/>
        <v>0.11395142334813267</v>
      </c>
    </row>
    <row r="1810" spans="1:11" x14ac:dyDescent="0.25">
      <c r="A1810" s="1">
        <v>2004</v>
      </c>
      <c r="B1810" s="1" t="s">
        <v>99</v>
      </c>
      <c r="C1810" t="s">
        <v>8</v>
      </c>
      <c r="D1810" s="1" t="s">
        <v>3</v>
      </c>
      <c r="E1810">
        <v>71</v>
      </c>
      <c r="F1810" s="1" t="s">
        <v>101</v>
      </c>
      <c r="G1810">
        <v>6</v>
      </c>
      <c r="H1810">
        <v>2</v>
      </c>
      <c r="I1810" s="2">
        <f t="shared" si="84"/>
        <v>0.39268799999999998</v>
      </c>
      <c r="J1810">
        <f t="shared" si="85"/>
        <v>1.4658006718924971E-2</v>
      </c>
      <c r="K1810">
        <f t="shared" si="86"/>
        <v>1.0255628101331939E-2</v>
      </c>
    </row>
    <row r="1811" spans="1:11" x14ac:dyDescent="0.25">
      <c r="A1811" s="1">
        <v>2004</v>
      </c>
      <c r="B1811" s="1" t="s">
        <v>99</v>
      </c>
      <c r="C1811" t="s">
        <v>8</v>
      </c>
      <c r="D1811" s="1" t="s">
        <v>3</v>
      </c>
      <c r="E1811">
        <v>71</v>
      </c>
      <c r="F1811" s="1" t="s">
        <v>101</v>
      </c>
      <c r="G1811">
        <v>8</v>
      </c>
      <c r="H1811">
        <v>2</v>
      </c>
      <c r="I1811" s="2">
        <f t="shared" si="84"/>
        <v>0.69811199999999995</v>
      </c>
      <c r="J1811">
        <f t="shared" si="85"/>
        <v>2.6058678611422172E-2</v>
      </c>
      <c r="K1811">
        <f t="shared" si="86"/>
        <v>1.8232227735701226E-2</v>
      </c>
    </row>
    <row r="1812" spans="1:11" x14ac:dyDescent="0.25">
      <c r="A1812" s="1">
        <v>2004</v>
      </c>
      <c r="B1812" s="1" t="s">
        <v>99</v>
      </c>
      <c r="C1812" t="s">
        <v>8</v>
      </c>
      <c r="D1812" s="1" t="s">
        <v>3</v>
      </c>
      <c r="E1812">
        <v>71</v>
      </c>
      <c r="F1812" s="1" t="s">
        <v>101</v>
      </c>
      <c r="G1812">
        <v>14</v>
      </c>
      <c r="H1812">
        <v>1</v>
      </c>
      <c r="I1812" s="2">
        <f t="shared" si="84"/>
        <v>1.0689839999999999</v>
      </c>
      <c r="J1812">
        <f t="shared" si="85"/>
        <v>3.9902351623740201E-2</v>
      </c>
      <c r="K1812">
        <f t="shared" si="86"/>
        <v>2.7918098720292502E-2</v>
      </c>
    </row>
    <row r="1813" spans="1:11" x14ac:dyDescent="0.25">
      <c r="A1813" s="1">
        <v>2004</v>
      </c>
      <c r="B1813" s="1" t="s">
        <v>99</v>
      </c>
      <c r="C1813" t="s">
        <v>8</v>
      </c>
      <c r="D1813" s="1" t="s">
        <v>3</v>
      </c>
      <c r="E1813">
        <v>71</v>
      </c>
      <c r="F1813" s="1" t="s">
        <v>101</v>
      </c>
      <c r="G1813">
        <v>18</v>
      </c>
      <c r="H1813">
        <v>2</v>
      </c>
      <c r="I1813" s="2">
        <f t="shared" si="84"/>
        <v>3.5341919999999996</v>
      </c>
      <c r="J1813">
        <f t="shared" si="85"/>
        <v>0.13192206047032473</v>
      </c>
      <c r="K1813">
        <f t="shared" si="86"/>
        <v>9.2300652911987441E-2</v>
      </c>
    </row>
    <row r="1814" spans="1:11" x14ac:dyDescent="0.25">
      <c r="A1814" s="1">
        <v>2004</v>
      </c>
      <c r="B1814" s="1" t="s">
        <v>99</v>
      </c>
      <c r="C1814" t="s">
        <v>8</v>
      </c>
      <c r="D1814" s="1" t="s">
        <v>3</v>
      </c>
      <c r="E1814">
        <v>76</v>
      </c>
      <c r="F1814" s="1" t="s">
        <v>101</v>
      </c>
      <c r="G1814">
        <v>6</v>
      </c>
      <c r="H1814">
        <v>7</v>
      </c>
      <c r="I1814" s="2">
        <f t="shared" si="84"/>
        <v>1.3744079999999999</v>
      </c>
      <c r="J1814">
        <f t="shared" si="85"/>
        <v>5.1303023516237396E-2</v>
      </c>
      <c r="K1814">
        <f t="shared" si="86"/>
        <v>3.5894698354661782E-2</v>
      </c>
    </row>
    <row r="1815" spans="1:11" x14ac:dyDescent="0.25">
      <c r="A1815" s="1">
        <v>2004</v>
      </c>
      <c r="B1815" s="1" t="s">
        <v>99</v>
      </c>
      <c r="C1815" t="s">
        <v>8</v>
      </c>
      <c r="D1815" s="1" t="s">
        <v>3</v>
      </c>
      <c r="E1815">
        <v>76</v>
      </c>
      <c r="F1815" s="1" t="s">
        <v>101</v>
      </c>
      <c r="G1815">
        <v>8</v>
      </c>
      <c r="H1815">
        <v>2</v>
      </c>
      <c r="I1815" s="2">
        <f t="shared" si="84"/>
        <v>0.69811199999999995</v>
      </c>
      <c r="J1815">
        <f t="shared" si="85"/>
        <v>2.6058678611422172E-2</v>
      </c>
      <c r="K1815">
        <f t="shared" si="86"/>
        <v>1.8232227735701226E-2</v>
      </c>
    </row>
    <row r="1816" spans="1:11" x14ac:dyDescent="0.25">
      <c r="A1816" s="1">
        <v>2004</v>
      </c>
      <c r="B1816" s="1" t="s">
        <v>99</v>
      </c>
      <c r="C1816" t="s">
        <v>8</v>
      </c>
      <c r="D1816" s="1" t="s">
        <v>3</v>
      </c>
      <c r="E1816">
        <v>76</v>
      </c>
      <c r="F1816" s="1" t="s">
        <v>101</v>
      </c>
      <c r="G1816">
        <v>12</v>
      </c>
      <c r="H1816">
        <v>1</v>
      </c>
      <c r="I1816" s="2">
        <f t="shared" si="84"/>
        <v>0.78537599999999996</v>
      </c>
      <c r="J1816">
        <f t="shared" si="85"/>
        <v>2.9316013437849942E-2</v>
      </c>
      <c r="K1816">
        <f t="shared" si="86"/>
        <v>2.0511256202663877E-2</v>
      </c>
    </row>
    <row r="1817" spans="1:11" x14ac:dyDescent="0.25">
      <c r="A1817" s="1">
        <v>2004</v>
      </c>
      <c r="B1817" s="1" t="s">
        <v>99</v>
      </c>
      <c r="C1817" t="s">
        <v>8</v>
      </c>
      <c r="D1817" s="1" t="s">
        <v>3</v>
      </c>
      <c r="E1817">
        <v>76</v>
      </c>
      <c r="F1817" s="1" t="s">
        <v>101</v>
      </c>
      <c r="G1817">
        <v>14</v>
      </c>
      <c r="H1817">
        <v>1</v>
      </c>
      <c r="I1817" s="2">
        <f t="shared" si="84"/>
        <v>1.0689839999999999</v>
      </c>
      <c r="J1817">
        <f t="shared" si="85"/>
        <v>3.9902351623740201E-2</v>
      </c>
      <c r="K1817">
        <f t="shared" si="86"/>
        <v>2.7918098720292502E-2</v>
      </c>
    </row>
    <row r="1818" spans="1:11" x14ac:dyDescent="0.25">
      <c r="A1818" s="1">
        <v>2004</v>
      </c>
      <c r="B1818" s="1" t="s">
        <v>99</v>
      </c>
      <c r="C1818" t="s">
        <v>8</v>
      </c>
      <c r="D1818" s="1" t="s">
        <v>3</v>
      </c>
      <c r="E1818">
        <v>76</v>
      </c>
      <c r="F1818" s="1" t="s">
        <v>101</v>
      </c>
      <c r="G1818">
        <v>18</v>
      </c>
      <c r="H1818">
        <v>11</v>
      </c>
      <c r="I1818" s="2">
        <f t="shared" si="84"/>
        <v>19.438055999999996</v>
      </c>
      <c r="J1818">
        <f t="shared" si="85"/>
        <v>0.72557133258678597</v>
      </c>
      <c r="K1818">
        <f t="shared" si="86"/>
        <v>0.50765359101593088</v>
      </c>
    </row>
    <row r="1819" spans="1:11" x14ac:dyDescent="0.25">
      <c r="A1819" s="1">
        <v>2004</v>
      </c>
      <c r="B1819" s="1" t="s">
        <v>99</v>
      </c>
      <c r="C1819" t="s">
        <v>8</v>
      </c>
      <c r="D1819" s="1" t="s">
        <v>3</v>
      </c>
      <c r="E1819">
        <v>76</v>
      </c>
      <c r="F1819" s="1" t="s">
        <v>101</v>
      </c>
      <c r="G1819">
        <v>20</v>
      </c>
      <c r="H1819">
        <v>6</v>
      </c>
      <c r="I1819" s="2">
        <f t="shared" si="84"/>
        <v>13.089600000000001</v>
      </c>
      <c r="J1819">
        <f t="shared" si="85"/>
        <v>0.4886002239641658</v>
      </c>
      <c r="K1819">
        <f t="shared" si="86"/>
        <v>0.34185427004439806</v>
      </c>
    </row>
    <row r="1820" spans="1:11" x14ac:dyDescent="0.25">
      <c r="A1820" s="1">
        <v>2004</v>
      </c>
      <c r="B1820" s="1" t="s">
        <v>99</v>
      </c>
      <c r="C1820" t="s">
        <v>8</v>
      </c>
      <c r="D1820" s="1" t="s">
        <v>3</v>
      </c>
      <c r="E1820">
        <v>79</v>
      </c>
      <c r="F1820" s="1" t="s">
        <v>101</v>
      </c>
      <c r="G1820">
        <v>6</v>
      </c>
      <c r="H1820">
        <v>20</v>
      </c>
      <c r="I1820" s="2">
        <f t="shared" si="84"/>
        <v>3.9268799999999997</v>
      </c>
      <c r="J1820">
        <f t="shared" si="85"/>
        <v>0.14658006718924971</v>
      </c>
      <c r="K1820">
        <f t="shared" si="86"/>
        <v>0.10255628101331939</v>
      </c>
    </row>
    <row r="1821" spans="1:11" x14ac:dyDescent="0.25">
      <c r="A1821" s="1">
        <v>2004</v>
      </c>
      <c r="B1821" s="1" t="s">
        <v>99</v>
      </c>
      <c r="C1821" t="s">
        <v>8</v>
      </c>
      <c r="D1821" s="1" t="s">
        <v>3</v>
      </c>
      <c r="E1821">
        <v>79</v>
      </c>
      <c r="F1821" s="1" t="s">
        <v>101</v>
      </c>
      <c r="G1821">
        <v>8</v>
      </c>
      <c r="H1821">
        <v>13</v>
      </c>
      <c r="I1821" s="2">
        <f t="shared" si="84"/>
        <v>4.5377279999999995</v>
      </c>
      <c r="J1821">
        <f t="shared" si="85"/>
        <v>0.16938141097424411</v>
      </c>
      <c r="K1821">
        <f t="shared" si="86"/>
        <v>0.11850948028205796</v>
      </c>
    </row>
    <row r="1822" spans="1:11" x14ac:dyDescent="0.25">
      <c r="A1822" s="1">
        <v>2004</v>
      </c>
      <c r="B1822" s="1" t="s">
        <v>99</v>
      </c>
      <c r="C1822" t="s">
        <v>8</v>
      </c>
      <c r="D1822" s="1" t="s">
        <v>3</v>
      </c>
      <c r="E1822">
        <v>79</v>
      </c>
      <c r="F1822" s="1" t="s">
        <v>101</v>
      </c>
      <c r="G1822">
        <v>10</v>
      </c>
      <c r="H1822">
        <v>8</v>
      </c>
      <c r="I1822" s="2">
        <f t="shared" si="84"/>
        <v>4.3632</v>
      </c>
      <c r="J1822">
        <f t="shared" si="85"/>
        <v>0.16286674132138859</v>
      </c>
      <c r="K1822">
        <f t="shared" si="86"/>
        <v>0.11395142334813267</v>
      </c>
    </row>
    <row r="1823" spans="1:11" x14ac:dyDescent="0.25">
      <c r="A1823" s="1">
        <v>2004</v>
      </c>
      <c r="B1823" s="1" t="s">
        <v>99</v>
      </c>
      <c r="C1823" t="s">
        <v>8</v>
      </c>
      <c r="D1823" s="1" t="s">
        <v>3</v>
      </c>
      <c r="E1823">
        <v>79</v>
      </c>
      <c r="F1823" s="1" t="s">
        <v>101</v>
      </c>
      <c r="G1823">
        <v>12</v>
      </c>
      <c r="H1823">
        <v>8</v>
      </c>
      <c r="I1823" s="2">
        <f t="shared" si="84"/>
        <v>6.2830079999999997</v>
      </c>
      <c r="J1823">
        <f t="shared" si="85"/>
        <v>0.23452810750279954</v>
      </c>
      <c r="K1823">
        <f t="shared" si="86"/>
        <v>0.16409004962131102</v>
      </c>
    </row>
    <row r="1824" spans="1:11" x14ac:dyDescent="0.25">
      <c r="A1824" s="1">
        <v>2004</v>
      </c>
      <c r="B1824" s="1" t="s">
        <v>99</v>
      </c>
      <c r="C1824" t="s">
        <v>8</v>
      </c>
      <c r="D1824" s="1" t="s">
        <v>3</v>
      </c>
      <c r="E1824">
        <v>79</v>
      </c>
      <c r="F1824" s="1" t="s">
        <v>101</v>
      </c>
      <c r="G1824">
        <v>14</v>
      </c>
      <c r="H1824">
        <v>6</v>
      </c>
      <c r="I1824" s="2">
        <f t="shared" si="84"/>
        <v>6.4139039999999996</v>
      </c>
      <c r="J1824">
        <f t="shared" si="85"/>
        <v>0.23941410974244121</v>
      </c>
      <c r="K1824">
        <f t="shared" si="86"/>
        <v>0.16750859232175502</v>
      </c>
    </row>
    <row r="1825" spans="1:11" x14ac:dyDescent="0.25">
      <c r="A1825" s="1">
        <v>2004</v>
      </c>
      <c r="B1825" s="1" t="s">
        <v>99</v>
      </c>
      <c r="C1825" t="s">
        <v>8</v>
      </c>
      <c r="D1825" s="1" t="s">
        <v>3</v>
      </c>
      <c r="E1825">
        <v>79</v>
      </c>
      <c r="F1825" s="1" t="s">
        <v>101</v>
      </c>
      <c r="G1825">
        <v>16</v>
      </c>
      <c r="H1825">
        <v>3</v>
      </c>
      <c r="I1825" s="2">
        <f t="shared" si="84"/>
        <v>4.1886719999999995</v>
      </c>
      <c r="J1825">
        <f t="shared" si="85"/>
        <v>0.15635207166853302</v>
      </c>
      <c r="K1825">
        <f t="shared" si="86"/>
        <v>0.10939336641420734</v>
      </c>
    </row>
    <row r="1826" spans="1:11" x14ac:dyDescent="0.25">
      <c r="A1826" s="1">
        <v>2004</v>
      </c>
      <c r="B1826" s="1" t="s">
        <v>99</v>
      </c>
      <c r="C1826" t="s">
        <v>8</v>
      </c>
      <c r="D1826" s="1" t="s">
        <v>3</v>
      </c>
      <c r="E1826">
        <v>79</v>
      </c>
      <c r="F1826" s="1" t="s">
        <v>101</v>
      </c>
      <c r="G1826">
        <v>18</v>
      </c>
      <c r="H1826">
        <v>40</v>
      </c>
      <c r="I1826" s="2">
        <f t="shared" si="84"/>
        <v>70.683839999999989</v>
      </c>
      <c r="J1826">
        <f t="shared" si="85"/>
        <v>2.6384412094064946</v>
      </c>
      <c r="K1826">
        <f t="shared" si="86"/>
        <v>1.8460130582397489</v>
      </c>
    </row>
    <row r="1827" spans="1:11" x14ac:dyDescent="0.25">
      <c r="A1827" s="1">
        <v>2004</v>
      </c>
      <c r="B1827" s="1" t="s">
        <v>99</v>
      </c>
      <c r="C1827" t="s">
        <v>8</v>
      </c>
      <c r="D1827" s="1" t="s">
        <v>3</v>
      </c>
      <c r="E1827">
        <v>79</v>
      </c>
      <c r="F1827" s="1" t="s">
        <v>101</v>
      </c>
      <c r="G1827">
        <v>20</v>
      </c>
      <c r="H1827">
        <v>21</v>
      </c>
      <c r="I1827" s="2">
        <f t="shared" si="84"/>
        <v>45.813600000000001</v>
      </c>
      <c r="J1827">
        <f t="shared" si="85"/>
        <v>1.7101007838745801</v>
      </c>
      <c r="K1827">
        <f t="shared" si="86"/>
        <v>1.196489945155393</v>
      </c>
    </row>
    <row r="1828" spans="1:11" x14ac:dyDescent="0.25">
      <c r="A1828" s="1">
        <v>2004</v>
      </c>
      <c r="B1828" s="1" t="s">
        <v>99</v>
      </c>
      <c r="C1828" t="s">
        <v>8</v>
      </c>
      <c r="D1828" s="1" t="s">
        <v>3</v>
      </c>
      <c r="E1828">
        <v>79</v>
      </c>
      <c r="F1828" s="1" t="s">
        <v>101</v>
      </c>
      <c r="G1828">
        <v>22</v>
      </c>
      <c r="H1828">
        <v>2</v>
      </c>
      <c r="I1828" s="2">
        <f t="shared" si="84"/>
        <v>5.2794719999999993</v>
      </c>
      <c r="J1828">
        <f t="shared" si="85"/>
        <v>0.19706875699888016</v>
      </c>
      <c r="K1828">
        <f t="shared" si="86"/>
        <v>0.1378812222512405</v>
      </c>
    </row>
    <row r="1829" spans="1:11" x14ac:dyDescent="0.25">
      <c r="A1829" s="1">
        <v>2004</v>
      </c>
      <c r="B1829" s="1" t="s">
        <v>99</v>
      </c>
      <c r="C1829" t="s">
        <v>8</v>
      </c>
      <c r="D1829" s="1" t="s">
        <v>3</v>
      </c>
      <c r="E1829">
        <v>79</v>
      </c>
      <c r="F1829" s="1" t="s">
        <v>101</v>
      </c>
      <c r="G1829">
        <v>24</v>
      </c>
      <c r="H1829">
        <v>1</v>
      </c>
      <c r="I1829" s="2">
        <f t="shared" si="84"/>
        <v>3.1415039999999999</v>
      </c>
      <c r="J1829">
        <f t="shared" si="85"/>
        <v>0.11726405375139977</v>
      </c>
      <c r="K1829">
        <f t="shared" si="86"/>
        <v>8.2045024810655509E-2</v>
      </c>
    </row>
    <row r="1830" spans="1:11" x14ac:dyDescent="0.25">
      <c r="A1830" s="1">
        <v>2004</v>
      </c>
      <c r="B1830" s="1" t="s">
        <v>99</v>
      </c>
      <c r="C1830" t="s">
        <v>8</v>
      </c>
      <c r="D1830" s="1" t="s">
        <v>3</v>
      </c>
      <c r="E1830">
        <v>85</v>
      </c>
      <c r="F1830" s="1" t="s">
        <v>101</v>
      </c>
      <c r="G1830">
        <v>12</v>
      </c>
      <c r="H1830">
        <v>1</v>
      </c>
      <c r="I1830" s="2">
        <f t="shared" si="84"/>
        <v>0.78537599999999996</v>
      </c>
      <c r="J1830">
        <f t="shared" si="85"/>
        <v>2.9316013437849942E-2</v>
      </c>
      <c r="K1830">
        <f t="shared" si="86"/>
        <v>2.0511256202663877E-2</v>
      </c>
    </row>
    <row r="1831" spans="1:11" x14ac:dyDescent="0.25">
      <c r="A1831" s="1">
        <v>2004</v>
      </c>
      <c r="B1831" s="1" t="s">
        <v>99</v>
      </c>
      <c r="C1831" t="s">
        <v>8</v>
      </c>
      <c r="D1831" s="1" t="s">
        <v>3</v>
      </c>
      <c r="E1831">
        <v>85</v>
      </c>
      <c r="F1831" s="1" t="s">
        <v>101</v>
      </c>
      <c r="G1831">
        <v>14</v>
      </c>
      <c r="H1831">
        <v>2</v>
      </c>
      <c r="I1831" s="2">
        <f t="shared" si="84"/>
        <v>2.1379679999999999</v>
      </c>
      <c r="J1831">
        <f t="shared" si="85"/>
        <v>7.9804703247480402E-2</v>
      </c>
      <c r="K1831">
        <f t="shared" si="86"/>
        <v>5.5836197440585003E-2</v>
      </c>
    </row>
    <row r="1832" spans="1:11" x14ac:dyDescent="0.25">
      <c r="A1832" s="1">
        <v>2004</v>
      </c>
      <c r="B1832" s="1" t="s">
        <v>99</v>
      </c>
      <c r="C1832" t="s">
        <v>8</v>
      </c>
      <c r="D1832" s="1" t="s">
        <v>3</v>
      </c>
      <c r="E1832">
        <v>85</v>
      </c>
      <c r="F1832" s="1" t="s">
        <v>101</v>
      </c>
      <c r="G1832">
        <v>16</v>
      </c>
      <c r="H1832">
        <v>3</v>
      </c>
      <c r="I1832" s="2">
        <f t="shared" si="84"/>
        <v>4.1886719999999995</v>
      </c>
      <c r="J1832">
        <f t="shared" si="85"/>
        <v>0.15635207166853302</v>
      </c>
      <c r="K1832">
        <f t="shared" si="86"/>
        <v>0.10939336641420734</v>
      </c>
    </row>
    <row r="1833" spans="1:11" x14ac:dyDescent="0.25">
      <c r="A1833" s="1">
        <v>2004</v>
      </c>
      <c r="B1833" s="1" t="s">
        <v>99</v>
      </c>
      <c r="C1833" t="s">
        <v>8</v>
      </c>
      <c r="D1833" s="1" t="s">
        <v>3</v>
      </c>
      <c r="E1833">
        <v>85</v>
      </c>
      <c r="F1833" s="1" t="s">
        <v>101</v>
      </c>
      <c r="G1833">
        <v>18</v>
      </c>
      <c r="H1833">
        <v>17</v>
      </c>
      <c r="I1833" s="2">
        <f t="shared" si="84"/>
        <v>30.040631999999995</v>
      </c>
      <c r="J1833">
        <f t="shared" si="85"/>
        <v>1.1213375139977602</v>
      </c>
      <c r="K1833">
        <f t="shared" si="86"/>
        <v>0.78455554975189323</v>
      </c>
    </row>
    <row r="1834" spans="1:11" x14ac:dyDescent="0.25">
      <c r="A1834" s="1">
        <v>2004</v>
      </c>
      <c r="B1834" s="1" t="s">
        <v>99</v>
      </c>
      <c r="C1834" t="s">
        <v>8</v>
      </c>
      <c r="D1834" s="1" t="s">
        <v>3</v>
      </c>
      <c r="E1834">
        <v>85</v>
      </c>
      <c r="F1834" s="1" t="s">
        <v>101</v>
      </c>
      <c r="G1834">
        <v>20</v>
      </c>
      <c r="H1834">
        <v>1</v>
      </c>
      <c r="I1834" s="2">
        <f t="shared" si="84"/>
        <v>2.1816</v>
      </c>
      <c r="J1834">
        <f t="shared" si="85"/>
        <v>8.1433370660694296E-2</v>
      </c>
      <c r="K1834">
        <f t="shared" si="86"/>
        <v>5.6975711674066336E-2</v>
      </c>
    </row>
    <row r="1835" spans="1:11" x14ac:dyDescent="0.25">
      <c r="A1835" s="1">
        <v>2004</v>
      </c>
      <c r="B1835" s="1" t="s">
        <v>99</v>
      </c>
      <c r="C1835" t="s">
        <v>8</v>
      </c>
      <c r="D1835" s="1" t="s">
        <v>3</v>
      </c>
      <c r="E1835">
        <v>91</v>
      </c>
      <c r="F1835" s="1" t="s">
        <v>101</v>
      </c>
      <c r="G1835">
        <v>16</v>
      </c>
      <c r="H1835">
        <v>1</v>
      </c>
      <c r="I1835" s="2">
        <f t="shared" si="84"/>
        <v>1.3962239999999999</v>
      </c>
      <c r="J1835">
        <f t="shared" si="85"/>
        <v>5.2117357222844343E-2</v>
      </c>
      <c r="K1835">
        <f t="shared" si="86"/>
        <v>3.6464455471402452E-2</v>
      </c>
    </row>
    <row r="1836" spans="1:11" x14ac:dyDescent="0.25">
      <c r="A1836" s="1">
        <v>2004</v>
      </c>
      <c r="B1836" s="1" t="s">
        <v>99</v>
      </c>
      <c r="C1836" t="s">
        <v>8</v>
      </c>
      <c r="D1836" s="1" t="s">
        <v>3</v>
      </c>
      <c r="E1836">
        <v>91</v>
      </c>
      <c r="F1836" s="1" t="s">
        <v>101</v>
      </c>
      <c r="G1836">
        <v>18</v>
      </c>
      <c r="H1836">
        <v>6</v>
      </c>
      <c r="I1836" s="2">
        <f t="shared" si="84"/>
        <v>10.602575999999999</v>
      </c>
      <c r="J1836">
        <f t="shared" si="85"/>
        <v>0.39576618141097425</v>
      </c>
      <c r="K1836">
        <f t="shared" si="86"/>
        <v>0.27690195873596235</v>
      </c>
    </row>
    <row r="1837" spans="1:11" x14ac:dyDescent="0.25">
      <c r="A1837" s="1">
        <v>2004</v>
      </c>
      <c r="B1837" s="1" t="s">
        <v>99</v>
      </c>
      <c r="C1837" t="s">
        <v>8</v>
      </c>
      <c r="D1837" s="1" t="s">
        <v>3</v>
      </c>
      <c r="E1837">
        <v>91</v>
      </c>
      <c r="F1837" s="1" t="s">
        <v>101</v>
      </c>
      <c r="G1837">
        <v>20</v>
      </c>
      <c r="H1837">
        <v>3</v>
      </c>
      <c r="I1837" s="2">
        <f t="shared" si="84"/>
        <v>6.5448000000000004</v>
      </c>
      <c r="J1837">
        <f t="shared" si="85"/>
        <v>0.2443001119820829</v>
      </c>
      <c r="K1837">
        <f t="shared" si="86"/>
        <v>0.17092713502219903</v>
      </c>
    </row>
    <row r="1838" spans="1:11" x14ac:dyDescent="0.25">
      <c r="A1838" s="1">
        <v>2004</v>
      </c>
      <c r="B1838" s="1" t="s">
        <v>99</v>
      </c>
      <c r="C1838" t="s">
        <v>8</v>
      </c>
      <c r="D1838" s="1" t="s">
        <v>5</v>
      </c>
      <c r="E1838">
        <v>32</v>
      </c>
      <c r="F1838" s="1" t="s">
        <v>101</v>
      </c>
      <c r="G1838">
        <v>18</v>
      </c>
      <c r="H1838">
        <v>1</v>
      </c>
      <c r="I1838" s="2">
        <f t="shared" si="84"/>
        <v>1.7670959999999998</v>
      </c>
      <c r="J1838">
        <f t="shared" si="85"/>
        <v>6.5961030235162366E-2</v>
      </c>
      <c r="K1838">
        <f t="shared" si="86"/>
        <v>4.615032645599372E-2</v>
      </c>
    </row>
    <row r="1839" spans="1:11" x14ac:dyDescent="0.25">
      <c r="A1839" s="1">
        <v>2004</v>
      </c>
      <c r="B1839" s="1" t="s">
        <v>99</v>
      </c>
      <c r="C1839" t="s">
        <v>8</v>
      </c>
      <c r="D1839" s="1" t="s">
        <v>5</v>
      </c>
      <c r="E1839">
        <v>32</v>
      </c>
      <c r="F1839" s="1" t="s">
        <v>101</v>
      </c>
      <c r="G1839">
        <v>20</v>
      </c>
      <c r="H1839">
        <v>1</v>
      </c>
      <c r="I1839" s="2">
        <f t="shared" si="84"/>
        <v>2.1816</v>
      </c>
      <c r="J1839">
        <f t="shared" si="85"/>
        <v>8.1433370660694296E-2</v>
      </c>
      <c r="K1839">
        <f t="shared" si="86"/>
        <v>5.6975711674066336E-2</v>
      </c>
    </row>
    <row r="1840" spans="1:11" x14ac:dyDescent="0.25">
      <c r="A1840" s="1">
        <v>2004</v>
      </c>
      <c r="B1840" s="1" t="s">
        <v>99</v>
      </c>
      <c r="C1840" t="s">
        <v>8</v>
      </c>
      <c r="D1840" s="1" t="s">
        <v>5</v>
      </c>
      <c r="E1840">
        <v>40</v>
      </c>
      <c r="F1840" s="1" t="s">
        <v>101</v>
      </c>
      <c r="G1840">
        <v>20</v>
      </c>
      <c r="H1840">
        <v>1</v>
      </c>
      <c r="I1840" s="2">
        <f t="shared" si="84"/>
        <v>2.1816</v>
      </c>
      <c r="J1840">
        <f t="shared" si="85"/>
        <v>8.1433370660694296E-2</v>
      </c>
      <c r="K1840">
        <f t="shared" si="86"/>
        <v>5.6975711674066336E-2</v>
      </c>
    </row>
    <row r="1841" spans="1:11" x14ac:dyDescent="0.25">
      <c r="A1841" s="1">
        <v>2004</v>
      </c>
      <c r="B1841" s="1" t="s">
        <v>99</v>
      </c>
      <c r="C1841" t="s">
        <v>7</v>
      </c>
      <c r="D1841" s="1" t="s">
        <v>3</v>
      </c>
      <c r="E1841">
        <v>11</v>
      </c>
      <c r="F1841" s="1" t="s">
        <v>101</v>
      </c>
      <c r="G1841">
        <v>6</v>
      </c>
      <c r="H1841">
        <v>1</v>
      </c>
      <c r="I1841" s="2">
        <f t="shared" si="84"/>
        <v>0.19634399999999999</v>
      </c>
      <c r="J1841">
        <f t="shared" si="85"/>
        <v>7.3290033594624856E-3</v>
      </c>
      <c r="K1841">
        <f t="shared" si="86"/>
        <v>5.1278140506659693E-3</v>
      </c>
    </row>
    <row r="1842" spans="1:11" x14ac:dyDescent="0.25">
      <c r="A1842" s="1">
        <v>2004</v>
      </c>
      <c r="B1842" s="1" t="s">
        <v>99</v>
      </c>
      <c r="C1842" t="s">
        <v>7</v>
      </c>
      <c r="D1842" s="1" t="s">
        <v>3</v>
      </c>
      <c r="E1842">
        <v>11</v>
      </c>
      <c r="F1842" s="1" t="s">
        <v>101</v>
      </c>
      <c r="G1842">
        <v>8</v>
      </c>
      <c r="H1842">
        <v>1</v>
      </c>
      <c r="I1842" s="2">
        <f t="shared" si="84"/>
        <v>0.34905599999999998</v>
      </c>
      <c r="J1842">
        <f t="shared" si="85"/>
        <v>1.3029339305711086E-2</v>
      </c>
      <c r="K1842">
        <f t="shared" si="86"/>
        <v>9.1161138678506129E-3</v>
      </c>
    </row>
    <row r="1843" spans="1:11" x14ac:dyDescent="0.25">
      <c r="A1843" s="1">
        <v>2004</v>
      </c>
      <c r="B1843" s="1" t="s">
        <v>99</v>
      </c>
      <c r="C1843" t="s">
        <v>7</v>
      </c>
      <c r="D1843" s="1" t="s">
        <v>3</v>
      </c>
      <c r="E1843">
        <v>11</v>
      </c>
      <c r="F1843" s="1" t="s">
        <v>101</v>
      </c>
      <c r="G1843">
        <v>10</v>
      </c>
      <c r="H1843">
        <v>1</v>
      </c>
      <c r="I1843" s="2">
        <f t="shared" si="84"/>
        <v>0.5454</v>
      </c>
      <c r="J1843">
        <f t="shared" si="85"/>
        <v>2.0358342665173574E-2</v>
      </c>
      <c r="K1843">
        <f t="shared" si="86"/>
        <v>1.4243927918516584E-2</v>
      </c>
    </row>
    <row r="1844" spans="1:11" x14ac:dyDescent="0.25">
      <c r="A1844" s="1">
        <v>2004</v>
      </c>
      <c r="B1844" s="1" t="s">
        <v>99</v>
      </c>
      <c r="C1844" t="s">
        <v>7</v>
      </c>
      <c r="D1844" s="1" t="s">
        <v>3</v>
      </c>
      <c r="E1844">
        <v>21</v>
      </c>
      <c r="F1844" s="1" t="s">
        <v>101</v>
      </c>
      <c r="G1844">
        <v>6</v>
      </c>
      <c r="H1844">
        <v>14</v>
      </c>
      <c r="I1844" s="2">
        <f t="shared" si="84"/>
        <v>2.7488159999999997</v>
      </c>
      <c r="J1844">
        <f t="shared" si="85"/>
        <v>0.10260604703247479</v>
      </c>
      <c r="K1844">
        <f t="shared" si="86"/>
        <v>7.1789396709323564E-2</v>
      </c>
    </row>
    <row r="1845" spans="1:11" x14ac:dyDescent="0.25">
      <c r="A1845" s="1">
        <v>2004</v>
      </c>
      <c r="B1845" s="1" t="s">
        <v>99</v>
      </c>
      <c r="C1845" t="s">
        <v>7</v>
      </c>
      <c r="D1845" s="1" t="s">
        <v>3</v>
      </c>
      <c r="E1845">
        <v>21</v>
      </c>
      <c r="F1845" s="1" t="s">
        <v>101</v>
      </c>
      <c r="G1845">
        <v>8</v>
      </c>
      <c r="H1845">
        <v>11</v>
      </c>
      <c r="I1845" s="2">
        <f t="shared" si="84"/>
        <v>3.8396159999999999</v>
      </c>
      <c r="J1845">
        <f t="shared" si="85"/>
        <v>0.14332273236282195</v>
      </c>
      <c r="K1845">
        <f t="shared" si="86"/>
        <v>0.10027725254635675</v>
      </c>
    </row>
    <row r="1846" spans="1:11" x14ac:dyDescent="0.25">
      <c r="A1846" s="1">
        <v>2004</v>
      </c>
      <c r="B1846" s="1" t="s">
        <v>99</v>
      </c>
      <c r="C1846" t="s">
        <v>7</v>
      </c>
      <c r="D1846" s="1" t="s">
        <v>3</v>
      </c>
      <c r="E1846">
        <v>21</v>
      </c>
      <c r="F1846" s="1" t="s">
        <v>101</v>
      </c>
      <c r="G1846">
        <v>10</v>
      </c>
      <c r="H1846">
        <v>7</v>
      </c>
      <c r="I1846" s="2">
        <f t="shared" si="84"/>
        <v>3.8178000000000001</v>
      </c>
      <c r="J1846">
        <f t="shared" si="85"/>
        <v>0.14250839865621501</v>
      </c>
      <c r="K1846">
        <f t="shared" si="86"/>
        <v>9.9707495429616086E-2</v>
      </c>
    </row>
    <row r="1847" spans="1:11" x14ac:dyDescent="0.25">
      <c r="A1847" s="1">
        <v>2004</v>
      </c>
      <c r="B1847" s="1" t="s">
        <v>99</v>
      </c>
      <c r="C1847" t="s">
        <v>7</v>
      </c>
      <c r="D1847" s="1" t="s">
        <v>3</v>
      </c>
      <c r="E1847">
        <v>21</v>
      </c>
      <c r="F1847" s="1" t="s">
        <v>101</v>
      </c>
      <c r="G1847">
        <v>12</v>
      </c>
      <c r="H1847">
        <v>4</v>
      </c>
      <c r="I1847" s="2">
        <f t="shared" si="84"/>
        <v>3.1415039999999999</v>
      </c>
      <c r="J1847">
        <f t="shared" si="85"/>
        <v>0.11726405375139977</v>
      </c>
      <c r="K1847">
        <f t="shared" si="86"/>
        <v>8.2045024810655509E-2</v>
      </c>
    </row>
    <row r="1848" spans="1:11" x14ac:dyDescent="0.25">
      <c r="A1848" s="1">
        <v>2004</v>
      </c>
      <c r="B1848" s="1" t="s">
        <v>99</v>
      </c>
      <c r="C1848" t="s">
        <v>7</v>
      </c>
      <c r="D1848" s="1" t="s">
        <v>3</v>
      </c>
      <c r="E1848">
        <v>21</v>
      </c>
      <c r="F1848" s="1" t="s">
        <v>101</v>
      </c>
      <c r="G1848">
        <v>16</v>
      </c>
      <c r="H1848">
        <v>1</v>
      </c>
      <c r="I1848" s="2">
        <f t="shared" si="84"/>
        <v>1.3962239999999999</v>
      </c>
      <c r="J1848">
        <f t="shared" si="85"/>
        <v>5.2117357222844343E-2</v>
      </c>
      <c r="K1848">
        <f t="shared" si="86"/>
        <v>3.6464455471402452E-2</v>
      </c>
    </row>
    <row r="1849" spans="1:11" x14ac:dyDescent="0.25">
      <c r="A1849" s="1">
        <v>2004</v>
      </c>
      <c r="B1849" s="1" t="s">
        <v>99</v>
      </c>
      <c r="C1849" t="s">
        <v>7</v>
      </c>
      <c r="D1849" s="1" t="s">
        <v>3</v>
      </c>
      <c r="E1849">
        <v>25</v>
      </c>
      <c r="F1849" s="1" t="s">
        <v>101</v>
      </c>
      <c r="G1849">
        <v>6</v>
      </c>
      <c r="H1849">
        <v>1</v>
      </c>
      <c r="I1849" s="2">
        <f t="shared" si="84"/>
        <v>0.19634399999999999</v>
      </c>
      <c r="J1849">
        <f t="shared" si="85"/>
        <v>7.3290033594624856E-3</v>
      </c>
      <c r="K1849">
        <f t="shared" si="86"/>
        <v>5.1278140506659693E-3</v>
      </c>
    </row>
    <row r="1850" spans="1:11" x14ac:dyDescent="0.25">
      <c r="A1850" s="1">
        <v>2004</v>
      </c>
      <c r="B1850" s="1" t="s">
        <v>99</v>
      </c>
      <c r="C1850" t="s">
        <v>7</v>
      </c>
      <c r="D1850" s="1" t="s">
        <v>3</v>
      </c>
      <c r="E1850">
        <v>25</v>
      </c>
      <c r="F1850" s="1" t="s">
        <v>101</v>
      </c>
      <c r="G1850">
        <v>8</v>
      </c>
      <c r="H1850">
        <v>1</v>
      </c>
      <c r="I1850" s="2">
        <f t="shared" si="84"/>
        <v>0.34905599999999998</v>
      </c>
      <c r="J1850">
        <f t="shared" si="85"/>
        <v>1.3029339305711086E-2</v>
      </c>
      <c r="K1850">
        <f t="shared" si="86"/>
        <v>9.1161138678506129E-3</v>
      </c>
    </row>
    <row r="1851" spans="1:11" x14ac:dyDescent="0.25">
      <c r="A1851" s="1">
        <v>2004</v>
      </c>
      <c r="B1851" s="1" t="s">
        <v>99</v>
      </c>
      <c r="C1851" t="s">
        <v>7</v>
      </c>
      <c r="D1851" s="1" t="s">
        <v>3</v>
      </c>
      <c r="E1851">
        <v>25</v>
      </c>
      <c r="F1851" s="1" t="s">
        <v>101</v>
      </c>
      <c r="G1851">
        <v>10</v>
      </c>
      <c r="H1851">
        <v>1</v>
      </c>
      <c r="I1851" s="2">
        <f t="shared" si="84"/>
        <v>0.5454</v>
      </c>
      <c r="J1851">
        <f t="shared" si="85"/>
        <v>2.0358342665173574E-2</v>
      </c>
      <c r="K1851">
        <f t="shared" si="86"/>
        <v>1.4243927918516584E-2</v>
      </c>
    </row>
    <row r="1852" spans="1:11" x14ac:dyDescent="0.25">
      <c r="A1852" s="1">
        <v>2004</v>
      </c>
      <c r="B1852" s="1" t="s">
        <v>99</v>
      </c>
      <c r="C1852" t="s">
        <v>7</v>
      </c>
      <c r="D1852" s="1" t="s">
        <v>3</v>
      </c>
      <c r="E1852">
        <v>25</v>
      </c>
      <c r="F1852" s="1" t="s">
        <v>101</v>
      </c>
      <c r="G1852">
        <v>14</v>
      </c>
      <c r="H1852">
        <v>1</v>
      </c>
      <c r="I1852" s="2">
        <f t="shared" si="84"/>
        <v>1.0689839999999999</v>
      </c>
      <c r="J1852">
        <f t="shared" si="85"/>
        <v>3.9902351623740201E-2</v>
      </c>
      <c r="K1852">
        <f t="shared" si="86"/>
        <v>2.7918098720292502E-2</v>
      </c>
    </row>
    <row r="1853" spans="1:11" x14ac:dyDescent="0.25">
      <c r="A1853" s="1">
        <v>2004</v>
      </c>
      <c r="B1853" s="1" t="s">
        <v>99</v>
      </c>
      <c r="C1853" t="s">
        <v>7</v>
      </c>
      <c r="D1853" s="1" t="s">
        <v>3</v>
      </c>
      <c r="E1853">
        <v>28</v>
      </c>
      <c r="F1853" s="1" t="s">
        <v>101</v>
      </c>
      <c r="G1853">
        <v>6</v>
      </c>
      <c r="H1853">
        <v>1</v>
      </c>
      <c r="I1853" s="2">
        <f t="shared" si="84"/>
        <v>0.19634399999999999</v>
      </c>
      <c r="J1853">
        <f t="shared" si="85"/>
        <v>7.3290033594624856E-3</v>
      </c>
      <c r="K1853">
        <f t="shared" si="86"/>
        <v>5.1278140506659693E-3</v>
      </c>
    </row>
    <row r="1854" spans="1:11" x14ac:dyDescent="0.25">
      <c r="A1854" s="1">
        <v>2004</v>
      </c>
      <c r="B1854" s="1" t="s">
        <v>99</v>
      </c>
      <c r="C1854" t="s">
        <v>7</v>
      </c>
      <c r="D1854" s="1" t="s">
        <v>3</v>
      </c>
      <c r="E1854">
        <v>28</v>
      </c>
      <c r="F1854" s="1" t="s">
        <v>101</v>
      </c>
      <c r="G1854">
        <v>12</v>
      </c>
      <c r="H1854">
        <v>1</v>
      </c>
      <c r="I1854" s="2">
        <f t="shared" si="84"/>
        <v>0.78537599999999996</v>
      </c>
      <c r="J1854">
        <f t="shared" si="85"/>
        <v>2.9316013437849942E-2</v>
      </c>
      <c r="K1854">
        <f t="shared" si="86"/>
        <v>2.0511256202663877E-2</v>
      </c>
    </row>
    <row r="1855" spans="1:11" x14ac:dyDescent="0.25">
      <c r="A1855" s="1">
        <v>2004</v>
      </c>
      <c r="B1855" s="1" t="s">
        <v>99</v>
      </c>
      <c r="C1855" t="s">
        <v>7</v>
      </c>
      <c r="D1855" s="1" t="s">
        <v>3</v>
      </c>
      <c r="E1855">
        <v>29</v>
      </c>
      <c r="F1855" s="1" t="s">
        <v>101</v>
      </c>
      <c r="G1855">
        <v>6</v>
      </c>
      <c r="H1855">
        <v>44</v>
      </c>
      <c r="I1855" s="2">
        <f t="shared" si="84"/>
        <v>8.6391359999999988</v>
      </c>
      <c r="J1855">
        <f t="shared" si="85"/>
        <v>0.32247614781634937</v>
      </c>
      <c r="K1855">
        <f t="shared" si="86"/>
        <v>0.22562381822930266</v>
      </c>
    </row>
    <row r="1856" spans="1:11" x14ac:dyDescent="0.25">
      <c r="A1856" s="1">
        <v>2004</v>
      </c>
      <c r="B1856" s="1" t="s">
        <v>99</v>
      </c>
      <c r="C1856" t="s">
        <v>7</v>
      </c>
      <c r="D1856" s="1" t="s">
        <v>3</v>
      </c>
      <c r="E1856">
        <v>29</v>
      </c>
      <c r="F1856" s="1" t="s">
        <v>101</v>
      </c>
      <c r="G1856">
        <v>8</v>
      </c>
      <c r="H1856">
        <v>48</v>
      </c>
      <c r="I1856" s="2">
        <f t="shared" si="84"/>
        <v>16.754687999999998</v>
      </c>
      <c r="J1856">
        <f t="shared" si="85"/>
        <v>0.62540828667413206</v>
      </c>
      <c r="K1856">
        <f t="shared" si="86"/>
        <v>0.43757346565682936</v>
      </c>
    </row>
    <row r="1857" spans="1:11" x14ac:dyDescent="0.25">
      <c r="A1857" s="1">
        <v>2004</v>
      </c>
      <c r="B1857" s="1" t="s">
        <v>99</v>
      </c>
      <c r="C1857" t="s">
        <v>7</v>
      </c>
      <c r="D1857" s="1" t="s">
        <v>3</v>
      </c>
      <c r="E1857">
        <v>29</v>
      </c>
      <c r="F1857" s="1" t="s">
        <v>101</v>
      </c>
      <c r="G1857">
        <v>10</v>
      </c>
      <c r="H1857">
        <v>32</v>
      </c>
      <c r="I1857" s="2">
        <f t="shared" si="84"/>
        <v>17.4528</v>
      </c>
      <c r="J1857">
        <f t="shared" si="85"/>
        <v>0.65146696528555437</v>
      </c>
      <c r="K1857">
        <f t="shared" si="86"/>
        <v>0.45580569339253069</v>
      </c>
    </row>
    <row r="1858" spans="1:11" x14ac:dyDescent="0.25">
      <c r="A1858" s="1">
        <v>2004</v>
      </c>
      <c r="B1858" s="1" t="s">
        <v>99</v>
      </c>
      <c r="C1858" t="s">
        <v>7</v>
      </c>
      <c r="D1858" s="1" t="s">
        <v>3</v>
      </c>
      <c r="E1858">
        <v>29</v>
      </c>
      <c r="F1858" s="1" t="s">
        <v>101</v>
      </c>
      <c r="G1858">
        <v>12</v>
      </c>
      <c r="H1858">
        <v>46</v>
      </c>
      <c r="I1858" s="2">
        <f t="shared" si="84"/>
        <v>36.127296000000001</v>
      </c>
      <c r="J1858">
        <f t="shared" si="85"/>
        <v>1.3485366181410976</v>
      </c>
      <c r="K1858">
        <f t="shared" si="86"/>
        <v>0.9435177853225386</v>
      </c>
    </row>
    <row r="1859" spans="1:11" x14ac:dyDescent="0.25">
      <c r="A1859" s="1">
        <v>2004</v>
      </c>
      <c r="B1859" s="1" t="s">
        <v>99</v>
      </c>
      <c r="C1859" t="s">
        <v>7</v>
      </c>
      <c r="D1859" s="1" t="s">
        <v>3</v>
      </c>
      <c r="E1859">
        <v>29</v>
      </c>
      <c r="F1859" s="1" t="s">
        <v>101</v>
      </c>
      <c r="G1859">
        <v>14</v>
      </c>
      <c r="H1859">
        <v>16</v>
      </c>
      <c r="I1859" s="2">
        <f t="shared" ref="I1859:I1922" si="87">0.005454*G1859^2*H1859</f>
        <v>17.103743999999999</v>
      </c>
      <c r="J1859">
        <f t="shared" ref="J1859:J1922" si="88">I1859/26.79</f>
        <v>0.63843762597984322</v>
      </c>
      <c r="K1859">
        <f t="shared" ref="K1859:K1922" si="89">J1859*(26.79/38.29)</f>
        <v>0.44668957952468002</v>
      </c>
    </row>
    <row r="1860" spans="1:11" x14ac:dyDescent="0.25">
      <c r="A1860" s="1">
        <v>2004</v>
      </c>
      <c r="B1860" s="1" t="s">
        <v>99</v>
      </c>
      <c r="C1860" t="s">
        <v>7</v>
      </c>
      <c r="D1860" s="1" t="s">
        <v>3</v>
      </c>
      <c r="E1860">
        <v>29</v>
      </c>
      <c r="F1860" s="1" t="s">
        <v>101</v>
      </c>
      <c r="G1860">
        <v>16</v>
      </c>
      <c r="H1860">
        <v>11</v>
      </c>
      <c r="I1860" s="2">
        <f t="shared" si="87"/>
        <v>15.358464</v>
      </c>
      <c r="J1860">
        <f t="shared" si="88"/>
        <v>0.57329092945128779</v>
      </c>
      <c r="K1860">
        <f t="shared" si="89"/>
        <v>0.401109010185427</v>
      </c>
    </row>
    <row r="1861" spans="1:11" x14ac:dyDescent="0.25">
      <c r="A1861" s="1">
        <v>2004</v>
      </c>
      <c r="B1861" s="1" t="s">
        <v>99</v>
      </c>
      <c r="C1861" t="s">
        <v>7</v>
      </c>
      <c r="D1861" s="1" t="s">
        <v>3</v>
      </c>
      <c r="E1861">
        <v>30</v>
      </c>
      <c r="F1861" s="1" t="s">
        <v>101</v>
      </c>
      <c r="G1861">
        <v>6</v>
      </c>
      <c r="H1861">
        <v>1</v>
      </c>
      <c r="I1861" s="2">
        <f t="shared" si="87"/>
        <v>0.19634399999999999</v>
      </c>
      <c r="J1861">
        <f t="shared" si="88"/>
        <v>7.3290033594624856E-3</v>
      </c>
      <c r="K1861">
        <f t="shared" si="89"/>
        <v>5.1278140506659693E-3</v>
      </c>
    </row>
    <row r="1862" spans="1:11" x14ac:dyDescent="0.25">
      <c r="A1862" s="1">
        <v>2004</v>
      </c>
      <c r="B1862" s="1" t="s">
        <v>99</v>
      </c>
      <c r="C1862" t="s">
        <v>7</v>
      </c>
      <c r="D1862" s="1" t="s">
        <v>3</v>
      </c>
      <c r="E1862">
        <v>30</v>
      </c>
      <c r="F1862" s="1" t="s">
        <v>101</v>
      </c>
      <c r="G1862">
        <v>8</v>
      </c>
      <c r="H1862">
        <v>1</v>
      </c>
      <c r="I1862" s="2">
        <f t="shared" si="87"/>
        <v>0.34905599999999998</v>
      </c>
      <c r="J1862">
        <f t="shared" si="88"/>
        <v>1.3029339305711086E-2</v>
      </c>
      <c r="K1862">
        <f t="shared" si="89"/>
        <v>9.1161138678506129E-3</v>
      </c>
    </row>
    <row r="1863" spans="1:11" x14ac:dyDescent="0.25">
      <c r="A1863" s="1">
        <v>2004</v>
      </c>
      <c r="B1863" s="1" t="s">
        <v>99</v>
      </c>
      <c r="C1863" t="s">
        <v>7</v>
      </c>
      <c r="D1863" s="1" t="s">
        <v>3</v>
      </c>
      <c r="E1863">
        <v>30</v>
      </c>
      <c r="F1863" s="1" t="s">
        <v>101</v>
      </c>
      <c r="G1863">
        <v>10</v>
      </c>
      <c r="H1863">
        <v>2</v>
      </c>
      <c r="I1863" s="2">
        <f t="shared" si="87"/>
        <v>1.0908</v>
      </c>
      <c r="J1863">
        <f t="shared" si="88"/>
        <v>4.0716685330347148E-2</v>
      </c>
      <c r="K1863">
        <f t="shared" si="89"/>
        <v>2.8487855837033168E-2</v>
      </c>
    </row>
    <row r="1864" spans="1:11" x14ac:dyDescent="0.25">
      <c r="A1864" s="1">
        <v>2004</v>
      </c>
      <c r="B1864" s="1" t="s">
        <v>99</v>
      </c>
      <c r="C1864" t="s">
        <v>7</v>
      </c>
      <c r="D1864" s="1" t="s">
        <v>3</v>
      </c>
      <c r="E1864">
        <v>32</v>
      </c>
      <c r="F1864" s="1" t="s">
        <v>101</v>
      </c>
      <c r="G1864">
        <v>6</v>
      </c>
      <c r="H1864">
        <v>195</v>
      </c>
      <c r="I1864" s="2">
        <f t="shared" si="87"/>
        <v>38.287079999999996</v>
      </c>
      <c r="J1864">
        <f t="shared" si="88"/>
        <v>1.4291556550951847</v>
      </c>
      <c r="K1864">
        <f t="shared" si="89"/>
        <v>0.99992373987986405</v>
      </c>
    </row>
    <row r="1865" spans="1:11" x14ac:dyDescent="0.25">
      <c r="A1865" s="1">
        <v>2004</v>
      </c>
      <c r="B1865" s="1" t="s">
        <v>99</v>
      </c>
      <c r="C1865" t="s">
        <v>7</v>
      </c>
      <c r="D1865" s="1" t="s">
        <v>3</v>
      </c>
      <c r="E1865">
        <v>32</v>
      </c>
      <c r="F1865" s="1" t="s">
        <v>101</v>
      </c>
      <c r="G1865">
        <v>8</v>
      </c>
      <c r="H1865">
        <v>83</v>
      </c>
      <c r="I1865" s="2">
        <f t="shared" si="87"/>
        <v>28.971647999999998</v>
      </c>
      <c r="J1865">
        <f t="shared" si="88"/>
        <v>1.0814351623740202</v>
      </c>
      <c r="K1865">
        <f t="shared" si="89"/>
        <v>0.75663745103160085</v>
      </c>
    </row>
    <row r="1866" spans="1:11" x14ac:dyDescent="0.25">
      <c r="A1866" s="1">
        <v>2004</v>
      </c>
      <c r="B1866" s="1" t="s">
        <v>99</v>
      </c>
      <c r="C1866" t="s">
        <v>7</v>
      </c>
      <c r="D1866" s="1" t="s">
        <v>3</v>
      </c>
      <c r="E1866">
        <v>32</v>
      </c>
      <c r="F1866" s="1" t="s">
        <v>101</v>
      </c>
      <c r="G1866">
        <v>10</v>
      </c>
      <c r="H1866">
        <v>58</v>
      </c>
      <c r="I1866" s="2">
        <f t="shared" si="87"/>
        <v>31.633199999999999</v>
      </c>
      <c r="J1866">
        <f t="shared" si="88"/>
        <v>1.1807838745800672</v>
      </c>
      <c r="K1866">
        <f t="shared" si="89"/>
        <v>0.82614781927396175</v>
      </c>
    </row>
    <row r="1867" spans="1:11" x14ac:dyDescent="0.25">
      <c r="A1867" s="1">
        <v>2004</v>
      </c>
      <c r="B1867" s="1" t="s">
        <v>99</v>
      </c>
      <c r="C1867" t="s">
        <v>7</v>
      </c>
      <c r="D1867" s="1" t="s">
        <v>3</v>
      </c>
      <c r="E1867">
        <v>32</v>
      </c>
      <c r="F1867" s="1" t="s">
        <v>101</v>
      </c>
      <c r="G1867">
        <v>12</v>
      </c>
      <c r="H1867">
        <v>37</v>
      </c>
      <c r="I1867" s="2">
        <f t="shared" si="87"/>
        <v>29.058911999999999</v>
      </c>
      <c r="J1867">
        <f t="shared" si="88"/>
        <v>1.0846924972004479</v>
      </c>
      <c r="K1867">
        <f t="shared" si="89"/>
        <v>0.75891647949856356</v>
      </c>
    </row>
    <row r="1868" spans="1:11" x14ac:dyDescent="0.25">
      <c r="A1868" s="1">
        <v>2004</v>
      </c>
      <c r="B1868" s="1" t="s">
        <v>99</v>
      </c>
      <c r="C1868" t="s">
        <v>7</v>
      </c>
      <c r="D1868" s="1" t="s">
        <v>3</v>
      </c>
      <c r="E1868">
        <v>32</v>
      </c>
      <c r="F1868" s="1" t="s">
        <v>101</v>
      </c>
      <c r="G1868">
        <v>14</v>
      </c>
      <c r="H1868">
        <v>7</v>
      </c>
      <c r="I1868" s="2">
        <f t="shared" si="87"/>
        <v>7.4828879999999991</v>
      </c>
      <c r="J1868">
        <f t="shared" si="88"/>
        <v>0.27931646136618138</v>
      </c>
      <c r="K1868">
        <f t="shared" si="89"/>
        <v>0.19542669104204749</v>
      </c>
    </row>
    <row r="1869" spans="1:11" x14ac:dyDescent="0.25">
      <c r="A1869" s="1">
        <v>2004</v>
      </c>
      <c r="B1869" s="1" t="s">
        <v>99</v>
      </c>
      <c r="C1869" t="s">
        <v>7</v>
      </c>
      <c r="D1869" s="1" t="s">
        <v>3</v>
      </c>
      <c r="E1869">
        <v>32</v>
      </c>
      <c r="F1869" s="1" t="s">
        <v>101</v>
      </c>
      <c r="G1869">
        <v>16</v>
      </c>
      <c r="H1869">
        <v>3</v>
      </c>
      <c r="I1869" s="2">
        <f t="shared" si="87"/>
        <v>4.1886719999999995</v>
      </c>
      <c r="J1869">
        <f t="shared" si="88"/>
        <v>0.15635207166853302</v>
      </c>
      <c r="K1869">
        <f t="shared" si="89"/>
        <v>0.10939336641420734</v>
      </c>
    </row>
    <row r="1870" spans="1:11" x14ac:dyDescent="0.25">
      <c r="A1870" s="1">
        <v>2004</v>
      </c>
      <c r="B1870" s="1" t="s">
        <v>99</v>
      </c>
      <c r="C1870" t="s">
        <v>7</v>
      </c>
      <c r="D1870" s="1" t="s">
        <v>3</v>
      </c>
      <c r="E1870">
        <v>34</v>
      </c>
      <c r="F1870" s="1" t="s">
        <v>101</v>
      </c>
      <c r="G1870">
        <v>6</v>
      </c>
      <c r="H1870">
        <v>18</v>
      </c>
      <c r="I1870" s="2">
        <f t="shared" si="87"/>
        <v>3.534192</v>
      </c>
      <c r="J1870">
        <f t="shared" si="88"/>
        <v>0.13192206047032476</v>
      </c>
      <c r="K1870">
        <f t="shared" si="89"/>
        <v>9.2300652911987469E-2</v>
      </c>
    </row>
    <row r="1871" spans="1:11" x14ac:dyDescent="0.25">
      <c r="A1871" s="1">
        <v>2004</v>
      </c>
      <c r="B1871" s="1" t="s">
        <v>99</v>
      </c>
      <c r="C1871" t="s">
        <v>7</v>
      </c>
      <c r="D1871" s="1" t="s">
        <v>3</v>
      </c>
      <c r="E1871">
        <v>34</v>
      </c>
      <c r="F1871" s="1" t="s">
        <v>101</v>
      </c>
      <c r="G1871">
        <v>8</v>
      </c>
      <c r="H1871">
        <v>31</v>
      </c>
      <c r="I1871" s="2">
        <f t="shared" si="87"/>
        <v>10.820736</v>
      </c>
      <c r="J1871">
        <f t="shared" si="88"/>
        <v>0.40390951847704371</v>
      </c>
      <c r="K1871">
        <f t="shared" si="89"/>
        <v>0.28259952990336901</v>
      </c>
    </row>
    <row r="1872" spans="1:11" x14ac:dyDescent="0.25">
      <c r="A1872" s="1">
        <v>2004</v>
      </c>
      <c r="B1872" s="1" t="s">
        <v>99</v>
      </c>
      <c r="C1872" t="s">
        <v>7</v>
      </c>
      <c r="D1872" s="1" t="s">
        <v>3</v>
      </c>
      <c r="E1872">
        <v>34</v>
      </c>
      <c r="F1872" s="1" t="s">
        <v>101</v>
      </c>
      <c r="G1872">
        <v>10</v>
      </c>
      <c r="H1872">
        <v>31</v>
      </c>
      <c r="I1872" s="2">
        <f t="shared" si="87"/>
        <v>16.907399999999999</v>
      </c>
      <c r="J1872">
        <f t="shared" si="88"/>
        <v>0.6311086226203807</v>
      </c>
      <c r="K1872">
        <f t="shared" si="89"/>
        <v>0.44156176547401405</v>
      </c>
    </row>
    <row r="1873" spans="1:11" x14ac:dyDescent="0.25">
      <c r="A1873" s="1">
        <v>2004</v>
      </c>
      <c r="B1873" s="1" t="s">
        <v>99</v>
      </c>
      <c r="C1873" t="s">
        <v>7</v>
      </c>
      <c r="D1873" s="1" t="s">
        <v>3</v>
      </c>
      <c r="E1873">
        <v>34</v>
      </c>
      <c r="F1873" s="1" t="s">
        <v>101</v>
      </c>
      <c r="G1873">
        <v>12</v>
      </c>
      <c r="H1873">
        <v>28</v>
      </c>
      <c r="I1873" s="2">
        <f t="shared" si="87"/>
        <v>21.990527999999998</v>
      </c>
      <c r="J1873">
        <f t="shared" si="88"/>
        <v>0.82084837625979834</v>
      </c>
      <c r="K1873">
        <f t="shared" si="89"/>
        <v>0.57431517367458851</v>
      </c>
    </row>
    <row r="1874" spans="1:11" x14ac:dyDescent="0.25">
      <c r="A1874" s="1">
        <v>2004</v>
      </c>
      <c r="B1874" s="1" t="s">
        <v>99</v>
      </c>
      <c r="C1874" t="s">
        <v>7</v>
      </c>
      <c r="D1874" s="1" t="s">
        <v>3</v>
      </c>
      <c r="E1874">
        <v>34</v>
      </c>
      <c r="F1874" s="1" t="s">
        <v>101</v>
      </c>
      <c r="G1874">
        <v>14</v>
      </c>
      <c r="H1874">
        <v>28</v>
      </c>
      <c r="I1874" s="2">
        <f t="shared" si="87"/>
        <v>29.931551999999996</v>
      </c>
      <c r="J1874">
        <f t="shared" si="88"/>
        <v>1.1172658454647255</v>
      </c>
      <c r="K1874">
        <f t="shared" si="89"/>
        <v>0.78170676416818996</v>
      </c>
    </row>
    <row r="1875" spans="1:11" x14ac:dyDescent="0.25">
      <c r="A1875" s="1">
        <v>2004</v>
      </c>
      <c r="B1875" s="1" t="s">
        <v>99</v>
      </c>
      <c r="C1875" t="s">
        <v>7</v>
      </c>
      <c r="D1875" s="1" t="s">
        <v>3</v>
      </c>
      <c r="E1875">
        <v>34</v>
      </c>
      <c r="F1875" s="1" t="s">
        <v>101</v>
      </c>
      <c r="G1875">
        <v>16</v>
      </c>
      <c r="H1875">
        <v>20</v>
      </c>
      <c r="I1875" s="2">
        <f t="shared" si="87"/>
        <v>27.924479999999999</v>
      </c>
      <c r="J1875">
        <f t="shared" si="88"/>
        <v>1.0423471444568868</v>
      </c>
      <c r="K1875">
        <f t="shared" si="89"/>
        <v>0.72928910942804903</v>
      </c>
    </row>
    <row r="1876" spans="1:11" x14ac:dyDescent="0.25">
      <c r="A1876" s="1">
        <v>2004</v>
      </c>
      <c r="B1876" s="1" t="s">
        <v>99</v>
      </c>
      <c r="C1876" t="s">
        <v>7</v>
      </c>
      <c r="D1876" s="1" t="s">
        <v>3</v>
      </c>
      <c r="E1876">
        <v>38</v>
      </c>
      <c r="F1876" s="1" t="s">
        <v>101</v>
      </c>
      <c r="G1876">
        <v>6</v>
      </c>
      <c r="H1876">
        <v>18</v>
      </c>
      <c r="I1876" s="2">
        <f t="shared" si="87"/>
        <v>3.534192</v>
      </c>
      <c r="J1876">
        <f t="shared" si="88"/>
        <v>0.13192206047032476</v>
      </c>
      <c r="K1876">
        <f t="shared" si="89"/>
        <v>9.2300652911987469E-2</v>
      </c>
    </row>
    <row r="1877" spans="1:11" x14ac:dyDescent="0.25">
      <c r="A1877" s="1">
        <v>2004</v>
      </c>
      <c r="B1877" s="1" t="s">
        <v>99</v>
      </c>
      <c r="C1877" t="s">
        <v>7</v>
      </c>
      <c r="D1877" s="1" t="s">
        <v>3</v>
      </c>
      <c r="E1877">
        <v>38</v>
      </c>
      <c r="F1877" s="1" t="s">
        <v>101</v>
      </c>
      <c r="G1877">
        <v>8</v>
      </c>
      <c r="H1877">
        <v>38</v>
      </c>
      <c r="I1877" s="2">
        <f t="shared" si="87"/>
        <v>13.264127999999999</v>
      </c>
      <c r="J1877">
        <f t="shared" si="88"/>
        <v>0.49511489361702127</v>
      </c>
      <c r="K1877">
        <f t="shared" si="89"/>
        <v>0.3464123269783233</v>
      </c>
    </row>
    <row r="1878" spans="1:11" x14ac:dyDescent="0.25">
      <c r="A1878" s="1">
        <v>2004</v>
      </c>
      <c r="B1878" s="1" t="s">
        <v>99</v>
      </c>
      <c r="C1878" t="s">
        <v>7</v>
      </c>
      <c r="D1878" s="1" t="s">
        <v>3</v>
      </c>
      <c r="E1878">
        <v>38</v>
      </c>
      <c r="F1878" s="1" t="s">
        <v>101</v>
      </c>
      <c r="G1878">
        <v>10</v>
      </c>
      <c r="H1878">
        <v>68</v>
      </c>
      <c r="I1878" s="2">
        <f t="shared" si="87"/>
        <v>37.087200000000003</v>
      </c>
      <c r="J1878">
        <f t="shared" si="88"/>
        <v>1.384367301231803</v>
      </c>
      <c r="K1878">
        <f t="shared" si="89"/>
        <v>0.96858709845912772</v>
      </c>
    </row>
    <row r="1879" spans="1:11" x14ac:dyDescent="0.25">
      <c r="A1879" s="1">
        <v>2004</v>
      </c>
      <c r="B1879" s="1" t="s">
        <v>99</v>
      </c>
      <c r="C1879" t="s">
        <v>7</v>
      </c>
      <c r="D1879" s="1" t="s">
        <v>3</v>
      </c>
      <c r="E1879">
        <v>38</v>
      </c>
      <c r="F1879" s="1" t="s">
        <v>101</v>
      </c>
      <c r="G1879">
        <v>12</v>
      </c>
      <c r="H1879">
        <v>73</v>
      </c>
      <c r="I1879" s="2">
        <f t="shared" si="87"/>
        <v>57.332447999999999</v>
      </c>
      <c r="J1879">
        <f t="shared" si="88"/>
        <v>2.1400689809630458</v>
      </c>
      <c r="K1879">
        <f t="shared" si="89"/>
        <v>1.4973217027944632</v>
      </c>
    </row>
    <row r="1880" spans="1:11" x14ac:dyDescent="0.25">
      <c r="A1880" s="1">
        <v>2004</v>
      </c>
      <c r="B1880" s="1" t="s">
        <v>99</v>
      </c>
      <c r="C1880" t="s">
        <v>7</v>
      </c>
      <c r="D1880" s="1" t="s">
        <v>3</v>
      </c>
      <c r="E1880">
        <v>38</v>
      </c>
      <c r="F1880" s="1" t="s">
        <v>101</v>
      </c>
      <c r="G1880">
        <v>14</v>
      </c>
      <c r="H1880">
        <v>78</v>
      </c>
      <c r="I1880" s="2">
        <f t="shared" si="87"/>
        <v>83.380752000000001</v>
      </c>
      <c r="J1880">
        <f t="shared" si="88"/>
        <v>3.1123834266517361</v>
      </c>
      <c r="K1880">
        <f t="shared" si="89"/>
        <v>2.1776117001828155</v>
      </c>
    </row>
    <row r="1881" spans="1:11" x14ac:dyDescent="0.25">
      <c r="A1881" s="1">
        <v>2004</v>
      </c>
      <c r="B1881" s="1" t="s">
        <v>99</v>
      </c>
      <c r="C1881" t="s">
        <v>7</v>
      </c>
      <c r="D1881" s="1" t="s">
        <v>3</v>
      </c>
      <c r="E1881">
        <v>38</v>
      </c>
      <c r="F1881" s="1" t="s">
        <v>101</v>
      </c>
      <c r="G1881">
        <v>16</v>
      </c>
      <c r="H1881">
        <v>90</v>
      </c>
      <c r="I1881" s="2">
        <f t="shared" si="87"/>
        <v>125.66015999999999</v>
      </c>
      <c r="J1881">
        <f t="shared" si="88"/>
        <v>4.6905621500559906</v>
      </c>
      <c r="K1881">
        <f t="shared" si="89"/>
        <v>3.2818009924262204</v>
      </c>
    </row>
    <row r="1882" spans="1:11" x14ac:dyDescent="0.25">
      <c r="A1882" s="1">
        <v>2004</v>
      </c>
      <c r="B1882" s="1" t="s">
        <v>99</v>
      </c>
      <c r="C1882" t="s">
        <v>7</v>
      </c>
      <c r="D1882" s="1" t="s">
        <v>3</v>
      </c>
      <c r="E1882">
        <v>38</v>
      </c>
      <c r="F1882" s="1" t="s">
        <v>101</v>
      </c>
      <c r="G1882">
        <v>18</v>
      </c>
      <c r="H1882">
        <v>1</v>
      </c>
      <c r="I1882" s="2">
        <f t="shared" si="87"/>
        <v>1.7670959999999998</v>
      </c>
      <c r="J1882">
        <f t="shared" si="88"/>
        <v>6.5961030235162366E-2</v>
      </c>
      <c r="K1882">
        <f t="shared" si="89"/>
        <v>4.615032645599372E-2</v>
      </c>
    </row>
    <row r="1883" spans="1:11" x14ac:dyDescent="0.25">
      <c r="A1883" s="1">
        <v>2004</v>
      </c>
      <c r="B1883" s="1" t="s">
        <v>99</v>
      </c>
      <c r="C1883" t="s">
        <v>7</v>
      </c>
      <c r="D1883" s="1" t="s">
        <v>3</v>
      </c>
      <c r="E1883">
        <v>40</v>
      </c>
      <c r="F1883" s="1" t="s">
        <v>101</v>
      </c>
      <c r="G1883">
        <v>6</v>
      </c>
      <c r="H1883">
        <v>16</v>
      </c>
      <c r="I1883" s="2">
        <f t="shared" si="87"/>
        <v>3.1415039999999999</v>
      </c>
      <c r="J1883">
        <f t="shared" si="88"/>
        <v>0.11726405375139977</v>
      </c>
      <c r="K1883">
        <f t="shared" si="89"/>
        <v>8.2045024810655509E-2</v>
      </c>
    </row>
    <row r="1884" spans="1:11" x14ac:dyDescent="0.25">
      <c r="A1884" s="1">
        <v>2004</v>
      </c>
      <c r="B1884" s="1" t="s">
        <v>99</v>
      </c>
      <c r="C1884" t="s">
        <v>7</v>
      </c>
      <c r="D1884" s="1" t="s">
        <v>3</v>
      </c>
      <c r="E1884">
        <v>40</v>
      </c>
      <c r="F1884" s="1" t="s">
        <v>101</v>
      </c>
      <c r="G1884">
        <v>8</v>
      </c>
      <c r="H1884">
        <v>22</v>
      </c>
      <c r="I1884" s="2">
        <f t="shared" si="87"/>
        <v>7.6792319999999998</v>
      </c>
      <c r="J1884">
        <f t="shared" si="88"/>
        <v>0.28664546472564389</v>
      </c>
      <c r="K1884">
        <f t="shared" si="89"/>
        <v>0.2005545050927135</v>
      </c>
    </row>
    <row r="1885" spans="1:11" x14ac:dyDescent="0.25">
      <c r="A1885" s="1">
        <v>2004</v>
      </c>
      <c r="B1885" s="1" t="s">
        <v>99</v>
      </c>
      <c r="C1885" t="s">
        <v>7</v>
      </c>
      <c r="D1885" s="1" t="s">
        <v>3</v>
      </c>
      <c r="E1885">
        <v>40</v>
      </c>
      <c r="F1885" s="1" t="s">
        <v>101</v>
      </c>
      <c r="G1885">
        <v>10</v>
      </c>
      <c r="H1885">
        <v>19</v>
      </c>
      <c r="I1885" s="2">
        <f t="shared" si="87"/>
        <v>10.3626</v>
      </c>
      <c r="J1885">
        <f t="shared" si="88"/>
        <v>0.38680851063829791</v>
      </c>
      <c r="K1885">
        <f t="shared" si="89"/>
        <v>0.27063463045181513</v>
      </c>
    </row>
    <row r="1886" spans="1:11" x14ac:dyDescent="0.25">
      <c r="A1886" s="1">
        <v>2004</v>
      </c>
      <c r="B1886" s="1" t="s">
        <v>99</v>
      </c>
      <c r="C1886" t="s">
        <v>7</v>
      </c>
      <c r="D1886" s="1" t="s">
        <v>3</v>
      </c>
      <c r="E1886">
        <v>40</v>
      </c>
      <c r="F1886" s="1" t="s">
        <v>101</v>
      </c>
      <c r="G1886">
        <v>12</v>
      </c>
      <c r="H1886">
        <v>43</v>
      </c>
      <c r="I1886" s="2">
        <f t="shared" si="87"/>
        <v>33.771167999999996</v>
      </c>
      <c r="J1886">
        <f t="shared" si="88"/>
        <v>1.2605885778275474</v>
      </c>
      <c r="K1886">
        <f t="shared" si="89"/>
        <v>0.88198401671454674</v>
      </c>
    </row>
    <row r="1887" spans="1:11" x14ac:dyDescent="0.25">
      <c r="A1887" s="1">
        <v>2004</v>
      </c>
      <c r="B1887" s="1" t="s">
        <v>99</v>
      </c>
      <c r="C1887" t="s">
        <v>7</v>
      </c>
      <c r="D1887" s="1" t="s">
        <v>3</v>
      </c>
      <c r="E1887">
        <v>40</v>
      </c>
      <c r="F1887" s="1" t="s">
        <v>101</v>
      </c>
      <c r="G1887">
        <v>14</v>
      </c>
      <c r="H1887">
        <v>63</v>
      </c>
      <c r="I1887" s="2">
        <f t="shared" si="87"/>
        <v>67.345991999999995</v>
      </c>
      <c r="J1887">
        <f t="shared" si="88"/>
        <v>2.5138481522956324</v>
      </c>
      <c r="K1887">
        <f t="shared" si="89"/>
        <v>1.7588402193784274</v>
      </c>
    </row>
    <row r="1888" spans="1:11" x14ac:dyDescent="0.25">
      <c r="A1888" s="1">
        <v>2004</v>
      </c>
      <c r="B1888" s="1" t="s">
        <v>99</v>
      </c>
      <c r="C1888" t="s">
        <v>7</v>
      </c>
      <c r="D1888" s="1" t="s">
        <v>3</v>
      </c>
      <c r="E1888">
        <v>40</v>
      </c>
      <c r="F1888" s="1" t="s">
        <v>101</v>
      </c>
      <c r="G1888">
        <v>16</v>
      </c>
      <c r="H1888">
        <v>65</v>
      </c>
      <c r="I1888" s="2">
        <f t="shared" si="87"/>
        <v>90.754559999999998</v>
      </c>
      <c r="J1888">
        <f t="shared" si="88"/>
        <v>3.3876282194848826</v>
      </c>
      <c r="K1888">
        <f t="shared" si="89"/>
        <v>2.3701896056411593</v>
      </c>
    </row>
    <row r="1889" spans="1:11" x14ac:dyDescent="0.25">
      <c r="A1889" s="1">
        <v>2004</v>
      </c>
      <c r="B1889" s="1" t="s">
        <v>99</v>
      </c>
      <c r="C1889" t="s">
        <v>7</v>
      </c>
      <c r="D1889" s="1" t="s">
        <v>3</v>
      </c>
      <c r="E1889">
        <v>40</v>
      </c>
      <c r="F1889" s="1" t="s">
        <v>101</v>
      </c>
      <c r="G1889">
        <v>18</v>
      </c>
      <c r="H1889">
        <v>5</v>
      </c>
      <c r="I1889" s="2">
        <f t="shared" si="87"/>
        <v>8.8354799999999987</v>
      </c>
      <c r="J1889">
        <f t="shared" si="88"/>
        <v>0.32980515117581183</v>
      </c>
      <c r="K1889">
        <f t="shared" si="89"/>
        <v>0.23075163227996862</v>
      </c>
    </row>
    <row r="1890" spans="1:11" x14ac:dyDescent="0.25">
      <c r="A1890" s="1">
        <v>2004</v>
      </c>
      <c r="B1890" s="1" t="s">
        <v>99</v>
      </c>
      <c r="C1890" t="s">
        <v>7</v>
      </c>
      <c r="D1890" s="1" t="s">
        <v>3</v>
      </c>
      <c r="E1890">
        <v>40</v>
      </c>
      <c r="F1890" s="1" t="s">
        <v>101</v>
      </c>
      <c r="G1890">
        <v>20</v>
      </c>
      <c r="H1890">
        <v>1</v>
      </c>
      <c r="I1890" s="2">
        <f t="shared" si="87"/>
        <v>2.1816</v>
      </c>
      <c r="J1890">
        <f t="shared" si="88"/>
        <v>8.1433370660694296E-2</v>
      </c>
      <c r="K1890">
        <f t="shared" si="89"/>
        <v>5.6975711674066336E-2</v>
      </c>
    </row>
    <row r="1891" spans="1:11" x14ac:dyDescent="0.25">
      <c r="A1891" s="1">
        <v>2004</v>
      </c>
      <c r="B1891" s="1" t="s">
        <v>99</v>
      </c>
      <c r="C1891" t="s">
        <v>7</v>
      </c>
      <c r="D1891" s="1" t="s">
        <v>3</v>
      </c>
      <c r="E1891">
        <v>41</v>
      </c>
      <c r="F1891" s="1" t="s">
        <v>101</v>
      </c>
      <c r="G1891">
        <v>8</v>
      </c>
      <c r="H1891">
        <v>1</v>
      </c>
      <c r="I1891" s="2">
        <f t="shared" si="87"/>
        <v>0.34905599999999998</v>
      </c>
      <c r="J1891">
        <f t="shared" si="88"/>
        <v>1.3029339305711086E-2</v>
      </c>
      <c r="K1891">
        <f t="shared" si="89"/>
        <v>9.1161138678506129E-3</v>
      </c>
    </row>
    <row r="1892" spans="1:11" x14ac:dyDescent="0.25">
      <c r="A1892" s="1">
        <v>2004</v>
      </c>
      <c r="B1892" s="1" t="s">
        <v>99</v>
      </c>
      <c r="C1892" t="s">
        <v>7</v>
      </c>
      <c r="D1892" s="1" t="s">
        <v>3</v>
      </c>
      <c r="E1892">
        <v>41</v>
      </c>
      <c r="F1892" s="1" t="s">
        <v>101</v>
      </c>
      <c r="G1892">
        <v>10</v>
      </c>
      <c r="H1892">
        <v>2</v>
      </c>
      <c r="I1892" s="2">
        <f t="shared" si="87"/>
        <v>1.0908</v>
      </c>
      <c r="J1892">
        <f t="shared" si="88"/>
        <v>4.0716685330347148E-2</v>
      </c>
      <c r="K1892">
        <f t="shared" si="89"/>
        <v>2.8487855837033168E-2</v>
      </c>
    </row>
    <row r="1893" spans="1:11" x14ac:dyDescent="0.25">
      <c r="A1893" s="1">
        <v>2004</v>
      </c>
      <c r="B1893" s="1" t="s">
        <v>99</v>
      </c>
      <c r="C1893" t="s">
        <v>7</v>
      </c>
      <c r="D1893" s="1" t="s">
        <v>3</v>
      </c>
      <c r="E1893">
        <v>41</v>
      </c>
      <c r="F1893" s="1" t="s">
        <v>101</v>
      </c>
      <c r="G1893">
        <v>12</v>
      </c>
      <c r="H1893">
        <v>1</v>
      </c>
      <c r="I1893" s="2">
        <f t="shared" si="87"/>
        <v>0.78537599999999996</v>
      </c>
      <c r="J1893">
        <f t="shared" si="88"/>
        <v>2.9316013437849942E-2</v>
      </c>
      <c r="K1893">
        <f t="shared" si="89"/>
        <v>2.0511256202663877E-2</v>
      </c>
    </row>
    <row r="1894" spans="1:11" x14ac:dyDescent="0.25">
      <c r="A1894" s="1">
        <v>2004</v>
      </c>
      <c r="B1894" s="1" t="s">
        <v>99</v>
      </c>
      <c r="C1894" t="s">
        <v>7</v>
      </c>
      <c r="D1894" s="1" t="s">
        <v>3</v>
      </c>
      <c r="E1894">
        <v>41</v>
      </c>
      <c r="F1894" s="1" t="s">
        <v>101</v>
      </c>
      <c r="G1894">
        <v>16</v>
      </c>
      <c r="H1894">
        <v>2</v>
      </c>
      <c r="I1894" s="2">
        <f t="shared" si="87"/>
        <v>2.7924479999999998</v>
      </c>
      <c r="J1894">
        <f t="shared" si="88"/>
        <v>0.10423471444568869</v>
      </c>
      <c r="K1894">
        <f t="shared" si="89"/>
        <v>7.2928910942804903E-2</v>
      </c>
    </row>
    <row r="1895" spans="1:11" x14ac:dyDescent="0.25">
      <c r="A1895" s="1">
        <v>2004</v>
      </c>
      <c r="B1895" s="1" t="s">
        <v>99</v>
      </c>
      <c r="C1895" t="s">
        <v>7</v>
      </c>
      <c r="D1895" s="1" t="s">
        <v>3</v>
      </c>
      <c r="E1895">
        <v>47</v>
      </c>
      <c r="F1895" s="1" t="s">
        <v>101</v>
      </c>
      <c r="G1895">
        <v>6</v>
      </c>
      <c r="H1895">
        <v>1</v>
      </c>
      <c r="I1895" s="2">
        <f t="shared" si="87"/>
        <v>0.19634399999999999</v>
      </c>
      <c r="J1895">
        <f t="shared" si="88"/>
        <v>7.3290033594624856E-3</v>
      </c>
      <c r="K1895">
        <f t="shared" si="89"/>
        <v>5.1278140506659693E-3</v>
      </c>
    </row>
    <row r="1896" spans="1:11" x14ac:dyDescent="0.25">
      <c r="A1896" s="1">
        <v>2004</v>
      </c>
      <c r="B1896" s="1" t="s">
        <v>99</v>
      </c>
      <c r="C1896" t="s">
        <v>7</v>
      </c>
      <c r="D1896" s="1" t="s">
        <v>3</v>
      </c>
      <c r="E1896">
        <v>47</v>
      </c>
      <c r="F1896" s="1" t="s">
        <v>101</v>
      </c>
      <c r="G1896">
        <v>12</v>
      </c>
      <c r="H1896">
        <v>1</v>
      </c>
      <c r="I1896" s="2">
        <f t="shared" si="87"/>
        <v>0.78537599999999996</v>
      </c>
      <c r="J1896">
        <f t="shared" si="88"/>
        <v>2.9316013437849942E-2</v>
      </c>
      <c r="K1896">
        <f t="shared" si="89"/>
        <v>2.0511256202663877E-2</v>
      </c>
    </row>
    <row r="1897" spans="1:11" x14ac:dyDescent="0.25">
      <c r="A1897" s="1">
        <v>2004</v>
      </c>
      <c r="B1897" s="1" t="s">
        <v>99</v>
      </c>
      <c r="C1897" t="s">
        <v>7</v>
      </c>
      <c r="D1897" s="1" t="s">
        <v>3</v>
      </c>
      <c r="E1897">
        <v>47</v>
      </c>
      <c r="F1897" s="1" t="s">
        <v>101</v>
      </c>
      <c r="G1897">
        <v>16</v>
      </c>
      <c r="H1897">
        <v>3</v>
      </c>
      <c r="I1897" s="2">
        <f t="shared" si="87"/>
        <v>4.1886719999999995</v>
      </c>
      <c r="J1897">
        <f t="shared" si="88"/>
        <v>0.15635207166853302</v>
      </c>
      <c r="K1897">
        <f t="shared" si="89"/>
        <v>0.10939336641420734</v>
      </c>
    </row>
    <row r="1898" spans="1:11" x14ac:dyDescent="0.25">
      <c r="A1898" s="1">
        <v>2004</v>
      </c>
      <c r="B1898" s="1" t="s">
        <v>99</v>
      </c>
      <c r="C1898" t="s">
        <v>7</v>
      </c>
      <c r="D1898" s="1" t="s">
        <v>3</v>
      </c>
      <c r="E1898">
        <v>53</v>
      </c>
      <c r="F1898" s="1" t="s">
        <v>101</v>
      </c>
      <c r="G1898">
        <v>6</v>
      </c>
      <c r="H1898">
        <v>22</v>
      </c>
      <c r="I1898" s="2">
        <f t="shared" si="87"/>
        <v>4.3195679999999994</v>
      </c>
      <c r="J1898">
        <f t="shared" si="88"/>
        <v>0.16123807390817468</v>
      </c>
      <c r="K1898">
        <f t="shared" si="89"/>
        <v>0.11281190911465133</v>
      </c>
    </row>
    <row r="1899" spans="1:11" x14ac:dyDescent="0.25">
      <c r="A1899" s="1">
        <v>2004</v>
      </c>
      <c r="B1899" s="1" t="s">
        <v>99</v>
      </c>
      <c r="C1899" t="s">
        <v>7</v>
      </c>
      <c r="D1899" s="1" t="s">
        <v>3</v>
      </c>
      <c r="E1899">
        <v>53</v>
      </c>
      <c r="F1899" s="1" t="s">
        <v>101</v>
      </c>
      <c r="G1899">
        <v>8</v>
      </c>
      <c r="H1899">
        <v>18</v>
      </c>
      <c r="I1899" s="2">
        <f t="shared" si="87"/>
        <v>6.2830079999999997</v>
      </c>
      <c r="J1899">
        <f t="shared" si="88"/>
        <v>0.23452810750279954</v>
      </c>
      <c r="K1899">
        <f t="shared" si="89"/>
        <v>0.16409004962131102</v>
      </c>
    </row>
    <row r="1900" spans="1:11" x14ac:dyDescent="0.25">
      <c r="A1900" s="1">
        <v>2004</v>
      </c>
      <c r="B1900" s="1" t="s">
        <v>99</v>
      </c>
      <c r="C1900" t="s">
        <v>7</v>
      </c>
      <c r="D1900" s="1" t="s">
        <v>3</v>
      </c>
      <c r="E1900">
        <v>53</v>
      </c>
      <c r="F1900" s="1" t="s">
        <v>101</v>
      </c>
      <c r="G1900">
        <v>10</v>
      </c>
      <c r="H1900">
        <v>11</v>
      </c>
      <c r="I1900" s="2">
        <f t="shared" si="87"/>
        <v>5.9993999999999996</v>
      </c>
      <c r="J1900">
        <f t="shared" si="88"/>
        <v>0.22394176931690929</v>
      </c>
      <c r="K1900">
        <f t="shared" si="89"/>
        <v>0.15668320710368241</v>
      </c>
    </row>
    <row r="1901" spans="1:11" x14ac:dyDescent="0.25">
      <c r="A1901" s="1">
        <v>2004</v>
      </c>
      <c r="B1901" s="1" t="s">
        <v>99</v>
      </c>
      <c r="C1901" t="s">
        <v>7</v>
      </c>
      <c r="D1901" s="1" t="s">
        <v>3</v>
      </c>
      <c r="E1901">
        <v>53</v>
      </c>
      <c r="F1901" s="1" t="s">
        <v>101</v>
      </c>
      <c r="G1901">
        <v>12</v>
      </c>
      <c r="H1901">
        <v>22</v>
      </c>
      <c r="I1901" s="2">
        <f t="shared" si="87"/>
        <v>17.278271999999998</v>
      </c>
      <c r="J1901">
        <f t="shared" si="88"/>
        <v>0.64495229563269874</v>
      </c>
      <c r="K1901">
        <f t="shared" si="89"/>
        <v>0.45124763645860533</v>
      </c>
    </row>
    <row r="1902" spans="1:11" x14ac:dyDescent="0.25">
      <c r="A1902" s="1">
        <v>2004</v>
      </c>
      <c r="B1902" s="1" t="s">
        <v>99</v>
      </c>
      <c r="C1902" t="s">
        <v>7</v>
      </c>
      <c r="D1902" s="1" t="s">
        <v>3</v>
      </c>
      <c r="E1902">
        <v>53</v>
      </c>
      <c r="F1902" s="1" t="s">
        <v>101</v>
      </c>
      <c r="G1902">
        <v>14</v>
      </c>
      <c r="H1902">
        <v>16</v>
      </c>
      <c r="I1902" s="2">
        <f t="shared" si="87"/>
        <v>17.103743999999999</v>
      </c>
      <c r="J1902">
        <f t="shared" si="88"/>
        <v>0.63843762597984322</v>
      </c>
      <c r="K1902">
        <f t="shared" si="89"/>
        <v>0.44668957952468002</v>
      </c>
    </row>
    <row r="1903" spans="1:11" x14ac:dyDescent="0.25">
      <c r="A1903" s="1">
        <v>2004</v>
      </c>
      <c r="B1903" s="1" t="s">
        <v>99</v>
      </c>
      <c r="C1903" t="s">
        <v>7</v>
      </c>
      <c r="D1903" s="1" t="s">
        <v>3</v>
      </c>
      <c r="E1903">
        <v>53</v>
      </c>
      <c r="F1903" s="1" t="s">
        <v>101</v>
      </c>
      <c r="G1903">
        <v>16</v>
      </c>
      <c r="H1903">
        <v>7</v>
      </c>
      <c r="I1903" s="2">
        <f t="shared" si="87"/>
        <v>9.7735679999999991</v>
      </c>
      <c r="J1903">
        <f t="shared" si="88"/>
        <v>0.36482150055991042</v>
      </c>
      <c r="K1903">
        <f t="shared" si="89"/>
        <v>0.25525118829981719</v>
      </c>
    </row>
    <row r="1904" spans="1:11" x14ac:dyDescent="0.25">
      <c r="A1904" s="1">
        <v>2004</v>
      </c>
      <c r="B1904" s="1" t="s">
        <v>99</v>
      </c>
      <c r="C1904" t="s">
        <v>7</v>
      </c>
      <c r="D1904" s="1" t="s">
        <v>3</v>
      </c>
      <c r="E1904">
        <v>54</v>
      </c>
      <c r="F1904" s="1" t="s">
        <v>101</v>
      </c>
      <c r="G1904">
        <v>6</v>
      </c>
      <c r="H1904">
        <v>42</v>
      </c>
      <c r="I1904" s="2">
        <f t="shared" si="87"/>
        <v>8.2464479999999991</v>
      </c>
      <c r="J1904">
        <f t="shared" si="88"/>
        <v>0.30781814109742439</v>
      </c>
      <c r="K1904">
        <f t="shared" si="89"/>
        <v>0.21536819012797073</v>
      </c>
    </row>
    <row r="1905" spans="1:11" x14ac:dyDescent="0.25">
      <c r="A1905" s="1">
        <v>2004</v>
      </c>
      <c r="B1905" s="1" t="s">
        <v>99</v>
      </c>
      <c r="C1905" t="s">
        <v>7</v>
      </c>
      <c r="D1905" s="1" t="s">
        <v>3</v>
      </c>
      <c r="E1905">
        <v>54</v>
      </c>
      <c r="F1905" s="1" t="s">
        <v>101</v>
      </c>
      <c r="G1905">
        <v>8</v>
      </c>
      <c r="H1905">
        <v>26</v>
      </c>
      <c r="I1905" s="2">
        <f t="shared" si="87"/>
        <v>9.0754559999999991</v>
      </c>
      <c r="J1905">
        <f t="shared" si="88"/>
        <v>0.33876282194848822</v>
      </c>
      <c r="K1905">
        <f t="shared" si="89"/>
        <v>0.23701896056411592</v>
      </c>
    </row>
    <row r="1906" spans="1:11" x14ac:dyDescent="0.25">
      <c r="A1906" s="1">
        <v>2004</v>
      </c>
      <c r="B1906" s="1" t="s">
        <v>99</v>
      </c>
      <c r="C1906" t="s">
        <v>7</v>
      </c>
      <c r="D1906" s="1" t="s">
        <v>3</v>
      </c>
      <c r="E1906">
        <v>54</v>
      </c>
      <c r="F1906" s="1" t="s">
        <v>101</v>
      </c>
      <c r="G1906">
        <v>10</v>
      </c>
      <c r="H1906">
        <v>22</v>
      </c>
      <c r="I1906" s="2">
        <f t="shared" si="87"/>
        <v>11.998799999999999</v>
      </c>
      <c r="J1906">
        <f t="shared" si="88"/>
        <v>0.44788353863381858</v>
      </c>
      <c r="K1906">
        <f t="shared" si="89"/>
        <v>0.31336641420736483</v>
      </c>
    </row>
    <row r="1907" spans="1:11" x14ac:dyDescent="0.25">
      <c r="A1907" s="1">
        <v>2004</v>
      </c>
      <c r="B1907" s="1" t="s">
        <v>99</v>
      </c>
      <c r="C1907" t="s">
        <v>7</v>
      </c>
      <c r="D1907" s="1" t="s">
        <v>3</v>
      </c>
      <c r="E1907">
        <v>54</v>
      </c>
      <c r="F1907" s="1" t="s">
        <v>101</v>
      </c>
      <c r="G1907">
        <v>12</v>
      </c>
      <c r="H1907">
        <v>14</v>
      </c>
      <c r="I1907" s="2">
        <f t="shared" si="87"/>
        <v>10.995263999999999</v>
      </c>
      <c r="J1907">
        <f t="shared" si="88"/>
        <v>0.41042418812989917</v>
      </c>
      <c r="K1907">
        <f t="shared" si="89"/>
        <v>0.28715758683729425</v>
      </c>
    </row>
    <row r="1908" spans="1:11" x14ac:dyDescent="0.25">
      <c r="A1908" s="1">
        <v>2004</v>
      </c>
      <c r="B1908" s="1" t="s">
        <v>99</v>
      </c>
      <c r="C1908" t="s">
        <v>7</v>
      </c>
      <c r="D1908" s="1" t="s">
        <v>3</v>
      </c>
      <c r="E1908">
        <v>54</v>
      </c>
      <c r="F1908" s="1" t="s">
        <v>101</v>
      </c>
      <c r="G1908">
        <v>14</v>
      </c>
      <c r="H1908">
        <v>14</v>
      </c>
      <c r="I1908" s="2">
        <f t="shared" si="87"/>
        <v>14.965775999999998</v>
      </c>
      <c r="J1908">
        <f t="shared" si="88"/>
        <v>0.55863292273236276</v>
      </c>
      <c r="K1908">
        <f t="shared" si="89"/>
        <v>0.39085338208409498</v>
      </c>
    </row>
    <row r="1909" spans="1:11" x14ac:dyDescent="0.25">
      <c r="A1909" s="1">
        <v>2004</v>
      </c>
      <c r="B1909" s="1" t="s">
        <v>99</v>
      </c>
      <c r="C1909" t="s">
        <v>7</v>
      </c>
      <c r="D1909" s="1" t="s">
        <v>3</v>
      </c>
      <c r="E1909">
        <v>54</v>
      </c>
      <c r="F1909" s="1" t="s">
        <v>101</v>
      </c>
      <c r="G1909">
        <v>16</v>
      </c>
      <c r="H1909">
        <v>10</v>
      </c>
      <c r="I1909" s="2">
        <f t="shared" si="87"/>
        <v>13.96224</v>
      </c>
      <c r="J1909">
        <f t="shared" si="88"/>
        <v>0.5211735722284434</v>
      </c>
      <c r="K1909">
        <f t="shared" si="89"/>
        <v>0.36464455471402452</v>
      </c>
    </row>
    <row r="1910" spans="1:11" x14ac:dyDescent="0.25">
      <c r="A1910" s="1">
        <v>2004</v>
      </c>
      <c r="B1910" s="1" t="s">
        <v>99</v>
      </c>
      <c r="C1910" t="s">
        <v>7</v>
      </c>
      <c r="D1910" s="1" t="s">
        <v>3</v>
      </c>
      <c r="E1910">
        <v>56</v>
      </c>
      <c r="F1910" s="1" t="s">
        <v>101</v>
      </c>
      <c r="G1910">
        <v>6</v>
      </c>
      <c r="H1910">
        <v>7</v>
      </c>
      <c r="I1910" s="2">
        <f t="shared" si="87"/>
        <v>1.3744079999999999</v>
      </c>
      <c r="J1910">
        <f t="shared" si="88"/>
        <v>5.1303023516237396E-2</v>
      </c>
      <c r="K1910">
        <f t="shared" si="89"/>
        <v>3.5894698354661782E-2</v>
      </c>
    </row>
    <row r="1911" spans="1:11" x14ac:dyDescent="0.25">
      <c r="A1911" s="1">
        <v>2004</v>
      </c>
      <c r="B1911" s="1" t="s">
        <v>99</v>
      </c>
      <c r="C1911" t="s">
        <v>7</v>
      </c>
      <c r="D1911" s="1" t="s">
        <v>3</v>
      </c>
      <c r="E1911">
        <v>56</v>
      </c>
      <c r="F1911" s="1" t="s">
        <v>101</v>
      </c>
      <c r="G1911">
        <v>8</v>
      </c>
      <c r="H1911">
        <v>12</v>
      </c>
      <c r="I1911" s="2">
        <f t="shared" si="87"/>
        <v>4.1886719999999995</v>
      </c>
      <c r="J1911">
        <f t="shared" si="88"/>
        <v>0.15635207166853302</v>
      </c>
      <c r="K1911">
        <f t="shared" si="89"/>
        <v>0.10939336641420734</v>
      </c>
    </row>
    <row r="1912" spans="1:11" x14ac:dyDescent="0.25">
      <c r="A1912" s="1">
        <v>2004</v>
      </c>
      <c r="B1912" s="1" t="s">
        <v>99</v>
      </c>
      <c r="C1912" t="s">
        <v>7</v>
      </c>
      <c r="D1912" s="1" t="s">
        <v>3</v>
      </c>
      <c r="E1912">
        <v>56</v>
      </c>
      <c r="F1912" s="1" t="s">
        <v>101</v>
      </c>
      <c r="G1912">
        <v>10</v>
      </c>
      <c r="H1912">
        <v>14</v>
      </c>
      <c r="I1912" s="2">
        <f t="shared" si="87"/>
        <v>7.6356000000000002</v>
      </c>
      <c r="J1912">
        <f t="shared" si="88"/>
        <v>0.28501679731243001</v>
      </c>
      <c r="K1912">
        <f t="shared" si="89"/>
        <v>0.19941499085923217</v>
      </c>
    </row>
    <row r="1913" spans="1:11" x14ac:dyDescent="0.25">
      <c r="A1913" s="1">
        <v>2004</v>
      </c>
      <c r="B1913" s="1" t="s">
        <v>99</v>
      </c>
      <c r="C1913" t="s">
        <v>7</v>
      </c>
      <c r="D1913" s="1" t="s">
        <v>3</v>
      </c>
      <c r="E1913">
        <v>56</v>
      </c>
      <c r="F1913" s="1" t="s">
        <v>101</v>
      </c>
      <c r="G1913">
        <v>12</v>
      </c>
      <c r="H1913">
        <v>11</v>
      </c>
      <c r="I1913" s="2">
        <f t="shared" si="87"/>
        <v>8.6391359999999988</v>
      </c>
      <c r="J1913">
        <f t="shared" si="88"/>
        <v>0.32247614781634937</v>
      </c>
      <c r="K1913">
        <f t="shared" si="89"/>
        <v>0.22562381822930266</v>
      </c>
    </row>
    <row r="1914" spans="1:11" x14ac:dyDescent="0.25">
      <c r="A1914" s="1">
        <v>2004</v>
      </c>
      <c r="B1914" s="1" t="s">
        <v>99</v>
      </c>
      <c r="C1914" t="s">
        <v>7</v>
      </c>
      <c r="D1914" s="1" t="s">
        <v>3</v>
      </c>
      <c r="E1914">
        <v>56</v>
      </c>
      <c r="F1914" s="1" t="s">
        <v>101</v>
      </c>
      <c r="G1914">
        <v>14</v>
      </c>
      <c r="H1914">
        <v>12</v>
      </c>
      <c r="I1914" s="2">
        <f t="shared" si="87"/>
        <v>12.827807999999999</v>
      </c>
      <c r="J1914">
        <f t="shared" si="88"/>
        <v>0.47882821948488241</v>
      </c>
      <c r="K1914">
        <f t="shared" si="89"/>
        <v>0.33501718464351005</v>
      </c>
    </row>
    <row r="1915" spans="1:11" x14ac:dyDescent="0.25">
      <c r="A1915" s="1">
        <v>2004</v>
      </c>
      <c r="B1915" s="1" t="s">
        <v>99</v>
      </c>
      <c r="C1915" t="s">
        <v>7</v>
      </c>
      <c r="D1915" s="1" t="s">
        <v>3</v>
      </c>
      <c r="E1915">
        <v>56</v>
      </c>
      <c r="F1915" s="1" t="s">
        <v>101</v>
      </c>
      <c r="G1915">
        <v>16</v>
      </c>
      <c r="H1915">
        <v>20</v>
      </c>
      <c r="I1915" s="2">
        <f t="shared" si="87"/>
        <v>27.924479999999999</v>
      </c>
      <c r="J1915">
        <f t="shared" si="88"/>
        <v>1.0423471444568868</v>
      </c>
      <c r="K1915">
        <f t="shared" si="89"/>
        <v>0.72928910942804903</v>
      </c>
    </row>
    <row r="1916" spans="1:11" x14ac:dyDescent="0.25">
      <c r="A1916" s="1">
        <v>2004</v>
      </c>
      <c r="B1916" s="1" t="s">
        <v>99</v>
      </c>
      <c r="C1916" t="s">
        <v>7</v>
      </c>
      <c r="D1916" s="1" t="s">
        <v>3</v>
      </c>
      <c r="E1916">
        <v>58</v>
      </c>
      <c r="F1916" s="1" t="s">
        <v>101</v>
      </c>
      <c r="G1916">
        <v>6</v>
      </c>
      <c r="H1916">
        <v>9</v>
      </c>
      <c r="I1916" s="2">
        <f t="shared" si="87"/>
        <v>1.767096</v>
      </c>
      <c r="J1916">
        <f t="shared" si="88"/>
        <v>6.596103023516238E-2</v>
      </c>
      <c r="K1916">
        <f t="shared" si="89"/>
        <v>4.6150326455993734E-2</v>
      </c>
    </row>
    <row r="1917" spans="1:11" x14ac:dyDescent="0.25">
      <c r="A1917" s="1">
        <v>2004</v>
      </c>
      <c r="B1917" s="1" t="s">
        <v>99</v>
      </c>
      <c r="C1917" t="s">
        <v>7</v>
      </c>
      <c r="D1917" s="1" t="s">
        <v>3</v>
      </c>
      <c r="E1917">
        <v>58</v>
      </c>
      <c r="F1917" s="1" t="s">
        <v>101</v>
      </c>
      <c r="G1917">
        <v>8</v>
      </c>
      <c r="H1917">
        <v>8</v>
      </c>
      <c r="I1917" s="2">
        <f t="shared" si="87"/>
        <v>2.7924479999999998</v>
      </c>
      <c r="J1917">
        <f t="shared" si="88"/>
        <v>0.10423471444568869</v>
      </c>
      <c r="K1917">
        <f t="shared" si="89"/>
        <v>7.2928910942804903E-2</v>
      </c>
    </row>
    <row r="1918" spans="1:11" x14ac:dyDescent="0.25">
      <c r="A1918" s="1">
        <v>2004</v>
      </c>
      <c r="B1918" s="1" t="s">
        <v>99</v>
      </c>
      <c r="C1918" t="s">
        <v>7</v>
      </c>
      <c r="D1918" s="1" t="s">
        <v>3</v>
      </c>
      <c r="E1918">
        <v>58</v>
      </c>
      <c r="F1918" s="1" t="s">
        <v>101</v>
      </c>
      <c r="G1918">
        <v>10</v>
      </c>
      <c r="H1918">
        <v>6</v>
      </c>
      <c r="I1918" s="2">
        <f t="shared" si="87"/>
        <v>3.2724000000000002</v>
      </c>
      <c r="J1918">
        <f t="shared" si="88"/>
        <v>0.12215005599104145</v>
      </c>
      <c r="K1918">
        <f t="shared" si="89"/>
        <v>8.5463567511099514E-2</v>
      </c>
    </row>
    <row r="1919" spans="1:11" x14ac:dyDescent="0.25">
      <c r="A1919" s="1">
        <v>2004</v>
      </c>
      <c r="B1919" s="1" t="s">
        <v>99</v>
      </c>
      <c r="C1919" t="s">
        <v>7</v>
      </c>
      <c r="D1919" s="1" t="s">
        <v>3</v>
      </c>
      <c r="E1919">
        <v>58</v>
      </c>
      <c r="F1919" s="1" t="s">
        <v>101</v>
      </c>
      <c r="G1919">
        <v>12</v>
      </c>
      <c r="H1919">
        <v>5</v>
      </c>
      <c r="I1919" s="2">
        <f t="shared" si="87"/>
        <v>3.9268799999999997</v>
      </c>
      <c r="J1919">
        <f t="shared" si="88"/>
        <v>0.14658006718924971</v>
      </c>
      <c r="K1919">
        <f t="shared" si="89"/>
        <v>0.10255628101331939</v>
      </c>
    </row>
    <row r="1920" spans="1:11" x14ac:dyDescent="0.25">
      <c r="A1920" s="1">
        <v>2004</v>
      </c>
      <c r="B1920" s="1" t="s">
        <v>99</v>
      </c>
      <c r="C1920" t="s">
        <v>7</v>
      </c>
      <c r="D1920" s="1" t="s">
        <v>3</v>
      </c>
      <c r="E1920">
        <v>63</v>
      </c>
      <c r="F1920" s="1" t="s">
        <v>101</v>
      </c>
      <c r="G1920">
        <v>6</v>
      </c>
      <c r="H1920">
        <v>56</v>
      </c>
      <c r="I1920" s="2">
        <f t="shared" si="87"/>
        <v>10.995263999999999</v>
      </c>
      <c r="J1920">
        <f t="shared" si="88"/>
        <v>0.41042418812989917</v>
      </c>
      <c r="K1920">
        <f t="shared" si="89"/>
        <v>0.28715758683729425</v>
      </c>
    </row>
    <row r="1921" spans="1:11" x14ac:dyDescent="0.25">
      <c r="A1921" s="1">
        <v>2004</v>
      </c>
      <c r="B1921" s="1" t="s">
        <v>99</v>
      </c>
      <c r="C1921" t="s">
        <v>7</v>
      </c>
      <c r="D1921" s="1" t="s">
        <v>3</v>
      </c>
      <c r="E1921">
        <v>63</v>
      </c>
      <c r="F1921" s="1" t="s">
        <v>101</v>
      </c>
      <c r="G1921">
        <v>8</v>
      </c>
      <c r="H1921">
        <v>17</v>
      </c>
      <c r="I1921" s="2">
        <f t="shared" si="87"/>
        <v>5.9339519999999997</v>
      </c>
      <c r="J1921">
        <f t="shared" si="88"/>
        <v>0.22149876819708847</v>
      </c>
      <c r="K1921">
        <f t="shared" si="89"/>
        <v>0.15497393575346041</v>
      </c>
    </row>
    <row r="1922" spans="1:11" x14ac:dyDescent="0.25">
      <c r="A1922" s="1">
        <v>2004</v>
      </c>
      <c r="B1922" s="1" t="s">
        <v>99</v>
      </c>
      <c r="C1922" t="s">
        <v>7</v>
      </c>
      <c r="D1922" s="1" t="s">
        <v>3</v>
      </c>
      <c r="E1922">
        <v>63</v>
      </c>
      <c r="F1922" s="1" t="s">
        <v>101</v>
      </c>
      <c r="G1922">
        <v>10</v>
      </c>
      <c r="H1922">
        <v>5</v>
      </c>
      <c r="I1922" s="2">
        <f t="shared" si="87"/>
        <v>2.7269999999999999</v>
      </c>
      <c r="J1922">
        <f t="shared" si="88"/>
        <v>0.10179171332586787</v>
      </c>
      <c r="K1922">
        <f t="shared" si="89"/>
        <v>7.1219639592582915E-2</v>
      </c>
    </row>
    <row r="1923" spans="1:11" x14ac:dyDescent="0.25">
      <c r="A1923" s="1">
        <v>2004</v>
      </c>
      <c r="B1923" s="1" t="s">
        <v>99</v>
      </c>
      <c r="C1923" t="s">
        <v>7</v>
      </c>
      <c r="D1923" s="1" t="s">
        <v>3</v>
      </c>
      <c r="E1923">
        <v>63</v>
      </c>
      <c r="F1923" s="1" t="s">
        <v>101</v>
      </c>
      <c r="G1923">
        <v>12</v>
      </c>
      <c r="H1923">
        <v>1</v>
      </c>
      <c r="I1923" s="2">
        <f t="shared" ref="I1923:I1986" si="90">0.005454*G1923^2*H1923</f>
        <v>0.78537599999999996</v>
      </c>
      <c r="J1923">
        <f t="shared" ref="J1923:J1986" si="91">I1923/26.79</f>
        <v>2.9316013437849942E-2</v>
      </c>
      <c r="K1923">
        <f t="shared" ref="K1923:K1986" si="92">J1923*(26.79/38.29)</f>
        <v>2.0511256202663877E-2</v>
      </c>
    </row>
    <row r="1924" spans="1:11" x14ac:dyDescent="0.25">
      <c r="A1924" s="1">
        <v>2004</v>
      </c>
      <c r="B1924" s="1" t="s">
        <v>99</v>
      </c>
      <c r="C1924" t="s">
        <v>7</v>
      </c>
      <c r="D1924" s="1" t="s">
        <v>3</v>
      </c>
      <c r="E1924">
        <v>63</v>
      </c>
      <c r="F1924" s="1" t="s">
        <v>101</v>
      </c>
      <c r="G1924">
        <v>14</v>
      </c>
      <c r="H1924">
        <v>1</v>
      </c>
      <c r="I1924" s="2">
        <f t="shared" si="90"/>
        <v>1.0689839999999999</v>
      </c>
      <c r="J1924">
        <f t="shared" si="91"/>
        <v>3.9902351623740201E-2</v>
      </c>
      <c r="K1924">
        <f t="shared" si="92"/>
        <v>2.7918098720292502E-2</v>
      </c>
    </row>
    <row r="1925" spans="1:11" x14ac:dyDescent="0.25">
      <c r="A1925" s="1">
        <v>2004</v>
      </c>
      <c r="B1925" s="1" t="s">
        <v>99</v>
      </c>
      <c r="C1925" t="s">
        <v>7</v>
      </c>
      <c r="D1925" s="1" t="s">
        <v>3</v>
      </c>
      <c r="E1925">
        <v>65</v>
      </c>
      <c r="F1925" s="1" t="s">
        <v>101</v>
      </c>
      <c r="G1925">
        <v>8</v>
      </c>
      <c r="H1925">
        <v>2</v>
      </c>
      <c r="I1925" s="2">
        <f t="shared" si="90"/>
        <v>0.69811199999999995</v>
      </c>
      <c r="J1925">
        <f t="shared" si="91"/>
        <v>2.6058678611422172E-2</v>
      </c>
      <c r="K1925">
        <f t="shared" si="92"/>
        <v>1.8232227735701226E-2</v>
      </c>
    </row>
    <row r="1926" spans="1:11" x14ac:dyDescent="0.25">
      <c r="A1926" s="1">
        <v>2004</v>
      </c>
      <c r="B1926" s="1" t="s">
        <v>99</v>
      </c>
      <c r="C1926" t="s">
        <v>7</v>
      </c>
      <c r="D1926" s="1" t="s">
        <v>3</v>
      </c>
      <c r="E1926">
        <v>66</v>
      </c>
      <c r="F1926" s="1" t="s">
        <v>101</v>
      </c>
      <c r="G1926">
        <v>6</v>
      </c>
      <c r="H1926">
        <v>22</v>
      </c>
      <c r="I1926" s="2">
        <f t="shared" si="90"/>
        <v>4.3195679999999994</v>
      </c>
      <c r="J1926">
        <f t="shared" si="91"/>
        <v>0.16123807390817468</v>
      </c>
      <c r="K1926">
        <f t="shared" si="92"/>
        <v>0.11281190911465133</v>
      </c>
    </row>
    <row r="1927" spans="1:11" x14ac:dyDescent="0.25">
      <c r="A1927" s="1">
        <v>2004</v>
      </c>
      <c r="B1927" s="1" t="s">
        <v>99</v>
      </c>
      <c r="C1927" t="s">
        <v>7</v>
      </c>
      <c r="D1927" s="1" t="s">
        <v>3</v>
      </c>
      <c r="E1927">
        <v>66</v>
      </c>
      <c r="F1927" s="1" t="s">
        <v>101</v>
      </c>
      <c r="G1927">
        <v>8</v>
      </c>
      <c r="H1927">
        <v>11</v>
      </c>
      <c r="I1927" s="2">
        <f t="shared" si="90"/>
        <v>3.8396159999999999</v>
      </c>
      <c r="J1927">
        <f t="shared" si="91"/>
        <v>0.14332273236282195</v>
      </c>
      <c r="K1927">
        <f t="shared" si="92"/>
        <v>0.10027725254635675</v>
      </c>
    </row>
    <row r="1928" spans="1:11" x14ac:dyDescent="0.25">
      <c r="A1928" s="1">
        <v>2004</v>
      </c>
      <c r="B1928" s="1" t="s">
        <v>99</v>
      </c>
      <c r="C1928" t="s">
        <v>7</v>
      </c>
      <c r="D1928" s="1" t="s">
        <v>3</v>
      </c>
      <c r="E1928">
        <v>66</v>
      </c>
      <c r="F1928" s="1" t="s">
        <v>101</v>
      </c>
      <c r="G1928">
        <v>10</v>
      </c>
      <c r="H1928">
        <v>6</v>
      </c>
      <c r="I1928" s="2">
        <f t="shared" si="90"/>
        <v>3.2724000000000002</v>
      </c>
      <c r="J1928">
        <f t="shared" si="91"/>
        <v>0.12215005599104145</v>
      </c>
      <c r="K1928">
        <f t="shared" si="92"/>
        <v>8.5463567511099514E-2</v>
      </c>
    </row>
    <row r="1929" spans="1:11" x14ac:dyDescent="0.25">
      <c r="A1929" s="1">
        <v>2004</v>
      </c>
      <c r="B1929" s="1" t="s">
        <v>99</v>
      </c>
      <c r="C1929" t="s">
        <v>7</v>
      </c>
      <c r="D1929" s="1" t="s">
        <v>3</v>
      </c>
      <c r="E1929">
        <v>66</v>
      </c>
      <c r="F1929" s="1" t="s">
        <v>101</v>
      </c>
      <c r="G1929">
        <v>12</v>
      </c>
      <c r="H1929">
        <v>7</v>
      </c>
      <c r="I1929" s="2">
        <f t="shared" si="90"/>
        <v>5.4976319999999994</v>
      </c>
      <c r="J1929">
        <f t="shared" si="91"/>
        <v>0.20521209406494959</v>
      </c>
      <c r="K1929">
        <f t="shared" si="92"/>
        <v>0.14357879341864713</v>
      </c>
    </row>
    <row r="1930" spans="1:11" x14ac:dyDescent="0.25">
      <c r="A1930" s="1">
        <v>2004</v>
      </c>
      <c r="B1930" s="1" t="s">
        <v>99</v>
      </c>
      <c r="C1930" t="s">
        <v>7</v>
      </c>
      <c r="D1930" s="1" t="s">
        <v>3</v>
      </c>
      <c r="E1930">
        <v>66</v>
      </c>
      <c r="F1930" s="1" t="s">
        <v>101</v>
      </c>
      <c r="G1930">
        <v>14</v>
      </c>
      <c r="H1930">
        <v>5</v>
      </c>
      <c r="I1930" s="2">
        <f t="shared" si="90"/>
        <v>5.3449200000000001</v>
      </c>
      <c r="J1930">
        <f t="shared" si="91"/>
        <v>0.199511758118701</v>
      </c>
      <c r="K1930">
        <f t="shared" si="92"/>
        <v>0.1395904936014625</v>
      </c>
    </row>
    <row r="1931" spans="1:11" x14ac:dyDescent="0.25">
      <c r="A1931" s="1">
        <v>2004</v>
      </c>
      <c r="B1931" s="1" t="s">
        <v>99</v>
      </c>
      <c r="C1931" t="s">
        <v>7</v>
      </c>
      <c r="D1931" s="1" t="s">
        <v>3</v>
      </c>
      <c r="E1931">
        <v>66</v>
      </c>
      <c r="F1931" s="1" t="s">
        <v>101</v>
      </c>
      <c r="G1931">
        <v>16</v>
      </c>
      <c r="H1931">
        <v>2</v>
      </c>
      <c r="I1931" s="2">
        <f t="shared" si="90"/>
        <v>2.7924479999999998</v>
      </c>
      <c r="J1931">
        <f t="shared" si="91"/>
        <v>0.10423471444568869</v>
      </c>
      <c r="K1931">
        <f t="shared" si="92"/>
        <v>7.2928910942804903E-2</v>
      </c>
    </row>
    <row r="1932" spans="1:11" x14ac:dyDescent="0.25">
      <c r="A1932" s="1">
        <v>2004</v>
      </c>
      <c r="B1932" s="1" t="s">
        <v>99</v>
      </c>
      <c r="C1932" t="s">
        <v>7</v>
      </c>
      <c r="D1932" s="1" t="s">
        <v>3</v>
      </c>
      <c r="E1932">
        <v>71</v>
      </c>
      <c r="F1932" s="1" t="s">
        <v>101</v>
      </c>
      <c r="G1932">
        <v>6</v>
      </c>
      <c r="H1932">
        <v>11</v>
      </c>
      <c r="I1932" s="2">
        <f t="shared" si="90"/>
        <v>2.1597839999999997</v>
      </c>
      <c r="J1932">
        <f t="shared" si="91"/>
        <v>8.0619036954087342E-2</v>
      </c>
      <c r="K1932">
        <f t="shared" si="92"/>
        <v>5.6405954557325666E-2</v>
      </c>
    </row>
    <row r="1933" spans="1:11" x14ac:dyDescent="0.25">
      <c r="A1933" s="1">
        <v>2004</v>
      </c>
      <c r="B1933" s="1" t="s">
        <v>99</v>
      </c>
      <c r="C1933" t="s">
        <v>7</v>
      </c>
      <c r="D1933" s="1" t="s">
        <v>3</v>
      </c>
      <c r="E1933">
        <v>71</v>
      </c>
      <c r="F1933" s="1" t="s">
        <v>101</v>
      </c>
      <c r="G1933">
        <v>8</v>
      </c>
      <c r="H1933">
        <v>11</v>
      </c>
      <c r="I1933" s="2">
        <f t="shared" si="90"/>
        <v>3.8396159999999999</v>
      </c>
      <c r="J1933">
        <f t="shared" si="91"/>
        <v>0.14332273236282195</v>
      </c>
      <c r="K1933">
        <f t="shared" si="92"/>
        <v>0.10027725254635675</v>
      </c>
    </row>
    <row r="1934" spans="1:11" x14ac:dyDescent="0.25">
      <c r="A1934" s="1">
        <v>2004</v>
      </c>
      <c r="B1934" s="1" t="s">
        <v>99</v>
      </c>
      <c r="C1934" t="s">
        <v>7</v>
      </c>
      <c r="D1934" s="1" t="s">
        <v>3</v>
      </c>
      <c r="E1934">
        <v>71</v>
      </c>
      <c r="F1934" s="1" t="s">
        <v>101</v>
      </c>
      <c r="G1934">
        <v>10</v>
      </c>
      <c r="H1934">
        <v>4</v>
      </c>
      <c r="I1934" s="2">
        <f t="shared" si="90"/>
        <v>2.1816</v>
      </c>
      <c r="J1934">
        <f t="shared" si="91"/>
        <v>8.1433370660694296E-2</v>
      </c>
      <c r="K1934">
        <f t="shared" si="92"/>
        <v>5.6975711674066336E-2</v>
      </c>
    </row>
    <row r="1935" spans="1:11" x14ac:dyDescent="0.25">
      <c r="A1935" s="1">
        <v>2004</v>
      </c>
      <c r="B1935" s="1" t="s">
        <v>99</v>
      </c>
      <c r="C1935" t="s">
        <v>7</v>
      </c>
      <c r="D1935" s="1" t="s">
        <v>3</v>
      </c>
      <c r="E1935">
        <v>71</v>
      </c>
      <c r="F1935" s="1" t="s">
        <v>101</v>
      </c>
      <c r="G1935">
        <v>12</v>
      </c>
      <c r="H1935">
        <v>5</v>
      </c>
      <c r="I1935" s="2">
        <f t="shared" si="90"/>
        <v>3.9268799999999997</v>
      </c>
      <c r="J1935">
        <f t="shared" si="91"/>
        <v>0.14658006718924971</v>
      </c>
      <c r="K1935">
        <f t="shared" si="92"/>
        <v>0.10255628101331939</v>
      </c>
    </row>
    <row r="1936" spans="1:11" x14ac:dyDescent="0.25">
      <c r="A1936" s="1">
        <v>2004</v>
      </c>
      <c r="B1936" s="1" t="s">
        <v>99</v>
      </c>
      <c r="C1936" t="s">
        <v>7</v>
      </c>
      <c r="D1936" s="1" t="s">
        <v>3</v>
      </c>
      <c r="E1936">
        <v>71</v>
      </c>
      <c r="F1936" s="1" t="s">
        <v>101</v>
      </c>
      <c r="G1936">
        <v>14</v>
      </c>
      <c r="H1936">
        <v>1</v>
      </c>
      <c r="I1936" s="2">
        <f t="shared" si="90"/>
        <v>1.0689839999999999</v>
      </c>
      <c r="J1936">
        <f t="shared" si="91"/>
        <v>3.9902351623740201E-2</v>
      </c>
      <c r="K1936">
        <f t="shared" si="92"/>
        <v>2.7918098720292502E-2</v>
      </c>
    </row>
    <row r="1937" spans="1:11" x14ac:dyDescent="0.25">
      <c r="A1937" s="1">
        <v>2004</v>
      </c>
      <c r="B1937" s="1" t="s">
        <v>99</v>
      </c>
      <c r="C1937" t="s">
        <v>7</v>
      </c>
      <c r="D1937" s="1" t="s">
        <v>3</v>
      </c>
      <c r="E1937">
        <v>76</v>
      </c>
      <c r="F1937" s="1" t="s">
        <v>101</v>
      </c>
      <c r="G1937">
        <v>6</v>
      </c>
      <c r="H1937">
        <v>105</v>
      </c>
      <c r="I1937" s="2">
        <f t="shared" si="90"/>
        <v>20.616119999999999</v>
      </c>
      <c r="J1937">
        <f t="shared" si="91"/>
        <v>0.76954535274356095</v>
      </c>
      <c r="K1937">
        <f t="shared" si="92"/>
        <v>0.53842047531992676</v>
      </c>
    </row>
    <row r="1938" spans="1:11" x14ac:dyDescent="0.25">
      <c r="A1938" s="1">
        <v>2004</v>
      </c>
      <c r="B1938" s="1" t="s">
        <v>99</v>
      </c>
      <c r="C1938" t="s">
        <v>7</v>
      </c>
      <c r="D1938" s="1" t="s">
        <v>3</v>
      </c>
      <c r="E1938">
        <v>76</v>
      </c>
      <c r="F1938" s="1" t="s">
        <v>101</v>
      </c>
      <c r="G1938">
        <v>8</v>
      </c>
      <c r="H1938">
        <v>68</v>
      </c>
      <c r="I1938" s="2">
        <f t="shared" si="90"/>
        <v>23.735807999999999</v>
      </c>
      <c r="J1938">
        <f t="shared" si="91"/>
        <v>0.88599507278835388</v>
      </c>
      <c r="K1938">
        <f t="shared" si="92"/>
        <v>0.61989574301384165</v>
      </c>
    </row>
    <row r="1939" spans="1:11" x14ac:dyDescent="0.25">
      <c r="A1939" s="1">
        <v>2004</v>
      </c>
      <c r="B1939" s="1" t="s">
        <v>99</v>
      </c>
      <c r="C1939" t="s">
        <v>7</v>
      </c>
      <c r="D1939" s="1" t="s">
        <v>3</v>
      </c>
      <c r="E1939">
        <v>76</v>
      </c>
      <c r="F1939" s="1" t="s">
        <v>101</v>
      </c>
      <c r="G1939">
        <v>10</v>
      </c>
      <c r="H1939">
        <v>54</v>
      </c>
      <c r="I1939" s="2">
        <f t="shared" si="90"/>
        <v>29.451599999999999</v>
      </c>
      <c r="J1939">
        <f t="shared" si="91"/>
        <v>1.0993505039193729</v>
      </c>
      <c r="K1939">
        <f t="shared" si="92"/>
        <v>0.76917210759989552</v>
      </c>
    </row>
    <row r="1940" spans="1:11" x14ac:dyDescent="0.25">
      <c r="A1940" s="1">
        <v>2004</v>
      </c>
      <c r="B1940" s="1" t="s">
        <v>99</v>
      </c>
      <c r="C1940" t="s">
        <v>7</v>
      </c>
      <c r="D1940" s="1" t="s">
        <v>3</v>
      </c>
      <c r="E1940">
        <v>76</v>
      </c>
      <c r="F1940" s="1" t="s">
        <v>101</v>
      </c>
      <c r="G1940">
        <v>12</v>
      </c>
      <c r="H1940">
        <v>43</v>
      </c>
      <c r="I1940" s="2">
        <f t="shared" si="90"/>
        <v>33.771167999999996</v>
      </c>
      <c r="J1940">
        <f t="shared" si="91"/>
        <v>1.2605885778275474</v>
      </c>
      <c r="K1940">
        <f t="shared" si="92"/>
        <v>0.88198401671454674</v>
      </c>
    </row>
    <row r="1941" spans="1:11" x14ac:dyDescent="0.25">
      <c r="A1941" s="1">
        <v>2004</v>
      </c>
      <c r="B1941" s="1" t="s">
        <v>99</v>
      </c>
      <c r="C1941" t="s">
        <v>7</v>
      </c>
      <c r="D1941" s="1" t="s">
        <v>3</v>
      </c>
      <c r="E1941">
        <v>76</v>
      </c>
      <c r="F1941" s="1" t="s">
        <v>101</v>
      </c>
      <c r="G1941">
        <v>14</v>
      </c>
      <c r="H1941">
        <v>21</v>
      </c>
      <c r="I1941" s="2">
        <f t="shared" si="90"/>
        <v>22.448663999999997</v>
      </c>
      <c r="J1941">
        <f t="shared" si="91"/>
        <v>0.83794938409854414</v>
      </c>
      <c r="K1941">
        <f t="shared" si="92"/>
        <v>0.5862800731261425</v>
      </c>
    </row>
    <row r="1942" spans="1:11" x14ac:dyDescent="0.25">
      <c r="A1942" s="1">
        <v>2004</v>
      </c>
      <c r="B1942" s="1" t="s">
        <v>99</v>
      </c>
      <c r="C1942" t="s">
        <v>7</v>
      </c>
      <c r="D1942" s="1" t="s">
        <v>3</v>
      </c>
      <c r="E1942">
        <v>76</v>
      </c>
      <c r="F1942" s="1" t="s">
        <v>101</v>
      </c>
      <c r="G1942">
        <v>16</v>
      </c>
      <c r="H1942">
        <v>21</v>
      </c>
      <c r="I1942" s="2">
        <f t="shared" si="90"/>
        <v>29.320703999999999</v>
      </c>
      <c r="J1942">
        <f t="shared" si="91"/>
        <v>1.0944645016797312</v>
      </c>
      <c r="K1942">
        <f t="shared" si="92"/>
        <v>0.76575356489945146</v>
      </c>
    </row>
    <row r="1943" spans="1:11" x14ac:dyDescent="0.25">
      <c r="A1943" s="1">
        <v>2004</v>
      </c>
      <c r="B1943" s="1" t="s">
        <v>99</v>
      </c>
      <c r="C1943" t="s">
        <v>7</v>
      </c>
      <c r="D1943" s="1" t="s">
        <v>3</v>
      </c>
      <c r="E1943">
        <v>76</v>
      </c>
      <c r="F1943" s="1" t="s">
        <v>101</v>
      </c>
      <c r="G1943">
        <v>20</v>
      </c>
      <c r="H1943">
        <v>1</v>
      </c>
      <c r="I1943" s="2">
        <f t="shared" si="90"/>
        <v>2.1816</v>
      </c>
      <c r="J1943">
        <f t="shared" si="91"/>
        <v>8.1433370660694296E-2</v>
      </c>
      <c r="K1943">
        <f t="shared" si="92"/>
        <v>5.6975711674066336E-2</v>
      </c>
    </row>
    <row r="1944" spans="1:11" x14ac:dyDescent="0.25">
      <c r="A1944" s="1">
        <v>2004</v>
      </c>
      <c r="B1944" s="1" t="s">
        <v>99</v>
      </c>
      <c r="C1944" t="s">
        <v>7</v>
      </c>
      <c r="D1944" s="1" t="s">
        <v>3</v>
      </c>
      <c r="E1944">
        <v>79</v>
      </c>
      <c r="F1944" s="1" t="s">
        <v>101</v>
      </c>
      <c r="G1944">
        <v>6</v>
      </c>
      <c r="H1944">
        <v>258</v>
      </c>
      <c r="I1944" s="2">
        <f t="shared" si="90"/>
        <v>50.656751999999997</v>
      </c>
      <c r="J1944">
        <f t="shared" si="91"/>
        <v>1.8908828667413213</v>
      </c>
      <c r="K1944">
        <f t="shared" si="92"/>
        <v>1.3229760250718201</v>
      </c>
    </row>
    <row r="1945" spans="1:11" x14ac:dyDescent="0.25">
      <c r="A1945" s="1">
        <v>2004</v>
      </c>
      <c r="B1945" s="1" t="s">
        <v>99</v>
      </c>
      <c r="C1945" t="s">
        <v>7</v>
      </c>
      <c r="D1945" s="1" t="s">
        <v>3</v>
      </c>
      <c r="E1945">
        <v>79</v>
      </c>
      <c r="F1945" s="1" t="s">
        <v>101</v>
      </c>
      <c r="G1945">
        <v>8</v>
      </c>
      <c r="H1945">
        <v>185</v>
      </c>
      <c r="I1945" s="2">
        <f t="shared" si="90"/>
        <v>64.575359999999989</v>
      </c>
      <c r="J1945">
        <f t="shared" si="91"/>
        <v>2.4104277715565505</v>
      </c>
      <c r="K1945">
        <f t="shared" si="92"/>
        <v>1.6864810655523632</v>
      </c>
    </row>
    <row r="1946" spans="1:11" x14ac:dyDescent="0.25">
      <c r="A1946" s="1">
        <v>2004</v>
      </c>
      <c r="B1946" s="1" t="s">
        <v>99</v>
      </c>
      <c r="C1946" t="s">
        <v>7</v>
      </c>
      <c r="D1946" s="1" t="s">
        <v>3</v>
      </c>
      <c r="E1946">
        <v>79</v>
      </c>
      <c r="F1946" s="1" t="s">
        <v>101</v>
      </c>
      <c r="G1946">
        <v>10</v>
      </c>
      <c r="H1946">
        <v>172</v>
      </c>
      <c r="I1946" s="2">
        <f t="shared" si="90"/>
        <v>93.808800000000005</v>
      </c>
      <c r="J1946">
        <f t="shared" si="91"/>
        <v>3.5016349384098548</v>
      </c>
      <c r="K1946">
        <f t="shared" si="92"/>
        <v>2.4499556019848527</v>
      </c>
    </row>
    <row r="1947" spans="1:11" x14ac:dyDescent="0.25">
      <c r="A1947" s="1">
        <v>2004</v>
      </c>
      <c r="B1947" s="1" t="s">
        <v>99</v>
      </c>
      <c r="C1947" t="s">
        <v>7</v>
      </c>
      <c r="D1947" s="1" t="s">
        <v>3</v>
      </c>
      <c r="E1947">
        <v>79</v>
      </c>
      <c r="F1947" s="1" t="s">
        <v>101</v>
      </c>
      <c r="G1947">
        <v>12</v>
      </c>
      <c r="H1947">
        <v>150</v>
      </c>
      <c r="I1947" s="2">
        <f t="shared" si="90"/>
        <v>117.8064</v>
      </c>
      <c r="J1947">
        <f t="shared" si="91"/>
        <v>4.3974020156774918</v>
      </c>
      <c r="K1947">
        <f t="shared" si="92"/>
        <v>3.0766884303995821</v>
      </c>
    </row>
    <row r="1948" spans="1:11" x14ac:dyDescent="0.25">
      <c r="A1948" s="1">
        <v>2004</v>
      </c>
      <c r="B1948" s="1" t="s">
        <v>99</v>
      </c>
      <c r="C1948" t="s">
        <v>7</v>
      </c>
      <c r="D1948" s="1" t="s">
        <v>3</v>
      </c>
      <c r="E1948">
        <v>79</v>
      </c>
      <c r="F1948" s="1" t="s">
        <v>101</v>
      </c>
      <c r="G1948">
        <v>14</v>
      </c>
      <c r="H1948">
        <v>117</v>
      </c>
      <c r="I1948" s="2">
        <f t="shared" si="90"/>
        <v>125.07112799999999</v>
      </c>
      <c r="J1948">
        <f t="shared" si="91"/>
        <v>4.6685751399776034</v>
      </c>
      <c r="K1948">
        <f t="shared" si="92"/>
        <v>3.2664175502742228</v>
      </c>
    </row>
    <row r="1949" spans="1:11" x14ac:dyDescent="0.25">
      <c r="A1949" s="1">
        <v>2004</v>
      </c>
      <c r="B1949" s="1" t="s">
        <v>99</v>
      </c>
      <c r="C1949" t="s">
        <v>7</v>
      </c>
      <c r="D1949" s="1" t="s">
        <v>3</v>
      </c>
      <c r="E1949">
        <v>79</v>
      </c>
      <c r="F1949" s="1" t="s">
        <v>101</v>
      </c>
      <c r="G1949">
        <v>16</v>
      </c>
      <c r="H1949">
        <v>71</v>
      </c>
      <c r="I1949" s="2">
        <f t="shared" si="90"/>
        <v>99.131903999999992</v>
      </c>
      <c r="J1949">
        <f t="shared" si="91"/>
        <v>3.7003323628219484</v>
      </c>
      <c r="K1949">
        <f t="shared" si="92"/>
        <v>2.5889763384695739</v>
      </c>
    </row>
    <row r="1950" spans="1:11" x14ac:dyDescent="0.25">
      <c r="A1950" s="1">
        <v>2004</v>
      </c>
      <c r="B1950" s="1" t="s">
        <v>99</v>
      </c>
      <c r="C1950" t="s">
        <v>7</v>
      </c>
      <c r="D1950" s="1" t="s">
        <v>3</v>
      </c>
      <c r="E1950">
        <v>84</v>
      </c>
      <c r="F1950" s="1" t="s">
        <v>101</v>
      </c>
      <c r="G1950">
        <v>6</v>
      </c>
      <c r="H1950">
        <v>1</v>
      </c>
      <c r="I1950" s="2">
        <f t="shared" si="90"/>
        <v>0.19634399999999999</v>
      </c>
      <c r="J1950">
        <f t="shared" si="91"/>
        <v>7.3290033594624856E-3</v>
      </c>
      <c r="K1950">
        <f t="shared" si="92"/>
        <v>5.1278140506659693E-3</v>
      </c>
    </row>
    <row r="1951" spans="1:11" x14ac:dyDescent="0.25">
      <c r="A1951" s="1">
        <v>2004</v>
      </c>
      <c r="B1951" s="1" t="s">
        <v>99</v>
      </c>
      <c r="C1951" t="s">
        <v>7</v>
      </c>
      <c r="D1951" s="1" t="s">
        <v>3</v>
      </c>
      <c r="E1951">
        <v>85</v>
      </c>
      <c r="F1951" s="1" t="s">
        <v>101</v>
      </c>
      <c r="G1951">
        <v>6</v>
      </c>
      <c r="H1951">
        <v>4</v>
      </c>
      <c r="I1951" s="2">
        <f t="shared" si="90"/>
        <v>0.78537599999999996</v>
      </c>
      <c r="J1951">
        <f t="shared" si="91"/>
        <v>2.9316013437849942E-2</v>
      </c>
      <c r="K1951">
        <f t="shared" si="92"/>
        <v>2.0511256202663877E-2</v>
      </c>
    </row>
    <row r="1952" spans="1:11" x14ac:dyDescent="0.25">
      <c r="A1952" s="1">
        <v>2004</v>
      </c>
      <c r="B1952" s="1" t="s">
        <v>99</v>
      </c>
      <c r="C1952" t="s">
        <v>7</v>
      </c>
      <c r="D1952" s="1" t="s">
        <v>3</v>
      </c>
      <c r="E1952">
        <v>85</v>
      </c>
      <c r="F1952" s="1" t="s">
        <v>101</v>
      </c>
      <c r="G1952">
        <v>12</v>
      </c>
      <c r="H1952">
        <v>7</v>
      </c>
      <c r="I1952" s="2">
        <f t="shared" si="90"/>
        <v>5.4976319999999994</v>
      </c>
      <c r="J1952">
        <f t="shared" si="91"/>
        <v>0.20521209406494959</v>
      </c>
      <c r="K1952">
        <f t="shared" si="92"/>
        <v>0.14357879341864713</v>
      </c>
    </row>
    <row r="1953" spans="1:11" x14ac:dyDescent="0.25">
      <c r="A1953" s="1">
        <v>2004</v>
      </c>
      <c r="B1953" s="1" t="s">
        <v>99</v>
      </c>
      <c r="C1953" t="s">
        <v>7</v>
      </c>
      <c r="D1953" s="1" t="s">
        <v>3</v>
      </c>
      <c r="E1953">
        <v>85</v>
      </c>
      <c r="F1953" s="1" t="s">
        <v>101</v>
      </c>
      <c r="G1953">
        <v>14</v>
      </c>
      <c r="H1953">
        <v>5</v>
      </c>
      <c r="I1953" s="2">
        <f t="shared" si="90"/>
        <v>5.3449200000000001</v>
      </c>
      <c r="J1953">
        <f t="shared" si="91"/>
        <v>0.199511758118701</v>
      </c>
      <c r="K1953">
        <f t="shared" si="92"/>
        <v>0.1395904936014625</v>
      </c>
    </row>
    <row r="1954" spans="1:11" x14ac:dyDescent="0.25">
      <c r="A1954" s="1">
        <v>2004</v>
      </c>
      <c r="B1954" s="1" t="s">
        <v>99</v>
      </c>
      <c r="C1954" t="s">
        <v>7</v>
      </c>
      <c r="D1954" s="1" t="s">
        <v>3</v>
      </c>
      <c r="E1954">
        <v>85</v>
      </c>
      <c r="F1954" s="1" t="s">
        <v>101</v>
      </c>
      <c r="G1954">
        <v>16</v>
      </c>
      <c r="H1954">
        <v>8</v>
      </c>
      <c r="I1954" s="2">
        <f t="shared" si="90"/>
        <v>11.169791999999999</v>
      </c>
      <c r="J1954">
        <f t="shared" si="91"/>
        <v>0.41693885778275475</v>
      </c>
      <c r="K1954">
        <f t="shared" si="92"/>
        <v>0.29171564377121961</v>
      </c>
    </row>
    <row r="1955" spans="1:11" x14ac:dyDescent="0.25">
      <c r="A1955" s="1">
        <v>2004</v>
      </c>
      <c r="B1955" s="1" t="s">
        <v>99</v>
      </c>
      <c r="C1955" t="s">
        <v>7</v>
      </c>
      <c r="D1955" s="1" t="s">
        <v>3</v>
      </c>
      <c r="E1955">
        <v>88</v>
      </c>
      <c r="F1955" s="1" t="s">
        <v>101</v>
      </c>
      <c r="G1955">
        <v>6</v>
      </c>
      <c r="H1955">
        <v>1</v>
      </c>
      <c r="I1955" s="2">
        <f t="shared" si="90"/>
        <v>0.19634399999999999</v>
      </c>
      <c r="J1955">
        <f t="shared" si="91"/>
        <v>7.3290033594624856E-3</v>
      </c>
      <c r="K1955">
        <f t="shared" si="92"/>
        <v>5.1278140506659693E-3</v>
      </c>
    </row>
    <row r="1956" spans="1:11" x14ac:dyDescent="0.25">
      <c r="A1956" s="1">
        <v>2004</v>
      </c>
      <c r="B1956" s="1" t="s">
        <v>99</v>
      </c>
      <c r="C1956" t="s">
        <v>7</v>
      </c>
      <c r="D1956" s="1" t="s">
        <v>3</v>
      </c>
      <c r="E1956">
        <v>88</v>
      </c>
      <c r="F1956" s="1" t="s">
        <v>101</v>
      </c>
      <c r="G1956">
        <v>8</v>
      </c>
      <c r="H1956">
        <v>1</v>
      </c>
      <c r="I1956" s="2">
        <f t="shared" si="90"/>
        <v>0.34905599999999998</v>
      </c>
      <c r="J1956">
        <f t="shared" si="91"/>
        <v>1.3029339305711086E-2</v>
      </c>
      <c r="K1956">
        <f t="shared" si="92"/>
        <v>9.1161138678506129E-3</v>
      </c>
    </row>
    <row r="1957" spans="1:11" x14ac:dyDescent="0.25">
      <c r="A1957" s="1">
        <v>2004</v>
      </c>
      <c r="B1957" s="1" t="s">
        <v>99</v>
      </c>
      <c r="C1957" t="s">
        <v>7</v>
      </c>
      <c r="D1957" s="1" t="s">
        <v>3</v>
      </c>
      <c r="E1957">
        <v>88</v>
      </c>
      <c r="F1957" s="1" t="s">
        <v>101</v>
      </c>
      <c r="G1957">
        <v>10</v>
      </c>
      <c r="H1957">
        <v>3</v>
      </c>
      <c r="I1957" s="2">
        <f t="shared" si="90"/>
        <v>1.6362000000000001</v>
      </c>
      <c r="J1957">
        <f t="shared" si="91"/>
        <v>6.1075027995520725E-2</v>
      </c>
      <c r="K1957">
        <f t="shared" si="92"/>
        <v>4.2731783755549757E-2</v>
      </c>
    </row>
    <row r="1958" spans="1:11" x14ac:dyDescent="0.25">
      <c r="A1958" s="1">
        <v>2004</v>
      </c>
      <c r="B1958" s="1" t="s">
        <v>99</v>
      </c>
      <c r="C1958" t="s">
        <v>7</v>
      </c>
      <c r="D1958" s="1" t="s">
        <v>3</v>
      </c>
      <c r="E1958">
        <v>88</v>
      </c>
      <c r="F1958" s="1" t="s">
        <v>101</v>
      </c>
      <c r="G1958">
        <v>12</v>
      </c>
      <c r="H1958">
        <v>1</v>
      </c>
      <c r="I1958" s="2">
        <f t="shared" si="90"/>
        <v>0.78537599999999996</v>
      </c>
      <c r="J1958">
        <f t="shared" si="91"/>
        <v>2.9316013437849942E-2</v>
      </c>
      <c r="K1958">
        <f t="shared" si="92"/>
        <v>2.0511256202663877E-2</v>
      </c>
    </row>
    <row r="1959" spans="1:11" x14ac:dyDescent="0.25">
      <c r="A1959" s="1">
        <v>2004</v>
      </c>
      <c r="B1959" s="1" t="s">
        <v>99</v>
      </c>
      <c r="C1959" t="s">
        <v>7</v>
      </c>
      <c r="D1959" s="1" t="s">
        <v>3</v>
      </c>
      <c r="E1959">
        <v>91</v>
      </c>
      <c r="F1959" s="1" t="s">
        <v>101</v>
      </c>
      <c r="G1959">
        <v>6</v>
      </c>
      <c r="H1959">
        <v>5</v>
      </c>
      <c r="I1959" s="2">
        <f t="shared" si="90"/>
        <v>0.98171999999999993</v>
      </c>
      <c r="J1959">
        <f t="shared" si="91"/>
        <v>3.6645016797312427E-2</v>
      </c>
      <c r="K1959">
        <f t="shared" si="92"/>
        <v>2.5639070253329847E-2</v>
      </c>
    </row>
    <row r="1960" spans="1:11" x14ac:dyDescent="0.25">
      <c r="A1960" s="1">
        <v>2004</v>
      </c>
      <c r="B1960" s="1" t="s">
        <v>99</v>
      </c>
      <c r="C1960" t="s">
        <v>7</v>
      </c>
      <c r="D1960" s="1" t="s">
        <v>3</v>
      </c>
      <c r="E1960">
        <v>91</v>
      </c>
      <c r="F1960" s="1" t="s">
        <v>101</v>
      </c>
      <c r="G1960">
        <v>8</v>
      </c>
      <c r="H1960">
        <v>4</v>
      </c>
      <c r="I1960" s="2">
        <f t="shared" si="90"/>
        <v>1.3962239999999999</v>
      </c>
      <c r="J1960">
        <f t="shared" si="91"/>
        <v>5.2117357222844343E-2</v>
      </c>
      <c r="K1960">
        <f t="shared" si="92"/>
        <v>3.6464455471402452E-2</v>
      </c>
    </row>
    <row r="1961" spans="1:11" x14ac:dyDescent="0.25">
      <c r="A1961" s="1">
        <v>2004</v>
      </c>
      <c r="B1961" s="1" t="s">
        <v>99</v>
      </c>
      <c r="C1961" t="s">
        <v>7</v>
      </c>
      <c r="D1961" s="1" t="s">
        <v>3</v>
      </c>
      <c r="E1961">
        <v>91</v>
      </c>
      <c r="F1961" s="1" t="s">
        <v>101</v>
      </c>
      <c r="G1961">
        <v>10</v>
      </c>
      <c r="H1961">
        <v>9</v>
      </c>
      <c r="I1961" s="2">
        <f t="shared" si="90"/>
        <v>4.9085999999999999</v>
      </c>
      <c r="J1961">
        <f t="shared" si="91"/>
        <v>0.18322508398656215</v>
      </c>
      <c r="K1961">
        <f t="shared" si="92"/>
        <v>0.12819535126664924</v>
      </c>
    </row>
    <row r="1962" spans="1:11" x14ac:dyDescent="0.25">
      <c r="A1962" s="1">
        <v>2004</v>
      </c>
      <c r="B1962" s="1" t="s">
        <v>99</v>
      </c>
      <c r="C1962" t="s">
        <v>7</v>
      </c>
      <c r="D1962" s="1" t="s">
        <v>3</v>
      </c>
      <c r="E1962">
        <v>91</v>
      </c>
      <c r="F1962" s="1" t="s">
        <v>101</v>
      </c>
      <c r="G1962">
        <v>12</v>
      </c>
      <c r="H1962">
        <v>3</v>
      </c>
      <c r="I1962" s="2">
        <f t="shared" si="90"/>
        <v>2.356128</v>
      </c>
      <c r="J1962">
        <f t="shared" si="91"/>
        <v>8.794804031354983E-2</v>
      </c>
      <c r="K1962">
        <f t="shared" si="92"/>
        <v>6.1533768607991639E-2</v>
      </c>
    </row>
    <row r="1963" spans="1:11" x14ac:dyDescent="0.25">
      <c r="A1963" s="1">
        <v>2004</v>
      </c>
      <c r="B1963" s="1" t="s">
        <v>99</v>
      </c>
      <c r="C1963" t="s">
        <v>7</v>
      </c>
      <c r="D1963" s="1" t="s">
        <v>3</v>
      </c>
      <c r="E1963">
        <v>91</v>
      </c>
      <c r="F1963" s="1" t="s">
        <v>101</v>
      </c>
      <c r="G1963">
        <v>14</v>
      </c>
      <c r="H1963">
        <v>2</v>
      </c>
      <c r="I1963" s="2">
        <f t="shared" si="90"/>
        <v>2.1379679999999999</v>
      </c>
      <c r="J1963">
        <f t="shared" si="91"/>
        <v>7.9804703247480402E-2</v>
      </c>
      <c r="K1963">
        <f t="shared" si="92"/>
        <v>5.5836197440585003E-2</v>
      </c>
    </row>
    <row r="1964" spans="1:11" x14ac:dyDescent="0.25">
      <c r="A1964" s="1">
        <v>2004</v>
      </c>
      <c r="B1964" s="1" t="s">
        <v>99</v>
      </c>
      <c r="C1964" t="s">
        <v>7</v>
      </c>
      <c r="D1964" s="1" t="s">
        <v>3</v>
      </c>
      <c r="E1964">
        <v>91</v>
      </c>
      <c r="F1964" s="1" t="s">
        <v>101</v>
      </c>
      <c r="G1964">
        <v>16</v>
      </c>
      <c r="H1964">
        <v>3</v>
      </c>
      <c r="I1964" s="2">
        <f t="shared" si="90"/>
        <v>4.1886719999999995</v>
      </c>
      <c r="J1964">
        <f t="shared" si="91"/>
        <v>0.15635207166853302</v>
      </c>
      <c r="K1964">
        <f t="shared" si="92"/>
        <v>0.10939336641420734</v>
      </c>
    </row>
    <row r="1965" spans="1:11" x14ac:dyDescent="0.25">
      <c r="A1965" s="1">
        <v>2004</v>
      </c>
      <c r="B1965" s="1" t="s">
        <v>99</v>
      </c>
      <c r="C1965" t="s">
        <v>7</v>
      </c>
      <c r="D1965" s="1" t="s">
        <v>5</v>
      </c>
      <c r="E1965">
        <v>27</v>
      </c>
      <c r="F1965" s="1" t="s">
        <v>101</v>
      </c>
      <c r="G1965">
        <v>6</v>
      </c>
      <c r="H1965">
        <v>1</v>
      </c>
      <c r="I1965" s="2">
        <f t="shared" si="90"/>
        <v>0.19634399999999999</v>
      </c>
      <c r="J1965">
        <f t="shared" si="91"/>
        <v>7.3290033594624856E-3</v>
      </c>
      <c r="K1965">
        <f t="shared" si="92"/>
        <v>5.1278140506659693E-3</v>
      </c>
    </row>
    <row r="1966" spans="1:11" x14ac:dyDescent="0.25">
      <c r="A1966" s="1">
        <v>2004</v>
      </c>
      <c r="B1966" s="1" t="s">
        <v>99</v>
      </c>
      <c r="C1966" t="s">
        <v>7</v>
      </c>
      <c r="D1966" s="1" t="s">
        <v>5</v>
      </c>
      <c r="E1966">
        <v>29</v>
      </c>
      <c r="F1966" s="1" t="s">
        <v>101</v>
      </c>
      <c r="G1966">
        <v>6</v>
      </c>
      <c r="H1966">
        <v>3</v>
      </c>
      <c r="I1966" s="2">
        <f t="shared" si="90"/>
        <v>0.589032</v>
      </c>
      <c r="J1966">
        <f t="shared" si="91"/>
        <v>2.1987010078387458E-2</v>
      </c>
      <c r="K1966">
        <f t="shared" si="92"/>
        <v>1.538344215199791E-2</v>
      </c>
    </row>
    <row r="1967" spans="1:11" x14ac:dyDescent="0.25">
      <c r="A1967" s="1">
        <v>2004</v>
      </c>
      <c r="B1967" s="1" t="s">
        <v>99</v>
      </c>
      <c r="C1967" t="s">
        <v>7</v>
      </c>
      <c r="D1967" s="1" t="s">
        <v>5</v>
      </c>
      <c r="E1967">
        <v>29</v>
      </c>
      <c r="F1967" s="1" t="s">
        <v>101</v>
      </c>
      <c r="G1967">
        <v>8</v>
      </c>
      <c r="H1967">
        <v>1</v>
      </c>
      <c r="I1967" s="2">
        <f t="shared" si="90"/>
        <v>0.34905599999999998</v>
      </c>
      <c r="J1967">
        <f t="shared" si="91"/>
        <v>1.3029339305711086E-2</v>
      </c>
      <c r="K1967">
        <f t="shared" si="92"/>
        <v>9.1161138678506129E-3</v>
      </c>
    </row>
    <row r="1968" spans="1:11" x14ac:dyDescent="0.25">
      <c r="A1968" s="1">
        <v>2004</v>
      </c>
      <c r="B1968" s="1" t="s">
        <v>99</v>
      </c>
      <c r="C1968" t="s">
        <v>7</v>
      </c>
      <c r="D1968" s="1" t="s">
        <v>5</v>
      </c>
      <c r="E1968">
        <v>32</v>
      </c>
      <c r="F1968" s="1" t="s">
        <v>101</v>
      </c>
      <c r="G1968">
        <v>6</v>
      </c>
      <c r="H1968">
        <v>10</v>
      </c>
      <c r="I1968" s="2">
        <f t="shared" si="90"/>
        <v>1.9634399999999999</v>
      </c>
      <c r="J1968">
        <f t="shared" si="91"/>
        <v>7.3290033594624854E-2</v>
      </c>
      <c r="K1968">
        <f t="shared" si="92"/>
        <v>5.1278140506659693E-2</v>
      </c>
    </row>
    <row r="1969" spans="1:11" x14ac:dyDescent="0.25">
      <c r="A1969" s="1">
        <v>2004</v>
      </c>
      <c r="B1969" s="1" t="s">
        <v>99</v>
      </c>
      <c r="C1969" t="s">
        <v>7</v>
      </c>
      <c r="D1969" s="1" t="s">
        <v>5</v>
      </c>
      <c r="E1969">
        <v>32</v>
      </c>
      <c r="F1969" s="1" t="s">
        <v>101</v>
      </c>
      <c r="G1969">
        <v>8</v>
      </c>
      <c r="H1969">
        <v>3</v>
      </c>
      <c r="I1969" s="2">
        <f t="shared" si="90"/>
        <v>1.0471679999999999</v>
      </c>
      <c r="J1969">
        <f t="shared" si="91"/>
        <v>3.9088017917133254E-2</v>
      </c>
      <c r="K1969">
        <f t="shared" si="92"/>
        <v>2.7348341603551835E-2</v>
      </c>
    </row>
    <row r="1970" spans="1:11" x14ac:dyDescent="0.25">
      <c r="A1970" s="1">
        <v>2004</v>
      </c>
      <c r="B1970" s="1" t="s">
        <v>99</v>
      </c>
      <c r="C1970" t="s">
        <v>7</v>
      </c>
      <c r="D1970" s="1" t="s">
        <v>5</v>
      </c>
      <c r="E1970">
        <v>32</v>
      </c>
      <c r="F1970" s="1" t="s">
        <v>101</v>
      </c>
      <c r="G1970">
        <v>10</v>
      </c>
      <c r="H1970">
        <v>2</v>
      </c>
      <c r="I1970" s="2">
        <f t="shared" si="90"/>
        <v>1.0908</v>
      </c>
      <c r="J1970">
        <f t="shared" si="91"/>
        <v>4.0716685330347148E-2</v>
      </c>
      <c r="K1970">
        <f t="shared" si="92"/>
        <v>2.8487855837033168E-2</v>
      </c>
    </row>
    <row r="1971" spans="1:11" x14ac:dyDescent="0.25">
      <c r="A1971" s="1">
        <v>2004</v>
      </c>
      <c r="B1971" s="1" t="s">
        <v>99</v>
      </c>
      <c r="C1971" t="s">
        <v>7</v>
      </c>
      <c r="D1971" s="1" t="s">
        <v>5</v>
      </c>
      <c r="E1971">
        <v>32</v>
      </c>
      <c r="F1971" s="1" t="s">
        <v>101</v>
      </c>
      <c r="G1971">
        <v>12</v>
      </c>
      <c r="H1971">
        <v>4</v>
      </c>
      <c r="I1971" s="2">
        <f t="shared" si="90"/>
        <v>3.1415039999999999</v>
      </c>
      <c r="J1971">
        <f t="shared" si="91"/>
        <v>0.11726405375139977</v>
      </c>
      <c r="K1971">
        <f t="shared" si="92"/>
        <v>8.2045024810655509E-2</v>
      </c>
    </row>
    <row r="1972" spans="1:11" x14ac:dyDescent="0.25">
      <c r="A1972" s="1">
        <v>2004</v>
      </c>
      <c r="B1972" s="1" t="s">
        <v>99</v>
      </c>
      <c r="C1972" t="s">
        <v>7</v>
      </c>
      <c r="D1972" s="1" t="s">
        <v>5</v>
      </c>
      <c r="E1972">
        <v>32</v>
      </c>
      <c r="F1972" s="1" t="s">
        <v>101</v>
      </c>
      <c r="G1972">
        <v>16</v>
      </c>
      <c r="H1972">
        <v>1</v>
      </c>
      <c r="I1972" s="2">
        <f t="shared" si="90"/>
        <v>1.3962239999999999</v>
      </c>
      <c r="J1972">
        <f t="shared" si="91"/>
        <v>5.2117357222844343E-2</v>
      </c>
      <c r="K1972">
        <f t="shared" si="92"/>
        <v>3.6464455471402452E-2</v>
      </c>
    </row>
    <row r="1973" spans="1:11" x14ac:dyDescent="0.25">
      <c r="A1973" s="1">
        <v>2004</v>
      </c>
      <c r="B1973" s="1" t="s">
        <v>99</v>
      </c>
      <c r="C1973" t="s">
        <v>7</v>
      </c>
      <c r="D1973" s="1" t="s">
        <v>5</v>
      </c>
      <c r="E1973">
        <v>38</v>
      </c>
      <c r="F1973" s="1" t="s">
        <v>101</v>
      </c>
      <c r="G1973">
        <v>6</v>
      </c>
      <c r="H1973">
        <v>2</v>
      </c>
      <c r="I1973" s="2">
        <f t="shared" si="90"/>
        <v>0.39268799999999998</v>
      </c>
      <c r="J1973">
        <f t="shared" si="91"/>
        <v>1.4658006718924971E-2</v>
      </c>
      <c r="K1973">
        <f t="shared" si="92"/>
        <v>1.0255628101331939E-2</v>
      </c>
    </row>
    <row r="1974" spans="1:11" x14ac:dyDescent="0.25">
      <c r="A1974" s="1">
        <v>2004</v>
      </c>
      <c r="B1974" s="1" t="s">
        <v>99</v>
      </c>
      <c r="C1974" t="s">
        <v>7</v>
      </c>
      <c r="D1974" s="1" t="s">
        <v>5</v>
      </c>
      <c r="E1974">
        <v>40</v>
      </c>
      <c r="F1974" s="1" t="s">
        <v>101</v>
      </c>
      <c r="G1974">
        <v>6</v>
      </c>
      <c r="H1974">
        <v>1</v>
      </c>
      <c r="I1974" s="2">
        <f t="shared" si="90"/>
        <v>0.19634399999999999</v>
      </c>
      <c r="J1974">
        <f t="shared" si="91"/>
        <v>7.3290033594624856E-3</v>
      </c>
      <c r="K1974">
        <f t="shared" si="92"/>
        <v>5.1278140506659693E-3</v>
      </c>
    </row>
    <row r="1975" spans="1:11" x14ac:dyDescent="0.25">
      <c r="A1975" s="1">
        <v>2004</v>
      </c>
      <c r="B1975" s="1" t="s">
        <v>99</v>
      </c>
      <c r="C1975" t="s">
        <v>7</v>
      </c>
      <c r="D1975" s="1" t="s">
        <v>5</v>
      </c>
      <c r="E1975">
        <v>40</v>
      </c>
      <c r="F1975" s="1" t="s">
        <v>101</v>
      </c>
      <c r="G1975">
        <v>8</v>
      </c>
      <c r="H1975">
        <v>2</v>
      </c>
      <c r="I1975" s="2">
        <f t="shared" si="90"/>
        <v>0.69811199999999995</v>
      </c>
      <c r="J1975">
        <f t="shared" si="91"/>
        <v>2.6058678611422172E-2</v>
      </c>
      <c r="K1975">
        <f t="shared" si="92"/>
        <v>1.8232227735701226E-2</v>
      </c>
    </row>
    <row r="1976" spans="1:11" x14ac:dyDescent="0.25">
      <c r="A1976" s="1">
        <v>2004</v>
      </c>
      <c r="B1976" s="1" t="s">
        <v>99</v>
      </c>
      <c r="C1976" t="s">
        <v>7</v>
      </c>
      <c r="D1976" s="1" t="s">
        <v>5</v>
      </c>
      <c r="E1976">
        <v>53</v>
      </c>
      <c r="F1976" s="1" t="s">
        <v>101</v>
      </c>
      <c r="G1976">
        <v>6</v>
      </c>
      <c r="H1976">
        <v>2</v>
      </c>
      <c r="I1976" s="2">
        <f t="shared" si="90"/>
        <v>0.39268799999999998</v>
      </c>
      <c r="J1976">
        <f t="shared" si="91"/>
        <v>1.4658006718924971E-2</v>
      </c>
      <c r="K1976">
        <f t="shared" si="92"/>
        <v>1.0255628101331939E-2</v>
      </c>
    </row>
    <row r="1977" spans="1:11" x14ac:dyDescent="0.25">
      <c r="A1977" s="1">
        <v>2004</v>
      </c>
      <c r="B1977" s="1" t="s">
        <v>99</v>
      </c>
      <c r="C1977" t="s">
        <v>7</v>
      </c>
      <c r="D1977" s="1" t="s">
        <v>5</v>
      </c>
      <c r="E1977">
        <v>53</v>
      </c>
      <c r="F1977" s="1" t="s">
        <v>101</v>
      </c>
      <c r="G1977">
        <v>8</v>
      </c>
      <c r="H1977">
        <v>1</v>
      </c>
      <c r="I1977" s="2">
        <f t="shared" si="90"/>
        <v>0.34905599999999998</v>
      </c>
      <c r="J1977">
        <f t="shared" si="91"/>
        <v>1.3029339305711086E-2</v>
      </c>
      <c r="K1977">
        <f t="shared" si="92"/>
        <v>9.1161138678506129E-3</v>
      </c>
    </row>
    <row r="1978" spans="1:11" x14ac:dyDescent="0.25">
      <c r="A1978" s="1">
        <v>2004</v>
      </c>
      <c r="B1978" s="1" t="s">
        <v>99</v>
      </c>
      <c r="C1978" t="s">
        <v>7</v>
      </c>
      <c r="D1978" s="1" t="s">
        <v>5</v>
      </c>
      <c r="E1978">
        <v>53</v>
      </c>
      <c r="F1978" s="1" t="s">
        <v>101</v>
      </c>
      <c r="G1978">
        <v>10</v>
      </c>
      <c r="H1978">
        <v>1</v>
      </c>
      <c r="I1978" s="2">
        <f t="shared" si="90"/>
        <v>0.5454</v>
      </c>
      <c r="J1978">
        <f t="shared" si="91"/>
        <v>2.0358342665173574E-2</v>
      </c>
      <c r="K1978">
        <f t="shared" si="92"/>
        <v>1.4243927918516584E-2</v>
      </c>
    </row>
    <row r="1979" spans="1:11" x14ac:dyDescent="0.25">
      <c r="A1979" s="1">
        <v>2004</v>
      </c>
      <c r="B1979" s="1" t="s">
        <v>99</v>
      </c>
      <c r="C1979" t="s">
        <v>7</v>
      </c>
      <c r="D1979" s="1" t="s">
        <v>5</v>
      </c>
      <c r="E1979">
        <v>53</v>
      </c>
      <c r="F1979" s="1" t="s">
        <v>101</v>
      </c>
      <c r="G1979">
        <v>12</v>
      </c>
      <c r="H1979">
        <v>2</v>
      </c>
      <c r="I1979" s="2">
        <f t="shared" si="90"/>
        <v>1.5707519999999999</v>
      </c>
      <c r="J1979">
        <f t="shared" si="91"/>
        <v>5.8632026875699884E-2</v>
      </c>
      <c r="K1979">
        <f t="shared" si="92"/>
        <v>4.1022512405327755E-2</v>
      </c>
    </row>
    <row r="1980" spans="1:11" x14ac:dyDescent="0.25">
      <c r="A1980" s="1">
        <v>2004</v>
      </c>
      <c r="B1980" s="1" t="s">
        <v>99</v>
      </c>
      <c r="C1980" t="s">
        <v>7</v>
      </c>
      <c r="D1980" s="1" t="s">
        <v>5</v>
      </c>
      <c r="E1980">
        <v>54</v>
      </c>
      <c r="F1980" s="1" t="s">
        <v>101</v>
      </c>
      <c r="G1980">
        <v>6</v>
      </c>
      <c r="H1980">
        <v>5</v>
      </c>
      <c r="I1980" s="2">
        <f t="shared" si="90"/>
        <v>0.98171999999999993</v>
      </c>
      <c r="J1980">
        <f t="shared" si="91"/>
        <v>3.6645016797312427E-2</v>
      </c>
      <c r="K1980">
        <f t="shared" si="92"/>
        <v>2.5639070253329847E-2</v>
      </c>
    </row>
    <row r="1981" spans="1:11" x14ac:dyDescent="0.25">
      <c r="A1981" s="1">
        <v>2004</v>
      </c>
      <c r="B1981" s="1" t="s">
        <v>99</v>
      </c>
      <c r="C1981" t="s">
        <v>7</v>
      </c>
      <c r="D1981" s="1" t="s">
        <v>5</v>
      </c>
      <c r="E1981">
        <v>54</v>
      </c>
      <c r="F1981" s="1" t="s">
        <v>101</v>
      </c>
      <c r="G1981">
        <v>8</v>
      </c>
      <c r="H1981">
        <v>3</v>
      </c>
      <c r="I1981" s="2">
        <f t="shared" si="90"/>
        <v>1.0471679999999999</v>
      </c>
      <c r="J1981">
        <f t="shared" si="91"/>
        <v>3.9088017917133254E-2</v>
      </c>
      <c r="K1981">
        <f t="shared" si="92"/>
        <v>2.7348341603551835E-2</v>
      </c>
    </row>
    <row r="1982" spans="1:11" x14ac:dyDescent="0.25">
      <c r="A1982" s="1">
        <v>2004</v>
      </c>
      <c r="B1982" s="1" t="s">
        <v>99</v>
      </c>
      <c r="C1982" t="s">
        <v>7</v>
      </c>
      <c r="D1982" s="1" t="s">
        <v>5</v>
      </c>
      <c r="E1982">
        <v>54</v>
      </c>
      <c r="F1982" s="1" t="s">
        <v>101</v>
      </c>
      <c r="G1982">
        <v>10</v>
      </c>
      <c r="H1982">
        <v>2</v>
      </c>
      <c r="I1982" s="2">
        <f t="shared" si="90"/>
        <v>1.0908</v>
      </c>
      <c r="J1982">
        <f t="shared" si="91"/>
        <v>4.0716685330347148E-2</v>
      </c>
      <c r="K1982">
        <f t="shared" si="92"/>
        <v>2.8487855837033168E-2</v>
      </c>
    </row>
    <row r="1983" spans="1:11" x14ac:dyDescent="0.25">
      <c r="A1983" s="1">
        <v>2004</v>
      </c>
      <c r="B1983" s="1" t="s">
        <v>99</v>
      </c>
      <c r="C1983" t="s">
        <v>7</v>
      </c>
      <c r="D1983" s="1" t="s">
        <v>5</v>
      </c>
      <c r="E1983">
        <v>54</v>
      </c>
      <c r="F1983" s="1" t="s">
        <v>101</v>
      </c>
      <c r="G1983">
        <v>12</v>
      </c>
      <c r="H1983">
        <v>3</v>
      </c>
      <c r="I1983" s="2">
        <f t="shared" si="90"/>
        <v>2.356128</v>
      </c>
      <c r="J1983">
        <f t="shared" si="91"/>
        <v>8.794804031354983E-2</v>
      </c>
      <c r="K1983">
        <f t="shared" si="92"/>
        <v>6.1533768607991639E-2</v>
      </c>
    </row>
    <row r="1984" spans="1:11" x14ac:dyDescent="0.25">
      <c r="A1984" s="1">
        <v>2004</v>
      </c>
      <c r="B1984" s="1" t="s">
        <v>99</v>
      </c>
      <c r="C1984" t="s">
        <v>7</v>
      </c>
      <c r="D1984" s="1" t="s">
        <v>5</v>
      </c>
      <c r="E1984">
        <v>54</v>
      </c>
      <c r="F1984" s="1" t="s">
        <v>101</v>
      </c>
      <c r="G1984">
        <v>14</v>
      </c>
      <c r="H1984">
        <v>1</v>
      </c>
      <c r="I1984" s="2">
        <f t="shared" si="90"/>
        <v>1.0689839999999999</v>
      </c>
      <c r="J1984">
        <f t="shared" si="91"/>
        <v>3.9902351623740201E-2</v>
      </c>
      <c r="K1984">
        <f t="shared" si="92"/>
        <v>2.7918098720292502E-2</v>
      </c>
    </row>
    <row r="1985" spans="1:11" x14ac:dyDescent="0.25">
      <c r="A1985" s="1">
        <v>2004</v>
      </c>
      <c r="B1985" s="1" t="s">
        <v>99</v>
      </c>
      <c r="C1985" t="s">
        <v>7</v>
      </c>
      <c r="D1985" s="1" t="s">
        <v>5</v>
      </c>
      <c r="E1985">
        <v>56</v>
      </c>
      <c r="F1985" s="1" t="s">
        <v>101</v>
      </c>
      <c r="G1985">
        <v>6</v>
      </c>
      <c r="H1985">
        <v>3</v>
      </c>
      <c r="I1985" s="2">
        <f t="shared" si="90"/>
        <v>0.589032</v>
      </c>
      <c r="J1985">
        <f t="shared" si="91"/>
        <v>2.1987010078387458E-2</v>
      </c>
      <c r="K1985">
        <f t="shared" si="92"/>
        <v>1.538344215199791E-2</v>
      </c>
    </row>
    <row r="1986" spans="1:11" x14ac:dyDescent="0.25">
      <c r="A1986" s="1">
        <v>2004</v>
      </c>
      <c r="B1986" s="1" t="s">
        <v>99</v>
      </c>
      <c r="C1986" t="s">
        <v>7</v>
      </c>
      <c r="D1986" s="1" t="s">
        <v>5</v>
      </c>
      <c r="E1986">
        <v>56</v>
      </c>
      <c r="F1986" s="1" t="s">
        <v>101</v>
      </c>
      <c r="G1986">
        <v>8</v>
      </c>
      <c r="H1986">
        <v>2</v>
      </c>
      <c r="I1986" s="2">
        <f t="shared" si="90"/>
        <v>0.69811199999999995</v>
      </c>
      <c r="J1986">
        <f t="shared" si="91"/>
        <v>2.6058678611422172E-2</v>
      </c>
      <c r="K1986">
        <f t="shared" si="92"/>
        <v>1.8232227735701226E-2</v>
      </c>
    </row>
    <row r="1987" spans="1:11" x14ac:dyDescent="0.25">
      <c r="A1987" s="1">
        <v>2004</v>
      </c>
      <c r="B1987" s="1" t="s">
        <v>99</v>
      </c>
      <c r="C1987" t="s">
        <v>7</v>
      </c>
      <c r="D1987" s="1" t="s">
        <v>5</v>
      </c>
      <c r="E1987">
        <v>56</v>
      </c>
      <c r="F1987" s="1" t="s">
        <v>101</v>
      </c>
      <c r="G1987">
        <v>10</v>
      </c>
      <c r="H1987">
        <v>4</v>
      </c>
      <c r="I1987" s="2">
        <f t="shared" ref="I1987:I2050" si="93">0.005454*G1987^2*H1987</f>
        <v>2.1816</v>
      </c>
      <c r="J1987">
        <f t="shared" ref="J1987:J2050" si="94">I1987/26.79</f>
        <v>8.1433370660694296E-2</v>
      </c>
      <c r="K1987">
        <f t="shared" ref="K1987:K2050" si="95">J1987*(26.79/38.29)</f>
        <v>5.6975711674066336E-2</v>
      </c>
    </row>
    <row r="1988" spans="1:11" x14ac:dyDescent="0.25">
      <c r="A1988" s="1">
        <v>2004</v>
      </c>
      <c r="B1988" s="1" t="s">
        <v>99</v>
      </c>
      <c r="C1988" t="s">
        <v>7</v>
      </c>
      <c r="D1988" s="1" t="s">
        <v>5</v>
      </c>
      <c r="E1988">
        <v>58</v>
      </c>
      <c r="F1988" s="1" t="s">
        <v>101</v>
      </c>
      <c r="G1988">
        <v>6</v>
      </c>
      <c r="H1988">
        <v>13</v>
      </c>
      <c r="I1988" s="2">
        <f t="shared" si="93"/>
        <v>2.5524719999999999</v>
      </c>
      <c r="J1988">
        <f t="shared" si="94"/>
        <v>9.5277043673012318E-2</v>
      </c>
      <c r="K1988">
        <f t="shared" si="95"/>
        <v>6.6661582658657612E-2</v>
      </c>
    </row>
    <row r="1989" spans="1:11" x14ac:dyDescent="0.25">
      <c r="A1989" s="1">
        <v>2004</v>
      </c>
      <c r="B1989" s="1" t="s">
        <v>99</v>
      </c>
      <c r="C1989" t="s">
        <v>7</v>
      </c>
      <c r="D1989" s="1" t="s">
        <v>5</v>
      </c>
      <c r="E1989">
        <v>58</v>
      </c>
      <c r="F1989" s="1" t="s">
        <v>101</v>
      </c>
      <c r="G1989">
        <v>8</v>
      </c>
      <c r="H1989">
        <v>1</v>
      </c>
      <c r="I1989" s="2">
        <f t="shared" si="93"/>
        <v>0.34905599999999998</v>
      </c>
      <c r="J1989">
        <f t="shared" si="94"/>
        <v>1.3029339305711086E-2</v>
      </c>
      <c r="K1989">
        <f t="shared" si="95"/>
        <v>9.1161138678506129E-3</v>
      </c>
    </row>
    <row r="1990" spans="1:11" x14ac:dyDescent="0.25">
      <c r="A1990" s="1">
        <v>2004</v>
      </c>
      <c r="B1990" s="1" t="s">
        <v>99</v>
      </c>
      <c r="C1990" t="s">
        <v>7</v>
      </c>
      <c r="D1990" s="1" t="s">
        <v>5</v>
      </c>
      <c r="E1990">
        <v>58</v>
      </c>
      <c r="F1990" s="1" t="s">
        <v>101</v>
      </c>
      <c r="G1990">
        <v>10</v>
      </c>
      <c r="H1990">
        <v>3</v>
      </c>
      <c r="I1990" s="2">
        <f t="shared" si="93"/>
        <v>1.6362000000000001</v>
      </c>
      <c r="J1990">
        <f t="shared" si="94"/>
        <v>6.1075027995520725E-2</v>
      </c>
      <c r="K1990">
        <f t="shared" si="95"/>
        <v>4.2731783755549757E-2</v>
      </c>
    </row>
    <row r="1991" spans="1:11" x14ac:dyDescent="0.25">
      <c r="A1991" s="1">
        <v>2004</v>
      </c>
      <c r="B1991" s="1" t="s">
        <v>99</v>
      </c>
      <c r="C1991" t="s">
        <v>7</v>
      </c>
      <c r="D1991" s="1" t="s">
        <v>5</v>
      </c>
      <c r="E1991">
        <v>66</v>
      </c>
      <c r="F1991" s="1" t="s">
        <v>101</v>
      </c>
      <c r="G1991">
        <v>6</v>
      </c>
      <c r="H1991">
        <v>3</v>
      </c>
      <c r="I1991" s="2">
        <f t="shared" si="93"/>
        <v>0.589032</v>
      </c>
      <c r="J1991">
        <f t="shared" si="94"/>
        <v>2.1987010078387458E-2</v>
      </c>
      <c r="K1991">
        <f t="shared" si="95"/>
        <v>1.538344215199791E-2</v>
      </c>
    </row>
    <row r="1992" spans="1:11" x14ac:dyDescent="0.25">
      <c r="A1992" s="1">
        <v>2004</v>
      </c>
      <c r="B1992" s="1" t="s">
        <v>99</v>
      </c>
      <c r="C1992" t="s">
        <v>7</v>
      </c>
      <c r="D1992" s="1" t="s">
        <v>5</v>
      </c>
      <c r="E1992">
        <v>66</v>
      </c>
      <c r="F1992" s="1" t="s">
        <v>101</v>
      </c>
      <c r="G1992">
        <v>8</v>
      </c>
      <c r="H1992">
        <v>1</v>
      </c>
      <c r="I1992" s="2">
        <f t="shared" si="93"/>
        <v>0.34905599999999998</v>
      </c>
      <c r="J1992">
        <f t="shared" si="94"/>
        <v>1.3029339305711086E-2</v>
      </c>
      <c r="K1992">
        <f t="shared" si="95"/>
        <v>9.1161138678506129E-3</v>
      </c>
    </row>
    <row r="1993" spans="1:11" x14ac:dyDescent="0.25">
      <c r="A1993" s="1">
        <v>2004</v>
      </c>
      <c r="B1993" s="1" t="s">
        <v>99</v>
      </c>
      <c r="C1993" t="s">
        <v>7</v>
      </c>
      <c r="D1993" s="1" t="s">
        <v>5</v>
      </c>
      <c r="E1993">
        <v>71</v>
      </c>
      <c r="F1993" s="1" t="s">
        <v>101</v>
      </c>
      <c r="G1993">
        <v>6</v>
      </c>
      <c r="H1993">
        <v>4</v>
      </c>
      <c r="I1993" s="2">
        <f t="shared" si="93"/>
        <v>0.78537599999999996</v>
      </c>
      <c r="J1993">
        <f t="shared" si="94"/>
        <v>2.9316013437849942E-2</v>
      </c>
      <c r="K1993">
        <f t="shared" si="95"/>
        <v>2.0511256202663877E-2</v>
      </c>
    </row>
    <row r="1994" spans="1:11" x14ac:dyDescent="0.25">
      <c r="A1994" s="1">
        <v>2004</v>
      </c>
      <c r="B1994" s="1" t="s">
        <v>99</v>
      </c>
      <c r="C1994" t="s">
        <v>7</v>
      </c>
      <c r="D1994" s="1" t="s">
        <v>5</v>
      </c>
      <c r="E1994">
        <v>71</v>
      </c>
      <c r="F1994" s="1" t="s">
        <v>101</v>
      </c>
      <c r="G1994">
        <v>8</v>
      </c>
      <c r="H1994">
        <v>2</v>
      </c>
      <c r="I1994" s="2">
        <f t="shared" si="93"/>
        <v>0.69811199999999995</v>
      </c>
      <c r="J1994">
        <f t="shared" si="94"/>
        <v>2.6058678611422172E-2</v>
      </c>
      <c r="K1994">
        <f t="shared" si="95"/>
        <v>1.8232227735701226E-2</v>
      </c>
    </row>
    <row r="1995" spans="1:11" x14ac:dyDescent="0.25">
      <c r="A1995" s="1">
        <v>2004</v>
      </c>
      <c r="B1995" s="1" t="s">
        <v>99</v>
      </c>
      <c r="C1995" t="s">
        <v>7</v>
      </c>
      <c r="D1995" s="1" t="s">
        <v>5</v>
      </c>
      <c r="E1995">
        <v>71</v>
      </c>
      <c r="F1995" s="1" t="s">
        <v>101</v>
      </c>
      <c r="G1995">
        <v>10</v>
      </c>
      <c r="H1995">
        <v>1</v>
      </c>
      <c r="I1995" s="2">
        <f t="shared" si="93"/>
        <v>0.5454</v>
      </c>
      <c r="J1995">
        <f t="shared" si="94"/>
        <v>2.0358342665173574E-2</v>
      </c>
      <c r="K1995">
        <f t="shared" si="95"/>
        <v>1.4243927918516584E-2</v>
      </c>
    </row>
    <row r="1996" spans="1:11" x14ac:dyDescent="0.25">
      <c r="A1996" s="1">
        <v>2004</v>
      </c>
      <c r="B1996" s="1" t="s">
        <v>99</v>
      </c>
      <c r="C1996" t="s">
        <v>7</v>
      </c>
      <c r="D1996" s="1" t="s">
        <v>5</v>
      </c>
      <c r="E1996">
        <v>71</v>
      </c>
      <c r="F1996" s="1" t="s">
        <v>101</v>
      </c>
      <c r="G1996">
        <v>12</v>
      </c>
      <c r="H1996">
        <v>1</v>
      </c>
      <c r="I1996" s="2">
        <f t="shared" si="93"/>
        <v>0.78537599999999996</v>
      </c>
      <c r="J1996">
        <f t="shared" si="94"/>
        <v>2.9316013437849942E-2</v>
      </c>
      <c r="K1996">
        <f t="shared" si="95"/>
        <v>2.0511256202663877E-2</v>
      </c>
    </row>
    <row r="1997" spans="1:11" x14ac:dyDescent="0.25">
      <c r="A1997" s="1">
        <v>2004</v>
      </c>
      <c r="B1997" s="1" t="s">
        <v>99</v>
      </c>
      <c r="C1997" t="s">
        <v>7</v>
      </c>
      <c r="D1997" s="1" t="s">
        <v>5</v>
      </c>
      <c r="E1997">
        <v>76</v>
      </c>
      <c r="F1997" s="1" t="s">
        <v>101</v>
      </c>
      <c r="G1997">
        <v>6</v>
      </c>
      <c r="H1997">
        <v>11</v>
      </c>
      <c r="I1997" s="2">
        <f t="shared" si="93"/>
        <v>2.1597839999999997</v>
      </c>
      <c r="J1997">
        <f t="shared" si="94"/>
        <v>8.0619036954087342E-2</v>
      </c>
      <c r="K1997">
        <f t="shared" si="95"/>
        <v>5.6405954557325666E-2</v>
      </c>
    </row>
    <row r="1998" spans="1:11" x14ac:dyDescent="0.25">
      <c r="A1998" s="1">
        <v>2004</v>
      </c>
      <c r="B1998" s="1" t="s">
        <v>99</v>
      </c>
      <c r="C1998" t="s">
        <v>7</v>
      </c>
      <c r="D1998" s="1" t="s">
        <v>5</v>
      </c>
      <c r="E1998">
        <v>76</v>
      </c>
      <c r="F1998" s="1" t="s">
        <v>101</v>
      </c>
      <c r="G1998">
        <v>8</v>
      </c>
      <c r="H1998">
        <v>6</v>
      </c>
      <c r="I1998" s="2">
        <f t="shared" si="93"/>
        <v>2.0943359999999998</v>
      </c>
      <c r="J1998">
        <f t="shared" si="94"/>
        <v>7.8176035834266508E-2</v>
      </c>
      <c r="K1998">
        <f t="shared" si="95"/>
        <v>5.469668320710367E-2</v>
      </c>
    </row>
    <row r="1999" spans="1:11" x14ac:dyDescent="0.25">
      <c r="A1999" s="1">
        <v>2004</v>
      </c>
      <c r="B1999" s="1" t="s">
        <v>99</v>
      </c>
      <c r="C1999" t="s">
        <v>7</v>
      </c>
      <c r="D1999" s="1" t="s">
        <v>5</v>
      </c>
      <c r="E1999">
        <v>76</v>
      </c>
      <c r="F1999" s="1" t="s">
        <v>101</v>
      </c>
      <c r="G1999">
        <v>10</v>
      </c>
      <c r="H1999">
        <v>3</v>
      </c>
      <c r="I1999" s="2">
        <f t="shared" si="93"/>
        <v>1.6362000000000001</v>
      </c>
      <c r="J1999">
        <f t="shared" si="94"/>
        <v>6.1075027995520725E-2</v>
      </c>
      <c r="K1999">
        <f t="shared" si="95"/>
        <v>4.2731783755549757E-2</v>
      </c>
    </row>
    <row r="2000" spans="1:11" x14ac:dyDescent="0.25">
      <c r="A2000" s="1">
        <v>2004</v>
      </c>
      <c r="B2000" s="1" t="s">
        <v>99</v>
      </c>
      <c r="C2000" t="s">
        <v>7</v>
      </c>
      <c r="D2000" s="1" t="s">
        <v>5</v>
      </c>
      <c r="E2000">
        <v>76</v>
      </c>
      <c r="F2000" s="1" t="s">
        <v>101</v>
      </c>
      <c r="G2000">
        <v>12</v>
      </c>
      <c r="H2000">
        <v>1</v>
      </c>
      <c r="I2000" s="2">
        <f t="shared" si="93"/>
        <v>0.78537599999999996</v>
      </c>
      <c r="J2000">
        <f t="shared" si="94"/>
        <v>2.9316013437849942E-2</v>
      </c>
      <c r="K2000">
        <f t="shared" si="95"/>
        <v>2.0511256202663877E-2</v>
      </c>
    </row>
    <row r="2001" spans="1:11" x14ac:dyDescent="0.25">
      <c r="A2001" s="1">
        <v>2004</v>
      </c>
      <c r="B2001" s="1" t="s">
        <v>99</v>
      </c>
      <c r="C2001" t="s">
        <v>7</v>
      </c>
      <c r="D2001" s="1" t="s">
        <v>5</v>
      </c>
      <c r="E2001">
        <v>79</v>
      </c>
      <c r="F2001" s="1" t="s">
        <v>101</v>
      </c>
      <c r="G2001">
        <v>6</v>
      </c>
      <c r="H2001">
        <v>45</v>
      </c>
      <c r="I2001" s="2">
        <f t="shared" si="93"/>
        <v>8.8354800000000004</v>
      </c>
      <c r="J2001">
        <f t="shared" si="94"/>
        <v>0.32980515117581188</v>
      </c>
      <c r="K2001">
        <f t="shared" si="95"/>
        <v>0.23075163227996864</v>
      </c>
    </row>
    <row r="2002" spans="1:11" x14ac:dyDescent="0.25">
      <c r="A2002" s="1">
        <v>2004</v>
      </c>
      <c r="B2002" s="1" t="s">
        <v>99</v>
      </c>
      <c r="C2002" t="s">
        <v>7</v>
      </c>
      <c r="D2002" s="1" t="s">
        <v>5</v>
      </c>
      <c r="E2002">
        <v>79</v>
      </c>
      <c r="F2002" s="1" t="s">
        <v>101</v>
      </c>
      <c r="G2002">
        <v>8</v>
      </c>
      <c r="H2002">
        <v>16</v>
      </c>
      <c r="I2002" s="2">
        <f t="shared" si="93"/>
        <v>5.5848959999999996</v>
      </c>
      <c r="J2002">
        <f t="shared" si="94"/>
        <v>0.20846942889137737</v>
      </c>
      <c r="K2002">
        <f t="shared" si="95"/>
        <v>0.14585782188560981</v>
      </c>
    </row>
    <row r="2003" spans="1:11" x14ac:dyDescent="0.25">
      <c r="A2003" s="1">
        <v>2004</v>
      </c>
      <c r="B2003" s="1" t="s">
        <v>99</v>
      </c>
      <c r="C2003" t="s">
        <v>7</v>
      </c>
      <c r="D2003" s="1" t="s">
        <v>5</v>
      </c>
      <c r="E2003">
        <v>79</v>
      </c>
      <c r="F2003" s="1" t="s">
        <v>101</v>
      </c>
      <c r="G2003">
        <v>10</v>
      </c>
      <c r="H2003">
        <v>7</v>
      </c>
      <c r="I2003" s="2">
        <f t="shared" si="93"/>
        <v>3.8178000000000001</v>
      </c>
      <c r="J2003">
        <f t="shared" si="94"/>
        <v>0.14250839865621501</v>
      </c>
      <c r="K2003">
        <f t="shared" si="95"/>
        <v>9.9707495429616086E-2</v>
      </c>
    </row>
    <row r="2004" spans="1:11" x14ac:dyDescent="0.25">
      <c r="A2004" s="1">
        <v>2004</v>
      </c>
      <c r="B2004" s="1" t="s">
        <v>99</v>
      </c>
      <c r="C2004" t="s">
        <v>7</v>
      </c>
      <c r="D2004" s="1" t="s">
        <v>5</v>
      </c>
      <c r="E2004">
        <v>79</v>
      </c>
      <c r="F2004" s="1" t="s">
        <v>101</v>
      </c>
      <c r="G2004">
        <v>12</v>
      </c>
      <c r="H2004">
        <v>3</v>
      </c>
      <c r="I2004" s="2">
        <f t="shared" si="93"/>
        <v>2.356128</v>
      </c>
      <c r="J2004">
        <f t="shared" si="94"/>
        <v>8.794804031354983E-2</v>
      </c>
      <c r="K2004">
        <f t="shared" si="95"/>
        <v>6.1533768607991639E-2</v>
      </c>
    </row>
    <row r="2005" spans="1:11" x14ac:dyDescent="0.25">
      <c r="A2005" s="1">
        <v>2004</v>
      </c>
      <c r="B2005" s="1" t="s">
        <v>99</v>
      </c>
      <c r="C2005" t="s">
        <v>7</v>
      </c>
      <c r="D2005" s="1" t="s">
        <v>5</v>
      </c>
      <c r="E2005">
        <v>79</v>
      </c>
      <c r="F2005" s="1" t="s">
        <v>101</v>
      </c>
      <c r="G2005">
        <v>14</v>
      </c>
      <c r="H2005">
        <v>2</v>
      </c>
      <c r="I2005" s="2">
        <f t="shared" si="93"/>
        <v>2.1379679999999999</v>
      </c>
      <c r="J2005">
        <f t="shared" si="94"/>
        <v>7.9804703247480402E-2</v>
      </c>
      <c r="K2005">
        <f t="shared" si="95"/>
        <v>5.5836197440585003E-2</v>
      </c>
    </row>
    <row r="2006" spans="1:11" x14ac:dyDescent="0.25">
      <c r="A2006" s="1">
        <v>2004</v>
      </c>
      <c r="B2006" s="1" t="s">
        <v>99</v>
      </c>
      <c r="C2006" t="s">
        <v>7</v>
      </c>
      <c r="D2006" s="1" t="s">
        <v>5</v>
      </c>
      <c r="E2006">
        <v>79</v>
      </c>
      <c r="F2006" s="1" t="s">
        <v>101</v>
      </c>
      <c r="G2006">
        <v>16</v>
      </c>
      <c r="H2006">
        <v>2</v>
      </c>
      <c r="I2006" s="2">
        <f t="shared" si="93"/>
        <v>2.7924479999999998</v>
      </c>
      <c r="J2006">
        <f t="shared" si="94"/>
        <v>0.10423471444568869</v>
      </c>
      <c r="K2006">
        <f t="shared" si="95"/>
        <v>7.2928910942804903E-2</v>
      </c>
    </row>
    <row r="2007" spans="1:11" x14ac:dyDescent="0.25">
      <c r="A2007" s="1">
        <v>2004</v>
      </c>
      <c r="B2007" s="1" t="s">
        <v>99</v>
      </c>
      <c r="C2007" t="s">
        <v>7</v>
      </c>
      <c r="D2007" s="1" t="s">
        <v>5</v>
      </c>
      <c r="E2007">
        <v>84</v>
      </c>
      <c r="F2007" s="1" t="s">
        <v>101</v>
      </c>
      <c r="G2007">
        <v>10</v>
      </c>
      <c r="H2007">
        <v>1</v>
      </c>
      <c r="I2007" s="2">
        <f t="shared" si="93"/>
        <v>0.5454</v>
      </c>
      <c r="J2007">
        <f t="shared" si="94"/>
        <v>2.0358342665173574E-2</v>
      </c>
      <c r="K2007">
        <f t="shared" si="95"/>
        <v>1.4243927918516584E-2</v>
      </c>
    </row>
    <row r="2008" spans="1:11" x14ac:dyDescent="0.25">
      <c r="A2008" s="1">
        <v>2004</v>
      </c>
      <c r="B2008" s="1" t="s">
        <v>99</v>
      </c>
      <c r="C2008" t="s">
        <v>7</v>
      </c>
      <c r="D2008" s="1" t="s">
        <v>5</v>
      </c>
      <c r="E2008">
        <v>85</v>
      </c>
      <c r="F2008" s="1" t="s">
        <v>101</v>
      </c>
      <c r="G2008">
        <v>6</v>
      </c>
      <c r="H2008">
        <v>5</v>
      </c>
      <c r="I2008" s="2">
        <f t="shared" si="93"/>
        <v>0.98171999999999993</v>
      </c>
      <c r="J2008">
        <f t="shared" si="94"/>
        <v>3.6645016797312427E-2</v>
      </c>
      <c r="K2008">
        <f t="shared" si="95"/>
        <v>2.5639070253329847E-2</v>
      </c>
    </row>
    <row r="2009" spans="1:11" x14ac:dyDescent="0.25">
      <c r="A2009" s="1">
        <v>2004</v>
      </c>
      <c r="B2009" s="1" t="s">
        <v>99</v>
      </c>
      <c r="C2009" t="s">
        <v>7</v>
      </c>
      <c r="D2009" s="1" t="s">
        <v>5</v>
      </c>
      <c r="E2009">
        <v>85</v>
      </c>
      <c r="F2009" s="1" t="s">
        <v>101</v>
      </c>
      <c r="G2009">
        <v>8</v>
      </c>
      <c r="H2009">
        <v>1</v>
      </c>
      <c r="I2009" s="2">
        <f t="shared" si="93"/>
        <v>0.34905599999999998</v>
      </c>
      <c r="J2009">
        <f t="shared" si="94"/>
        <v>1.3029339305711086E-2</v>
      </c>
      <c r="K2009">
        <f t="shared" si="95"/>
        <v>9.1161138678506129E-3</v>
      </c>
    </row>
    <row r="2010" spans="1:11" x14ac:dyDescent="0.25">
      <c r="A2010" s="1">
        <v>2004</v>
      </c>
      <c r="B2010" s="1" t="s">
        <v>99</v>
      </c>
      <c r="C2010" t="s">
        <v>7</v>
      </c>
      <c r="D2010" s="1" t="s">
        <v>5</v>
      </c>
      <c r="E2010">
        <v>85</v>
      </c>
      <c r="F2010" s="1" t="s">
        <v>101</v>
      </c>
      <c r="G2010">
        <v>10</v>
      </c>
      <c r="H2010">
        <v>1</v>
      </c>
      <c r="I2010" s="2">
        <f t="shared" si="93"/>
        <v>0.5454</v>
      </c>
      <c r="J2010">
        <f t="shared" si="94"/>
        <v>2.0358342665173574E-2</v>
      </c>
      <c r="K2010">
        <f t="shared" si="95"/>
        <v>1.4243927918516584E-2</v>
      </c>
    </row>
    <row r="2011" spans="1:11" x14ac:dyDescent="0.25">
      <c r="A2011" s="1">
        <v>2004</v>
      </c>
      <c r="B2011" s="1" t="s">
        <v>99</v>
      </c>
      <c r="C2011" t="s">
        <v>7</v>
      </c>
      <c r="D2011" s="1" t="s">
        <v>5</v>
      </c>
      <c r="E2011">
        <v>85</v>
      </c>
      <c r="F2011" s="1" t="s">
        <v>101</v>
      </c>
      <c r="G2011">
        <v>12</v>
      </c>
      <c r="H2011">
        <v>2</v>
      </c>
      <c r="I2011" s="2">
        <f t="shared" si="93"/>
        <v>1.5707519999999999</v>
      </c>
      <c r="J2011">
        <f t="shared" si="94"/>
        <v>5.8632026875699884E-2</v>
      </c>
      <c r="K2011">
        <f t="shared" si="95"/>
        <v>4.1022512405327755E-2</v>
      </c>
    </row>
    <row r="2012" spans="1:11" x14ac:dyDescent="0.25">
      <c r="A2012" s="1">
        <v>2004</v>
      </c>
      <c r="B2012" s="1" t="s">
        <v>99</v>
      </c>
      <c r="C2012" t="s">
        <v>7</v>
      </c>
      <c r="D2012" s="1" t="s">
        <v>5</v>
      </c>
      <c r="E2012">
        <v>85</v>
      </c>
      <c r="F2012" s="1" t="s">
        <v>101</v>
      </c>
      <c r="G2012">
        <v>16</v>
      </c>
      <c r="H2012">
        <v>1</v>
      </c>
      <c r="I2012" s="2">
        <f t="shared" si="93"/>
        <v>1.3962239999999999</v>
      </c>
      <c r="J2012">
        <f t="shared" si="94"/>
        <v>5.2117357222844343E-2</v>
      </c>
      <c r="K2012">
        <f t="shared" si="95"/>
        <v>3.6464455471402452E-2</v>
      </c>
    </row>
    <row r="2013" spans="1:11" x14ac:dyDescent="0.25">
      <c r="A2013" s="1">
        <v>2004</v>
      </c>
      <c r="B2013" s="1" t="s">
        <v>99</v>
      </c>
      <c r="C2013" t="s">
        <v>7</v>
      </c>
      <c r="D2013" s="1" t="s">
        <v>5</v>
      </c>
      <c r="E2013">
        <v>88</v>
      </c>
      <c r="F2013" s="1" t="s">
        <v>101</v>
      </c>
      <c r="G2013">
        <v>6</v>
      </c>
      <c r="H2013">
        <v>1</v>
      </c>
      <c r="I2013" s="2">
        <f t="shared" si="93"/>
        <v>0.19634399999999999</v>
      </c>
      <c r="J2013">
        <f t="shared" si="94"/>
        <v>7.3290033594624856E-3</v>
      </c>
      <c r="K2013">
        <f t="shared" si="95"/>
        <v>5.1278140506659693E-3</v>
      </c>
    </row>
    <row r="2014" spans="1:11" x14ac:dyDescent="0.25">
      <c r="A2014" s="1">
        <v>2004</v>
      </c>
      <c r="B2014" s="1" t="s">
        <v>99</v>
      </c>
      <c r="C2014" t="s">
        <v>7</v>
      </c>
      <c r="D2014" s="1" t="s">
        <v>5</v>
      </c>
      <c r="E2014">
        <v>88</v>
      </c>
      <c r="F2014" s="1" t="s">
        <v>101</v>
      </c>
      <c r="G2014">
        <v>10</v>
      </c>
      <c r="H2014">
        <v>1</v>
      </c>
      <c r="I2014" s="2">
        <f t="shared" si="93"/>
        <v>0.5454</v>
      </c>
      <c r="J2014">
        <f t="shared" si="94"/>
        <v>2.0358342665173574E-2</v>
      </c>
      <c r="K2014">
        <f t="shared" si="95"/>
        <v>1.4243927918516584E-2</v>
      </c>
    </row>
    <row r="2015" spans="1:11" x14ac:dyDescent="0.25">
      <c r="A2015" s="1">
        <v>2004</v>
      </c>
      <c r="B2015" s="1" t="s">
        <v>99</v>
      </c>
      <c r="C2015" t="s">
        <v>7</v>
      </c>
      <c r="D2015" s="1" t="s">
        <v>5</v>
      </c>
      <c r="E2015">
        <v>91</v>
      </c>
      <c r="F2015" s="1" t="s">
        <v>101</v>
      </c>
      <c r="G2015">
        <v>10</v>
      </c>
      <c r="H2015">
        <v>2</v>
      </c>
      <c r="I2015" s="2">
        <f t="shared" si="93"/>
        <v>1.0908</v>
      </c>
      <c r="J2015">
        <f t="shared" si="94"/>
        <v>4.0716685330347148E-2</v>
      </c>
      <c r="K2015">
        <f t="shared" si="95"/>
        <v>2.8487855837033168E-2</v>
      </c>
    </row>
    <row r="2016" spans="1:11" x14ac:dyDescent="0.25">
      <c r="A2016" s="1">
        <v>2004</v>
      </c>
      <c r="B2016" s="1" t="s">
        <v>99</v>
      </c>
      <c r="C2016" t="s">
        <v>7</v>
      </c>
      <c r="D2016" s="1" t="s">
        <v>5</v>
      </c>
      <c r="E2016">
        <v>91</v>
      </c>
      <c r="F2016" s="1" t="s">
        <v>101</v>
      </c>
      <c r="G2016">
        <v>12</v>
      </c>
      <c r="H2016">
        <v>2</v>
      </c>
      <c r="I2016" s="2">
        <f t="shared" si="93"/>
        <v>1.5707519999999999</v>
      </c>
      <c r="J2016">
        <f t="shared" si="94"/>
        <v>5.8632026875699884E-2</v>
      </c>
      <c r="K2016">
        <f t="shared" si="95"/>
        <v>4.1022512405327755E-2</v>
      </c>
    </row>
    <row r="2017" spans="1:11" x14ac:dyDescent="0.25">
      <c r="A2017" s="1">
        <v>2004</v>
      </c>
      <c r="B2017" s="1" t="s">
        <v>99</v>
      </c>
      <c r="C2017" t="s">
        <v>7</v>
      </c>
      <c r="D2017" s="1" t="s">
        <v>5</v>
      </c>
      <c r="E2017">
        <v>91</v>
      </c>
      <c r="F2017" s="1" t="s">
        <v>101</v>
      </c>
      <c r="G2017">
        <v>14</v>
      </c>
      <c r="H2017">
        <v>1</v>
      </c>
      <c r="I2017" s="2">
        <f t="shared" si="93"/>
        <v>1.0689839999999999</v>
      </c>
      <c r="J2017">
        <f t="shared" si="94"/>
        <v>3.9902351623740201E-2</v>
      </c>
      <c r="K2017">
        <f t="shared" si="95"/>
        <v>2.7918098720292502E-2</v>
      </c>
    </row>
    <row r="2018" spans="1:11" x14ac:dyDescent="0.25">
      <c r="A2018" s="1">
        <v>2019</v>
      </c>
      <c r="B2018" s="1" t="s">
        <v>99</v>
      </c>
      <c r="C2018" t="s">
        <v>9</v>
      </c>
      <c r="D2018" s="1" t="s">
        <v>3</v>
      </c>
      <c r="E2018">
        <v>11</v>
      </c>
      <c r="F2018" s="1" t="s">
        <v>101</v>
      </c>
      <c r="G2018">
        <v>10</v>
      </c>
      <c r="H2018">
        <v>1</v>
      </c>
      <c r="I2018" s="2">
        <f t="shared" si="93"/>
        <v>0.5454</v>
      </c>
      <c r="J2018">
        <f t="shared" si="94"/>
        <v>2.0358342665173574E-2</v>
      </c>
      <c r="K2018">
        <f t="shared" si="95"/>
        <v>1.4243927918516584E-2</v>
      </c>
    </row>
    <row r="2019" spans="1:11" x14ac:dyDescent="0.25">
      <c r="A2019" s="1">
        <v>2019</v>
      </c>
      <c r="B2019" s="1" t="s">
        <v>99</v>
      </c>
      <c r="C2019" t="s">
        <v>9</v>
      </c>
      <c r="D2019" s="1" t="s">
        <v>3</v>
      </c>
      <c r="E2019">
        <v>11</v>
      </c>
      <c r="F2019" s="1" t="s">
        <v>101</v>
      </c>
      <c r="G2019">
        <v>12</v>
      </c>
      <c r="H2019">
        <v>3</v>
      </c>
      <c r="I2019" s="2">
        <f t="shared" si="93"/>
        <v>2.356128</v>
      </c>
      <c r="J2019">
        <f t="shared" si="94"/>
        <v>8.794804031354983E-2</v>
      </c>
      <c r="K2019">
        <f t="shared" si="95"/>
        <v>6.1533768607991639E-2</v>
      </c>
    </row>
    <row r="2020" spans="1:11" x14ac:dyDescent="0.25">
      <c r="A2020" s="1">
        <v>2019</v>
      </c>
      <c r="B2020" s="1" t="s">
        <v>99</v>
      </c>
      <c r="C2020" t="s">
        <v>9</v>
      </c>
      <c r="D2020" s="1" t="s">
        <v>3</v>
      </c>
      <c r="E2020">
        <v>21</v>
      </c>
      <c r="F2020" s="1" t="s">
        <v>101</v>
      </c>
      <c r="G2020">
        <v>6</v>
      </c>
      <c r="H2020">
        <v>11</v>
      </c>
      <c r="I2020" s="2">
        <f t="shared" si="93"/>
        <v>2.1597839999999997</v>
      </c>
      <c r="J2020">
        <f t="shared" si="94"/>
        <v>8.0619036954087342E-2</v>
      </c>
      <c r="K2020">
        <f t="shared" si="95"/>
        <v>5.6405954557325666E-2</v>
      </c>
    </row>
    <row r="2021" spans="1:11" x14ac:dyDescent="0.25">
      <c r="A2021" s="1">
        <v>2019</v>
      </c>
      <c r="B2021" s="1" t="s">
        <v>99</v>
      </c>
      <c r="C2021" t="s">
        <v>9</v>
      </c>
      <c r="D2021" s="1" t="s">
        <v>3</v>
      </c>
      <c r="E2021">
        <v>21</v>
      </c>
      <c r="F2021" s="1" t="s">
        <v>101</v>
      </c>
      <c r="G2021">
        <v>8</v>
      </c>
      <c r="H2021">
        <v>5</v>
      </c>
      <c r="I2021" s="2">
        <f t="shared" si="93"/>
        <v>1.7452799999999999</v>
      </c>
      <c r="J2021">
        <f t="shared" si="94"/>
        <v>6.5146696528555426E-2</v>
      </c>
      <c r="K2021">
        <f t="shared" si="95"/>
        <v>4.5580569339253064E-2</v>
      </c>
    </row>
    <row r="2022" spans="1:11" x14ac:dyDescent="0.25">
      <c r="A2022" s="1">
        <v>2019</v>
      </c>
      <c r="B2022" s="1" t="s">
        <v>99</v>
      </c>
      <c r="C2022" t="s">
        <v>9</v>
      </c>
      <c r="D2022" s="1" t="s">
        <v>3</v>
      </c>
      <c r="E2022">
        <v>21</v>
      </c>
      <c r="F2022" s="1" t="s">
        <v>101</v>
      </c>
      <c r="G2022">
        <v>10</v>
      </c>
      <c r="H2022">
        <v>11</v>
      </c>
      <c r="I2022" s="2">
        <f t="shared" si="93"/>
        <v>5.9993999999999996</v>
      </c>
      <c r="J2022">
        <f t="shared" si="94"/>
        <v>0.22394176931690929</v>
      </c>
      <c r="K2022">
        <f t="shared" si="95"/>
        <v>0.15668320710368241</v>
      </c>
    </row>
    <row r="2023" spans="1:11" x14ac:dyDescent="0.25">
      <c r="A2023" s="1">
        <v>2019</v>
      </c>
      <c r="B2023" s="1" t="s">
        <v>99</v>
      </c>
      <c r="C2023" t="s">
        <v>9</v>
      </c>
      <c r="D2023" s="1" t="s">
        <v>3</v>
      </c>
      <c r="E2023">
        <v>21</v>
      </c>
      <c r="F2023" s="1" t="s">
        <v>101</v>
      </c>
      <c r="G2023">
        <v>12</v>
      </c>
      <c r="H2023">
        <v>6</v>
      </c>
      <c r="I2023" s="2">
        <f t="shared" si="93"/>
        <v>4.712256</v>
      </c>
      <c r="J2023">
        <f t="shared" si="94"/>
        <v>0.17589608062709966</v>
      </c>
      <c r="K2023">
        <f t="shared" si="95"/>
        <v>0.12306753721598328</v>
      </c>
    </row>
    <row r="2024" spans="1:11" x14ac:dyDescent="0.25">
      <c r="A2024" s="1">
        <v>2019</v>
      </c>
      <c r="B2024" s="1" t="s">
        <v>99</v>
      </c>
      <c r="C2024" t="s">
        <v>9</v>
      </c>
      <c r="D2024" s="1" t="s">
        <v>3</v>
      </c>
      <c r="E2024">
        <v>21</v>
      </c>
      <c r="F2024" s="1" t="s">
        <v>101</v>
      </c>
      <c r="G2024">
        <v>14</v>
      </c>
      <c r="H2024">
        <v>4</v>
      </c>
      <c r="I2024" s="2">
        <f t="shared" si="93"/>
        <v>4.2759359999999997</v>
      </c>
      <c r="J2024">
        <f t="shared" si="94"/>
        <v>0.1596094064949608</v>
      </c>
      <c r="K2024">
        <f t="shared" si="95"/>
        <v>0.11167239488117001</v>
      </c>
    </row>
    <row r="2025" spans="1:11" x14ac:dyDescent="0.25">
      <c r="A2025" s="1">
        <v>2019</v>
      </c>
      <c r="B2025" s="1" t="s">
        <v>99</v>
      </c>
      <c r="C2025" t="s">
        <v>9</v>
      </c>
      <c r="D2025" s="1" t="s">
        <v>3</v>
      </c>
      <c r="E2025">
        <v>21</v>
      </c>
      <c r="F2025" s="1" t="s">
        <v>101</v>
      </c>
      <c r="G2025">
        <v>18</v>
      </c>
      <c r="H2025">
        <v>1</v>
      </c>
      <c r="I2025" s="2">
        <f t="shared" si="93"/>
        <v>1.7670959999999998</v>
      </c>
      <c r="J2025">
        <f t="shared" si="94"/>
        <v>6.5961030235162366E-2</v>
      </c>
      <c r="K2025">
        <f t="shared" si="95"/>
        <v>4.615032645599372E-2</v>
      </c>
    </row>
    <row r="2026" spans="1:11" x14ac:dyDescent="0.25">
      <c r="A2026" s="1">
        <v>2019</v>
      </c>
      <c r="B2026" s="1" t="s">
        <v>99</v>
      </c>
      <c r="C2026" t="s">
        <v>9</v>
      </c>
      <c r="D2026" s="1" t="s">
        <v>3</v>
      </c>
      <c r="E2026">
        <v>25</v>
      </c>
      <c r="F2026" s="1" t="s">
        <v>101</v>
      </c>
      <c r="G2026">
        <v>14</v>
      </c>
      <c r="H2026">
        <v>1</v>
      </c>
      <c r="I2026" s="2">
        <f t="shared" si="93"/>
        <v>1.0689839999999999</v>
      </c>
      <c r="J2026">
        <f t="shared" si="94"/>
        <v>3.9902351623740201E-2</v>
      </c>
      <c r="K2026">
        <f t="shared" si="95"/>
        <v>2.7918098720292502E-2</v>
      </c>
    </row>
    <row r="2027" spans="1:11" x14ac:dyDescent="0.25">
      <c r="A2027" s="1">
        <v>2019</v>
      </c>
      <c r="B2027" s="1" t="s">
        <v>99</v>
      </c>
      <c r="C2027" t="s">
        <v>9</v>
      </c>
      <c r="D2027" s="1" t="s">
        <v>3</v>
      </c>
      <c r="E2027">
        <v>28</v>
      </c>
      <c r="F2027" s="1" t="s">
        <v>101</v>
      </c>
      <c r="G2027">
        <v>6</v>
      </c>
      <c r="H2027">
        <v>3</v>
      </c>
      <c r="I2027" s="2">
        <f t="shared" si="93"/>
        <v>0.589032</v>
      </c>
      <c r="J2027">
        <f t="shared" si="94"/>
        <v>2.1987010078387458E-2</v>
      </c>
      <c r="K2027">
        <f t="shared" si="95"/>
        <v>1.538344215199791E-2</v>
      </c>
    </row>
    <row r="2028" spans="1:11" x14ac:dyDescent="0.25">
      <c r="A2028" s="1">
        <v>2019</v>
      </c>
      <c r="B2028" s="1" t="s">
        <v>99</v>
      </c>
      <c r="C2028" t="s">
        <v>9</v>
      </c>
      <c r="D2028" s="1" t="s">
        <v>3</v>
      </c>
      <c r="E2028">
        <v>29</v>
      </c>
      <c r="F2028" s="1" t="s">
        <v>101</v>
      </c>
      <c r="G2028">
        <v>6</v>
      </c>
      <c r="H2028">
        <v>53</v>
      </c>
      <c r="I2028" s="2">
        <f t="shared" si="93"/>
        <v>10.406231999999999</v>
      </c>
      <c r="J2028">
        <f t="shared" si="94"/>
        <v>0.38843717805151173</v>
      </c>
      <c r="K2028">
        <f t="shared" si="95"/>
        <v>0.27177414468529637</v>
      </c>
    </row>
    <row r="2029" spans="1:11" x14ac:dyDescent="0.25">
      <c r="A2029" s="1">
        <v>2019</v>
      </c>
      <c r="B2029" s="1" t="s">
        <v>99</v>
      </c>
      <c r="C2029" t="s">
        <v>9</v>
      </c>
      <c r="D2029" s="1" t="s">
        <v>3</v>
      </c>
      <c r="E2029">
        <v>29</v>
      </c>
      <c r="F2029" s="1" t="s">
        <v>101</v>
      </c>
      <c r="G2029">
        <v>8</v>
      </c>
      <c r="H2029">
        <v>44</v>
      </c>
      <c r="I2029" s="2">
        <f t="shared" si="93"/>
        <v>15.358464</v>
      </c>
      <c r="J2029">
        <f t="shared" si="94"/>
        <v>0.57329092945128779</v>
      </c>
      <c r="K2029">
        <f t="shared" si="95"/>
        <v>0.401109010185427</v>
      </c>
    </row>
    <row r="2030" spans="1:11" x14ac:dyDescent="0.25">
      <c r="A2030" s="1">
        <v>2019</v>
      </c>
      <c r="B2030" s="1" t="s">
        <v>99</v>
      </c>
      <c r="C2030" t="s">
        <v>9</v>
      </c>
      <c r="D2030" s="1" t="s">
        <v>3</v>
      </c>
      <c r="E2030">
        <v>29</v>
      </c>
      <c r="F2030" s="1" t="s">
        <v>101</v>
      </c>
      <c r="G2030">
        <v>10</v>
      </c>
      <c r="H2030">
        <v>41</v>
      </c>
      <c r="I2030" s="2">
        <f t="shared" si="93"/>
        <v>22.3614</v>
      </c>
      <c r="J2030">
        <f t="shared" si="94"/>
        <v>0.83469204927211649</v>
      </c>
      <c r="K2030">
        <f t="shared" si="95"/>
        <v>0.5840010446591799</v>
      </c>
    </row>
    <row r="2031" spans="1:11" x14ac:dyDescent="0.25">
      <c r="A2031" s="1">
        <v>2019</v>
      </c>
      <c r="B2031" s="1" t="s">
        <v>99</v>
      </c>
      <c r="C2031" t="s">
        <v>9</v>
      </c>
      <c r="D2031" s="1" t="s">
        <v>3</v>
      </c>
      <c r="E2031">
        <v>29</v>
      </c>
      <c r="F2031" s="1" t="s">
        <v>101</v>
      </c>
      <c r="G2031">
        <v>12</v>
      </c>
      <c r="H2031">
        <v>36</v>
      </c>
      <c r="I2031" s="2">
        <f t="shared" si="93"/>
        <v>28.273536</v>
      </c>
      <c r="J2031">
        <f t="shared" si="94"/>
        <v>1.0553764837625981</v>
      </c>
      <c r="K2031">
        <f t="shared" si="95"/>
        <v>0.73840522329589975</v>
      </c>
    </row>
    <row r="2032" spans="1:11" x14ac:dyDescent="0.25">
      <c r="A2032" s="1">
        <v>2019</v>
      </c>
      <c r="B2032" s="1" t="s">
        <v>99</v>
      </c>
      <c r="C2032" t="s">
        <v>9</v>
      </c>
      <c r="D2032" s="1" t="s">
        <v>3</v>
      </c>
      <c r="E2032">
        <v>29</v>
      </c>
      <c r="F2032" s="1" t="s">
        <v>101</v>
      </c>
      <c r="G2032">
        <v>14</v>
      </c>
      <c r="H2032">
        <v>28</v>
      </c>
      <c r="I2032" s="2">
        <f t="shared" si="93"/>
        <v>29.931551999999996</v>
      </c>
      <c r="J2032">
        <f t="shared" si="94"/>
        <v>1.1172658454647255</v>
      </c>
      <c r="K2032">
        <f t="shared" si="95"/>
        <v>0.78170676416818996</v>
      </c>
    </row>
    <row r="2033" spans="1:11" x14ac:dyDescent="0.25">
      <c r="A2033" s="1">
        <v>2019</v>
      </c>
      <c r="B2033" s="1" t="s">
        <v>99</v>
      </c>
      <c r="C2033" t="s">
        <v>9</v>
      </c>
      <c r="D2033" s="1" t="s">
        <v>3</v>
      </c>
      <c r="E2033">
        <v>29</v>
      </c>
      <c r="F2033" s="1" t="s">
        <v>101</v>
      </c>
      <c r="G2033">
        <v>16</v>
      </c>
      <c r="H2033">
        <v>22</v>
      </c>
      <c r="I2033" s="2">
        <f t="shared" si="93"/>
        <v>30.716927999999999</v>
      </c>
      <c r="J2033">
        <f t="shared" si="94"/>
        <v>1.1465818589025756</v>
      </c>
      <c r="K2033">
        <f t="shared" si="95"/>
        <v>0.80221802037085399</v>
      </c>
    </row>
    <row r="2034" spans="1:11" x14ac:dyDescent="0.25">
      <c r="A2034" s="1">
        <v>2019</v>
      </c>
      <c r="B2034" s="1" t="s">
        <v>99</v>
      </c>
      <c r="C2034" t="s">
        <v>9</v>
      </c>
      <c r="D2034" s="1" t="s">
        <v>3</v>
      </c>
      <c r="E2034">
        <v>29</v>
      </c>
      <c r="F2034" s="1" t="s">
        <v>101</v>
      </c>
      <c r="G2034">
        <v>18</v>
      </c>
      <c r="H2034">
        <v>10</v>
      </c>
      <c r="I2034" s="2">
        <f t="shared" si="93"/>
        <v>17.670959999999997</v>
      </c>
      <c r="J2034">
        <f t="shared" si="94"/>
        <v>0.65961030235162366</v>
      </c>
      <c r="K2034">
        <f t="shared" si="95"/>
        <v>0.46150326455993723</v>
      </c>
    </row>
    <row r="2035" spans="1:11" x14ac:dyDescent="0.25">
      <c r="A2035" s="1">
        <v>2019</v>
      </c>
      <c r="B2035" s="1" t="s">
        <v>99</v>
      </c>
      <c r="C2035" t="s">
        <v>9</v>
      </c>
      <c r="D2035" s="1" t="s">
        <v>3</v>
      </c>
      <c r="E2035">
        <v>29</v>
      </c>
      <c r="F2035" s="1" t="s">
        <v>101</v>
      </c>
      <c r="G2035">
        <v>20</v>
      </c>
      <c r="H2035">
        <v>2</v>
      </c>
      <c r="I2035" s="2">
        <f t="shared" si="93"/>
        <v>4.3632</v>
      </c>
      <c r="J2035">
        <f t="shared" si="94"/>
        <v>0.16286674132138859</v>
      </c>
      <c r="K2035">
        <f t="shared" si="95"/>
        <v>0.11395142334813267</v>
      </c>
    </row>
    <row r="2036" spans="1:11" x14ac:dyDescent="0.25">
      <c r="A2036" s="1">
        <v>2019</v>
      </c>
      <c r="B2036" s="1" t="s">
        <v>99</v>
      </c>
      <c r="C2036" t="s">
        <v>9</v>
      </c>
      <c r="D2036" s="1" t="s">
        <v>3</v>
      </c>
      <c r="E2036">
        <v>30</v>
      </c>
      <c r="F2036" s="1" t="s">
        <v>101</v>
      </c>
      <c r="G2036">
        <v>6</v>
      </c>
      <c r="H2036">
        <v>1</v>
      </c>
      <c r="I2036" s="2">
        <f t="shared" si="93"/>
        <v>0.19634399999999999</v>
      </c>
      <c r="J2036">
        <f t="shared" si="94"/>
        <v>7.3290033594624856E-3</v>
      </c>
      <c r="K2036">
        <f t="shared" si="95"/>
        <v>5.1278140506659693E-3</v>
      </c>
    </row>
    <row r="2037" spans="1:11" x14ac:dyDescent="0.25">
      <c r="A2037" s="1">
        <v>2019</v>
      </c>
      <c r="B2037" s="1" t="s">
        <v>99</v>
      </c>
      <c r="C2037" t="s">
        <v>9</v>
      </c>
      <c r="D2037" s="1" t="s">
        <v>3</v>
      </c>
      <c r="E2037">
        <v>30</v>
      </c>
      <c r="F2037" s="1" t="s">
        <v>101</v>
      </c>
      <c r="G2037">
        <v>12</v>
      </c>
      <c r="H2037">
        <v>1</v>
      </c>
      <c r="I2037" s="2">
        <f t="shared" si="93"/>
        <v>0.78537599999999996</v>
      </c>
      <c r="J2037">
        <f t="shared" si="94"/>
        <v>2.9316013437849942E-2</v>
      </c>
      <c r="K2037">
        <f t="shared" si="95"/>
        <v>2.0511256202663877E-2</v>
      </c>
    </row>
    <row r="2038" spans="1:11" x14ac:dyDescent="0.25">
      <c r="A2038" s="1">
        <v>2019</v>
      </c>
      <c r="B2038" s="1" t="s">
        <v>99</v>
      </c>
      <c r="C2038" t="s">
        <v>9</v>
      </c>
      <c r="D2038" s="1" t="s">
        <v>3</v>
      </c>
      <c r="E2038">
        <v>32</v>
      </c>
      <c r="F2038" s="1" t="s">
        <v>101</v>
      </c>
      <c r="G2038">
        <v>6</v>
      </c>
      <c r="H2038">
        <v>216</v>
      </c>
      <c r="I2038" s="2">
        <f t="shared" si="93"/>
        <v>42.410303999999996</v>
      </c>
      <c r="J2038">
        <f t="shared" si="94"/>
        <v>1.583064725643897</v>
      </c>
      <c r="K2038">
        <f t="shared" si="95"/>
        <v>1.1076078349438494</v>
      </c>
    </row>
    <row r="2039" spans="1:11" x14ac:dyDescent="0.25">
      <c r="A2039" s="1">
        <v>2019</v>
      </c>
      <c r="B2039" s="1" t="s">
        <v>99</v>
      </c>
      <c r="C2039" t="s">
        <v>9</v>
      </c>
      <c r="D2039" s="1" t="s">
        <v>3</v>
      </c>
      <c r="E2039">
        <v>32</v>
      </c>
      <c r="F2039" s="1" t="s">
        <v>101</v>
      </c>
      <c r="G2039">
        <v>8</v>
      </c>
      <c r="H2039">
        <v>115</v>
      </c>
      <c r="I2039" s="2">
        <f t="shared" si="93"/>
        <v>40.141439999999996</v>
      </c>
      <c r="J2039">
        <f t="shared" si="94"/>
        <v>1.4983740201567748</v>
      </c>
      <c r="K2039">
        <f t="shared" si="95"/>
        <v>1.0483530948028204</v>
      </c>
    </row>
    <row r="2040" spans="1:11" x14ac:dyDescent="0.25">
      <c r="A2040" s="1">
        <v>2019</v>
      </c>
      <c r="B2040" s="1" t="s">
        <v>99</v>
      </c>
      <c r="C2040" t="s">
        <v>9</v>
      </c>
      <c r="D2040" s="1" t="s">
        <v>3</v>
      </c>
      <c r="E2040">
        <v>32</v>
      </c>
      <c r="F2040" s="1" t="s">
        <v>101</v>
      </c>
      <c r="G2040">
        <v>10</v>
      </c>
      <c r="H2040">
        <v>86</v>
      </c>
      <c r="I2040" s="2">
        <f t="shared" si="93"/>
        <v>46.904400000000003</v>
      </c>
      <c r="J2040">
        <f t="shared" si="94"/>
        <v>1.7508174692049274</v>
      </c>
      <c r="K2040">
        <f t="shared" si="95"/>
        <v>1.2249778009924264</v>
      </c>
    </row>
    <row r="2041" spans="1:11" x14ac:dyDescent="0.25">
      <c r="A2041" s="1">
        <v>2019</v>
      </c>
      <c r="B2041" s="1" t="s">
        <v>99</v>
      </c>
      <c r="C2041" t="s">
        <v>9</v>
      </c>
      <c r="D2041" s="1" t="s">
        <v>3</v>
      </c>
      <c r="E2041">
        <v>32</v>
      </c>
      <c r="F2041" s="1" t="s">
        <v>101</v>
      </c>
      <c r="G2041">
        <v>12</v>
      </c>
      <c r="H2041">
        <v>61</v>
      </c>
      <c r="I2041" s="2">
        <f t="shared" si="93"/>
        <v>47.907935999999999</v>
      </c>
      <c r="J2041">
        <f t="shared" si="94"/>
        <v>1.7882768197088466</v>
      </c>
      <c r="K2041">
        <f t="shared" si="95"/>
        <v>1.2511866283624966</v>
      </c>
    </row>
    <row r="2042" spans="1:11" x14ac:dyDescent="0.25">
      <c r="A2042" s="1">
        <v>2019</v>
      </c>
      <c r="B2042" s="1" t="s">
        <v>99</v>
      </c>
      <c r="C2042" t="s">
        <v>9</v>
      </c>
      <c r="D2042" s="1" t="s">
        <v>3</v>
      </c>
      <c r="E2042">
        <v>32</v>
      </c>
      <c r="F2042" s="1" t="s">
        <v>101</v>
      </c>
      <c r="G2042">
        <v>14</v>
      </c>
      <c r="H2042">
        <v>37</v>
      </c>
      <c r="I2042" s="2">
        <f t="shared" si="93"/>
        <v>39.552408</v>
      </c>
      <c r="J2042">
        <f t="shared" si="94"/>
        <v>1.4763870100783876</v>
      </c>
      <c r="K2042">
        <f t="shared" si="95"/>
        <v>1.0329696526508227</v>
      </c>
    </row>
    <row r="2043" spans="1:11" x14ac:dyDescent="0.25">
      <c r="A2043" s="1">
        <v>2019</v>
      </c>
      <c r="B2043" s="1" t="s">
        <v>99</v>
      </c>
      <c r="C2043" t="s">
        <v>9</v>
      </c>
      <c r="D2043" s="1" t="s">
        <v>3</v>
      </c>
      <c r="E2043">
        <v>32</v>
      </c>
      <c r="F2043" s="1" t="s">
        <v>101</v>
      </c>
      <c r="G2043">
        <v>16</v>
      </c>
      <c r="H2043">
        <v>16</v>
      </c>
      <c r="I2043" s="2">
        <f t="shared" si="93"/>
        <v>22.339583999999999</v>
      </c>
      <c r="J2043">
        <f t="shared" si="94"/>
        <v>0.83387771556550949</v>
      </c>
      <c r="K2043">
        <f t="shared" si="95"/>
        <v>0.58343128754243923</v>
      </c>
    </row>
    <row r="2044" spans="1:11" x14ac:dyDescent="0.25">
      <c r="A2044" s="1">
        <v>2019</v>
      </c>
      <c r="B2044" s="1" t="s">
        <v>99</v>
      </c>
      <c r="C2044" t="s">
        <v>9</v>
      </c>
      <c r="D2044" s="1" t="s">
        <v>3</v>
      </c>
      <c r="E2044">
        <v>32</v>
      </c>
      <c r="F2044" s="1" t="s">
        <v>101</v>
      </c>
      <c r="G2044">
        <v>18</v>
      </c>
      <c r="H2044">
        <v>4</v>
      </c>
      <c r="I2044" s="2">
        <f t="shared" si="93"/>
        <v>7.0683839999999991</v>
      </c>
      <c r="J2044">
        <f t="shared" si="94"/>
        <v>0.26384412094064946</v>
      </c>
      <c r="K2044">
        <f t="shared" si="95"/>
        <v>0.18460130582397488</v>
      </c>
    </row>
    <row r="2045" spans="1:11" x14ac:dyDescent="0.25">
      <c r="A2045" s="1">
        <v>2019</v>
      </c>
      <c r="B2045" s="1" t="s">
        <v>99</v>
      </c>
      <c r="C2045" t="s">
        <v>9</v>
      </c>
      <c r="D2045" s="1" t="s">
        <v>3</v>
      </c>
      <c r="E2045">
        <v>34</v>
      </c>
      <c r="F2045" s="1" t="s">
        <v>101</v>
      </c>
      <c r="G2045">
        <v>6</v>
      </c>
      <c r="H2045">
        <v>5</v>
      </c>
      <c r="I2045" s="2">
        <f t="shared" si="93"/>
        <v>0.98171999999999993</v>
      </c>
      <c r="J2045">
        <f t="shared" si="94"/>
        <v>3.6645016797312427E-2</v>
      </c>
      <c r="K2045">
        <f t="shared" si="95"/>
        <v>2.5639070253329847E-2</v>
      </c>
    </row>
    <row r="2046" spans="1:11" x14ac:dyDescent="0.25">
      <c r="A2046" s="1">
        <v>2019</v>
      </c>
      <c r="B2046" s="1" t="s">
        <v>99</v>
      </c>
      <c r="C2046" t="s">
        <v>9</v>
      </c>
      <c r="D2046" s="1" t="s">
        <v>3</v>
      </c>
      <c r="E2046">
        <v>34</v>
      </c>
      <c r="F2046" s="1" t="s">
        <v>101</v>
      </c>
      <c r="G2046">
        <v>8</v>
      </c>
      <c r="H2046">
        <v>15</v>
      </c>
      <c r="I2046" s="2">
        <f t="shared" si="93"/>
        <v>5.2358399999999996</v>
      </c>
      <c r="J2046">
        <f t="shared" si="94"/>
        <v>0.19544008958566628</v>
      </c>
      <c r="K2046">
        <f t="shared" si="95"/>
        <v>0.13674170801775917</v>
      </c>
    </row>
    <row r="2047" spans="1:11" x14ac:dyDescent="0.25">
      <c r="A2047" s="1">
        <v>2019</v>
      </c>
      <c r="B2047" s="1" t="s">
        <v>99</v>
      </c>
      <c r="C2047" t="s">
        <v>9</v>
      </c>
      <c r="D2047" s="1" t="s">
        <v>3</v>
      </c>
      <c r="E2047">
        <v>34</v>
      </c>
      <c r="F2047" s="1" t="s">
        <v>101</v>
      </c>
      <c r="G2047">
        <v>10</v>
      </c>
      <c r="H2047">
        <v>20</v>
      </c>
      <c r="I2047" s="2">
        <f t="shared" si="93"/>
        <v>10.907999999999999</v>
      </c>
      <c r="J2047">
        <f t="shared" si="94"/>
        <v>0.40716685330347147</v>
      </c>
      <c r="K2047">
        <f t="shared" si="95"/>
        <v>0.28487855837033166</v>
      </c>
    </row>
    <row r="2048" spans="1:11" x14ac:dyDescent="0.25">
      <c r="A2048" s="1">
        <v>2019</v>
      </c>
      <c r="B2048" s="1" t="s">
        <v>99</v>
      </c>
      <c r="C2048" t="s">
        <v>9</v>
      </c>
      <c r="D2048" s="1" t="s">
        <v>3</v>
      </c>
      <c r="E2048">
        <v>34</v>
      </c>
      <c r="F2048" s="1" t="s">
        <v>101</v>
      </c>
      <c r="G2048">
        <v>12</v>
      </c>
      <c r="H2048">
        <v>21</v>
      </c>
      <c r="I2048" s="2">
        <f t="shared" si="93"/>
        <v>16.492895999999998</v>
      </c>
      <c r="J2048">
        <f t="shared" si="94"/>
        <v>0.61563628219484878</v>
      </c>
      <c r="K2048">
        <f t="shared" si="95"/>
        <v>0.43073638025594146</v>
      </c>
    </row>
    <row r="2049" spans="1:11" x14ac:dyDescent="0.25">
      <c r="A2049" s="1">
        <v>2019</v>
      </c>
      <c r="B2049" s="1" t="s">
        <v>99</v>
      </c>
      <c r="C2049" t="s">
        <v>9</v>
      </c>
      <c r="D2049" s="1" t="s">
        <v>3</v>
      </c>
      <c r="E2049">
        <v>34</v>
      </c>
      <c r="F2049" s="1" t="s">
        <v>101</v>
      </c>
      <c r="G2049">
        <v>14</v>
      </c>
      <c r="H2049">
        <v>16</v>
      </c>
      <c r="I2049" s="2">
        <f t="shared" si="93"/>
        <v>17.103743999999999</v>
      </c>
      <c r="J2049">
        <f t="shared" si="94"/>
        <v>0.63843762597984322</v>
      </c>
      <c r="K2049">
        <f t="shared" si="95"/>
        <v>0.44668957952468002</v>
      </c>
    </row>
    <row r="2050" spans="1:11" x14ac:dyDescent="0.25">
      <c r="A2050" s="1">
        <v>2019</v>
      </c>
      <c r="B2050" s="1" t="s">
        <v>99</v>
      </c>
      <c r="C2050" t="s">
        <v>9</v>
      </c>
      <c r="D2050" s="1" t="s">
        <v>3</v>
      </c>
      <c r="E2050">
        <v>34</v>
      </c>
      <c r="F2050" s="1" t="s">
        <v>101</v>
      </c>
      <c r="G2050">
        <v>16</v>
      </c>
      <c r="H2050">
        <v>30</v>
      </c>
      <c r="I2050" s="2">
        <f t="shared" si="93"/>
        <v>41.886719999999997</v>
      </c>
      <c r="J2050">
        <f t="shared" si="94"/>
        <v>1.5635207166853302</v>
      </c>
      <c r="K2050">
        <f t="shared" si="95"/>
        <v>1.0939336641420734</v>
      </c>
    </row>
    <row r="2051" spans="1:11" x14ac:dyDescent="0.25">
      <c r="A2051" s="1">
        <v>2019</v>
      </c>
      <c r="B2051" s="1" t="s">
        <v>99</v>
      </c>
      <c r="C2051" t="s">
        <v>9</v>
      </c>
      <c r="D2051" s="1" t="s">
        <v>3</v>
      </c>
      <c r="E2051">
        <v>34</v>
      </c>
      <c r="F2051" s="1" t="s">
        <v>101</v>
      </c>
      <c r="G2051">
        <v>18</v>
      </c>
      <c r="H2051">
        <v>21</v>
      </c>
      <c r="I2051" s="2">
        <f t="shared" ref="I2051:I2114" si="96">0.005454*G2051^2*H2051</f>
        <v>37.109015999999997</v>
      </c>
      <c r="J2051">
        <f t="shared" ref="J2051:J2114" si="97">I2051/26.79</f>
        <v>1.3851816349384098</v>
      </c>
      <c r="K2051">
        <f t="shared" ref="K2051:K2114" si="98">J2051*(26.79/38.29)</f>
        <v>0.96915685557586828</v>
      </c>
    </row>
    <row r="2052" spans="1:11" x14ac:dyDescent="0.25">
      <c r="A2052" s="1">
        <v>2019</v>
      </c>
      <c r="B2052" s="1" t="s">
        <v>99</v>
      </c>
      <c r="C2052" t="s">
        <v>9</v>
      </c>
      <c r="D2052" s="1" t="s">
        <v>3</v>
      </c>
      <c r="E2052">
        <v>34</v>
      </c>
      <c r="F2052" s="1" t="s">
        <v>101</v>
      </c>
      <c r="G2052">
        <v>20</v>
      </c>
      <c r="H2052">
        <v>8</v>
      </c>
      <c r="I2052" s="2">
        <f t="shared" si="96"/>
        <v>17.4528</v>
      </c>
      <c r="J2052">
        <f t="shared" si="97"/>
        <v>0.65146696528555437</v>
      </c>
      <c r="K2052">
        <f t="shared" si="98"/>
        <v>0.45580569339253069</v>
      </c>
    </row>
    <row r="2053" spans="1:11" x14ac:dyDescent="0.25">
      <c r="A2053" s="1">
        <v>2019</v>
      </c>
      <c r="B2053" s="1" t="s">
        <v>99</v>
      </c>
      <c r="C2053" t="s">
        <v>9</v>
      </c>
      <c r="D2053" s="1" t="s">
        <v>3</v>
      </c>
      <c r="E2053">
        <v>38</v>
      </c>
      <c r="F2053" s="1" t="s">
        <v>101</v>
      </c>
      <c r="G2053">
        <v>6</v>
      </c>
      <c r="H2053">
        <v>5</v>
      </c>
      <c r="I2053" s="2">
        <f t="shared" si="96"/>
        <v>0.98171999999999993</v>
      </c>
      <c r="J2053">
        <f t="shared" si="97"/>
        <v>3.6645016797312427E-2</v>
      </c>
      <c r="K2053">
        <f t="shared" si="98"/>
        <v>2.5639070253329847E-2</v>
      </c>
    </row>
    <row r="2054" spans="1:11" x14ac:dyDescent="0.25">
      <c r="A2054" s="1">
        <v>2019</v>
      </c>
      <c r="B2054" s="1" t="s">
        <v>99</v>
      </c>
      <c r="C2054" t="s">
        <v>9</v>
      </c>
      <c r="D2054" s="1" t="s">
        <v>3</v>
      </c>
      <c r="E2054">
        <v>38</v>
      </c>
      <c r="F2054" s="1" t="s">
        <v>101</v>
      </c>
      <c r="G2054">
        <v>8</v>
      </c>
      <c r="H2054">
        <v>18</v>
      </c>
      <c r="I2054" s="2">
        <f t="shared" si="96"/>
        <v>6.2830079999999997</v>
      </c>
      <c r="J2054">
        <f t="shared" si="97"/>
        <v>0.23452810750279954</v>
      </c>
      <c r="K2054">
        <f t="shared" si="98"/>
        <v>0.16409004962131102</v>
      </c>
    </row>
    <row r="2055" spans="1:11" x14ac:dyDescent="0.25">
      <c r="A2055" s="1">
        <v>2019</v>
      </c>
      <c r="B2055" s="1" t="s">
        <v>99</v>
      </c>
      <c r="C2055" t="s">
        <v>9</v>
      </c>
      <c r="D2055" s="1" t="s">
        <v>3</v>
      </c>
      <c r="E2055">
        <v>38</v>
      </c>
      <c r="F2055" s="1" t="s">
        <v>101</v>
      </c>
      <c r="G2055">
        <v>10</v>
      </c>
      <c r="H2055">
        <v>31</v>
      </c>
      <c r="I2055" s="2">
        <f t="shared" si="96"/>
        <v>16.907399999999999</v>
      </c>
      <c r="J2055">
        <f t="shared" si="97"/>
        <v>0.6311086226203807</v>
      </c>
      <c r="K2055">
        <f t="shared" si="98"/>
        <v>0.44156176547401405</v>
      </c>
    </row>
    <row r="2056" spans="1:11" x14ac:dyDescent="0.25">
      <c r="A2056" s="1">
        <v>2019</v>
      </c>
      <c r="B2056" s="1" t="s">
        <v>99</v>
      </c>
      <c r="C2056" t="s">
        <v>9</v>
      </c>
      <c r="D2056" s="1" t="s">
        <v>3</v>
      </c>
      <c r="E2056">
        <v>38</v>
      </c>
      <c r="F2056" s="1" t="s">
        <v>101</v>
      </c>
      <c r="G2056">
        <v>12</v>
      </c>
      <c r="H2056">
        <v>49</v>
      </c>
      <c r="I2056" s="2">
        <f t="shared" si="96"/>
        <v>38.483423999999999</v>
      </c>
      <c r="J2056">
        <f t="shared" si="97"/>
        <v>1.4364846584546473</v>
      </c>
      <c r="K2056">
        <f t="shared" si="98"/>
        <v>1.0050515539305303</v>
      </c>
    </row>
    <row r="2057" spans="1:11" x14ac:dyDescent="0.25">
      <c r="A2057" s="1">
        <v>2019</v>
      </c>
      <c r="B2057" s="1" t="s">
        <v>99</v>
      </c>
      <c r="C2057" t="s">
        <v>9</v>
      </c>
      <c r="D2057" s="1" t="s">
        <v>3</v>
      </c>
      <c r="E2057">
        <v>38</v>
      </c>
      <c r="F2057" s="1" t="s">
        <v>101</v>
      </c>
      <c r="G2057">
        <v>14</v>
      </c>
      <c r="H2057">
        <v>64</v>
      </c>
      <c r="I2057" s="2">
        <f t="shared" si="96"/>
        <v>68.414975999999996</v>
      </c>
      <c r="J2057">
        <f t="shared" si="97"/>
        <v>2.5537505039193729</v>
      </c>
      <c r="K2057">
        <f t="shared" si="98"/>
        <v>1.7867583180987201</v>
      </c>
    </row>
    <row r="2058" spans="1:11" x14ac:dyDescent="0.25">
      <c r="A2058" s="1">
        <v>2019</v>
      </c>
      <c r="B2058" s="1" t="s">
        <v>99</v>
      </c>
      <c r="C2058" t="s">
        <v>9</v>
      </c>
      <c r="D2058" s="1" t="s">
        <v>3</v>
      </c>
      <c r="E2058">
        <v>38</v>
      </c>
      <c r="F2058" s="1" t="s">
        <v>101</v>
      </c>
      <c r="G2058">
        <v>16</v>
      </c>
      <c r="H2058">
        <v>56</v>
      </c>
      <c r="I2058" s="2">
        <f t="shared" si="96"/>
        <v>78.188543999999993</v>
      </c>
      <c r="J2058">
        <f t="shared" si="97"/>
        <v>2.9185720044792833</v>
      </c>
      <c r="K2058">
        <f t="shared" si="98"/>
        <v>2.0420095063985375</v>
      </c>
    </row>
    <row r="2059" spans="1:11" x14ac:dyDescent="0.25">
      <c r="A2059" s="1">
        <v>2019</v>
      </c>
      <c r="B2059" s="1" t="s">
        <v>99</v>
      </c>
      <c r="C2059" t="s">
        <v>9</v>
      </c>
      <c r="D2059" s="1" t="s">
        <v>3</v>
      </c>
      <c r="E2059">
        <v>38</v>
      </c>
      <c r="F2059" s="1" t="s">
        <v>101</v>
      </c>
      <c r="G2059">
        <v>18</v>
      </c>
      <c r="H2059">
        <v>79</v>
      </c>
      <c r="I2059" s="2">
        <f t="shared" si="96"/>
        <v>139.60058399999997</v>
      </c>
      <c r="J2059">
        <f t="shared" si="97"/>
        <v>5.2109213885778267</v>
      </c>
      <c r="K2059">
        <f t="shared" si="98"/>
        <v>3.6458757900235041</v>
      </c>
    </row>
    <row r="2060" spans="1:11" x14ac:dyDescent="0.25">
      <c r="A2060" s="1">
        <v>2019</v>
      </c>
      <c r="B2060" s="1" t="s">
        <v>99</v>
      </c>
      <c r="C2060" t="s">
        <v>9</v>
      </c>
      <c r="D2060" s="1" t="s">
        <v>3</v>
      </c>
      <c r="E2060">
        <v>38</v>
      </c>
      <c r="F2060" s="1" t="s">
        <v>101</v>
      </c>
      <c r="G2060">
        <v>20</v>
      </c>
      <c r="H2060">
        <v>34</v>
      </c>
      <c r="I2060" s="2">
        <f t="shared" si="96"/>
        <v>74.174400000000006</v>
      </c>
      <c r="J2060">
        <f t="shared" si="97"/>
        <v>2.7687346024636059</v>
      </c>
      <c r="K2060">
        <f t="shared" si="98"/>
        <v>1.9371741969182554</v>
      </c>
    </row>
    <row r="2061" spans="1:11" x14ac:dyDescent="0.25">
      <c r="A2061" s="1">
        <v>2019</v>
      </c>
      <c r="B2061" s="1" t="s">
        <v>99</v>
      </c>
      <c r="C2061" t="s">
        <v>9</v>
      </c>
      <c r="D2061" s="1" t="s">
        <v>3</v>
      </c>
      <c r="E2061">
        <v>38</v>
      </c>
      <c r="F2061" s="1" t="s">
        <v>101</v>
      </c>
      <c r="G2061">
        <v>22</v>
      </c>
      <c r="H2061">
        <v>1</v>
      </c>
      <c r="I2061" s="2">
        <f t="shared" si="96"/>
        <v>2.6397359999999996</v>
      </c>
      <c r="J2061">
        <f t="shared" si="97"/>
        <v>9.8534378499440078E-2</v>
      </c>
      <c r="K2061">
        <f t="shared" si="98"/>
        <v>6.8940611125620249E-2</v>
      </c>
    </row>
    <row r="2062" spans="1:11" x14ac:dyDescent="0.25">
      <c r="A2062" s="1">
        <v>2019</v>
      </c>
      <c r="B2062" s="1" t="s">
        <v>99</v>
      </c>
      <c r="C2062" t="s">
        <v>9</v>
      </c>
      <c r="D2062" s="1" t="s">
        <v>3</v>
      </c>
      <c r="E2062">
        <v>40</v>
      </c>
      <c r="F2062" s="1" t="s">
        <v>101</v>
      </c>
      <c r="G2062">
        <v>6</v>
      </c>
      <c r="H2062">
        <v>9</v>
      </c>
      <c r="I2062" s="2">
        <f t="shared" si="96"/>
        <v>1.767096</v>
      </c>
      <c r="J2062">
        <f t="shared" si="97"/>
        <v>6.596103023516238E-2</v>
      </c>
      <c r="K2062">
        <f t="shared" si="98"/>
        <v>4.6150326455993734E-2</v>
      </c>
    </row>
    <row r="2063" spans="1:11" x14ac:dyDescent="0.25">
      <c r="A2063" s="1">
        <v>2019</v>
      </c>
      <c r="B2063" s="1" t="s">
        <v>99</v>
      </c>
      <c r="C2063" t="s">
        <v>9</v>
      </c>
      <c r="D2063" s="1" t="s">
        <v>3</v>
      </c>
      <c r="E2063">
        <v>40</v>
      </c>
      <c r="F2063" s="1" t="s">
        <v>101</v>
      </c>
      <c r="G2063">
        <v>8</v>
      </c>
      <c r="H2063">
        <v>8</v>
      </c>
      <c r="I2063" s="2">
        <f t="shared" si="96"/>
        <v>2.7924479999999998</v>
      </c>
      <c r="J2063">
        <f t="shared" si="97"/>
        <v>0.10423471444568869</v>
      </c>
      <c r="K2063">
        <f t="shared" si="98"/>
        <v>7.2928910942804903E-2</v>
      </c>
    </row>
    <row r="2064" spans="1:11" x14ac:dyDescent="0.25">
      <c r="A2064" s="1">
        <v>2019</v>
      </c>
      <c r="B2064" s="1" t="s">
        <v>99</v>
      </c>
      <c r="C2064" t="s">
        <v>9</v>
      </c>
      <c r="D2064" s="1" t="s">
        <v>3</v>
      </c>
      <c r="E2064">
        <v>40</v>
      </c>
      <c r="F2064" s="1" t="s">
        <v>101</v>
      </c>
      <c r="G2064">
        <v>10</v>
      </c>
      <c r="H2064">
        <v>9</v>
      </c>
      <c r="I2064" s="2">
        <f t="shared" si="96"/>
        <v>4.9085999999999999</v>
      </c>
      <c r="J2064">
        <f t="shared" si="97"/>
        <v>0.18322508398656215</v>
      </c>
      <c r="K2064">
        <f t="shared" si="98"/>
        <v>0.12819535126664924</v>
      </c>
    </row>
    <row r="2065" spans="1:11" x14ac:dyDescent="0.25">
      <c r="A2065" s="1">
        <v>2019</v>
      </c>
      <c r="B2065" s="1" t="s">
        <v>99</v>
      </c>
      <c r="C2065" t="s">
        <v>9</v>
      </c>
      <c r="D2065" s="1" t="s">
        <v>3</v>
      </c>
      <c r="E2065">
        <v>40</v>
      </c>
      <c r="F2065" s="1" t="s">
        <v>101</v>
      </c>
      <c r="G2065">
        <v>12</v>
      </c>
      <c r="H2065">
        <v>16</v>
      </c>
      <c r="I2065" s="2">
        <f t="shared" si="96"/>
        <v>12.566015999999999</v>
      </c>
      <c r="J2065">
        <f t="shared" si="97"/>
        <v>0.46905621500559908</v>
      </c>
      <c r="K2065">
        <f t="shared" si="98"/>
        <v>0.32818009924262204</v>
      </c>
    </row>
    <row r="2066" spans="1:11" x14ac:dyDescent="0.25">
      <c r="A2066" s="1">
        <v>2019</v>
      </c>
      <c r="B2066" s="1" t="s">
        <v>99</v>
      </c>
      <c r="C2066" t="s">
        <v>9</v>
      </c>
      <c r="D2066" s="1" t="s">
        <v>3</v>
      </c>
      <c r="E2066">
        <v>40</v>
      </c>
      <c r="F2066" s="1" t="s">
        <v>101</v>
      </c>
      <c r="G2066">
        <v>14</v>
      </c>
      <c r="H2066">
        <v>15</v>
      </c>
      <c r="I2066" s="2">
        <f t="shared" si="96"/>
        <v>16.034759999999999</v>
      </c>
      <c r="J2066">
        <f t="shared" si="97"/>
        <v>0.59853527435610299</v>
      </c>
      <c r="K2066">
        <f t="shared" si="98"/>
        <v>0.41877148080438753</v>
      </c>
    </row>
    <row r="2067" spans="1:11" x14ac:dyDescent="0.25">
      <c r="A2067" s="1">
        <v>2019</v>
      </c>
      <c r="B2067" s="1" t="s">
        <v>99</v>
      </c>
      <c r="C2067" t="s">
        <v>9</v>
      </c>
      <c r="D2067" s="1" t="s">
        <v>3</v>
      </c>
      <c r="E2067">
        <v>40</v>
      </c>
      <c r="F2067" s="1" t="s">
        <v>101</v>
      </c>
      <c r="G2067">
        <v>16</v>
      </c>
      <c r="H2067">
        <v>31</v>
      </c>
      <c r="I2067" s="2">
        <f t="shared" si="96"/>
        <v>43.282944000000001</v>
      </c>
      <c r="J2067">
        <f t="shared" si="97"/>
        <v>1.6156380739081748</v>
      </c>
      <c r="K2067">
        <f t="shared" si="98"/>
        <v>1.130398119613476</v>
      </c>
    </row>
    <row r="2068" spans="1:11" x14ac:dyDescent="0.25">
      <c r="A2068" s="1">
        <v>2019</v>
      </c>
      <c r="B2068" s="1" t="s">
        <v>99</v>
      </c>
      <c r="C2068" t="s">
        <v>9</v>
      </c>
      <c r="D2068" s="1" t="s">
        <v>3</v>
      </c>
      <c r="E2068">
        <v>40</v>
      </c>
      <c r="F2068" s="1" t="s">
        <v>101</v>
      </c>
      <c r="G2068">
        <v>18</v>
      </c>
      <c r="H2068">
        <v>52</v>
      </c>
      <c r="I2068" s="2">
        <f t="shared" si="96"/>
        <v>91.888991999999988</v>
      </c>
      <c r="J2068">
        <f t="shared" si="97"/>
        <v>3.4299735722284432</v>
      </c>
      <c r="K2068">
        <f t="shared" si="98"/>
        <v>2.3998169757116736</v>
      </c>
    </row>
    <row r="2069" spans="1:11" x14ac:dyDescent="0.25">
      <c r="A2069" s="1">
        <v>2019</v>
      </c>
      <c r="B2069" s="1" t="s">
        <v>99</v>
      </c>
      <c r="C2069" t="s">
        <v>9</v>
      </c>
      <c r="D2069" s="1" t="s">
        <v>3</v>
      </c>
      <c r="E2069">
        <v>40</v>
      </c>
      <c r="F2069" s="1" t="s">
        <v>101</v>
      </c>
      <c r="G2069">
        <v>20</v>
      </c>
      <c r="H2069">
        <v>41</v>
      </c>
      <c r="I2069" s="2">
        <f t="shared" si="96"/>
        <v>89.445599999999999</v>
      </c>
      <c r="J2069">
        <f t="shared" si="97"/>
        <v>3.3387681970884659</v>
      </c>
      <c r="K2069">
        <f t="shared" si="98"/>
        <v>2.3360041786367196</v>
      </c>
    </row>
    <row r="2070" spans="1:11" x14ac:dyDescent="0.25">
      <c r="A2070" s="1">
        <v>2019</v>
      </c>
      <c r="B2070" s="1" t="s">
        <v>99</v>
      </c>
      <c r="C2070" t="s">
        <v>9</v>
      </c>
      <c r="D2070" s="1" t="s">
        <v>3</v>
      </c>
      <c r="E2070">
        <v>40</v>
      </c>
      <c r="F2070" s="1" t="s">
        <v>101</v>
      </c>
      <c r="G2070">
        <v>22</v>
      </c>
      <c r="H2070">
        <v>29</v>
      </c>
      <c r="I2070" s="2">
        <f t="shared" si="96"/>
        <v>76.552343999999991</v>
      </c>
      <c r="J2070">
        <f t="shared" si="97"/>
        <v>2.8574969764837626</v>
      </c>
      <c r="K2070">
        <f t="shared" si="98"/>
        <v>1.9992777226429876</v>
      </c>
    </row>
    <row r="2071" spans="1:11" x14ac:dyDescent="0.25">
      <c r="A2071" s="1">
        <v>2019</v>
      </c>
      <c r="B2071" s="1" t="s">
        <v>99</v>
      </c>
      <c r="C2071" t="s">
        <v>9</v>
      </c>
      <c r="D2071" s="1" t="s">
        <v>3</v>
      </c>
      <c r="E2071">
        <v>40</v>
      </c>
      <c r="F2071" s="1" t="s">
        <v>101</v>
      </c>
      <c r="G2071">
        <v>24</v>
      </c>
      <c r="H2071">
        <v>6</v>
      </c>
      <c r="I2071" s="2">
        <f t="shared" si="96"/>
        <v>18.849024</v>
      </c>
      <c r="J2071">
        <f t="shared" si="97"/>
        <v>0.70358432250839864</v>
      </c>
      <c r="K2071">
        <f t="shared" si="98"/>
        <v>0.49227014886393311</v>
      </c>
    </row>
    <row r="2072" spans="1:11" x14ac:dyDescent="0.25">
      <c r="A2072" s="1">
        <v>2019</v>
      </c>
      <c r="B2072" s="1" t="s">
        <v>99</v>
      </c>
      <c r="C2072" t="s">
        <v>9</v>
      </c>
      <c r="D2072" s="1" t="s">
        <v>3</v>
      </c>
      <c r="E2072">
        <v>40</v>
      </c>
      <c r="F2072" s="1" t="s">
        <v>101</v>
      </c>
      <c r="G2072">
        <v>26</v>
      </c>
      <c r="H2072">
        <v>1</v>
      </c>
      <c r="I2072" s="2">
        <f t="shared" si="96"/>
        <v>3.6869039999999997</v>
      </c>
      <c r="J2072">
        <f t="shared" si="97"/>
        <v>0.13762239641657334</v>
      </c>
      <c r="K2072">
        <f t="shared" si="98"/>
        <v>9.6288952729172095E-2</v>
      </c>
    </row>
    <row r="2073" spans="1:11" x14ac:dyDescent="0.25">
      <c r="A2073" s="1">
        <v>2019</v>
      </c>
      <c r="B2073" s="1" t="s">
        <v>99</v>
      </c>
      <c r="C2073" t="s">
        <v>9</v>
      </c>
      <c r="D2073" s="1" t="s">
        <v>3</v>
      </c>
      <c r="E2073">
        <v>47</v>
      </c>
      <c r="F2073" s="1" t="s">
        <v>101</v>
      </c>
      <c r="G2073">
        <v>12</v>
      </c>
      <c r="H2073">
        <v>1</v>
      </c>
      <c r="I2073" s="2">
        <f t="shared" si="96"/>
        <v>0.78537599999999996</v>
      </c>
      <c r="J2073">
        <f t="shared" si="97"/>
        <v>2.9316013437849942E-2</v>
      </c>
      <c r="K2073">
        <f t="shared" si="98"/>
        <v>2.0511256202663877E-2</v>
      </c>
    </row>
    <row r="2074" spans="1:11" x14ac:dyDescent="0.25">
      <c r="A2074" s="1">
        <v>2019</v>
      </c>
      <c r="B2074" s="1" t="s">
        <v>99</v>
      </c>
      <c r="C2074" t="s">
        <v>9</v>
      </c>
      <c r="D2074" s="1" t="s">
        <v>3</v>
      </c>
      <c r="E2074">
        <v>47</v>
      </c>
      <c r="F2074" s="1" t="s">
        <v>101</v>
      </c>
      <c r="G2074">
        <v>14</v>
      </c>
      <c r="H2074">
        <v>2</v>
      </c>
      <c r="I2074" s="2">
        <f t="shared" si="96"/>
        <v>2.1379679999999999</v>
      </c>
      <c r="J2074">
        <f t="shared" si="97"/>
        <v>7.9804703247480402E-2</v>
      </c>
      <c r="K2074">
        <f t="shared" si="98"/>
        <v>5.5836197440585003E-2</v>
      </c>
    </row>
    <row r="2075" spans="1:11" x14ac:dyDescent="0.25">
      <c r="A2075" s="1">
        <v>2019</v>
      </c>
      <c r="B2075" s="1" t="s">
        <v>99</v>
      </c>
      <c r="C2075" t="s">
        <v>9</v>
      </c>
      <c r="D2075" s="1" t="s">
        <v>3</v>
      </c>
      <c r="E2075">
        <v>47</v>
      </c>
      <c r="F2075" s="1" t="s">
        <v>101</v>
      </c>
      <c r="G2075">
        <v>20</v>
      </c>
      <c r="H2075">
        <v>3</v>
      </c>
      <c r="I2075" s="2">
        <f t="shared" si="96"/>
        <v>6.5448000000000004</v>
      </c>
      <c r="J2075">
        <f t="shared" si="97"/>
        <v>0.2443001119820829</v>
      </c>
      <c r="K2075">
        <f t="shared" si="98"/>
        <v>0.17092713502219903</v>
      </c>
    </row>
    <row r="2076" spans="1:11" x14ac:dyDescent="0.25">
      <c r="A2076" s="1">
        <v>2019</v>
      </c>
      <c r="B2076" s="1" t="s">
        <v>99</v>
      </c>
      <c r="C2076" t="s">
        <v>9</v>
      </c>
      <c r="D2076" s="1" t="s">
        <v>3</v>
      </c>
      <c r="E2076">
        <v>53</v>
      </c>
      <c r="F2076" s="1" t="s">
        <v>101</v>
      </c>
      <c r="G2076">
        <v>6</v>
      </c>
      <c r="H2076">
        <v>11</v>
      </c>
      <c r="I2076" s="2">
        <f t="shared" si="96"/>
        <v>2.1597839999999997</v>
      </c>
      <c r="J2076">
        <f t="shared" si="97"/>
        <v>8.0619036954087342E-2</v>
      </c>
      <c r="K2076">
        <f t="shared" si="98"/>
        <v>5.6405954557325666E-2</v>
      </c>
    </row>
    <row r="2077" spans="1:11" x14ac:dyDescent="0.25">
      <c r="A2077" s="1">
        <v>2019</v>
      </c>
      <c r="B2077" s="1" t="s">
        <v>99</v>
      </c>
      <c r="C2077" t="s">
        <v>9</v>
      </c>
      <c r="D2077" s="1" t="s">
        <v>3</v>
      </c>
      <c r="E2077">
        <v>53</v>
      </c>
      <c r="F2077" s="1" t="s">
        <v>101</v>
      </c>
      <c r="G2077">
        <v>8</v>
      </c>
      <c r="H2077">
        <v>14</v>
      </c>
      <c r="I2077" s="2">
        <f t="shared" si="96"/>
        <v>4.8867839999999996</v>
      </c>
      <c r="J2077">
        <f t="shared" si="97"/>
        <v>0.18241075027995521</v>
      </c>
      <c r="K2077">
        <f t="shared" si="98"/>
        <v>0.12762559414990859</v>
      </c>
    </row>
    <row r="2078" spans="1:11" x14ac:dyDescent="0.25">
      <c r="A2078" s="1">
        <v>2019</v>
      </c>
      <c r="B2078" s="1" t="s">
        <v>99</v>
      </c>
      <c r="C2078" t="s">
        <v>9</v>
      </c>
      <c r="D2078" s="1" t="s">
        <v>3</v>
      </c>
      <c r="E2078">
        <v>53</v>
      </c>
      <c r="F2078" s="1" t="s">
        <v>101</v>
      </c>
      <c r="G2078">
        <v>10</v>
      </c>
      <c r="H2078">
        <v>17</v>
      </c>
      <c r="I2078" s="2">
        <f t="shared" si="96"/>
        <v>9.2718000000000007</v>
      </c>
      <c r="J2078">
        <f t="shared" si="97"/>
        <v>0.34609182530795074</v>
      </c>
      <c r="K2078">
        <f t="shared" si="98"/>
        <v>0.24214677461478193</v>
      </c>
    </row>
    <row r="2079" spans="1:11" x14ac:dyDescent="0.25">
      <c r="A2079" s="1">
        <v>2019</v>
      </c>
      <c r="B2079" s="1" t="s">
        <v>99</v>
      </c>
      <c r="C2079" t="s">
        <v>9</v>
      </c>
      <c r="D2079" s="1" t="s">
        <v>3</v>
      </c>
      <c r="E2079">
        <v>53</v>
      </c>
      <c r="F2079" s="1" t="s">
        <v>101</v>
      </c>
      <c r="G2079">
        <v>12</v>
      </c>
      <c r="H2079">
        <v>18</v>
      </c>
      <c r="I2079" s="2">
        <f t="shared" si="96"/>
        <v>14.136768</v>
      </c>
      <c r="J2079">
        <f t="shared" si="97"/>
        <v>0.52768824188129904</v>
      </c>
      <c r="K2079">
        <f t="shared" si="98"/>
        <v>0.36920261164794987</v>
      </c>
    </row>
    <row r="2080" spans="1:11" x14ac:dyDescent="0.25">
      <c r="A2080" s="1">
        <v>2019</v>
      </c>
      <c r="B2080" s="1" t="s">
        <v>99</v>
      </c>
      <c r="C2080" t="s">
        <v>9</v>
      </c>
      <c r="D2080" s="1" t="s">
        <v>3</v>
      </c>
      <c r="E2080">
        <v>53</v>
      </c>
      <c r="F2080" s="1" t="s">
        <v>101</v>
      </c>
      <c r="G2080">
        <v>14</v>
      </c>
      <c r="H2080">
        <v>13</v>
      </c>
      <c r="I2080" s="2">
        <f t="shared" si="96"/>
        <v>13.896792</v>
      </c>
      <c r="J2080">
        <f t="shared" si="97"/>
        <v>0.51873057110862264</v>
      </c>
      <c r="K2080">
        <f t="shared" si="98"/>
        <v>0.36293528336380254</v>
      </c>
    </row>
    <row r="2081" spans="1:11" x14ac:dyDescent="0.25">
      <c r="A2081" s="1">
        <v>2019</v>
      </c>
      <c r="B2081" s="1" t="s">
        <v>99</v>
      </c>
      <c r="C2081" t="s">
        <v>9</v>
      </c>
      <c r="D2081" s="1" t="s">
        <v>3</v>
      </c>
      <c r="E2081">
        <v>53</v>
      </c>
      <c r="F2081" s="1" t="s">
        <v>101</v>
      </c>
      <c r="G2081">
        <v>16</v>
      </c>
      <c r="H2081">
        <v>10</v>
      </c>
      <c r="I2081" s="2">
        <f t="shared" si="96"/>
        <v>13.96224</v>
      </c>
      <c r="J2081">
        <f t="shared" si="97"/>
        <v>0.5211735722284434</v>
      </c>
      <c r="K2081">
        <f t="shared" si="98"/>
        <v>0.36464455471402452</v>
      </c>
    </row>
    <row r="2082" spans="1:11" x14ac:dyDescent="0.25">
      <c r="A2082" s="1">
        <v>2019</v>
      </c>
      <c r="B2082" s="1" t="s">
        <v>99</v>
      </c>
      <c r="C2082" t="s">
        <v>9</v>
      </c>
      <c r="D2082" s="1" t="s">
        <v>3</v>
      </c>
      <c r="E2082">
        <v>53</v>
      </c>
      <c r="F2082" s="1" t="s">
        <v>101</v>
      </c>
      <c r="G2082">
        <v>18</v>
      </c>
      <c r="H2082">
        <v>10</v>
      </c>
      <c r="I2082" s="2">
        <f t="shared" si="96"/>
        <v>17.670959999999997</v>
      </c>
      <c r="J2082">
        <f t="shared" si="97"/>
        <v>0.65961030235162366</v>
      </c>
      <c r="K2082">
        <f t="shared" si="98"/>
        <v>0.46150326455993723</v>
      </c>
    </row>
    <row r="2083" spans="1:11" x14ac:dyDescent="0.25">
      <c r="A2083" s="1">
        <v>2019</v>
      </c>
      <c r="B2083" s="1" t="s">
        <v>99</v>
      </c>
      <c r="C2083" t="s">
        <v>9</v>
      </c>
      <c r="D2083" s="1" t="s">
        <v>3</v>
      </c>
      <c r="E2083">
        <v>53</v>
      </c>
      <c r="F2083" s="1" t="s">
        <v>101</v>
      </c>
      <c r="G2083">
        <v>20</v>
      </c>
      <c r="H2083">
        <v>5</v>
      </c>
      <c r="I2083" s="2">
        <f t="shared" si="96"/>
        <v>10.907999999999999</v>
      </c>
      <c r="J2083">
        <f t="shared" si="97"/>
        <v>0.40716685330347147</v>
      </c>
      <c r="K2083">
        <f t="shared" si="98"/>
        <v>0.28487855837033166</v>
      </c>
    </row>
    <row r="2084" spans="1:11" x14ac:dyDescent="0.25">
      <c r="A2084" s="1">
        <v>2019</v>
      </c>
      <c r="B2084" s="1" t="s">
        <v>99</v>
      </c>
      <c r="C2084" t="s">
        <v>9</v>
      </c>
      <c r="D2084" s="1" t="s">
        <v>3</v>
      </c>
      <c r="E2084">
        <v>53</v>
      </c>
      <c r="F2084" s="1" t="s">
        <v>101</v>
      </c>
      <c r="G2084">
        <v>22</v>
      </c>
      <c r="H2084">
        <v>1</v>
      </c>
      <c r="I2084" s="2">
        <f t="shared" si="96"/>
        <v>2.6397359999999996</v>
      </c>
      <c r="J2084">
        <f t="shared" si="97"/>
        <v>9.8534378499440078E-2</v>
      </c>
      <c r="K2084">
        <f t="shared" si="98"/>
        <v>6.8940611125620249E-2</v>
      </c>
    </row>
    <row r="2085" spans="1:11" x14ac:dyDescent="0.25">
      <c r="A2085" s="1">
        <v>2019</v>
      </c>
      <c r="B2085" s="1" t="s">
        <v>99</v>
      </c>
      <c r="C2085" t="s">
        <v>9</v>
      </c>
      <c r="D2085" s="1" t="s">
        <v>3</v>
      </c>
      <c r="E2085">
        <v>54</v>
      </c>
      <c r="F2085" s="1" t="s">
        <v>101</v>
      </c>
      <c r="G2085">
        <v>6</v>
      </c>
      <c r="H2085">
        <v>51</v>
      </c>
      <c r="I2085" s="2">
        <f t="shared" si="96"/>
        <v>10.013544</v>
      </c>
      <c r="J2085">
        <f t="shared" si="97"/>
        <v>0.37377917133258676</v>
      </c>
      <c r="K2085">
        <f t="shared" si="98"/>
        <v>0.26151851658396447</v>
      </c>
    </row>
    <row r="2086" spans="1:11" x14ac:dyDescent="0.25">
      <c r="A2086" s="1">
        <v>2019</v>
      </c>
      <c r="B2086" s="1" t="s">
        <v>99</v>
      </c>
      <c r="C2086" t="s">
        <v>9</v>
      </c>
      <c r="D2086" s="1" t="s">
        <v>3</v>
      </c>
      <c r="E2086">
        <v>54</v>
      </c>
      <c r="F2086" s="1" t="s">
        <v>101</v>
      </c>
      <c r="G2086">
        <v>8</v>
      </c>
      <c r="H2086">
        <v>25</v>
      </c>
      <c r="I2086" s="2">
        <f t="shared" si="96"/>
        <v>8.7263999999999999</v>
      </c>
      <c r="J2086">
        <f t="shared" si="97"/>
        <v>0.32573348264277718</v>
      </c>
      <c r="K2086">
        <f t="shared" si="98"/>
        <v>0.22790284669626534</v>
      </c>
    </row>
    <row r="2087" spans="1:11" x14ac:dyDescent="0.25">
      <c r="A2087" s="1">
        <v>2019</v>
      </c>
      <c r="B2087" s="1" t="s">
        <v>99</v>
      </c>
      <c r="C2087" t="s">
        <v>9</v>
      </c>
      <c r="D2087" s="1" t="s">
        <v>3</v>
      </c>
      <c r="E2087">
        <v>54</v>
      </c>
      <c r="F2087" s="1" t="s">
        <v>101</v>
      </c>
      <c r="G2087">
        <v>10</v>
      </c>
      <c r="H2087">
        <v>12</v>
      </c>
      <c r="I2087" s="2">
        <f t="shared" si="96"/>
        <v>6.5448000000000004</v>
      </c>
      <c r="J2087">
        <f t="shared" si="97"/>
        <v>0.2443001119820829</v>
      </c>
      <c r="K2087">
        <f t="shared" si="98"/>
        <v>0.17092713502219903</v>
      </c>
    </row>
    <row r="2088" spans="1:11" x14ac:dyDescent="0.25">
      <c r="A2088" s="1">
        <v>2019</v>
      </c>
      <c r="B2088" s="1" t="s">
        <v>99</v>
      </c>
      <c r="C2088" t="s">
        <v>9</v>
      </c>
      <c r="D2088" s="1" t="s">
        <v>3</v>
      </c>
      <c r="E2088">
        <v>54</v>
      </c>
      <c r="F2088" s="1" t="s">
        <v>101</v>
      </c>
      <c r="G2088">
        <v>12</v>
      </c>
      <c r="H2088">
        <v>24</v>
      </c>
      <c r="I2088" s="2">
        <f t="shared" si="96"/>
        <v>18.849024</v>
      </c>
      <c r="J2088">
        <f t="shared" si="97"/>
        <v>0.70358432250839864</v>
      </c>
      <c r="K2088">
        <f t="shared" si="98"/>
        <v>0.49227014886393311</v>
      </c>
    </row>
    <row r="2089" spans="1:11" x14ac:dyDescent="0.25">
      <c r="A2089" s="1">
        <v>2019</v>
      </c>
      <c r="B2089" s="1" t="s">
        <v>99</v>
      </c>
      <c r="C2089" t="s">
        <v>9</v>
      </c>
      <c r="D2089" s="1" t="s">
        <v>3</v>
      </c>
      <c r="E2089">
        <v>54</v>
      </c>
      <c r="F2089" s="1" t="s">
        <v>101</v>
      </c>
      <c r="G2089">
        <v>14</v>
      </c>
      <c r="H2089">
        <v>21</v>
      </c>
      <c r="I2089" s="2">
        <f t="shared" si="96"/>
        <v>22.448663999999997</v>
      </c>
      <c r="J2089">
        <f t="shared" si="97"/>
        <v>0.83794938409854414</v>
      </c>
      <c r="K2089">
        <f t="shared" si="98"/>
        <v>0.5862800731261425</v>
      </c>
    </row>
    <row r="2090" spans="1:11" x14ac:dyDescent="0.25">
      <c r="A2090" s="1">
        <v>2019</v>
      </c>
      <c r="B2090" s="1" t="s">
        <v>99</v>
      </c>
      <c r="C2090" t="s">
        <v>9</v>
      </c>
      <c r="D2090" s="1" t="s">
        <v>3</v>
      </c>
      <c r="E2090">
        <v>54</v>
      </c>
      <c r="F2090" s="1" t="s">
        <v>101</v>
      </c>
      <c r="G2090">
        <v>16</v>
      </c>
      <c r="H2090">
        <v>9</v>
      </c>
      <c r="I2090" s="2">
        <f t="shared" si="96"/>
        <v>12.566015999999999</v>
      </c>
      <c r="J2090">
        <f t="shared" si="97"/>
        <v>0.46905621500559908</v>
      </c>
      <c r="K2090">
        <f t="shared" si="98"/>
        <v>0.32818009924262204</v>
      </c>
    </row>
    <row r="2091" spans="1:11" x14ac:dyDescent="0.25">
      <c r="A2091" s="1">
        <v>2019</v>
      </c>
      <c r="B2091" s="1" t="s">
        <v>99</v>
      </c>
      <c r="C2091" t="s">
        <v>9</v>
      </c>
      <c r="D2091" s="1" t="s">
        <v>3</v>
      </c>
      <c r="E2091">
        <v>54</v>
      </c>
      <c r="F2091" s="1" t="s">
        <v>101</v>
      </c>
      <c r="G2091">
        <v>18</v>
      </c>
      <c r="H2091">
        <v>9</v>
      </c>
      <c r="I2091" s="2">
        <f t="shared" si="96"/>
        <v>15.903863999999999</v>
      </c>
      <c r="J2091">
        <f t="shared" si="97"/>
        <v>0.59364927211646135</v>
      </c>
      <c r="K2091">
        <f t="shared" si="98"/>
        <v>0.41535293810394353</v>
      </c>
    </row>
    <row r="2092" spans="1:11" x14ac:dyDescent="0.25">
      <c r="A2092" s="1">
        <v>2019</v>
      </c>
      <c r="B2092" s="1" t="s">
        <v>99</v>
      </c>
      <c r="C2092" t="s">
        <v>9</v>
      </c>
      <c r="D2092" s="1" t="s">
        <v>3</v>
      </c>
      <c r="E2092">
        <v>54</v>
      </c>
      <c r="F2092" s="1" t="s">
        <v>101</v>
      </c>
      <c r="G2092">
        <v>20</v>
      </c>
      <c r="H2092">
        <v>1</v>
      </c>
      <c r="I2092" s="2">
        <f t="shared" si="96"/>
        <v>2.1816</v>
      </c>
      <c r="J2092">
        <f t="shared" si="97"/>
        <v>8.1433370660694296E-2</v>
      </c>
      <c r="K2092">
        <f t="shared" si="98"/>
        <v>5.6975711674066336E-2</v>
      </c>
    </row>
    <row r="2093" spans="1:11" x14ac:dyDescent="0.25">
      <c r="A2093" s="1">
        <v>2019</v>
      </c>
      <c r="B2093" s="1" t="s">
        <v>99</v>
      </c>
      <c r="C2093" t="s">
        <v>9</v>
      </c>
      <c r="D2093" s="1" t="s">
        <v>3</v>
      </c>
      <c r="E2093">
        <v>56</v>
      </c>
      <c r="F2093" s="1" t="s">
        <v>101</v>
      </c>
      <c r="G2093">
        <v>6</v>
      </c>
      <c r="H2093">
        <v>28</v>
      </c>
      <c r="I2093" s="2">
        <f t="shared" si="96"/>
        <v>5.4976319999999994</v>
      </c>
      <c r="J2093">
        <f t="shared" si="97"/>
        <v>0.20521209406494959</v>
      </c>
      <c r="K2093">
        <f t="shared" si="98"/>
        <v>0.14357879341864713</v>
      </c>
    </row>
    <row r="2094" spans="1:11" x14ac:dyDescent="0.25">
      <c r="A2094" s="1">
        <v>2019</v>
      </c>
      <c r="B2094" s="1" t="s">
        <v>99</v>
      </c>
      <c r="C2094" t="s">
        <v>9</v>
      </c>
      <c r="D2094" s="1" t="s">
        <v>3</v>
      </c>
      <c r="E2094">
        <v>56</v>
      </c>
      <c r="F2094" s="1" t="s">
        <v>101</v>
      </c>
      <c r="G2094">
        <v>8</v>
      </c>
      <c r="H2094">
        <v>15</v>
      </c>
      <c r="I2094" s="2">
        <f t="shared" si="96"/>
        <v>5.2358399999999996</v>
      </c>
      <c r="J2094">
        <f t="shared" si="97"/>
        <v>0.19544008958566628</v>
      </c>
      <c r="K2094">
        <f t="shared" si="98"/>
        <v>0.13674170801775917</v>
      </c>
    </row>
    <row r="2095" spans="1:11" x14ac:dyDescent="0.25">
      <c r="A2095" s="1">
        <v>2019</v>
      </c>
      <c r="B2095" s="1" t="s">
        <v>99</v>
      </c>
      <c r="C2095" t="s">
        <v>9</v>
      </c>
      <c r="D2095" s="1" t="s">
        <v>3</v>
      </c>
      <c r="E2095">
        <v>56</v>
      </c>
      <c r="F2095" s="1" t="s">
        <v>101</v>
      </c>
      <c r="G2095">
        <v>10</v>
      </c>
      <c r="H2095">
        <v>14</v>
      </c>
      <c r="I2095" s="2">
        <f t="shared" si="96"/>
        <v>7.6356000000000002</v>
      </c>
      <c r="J2095">
        <f t="shared" si="97"/>
        <v>0.28501679731243001</v>
      </c>
      <c r="K2095">
        <f t="shared" si="98"/>
        <v>0.19941499085923217</v>
      </c>
    </row>
    <row r="2096" spans="1:11" x14ac:dyDescent="0.25">
      <c r="A2096" s="1">
        <v>2019</v>
      </c>
      <c r="B2096" s="1" t="s">
        <v>99</v>
      </c>
      <c r="C2096" t="s">
        <v>9</v>
      </c>
      <c r="D2096" s="1" t="s">
        <v>3</v>
      </c>
      <c r="E2096">
        <v>56</v>
      </c>
      <c r="F2096" s="1" t="s">
        <v>101</v>
      </c>
      <c r="G2096">
        <v>12</v>
      </c>
      <c r="H2096">
        <v>6</v>
      </c>
      <c r="I2096" s="2">
        <f t="shared" si="96"/>
        <v>4.712256</v>
      </c>
      <c r="J2096">
        <f t="shared" si="97"/>
        <v>0.17589608062709966</v>
      </c>
      <c r="K2096">
        <f t="shared" si="98"/>
        <v>0.12306753721598328</v>
      </c>
    </row>
    <row r="2097" spans="1:11" x14ac:dyDescent="0.25">
      <c r="A2097" s="1">
        <v>2019</v>
      </c>
      <c r="B2097" s="1" t="s">
        <v>99</v>
      </c>
      <c r="C2097" t="s">
        <v>9</v>
      </c>
      <c r="D2097" s="1" t="s">
        <v>3</v>
      </c>
      <c r="E2097">
        <v>56</v>
      </c>
      <c r="F2097" s="1" t="s">
        <v>101</v>
      </c>
      <c r="G2097">
        <v>14</v>
      </c>
      <c r="H2097">
        <v>10</v>
      </c>
      <c r="I2097" s="2">
        <f t="shared" si="96"/>
        <v>10.68984</v>
      </c>
      <c r="J2097">
        <f t="shared" si="97"/>
        <v>0.39902351623740201</v>
      </c>
      <c r="K2097">
        <f t="shared" si="98"/>
        <v>0.279180987202925</v>
      </c>
    </row>
    <row r="2098" spans="1:11" x14ac:dyDescent="0.25">
      <c r="A2098" s="1">
        <v>2019</v>
      </c>
      <c r="B2098" s="1" t="s">
        <v>99</v>
      </c>
      <c r="C2098" t="s">
        <v>9</v>
      </c>
      <c r="D2098" s="1" t="s">
        <v>3</v>
      </c>
      <c r="E2098">
        <v>56</v>
      </c>
      <c r="F2098" s="1" t="s">
        <v>101</v>
      </c>
      <c r="G2098">
        <v>16</v>
      </c>
      <c r="H2098">
        <v>4</v>
      </c>
      <c r="I2098" s="2">
        <f t="shared" si="96"/>
        <v>5.5848959999999996</v>
      </c>
      <c r="J2098">
        <f t="shared" si="97"/>
        <v>0.20846942889137737</v>
      </c>
      <c r="K2098">
        <f t="shared" si="98"/>
        <v>0.14585782188560981</v>
      </c>
    </row>
    <row r="2099" spans="1:11" x14ac:dyDescent="0.25">
      <c r="A2099" s="1">
        <v>2019</v>
      </c>
      <c r="B2099" s="1" t="s">
        <v>99</v>
      </c>
      <c r="C2099" t="s">
        <v>9</v>
      </c>
      <c r="D2099" s="1" t="s">
        <v>3</v>
      </c>
      <c r="E2099">
        <v>56</v>
      </c>
      <c r="F2099" s="1" t="s">
        <v>101</v>
      </c>
      <c r="G2099">
        <v>18</v>
      </c>
      <c r="H2099">
        <v>17</v>
      </c>
      <c r="I2099" s="2">
        <f t="shared" si="96"/>
        <v>30.040631999999995</v>
      </c>
      <c r="J2099">
        <f t="shared" si="97"/>
        <v>1.1213375139977602</v>
      </c>
      <c r="K2099">
        <f t="shared" si="98"/>
        <v>0.78455554975189323</v>
      </c>
    </row>
    <row r="2100" spans="1:11" x14ac:dyDescent="0.25">
      <c r="A2100" s="1">
        <v>2019</v>
      </c>
      <c r="B2100" s="1" t="s">
        <v>99</v>
      </c>
      <c r="C2100" t="s">
        <v>9</v>
      </c>
      <c r="D2100" s="1" t="s">
        <v>3</v>
      </c>
      <c r="E2100">
        <v>56</v>
      </c>
      <c r="F2100" s="1" t="s">
        <v>101</v>
      </c>
      <c r="G2100">
        <v>20</v>
      </c>
      <c r="H2100">
        <v>17</v>
      </c>
      <c r="I2100" s="2">
        <f t="shared" si="96"/>
        <v>37.087200000000003</v>
      </c>
      <c r="J2100">
        <f t="shared" si="97"/>
        <v>1.384367301231803</v>
      </c>
      <c r="K2100">
        <f t="shared" si="98"/>
        <v>0.96858709845912772</v>
      </c>
    </row>
    <row r="2101" spans="1:11" x14ac:dyDescent="0.25">
      <c r="A2101" s="1">
        <v>2019</v>
      </c>
      <c r="B2101" s="1" t="s">
        <v>99</v>
      </c>
      <c r="C2101" t="s">
        <v>9</v>
      </c>
      <c r="D2101" s="1" t="s">
        <v>3</v>
      </c>
      <c r="E2101">
        <v>56</v>
      </c>
      <c r="F2101" s="1" t="s">
        <v>101</v>
      </c>
      <c r="G2101">
        <v>22</v>
      </c>
      <c r="H2101">
        <v>5</v>
      </c>
      <c r="I2101" s="2">
        <f t="shared" si="96"/>
        <v>13.198679999999998</v>
      </c>
      <c r="J2101">
        <f t="shared" si="97"/>
        <v>0.49267189249720039</v>
      </c>
      <c r="K2101">
        <f t="shared" si="98"/>
        <v>0.34470305562810127</v>
      </c>
    </row>
    <row r="2102" spans="1:11" x14ac:dyDescent="0.25">
      <c r="A2102" s="1">
        <v>2019</v>
      </c>
      <c r="B2102" s="1" t="s">
        <v>99</v>
      </c>
      <c r="C2102" t="s">
        <v>9</v>
      </c>
      <c r="D2102" s="1" t="s">
        <v>3</v>
      </c>
      <c r="E2102">
        <v>56</v>
      </c>
      <c r="F2102" s="1" t="s">
        <v>101</v>
      </c>
      <c r="G2102">
        <v>24</v>
      </c>
      <c r="H2102">
        <v>1</v>
      </c>
      <c r="I2102" s="2">
        <f t="shared" si="96"/>
        <v>3.1415039999999999</v>
      </c>
      <c r="J2102">
        <f t="shared" si="97"/>
        <v>0.11726405375139977</v>
      </c>
      <c r="K2102">
        <f t="shared" si="98"/>
        <v>8.2045024810655509E-2</v>
      </c>
    </row>
    <row r="2103" spans="1:11" x14ac:dyDescent="0.25">
      <c r="A2103" s="1">
        <v>2019</v>
      </c>
      <c r="B2103" s="1" t="s">
        <v>99</v>
      </c>
      <c r="C2103" t="s">
        <v>9</v>
      </c>
      <c r="D2103" s="1" t="s">
        <v>3</v>
      </c>
      <c r="E2103">
        <v>56</v>
      </c>
      <c r="F2103" s="1" t="s">
        <v>101</v>
      </c>
      <c r="G2103">
        <v>26</v>
      </c>
      <c r="H2103">
        <v>1</v>
      </c>
      <c r="I2103" s="2">
        <f t="shared" si="96"/>
        <v>3.6869039999999997</v>
      </c>
      <c r="J2103">
        <f t="shared" si="97"/>
        <v>0.13762239641657334</v>
      </c>
      <c r="K2103">
        <f t="shared" si="98"/>
        <v>9.6288952729172095E-2</v>
      </c>
    </row>
    <row r="2104" spans="1:11" x14ac:dyDescent="0.25">
      <c r="A2104" s="1">
        <v>2019</v>
      </c>
      <c r="B2104" s="1" t="s">
        <v>99</v>
      </c>
      <c r="C2104" t="s">
        <v>9</v>
      </c>
      <c r="D2104" s="1" t="s">
        <v>3</v>
      </c>
      <c r="E2104">
        <v>58</v>
      </c>
      <c r="F2104" s="1" t="s">
        <v>101</v>
      </c>
      <c r="G2104">
        <v>6</v>
      </c>
      <c r="H2104">
        <v>1</v>
      </c>
      <c r="I2104" s="2">
        <f t="shared" si="96"/>
        <v>0.19634399999999999</v>
      </c>
      <c r="J2104">
        <f t="shared" si="97"/>
        <v>7.3290033594624856E-3</v>
      </c>
      <c r="K2104">
        <f t="shared" si="98"/>
        <v>5.1278140506659693E-3</v>
      </c>
    </row>
    <row r="2105" spans="1:11" x14ac:dyDescent="0.25">
      <c r="A2105" s="1">
        <v>2019</v>
      </c>
      <c r="B2105" s="1" t="s">
        <v>99</v>
      </c>
      <c r="C2105" t="s">
        <v>9</v>
      </c>
      <c r="D2105" s="1" t="s">
        <v>3</v>
      </c>
      <c r="E2105">
        <v>58</v>
      </c>
      <c r="F2105" s="1" t="s">
        <v>101</v>
      </c>
      <c r="G2105">
        <v>8</v>
      </c>
      <c r="H2105">
        <v>6</v>
      </c>
      <c r="I2105" s="2">
        <f t="shared" si="96"/>
        <v>2.0943359999999998</v>
      </c>
      <c r="J2105">
        <f t="shared" si="97"/>
        <v>7.8176035834266508E-2</v>
      </c>
      <c r="K2105">
        <f t="shared" si="98"/>
        <v>5.469668320710367E-2</v>
      </c>
    </row>
    <row r="2106" spans="1:11" x14ac:dyDescent="0.25">
      <c r="A2106" s="1">
        <v>2019</v>
      </c>
      <c r="B2106" s="1" t="s">
        <v>99</v>
      </c>
      <c r="C2106" t="s">
        <v>9</v>
      </c>
      <c r="D2106" s="1" t="s">
        <v>3</v>
      </c>
      <c r="E2106">
        <v>58</v>
      </c>
      <c r="F2106" s="1" t="s">
        <v>101</v>
      </c>
      <c r="G2106">
        <v>10</v>
      </c>
      <c r="H2106">
        <v>3</v>
      </c>
      <c r="I2106" s="2">
        <f t="shared" si="96"/>
        <v>1.6362000000000001</v>
      </c>
      <c r="J2106">
        <f t="shared" si="97"/>
        <v>6.1075027995520725E-2</v>
      </c>
      <c r="K2106">
        <f t="shared" si="98"/>
        <v>4.2731783755549757E-2</v>
      </c>
    </row>
    <row r="2107" spans="1:11" x14ac:dyDescent="0.25">
      <c r="A2107" s="1">
        <v>2019</v>
      </c>
      <c r="B2107" s="1" t="s">
        <v>99</v>
      </c>
      <c r="C2107" t="s">
        <v>9</v>
      </c>
      <c r="D2107" s="1" t="s">
        <v>3</v>
      </c>
      <c r="E2107">
        <v>58</v>
      </c>
      <c r="F2107" s="1" t="s">
        <v>101</v>
      </c>
      <c r="G2107">
        <v>12</v>
      </c>
      <c r="H2107">
        <v>2</v>
      </c>
      <c r="I2107" s="2">
        <f t="shared" si="96"/>
        <v>1.5707519999999999</v>
      </c>
      <c r="J2107">
        <f t="shared" si="97"/>
        <v>5.8632026875699884E-2</v>
      </c>
      <c r="K2107">
        <f t="shared" si="98"/>
        <v>4.1022512405327755E-2</v>
      </c>
    </row>
    <row r="2108" spans="1:11" x14ac:dyDescent="0.25">
      <c r="A2108" s="1">
        <v>2019</v>
      </c>
      <c r="B2108" s="1" t="s">
        <v>99</v>
      </c>
      <c r="C2108" t="s">
        <v>9</v>
      </c>
      <c r="D2108" s="1" t="s">
        <v>3</v>
      </c>
      <c r="E2108">
        <v>58</v>
      </c>
      <c r="F2108" s="1" t="s">
        <v>101</v>
      </c>
      <c r="G2108">
        <v>14</v>
      </c>
      <c r="H2108">
        <v>4</v>
      </c>
      <c r="I2108" s="2">
        <f t="shared" si="96"/>
        <v>4.2759359999999997</v>
      </c>
      <c r="J2108">
        <f t="shared" si="97"/>
        <v>0.1596094064949608</v>
      </c>
      <c r="K2108">
        <f t="shared" si="98"/>
        <v>0.11167239488117001</v>
      </c>
    </row>
    <row r="2109" spans="1:11" x14ac:dyDescent="0.25">
      <c r="A2109" s="1">
        <v>2019</v>
      </c>
      <c r="B2109" s="1" t="s">
        <v>99</v>
      </c>
      <c r="C2109" t="s">
        <v>9</v>
      </c>
      <c r="D2109" s="1" t="s">
        <v>3</v>
      </c>
      <c r="E2109">
        <v>63</v>
      </c>
      <c r="F2109" s="1" t="s">
        <v>101</v>
      </c>
      <c r="G2109">
        <v>6</v>
      </c>
      <c r="H2109">
        <v>34</v>
      </c>
      <c r="I2109" s="2">
        <f t="shared" si="96"/>
        <v>6.6756959999999994</v>
      </c>
      <c r="J2109">
        <f t="shared" si="97"/>
        <v>0.24918611422172451</v>
      </c>
      <c r="K2109">
        <f t="shared" si="98"/>
        <v>0.17434567772264298</v>
      </c>
    </row>
    <row r="2110" spans="1:11" x14ac:dyDescent="0.25">
      <c r="A2110" s="1">
        <v>2019</v>
      </c>
      <c r="B2110" s="1" t="s">
        <v>99</v>
      </c>
      <c r="C2110" t="s">
        <v>9</v>
      </c>
      <c r="D2110" s="1" t="s">
        <v>3</v>
      </c>
      <c r="E2110">
        <v>63</v>
      </c>
      <c r="F2110" s="1" t="s">
        <v>101</v>
      </c>
      <c r="G2110">
        <v>8</v>
      </c>
      <c r="H2110">
        <v>15</v>
      </c>
      <c r="I2110" s="2">
        <f t="shared" si="96"/>
        <v>5.2358399999999996</v>
      </c>
      <c r="J2110">
        <f t="shared" si="97"/>
        <v>0.19544008958566628</v>
      </c>
      <c r="K2110">
        <f t="shared" si="98"/>
        <v>0.13674170801775917</v>
      </c>
    </row>
    <row r="2111" spans="1:11" x14ac:dyDescent="0.25">
      <c r="A2111" s="1">
        <v>2019</v>
      </c>
      <c r="B2111" s="1" t="s">
        <v>99</v>
      </c>
      <c r="C2111" t="s">
        <v>9</v>
      </c>
      <c r="D2111" s="1" t="s">
        <v>3</v>
      </c>
      <c r="E2111">
        <v>63</v>
      </c>
      <c r="F2111" s="1" t="s">
        <v>101</v>
      </c>
      <c r="G2111">
        <v>10</v>
      </c>
      <c r="H2111">
        <v>3</v>
      </c>
      <c r="I2111" s="2">
        <f t="shared" si="96"/>
        <v>1.6362000000000001</v>
      </c>
      <c r="J2111">
        <f t="shared" si="97"/>
        <v>6.1075027995520725E-2</v>
      </c>
      <c r="K2111">
        <f t="shared" si="98"/>
        <v>4.2731783755549757E-2</v>
      </c>
    </row>
    <row r="2112" spans="1:11" x14ac:dyDescent="0.25">
      <c r="A2112" s="1">
        <v>2019</v>
      </c>
      <c r="B2112" s="1" t="s">
        <v>99</v>
      </c>
      <c r="C2112" t="s">
        <v>9</v>
      </c>
      <c r="D2112" s="1" t="s">
        <v>3</v>
      </c>
      <c r="E2112">
        <v>63</v>
      </c>
      <c r="F2112" s="1" t="s">
        <v>101</v>
      </c>
      <c r="G2112">
        <v>12</v>
      </c>
      <c r="H2112">
        <v>2</v>
      </c>
      <c r="I2112" s="2">
        <f t="shared" si="96"/>
        <v>1.5707519999999999</v>
      </c>
      <c r="J2112">
        <f t="shared" si="97"/>
        <v>5.8632026875699884E-2</v>
      </c>
      <c r="K2112">
        <f t="shared" si="98"/>
        <v>4.1022512405327755E-2</v>
      </c>
    </row>
    <row r="2113" spans="1:11" x14ac:dyDescent="0.25">
      <c r="A2113" s="1">
        <v>2019</v>
      </c>
      <c r="B2113" s="1" t="s">
        <v>99</v>
      </c>
      <c r="C2113" t="s">
        <v>9</v>
      </c>
      <c r="D2113" s="1" t="s">
        <v>3</v>
      </c>
      <c r="E2113">
        <v>65</v>
      </c>
      <c r="F2113" s="1" t="s">
        <v>101</v>
      </c>
      <c r="G2113">
        <v>6</v>
      </c>
      <c r="H2113">
        <v>1</v>
      </c>
      <c r="I2113" s="2">
        <f t="shared" si="96"/>
        <v>0.19634399999999999</v>
      </c>
      <c r="J2113">
        <f t="shared" si="97"/>
        <v>7.3290033594624856E-3</v>
      </c>
      <c r="K2113">
        <f t="shared" si="98"/>
        <v>5.1278140506659693E-3</v>
      </c>
    </row>
    <row r="2114" spans="1:11" x14ac:dyDescent="0.25">
      <c r="A2114" s="1">
        <v>2019</v>
      </c>
      <c r="B2114" s="1" t="s">
        <v>99</v>
      </c>
      <c r="C2114" t="s">
        <v>9</v>
      </c>
      <c r="D2114" s="1" t="s">
        <v>3</v>
      </c>
      <c r="E2114">
        <v>66</v>
      </c>
      <c r="F2114" s="1" t="s">
        <v>101</v>
      </c>
      <c r="G2114">
        <v>6</v>
      </c>
      <c r="H2114">
        <v>10</v>
      </c>
      <c r="I2114" s="2">
        <f t="shared" si="96"/>
        <v>1.9634399999999999</v>
      </c>
      <c r="J2114">
        <f t="shared" si="97"/>
        <v>7.3290033594624854E-2</v>
      </c>
      <c r="K2114">
        <f t="shared" si="98"/>
        <v>5.1278140506659693E-2</v>
      </c>
    </row>
    <row r="2115" spans="1:11" x14ac:dyDescent="0.25">
      <c r="A2115" s="1">
        <v>2019</v>
      </c>
      <c r="B2115" s="1" t="s">
        <v>99</v>
      </c>
      <c r="C2115" t="s">
        <v>9</v>
      </c>
      <c r="D2115" s="1" t="s">
        <v>3</v>
      </c>
      <c r="E2115">
        <v>66</v>
      </c>
      <c r="F2115" s="1" t="s">
        <v>101</v>
      </c>
      <c r="G2115">
        <v>8</v>
      </c>
      <c r="H2115">
        <v>7</v>
      </c>
      <c r="I2115" s="2">
        <f t="shared" ref="I2115:I2178" si="99">0.005454*G2115^2*H2115</f>
        <v>2.4433919999999998</v>
      </c>
      <c r="J2115">
        <f t="shared" ref="J2115:J2178" si="100">I2115/26.79</f>
        <v>9.1205375139977604E-2</v>
      </c>
      <c r="K2115">
        <f t="shared" ref="K2115:K2178" si="101">J2115*(26.79/38.29)</f>
        <v>6.3812797074954297E-2</v>
      </c>
    </row>
    <row r="2116" spans="1:11" x14ac:dyDescent="0.25">
      <c r="A2116" s="1">
        <v>2019</v>
      </c>
      <c r="B2116" s="1" t="s">
        <v>99</v>
      </c>
      <c r="C2116" t="s">
        <v>9</v>
      </c>
      <c r="D2116" s="1" t="s">
        <v>3</v>
      </c>
      <c r="E2116">
        <v>66</v>
      </c>
      <c r="F2116" s="1" t="s">
        <v>101</v>
      </c>
      <c r="G2116">
        <v>10</v>
      </c>
      <c r="H2116">
        <v>8</v>
      </c>
      <c r="I2116" s="2">
        <f t="shared" si="99"/>
        <v>4.3632</v>
      </c>
      <c r="J2116">
        <f t="shared" si="100"/>
        <v>0.16286674132138859</v>
      </c>
      <c r="K2116">
        <f t="shared" si="101"/>
        <v>0.11395142334813267</v>
      </c>
    </row>
    <row r="2117" spans="1:11" x14ac:dyDescent="0.25">
      <c r="A2117" s="1">
        <v>2019</v>
      </c>
      <c r="B2117" s="1" t="s">
        <v>99</v>
      </c>
      <c r="C2117" t="s">
        <v>9</v>
      </c>
      <c r="D2117" s="1" t="s">
        <v>3</v>
      </c>
      <c r="E2117">
        <v>66</v>
      </c>
      <c r="F2117" s="1" t="s">
        <v>101</v>
      </c>
      <c r="G2117">
        <v>12</v>
      </c>
      <c r="H2117">
        <v>5</v>
      </c>
      <c r="I2117" s="2">
        <f t="shared" si="99"/>
        <v>3.9268799999999997</v>
      </c>
      <c r="J2117">
        <f t="shared" si="100"/>
        <v>0.14658006718924971</v>
      </c>
      <c r="K2117">
        <f t="shared" si="101"/>
        <v>0.10255628101331939</v>
      </c>
    </row>
    <row r="2118" spans="1:11" x14ac:dyDescent="0.25">
      <c r="A2118" s="1">
        <v>2019</v>
      </c>
      <c r="B2118" s="1" t="s">
        <v>99</v>
      </c>
      <c r="C2118" t="s">
        <v>9</v>
      </c>
      <c r="D2118" s="1" t="s">
        <v>3</v>
      </c>
      <c r="E2118">
        <v>66</v>
      </c>
      <c r="F2118" s="1" t="s">
        <v>101</v>
      </c>
      <c r="G2118">
        <v>14</v>
      </c>
      <c r="H2118">
        <v>7</v>
      </c>
      <c r="I2118" s="2">
        <f t="shared" si="99"/>
        <v>7.4828879999999991</v>
      </c>
      <c r="J2118">
        <f t="shared" si="100"/>
        <v>0.27931646136618138</v>
      </c>
      <c r="K2118">
        <f t="shared" si="101"/>
        <v>0.19542669104204749</v>
      </c>
    </row>
    <row r="2119" spans="1:11" x14ac:dyDescent="0.25">
      <c r="A2119" s="1">
        <v>2019</v>
      </c>
      <c r="B2119" s="1" t="s">
        <v>99</v>
      </c>
      <c r="C2119" t="s">
        <v>9</v>
      </c>
      <c r="D2119" s="1" t="s">
        <v>3</v>
      </c>
      <c r="E2119">
        <v>66</v>
      </c>
      <c r="F2119" s="1" t="s">
        <v>101</v>
      </c>
      <c r="G2119">
        <v>16</v>
      </c>
      <c r="H2119">
        <v>4</v>
      </c>
      <c r="I2119" s="2">
        <f t="shared" si="99"/>
        <v>5.5848959999999996</v>
      </c>
      <c r="J2119">
        <f t="shared" si="100"/>
        <v>0.20846942889137737</v>
      </c>
      <c r="K2119">
        <f t="shared" si="101"/>
        <v>0.14585782188560981</v>
      </c>
    </row>
    <row r="2120" spans="1:11" x14ac:dyDescent="0.25">
      <c r="A2120" s="1">
        <v>2019</v>
      </c>
      <c r="B2120" s="1" t="s">
        <v>99</v>
      </c>
      <c r="C2120" t="s">
        <v>9</v>
      </c>
      <c r="D2120" s="1" t="s">
        <v>3</v>
      </c>
      <c r="E2120">
        <v>66</v>
      </c>
      <c r="F2120" s="1" t="s">
        <v>101</v>
      </c>
      <c r="G2120">
        <v>18</v>
      </c>
      <c r="H2120">
        <v>5</v>
      </c>
      <c r="I2120" s="2">
        <f t="shared" si="99"/>
        <v>8.8354799999999987</v>
      </c>
      <c r="J2120">
        <f t="shared" si="100"/>
        <v>0.32980515117581183</v>
      </c>
      <c r="K2120">
        <f t="shared" si="101"/>
        <v>0.23075163227996862</v>
      </c>
    </row>
    <row r="2121" spans="1:11" x14ac:dyDescent="0.25">
      <c r="A2121" s="1">
        <v>2019</v>
      </c>
      <c r="B2121" s="1" t="s">
        <v>99</v>
      </c>
      <c r="C2121" t="s">
        <v>9</v>
      </c>
      <c r="D2121" s="1" t="s">
        <v>3</v>
      </c>
      <c r="E2121">
        <v>66</v>
      </c>
      <c r="F2121" s="1" t="s">
        <v>101</v>
      </c>
      <c r="G2121">
        <v>20</v>
      </c>
      <c r="H2121">
        <v>2</v>
      </c>
      <c r="I2121" s="2">
        <f t="shared" si="99"/>
        <v>4.3632</v>
      </c>
      <c r="J2121">
        <f t="shared" si="100"/>
        <v>0.16286674132138859</v>
      </c>
      <c r="K2121">
        <f t="shared" si="101"/>
        <v>0.11395142334813267</v>
      </c>
    </row>
    <row r="2122" spans="1:11" x14ac:dyDescent="0.25">
      <c r="A2122" s="1">
        <v>2019</v>
      </c>
      <c r="B2122" s="1" t="s">
        <v>99</v>
      </c>
      <c r="C2122" t="s">
        <v>9</v>
      </c>
      <c r="D2122" s="1" t="s">
        <v>3</v>
      </c>
      <c r="E2122">
        <v>71</v>
      </c>
      <c r="F2122" s="1" t="s">
        <v>101</v>
      </c>
      <c r="G2122">
        <v>6</v>
      </c>
      <c r="H2122">
        <v>7</v>
      </c>
      <c r="I2122" s="2">
        <f t="shared" si="99"/>
        <v>1.3744079999999999</v>
      </c>
      <c r="J2122">
        <f t="shared" si="100"/>
        <v>5.1303023516237396E-2</v>
      </c>
      <c r="K2122">
        <f t="shared" si="101"/>
        <v>3.5894698354661782E-2</v>
      </c>
    </row>
    <row r="2123" spans="1:11" x14ac:dyDescent="0.25">
      <c r="A2123" s="1">
        <v>2019</v>
      </c>
      <c r="B2123" s="1" t="s">
        <v>99</v>
      </c>
      <c r="C2123" t="s">
        <v>9</v>
      </c>
      <c r="D2123" s="1" t="s">
        <v>3</v>
      </c>
      <c r="E2123">
        <v>71</v>
      </c>
      <c r="F2123" s="1" t="s">
        <v>101</v>
      </c>
      <c r="G2123">
        <v>8</v>
      </c>
      <c r="H2123">
        <v>2</v>
      </c>
      <c r="I2123" s="2">
        <f t="shared" si="99"/>
        <v>0.69811199999999995</v>
      </c>
      <c r="J2123">
        <f t="shared" si="100"/>
        <v>2.6058678611422172E-2</v>
      </c>
      <c r="K2123">
        <f t="shared" si="101"/>
        <v>1.8232227735701226E-2</v>
      </c>
    </row>
    <row r="2124" spans="1:11" x14ac:dyDescent="0.25">
      <c r="A2124" s="1">
        <v>2019</v>
      </c>
      <c r="B2124" s="1" t="s">
        <v>99</v>
      </c>
      <c r="C2124" t="s">
        <v>9</v>
      </c>
      <c r="D2124" s="1" t="s">
        <v>3</v>
      </c>
      <c r="E2124">
        <v>71</v>
      </c>
      <c r="F2124" s="1" t="s">
        <v>101</v>
      </c>
      <c r="G2124">
        <v>10</v>
      </c>
      <c r="H2124">
        <v>5</v>
      </c>
      <c r="I2124" s="2">
        <f t="shared" si="99"/>
        <v>2.7269999999999999</v>
      </c>
      <c r="J2124">
        <f t="shared" si="100"/>
        <v>0.10179171332586787</v>
      </c>
      <c r="K2124">
        <f t="shared" si="101"/>
        <v>7.1219639592582915E-2</v>
      </c>
    </row>
    <row r="2125" spans="1:11" x14ac:dyDescent="0.25">
      <c r="A2125" s="1">
        <v>2019</v>
      </c>
      <c r="B2125" s="1" t="s">
        <v>99</v>
      </c>
      <c r="C2125" t="s">
        <v>9</v>
      </c>
      <c r="D2125" s="1" t="s">
        <v>3</v>
      </c>
      <c r="E2125">
        <v>71</v>
      </c>
      <c r="F2125" s="1" t="s">
        <v>101</v>
      </c>
      <c r="G2125">
        <v>12</v>
      </c>
      <c r="H2125">
        <v>1</v>
      </c>
      <c r="I2125" s="2">
        <f t="shared" si="99"/>
        <v>0.78537599999999996</v>
      </c>
      <c r="J2125">
        <f t="shared" si="100"/>
        <v>2.9316013437849942E-2</v>
      </c>
      <c r="K2125">
        <f t="shared" si="101"/>
        <v>2.0511256202663877E-2</v>
      </c>
    </row>
    <row r="2126" spans="1:11" x14ac:dyDescent="0.25">
      <c r="A2126" s="1">
        <v>2019</v>
      </c>
      <c r="B2126" s="1" t="s">
        <v>99</v>
      </c>
      <c r="C2126" t="s">
        <v>9</v>
      </c>
      <c r="D2126" s="1" t="s">
        <v>3</v>
      </c>
      <c r="E2126">
        <v>71</v>
      </c>
      <c r="F2126" s="1" t="s">
        <v>101</v>
      </c>
      <c r="G2126">
        <v>16</v>
      </c>
      <c r="H2126">
        <v>2</v>
      </c>
      <c r="I2126" s="2">
        <f t="shared" si="99"/>
        <v>2.7924479999999998</v>
      </c>
      <c r="J2126">
        <f t="shared" si="100"/>
        <v>0.10423471444568869</v>
      </c>
      <c r="K2126">
        <f t="shared" si="101"/>
        <v>7.2928910942804903E-2</v>
      </c>
    </row>
    <row r="2127" spans="1:11" x14ac:dyDescent="0.25">
      <c r="A2127" s="1">
        <v>2019</v>
      </c>
      <c r="B2127" s="1" t="s">
        <v>99</v>
      </c>
      <c r="C2127" t="s">
        <v>9</v>
      </c>
      <c r="D2127" s="1" t="s">
        <v>3</v>
      </c>
      <c r="E2127">
        <v>76</v>
      </c>
      <c r="F2127" s="1" t="s">
        <v>101</v>
      </c>
      <c r="G2127">
        <v>6</v>
      </c>
      <c r="H2127">
        <v>135</v>
      </c>
      <c r="I2127" s="2">
        <f t="shared" si="99"/>
        <v>26.506439999999998</v>
      </c>
      <c r="J2127">
        <f t="shared" si="100"/>
        <v>0.98941545352743554</v>
      </c>
      <c r="K2127">
        <f t="shared" si="101"/>
        <v>0.69225489683990593</v>
      </c>
    </row>
    <row r="2128" spans="1:11" x14ac:dyDescent="0.25">
      <c r="A2128" s="1">
        <v>2019</v>
      </c>
      <c r="B2128" s="1" t="s">
        <v>99</v>
      </c>
      <c r="C2128" t="s">
        <v>9</v>
      </c>
      <c r="D2128" s="1" t="s">
        <v>3</v>
      </c>
      <c r="E2128">
        <v>76</v>
      </c>
      <c r="F2128" s="1" t="s">
        <v>101</v>
      </c>
      <c r="G2128">
        <v>8</v>
      </c>
      <c r="H2128">
        <v>64</v>
      </c>
      <c r="I2128" s="2">
        <f t="shared" si="99"/>
        <v>22.339583999999999</v>
      </c>
      <c r="J2128">
        <f t="shared" si="100"/>
        <v>0.83387771556550949</v>
      </c>
      <c r="K2128">
        <f t="shared" si="101"/>
        <v>0.58343128754243923</v>
      </c>
    </row>
    <row r="2129" spans="1:11" x14ac:dyDescent="0.25">
      <c r="A2129" s="1">
        <v>2019</v>
      </c>
      <c r="B2129" s="1" t="s">
        <v>99</v>
      </c>
      <c r="C2129" t="s">
        <v>9</v>
      </c>
      <c r="D2129" s="1" t="s">
        <v>3</v>
      </c>
      <c r="E2129">
        <v>76</v>
      </c>
      <c r="F2129" s="1" t="s">
        <v>101</v>
      </c>
      <c r="G2129">
        <v>10</v>
      </c>
      <c r="H2129">
        <v>53</v>
      </c>
      <c r="I2129" s="2">
        <f t="shared" si="99"/>
        <v>28.906199999999998</v>
      </c>
      <c r="J2129">
        <f t="shared" si="100"/>
        <v>1.0789921612541993</v>
      </c>
      <c r="K2129">
        <f t="shared" si="101"/>
        <v>0.75492817968137882</v>
      </c>
    </row>
    <row r="2130" spans="1:11" x14ac:dyDescent="0.25">
      <c r="A2130" s="1">
        <v>2019</v>
      </c>
      <c r="B2130" s="1" t="s">
        <v>99</v>
      </c>
      <c r="C2130" t="s">
        <v>9</v>
      </c>
      <c r="D2130" s="1" t="s">
        <v>3</v>
      </c>
      <c r="E2130">
        <v>76</v>
      </c>
      <c r="F2130" s="1" t="s">
        <v>101</v>
      </c>
      <c r="G2130">
        <v>12</v>
      </c>
      <c r="H2130">
        <v>55</v>
      </c>
      <c r="I2130" s="2">
        <f t="shared" si="99"/>
        <v>43.195679999999996</v>
      </c>
      <c r="J2130">
        <f t="shared" si="100"/>
        <v>1.6123807390817468</v>
      </c>
      <c r="K2130">
        <f t="shared" si="101"/>
        <v>1.1281190911465133</v>
      </c>
    </row>
    <row r="2131" spans="1:11" x14ac:dyDescent="0.25">
      <c r="A2131" s="1">
        <v>2019</v>
      </c>
      <c r="B2131" s="1" t="s">
        <v>99</v>
      </c>
      <c r="C2131" t="s">
        <v>9</v>
      </c>
      <c r="D2131" s="1" t="s">
        <v>3</v>
      </c>
      <c r="E2131">
        <v>76</v>
      </c>
      <c r="F2131" s="1" t="s">
        <v>101</v>
      </c>
      <c r="G2131">
        <v>14</v>
      </c>
      <c r="H2131">
        <v>38</v>
      </c>
      <c r="I2131" s="2">
        <f t="shared" si="99"/>
        <v>40.621392</v>
      </c>
      <c r="J2131">
        <f t="shared" si="100"/>
        <v>1.5162893617021278</v>
      </c>
      <c r="K2131">
        <f t="shared" si="101"/>
        <v>1.0608877513711152</v>
      </c>
    </row>
    <row r="2132" spans="1:11" x14ac:dyDescent="0.25">
      <c r="A2132" s="1">
        <v>2019</v>
      </c>
      <c r="B2132" s="1" t="s">
        <v>99</v>
      </c>
      <c r="C2132" t="s">
        <v>9</v>
      </c>
      <c r="D2132" s="1" t="s">
        <v>3</v>
      </c>
      <c r="E2132">
        <v>76</v>
      </c>
      <c r="F2132" s="1" t="s">
        <v>101</v>
      </c>
      <c r="G2132">
        <v>16</v>
      </c>
      <c r="H2132">
        <v>34</v>
      </c>
      <c r="I2132" s="2">
        <f t="shared" si="99"/>
        <v>47.471615999999997</v>
      </c>
      <c r="J2132">
        <f t="shared" si="100"/>
        <v>1.7719901455767078</v>
      </c>
      <c r="K2132">
        <f t="shared" si="101"/>
        <v>1.2397914860276833</v>
      </c>
    </row>
    <row r="2133" spans="1:11" x14ac:dyDescent="0.25">
      <c r="A2133" s="1">
        <v>2019</v>
      </c>
      <c r="B2133" s="1" t="s">
        <v>99</v>
      </c>
      <c r="C2133" t="s">
        <v>9</v>
      </c>
      <c r="D2133" s="1" t="s">
        <v>3</v>
      </c>
      <c r="E2133">
        <v>76</v>
      </c>
      <c r="F2133" s="1" t="s">
        <v>101</v>
      </c>
      <c r="G2133">
        <v>18</v>
      </c>
      <c r="H2133">
        <v>15</v>
      </c>
      <c r="I2133" s="2">
        <f t="shared" si="99"/>
        <v>26.506439999999998</v>
      </c>
      <c r="J2133">
        <f t="shared" si="100"/>
        <v>0.98941545352743554</v>
      </c>
      <c r="K2133">
        <f t="shared" si="101"/>
        <v>0.69225489683990593</v>
      </c>
    </row>
    <row r="2134" spans="1:11" x14ac:dyDescent="0.25">
      <c r="A2134" s="1">
        <v>2019</v>
      </c>
      <c r="B2134" s="1" t="s">
        <v>99</v>
      </c>
      <c r="C2134" t="s">
        <v>9</v>
      </c>
      <c r="D2134" s="1" t="s">
        <v>3</v>
      </c>
      <c r="E2134">
        <v>76</v>
      </c>
      <c r="F2134" s="1" t="s">
        <v>101</v>
      </c>
      <c r="G2134">
        <v>20</v>
      </c>
      <c r="H2134">
        <v>16</v>
      </c>
      <c r="I2134" s="2">
        <f t="shared" si="99"/>
        <v>34.9056</v>
      </c>
      <c r="J2134">
        <f t="shared" si="100"/>
        <v>1.3029339305711087</v>
      </c>
      <c r="K2134">
        <f t="shared" si="101"/>
        <v>0.91161138678506137</v>
      </c>
    </row>
    <row r="2135" spans="1:11" x14ac:dyDescent="0.25">
      <c r="A2135" s="1">
        <v>2019</v>
      </c>
      <c r="B2135" s="1" t="s">
        <v>99</v>
      </c>
      <c r="C2135" t="s">
        <v>9</v>
      </c>
      <c r="D2135" s="1" t="s">
        <v>3</v>
      </c>
      <c r="E2135">
        <v>76</v>
      </c>
      <c r="F2135" s="1" t="s">
        <v>101</v>
      </c>
      <c r="G2135">
        <v>22</v>
      </c>
      <c r="H2135">
        <v>5</v>
      </c>
      <c r="I2135" s="2">
        <f t="shared" si="99"/>
        <v>13.198679999999998</v>
      </c>
      <c r="J2135">
        <f t="shared" si="100"/>
        <v>0.49267189249720039</v>
      </c>
      <c r="K2135">
        <f t="shared" si="101"/>
        <v>0.34470305562810127</v>
      </c>
    </row>
    <row r="2136" spans="1:11" x14ac:dyDescent="0.25">
      <c r="A2136" s="1">
        <v>2019</v>
      </c>
      <c r="B2136" s="1" t="s">
        <v>99</v>
      </c>
      <c r="C2136" t="s">
        <v>9</v>
      </c>
      <c r="D2136" s="1" t="s">
        <v>3</v>
      </c>
      <c r="E2136">
        <v>79</v>
      </c>
      <c r="F2136" s="1" t="s">
        <v>101</v>
      </c>
      <c r="G2136">
        <v>6</v>
      </c>
      <c r="H2136">
        <v>174</v>
      </c>
      <c r="I2136" s="2">
        <f t="shared" si="99"/>
        <v>34.163855999999996</v>
      </c>
      <c r="J2136">
        <f t="shared" si="100"/>
        <v>1.2752465845464724</v>
      </c>
      <c r="K2136">
        <f t="shared" si="101"/>
        <v>0.8922396448158787</v>
      </c>
    </row>
    <row r="2137" spans="1:11" x14ac:dyDescent="0.25">
      <c r="A2137" s="1">
        <v>2019</v>
      </c>
      <c r="B2137" s="1" t="s">
        <v>99</v>
      </c>
      <c r="C2137" t="s">
        <v>9</v>
      </c>
      <c r="D2137" s="1" t="s">
        <v>3</v>
      </c>
      <c r="E2137">
        <v>79</v>
      </c>
      <c r="F2137" s="1" t="s">
        <v>101</v>
      </c>
      <c r="G2137">
        <v>8</v>
      </c>
      <c r="H2137">
        <v>144</v>
      </c>
      <c r="I2137" s="2">
        <f t="shared" si="99"/>
        <v>50.264063999999998</v>
      </c>
      <c r="J2137">
        <f t="shared" si="100"/>
        <v>1.8762248600223963</v>
      </c>
      <c r="K2137">
        <f t="shared" si="101"/>
        <v>1.3127203969704881</v>
      </c>
    </row>
    <row r="2138" spans="1:11" x14ac:dyDescent="0.25">
      <c r="A2138" s="1">
        <v>2019</v>
      </c>
      <c r="B2138" s="1" t="s">
        <v>99</v>
      </c>
      <c r="C2138" t="s">
        <v>9</v>
      </c>
      <c r="D2138" s="1" t="s">
        <v>3</v>
      </c>
      <c r="E2138">
        <v>79</v>
      </c>
      <c r="F2138" s="1" t="s">
        <v>101</v>
      </c>
      <c r="G2138">
        <v>10</v>
      </c>
      <c r="H2138">
        <v>137</v>
      </c>
      <c r="I2138" s="2">
        <f t="shared" si="99"/>
        <v>74.719800000000006</v>
      </c>
      <c r="J2138">
        <f t="shared" si="100"/>
        <v>2.7890929451287798</v>
      </c>
      <c r="K2138">
        <f t="shared" si="101"/>
        <v>1.9514181248367721</v>
      </c>
    </row>
    <row r="2139" spans="1:11" x14ac:dyDescent="0.25">
      <c r="A2139" s="1">
        <v>2019</v>
      </c>
      <c r="B2139" s="1" t="s">
        <v>99</v>
      </c>
      <c r="C2139" t="s">
        <v>9</v>
      </c>
      <c r="D2139" s="1" t="s">
        <v>3</v>
      </c>
      <c r="E2139">
        <v>79</v>
      </c>
      <c r="F2139" s="1" t="s">
        <v>101</v>
      </c>
      <c r="G2139">
        <v>12</v>
      </c>
      <c r="H2139">
        <v>141</v>
      </c>
      <c r="I2139" s="2">
        <f t="shared" si="99"/>
        <v>110.738016</v>
      </c>
      <c r="J2139">
        <f t="shared" si="100"/>
        <v>4.1335578947368425</v>
      </c>
      <c r="K2139">
        <f t="shared" si="101"/>
        <v>2.8920871245756072</v>
      </c>
    </row>
    <row r="2140" spans="1:11" x14ac:dyDescent="0.25">
      <c r="A2140" s="1">
        <v>2019</v>
      </c>
      <c r="B2140" s="1" t="s">
        <v>99</v>
      </c>
      <c r="C2140" t="s">
        <v>9</v>
      </c>
      <c r="D2140" s="1" t="s">
        <v>3</v>
      </c>
      <c r="E2140">
        <v>79</v>
      </c>
      <c r="F2140" s="1" t="s">
        <v>101</v>
      </c>
      <c r="G2140">
        <v>14</v>
      </c>
      <c r="H2140">
        <v>132</v>
      </c>
      <c r="I2140" s="2">
        <f t="shared" si="99"/>
        <v>141.10588799999999</v>
      </c>
      <c r="J2140">
        <f t="shared" si="100"/>
        <v>5.2671104143337066</v>
      </c>
      <c r="K2140">
        <f t="shared" si="101"/>
        <v>3.6851890310786102</v>
      </c>
    </row>
    <row r="2141" spans="1:11" x14ac:dyDescent="0.25">
      <c r="A2141" s="1">
        <v>2019</v>
      </c>
      <c r="B2141" s="1" t="s">
        <v>99</v>
      </c>
      <c r="C2141" t="s">
        <v>9</v>
      </c>
      <c r="D2141" s="1" t="s">
        <v>3</v>
      </c>
      <c r="E2141">
        <v>79</v>
      </c>
      <c r="F2141" s="1" t="s">
        <v>101</v>
      </c>
      <c r="G2141">
        <v>16</v>
      </c>
      <c r="H2141">
        <v>108</v>
      </c>
      <c r="I2141" s="2">
        <f t="shared" si="99"/>
        <v>150.792192</v>
      </c>
      <c r="J2141">
        <f t="shared" si="100"/>
        <v>5.6286745800671891</v>
      </c>
      <c r="K2141">
        <f t="shared" si="101"/>
        <v>3.9381611909114649</v>
      </c>
    </row>
    <row r="2142" spans="1:11" x14ac:dyDescent="0.25">
      <c r="A2142" s="1">
        <v>2019</v>
      </c>
      <c r="B2142" s="1" t="s">
        <v>99</v>
      </c>
      <c r="C2142" t="s">
        <v>9</v>
      </c>
      <c r="D2142" s="1" t="s">
        <v>3</v>
      </c>
      <c r="E2142">
        <v>79</v>
      </c>
      <c r="F2142" s="1" t="s">
        <v>101</v>
      </c>
      <c r="G2142">
        <v>18</v>
      </c>
      <c r="H2142">
        <v>87</v>
      </c>
      <c r="I2142" s="2">
        <f t="shared" si="99"/>
        <v>153.73735199999999</v>
      </c>
      <c r="J2142">
        <f t="shared" si="100"/>
        <v>5.7386096304591261</v>
      </c>
      <c r="K2142">
        <f t="shared" si="101"/>
        <v>4.0150784016714542</v>
      </c>
    </row>
    <row r="2143" spans="1:11" x14ac:dyDescent="0.25">
      <c r="A2143" s="1">
        <v>2019</v>
      </c>
      <c r="B2143" s="1" t="s">
        <v>99</v>
      </c>
      <c r="C2143" t="s">
        <v>9</v>
      </c>
      <c r="D2143" s="1" t="s">
        <v>3</v>
      </c>
      <c r="E2143">
        <v>79</v>
      </c>
      <c r="F2143" s="1" t="s">
        <v>101</v>
      </c>
      <c r="G2143">
        <v>20</v>
      </c>
      <c r="H2143">
        <v>37</v>
      </c>
      <c r="I2143" s="2">
        <f t="shared" si="99"/>
        <v>80.719200000000001</v>
      </c>
      <c r="J2143">
        <f t="shared" si="100"/>
        <v>3.0130347144456886</v>
      </c>
      <c r="K2143">
        <f t="shared" si="101"/>
        <v>2.1081013319404542</v>
      </c>
    </row>
    <row r="2144" spans="1:11" x14ac:dyDescent="0.25">
      <c r="A2144" s="1">
        <v>2019</v>
      </c>
      <c r="B2144" s="1" t="s">
        <v>99</v>
      </c>
      <c r="C2144" t="s">
        <v>9</v>
      </c>
      <c r="D2144" s="1" t="s">
        <v>3</v>
      </c>
      <c r="E2144">
        <v>79</v>
      </c>
      <c r="F2144" s="1" t="s">
        <v>101</v>
      </c>
      <c r="G2144">
        <v>22</v>
      </c>
      <c r="H2144">
        <v>6</v>
      </c>
      <c r="I2144" s="2">
        <f t="shared" si="99"/>
        <v>15.838415999999999</v>
      </c>
      <c r="J2144">
        <f t="shared" si="100"/>
        <v>0.59120627099664047</v>
      </c>
      <c r="K2144">
        <f t="shared" si="101"/>
        <v>0.41364366675372155</v>
      </c>
    </row>
    <row r="2145" spans="1:11" x14ac:dyDescent="0.25">
      <c r="A2145" s="1">
        <v>2019</v>
      </c>
      <c r="B2145" s="1" t="s">
        <v>99</v>
      </c>
      <c r="C2145" t="s">
        <v>9</v>
      </c>
      <c r="D2145" s="1" t="s">
        <v>3</v>
      </c>
      <c r="E2145">
        <v>79</v>
      </c>
      <c r="F2145" s="1" t="s">
        <v>101</v>
      </c>
      <c r="G2145">
        <v>24</v>
      </c>
      <c r="H2145">
        <v>1</v>
      </c>
      <c r="I2145" s="2">
        <f t="shared" si="99"/>
        <v>3.1415039999999999</v>
      </c>
      <c r="J2145">
        <f t="shared" si="100"/>
        <v>0.11726405375139977</v>
      </c>
      <c r="K2145">
        <f t="shared" si="101"/>
        <v>8.2045024810655509E-2</v>
      </c>
    </row>
    <row r="2146" spans="1:11" x14ac:dyDescent="0.25">
      <c r="A2146" s="1">
        <v>2019</v>
      </c>
      <c r="B2146" s="1" t="s">
        <v>99</v>
      </c>
      <c r="C2146" t="s">
        <v>9</v>
      </c>
      <c r="D2146" s="1" t="s">
        <v>3</v>
      </c>
      <c r="E2146">
        <v>84</v>
      </c>
      <c r="F2146" s="1" t="s">
        <v>101</v>
      </c>
      <c r="G2146">
        <v>8</v>
      </c>
      <c r="H2146">
        <v>1</v>
      </c>
      <c r="I2146" s="2">
        <f t="shared" si="99"/>
        <v>0.34905599999999998</v>
      </c>
      <c r="J2146">
        <f t="shared" si="100"/>
        <v>1.3029339305711086E-2</v>
      </c>
      <c r="K2146">
        <f t="shared" si="101"/>
        <v>9.1161138678506129E-3</v>
      </c>
    </row>
    <row r="2147" spans="1:11" x14ac:dyDescent="0.25">
      <c r="A2147" s="1">
        <v>2019</v>
      </c>
      <c r="B2147" s="1" t="s">
        <v>99</v>
      </c>
      <c r="C2147" t="s">
        <v>9</v>
      </c>
      <c r="D2147" s="1" t="s">
        <v>3</v>
      </c>
      <c r="E2147">
        <v>85</v>
      </c>
      <c r="F2147" s="1" t="s">
        <v>101</v>
      </c>
      <c r="G2147">
        <v>6</v>
      </c>
      <c r="H2147">
        <v>6</v>
      </c>
      <c r="I2147" s="2">
        <f t="shared" si="99"/>
        <v>1.178064</v>
      </c>
      <c r="J2147">
        <f t="shared" si="100"/>
        <v>4.3974020156774915E-2</v>
      </c>
      <c r="K2147">
        <f t="shared" si="101"/>
        <v>3.0766884303995819E-2</v>
      </c>
    </row>
    <row r="2148" spans="1:11" x14ac:dyDescent="0.25">
      <c r="A2148" s="1">
        <v>2019</v>
      </c>
      <c r="B2148" s="1" t="s">
        <v>99</v>
      </c>
      <c r="C2148" t="s">
        <v>9</v>
      </c>
      <c r="D2148" s="1" t="s">
        <v>3</v>
      </c>
      <c r="E2148">
        <v>85</v>
      </c>
      <c r="F2148" s="1" t="s">
        <v>101</v>
      </c>
      <c r="G2148">
        <v>8</v>
      </c>
      <c r="H2148">
        <v>2</v>
      </c>
      <c r="I2148" s="2">
        <f t="shared" si="99"/>
        <v>0.69811199999999995</v>
      </c>
      <c r="J2148">
        <f t="shared" si="100"/>
        <v>2.6058678611422172E-2</v>
      </c>
      <c r="K2148">
        <f t="shared" si="101"/>
        <v>1.8232227735701226E-2</v>
      </c>
    </row>
    <row r="2149" spans="1:11" x14ac:dyDescent="0.25">
      <c r="A2149" s="1">
        <v>2019</v>
      </c>
      <c r="B2149" s="1" t="s">
        <v>99</v>
      </c>
      <c r="C2149" t="s">
        <v>9</v>
      </c>
      <c r="D2149" s="1" t="s">
        <v>3</v>
      </c>
      <c r="E2149">
        <v>85</v>
      </c>
      <c r="F2149" s="1" t="s">
        <v>101</v>
      </c>
      <c r="G2149">
        <v>10</v>
      </c>
      <c r="H2149">
        <v>2</v>
      </c>
      <c r="I2149" s="2">
        <f t="shared" si="99"/>
        <v>1.0908</v>
      </c>
      <c r="J2149">
        <f t="shared" si="100"/>
        <v>4.0716685330347148E-2</v>
      </c>
      <c r="K2149">
        <f t="shared" si="101"/>
        <v>2.8487855837033168E-2</v>
      </c>
    </row>
    <row r="2150" spans="1:11" x14ac:dyDescent="0.25">
      <c r="A2150" s="1">
        <v>2019</v>
      </c>
      <c r="B2150" s="1" t="s">
        <v>99</v>
      </c>
      <c r="C2150" t="s">
        <v>9</v>
      </c>
      <c r="D2150" s="1" t="s">
        <v>3</v>
      </c>
      <c r="E2150">
        <v>85</v>
      </c>
      <c r="F2150" s="1" t="s">
        <v>101</v>
      </c>
      <c r="G2150">
        <v>12</v>
      </c>
      <c r="H2150">
        <v>2</v>
      </c>
      <c r="I2150" s="2">
        <f t="shared" si="99"/>
        <v>1.5707519999999999</v>
      </c>
      <c r="J2150">
        <f t="shared" si="100"/>
        <v>5.8632026875699884E-2</v>
      </c>
      <c r="K2150">
        <f t="shared" si="101"/>
        <v>4.1022512405327755E-2</v>
      </c>
    </row>
    <row r="2151" spans="1:11" x14ac:dyDescent="0.25">
      <c r="A2151" s="1">
        <v>2019</v>
      </c>
      <c r="B2151" s="1" t="s">
        <v>99</v>
      </c>
      <c r="C2151" t="s">
        <v>9</v>
      </c>
      <c r="D2151" s="1" t="s">
        <v>3</v>
      </c>
      <c r="E2151">
        <v>85</v>
      </c>
      <c r="F2151" s="1" t="s">
        <v>101</v>
      </c>
      <c r="G2151">
        <v>14</v>
      </c>
      <c r="H2151">
        <v>8</v>
      </c>
      <c r="I2151" s="2">
        <f t="shared" si="99"/>
        <v>8.5518719999999995</v>
      </c>
      <c r="J2151">
        <f t="shared" si="100"/>
        <v>0.31921881298992161</v>
      </c>
      <c r="K2151">
        <f t="shared" si="101"/>
        <v>0.22334478976234001</v>
      </c>
    </row>
    <row r="2152" spans="1:11" x14ac:dyDescent="0.25">
      <c r="A2152" s="1">
        <v>2019</v>
      </c>
      <c r="B2152" s="1" t="s">
        <v>99</v>
      </c>
      <c r="C2152" t="s">
        <v>9</v>
      </c>
      <c r="D2152" s="1" t="s">
        <v>3</v>
      </c>
      <c r="E2152">
        <v>85</v>
      </c>
      <c r="F2152" s="1" t="s">
        <v>101</v>
      </c>
      <c r="G2152">
        <v>16</v>
      </c>
      <c r="H2152">
        <v>5</v>
      </c>
      <c r="I2152" s="2">
        <f t="shared" si="99"/>
        <v>6.9811199999999998</v>
      </c>
      <c r="J2152">
        <f t="shared" si="100"/>
        <v>0.2605867861142217</v>
      </c>
      <c r="K2152">
        <f t="shared" si="101"/>
        <v>0.18232227735701226</v>
      </c>
    </row>
    <row r="2153" spans="1:11" x14ac:dyDescent="0.25">
      <c r="A2153" s="1">
        <v>2019</v>
      </c>
      <c r="B2153" s="1" t="s">
        <v>99</v>
      </c>
      <c r="C2153" t="s">
        <v>9</v>
      </c>
      <c r="D2153" s="1" t="s">
        <v>3</v>
      </c>
      <c r="E2153">
        <v>85</v>
      </c>
      <c r="F2153" s="1" t="s">
        <v>101</v>
      </c>
      <c r="G2153">
        <v>18</v>
      </c>
      <c r="H2153">
        <v>5</v>
      </c>
      <c r="I2153" s="2">
        <f t="shared" si="99"/>
        <v>8.8354799999999987</v>
      </c>
      <c r="J2153">
        <f t="shared" si="100"/>
        <v>0.32980515117581183</v>
      </c>
      <c r="K2153">
        <f t="shared" si="101"/>
        <v>0.23075163227996862</v>
      </c>
    </row>
    <row r="2154" spans="1:11" x14ac:dyDescent="0.25">
      <c r="A2154" s="1">
        <v>2019</v>
      </c>
      <c r="B2154" s="1" t="s">
        <v>99</v>
      </c>
      <c r="C2154" t="s">
        <v>9</v>
      </c>
      <c r="D2154" s="1" t="s">
        <v>3</v>
      </c>
      <c r="E2154">
        <v>88</v>
      </c>
      <c r="F2154" s="1" t="s">
        <v>101</v>
      </c>
      <c r="G2154">
        <v>10</v>
      </c>
      <c r="H2154">
        <v>4</v>
      </c>
      <c r="I2154" s="2">
        <f t="shared" si="99"/>
        <v>2.1816</v>
      </c>
      <c r="J2154">
        <f t="shared" si="100"/>
        <v>8.1433370660694296E-2</v>
      </c>
      <c r="K2154">
        <f t="shared" si="101"/>
        <v>5.6975711674066336E-2</v>
      </c>
    </row>
    <row r="2155" spans="1:11" x14ac:dyDescent="0.25">
      <c r="A2155" s="1">
        <v>2019</v>
      </c>
      <c r="B2155" s="1" t="s">
        <v>99</v>
      </c>
      <c r="C2155" t="s">
        <v>9</v>
      </c>
      <c r="D2155" s="1" t="s">
        <v>3</v>
      </c>
      <c r="E2155">
        <v>88</v>
      </c>
      <c r="F2155" s="1" t="s">
        <v>101</v>
      </c>
      <c r="G2155">
        <v>16</v>
      </c>
      <c r="H2155">
        <v>1</v>
      </c>
      <c r="I2155" s="2">
        <f t="shared" si="99"/>
        <v>1.3962239999999999</v>
      </c>
      <c r="J2155">
        <f t="shared" si="100"/>
        <v>5.2117357222844343E-2</v>
      </c>
      <c r="K2155">
        <f t="shared" si="101"/>
        <v>3.6464455471402452E-2</v>
      </c>
    </row>
    <row r="2156" spans="1:11" x14ac:dyDescent="0.25">
      <c r="A2156" s="1">
        <v>2019</v>
      </c>
      <c r="B2156" s="1" t="s">
        <v>99</v>
      </c>
      <c r="C2156" t="s">
        <v>9</v>
      </c>
      <c r="D2156" s="1" t="s">
        <v>3</v>
      </c>
      <c r="E2156">
        <v>91</v>
      </c>
      <c r="F2156" s="1" t="s">
        <v>101</v>
      </c>
      <c r="G2156">
        <v>6</v>
      </c>
      <c r="H2156">
        <v>3</v>
      </c>
      <c r="I2156" s="2">
        <f t="shared" si="99"/>
        <v>0.589032</v>
      </c>
      <c r="J2156">
        <f t="shared" si="100"/>
        <v>2.1987010078387458E-2</v>
      </c>
      <c r="K2156">
        <f t="shared" si="101"/>
        <v>1.538344215199791E-2</v>
      </c>
    </row>
    <row r="2157" spans="1:11" x14ac:dyDescent="0.25">
      <c r="A2157" s="1">
        <v>2019</v>
      </c>
      <c r="B2157" s="1" t="s">
        <v>99</v>
      </c>
      <c r="C2157" t="s">
        <v>9</v>
      </c>
      <c r="D2157" s="1" t="s">
        <v>3</v>
      </c>
      <c r="E2157">
        <v>91</v>
      </c>
      <c r="F2157" s="1" t="s">
        <v>101</v>
      </c>
      <c r="G2157">
        <v>8</v>
      </c>
      <c r="H2157">
        <v>1</v>
      </c>
      <c r="I2157" s="2">
        <f t="shared" si="99"/>
        <v>0.34905599999999998</v>
      </c>
      <c r="J2157">
        <f t="shared" si="100"/>
        <v>1.3029339305711086E-2</v>
      </c>
      <c r="K2157">
        <f t="shared" si="101"/>
        <v>9.1161138678506129E-3</v>
      </c>
    </row>
    <row r="2158" spans="1:11" x14ac:dyDescent="0.25">
      <c r="A2158" s="1">
        <v>2019</v>
      </c>
      <c r="B2158" s="1" t="s">
        <v>99</v>
      </c>
      <c r="C2158" t="s">
        <v>9</v>
      </c>
      <c r="D2158" s="1" t="s">
        <v>3</v>
      </c>
      <c r="E2158">
        <v>91</v>
      </c>
      <c r="F2158" s="1" t="s">
        <v>101</v>
      </c>
      <c r="G2158">
        <v>10</v>
      </c>
      <c r="H2158">
        <v>2</v>
      </c>
      <c r="I2158" s="2">
        <f t="shared" si="99"/>
        <v>1.0908</v>
      </c>
      <c r="J2158">
        <f t="shared" si="100"/>
        <v>4.0716685330347148E-2</v>
      </c>
      <c r="K2158">
        <f t="shared" si="101"/>
        <v>2.8487855837033168E-2</v>
      </c>
    </row>
    <row r="2159" spans="1:11" x14ac:dyDescent="0.25">
      <c r="A2159" s="1">
        <v>2019</v>
      </c>
      <c r="B2159" s="1" t="s">
        <v>99</v>
      </c>
      <c r="C2159" t="s">
        <v>9</v>
      </c>
      <c r="D2159" s="1" t="s">
        <v>3</v>
      </c>
      <c r="E2159">
        <v>91</v>
      </c>
      <c r="F2159" s="1" t="s">
        <v>101</v>
      </c>
      <c r="G2159">
        <v>12</v>
      </c>
      <c r="H2159">
        <v>6</v>
      </c>
      <c r="I2159" s="2">
        <f t="shared" si="99"/>
        <v>4.712256</v>
      </c>
      <c r="J2159">
        <f t="shared" si="100"/>
        <v>0.17589608062709966</v>
      </c>
      <c r="K2159">
        <f t="shared" si="101"/>
        <v>0.12306753721598328</v>
      </c>
    </row>
    <row r="2160" spans="1:11" x14ac:dyDescent="0.25">
      <c r="A2160" s="1">
        <v>2019</v>
      </c>
      <c r="B2160" s="1" t="s">
        <v>99</v>
      </c>
      <c r="C2160" t="s">
        <v>9</v>
      </c>
      <c r="D2160" s="1" t="s">
        <v>3</v>
      </c>
      <c r="E2160">
        <v>91</v>
      </c>
      <c r="F2160" s="1" t="s">
        <v>101</v>
      </c>
      <c r="G2160">
        <v>14</v>
      </c>
      <c r="H2160">
        <v>2</v>
      </c>
      <c r="I2160" s="2">
        <f t="shared" si="99"/>
        <v>2.1379679999999999</v>
      </c>
      <c r="J2160">
        <f t="shared" si="100"/>
        <v>7.9804703247480402E-2</v>
      </c>
      <c r="K2160">
        <f t="shared" si="101"/>
        <v>5.5836197440585003E-2</v>
      </c>
    </row>
    <row r="2161" spans="1:11" x14ac:dyDescent="0.25">
      <c r="A2161" s="1">
        <v>2019</v>
      </c>
      <c r="B2161" s="1" t="s">
        <v>99</v>
      </c>
      <c r="C2161" t="s">
        <v>9</v>
      </c>
      <c r="D2161" s="1" t="s">
        <v>3</v>
      </c>
      <c r="E2161">
        <v>91</v>
      </c>
      <c r="F2161" s="1" t="s">
        <v>101</v>
      </c>
      <c r="G2161">
        <v>16</v>
      </c>
      <c r="H2161">
        <v>2</v>
      </c>
      <c r="I2161" s="2">
        <f t="shared" si="99"/>
        <v>2.7924479999999998</v>
      </c>
      <c r="J2161">
        <f t="shared" si="100"/>
        <v>0.10423471444568869</v>
      </c>
      <c r="K2161">
        <f t="shared" si="101"/>
        <v>7.2928910942804903E-2</v>
      </c>
    </row>
    <row r="2162" spans="1:11" x14ac:dyDescent="0.25">
      <c r="A2162" s="1">
        <v>2019</v>
      </c>
      <c r="B2162" s="1" t="s">
        <v>99</v>
      </c>
      <c r="C2162" t="s">
        <v>9</v>
      </c>
      <c r="D2162" s="1" t="s">
        <v>3</v>
      </c>
      <c r="E2162">
        <v>91</v>
      </c>
      <c r="F2162" s="1" t="s">
        <v>101</v>
      </c>
      <c r="G2162">
        <v>18</v>
      </c>
      <c r="H2162">
        <v>2</v>
      </c>
      <c r="I2162" s="2">
        <f t="shared" si="99"/>
        <v>3.5341919999999996</v>
      </c>
      <c r="J2162">
        <f t="shared" si="100"/>
        <v>0.13192206047032473</v>
      </c>
      <c r="K2162">
        <f t="shared" si="101"/>
        <v>9.2300652911987441E-2</v>
      </c>
    </row>
    <row r="2163" spans="1:11" x14ac:dyDescent="0.25">
      <c r="A2163" s="1">
        <v>2019</v>
      </c>
      <c r="B2163" s="1" t="s">
        <v>99</v>
      </c>
      <c r="C2163" t="s">
        <v>9</v>
      </c>
      <c r="D2163" s="1" t="s">
        <v>3</v>
      </c>
      <c r="E2163">
        <v>91</v>
      </c>
      <c r="F2163" s="1" t="s">
        <v>101</v>
      </c>
      <c r="G2163">
        <v>20</v>
      </c>
      <c r="H2163">
        <v>2</v>
      </c>
      <c r="I2163" s="2">
        <f t="shared" si="99"/>
        <v>4.3632</v>
      </c>
      <c r="J2163">
        <f t="shared" si="100"/>
        <v>0.16286674132138859</v>
      </c>
      <c r="K2163">
        <f t="shared" si="101"/>
        <v>0.11395142334813267</v>
      </c>
    </row>
    <row r="2164" spans="1:11" x14ac:dyDescent="0.25">
      <c r="A2164" s="1">
        <v>2019</v>
      </c>
      <c r="B2164" s="1" t="s">
        <v>99</v>
      </c>
      <c r="C2164" t="s">
        <v>9</v>
      </c>
      <c r="D2164" s="1" t="s">
        <v>5</v>
      </c>
      <c r="E2164">
        <v>21</v>
      </c>
      <c r="F2164" s="1" t="s">
        <v>101</v>
      </c>
      <c r="G2164">
        <v>12</v>
      </c>
      <c r="H2164">
        <v>1</v>
      </c>
      <c r="I2164" s="2">
        <f t="shared" si="99"/>
        <v>0.78537599999999996</v>
      </c>
      <c r="J2164">
        <f t="shared" si="100"/>
        <v>2.9316013437849942E-2</v>
      </c>
      <c r="K2164">
        <f t="shared" si="101"/>
        <v>2.0511256202663877E-2</v>
      </c>
    </row>
    <row r="2165" spans="1:11" x14ac:dyDescent="0.25">
      <c r="A2165" s="1">
        <v>2019</v>
      </c>
      <c r="B2165" s="1" t="s">
        <v>99</v>
      </c>
      <c r="C2165" t="s">
        <v>9</v>
      </c>
      <c r="D2165" s="1" t="s">
        <v>5</v>
      </c>
      <c r="E2165">
        <v>27</v>
      </c>
      <c r="F2165" s="1" t="s">
        <v>101</v>
      </c>
      <c r="G2165">
        <v>6</v>
      </c>
      <c r="H2165">
        <v>1</v>
      </c>
      <c r="I2165" s="2">
        <f t="shared" si="99"/>
        <v>0.19634399999999999</v>
      </c>
      <c r="J2165">
        <f t="shared" si="100"/>
        <v>7.3290033594624856E-3</v>
      </c>
      <c r="K2165">
        <f t="shared" si="101"/>
        <v>5.1278140506659693E-3</v>
      </c>
    </row>
    <row r="2166" spans="1:11" x14ac:dyDescent="0.25">
      <c r="A2166" s="1">
        <v>2019</v>
      </c>
      <c r="B2166" s="1" t="s">
        <v>99</v>
      </c>
      <c r="C2166" t="s">
        <v>9</v>
      </c>
      <c r="D2166" s="1" t="s">
        <v>5</v>
      </c>
      <c r="E2166">
        <v>29</v>
      </c>
      <c r="F2166" s="1" t="s">
        <v>101</v>
      </c>
      <c r="G2166">
        <v>8</v>
      </c>
      <c r="H2166">
        <v>1</v>
      </c>
      <c r="I2166" s="2">
        <f t="shared" si="99"/>
        <v>0.34905599999999998</v>
      </c>
      <c r="J2166">
        <f t="shared" si="100"/>
        <v>1.3029339305711086E-2</v>
      </c>
      <c r="K2166">
        <f t="shared" si="101"/>
        <v>9.1161138678506129E-3</v>
      </c>
    </row>
    <row r="2167" spans="1:11" x14ac:dyDescent="0.25">
      <c r="A2167" s="1">
        <v>2019</v>
      </c>
      <c r="B2167" s="1" t="s">
        <v>99</v>
      </c>
      <c r="C2167" t="s">
        <v>9</v>
      </c>
      <c r="D2167" s="1" t="s">
        <v>5</v>
      </c>
      <c r="E2167">
        <v>29</v>
      </c>
      <c r="F2167" s="1" t="s">
        <v>101</v>
      </c>
      <c r="G2167">
        <v>12</v>
      </c>
      <c r="H2167">
        <v>2</v>
      </c>
      <c r="I2167" s="2">
        <f t="shared" si="99"/>
        <v>1.5707519999999999</v>
      </c>
      <c r="J2167">
        <f t="shared" si="100"/>
        <v>5.8632026875699884E-2</v>
      </c>
      <c r="K2167">
        <f t="shared" si="101"/>
        <v>4.1022512405327755E-2</v>
      </c>
    </row>
    <row r="2168" spans="1:11" x14ac:dyDescent="0.25">
      <c r="A2168" s="1">
        <v>2019</v>
      </c>
      <c r="B2168" s="1" t="s">
        <v>99</v>
      </c>
      <c r="C2168" t="s">
        <v>9</v>
      </c>
      <c r="D2168" s="1" t="s">
        <v>5</v>
      </c>
      <c r="E2168">
        <v>32</v>
      </c>
      <c r="F2168" s="1" t="s">
        <v>101</v>
      </c>
      <c r="G2168">
        <v>6</v>
      </c>
      <c r="H2168">
        <v>28</v>
      </c>
      <c r="I2168" s="2">
        <f t="shared" si="99"/>
        <v>5.4976319999999994</v>
      </c>
      <c r="J2168">
        <f t="shared" si="100"/>
        <v>0.20521209406494959</v>
      </c>
      <c r="K2168">
        <f t="shared" si="101"/>
        <v>0.14357879341864713</v>
      </c>
    </row>
    <row r="2169" spans="1:11" x14ac:dyDescent="0.25">
      <c r="A2169" s="1">
        <v>2019</v>
      </c>
      <c r="B2169" s="1" t="s">
        <v>99</v>
      </c>
      <c r="C2169" t="s">
        <v>9</v>
      </c>
      <c r="D2169" s="1" t="s">
        <v>5</v>
      </c>
      <c r="E2169">
        <v>32</v>
      </c>
      <c r="F2169" s="1" t="s">
        <v>101</v>
      </c>
      <c r="G2169">
        <v>8</v>
      </c>
      <c r="H2169">
        <v>6</v>
      </c>
      <c r="I2169" s="2">
        <f t="shared" si="99"/>
        <v>2.0943359999999998</v>
      </c>
      <c r="J2169">
        <f t="shared" si="100"/>
        <v>7.8176035834266508E-2</v>
      </c>
      <c r="K2169">
        <f t="shared" si="101"/>
        <v>5.469668320710367E-2</v>
      </c>
    </row>
    <row r="2170" spans="1:11" x14ac:dyDescent="0.25">
      <c r="A2170" s="1">
        <v>2019</v>
      </c>
      <c r="B2170" s="1" t="s">
        <v>99</v>
      </c>
      <c r="C2170" t="s">
        <v>9</v>
      </c>
      <c r="D2170" s="1" t="s">
        <v>5</v>
      </c>
      <c r="E2170">
        <v>32</v>
      </c>
      <c r="F2170" s="1" t="s">
        <v>101</v>
      </c>
      <c r="G2170">
        <v>10</v>
      </c>
      <c r="H2170">
        <v>2</v>
      </c>
      <c r="I2170" s="2">
        <f t="shared" si="99"/>
        <v>1.0908</v>
      </c>
      <c r="J2170">
        <f t="shared" si="100"/>
        <v>4.0716685330347148E-2</v>
      </c>
      <c r="K2170">
        <f t="shared" si="101"/>
        <v>2.8487855837033168E-2</v>
      </c>
    </row>
    <row r="2171" spans="1:11" x14ac:dyDescent="0.25">
      <c r="A2171" s="1">
        <v>2019</v>
      </c>
      <c r="B2171" s="1" t="s">
        <v>99</v>
      </c>
      <c r="C2171" t="s">
        <v>9</v>
      </c>
      <c r="D2171" s="1" t="s">
        <v>5</v>
      </c>
      <c r="E2171">
        <v>32</v>
      </c>
      <c r="F2171" s="1" t="s">
        <v>101</v>
      </c>
      <c r="G2171">
        <v>12</v>
      </c>
      <c r="H2171">
        <v>5</v>
      </c>
      <c r="I2171" s="2">
        <f t="shared" si="99"/>
        <v>3.9268799999999997</v>
      </c>
      <c r="J2171">
        <f t="shared" si="100"/>
        <v>0.14658006718924971</v>
      </c>
      <c r="K2171">
        <f t="shared" si="101"/>
        <v>0.10255628101331939</v>
      </c>
    </row>
    <row r="2172" spans="1:11" x14ac:dyDescent="0.25">
      <c r="A2172" s="1">
        <v>2019</v>
      </c>
      <c r="B2172" s="1" t="s">
        <v>99</v>
      </c>
      <c r="C2172" t="s">
        <v>9</v>
      </c>
      <c r="D2172" s="1" t="s">
        <v>5</v>
      </c>
      <c r="E2172">
        <v>32</v>
      </c>
      <c r="F2172" s="1" t="s">
        <v>101</v>
      </c>
      <c r="G2172">
        <v>14</v>
      </c>
      <c r="H2172">
        <v>4</v>
      </c>
      <c r="I2172" s="2">
        <f t="shared" si="99"/>
        <v>4.2759359999999997</v>
      </c>
      <c r="J2172">
        <f t="shared" si="100"/>
        <v>0.1596094064949608</v>
      </c>
      <c r="K2172">
        <f t="shared" si="101"/>
        <v>0.11167239488117001</v>
      </c>
    </row>
    <row r="2173" spans="1:11" x14ac:dyDescent="0.25">
      <c r="A2173" s="1">
        <v>2019</v>
      </c>
      <c r="B2173" s="1" t="s">
        <v>99</v>
      </c>
      <c r="C2173" t="s">
        <v>9</v>
      </c>
      <c r="D2173" s="1" t="s">
        <v>5</v>
      </c>
      <c r="E2173">
        <v>34</v>
      </c>
      <c r="F2173" s="1" t="s">
        <v>101</v>
      </c>
      <c r="G2173">
        <v>8</v>
      </c>
      <c r="H2173">
        <v>1</v>
      </c>
      <c r="I2173" s="2">
        <f t="shared" si="99"/>
        <v>0.34905599999999998</v>
      </c>
      <c r="J2173">
        <f t="shared" si="100"/>
        <v>1.3029339305711086E-2</v>
      </c>
      <c r="K2173">
        <f t="shared" si="101"/>
        <v>9.1161138678506129E-3</v>
      </c>
    </row>
    <row r="2174" spans="1:11" x14ac:dyDescent="0.25">
      <c r="A2174" s="1">
        <v>2019</v>
      </c>
      <c r="B2174" s="1" t="s">
        <v>99</v>
      </c>
      <c r="C2174" t="s">
        <v>9</v>
      </c>
      <c r="D2174" s="1" t="s">
        <v>5</v>
      </c>
      <c r="E2174">
        <v>34</v>
      </c>
      <c r="F2174" s="1" t="s">
        <v>101</v>
      </c>
      <c r="G2174">
        <v>12</v>
      </c>
      <c r="H2174">
        <v>2</v>
      </c>
      <c r="I2174" s="2">
        <f t="shared" si="99"/>
        <v>1.5707519999999999</v>
      </c>
      <c r="J2174">
        <f t="shared" si="100"/>
        <v>5.8632026875699884E-2</v>
      </c>
      <c r="K2174">
        <f t="shared" si="101"/>
        <v>4.1022512405327755E-2</v>
      </c>
    </row>
    <row r="2175" spans="1:11" x14ac:dyDescent="0.25">
      <c r="A2175" s="1">
        <v>2019</v>
      </c>
      <c r="B2175" s="1" t="s">
        <v>99</v>
      </c>
      <c r="C2175" t="s">
        <v>9</v>
      </c>
      <c r="D2175" s="1" t="s">
        <v>5</v>
      </c>
      <c r="E2175">
        <v>34</v>
      </c>
      <c r="F2175" s="1" t="s">
        <v>101</v>
      </c>
      <c r="G2175">
        <v>20</v>
      </c>
      <c r="H2175">
        <v>1</v>
      </c>
      <c r="I2175" s="2">
        <f t="shared" si="99"/>
        <v>2.1816</v>
      </c>
      <c r="J2175">
        <f t="shared" si="100"/>
        <v>8.1433370660694296E-2</v>
      </c>
      <c r="K2175">
        <f t="shared" si="101"/>
        <v>5.6975711674066336E-2</v>
      </c>
    </row>
    <row r="2176" spans="1:11" x14ac:dyDescent="0.25">
      <c r="A2176" s="1">
        <v>2019</v>
      </c>
      <c r="B2176" s="1" t="s">
        <v>99</v>
      </c>
      <c r="C2176" t="s">
        <v>9</v>
      </c>
      <c r="D2176" s="1" t="s">
        <v>5</v>
      </c>
      <c r="E2176">
        <v>38</v>
      </c>
      <c r="F2176" s="1" t="s">
        <v>101</v>
      </c>
      <c r="G2176">
        <v>8</v>
      </c>
      <c r="H2176">
        <v>1</v>
      </c>
      <c r="I2176" s="2">
        <f t="shared" si="99"/>
        <v>0.34905599999999998</v>
      </c>
      <c r="J2176">
        <f t="shared" si="100"/>
        <v>1.3029339305711086E-2</v>
      </c>
      <c r="K2176">
        <f t="shared" si="101"/>
        <v>9.1161138678506129E-3</v>
      </c>
    </row>
    <row r="2177" spans="1:11" x14ac:dyDescent="0.25">
      <c r="A2177" s="1">
        <v>2019</v>
      </c>
      <c r="B2177" s="1" t="s">
        <v>99</v>
      </c>
      <c r="C2177" t="s">
        <v>9</v>
      </c>
      <c r="D2177" s="1" t="s">
        <v>5</v>
      </c>
      <c r="E2177">
        <v>40</v>
      </c>
      <c r="F2177" s="1" t="s">
        <v>101</v>
      </c>
      <c r="G2177">
        <v>8</v>
      </c>
      <c r="H2177">
        <v>1</v>
      </c>
      <c r="I2177" s="2">
        <f t="shared" si="99"/>
        <v>0.34905599999999998</v>
      </c>
      <c r="J2177">
        <f t="shared" si="100"/>
        <v>1.3029339305711086E-2</v>
      </c>
      <c r="K2177">
        <f t="shared" si="101"/>
        <v>9.1161138678506129E-3</v>
      </c>
    </row>
    <row r="2178" spans="1:11" x14ac:dyDescent="0.25">
      <c r="A2178" s="1">
        <v>2019</v>
      </c>
      <c r="B2178" s="1" t="s">
        <v>99</v>
      </c>
      <c r="C2178" t="s">
        <v>9</v>
      </c>
      <c r="D2178" s="1" t="s">
        <v>5</v>
      </c>
      <c r="E2178">
        <v>53</v>
      </c>
      <c r="F2178" s="1" t="s">
        <v>101</v>
      </c>
      <c r="G2178">
        <v>6</v>
      </c>
      <c r="H2178">
        <v>3</v>
      </c>
      <c r="I2178" s="2">
        <f t="shared" si="99"/>
        <v>0.589032</v>
      </c>
      <c r="J2178">
        <f t="shared" si="100"/>
        <v>2.1987010078387458E-2</v>
      </c>
      <c r="K2178">
        <f t="shared" si="101"/>
        <v>1.538344215199791E-2</v>
      </c>
    </row>
    <row r="2179" spans="1:11" x14ac:dyDescent="0.25">
      <c r="A2179" s="1">
        <v>2019</v>
      </c>
      <c r="B2179" s="1" t="s">
        <v>99</v>
      </c>
      <c r="C2179" t="s">
        <v>9</v>
      </c>
      <c r="D2179" s="1" t="s">
        <v>5</v>
      </c>
      <c r="E2179">
        <v>53</v>
      </c>
      <c r="F2179" s="1" t="s">
        <v>101</v>
      </c>
      <c r="G2179">
        <v>8</v>
      </c>
      <c r="H2179">
        <v>2</v>
      </c>
      <c r="I2179" s="2">
        <f t="shared" ref="I2179:I2242" si="102">0.005454*G2179^2*H2179</f>
        <v>0.69811199999999995</v>
      </c>
      <c r="J2179">
        <f t="shared" ref="J2179:J2242" si="103">I2179/26.79</f>
        <v>2.6058678611422172E-2</v>
      </c>
      <c r="K2179">
        <f t="shared" ref="K2179:K2242" si="104">J2179*(26.79/38.29)</f>
        <v>1.8232227735701226E-2</v>
      </c>
    </row>
    <row r="2180" spans="1:11" x14ac:dyDescent="0.25">
      <c r="A2180" s="1">
        <v>2019</v>
      </c>
      <c r="B2180" s="1" t="s">
        <v>99</v>
      </c>
      <c r="C2180" t="s">
        <v>9</v>
      </c>
      <c r="D2180" s="1" t="s">
        <v>5</v>
      </c>
      <c r="E2180">
        <v>53</v>
      </c>
      <c r="F2180" s="1" t="s">
        <v>101</v>
      </c>
      <c r="G2180">
        <v>12</v>
      </c>
      <c r="H2180">
        <v>3</v>
      </c>
      <c r="I2180" s="2">
        <f t="shared" si="102"/>
        <v>2.356128</v>
      </c>
      <c r="J2180">
        <f t="shared" si="103"/>
        <v>8.794804031354983E-2</v>
      </c>
      <c r="K2180">
        <f t="shared" si="104"/>
        <v>6.1533768607991639E-2</v>
      </c>
    </row>
    <row r="2181" spans="1:11" x14ac:dyDescent="0.25">
      <c r="A2181" s="1">
        <v>2019</v>
      </c>
      <c r="B2181" s="1" t="s">
        <v>99</v>
      </c>
      <c r="C2181" t="s">
        <v>9</v>
      </c>
      <c r="D2181" s="1" t="s">
        <v>5</v>
      </c>
      <c r="E2181">
        <v>53</v>
      </c>
      <c r="F2181" s="1" t="s">
        <v>101</v>
      </c>
      <c r="G2181">
        <v>16</v>
      </c>
      <c r="H2181">
        <v>1</v>
      </c>
      <c r="I2181" s="2">
        <f t="shared" si="102"/>
        <v>1.3962239999999999</v>
      </c>
      <c r="J2181">
        <f t="shared" si="103"/>
        <v>5.2117357222844343E-2</v>
      </c>
      <c r="K2181">
        <f t="shared" si="104"/>
        <v>3.6464455471402452E-2</v>
      </c>
    </row>
    <row r="2182" spans="1:11" x14ac:dyDescent="0.25">
      <c r="A2182" s="1">
        <v>2019</v>
      </c>
      <c r="B2182" s="1" t="s">
        <v>99</v>
      </c>
      <c r="C2182" t="s">
        <v>9</v>
      </c>
      <c r="D2182" s="1" t="s">
        <v>5</v>
      </c>
      <c r="E2182">
        <v>54</v>
      </c>
      <c r="F2182" s="1" t="s">
        <v>101</v>
      </c>
      <c r="G2182">
        <v>6</v>
      </c>
      <c r="H2182">
        <v>3</v>
      </c>
      <c r="I2182" s="2">
        <f t="shared" si="102"/>
        <v>0.589032</v>
      </c>
      <c r="J2182">
        <f t="shared" si="103"/>
        <v>2.1987010078387458E-2</v>
      </c>
      <c r="K2182">
        <f t="shared" si="104"/>
        <v>1.538344215199791E-2</v>
      </c>
    </row>
    <row r="2183" spans="1:11" x14ac:dyDescent="0.25">
      <c r="A2183" s="1">
        <v>2019</v>
      </c>
      <c r="B2183" s="1" t="s">
        <v>99</v>
      </c>
      <c r="C2183" t="s">
        <v>9</v>
      </c>
      <c r="D2183" s="1" t="s">
        <v>5</v>
      </c>
      <c r="E2183">
        <v>54</v>
      </c>
      <c r="F2183" s="1" t="s">
        <v>101</v>
      </c>
      <c r="G2183">
        <v>8</v>
      </c>
      <c r="H2183">
        <v>1</v>
      </c>
      <c r="I2183" s="2">
        <f t="shared" si="102"/>
        <v>0.34905599999999998</v>
      </c>
      <c r="J2183">
        <f t="shared" si="103"/>
        <v>1.3029339305711086E-2</v>
      </c>
      <c r="K2183">
        <f t="shared" si="104"/>
        <v>9.1161138678506129E-3</v>
      </c>
    </row>
    <row r="2184" spans="1:11" x14ac:dyDescent="0.25">
      <c r="A2184" s="1">
        <v>2019</v>
      </c>
      <c r="B2184" s="1" t="s">
        <v>99</v>
      </c>
      <c r="C2184" t="s">
        <v>9</v>
      </c>
      <c r="D2184" s="1" t="s">
        <v>5</v>
      </c>
      <c r="E2184">
        <v>54</v>
      </c>
      <c r="F2184" s="1" t="s">
        <v>101</v>
      </c>
      <c r="G2184">
        <v>10</v>
      </c>
      <c r="H2184">
        <v>3</v>
      </c>
      <c r="I2184" s="2">
        <f t="shared" si="102"/>
        <v>1.6362000000000001</v>
      </c>
      <c r="J2184">
        <f t="shared" si="103"/>
        <v>6.1075027995520725E-2</v>
      </c>
      <c r="K2184">
        <f t="shared" si="104"/>
        <v>4.2731783755549757E-2</v>
      </c>
    </row>
    <row r="2185" spans="1:11" x14ac:dyDescent="0.25">
      <c r="A2185" s="1">
        <v>2019</v>
      </c>
      <c r="B2185" s="1" t="s">
        <v>99</v>
      </c>
      <c r="C2185" t="s">
        <v>9</v>
      </c>
      <c r="D2185" s="1" t="s">
        <v>5</v>
      </c>
      <c r="E2185">
        <v>54</v>
      </c>
      <c r="F2185" s="1" t="s">
        <v>101</v>
      </c>
      <c r="G2185">
        <v>12</v>
      </c>
      <c r="H2185">
        <v>2</v>
      </c>
      <c r="I2185" s="2">
        <f t="shared" si="102"/>
        <v>1.5707519999999999</v>
      </c>
      <c r="J2185">
        <f t="shared" si="103"/>
        <v>5.8632026875699884E-2</v>
      </c>
      <c r="K2185">
        <f t="shared" si="104"/>
        <v>4.1022512405327755E-2</v>
      </c>
    </row>
    <row r="2186" spans="1:11" x14ac:dyDescent="0.25">
      <c r="A2186" s="1">
        <v>2019</v>
      </c>
      <c r="B2186" s="1" t="s">
        <v>99</v>
      </c>
      <c r="C2186" t="s">
        <v>9</v>
      </c>
      <c r="D2186" s="1" t="s">
        <v>5</v>
      </c>
      <c r="E2186">
        <v>54</v>
      </c>
      <c r="F2186" s="1" t="s">
        <v>101</v>
      </c>
      <c r="G2186">
        <v>14</v>
      </c>
      <c r="H2186">
        <v>1</v>
      </c>
      <c r="I2186" s="2">
        <f t="shared" si="102"/>
        <v>1.0689839999999999</v>
      </c>
      <c r="J2186">
        <f t="shared" si="103"/>
        <v>3.9902351623740201E-2</v>
      </c>
      <c r="K2186">
        <f t="shared" si="104"/>
        <v>2.7918098720292502E-2</v>
      </c>
    </row>
    <row r="2187" spans="1:11" x14ac:dyDescent="0.25">
      <c r="A2187" s="1">
        <v>2019</v>
      </c>
      <c r="B2187" s="1" t="s">
        <v>99</v>
      </c>
      <c r="C2187" t="s">
        <v>9</v>
      </c>
      <c r="D2187" s="1" t="s">
        <v>5</v>
      </c>
      <c r="E2187">
        <v>54</v>
      </c>
      <c r="F2187" s="1" t="s">
        <v>101</v>
      </c>
      <c r="G2187">
        <v>16</v>
      </c>
      <c r="H2187">
        <v>2</v>
      </c>
      <c r="I2187" s="2">
        <f t="shared" si="102"/>
        <v>2.7924479999999998</v>
      </c>
      <c r="J2187">
        <f t="shared" si="103"/>
        <v>0.10423471444568869</v>
      </c>
      <c r="K2187">
        <f t="shared" si="104"/>
        <v>7.2928910942804903E-2</v>
      </c>
    </row>
    <row r="2188" spans="1:11" x14ac:dyDescent="0.25">
      <c r="A2188" s="1">
        <v>2019</v>
      </c>
      <c r="B2188" s="1" t="s">
        <v>99</v>
      </c>
      <c r="C2188" t="s">
        <v>9</v>
      </c>
      <c r="D2188" s="1" t="s">
        <v>5</v>
      </c>
      <c r="E2188">
        <v>54</v>
      </c>
      <c r="F2188" s="1" t="s">
        <v>101</v>
      </c>
      <c r="G2188">
        <v>18</v>
      </c>
      <c r="H2188">
        <v>1</v>
      </c>
      <c r="I2188" s="2">
        <f t="shared" si="102"/>
        <v>1.7670959999999998</v>
      </c>
      <c r="J2188">
        <f t="shared" si="103"/>
        <v>6.5961030235162366E-2</v>
      </c>
      <c r="K2188">
        <f t="shared" si="104"/>
        <v>4.615032645599372E-2</v>
      </c>
    </row>
    <row r="2189" spans="1:11" x14ac:dyDescent="0.25">
      <c r="A2189" s="1">
        <v>2019</v>
      </c>
      <c r="B2189" s="1" t="s">
        <v>99</v>
      </c>
      <c r="C2189" t="s">
        <v>9</v>
      </c>
      <c r="D2189" s="1" t="s">
        <v>5</v>
      </c>
      <c r="E2189">
        <v>56</v>
      </c>
      <c r="F2189" s="1" t="s">
        <v>101</v>
      </c>
      <c r="G2189">
        <v>6</v>
      </c>
      <c r="H2189">
        <v>3</v>
      </c>
      <c r="I2189" s="2">
        <f t="shared" si="102"/>
        <v>0.589032</v>
      </c>
      <c r="J2189">
        <f t="shared" si="103"/>
        <v>2.1987010078387458E-2</v>
      </c>
      <c r="K2189">
        <f t="shared" si="104"/>
        <v>1.538344215199791E-2</v>
      </c>
    </row>
    <row r="2190" spans="1:11" x14ac:dyDescent="0.25">
      <c r="A2190" s="1">
        <v>2019</v>
      </c>
      <c r="B2190" s="1" t="s">
        <v>99</v>
      </c>
      <c r="C2190" t="s">
        <v>9</v>
      </c>
      <c r="D2190" s="1" t="s">
        <v>5</v>
      </c>
      <c r="E2190">
        <v>56</v>
      </c>
      <c r="F2190" s="1" t="s">
        <v>101</v>
      </c>
      <c r="G2190">
        <v>8</v>
      </c>
      <c r="H2190">
        <v>2</v>
      </c>
      <c r="I2190" s="2">
        <f t="shared" si="102"/>
        <v>0.69811199999999995</v>
      </c>
      <c r="J2190">
        <f t="shared" si="103"/>
        <v>2.6058678611422172E-2</v>
      </c>
      <c r="K2190">
        <f t="shared" si="104"/>
        <v>1.8232227735701226E-2</v>
      </c>
    </row>
    <row r="2191" spans="1:11" x14ac:dyDescent="0.25">
      <c r="A2191" s="1">
        <v>2019</v>
      </c>
      <c r="B2191" s="1" t="s">
        <v>99</v>
      </c>
      <c r="C2191" t="s">
        <v>9</v>
      </c>
      <c r="D2191" s="1" t="s">
        <v>5</v>
      </c>
      <c r="E2191">
        <v>56</v>
      </c>
      <c r="F2191" s="1" t="s">
        <v>101</v>
      </c>
      <c r="G2191">
        <v>14</v>
      </c>
      <c r="H2191">
        <v>1</v>
      </c>
      <c r="I2191" s="2">
        <f t="shared" si="102"/>
        <v>1.0689839999999999</v>
      </c>
      <c r="J2191">
        <f t="shared" si="103"/>
        <v>3.9902351623740201E-2</v>
      </c>
      <c r="K2191">
        <f t="shared" si="104"/>
        <v>2.7918098720292502E-2</v>
      </c>
    </row>
    <row r="2192" spans="1:11" x14ac:dyDescent="0.25">
      <c r="A2192" s="1">
        <v>2019</v>
      </c>
      <c r="B2192" s="1" t="s">
        <v>99</v>
      </c>
      <c r="C2192" t="s">
        <v>9</v>
      </c>
      <c r="D2192" s="1" t="s">
        <v>5</v>
      </c>
      <c r="E2192">
        <v>56</v>
      </c>
      <c r="F2192" s="1" t="s">
        <v>101</v>
      </c>
      <c r="G2192">
        <v>16</v>
      </c>
      <c r="H2192">
        <v>1</v>
      </c>
      <c r="I2192" s="2">
        <f t="shared" si="102"/>
        <v>1.3962239999999999</v>
      </c>
      <c r="J2192">
        <f t="shared" si="103"/>
        <v>5.2117357222844343E-2</v>
      </c>
      <c r="K2192">
        <f t="shared" si="104"/>
        <v>3.6464455471402452E-2</v>
      </c>
    </row>
    <row r="2193" spans="1:11" x14ac:dyDescent="0.25">
      <c r="A2193" s="1">
        <v>2019</v>
      </c>
      <c r="B2193" s="1" t="s">
        <v>99</v>
      </c>
      <c r="C2193" t="s">
        <v>9</v>
      </c>
      <c r="D2193" s="1" t="s">
        <v>5</v>
      </c>
      <c r="E2193">
        <v>58</v>
      </c>
      <c r="F2193" s="1" t="s">
        <v>101</v>
      </c>
      <c r="G2193">
        <v>6</v>
      </c>
      <c r="H2193">
        <v>2</v>
      </c>
      <c r="I2193" s="2">
        <f t="shared" si="102"/>
        <v>0.39268799999999998</v>
      </c>
      <c r="J2193">
        <f t="shared" si="103"/>
        <v>1.4658006718924971E-2</v>
      </c>
      <c r="K2193">
        <f t="shared" si="104"/>
        <v>1.0255628101331939E-2</v>
      </c>
    </row>
    <row r="2194" spans="1:11" x14ac:dyDescent="0.25">
      <c r="A2194" s="1">
        <v>2019</v>
      </c>
      <c r="B2194" s="1" t="s">
        <v>99</v>
      </c>
      <c r="C2194" t="s">
        <v>9</v>
      </c>
      <c r="D2194" s="1" t="s">
        <v>5</v>
      </c>
      <c r="E2194">
        <v>58</v>
      </c>
      <c r="F2194" s="1" t="s">
        <v>101</v>
      </c>
      <c r="G2194">
        <v>8</v>
      </c>
      <c r="H2194">
        <v>1</v>
      </c>
      <c r="I2194" s="2">
        <f t="shared" si="102"/>
        <v>0.34905599999999998</v>
      </c>
      <c r="J2194">
        <f t="shared" si="103"/>
        <v>1.3029339305711086E-2</v>
      </c>
      <c r="K2194">
        <f t="shared" si="104"/>
        <v>9.1161138678506129E-3</v>
      </c>
    </row>
    <row r="2195" spans="1:11" x14ac:dyDescent="0.25">
      <c r="A2195" s="1">
        <v>2019</v>
      </c>
      <c r="B2195" s="1" t="s">
        <v>99</v>
      </c>
      <c r="C2195" t="s">
        <v>9</v>
      </c>
      <c r="D2195" s="1" t="s">
        <v>5</v>
      </c>
      <c r="E2195">
        <v>58</v>
      </c>
      <c r="F2195" s="1" t="s">
        <v>101</v>
      </c>
      <c r="G2195">
        <v>10</v>
      </c>
      <c r="H2195">
        <v>1</v>
      </c>
      <c r="I2195" s="2">
        <f t="shared" si="102"/>
        <v>0.5454</v>
      </c>
      <c r="J2195">
        <f t="shared" si="103"/>
        <v>2.0358342665173574E-2</v>
      </c>
      <c r="K2195">
        <f t="shared" si="104"/>
        <v>1.4243927918516584E-2</v>
      </c>
    </row>
    <row r="2196" spans="1:11" x14ac:dyDescent="0.25">
      <c r="A2196" s="1">
        <v>2019</v>
      </c>
      <c r="B2196" s="1" t="s">
        <v>99</v>
      </c>
      <c r="C2196" t="s">
        <v>9</v>
      </c>
      <c r="D2196" s="1" t="s">
        <v>5</v>
      </c>
      <c r="E2196">
        <v>66</v>
      </c>
      <c r="F2196" s="1" t="s">
        <v>101</v>
      </c>
      <c r="G2196">
        <v>6</v>
      </c>
      <c r="H2196">
        <v>9</v>
      </c>
      <c r="I2196" s="2">
        <f t="shared" si="102"/>
        <v>1.767096</v>
      </c>
      <c r="J2196">
        <f t="shared" si="103"/>
        <v>6.596103023516238E-2</v>
      </c>
      <c r="K2196">
        <f t="shared" si="104"/>
        <v>4.6150326455993734E-2</v>
      </c>
    </row>
    <row r="2197" spans="1:11" x14ac:dyDescent="0.25">
      <c r="A2197" s="1">
        <v>2019</v>
      </c>
      <c r="B2197" s="1" t="s">
        <v>99</v>
      </c>
      <c r="C2197" t="s">
        <v>9</v>
      </c>
      <c r="D2197" s="1" t="s">
        <v>5</v>
      </c>
      <c r="E2197">
        <v>66</v>
      </c>
      <c r="F2197" s="1" t="s">
        <v>101</v>
      </c>
      <c r="G2197">
        <v>8</v>
      </c>
      <c r="H2197">
        <v>2</v>
      </c>
      <c r="I2197" s="2">
        <f t="shared" si="102"/>
        <v>0.69811199999999995</v>
      </c>
      <c r="J2197">
        <f t="shared" si="103"/>
        <v>2.6058678611422172E-2</v>
      </c>
      <c r="K2197">
        <f t="shared" si="104"/>
        <v>1.8232227735701226E-2</v>
      </c>
    </row>
    <row r="2198" spans="1:11" x14ac:dyDescent="0.25">
      <c r="A2198" s="1">
        <v>2019</v>
      </c>
      <c r="B2198" s="1" t="s">
        <v>99</v>
      </c>
      <c r="C2198" t="s">
        <v>9</v>
      </c>
      <c r="D2198" s="1" t="s">
        <v>5</v>
      </c>
      <c r="E2198">
        <v>71</v>
      </c>
      <c r="F2198" s="1" t="s">
        <v>101</v>
      </c>
      <c r="G2198">
        <v>12</v>
      </c>
      <c r="H2198">
        <v>1</v>
      </c>
      <c r="I2198" s="2">
        <f t="shared" si="102"/>
        <v>0.78537599999999996</v>
      </c>
      <c r="J2198">
        <f t="shared" si="103"/>
        <v>2.9316013437849942E-2</v>
      </c>
      <c r="K2198">
        <f t="shared" si="104"/>
        <v>2.0511256202663877E-2</v>
      </c>
    </row>
    <row r="2199" spans="1:11" x14ac:dyDescent="0.25">
      <c r="A2199" s="1">
        <v>2019</v>
      </c>
      <c r="B2199" s="1" t="s">
        <v>99</v>
      </c>
      <c r="C2199" t="s">
        <v>9</v>
      </c>
      <c r="D2199" s="1" t="s">
        <v>5</v>
      </c>
      <c r="E2199">
        <v>76</v>
      </c>
      <c r="F2199" s="1" t="s">
        <v>101</v>
      </c>
      <c r="G2199">
        <v>6</v>
      </c>
      <c r="H2199">
        <v>14</v>
      </c>
      <c r="I2199" s="2">
        <f t="shared" si="102"/>
        <v>2.7488159999999997</v>
      </c>
      <c r="J2199">
        <f t="shared" si="103"/>
        <v>0.10260604703247479</v>
      </c>
      <c r="K2199">
        <f t="shared" si="104"/>
        <v>7.1789396709323564E-2</v>
      </c>
    </row>
    <row r="2200" spans="1:11" x14ac:dyDescent="0.25">
      <c r="A2200" s="1">
        <v>2019</v>
      </c>
      <c r="B2200" s="1" t="s">
        <v>99</v>
      </c>
      <c r="C2200" t="s">
        <v>9</v>
      </c>
      <c r="D2200" s="1" t="s">
        <v>5</v>
      </c>
      <c r="E2200">
        <v>76</v>
      </c>
      <c r="F2200" s="1" t="s">
        <v>101</v>
      </c>
      <c r="G2200">
        <v>8</v>
      </c>
      <c r="H2200">
        <v>8</v>
      </c>
      <c r="I2200" s="2">
        <f t="shared" si="102"/>
        <v>2.7924479999999998</v>
      </c>
      <c r="J2200">
        <f t="shared" si="103"/>
        <v>0.10423471444568869</v>
      </c>
      <c r="K2200">
        <f t="shared" si="104"/>
        <v>7.2928910942804903E-2</v>
      </c>
    </row>
    <row r="2201" spans="1:11" x14ac:dyDescent="0.25">
      <c r="A2201" s="1">
        <v>2019</v>
      </c>
      <c r="B2201" s="1" t="s">
        <v>99</v>
      </c>
      <c r="C2201" t="s">
        <v>9</v>
      </c>
      <c r="D2201" s="1" t="s">
        <v>5</v>
      </c>
      <c r="E2201">
        <v>76</v>
      </c>
      <c r="F2201" s="1" t="s">
        <v>101</v>
      </c>
      <c r="G2201">
        <v>10</v>
      </c>
      <c r="H2201">
        <v>5</v>
      </c>
      <c r="I2201" s="2">
        <f t="shared" si="102"/>
        <v>2.7269999999999999</v>
      </c>
      <c r="J2201">
        <f t="shared" si="103"/>
        <v>0.10179171332586787</v>
      </c>
      <c r="K2201">
        <f t="shared" si="104"/>
        <v>7.1219639592582915E-2</v>
      </c>
    </row>
    <row r="2202" spans="1:11" x14ac:dyDescent="0.25">
      <c r="A2202" s="1">
        <v>2019</v>
      </c>
      <c r="B2202" s="1" t="s">
        <v>99</v>
      </c>
      <c r="C2202" t="s">
        <v>9</v>
      </c>
      <c r="D2202" s="1" t="s">
        <v>5</v>
      </c>
      <c r="E2202">
        <v>76</v>
      </c>
      <c r="F2202" s="1" t="s">
        <v>101</v>
      </c>
      <c r="G2202">
        <v>12</v>
      </c>
      <c r="H2202">
        <v>3</v>
      </c>
      <c r="I2202" s="2">
        <f t="shared" si="102"/>
        <v>2.356128</v>
      </c>
      <c r="J2202">
        <f t="shared" si="103"/>
        <v>8.794804031354983E-2</v>
      </c>
      <c r="K2202">
        <f t="shared" si="104"/>
        <v>6.1533768607991639E-2</v>
      </c>
    </row>
    <row r="2203" spans="1:11" x14ac:dyDescent="0.25">
      <c r="A2203" s="1">
        <v>2019</v>
      </c>
      <c r="B2203" s="1" t="s">
        <v>99</v>
      </c>
      <c r="C2203" t="s">
        <v>9</v>
      </c>
      <c r="D2203" s="1" t="s">
        <v>5</v>
      </c>
      <c r="E2203">
        <v>79</v>
      </c>
      <c r="F2203" s="1" t="s">
        <v>101</v>
      </c>
      <c r="G2203">
        <v>6</v>
      </c>
      <c r="H2203">
        <v>35</v>
      </c>
      <c r="I2203" s="2">
        <f t="shared" si="102"/>
        <v>6.8720399999999993</v>
      </c>
      <c r="J2203">
        <f t="shared" si="103"/>
        <v>0.256515117581187</v>
      </c>
      <c r="K2203">
        <f t="shared" si="104"/>
        <v>0.17947349177330893</v>
      </c>
    </row>
    <row r="2204" spans="1:11" x14ac:dyDescent="0.25">
      <c r="A2204" s="1">
        <v>2019</v>
      </c>
      <c r="B2204" s="1" t="s">
        <v>99</v>
      </c>
      <c r="C2204" t="s">
        <v>9</v>
      </c>
      <c r="D2204" s="1" t="s">
        <v>5</v>
      </c>
      <c r="E2204">
        <v>79</v>
      </c>
      <c r="F2204" s="1" t="s">
        <v>101</v>
      </c>
      <c r="G2204">
        <v>8</v>
      </c>
      <c r="H2204">
        <v>20</v>
      </c>
      <c r="I2204" s="2">
        <f t="shared" si="102"/>
        <v>6.9811199999999998</v>
      </c>
      <c r="J2204">
        <f t="shared" si="103"/>
        <v>0.2605867861142217</v>
      </c>
      <c r="K2204">
        <f t="shared" si="104"/>
        <v>0.18232227735701226</v>
      </c>
    </row>
    <row r="2205" spans="1:11" x14ac:dyDescent="0.25">
      <c r="A2205" s="1">
        <v>2019</v>
      </c>
      <c r="B2205" s="1" t="s">
        <v>99</v>
      </c>
      <c r="C2205" t="s">
        <v>9</v>
      </c>
      <c r="D2205" s="1" t="s">
        <v>5</v>
      </c>
      <c r="E2205">
        <v>79</v>
      </c>
      <c r="F2205" s="1" t="s">
        <v>101</v>
      </c>
      <c r="G2205">
        <v>10</v>
      </c>
      <c r="H2205">
        <v>15</v>
      </c>
      <c r="I2205" s="2">
        <f t="shared" si="102"/>
        <v>8.1809999999999992</v>
      </c>
      <c r="J2205">
        <f t="shared" si="103"/>
        <v>0.30537513997760357</v>
      </c>
      <c r="K2205">
        <f t="shared" si="104"/>
        <v>0.21365891877774873</v>
      </c>
    </row>
    <row r="2206" spans="1:11" x14ac:dyDescent="0.25">
      <c r="A2206" s="1">
        <v>2019</v>
      </c>
      <c r="B2206" s="1" t="s">
        <v>99</v>
      </c>
      <c r="C2206" t="s">
        <v>9</v>
      </c>
      <c r="D2206" s="1" t="s">
        <v>5</v>
      </c>
      <c r="E2206">
        <v>79</v>
      </c>
      <c r="F2206" s="1" t="s">
        <v>101</v>
      </c>
      <c r="G2206">
        <v>12</v>
      </c>
      <c r="H2206">
        <v>7</v>
      </c>
      <c r="I2206" s="2">
        <f t="shared" si="102"/>
        <v>5.4976319999999994</v>
      </c>
      <c r="J2206">
        <f t="shared" si="103"/>
        <v>0.20521209406494959</v>
      </c>
      <c r="K2206">
        <f t="shared" si="104"/>
        <v>0.14357879341864713</v>
      </c>
    </row>
    <row r="2207" spans="1:11" x14ac:dyDescent="0.25">
      <c r="A2207" s="1">
        <v>2019</v>
      </c>
      <c r="B2207" s="1" t="s">
        <v>99</v>
      </c>
      <c r="C2207" t="s">
        <v>9</v>
      </c>
      <c r="D2207" s="1" t="s">
        <v>5</v>
      </c>
      <c r="E2207">
        <v>79</v>
      </c>
      <c r="F2207" s="1" t="s">
        <v>101</v>
      </c>
      <c r="G2207">
        <v>14</v>
      </c>
      <c r="H2207">
        <v>9</v>
      </c>
      <c r="I2207" s="2">
        <f t="shared" si="102"/>
        <v>9.6208559999999999</v>
      </c>
      <c r="J2207">
        <f t="shared" si="103"/>
        <v>0.35912116461366184</v>
      </c>
      <c r="K2207">
        <f t="shared" si="104"/>
        <v>0.25126288848263256</v>
      </c>
    </row>
    <row r="2208" spans="1:11" x14ac:dyDescent="0.25">
      <c r="A2208" s="1">
        <v>2019</v>
      </c>
      <c r="B2208" s="1" t="s">
        <v>99</v>
      </c>
      <c r="C2208" t="s">
        <v>9</v>
      </c>
      <c r="D2208" s="1" t="s">
        <v>5</v>
      </c>
      <c r="E2208">
        <v>79</v>
      </c>
      <c r="F2208" s="1" t="s">
        <v>101</v>
      </c>
      <c r="G2208">
        <v>16</v>
      </c>
      <c r="H2208">
        <v>7</v>
      </c>
      <c r="I2208" s="2">
        <f t="shared" si="102"/>
        <v>9.7735679999999991</v>
      </c>
      <c r="J2208">
        <f t="shared" si="103"/>
        <v>0.36482150055991042</v>
      </c>
      <c r="K2208">
        <f t="shared" si="104"/>
        <v>0.25525118829981719</v>
      </c>
    </row>
    <row r="2209" spans="1:11" x14ac:dyDescent="0.25">
      <c r="A2209" s="1">
        <v>2019</v>
      </c>
      <c r="B2209" s="1" t="s">
        <v>99</v>
      </c>
      <c r="C2209" t="s">
        <v>9</v>
      </c>
      <c r="D2209" s="1" t="s">
        <v>5</v>
      </c>
      <c r="E2209">
        <v>79</v>
      </c>
      <c r="F2209" s="1" t="s">
        <v>101</v>
      </c>
      <c r="G2209">
        <v>18</v>
      </c>
      <c r="H2209">
        <v>1</v>
      </c>
      <c r="I2209" s="2">
        <f t="shared" si="102"/>
        <v>1.7670959999999998</v>
      </c>
      <c r="J2209">
        <f t="shared" si="103"/>
        <v>6.5961030235162366E-2</v>
      </c>
      <c r="K2209">
        <f t="shared" si="104"/>
        <v>4.615032645599372E-2</v>
      </c>
    </row>
    <row r="2210" spans="1:11" x14ac:dyDescent="0.25">
      <c r="A2210" s="1">
        <v>2019</v>
      </c>
      <c r="B2210" s="1" t="s">
        <v>99</v>
      </c>
      <c r="C2210" t="s">
        <v>9</v>
      </c>
      <c r="D2210" s="1" t="s">
        <v>5</v>
      </c>
      <c r="E2210">
        <v>79</v>
      </c>
      <c r="F2210" s="1" t="s">
        <v>101</v>
      </c>
      <c r="G2210">
        <v>20</v>
      </c>
      <c r="H2210">
        <v>2</v>
      </c>
      <c r="I2210" s="2">
        <f t="shared" si="102"/>
        <v>4.3632</v>
      </c>
      <c r="J2210">
        <f t="shared" si="103"/>
        <v>0.16286674132138859</v>
      </c>
      <c r="K2210">
        <f t="shared" si="104"/>
        <v>0.11395142334813267</v>
      </c>
    </row>
    <row r="2211" spans="1:11" x14ac:dyDescent="0.25">
      <c r="A2211" s="1">
        <v>2019</v>
      </c>
      <c r="B2211" s="1" t="s">
        <v>99</v>
      </c>
      <c r="C2211" t="s">
        <v>9</v>
      </c>
      <c r="D2211" s="1" t="s">
        <v>5</v>
      </c>
      <c r="E2211">
        <v>84</v>
      </c>
      <c r="F2211" s="1" t="s">
        <v>101</v>
      </c>
      <c r="G2211">
        <v>6</v>
      </c>
      <c r="H2211">
        <v>1</v>
      </c>
      <c r="I2211" s="2">
        <f t="shared" si="102"/>
        <v>0.19634399999999999</v>
      </c>
      <c r="J2211">
        <f t="shared" si="103"/>
        <v>7.3290033594624856E-3</v>
      </c>
      <c r="K2211">
        <f t="shared" si="104"/>
        <v>5.1278140506659693E-3</v>
      </c>
    </row>
    <row r="2212" spans="1:11" x14ac:dyDescent="0.25">
      <c r="A2212" s="1">
        <v>2019</v>
      </c>
      <c r="B2212" s="1" t="s">
        <v>99</v>
      </c>
      <c r="C2212" t="s">
        <v>9</v>
      </c>
      <c r="D2212" s="1" t="s">
        <v>5</v>
      </c>
      <c r="E2212">
        <v>85</v>
      </c>
      <c r="F2212" s="1" t="s">
        <v>101</v>
      </c>
      <c r="G2212">
        <v>8</v>
      </c>
      <c r="H2212">
        <v>1</v>
      </c>
      <c r="I2212" s="2">
        <f t="shared" si="102"/>
        <v>0.34905599999999998</v>
      </c>
      <c r="J2212">
        <f t="shared" si="103"/>
        <v>1.3029339305711086E-2</v>
      </c>
      <c r="K2212">
        <f t="shared" si="104"/>
        <v>9.1161138678506129E-3</v>
      </c>
    </row>
    <row r="2213" spans="1:11" x14ac:dyDescent="0.25">
      <c r="A2213" s="1">
        <v>2019</v>
      </c>
      <c r="B2213" s="1" t="s">
        <v>99</v>
      </c>
      <c r="C2213" t="s">
        <v>9</v>
      </c>
      <c r="D2213" s="1" t="s">
        <v>5</v>
      </c>
      <c r="E2213">
        <v>88</v>
      </c>
      <c r="F2213" s="1" t="s">
        <v>101</v>
      </c>
      <c r="G2213">
        <v>14</v>
      </c>
      <c r="H2213">
        <v>1</v>
      </c>
      <c r="I2213" s="2">
        <f t="shared" si="102"/>
        <v>1.0689839999999999</v>
      </c>
      <c r="J2213">
        <f t="shared" si="103"/>
        <v>3.9902351623740201E-2</v>
      </c>
      <c r="K2213">
        <f t="shared" si="104"/>
        <v>2.7918098720292502E-2</v>
      </c>
    </row>
    <row r="2214" spans="1:11" x14ac:dyDescent="0.25">
      <c r="A2214" s="1">
        <v>2020</v>
      </c>
      <c r="B2214" s="1" t="s">
        <v>99</v>
      </c>
      <c r="C2214" t="s">
        <v>8</v>
      </c>
      <c r="D2214" s="1" t="s">
        <v>3</v>
      </c>
      <c r="E2214">
        <v>21</v>
      </c>
      <c r="F2214" s="1" t="s">
        <v>101</v>
      </c>
      <c r="G2214">
        <v>18</v>
      </c>
      <c r="H2214">
        <v>1</v>
      </c>
      <c r="I2214" s="2">
        <f t="shared" si="102"/>
        <v>1.7670959999999998</v>
      </c>
      <c r="J2214">
        <f t="shared" si="103"/>
        <v>6.5961030235162366E-2</v>
      </c>
      <c r="K2214">
        <f t="shared" si="104"/>
        <v>4.615032645599372E-2</v>
      </c>
    </row>
    <row r="2215" spans="1:11" x14ac:dyDescent="0.25">
      <c r="A2215" s="1">
        <v>2020</v>
      </c>
      <c r="B2215" s="1" t="s">
        <v>99</v>
      </c>
      <c r="C2215" t="s">
        <v>8</v>
      </c>
      <c r="D2215" s="1" t="s">
        <v>3</v>
      </c>
      <c r="E2215">
        <v>29</v>
      </c>
      <c r="F2215" s="1" t="s">
        <v>101</v>
      </c>
      <c r="G2215">
        <v>6</v>
      </c>
      <c r="H2215">
        <v>1</v>
      </c>
      <c r="I2215" s="2">
        <f t="shared" si="102"/>
        <v>0.19634399999999999</v>
      </c>
      <c r="J2215">
        <f t="shared" si="103"/>
        <v>7.3290033594624856E-3</v>
      </c>
      <c r="K2215">
        <f t="shared" si="104"/>
        <v>5.1278140506659693E-3</v>
      </c>
    </row>
    <row r="2216" spans="1:11" x14ac:dyDescent="0.25">
      <c r="A2216" s="1">
        <v>2020</v>
      </c>
      <c r="B2216" s="1" t="s">
        <v>99</v>
      </c>
      <c r="C2216" t="s">
        <v>8</v>
      </c>
      <c r="D2216" s="1" t="s">
        <v>3</v>
      </c>
      <c r="E2216">
        <v>29</v>
      </c>
      <c r="F2216" s="1" t="s">
        <v>101</v>
      </c>
      <c r="G2216">
        <v>18</v>
      </c>
      <c r="H2216">
        <v>10</v>
      </c>
      <c r="I2216" s="2">
        <f t="shared" si="102"/>
        <v>17.670959999999997</v>
      </c>
      <c r="J2216">
        <f t="shared" si="103"/>
        <v>0.65961030235162366</v>
      </c>
      <c r="K2216">
        <f t="shared" si="104"/>
        <v>0.46150326455993723</v>
      </c>
    </row>
    <row r="2217" spans="1:11" x14ac:dyDescent="0.25">
      <c r="A2217" s="1">
        <v>2020</v>
      </c>
      <c r="B2217" s="1" t="s">
        <v>99</v>
      </c>
      <c r="C2217" t="s">
        <v>8</v>
      </c>
      <c r="D2217" s="1" t="s">
        <v>3</v>
      </c>
      <c r="E2217">
        <v>29</v>
      </c>
      <c r="F2217" s="1" t="s">
        <v>101</v>
      </c>
      <c r="G2217">
        <v>20</v>
      </c>
      <c r="H2217">
        <v>1</v>
      </c>
      <c r="I2217" s="2">
        <f t="shared" si="102"/>
        <v>2.1816</v>
      </c>
      <c r="J2217">
        <f t="shared" si="103"/>
        <v>8.1433370660694296E-2</v>
      </c>
      <c r="K2217">
        <f t="shared" si="104"/>
        <v>5.6975711674066336E-2</v>
      </c>
    </row>
    <row r="2218" spans="1:11" x14ac:dyDescent="0.25">
      <c r="A2218" s="1">
        <v>2020</v>
      </c>
      <c r="B2218" s="1" t="s">
        <v>99</v>
      </c>
      <c r="C2218" t="s">
        <v>8</v>
      </c>
      <c r="D2218" s="1" t="s">
        <v>3</v>
      </c>
      <c r="E2218">
        <v>32</v>
      </c>
      <c r="F2218" s="1" t="s">
        <v>101</v>
      </c>
      <c r="G2218">
        <v>6</v>
      </c>
      <c r="H2218">
        <v>11</v>
      </c>
      <c r="I2218" s="2">
        <f t="shared" si="102"/>
        <v>2.1597839999999997</v>
      </c>
      <c r="J2218">
        <f t="shared" si="103"/>
        <v>8.0619036954087342E-2</v>
      </c>
      <c r="K2218">
        <f t="shared" si="104"/>
        <v>5.6405954557325666E-2</v>
      </c>
    </row>
    <row r="2219" spans="1:11" x14ac:dyDescent="0.25">
      <c r="A2219" s="1">
        <v>2020</v>
      </c>
      <c r="B2219" s="1" t="s">
        <v>99</v>
      </c>
      <c r="C2219" t="s">
        <v>8</v>
      </c>
      <c r="D2219" s="1" t="s">
        <v>3</v>
      </c>
      <c r="E2219">
        <v>32</v>
      </c>
      <c r="F2219" s="1" t="s">
        <v>101</v>
      </c>
      <c r="G2219">
        <v>8</v>
      </c>
      <c r="H2219">
        <v>11</v>
      </c>
      <c r="I2219" s="2">
        <f t="shared" si="102"/>
        <v>3.8396159999999999</v>
      </c>
      <c r="J2219">
        <f t="shared" si="103"/>
        <v>0.14332273236282195</v>
      </c>
      <c r="K2219">
        <f t="shared" si="104"/>
        <v>0.10027725254635675</v>
      </c>
    </row>
    <row r="2220" spans="1:11" x14ac:dyDescent="0.25">
      <c r="A2220" s="1">
        <v>2020</v>
      </c>
      <c r="B2220" s="1" t="s">
        <v>99</v>
      </c>
      <c r="C2220" t="s">
        <v>8</v>
      </c>
      <c r="D2220" s="1" t="s">
        <v>3</v>
      </c>
      <c r="E2220">
        <v>32</v>
      </c>
      <c r="F2220" s="1" t="s">
        <v>101</v>
      </c>
      <c r="G2220">
        <v>10</v>
      </c>
      <c r="H2220">
        <v>5</v>
      </c>
      <c r="I2220" s="2">
        <f t="shared" si="102"/>
        <v>2.7269999999999999</v>
      </c>
      <c r="J2220">
        <f t="shared" si="103"/>
        <v>0.10179171332586787</v>
      </c>
      <c r="K2220">
        <f t="shared" si="104"/>
        <v>7.1219639592582915E-2</v>
      </c>
    </row>
    <row r="2221" spans="1:11" x14ac:dyDescent="0.25">
      <c r="A2221" s="1">
        <v>2020</v>
      </c>
      <c r="B2221" s="1" t="s">
        <v>99</v>
      </c>
      <c r="C2221" t="s">
        <v>8</v>
      </c>
      <c r="D2221" s="1" t="s">
        <v>3</v>
      </c>
      <c r="E2221">
        <v>32</v>
      </c>
      <c r="F2221" s="1" t="s">
        <v>101</v>
      </c>
      <c r="G2221">
        <v>12</v>
      </c>
      <c r="H2221">
        <v>2</v>
      </c>
      <c r="I2221" s="2">
        <f t="shared" si="102"/>
        <v>1.5707519999999999</v>
      </c>
      <c r="J2221">
        <f t="shared" si="103"/>
        <v>5.8632026875699884E-2</v>
      </c>
      <c r="K2221">
        <f t="shared" si="104"/>
        <v>4.1022512405327755E-2</v>
      </c>
    </row>
    <row r="2222" spans="1:11" x14ac:dyDescent="0.25">
      <c r="A2222" s="1">
        <v>2020</v>
      </c>
      <c r="B2222" s="1" t="s">
        <v>99</v>
      </c>
      <c r="C2222" t="s">
        <v>8</v>
      </c>
      <c r="D2222" s="1" t="s">
        <v>3</v>
      </c>
      <c r="E2222">
        <v>32</v>
      </c>
      <c r="F2222" s="1" t="s">
        <v>101</v>
      </c>
      <c r="G2222">
        <v>18</v>
      </c>
      <c r="H2222">
        <v>4</v>
      </c>
      <c r="I2222" s="2">
        <f t="shared" si="102"/>
        <v>7.0683839999999991</v>
      </c>
      <c r="J2222">
        <f t="shared" si="103"/>
        <v>0.26384412094064946</v>
      </c>
      <c r="K2222">
        <f t="shared" si="104"/>
        <v>0.18460130582397488</v>
      </c>
    </row>
    <row r="2223" spans="1:11" x14ac:dyDescent="0.25">
      <c r="A2223" s="1">
        <v>2020</v>
      </c>
      <c r="B2223" s="1" t="s">
        <v>99</v>
      </c>
      <c r="C2223" t="s">
        <v>8</v>
      </c>
      <c r="D2223" s="1" t="s">
        <v>3</v>
      </c>
      <c r="E2223">
        <v>34</v>
      </c>
      <c r="F2223" s="1" t="s">
        <v>101</v>
      </c>
      <c r="G2223">
        <v>12</v>
      </c>
      <c r="H2223">
        <v>1</v>
      </c>
      <c r="I2223" s="2">
        <f t="shared" si="102"/>
        <v>0.78537599999999996</v>
      </c>
      <c r="J2223">
        <f t="shared" si="103"/>
        <v>2.9316013437849942E-2</v>
      </c>
      <c r="K2223">
        <f t="shared" si="104"/>
        <v>2.0511256202663877E-2</v>
      </c>
    </row>
    <row r="2224" spans="1:11" x14ac:dyDescent="0.25">
      <c r="A2224" s="1">
        <v>2020</v>
      </c>
      <c r="B2224" s="1" t="s">
        <v>99</v>
      </c>
      <c r="C2224" t="s">
        <v>8</v>
      </c>
      <c r="D2224" s="1" t="s">
        <v>3</v>
      </c>
      <c r="E2224">
        <v>34</v>
      </c>
      <c r="F2224" s="1" t="s">
        <v>101</v>
      </c>
      <c r="G2224">
        <v>18</v>
      </c>
      <c r="H2224">
        <v>21</v>
      </c>
      <c r="I2224" s="2">
        <f t="shared" si="102"/>
        <v>37.109015999999997</v>
      </c>
      <c r="J2224">
        <f t="shared" si="103"/>
        <v>1.3851816349384098</v>
      </c>
      <c r="K2224">
        <f t="shared" si="104"/>
        <v>0.96915685557586828</v>
      </c>
    </row>
    <row r="2225" spans="1:11" x14ac:dyDescent="0.25">
      <c r="A2225" s="1">
        <v>2020</v>
      </c>
      <c r="B2225" s="1" t="s">
        <v>99</v>
      </c>
      <c r="C2225" t="s">
        <v>8</v>
      </c>
      <c r="D2225" s="1" t="s">
        <v>3</v>
      </c>
      <c r="E2225">
        <v>34</v>
      </c>
      <c r="F2225" s="1" t="s">
        <v>101</v>
      </c>
      <c r="G2225">
        <v>20</v>
      </c>
      <c r="H2225">
        <v>8</v>
      </c>
      <c r="I2225" s="2">
        <f t="shared" si="102"/>
        <v>17.4528</v>
      </c>
      <c r="J2225">
        <f t="shared" si="103"/>
        <v>0.65146696528555437</v>
      </c>
      <c r="K2225">
        <f t="shared" si="104"/>
        <v>0.45580569339253069</v>
      </c>
    </row>
    <row r="2226" spans="1:11" x14ac:dyDescent="0.25">
      <c r="A2226" s="1">
        <v>2020</v>
      </c>
      <c r="B2226" s="1" t="s">
        <v>99</v>
      </c>
      <c r="C2226" t="s">
        <v>8</v>
      </c>
      <c r="D2226" s="1" t="s">
        <v>3</v>
      </c>
      <c r="E2226">
        <v>38</v>
      </c>
      <c r="F2226" s="1" t="s">
        <v>101</v>
      </c>
      <c r="G2226">
        <v>12</v>
      </c>
      <c r="H2226">
        <v>1</v>
      </c>
      <c r="I2226" s="2">
        <f t="shared" si="102"/>
        <v>0.78537599999999996</v>
      </c>
      <c r="J2226">
        <f t="shared" si="103"/>
        <v>2.9316013437849942E-2</v>
      </c>
      <c r="K2226">
        <f t="shared" si="104"/>
        <v>2.0511256202663877E-2</v>
      </c>
    </row>
    <row r="2227" spans="1:11" x14ac:dyDescent="0.25">
      <c r="A2227" s="1">
        <v>2020</v>
      </c>
      <c r="B2227" s="1" t="s">
        <v>99</v>
      </c>
      <c r="C2227" t="s">
        <v>8</v>
      </c>
      <c r="D2227" s="1" t="s">
        <v>3</v>
      </c>
      <c r="E2227">
        <v>38</v>
      </c>
      <c r="F2227" s="1" t="s">
        <v>101</v>
      </c>
      <c r="G2227">
        <v>18</v>
      </c>
      <c r="H2227">
        <v>78</v>
      </c>
      <c r="I2227" s="2">
        <f t="shared" si="102"/>
        <v>137.83348799999999</v>
      </c>
      <c r="J2227">
        <f t="shared" si="103"/>
        <v>5.1449603583426651</v>
      </c>
      <c r="K2227">
        <f t="shared" si="104"/>
        <v>3.5997254635675109</v>
      </c>
    </row>
    <row r="2228" spans="1:11" x14ac:dyDescent="0.25">
      <c r="A2228" s="1">
        <v>2020</v>
      </c>
      <c r="B2228" s="1" t="s">
        <v>99</v>
      </c>
      <c r="C2228" t="s">
        <v>8</v>
      </c>
      <c r="D2228" s="1" t="s">
        <v>3</v>
      </c>
      <c r="E2228">
        <v>38</v>
      </c>
      <c r="F2228" s="1" t="s">
        <v>101</v>
      </c>
      <c r="G2228">
        <v>20</v>
      </c>
      <c r="H2228">
        <v>33</v>
      </c>
      <c r="I2228" s="2">
        <f t="shared" si="102"/>
        <v>71.992800000000003</v>
      </c>
      <c r="J2228">
        <f t="shared" si="103"/>
        <v>2.6873012318029117</v>
      </c>
      <c r="K2228">
        <f t="shared" si="104"/>
        <v>1.8801984852441891</v>
      </c>
    </row>
    <row r="2229" spans="1:11" x14ac:dyDescent="0.25">
      <c r="A2229" s="1">
        <v>2020</v>
      </c>
      <c r="B2229" s="1" t="s">
        <v>99</v>
      </c>
      <c r="C2229" t="s">
        <v>8</v>
      </c>
      <c r="D2229" s="1" t="s">
        <v>3</v>
      </c>
      <c r="E2229">
        <v>38</v>
      </c>
      <c r="F2229" s="1" t="s">
        <v>101</v>
      </c>
      <c r="G2229">
        <v>22</v>
      </c>
      <c r="H2229">
        <v>2</v>
      </c>
      <c r="I2229" s="2">
        <f t="shared" si="102"/>
        <v>5.2794719999999993</v>
      </c>
      <c r="J2229">
        <f t="shared" si="103"/>
        <v>0.19706875699888016</v>
      </c>
      <c r="K2229">
        <f t="shared" si="104"/>
        <v>0.1378812222512405</v>
      </c>
    </row>
    <row r="2230" spans="1:11" x14ac:dyDescent="0.25">
      <c r="A2230" s="1">
        <v>2020</v>
      </c>
      <c r="B2230" s="1" t="s">
        <v>99</v>
      </c>
      <c r="C2230" t="s">
        <v>8</v>
      </c>
      <c r="D2230" s="1" t="s">
        <v>3</v>
      </c>
      <c r="E2230">
        <v>40</v>
      </c>
      <c r="F2230" s="1" t="s">
        <v>101</v>
      </c>
      <c r="G2230">
        <v>18</v>
      </c>
      <c r="H2230">
        <v>52</v>
      </c>
      <c r="I2230" s="2">
        <f t="shared" si="102"/>
        <v>91.888991999999988</v>
      </c>
      <c r="J2230">
        <f t="shared" si="103"/>
        <v>3.4299735722284432</v>
      </c>
      <c r="K2230">
        <f t="shared" si="104"/>
        <v>2.3998169757116736</v>
      </c>
    </row>
    <row r="2231" spans="1:11" x14ac:dyDescent="0.25">
      <c r="A2231" s="1">
        <v>2020</v>
      </c>
      <c r="B2231" s="1" t="s">
        <v>99</v>
      </c>
      <c r="C2231" t="s">
        <v>8</v>
      </c>
      <c r="D2231" s="1" t="s">
        <v>3</v>
      </c>
      <c r="E2231">
        <v>40</v>
      </c>
      <c r="F2231" s="1" t="s">
        <v>101</v>
      </c>
      <c r="G2231">
        <v>20</v>
      </c>
      <c r="H2231">
        <v>40</v>
      </c>
      <c r="I2231" s="2">
        <f t="shared" si="102"/>
        <v>87.263999999999996</v>
      </c>
      <c r="J2231">
        <f t="shared" si="103"/>
        <v>3.2573348264277717</v>
      </c>
      <c r="K2231">
        <f t="shared" si="104"/>
        <v>2.2790284669626533</v>
      </c>
    </row>
    <row r="2232" spans="1:11" x14ac:dyDescent="0.25">
      <c r="A2232" s="1">
        <v>2020</v>
      </c>
      <c r="B2232" s="1" t="s">
        <v>99</v>
      </c>
      <c r="C2232" t="s">
        <v>8</v>
      </c>
      <c r="D2232" s="1" t="s">
        <v>3</v>
      </c>
      <c r="E2232">
        <v>40</v>
      </c>
      <c r="F2232" s="1" t="s">
        <v>101</v>
      </c>
      <c r="G2232">
        <v>22</v>
      </c>
      <c r="H2232">
        <v>31</v>
      </c>
      <c r="I2232" s="2">
        <f t="shared" si="102"/>
        <v>81.831815999999989</v>
      </c>
      <c r="J2232">
        <f t="shared" si="103"/>
        <v>3.0545657334826424</v>
      </c>
      <c r="K2232">
        <f t="shared" si="104"/>
        <v>2.1371589448942276</v>
      </c>
    </row>
    <row r="2233" spans="1:11" x14ac:dyDescent="0.25">
      <c r="A2233" s="1">
        <v>2020</v>
      </c>
      <c r="B2233" s="1" t="s">
        <v>99</v>
      </c>
      <c r="C2233" t="s">
        <v>8</v>
      </c>
      <c r="D2233" s="1" t="s">
        <v>3</v>
      </c>
      <c r="E2233">
        <v>40</v>
      </c>
      <c r="F2233" s="1" t="s">
        <v>101</v>
      </c>
      <c r="G2233">
        <v>24</v>
      </c>
      <c r="H2233">
        <v>6</v>
      </c>
      <c r="I2233" s="2">
        <f t="shared" si="102"/>
        <v>18.849024</v>
      </c>
      <c r="J2233">
        <f t="shared" si="103"/>
        <v>0.70358432250839864</v>
      </c>
      <c r="K2233">
        <f t="shared" si="104"/>
        <v>0.49227014886393311</v>
      </c>
    </row>
    <row r="2234" spans="1:11" x14ac:dyDescent="0.25">
      <c r="A2234" s="1">
        <v>2020</v>
      </c>
      <c r="B2234" s="1" t="s">
        <v>99</v>
      </c>
      <c r="C2234" t="s">
        <v>8</v>
      </c>
      <c r="D2234" s="1" t="s">
        <v>3</v>
      </c>
      <c r="E2234">
        <v>40</v>
      </c>
      <c r="F2234" s="1" t="s">
        <v>101</v>
      </c>
      <c r="G2234">
        <v>26</v>
      </c>
      <c r="H2234">
        <v>1</v>
      </c>
      <c r="I2234" s="2">
        <f t="shared" si="102"/>
        <v>3.6869039999999997</v>
      </c>
      <c r="J2234">
        <f t="shared" si="103"/>
        <v>0.13762239641657334</v>
      </c>
      <c r="K2234">
        <f t="shared" si="104"/>
        <v>9.6288952729172095E-2</v>
      </c>
    </row>
    <row r="2235" spans="1:11" x14ac:dyDescent="0.25">
      <c r="A2235" s="1">
        <v>2020</v>
      </c>
      <c r="B2235" s="1" t="s">
        <v>99</v>
      </c>
      <c r="C2235" t="s">
        <v>8</v>
      </c>
      <c r="D2235" s="1" t="s">
        <v>3</v>
      </c>
      <c r="E2235">
        <v>47</v>
      </c>
      <c r="F2235" s="1" t="s">
        <v>101</v>
      </c>
      <c r="G2235">
        <v>20</v>
      </c>
      <c r="H2235">
        <v>3</v>
      </c>
      <c r="I2235" s="2">
        <f t="shared" si="102"/>
        <v>6.5448000000000004</v>
      </c>
      <c r="J2235">
        <f t="shared" si="103"/>
        <v>0.2443001119820829</v>
      </c>
      <c r="K2235">
        <f t="shared" si="104"/>
        <v>0.17092713502219903</v>
      </c>
    </row>
    <row r="2236" spans="1:11" x14ac:dyDescent="0.25">
      <c r="A2236" s="1">
        <v>2020</v>
      </c>
      <c r="B2236" s="1" t="s">
        <v>99</v>
      </c>
      <c r="C2236" t="s">
        <v>8</v>
      </c>
      <c r="D2236" s="1" t="s">
        <v>3</v>
      </c>
      <c r="E2236">
        <v>53</v>
      </c>
      <c r="F2236" s="1" t="s">
        <v>101</v>
      </c>
      <c r="G2236">
        <v>16</v>
      </c>
      <c r="H2236">
        <v>1</v>
      </c>
      <c r="I2236" s="2">
        <f t="shared" si="102"/>
        <v>1.3962239999999999</v>
      </c>
      <c r="J2236">
        <f t="shared" si="103"/>
        <v>5.2117357222844343E-2</v>
      </c>
      <c r="K2236">
        <f t="shared" si="104"/>
        <v>3.6464455471402452E-2</v>
      </c>
    </row>
    <row r="2237" spans="1:11" x14ac:dyDescent="0.25">
      <c r="A2237" s="1">
        <v>2020</v>
      </c>
      <c r="B2237" s="1" t="s">
        <v>99</v>
      </c>
      <c r="C2237" t="s">
        <v>8</v>
      </c>
      <c r="D2237" s="1" t="s">
        <v>3</v>
      </c>
      <c r="E2237">
        <v>53</v>
      </c>
      <c r="F2237" s="1" t="s">
        <v>101</v>
      </c>
      <c r="G2237">
        <v>18</v>
      </c>
      <c r="H2237">
        <v>9</v>
      </c>
      <c r="I2237" s="2">
        <f t="shared" si="102"/>
        <v>15.903863999999999</v>
      </c>
      <c r="J2237">
        <f t="shared" si="103"/>
        <v>0.59364927211646135</v>
      </c>
      <c r="K2237">
        <f t="shared" si="104"/>
        <v>0.41535293810394353</v>
      </c>
    </row>
    <row r="2238" spans="1:11" x14ac:dyDescent="0.25">
      <c r="A2238" s="1">
        <v>2020</v>
      </c>
      <c r="B2238" s="1" t="s">
        <v>99</v>
      </c>
      <c r="C2238" t="s">
        <v>8</v>
      </c>
      <c r="D2238" s="1" t="s">
        <v>3</v>
      </c>
      <c r="E2238">
        <v>53</v>
      </c>
      <c r="F2238" s="1" t="s">
        <v>101</v>
      </c>
      <c r="G2238">
        <v>20</v>
      </c>
      <c r="H2238">
        <v>5</v>
      </c>
      <c r="I2238" s="2">
        <f t="shared" si="102"/>
        <v>10.907999999999999</v>
      </c>
      <c r="J2238">
        <f t="shared" si="103"/>
        <v>0.40716685330347147</v>
      </c>
      <c r="K2238">
        <f t="shared" si="104"/>
        <v>0.28487855837033166</v>
      </c>
    </row>
    <row r="2239" spans="1:11" x14ac:dyDescent="0.25">
      <c r="A2239" s="1">
        <v>2020</v>
      </c>
      <c r="B2239" s="1" t="s">
        <v>99</v>
      </c>
      <c r="C2239" t="s">
        <v>8</v>
      </c>
      <c r="D2239" s="1" t="s">
        <v>3</v>
      </c>
      <c r="E2239">
        <v>53</v>
      </c>
      <c r="F2239" s="1" t="s">
        <v>101</v>
      </c>
      <c r="G2239">
        <v>22</v>
      </c>
      <c r="H2239">
        <v>1</v>
      </c>
      <c r="I2239" s="2">
        <f t="shared" si="102"/>
        <v>2.6397359999999996</v>
      </c>
      <c r="J2239">
        <f t="shared" si="103"/>
        <v>9.8534378499440078E-2</v>
      </c>
      <c r="K2239">
        <f t="shared" si="104"/>
        <v>6.8940611125620249E-2</v>
      </c>
    </row>
    <row r="2240" spans="1:11" x14ac:dyDescent="0.25">
      <c r="A2240" s="1">
        <v>2020</v>
      </c>
      <c r="B2240" s="1" t="s">
        <v>99</v>
      </c>
      <c r="C2240" t="s">
        <v>8</v>
      </c>
      <c r="D2240" s="1" t="s">
        <v>3</v>
      </c>
      <c r="E2240">
        <v>54</v>
      </c>
      <c r="F2240" s="1" t="s">
        <v>101</v>
      </c>
      <c r="G2240">
        <v>18</v>
      </c>
      <c r="H2240">
        <v>9</v>
      </c>
      <c r="I2240" s="2">
        <f t="shared" si="102"/>
        <v>15.903863999999999</v>
      </c>
      <c r="J2240">
        <f t="shared" si="103"/>
        <v>0.59364927211646135</v>
      </c>
      <c r="K2240">
        <f t="shared" si="104"/>
        <v>0.41535293810394353</v>
      </c>
    </row>
    <row r="2241" spans="1:11" x14ac:dyDescent="0.25">
      <c r="A2241" s="1">
        <v>2020</v>
      </c>
      <c r="B2241" s="1" t="s">
        <v>99</v>
      </c>
      <c r="C2241" t="s">
        <v>8</v>
      </c>
      <c r="D2241" s="1" t="s">
        <v>3</v>
      </c>
      <c r="E2241">
        <v>54</v>
      </c>
      <c r="F2241" s="1" t="s">
        <v>101</v>
      </c>
      <c r="G2241">
        <v>20</v>
      </c>
      <c r="H2241">
        <v>1</v>
      </c>
      <c r="I2241" s="2">
        <f t="shared" si="102"/>
        <v>2.1816</v>
      </c>
      <c r="J2241">
        <f t="shared" si="103"/>
        <v>8.1433370660694296E-2</v>
      </c>
      <c r="K2241">
        <f t="shared" si="104"/>
        <v>5.6975711674066336E-2</v>
      </c>
    </row>
    <row r="2242" spans="1:11" x14ac:dyDescent="0.25">
      <c r="A2242" s="1">
        <v>2020</v>
      </c>
      <c r="B2242" s="1" t="s">
        <v>99</v>
      </c>
      <c r="C2242" t="s">
        <v>8</v>
      </c>
      <c r="D2242" s="1" t="s">
        <v>3</v>
      </c>
      <c r="E2242">
        <v>56</v>
      </c>
      <c r="F2242" s="1" t="s">
        <v>101</v>
      </c>
      <c r="G2242">
        <v>6</v>
      </c>
      <c r="H2242">
        <v>2</v>
      </c>
      <c r="I2242" s="2">
        <f t="shared" si="102"/>
        <v>0.39268799999999998</v>
      </c>
      <c r="J2242">
        <f t="shared" si="103"/>
        <v>1.4658006718924971E-2</v>
      </c>
      <c r="K2242">
        <f t="shared" si="104"/>
        <v>1.0255628101331939E-2</v>
      </c>
    </row>
    <row r="2243" spans="1:11" x14ac:dyDescent="0.25">
      <c r="A2243" s="1">
        <v>2020</v>
      </c>
      <c r="B2243" s="1" t="s">
        <v>99</v>
      </c>
      <c r="C2243" t="s">
        <v>8</v>
      </c>
      <c r="D2243" s="1" t="s">
        <v>3</v>
      </c>
      <c r="E2243">
        <v>56</v>
      </c>
      <c r="F2243" s="1" t="s">
        <v>101</v>
      </c>
      <c r="G2243">
        <v>8</v>
      </c>
      <c r="H2243">
        <v>2</v>
      </c>
      <c r="I2243" s="2">
        <f t="shared" ref="I2243:I2306" si="105">0.005454*G2243^2*H2243</f>
        <v>0.69811199999999995</v>
      </c>
      <c r="J2243">
        <f t="shared" ref="J2243:J2306" si="106">I2243/26.79</f>
        <v>2.6058678611422172E-2</v>
      </c>
      <c r="K2243">
        <f t="shared" ref="K2243:K2306" si="107">J2243*(26.79/38.29)</f>
        <v>1.8232227735701226E-2</v>
      </c>
    </row>
    <row r="2244" spans="1:11" x14ac:dyDescent="0.25">
      <c r="A2244" s="1">
        <v>2020</v>
      </c>
      <c r="B2244" s="1" t="s">
        <v>99</v>
      </c>
      <c r="C2244" t="s">
        <v>8</v>
      </c>
      <c r="D2244" s="1" t="s">
        <v>3</v>
      </c>
      <c r="E2244">
        <v>56</v>
      </c>
      <c r="F2244" s="1" t="s">
        <v>101</v>
      </c>
      <c r="G2244">
        <v>10</v>
      </c>
      <c r="H2244">
        <v>1</v>
      </c>
      <c r="I2244" s="2">
        <f t="shared" si="105"/>
        <v>0.5454</v>
      </c>
      <c r="J2244">
        <f t="shared" si="106"/>
        <v>2.0358342665173574E-2</v>
      </c>
      <c r="K2244">
        <f t="shared" si="107"/>
        <v>1.4243927918516584E-2</v>
      </c>
    </row>
    <row r="2245" spans="1:11" x14ac:dyDescent="0.25">
      <c r="A2245" s="1">
        <v>2020</v>
      </c>
      <c r="B2245" s="1" t="s">
        <v>99</v>
      </c>
      <c r="C2245" t="s">
        <v>8</v>
      </c>
      <c r="D2245" s="1" t="s">
        <v>3</v>
      </c>
      <c r="E2245">
        <v>56</v>
      </c>
      <c r="F2245" s="1" t="s">
        <v>101</v>
      </c>
      <c r="G2245">
        <v>18</v>
      </c>
      <c r="H2245">
        <v>16</v>
      </c>
      <c r="I2245" s="2">
        <f t="shared" si="105"/>
        <v>28.273535999999996</v>
      </c>
      <c r="J2245">
        <f t="shared" si="106"/>
        <v>1.0553764837625979</v>
      </c>
      <c r="K2245">
        <f t="shared" si="107"/>
        <v>0.73840522329589953</v>
      </c>
    </row>
    <row r="2246" spans="1:11" x14ac:dyDescent="0.25">
      <c r="A2246" s="1">
        <v>2020</v>
      </c>
      <c r="B2246" s="1" t="s">
        <v>99</v>
      </c>
      <c r="C2246" t="s">
        <v>8</v>
      </c>
      <c r="D2246" s="1" t="s">
        <v>3</v>
      </c>
      <c r="E2246">
        <v>56</v>
      </c>
      <c r="F2246" s="1" t="s">
        <v>101</v>
      </c>
      <c r="G2246">
        <v>20</v>
      </c>
      <c r="H2246">
        <v>16</v>
      </c>
      <c r="I2246" s="2">
        <f t="shared" si="105"/>
        <v>34.9056</v>
      </c>
      <c r="J2246">
        <f t="shared" si="106"/>
        <v>1.3029339305711087</v>
      </c>
      <c r="K2246">
        <f t="shared" si="107"/>
        <v>0.91161138678506137</v>
      </c>
    </row>
    <row r="2247" spans="1:11" x14ac:dyDescent="0.25">
      <c r="A2247" s="1">
        <v>2020</v>
      </c>
      <c r="B2247" s="1" t="s">
        <v>99</v>
      </c>
      <c r="C2247" t="s">
        <v>8</v>
      </c>
      <c r="D2247" s="1" t="s">
        <v>3</v>
      </c>
      <c r="E2247">
        <v>56</v>
      </c>
      <c r="F2247" s="1" t="s">
        <v>101</v>
      </c>
      <c r="G2247">
        <v>22</v>
      </c>
      <c r="H2247">
        <v>5</v>
      </c>
      <c r="I2247" s="2">
        <f t="shared" si="105"/>
        <v>13.198679999999998</v>
      </c>
      <c r="J2247">
        <f t="shared" si="106"/>
        <v>0.49267189249720039</v>
      </c>
      <c r="K2247">
        <f t="shared" si="107"/>
        <v>0.34470305562810127</v>
      </c>
    </row>
    <row r="2248" spans="1:11" x14ac:dyDescent="0.25">
      <c r="A2248" s="1">
        <v>2020</v>
      </c>
      <c r="B2248" s="1" t="s">
        <v>99</v>
      </c>
      <c r="C2248" t="s">
        <v>8</v>
      </c>
      <c r="D2248" s="1" t="s">
        <v>3</v>
      </c>
      <c r="E2248">
        <v>56</v>
      </c>
      <c r="F2248" s="1" t="s">
        <v>101</v>
      </c>
      <c r="G2248">
        <v>24</v>
      </c>
      <c r="H2248">
        <v>1</v>
      </c>
      <c r="I2248" s="2">
        <f t="shared" si="105"/>
        <v>3.1415039999999999</v>
      </c>
      <c r="J2248">
        <f t="shared" si="106"/>
        <v>0.11726405375139977</v>
      </c>
      <c r="K2248">
        <f t="shared" si="107"/>
        <v>8.2045024810655509E-2</v>
      </c>
    </row>
    <row r="2249" spans="1:11" x14ac:dyDescent="0.25">
      <c r="A2249" s="1">
        <v>2020</v>
      </c>
      <c r="B2249" s="1" t="s">
        <v>99</v>
      </c>
      <c r="C2249" t="s">
        <v>8</v>
      </c>
      <c r="D2249" s="1" t="s">
        <v>3</v>
      </c>
      <c r="E2249">
        <v>56</v>
      </c>
      <c r="F2249" s="1" t="s">
        <v>101</v>
      </c>
      <c r="G2249">
        <v>26</v>
      </c>
      <c r="H2249">
        <v>1</v>
      </c>
      <c r="I2249" s="2">
        <f t="shared" si="105"/>
        <v>3.6869039999999997</v>
      </c>
      <c r="J2249">
        <f t="shared" si="106"/>
        <v>0.13762239641657334</v>
      </c>
      <c r="K2249">
        <f t="shared" si="107"/>
        <v>9.6288952729172095E-2</v>
      </c>
    </row>
    <row r="2250" spans="1:11" x14ac:dyDescent="0.25">
      <c r="A2250" s="1">
        <v>2020</v>
      </c>
      <c r="B2250" s="1" t="s">
        <v>99</v>
      </c>
      <c r="C2250" t="s">
        <v>8</v>
      </c>
      <c r="D2250" s="1" t="s">
        <v>3</v>
      </c>
      <c r="E2250">
        <v>66</v>
      </c>
      <c r="F2250" s="1" t="s">
        <v>101</v>
      </c>
      <c r="G2250">
        <v>18</v>
      </c>
      <c r="H2250">
        <v>5</v>
      </c>
      <c r="I2250" s="2">
        <f t="shared" si="105"/>
        <v>8.8354799999999987</v>
      </c>
      <c r="J2250">
        <f t="shared" si="106"/>
        <v>0.32980515117581183</v>
      </c>
      <c r="K2250">
        <f t="shared" si="107"/>
        <v>0.23075163227996862</v>
      </c>
    </row>
    <row r="2251" spans="1:11" x14ac:dyDescent="0.25">
      <c r="A2251" s="1">
        <v>2020</v>
      </c>
      <c r="B2251" s="1" t="s">
        <v>99</v>
      </c>
      <c r="C2251" t="s">
        <v>8</v>
      </c>
      <c r="D2251" s="1" t="s">
        <v>3</v>
      </c>
      <c r="E2251">
        <v>66</v>
      </c>
      <c r="F2251" s="1" t="s">
        <v>101</v>
      </c>
      <c r="G2251">
        <v>20</v>
      </c>
      <c r="H2251">
        <v>2</v>
      </c>
      <c r="I2251" s="2">
        <f t="shared" si="105"/>
        <v>4.3632</v>
      </c>
      <c r="J2251">
        <f t="shared" si="106"/>
        <v>0.16286674132138859</v>
      </c>
      <c r="K2251">
        <f t="shared" si="107"/>
        <v>0.11395142334813267</v>
      </c>
    </row>
    <row r="2252" spans="1:11" x14ac:dyDescent="0.25">
      <c r="A2252" s="1">
        <v>2020</v>
      </c>
      <c r="B2252" s="1" t="s">
        <v>99</v>
      </c>
      <c r="C2252" t="s">
        <v>8</v>
      </c>
      <c r="D2252" s="1" t="s">
        <v>3</v>
      </c>
      <c r="E2252">
        <v>76</v>
      </c>
      <c r="F2252" s="1" t="s">
        <v>101</v>
      </c>
      <c r="G2252">
        <v>6</v>
      </c>
      <c r="H2252">
        <v>2</v>
      </c>
      <c r="I2252" s="2">
        <f t="shared" si="105"/>
        <v>0.39268799999999998</v>
      </c>
      <c r="J2252">
        <f t="shared" si="106"/>
        <v>1.4658006718924971E-2</v>
      </c>
      <c r="K2252">
        <f t="shared" si="107"/>
        <v>1.0255628101331939E-2</v>
      </c>
    </row>
    <row r="2253" spans="1:11" x14ac:dyDescent="0.25">
      <c r="A2253" s="1">
        <v>2020</v>
      </c>
      <c r="B2253" s="1" t="s">
        <v>99</v>
      </c>
      <c r="C2253" t="s">
        <v>8</v>
      </c>
      <c r="D2253" s="1" t="s">
        <v>3</v>
      </c>
      <c r="E2253">
        <v>76</v>
      </c>
      <c r="F2253" s="1" t="s">
        <v>101</v>
      </c>
      <c r="G2253">
        <v>8</v>
      </c>
      <c r="H2253">
        <v>3</v>
      </c>
      <c r="I2253" s="2">
        <f t="shared" si="105"/>
        <v>1.0471679999999999</v>
      </c>
      <c r="J2253">
        <f t="shared" si="106"/>
        <v>3.9088017917133254E-2</v>
      </c>
      <c r="K2253">
        <f t="shared" si="107"/>
        <v>2.7348341603551835E-2</v>
      </c>
    </row>
    <row r="2254" spans="1:11" x14ac:dyDescent="0.25">
      <c r="A2254" s="1">
        <v>2020</v>
      </c>
      <c r="B2254" s="1" t="s">
        <v>99</v>
      </c>
      <c r="C2254" t="s">
        <v>8</v>
      </c>
      <c r="D2254" s="1" t="s">
        <v>3</v>
      </c>
      <c r="E2254">
        <v>76</v>
      </c>
      <c r="F2254" s="1" t="s">
        <v>101</v>
      </c>
      <c r="G2254">
        <v>10</v>
      </c>
      <c r="H2254">
        <v>3</v>
      </c>
      <c r="I2254" s="2">
        <f t="shared" si="105"/>
        <v>1.6362000000000001</v>
      </c>
      <c r="J2254">
        <f t="shared" si="106"/>
        <v>6.1075027995520725E-2</v>
      </c>
      <c r="K2254">
        <f t="shared" si="107"/>
        <v>4.2731783755549757E-2</v>
      </c>
    </row>
    <row r="2255" spans="1:11" x14ac:dyDescent="0.25">
      <c r="A2255" s="1">
        <v>2020</v>
      </c>
      <c r="B2255" s="1" t="s">
        <v>99</v>
      </c>
      <c r="C2255" t="s">
        <v>8</v>
      </c>
      <c r="D2255" s="1" t="s">
        <v>3</v>
      </c>
      <c r="E2255">
        <v>76</v>
      </c>
      <c r="F2255" s="1" t="s">
        <v>101</v>
      </c>
      <c r="G2255">
        <v>12</v>
      </c>
      <c r="H2255">
        <v>1</v>
      </c>
      <c r="I2255" s="2">
        <f t="shared" si="105"/>
        <v>0.78537599999999996</v>
      </c>
      <c r="J2255">
        <f t="shared" si="106"/>
        <v>2.9316013437849942E-2</v>
      </c>
      <c r="K2255">
        <f t="shared" si="107"/>
        <v>2.0511256202663877E-2</v>
      </c>
    </row>
    <row r="2256" spans="1:11" x14ac:dyDescent="0.25">
      <c r="A2256" s="1">
        <v>2020</v>
      </c>
      <c r="B2256" s="1" t="s">
        <v>99</v>
      </c>
      <c r="C2256" t="s">
        <v>8</v>
      </c>
      <c r="D2256" s="1" t="s">
        <v>3</v>
      </c>
      <c r="E2256">
        <v>76</v>
      </c>
      <c r="F2256" s="1" t="s">
        <v>101</v>
      </c>
      <c r="G2256">
        <v>16</v>
      </c>
      <c r="H2256">
        <v>2</v>
      </c>
      <c r="I2256" s="2">
        <f t="shared" si="105"/>
        <v>2.7924479999999998</v>
      </c>
      <c r="J2256">
        <f t="shared" si="106"/>
        <v>0.10423471444568869</v>
      </c>
      <c r="K2256">
        <f t="shared" si="107"/>
        <v>7.2928910942804903E-2</v>
      </c>
    </row>
    <row r="2257" spans="1:11" x14ac:dyDescent="0.25">
      <c r="A2257" s="1">
        <v>2020</v>
      </c>
      <c r="B2257" s="1" t="s">
        <v>99</v>
      </c>
      <c r="C2257" t="s">
        <v>8</v>
      </c>
      <c r="D2257" s="1" t="s">
        <v>3</v>
      </c>
      <c r="E2257">
        <v>76</v>
      </c>
      <c r="F2257" s="1" t="s">
        <v>101</v>
      </c>
      <c r="G2257">
        <v>18</v>
      </c>
      <c r="H2257">
        <v>12</v>
      </c>
      <c r="I2257" s="2">
        <f t="shared" si="105"/>
        <v>21.205151999999998</v>
      </c>
      <c r="J2257">
        <f t="shared" si="106"/>
        <v>0.7915323628219485</v>
      </c>
      <c r="K2257">
        <f t="shared" si="107"/>
        <v>0.5538039174719247</v>
      </c>
    </row>
    <row r="2258" spans="1:11" x14ac:dyDescent="0.25">
      <c r="A2258" s="1">
        <v>2020</v>
      </c>
      <c r="B2258" s="1" t="s">
        <v>99</v>
      </c>
      <c r="C2258" t="s">
        <v>8</v>
      </c>
      <c r="D2258" s="1" t="s">
        <v>3</v>
      </c>
      <c r="E2258">
        <v>76</v>
      </c>
      <c r="F2258" s="1" t="s">
        <v>101</v>
      </c>
      <c r="G2258">
        <v>20</v>
      </c>
      <c r="H2258">
        <v>14</v>
      </c>
      <c r="I2258" s="2">
        <f t="shared" si="105"/>
        <v>30.542400000000001</v>
      </c>
      <c r="J2258">
        <f t="shared" si="106"/>
        <v>1.1400671892497201</v>
      </c>
      <c r="K2258">
        <f t="shared" si="107"/>
        <v>0.79765996343692869</v>
      </c>
    </row>
    <row r="2259" spans="1:11" x14ac:dyDescent="0.25">
      <c r="A2259" s="1">
        <v>2020</v>
      </c>
      <c r="B2259" s="1" t="s">
        <v>99</v>
      </c>
      <c r="C2259" t="s">
        <v>8</v>
      </c>
      <c r="D2259" s="1" t="s">
        <v>3</v>
      </c>
      <c r="E2259">
        <v>76</v>
      </c>
      <c r="F2259" s="1" t="s">
        <v>101</v>
      </c>
      <c r="G2259">
        <v>22</v>
      </c>
      <c r="H2259">
        <v>4</v>
      </c>
      <c r="I2259" s="2">
        <f t="shared" si="105"/>
        <v>10.558943999999999</v>
      </c>
      <c r="J2259">
        <f t="shared" si="106"/>
        <v>0.39413751399776031</v>
      </c>
      <c r="K2259">
        <f t="shared" si="107"/>
        <v>0.275762444502481</v>
      </c>
    </row>
    <row r="2260" spans="1:11" x14ac:dyDescent="0.25">
      <c r="A2260" s="1">
        <v>2020</v>
      </c>
      <c r="B2260" s="1" t="s">
        <v>99</v>
      </c>
      <c r="C2260" t="s">
        <v>8</v>
      </c>
      <c r="D2260" s="1" t="s">
        <v>3</v>
      </c>
      <c r="E2260">
        <v>79</v>
      </c>
      <c r="F2260" s="1" t="s">
        <v>101</v>
      </c>
      <c r="G2260">
        <v>6</v>
      </c>
      <c r="H2260">
        <v>1</v>
      </c>
      <c r="I2260" s="2">
        <f t="shared" si="105"/>
        <v>0.19634399999999999</v>
      </c>
      <c r="J2260">
        <f t="shared" si="106"/>
        <v>7.3290033594624856E-3</v>
      </c>
      <c r="K2260">
        <f t="shared" si="107"/>
        <v>5.1278140506659693E-3</v>
      </c>
    </row>
    <row r="2261" spans="1:11" x14ac:dyDescent="0.25">
      <c r="A2261" s="1">
        <v>2020</v>
      </c>
      <c r="B2261" s="1" t="s">
        <v>99</v>
      </c>
      <c r="C2261" t="s">
        <v>8</v>
      </c>
      <c r="D2261" s="1" t="s">
        <v>3</v>
      </c>
      <c r="E2261">
        <v>79</v>
      </c>
      <c r="F2261" s="1" t="s">
        <v>101</v>
      </c>
      <c r="G2261">
        <v>8</v>
      </c>
      <c r="H2261">
        <v>5</v>
      </c>
      <c r="I2261" s="2">
        <f t="shared" si="105"/>
        <v>1.7452799999999999</v>
      </c>
      <c r="J2261">
        <f t="shared" si="106"/>
        <v>6.5146696528555426E-2</v>
      </c>
      <c r="K2261">
        <f t="shared" si="107"/>
        <v>4.5580569339253064E-2</v>
      </c>
    </row>
    <row r="2262" spans="1:11" x14ac:dyDescent="0.25">
      <c r="A2262" s="1">
        <v>2020</v>
      </c>
      <c r="B2262" s="1" t="s">
        <v>99</v>
      </c>
      <c r="C2262" t="s">
        <v>8</v>
      </c>
      <c r="D2262" s="1" t="s">
        <v>3</v>
      </c>
      <c r="E2262">
        <v>79</v>
      </c>
      <c r="F2262" s="1" t="s">
        <v>101</v>
      </c>
      <c r="G2262">
        <v>12</v>
      </c>
      <c r="H2262">
        <v>3</v>
      </c>
      <c r="I2262" s="2">
        <f t="shared" si="105"/>
        <v>2.356128</v>
      </c>
      <c r="J2262">
        <f t="shared" si="106"/>
        <v>8.794804031354983E-2</v>
      </c>
      <c r="K2262">
        <f t="shared" si="107"/>
        <v>6.1533768607991639E-2</v>
      </c>
    </row>
    <row r="2263" spans="1:11" x14ac:dyDescent="0.25">
      <c r="A2263" s="1">
        <v>2020</v>
      </c>
      <c r="B2263" s="1" t="s">
        <v>99</v>
      </c>
      <c r="C2263" t="s">
        <v>8</v>
      </c>
      <c r="D2263" s="1" t="s">
        <v>3</v>
      </c>
      <c r="E2263">
        <v>79</v>
      </c>
      <c r="F2263" s="1" t="s">
        <v>101</v>
      </c>
      <c r="G2263">
        <v>16</v>
      </c>
      <c r="H2263">
        <v>2</v>
      </c>
      <c r="I2263" s="2">
        <f t="shared" si="105"/>
        <v>2.7924479999999998</v>
      </c>
      <c r="J2263">
        <f t="shared" si="106"/>
        <v>0.10423471444568869</v>
      </c>
      <c r="K2263">
        <f t="shared" si="107"/>
        <v>7.2928910942804903E-2</v>
      </c>
    </row>
    <row r="2264" spans="1:11" x14ac:dyDescent="0.25">
      <c r="A2264" s="1">
        <v>2020</v>
      </c>
      <c r="B2264" s="1" t="s">
        <v>99</v>
      </c>
      <c r="C2264" t="s">
        <v>8</v>
      </c>
      <c r="D2264" s="1" t="s">
        <v>3</v>
      </c>
      <c r="E2264">
        <v>79</v>
      </c>
      <c r="F2264" s="1" t="s">
        <v>101</v>
      </c>
      <c r="G2264">
        <v>18</v>
      </c>
      <c r="H2264">
        <v>85</v>
      </c>
      <c r="I2264" s="2">
        <f t="shared" si="105"/>
        <v>150.20315999999997</v>
      </c>
      <c r="J2264">
        <f t="shared" si="106"/>
        <v>5.606687569988801</v>
      </c>
      <c r="K2264">
        <f t="shared" si="107"/>
        <v>3.9227777487594664</v>
      </c>
    </row>
    <row r="2265" spans="1:11" x14ac:dyDescent="0.25">
      <c r="A2265" s="1">
        <v>2020</v>
      </c>
      <c r="B2265" s="1" t="s">
        <v>99</v>
      </c>
      <c r="C2265" t="s">
        <v>8</v>
      </c>
      <c r="D2265" s="1" t="s">
        <v>3</v>
      </c>
      <c r="E2265">
        <v>79</v>
      </c>
      <c r="F2265" s="1" t="s">
        <v>101</v>
      </c>
      <c r="G2265">
        <v>20</v>
      </c>
      <c r="H2265">
        <v>35</v>
      </c>
      <c r="I2265" s="2">
        <f t="shared" si="105"/>
        <v>76.355999999999995</v>
      </c>
      <c r="J2265">
        <f t="shared" si="106"/>
        <v>2.8501679731243001</v>
      </c>
      <c r="K2265">
        <f t="shared" si="107"/>
        <v>1.9941499085923216</v>
      </c>
    </row>
    <row r="2266" spans="1:11" x14ac:dyDescent="0.25">
      <c r="A2266" s="1">
        <v>2020</v>
      </c>
      <c r="B2266" s="1" t="s">
        <v>99</v>
      </c>
      <c r="C2266" t="s">
        <v>8</v>
      </c>
      <c r="D2266" s="1" t="s">
        <v>3</v>
      </c>
      <c r="E2266">
        <v>79</v>
      </c>
      <c r="F2266" s="1" t="s">
        <v>101</v>
      </c>
      <c r="G2266">
        <v>22</v>
      </c>
      <c r="H2266">
        <v>6</v>
      </c>
      <c r="I2266" s="2">
        <f t="shared" si="105"/>
        <v>15.838415999999999</v>
      </c>
      <c r="J2266">
        <f t="shared" si="106"/>
        <v>0.59120627099664047</v>
      </c>
      <c r="K2266">
        <f t="shared" si="107"/>
        <v>0.41364366675372155</v>
      </c>
    </row>
    <row r="2267" spans="1:11" x14ac:dyDescent="0.25">
      <c r="A2267" s="1">
        <v>2020</v>
      </c>
      <c r="B2267" s="1" t="s">
        <v>99</v>
      </c>
      <c r="C2267" t="s">
        <v>8</v>
      </c>
      <c r="D2267" s="1" t="s">
        <v>3</v>
      </c>
      <c r="E2267">
        <v>79</v>
      </c>
      <c r="F2267" s="1" t="s">
        <v>101</v>
      </c>
      <c r="G2267">
        <v>24</v>
      </c>
      <c r="H2267">
        <v>1</v>
      </c>
      <c r="I2267" s="2">
        <f t="shared" si="105"/>
        <v>3.1415039999999999</v>
      </c>
      <c r="J2267">
        <f t="shared" si="106"/>
        <v>0.11726405375139977</v>
      </c>
      <c r="K2267">
        <f t="shared" si="107"/>
        <v>8.2045024810655509E-2</v>
      </c>
    </row>
    <row r="2268" spans="1:11" x14ac:dyDescent="0.25">
      <c r="A2268" s="1">
        <v>2020</v>
      </c>
      <c r="B2268" s="1" t="s">
        <v>99</v>
      </c>
      <c r="C2268" t="s">
        <v>8</v>
      </c>
      <c r="D2268" s="1" t="s">
        <v>3</v>
      </c>
      <c r="E2268">
        <v>85</v>
      </c>
      <c r="F2268" s="1" t="s">
        <v>101</v>
      </c>
      <c r="G2268">
        <v>18</v>
      </c>
      <c r="H2268">
        <v>5</v>
      </c>
      <c r="I2268" s="2">
        <f t="shared" si="105"/>
        <v>8.8354799999999987</v>
      </c>
      <c r="J2268">
        <f t="shared" si="106"/>
        <v>0.32980515117581183</v>
      </c>
      <c r="K2268">
        <f t="shared" si="107"/>
        <v>0.23075163227996862</v>
      </c>
    </row>
    <row r="2269" spans="1:11" x14ac:dyDescent="0.25">
      <c r="A2269" s="1">
        <v>2020</v>
      </c>
      <c r="B2269" s="1" t="s">
        <v>99</v>
      </c>
      <c r="C2269" t="s">
        <v>8</v>
      </c>
      <c r="D2269" s="1" t="s">
        <v>3</v>
      </c>
      <c r="E2269">
        <v>91</v>
      </c>
      <c r="F2269" s="1" t="s">
        <v>101</v>
      </c>
      <c r="G2269">
        <v>18</v>
      </c>
      <c r="H2269">
        <v>1</v>
      </c>
      <c r="I2269" s="2">
        <f t="shared" si="105"/>
        <v>1.7670959999999998</v>
      </c>
      <c r="J2269">
        <f t="shared" si="106"/>
        <v>6.5961030235162366E-2</v>
      </c>
      <c r="K2269">
        <f t="shared" si="107"/>
        <v>4.615032645599372E-2</v>
      </c>
    </row>
    <row r="2270" spans="1:11" x14ac:dyDescent="0.25">
      <c r="A2270" s="1">
        <v>2020</v>
      </c>
      <c r="B2270" s="1" t="s">
        <v>99</v>
      </c>
      <c r="C2270" t="s">
        <v>8</v>
      </c>
      <c r="D2270" s="1" t="s">
        <v>3</v>
      </c>
      <c r="E2270">
        <v>91</v>
      </c>
      <c r="F2270" s="1" t="s">
        <v>101</v>
      </c>
      <c r="G2270">
        <v>20</v>
      </c>
      <c r="H2270">
        <v>2</v>
      </c>
      <c r="I2270" s="2">
        <f t="shared" si="105"/>
        <v>4.3632</v>
      </c>
      <c r="J2270">
        <f t="shared" si="106"/>
        <v>0.16286674132138859</v>
      </c>
      <c r="K2270">
        <f t="shared" si="107"/>
        <v>0.11395142334813267</v>
      </c>
    </row>
    <row r="2271" spans="1:11" x14ac:dyDescent="0.25">
      <c r="A2271" s="1">
        <v>2020</v>
      </c>
      <c r="B2271" s="1" t="s">
        <v>99</v>
      </c>
      <c r="C2271" t="s">
        <v>8</v>
      </c>
      <c r="D2271" s="1" t="s">
        <v>5</v>
      </c>
      <c r="E2271">
        <v>34</v>
      </c>
      <c r="F2271" s="1" t="s">
        <v>101</v>
      </c>
      <c r="G2271">
        <v>20</v>
      </c>
      <c r="H2271">
        <v>1</v>
      </c>
      <c r="I2271" s="2">
        <f t="shared" si="105"/>
        <v>2.1816</v>
      </c>
      <c r="J2271">
        <f t="shared" si="106"/>
        <v>8.1433370660694296E-2</v>
      </c>
      <c r="K2271">
        <f t="shared" si="107"/>
        <v>5.6975711674066336E-2</v>
      </c>
    </row>
    <row r="2272" spans="1:11" x14ac:dyDescent="0.25">
      <c r="A2272" s="1">
        <v>2020</v>
      </c>
      <c r="B2272" s="1" t="s">
        <v>99</v>
      </c>
      <c r="C2272" t="s">
        <v>8</v>
      </c>
      <c r="D2272" s="1" t="s">
        <v>5</v>
      </c>
      <c r="E2272">
        <v>54</v>
      </c>
      <c r="F2272" s="1" t="s">
        <v>101</v>
      </c>
      <c r="G2272">
        <v>18</v>
      </c>
      <c r="H2272">
        <v>1</v>
      </c>
      <c r="I2272" s="2">
        <f t="shared" si="105"/>
        <v>1.7670959999999998</v>
      </c>
      <c r="J2272">
        <f t="shared" si="106"/>
        <v>6.5961030235162366E-2</v>
      </c>
      <c r="K2272">
        <f t="shared" si="107"/>
        <v>4.615032645599372E-2</v>
      </c>
    </row>
    <row r="2273" spans="1:11" x14ac:dyDescent="0.25">
      <c r="A2273" s="1">
        <v>2020</v>
      </c>
      <c r="B2273" s="1" t="s">
        <v>99</v>
      </c>
      <c r="C2273" t="s">
        <v>8</v>
      </c>
      <c r="D2273" s="1" t="s">
        <v>5</v>
      </c>
      <c r="E2273">
        <v>79</v>
      </c>
      <c r="F2273" s="1" t="s">
        <v>101</v>
      </c>
      <c r="G2273">
        <v>18</v>
      </c>
      <c r="H2273">
        <v>1</v>
      </c>
      <c r="I2273" s="2">
        <f t="shared" si="105"/>
        <v>1.7670959999999998</v>
      </c>
      <c r="J2273">
        <f t="shared" si="106"/>
        <v>6.5961030235162366E-2</v>
      </c>
      <c r="K2273">
        <f t="shared" si="107"/>
        <v>4.615032645599372E-2</v>
      </c>
    </row>
    <row r="2274" spans="1:11" x14ac:dyDescent="0.25">
      <c r="A2274" s="1">
        <v>2020</v>
      </c>
      <c r="B2274" s="1" t="s">
        <v>99</v>
      </c>
      <c r="C2274" t="s">
        <v>8</v>
      </c>
      <c r="D2274" s="1" t="s">
        <v>5</v>
      </c>
      <c r="E2274">
        <v>79</v>
      </c>
      <c r="F2274" s="1" t="s">
        <v>101</v>
      </c>
      <c r="G2274">
        <v>20</v>
      </c>
      <c r="H2274">
        <v>2</v>
      </c>
      <c r="I2274" s="2">
        <f t="shared" si="105"/>
        <v>4.3632</v>
      </c>
      <c r="J2274">
        <f t="shared" si="106"/>
        <v>0.16286674132138859</v>
      </c>
      <c r="K2274">
        <f t="shared" si="107"/>
        <v>0.11395142334813267</v>
      </c>
    </row>
    <row r="2275" spans="1:11" x14ac:dyDescent="0.25">
      <c r="A2275" s="1">
        <v>2020</v>
      </c>
      <c r="B2275" s="1" t="s">
        <v>99</v>
      </c>
      <c r="C2275" t="s">
        <v>7</v>
      </c>
      <c r="D2275" s="1" t="s">
        <v>3</v>
      </c>
      <c r="E2275">
        <v>11</v>
      </c>
      <c r="F2275" s="1" t="s">
        <v>101</v>
      </c>
      <c r="G2275">
        <v>10</v>
      </c>
      <c r="H2275">
        <v>1</v>
      </c>
      <c r="I2275" s="2">
        <f t="shared" si="105"/>
        <v>0.5454</v>
      </c>
      <c r="J2275">
        <f t="shared" si="106"/>
        <v>2.0358342665173574E-2</v>
      </c>
      <c r="K2275">
        <f t="shared" si="107"/>
        <v>1.4243927918516584E-2</v>
      </c>
    </row>
    <row r="2276" spans="1:11" x14ac:dyDescent="0.25">
      <c r="A2276" s="1">
        <v>2020</v>
      </c>
      <c r="B2276" s="1" t="s">
        <v>99</v>
      </c>
      <c r="C2276" t="s">
        <v>7</v>
      </c>
      <c r="D2276" s="1" t="s">
        <v>3</v>
      </c>
      <c r="E2276">
        <v>11</v>
      </c>
      <c r="F2276" s="1" t="s">
        <v>101</v>
      </c>
      <c r="G2276">
        <v>12</v>
      </c>
      <c r="H2276">
        <v>3</v>
      </c>
      <c r="I2276" s="2">
        <f t="shared" si="105"/>
        <v>2.356128</v>
      </c>
      <c r="J2276">
        <f t="shared" si="106"/>
        <v>8.794804031354983E-2</v>
      </c>
      <c r="K2276">
        <f t="shared" si="107"/>
        <v>6.1533768607991639E-2</v>
      </c>
    </row>
    <row r="2277" spans="1:11" x14ac:dyDescent="0.25">
      <c r="A2277" s="1">
        <v>2020</v>
      </c>
      <c r="B2277" s="1" t="s">
        <v>99</v>
      </c>
      <c r="C2277" t="s">
        <v>7</v>
      </c>
      <c r="D2277" s="1" t="s">
        <v>3</v>
      </c>
      <c r="E2277">
        <v>21</v>
      </c>
      <c r="F2277" s="1" t="s">
        <v>101</v>
      </c>
      <c r="G2277">
        <v>6</v>
      </c>
      <c r="H2277">
        <v>11</v>
      </c>
      <c r="I2277" s="2">
        <f t="shared" si="105"/>
        <v>2.1597839999999997</v>
      </c>
      <c r="J2277">
        <f t="shared" si="106"/>
        <v>8.0619036954087342E-2</v>
      </c>
      <c r="K2277">
        <f t="shared" si="107"/>
        <v>5.6405954557325666E-2</v>
      </c>
    </row>
    <row r="2278" spans="1:11" x14ac:dyDescent="0.25">
      <c r="A2278" s="1">
        <v>2020</v>
      </c>
      <c r="B2278" s="1" t="s">
        <v>99</v>
      </c>
      <c r="C2278" t="s">
        <v>7</v>
      </c>
      <c r="D2278" s="1" t="s">
        <v>3</v>
      </c>
      <c r="E2278">
        <v>21</v>
      </c>
      <c r="F2278" s="1" t="s">
        <v>101</v>
      </c>
      <c r="G2278">
        <v>8</v>
      </c>
      <c r="H2278">
        <v>5</v>
      </c>
      <c r="I2278" s="2">
        <f t="shared" si="105"/>
        <v>1.7452799999999999</v>
      </c>
      <c r="J2278">
        <f t="shared" si="106"/>
        <v>6.5146696528555426E-2</v>
      </c>
      <c r="K2278">
        <f t="shared" si="107"/>
        <v>4.5580569339253064E-2</v>
      </c>
    </row>
    <row r="2279" spans="1:11" x14ac:dyDescent="0.25">
      <c r="A2279" s="1">
        <v>2020</v>
      </c>
      <c r="B2279" s="1" t="s">
        <v>99</v>
      </c>
      <c r="C2279" t="s">
        <v>7</v>
      </c>
      <c r="D2279" s="1" t="s">
        <v>3</v>
      </c>
      <c r="E2279">
        <v>21</v>
      </c>
      <c r="F2279" s="1" t="s">
        <v>101</v>
      </c>
      <c r="G2279">
        <v>10</v>
      </c>
      <c r="H2279">
        <v>11</v>
      </c>
      <c r="I2279" s="2">
        <f t="shared" si="105"/>
        <v>5.9993999999999996</v>
      </c>
      <c r="J2279">
        <f t="shared" si="106"/>
        <v>0.22394176931690929</v>
      </c>
      <c r="K2279">
        <f t="shared" si="107"/>
        <v>0.15668320710368241</v>
      </c>
    </row>
    <row r="2280" spans="1:11" x14ac:dyDescent="0.25">
      <c r="A2280" s="1">
        <v>2020</v>
      </c>
      <c r="B2280" s="1" t="s">
        <v>99</v>
      </c>
      <c r="C2280" t="s">
        <v>7</v>
      </c>
      <c r="D2280" s="1" t="s">
        <v>3</v>
      </c>
      <c r="E2280">
        <v>21</v>
      </c>
      <c r="F2280" s="1" t="s">
        <v>101</v>
      </c>
      <c r="G2280">
        <v>12</v>
      </c>
      <c r="H2280">
        <v>6</v>
      </c>
      <c r="I2280" s="2">
        <f t="shared" si="105"/>
        <v>4.712256</v>
      </c>
      <c r="J2280">
        <f t="shared" si="106"/>
        <v>0.17589608062709966</v>
      </c>
      <c r="K2280">
        <f t="shared" si="107"/>
        <v>0.12306753721598328</v>
      </c>
    </row>
    <row r="2281" spans="1:11" x14ac:dyDescent="0.25">
      <c r="A2281" s="1">
        <v>2020</v>
      </c>
      <c r="B2281" s="1" t="s">
        <v>99</v>
      </c>
      <c r="C2281" t="s">
        <v>7</v>
      </c>
      <c r="D2281" s="1" t="s">
        <v>3</v>
      </c>
      <c r="E2281">
        <v>21</v>
      </c>
      <c r="F2281" s="1" t="s">
        <v>101</v>
      </c>
      <c r="G2281">
        <v>14</v>
      </c>
      <c r="H2281">
        <v>4</v>
      </c>
      <c r="I2281" s="2">
        <f t="shared" si="105"/>
        <v>4.2759359999999997</v>
      </c>
      <c r="J2281">
        <f t="shared" si="106"/>
        <v>0.1596094064949608</v>
      </c>
      <c r="K2281">
        <f t="shared" si="107"/>
        <v>0.11167239488117001</v>
      </c>
    </row>
    <row r="2282" spans="1:11" x14ac:dyDescent="0.25">
      <c r="A2282" s="1">
        <v>2020</v>
      </c>
      <c r="B2282" s="1" t="s">
        <v>99</v>
      </c>
      <c r="C2282" t="s">
        <v>7</v>
      </c>
      <c r="D2282" s="1" t="s">
        <v>3</v>
      </c>
      <c r="E2282">
        <v>25</v>
      </c>
      <c r="F2282" s="1" t="s">
        <v>101</v>
      </c>
      <c r="G2282">
        <v>14</v>
      </c>
      <c r="H2282">
        <v>1</v>
      </c>
      <c r="I2282" s="2">
        <f t="shared" si="105"/>
        <v>1.0689839999999999</v>
      </c>
      <c r="J2282">
        <f t="shared" si="106"/>
        <v>3.9902351623740201E-2</v>
      </c>
      <c r="K2282">
        <f t="shared" si="107"/>
        <v>2.7918098720292502E-2</v>
      </c>
    </row>
    <row r="2283" spans="1:11" x14ac:dyDescent="0.25">
      <c r="A2283" s="1">
        <v>2020</v>
      </c>
      <c r="B2283" s="1" t="s">
        <v>99</v>
      </c>
      <c r="C2283" t="s">
        <v>7</v>
      </c>
      <c r="D2283" s="1" t="s">
        <v>3</v>
      </c>
      <c r="E2283">
        <v>28</v>
      </c>
      <c r="F2283" s="1" t="s">
        <v>101</v>
      </c>
      <c r="G2283">
        <v>6</v>
      </c>
      <c r="H2283">
        <v>3</v>
      </c>
      <c r="I2283" s="2">
        <f t="shared" si="105"/>
        <v>0.589032</v>
      </c>
      <c r="J2283">
        <f t="shared" si="106"/>
        <v>2.1987010078387458E-2</v>
      </c>
      <c r="K2283">
        <f t="shared" si="107"/>
        <v>1.538344215199791E-2</v>
      </c>
    </row>
    <row r="2284" spans="1:11" x14ac:dyDescent="0.25">
      <c r="A2284" s="1">
        <v>2020</v>
      </c>
      <c r="B2284" s="1" t="s">
        <v>99</v>
      </c>
      <c r="C2284" t="s">
        <v>7</v>
      </c>
      <c r="D2284" s="1" t="s">
        <v>3</v>
      </c>
      <c r="E2284">
        <v>29</v>
      </c>
      <c r="F2284" s="1" t="s">
        <v>101</v>
      </c>
      <c r="G2284">
        <v>6</v>
      </c>
      <c r="H2284">
        <v>52</v>
      </c>
      <c r="I2284" s="2">
        <f t="shared" si="105"/>
        <v>10.209887999999999</v>
      </c>
      <c r="J2284">
        <f t="shared" si="106"/>
        <v>0.38110817469204927</v>
      </c>
      <c r="K2284">
        <f t="shared" si="107"/>
        <v>0.26664633063463045</v>
      </c>
    </row>
    <row r="2285" spans="1:11" x14ac:dyDescent="0.25">
      <c r="A2285" s="1">
        <v>2020</v>
      </c>
      <c r="B2285" s="1" t="s">
        <v>99</v>
      </c>
      <c r="C2285" t="s">
        <v>7</v>
      </c>
      <c r="D2285" s="1" t="s">
        <v>3</v>
      </c>
      <c r="E2285">
        <v>29</v>
      </c>
      <c r="F2285" s="1" t="s">
        <v>101</v>
      </c>
      <c r="G2285">
        <v>8</v>
      </c>
      <c r="H2285">
        <v>44</v>
      </c>
      <c r="I2285" s="2">
        <f t="shared" si="105"/>
        <v>15.358464</v>
      </c>
      <c r="J2285">
        <f t="shared" si="106"/>
        <v>0.57329092945128779</v>
      </c>
      <c r="K2285">
        <f t="shared" si="107"/>
        <v>0.401109010185427</v>
      </c>
    </row>
    <row r="2286" spans="1:11" x14ac:dyDescent="0.25">
      <c r="A2286" s="1">
        <v>2020</v>
      </c>
      <c r="B2286" s="1" t="s">
        <v>99</v>
      </c>
      <c r="C2286" t="s">
        <v>7</v>
      </c>
      <c r="D2286" s="1" t="s">
        <v>3</v>
      </c>
      <c r="E2286">
        <v>29</v>
      </c>
      <c r="F2286" s="1" t="s">
        <v>101</v>
      </c>
      <c r="G2286">
        <v>10</v>
      </c>
      <c r="H2286">
        <v>41</v>
      </c>
      <c r="I2286" s="2">
        <f t="shared" si="105"/>
        <v>22.3614</v>
      </c>
      <c r="J2286">
        <f t="shared" si="106"/>
        <v>0.83469204927211649</v>
      </c>
      <c r="K2286">
        <f t="shared" si="107"/>
        <v>0.5840010446591799</v>
      </c>
    </row>
    <row r="2287" spans="1:11" x14ac:dyDescent="0.25">
      <c r="A2287" s="1">
        <v>2020</v>
      </c>
      <c r="B2287" s="1" t="s">
        <v>99</v>
      </c>
      <c r="C2287" t="s">
        <v>7</v>
      </c>
      <c r="D2287" s="1" t="s">
        <v>3</v>
      </c>
      <c r="E2287">
        <v>29</v>
      </c>
      <c r="F2287" s="1" t="s">
        <v>101</v>
      </c>
      <c r="G2287">
        <v>12</v>
      </c>
      <c r="H2287">
        <v>36</v>
      </c>
      <c r="I2287" s="2">
        <f t="shared" si="105"/>
        <v>28.273536</v>
      </c>
      <c r="J2287">
        <f t="shared" si="106"/>
        <v>1.0553764837625981</v>
      </c>
      <c r="K2287">
        <f t="shared" si="107"/>
        <v>0.73840522329589975</v>
      </c>
    </row>
    <row r="2288" spans="1:11" x14ac:dyDescent="0.25">
      <c r="A2288" s="1">
        <v>2020</v>
      </c>
      <c r="B2288" s="1" t="s">
        <v>99</v>
      </c>
      <c r="C2288" t="s">
        <v>7</v>
      </c>
      <c r="D2288" s="1" t="s">
        <v>3</v>
      </c>
      <c r="E2288">
        <v>29</v>
      </c>
      <c r="F2288" s="1" t="s">
        <v>101</v>
      </c>
      <c r="G2288">
        <v>14</v>
      </c>
      <c r="H2288">
        <v>28</v>
      </c>
      <c r="I2288" s="2">
        <f t="shared" si="105"/>
        <v>29.931551999999996</v>
      </c>
      <c r="J2288">
        <f t="shared" si="106"/>
        <v>1.1172658454647255</v>
      </c>
      <c r="K2288">
        <f t="shared" si="107"/>
        <v>0.78170676416818996</v>
      </c>
    </row>
    <row r="2289" spans="1:11" x14ac:dyDescent="0.25">
      <c r="A2289" s="1">
        <v>2020</v>
      </c>
      <c r="B2289" s="1" t="s">
        <v>99</v>
      </c>
      <c r="C2289" t="s">
        <v>7</v>
      </c>
      <c r="D2289" s="1" t="s">
        <v>3</v>
      </c>
      <c r="E2289">
        <v>29</v>
      </c>
      <c r="F2289" s="1" t="s">
        <v>101</v>
      </c>
      <c r="G2289">
        <v>16</v>
      </c>
      <c r="H2289">
        <v>22</v>
      </c>
      <c r="I2289" s="2">
        <f t="shared" si="105"/>
        <v>30.716927999999999</v>
      </c>
      <c r="J2289">
        <f t="shared" si="106"/>
        <v>1.1465818589025756</v>
      </c>
      <c r="K2289">
        <f t="shared" si="107"/>
        <v>0.80221802037085399</v>
      </c>
    </row>
    <row r="2290" spans="1:11" x14ac:dyDescent="0.25">
      <c r="A2290" s="1">
        <v>2020</v>
      </c>
      <c r="B2290" s="1" t="s">
        <v>99</v>
      </c>
      <c r="C2290" t="s">
        <v>7</v>
      </c>
      <c r="D2290" s="1" t="s">
        <v>3</v>
      </c>
      <c r="E2290">
        <v>29</v>
      </c>
      <c r="F2290" s="1" t="s">
        <v>101</v>
      </c>
      <c r="G2290">
        <v>20</v>
      </c>
      <c r="H2290">
        <v>1</v>
      </c>
      <c r="I2290" s="2">
        <f t="shared" si="105"/>
        <v>2.1816</v>
      </c>
      <c r="J2290">
        <f t="shared" si="106"/>
        <v>8.1433370660694296E-2</v>
      </c>
      <c r="K2290">
        <f t="shared" si="107"/>
        <v>5.6975711674066336E-2</v>
      </c>
    </row>
    <row r="2291" spans="1:11" x14ac:dyDescent="0.25">
      <c r="A2291" s="1">
        <v>2020</v>
      </c>
      <c r="B2291" s="1" t="s">
        <v>99</v>
      </c>
      <c r="C2291" t="s">
        <v>7</v>
      </c>
      <c r="D2291" s="1" t="s">
        <v>3</v>
      </c>
      <c r="E2291">
        <v>30</v>
      </c>
      <c r="F2291" s="1" t="s">
        <v>101</v>
      </c>
      <c r="G2291">
        <v>6</v>
      </c>
      <c r="H2291">
        <v>1</v>
      </c>
      <c r="I2291" s="2">
        <f t="shared" si="105"/>
        <v>0.19634399999999999</v>
      </c>
      <c r="J2291">
        <f t="shared" si="106"/>
        <v>7.3290033594624856E-3</v>
      </c>
      <c r="K2291">
        <f t="shared" si="107"/>
        <v>5.1278140506659693E-3</v>
      </c>
    </row>
    <row r="2292" spans="1:11" x14ac:dyDescent="0.25">
      <c r="A2292" s="1">
        <v>2020</v>
      </c>
      <c r="B2292" s="1" t="s">
        <v>99</v>
      </c>
      <c r="C2292" t="s">
        <v>7</v>
      </c>
      <c r="D2292" s="1" t="s">
        <v>3</v>
      </c>
      <c r="E2292">
        <v>30</v>
      </c>
      <c r="F2292" s="1" t="s">
        <v>101</v>
      </c>
      <c r="G2292">
        <v>12</v>
      </c>
      <c r="H2292">
        <v>1</v>
      </c>
      <c r="I2292" s="2">
        <f t="shared" si="105"/>
        <v>0.78537599999999996</v>
      </c>
      <c r="J2292">
        <f t="shared" si="106"/>
        <v>2.9316013437849942E-2</v>
      </c>
      <c r="K2292">
        <f t="shared" si="107"/>
        <v>2.0511256202663877E-2</v>
      </c>
    </row>
    <row r="2293" spans="1:11" x14ac:dyDescent="0.25">
      <c r="A2293" s="1">
        <v>2020</v>
      </c>
      <c r="B2293" s="1" t="s">
        <v>99</v>
      </c>
      <c r="C2293" t="s">
        <v>7</v>
      </c>
      <c r="D2293" s="1" t="s">
        <v>3</v>
      </c>
      <c r="E2293">
        <v>32</v>
      </c>
      <c r="F2293" s="1" t="s">
        <v>101</v>
      </c>
      <c r="G2293">
        <v>6</v>
      </c>
      <c r="H2293">
        <v>205</v>
      </c>
      <c r="I2293" s="2">
        <f t="shared" si="105"/>
        <v>40.250520000000002</v>
      </c>
      <c r="J2293">
        <f t="shared" si="106"/>
        <v>1.5024456886898097</v>
      </c>
      <c r="K2293">
        <f t="shared" si="107"/>
        <v>1.0512018803865237</v>
      </c>
    </row>
    <row r="2294" spans="1:11" x14ac:dyDescent="0.25">
      <c r="A2294" s="1">
        <v>2020</v>
      </c>
      <c r="B2294" s="1" t="s">
        <v>99</v>
      </c>
      <c r="C2294" t="s">
        <v>7</v>
      </c>
      <c r="D2294" s="1" t="s">
        <v>3</v>
      </c>
      <c r="E2294">
        <v>32</v>
      </c>
      <c r="F2294" s="1" t="s">
        <v>101</v>
      </c>
      <c r="G2294">
        <v>8</v>
      </c>
      <c r="H2294">
        <v>104</v>
      </c>
      <c r="I2294" s="2">
        <f t="shared" si="105"/>
        <v>36.301823999999996</v>
      </c>
      <c r="J2294">
        <f t="shared" si="106"/>
        <v>1.3550512877939529</v>
      </c>
      <c r="K2294">
        <f t="shared" si="107"/>
        <v>0.94807584225646369</v>
      </c>
    </row>
    <row r="2295" spans="1:11" x14ac:dyDescent="0.25">
      <c r="A2295" s="1">
        <v>2020</v>
      </c>
      <c r="B2295" s="1" t="s">
        <v>99</v>
      </c>
      <c r="C2295" t="s">
        <v>7</v>
      </c>
      <c r="D2295" s="1" t="s">
        <v>3</v>
      </c>
      <c r="E2295">
        <v>32</v>
      </c>
      <c r="F2295" s="1" t="s">
        <v>101</v>
      </c>
      <c r="G2295">
        <v>10</v>
      </c>
      <c r="H2295">
        <v>81</v>
      </c>
      <c r="I2295" s="2">
        <f t="shared" si="105"/>
        <v>44.177399999999999</v>
      </c>
      <c r="J2295">
        <f t="shared" si="106"/>
        <v>1.6490257558790593</v>
      </c>
      <c r="K2295">
        <f t="shared" si="107"/>
        <v>1.1537581613998431</v>
      </c>
    </row>
    <row r="2296" spans="1:11" x14ac:dyDescent="0.25">
      <c r="A2296" s="1">
        <v>2020</v>
      </c>
      <c r="B2296" s="1" t="s">
        <v>99</v>
      </c>
      <c r="C2296" t="s">
        <v>7</v>
      </c>
      <c r="D2296" s="1" t="s">
        <v>3</v>
      </c>
      <c r="E2296">
        <v>32</v>
      </c>
      <c r="F2296" s="1" t="s">
        <v>101</v>
      </c>
      <c r="G2296">
        <v>12</v>
      </c>
      <c r="H2296">
        <v>59</v>
      </c>
      <c r="I2296" s="2">
        <f t="shared" si="105"/>
        <v>46.337184000000001</v>
      </c>
      <c r="J2296">
        <f t="shared" si="106"/>
        <v>1.7296447928331469</v>
      </c>
      <c r="K2296">
        <f t="shared" si="107"/>
        <v>1.210164115957169</v>
      </c>
    </row>
    <row r="2297" spans="1:11" x14ac:dyDescent="0.25">
      <c r="A2297" s="1">
        <v>2020</v>
      </c>
      <c r="B2297" s="1" t="s">
        <v>99</v>
      </c>
      <c r="C2297" t="s">
        <v>7</v>
      </c>
      <c r="D2297" s="1" t="s">
        <v>3</v>
      </c>
      <c r="E2297">
        <v>32</v>
      </c>
      <c r="F2297" s="1" t="s">
        <v>101</v>
      </c>
      <c r="G2297">
        <v>14</v>
      </c>
      <c r="H2297">
        <v>37</v>
      </c>
      <c r="I2297" s="2">
        <f t="shared" si="105"/>
        <v>39.552408</v>
      </c>
      <c r="J2297">
        <f t="shared" si="106"/>
        <v>1.4763870100783876</v>
      </c>
      <c r="K2297">
        <f t="shared" si="107"/>
        <v>1.0329696526508227</v>
      </c>
    </row>
    <row r="2298" spans="1:11" x14ac:dyDescent="0.25">
      <c r="A2298" s="1">
        <v>2020</v>
      </c>
      <c r="B2298" s="1" t="s">
        <v>99</v>
      </c>
      <c r="C2298" t="s">
        <v>7</v>
      </c>
      <c r="D2298" s="1" t="s">
        <v>3</v>
      </c>
      <c r="E2298">
        <v>32</v>
      </c>
      <c r="F2298" s="1" t="s">
        <v>101</v>
      </c>
      <c r="G2298">
        <v>16</v>
      </c>
      <c r="H2298">
        <v>16</v>
      </c>
      <c r="I2298" s="2">
        <f t="shared" si="105"/>
        <v>22.339583999999999</v>
      </c>
      <c r="J2298">
        <f t="shared" si="106"/>
        <v>0.83387771556550949</v>
      </c>
      <c r="K2298">
        <f t="shared" si="107"/>
        <v>0.58343128754243923</v>
      </c>
    </row>
    <row r="2299" spans="1:11" x14ac:dyDescent="0.25">
      <c r="A2299" s="1">
        <v>2020</v>
      </c>
      <c r="B2299" s="1" t="s">
        <v>99</v>
      </c>
      <c r="C2299" t="s">
        <v>7</v>
      </c>
      <c r="D2299" s="1" t="s">
        <v>3</v>
      </c>
      <c r="E2299">
        <v>34</v>
      </c>
      <c r="F2299" s="1" t="s">
        <v>101</v>
      </c>
      <c r="G2299">
        <v>6</v>
      </c>
      <c r="H2299">
        <v>5</v>
      </c>
      <c r="I2299" s="2">
        <f t="shared" si="105"/>
        <v>0.98171999999999993</v>
      </c>
      <c r="J2299">
        <f t="shared" si="106"/>
        <v>3.6645016797312427E-2</v>
      </c>
      <c r="K2299">
        <f t="shared" si="107"/>
        <v>2.5639070253329847E-2</v>
      </c>
    </row>
    <row r="2300" spans="1:11" x14ac:dyDescent="0.25">
      <c r="A2300" s="1">
        <v>2020</v>
      </c>
      <c r="B2300" s="1" t="s">
        <v>99</v>
      </c>
      <c r="C2300" t="s">
        <v>7</v>
      </c>
      <c r="D2300" s="1" t="s">
        <v>3</v>
      </c>
      <c r="E2300">
        <v>34</v>
      </c>
      <c r="F2300" s="1" t="s">
        <v>101</v>
      </c>
      <c r="G2300">
        <v>8</v>
      </c>
      <c r="H2300">
        <v>15</v>
      </c>
      <c r="I2300" s="2">
        <f t="shared" si="105"/>
        <v>5.2358399999999996</v>
      </c>
      <c r="J2300">
        <f t="shared" si="106"/>
        <v>0.19544008958566628</v>
      </c>
      <c r="K2300">
        <f t="shared" si="107"/>
        <v>0.13674170801775917</v>
      </c>
    </row>
    <row r="2301" spans="1:11" x14ac:dyDescent="0.25">
      <c r="A2301" s="1">
        <v>2020</v>
      </c>
      <c r="B2301" s="1" t="s">
        <v>99</v>
      </c>
      <c r="C2301" t="s">
        <v>7</v>
      </c>
      <c r="D2301" s="1" t="s">
        <v>3</v>
      </c>
      <c r="E2301">
        <v>34</v>
      </c>
      <c r="F2301" s="1" t="s">
        <v>101</v>
      </c>
      <c r="G2301">
        <v>10</v>
      </c>
      <c r="H2301">
        <v>20</v>
      </c>
      <c r="I2301" s="2">
        <f t="shared" si="105"/>
        <v>10.907999999999999</v>
      </c>
      <c r="J2301">
        <f t="shared" si="106"/>
        <v>0.40716685330347147</v>
      </c>
      <c r="K2301">
        <f t="shared" si="107"/>
        <v>0.28487855837033166</v>
      </c>
    </row>
    <row r="2302" spans="1:11" x14ac:dyDescent="0.25">
      <c r="A2302" s="1">
        <v>2020</v>
      </c>
      <c r="B2302" s="1" t="s">
        <v>99</v>
      </c>
      <c r="C2302" t="s">
        <v>7</v>
      </c>
      <c r="D2302" s="1" t="s">
        <v>3</v>
      </c>
      <c r="E2302">
        <v>34</v>
      </c>
      <c r="F2302" s="1" t="s">
        <v>101</v>
      </c>
      <c r="G2302">
        <v>12</v>
      </c>
      <c r="H2302">
        <v>20</v>
      </c>
      <c r="I2302" s="2">
        <f t="shared" si="105"/>
        <v>15.707519999999999</v>
      </c>
      <c r="J2302">
        <f t="shared" si="106"/>
        <v>0.58632026875699883</v>
      </c>
      <c r="K2302">
        <f t="shared" si="107"/>
        <v>0.41022512405327755</v>
      </c>
    </row>
    <row r="2303" spans="1:11" x14ac:dyDescent="0.25">
      <c r="A2303" s="1">
        <v>2020</v>
      </c>
      <c r="B2303" s="1" t="s">
        <v>99</v>
      </c>
      <c r="C2303" t="s">
        <v>7</v>
      </c>
      <c r="D2303" s="1" t="s">
        <v>3</v>
      </c>
      <c r="E2303">
        <v>34</v>
      </c>
      <c r="F2303" s="1" t="s">
        <v>101</v>
      </c>
      <c r="G2303">
        <v>14</v>
      </c>
      <c r="H2303">
        <v>16</v>
      </c>
      <c r="I2303" s="2">
        <f t="shared" si="105"/>
        <v>17.103743999999999</v>
      </c>
      <c r="J2303">
        <f t="shared" si="106"/>
        <v>0.63843762597984322</v>
      </c>
      <c r="K2303">
        <f t="shared" si="107"/>
        <v>0.44668957952468002</v>
      </c>
    </row>
    <row r="2304" spans="1:11" x14ac:dyDescent="0.25">
      <c r="A2304" s="1">
        <v>2020</v>
      </c>
      <c r="B2304" s="1" t="s">
        <v>99</v>
      </c>
      <c r="C2304" t="s">
        <v>7</v>
      </c>
      <c r="D2304" s="1" t="s">
        <v>3</v>
      </c>
      <c r="E2304">
        <v>34</v>
      </c>
      <c r="F2304" s="1" t="s">
        <v>101</v>
      </c>
      <c r="G2304">
        <v>16</v>
      </c>
      <c r="H2304">
        <v>30</v>
      </c>
      <c r="I2304" s="2">
        <f t="shared" si="105"/>
        <v>41.886719999999997</v>
      </c>
      <c r="J2304">
        <f t="shared" si="106"/>
        <v>1.5635207166853302</v>
      </c>
      <c r="K2304">
        <f t="shared" si="107"/>
        <v>1.0939336641420734</v>
      </c>
    </row>
    <row r="2305" spans="1:11" x14ac:dyDescent="0.25">
      <c r="A2305" s="1">
        <v>2020</v>
      </c>
      <c r="B2305" s="1" t="s">
        <v>99</v>
      </c>
      <c r="C2305" t="s">
        <v>7</v>
      </c>
      <c r="D2305" s="1" t="s">
        <v>3</v>
      </c>
      <c r="E2305">
        <v>38</v>
      </c>
      <c r="F2305" s="1" t="s">
        <v>101</v>
      </c>
      <c r="G2305">
        <v>6</v>
      </c>
      <c r="H2305">
        <v>5</v>
      </c>
      <c r="I2305" s="2">
        <f t="shared" si="105"/>
        <v>0.98171999999999993</v>
      </c>
      <c r="J2305">
        <f t="shared" si="106"/>
        <v>3.6645016797312427E-2</v>
      </c>
      <c r="K2305">
        <f t="shared" si="107"/>
        <v>2.5639070253329847E-2</v>
      </c>
    </row>
    <row r="2306" spans="1:11" x14ac:dyDescent="0.25">
      <c r="A2306" s="1">
        <v>2020</v>
      </c>
      <c r="B2306" s="1" t="s">
        <v>99</v>
      </c>
      <c r="C2306" t="s">
        <v>7</v>
      </c>
      <c r="D2306" s="1" t="s">
        <v>3</v>
      </c>
      <c r="E2306">
        <v>38</v>
      </c>
      <c r="F2306" s="1" t="s">
        <v>101</v>
      </c>
      <c r="G2306">
        <v>8</v>
      </c>
      <c r="H2306">
        <v>18</v>
      </c>
      <c r="I2306" s="2">
        <f t="shared" si="105"/>
        <v>6.2830079999999997</v>
      </c>
      <c r="J2306">
        <f t="shared" si="106"/>
        <v>0.23452810750279954</v>
      </c>
      <c r="K2306">
        <f t="shared" si="107"/>
        <v>0.16409004962131102</v>
      </c>
    </row>
    <row r="2307" spans="1:11" x14ac:dyDescent="0.25">
      <c r="A2307" s="1">
        <v>2020</v>
      </c>
      <c r="B2307" s="1" t="s">
        <v>99</v>
      </c>
      <c r="C2307" t="s">
        <v>7</v>
      </c>
      <c r="D2307" s="1" t="s">
        <v>3</v>
      </c>
      <c r="E2307">
        <v>38</v>
      </c>
      <c r="F2307" s="1" t="s">
        <v>101</v>
      </c>
      <c r="G2307">
        <v>10</v>
      </c>
      <c r="H2307">
        <v>31</v>
      </c>
      <c r="I2307" s="2">
        <f t="shared" ref="I2307:I2370" si="108">0.005454*G2307^2*H2307</f>
        <v>16.907399999999999</v>
      </c>
      <c r="J2307">
        <f t="shared" ref="J2307:J2370" si="109">I2307/26.79</f>
        <v>0.6311086226203807</v>
      </c>
      <c r="K2307">
        <f t="shared" ref="K2307:K2370" si="110">J2307*(26.79/38.29)</f>
        <v>0.44156176547401405</v>
      </c>
    </row>
    <row r="2308" spans="1:11" x14ac:dyDescent="0.25">
      <c r="A2308" s="1">
        <v>2020</v>
      </c>
      <c r="B2308" s="1" t="s">
        <v>99</v>
      </c>
      <c r="C2308" t="s">
        <v>7</v>
      </c>
      <c r="D2308" s="1" t="s">
        <v>3</v>
      </c>
      <c r="E2308">
        <v>38</v>
      </c>
      <c r="F2308" s="1" t="s">
        <v>101</v>
      </c>
      <c r="G2308">
        <v>12</v>
      </c>
      <c r="H2308">
        <v>48</v>
      </c>
      <c r="I2308" s="2">
        <f t="shared" si="108"/>
        <v>37.698048</v>
      </c>
      <c r="J2308">
        <f t="shared" si="109"/>
        <v>1.4071686450167973</v>
      </c>
      <c r="K2308">
        <f t="shared" si="110"/>
        <v>0.98454029772786622</v>
      </c>
    </row>
    <row r="2309" spans="1:11" x14ac:dyDescent="0.25">
      <c r="A2309" s="1">
        <v>2020</v>
      </c>
      <c r="B2309" s="1" t="s">
        <v>99</v>
      </c>
      <c r="C2309" t="s">
        <v>7</v>
      </c>
      <c r="D2309" s="1" t="s">
        <v>3</v>
      </c>
      <c r="E2309">
        <v>38</v>
      </c>
      <c r="F2309" s="1" t="s">
        <v>101</v>
      </c>
      <c r="G2309">
        <v>14</v>
      </c>
      <c r="H2309">
        <v>64</v>
      </c>
      <c r="I2309" s="2">
        <f t="shared" si="108"/>
        <v>68.414975999999996</v>
      </c>
      <c r="J2309">
        <f t="shared" si="109"/>
        <v>2.5537505039193729</v>
      </c>
      <c r="K2309">
        <f t="shared" si="110"/>
        <v>1.7867583180987201</v>
      </c>
    </row>
    <row r="2310" spans="1:11" x14ac:dyDescent="0.25">
      <c r="A2310" s="1">
        <v>2020</v>
      </c>
      <c r="B2310" s="1" t="s">
        <v>99</v>
      </c>
      <c r="C2310" t="s">
        <v>7</v>
      </c>
      <c r="D2310" s="1" t="s">
        <v>3</v>
      </c>
      <c r="E2310">
        <v>38</v>
      </c>
      <c r="F2310" s="1" t="s">
        <v>101</v>
      </c>
      <c r="G2310">
        <v>16</v>
      </c>
      <c r="H2310">
        <v>56</v>
      </c>
      <c r="I2310" s="2">
        <f t="shared" si="108"/>
        <v>78.188543999999993</v>
      </c>
      <c r="J2310">
        <f t="shared" si="109"/>
        <v>2.9185720044792833</v>
      </c>
      <c r="K2310">
        <f t="shared" si="110"/>
        <v>2.0420095063985375</v>
      </c>
    </row>
    <row r="2311" spans="1:11" x14ac:dyDescent="0.25">
      <c r="A2311" s="1">
        <v>2020</v>
      </c>
      <c r="B2311" s="1" t="s">
        <v>99</v>
      </c>
      <c r="C2311" t="s">
        <v>7</v>
      </c>
      <c r="D2311" s="1" t="s">
        <v>3</v>
      </c>
      <c r="E2311">
        <v>38</v>
      </c>
      <c r="F2311" s="1" t="s">
        <v>101</v>
      </c>
      <c r="G2311">
        <v>18</v>
      </c>
      <c r="H2311">
        <v>1</v>
      </c>
      <c r="I2311" s="2">
        <f t="shared" si="108"/>
        <v>1.7670959999999998</v>
      </c>
      <c r="J2311">
        <f t="shared" si="109"/>
        <v>6.5961030235162366E-2</v>
      </c>
      <c r="K2311">
        <f t="shared" si="110"/>
        <v>4.615032645599372E-2</v>
      </c>
    </row>
    <row r="2312" spans="1:11" x14ac:dyDescent="0.25">
      <c r="A2312" s="1">
        <v>2020</v>
      </c>
      <c r="B2312" s="1" t="s">
        <v>99</v>
      </c>
      <c r="C2312" t="s">
        <v>7</v>
      </c>
      <c r="D2312" s="1" t="s">
        <v>3</v>
      </c>
      <c r="E2312">
        <v>40</v>
      </c>
      <c r="F2312" s="1" t="s">
        <v>101</v>
      </c>
      <c r="G2312">
        <v>6</v>
      </c>
      <c r="H2312">
        <v>9</v>
      </c>
      <c r="I2312" s="2">
        <f t="shared" si="108"/>
        <v>1.767096</v>
      </c>
      <c r="J2312">
        <f t="shared" si="109"/>
        <v>6.596103023516238E-2</v>
      </c>
      <c r="K2312">
        <f t="shared" si="110"/>
        <v>4.6150326455993734E-2</v>
      </c>
    </row>
    <row r="2313" spans="1:11" x14ac:dyDescent="0.25">
      <c r="A2313" s="1">
        <v>2020</v>
      </c>
      <c r="B2313" s="1" t="s">
        <v>99</v>
      </c>
      <c r="C2313" t="s">
        <v>7</v>
      </c>
      <c r="D2313" s="1" t="s">
        <v>3</v>
      </c>
      <c r="E2313">
        <v>40</v>
      </c>
      <c r="F2313" s="1" t="s">
        <v>101</v>
      </c>
      <c r="G2313">
        <v>8</v>
      </c>
      <c r="H2313">
        <v>8</v>
      </c>
      <c r="I2313" s="2">
        <f t="shared" si="108"/>
        <v>2.7924479999999998</v>
      </c>
      <c r="J2313">
        <f t="shared" si="109"/>
        <v>0.10423471444568869</v>
      </c>
      <c r="K2313">
        <f t="shared" si="110"/>
        <v>7.2928910942804903E-2</v>
      </c>
    </row>
    <row r="2314" spans="1:11" x14ac:dyDescent="0.25">
      <c r="A2314" s="1">
        <v>2020</v>
      </c>
      <c r="B2314" s="1" t="s">
        <v>99</v>
      </c>
      <c r="C2314" t="s">
        <v>7</v>
      </c>
      <c r="D2314" s="1" t="s">
        <v>3</v>
      </c>
      <c r="E2314">
        <v>40</v>
      </c>
      <c r="F2314" s="1" t="s">
        <v>101</v>
      </c>
      <c r="G2314">
        <v>10</v>
      </c>
      <c r="H2314">
        <v>9</v>
      </c>
      <c r="I2314" s="2">
        <f t="shared" si="108"/>
        <v>4.9085999999999999</v>
      </c>
      <c r="J2314">
        <f t="shared" si="109"/>
        <v>0.18322508398656215</v>
      </c>
      <c r="K2314">
        <f t="shared" si="110"/>
        <v>0.12819535126664924</v>
      </c>
    </row>
    <row r="2315" spans="1:11" x14ac:dyDescent="0.25">
      <c r="A2315" s="1">
        <v>2020</v>
      </c>
      <c r="B2315" s="1" t="s">
        <v>99</v>
      </c>
      <c r="C2315" t="s">
        <v>7</v>
      </c>
      <c r="D2315" s="1" t="s">
        <v>3</v>
      </c>
      <c r="E2315">
        <v>40</v>
      </c>
      <c r="F2315" s="1" t="s">
        <v>101</v>
      </c>
      <c r="G2315">
        <v>12</v>
      </c>
      <c r="H2315">
        <v>16</v>
      </c>
      <c r="I2315" s="2">
        <f t="shared" si="108"/>
        <v>12.566015999999999</v>
      </c>
      <c r="J2315">
        <f t="shared" si="109"/>
        <v>0.46905621500559908</v>
      </c>
      <c r="K2315">
        <f t="shared" si="110"/>
        <v>0.32818009924262204</v>
      </c>
    </row>
    <row r="2316" spans="1:11" x14ac:dyDescent="0.25">
      <c r="A2316" s="1">
        <v>2020</v>
      </c>
      <c r="B2316" s="1" t="s">
        <v>99</v>
      </c>
      <c r="C2316" t="s">
        <v>7</v>
      </c>
      <c r="D2316" s="1" t="s">
        <v>3</v>
      </c>
      <c r="E2316">
        <v>40</v>
      </c>
      <c r="F2316" s="1" t="s">
        <v>101</v>
      </c>
      <c r="G2316">
        <v>14</v>
      </c>
      <c r="H2316">
        <v>15</v>
      </c>
      <c r="I2316" s="2">
        <f t="shared" si="108"/>
        <v>16.034759999999999</v>
      </c>
      <c r="J2316">
        <f t="shared" si="109"/>
        <v>0.59853527435610299</v>
      </c>
      <c r="K2316">
        <f t="shared" si="110"/>
        <v>0.41877148080438753</v>
      </c>
    </row>
    <row r="2317" spans="1:11" x14ac:dyDescent="0.25">
      <c r="A2317" s="1">
        <v>2020</v>
      </c>
      <c r="B2317" s="1" t="s">
        <v>99</v>
      </c>
      <c r="C2317" t="s">
        <v>7</v>
      </c>
      <c r="D2317" s="1" t="s">
        <v>3</v>
      </c>
      <c r="E2317">
        <v>40</v>
      </c>
      <c r="F2317" s="1" t="s">
        <v>101</v>
      </c>
      <c r="G2317">
        <v>16</v>
      </c>
      <c r="H2317">
        <v>31</v>
      </c>
      <c r="I2317" s="2">
        <f t="shared" si="108"/>
        <v>43.282944000000001</v>
      </c>
      <c r="J2317">
        <f t="shared" si="109"/>
        <v>1.6156380739081748</v>
      </c>
      <c r="K2317">
        <f t="shared" si="110"/>
        <v>1.130398119613476</v>
      </c>
    </row>
    <row r="2318" spans="1:11" x14ac:dyDescent="0.25">
      <c r="A2318" s="1">
        <v>2020</v>
      </c>
      <c r="B2318" s="1" t="s">
        <v>99</v>
      </c>
      <c r="C2318" t="s">
        <v>7</v>
      </c>
      <c r="D2318" s="1" t="s">
        <v>3</v>
      </c>
      <c r="E2318">
        <v>47</v>
      </c>
      <c r="F2318" s="1" t="s">
        <v>101</v>
      </c>
      <c r="G2318">
        <v>12</v>
      </c>
      <c r="H2318">
        <v>1</v>
      </c>
      <c r="I2318" s="2">
        <f t="shared" si="108"/>
        <v>0.78537599999999996</v>
      </c>
      <c r="J2318">
        <f t="shared" si="109"/>
        <v>2.9316013437849942E-2</v>
      </c>
      <c r="K2318">
        <f t="shared" si="110"/>
        <v>2.0511256202663877E-2</v>
      </c>
    </row>
    <row r="2319" spans="1:11" x14ac:dyDescent="0.25">
      <c r="A2319" s="1">
        <v>2020</v>
      </c>
      <c r="B2319" s="1" t="s">
        <v>99</v>
      </c>
      <c r="C2319" t="s">
        <v>7</v>
      </c>
      <c r="D2319" s="1" t="s">
        <v>3</v>
      </c>
      <c r="E2319">
        <v>47</v>
      </c>
      <c r="F2319" s="1" t="s">
        <v>101</v>
      </c>
      <c r="G2319">
        <v>14</v>
      </c>
      <c r="H2319">
        <v>2</v>
      </c>
      <c r="I2319" s="2">
        <f t="shared" si="108"/>
        <v>2.1379679999999999</v>
      </c>
      <c r="J2319">
        <f t="shared" si="109"/>
        <v>7.9804703247480402E-2</v>
      </c>
      <c r="K2319">
        <f t="shared" si="110"/>
        <v>5.5836197440585003E-2</v>
      </c>
    </row>
    <row r="2320" spans="1:11" x14ac:dyDescent="0.25">
      <c r="A2320" s="1">
        <v>2020</v>
      </c>
      <c r="B2320" s="1" t="s">
        <v>99</v>
      </c>
      <c r="C2320" t="s">
        <v>7</v>
      </c>
      <c r="D2320" s="1" t="s">
        <v>3</v>
      </c>
      <c r="E2320">
        <v>53</v>
      </c>
      <c r="F2320" s="1" t="s">
        <v>101</v>
      </c>
      <c r="G2320">
        <v>6</v>
      </c>
      <c r="H2320">
        <v>11</v>
      </c>
      <c r="I2320" s="2">
        <f t="shared" si="108"/>
        <v>2.1597839999999997</v>
      </c>
      <c r="J2320">
        <f t="shared" si="109"/>
        <v>8.0619036954087342E-2</v>
      </c>
      <c r="K2320">
        <f t="shared" si="110"/>
        <v>5.6405954557325666E-2</v>
      </c>
    </row>
    <row r="2321" spans="1:11" x14ac:dyDescent="0.25">
      <c r="A2321" s="1">
        <v>2020</v>
      </c>
      <c r="B2321" s="1" t="s">
        <v>99</v>
      </c>
      <c r="C2321" t="s">
        <v>7</v>
      </c>
      <c r="D2321" s="1" t="s">
        <v>3</v>
      </c>
      <c r="E2321">
        <v>53</v>
      </c>
      <c r="F2321" s="1" t="s">
        <v>101</v>
      </c>
      <c r="G2321">
        <v>8</v>
      </c>
      <c r="H2321">
        <v>14</v>
      </c>
      <c r="I2321" s="2">
        <f t="shared" si="108"/>
        <v>4.8867839999999996</v>
      </c>
      <c r="J2321">
        <f t="shared" si="109"/>
        <v>0.18241075027995521</v>
      </c>
      <c r="K2321">
        <f t="shared" si="110"/>
        <v>0.12762559414990859</v>
      </c>
    </row>
    <row r="2322" spans="1:11" x14ac:dyDescent="0.25">
      <c r="A2322" s="1">
        <v>2020</v>
      </c>
      <c r="B2322" s="1" t="s">
        <v>99</v>
      </c>
      <c r="C2322" t="s">
        <v>7</v>
      </c>
      <c r="D2322" s="1" t="s">
        <v>3</v>
      </c>
      <c r="E2322">
        <v>53</v>
      </c>
      <c r="F2322" s="1" t="s">
        <v>101</v>
      </c>
      <c r="G2322">
        <v>10</v>
      </c>
      <c r="H2322">
        <v>17</v>
      </c>
      <c r="I2322" s="2">
        <f t="shared" si="108"/>
        <v>9.2718000000000007</v>
      </c>
      <c r="J2322">
        <f t="shared" si="109"/>
        <v>0.34609182530795074</v>
      </c>
      <c r="K2322">
        <f t="shared" si="110"/>
        <v>0.24214677461478193</v>
      </c>
    </row>
    <row r="2323" spans="1:11" x14ac:dyDescent="0.25">
      <c r="A2323" s="1">
        <v>2020</v>
      </c>
      <c r="B2323" s="1" t="s">
        <v>99</v>
      </c>
      <c r="C2323" t="s">
        <v>7</v>
      </c>
      <c r="D2323" s="1" t="s">
        <v>3</v>
      </c>
      <c r="E2323">
        <v>53</v>
      </c>
      <c r="F2323" s="1" t="s">
        <v>101</v>
      </c>
      <c r="G2323">
        <v>12</v>
      </c>
      <c r="H2323">
        <v>18</v>
      </c>
      <c r="I2323" s="2">
        <f t="shared" si="108"/>
        <v>14.136768</v>
      </c>
      <c r="J2323">
        <f t="shared" si="109"/>
        <v>0.52768824188129904</v>
      </c>
      <c r="K2323">
        <f t="shared" si="110"/>
        <v>0.36920261164794987</v>
      </c>
    </row>
    <row r="2324" spans="1:11" x14ac:dyDescent="0.25">
      <c r="A2324" s="1">
        <v>2020</v>
      </c>
      <c r="B2324" s="1" t="s">
        <v>99</v>
      </c>
      <c r="C2324" t="s">
        <v>7</v>
      </c>
      <c r="D2324" s="1" t="s">
        <v>3</v>
      </c>
      <c r="E2324">
        <v>53</v>
      </c>
      <c r="F2324" s="1" t="s">
        <v>101</v>
      </c>
      <c r="G2324">
        <v>14</v>
      </c>
      <c r="H2324">
        <v>13</v>
      </c>
      <c r="I2324" s="2">
        <f t="shared" si="108"/>
        <v>13.896792</v>
      </c>
      <c r="J2324">
        <f t="shared" si="109"/>
        <v>0.51873057110862264</v>
      </c>
      <c r="K2324">
        <f t="shared" si="110"/>
        <v>0.36293528336380254</v>
      </c>
    </row>
    <row r="2325" spans="1:11" x14ac:dyDescent="0.25">
      <c r="A2325" s="1">
        <v>2020</v>
      </c>
      <c r="B2325" s="1" t="s">
        <v>99</v>
      </c>
      <c r="C2325" t="s">
        <v>7</v>
      </c>
      <c r="D2325" s="1" t="s">
        <v>3</v>
      </c>
      <c r="E2325">
        <v>53</v>
      </c>
      <c r="F2325" s="1" t="s">
        <v>101</v>
      </c>
      <c r="G2325">
        <v>16</v>
      </c>
      <c r="H2325">
        <v>9</v>
      </c>
      <c r="I2325" s="2">
        <f t="shared" si="108"/>
        <v>12.566015999999999</v>
      </c>
      <c r="J2325">
        <f t="shared" si="109"/>
        <v>0.46905621500559908</v>
      </c>
      <c r="K2325">
        <f t="shared" si="110"/>
        <v>0.32818009924262204</v>
      </c>
    </row>
    <row r="2326" spans="1:11" x14ac:dyDescent="0.25">
      <c r="A2326" s="1">
        <v>2020</v>
      </c>
      <c r="B2326" s="1" t="s">
        <v>99</v>
      </c>
      <c r="C2326" t="s">
        <v>7</v>
      </c>
      <c r="D2326" s="1" t="s">
        <v>3</v>
      </c>
      <c r="E2326">
        <v>53</v>
      </c>
      <c r="F2326" s="1" t="s">
        <v>101</v>
      </c>
      <c r="G2326">
        <v>18</v>
      </c>
      <c r="H2326">
        <v>1</v>
      </c>
      <c r="I2326" s="2">
        <f t="shared" si="108"/>
        <v>1.7670959999999998</v>
      </c>
      <c r="J2326">
        <f t="shared" si="109"/>
        <v>6.5961030235162366E-2</v>
      </c>
      <c r="K2326">
        <f t="shared" si="110"/>
        <v>4.615032645599372E-2</v>
      </c>
    </row>
    <row r="2327" spans="1:11" x14ac:dyDescent="0.25">
      <c r="A2327" s="1">
        <v>2020</v>
      </c>
      <c r="B2327" s="1" t="s">
        <v>99</v>
      </c>
      <c r="C2327" t="s">
        <v>7</v>
      </c>
      <c r="D2327" s="1" t="s">
        <v>3</v>
      </c>
      <c r="E2327">
        <v>54</v>
      </c>
      <c r="F2327" s="1" t="s">
        <v>101</v>
      </c>
      <c r="G2327">
        <v>6</v>
      </c>
      <c r="H2327">
        <v>51</v>
      </c>
      <c r="I2327" s="2">
        <f t="shared" si="108"/>
        <v>10.013544</v>
      </c>
      <c r="J2327">
        <f t="shared" si="109"/>
        <v>0.37377917133258676</v>
      </c>
      <c r="K2327">
        <f t="shared" si="110"/>
        <v>0.26151851658396447</v>
      </c>
    </row>
    <row r="2328" spans="1:11" x14ac:dyDescent="0.25">
      <c r="A2328" s="1">
        <v>2020</v>
      </c>
      <c r="B2328" s="1" t="s">
        <v>99</v>
      </c>
      <c r="C2328" t="s">
        <v>7</v>
      </c>
      <c r="D2328" s="1" t="s">
        <v>3</v>
      </c>
      <c r="E2328">
        <v>54</v>
      </c>
      <c r="F2328" s="1" t="s">
        <v>101</v>
      </c>
      <c r="G2328">
        <v>8</v>
      </c>
      <c r="H2328">
        <v>25</v>
      </c>
      <c r="I2328" s="2">
        <f t="shared" si="108"/>
        <v>8.7263999999999999</v>
      </c>
      <c r="J2328">
        <f t="shared" si="109"/>
        <v>0.32573348264277718</v>
      </c>
      <c r="K2328">
        <f t="shared" si="110"/>
        <v>0.22790284669626534</v>
      </c>
    </row>
    <row r="2329" spans="1:11" x14ac:dyDescent="0.25">
      <c r="A2329" s="1">
        <v>2020</v>
      </c>
      <c r="B2329" s="1" t="s">
        <v>99</v>
      </c>
      <c r="C2329" t="s">
        <v>7</v>
      </c>
      <c r="D2329" s="1" t="s">
        <v>3</v>
      </c>
      <c r="E2329">
        <v>54</v>
      </c>
      <c r="F2329" s="1" t="s">
        <v>101</v>
      </c>
      <c r="G2329">
        <v>10</v>
      </c>
      <c r="H2329">
        <v>12</v>
      </c>
      <c r="I2329" s="2">
        <f t="shared" si="108"/>
        <v>6.5448000000000004</v>
      </c>
      <c r="J2329">
        <f t="shared" si="109"/>
        <v>0.2443001119820829</v>
      </c>
      <c r="K2329">
        <f t="shared" si="110"/>
        <v>0.17092713502219903</v>
      </c>
    </row>
    <row r="2330" spans="1:11" x14ac:dyDescent="0.25">
      <c r="A2330" s="1">
        <v>2020</v>
      </c>
      <c r="B2330" s="1" t="s">
        <v>99</v>
      </c>
      <c r="C2330" t="s">
        <v>7</v>
      </c>
      <c r="D2330" s="1" t="s">
        <v>3</v>
      </c>
      <c r="E2330">
        <v>54</v>
      </c>
      <c r="F2330" s="1" t="s">
        <v>101</v>
      </c>
      <c r="G2330">
        <v>12</v>
      </c>
      <c r="H2330">
        <v>24</v>
      </c>
      <c r="I2330" s="2">
        <f t="shared" si="108"/>
        <v>18.849024</v>
      </c>
      <c r="J2330">
        <f t="shared" si="109"/>
        <v>0.70358432250839864</v>
      </c>
      <c r="K2330">
        <f t="shared" si="110"/>
        <v>0.49227014886393311</v>
      </c>
    </row>
    <row r="2331" spans="1:11" x14ac:dyDescent="0.25">
      <c r="A2331" s="1">
        <v>2020</v>
      </c>
      <c r="B2331" s="1" t="s">
        <v>99</v>
      </c>
      <c r="C2331" t="s">
        <v>7</v>
      </c>
      <c r="D2331" s="1" t="s">
        <v>3</v>
      </c>
      <c r="E2331">
        <v>54</v>
      </c>
      <c r="F2331" s="1" t="s">
        <v>101</v>
      </c>
      <c r="G2331">
        <v>14</v>
      </c>
      <c r="H2331">
        <v>21</v>
      </c>
      <c r="I2331" s="2">
        <f t="shared" si="108"/>
        <v>22.448663999999997</v>
      </c>
      <c r="J2331">
        <f t="shared" si="109"/>
        <v>0.83794938409854414</v>
      </c>
      <c r="K2331">
        <f t="shared" si="110"/>
        <v>0.5862800731261425</v>
      </c>
    </row>
    <row r="2332" spans="1:11" x14ac:dyDescent="0.25">
      <c r="A2332" s="1">
        <v>2020</v>
      </c>
      <c r="B2332" s="1" t="s">
        <v>99</v>
      </c>
      <c r="C2332" t="s">
        <v>7</v>
      </c>
      <c r="D2332" s="1" t="s">
        <v>3</v>
      </c>
      <c r="E2332">
        <v>54</v>
      </c>
      <c r="F2332" s="1" t="s">
        <v>101</v>
      </c>
      <c r="G2332">
        <v>16</v>
      </c>
      <c r="H2332">
        <v>9</v>
      </c>
      <c r="I2332" s="2">
        <f t="shared" si="108"/>
        <v>12.566015999999999</v>
      </c>
      <c r="J2332">
        <f t="shared" si="109"/>
        <v>0.46905621500559908</v>
      </c>
      <c r="K2332">
        <f t="shared" si="110"/>
        <v>0.32818009924262204</v>
      </c>
    </row>
    <row r="2333" spans="1:11" x14ac:dyDescent="0.25">
      <c r="A2333" s="1">
        <v>2020</v>
      </c>
      <c r="B2333" s="1" t="s">
        <v>99</v>
      </c>
      <c r="C2333" t="s">
        <v>7</v>
      </c>
      <c r="D2333" s="1" t="s">
        <v>3</v>
      </c>
      <c r="E2333">
        <v>56</v>
      </c>
      <c r="F2333" s="1" t="s">
        <v>101</v>
      </c>
      <c r="G2333">
        <v>6</v>
      </c>
      <c r="H2333">
        <v>26</v>
      </c>
      <c r="I2333" s="2">
        <f t="shared" si="108"/>
        <v>5.1049439999999997</v>
      </c>
      <c r="J2333">
        <f t="shared" si="109"/>
        <v>0.19055408734602464</v>
      </c>
      <c r="K2333">
        <f t="shared" si="110"/>
        <v>0.13332316531731522</v>
      </c>
    </row>
    <row r="2334" spans="1:11" x14ac:dyDescent="0.25">
      <c r="A2334" s="1">
        <v>2020</v>
      </c>
      <c r="B2334" s="1" t="s">
        <v>99</v>
      </c>
      <c r="C2334" t="s">
        <v>7</v>
      </c>
      <c r="D2334" s="1" t="s">
        <v>3</v>
      </c>
      <c r="E2334">
        <v>56</v>
      </c>
      <c r="F2334" s="1" t="s">
        <v>101</v>
      </c>
      <c r="G2334">
        <v>8</v>
      </c>
      <c r="H2334">
        <v>13</v>
      </c>
      <c r="I2334" s="2">
        <f t="shared" si="108"/>
        <v>4.5377279999999995</v>
      </c>
      <c r="J2334">
        <f t="shared" si="109"/>
        <v>0.16938141097424411</v>
      </c>
      <c r="K2334">
        <f t="shared" si="110"/>
        <v>0.11850948028205796</v>
      </c>
    </row>
    <row r="2335" spans="1:11" x14ac:dyDescent="0.25">
      <c r="A2335" s="1">
        <v>2020</v>
      </c>
      <c r="B2335" s="1" t="s">
        <v>99</v>
      </c>
      <c r="C2335" t="s">
        <v>7</v>
      </c>
      <c r="D2335" s="1" t="s">
        <v>3</v>
      </c>
      <c r="E2335">
        <v>56</v>
      </c>
      <c r="F2335" s="1" t="s">
        <v>101</v>
      </c>
      <c r="G2335">
        <v>10</v>
      </c>
      <c r="H2335">
        <v>13</v>
      </c>
      <c r="I2335" s="2">
        <f t="shared" si="108"/>
        <v>7.0902000000000003</v>
      </c>
      <c r="J2335">
        <f t="shared" si="109"/>
        <v>0.26465845464725646</v>
      </c>
      <c r="K2335">
        <f t="shared" si="110"/>
        <v>0.18517106294071559</v>
      </c>
    </row>
    <row r="2336" spans="1:11" x14ac:dyDescent="0.25">
      <c r="A2336" s="1">
        <v>2020</v>
      </c>
      <c r="B2336" s="1" t="s">
        <v>99</v>
      </c>
      <c r="C2336" t="s">
        <v>7</v>
      </c>
      <c r="D2336" s="1" t="s">
        <v>3</v>
      </c>
      <c r="E2336">
        <v>56</v>
      </c>
      <c r="F2336" s="1" t="s">
        <v>101</v>
      </c>
      <c r="G2336">
        <v>12</v>
      </c>
      <c r="H2336">
        <v>6</v>
      </c>
      <c r="I2336" s="2">
        <f t="shared" si="108"/>
        <v>4.712256</v>
      </c>
      <c r="J2336">
        <f t="shared" si="109"/>
        <v>0.17589608062709966</v>
      </c>
      <c r="K2336">
        <f t="shared" si="110"/>
        <v>0.12306753721598328</v>
      </c>
    </row>
    <row r="2337" spans="1:11" x14ac:dyDescent="0.25">
      <c r="A2337" s="1">
        <v>2020</v>
      </c>
      <c r="B2337" s="1" t="s">
        <v>99</v>
      </c>
      <c r="C2337" t="s">
        <v>7</v>
      </c>
      <c r="D2337" s="1" t="s">
        <v>3</v>
      </c>
      <c r="E2337">
        <v>56</v>
      </c>
      <c r="F2337" s="1" t="s">
        <v>101</v>
      </c>
      <c r="G2337">
        <v>14</v>
      </c>
      <c r="H2337">
        <v>10</v>
      </c>
      <c r="I2337" s="2">
        <f t="shared" si="108"/>
        <v>10.68984</v>
      </c>
      <c r="J2337">
        <f t="shared" si="109"/>
        <v>0.39902351623740201</v>
      </c>
      <c r="K2337">
        <f t="shared" si="110"/>
        <v>0.279180987202925</v>
      </c>
    </row>
    <row r="2338" spans="1:11" x14ac:dyDescent="0.25">
      <c r="A2338" s="1">
        <v>2020</v>
      </c>
      <c r="B2338" s="1" t="s">
        <v>99</v>
      </c>
      <c r="C2338" t="s">
        <v>7</v>
      </c>
      <c r="D2338" s="1" t="s">
        <v>3</v>
      </c>
      <c r="E2338">
        <v>56</v>
      </c>
      <c r="F2338" s="1" t="s">
        <v>101</v>
      </c>
      <c r="G2338">
        <v>16</v>
      </c>
      <c r="H2338">
        <v>4</v>
      </c>
      <c r="I2338" s="2">
        <f t="shared" si="108"/>
        <v>5.5848959999999996</v>
      </c>
      <c r="J2338">
        <f t="shared" si="109"/>
        <v>0.20846942889137737</v>
      </c>
      <c r="K2338">
        <f t="shared" si="110"/>
        <v>0.14585782188560981</v>
      </c>
    </row>
    <row r="2339" spans="1:11" x14ac:dyDescent="0.25">
      <c r="A2339" s="1">
        <v>2020</v>
      </c>
      <c r="B2339" s="1" t="s">
        <v>99</v>
      </c>
      <c r="C2339" t="s">
        <v>7</v>
      </c>
      <c r="D2339" s="1" t="s">
        <v>3</v>
      </c>
      <c r="E2339">
        <v>56</v>
      </c>
      <c r="F2339" s="1" t="s">
        <v>101</v>
      </c>
      <c r="G2339">
        <v>18</v>
      </c>
      <c r="H2339">
        <v>1</v>
      </c>
      <c r="I2339" s="2">
        <f t="shared" si="108"/>
        <v>1.7670959999999998</v>
      </c>
      <c r="J2339">
        <f t="shared" si="109"/>
        <v>6.5961030235162366E-2</v>
      </c>
      <c r="K2339">
        <f t="shared" si="110"/>
        <v>4.615032645599372E-2</v>
      </c>
    </row>
    <row r="2340" spans="1:11" x14ac:dyDescent="0.25">
      <c r="A2340" s="1">
        <v>2020</v>
      </c>
      <c r="B2340" s="1" t="s">
        <v>99</v>
      </c>
      <c r="C2340" t="s">
        <v>7</v>
      </c>
      <c r="D2340" s="1" t="s">
        <v>3</v>
      </c>
      <c r="E2340">
        <v>56</v>
      </c>
      <c r="F2340" s="1" t="s">
        <v>101</v>
      </c>
      <c r="G2340">
        <v>20</v>
      </c>
      <c r="H2340">
        <v>1</v>
      </c>
      <c r="I2340" s="2">
        <f t="shared" si="108"/>
        <v>2.1816</v>
      </c>
      <c r="J2340">
        <f t="shared" si="109"/>
        <v>8.1433370660694296E-2</v>
      </c>
      <c r="K2340">
        <f t="shared" si="110"/>
        <v>5.6975711674066336E-2</v>
      </c>
    </row>
    <row r="2341" spans="1:11" x14ac:dyDescent="0.25">
      <c r="A2341" s="1">
        <v>2020</v>
      </c>
      <c r="B2341" s="1" t="s">
        <v>99</v>
      </c>
      <c r="C2341" t="s">
        <v>7</v>
      </c>
      <c r="D2341" s="1" t="s">
        <v>3</v>
      </c>
      <c r="E2341">
        <v>58</v>
      </c>
      <c r="F2341" s="1" t="s">
        <v>101</v>
      </c>
      <c r="G2341">
        <v>6</v>
      </c>
      <c r="H2341">
        <v>1</v>
      </c>
      <c r="I2341" s="2">
        <f t="shared" si="108"/>
        <v>0.19634399999999999</v>
      </c>
      <c r="J2341">
        <f t="shared" si="109"/>
        <v>7.3290033594624856E-3</v>
      </c>
      <c r="K2341">
        <f t="shared" si="110"/>
        <v>5.1278140506659693E-3</v>
      </c>
    </row>
    <row r="2342" spans="1:11" x14ac:dyDescent="0.25">
      <c r="A2342" s="1">
        <v>2020</v>
      </c>
      <c r="B2342" s="1" t="s">
        <v>99</v>
      </c>
      <c r="C2342" t="s">
        <v>7</v>
      </c>
      <c r="D2342" s="1" t="s">
        <v>3</v>
      </c>
      <c r="E2342">
        <v>58</v>
      </c>
      <c r="F2342" s="1" t="s">
        <v>101</v>
      </c>
      <c r="G2342">
        <v>8</v>
      </c>
      <c r="H2342">
        <v>6</v>
      </c>
      <c r="I2342" s="2">
        <f t="shared" si="108"/>
        <v>2.0943359999999998</v>
      </c>
      <c r="J2342">
        <f t="shared" si="109"/>
        <v>7.8176035834266508E-2</v>
      </c>
      <c r="K2342">
        <f t="shared" si="110"/>
        <v>5.469668320710367E-2</v>
      </c>
    </row>
    <row r="2343" spans="1:11" x14ac:dyDescent="0.25">
      <c r="A2343" s="1">
        <v>2020</v>
      </c>
      <c r="B2343" s="1" t="s">
        <v>99</v>
      </c>
      <c r="C2343" t="s">
        <v>7</v>
      </c>
      <c r="D2343" s="1" t="s">
        <v>3</v>
      </c>
      <c r="E2343">
        <v>58</v>
      </c>
      <c r="F2343" s="1" t="s">
        <v>101</v>
      </c>
      <c r="G2343">
        <v>10</v>
      </c>
      <c r="H2343">
        <v>3</v>
      </c>
      <c r="I2343" s="2">
        <f t="shared" si="108"/>
        <v>1.6362000000000001</v>
      </c>
      <c r="J2343">
        <f t="shared" si="109"/>
        <v>6.1075027995520725E-2</v>
      </c>
      <c r="K2343">
        <f t="shared" si="110"/>
        <v>4.2731783755549757E-2</v>
      </c>
    </row>
    <row r="2344" spans="1:11" x14ac:dyDescent="0.25">
      <c r="A2344" s="1">
        <v>2020</v>
      </c>
      <c r="B2344" s="1" t="s">
        <v>99</v>
      </c>
      <c r="C2344" t="s">
        <v>7</v>
      </c>
      <c r="D2344" s="1" t="s">
        <v>3</v>
      </c>
      <c r="E2344">
        <v>58</v>
      </c>
      <c r="F2344" s="1" t="s">
        <v>101</v>
      </c>
      <c r="G2344">
        <v>12</v>
      </c>
      <c r="H2344">
        <v>2</v>
      </c>
      <c r="I2344" s="2">
        <f t="shared" si="108"/>
        <v>1.5707519999999999</v>
      </c>
      <c r="J2344">
        <f t="shared" si="109"/>
        <v>5.8632026875699884E-2</v>
      </c>
      <c r="K2344">
        <f t="shared" si="110"/>
        <v>4.1022512405327755E-2</v>
      </c>
    </row>
    <row r="2345" spans="1:11" x14ac:dyDescent="0.25">
      <c r="A2345" s="1">
        <v>2020</v>
      </c>
      <c r="B2345" s="1" t="s">
        <v>99</v>
      </c>
      <c r="C2345" t="s">
        <v>7</v>
      </c>
      <c r="D2345" s="1" t="s">
        <v>3</v>
      </c>
      <c r="E2345">
        <v>58</v>
      </c>
      <c r="F2345" s="1" t="s">
        <v>101</v>
      </c>
      <c r="G2345">
        <v>14</v>
      </c>
      <c r="H2345">
        <v>4</v>
      </c>
      <c r="I2345" s="2">
        <f t="shared" si="108"/>
        <v>4.2759359999999997</v>
      </c>
      <c r="J2345">
        <f t="shared" si="109"/>
        <v>0.1596094064949608</v>
      </c>
      <c r="K2345">
        <f t="shared" si="110"/>
        <v>0.11167239488117001</v>
      </c>
    </row>
    <row r="2346" spans="1:11" x14ac:dyDescent="0.25">
      <c r="A2346" s="1">
        <v>2020</v>
      </c>
      <c r="B2346" s="1" t="s">
        <v>99</v>
      </c>
      <c r="C2346" t="s">
        <v>7</v>
      </c>
      <c r="D2346" s="1" t="s">
        <v>3</v>
      </c>
      <c r="E2346">
        <v>63</v>
      </c>
      <c r="F2346" s="1" t="s">
        <v>101</v>
      </c>
      <c r="G2346">
        <v>6</v>
      </c>
      <c r="H2346">
        <v>34</v>
      </c>
      <c r="I2346" s="2">
        <f t="shared" si="108"/>
        <v>6.6756959999999994</v>
      </c>
      <c r="J2346">
        <f t="shared" si="109"/>
        <v>0.24918611422172451</v>
      </c>
      <c r="K2346">
        <f t="shared" si="110"/>
        <v>0.17434567772264298</v>
      </c>
    </row>
    <row r="2347" spans="1:11" x14ac:dyDescent="0.25">
      <c r="A2347" s="1">
        <v>2020</v>
      </c>
      <c r="B2347" s="1" t="s">
        <v>99</v>
      </c>
      <c r="C2347" t="s">
        <v>7</v>
      </c>
      <c r="D2347" s="1" t="s">
        <v>3</v>
      </c>
      <c r="E2347">
        <v>63</v>
      </c>
      <c r="F2347" s="1" t="s">
        <v>101</v>
      </c>
      <c r="G2347">
        <v>8</v>
      </c>
      <c r="H2347">
        <v>15</v>
      </c>
      <c r="I2347" s="2">
        <f t="shared" si="108"/>
        <v>5.2358399999999996</v>
      </c>
      <c r="J2347">
        <f t="shared" si="109"/>
        <v>0.19544008958566628</v>
      </c>
      <c r="K2347">
        <f t="shared" si="110"/>
        <v>0.13674170801775917</v>
      </c>
    </row>
    <row r="2348" spans="1:11" x14ac:dyDescent="0.25">
      <c r="A2348" s="1">
        <v>2020</v>
      </c>
      <c r="B2348" s="1" t="s">
        <v>99</v>
      </c>
      <c r="C2348" t="s">
        <v>7</v>
      </c>
      <c r="D2348" s="1" t="s">
        <v>3</v>
      </c>
      <c r="E2348">
        <v>63</v>
      </c>
      <c r="F2348" s="1" t="s">
        <v>101</v>
      </c>
      <c r="G2348">
        <v>10</v>
      </c>
      <c r="H2348">
        <v>3</v>
      </c>
      <c r="I2348" s="2">
        <f t="shared" si="108"/>
        <v>1.6362000000000001</v>
      </c>
      <c r="J2348">
        <f t="shared" si="109"/>
        <v>6.1075027995520725E-2</v>
      </c>
      <c r="K2348">
        <f t="shared" si="110"/>
        <v>4.2731783755549757E-2</v>
      </c>
    </row>
    <row r="2349" spans="1:11" x14ac:dyDescent="0.25">
      <c r="A2349" s="1">
        <v>2020</v>
      </c>
      <c r="B2349" s="1" t="s">
        <v>99</v>
      </c>
      <c r="C2349" t="s">
        <v>7</v>
      </c>
      <c r="D2349" s="1" t="s">
        <v>3</v>
      </c>
      <c r="E2349">
        <v>63</v>
      </c>
      <c r="F2349" s="1" t="s">
        <v>101</v>
      </c>
      <c r="G2349">
        <v>12</v>
      </c>
      <c r="H2349">
        <v>2</v>
      </c>
      <c r="I2349" s="2">
        <f t="shared" si="108"/>
        <v>1.5707519999999999</v>
      </c>
      <c r="J2349">
        <f t="shared" si="109"/>
        <v>5.8632026875699884E-2</v>
      </c>
      <c r="K2349">
        <f t="shared" si="110"/>
        <v>4.1022512405327755E-2</v>
      </c>
    </row>
    <row r="2350" spans="1:11" x14ac:dyDescent="0.25">
      <c r="A2350" s="1">
        <v>2020</v>
      </c>
      <c r="B2350" s="1" t="s">
        <v>99</v>
      </c>
      <c r="C2350" t="s">
        <v>7</v>
      </c>
      <c r="D2350" s="1" t="s">
        <v>3</v>
      </c>
      <c r="E2350">
        <v>65</v>
      </c>
      <c r="F2350" s="1" t="s">
        <v>101</v>
      </c>
      <c r="G2350">
        <v>6</v>
      </c>
      <c r="H2350">
        <v>1</v>
      </c>
      <c r="I2350" s="2">
        <f t="shared" si="108"/>
        <v>0.19634399999999999</v>
      </c>
      <c r="J2350">
        <f t="shared" si="109"/>
        <v>7.3290033594624856E-3</v>
      </c>
      <c r="K2350">
        <f t="shared" si="110"/>
        <v>5.1278140506659693E-3</v>
      </c>
    </row>
    <row r="2351" spans="1:11" x14ac:dyDescent="0.25">
      <c r="A2351" s="1">
        <v>2020</v>
      </c>
      <c r="B2351" s="1" t="s">
        <v>99</v>
      </c>
      <c r="C2351" t="s">
        <v>7</v>
      </c>
      <c r="D2351" s="1" t="s">
        <v>3</v>
      </c>
      <c r="E2351">
        <v>66</v>
      </c>
      <c r="F2351" s="1" t="s">
        <v>101</v>
      </c>
      <c r="G2351">
        <v>6</v>
      </c>
      <c r="H2351">
        <v>10</v>
      </c>
      <c r="I2351" s="2">
        <f t="shared" si="108"/>
        <v>1.9634399999999999</v>
      </c>
      <c r="J2351">
        <f t="shared" si="109"/>
        <v>7.3290033594624854E-2</v>
      </c>
      <c r="K2351">
        <f t="shared" si="110"/>
        <v>5.1278140506659693E-2</v>
      </c>
    </row>
    <row r="2352" spans="1:11" x14ac:dyDescent="0.25">
      <c r="A2352" s="1">
        <v>2020</v>
      </c>
      <c r="B2352" s="1" t="s">
        <v>99</v>
      </c>
      <c r="C2352" t="s">
        <v>7</v>
      </c>
      <c r="D2352" s="1" t="s">
        <v>3</v>
      </c>
      <c r="E2352">
        <v>66</v>
      </c>
      <c r="F2352" s="1" t="s">
        <v>101</v>
      </c>
      <c r="G2352">
        <v>8</v>
      </c>
      <c r="H2352">
        <v>7</v>
      </c>
      <c r="I2352" s="2">
        <f t="shared" si="108"/>
        <v>2.4433919999999998</v>
      </c>
      <c r="J2352">
        <f t="shared" si="109"/>
        <v>9.1205375139977604E-2</v>
      </c>
      <c r="K2352">
        <f t="shared" si="110"/>
        <v>6.3812797074954297E-2</v>
      </c>
    </row>
    <row r="2353" spans="1:11" x14ac:dyDescent="0.25">
      <c r="A2353" s="1">
        <v>2020</v>
      </c>
      <c r="B2353" s="1" t="s">
        <v>99</v>
      </c>
      <c r="C2353" t="s">
        <v>7</v>
      </c>
      <c r="D2353" s="1" t="s">
        <v>3</v>
      </c>
      <c r="E2353">
        <v>66</v>
      </c>
      <c r="F2353" s="1" t="s">
        <v>101</v>
      </c>
      <c r="G2353">
        <v>10</v>
      </c>
      <c r="H2353">
        <v>8</v>
      </c>
      <c r="I2353" s="2">
        <f t="shared" si="108"/>
        <v>4.3632</v>
      </c>
      <c r="J2353">
        <f t="shared" si="109"/>
        <v>0.16286674132138859</v>
      </c>
      <c r="K2353">
        <f t="shared" si="110"/>
        <v>0.11395142334813267</v>
      </c>
    </row>
    <row r="2354" spans="1:11" x14ac:dyDescent="0.25">
      <c r="A2354" s="1">
        <v>2020</v>
      </c>
      <c r="B2354" s="1" t="s">
        <v>99</v>
      </c>
      <c r="C2354" t="s">
        <v>7</v>
      </c>
      <c r="D2354" s="1" t="s">
        <v>3</v>
      </c>
      <c r="E2354">
        <v>66</v>
      </c>
      <c r="F2354" s="1" t="s">
        <v>101</v>
      </c>
      <c r="G2354">
        <v>12</v>
      </c>
      <c r="H2354">
        <v>5</v>
      </c>
      <c r="I2354" s="2">
        <f t="shared" si="108"/>
        <v>3.9268799999999997</v>
      </c>
      <c r="J2354">
        <f t="shared" si="109"/>
        <v>0.14658006718924971</v>
      </c>
      <c r="K2354">
        <f t="shared" si="110"/>
        <v>0.10255628101331939</v>
      </c>
    </row>
    <row r="2355" spans="1:11" x14ac:dyDescent="0.25">
      <c r="A2355" s="1">
        <v>2020</v>
      </c>
      <c r="B2355" s="1" t="s">
        <v>99</v>
      </c>
      <c r="C2355" t="s">
        <v>7</v>
      </c>
      <c r="D2355" s="1" t="s">
        <v>3</v>
      </c>
      <c r="E2355">
        <v>66</v>
      </c>
      <c r="F2355" s="1" t="s">
        <v>101</v>
      </c>
      <c r="G2355">
        <v>14</v>
      </c>
      <c r="H2355">
        <v>7</v>
      </c>
      <c r="I2355" s="2">
        <f t="shared" si="108"/>
        <v>7.4828879999999991</v>
      </c>
      <c r="J2355">
        <f t="shared" si="109"/>
        <v>0.27931646136618138</v>
      </c>
      <c r="K2355">
        <f t="shared" si="110"/>
        <v>0.19542669104204749</v>
      </c>
    </row>
    <row r="2356" spans="1:11" x14ac:dyDescent="0.25">
      <c r="A2356" s="1">
        <v>2020</v>
      </c>
      <c r="B2356" s="1" t="s">
        <v>99</v>
      </c>
      <c r="C2356" t="s">
        <v>7</v>
      </c>
      <c r="D2356" s="1" t="s">
        <v>3</v>
      </c>
      <c r="E2356">
        <v>66</v>
      </c>
      <c r="F2356" s="1" t="s">
        <v>101</v>
      </c>
      <c r="G2356">
        <v>16</v>
      </c>
      <c r="H2356">
        <v>4</v>
      </c>
      <c r="I2356" s="2">
        <f t="shared" si="108"/>
        <v>5.5848959999999996</v>
      </c>
      <c r="J2356">
        <f t="shared" si="109"/>
        <v>0.20846942889137737</v>
      </c>
      <c r="K2356">
        <f t="shared" si="110"/>
        <v>0.14585782188560981</v>
      </c>
    </row>
    <row r="2357" spans="1:11" x14ac:dyDescent="0.25">
      <c r="A2357" s="1">
        <v>2020</v>
      </c>
      <c r="B2357" s="1" t="s">
        <v>99</v>
      </c>
      <c r="C2357" t="s">
        <v>7</v>
      </c>
      <c r="D2357" s="1" t="s">
        <v>3</v>
      </c>
      <c r="E2357">
        <v>71</v>
      </c>
      <c r="F2357" s="1" t="s">
        <v>101</v>
      </c>
      <c r="G2357">
        <v>6</v>
      </c>
      <c r="H2357">
        <v>7</v>
      </c>
      <c r="I2357" s="2">
        <f t="shared" si="108"/>
        <v>1.3744079999999999</v>
      </c>
      <c r="J2357">
        <f t="shared" si="109"/>
        <v>5.1303023516237396E-2</v>
      </c>
      <c r="K2357">
        <f t="shared" si="110"/>
        <v>3.5894698354661782E-2</v>
      </c>
    </row>
    <row r="2358" spans="1:11" x14ac:dyDescent="0.25">
      <c r="A2358" s="1">
        <v>2020</v>
      </c>
      <c r="B2358" s="1" t="s">
        <v>99</v>
      </c>
      <c r="C2358" t="s">
        <v>7</v>
      </c>
      <c r="D2358" s="1" t="s">
        <v>3</v>
      </c>
      <c r="E2358">
        <v>71</v>
      </c>
      <c r="F2358" s="1" t="s">
        <v>101</v>
      </c>
      <c r="G2358">
        <v>8</v>
      </c>
      <c r="H2358">
        <v>2</v>
      </c>
      <c r="I2358" s="2">
        <f t="shared" si="108"/>
        <v>0.69811199999999995</v>
      </c>
      <c r="J2358">
        <f t="shared" si="109"/>
        <v>2.6058678611422172E-2</v>
      </c>
      <c r="K2358">
        <f t="shared" si="110"/>
        <v>1.8232227735701226E-2</v>
      </c>
    </row>
    <row r="2359" spans="1:11" x14ac:dyDescent="0.25">
      <c r="A2359" s="1">
        <v>2020</v>
      </c>
      <c r="B2359" s="1" t="s">
        <v>99</v>
      </c>
      <c r="C2359" t="s">
        <v>7</v>
      </c>
      <c r="D2359" s="1" t="s">
        <v>3</v>
      </c>
      <c r="E2359">
        <v>71</v>
      </c>
      <c r="F2359" s="1" t="s">
        <v>101</v>
      </c>
      <c r="G2359">
        <v>10</v>
      </c>
      <c r="H2359">
        <v>5</v>
      </c>
      <c r="I2359" s="2">
        <f t="shared" si="108"/>
        <v>2.7269999999999999</v>
      </c>
      <c r="J2359">
        <f t="shared" si="109"/>
        <v>0.10179171332586787</v>
      </c>
      <c r="K2359">
        <f t="shared" si="110"/>
        <v>7.1219639592582915E-2</v>
      </c>
    </row>
    <row r="2360" spans="1:11" x14ac:dyDescent="0.25">
      <c r="A2360" s="1">
        <v>2020</v>
      </c>
      <c r="B2360" s="1" t="s">
        <v>99</v>
      </c>
      <c r="C2360" t="s">
        <v>7</v>
      </c>
      <c r="D2360" s="1" t="s">
        <v>3</v>
      </c>
      <c r="E2360">
        <v>71</v>
      </c>
      <c r="F2360" s="1" t="s">
        <v>101</v>
      </c>
      <c r="G2360">
        <v>12</v>
      </c>
      <c r="H2360">
        <v>1</v>
      </c>
      <c r="I2360" s="2">
        <f t="shared" si="108"/>
        <v>0.78537599999999996</v>
      </c>
      <c r="J2360">
        <f t="shared" si="109"/>
        <v>2.9316013437849942E-2</v>
      </c>
      <c r="K2360">
        <f t="shared" si="110"/>
        <v>2.0511256202663877E-2</v>
      </c>
    </row>
    <row r="2361" spans="1:11" x14ac:dyDescent="0.25">
      <c r="A2361" s="1">
        <v>2020</v>
      </c>
      <c r="B2361" s="1" t="s">
        <v>99</v>
      </c>
      <c r="C2361" t="s">
        <v>7</v>
      </c>
      <c r="D2361" s="1" t="s">
        <v>3</v>
      </c>
      <c r="E2361">
        <v>71</v>
      </c>
      <c r="F2361" s="1" t="s">
        <v>101</v>
      </c>
      <c r="G2361">
        <v>16</v>
      </c>
      <c r="H2361">
        <v>2</v>
      </c>
      <c r="I2361" s="2">
        <f t="shared" si="108"/>
        <v>2.7924479999999998</v>
      </c>
      <c r="J2361">
        <f t="shared" si="109"/>
        <v>0.10423471444568869</v>
      </c>
      <c r="K2361">
        <f t="shared" si="110"/>
        <v>7.2928910942804903E-2</v>
      </c>
    </row>
    <row r="2362" spans="1:11" x14ac:dyDescent="0.25">
      <c r="A2362" s="1">
        <v>2020</v>
      </c>
      <c r="B2362" s="1" t="s">
        <v>99</v>
      </c>
      <c r="C2362" t="s">
        <v>7</v>
      </c>
      <c r="D2362" s="1" t="s">
        <v>3</v>
      </c>
      <c r="E2362">
        <v>76</v>
      </c>
      <c r="F2362" s="1" t="s">
        <v>101</v>
      </c>
      <c r="G2362">
        <v>6</v>
      </c>
      <c r="H2362">
        <v>133</v>
      </c>
      <c r="I2362" s="2">
        <f t="shared" si="108"/>
        <v>26.113751999999998</v>
      </c>
      <c r="J2362">
        <f t="shared" si="109"/>
        <v>0.97475744680851062</v>
      </c>
      <c r="K2362">
        <f t="shared" si="110"/>
        <v>0.68199926873857397</v>
      </c>
    </row>
    <row r="2363" spans="1:11" x14ac:dyDescent="0.25">
      <c r="A2363" s="1">
        <v>2020</v>
      </c>
      <c r="B2363" s="1" t="s">
        <v>99</v>
      </c>
      <c r="C2363" t="s">
        <v>7</v>
      </c>
      <c r="D2363" s="1" t="s">
        <v>3</v>
      </c>
      <c r="E2363">
        <v>76</v>
      </c>
      <c r="F2363" s="1" t="s">
        <v>101</v>
      </c>
      <c r="G2363">
        <v>8</v>
      </c>
      <c r="H2363">
        <v>61</v>
      </c>
      <c r="I2363" s="2">
        <f t="shared" si="108"/>
        <v>21.292415999999999</v>
      </c>
      <c r="J2363">
        <f t="shared" si="109"/>
        <v>0.79478969764837626</v>
      </c>
      <c r="K2363">
        <f t="shared" si="110"/>
        <v>0.55608294593888741</v>
      </c>
    </row>
    <row r="2364" spans="1:11" x14ac:dyDescent="0.25">
      <c r="A2364" s="1">
        <v>2020</v>
      </c>
      <c r="B2364" s="1" t="s">
        <v>99</v>
      </c>
      <c r="C2364" t="s">
        <v>7</v>
      </c>
      <c r="D2364" s="1" t="s">
        <v>3</v>
      </c>
      <c r="E2364">
        <v>76</v>
      </c>
      <c r="F2364" s="1" t="s">
        <v>101</v>
      </c>
      <c r="G2364">
        <v>10</v>
      </c>
      <c r="H2364">
        <v>50</v>
      </c>
      <c r="I2364" s="2">
        <f t="shared" si="108"/>
        <v>27.27</v>
      </c>
      <c r="J2364">
        <f t="shared" si="109"/>
        <v>1.0179171332586787</v>
      </c>
      <c r="K2364">
        <f t="shared" si="110"/>
        <v>0.71219639592582917</v>
      </c>
    </row>
    <row r="2365" spans="1:11" x14ac:dyDescent="0.25">
      <c r="A2365" s="1">
        <v>2020</v>
      </c>
      <c r="B2365" s="1" t="s">
        <v>99</v>
      </c>
      <c r="C2365" t="s">
        <v>7</v>
      </c>
      <c r="D2365" s="1" t="s">
        <v>3</v>
      </c>
      <c r="E2365">
        <v>76</v>
      </c>
      <c r="F2365" s="1" t="s">
        <v>101</v>
      </c>
      <c r="G2365">
        <v>12</v>
      </c>
      <c r="H2365">
        <v>54</v>
      </c>
      <c r="I2365" s="2">
        <f t="shared" si="108"/>
        <v>42.410303999999996</v>
      </c>
      <c r="J2365">
        <f t="shared" si="109"/>
        <v>1.583064725643897</v>
      </c>
      <c r="K2365">
        <f t="shared" si="110"/>
        <v>1.1076078349438494</v>
      </c>
    </row>
    <row r="2366" spans="1:11" x14ac:dyDescent="0.25">
      <c r="A2366" s="1">
        <v>2020</v>
      </c>
      <c r="B2366" s="1" t="s">
        <v>99</v>
      </c>
      <c r="C2366" t="s">
        <v>7</v>
      </c>
      <c r="D2366" s="1" t="s">
        <v>3</v>
      </c>
      <c r="E2366">
        <v>76</v>
      </c>
      <c r="F2366" s="1" t="s">
        <v>101</v>
      </c>
      <c r="G2366">
        <v>14</v>
      </c>
      <c r="H2366">
        <v>38</v>
      </c>
      <c r="I2366" s="2">
        <f t="shared" si="108"/>
        <v>40.621392</v>
      </c>
      <c r="J2366">
        <f t="shared" si="109"/>
        <v>1.5162893617021278</v>
      </c>
      <c r="K2366">
        <f t="shared" si="110"/>
        <v>1.0608877513711152</v>
      </c>
    </row>
    <row r="2367" spans="1:11" x14ac:dyDescent="0.25">
      <c r="A2367" s="1">
        <v>2020</v>
      </c>
      <c r="B2367" s="1" t="s">
        <v>99</v>
      </c>
      <c r="C2367" t="s">
        <v>7</v>
      </c>
      <c r="D2367" s="1" t="s">
        <v>3</v>
      </c>
      <c r="E2367">
        <v>76</v>
      </c>
      <c r="F2367" s="1" t="s">
        <v>101</v>
      </c>
      <c r="G2367">
        <v>16</v>
      </c>
      <c r="H2367">
        <v>32</v>
      </c>
      <c r="I2367" s="2">
        <f t="shared" si="108"/>
        <v>44.679167999999997</v>
      </c>
      <c r="J2367">
        <f t="shared" si="109"/>
        <v>1.667755431131019</v>
      </c>
      <c r="K2367">
        <f t="shared" si="110"/>
        <v>1.1668625750848785</v>
      </c>
    </row>
    <row r="2368" spans="1:11" x14ac:dyDescent="0.25">
      <c r="A2368" s="1">
        <v>2020</v>
      </c>
      <c r="B2368" s="1" t="s">
        <v>99</v>
      </c>
      <c r="C2368" t="s">
        <v>7</v>
      </c>
      <c r="D2368" s="1" t="s">
        <v>3</v>
      </c>
      <c r="E2368">
        <v>76</v>
      </c>
      <c r="F2368" s="1" t="s">
        <v>101</v>
      </c>
      <c r="G2368">
        <v>18</v>
      </c>
      <c r="H2368">
        <v>3</v>
      </c>
      <c r="I2368" s="2">
        <f t="shared" si="108"/>
        <v>5.3012879999999996</v>
      </c>
      <c r="J2368">
        <f t="shared" si="109"/>
        <v>0.19788309070548712</v>
      </c>
      <c r="K2368">
        <f t="shared" si="110"/>
        <v>0.13845097936798118</v>
      </c>
    </row>
    <row r="2369" spans="1:11" x14ac:dyDescent="0.25">
      <c r="A2369" s="1">
        <v>2020</v>
      </c>
      <c r="B2369" s="1" t="s">
        <v>99</v>
      </c>
      <c r="C2369" t="s">
        <v>7</v>
      </c>
      <c r="D2369" s="1" t="s">
        <v>3</v>
      </c>
      <c r="E2369">
        <v>76</v>
      </c>
      <c r="F2369" s="1" t="s">
        <v>101</v>
      </c>
      <c r="G2369">
        <v>20</v>
      </c>
      <c r="H2369">
        <v>2</v>
      </c>
      <c r="I2369" s="2">
        <f t="shared" si="108"/>
        <v>4.3632</v>
      </c>
      <c r="J2369">
        <f t="shared" si="109"/>
        <v>0.16286674132138859</v>
      </c>
      <c r="K2369">
        <f t="shared" si="110"/>
        <v>0.11395142334813267</v>
      </c>
    </row>
    <row r="2370" spans="1:11" x14ac:dyDescent="0.25">
      <c r="A2370" s="1">
        <v>2020</v>
      </c>
      <c r="B2370" s="1" t="s">
        <v>99</v>
      </c>
      <c r="C2370" t="s">
        <v>7</v>
      </c>
      <c r="D2370" s="1" t="s">
        <v>3</v>
      </c>
      <c r="E2370">
        <v>76</v>
      </c>
      <c r="F2370" s="1" t="s">
        <v>101</v>
      </c>
      <c r="G2370">
        <v>22</v>
      </c>
      <c r="H2370">
        <v>1</v>
      </c>
      <c r="I2370" s="2">
        <f t="shared" si="108"/>
        <v>2.6397359999999996</v>
      </c>
      <c r="J2370">
        <f t="shared" si="109"/>
        <v>9.8534378499440078E-2</v>
      </c>
      <c r="K2370">
        <f t="shared" si="110"/>
        <v>6.8940611125620249E-2</v>
      </c>
    </row>
    <row r="2371" spans="1:11" x14ac:dyDescent="0.25">
      <c r="A2371" s="1">
        <v>2020</v>
      </c>
      <c r="B2371" s="1" t="s">
        <v>99</v>
      </c>
      <c r="C2371" t="s">
        <v>7</v>
      </c>
      <c r="D2371" s="1" t="s">
        <v>3</v>
      </c>
      <c r="E2371">
        <v>79</v>
      </c>
      <c r="F2371" s="1" t="s">
        <v>101</v>
      </c>
      <c r="G2371">
        <v>6</v>
      </c>
      <c r="H2371">
        <v>173</v>
      </c>
      <c r="I2371" s="2">
        <f t="shared" ref="I2371:I2434" si="111">0.005454*G2371^2*H2371</f>
        <v>33.967511999999999</v>
      </c>
      <c r="J2371">
        <f t="shared" ref="J2371:J2434" si="112">I2371/26.79</f>
        <v>1.26791758118701</v>
      </c>
      <c r="K2371">
        <f t="shared" ref="K2371:K2434" si="113">J2371*(26.79/38.29)</f>
        <v>0.88711183076521272</v>
      </c>
    </row>
    <row r="2372" spans="1:11" x14ac:dyDescent="0.25">
      <c r="A2372" s="1">
        <v>2020</v>
      </c>
      <c r="B2372" s="1" t="s">
        <v>99</v>
      </c>
      <c r="C2372" t="s">
        <v>7</v>
      </c>
      <c r="D2372" s="1" t="s">
        <v>3</v>
      </c>
      <c r="E2372">
        <v>79</v>
      </c>
      <c r="F2372" s="1" t="s">
        <v>101</v>
      </c>
      <c r="G2372">
        <v>8</v>
      </c>
      <c r="H2372">
        <v>139</v>
      </c>
      <c r="I2372" s="2">
        <f t="shared" si="111"/>
        <v>48.518783999999997</v>
      </c>
      <c r="J2372">
        <f t="shared" si="112"/>
        <v>1.8110781634938409</v>
      </c>
      <c r="K2372">
        <f t="shared" si="113"/>
        <v>1.2671398276312351</v>
      </c>
    </row>
    <row r="2373" spans="1:11" x14ac:dyDescent="0.25">
      <c r="A2373" s="1">
        <v>2020</v>
      </c>
      <c r="B2373" s="1" t="s">
        <v>99</v>
      </c>
      <c r="C2373" t="s">
        <v>7</v>
      </c>
      <c r="D2373" s="1" t="s">
        <v>3</v>
      </c>
      <c r="E2373">
        <v>79</v>
      </c>
      <c r="F2373" s="1" t="s">
        <v>101</v>
      </c>
      <c r="G2373">
        <v>10</v>
      </c>
      <c r="H2373">
        <v>137</v>
      </c>
      <c r="I2373" s="2">
        <f t="shared" si="111"/>
        <v>74.719800000000006</v>
      </c>
      <c r="J2373">
        <f t="shared" si="112"/>
        <v>2.7890929451287798</v>
      </c>
      <c r="K2373">
        <f t="shared" si="113"/>
        <v>1.9514181248367721</v>
      </c>
    </row>
    <row r="2374" spans="1:11" x14ac:dyDescent="0.25">
      <c r="A2374" s="1">
        <v>2020</v>
      </c>
      <c r="B2374" s="1" t="s">
        <v>99</v>
      </c>
      <c r="C2374" t="s">
        <v>7</v>
      </c>
      <c r="D2374" s="1" t="s">
        <v>3</v>
      </c>
      <c r="E2374">
        <v>79</v>
      </c>
      <c r="F2374" s="1" t="s">
        <v>101</v>
      </c>
      <c r="G2374">
        <v>12</v>
      </c>
      <c r="H2374">
        <v>138</v>
      </c>
      <c r="I2374" s="2">
        <f t="shared" si="111"/>
        <v>108.38188799999999</v>
      </c>
      <c r="J2374">
        <f t="shared" si="112"/>
        <v>4.0456098544232919</v>
      </c>
      <c r="K2374">
        <f t="shared" si="113"/>
        <v>2.830553355967615</v>
      </c>
    </row>
    <row r="2375" spans="1:11" x14ac:dyDescent="0.25">
      <c r="A2375" s="1">
        <v>2020</v>
      </c>
      <c r="B2375" s="1" t="s">
        <v>99</v>
      </c>
      <c r="C2375" t="s">
        <v>7</v>
      </c>
      <c r="D2375" s="1" t="s">
        <v>3</v>
      </c>
      <c r="E2375">
        <v>79</v>
      </c>
      <c r="F2375" s="1" t="s">
        <v>101</v>
      </c>
      <c r="G2375">
        <v>14</v>
      </c>
      <c r="H2375">
        <v>132</v>
      </c>
      <c r="I2375" s="2">
        <f t="shared" si="111"/>
        <v>141.10588799999999</v>
      </c>
      <c r="J2375">
        <f t="shared" si="112"/>
        <v>5.2671104143337066</v>
      </c>
      <c r="K2375">
        <f t="shared" si="113"/>
        <v>3.6851890310786102</v>
      </c>
    </row>
    <row r="2376" spans="1:11" x14ac:dyDescent="0.25">
      <c r="A2376" s="1">
        <v>2020</v>
      </c>
      <c r="B2376" s="1" t="s">
        <v>99</v>
      </c>
      <c r="C2376" t="s">
        <v>7</v>
      </c>
      <c r="D2376" s="1" t="s">
        <v>3</v>
      </c>
      <c r="E2376">
        <v>79</v>
      </c>
      <c r="F2376" s="1" t="s">
        <v>101</v>
      </c>
      <c r="G2376">
        <v>16</v>
      </c>
      <c r="H2376">
        <v>106</v>
      </c>
      <c r="I2376" s="2">
        <f t="shared" si="111"/>
        <v>147.99974399999999</v>
      </c>
      <c r="J2376">
        <f t="shared" si="112"/>
        <v>5.5244398656215008</v>
      </c>
      <c r="K2376">
        <f t="shared" si="113"/>
        <v>3.86523227996866</v>
      </c>
    </row>
    <row r="2377" spans="1:11" x14ac:dyDescent="0.25">
      <c r="A2377" s="1">
        <v>2020</v>
      </c>
      <c r="B2377" s="1" t="s">
        <v>99</v>
      </c>
      <c r="C2377" t="s">
        <v>7</v>
      </c>
      <c r="D2377" s="1" t="s">
        <v>3</v>
      </c>
      <c r="E2377">
        <v>79</v>
      </c>
      <c r="F2377" s="1" t="s">
        <v>101</v>
      </c>
      <c r="G2377">
        <v>18</v>
      </c>
      <c r="H2377">
        <v>2</v>
      </c>
      <c r="I2377" s="2">
        <f t="shared" si="111"/>
        <v>3.5341919999999996</v>
      </c>
      <c r="J2377">
        <f t="shared" si="112"/>
        <v>0.13192206047032473</v>
      </c>
      <c r="K2377">
        <f t="shared" si="113"/>
        <v>9.2300652911987441E-2</v>
      </c>
    </row>
    <row r="2378" spans="1:11" x14ac:dyDescent="0.25">
      <c r="A2378" s="1">
        <v>2020</v>
      </c>
      <c r="B2378" s="1" t="s">
        <v>99</v>
      </c>
      <c r="C2378" t="s">
        <v>7</v>
      </c>
      <c r="D2378" s="1" t="s">
        <v>3</v>
      </c>
      <c r="E2378">
        <v>79</v>
      </c>
      <c r="F2378" s="1" t="s">
        <v>101</v>
      </c>
      <c r="G2378">
        <v>20</v>
      </c>
      <c r="H2378">
        <v>2</v>
      </c>
      <c r="I2378" s="2">
        <f t="shared" si="111"/>
        <v>4.3632</v>
      </c>
      <c r="J2378">
        <f t="shared" si="112"/>
        <v>0.16286674132138859</v>
      </c>
      <c r="K2378">
        <f t="shared" si="113"/>
        <v>0.11395142334813267</v>
      </c>
    </row>
    <row r="2379" spans="1:11" x14ac:dyDescent="0.25">
      <c r="A2379" s="1">
        <v>2020</v>
      </c>
      <c r="B2379" s="1" t="s">
        <v>99</v>
      </c>
      <c r="C2379" t="s">
        <v>7</v>
      </c>
      <c r="D2379" s="1" t="s">
        <v>3</v>
      </c>
      <c r="E2379">
        <v>84</v>
      </c>
      <c r="F2379" s="1" t="s">
        <v>101</v>
      </c>
      <c r="G2379">
        <v>8</v>
      </c>
      <c r="H2379">
        <v>1</v>
      </c>
      <c r="I2379" s="2">
        <f t="shared" si="111"/>
        <v>0.34905599999999998</v>
      </c>
      <c r="J2379">
        <f t="shared" si="112"/>
        <v>1.3029339305711086E-2</v>
      </c>
      <c r="K2379">
        <f t="shared" si="113"/>
        <v>9.1161138678506129E-3</v>
      </c>
    </row>
    <row r="2380" spans="1:11" x14ac:dyDescent="0.25">
      <c r="A2380" s="1">
        <v>2020</v>
      </c>
      <c r="B2380" s="1" t="s">
        <v>99</v>
      </c>
      <c r="C2380" t="s">
        <v>7</v>
      </c>
      <c r="D2380" s="1" t="s">
        <v>3</v>
      </c>
      <c r="E2380">
        <v>85</v>
      </c>
      <c r="F2380" s="1" t="s">
        <v>101</v>
      </c>
      <c r="G2380">
        <v>6</v>
      </c>
      <c r="H2380">
        <v>6</v>
      </c>
      <c r="I2380" s="2">
        <f t="shared" si="111"/>
        <v>1.178064</v>
      </c>
      <c r="J2380">
        <f t="shared" si="112"/>
        <v>4.3974020156774915E-2</v>
      </c>
      <c r="K2380">
        <f t="shared" si="113"/>
        <v>3.0766884303995819E-2</v>
      </c>
    </row>
    <row r="2381" spans="1:11" x14ac:dyDescent="0.25">
      <c r="A2381" s="1">
        <v>2020</v>
      </c>
      <c r="B2381" s="1" t="s">
        <v>99</v>
      </c>
      <c r="C2381" t="s">
        <v>7</v>
      </c>
      <c r="D2381" s="1" t="s">
        <v>3</v>
      </c>
      <c r="E2381">
        <v>85</v>
      </c>
      <c r="F2381" s="1" t="s">
        <v>101</v>
      </c>
      <c r="G2381">
        <v>8</v>
      </c>
      <c r="H2381">
        <v>2</v>
      </c>
      <c r="I2381" s="2">
        <f t="shared" si="111"/>
        <v>0.69811199999999995</v>
      </c>
      <c r="J2381">
        <f t="shared" si="112"/>
        <v>2.6058678611422172E-2</v>
      </c>
      <c r="K2381">
        <f t="shared" si="113"/>
        <v>1.8232227735701226E-2</v>
      </c>
    </row>
    <row r="2382" spans="1:11" x14ac:dyDescent="0.25">
      <c r="A2382" s="1">
        <v>2020</v>
      </c>
      <c r="B2382" s="1" t="s">
        <v>99</v>
      </c>
      <c r="C2382" t="s">
        <v>7</v>
      </c>
      <c r="D2382" s="1" t="s">
        <v>3</v>
      </c>
      <c r="E2382">
        <v>85</v>
      </c>
      <c r="F2382" s="1" t="s">
        <v>101</v>
      </c>
      <c r="G2382">
        <v>10</v>
      </c>
      <c r="H2382">
        <v>2</v>
      </c>
      <c r="I2382" s="2">
        <f t="shared" si="111"/>
        <v>1.0908</v>
      </c>
      <c r="J2382">
        <f t="shared" si="112"/>
        <v>4.0716685330347148E-2</v>
      </c>
      <c r="K2382">
        <f t="shared" si="113"/>
        <v>2.8487855837033168E-2</v>
      </c>
    </row>
    <row r="2383" spans="1:11" x14ac:dyDescent="0.25">
      <c r="A2383" s="1">
        <v>2020</v>
      </c>
      <c r="B2383" s="1" t="s">
        <v>99</v>
      </c>
      <c r="C2383" t="s">
        <v>7</v>
      </c>
      <c r="D2383" s="1" t="s">
        <v>3</v>
      </c>
      <c r="E2383">
        <v>85</v>
      </c>
      <c r="F2383" s="1" t="s">
        <v>101</v>
      </c>
      <c r="G2383">
        <v>12</v>
      </c>
      <c r="H2383">
        <v>2</v>
      </c>
      <c r="I2383" s="2">
        <f t="shared" si="111"/>
        <v>1.5707519999999999</v>
      </c>
      <c r="J2383">
        <f t="shared" si="112"/>
        <v>5.8632026875699884E-2</v>
      </c>
      <c r="K2383">
        <f t="shared" si="113"/>
        <v>4.1022512405327755E-2</v>
      </c>
    </row>
    <row r="2384" spans="1:11" x14ac:dyDescent="0.25">
      <c r="A2384" s="1">
        <v>2020</v>
      </c>
      <c r="B2384" s="1" t="s">
        <v>99</v>
      </c>
      <c r="C2384" t="s">
        <v>7</v>
      </c>
      <c r="D2384" s="1" t="s">
        <v>3</v>
      </c>
      <c r="E2384">
        <v>85</v>
      </c>
      <c r="F2384" s="1" t="s">
        <v>101</v>
      </c>
      <c r="G2384">
        <v>14</v>
      </c>
      <c r="H2384">
        <v>8</v>
      </c>
      <c r="I2384" s="2">
        <f t="shared" si="111"/>
        <v>8.5518719999999995</v>
      </c>
      <c r="J2384">
        <f t="shared" si="112"/>
        <v>0.31921881298992161</v>
      </c>
      <c r="K2384">
        <f t="shared" si="113"/>
        <v>0.22334478976234001</v>
      </c>
    </row>
    <row r="2385" spans="1:11" x14ac:dyDescent="0.25">
      <c r="A2385" s="1">
        <v>2020</v>
      </c>
      <c r="B2385" s="1" t="s">
        <v>99</v>
      </c>
      <c r="C2385" t="s">
        <v>7</v>
      </c>
      <c r="D2385" s="1" t="s">
        <v>3</v>
      </c>
      <c r="E2385">
        <v>85</v>
      </c>
      <c r="F2385" s="1" t="s">
        <v>101</v>
      </c>
      <c r="G2385">
        <v>16</v>
      </c>
      <c r="H2385">
        <v>5</v>
      </c>
      <c r="I2385" s="2">
        <f t="shared" si="111"/>
        <v>6.9811199999999998</v>
      </c>
      <c r="J2385">
        <f t="shared" si="112"/>
        <v>0.2605867861142217</v>
      </c>
      <c r="K2385">
        <f t="shared" si="113"/>
        <v>0.18232227735701226</v>
      </c>
    </row>
    <row r="2386" spans="1:11" x14ac:dyDescent="0.25">
      <c r="A2386" s="1">
        <v>2020</v>
      </c>
      <c r="B2386" s="1" t="s">
        <v>99</v>
      </c>
      <c r="C2386" t="s">
        <v>7</v>
      </c>
      <c r="D2386" s="1" t="s">
        <v>3</v>
      </c>
      <c r="E2386">
        <v>88</v>
      </c>
      <c r="F2386" s="1" t="s">
        <v>101</v>
      </c>
      <c r="G2386">
        <v>10</v>
      </c>
      <c r="H2386">
        <v>4</v>
      </c>
      <c r="I2386" s="2">
        <f t="shared" si="111"/>
        <v>2.1816</v>
      </c>
      <c r="J2386">
        <f t="shared" si="112"/>
        <v>8.1433370660694296E-2</v>
      </c>
      <c r="K2386">
        <f t="shared" si="113"/>
        <v>5.6975711674066336E-2</v>
      </c>
    </row>
    <row r="2387" spans="1:11" x14ac:dyDescent="0.25">
      <c r="A2387" s="1">
        <v>2020</v>
      </c>
      <c r="B2387" s="1" t="s">
        <v>99</v>
      </c>
      <c r="C2387" t="s">
        <v>7</v>
      </c>
      <c r="D2387" s="1" t="s">
        <v>3</v>
      </c>
      <c r="E2387">
        <v>88</v>
      </c>
      <c r="F2387" s="1" t="s">
        <v>101</v>
      </c>
      <c r="G2387">
        <v>16</v>
      </c>
      <c r="H2387">
        <v>1</v>
      </c>
      <c r="I2387" s="2">
        <f t="shared" si="111"/>
        <v>1.3962239999999999</v>
      </c>
      <c r="J2387">
        <f t="shared" si="112"/>
        <v>5.2117357222844343E-2</v>
      </c>
      <c r="K2387">
        <f t="shared" si="113"/>
        <v>3.6464455471402452E-2</v>
      </c>
    </row>
    <row r="2388" spans="1:11" x14ac:dyDescent="0.25">
      <c r="A2388" s="1">
        <v>2020</v>
      </c>
      <c r="B2388" s="1" t="s">
        <v>99</v>
      </c>
      <c r="C2388" t="s">
        <v>7</v>
      </c>
      <c r="D2388" s="1" t="s">
        <v>3</v>
      </c>
      <c r="E2388">
        <v>91</v>
      </c>
      <c r="F2388" s="1" t="s">
        <v>101</v>
      </c>
      <c r="G2388">
        <v>6</v>
      </c>
      <c r="H2388">
        <v>3</v>
      </c>
      <c r="I2388" s="2">
        <f t="shared" si="111"/>
        <v>0.589032</v>
      </c>
      <c r="J2388">
        <f t="shared" si="112"/>
        <v>2.1987010078387458E-2</v>
      </c>
      <c r="K2388">
        <f t="shared" si="113"/>
        <v>1.538344215199791E-2</v>
      </c>
    </row>
    <row r="2389" spans="1:11" x14ac:dyDescent="0.25">
      <c r="A2389" s="1">
        <v>2020</v>
      </c>
      <c r="B2389" s="1" t="s">
        <v>99</v>
      </c>
      <c r="C2389" t="s">
        <v>7</v>
      </c>
      <c r="D2389" s="1" t="s">
        <v>3</v>
      </c>
      <c r="E2389">
        <v>91</v>
      </c>
      <c r="F2389" s="1" t="s">
        <v>101</v>
      </c>
      <c r="G2389">
        <v>8</v>
      </c>
      <c r="H2389">
        <v>1</v>
      </c>
      <c r="I2389" s="2">
        <f t="shared" si="111"/>
        <v>0.34905599999999998</v>
      </c>
      <c r="J2389">
        <f t="shared" si="112"/>
        <v>1.3029339305711086E-2</v>
      </c>
      <c r="K2389">
        <f t="shared" si="113"/>
        <v>9.1161138678506129E-3</v>
      </c>
    </row>
    <row r="2390" spans="1:11" x14ac:dyDescent="0.25">
      <c r="A2390" s="1">
        <v>2020</v>
      </c>
      <c r="B2390" s="1" t="s">
        <v>99</v>
      </c>
      <c r="C2390" t="s">
        <v>7</v>
      </c>
      <c r="D2390" s="1" t="s">
        <v>3</v>
      </c>
      <c r="E2390">
        <v>91</v>
      </c>
      <c r="F2390" s="1" t="s">
        <v>101</v>
      </c>
      <c r="G2390">
        <v>10</v>
      </c>
      <c r="H2390">
        <v>2</v>
      </c>
      <c r="I2390" s="2">
        <f t="shared" si="111"/>
        <v>1.0908</v>
      </c>
      <c r="J2390">
        <f t="shared" si="112"/>
        <v>4.0716685330347148E-2</v>
      </c>
      <c r="K2390">
        <f t="shared" si="113"/>
        <v>2.8487855837033168E-2</v>
      </c>
    </row>
    <row r="2391" spans="1:11" x14ac:dyDescent="0.25">
      <c r="A2391" s="1">
        <v>2020</v>
      </c>
      <c r="B2391" s="1" t="s">
        <v>99</v>
      </c>
      <c r="C2391" t="s">
        <v>7</v>
      </c>
      <c r="D2391" s="1" t="s">
        <v>3</v>
      </c>
      <c r="E2391">
        <v>91</v>
      </c>
      <c r="F2391" s="1" t="s">
        <v>101</v>
      </c>
      <c r="G2391">
        <v>12</v>
      </c>
      <c r="H2391">
        <v>6</v>
      </c>
      <c r="I2391" s="2">
        <f t="shared" si="111"/>
        <v>4.712256</v>
      </c>
      <c r="J2391">
        <f t="shared" si="112"/>
        <v>0.17589608062709966</v>
      </c>
      <c r="K2391">
        <f t="shared" si="113"/>
        <v>0.12306753721598328</v>
      </c>
    </row>
    <row r="2392" spans="1:11" x14ac:dyDescent="0.25">
      <c r="A2392" s="1">
        <v>2020</v>
      </c>
      <c r="B2392" s="1" t="s">
        <v>99</v>
      </c>
      <c r="C2392" t="s">
        <v>7</v>
      </c>
      <c r="D2392" s="1" t="s">
        <v>3</v>
      </c>
      <c r="E2392">
        <v>91</v>
      </c>
      <c r="F2392" s="1" t="s">
        <v>101</v>
      </c>
      <c r="G2392">
        <v>14</v>
      </c>
      <c r="H2392">
        <v>2</v>
      </c>
      <c r="I2392" s="2">
        <f t="shared" si="111"/>
        <v>2.1379679999999999</v>
      </c>
      <c r="J2392">
        <f t="shared" si="112"/>
        <v>7.9804703247480402E-2</v>
      </c>
      <c r="K2392">
        <f t="shared" si="113"/>
        <v>5.5836197440585003E-2</v>
      </c>
    </row>
    <row r="2393" spans="1:11" x14ac:dyDescent="0.25">
      <c r="A2393" s="1">
        <v>2020</v>
      </c>
      <c r="B2393" s="1" t="s">
        <v>99</v>
      </c>
      <c r="C2393" t="s">
        <v>7</v>
      </c>
      <c r="D2393" s="1" t="s">
        <v>3</v>
      </c>
      <c r="E2393">
        <v>91</v>
      </c>
      <c r="F2393" s="1" t="s">
        <v>101</v>
      </c>
      <c r="G2393">
        <v>16</v>
      </c>
      <c r="H2393">
        <v>2</v>
      </c>
      <c r="I2393" s="2">
        <f t="shared" si="111"/>
        <v>2.7924479999999998</v>
      </c>
      <c r="J2393">
        <f t="shared" si="112"/>
        <v>0.10423471444568869</v>
      </c>
      <c r="K2393">
        <f t="shared" si="113"/>
        <v>7.2928910942804903E-2</v>
      </c>
    </row>
    <row r="2394" spans="1:11" x14ac:dyDescent="0.25">
      <c r="A2394" s="1">
        <v>2020</v>
      </c>
      <c r="B2394" s="1" t="s">
        <v>99</v>
      </c>
      <c r="C2394" t="s">
        <v>7</v>
      </c>
      <c r="D2394" s="1" t="s">
        <v>3</v>
      </c>
      <c r="E2394">
        <v>91</v>
      </c>
      <c r="F2394" s="1" t="s">
        <v>101</v>
      </c>
      <c r="G2394">
        <v>18</v>
      </c>
      <c r="H2394">
        <v>1</v>
      </c>
      <c r="I2394" s="2">
        <f t="shared" si="111"/>
        <v>1.7670959999999998</v>
      </c>
      <c r="J2394">
        <f t="shared" si="112"/>
        <v>6.5961030235162366E-2</v>
      </c>
      <c r="K2394">
        <f t="shared" si="113"/>
        <v>4.615032645599372E-2</v>
      </c>
    </row>
    <row r="2395" spans="1:11" x14ac:dyDescent="0.25">
      <c r="A2395" s="1">
        <v>2020</v>
      </c>
      <c r="B2395" s="1" t="s">
        <v>99</v>
      </c>
      <c r="C2395" t="s">
        <v>7</v>
      </c>
      <c r="D2395" s="1" t="s">
        <v>5</v>
      </c>
      <c r="E2395">
        <v>21</v>
      </c>
      <c r="F2395" s="1" t="s">
        <v>101</v>
      </c>
      <c r="G2395">
        <v>12</v>
      </c>
      <c r="H2395">
        <v>1</v>
      </c>
      <c r="I2395" s="2">
        <f t="shared" si="111"/>
        <v>0.78537599999999996</v>
      </c>
      <c r="J2395">
        <f t="shared" si="112"/>
        <v>2.9316013437849942E-2</v>
      </c>
      <c r="K2395">
        <f t="shared" si="113"/>
        <v>2.0511256202663877E-2</v>
      </c>
    </row>
    <row r="2396" spans="1:11" x14ac:dyDescent="0.25">
      <c r="A2396" s="1">
        <v>2020</v>
      </c>
      <c r="B2396" s="1" t="s">
        <v>99</v>
      </c>
      <c r="C2396" t="s">
        <v>7</v>
      </c>
      <c r="D2396" s="1" t="s">
        <v>5</v>
      </c>
      <c r="E2396">
        <v>27</v>
      </c>
      <c r="F2396" s="1" t="s">
        <v>101</v>
      </c>
      <c r="G2396">
        <v>6</v>
      </c>
      <c r="H2396">
        <v>1</v>
      </c>
      <c r="I2396" s="2">
        <f t="shared" si="111"/>
        <v>0.19634399999999999</v>
      </c>
      <c r="J2396">
        <f t="shared" si="112"/>
        <v>7.3290033594624856E-3</v>
      </c>
      <c r="K2396">
        <f t="shared" si="113"/>
        <v>5.1278140506659693E-3</v>
      </c>
    </row>
    <row r="2397" spans="1:11" x14ac:dyDescent="0.25">
      <c r="A2397" s="1">
        <v>2020</v>
      </c>
      <c r="B2397" s="1" t="s">
        <v>99</v>
      </c>
      <c r="C2397" t="s">
        <v>7</v>
      </c>
      <c r="D2397" s="1" t="s">
        <v>5</v>
      </c>
      <c r="E2397">
        <v>29</v>
      </c>
      <c r="F2397" s="1" t="s">
        <v>101</v>
      </c>
      <c r="G2397">
        <v>8</v>
      </c>
      <c r="H2397">
        <v>1</v>
      </c>
      <c r="I2397" s="2">
        <f t="shared" si="111"/>
        <v>0.34905599999999998</v>
      </c>
      <c r="J2397">
        <f t="shared" si="112"/>
        <v>1.3029339305711086E-2</v>
      </c>
      <c r="K2397">
        <f t="shared" si="113"/>
        <v>9.1161138678506129E-3</v>
      </c>
    </row>
    <row r="2398" spans="1:11" x14ac:dyDescent="0.25">
      <c r="A2398" s="1">
        <v>2020</v>
      </c>
      <c r="B2398" s="1" t="s">
        <v>99</v>
      </c>
      <c r="C2398" t="s">
        <v>7</v>
      </c>
      <c r="D2398" s="1" t="s">
        <v>5</v>
      </c>
      <c r="E2398">
        <v>29</v>
      </c>
      <c r="F2398" s="1" t="s">
        <v>101</v>
      </c>
      <c r="G2398">
        <v>12</v>
      </c>
      <c r="H2398">
        <v>2</v>
      </c>
      <c r="I2398" s="2">
        <f t="shared" si="111"/>
        <v>1.5707519999999999</v>
      </c>
      <c r="J2398">
        <f t="shared" si="112"/>
        <v>5.8632026875699884E-2</v>
      </c>
      <c r="K2398">
        <f t="shared" si="113"/>
        <v>4.1022512405327755E-2</v>
      </c>
    </row>
    <row r="2399" spans="1:11" x14ac:dyDescent="0.25">
      <c r="A2399" s="1">
        <v>2020</v>
      </c>
      <c r="B2399" s="1" t="s">
        <v>99</v>
      </c>
      <c r="C2399" t="s">
        <v>7</v>
      </c>
      <c r="D2399" s="1" t="s">
        <v>5</v>
      </c>
      <c r="E2399">
        <v>32</v>
      </c>
      <c r="F2399" s="1" t="s">
        <v>101</v>
      </c>
      <c r="G2399">
        <v>6</v>
      </c>
      <c r="H2399">
        <v>28</v>
      </c>
      <c r="I2399" s="2">
        <f t="shared" si="111"/>
        <v>5.4976319999999994</v>
      </c>
      <c r="J2399">
        <f t="shared" si="112"/>
        <v>0.20521209406494959</v>
      </c>
      <c r="K2399">
        <f t="shared" si="113"/>
        <v>0.14357879341864713</v>
      </c>
    </row>
    <row r="2400" spans="1:11" x14ac:dyDescent="0.25">
      <c r="A2400" s="1">
        <v>2020</v>
      </c>
      <c r="B2400" s="1" t="s">
        <v>99</v>
      </c>
      <c r="C2400" t="s">
        <v>7</v>
      </c>
      <c r="D2400" s="1" t="s">
        <v>5</v>
      </c>
      <c r="E2400">
        <v>32</v>
      </c>
      <c r="F2400" s="1" t="s">
        <v>101</v>
      </c>
      <c r="G2400">
        <v>8</v>
      </c>
      <c r="H2400">
        <v>6</v>
      </c>
      <c r="I2400" s="2">
        <f t="shared" si="111"/>
        <v>2.0943359999999998</v>
      </c>
      <c r="J2400">
        <f t="shared" si="112"/>
        <v>7.8176035834266508E-2</v>
      </c>
      <c r="K2400">
        <f t="shared" si="113"/>
        <v>5.469668320710367E-2</v>
      </c>
    </row>
    <row r="2401" spans="1:11" x14ac:dyDescent="0.25">
      <c r="A2401" s="1">
        <v>2020</v>
      </c>
      <c r="B2401" s="1" t="s">
        <v>99</v>
      </c>
      <c r="C2401" t="s">
        <v>7</v>
      </c>
      <c r="D2401" s="1" t="s">
        <v>5</v>
      </c>
      <c r="E2401">
        <v>32</v>
      </c>
      <c r="F2401" s="1" t="s">
        <v>101</v>
      </c>
      <c r="G2401">
        <v>10</v>
      </c>
      <c r="H2401">
        <v>2</v>
      </c>
      <c r="I2401" s="2">
        <f t="shared" si="111"/>
        <v>1.0908</v>
      </c>
      <c r="J2401">
        <f t="shared" si="112"/>
        <v>4.0716685330347148E-2</v>
      </c>
      <c r="K2401">
        <f t="shared" si="113"/>
        <v>2.8487855837033168E-2</v>
      </c>
    </row>
    <row r="2402" spans="1:11" x14ac:dyDescent="0.25">
      <c r="A2402" s="1">
        <v>2020</v>
      </c>
      <c r="B2402" s="1" t="s">
        <v>99</v>
      </c>
      <c r="C2402" t="s">
        <v>7</v>
      </c>
      <c r="D2402" s="1" t="s">
        <v>5</v>
      </c>
      <c r="E2402">
        <v>32</v>
      </c>
      <c r="F2402" s="1" t="s">
        <v>101</v>
      </c>
      <c r="G2402">
        <v>12</v>
      </c>
      <c r="H2402">
        <v>5</v>
      </c>
      <c r="I2402" s="2">
        <f t="shared" si="111"/>
        <v>3.9268799999999997</v>
      </c>
      <c r="J2402">
        <f t="shared" si="112"/>
        <v>0.14658006718924971</v>
      </c>
      <c r="K2402">
        <f t="shared" si="113"/>
        <v>0.10255628101331939</v>
      </c>
    </row>
    <row r="2403" spans="1:11" x14ac:dyDescent="0.25">
      <c r="A2403" s="1">
        <v>2020</v>
      </c>
      <c r="B2403" s="1" t="s">
        <v>99</v>
      </c>
      <c r="C2403" t="s">
        <v>7</v>
      </c>
      <c r="D2403" s="1" t="s">
        <v>5</v>
      </c>
      <c r="E2403">
        <v>32</v>
      </c>
      <c r="F2403" s="1" t="s">
        <v>101</v>
      </c>
      <c r="G2403">
        <v>14</v>
      </c>
      <c r="H2403">
        <v>4</v>
      </c>
      <c r="I2403" s="2">
        <f t="shared" si="111"/>
        <v>4.2759359999999997</v>
      </c>
      <c r="J2403">
        <f t="shared" si="112"/>
        <v>0.1596094064949608</v>
      </c>
      <c r="K2403">
        <f t="shared" si="113"/>
        <v>0.11167239488117001</v>
      </c>
    </row>
    <row r="2404" spans="1:11" x14ac:dyDescent="0.25">
      <c r="A2404" s="1">
        <v>2020</v>
      </c>
      <c r="B2404" s="1" t="s">
        <v>99</v>
      </c>
      <c r="C2404" t="s">
        <v>7</v>
      </c>
      <c r="D2404" s="1" t="s">
        <v>5</v>
      </c>
      <c r="E2404">
        <v>34</v>
      </c>
      <c r="F2404" s="1" t="s">
        <v>101</v>
      </c>
      <c r="G2404">
        <v>8</v>
      </c>
      <c r="H2404">
        <v>1</v>
      </c>
      <c r="I2404" s="2">
        <f t="shared" si="111"/>
        <v>0.34905599999999998</v>
      </c>
      <c r="J2404">
        <f t="shared" si="112"/>
        <v>1.3029339305711086E-2</v>
      </c>
      <c r="K2404">
        <f t="shared" si="113"/>
        <v>9.1161138678506129E-3</v>
      </c>
    </row>
    <row r="2405" spans="1:11" x14ac:dyDescent="0.25">
      <c r="A2405" s="1">
        <v>2020</v>
      </c>
      <c r="B2405" s="1" t="s">
        <v>99</v>
      </c>
      <c r="C2405" t="s">
        <v>7</v>
      </c>
      <c r="D2405" s="1" t="s">
        <v>5</v>
      </c>
      <c r="E2405">
        <v>34</v>
      </c>
      <c r="F2405" s="1" t="s">
        <v>101</v>
      </c>
      <c r="G2405">
        <v>12</v>
      </c>
      <c r="H2405">
        <v>2</v>
      </c>
      <c r="I2405" s="2">
        <f t="shared" si="111"/>
        <v>1.5707519999999999</v>
      </c>
      <c r="J2405">
        <f t="shared" si="112"/>
        <v>5.8632026875699884E-2</v>
      </c>
      <c r="K2405">
        <f t="shared" si="113"/>
        <v>4.1022512405327755E-2</v>
      </c>
    </row>
    <row r="2406" spans="1:11" x14ac:dyDescent="0.25">
      <c r="A2406" s="1">
        <v>2020</v>
      </c>
      <c r="B2406" s="1" t="s">
        <v>99</v>
      </c>
      <c r="C2406" t="s">
        <v>7</v>
      </c>
      <c r="D2406" s="1" t="s">
        <v>5</v>
      </c>
      <c r="E2406">
        <v>38</v>
      </c>
      <c r="F2406" s="1" t="s">
        <v>101</v>
      </c>
      <c r="G2406">
        <v>8</v>
      </c>
      <c r="H2406">
        <v>1</v>
      </c>
      <c r="I2406" s="2">
        <f t="shared" si="111"/>
        <v>0.34905599999999998</v>
      </c>
      <c r="J2406">
        <f t="shared" si="112"/>
        <v>1.3029339305711086E-2</v>
      </c>
      <c r="K2406">
        <f t="shared" si="113"/>
        <v>9.1161138678506129E-3</v>
      </c>
    </row>
    <row r="2407" spans="1:11" x14ac:dyDescent="0.25">
      <c r="A2407" s="1">
        <v>2020</v>
      </c>
      <c r="B2407" s="1" t="s">
        <v>99</v>
      </c>
      <c r="C2407" t="s">
        <v>7</v>
      </c>
      <c r="D2407" s="1" t="s">
        <v>5</v>
      </c>
      <c r="E2407">
        <v>40</v>
      </c>
      <c r="F2407" s="1" t="s">
        <v>101</v>
      </c>
      <c r="G2407">
        <v>8</v>
      </c>
      <c r="H2407">
        <v>1</v>
      </c>
      <c r="I2407" s="2">
        <f t="shared" si="111"/>
        <v>0.34905599999999998</v>
      </c>
      <c r="J2407">
        <f t="shared" si="112"/>
        <v>1.3029339305711086E-2</v>
      </c>
      <c r="K2407">
        <f t="shared" si="113"/>
        <v>9.1161138678506129E-3</v>
      </c>
    </row>
    <row r="2408" spans="1:11" x14ac:dyDescent="0.25">
      <c r="A2408" s="1">
        <v>2020</v>
      </c>
      <c r="B2408" s="1" t="s">
        <v>99</v>
      </c>
      <c r="C2408" t="s">
        <v>7</v>
      </c>
      <c r="D2408" s="1" t="s">
        <v>5</v>
      </c>
      <c r="E2408">
        <v>53</v>
      </c>
      <c r="F2408" s="1" t="s">
        <v>101</v>
      </c>
      <c r="G2408">
        <v>6</v>
      </c>
      <c r="H2408">
        <v>3</v>
      </c>
      <c r="I2408" s="2">
        <f t="shared" si="111"/>
        <v>0.589032</v>
      </c>
      <c r="J2408">
        <f t="shared" si="112"/>
        <v>2.1987010078387458E-2</v>
      </c>
      <c r="K2408">
        <f t="shared" si="113"/>
        <v>1.538344215199791E-2</v>
      </c>
    </row>
    <row r="2409" spans="1:11" x14ac:dyDescent="0.25">
      <c r="A2409" s="1">
        <v>2020</v>
      </c>
      <c r="B2409" s="1" t="s">
        <v>99</v>
      </c>
      <c r="C2409" t="s">
        <v>7</v>
      </c>
      <c r="D2409" s="1" t="s">
        <v>5</v>
      </c>
      <c r="E2409">
        <v>53</v>
      </c>
      <c r="F2409" s="1" t="s">
        <v>101</v>
      </c>
      <c r="G2409">
        <v>8</v>
      </c>
      <c r="H2409">
        <v>2</v>
      </c>
      <c r="I2409" s="2">
        <f t="shared" si="111"/>
        <v>0.69811199999999995</v>
      </c>
      <c r="J2409">
        <f t="shared" si="112"/>
        <v>2.6058678611422172E-2</v>
      </c>
      <c r="K2409">
        <f t="shared" si="113"/>
        <v>1.8232227735701226E-2</v>
      </c>
    </row>
    <row r="2410" spans="1:11" x14ac:dyDescent="0.25">
      <c r="A2410" s="1">
        <v>2020</v>
      </c>
      <c r="B2410" s="1" t="s">
        <v>99</v>
      </c>
      <c r="C2410" t="s">
        <v>7</v>
      </c>
      <c r="D2410" s="1" t="s">
        <v>5</v>
      </c>
      <c r="E2410">
        <v>53</v>
      </c>
      <c r="F2410" s="1" t="s">
        <v>101</v>
      </c>
      <c r="G2410">
        <v>12</v>
      </c>
      <c r="H2410">
        <v>3</v>
      </c>
      <c r="I2410" s="2">
        <f t="shared" si="111"/>
        <v>2.356128</v>
      </c>
      <c r="J2410">
        <f t="shared" si="112"/>
        <v>8.794804031354983E-2</v>
      </c>
      <c r="K2410">
        <f t="shared" si="113"/>
        <v>6.1533768607991639E-2</v>
      </c>
    </row>
    <row r="2411" spans="1:11" x14ac:dyDescent="0.25">
      <c r="A2411" s="1">
        <v>2020</v>
      </c>
      <c r="B2411" s="1" t="s">
        <v>99</v>
      </c>
      <c r="C2411" t="s">
        <v>7</v>
      </c>
      <c r="D2411" s="1" t="s">
        <v>5</v>
      </c>
      <c r="E2411">
        <v>53</v>
      </c>
      <c r="F2411" s="1" t="s">
        <v>101</v>
      </c>
      <c r="G2411">
        <v>16</v>
      </c>
      <c r="H2411">
        <v>1</v>
      </c>
      <c r="I2411" s="2">
        <f t="shared" si="111"/>
        <v>1.3962239999999999</v>
      </c>
      <c r="J2411">
        <f t="shared" si="112"/>
        <v>5.2117357222844343E-2</v>
      </c>
      <c r="K2411">
        <f t="shared" si="113"/>
        <v>3.6464455471402452E-2</v>
      </c>
    </row>
    <row r="2412" spans="1:11" x14ac:dyDescent="0.25">
      <c r="A2412" s="1">
        <v>2020</v>
      </c>
      <c r="B2412" s="1" t="s">
        <v>99</v>
      </c>
      <c r="C2412" t="s">
        <v>7</v>
      </c>
      <c r="D2412" s="1" t="s">
        <v>5</v>
      </c>
      <c r="E2412">
        <v>54</v>
      </c>
      <c r="F2412" s="1" t="s">
        <v>101</v>
      </c>
      <c r="G2412">
        <v>6</v>
      </c>
      <c r="H2412">
        <v>3</v>
      </c>
      <c r="I2412" s="2">
        <f t="shared" si="111"/>
        <v>0.589032</v>
      </c>
      <c r="J2412">
        <f t="shared" si="112"/>
        <v>2.1987010078387458E-2</v>
      </c>
      <c r="K2412">
        <f t="shared" si="113"/>
        <v>1.538344215199791E-2</v>
      </c>
    </row>
    <row r="2413" spans="1:11" x14ac:dyDescent="0.25">
      <c r="A2413" s="1">
        <v>2020</v>
      </c>
      <c r="B2413" s="1" t="s">
        <v>99</v>
      </c>
      <c r="C2413" t="s">
        <v>7</v>
      </c>
      <c r="D2413" s="1" t="s">
        <v>5</v>
      </c>
      <c r="E2413">
        <v>54</v>
      </c>
      <c r="F2413" s="1" t="s">
        <v>101</v>
      </c>
      <c r="G2413">
        <v>8</v>
      </c>
      <c r="H2413">
        <v>1</v>
      </c>
      <c r="I2413" s="2">
        <f t="shared" si="111"/>
        <v>0.34905599999999998</v>
      </c>
      <c r="J2413">
        <f t="shared" si="112"/>
        <v>1.3029339305711086E-2</v>
      </c>
      <c r="K2413">
        <f t="shared" si="113"/>
        <v>9.1161138678506129E-3</v>
      </c>
    </row>
    <row r="2414" spans="1:11" x14ac:dyDescent="0.25">
      <c r="A2414" s="1">
        <v>2020</v>
      </c>
      <c r="B2414" s="1" t="s">
        <v>99</v>
      </c>
      <c r="C2414" t="s">
        <v>7</v>
      </c>
      <c r="D2414" s="1" t="s">
        <v>5</v>
      </c>
      <c r="E2414">
        <v>54</v>
      </c>
      <c r="F2414" s="1" t="s">
        <v>101</v>
      </c>
      <c r="G2414">
        <v>10</v>
      </c>
      <c r="H2414">
        <v>3</v>
      </c>
      <c r="I2414" s="2">
        <f t="shared" si="111"/>
        <v>1.6362000000000001</v>
      </c>
      <c r="J2414">
        <f t="shared" si="112"/>
        <v>6.1075027995520725E-2</v>
      </c>
      <c r="K2414">
        <f t="shared" si="113"/>
        <v>4.2731783755549757E-2</v>
      </c>
    </row>
    <row r="2415" spans="1:11" x14ac:dyDescent="0.25">
      <c r="A2415" s="1">
        <v>2020</v>
      </c>
      <c r="B2415" s="1" t="s">
        <v>99</v>
      </c>
      <c r="C2415" t="s">
        <v>7</v>
      </c>
      <c r="D2415" s="1" t="s">
        <v>5</v>
      </c>
      <c r="E2415">
        <v>54</v>
      </c>
      <c r="F2415" s="1" t="s">
        <v>101</v>
      </c>
      <c r="G2415">
        <v>12</v>
      </c>
      <c r="H2415">
        <v>2</v>
      </c>
      <c r="I2415" s="2">
        <f t="shared" si="111"/>
        <v>1.5707519999999999</v>
      </c>
      <c r="J2415">
        <f t="shared" si="112"/>
        <v>5.8632026875699884E-2</v>
      </c>
      <c r="K2415">
        <f t="shared" si="113"/>
        <v>4.1022512405327755E-2</v>
      </c>
    </row>
    <row r="2416" spans="1:11" x14ac:dyDescent="0.25">
      <c r="A2416" s="1">
        <v>2020</v>
      </c>
      <c r="B2416" s="1" t="s">
        <v>99</v>
      </c>
      <c r="C2416" t="s">
        <v>7</v>
      </c>
      <c r="D2416" s="1" t="s">
        <v>5</v>
      </c>
      <c r="E2416">
        <v>54</v>
      </c>
      <c r="F2416" s="1" t="s">
        <v>101</v>
      </c>
      <c r="G2416">
        <v>14</v>
      </c>
      <c r="H2416">
        <v>1</v>
      </c>
      <c r="I2416" s="2">
        <f t="shared" si="111"/>
        <v>1.0689839999999999</v>
      </c>
      <c r="J2416">
        <f t="shared" si="112"/>
        <v>3.9902351623740201E-2</v>
      </c>
      <c r="K2416">
        <f t="shared" si="113"/>
        <v>2.7918098720292502E-2</v>
      </c>
    </row>
    <row r="2417" spans="1:11" x14ac:dyDescent="0.25">
      <c r="A2417" s="1">
        <v>2020</v>
      </c>
      <c r="B2417" s="1" t="s">
        <v>99</v>
      </c>
      <c r="C2417" t="s">
        <v>7</v>
      </c>
      <c r="D2417" s="1" t="s">
        <v>5</v>
      </c>
      <c r="E2417">
        <v>54</v>
      </c>
      <c r="F2417" s="1" t="s">
        <v>101</v>
      </c>
      <c r="G2417">
        <v>16</v>
      </c>
      <c r="H2417">
        <v>2</v>
      </c>
      <c r="I2417" s="2">
        <f t="shared" si="111"/>
        <v>2.7924479999999998</v>
      </c>
      <c r="J2417">
        <f t="shared" si="112"/>
        <v>0.10423471444568869</v>
      </c>
      <c r="K2417">
        <f t="shared" si="113"/>
        <v>7.2928910942804903E-2</v>
      </c>
    </row>
    <row r="2418" spans="1:11" x14ac:dyDescent="0.25">
      <c r="A2418" s="1">
        <v>2020</v>
      </c>
      <c r="B2418" s="1" t="s">
        <v>99</v>
      </c>
      <c r="C2418" t="s">
        <v>7</v>
      </c>
      <c r="D2418" s="1" t="s">
        <v>5</v>
      </c>
      <c r="E2418">
        <v>56</v>
      </c>
      <c r="F2418" s="1" t="s">
        <v>101</v>
      </c>
      <c r="G2418">
        <v>6</v>
      </c>
      <c r="H2418">
        <v>3</v>
      </c>
      <c r="I2418" s="2">
        <f t="shared" si="111"/>
        <v>0.589032</v>
      </c>
      <c r="J2418">
        <f t="shared" si="112"/>
        <v>2.1987010078387458E-2</v>
      </c>
      <c r="K2418">
        <f t="shared" si="113"/>
        <v>1.538344215199791E-2</v>
      </c>
    </row>
    <row r="2419" spans="1:11" x14ac:dyDescent="0.25">
      <c r="A2419" s="1">
        <v>2020</v>
      </c>
      <c r="B2419" s="1" t="s">
        <v>99</v>
      </c>
      <c r="C2419" t="s">
        <v>7</v>
      </c>
      <c r="D2419" s="1" t="s">
        <v>5</v>
      </c>
      <c r="E2419">
        <v>56</v>
      </c>
      <c r="F2419" s="1" t="s">
        <v>101</v>
      </c>
      <c r="G2419">
        <v>8</v>
      </c>
      <c r="H2419">
        <v>2</v>
      </c>
      <c r="I2419" s="2">
        <f t="shared" si="111"/>
        <v>0.69811199999999995</v>
      </c>
      <c r="J2419">
        <f t="shared" si="112"/>
        <v>2.6058678611422172E-2</v>
      </c>
      <c r="K2419">
        <f t="shared" si="113"/>
        <v>1.8232227735701226E-2</v>
      </c>
    </row>
    <row r="2420" spans="1:11" x14ac:dyDescent="0.25">
      <c r="A2420" s="1">
        <v>2020</v>
      </c>
      <c r="B2420" s="1" t="s">
        <v>99</v>
      </c>
      <c r="C2420" t="s">
        <v>7</v>
      </c>
      <c r="D2420" s="1" t="s">
        <v>5</v>
      </c>
      <c r="E2420">
        <v>56</v>
      </c>
      <c r="F2420" s="1" t="s">
        <v>101</v>
      </c>
      <c r="G2420">
        <v>14</v>
      </c>
      <c r="H2420">
        <v>1</v>
      </c>
      <c r="I2420" s="2">
        <f t="shared" si="111"/>
        <v>1.0689839999999999</v>
      </c>
      <c r="J2420">
        <f t="shared" si="112"/>
        <v>3.9902351623740201E-2</v>
      </c>
      <c r="K2420">
        <f t="shared" si="113"/>
        <v>2.7918098720292502E-2</v>
      </c>
    </row>
    <row r="2421" spans="1:11" x14ac:dyDescent="0.25">
      <c r="A2421" s="1">
        <v>2020</v>
      </c>
      <c r="B2421" s="1" t="s">
        <v>99</v>
      </c>
      <c r="C2421" t="s">
        <v>7</v>
      </c>
      <c r="D2421" s="1" t="s">
        <v>5</v>
      </c>
      <c r="E2421">
        <v>56</v>
      </c>
      <c r="F2421" s="1" t="s">
        <v>101</v>
      </c>
      <c r="G2421">
        <v>16</v>
      </c>
      <c r="H2421">
        <v>1</v>
      </c>
      <c r="I2421" s="2">
        <f t="shared" si="111"/>
        <v>1.3962239999999999</v>
      </c>
      <c r="J2421">
        <f t="shared" si="112"/>
        <v>5.2117357222844343E-2</v>
      </c>
      <c r="K2421">
        <f t="shared" si="113"/>
        <v>3.6464455471402452E-2</v>
      </c>
    </row>
    <row r="2422" spans="1:11" x14ac:dyDescent="0.25">
      <c r="A2422" s="1">
        <v>2020</v>
      </c>
      <c r="B2422" s="1" t="s">
        <v>99</v>
      </c>
      <c r="C2422" t="s">
        <v>7</v>
      </c>
      <c r="D2422" s="1" t="s">
        <v>5</v>
      </c>
      <c r="E2422">
        <v>58</v>
      </c>
      <c r="F2422" s="1" t="s">
        <v>101</v>
      </c>
      <c r="G2422">
        <v>6</v>
      </c>
      <c r="H2422">
        <v>2</v>
      </c>
      <c r="I2422" s="2">
        <f t="shared" si="111"/>
        <v>0.39268799999999998</v>
      </c>
      <c r="J2422">
        <f t="shared" si="112"/>
        <v>1.4658006718924971E-2</v>
      </c>
      <c r="K2422">
        <f t="shared" si="113"/>
        <v>1.0255628101331939E-2</v>
      </c>
    </row>
    <row r="2423" spans="1:11" x14ac:dyDescent="0.25">
      <c r="A2423" s="1">
        <v>2020</v>
      </c>
      <c r="B2423" s="1" t="s">
        <v>99</v>
      </c>
      <c r="C2423" t="s">
        <v>7</v>
      </c>
      <c r="D2423" s="1" t="s">
        <v>5</v>
      </c>
      <c r="E2423">
        <v>58</v>
      </c>
      <c r="F2423" s="1" t="s">
        <v>101</v>
      </c>
      <c r="G2423">
        <v>8</v>
      </c>
      <c r="H2423">
        <v>1</v>
      </c>
      <c r="I2423" s="2">
        <f t="shared" si="111"/>
        <v>0.34905599999999998</v>
      </c>
      <c r="J2423">
        <f t="shared" si="112"/>
        <v>1.3029339305711086E-2</v>
      </c>
      <c r="K2423">
        <f t="shared" si="113"/>
        <v>9.1161138678506129E-3</v>
      </c>
    </row>
    <row r="2424" spans="1:11" x14ac:dyDescent="0.25">
      <c r="A2424" s="1">
        <v>2020</v>
      </c>
      <c r="B2424" s="1" t="s">
        <v>99</v>
      </c>
      <c r="C2424" t="s">
        <v>7</v>
      </c>
      <c r="D2424" s="1" t="s">
        <v>5</v>
      </c>
      <c r="E2424">
        <v>58</v>
      </c>
      <c r="F2424" s="1" t="s">
        <v>101</v>
      </c>
      <c r="G2424">
        <v>10</v>
      </c>
      <c r="H2424">
        <v>1</v>
      </c>
      <c r="I2424" s="2">
        <f t="shared" si="111"/>
        <v>0.5454</v>
      </c>
      <c r="J2424">
        <f t="shared" si="112"/>
        <v>2.0358342665173574E-2</v>
      </c>
      <c r="K2424">
        <f t="shared" si="113"/>
        <v>1.4243927918516584E-2</v>
      </c>
    </row>
    <row r="2425" spans="1:11" x14ac:dyDescent="0.25">
      <c r="A2425" s="1">
        <v>2020</v>
      </c>
      <c r="B2425" s="1" t="s">
        <v>99</v>
      </c>
      <c r="C2425" t="s">
        <v>7</v>
      </c>
      <c r="D2425" s="1" t="s">
        <v>5</v>
      </c>
      <c r="E2425">
        <v>66</v>
      </c>
      <c r="F2425" s="1" t="s">
        <v>101</v>
      </c>
      <c r="G2425">
        <v>6</v>
      </c>
      <c r="H2425">
        <v>9</v>
      </c>
      <c r="I2425" s="2">
        <f t="shared" si="111"/>
        <v>1.767096</v>
      </c>
      <c r="J2425">
        <f t="shared" si="112"/>
        <v>6.596103023516238E-2</v>
      </c>
      <c r="K2425">
        <f t="shared" si="113"/>
        <v>4.6150326455993734E-2</v>
      </c>
    </row>
    <row r="2426" spans="1:11" x14ac:dyDescent="0.25">
      <c r="A2426" s="1">
        <v>2020</v>
      </c>
      <c r="B2426" s="1" t="s">
        <v>99</v>
      </c>
      <c r="C2426" t="s">
        <v>7</v>
      </c>
      <c r="D2426" s="1" t="s">
        <v>5</v>
      </c>
      <c r="E2426">
        <v>66</v>
      </c>
      <c r="F2426" s="1" t="s">
        <v>101</v>
      </c>
      <c r="G2426">
        <v>8</v>
      </c>
      <c r="H2426">
        <v>2</v>
      </c>
      <c r="I2426" s="2">
        <f t="shared" si="111"/>
        <v>0.69811199999999995</v>
      </c>
      <c r="J2426">
        <f t="shared" si="112"/>
        <v>2.6058678611422172E-2</v>
      </c>
      <c r="K2426">
        <f t="shared" si="113"/>
        <v>1.8232227735701226E-2</v>
      </c>
    </row>
    <row r="2427" spans="1:11" x14ac:dyDescent="0.25">
      <c r="A2427" s="1">
        <v>2020</v>
      </c>
      <c r="B2427" s="1" t="s">
        <v>99</v>
      </c>
      <c r="C2427" t="s">
        <v>7</v>
      </c>
      <c r="D2427" s="1" t="s">
        <v>5</v>
      </c>
      <c r="E2427">
        <v>71</v>
      </c>
      <c r="F2427" s="1" t="s">
        <v>101</v>
      </c>
      <c r="G2427">
        <v>12</v>
      </c>
      <c r="H2427">
        <v>1</v>
      </c>
      <c r="I2427" s="2">
        <f t="shared" si="111"/>
        <v>0.78537599999999996</v>
      </c>
      <c r="J2427">
        <f t="shared" si="112"/>
        <v>2.9316013437849942E-2</v>
      </c>
      <c r="K2427">
        <f t="shared" si="113"/>
        <v>2.0511256202663877E-2</v>
      </c>
    </row>
    <row r="2428" spans="1:11" x14ac:dyDescent="0.25">
      <c r="A2428" s="1">
        <v>2020</v>
      </c>
      <c r="B2428" s="1" t="s">
        <v>99</v>
      </c>
      <c r="C2428" t="s">
        <v>7</v>
      </c>
      <c r="D2428" s="1" t="s">
        <v>5</v>
      </c>
      <c r="E2428">
        <v>76</v>
      </c>
      <c r="F2428" s="1" t="s">
        <v>101</v>
      </c>
      <c r="G2428">
        <v>6</v>
      </c>
      <c r="H2428">
        <v>14</v>
      </c>
      <c r="I2428" s="2">
        <f t="shared" si="111"/>
        <v>2.7488159999999997</v>
      </c>
      <c r="J2428">
        <f t="shared" si="112"/>
        <v>0.10260604703247479</v>
      </c>
      <c r="K2428">
        <f t="shared" si="113"/>
        <v>7.1789396709323564E-2</v>
      </c>
    </row>
    <row r="2429" spans="1:11" x14ac:dyDescent="0.25">
      <c r="A2429" s="1">
        <v>2020</v>
      </c>
      <c r="B2429" s="1" t="s">
        <v>99</v>
      </c>
      <c r="C2429" t="s">
        <v>7</v>
      </c>
      <c r="D2429" s="1" t="s">
        <v>5</v>
      </c>
      <c r="E2429">
        <v>76</v>
      </c>
      <c r="F2429" s="1" t="s">
        <v>101</v>
      </c>
      <c r="G2429">
        <v>8</v>
      </c>
      <c r="H2429">
        <v>8</v>
      </c>
      <c r="I2429" s="2">
        <f t="shared" si="111"/>
        <v>2.7924479999999998</v>
      </c>
      <c r="J2429">
        <f t="shared" si="112"/>
        <v>0.10423471444568869</v>
      </c>
      <c r="K2429">
        <f t="shared" si="113"/>
        <v>7.2928910942804903E-2</v>
      </c>
    </row>
    <row r="2430" spans="1:11" x14ac:dyDescent="0.25">
      <c r="A2430" s="1">
        <v>2020</v>
      </c>
      <c r="B2430" s="1" t="s">
        <v>99</v>
      </c>
      <c r="C2430" t="s">
        <v>7</v>
      </c>
      <c r="D2430" s="1" t="s">
        <v>5</v>
      </c>
      <c r="E2430">
        <v>76</v>
      </c>
      <c r="F2430" s="1" t="s">
        <v>101</v>
      </c>
      <c r="G2430">
        <v>10</v>
      </c>
      <c r="H2430">
        <v>5</v>
      </c>
      <c r="I2430" s="2">
        <f t="shared" si="111"/>
        <v>2.7269999999999999</v>
      </c>
      <c r="J2430">
        <f t="shared" si="112"/>
        <v>0.10179171332586787</v>
      </c>
      <c r="K2430">
        <f t="shared" si="113"/>
        <v>7.1219639592582915E-2</v>
      </c>
    </row>
    <row r="2431" spans="1:11" x14ac:dyDescent="0.25">
      <c r="A2431" s="1">
        <v>2020</v>
      </c>
      <c r="B2431" s="1" t="s">
        <v>99</v>
      </c>
      <c r="C2431" t="s">
        <v>7</v>
      </c>
      <c r="D2431" s="1" t="s">
        <v>5</v>
      </c>
      <c r="E2431">
        <v>76</v>
      </c>
      <c r="F2431" s="1" t="s">
        <v>101</v>
      </c>
      <c r="G2431">
        <v>12</v>
      </c>
      <c r="H2431">
        <v>3</v>
      </c>
      <c r="I2431" s="2">
        <f t="shared" si="111"/>
        <v>2.356128</v>
      </c>
      <c r="J2431">
        <f t="shared" si="112"/>
        <v>8.794804031354983E-2</v>
      </c>
      <c r="K2431">
        <f t="shared" si="113"/>
        <v>6.1533768607991639E-2</v>
      </c>
    </row>
    <row r="2432" spans="1:11" x14ac:dyDescent="0.25">
      <c r="A2432" s="1">
        <v>2020</v>
      </c>
      <c r="B2432" s="1" t="s">
        <v>99</v>
      </c>
      <c r="C2432" t="s">
        <v>7</v>
      </c>
      <c r="D2432" s="1" t="s">
        <v>5</v>
      </c>
      <c r="E2432">
        <v>79</v>
      </c>
      <c r="F2432" s="1" t="s">
        <v>101</v>
      </c>
      <c r="G2432">
        <v>6</v>
      </c>
      <c r="H2432">
        <v>35</v>
      </c>
      <c r="I2432" s="2">
        <f t="shared" si="111"/>
        <v>6.8720399999999993</v>
      </c>
      <c r="J2432">
        <f t="shared" si="112"/>
        <v>0.256515117581187</v>
      </c>
      <c r="K2432">
        <f t="shared" si="113"/>
        <v>0.17947349177330893</v>
      </c>
    </row>
    <row r="2433" spans="1:11" x14ac:dyDescent="0.25">
      <c r="A2433" s="1">
        <v>2020</v>
      </c>
      <c r="B2433" s="1" t="s">
        <v>99</v>
      </c>
      <c r="C2433" t="s">
        <v>7</v>
      </c>
      <c r="D2433" s="1" t="s">
        <v>5</v>
      </c>
      <c r="E2433">
        <v>79</v>
      </c>
      <c r="F2433" s="1" t="s">
        <v>101</v>
      </c>
      <c r="G2433">
        <v>8</v>
      </c>
      <c r="H2433">
        <v>20</v>
      </c>
      <c r="I2433" s="2">
        <f t="shared" si="111"/>
        <v>6.9811199999999998</v>
      </c>
      <c r="J2433">
        <f t="shared" si="112"/>
        <v>0.2605867861142217</v>
      </c>
      <c r="K2433">
        <f t="shared" si="113"/>
        <v>0.18232227735701226</v>
      </c>
    </row>
    <row r="2434" spans="1:11" x14ac:dyDescent="0.25">
      <c r="A2434" s="1">
        <v>2020</v>
      </c>
      <c r="B2434" s="1" t="s">
        <v>99</v>
      </c>
      <c r="C2434" t="s">
        <v>7</v>
      </c>
      <c r="D2434" s="1" t="s">
        <v>5</v>
      </c>
      <c r="E2434">
        <v>79</v>
      </c>
      <c r="F2434" s="1" t="s">
        <v>101</v>
      </c>
      <c r="G2434">
        <v>10</v>
      </c>
      <c r="H2434">
        <v>15</v>
      </c>
      <c r="I2434" s="2">
        <f t="shared" si="111"/>
        <v>8.1809999999999992</v>
      </c>
      <c r="J2434">
        <f t="shared" si="112"/>
        <v>0.30537513997760357</v>
      </c>
      <c r="K2434">
        <f t="shared" si="113"/>
        <v>0.21365891877774873</v>
      </c>
    </row>
    <row r="2435" spans="1:11" x14ac:dyDescent="0.25">
      <c r="A2435" s="1">
        <v>2020</v>
      </c>
      <c r="B2435" s="1" t="s">
        <v>99</v>
      </c>
      <c r="C2435" t="s">
        <v>7</v>
      </c>
      <c r="D2435" s="1" t="s">
        <v>5</v>
      </c>
      <c r="E2435">
        <v>79</v>
      </c>
      <c r="F2435" s="1" t="s">
        <v>101</v>
      </c>
      <c r="G2435">
        <v>12</v>
      </c>
      <c r="H2435">
        <v>7</v>
      </c>
      <c r="I2435" s="2">
        <f t="shared" ref="I2435:I2440" si="114">0.005454*G2435^2*H2435</f>
        <v>5.4976319999999994</v>
      </c>
      <c r="J2435">
        <f t="shared" ref="J2435:J2440" si="115">I2435/26.79</f>
        <v>0.20521209406494959</v>
      </c>
      <c r="K2435">
        <f t="shared" ref="K2435:K2440" si="116">J2435*(26.79/38.29)</f>
        <v>0.14357879341864713</v>
      </c>
    </row>
    <row r="2436" spans="1:11" x14ac:dyDescent="0.25">
      <c r="A2436" s="1">
        <v>2020</v>
      </c>
      <c r="B2436" s="1" t="s">
        <v>99</v>
      </c>
      <c r="C2436" t="s">
        <v>7</v>
      </c>
      <c r="D2436" s="1" t="s">
        <v>5</v>
      </c>
      <c r="E2436">
        <v>79</v>
      </c>
      <c r="F2436" s="1" t="s">
        <v>101</v>
      </c>
      <c r="G2436">
        <v>14</v>
      </c>
      <c r="H2436">
        <v>9</v>
      </c>
      <c r="I2436" s="2">
        <f t="shared" si="114"/>
        <v>9.6208559999999999</v>
      </c>
      <c r="J2436">
        <f t="shared" si="115"/>
        <v>0.35912116461366184</v>
      </c>
      <c r="K2436">
        <f t="shared" si="116"/>
        <v>0.25126288848263256</v>
      </c>
    </row>
    <row r="2437" spans="1:11" x14ac:dyDescent="0.25">
      <c r="A2437" s="1">
        <v>2020</v>
      </c>
      <c r="B2437" s="1" t="s">
        <v>99</v>
      </c>
      <c r="C2437" t="s">
        <v>7</v>
      </c>
      <c r="D2437" s="1" t="s">
        <v>5</v>
      </c>
      <c r="E2437">
        <v>79</v>
      </c>
      <c r="F2437" s="1" t="s">
        <v>101</v>
      </c>
      <c r="G2437">
        <v>16</v>
      </c>
      <c r="H2437">
        <v>7</v>
      </c>
      <c r="I2437" s="2">
        <f t="shared" si="114"/>
        <v>9.7735679999999991</v>
      </c>
      <c r="J2437">
        <f t="shared" si="115"/>
        <v>0.36482150055991042</v>
      </c>
      <c r="K2437">
        <f t="shared" si="116"/>
        <v>0.25525118829981719</v>
      </c>
    </row>
    <row r="2438" spans="1:11" x14ac:dyDescent="0.25">
      <c r="A2438" s="1">
        <v>2020</v>
      </c>
      <c r="B2438" s="1" t="s">
        <v>99</v>
      </c>
      <c r="C2438" t="s">
        <v>7</v>
      </c>
      <c r="D2438" s="1" t="s">
        <v>5</v>
      </c>
      <c r="E2438">
        <v>84</v>
      </c>
      <c r="F2438" s="1" t="s">
        <v>101</v>
      </c>
      <c r="G2438">
        <v>6</v>
      </c>
      <c r="H2438">
        <v>1</v>
      </c>
      <c r="I2438" s="2">
        <f t="shared" si="114"/>
        <v>0.19634399999999999</v>
      </c>
      <c r="J2438">
        <f t="shared" si="115"/>
        <v>7.3290033594624856E-3</v>
      </c>
      <c r="K2438">
        <f t="shared" si="116"/>
        <v>5.1278140506659693E-3</v>
      </c>
    </row>
    <row r="2439" spans="1:11" x14ac:dyDescent="0.25">
      <c r="A2439" s="1">
        <v>2020</v>
      </c>
      <c r="B2439" s="1" t="s">
        <v>99</v>
      </c>
      <c r="C2439" t="s">
        <v>7</v>
      </c>
      <c r="D2439" s="1" t="s">
        <v>5</v>
      </c>
      <c r="E2439">
        <v>85</v>
      </c>
      <c r="F2439" s="1" t="s">
        <v>101</v>
      </c>
      <c r="G2439">
        <v>8</v>
      </c>
      <c r="H2439">
        <v>1</v>
      </c>
      <c r="I2439" s="2">
        <f t="shared" si="114"/>
        <v>0.34905599999999998</v>
      </c>
      <c r="J2439">
        <f t="shared" si="115"/>
        <v>1.3029339305711086E-2</v>
      </c>
      <c r="K2439">
        <f t="shared" si="116"/>
        <v>9.1161138678506129E-3</v>
      </c>
    </row>
    <row r="2440" spans="1:11" x14ac:dyDescent="0.25">
      <c r="A2440" s="1">
        <v>2020</v>
      </c>
      <c r="B2440" s="1" t="s">
        <v>99</v>
      </c>
      <c r="C2440" t="s">
        <v>7</v>
      </c>
      <c r="D2440" s="1" t="s">
        <v>5</v>
      </c>
      <c r="E2440">
        <v>88</v>
      </c>
      <c r="F2440" s="1" t="s">
        <v>101</v>
      </c>
      <c r="G2440">
        <v>14</v>
      </c>
      <c r="H2440">
        <v>1</v>
      </c>
      <c r="I2440" s="2">
        <f t="shared" si="114"/>
        <v>1.0689839999999999</v>
      </c>
      <c r="J2440">
        <f t="shared" si="115"/>
        <v>3.9902351623740201E-2</v>
      </c>
      <c r="K2440">
        <f t="shared" si="116"/>
        <v>2.7918098720292502E-2</v>
      </c>
    </row>
    <row r="2441" spans="1:11" x14ac:dyDescent="0.25">
      <c r="I2441" s="2"/>
    </row>
    <row r="2442" spans="1:11" x14ac:dyDescent="0.25">
      <c r="I2442" s="2"/>
    </row>
    <row r="2443" spans="1:11" x14ac:dyDescent="0.25">
      <c r="I2443" s="2"/>
    </row>
    <row r="2444" spans="1:11" x14ac:dyDescent="0.25">
      <c r="I2444" s="2"/>
    </row>
    <row r="2445" spans="1:11" x14ac:dyDescent="0.25">
      <c r="I2445" s="2"/>
    </row>
    <row r="2446" spans="1:11" x14ac:dyDescent="0.25">
      <c r="I2446" s="2"/>
    </row>
    <row r="2447" spans="1:11" x14ac:dyDescent="0.25">
      <c r="I2447" s="2"/>
    </row>
    <row r="2448" spans="1:11" x14ac:dyDescent="0.25">
      <c r="I2448" s="2"/>
    </row>
    <row r="2449" spans="9:9" x14ac:dyDescent="0.25">
      <c r="I2449" s="2"/>
    </row>
    <row r="2450" spans="9:9" x14ac:dyDescent="0.25">
      <c r="I2450" s="2"/>
    </row>
    <row r="2451" spans="9:9" x14ac:dyDescent="0.25">
      <c r="I2451" s="2"/>
    </row>
    <row r="2452" spans="9:9" x14ac:dyDescent="0.25">
      <c r="I2452" s="2"/>
    </row>
    <row r="2453" spans="9:9" x14ac:dyDescent="0.25">
      <c r="I2453" s="2"/>
    </row>
    <row r="2454" spans="9:9" x14ac:dyDescent="0.25">
      <c r="I2454" s="2"/>
    </row>
    <row r="2455" spans="9:9" x14ac:dyDescent="0.25">
      <c r="I2455" s="2"/>
    </row>
    <row r="2456" spans="9:9" x14ac:dyDescent="0.25">
      <c r="I2456" s="2"/>
    </row>
    <row r="2457" spans="9:9" x14ac:dyDescent="0.25">
      <c r="I2457" s="2"/>
    </row>
    <row r="2458" spans="9:9" x14ac:dyDescent="0.25">
      <c r="I2458" s="2"/>
    </row>
    <row r="2459" spans="9:9" x14ac:dyDescent="0.25">
      <c r="I2459" s="2"/>
    </row>
    <row r="2460" spans="9:9" x14ac:dyDescent="0.25">
      <c r="I2460" s="2"/>
    </row>
    <row r="2461" spans="9:9" x14ac:dyDescent="0.25">
      <c r="I2461" s="2"/>
    </row>
    <row r="2462" spans="9:9" x14ac:dyDescent="0.25">
      <c r="I2462" s="2"/>
    </row>
    <row r="2463" spans="9:9" x14ac:dyDescent="0.25">
      <c r="I2463" s="2"/>
    </row>
    <row r="2464" spans="9:9" x14ac:dyDescent="0.25">
      <c r="I2464" s="2"/>
    </row>
    <row r="2465" spans="9:9" x14ac:dyDescent="0.25">
      <c r="I2465" s="2"/>
    </row>
    <row r="2466" spans="9:9" x14ac:dyDescent="0.25">
      <c r="I2466" s="2"/>
    </row>
    <row r="2467" spans="9:9" x14ac:dyDescent="0.25">
      <c r="I2467" s="2"/>
    </row>
    <row r="2468" spans="9:9" x14ac:dyDescent="0.25">
      <c r="I2468" s="2"/>
    </row>
    <row r="2469" spans="9:9" x14ac:dyDescent="0.25">
      <c r="I2469" s="2"/>
    </row>
    <row r="2470" spans="9:9" x14ac:dyDescent="0.25">
      <c r="I2470" s="2"/>
    </row>
    <row r="2471" spans="9:9" x14ac:dyDescent="0.25">
      <c r="I2471" s="2"/>
    </row>
    <row r="2472" spans="9:9" x14ac:dyDescent="0.25">
      <c r="I2472" s="2"/>
    </row>
    <row r="2473" spans="9:9" x14ac:dyDescent="0.25">
      <c r="I2473" s="2"/>
    </row>
    <row r="2474" spans="9:9" x14ac:dyDescent="0.25">
      <c r="I2474" s="2"/>
    </row>
    <row r="2475" spans="9:9" x14ac:dyDescent="0.25">
      <c r="I2475" s="2"/>
    </row>
    <row r="2476" spans="9:9" x14ac:dyDescent="0.25">
      <c r="I2476" s="2"/>
    </row>
    <row r="2477" spans="9:9" x14ac:dyDescent="0.25">
      <c r="I2477" s="2"/>
    </row>
    <row r="2478" spans="9:9" x14ac:dyDescent="0.25">
      <c r="I2478" s="2"/>
    </row>
    <row r="2479" spans="9:9" x14ac:dyDescent="0.25">
      <c r="I2479" s="2"/>
    </row>
    <row r="2480" spans="9:9" x14ac:dyDescent="0.25">
      <c r="I2480" s="2"/>
    </row>
    <row r="2481" spans="9:9" x14ac:dyDescent="0.25">
      <c r="I2481" s="2"/>
    </row>
    <row r="2482" spans="9:9" x14ac:dyDescent="0.25">
      <c r="I2482" s="2"/>
    </row>
    <row r="2483" spans="9:9" x14ac:dyDescent="0.25">
      <c r="I2483" s="2"/>
    </row>
    <row r="2484" spans="9:9" x14ac:dyDescent="0.25">
      <c r="I2484" s="2"/>
    </row>
    <row r="2485" spans="9:9" x14ac:dyDescent="0.25">
      <c r="I2485" s="2"/>
    </row>
    <row r="2486" spans="9:9" x14ac:dyDescent="0.25">
      <c r="I2486" s="2"/>
    </row>
    <row r="2487" spans="9:9" x14ac:dyDescent="0.25">
      <c r="I2487" s="2"/>
    </row>
    <row r="2488" spans="9:9" x14ac:dyDescent="0.25">
      <c r="I2488" s="2"/>
    </row>
    <row r="2489" spans="9:9" x14ac:dyDescent="0.25">
      <c r="I2489" s="2"/>
    </row>
    <row r="2490" spans="9:9" x14ac:dyDescent="0.25">
      <c r="I2490" s="2"/>
    </row>
    <row r="2491" spans="9:9" x14ac:dyDescent="0.25">
      <c r="I2491" s="2"/>
    </row>
    <row r="2492" spans="9:9" x14ac:dyDescent="0.25">
      <c r="I2492" s="2"/>
    </row>
    <row r="2493" spans="9:9" x14ac:dyDescent="0.25">
      <c r="I2493" s="2"/>
    </row>
    <row r="2494" spans="9:9" x14ac:dyDescent="0.25">
      <c r="I2494" s="2"/>
    </row>
    <row r="2495" spans="9:9" x14ac:dyDescent="0.25">
      <c r="I2495" s="2"/>
    </row>
    <row r="2496" spans="9:9" x14ac:dyDescent="0.25">
      <c r="I2496" s="2"/>
    </row>
    <row r="2497" spans="9:9" x14ac:dyDescent="0.25">
      <c r="I2497" s="2"/>
    </row>
    <row r="2498" spans="9:9" x14ac:dyDescent="0.25">
      <c r="I2498" s="2"/>
    </row>
    <row r="2499" spans="9:9" x14ac:dyDescent="0.25">
      <c r="I2499" s="2"/>
    </row>
    <row r="2500" spans="9:9" x14ac:dyDescent="0.25">
      <c r="I2500" s="2"/>
    </row>
    <row r="2501" spans="9:9" x14ac:dyDescent="0.25">
      <c r="I2501" s="2"/>
    </row>
    <row r="2502" spans="9:9" x14ac:dyDescent="0.25">
      <c r="I2502" s="2"/>
    </row>
    <row r="2503" spans="9:9" x14ac:dyDescent="0.25">
      <c r="I2503" s="2"/>
    </row>
    <row r="2504" spans="9:9" x14ac:dyDescent="0.25">
      <c r="I2504" s="2"/>
    </row>
    <row r="2505" spans="9:9" x14ac:dyDescent="0.25">
      <c r="I2505" s="2"/>
    </row>
    <row r="2506" spans="9:9" x14ac:dyDescent="0.25">
      <c r="I2506" s="2"/>
    </row>
    <row r="2507" spans="9:9" x14ac:dyDescent="0.25">
      <c r="I2507" s="2"/>
    </row>
    <row r="2508" spans="9:9" x14ac:dyDescent="0.25">
      <c r="I2508" s="2"/>
    </row>
    <row r="2509" spans="9:9" x14ac:dyDescent="0.25">
      <c r="I2509" s="2"/>
    </row>
    <row r="2510" spans="9:9" x14ac:dyDescent="0.25">
      <c r="I2510" s="2"/>
    </row>
    <row r="2511" spans="9:9" x14ac:dyDescent="0.25">
      <c r="I2511" s="2"/>
    </row>
    <row r="2512" spans="9:9" x14ac:dyDescent="0.25">
      <c r="I2512" s="2"/>
    </row>
    <row r="2513" spans="9:9" x14ac:dyDescent="0.25">
      <c r="I2513" s="2"/>
    </row>
    <row r="2514" spans="9:9" x14ac:dyDescent="0.25">
      <c r="I2514" s="2"/>
    </row>
    <row r="2515" spans="9:9" x14ac:dyDescent="0.25">
      <c r="I2515" s="2"/>
    </row>
    <row r="2516" spans="9:9" x14ac:dyDescent="0.25">
      <c r="I2516" s="2"/>
    </row>
    <row r="2517" spans="9:9" x14ac:dyDescent="0.25">
      <c r="I2517" s="2"/>
    </row>
    <row r="2518" spans="9:9" x14ac:dyDescent="0.25">
      <c r="I2518" s="2"/>
    </row>
    <row r="2519" spans="9:9" x14ac:dyDescent="0.25">
      <c r="I2519" s="2"/>
    </row>
    <row r="2520" spans="9:9" x14ac:dyDescent="0.25">
      <c r="I2520" s="2"/>
    </row>
    <row r="2521" spans="9:9" x14ac:dyDescent="0.25">
      <c r="I2521" s="2"/>
    </row>
    <row r="2522" spans="9:9" x14ac:dyDescent="0.25">
      <c r="I2522" s="2"/>
    </row>
    <row r="2523" spans="9:9" x14ac:dyDescent="0.25">
      <c r="I2523" s="2"/>
    </row>
    <row r="2524" spans="9:9" x14ac:dyDescent="0.25">
      <c r="I2524" s="2"/>
    </row>
    <row r="2525" spans="9:9" x14ac:dyDescent="0.25">
      <c r="I2525" s="2"/>
    </row>
    <row r="2526" spans="9:9" x14ac:dyDescent="0.25">
      <c r="I2526" s="2"/>
    </row>
    <row r="2527" spans="9:9" x14ac:dyDescent="0.25">
      <c r="I2527" s="2"/>
    </row>
    <row r="2528" spans="9:9" x14ac:dyDescent="0.25">
      <c r="I2528" s="2"/>
    </row>
    <row r="2529" spans="9:9" x14ac:dyDescent="0.25">
      <c r="I2529" s="2"/>
    </row>
    <row r="2530" spans="9:9" x14ac:dyDescent="0.25">
      <c r="I2530" s="2"/>
    </row>
    <row r="2531" spans="9:9" x14ac:dyDescent="0.25">
      <c r="I2531" s="2"/>
    </row>
    <row r="2532" spans="9:9" x14ac:dyDescent="0.25">
      <c r="I2532" s="2"/>
    </row>
    <row r="2533" spans="9:9" x14ac:dyDescent="0.25">
      <c r="I2533" s="2"/>
    </row>
    <row r="2534" spans="9:9" x14ac:dyDescent="0.25">
      <c r="I2534" s="2"/>
    </row>
    <row r="2535" spans="9:9" x14ac:dyDescent="0.25">
      <c r="I2535" s="2"/>
    </row>
    <row r="2536" spans="9:9" x14ac:dyDescent="0.25">
      <c r="I2536" s="2"/>
    </row>
    <row r="2537" spans="9:9" x14ac:dyDescent="0.25">
      <c r="I2537" s="2"/>
    </row>
    <row r="2538" spans="9:9" x14ac:dyDescent="0.25">
      <c r="I2538" s="2"/>
    </row>
    <row r="2539" spans="9:9" x14ac:dyDescent="0.25">
      <c r="I2539" s="2"/>
    </row>
    <row r="2540" spans="9:9" x14ac:dyDescent="0.25">
      <c r="I2540" s="2"/>
    </row>
    <row r="2541" spans="9:9" x14ac:dyDescent="0.25">
      <c r="I2541" s="2"/>
    </row>
    <row r="2542" spans="9:9" x14ac:dyDescent="0.25">
      <c r="I2542" s="2"/>
    </row>
    <row r="2543" spans="9:9" x14ac:dyDescent="0.25">
      <c r="I2543" s="2"/>
    </row>
    <row r="2544" spans="9:9" x14ac:dyDescent="0.25">
      <c r="I2544" s="2"/>
    </row>
    <row r="2545" spans="9:9" x14ac:dyDescent="0.25">
      <c r="I2545" s="2"/>
    </row>
    <row r="2546" spans="9:9" x14ac:dyDescent="0.25">
      <c r="I2546" s="2"/>
    </row>
    <row r="2547" spans="9:9" x14ac:dyDescent="0.25">
      <c r="I2547" s="2"/>
    </row>
    <row r="2548" spans="9:9" x14ac:dyDescent="0.25">
      <c r="I2548" s="2"/>
    </row>
    <row r="2549" spans="9:9" x14ac:dyDescent="0.25">
      <c r="I2549" s="2"/>
    </row>
    <row r="2550" spans="9:9" x14ac:dyDescent="0.25">
      <c r="I2550" s="2"/>
    </row>
    <row r="2551" spans="9:9" x14ac:dyDescent="0.25">
      <c r="I2551" s="2"/>
    </row>
    <row r="2552" spans="9:9" x14ac:dyDescent="0.25">
      <c r="I2552" s="2"/>
    </row>
    <row r="2553" spans="9:9" x14ac:dyDescent="0.25">
      <c r="I2553" s="2"/>
    </row>
    <row r="2554" spans="9:9" x14ac:dyDescent="0.25">
      <c r="I2554" s="2"/>
    </row>
    <row r="2555" spans="9:9" x14ac:dyDescent="0.25">
      <c r="I2555" s="2"/>
    </row>
    <row r="2556" spans="9:9" x14ac:dyDescent="0.25">
      <c r="I2556" s="2"/>
    </row>
    <row r="2557" spans="9:9" x14ac:dyDescent="0.25">
      <c r="I2557" s="2"/>
    </row>
    <row r="2558" spans="9:9" x14ac:dyDescent="0.25">
      <c r="I2558" s="2"/>
    </row>
    <row r="2559" spans="9:9" x14ac:dyDescent="0.25">
      <c r="I2559" s="2"/>
    </row>
    <row r="2560" spans="9:9" x14ac:dyDescent="0.25">
      <c r="I2560" s="2"/>
    </row>
    <row r="2561" spans="9:9" x14ac:dyDescent="0.25">
      <c r="I2561" s="2"/>
    </row>
    <row r="2562" spans="9:9" x14ac:dyDescent="0.25">
      <c r="I2562" s="2"/>
    </row>
    <row r="2563" spans="9:9" x14ac:dyDescent="0.25">
      <c r="I2563" s="2"/>
    </row>
    <row r="2564" spans="9:9" x14ac:dyDescent="0.25">
      <c r="I2564" s="2"/>
    </row>
    <row r="2565" spans="9:9" x14ac:dyDescent="0.25">
      <c r="I2565" s="2"/>
    </row>
    <row r="2566" spans="9:9" x14ac:dyDescent="0.25">
      <c r="I2566" s="2"/>
    </row>
    <row r="2567" spans="9:9" x14ac:dyDescent="0.25">
      <c r="I2567" s="2"/>
    </row>
    <row r="2568" spans="9:9" x14ac:dyDescent="0.25">
      <c r="I2568" s="2"/>
    </row>
    <row r="2569" spans="9:9" x14ac:dyDescent="0.25">
      <c r="I2569" s="2"/>
    </row>
    <row r="2570" spans="9:9" x14ac:dyDescent="0.25">
      <c r="I2570" s="2"/>
    </row>
    <row r="2571" spans="9:9" x14ac:dyDescent="0.25">
      <c r="I2571" s="2"/>
    </row>
    <row r="2572" spans="9:9" x14ac:dyDescent="0.25">
      <c r="I2572" s="2"/>
    </row>
    <row r="2573" spans="9:9" x14ac:dyDescent="0.25">
      <c r="I2573" s="2"/>
    </row>
    <row r="2574" spans="9:9" x14ac:dyDescent="0.25">
      <c r="I2574" s="2"/>
    </row>
    <row r="2575" spans="9:9" x14ac:dyDescent="0.25">
      <c r="I2575" s="2"/>
    </row>
    <row r="2576" spans="9:9" x14ac:dyDescent="0.25">
      <c r="I2576" s="2"/>
    </row>
    <row r="2577" spans="9:9" x14ac:dyDescent="0.25">
      <c r="I2577" s="2"/>
    </row>
    <row r="2578" spans="9:9" x14ac:dyDescent="0.25">
      <c r="I2578" s="2"/>
    </row>
    <row r="2579" spans="9:9" x14ac:dyDescent="0.25">
      <c r="I2579" s="2"/>
    </row>
    <row r="2580" spans="9:9" x14ac:dyDescent="0.25">
      <c r="I2580" s="2"/>
    </row>
    <row r="2581" spans="9:9" x14ac:dyDescent="0.25">
      <c r="I2581" s="2"/>
    </row>
    <row r="2582" spans="9:9" x14ac:dyDescent="0.25">
      <c r="I2582" s="2"/>
    </row>
    <row r="2583" spans="9:9" x14ac:dyDescent="0.25">
      <c r="I2583" s="2"/>
    </row>
    <row r="2584" spans="9:9" x14ac:dyDescent="0.25">
      <c r="I2584" s="2"/>
    </row>
    <row r="2585" spans="9:9" x14ac:dyDescent="0.25">
      <c r="I2585" s="2"/>
    </row>
    <row r="2586" spans="9:9" x14ac:dyDescent="0.25">
      <c r="I2586" s="2"/>
    </row>
    <row r="2587" spans="9:9" x14ac:dyDescent="0.25">
      <c r="I2587" s="2"/>
    </row>
    <row r="2588" spans="9:9" x14ac:dyDescent="0.25">
      <c r="I2588" s="2"/>
    </row>
    <row r="2589" spans="9:9" x14ac:dyDescent="0.25">
      <c r="I2589" s="2"/>
    </row>
    <row r="2590" spans="9:9" x14ac:dyDescent="0.25">
      <c r="I2590" s="2"/>
    </row>
    <row r="2591" spans="9:9" x14ac:dyDescent="0.25">
      <c r="I2591" s="2"/>
    </row>
    <row r="2592" spans="9:9" x14ac:dyDescent="0.25">
      <c r="I2592" s="2"/>
    </row>
    <row r="2593" spans="9:9" x14ac:dyDescent="0.25">
      <c r="I2593" s="2"/>
    </row>
    <row r="2594" spans="9:9" x14ac:dyDescent="0.25">
      <c r="I2594" s="2"/>
    </row>
    <row r="2595" spans="9:9" x14ac:dyDescent="0.25">
      <c r="I2595" s="2"/>
    </row>
    <row r="2596" spans="9:9" x14ac:dyDescent="0.25">
      <c r="I2596" s="2"/>
    </row>
    <row r="2597" spans="9:9" x14ac:dyDescent="0.25">
      <c r="I2597" s="2"/>
    </row>
    <row r="2598" spans="9:9" x14ac:dyDescent="0.25">
      <c r="I2598" s="2"/>
    </row>
    <row r="2599" spans="9:9" x14ac:dyDescent="0.25">
      <c r="I2599" s="2"/>
    </row>
    <row r="2600" spans="9:9" x14ac:dyDescent="0.25">
      <c r="I2600" s="2"/>
    </row>
    <row r="2601" spans="9:9" x14ac:dyDescent="0.25">
      <c r="I2601" s="2"/>
    </row>
    <row r="2602" spans="9:9" x14ac:dyDescent="0.25">
      <c r="I2602" s="2"/>
    </row>
    <row r="2603" spans="9:9" x14ac:dyDescent="0.25">
      <c r="I2603" s="2"/>
    </row>
    <row r="2604" spans="9:9" x14ac:dyDescent="0.25">
      <c r="I2604" s="2"/>
    </row>
    <row r="2605" spans="9:9" x14ac:dyDescent="0.25">
      <c r="I2605" s="2"/>
    </row>
    <row r="2606" spans="9:9" x14ac:dyDescent="0.25">
      <c r="I2606" s="2"/>
    </row>
    <row r="2607" spans="9:9" x14ac:dyDescent="0.25">
      <c r="I2607" s="2"/>
    </row>
    <row r="2608" spans="9:9" x14ac:dyDescent="0.25">
      <c r="I2608" s="2"/>
    </row>
    <row r="2609" spans="9:9" x14ac:dyDescent="0.25">
      <c r="I2609" s="2"/>
    </row>
    <row r="2610" spans="9:9" x14ac:dyDescent="0.25">
      <c r="I2610" s="2"/>
    </row>
    <row r="2611" spans="9:9" x14ac:dyDescent="0.25">
      <c r="I2611" s="2"/>
    </row>
    <row r="2612" spans="9:9" x14ac:dyDescent="0.25">
      <c r="I2612" s="2"/>
    </row>
    <row r="2613" spans="9:9" x14ac:dyDescent="0.25">
      <c r="I2613" s="2"/>
    </row>
    <row r="2614" spans="9:9" x14ac:dyDescent="0.25">
      <c r="I2614" s="2"/>
    </row>
    <row r="2615" spans="9:9" x14ac:dyDescent="0.25">
      <c r="I2615" s="2"/>
    </row>
    <row r="2616" spans="9:9" x14ac:dyDescent="0.25">
      <c r="I2616" s="2"/>
    </row>
    <row r="2617" spans="9:9" x14ac:dyDescent="0.25">
      <c r="I2617" s="2"/>
    </row>
    <row r="2618" spans="9:9" x14ac:dyDescent="0.25">
      <c r="I2618" s="2"/>
    </row>
    <row r="2619" spans="9:9" x14ac:dyDescent="0.25">
      <c r="I2619" s="2"/>
    </row>
    <row r="2620" spans="9:9" x14ac:dyDescent="0.25">
      <c r="I2620" s="2"/>
    </row>
    <row r="2621" spans="9:9" x14ac:dyDescent="0.25">
      <c r="I2621" s="2"/>
    </row>
    <row r="2622" spans="9:9" x14ac:dyDescent="0.25">
      <c r="I2622" s="2"/>
    </row>
    <row r="2623" spans="9:9" x14ac:dyDescent="0.25">
      <c r="I2623" s="2"/>
    </row>
    <row r="2624" spans="9:9" x14ac:dyDescent="0.25">
      <c r="I2624" s="2"/>
    </row>
    <row r="2625" spans="9:9" x14ac:dyDescent="0.25">
      <c r="I2625" s="2"/>
    </row>
    <row r="2626" spans="9:9" x14ac:dyDescent="0.25">
      <c r="I2626" s="2"/>
    </row>
    <row r="2627" spans="9:9" x14ac:dyDescent="0.25">
      <c r="I2627" s="2"/>
    </row>
    <row r="2628" spans="9:9" x14ac:dyDescent="0.25">
      <c r="I2628" s="2"/>
    </row>
    <row r="2629" spans="9:9" x14ac:dyDescent="0.25">
      <c r="I2629" s="2"/>
    </row>
    <row r="2630" spans="9:9" x14ac:dyDescent="0.25">
      <c r="I2630" s="2"/>
    </row>
    <row r="2631" spans="9:9" x14ac:dyDescent="0.25">
      <c r="I2631" s="2"/>
    </row>
    <row r="2632" spans="9:9" x14ac:dyDescent="0.25">
      <c r="I2632" s="2"/>
    </row>
    <row r="2633" spans="9:9" x14ac:dyDescent="0.25">
      <c r="I2633" s="2"/>
    </row>
    <row r="2634" spans="9:9" x14ac:dyDescent="0.25">
      <c r="I2634" s="2"/>
    </row>
    <row r="2635" spans="9:9" x14ac:dyDescent="0.25">
      <c r="I2635" s="2"/>
    </row>
    <row r="2636" spans="9:9" x14ac:dyDescent="0.25">
      <c r="I2636" s="2"/>
    </row>
    <row r="2637" spans="9:9" x14ac:dyDescent="0.25">
      <c r="I2637" s="2"/>
    </row>
    <row r="2638" spans="9:9" x14ac:dyDescent="0.25">
      <c r="I2638" s="2"/>
    </row>
    <row r="2639" spans="9:9" x14ac:dyDescent="0.25">
      <c r="I2639" s="2"/>
    </row>
    <row r="2640" spans="9:9" x14ac:dyDescent="0.25">
      <c r="I2640" s="2"/>
    </row>
    <row r="2641" spans="9:9" x14ac:dyDescent="0.25">
      <c r="I2641" s="2"/>
    </row>
    <row r="2642" spans="9:9" x14ac:dyDescent="0.25">
      <c r="I2642" s="2"/>
    </row>
    <row r="2643" spans="9:9" x14ac:dyDescent="0.25">
      <c r="I2643" s="2"/>
    </row>
    <row r="2644" spans="9:9" x14ac:dyDescent="0.25">
      <c r="I2644" s="2"/>
    </row>
    <row r="2645" spans="9:9" x14ac:dyDescent="0.25">
      <c r="I2645" s="2"/>
    </row>
    <row r="2646" spans="9:9" x14ac:dyDescent="0.25">
      <c r="I2646" s="2"/>
    </row>
    <row r="2647" spans="9:9" x14ac:dyDescent="0.25">
      <c r="I2647" s="2"/>
    </row>
    <row r="2648" spans="9:9" x14ac:dyDescent="0.25">
      <c r="I2648" s="2"/>
    </row>
    <row r="2649" spans="9:9" x14ac:dyDescent="0.25">
      <c r="I2649" s="2"/>
    </row>
    <row r="2650" spans="9:9" x14ac:dyDescent="0.25">
      <c r="I2650" s="2"/>
    </row>
    <row r="2651" spans="9:9" x14ac:dyDescent="0.25">
      <c r="I2651" s="2"/>
    </row>
    <row r="2652" spans="9:9" x14ac:dyDescent="0.25">
      <c r="I2652" s="2"/>
    </row>
    <row r="2653" spans="9:9" x14ac:dyDescent="0.25">
      <c r="I2653" s="2"/>
    </row>
    <row r="2654" spans="9:9" x14ac:dyDescent="0.25">
      <c r="I2654" s="2"/>
    </row>
    <row r="2655" spans="9:9" x14ac:dyDescent="0.25">
      <c r="I2655" s="2"/>
    </row>
    <row r="2656" spans="9:9" x14ac:dyDescent="0.25">
      <c r="I2656" s="2"/>
    </row>
    <row r="2657" spans="9:9" x14ac:dyDescent="0.25">
      <c r="I2657" s="2"/>
    </row>
    <row r="2658" spans="9:9" x14ac:dyDescent="0.25">
      <c r="I2658" s="2"/>
    </row>
    <row r="2659" spans="9:9" x14ac:dyDescent="0.25">
      <c r="I2659" s="2"/>
    </row>
    <row r="2660" spans="9:9" x14ac:dyDescent="0.25">
      <c r="I2660" s="2"/>
    </row>
    <row r="2661" spans="9:9" x14ac:dyDescent="0.25">
      <c r="I2661" s="2"/>
    </row>
    <row r="2662" spans="9:9" x14ac:dyDescent="0.25">
      <c r="I2662" s="2"/>
    </row>
    <row r="2663" spans="9:9" x14ac:dyDescent="0.25">
      <c r="I2663" s="2"/>
    </row>
    <row r="2664" spans="9:9" x14ac:dyDescent="0.25">
      <c r="I2664" s="2"/>
    </row>
    <row r="2665" spans="9:9" x14ac:dyDescent="0.25">
      <c r="I2665" s="2"/>
    </row>
    <row r="2666" spans="9:9" x14ac:dyDescent="0.25">
      <c r="I2666" s="2"/>
    </row>
    <row r="2667" spans="9:9" x14ac:dyDescent="0.25">
      <c r="I2667" s="2"/>
    </row>
    <row r="2668" spans="9:9" x14ac:dyDescent="0.25">
      <c r="I2668" s="2"/>
    </row>
    <row r="2669" spans="9:9" x14ac:dyDescent="0.25">
      <c r="I2669" s="2"/>
    </row>
    <row r="2670" spans="9:9" x14ac:dyDescent="0.25">
      <c r="I2670" s="2"/>
    </row>
    <row r="2671" spans="9:9" x14ac:dyDescent="0.25">
      <c r="I2671" s="2"/>
    </row>
    <row r="2672" spans="9:9" x14ac:dyDescent="0.25">
      <c r="I2672" s="2"/>
    </row>
    <row r="2673" spans="9:9" x14ac:dyDescent="0.25">
      <c r="I2673" s="2"/>
    </row>
    <row r="2674" spans="9:9" x14ac:dyDescent="0.25">
      <c r="I2674" s="2"/>
    </row>
    <row r="2675" spans="9:9" x14ac:dyDescent="0.25">
      <c r="I2675" s="2"/>
    </row>
    <row r="2676" spans="9:9" x14ac:dyDescent="0.25">
      <c r="I2676" s="2"/>
    </row>
    <row r="2677" spans="9:9" x14ac:dyDescent="0.25">
      <c r="I2677" s="2"/>
    </row>
    <row r="2678" spans="9:9" x14ac:dyDescent="0.25">
      <c r="I2678" s="2"/>
    </row>
    <row r="2679" spans="9:9" x14ac:dyDescent="0.25">
      <c r="I2679" s="2"/>
    </row>
    <row r="2680" spans="9:9" x14ac:dyDescent="0.25">
      <c r="I2680" s="2"/>
    </row>
    <row r="2681" spans="9:9" x14ac:dyDescent="0.25">
      <c r="I2681" s="2"/>
    </row>
    <row r="2682" spans="9:9" x14ac:dyDescent="0.25">
      <c r="I2682" s="2"/>
    </row>
    <row r="2683" spans="9:9" x14ac:dyDescent="0.25">
      <c r="I2683" s="2"/>
    </row>
    <row r="2684" spans="9:9" x14ac:dyDescent="0.25">
      <c r="I2684" s="2"/>
    </row>
    <row r="2685" spans="9:9" x14ac:dyDescent="0.25">
      <c r="I2685" s="2"/>
    </row>
    <row r="2686" spans="9:9" x14ac:dyDescent="0.25">
      <c r="I2686" s="2"/>
    </row>
    <row r="2687" spans="9:9" x14ac:dyDescent="0.25">
      <c r="I2687" s="2"/>
    </row>
    <row r="2688" spans="9:9" x14ac:dyDescent="0.25">
      <c r="I2688" s="2"/>
    </row>
    <row r="2689" spans="9:9" x14ac:dyDescent="0.25">
      <c r="I2689" s="2"/>
    </row>
    <row r="2690" spans="9:9" x14ac:dyDescent="0.25">
      <c r="I2690" s="2"/>
    </row>
    <row r="2691" spans="9:9" x14ac:dyDescent="0.25">
      <c r="I2691" s="2"/>
    </row>
    <row r="2692" spans="9:9" x14ac:dyDescent="0.25">
      <c r="I2692" s="2"/>
    </row>
    <row r="2693" spans="9:9" x14ac:dyDescent="0.25">
      <c r="I2693" s="2"/>
    </row>
    <row r="2694" spans="9:9" x14ac:dyDescent="0.25">
      <c r="I2694" s="2"/>
    </row>
    <row r="2695" spans="9:9" x14ac:dyDescent="0.25">
      <c r="I2695" s="2"/>
    </row>
    <row r="2696" spans="9:9" x14ac:dyDescent="0.25">
      <c r="I2696" s="2"/>
    </row>
    <row r="2697" spans="9:9" x14ac:dyDescent="0.25">
      <c r="I2697" s="2"/>
    </row>
    <row r="2698" spans="9:9" x14ac:dyDescent="0.25">
      <c r="I2698" s="2"/>
    </row>
    <row r="2699" spans="9:9" x14ac:dyDescent="0.25">
      <c r="I2699" s="2"/>
    </row>
    <row r="2700" spans="9:9" x14ac:dyDescent="0.25">
      <c r="I2700" s="2"/>
    </row>
    <row r="2701" spans="9:9" x14ac:dyDescent="0.25">
      <c r="I2701" s="2"/>
    </row>
    <row r="2702" spans="9:9" x14ac:dyDescent="0.25">
      <c r="I2702" s="2"/>
    </row>
    <row r="2703" spans="9:9" x14ac:dyDescent="0.25">
      <c r="I2703" s="2"/>
    </row>
    <row r="2704" spans="9:9" x14ac:dyDescent="0.25">
      <c r="I2704" s="2"/>
    </row>
    <row r="2705" spans="9:9" x14ac:dyDescent="0.25">
      <c r="I2705" s="2"/>
    </row>
    <row r="2706" spans="9:9" x14ac:dyDescent="0.25">
      <c r="I2706" s="2"/>
    </row>
    <row r="2707" spans="9:9" x14ac:dyDescent="0.25">
      <c r="I2707" s="2"/>
    </row>
    <row r="2708" spans="9:9" x14ac:dyDescent="0.25">
      <c r="I2708" s="2"/>
    </row>
    <row r="2709" spans="9:9" x14ac:dyDescent="0.25">
      <c r="I2709" s="2"/>
    </row>
    <row r="2710" spans="9:9" x14ac:dyDescent="0.25">
      <c r="I2710" s="2"/>
    </row>
    <row r="2711" spans="9:9" x14ac:dyDescent="0.25">
      <c r="I2711" s="2"/>
    </row>
    <row r="2712" spans="9:9" x14ac:dyDescent="0.25">
      <c r="I2712" s="2"/>
    </row>
    <row r="2713" spans="9:9" x14ac:dyDescent="0.25">
      <c r="I2713" s="2"/>
    </row>
    <row r="2714" spans="9:9" x14ac:dyDescent="0.25">
      <c r="I2714" s="2"/>
    </row>
    <row r="2715" spans="9:9" x14ac:dyDescent="0.25">
      <c r="I2715" s="2"/>
    </row>
    <row r="2716" spans="9:9" x14ac:dyDescent="0.25">
      <c r="I2716" s="2"/>
    </row>
    <row r="2717" spans="9:9" x14ac:dyDescent="0.25">
      <c r="I2717" s="2"/>
    </row>
    <row r="2718" spans="9:9" x14ac:dyDescent="0.25">
      <c r="I2718" s="2"/>
    </row>
    <row r="2719" spans="9:9" x14ac:dyDescent="0.25">
      <c r="I2719" s="2"/>
    </row>
    <row r="2720" spans="9:9" x14ac:dyDescent="0.25">
      <c r="I2720" s="2"/>
    </row>
    <row r="2721" spans="9:9" x14ac:dyDescent="0.25">
      <c r="I2721" s="2"/>
    </row>
    <row r="2722" spans="9:9" x14ac:dyDescent="0.25">
      <c r="I2722" s="2"/>
    </row>
    <row r="2723" spans="9:9" x14ac:dyDescent="0.25">
      <c r="I2723" s="2"/>
    </row>
    <row r="2724" spans="9:9" x14ac:dyDescent="0.25">
      <c r="I2724" s="2"/>
    </row>
    <row r="2725" spans="9:9" x14ac:dyDescent="0.25">
      <c r="I2725" s="2"/>
    </row>
    <row r="2726" spans="9:9" x14ac:dyDescent="0.25">
      <c r="I2726" s="2"/>
    </row>
    <row r="2727" spans="9:9" x14ac:dyDescent="0.25">
      <c r="I2727" s="2"/>
    </row>
    <row r="2728" spans="9:9" x14ac:dyDescent="0.25">
      <c r="I2728" s="2"/>
    </row>
    <row r="2729" spans="9:9" x14ac:dyDescent="0.25">
      <c r="I2729" s="2"/>
    </row>
    <row r="2730" spans="9:9" x14ac:dyDescent="0.25">
      <c r="I2730" s="2"/>
    </row>
    <row r="2731" spans="9:9" x14ac:dyDescent="0.25">
      <c r="I2731" s="2"/>
    </row>
    <row r="2732" spans="9:9" x14ac:dyDescent="0.25">
      <c r="I2732" s="2"/>
    </row>
    <row r="2733" spans="9:9" x14ac:dyDescent="0.25">
      <c r="I2733" s="2"/>
    </row>
    <row r="2734" spans="9:9" x14ac:dyDescent="0.25">
      <c r="I2734" s="2"/>
    </row>
    <row r="2735" spans="9:9" x14ac:dyDescent="0.25">
      <c r="I2735" s="2"/>
    </row>
    <row r="2736" spans="9:9" x14ac:dyDescent="0.25">
      <c r="I2736" s="2"/>
    </row>
    <row r="2737" spans="9:9" x14ac:dyDescent="0.25">
      <c r="I2737" s="2"/>
    </row>
    <row r="2738" spans="9:9" x14ac:dyDescent="0.25">
      <c r="I2738" s="2"/>
    </row>
    <row r="2739" spans="9:9" x14ac:dyDescent="0.25">
      <c r="I2739" s="2"/>
    </row>
    <row r="2740" spans="9:9" x14ac:dyDescent="0.25">
      <c r="I2740" s="2"/>
    </row>
    <row r="2741" spans="9:9" x14ac:dyDescent="0.25">
      <c r="I2741" s="2"/>
    </row>
    <row r="2742" spans="9:9" x14ac:dyDescent="0.25">
      <c r="I2742" s="2"/>
    </row>
    <row r="2743" spans="9:9" x14ac:dyDescent="0.25">
      <c r="I2743" s="2"/>
    </row>
    <row r="2744" spans="9:9" x14ac:dyDescent="0.25">
      <c r="I2744" s="2"/>
    </row>
    <row r="2745" spans="9:9" x14ac:dyDescent="0.25">
      <c r="I2745" s="2"/>
    </row>
    <row r="2746" spans="9:9" x14ac:dyDescent="0.25">
      <c r="I2746" s="2"/>
    </row>
    <row r="2747" spans="9:9" x14ac:dyDescent="0.25">
      <c r="I2747" s="2"/>
    </row>
    <row r="2748" spans="9:9" x14ac:dyDescent="0.25">
      <c r="I2748" s="2"/>
    </row>
    <row r="2749" spans="9:9" x14ac:dyDescent="0.25">
      <c r="I2749" s="2"/>
    </row>
    <row r="2750" spans="9:9" x14ac:dyDescent="0.25">
      <c r="I2750" s="2"/>
    </row>
    <row r="2751" spans="9:9" x14ac:dyDescent="0.25">
      <c r="I2751" s="2"/>
    </row>
    <row r="2752" spans="9:9" x14ac:dyDescent="0.25">
      <c r="I2752" s="2"/>
    </row>
    <row r="2753" spans="9:9" x14ac:dyDescent="0.25">
      <c r="I2753" s="2"/>
    </row>
    <row r="2754" spans="9:9" x14ac:dyDescent="0.25">
      <c r="I2754" s="2"/>
    </row>
    <row r="2755" spans="9:9" x14ac:dyDescent="0.25">
      <c r="I2755" s="2"/>
    </row>
    <row r="2756" spans="9:9" x14ac:dyDescent="0.25">
      <c r="I2756" s="2"/>
    </row>
    <row r="2757" spans="9:9" x14ac:dyDescent="0.25">
      <c r="I2757" s="2"/>
    </row>
    <row r="2758" spans="9:9" x14ac:dyDescent="0.25">
      <c r="I2758" s="2"/>
    </row>
    <row r="2759" spans="9:9" x14ac:dyDescent="0.25">
      <c r="I2759" s="2"/>
    </row>
    <row r="2760" spans="9:9" x14ac:dyDescent="0.25">
      <c r="I2760" s="2"/>
    </row>
    <row r="2761" spans="9:9" x14ac:dyDescent="0.25">
      <c r="I2761" s="2"/>
    </row>
    <row r="2762" spans="9:9" x14ac:dyDescent="0.25">
      <c r="I2762" s="2"/>
    </row>
    <row r="2763" spans="9:9" x14ac:dyDescent="0.25">
      <c r="I2763" s="2"/>
    </row>
    <row r="2764" spans="9:9" x14ac:dyDescent="0.25">
      <c r="I2764" s="2"/>
    </row>
    <row r="2765" spans="9:9" x14ac:dyDescent="0.25">
      <c r="I2765" s="2"/>
    </row>
    <row r="2766" spans="9:9" x14ac:dyDescent="0.25">
      <c r="I2766" s="2"/>
    </row>
    <row r="2767" spans="9:9" x14ac:dyDescent="0.25">
      <c r="I2767" s="2"/>
    </row>
    <row r="2768" spans="9:9" x14ac:dyDescent="0.25">
      <c r="I2768" s="2"/>
    </row>
    <row r="2769" spans="9:9" x14ac:dyDescent="0.25">
      <c r="I2769" s="2"/>
    </row>
    <row r="2770" spans="9:9" x14ac:dyDescent="0.25">
      <c r="I2770" s="2"/>
    </row>
    <row r="2771" spans="9:9" x14ac:dyDescent="0.25">
      <c r="I2771" s="2"/>
    </row>
    <row r="2772" spans="9:9" x14ac:dyDescent="0.25">
      <c r="I2772" s="2"/>
    </row>
    <row r="2773" spans="9:9" x14ac:dyDescent="0.25">
      <c r="I2773" s="2"/>
    </row>
    <row r="2774" spans="9:9" x14ac:dyDescent="0.25">
      <c r="I2774" s="2"/>
    </row>
    <row r="2775" spans="9:9" x14ac:dyDescent="0.25">
      <c r="I2775" s="2"/>
    </row>
    <row r="2776" spans="9:9" x14ac:dyDescent="0.25">
      <c r="I2776" s="2"/>
    </row>
    <row r="2777" spans="9:9" x14ac:dyDescent="0.25">
      <c r="I2777" s="2"/>
    </row>
    <row r="2778" spans="9:9" x14ac:dyDescent="0.25">
      <c r="I2778" s="2"/>
    </row>
    <row r="2779" spans="9:9" x14ac:dyDescent="0.25">
      <c r="I2779" s="2"/>
    </row>
    <row r="2780" spans="9:9" x14ac:dyDescent="0.25">
      <c r="I2780" s="2"/>
    </row>
    <row r="2781" spans="9:9" x14ac:dyDescent="0.25">
      <c r="I2781" s="2"/>
    </row>
    <row r="2782" spans="9:9" x14ac:dyDescent="0.25">
      <c r="I2782" s="2"/>
    </row>
    <row r="2783" spans="9:9" x14ac:dyDescent="0.25">
      <c r="I2783" s="2"/>
    </row>
    <row r="2784" spans="9:9" x14ac:dyDescent="0.25">
      <c r="I2784" s="2"/>
    </row>
    <row r="2785" spans="9:9" x14ac:dyDescent="0.25">
      <c r="I2785" s="2"/>
    </row>
    <row r="2786" spans="9:9" x14ac:dyDescent="0.25">
      <c r="I2786" s="2"/>
    </row>
    <row r="2787" spans="9:9" x14ac:dyDescent="0.25">
      <c r="I2787" s="2"/>
    </row>
    <row r="2788" spans="9:9" x14ac:dyDescent="0.25">
      <c r="I2788" s="2"/>
    </row>
    <row r="2789" spans="9:9" x14ac:dyDescent="0.25">
      <c r="I2789" s="2"/>
    </row>
    <row r="2790" spans="9:9" x14ac:dyDescent="0.25">
      <c r="I2790" s="2"/>
    </row>
    <row r="2791" spans="9:9" x14ac:dyDescent="0.25">
      <c r="I2791" s="2"/>
    </row>
    <row r="2792" spans="9:9" x14ac:dyDescent="0.25">
      <c r="I2792" s="2"/>
    </row>
    <row r="2793" spans="9:9" x14ac:dyDescent="0.25">
      <c r="I2793" s="2"/>
    </row>
    <row r="2794" spans="9:9" x14ac:dyDescent="0.25">
      <c r="I2794" s="2"/>
    </row>
    <row r="2795" spans="9:9" x14ac:dyDescent="0.25">
      <c r="I2795" s="2"/>
    </row>
    <row r="2796" spans="9:9" x14ac:dyDescent="0.25">
      <c r="I2796" s="2"/>
    </row>
    <row r="2797" spans="9:9" x14ac:dyDescent="0.25">
      <c r="I2797" s="2"/>
    </row>
    <row r="2798" spans="9:9" x14ac:dyDescent="0.25">
      <c r="I2798" s="2"/>
    </row>
    <row r="2799" spans="9:9" x14ac:dyDescent="0.25">
      <c r="I2799" s="2"/>
    </row>
    <row r="2800" spans="9:9" x14ac:dyDescent="0.25">
      <c r="I2800" s="2"/>
    </row>
    <row r="2801" spans="9:9" x14ac:dyDescent="0.25">
      <c r="I2801" s="2"/>
    </row>
    <row r="2802" spans="9:9" x14ac:dyDescent="0.25">
      <c r="I2802" s="2"/>
    </row>
    <row r="2803" spans="9:9" x14ac:dyDescent="0.25">
      <c r="I2803" s="2"/>
    </row>
    <row r="2804" spans="9:9" x14ac:dyDescent="0.25">
      <c r="I2804" s="2"/>
    </row>
    <row r="2805" spans="9:9" x14ac:dyDescent="0.25">
      <c r="I2805" s="2"/>
    </row>
    <row r="2806" spans="9:9" x14ac:dyDescent="0.25">
      <c r="I2806" s="2"/>
    </row>
    <row r="2807" spans="9:9" x14ac:dyDescent="0.25">
      <c r="I2807" s="2"/>
    </row>
    <row r="2808" spans="9:9" x14ac:dyDescent="0.25">
      <c r="I2808" s="2"/>
    </row>
    <row r="2809" spans="9:9" x14ac:dyDescent="0.25">
      <c r="I2809" s="2"/>
    </row>
    <row r="2810" spans="9:9" x14ac:dyDescent="0.25">
      <c r="I2810" s="2"/>
    </row>
    <row r="2811" spans="9:9" x14ac:dyDescent="0.25">
      <c r="I2811" s="2"/>
    </row>
    <row r="2812" spans="9:9" x14ac:dyDescent="0.25">
      <c r="I2812" s="2"/>
    </row>
    <row r="2813" spans="9:9" x14ac:dyDescent="0.25">
      <c r="I2813" s="2"/>
    </row>
    <row r="2814" spans="9:9" x14ac:dyDescent="0.25">
      <c r="I2814" s="2"/>
    </row>
    <row r="2815" spans="9:9" x14ac:dyDescent="0.25">
      <c r="I2815" s="2"/>
    </row>
    <row r="2816" spans="9:9" x14ac:dyDescent="0.25">
      <c r="I2816" s="2"/>
    </row>
    <row r="2817" spans="9:9" x14ac:dyDescent="0.25">
      <c r="I2817" s="2"/>
    </row>
    <row r="2818" spans="9:9" x14ac:dyDescent="0.25">
      <c r="I2818" s="2"/>
    </row>
    <row r="2819" spans="9:9" x14ac:dyDescent="0.25">
      <c r="I2819" s="2"/>
    </row>
    <row r="2820" spans="9:9" x14ac:dyDescent="0.25">
      <c r="I2820" s="2"/>
    </row>
    <row r="2821" spans="9:9" x14ac:dyDescent="0.25">
      <c r="I2821" s="2"/>
    </row>
    <row r="2822" spans="9:9" x14ac:dyDescent="0.25">
      <c r="I2822" s="2"/>
    </row>
    <row r="2823" spans="9:9" x14ac:dyDescent="0.25">
      <c r="I2823" s="2"/>
    </row>
    <row r="2824" spans="9:9" x14ac:dyDescent="0.25">
      <c r="I2824" s="2"/>
    </row>
    <row r="2825" spans="9:9" x14ac:dyDescent="0.25">
      <c r="I2825" s="2"/>
    </row>
    <row r="2826" spans="9:9" x14ac:dyDescent="0.25">
      <c r="I2826" s="2"/>
    </row>
    <row r="2827" spans="9:9" x14ac:dyDescent="0.25">
      <c r="I2827" s="2"/>
    </row>
    <row r="2828" spans="9:9" x14ac:dyDescent="0.25">
      <c r="I2828" s="2"/>
    </row>
    <row r="2829" spans="9:9" x14ac:dyDescent="0.25">
      <c r="I2829" s="2"/>
    </row>
    <row r="2830" spans="9:9" x14ac:dyDescent="0.25">
      <c r="I2830" s="2"/>
    </row>
    <row r="2831" spans="9:9" x14ac:dyDescent="0.25">
      <c r="I2831" s="2"/>
    </row>
    <row r="2832" spans="9:9" x14ac:dyDescent="0.25">
      <c r="I2832" s="2"/>
    </row>
    <row r="2833" spans="9:9" x14ac:dyDescent="0.25">
      <c r="I2833" s="2"/>
    </row>
    <row r="2834" spans="9:9" x14ac:dyDescent="0.25">
      <c r="I2834" s="2"/>
    </row>
    <row r="2835" spans="9:9" x14ac:dyDescent="0.25">
      <c r="I2835" s="2"/>
    </row>
    <row r="2836" spans="9:9" x14ac:dyDescent="0.25">
      <c r="I2836" s="2"/>
    </row>
    <row r="2837" spans="9:9" x14ac:dyDescent="0.25">
      <c r="I2837" s="2"/>
    </row>
    <row r="2838" spans="9:9" x14ac:dyDescent="0.25">
      <c r="I2838" s="2"/>
    </row>
    <row r="2839" spans="9:9" x14ac:dyDescent="0.25">
      <c r="I2839" s="2"/>
    </row>
    <row r="2840" spans="9:9" x14ac:dyDescent="0.25">
      <c r="I2840" s="2"/>
    </row>
    <row r="2841" spans="9:9" x14ac:dyDescent="0.25">
      <c r="I2841" s="2"/>
    </row>
    <row r="2842" spans="9:9" x14ac:dyDescent="0.25">
      <c r="I2842" s="2"/>
    </row>
    <row r="2843" spans="9:9" x14ac:dyDescent="0.25">
      <c r="I2843" s="2"/>
    </row>
    <row r="2844" spans="9:9" x14ac:dyDescent="0.25">
      <c r="I2844" s="2"/>
    </row>
    <row r="2845" spans="9:9" x14ac:dyDescent="0.25">
      <c r="I2845" s="2"/>
    </row>
    <row r="2846" spans="9:9" x14ac:dyDescent="0.25">
      <c r="I2846" s="2"/>
    </row>
    <row r="2847" spans="9:9" x14ac:dyDescent="0.25">
      <c r="I2847" s="2"/>
    </row>
    <row r="2848" spans="9:9" x14ac:dyDescent="0.25">
      <c r="I2848" s="2"/>
    </row>
    <row r="2849" spans="9:9" x14ac:dyDescent="0.25">
      <c r="I2849" s="2"/>
    </row>
    <row r="2850" spans="9:9" x14ac:dyDescent="0.25">
      <c r="I2850" s="2"/>
    </row>
    <row r="2851" spans="9:9" x14ac:dyDescent="0.25">
      <c r="I2851" s="2"/>
    </row>
    <row r="2852" spans="9:9" x14ac:dyDescent="0.25">
      <c r="I2852" s="2"/>
    </row>
    <row r="2853" spans="9:9" x14ac:dyDescent="0.25">
      <c r="I2853" s="2"/>
    </row>
    <row r="2854" spans="9:9" x14ac:dyDescent="0.25">
      <c r="I2854" s="2"/>
    </row>
    <row r="2855" spans="9:9" x14ac:dyDescent="0.25">
      <c r="I2855" s="2"/>
    </row>
    <row r="2856" spans="9:9" x14ac:dyDescent="0.25">
      <c r="I2856" s="2"/>
    </row>
    <row r="2857" spans="9:9" x14ac:dyDescent="0.25">
      <c r="I2857" s="2"/>
    </row>
    <row r="2858" spans="9:9" x14ac:dyDescent="0.25">
      <c r="I2858" s="2"/>
    </row>
    <row r="2859" spans="9:9" x14ac:dyDescent="0.25">
      <c r="I2859" s="2"/>
    </row>
    <row r="2860" spans="9:9" x14ac:dyDescent="0.25">
      <c r="I2860" s="2"/>
    </row>
    <row r="2861" spans="9:9" x14ac:dyDescent="0.25">
      <c r="I2861" s="2"/>
    </row>
    <row r="2862" spans="9:9" x14ac:dyDescent="0.25">
      <c r="I2862" s="2"/>
    </row>
    <row r="2863" spans="9:9" x14ac:dyDescent="0.25">
      <c r="I2863" s="2"/>
    </row>
    <row r="2864" spans="9:9" x14ac:dyDescent="0.25">
      <c r="I2864" s="2"/>
    </row>
    <row r="2865" spans="9:9" x14ac:dyDescent="0.25">
      <c r="I2865" s="2"/>
    </row>
    <row r="2866" spans="9:9" x14ac:dyDescent="0.25">
      <c r="I2866" s="2"/>
    </row>
    <row r="2867" spans="9:9" x14ac:dyDescent="0.25">
      <c r="I2867" s="2"/>
    </row>
    <row r="2868" spans="9:9" x14ac:dyDescent="0.25">
      <c r="I2868" s="2"/>
    </row>
    <row r="2869" spans="9:9" x14ac:dyDescent="0.25">
      <c r="I2869" s="2"/>
    </row>
    <row r="2870" spans="9:9" x14ac:dyDescent="0.25">
      <c r="I2870" s="2"/>
    </row>
    <row r="2871" spans="9:9" x14ac:dyDescent="0.25">
      <c r="I2871" s="2"/>
    </row>
    <row r="2872" spans="9:9" x14ac:dyDescent="0.25">
      <c r="I2872" s="2"/>
    </row>
    <row r="2873" spans="9:9" x14ac:dyDescent="0.25">
      <c r="I2873" s="2"/>
    </row>
    <row r="2874" spans="9:9" x14ac:dyDescent="0.25">
      <c r="I2874" s="2"/>
    </row>
    <row r="2875" spans="9:9" x14ac:dyDescent="0.25">
      <c r="I2875" s="2"/>
    </row>
    <row r="2876" spans="9:9" x14ac:dyDescent="0.25">
      <c r="I2876" s="2"/>
    </row>
    <row r="2877" spans="9:9" x14ac:dyDescent="0.25">
      <c r="I2877" s="2"/>
    </row>
    <row r="2878" spans="9:9" x14ac:dyDescent="0.25">
      <c r="I2878" s="2"/>
    </row>
    <row r="2879" spans="9:9" x14ac:dyDescent="0.25">
      <c r="I2879" s="2"/>
    </row>
    <row r="2880" spans="9:9" x14ac:dyDescent="0.25">
      <c r="I2880" s="2"/>
    </row>
    <row r="2881" spans="9:9" x14ac:dyDescent="0.25">
      <c r="I2881" s="2"/>
    </row>
    <row r="2882" spans="9:9" x14ac:dyDescent="0.25">
      <c r="I2882" s="2"/>
    </row>
    <row r="2883" spans="9:9" x14ac:dyDescent="0.25">
      <c r="I2883" s="2"/>
    </row>
    <row r="2884" spans="9:9" x14ac:dyDescent="0.25">
      <c r="I2884" s="2"/>
    </row>
    <row r="2885" spans="9:9" x14ac:dyDescent="0.25">
      <c r="I2885" s="2"/>
    </row>
    <row r="2886" spans="9:9" x14ac:dyDescent="0.25">
      <c r="I2886" s="2"/>
    </row>
    <row r="2887" spans="9:9" x14ac:dyDescent="0.25">
      <c r="I2887" s="2"/>
    </row>
    <row r="2888" spans="9:9" x14ac:dyDescent="0.25">
      <c r="I2888" s="2"/>
    </row>
    <row r="2889" spans="9:9" x14ac:dyDescent="0.25">
      <c r="I2889" s="2"/>
    </row>
    <row r="2890" spans="9:9" x14ac:dyDescent="0.25">
      <c r="I2890" s="2"/>
    </row>
    <row r="2891" spans="9:9" x14ac:dyDescent="0.25">
      <c r="I2891" s="2"/>
    </row>
    <row r="2892" spans="9:9" x14ac:dyDescent="0.25">
      <c r="I2892" s="2"/>
    </row>
    <row r="2893" spans="9:9" x14ac:dyDescent="0.25">
      <c r="I2893" s="2"/>
    </row>
    <row r="2894" spans="9:9" x14ac:dyDescent="0.25">
      <c r="I2894" s="2"/>
    </row>
    <row r="2895" spans="9:9" x14ac:dyDescent="0.25">
      <c r="I2895" s="2"/>
    </row>
    <row r="2896" spans="9:9" x14ac:dyDescent="0.25">
      <c r="I2896" s="2"/>
    </row>
    <row r="2897" spans="9:9" x14ac:dyDescent="0.25">
      <c r="I2897" s="2"/>
    </row>
    <row r="2898" spans="9:9" x14ac:dyDescent="0.25">
      <c r="I2898" s="2"/>
    </row>
    <row r="2899" spans="9:9" x14ac:dyDescent="0.25">
      <c r="I2899" s="2"/>
    </row>
    <row r="2900" spans="9:9" x14ac:dyDescent="0.25">
      <c r="I2900" s="2"/>
    </row>
    <row r="2901" spans="9:9" x14ac:dyDescent="0.25">
      <c r="I2901" s="2"/>
    </row>
    <row r="2902" spans="9:9" x14ac:dyDescent="0.25">
      <c r="I2902" s="2"/>
    </row>
    <row r="2903" spans="9:9" x14ac:dyDescent="0.25">
      <c r="I2903" s="2"/>
    </row>
    <row r="2904" spans="9:9" x14ac:dyDescent="0.25">
      <c r="I2904" s="2"/>
    </row>
    <row r="2905" spans="9:9" x14ac:dyDescent="0.25">
      <c r="I2905" s="2"/>
    </row>
    <row r="2906" spans="9:9" x14ac:dyDescent="0.25">
      <c r="I2906" s="2"/>
    </row>
    <row r="2907" spans="9:9" x14ac:dyDescent="0.25">
      <c r="I2907" s="2"/>
    </row>
    <row r="2908" spans="9:9" x14ac:dyDescent="0.25">
      <c r="I2908" s="2"/>
    </row>
    <row r="2909" spans="9:9" x14ac:dyDescent="0.25">
      <c r="I2909" s="2"/>
    </row>
    <row r="2910" spans="9:9" x14ac:dyDescent="0.25">
      <c r="I2910" s="2"/>
    </row>
    <row r="2911" spans="9:9" x14ac:dyDescent="0.25">
      <c r="I2911" s="2"/>
    </row>
    <row r="2912" spans="9:9" x14ac:dyDescent="0.25">
      <c r="I2912" s="2"/>
    </row>
    <row r="2913" spans="9:9" x14ac:dyDescent="0.25">
      <c r="I2913" s="2"/>
    </row>
    <row r="2914" spans="9:9" x14ac:dyDescent="0.25">
      <c r="I2914" s="2"/>
    </row>
    <row r="2915" spans="9:9" x14ac:dyDescent="0.25">
      <c r="I2915" s="2"/>
    </row>
    <row r="2916" spans="9:9" x14ac:dyDescent="0.25">
      <c r="I2916" s="2"/>
    </row>
    <row r="2917" spans="9:9" x14ac:dyDescent="0.25">
      <c r="I2917" s="2"/>
    </row>
    <row r="2918" spans="9:9" x14ac:dyDescent="0.25">
      <c r="I2918" s="2"/>
    </row>
    <row r="2919" spans="9:9" x14ac:dyDescent="0.25">
      <c r="I2919" s="2"/>
    </row>
    <row r="2920" spans="9:9" x14ac:dyDescent="0.25">
      <c r="I2920" s="2"/>
    </row>
    <row r="2921" spans="9:9" x14ac:dyDescent="0.25">
      <c r="I2921" s="2"/>
    </row>
    <row r="2922" spans="9:9" x14ac:dyDescent="0.25">
      <c r="I2922" s="2"/>
    </row>
    <row r="2923" spans="9:9" x14ac:dyDescent="0.25">
      <c r="I2923" s="2"/>
    </row>
    <row r="2924" spans="9:9" x14ac:dyDescent="0.25">
      <c r="I2924" s="2"/>
    </row>
    <row r="2925" spans="9:9" x14ac:dyDescent="0.25">
      <c r="I2925" s="2"/>
    </row>
    <row r="2926" spans="9:9" x14ac:dyDescent="0.25">
      <c r="I2926" s="2"/>
    </row>
    <row r="2927" spans="9:9" x14ac:dyDescent="0.25">
      <c r="I2927" s="2"/>
    </row>
    <row r="2928" spans="9:9" x14ac:dyDescent="0.25">
      <c r="I2928" s="2"/>
    </row>
    <row r="2929" spans="9:9" x14ac:dyDescent="0.25">
      <c r="I2929" s="2"/>
    </row>
    <row r="2930" spans="9:9" x14ac:dyDescent="0.25">
      <c r="I2930" s="2"/>
    </row>
    <row r="2931" spans="9:9" x14ac:dyDescent="0.25">
      <c r="I2931" s="2"/>
    </row>
    <row r="2932" spans="9:9" x14ac:dyDescent="0.25">
      <c r="I2932" s="2"/>
    </row>
    <row r="2933" spans="9:9" x14ac:dyDescent="0.25">
      <c r="I2933" s="2"/>
    </row>
    <row r="2934" spans="9:9" x14ac:dyDescent="0.25">
      <c r="I2934" s="2"/>
    </row>
    <row r="2935" spans="9:9" x14ac:dyDescent="0.25">
      <c r="I2935" s="2"/>
    </row>
    <row r="2936" spans="9:9" x14ac:dyDescent="0.25">
      <c r="I2936" s="2"/>
    </row>
    <row r="2937" spans="9:9" x14ac:dyDescent="0.25">
      <c r="I2937" s="2"/>
    </row>
    <row r="2938" spans="9:9" x14ac:dyDescent="0.25">
      <c r="I2938" s="2"/>
    </row>
    <row r="2939" spans="9:9" x14ac:dyDescent="0.25">
      <c r="I2939" s="2"/>
    </row>
    <row r="2940" spans="9:9" x14ac:dyDescent="0.25">
      <c r="I2940" s="2"/>
    </row>
    <row r="2941" spans="9:9" x14ac:dyDescent="0.25">
      <c r="I2941" s="2"/>
    </row>
    <row r="2942" spans="9:9" x14ac:dyDescent="0.25">
      <c r="I2942" s="2"/>
    </row>
    <row r="2943" spans="9:9" x14ac:dyDescent="0.25">
      <c r="I2943" s="2"/>
    </row>
    <row r="2944" spans="9:9" x14ac:dyDescent="0.25">
      <c r="I2944" s="2"/>
    </row>
    <row r="2945" spans="9:9" x14ac:dyDescent="0.25">
      <c r="I2945" s="2"/>
    </row>
    <row r="2946" spans="9:9" x14ac:dyDescent="0.25">
      <c r="I2946" s="2"/>
    </row>
    <row r="2947" spans="9:9" x14ac:dyDescent="0.25">
      <c r="I2947" s="2"/>
    </row>
    <row r="2948" spans="9:9" x14ac:dyDescent="0.25">
      <c r="I2948" s="2"/>
    </row>
    <row r="2949" spans="9:9" x14ac:dyDescent="0.25">
      <c r="I2949" s="2"/>
    </row>
    <row r="2950" spans="9:9" x14ac:dyDescent="0.25">
      <c r="I2950" s="2"/>
    </row>
    <row r="2951" spans="9:9" x14ac:dyDescent="0.25">
      <c r="I2951" s="2"/>
    </row>
    <row r="2952" spans="9:9" x14ac:dyDescent="0.25">
      <c r="I2952" s="2"/>
    </row>
    <row r="2953" spans="9:9" x14ac:dyDescent="0.25">
      <c r="I2953" s="2"/>
    </row>
    <row r="2954" spans="9:9" x14ac:dyDescent="0.25">
      <c r="I2954" s="2"/>
    </row>
    <row r="2955" spans="9:9" x14ac:dyDescent="0.25">
      <c r="I2955" s="2"/>
    </row>
    <row r="2956" spans="9:9" x14ac:dyDescent="0.25">
      <c r="I2956" s="2"/>
    </row>
    <row r="2957" spans="9:9" x14ac:dyDescent="0.25">
      <c r="I2957" s="2"/>
    </row>
    <row r="2958" spans="9:9" x14ac:dyDescent="0.25">
      <c r="I2958" s="2"/>
    </row>
    <row r="2959" spans="9:9" x14ac:dyDescent="0.25">
      <c r="I2959" s="2"/>
    </row>
    <row r="2960" spans="9:9" x14ac:dyDescent="0.25">
      <c r="I2960" s="2"/>
    </row>
    <row r="2961" spans="9:9" x14ac:dyDescent="0.25">
      <c r="I2961" s="2"/>
    </row>
    <row r="2962" spans="9:9" x14ac:dyDescent="0.25">
      <c r="I2962" s="2"/>
    </row>
    <row r="2963" spans="9:9" x14ac:dyDescent="0.25">
      <c r="I2963" s="2"/>
    </row>
    <row r="2964" spans="9:9" x14ac:dyDescent="0.25">
      <c r="I2964" s="2"/>
    </row>
    <row r="2965" spans="9:9" x14ac:dyDescent="0.25">
      <c r="I2965" s="2"/>
    </row>
    <row r="2966" spans="9:9" x14ac:dyDescent="0.25">
      <c r="I2966" s="2"/>
    </row>
    <row r="2967" spans="9:9" x14ac:dyDescent="0.25">
      <c r="I2967" s="2"/>
    </row>
    <row r="2968" spans="9:9" x14ac:dyDescent="0.25">
      <c r="I2968" s="2"/>
    </row>
    <row r="2969" spans="9:9" x14ac:dyDescent="0.25">
      <c r="I2969" s="2"/>
    </row>
    <row r="2970" spans="9:9" x14ac:dyDescent="0.25">
      <c r="I2970" s="2"/>
    </row>
    <row r="2971" spans="9:9" x14ac:dyDescent="0.25">
      <c r="I2971" s="2"/>
    </row>
    <row r="2972" spans="9:9" x14ac:dyDescent="0.25">
      <c r="I2972" s="2"/>
    </row>
    <row r="2973" spans="9:9" x14ac:dyDescent="0.25">
      <c r="I2973" s="2"/>
    </row>
    <row r="2974" spans="9:9" x14ac:dyDescent="0.25">
      <c r="I2974" s="2"/>
    </row>
    <row r="2975" spans="9:9" x14ac:dyDescent="0.25">
      <c r="I2975" s="2"/>
    </row>
    <row r="2976" spans="9:9" x14ac:dyDescent="0.25">
      <c r="I2976" s="2"/>
    </row>
    <row r="2977" spans="9:9" x14ac:dyDescent="0.25">
      <c r="I2977" s="2"/>
    </row>
    <row r="2978" spans="9:9" x14ac:dyDescent="0.25">
      <c r="I2978" s="2"/>
    </row>
    <row r="2979" spans="9:9" x14ac:dyDescent="0.25">
      <c r="I2979" s="2"/>
    </row>
    <row r="2980" spans="9:9" x14ac:dyDescent="0.25">
      <c r="I2980" s="2"/>
    </row>
    <row r="2981" spans="9:9" x14ac:dyDescent="0.25">
      <c r="I2981" s="2"/>
    </row>
    <row r="2982" spans="9:9" x14ac:dyDescent="0.25">
      <c r="I2982" s="2"/>
    </row>
    <row r="2983" spans="9:9" x14ac:dyDescent="0.25">
      <c r="I2983" s="2"/>
    </row>
    <row r="2984" spans="9:9" x14ac:dyDescent="0.25">
      <c r="I2984" s="2"/>
    </row>
    <row r="2985" spans="9:9" x14ac:dyDescent="0.25">
      <c r="I2985" s="2"/>
    </row>
    <row r="2986" spans="9:9" x14ac:dyDescent="0.25">
      <c r="I2986" s="2"/>
    </row>
    <row r="2987" spans="9:9" x14ac:dyDescent="0.25">
      <c r="I2987" s="2"/>
    </row>
    <row r="2988" spans="9:9" x14ac:dyDescent="0.25">
      <c r="I2988" s="2"/>
    </row>
    <row r="2989" spans="9:9" x14ac:dyDescent="0.25">
      <c r="I2989" s="2"/>
    </row>
    <row r="2990" spans="9:9" x14ac:dyDescent="0.25">
      <c r="I2990" s="2"/>
    </row>
    <row r="2991" spans="9:9" x14ac:dyDescent="0.25">
      <c r="I2991" s="2"/>
    </row>
    <row r="2992" spans="9:9" x14ac:dyDescent="0.25">
      <c r="I2992" s="2"/>
    </row>
    <row r="2993" spans="9:9" x14ac:dyDescent="0.25">
      <c r="I2993" s="2"/>
    </row>
    <row r="2994" spans="9:9" x14ac:dyDescent="0.25">
      <c r="I2994" s="2"/>
    </row>
    <row r="2995" spans="9:9" x14ac:dyDescent="0.25">
      <c r="I2995" s="2"/>
    </row>
    <row r="2996" spans="9:9" x14ac:dyDescent="0.25">
      <c r="I2996" s="2"/>
    </row>
    <row r="2997" spans="9:9" x14ac:dyDescent="0.25">
      <c r="I2997" s="2"/>
    </row>
    <row r="2998" spans="9:9" x14ac:dyDescent="0.25">
      <c r="I2998" s="2"/>
    </row>
    <row r="2999" spans="9:9" x14ac:dyDescent="0.25">
      <c r="I2999" s="2"/>
    </row>
    <row r="3000" spans="9:9" x14ac:dyDescent="0.25">
      <c r="I3000" s="2"/>
    </row>
    <row r="3001" spans="9:9" x14ac:dyDescent="0.25">
      <c r="I3001" s="2"/>
    </row>
    <row r="3002" spans="9:9" x14ac:dyDescent="0.25">
      <c r="I3002" s="2"/>
    </row>
    <row r="3003" spans="9:9" x14ac:dyDescent="0.25">
      <c r="I3003" s="2"/>
    </row>
    <row r="3004" spans="9:9" x14ac:dyDescent="0.25">
      <c r="I3004" s="2"/>
    </row>
    <row r="3005" spans="9:9" x14ac:dyDescent="0.25">
      <c r="I3005" s="2"/>
    </row>
    <row r="3006" spans="9:9" x14ac:dyDescent="0.25">
      <c r="I3006" s="2"/>
    </row>
    <row r="3007" spans="9:9" x14ac:dyDescent="0.25">
      <c r="I3007" s="2"/>
    </row>
    <row r="3008" spans="9:9" x14ac:dyDescent="0.25">
      <c r="I3008" s="2"/>
    </row>
    <row r="3009" spans="9:9" x14ac:dyDescent="0.25">
      <c r="I3009" s="2"/>
    </row>
    <row r="3010" spans="9:9" x14ac:dyDescent="0.25">
      <c r="I3010" s="2"/>
    </row>
    <row r="3011" spans="9:9" x14ac:dyDescent="0.25">
      <c r="I3011" s="2"/>
    </row>
    <row r="3012" spans="9:9" x14ac:dyDescent="0.25">
      <c r="I3012" s="2"/>
    </row>
    <row r="3013" spans="9:9" x14ac:dyDescent="0.25">
      <c r="I3013" s="2"/>
    </row>
    <row r="3014" spans="9:9" x14ac:dyDescent="0.25">
      <c r="I3014" s="2"/>
    </row>
    <row r="3015" spans="9:9" x14ac:dyDescent="0.25">
      <c r="I3015" s="2"/>
    </row>
    <row r="3016" spans="9:9" x14ac:dyDescent="0.25">
      <c r="I3016" s="2"/>
    </row>
    <row r="3017" spans="9:9" x14ac:dyDescent="0.25">
      <c r="I3017" s="2"/>
    </row>
    <row r="3018" spans="9:9" x14ac:dyDescent="0.25">
      <c r="I3018" s="2"/>
    </row>
    <row r="3019" spans="9:9" x14ac:dyDescent="0.25">
      <c r="I3019" s="2"/>
    </row>
    <row r="3020" spans="9:9" x14ac:dyDescent="0.25">
      <c r="I3020" s="2"/>
    </row>
    <row r="3021" spans="9:9" x14ac:dyDescent="0.25">
      <c r="I3021" s="2"/>
    </row>
    <row r="3022" spans="9:9" x14ac:dyDescent="0.25">
      <c r="I3022" s="2"/>
    </row>
    <row r="3023" spans="9:9" x14ac:dyDescent="0.25">
      <c r="I3023" s="2"/>
    </row>
    <row r="3024" spans="9:9" x14ac:dyDescent="0.25">
      <c r="I3024" s="2"/>
    </row>
    <row r="3025" spans="9:9" x14ac:dyDescent="0.25">
      <c r="I3025" s="2"/>
    </row>
    <row r="3026" spans="9:9" x14ac:dyDescent="0.25">
      <c r="I3026" s="2"/>
    </row>
    <row r="3027" spans="9:9" x14ac:dyDescent="0.25">
      <c r="I3027" s="2"/>
    </row>
    <row r="3028" spans="9:9" x14ac:dyDescent="0.25">
      <c r="I3028" s="2"/>
    </row>
    <row r="3029" spans="9:9" x14ac:dyDescent="0.25">
      <c r="I3029" s="2"/>
    </row>
    <row r="3030" spans="9:9" x14ac:dyDescent="0.25">
      <c r="I3030" s="2"/>
    </row>
    <row r="3031" spans="9:9" x14ac:dyDescent="0.25">
      <c r="I3031" s="2"/>
    </row>
    <row r="3032" spans="9:9" x14ac:dyDescent="0.25">
      <c r="I3032" s="2"/>
    </row>
    <row r="3033" spans="9:9" x14ac:dyDescent="0.25">
      <c r="I3033" s="2"/>
    </row>
    <row r="3034" spans="9:9" x14ac:dyDescent="0.25">
      <c r="I3034" s="2"/>
    </row>
    <row r="3035" spans="9:9" x14ac:dyDescent="0.25">
      <c r="I3035" s="2"/>
    </row>
    <row r="3036" spans="9:9" x14ac:dyDescent="0.25">
      <c r="I3036" s="2"/>
    </row>
    <row r="3037" spans="9:9" x14ac:dyDescent="0.25">
      <c r="I3037" s="2"/>
    </row>
    <row r="3038" spans="9:9" x14ac:dyDescent="0.25">
      <c r="I3038" s="2"/>
    </row>
    <row r="3039" spans="9:9" x14ac:dyDescent="0.25">
      <c r="I3039" s="2"/>
    </row>
    <row r="3040" spans="9:9" x14ac:dyDescent="0.25">
      <c r="I3040" s="2"/>
    </row>
    <row r="3041" spans="9:9" x14ac:dyDescent="0.25">
      <c r="I3041" s="2"/>
    </row>
    <row r="3042" spans="9:9" x14ac:dyDescent="0.25">
      <c r="I3042" s="2"/>
    </row>
    <row r="3043" spans="9:9" x14ac:dyDescent="0.25">
      <c r="I3043" s="2"/>
    </row>
    <row r="3044" spans="9:9" x14ac:dyDescent="0.25">
      <c r="I3044" s="2"/>
    </row>
    <row r="3045" spans="9:9" x14ac:dyDescent="0.25">
      <c r="I3045" s="2"/>
    </row>
    <row r="3046" spans="9:9" x14ac:dyDescent="0.25">
      <c r="I3046" s="2"/>
    </row>
    <row r="3047" spans="9:9" x14ac:dyDescent="0.25">
      <c r="I3047" s="2"/>
    </row>
    <row r="3048" spans="9:9" x14ac:dyDescent="0.25">
      <c r="I3048" s="2"/>
    </row>
    <row r="3049" spans="9:9" x14ac:dyDescent="0.25">
      <c r="I3049" s="2"/>
    </row>
    <row r="3050" spans="9:9" x14ac:dyDescent="0.25">
      <c r="I3050" s="2"/>
    </row>
    <row r="3051" spans="9:9" x14ac:dyDescent="0.25">
      <c r="I3051" s="2"/>
    </row>
    <row r="3052" spans="9:9" x14ac:dyDescent="0.25">
      <c r="I3052" s="2"/>
    </row>
    <row r="3053" spans="9:9" x14ac:dyDescent="0.25">
      <c r="I3053" s="2"/>
    </row>
    <row r="3054" spans="9:9" x14ac:dyDescent="0.25">
      <c r="I3054" s="2"/>
    </row>
    <row r="3055" spans="9:9" x14ac:dyDescent="0.25">
      <c r="I3055" s="2"/>
    </row>
    <row r="3056" spans="9:9" x14ac:dyDescent="0.25">
      <c r="I3056" s="2"/>
    </row>
    <row r="3057" spans="9:9" x14ac:dyDescent="0.25">
      <c r="I3057" s="2"/>
    </row>
    <row r="3058" spans="9:9" x14ac:dyDescent="0.25">
      <c r="I3058" s="2"/>
    </row>
    <row r="3059" spans="9:9" x14ac:dyDescent="0.25">
      <c r="I3059" s="2"/>
    </row>
    <row r="3060" spans="9:9" x14ac:dyDescent="0.25">
      <c r="I3060" s="2"/>
    </row>
    <row r="3061" spans="9:9" x14ac:dyDescent="0.25">
      <c r="I3061" s="2"/>
    </row>
    <row r="3062" spans="9:9" x14ac:dyDescent="0.25">
      <c r="I3062" s="2"/>
    </row>
    <row r="3063" spans="9:9" x14ac:dyDescent="0.25">
      <c r="I3063" s="2"/>
    </row>
    <row r="3064" spans="9:9" x14ac:dyDescent="0.25">
      <c r="I3064" s="2"/>
    </row>
    <row r="3065" spans="9:9" x14ac:dyDescent="0.25">
      <c r="I3065" s="2"/>
    </row>
    <row r="3066" spans="9:9" x14ac:dyDescent="0.25">
      <c r="I3066" s="2"/>
    </row>
    <row r="3067" spans="9:9" x14ac:dyDescent="0.25">
      <c r="I3067" s="2"/>
    </row>
    <row r="3068" spans="9:9" x14ac:dyDescent="0.25">
      <c r="I3068" s="2"/>
    </row>
    <row r="3069" spans="9:9" x14ac:dyDescent="0.25">
      <c r="I3069" s="2"/>
    </row>
    <row r="3070" spans="9:9" x14ac:dyDescent="0.25">
      <c r="I3070" s="2"/>
    </row>
    <row r="3071" spans="9:9" x14ac:dyDescent="0.25">
      <c r="I3071" s="2"/>
    </row>
    <row r="3072" spans="9:9" x14ac:dyDescent="0.25">
      <c r="I3072" s="2"/>
    </row>
    <row r="3073" spans="9:9" x14ac:dyDescent="0.25">
      <c r="I3073" s="2"/>
    </row>
    <row r="3074" spans="9:9" x14ac:dyDescent="0.25">
      <c r="I3074" s="2"/>
    </row>
    <row r="3075" spans="9:9" x14ac:dyDescent="0.25">
      <c r="I3075" s="2"/>
    </row>
    <row r="3076" spans="9:9" x14ac:dyDescent="0.25">
      <c r="I3076" s="2"/>
    </row>
    <row r="3077" spans="9:9" x14ac:dyDescent="0.25">
      <c r="I3077" s="2"/>
    </row>
    <row r="3078" spans="9:9" x14ac:dyDescent="0.25">
      <c r="I3078" s="2"/>
    </row>
    <row r="3079" spans="9:9" x14ac:dyDescent="0.25">
      <c r="I3079" s="2"/>
    </row>
    <row r="3080" spans="9:9" x14ac:dyDescent="0.25">
      <c r="I3080" s="2"/>
    </row>
    <row r="3081" spans="9:9" x14ac:dyDescent="0.25">
      <c r="I3081" s="2"/>
    </row>
    <row r="3082" spans="9:9" x14ac:dyDescent="0.25">
      <c r="I3082" s="2"/>
    </row>
    <row r="3083" spans="9:9" x14ac:dyDescent="0.25">
      <c r="I3083" s="2"/>
    </row>
    <row r="3084" spans="9:9" x14ac:dyDescent="0.25">
      <c r="I3084" s="2"/>
    </row>
    <row r="3085" spans="9:9" x14ac:dyDescent="0.25">
      <c r="I3085" s="2"/>
    </row>
    <row r="3086" spans="9:9" x14ac:dyDescent="0.25">
      <c r="I3086" s="2"/>
    </row>
    <row r="3087" spans="9:9" x14ac:dyDescent="0.25">
      <c r="I3087" s="2"/>
    </row>
    <row r="3088" spans="9:9" x14ac:dyDescent="0.25">
      <c r="I3088" s="2"/>
    </row>
    <row r="3089" spans="9:9" x14ac:dyDescent="0.25">
      <c r="I3089" s="2"/>
    </row>
    <row r="3090" spans="9:9" x14ac:dyDescent="0.25">
      <c r="I3090" s="2"/>
    </row>
    <row r="3091" spans="9:9" x14ac:dyDescent="0.25">
      <c r="I3091" s="2"/>
    </row>
    <row r="3092" spans="9:9" x14ac:dyDescent="0.25">
      <c r="I3092" s="2"/>
    </row>
    <row r="3093" spans="9:9" x14ac:dyDescent="0.25">
      <c r="I3093" s="2"/>
    </row>
    <row r="3094" spans="9:9" x14ac:dyDescent="0.25">
      <c r="I3094" s="2"/>
    </row>
    <row r="3095" spans="9:9" x14ac:dyDescent="0.25">
      <c r="I3095" s="2"/>
    </row>
    <row r="3096" spans="9:9" x14ac:dyDescent="0.25">
      <c r="I3096" s="2"/>
    </row>
    <row r="3097" spans="9:9" x14ac:dyDescent="0.25">
      <c r="I3097" s="2"/>
    </row>
    <row r="3098" spans="9:9" x14ac:dyDescent="0.25">
      <c r="I3098" s="2"/>
    </row>
    <row r="3099" spans="9:9" x14ac:dyDescent="0.25">
      <c r="I3099" s="2"/>
    </row>
    <row r="3100" spans="9:9" x14ac:dyDescent="0.25">
      <c r="I3100" s="2"/>
    </row>
    <row r="3101" spans="9:9" x14ac:dyDescent="0.25">
      <c r="I3101" s="2"/>
    </row>
    <row r="3102" spans="9:9" x14ac:dyDescent="0.25">
      <c r="I3102" s="2"/>
    </row>
    <row r="3103" spans="9:9" x14ac:dyDescent="0.25">
      <c r="I3103" s="2"/>
    </row>
    <row r="3104" spans="9:9" x14ac:dyDescent="0.25">
      <c r="I3104" s="2"/>
    </row>
    <row r="3105" spans="9:9" x14ac:dyDescent="0.25">
      <c r="I3105" s="2"/>
    </row>
    <row r="3106" spans="9:9" x14ac:dyDescent="0.25">
      <c r="I3106" s="2"/>
    </row>
    <row r="3107" spans="9:9" x14ac:dyDescent="0.25">
      <c r="I3107" s="2"/>
    </row>
    <row r="3108" spans="9:9" x14ac:dyDescent="0.25">
      <c r="I3108" s="2"/>
    </row>
    <row r="3109" spans="9:9" x14ac:dyDescent="0.25">
      <c r="I3109" s="2"/>
    </row>
    <row r="3110" spans="9:9" x14ac:dyDescent="0.25">
      <c r="I3110" s="2"/>
    </row>
    <row r="3111" spans="9:9" x14ac:dyDescent="0.25">
      <c r="I3111" s="2"/>
    </row>
    <row r="3112" spans="9:9" x14ac:dyDescent="0.25">
      <c r="I3112" s="2"/>
    </row>
    <row r="3113" spans="9:9" x14ac:dyDescent="0.25">
      <c r="I3113" s="2"/>
    </row>
    <row r="3114" spans="9:9" x14ac:dyDescent="0.25">
      <c r="I3114" s="2"/>
    </row>
    <row r="3115" spans="9:9" x14ac:dyDescent="0.25">
      <c r="I3115" s="2"/>
    </row>
    <row r="3116" spans="9:9" x14ac:dyDescent="0.25">
      <c r="I3116" s="2"/>
    </row>
    <row r="3117" spans="9:9" x14ac:dyDescent="0.25">
      <c r="I3117" s="2"/>
    </row>
    <row r="3118" spans="9:9" x14ac:dyDescent="0.25">
      <c r="I3118" s="2"/>
    </row>
    <row r="3119" spans="9:9" x14ac:dyDescent="0.25">
      <c r="I3119" s="2"/>
    </row>
    <row r="3120" spans="9:9" x14ac:dyDescent="0.25">
      <c r="I3120" s="2"/>
    </row>
    <row r="3121" spans="9:9" x14ac:dyDescent="0.25">
      <c r="I3121" s="2"/>
    </row>
    <row r="3122" spans="9:9" x14ac:dyDescent="0.25">
      <c r="I3122" s="2"/>
    </row>
    <row r="3123" spans="9:9" x14ac:dyDescent="0.25">
      <c r="I3123" s="2"/>
    </row>
    <row r="3124" spans="9:9" x14ac:dyDescent="0.25">
      <c r="I3124" s="2"/>
    </row>
    <row r="3125" spans="9:9" x14ac:dyDescent="0.25">
      <c r="I3125" s="2"/>
    </row>
    <row r="3126" spans="9:9" x14ac:dyDescent="0.25">
      <c r="I3126" s="2"/>
    </row>
    <row r="3127" spans="9:9" x14ac:dyDescent="0.25">
      <c r="I3127" s="2"/>
    </row>
    <row r="3128" spans="9:9" x14ac:dyDescent="0.25">
      <c r="I3128" s="2"/>
    </row>
    <row r="3129" spans="9:9" x14ac:dyDescent="0.25">
      <c r="I3129" s="2"/>
    </row>
    <row r="3130" spans="9:9" x14ac:dyDescent="0.25">
      <c r="I3130" s="2"/>
    </row>
    <row r="3131" spans="9:9" x14ac:dyDescent="0.25">
      <c r="I3131" s="2"/>
    </row>
    <row r="3132" spans="9:9" x14ac:dyDescent="0.25">
      <c r="I3132" s="2"/>
    </row>
    <row r="3133" spans="9:9" x14ac:dyDescent="0.25">
      <c r="I3133" s="2"/>
    </row>
    <row r="3134" spans="9:9" x14ac:dyDescent="0.25">
      <c r="I3134" s="2"/>
    </row>
    <row r="3135" spans="9:9" x14ac:dyDescent="0.25">
      <c r="I3135" s="2"/>
    </row>
    <row r="3136" spans="9:9" x14ac:dyDescent="0.25">
      <c r="I3136" s="2"/>
    </row>
    <row r="3137" spans="9:9" x14ac:dyDescent="0.25">
      <c r="I3137" s="2"/>
    </row>
    <row r="3138" spans="9:9" x14ac:dyDescent="0.25">
      <c r="I3138" s="2"/>
    </row>
    <row r="3139" spans="9:9" x14ac:dyDescent="0.25">
      <c r="I3139" s="2"/>
    </row>
    <row r="3140" spans="9:9" x14ac:dyDescent="0.25">
      <c r="I3140" s="2"/>
    </row>
    <row r="3141" spans="9:9" x14ac:dyDescent="0.25">
      <c r="I3141" s="2"/>
    </row>
    <row r="3142" spans="9:9" x14ac:dyDescent="0.25">
      <c r="I3142" s="2"/>
    </row>
    <row r="3143" spans="9:9" x14ac:dyDescent="0.25">
      <c r="I3143" s="2"/>
    </row>
    <row r="3144" spans="9:9" x14ac:dyDescent="0.25">
      <c r="I3144" s="2"/>
    </row>
    <row r="3145" spans="9:9" x14ac:dyDescent="0.25">
      <c r="I3145" s="2"/>
    </row>
    <row r="3146" spans="9:9" x14ac:dyDescent="0.25">
      <c r="I3146" s="2"/>
    </row>
    <row r="3147" spans="9:9" x14ac:dyDescent="0.25">
      <c r="I3147" s="2"/>
    </row>
    <row r="3148" spans="9:9" x14ac:dyDescent="0.25">
      <c r="I3148" s="2"/>
    </row>
    <row r="3149" spans="9:9" x14ac:dyDescent="0.25">
      <c r="I3149" s="2"/>
    </row>
    <row r="3150" spans="9:9" x14ac:dyDescent="0.25">
      <c r="I3150" s="2"/>
    </row>
    <row r="3151" spans="9:9" x14ac:dyDescent="0.25">
      <c r="I3151" s="2"/>
    </row>
    <row r="3152" spans="9:9" x14ac:dyDescent="0.25">
      <c r="I3152" s="2"/>
    </row>
    <row r="3153" spans="9:9" x14ac:dyDescent="0.25">
      <c r="I3153" s="2"/>
    </row>
    <row r="3154" spans="9:9" x14ac:dyDescent="0.25">
      <c r="I3154" s="2"/>
    </row>
    <row r="3155" spans="9:9" x14ac:dyDescent="0.25">
      <c r="I3155" s="2"/>
    </row>
    <row r="3156" spans="9:9" x14ac:dyDescent="0.25">
      <c r="I3156" s="2"/>
    </row>
    <row r="3157" spans="9:9" x14ac:dyDescent="0.25">
      <c r="I3157" s="2"/>
    </row>
    <row r="3158" spans="9:9" x14ac:dyDescent="0.25">
      <c r="I3158" s="2"/>
    </row>
    <row r="3159" spans="9:9" x14ac:dyDescent="0.25">
      <c r="I3159" s="2"/>
    </row>
    <row r="3160" spans="9:9" x14ac:dyDescent="0.25">
      <c r="I3160" s="2"/>
    </row>
    <row r="3161" spans="9:9" x14ac:dyDescent="0.25">
      <c r="I3161" s="2"/>
    </row>
    <row r="3162" spans="9:9" x14ac:dyDescent="0.25">
      <c r="I3162" s="2"/>
    </row>
    <row r="3163" spans="9:9" x14ac:dyDescent="0.25">
      <c r="I3163" s="2"/>
    </row>
    <row r="3164" spans="9:9" x14ac:dyDescent="0.25">
      <c r="I3164" s="2"/>
    </row>
    <row r="3165" spans="9:9" x14ac:dyDescent="0.25">
      <c r="I3165" s="2"/>
    </row>
    <row r="3166" spans="9:9" x14ac:dyDescent="0.25">
      <c r="I3166" s="2"/>
    </row>
    <row r="3167" spans="9:9" x14ac:dyDescent="0.25">
      <c r="I3167" s="2"/>
    </row>
    <row r="3168" spans="9:9" x14ac:dyDescent="0.25">
      <c r="I3168" s="2"/>
    </row>
    <row r="3169" spans="9:9" x14ac:dyDescent="0.25">
      <c r="I3169" s="2"/>
    </row>
    <row r="3170" spans="9:9" x14ac:dyDescent="0.25">
      <c r="I3170" s="2"/>
    </row>
    <row r="3171" spans="9:9" x14ac:dyDescent="0.25">
      <c r="I3171" s="2"/>
    </row>
    <row r="3172" spans="9:9" x14ac:dyDescent="0.25">
      <c r="I3172" s="2"/>
    </row>
    <row r="3173" spans="9:9" x14ac:dyDescent="0.25">
      <c r="I3173" s="2"/>
    </row>
    <row r="3174" spans="9:9" x14ac:dyDescent="0.25">
      <c r="I3174" s="2"/>
    </row>
    <row r="3175" spans="9:9" x14ac:dyDescent="0.25">
      <c r="I3175" s="2"/>
    </row>
    <row r="3176" spans="9:9" x14ac:dyDescent="0.25">
      <c r="I3176" s="2"/>
    </row>
    <row r="3177" spans="9:9" x14ac:dyDescent="0.25">
      <c r="I3177" s="2"/>
    </row>
    <row r="3178" spans="9:9" x14ac:dyDescent="0.25">
      <c r="I3178" s="2"/>
    </row>
    <row r="3179" spans="9:9" x14ac:dyDescent="0.25">
      <c r="I3179" s="2"/>
    </row>
    <row r="3180" spans="9:9" x14ac:dyDescent="0.25">
      <c r="I3180" s="2"/>
    </row>
    <row r="3181" spans="9:9" x14ac:dyDescent="0.25">
      <c r="I3181" s="2"/>
    </row>
    <row r="3182" spans="9:9" x14ac:dyDescent="0.25">
      <c r="I3182" s="2"/>
    </row>
    <row r="3183" spans="9:9" x14ac:dyDescent="0.25">
      <c r="I3183" s="2"/>
    </row>
    <row r="3184" spans="9:9" x14ac:dyDescent="0.25">
      <c r="I3184" s="2"/>
    </row>
    <row r="3185" spans="9:9" x14ac:dyDescent="0.25">
      <c r="I3185" s="2"/>
    </row>
    <row r="3186" spans="9:9" x14ac:dyDescent="0.25">
      <c r="I3186" s="2"/>
    </row>
    <row r="3187" spans="9:9" x14ac:dyDescent="0.25">
      <c r="I3187" s="2"/>
    </row>
    <row r="3188" spans="9:9" x14ac:dyDescent="0.25">
      <c r="I3188" s="2"/>
    </row>
    <row r="3189" spans="9:9" x14ac:dyDescent="0.25">
      <c r="I3189" s="2"/>
    </row>
    <row r="3190" spans="9:9" x14ac:dyDescent="0.25">
      <c r="I3190" s="2"/>
    </row>
    <row r="3191" spans="9:9" x14ac:dyDescent="0.25">
      <c r="I3191" s="2"/>
    </row>
    <row r="3192" spans="9:9" x14ac:dyDescent="0.25">
      <c r="I3192" s="2"/>
    </row>
    <row r="3193" spans="9:9" x14ac:dyDescent="0.25">
      <c r="I3193" s="2"/>
    </row>
    <row r="3194" spans="9:9" x14ac:dyDescent="0.25">
      <c r="I3194" s="2"/>
    </row>
    <row r="3195" spans="9:9" x14ac:dyDescent="0.25">
      <c r="I3195" s="2"/>
    </row>
    <row r="3196" spans="9:9" x14ac:dyDescent="0.25">
      <c r="I3196" s="2"/>
    </row>
    <row r="3197" spans="9:9" x14ac:dyDescent="0.25">
      <c r="I3197" s="2"/>
    </row>
    <row r="3198" spans="9:9" x14ac:dyDescent="0.25">
      <c r="I3198" s="2"/>
    </row>
    <row r="3199" spans="9:9" x14ac:dyDescent="0.25">
      <c r="I3199" s="2"/>
    </row>
    <row r="3200" spans="9:9" x14ac:dyDescent="0.25">
      <c r="I3200" s="2"/>
    </row>
    <row r="3201" spans="9:9" x14ac:dyDescent="0.25">
      <c r="I3201" s="2"/>
    </row>
    <row r="3202" spans="9:9" x14ac:dyDescent="0.25">
      <c r="I3202" s="2"/>
    </row>
    <row r="3203" spans="9:9" x14ac:dyDescent="0.25">
      <c r="I3203" s="2"/>
    </row>
    <row r="3204" spans="9:9" x14ac:dyDescent="0.25">
      <c r="I3204" s="2"/>
    </row>
    <row r="3205" spans="9:9" x14ac:dyDescent="0.25">
      <c r="I3205" s="2"/>
    </row>
    <row r="3206" spans="9:9" x14ac:dyDescent="0.25">
      <c r="I3206" s="2"/>
    </row>
    <row r="3207" spans="9:9" x14ac:dyDescent="0.25">
      <c r="I3207" s="2"/>
    </row>
    <row r="3208" spans="9:9" x14ac:dyDescent="0.25">
      <c r="I3208" s="2"/>
    </row>
    <row r="3209" spans="9:9" x14ac:dyDescent="0.25">
      <c r="I3209" s="2"/>
    </row>
    <row r="3210" spans="9:9" x14ac:dyDescent="0.25">
      <c r="I3210" s="2"/>
    </row>
    <row r="3211" spans="9:9" x14ac:dyDescent="0.25">
      <c r="I3211" s="2"/>
    </row>
    <row r="3212" spans="9:9" x14ac:dyDescent="0.25">
      <c r="I3212" s="2"/>
    </row>
    <row r="3213" spans="9:9" x14ac:dyDescent="0.25">
      <c r="I3213" s="2"/>
    </row>
    <row r="3214" spans="9:9" x14ac:dyDescent="0.25">
      <c r="I3214" s="2"/>
    </row>
    <row r="3215" spans="9:9" x14ac:dyDescent="0.25">
      <c r="I3215" s="2"/>
    </row>
    <row r="3216" spans="9:9" x14ac:dyDescent="0.25">
      <c r="I3216" s="2"/>
    </row>
    <row r="3217" spans="9:9" x14ac:dyDescent="0.25">
      <c r="I3217" s="2"/>
    </row>
    <row r="3218" spans="9:9" x14ac:dyDescent="0.25">
      <c r="I3218" s="2"/>
    </row>
    <row r="3219" spans="9:9" x14ac:dyDescent="0.25">
      <c r="I3219" s="2"/>
    </row>
    <row r="3220" spans="9:9" x14ac:dyDescent="0.25">
      <c r="I3220" s="2"/>
    </row>
    <row r="3221" spans="9:9" x14ac:dyDescent="0.25">
      <c r="I3221" s="2"/>
    </row>
    <row r="3222" spans="9:9" x14ac:dyDescent="0.25">
      <c r="I3222" s="2"/>
    </row>
    <row r="3223" spans="9:9" x14ac:dyDescent="0.25">
      <c r="I3223" s="2"/>
    </row>
    <row r="3224" spans="9:9" x14ac:dyDescent="0.25">
      <c r="I3224" s="2"/>
    </row>
    <row r="3225" spans="9:9" x14ac:dyDescent="0.25">
      <c r="I3225" s="2"/>
    </row>
    <row r="3226" spans="9:9" x14ac:dyDescent="0.25">
      <c r="I3226" s="2"/>
    </row>
    <row r="3227" spans="9:9" x14ac:dyDescent="0.25">
      <c r="I3227" s="2"/>
    </row>
    <row r="3228" spans="9:9" x14ac:dyDescent="0.25">
      <c r="I3228" s="2"/>
    </row>
    <row r="3229" spans="9:9" x14ac:dyDescent="0.25">
      <c r="I3229" s="2"/>
    </row>
    <row r="3230" spans="9:9" x14ac:dyDescent="0.25">
      <c r="I3230" s="2"/>
    </row>
    <row r="3231" spans="9:9" x14ac:dyDescent="0.25">
      <c r="I3231" s="2"/>
    </row>
    <row r="3232" spans="9:9" x14ac:dyDescent="0.25">
      <c r="I3232" s="2"/>
    </row>
    <row r="3233" spans="9:9" x14ac:dyDescent="0.25">
      <c r="I3233" s="2"/>
    </row>
    <row r="3234" spans="9:9" x14ac:dyDescent="0.25">
      <c r="I3234" s="2"/>
    </row>
    <row r="3235" spans="9:9" x14ac:dyDescent="0.25">
      <c r="I3235" s="2"/>
    </row>
    <row r="3236" spans="9:9" x14ac:dyDescent="0.25">
      <c r="I3236" s="2"/>
    </row>
    <row r="3237" spans="9:9" x14ac:dyDescent="0.25">
      <c r="I3237" s="2"/>
    </row>
    <row r="3238" spans="9:9" x14ac:dyDescent="0.25">
      <c r="I3238" s="2"/>
    </row>
    <row r="3239" spans="9:9" x14ac:dyDescent="0.25">
      <c r="I3239" s="2"/>
    </row>
    <row r="3240" spans="9:9" x14ac:dyDescent="0.25">
      <c r="I3240" s="2"/>
    </row>
    <row r="3241" spans="9:9" x14ac:dyDescent="0.25">
      <c r="I3241" s="2"/>
    </row>
    <row r="3242" spans="9:9" x14ac:dyDescent="0.25">
      <c r="I3242" s="2"/>
    </row>
    <row r="3243" spans="9:9" x14ac:dyDescent="0.25">
      <c r="I3243" s="2"/>
    </row>
    <row r="3244" spans="9:9" x14ac:dyDescent="0.25">
      <c r="I3244" s="2"/>
    </row>
    <row r="3245" spans="9:9" x14ac:dyDescent="0.25">
      <c r="I3245" s="2"/>
    </row>
    <row r="3246" spans="9:9" x14ac:dyDescent="0.25">
      <c r="I3246" s="2"/>
    </row>
    <row r="3247" spans="9:9" x14ac:dyDescent="0.25">
      <c r="I3247" s="2"/>
    </row>
    <row r="3248" spans="9:9" x14ac:dyDescent="0.25">
      <c r="I3248" s="2"/>
    </row>
    <row r="3249" spans="9:9" x14ac:dyDescent="0.25">
      <c r="I3249" s="2"/>
    </row>
    <row r="3250" spans="9:9" x14ac:dyDescent="0.25">
      <c r="I3250" s="2"/>
    </row>
    <row r="3251" spans="9:9" x14ac:dyDescent="0.25">
      <c r="I3251" s="2"/>
    </row>
    <row r="3252" spans="9:9" x14ac:dyDescent="0.25">
      <c r="I3252" s="2"/>
    </row>
    <row r="3253" spans="9:9" x14ac:dyDescent="0.25">
      <c r="I3253" s="2"/>
    </row>
    <row r="3254" spans="9:9" x14ac:dyDescent="0.25">
      <c r="I3254" s="2"/>
    </row>
    <row r="3255" spans="9:9" x14ac:dyDescent="0.25">
      <c r="I3255" s="2"/>
    </row>
    <row r="3256" spans="9:9" x14ac:dyDescent="0.25">
      <c r="I3256" s="2"/>
    </row>
    <row r="3257" spans="9:9" x14ac:dyDescent="0.25">
      <c r="I3257" s="2"/>
    </row>
    <row r="3258" spans="9:9" x14ac:dyDescent="0.25">
      <c r="I3258" s="2"/>
    </row>
    <row r="3259" spans="9:9" x14ac:dyDescent="0.25">
      <c r="I3259" s="2"/>
    </row>
    <row r="3260" spans="9:9" x14ac:dyDescent="0.25">
      <c r="I3260" s="2"/>
    </row>
    <row r="3261" spans="9:9" x14ac:dyDescent="0.25">
      <c r="I3261" s="2"/>
    </row>
    <row r="3262" spans="9:9" x14ac:dyDescent="0.25">
      <c r="I3262" s="2"/>
    </row>
    <row r="3263" spans="9:9" x14ac:dyDescent="0.25">
      <c r="I3263" s="2"/>
    </row>
    <row r="3264" spans="9:9" x14ac:dyDescent="0.25">
      <c r="I3264" s="2"/>
    </row>
    <row r="3265" spans="9:9" x14ac:dyDescent="0.25">
      <c r="I3265" s="2"/>
    </row>
    <row r="3266" spans="9:9" x14ac:dyDescent="0.25">
      <c r="I3266" s="2"/>
    </row>
    <row r="3267" spans="9:9" x14ac:dyDescent="0.25">
      <c r="I3267" s="2"/>
    </row>
    <row r="3268" spans="9:9" x14ac:dyDescent="0.25">
      <c r="I3268" s="2"/>
    </row>
    <row r="3269" spans="9:9" x14ac:dyDescent="0.25">
      <c r="I3269" s="2"/>
    </row>
    <row r="3270" spans="9:9" x14ac:dyDescent="0.25">
      <c r="I3270" s="2"/>
    </row>
    <row r="3271" spans="9:9" x14ac:dyDescent="0.25">
      <c r="I3271" s="2"/>
    </row>
    <row r="3272" spans="9:9" x14ac:dyDescent="0.25">
      <c r="I3272" s="2"/>
    </row>
    <row r="3273" spans="9:9" x14ac:dyDescent="0.25">
      <c r="I3273" s="2"/>
    </row>
    <row r="3274" spans="9:9" x14ac:dyDescent="0.25">
      <c r="I3274" s="2"/>
    </row>
    <row r="3275" spans="9:9" x14ac:dyDescent="0.25">
      <c r="I3275" s="2"/>
    </row>
    <row r="3276" spans="9:9" x14ac:dyDescent="0.25">
      <c r="I3276" s="2"/>
    </row>
    <row r="3277" spans="9:9" x14ac:dyDescent="0.25">
      <c r="I3277" s="2"/>
    </row>
    <row r="3278" spans="9:9" x14ac:dyDescent="0.25">
      <c r="I3278" s="2"/>
    </row>
    <row r="3279" spans="9:9" x14ac:dyDescent="0.25">
      <c r="I3279" s="2"/>
    </row>
    <row r="3280" spans="9:9" x14ac:dyDescent="0.25">
      <c r="I3280" s="2"/>
    </row>
    <row r="3281" spans="9:9" x14ac:dyDescent="0.25">
      <c r="I3281" s="2"/>
    </row>
    <row r="3282" spans="9:9" x14ac:dyDescent="0.25">
      <c r="I3282" s="2"/>
    </row>
    <row r="3283" spans="9:9" x14ac:dyDescent="0.25">
      <c r="I3283" s="2"/>
    </row>
    <row r="3284" spans="9:9" x14ac:dyDescent="0.25">
      <c r="I3284" s="2"/>
    </row>
    <row r="3285" spans="9:9" x14ac:dyDescent="0.25">
      <c r="I3285" s="2"/>
    </row>
    <row r="3286" spans="9:9" x14ac:dyDescent="0.25">
      <c r="I3286" s="2"/>
    </row>
    <row r="3287" spans="9:9" x14ac:dyDescent="0.25">
      <c r="I3287" s="2"/>
    </row>
    <row r="3288" spans="9:9" x14ac:dyDescent="0.25">
      <c r="I3288" s="2"/>
    </row>
    <row r="3289" spans="9:9" x14ac:dyDescent="0.25">
      <c r="I3289" s="2"/>
    </row>
    <row r="3290" spans="9:9" x14ac:dyDescent="0.25">
      <c r="I3290" s="2"/>
    </row>
    <row r="3291" spans="9:9" x14ac:dyDescent="0.25">
      <c r="I3291" s="2"/>
    </row>
    <row r="3292" spans="9:9" x14ac:dyDescent="0.25">
      <c r="I3292" s="2"/>
    </row>
    <row r="3293" spans="9:9" x14ac:dyDescent="0.25">
      <c r="I3293" s="2"/>
    </row>
    <row r="3294" spans="9:9" x14ac:dyDescent="0.25">
      <c r="I3294" s="2"/>
    </row>
    <row r="3295" spans="9:9" x14ac:dyDescent="0.25">
      <c r="I3295" s="2"/>
    </row>
    <row r="3296" spans="9:9" x14ac:dyDescent="0.25">
      <c r="I3296" s="2"/>
    </row>
    <row r="3297" spans="9:9" x14ac:dyDescent="0.25">
      <c r="I3297" s="2"/>
    </row>
    <row r="3298" spans="9:9" x14ac:dyDescent="0.25">
      <c r="I3298" s="2"/>
    </row>
    <row r="3299" spans="9:9" x14ac:dyDescent="0.25">
      <c r="I3299" s="2"/>
    </row>
    <row r="3300" spans="9:9" x14ac:dyDescent="0.25">
      <c r="I3300" s="2"/>
    </row>
    <row r="3301" spans="9:9" x14ac:dyDescent="0.25">
      <c r="I3301" s="2"/>
    </row>
    <row r="3302" spans="9:9" x14ac:dyDescent="0.25">
      <c r="I3302" s="2"/>
    </row>
    <row r="3303" spans="9:9" x14ac:dyDescent="0.25">
      <c r="I3303" s="2"/>
    </row>
    <row r="3304" spans="9:9" x14ac:dyDescent="0.25">
      <c r="I3304" s="2"/>
    </row>
    <row r="3305" spans="9:9" x14ac:dyDescent="0.25">
      <c r="I3305" s="2"/>
    </row>
    <row r="3306" spans="9:9" x14ac:dyDescent="0.25">
      <c r="I3306" s="2"/>
    </row>
    <row r="3307" spans="9:9" x14ac:dyDescent="0.25">
      <c r="I3307" s="2"/>
    </row>
    <row r="3308" spans="9:9" x14ac:dyDescent="0.25">
      <c r="I3308" s="2"/>
    </row>
    <row r="3309" spans="9:9" x14ac:dyDescent="0.25">
      <c r="I3309" s="2"/>
    </row>
    <row r="3310" spans="9:9" x14ac:dyDescent="0.25">
      <c r="I3310" s="2"/>
    </row>
    <row r="3311" spans="9:9" x14ac:dyDescent="0.25">
      <c r="I3311" s="2"/>
    </row>
    <row r="3312" spans="9:9" x14ac:dyDescent="0.25">
      <c r="I3312" s="2"/>
    </row>
    <row r="3313" spans="9:9" x14ac:dyDescent="0.25">
      <c r="I3313" s="2"/>
    </row>
    <row r="3314" spans="9:9" x14ac:dyDescent="0.25">
      <c r="I3314" s="2"/>
    </row>
    <row r="3315" spans="9:9" x14ac:dyDescent="0.25">
      <c r="I3315" s="2"/>
    </row>
    <row r="3316" spans="9:9" x14ac:dyDescent="0.25">
      <c r="I3316" s="2"/>
    </row>
    <row r="3317" spans="9:9" x14ac:dyDescent="0.25">
      <c r="I3317" s="2"/>
    </row>
    <row r="3318" spans="9:9" x14ac:dyDescent="0.25">
      <c r="I3318" s="2"/>
    </row>
    <row r="3319" spans="9:9" x14ac:dyDescent="0.25">
      <c r="I3319" s="2"/>
    </row>
    <row r="3320" spans="9:9" x14ac:dyDescent="0.25">
      <c r="I3320" s="2"/>
    </row>
    <row r="3321" spans="9:9" x14ac:dyDescent="0.25">
      <c r="I3321" s="2"/>
    </row>
    <row r="3322" spans="9:9" x14ac:dyDescent="0.25">
      <c r="I3322" s="2"/>
    </row>
    <row r="3323" spans="9:9" x14ac:dyDescent="0.25">
      <c r="I3323" s="2"/>
    </row>
    <row r="3324" spans="9:9" x14ac:dyDescent="0.25">
      <c r="I3324" s="2"/>
    </row>
    <row r="3325" spans="9:9" x14ac:dyDescent="0.25">
      <c r="I3325" s="2"/>
    </row>
    <row r="3326" spans="9:9" x14ac:dyDescent="0.25">
      <c r="I3326" s="2"/>
    </row>
    <row r="3327" spans="9:9" x14ac:dyDescent="0.25">
      <c r="I3327" s="2"/>
    </row>
    <row r="3328" spans="9:9" x14ac:dyDescent="0.25">
      <c r="I3328" s="2"/>
    </row>
    <row r="3329" spans="9:9" x14ac:dyDescent="0.25">
      <c r="I3329" s="2"/>
    </row>
    <row r="3330" spans="9:9" x14ac:dyDescent="0.25">
      <c r="I3330" s="2"/>
    </row>
    <row r="3331" spans="9:9" x14ac:dyDescent="0.25">
      <c r="I3331" s="2"/>
    </row>
    <row r="3332" spans="9:9" x14ac:dyDescent="0.25">
      <c r="I3332" s="2"/>
    </row>
    <row r="3333" spans="9:9" x14ac:dyDescent="0.25">
      <c r="I3333" s="2"/>
    </row>
    <row r="3334" spans="9:9" x14ac:dyDescent="0.25">
      <c r="I3334" s="2"/>
    </row>
    <row r="3335" spans="9:9" x14ac:dyDescent="0.25">
      <c r="I3335" s="2"/>
    </row>
    <row r="3336" spans="9:9" x14ac:dyDescent="0.25">
      <c r="I3336" s="2"/>
    </row>
    <row r="3337" spans="9:9" x14ac:dyDescent="0.25">
      <c r="I3337" s="2"/>
    </row>
    <row r="3338" spans="9:9" x14ac:dyDescent="0.25">
      <c r="I3338" s="2"/>
    </row>
    <row r="3339" spans="9:9" x14ac:dyDescent="0.25">
      <c r="I3339" s="2"/>
    </row>
    <row r="3340" spans="9:9" x14ac:dyDescent="0.25">
      <c r="I3340" s="2"/>
    </row>
    <row r="3341" spans="9:9" x14ac:dyDescent="0.25">
      <c r="I3341" s="2"/>
    </row>
    <row r="3342" spans="9:9" x14ac:dyDescent="0.25">
      <c r="I3342" s="2"/>
    </row>
    <row r="3343" spans="9:9" x14ac:dyDescent="0.25">
      <c r="I3343" s="2"/>
    </row>
    <row r="3344" spans="9:9" x14ac:dyDescent="0.25">
      <c r="I3344" s="2"/>
    </row>
    <row r="3345" spans="9:9" x14ac:dyDescent="0.25">
      <c r="I3345" s="2"/>
    </row>
    <row r="3346" spans="9:9" x14ac:dyDescent="0.25">
      <c r="I3346" s="2"/>
    </row>
    <row r="3347" spans="9:9" x14ac:dyDescent="0.25">
      <c r="I3347" s="2"/>
    </row>
    <row r="3348" spans="9:9" x14ac:dyDescent="0.25">
      <c r="I3348" s="2"/>
    </row>
    <row r="3349" spans="9:9" x14ac:dyDescent="0.25">
      <c r="I3349" s="2"/>
    </row>
    <row r="3350" spans="9:9" x14ac:dyDescent="0.25">
      <c r="I3350" s="2"/>
    </row>
    <row r="3351" spans="9:9" x14ac:dyDescent="0.25">
      <c r="I3351" s="2"/>
    </row>
    <row r="3352" spans="9:9" x14ac:dyDescent="0.25">
      <c r="I3352" s="2"/>
    </row>
    <row r="3353" spans="9:9" x14ac:dyDescent="0.25">
      <c r="I3353" s="2"/>
    </row>
    <row r="3354" spans="9:9" x14ac:dyDescent="0.25">
      <c r="I3354" s="2"/>
    </row>
    <row r="3355" spans="9:9" x14ac:dyDescent="0.25">
      <c r="I3355" s="2"/>
    </row>
    <row r="3356" spans="9:9" x14ac:dyDescent="0.25">
      <c r="I3356" s="2"/>
    </row>
    <row r="3357" spans="9:9" x14ac:dyDescent="0.25">
      <c r="I3357" s="2"/>
    </row>
    <row r="3358" spans="9:9" x14ac:dyDescent="0.25">
      <c r="I3358" s="2"/>
    </row>
    <row r="3359" spans="9:9" x14ac:dyDescent="0.25">
      <c r="I3359" s="2"/>
    </row>
    <row r="3360" spans="9:9" x14ac:dyDescent="0.25">
      <c r="I3360" s="2"/>
    </row>
    <row r="3361" spans="9:9" x14ac:dyDescent="0.25">
      <c r="I3361" s="2"/>
    </row>
    <row r="3362" spans="9:9" x14ac:dyDescent="0.25">
      <c r="I3362" s="2"/>
    </row>
    <row r="3363" spans="9:9" x14ac:dyDescent="0.25">
      <c r="I3363" s="2"/>
    </row>
    <row r="3364" spans="9:9" x14ac:dyDescent="0.25">
      <c r="I3364" s="2"/>
    </row>
    <row r="3365" spans="9:9" x14ac:dyDescent="0.25">
      <c r="I3365" s="2"/>
    </row>
    <row r="3366" spans="9:9" x14ac:dyDescent="0.25">
      <c r="I3366" s="2"/>
    </row>
    <row r="3367" spans="9:9" x14ac:dyDescent="0.25">
      <c r="I3367" s="2"/>
    </row>
    <row r="3368" spans="9:9" x14ac:dyDescent="0.25">
      <c r="I3368" s="2"/>
    </row>
    <row r="3369" spans="9:9" x14ac:dyDescent="0.25">
      <c r="I3369" s="2"/>
    </row>
    <row r="3370" spans="9:9" x14ac:dyDescent="0.25">
      <c r="I3370" s="2"/>
    </row>
    <row r="3371" spans="9:9" x14ac:dyDescent="0.25">
      <c r="I3371" s="2"/>
    </row>
    <row r="3372" spans="9:9" x14ac:dyDescent="0.25">
      <c r="I3372" s="2"/>
    </row>
    <row r="3373" spans="9:9" x14ac:dyDescent="0.25">
      <c r="I3373" s="2"/>
    </row>
    <row r="3374" spans="9:9" x14ac:dyDescent="0.25">
      <c r="I3374" s="2"/>
    </row>
    <row r="3375" spans="9:9" x14ac:dyDescent="0.25">
      <c r="I3375" s="2"/>
    </row>
    <row r="3376" spans="9:9" x14ac:dyDescent="0.25">
      <c r="I3376" s="2"/>
    </row>
    <row r="3377" spans="9:9" x14ac:dyDescent="0.25">
      <c r="I3377" s="2"/>
    </row>
    <row r="3378" spans="9:9" x14ac:dyDescent="0.25">
      <c r="I3378" s="2"/>
    </row>
    <row r="3379" spans="9:9" x14ac:dyDescent="0.25">
      <c r="I3379" s="2"/>
    </row>
    <row r="3380" spans="9:9" x14ac:dyDescent="0.25">
      <c r="I3380" s="2"/>
    </row>
    <row r="3381" spans="9:9" x14ac:dyDescent="0.25">
      <c r="I3381" s="2"/>
    </row>
    <row r="3382" spans="9:9" x14ac:dyDescent="0.25">
      <c r="I3382" s="2"/>
    </row>
    <row r="3383" spans="9:9" x14ac:dyDescent="0.25">
      <c r="I3383" s="2"/>
    </row>
    <row r="3384" spans="9:9" x14ac:dyDescent="0.25">
      <c r="I3384" s="2"/>
    </row>
    <row r="3385" spans="9:9" x14ac:dyDescent="0.25">
      <c r="I3385" s="2"/>
    </row>
    <row r="3386" spans="9:9" x14ac:dyDescent="0.25">
      <c r="I3386" s="2"/>
    </row>
    <row r="3387" spans="9:9" x14ac:dyDescent="0.25">
      <c r="I3387" s="2"/>
    </row>
    <row r="3388" spans="9:9" x14ac:dyDescent="0.25">
      <c r="I3388" s="2"/>
    </row>
    <row r="3389" spans="9:9" x14ac:dyDescent="0.25">
      <c r="I3389" s="2"/>
    </row>
    <row r="3390" spans="9:9" x14ac:dyDescent="0.25">
      <c r="I3390" s="2"/>
    </row>
    <row r="3391" spans="9:9" x14ac:dyDescent="0.25">
      <c r="I3391" s="2"/>
    </row>
    <row r="3392" spans="9:9" x14ac:dyDescent="0.25">
      <c r="I3392" s="2"/>
    </row>
    <row r="3393" spans="9:9" x14ac:dyDescent="0.25">
      <c r="I3393" s="2"/>
    </row>
    <row r="3394" spans="9:9" x14ac:dyDescent="0.25">
      <c r="I3394" s="2"/>
    </row>
    <row r="3395" spans="9:9" x14ac:dyDescent="0.25">
      <c r="I3395" s="2"/>
    </row>
    <row r="3396" spans="9:9" x14ac:dyDescent="0.25">
      <c r="I3396" s="2"/>
    </row>
    <row r="3397" spans="9:9" x14ac:dyDescent="0.25">
      <c r="I3397" s="2"/>
    </row>
    <row r="3398" spans="9:9" x14ac:dyDescent="0.25">
      <c r="I3398" s="2"/>
    </row>
    <row r="3399" spans="9:9" x14ac:dyDescent="0.25">
      <c r="I3399" s="2"/>
    </row>
    <row r="3400" spans="9:9" x14ac:dyDescent="0.25">
      <c r="I3400" s="2"/>
    </row>
    <row r="3401" spans="9:9" x14ac:dyDescent="0.25">
      <c r="I3401" s="2"/>
    </row>
    <row r="3402" spans="9:9" x14ac:dyDescent="0.25">
      <c r="I3402" s="2"/>
    </row>
    <row r="3403" spans="9:9" x14ac:dyDescent="0.25">
      <c r="I3403" s="2"/>
    </row>
    <row r="3404" spans="9:9" x14ac:dyDescent="0.25">
      <c r="I3404" s="2"/>
    </row>
    <row r="3405" spans="9:9" x14ac:dyDescent="0.25">
      <c r="I3405" s="2"/>
    </row>
    <row r="3406" spans="9:9" x14ac:dyDescent="0.25">
      <c r="I3406" s="2"/>
    </row>
    <row r="3407" spans="9:9" x14ac:dyDescent="0.25">
      <c r="I3407" s="2"/>
    </row>
    <row r="3408" spans="9:9" x14ac:dyDescent="0.25">
      <c r="I3408" s="2"/>
    </row>
    <row r="3409" spans="9:9" x14ac:dyDescent="0.25">
      <c r="I3409" s="2"/>
    </row>
    <row r="3410" spans="9:9" x14ac:dyDescent="0.25">
      <c r="I3410" s="2"/>
    </row>
    <row r="3411" spans="9:9" x14ac:dyDescent="0.25">
      <c r="I3411" s="2"/>
    </row>
    <row r="3412" spans="9:9" x14ac:dyDescent="0.25">
      <c r="I3412" s="2"/>
    </row>
    <row r="3413" spans="9:9" x14ac:dyDescent="0.25">
      <c r="I3413" s="2"/>
    </row>
    <row r="3414" spans="9:9" x14ac:dyDescent="0.25">
      <c r="I3414" s="2"/>
    </row>
    <row r="3415" spans="9:9" x14ac:dyDescent="0.25">
      <c r="I3415" s="2"/>
    </row>
    <row r="3416" spans="9:9" x14ac:dyDescent="0.25">
      <c r="I3416" s="2"/>
    </row>
    <row r="3417" spans="9:9" x14ac:dyDescent="0.25">
      <c r="I3417" s="2"/>
    </row>
    <row r="3418" spans="9:9" x14ac:dyDescent="0.25">
      <c r="I3418" s="2"/>
    </row>
    <row r="3419" spans="9:9" x14ac:dyDescent="0.25">
      <c r="I3419" s="2"/>
    </row>
    <row r="3420" spans="9:9" x14ac:dyDescent="0.25">
      <c r="I3420" s="2"/>
    </row>
    <row r="3421" spans="9:9" x14ac:dyDescent="0.25">
      <c r="I3421" s="2"/>
    </row>
    <row r="3422" spans="9:9" x14ac:dyDescent="0.25">
      <c r="I3422" s="2"/>
    </row>
    <row r="3423" spans="9:9" x14ac:dyDescent="0.25">
      <c r="I3423" s="2"/>
    </row>
    <row r="3424" spans="9:9" x14ac:dyDescent="0.25">
      <c r="I3424" s="2"/>
    </row>
    <row r="3425" spans="9:9" x14ac:dyDescent="0.25">
      <c r="I3425" s="2"/>
    </row>
    <row r="3426" spans="9:9" x14ac:dyDescent="0.25">
      <c r="I3426" s="2"/>
    </row>
    <row r="3427" spans="9:9" x14ac:dyDescent="0.25">
      <c r="I3427" s="2"/>
    </row>
    <row r="3428" spans="9:9" x14ac:dyDescent="0.25">
      <c r="I3428" s="2"/>
    </row>
    <row r="3429" spans="9:9" x14ac:dyDescent="0.25">
      <c r="I3429" s="2"/>
    </row>
    <row r="3430" spans="9:9" x14ac:dyDescent="0.25">
      <c r="I3430" s="2"/>
    </row>
    <row r="3431" spans="9:9" x14ac:dyDescent="0.25">
      <c r="I3431" s="2"/>
    </row>
    <row r="3432" spans="9:9" x14ac:dyDescent="0.25">
      <c r="I3432" s="2"/>
    </row>
    <row r="3433" spans="9:9" x14ac:dyDescent="0.25">
      <c r="I3433" s="2"/>
    </row>
    <row r="3434" spans="9:9" x14ac:dyDescent="0.25">
      <c r="I3434" s="2"/>
    </row>
    <row r="3435" spans="9:9" x14ac:dyDescent="0.25">
      <c r="I3435" s="2"/>
    </row>
    <row r="3436" spans="9:9" x14ac:dyDescent="0.25">
      <c r="I3436" s="2"/>
    </row>
    <row r="3437" spans="9:9" x14ac:dyDescent="0.25">
      <c r="I3437" s="2"/>
    </row>
    <row r="3438" spans="9:9" x14ac:dyDescent="0.25">
      <c r="I3438" s="2"/>
    </row>
    <row r="3439" spans="9:9" x14ac:dyDescent="0.25">
      <c r="I3439" s="2"/>
    </row>
    <row r="3440" spans="9:9" x14ac:dyDescent="0.25">
      <c r="I3440" s="2"/>
    </row>
    <row r="3441" spans="9:9" x14ac:dyDescent="0.25">
      <c r="I3441" s="2"/>
    </row>
    <row r="3442" spans="9:9" x14ac:dyDescent="0.25">
      <c r="I3442" s="2"/>
    </row>
    <row r="3443" spans="9:9" x14ac:dyDescent="0.25">
      <c r="I3443" s="2"/>
    </row>
    <row r="3444" spans="9:9" x14ac:dyDescent="0.25">
      <c r="I3444" s="2"/>
    </row>
    <row r="3445" spans="9:9" x14ac:dyDescent="0.25">
      <c r="I3445" s="2"/>
    </row>
    <row r="3446" spans="9:9" x14ac:dyDescent="0.25">
      <c r="I3446" s="2"/>
    </row>
    <row r="3447" spans="9:9" x14ac:dyDescent="0.25">
      <c r="I3447" s="2"/>
    </row>
    <row r="3448" spans="9:9" x14ac:dyDescent="0.25">
      <c r="I3448" s="2"/>
    </row>
    <row r="3449" spans="9:9" x14ac:dyDescent="0.25">
      <c r="I3449" s="2"/>
    </row>
    <row r="3450" spans="9:9" x14ac:dyDescent="0.25">
      <c r="I3450" s="2"/>
    </row>
    <row r="3451" spans="9:9" x14ac:dyDescent="0.25">
      <c r="I3451" s="2"/>
    </row>
    <row r="3452" spans="9:9" x14ac:dyDescent="0.25">
      <c r="I3452" s="2"/>
    </row>
    <row r="3453" spans="9:9" x14ac:dyDescent="0.25">
      <c r="I3453" s="2"/>
    </row>
    <row r="3454" spans="9:9" x14ac:dyDescent="0.25">
      <c r="I3454" s="2"/>
    </row>
    <row r="3455" spans="9:9" x14ac:dyDescent="0.25">
      <c r="I3455" s="2"/>
    </row>
    <row r="3456" spans="9:9" x14ac:dyDescent="0.25">
      <c r="I3456" s="2"/>
    </row>
    <row r="3457" spans="9:9" x14ac:dyDescent="0.25">
      <c r="I3457" s="2"/>
    </row>
    <row r="3458" spans="9:9" x14ac:dyDescent="0.25">
      <c r="I3458" s="2"/>
    </row>
    <row r="3459" spans="9:9" x14ac:dyDescent="0.25">
      <c r="I3459" s="2"/>
    </row>
    <row r="3460" spans="9:9" x14ac:dyDescent="0.25">
      <c r="I3460" s="2"/>
    </row>
    <row r="3461" spans="9:9" x14ac:dyDescent="0.25">
      <c r="I3461" s="2"/>
    </row>
    <row r="3462" spans="9:9" x14ac:dyDescent="0.25">
      <c r="I3462" s="2"/>
    </row>
    <row r="3463" spans="9:9" x14ac:dyDescent="0.25">
      <c r="I3463" s="2"/>
    </row>
    <row r="3464" spans="9:9" x14ac:dyDescent="0.25">
      <c r="I3464" s="2"/>
    </row>
    <row r="3465" spans="9:9" x14ac:dyDescent="0.25">
      <c r="I3465" s="2"/>
    </row>
    <row r="3466" spans="9:9" x14ac:dyDescent="0.25">
      <c r="I3466" s="2"/>
    </row>
    <row r="3467" spans="9:9" x14ac:dyDescent="0.25">
      <c r="I3467" s="2"/>
    </row>
    <row r="3468" spans="9:9" x14ac:dyDescent="0.25">
      <c r="I3468" s="2"/>
    </row>
    <row r="3469" spans="9:9" x14ac:dyDescent="0.25">
      <c r="I3469" s="2"/>
    </row>
    <row r="3470" spans="9:9" x14ac:dyDescent="0.25">
      <c r="I3470" s="2"/>
    </row>
    <row r="3471" spans="9:9" x14ac:dyDescent="0.25">
      <c r="I3471" s="2"/>
    </row>
    <row r="3472" spans="9:9" x14ac:dyDescent="0.25">
      <c r="I3472" s="2"/>
    </row>
    <row r="3473" spans="9:9" x14ac:dyDescent="0.25">
      <c r="I3473" s="2"/>
    </row>
    <row r="3474" spans="9:9" x14ac:dyDescent="0.25">
      <c r="I3474" s="2"/>
    </row>
    <row r="3475" spans="9:9" x14ac:dyDescent="0.25">
      <c r="I3475" s="2"/>
    </row>
    <row r="3476" spans="9:9" x14ac:dyDescent="0.25">
      <c r="I3476" s="2"/>
    </row>
    <row r="3477" spans="9:9" x14ac:dyDescent="0.25">
      <c r="I3477" s="2"/>
    </row>
    <row r="3478" spans="9:9" x14ac:dyDescent="0.25">
      <c r="I3478" s="2"/>
    </row>
    <row r="3479" spans="9:9" x14ac:dyDescent="0.25">
      <c r="I3479" s="2"/>
    </row>
    <row r="3480" spans="9:9" x14ac:dyDescent="0.25">
      <c r="I3480" s="2"/>
    </row>
    <row r="3481" spans="9:9" x14ac:dyDescent="0.25">
      <c r="I3481" s="2"/>
    </row>
    <row r="3482" spans="9:9" x14ac:dyDescent="0.25">
      <c r="I3482" s="2"/>
    </row>
    <row r="3483" spans="9:9" x14ac:dyDescent="0.25">
      <c r="I3483" s="2"/>
    </row>
    <row r="3484" spans="9:9" x14ac:dyDescent="0.25">
      <c r="I3484" s="2"/>
    </row>
    <row r="3485" spans="9:9" x14ac:dyDescent="0.25">
      <c r="I3485" s="2"/>
    </row>
    <row r="3486" spans="9:9" x14ac:dyDescent="0.25">
      <c r="I3486" s="2"/>
    </row>
    <row r="3487" spans="9:9" x14ac:dyDescent="0.25">
      <c r="I3487" s="2"/>
    </row>
    <row r="3488" spans="9:9" x14ac:dyDescent="0.25">
      <c r="I3488" s="2"/>
    </row>
    <row r="3489" spans="9:9" x14ac:dyDescent="0.25">
      <c r="I3489" s="2"/>
    </row>
    <row r="3490" spans="9:9" x14ac:dyDescent="0.25">
      <c r="I3490" s="2"/>
    </row>
    <row r="3491" spans="9:9" x14ac:dyDescent="0.25">
      <c r="I3491" s="2"/>
    </row>
    <row r="3492" spans="9:9" x14ac:dyDescent="0.25">
      <c r="I3492" s="2"/>
    </row>
    <row r="3493" spans="9:9" x14ac:dyDescent="0.25">
      <c r="I3493" s="2"/>
    </row>
    <row r="3494" spans="9:9" x14ac:dyDescent="0.25">
      <c r="I3494" s="2"/>
    </row>
    <row r="3495" spans="9:9" x14ac:dyDescent="0.25">
      <c r="I3495" s="2"/>
    </row>
    <row r="3496" spans="9:9" x14ac:dyDescent="0.25">
      <c r="I3496" s="2"/>
    </row>
    <row r="3497" spans="9:9" x14ac:dyDescent="0.25">
      <c r="I3497" s="2"/>
    </row>
    <row r="3498" spans="9:9" x14ac:dyDescent="0.25">
      <c r="I3498" s="2"/>
    </row>
    <row r="3499" spans="9:9" x14ac:dyDescent="0.25">
      <c r="I3499" s="2"/>
    </row>
    <row r="3500" spans="9:9" x14ac:dyDescent="0.25">
      <c r="I3500" s="2"/>
    </row>
    <row r="3501" spans="9:9" x14ac:dyDescent="0.25">
      <c r="I3501" s="2"/>
    </row>
    <row r="3502" spans="9:9" x14ac:dyDescent="0.25">
      <c r="I3502" s="2"/>
    </row>
    <row r="3503" spans="9:9" x14ac:dyDescent="0.25">
      <c r="I3503" s="2"/>
    </row>
    <row r="3504" spans="9:9" x14ac:dyDescent="0.25">
      <c r="I3504" s="2"/>
    </row>
    <row r="3505" spans="9:9" x14ac:dyDescent="0.25">
      <c r="I3505" s="2"/>
    </row>
    <row r="3506" spans="9:9" x14ac:dyDescent="0.25">
      <c r="I3506" s="2"/>
    </row>
    <row r="3507" spans="9:9" x14ac:dyDescent="0.25">
      <c r="I3507" s="2"/>
    </row>
    <row r="3508" spans="9:9" x14ac:dyDescent="0.25">
      <c r="I3508" s="2"/>
    </row>
    <row r="3509" spans="9:9" x14ac:dyDescent="0.25">
      <c r="I3509" s="2"/>
    </row>
    <row r="3510" spans="9:9" x14ac:dyDescent="0.25">
      <c r="I3510" s="2"/>
    </row>
    <row r="3511" spans="9:9" x14ac:dyDescent="0.25">
      <c r="I3511" s="2"/>
    </row>
    <row r="3512" spans="9:9" x14ac:dyDescent="0.25">
      <c r="I3512" s="2"/>
    </row>
    <row r="3513" spans="9:9" x14ac:dyDescent="0.25">
      <c r="I3513" s="2"/>
    </row>
    <row r="3514" spans="9:9" x14ac:dyDescent="0.25">
      <c r="I3514" s="2"/>
    </row>
    <row r="3515" spans="9:9" x14ac:dyDescent="0.25">
      <c r="I3515" s="2"/>
    </row>
    <row r="3516" spans="9:9" x14ac:dyDescent="0.25">
      <c r="I3516" s="2"/>
    </row>
    <row r="3517" spans="9:9" x14ac:dyDescent="0.25">
      <c r="I3517" s="2"/>
    </row>
    <row r="3518" spans="9:9" x14ac:dyDescent="0.25">
      <c r="I3518" s="2"/>
    </row>
    <row r="3519" spans="9:9" x14ac:dyDescent="0.25">
      <c r="I3519" s="2"/>
    </row>
    <row r="3520" spans="9:9" x14ac:dyDescent="0.25">
      <c r="I3520" s="2"/>
    </row>
    <row r="3521" spans="9:9" x14ac:dyDescent="0.25">
      <c r="I3521" s="2"/>
    </row>
    <row r="3522" spans="9:9" x14ac:dyDescent="0.25">
      <c r="I3522" s="2"/>
    </row>
    <row r="3523" spans="9:9" x14ac:dyDescent="0.25">
      <c r="I3523" s="2"/>
    </row>
    <row r="3524" spans="9:9" x14ac:dyDescent="0.25">
      <c r="I3524" s="2"/>
    </row>
    <row r="3525" spans="9:9" x14ac:dyDescent="0.25">
      <c r="I3525" s="2"/>
    </row>
    <row r="3526" spans="9:9" x14ac:dyDescent="0.25">
      <c r="I3526" s="2"/>
    </row>
    <row r="3527" spans="9:9" x14ac:dyDescent="0.25">
      <c r="I3527" s="2"/>
    </row>
    <row r="3528" spans="9:9" x14ac:dyDescent="0.25">
      <c r="I3528" s="2"/>
    </row>
    <row r="3529" spans="9:9" x14ac:dyDescent="0.25">
      <c r="I3529" s="2"/>
    </row>
    <row r="3530" spans="9:9" x14ac:dyDescent="0.25">
      <c r="I3530" s="2"/>
    </row>
    <row r="3531" spans="9:9" x14ac:dyDescent="0.25">
      <c r="I3531" s="2"/>
    </row>
    <row r="3532" spans="9:9" x14ac:dyDescent="0.25">
      <c r="I3532" s="2"/>
    </row>
    <row r="3533" spans="9:9" x14ac:dyDescent="0.25">
      <c r="I3533" s="2"/>
    </row>
    <row r="3534" spans="9:9" x14ac:dyDescent="0.25">
      <c r="I3534" s="2"/>
    </row>
    <row r="3535" spans="9:9" x14ac:dyDescent="0.25">
      <c r="I3535" s="2"/>
    </row>
    <row r="3536" spans="9:9" x14ac:dyDescent="0.25">
      <c r="I3536" s="2"/>
    </row>
    <row r="3537" spans="9:9" x14ac:dyDescent="0.25">
      <c r="I3537" s="2"/>
    </row>
    <row r="3538" spans="9:9" x14ac:dyDescent="0.25">
      <c r="I3538" s="2"/>
    </row>
    <row r="3539" spans="9:9" x14ac:dyDescent="0.25">
      <c r="I3539" s="2"/>
    </row>
    <row r="3540" spans="9:9" x14ac:dyDescent="0.25">
      <c r="I3540" s="2"/>
    </row>
    <row r="3541" spans="9:9" x14ac:dyDescent="0.25">
      <c r="I3541" s="2"/>
    </row>
    <row r="3542" spans="9:9" x14ac:dyDescent="0.25">
      <c r="I3542" s="2"/>
    </row>
    <row r="3543" spans="9:9" x14ac:dyDescent="0.25">
      <c r="I3543" s="2"/>
    </row>
    <row r="3544" spans="9:9" x14ac:dyDescent="0.25">
      <c r="I3544" s="2"/>
    </row>
    <row r="3545" spans="9:9" x14ac:dyDescent="0.25">
      <c r="I3545" s="2"/>
    </row>
    <row r="3546" spans="9:9" x14ac:dyDescent="0.25">
      <c r="I3546" s="2"/>
    </row>
    <row r="3547" spans="9:9" x14ac:dyDescent="0.25">
      <c r="I3547" s="2"/>
    </row>
    <row r="3548" spans="9:9" x14ac:dyDescent="0.25">
      <c r="I3548" s="2"/>
    </row>
    <row r="3549" spans="9:9" x14ac:dyDescent="0.25">
      <c r="I3549" s="2"/>
    </row>
    <row r="3550" spans="9:9" x14ac:dyDescent="0.25">
      <c r="I3550" s="2"/>
    </row>
    <row r="3551" spans="9:9" x14ac:dyDescent="0.25">
      <c r="I3551" s="2"/>
    </row>
    <row r="3552" spans="9:9" x14ac:dyDescent="0.25">
      <c r="I3552" s="2"/>
    </row>
    <row r="3553" spans="9:9" x14ac:dyDescent="0.25">
      <c r="I3553" s="2"/>
    </row>
    <row r="3554" spans="9:9" x14ac:dyDescent="0.25">
      <c r="I3554" s="2"/>
    </row>
    <row r="3555" spans="9:9" x14ac:dyDescent="0.25">
      <c r="I3555" s="2"/>
    </row>
    <row r="3556" spans="9:9" x14ac:dyDescent="0.25">
      <c r="I3556" s="2"/>
    </row>
    <row r="3557" spans="9:9" x14ac:dyDescent="0.25">
      <c r="I3557" s="2"/>
    </row>
    <row r="3558" spans="9:9" x14ac:dyDescent="0.25">
      <c r="I3558" s="2"/>
    </row>
    <row r="3559" spans="9:9" x14ac:dyDescent="0.25">
      <c r="I3559" s="2"/>
    </row>
    <row r="3560" spans="9:9" x14ac:dyDescent="0.25">
      <c r="I3560" s="2"/>
    </row>
    <row r="3561" spans="9:9" x14ac:dyDescent="0.25">
      <c r="I3561" s="2"/>
    </row>
    <row r="3562" spans="9:9" x14ac:dyDescent="0.25">
      <c r="I3562" s="2"/>
    </row>
    <row r="3563" spans="9:9" x14ac:dyDescent="0.25">
      <c r="I3563" s="2"/>
    </row>
    <row r="3564" spans="9:9" x14ac:dyDescent="0.25">
      <c r="I3564" s="2"/>
    </row>
    <row r="3565" spans="9:9" x14ac:dyDescent="0.25">
      <c r="I3565" s="2"/>
    </row>
    <row r="3566" spans="9:9" x14ac:dyDescent="0.25">
      <c r="I3566" s="2"/>
    </row>
    <row r="3567" spans="9:9" x14ac:dyDescent="0.25">
      <c r="I3567" s="2"/>
    </row>
    <row r="3568" spans="9:9" x14ac:dyDescent="0.25">
      <c r="I3568" s="2"/>
    </row>
    <row r="3569" spans="9:9" x14ac:dyDescent="0.25">
      <c r="I3569" s="2"/>
    </row>
    <row r="3570" spans="9:9" x14ac:dyDescent="0.25">
      <c r="I3570" s="2"/>
    </row>
    <row r="3571" spans="9:9" x14ac:dyDescent="0.25">
      <c r="I3571" s="2"/>
    </row>
    <row r="3572" spans="9:9" x14ac:dyDescent="0.25">
      <c r="I3572" s="2"/>
    </row>
    <row r="3573" spans="9:9" x14ac:dyDescent="0.25">
      <c r="I3573" s="2"/>
    </row>
    <row r="3574" spans="9:9" x14ac:dyDescent="0.25">
      <c r="I3574" s="2"/>
    </row>
    <row r="3575" spans="9:9" x14ac:dyDescent="0.25">
      <c r="I3575" s="2"/>
    </row>
    <row r="3576" spans="9:9" x14ac:dyDescent="0.25">
      <c r="I3576" s="2"/>
    </row>
    <row r="3577" spans="9:9" x14ac:dyDescent="0.25">
      <c r="I3577" s="2"/>
    </row>
    <row r="3578" spans="9:9" x14ac:dyDescent="0.25">
      <c r="I3578" s="2"/>
    </row>
    <row r="3579" spans="9:9" x14ac:dyDescent="0.25">
      <c r="I3579" s="2"/>
    </row>
    <row r="3580" spans="9:9" x14ac:dyDescent="0.25">
      <c r="I3580" s="2"/>
    </row>
    <row r="3581" spans="9:9" x14ac:dyDescent="0.25">
      <c r="I3581" s="2"/>
    </row>
    <row r="3582" spans="9:9" x14ac:dyDescent="0.25">
      <c r="I3582" s="2"/>
    </row>
    <row r="3583" spans="9:9" x14ac:dyDescent="0.25">
      <c r="I3583" s="2"/>
    </row>
    <row r="3584" spans="9:9" x14ac:dyDescent="0.25">
      <c r="I3584" s="2"/>
    </row>
    <row r="3585" spans="9:9" x14ac:dyDescent="0.25">
      <c r="I3585" s="2"/>
    </row>
    <row r="3586" spans="9:9" x14ac:dyDescent="0.25">
      <c r="I3586" s="2"/>
    </row>
    <row r="3587" spans="9:9" x14ac:dyDescent="0.25">
      <c r="I3587" s="2"/>
    </row>
    <row r="3588" spans="9:9" x14ac:dyDescent="0.25">
      <c r="I3588" s="2"/>
    </row>
    <row r="3589" spans="9:9" x14ac:dyDescent="0.25">
      <c r="I3589" s="2"/>
    </row>
    <row r="3590" spans="9:9" x14ac:dyDescent="0.25">
      <c r="I3590" s="2"/>
    </row>
    <row r="3591" spans="9:9" x14ac:dyDescent="0.25">
      <c r="I3591" s="2"/>
    </row>
    <row r="3592" spans="9:9" x14ac:dyDescent="0.25">
      <c r="I3592" s="2"/>
    </row>
    <row r="3593" spans="9:9" x14ac:dyDescent="0.25">
      <c r="I3593" s="2"/>
    </row>
    <row r="3594" spans="9:9" x14ac:dyDescent="0.25">
      <c r="I3594" s="2"/>
    </row>
    <row r="3595" spans="9:9" x14ac:dyDescent="0.25">
      <c r="I3595" s="2"/>
    </row>
    <row r="3596" spans="9:9" x14ac:dyDescent="0.25">
      <c r="I3596" s="2"/>
    </row>
    <row r="3597" spans="9:9" x14ac:dyDescent="0.25">
      <c r="I3597" s="2"/>
    </row>
    <row r="3598" spans="9:9" x14ac:dyDescent="0.25">
      <c r="I3598" s="2"/>
    </row>
    <row r="3599" spans="9:9" x14ac:dyDescent="0.25">
      <c r="I3599" s="2"/>
    </row>
    <row r="3600" spans="9:9" x14ac:dyDescent="0.25">
      <c r="I3600" s="2"/>
    </row>
    <row r="3601" spans="9:9" x14ac:dyDescent="0.25">
      <c r="I3601" s="2"/>
    </row>
    <row r="3602" spans="9:9" x14ac:dyDescent="0.25">
      <c r="I3602" s="2"/>
    </row>
    <row r="3603" spans="9:9" x14ac:dyDescent="0.25">
      <c r="I3603" s="2"/>
    </row>
    <row r="3604" spans="9:9" x14ac:dyDescent="0.25">
      <c r="I3604" s="2"/>
    </row>
    <row r="3605" spans="9:9" x14ac:dyDescent="0.25">
      <c r="I3605" s="2"/>
    </row>
    <row r="3606" spans="9:9" x14ac:dyDescent="0.25">
      <c r="I3606" s="2"/>
    </row>
    <row r="3607" spans="9:9" x14ac:dyDescent="0.25">
      <c r="I3607" s="2"/>
    </row>
    <row r="3608" spans="9:9" x14ac:dyDescent="0.25">
      <c r="I3608" s="2"/>
    </row>
    <row r="3609" spans="9:9" x14ac:dyDescent="0.25">
      <c r="I3609" s="2"/>
    </row>
    <row r="3610" spans="9:9" x14ac:dyDescent="0.25">
      <c r="I3610" s="2"/>
    </row>
    <row r="3611" spans="9:9" x14ac:dyDescent="0.25">
      <c r="I3611" s="2"/>
    </row>
    <row r="3612" spans="9:9" x14ac:dyDescent="0.25">
      <c r="I3612" s="2"/>
    </row>
    <row r="3613" spans="9:9" x14ac:dyDescent="0.25">
      <c r="I3613" s="2"/>
    </row>
    <row r="3614" spans="9:9" x14ac:dyDescent="0.25">
      <c r="I3614" s="2"/>
    </row>
    <row r="3615" spans="9:9" x14ac:dyDescent="0.25">
      <c r="I3615" s="2"/>
    </row>
    <row r="3616" spans="9:9" x14ac:dyDescent="0.25">
      <c r="I3616" s="2"/>
    </row>
    <row r="3617" spans="9:9" x14ac:dyDescent="0.25">
      <c r="I3617" s="2"/>
    </row>
    <row r="3618" spans="9:9" x14ac:dyDescent="0.25">
      <c r="I3618" s="2"/>
    </row>
    <row r="3619" spans="9:9" x14ac:dyDescent="0.25">
      <c r="I3619" s="2"/>
    </row>
    <row r="3620" spans="9:9" x14ac:dyDescent="0.25">
      <c r="I3620" s="2"/>
    </row>
    <row r="3621" spans="9:9" x14ac:dyDescent="0.25">
      <c r="I3621" s="2"/>
    </row>
    <row r="3622" spans="9:9" x14ac:dyDescent="0.25">
      <c r="I3622" s="2"/>
    </row>
    <row r="3623" spans="9:9" x14ac:dyDescent="0.25">
      <c r="I3623" s="2"/>
    </row>
    <row r="3624" spans="9:9" x14ac:dyDescent="0.25">
      <c r="I3624" s="2"/>
    </row>
    <row r="3625" spans="9:9" x14ac:dyDescent="0.25">
      <c r="I3625" s="2"/>
    </row>
    <row r="3626" spans="9:9" x14ac:dyDescent="0.25">
      <c r="I3626" s="2"/>
    </row>
    <row r="3627" spans="9:9" x14ac:dyDescent="0.25">
      <c r="I3627" s="2"/>
    </row>
    <row r="3628" spans="9:9" x14ac:dyDescent="0.25">
      <c r="I3628" s="2"/>
    </row>
    <row r="3629" spans="9:9" x14ac:dyDescent="0.25">
      <c r="I3629" s="2"/>
    </row>
    <row r="3630" spans="9:9" x14ac:dyDescent="0.25">
      <c r="I3630" s="2"/>
    </row>
    <row r="3631" spans="9:9" x14ac:dyDescent="0.25">
      <c r="I3631" s="2"/>
    </row>
    <row r="3632" spans="9:9" x14ac:dyDescent="0.25">
      <c r="I3632" s="2"/>
    </row>
    <row r="3633" spans="9:9" x14ac:dyDescent="0.25">
      <c r="I3633" s="2"/>
    </row>
    <row r="3634" spans="9:9" x14ac:dyDescent="0.25">
      <c r="I3634" s="2"/>
    </row>
    <row r="3635" spans="9:9" x14ac:dyDescent="0.25">
      <c r="I3635" s="2"/>
    </row>
    <row r="3636" spans="9:9" x14ac:dyDescent="0.25">
      <c r="I3636" s="2"/>
    </row>
    <row r="3637" spans="9:9" x14ac:dyDescent="0.25">
      <c r="I3637" s="2"/>
    </row>
    <row r="3638" spans="9:9" x14ac:dyDescent="0.25">
      <c r="I3638" s="2"/>
    </row>
    <row r="3639" spans="9:9" x14ac:dyDescent="0.25">
      <c r="I3639" s="2"/>
    </row>
    <row r="3640" spans="9:9" x14ac:dyDescent="0.25">
      <c r="I3640" s="2"/>
    </row>
    <row r="3641" spans="9:9" x14ac:dyDescent="0.25">
      <c r="I3641" s="2"/>
    </row>
    <row r="3642" spans="9:9" x14ac:dyDescent="0.25">
      <c r="I3642" s="2"/>
    </row>
    <row r="3643" spans="9:9" x14ac:dyDescent="0.25">
      <c r="I3643" s="2"/>
    </row>
    <row r="3644" spans="9:9" x14ac:dyDescent="0.25">
      <c r="I3644" s="2"/>
    </row>
    <row r="3645" spans="9:9" x14ac:dyDescent="0.25">
      <c r="I3645" s="2"/>
    </row>
    <row r="3646" spans="9:9" x14ac:dyDescent="0.25">
      <c r="I3646" s="2"/>
    </row>
    <row r="3647" spans="9:9" x14ac:dyDescent="0.25">
      <c r="I3647" s="2"/>
    </row>
    <row r="3648" spans="9:9" x14ac:dyDescent="0.25">
      <c r="I3648" s="2"/>
    </row>
    <row r="3649" spans="9:9" x14ac:dyDescent="0.25">
      <c r="I3649" s="2"/>
    </row>
    <row r="3650" spans="9:9" x14ac:dyDescent="0.25">
      <c r="I3650" s="2"/>
    </row>
    <row r="3651" spans="9:9" x14ac:dyDescent="0.25">
      <c r="I3651" s="2"/>
    </row>
    <row r="3652" spans="9:9" x14ac:dyDescent="0.25">
      <c r="I3652" s="2"/>
    </row>
    <row r="3653" spans="9:9" x14ac:dyDescent="0.25">
      <c r="I3653" s="2"/>
    </row>
    <row r="3654" spans="9:9" x14ac:dyDescent="0.25">
      <c r="I3654" s="2"/>
    </row>
    <row r="3655" spans="9:9" x14ac:dyDescent="0.25">
      <c r="I3655" s="2"/>
    </row>
    <row r="3656" spans="9:9" x14ac:dyDescent="0.25">
      <c r="I3656" s="2"/>
    </row>
    <row r="3657" spans="9:9" x14ac:dyDescent="0.25">
      <c r="I3657" s="2"/>
    </row>
    <row r="3658" spans="9:9" x14ac:dyDescent="0.25">
      <c r="I3658" s="2"/>
    </row>
    <row r="3659" spans="9:9" x14ac:dyDescent="0.25">
      <c r="I3659" s="2"/>
    </row>
    <row r="3660" spans="9:9" x14ac:dyDescent="0.25">
      <c r="I3660" s="2"/>
    </row>
    <row r="3661" spans="9:9" x14ac:dyDescent="0.25">
      <c r="I3661" s="2"/>
    </row>
    <row r="3662" spans="9:9" x14ac:dyDescent="0.25">
      <c r="I3662" s="2"/>
    </row>
    <row r="3663" spans="9:9" x14ac:dyDescent="0.25">
      <c r="I3663" s="2"/>
    </row>
    <row r="3664" spans="9:9" x14ac:dyDescent="0.25">
      <c r="I3664" s="2"/>
    </row>
    <row r="3665" spans="9:9" x14ac:dyDescent="0.25">
      <c r="I3665" s="2"/>
    </row>
    <row r="3666" spans="9:9" x14ac:dyDescent="0.25">
      <c r="I3666" s="2"/>
    </row>
    <row r="3667" spans="9:9" x14ac:dyDescent="0.25">
      <c r="I3667" s="2"/>
    </row>
    <row r="3668" spans="9:9" x14ac:dyDescent="0.25">
      <c r="I3668" s="2"/>
    </row>
    <row r="3669" spans="9:9" x14ac:dyDescent="0.25">
      <c r="I3669" s="2"/>
    </row>
    <row r="3670" spans="9:9" x14ac:dyDescent="0.25">
      <c r="I3670" s="2"/>
    </row>
    <row r="3671" spans="9:9" x14ac:dyDescent="0.25">
      <c r="I3671" s="2"/>
    </row>
    <row r="3672" spans="9:9" x14ac:dyDescent="0.25">
      <c r="I3672" s="2"/>
    </row>
    <row r="3673" spans="9:9" x14ac:dyDescent="0.25">
      <c r="I3673" s="2"/>
    </row>
    <row r="3674" spans="9:9" x14ac:dyDescent="0.25">
      <c r="I3674" s="2"/>
    </row>
    <row r="3675" spans="9:9" x14ac:dyDescent="0.25">
      <c r="I3675" s="2"/>
    </row>
    <row r="3676" spans="9:9" x14ac:dyDescent="0.25">
      <c r="I3676" s="2"/>
    </row>
    <row r="3677" spans="9:9" x14ac:dyDescent="0.25">
      <c r="I3677" s="2"/>
    </row>
    <row r="3678" spans="9:9" x14ac:dyDescent="0.25">
      <c r="I3678" s="2"/>
    </row>
    <row r="3679" spans="9:9" x14ac:dyDescent="0.25">
      <c r="I3679" s="2"/>
    </row>
    <row r="3680" spans="9:9" x14ac:dyDescent="0.25">
      <c r="I3680" s="2"/>
    </row>
    <row r="3681" spans="9:9" x14ac:dyDescent="0.25">
      <c r="I3681" s="2"/>
    </row>
    <row r="3682" spans="9:9" x14ac:dyDescent="0.25">
      <c r="I3682" s="2"/>
    </row>
    <row r="3683" spans="9:9" x14ac:dyDescent="0.25">
      <c r="I3683" s="2"/>
    </row>
    <row r="3684" spans="9:9" x14ac:dyDescent="0.25">
      <c r="I3684" s="2"/>
    </row>
    <row r="3685" spans="9:9" x14ac:dyDescent="0.25">
      <c r="I3685" s="2"/>
    </row>
    <row r="3686" spans="9:9" x14ac:dyDescent="0.25">
      <c r="I3686" s="2"/>
    </row>
    <row r="3687" spans="9:9" x14ac:dyDescent="0.25">
      <c r="I3687" s="2"/>
    </row>
    <row r="3688" spans="9:9" x14ac:dyDescent="0.25">
      <c r="I3688" s="2"/>
    </row>
    <row r="3689" spans="9:9" x14ac:dyDescent="0.25">
      <c r="I3689" s="2"/>
    </row>
    <row r="3690" spans="9:9" x14ac:dyDescent="0.25">
      <c r="I3690" s="2"/>
    </row>
    <row r="3691" spans="9:9" x14ac:dyDescent="0.25">
      <c r="I3691" s="2"/>
    </row>
    <row r="3692" spans="9:9" x14ac:dyDescent="0.25">
      <c r="I3692" s="2"/>
    </row>
    <row r="3693" spans="9:9" x14ac:dyDescent="0.25">
      <c r="I3693" s="2"/>
    </row>
    <row r="3694" spans="9:9" x14ac:dyDescent="0.25">
      <c r="I3694" s="2"/>
    </row>
    <row r="3695" spans="9:9" x14ac:dyDescent="0.25">
      <c r="I3695" s="2"/>
    </row>
    <row r="3696" spans="9:9" x14ac:dyDescent="0.25">
      <c r="I3696" s="2"/>
    </row>
    <row r="3697" spans="9:9" x14ac:dyDescent="0.25">
      <c r="I3697" s="2"/>
    </row>
    <row r="3698" spans="9:9" x14ac:dyDescent="0.25">
      <c r="I3698" s="2"/>
    </row>
    <row r="3699" spans="9:9" x14ac:dyDescent="0.25">
      <c r="I3699" s="2"/>
    </row>
    <row r="3700" spans="9:9" x14ac:dyDescent="0.25">
      <c r="I3700" s="2"/>
    </row>
    <row r="3701" spans="9:9" x14ac:dyDescent="0.25">
      <c r="I3701" s="2"/>
    </row>
    <row r="3702" spans="9:9" x14ac:dyDescent="0.25">
      <c r="I3702" s="2"/>
    </row>
    <row r="3703" spans="9:9" x14ac:dyDescent="0.25">
      <c r="I3703" s="2"/>
    </row>
    <row r="3704" spans="9:9" x14ac:dyDescent="0.25">
      <c r="I3704" s="2"/>
    </row>
    <row r="3705" spans="9:9" x14ac:dyDescent="0.25">
      <c r="I3705" s="2"/>
    </row>
    <row r="3706" spans="9:9" x14ac:dyDescent="0.25">
      <c r="I3706" s="2"/>
    </row>
    <row r="3707" spans="9:9" x14ac:dyDescent="0.25">
      <c r="I3707" s="2"/>
    </row>
    <row r="3708" spans="9:9" x14ac:dyDescent="0.25">
      <c r="I3708" s="2"/>
    </row>
    <row r="3709" spans="9:9" x14ac:dyDescent="0.25">
      <c r="I3709" s="2"/>
    </row>
    <row r="3710" spans="9:9" x14ac:dyDescent="0.25">
      <c r="I3710" s="2"/>
    </row>
    <row r="3711" spans="9:9" x14ac:dyDescent="0.25">
      <c r="I3711" s="2"/>
    </row>
    <row r="3712" spans="9:9" x14ac:dyDescent="0.25">
      <c r="I3712" s="2"/>
    </row>
    <row r="3713" spans="9:9" x14ac:dyDescent="0.25">
      <c r="I3713" s="2"/>
    </row>
    <row r="3714" spans="9:9" x14ac:dyDescent="0.25">
      <c r="I3714" s="2"/>
    </row>
    <row r="3715" spans="9:9" x14ac:dyDescent="0.25">
      <c r="I3715" s="2"/>
    </row>
    <row r="3716" spans="9:9" x14ac:dyDescent="0.25">
      <c r="I3716" s="2"/>
    </row>
    <row r="3717" spans="9:9" x14ac:dyDescent="0.25">
      <c r="I3717" s="2"/>
    </row>
    <row r="3718" spans="9:9" x14ac:dyDescent="0.25">
      <c r="I3718" s="2"/>
    </row>
    <row r="3719" spans="9:9" x14ac:dyDescent="0.25">
      <c r="I3719" s="2"/>
    </row>
    <row r="3720" spans="9:9" x14ac:dyDescent="0.25">
      <c r="I3720" s="2"/>
    </row>
    <row r="3721" spans="9:9" x14ac:dyDescent="0.25">
      <c r="I3721" s="2"/>
    </row>
    <row r="3722" spans="9:9" x14ac:dyDescent="0.25">
      <c r="I3722" s="2"/>
    </row>
    <row r="3723" spans="9:9" x14ac:dyDescent="0.25">
      <c r="I3723" s="2"/>
    </row>
    <row r="3724" spans="9:9" x14ac:dyDescent="0.25">
      <c r="I3724" s="2"/>
    </row>
    <row r="3725" spans="9:9" x14ac:dyDescent="0.25">
      <c r="I3725" s="2"/>
    </row>
    <row r="3726" spans="9:9" x14ac:dyDescent="0.25">
      <c r="I3726" s="2"/>
    </row>
    <row r="3727" spans="9:9" x14ac:dyDescent="0.25">
      <c r="I3727" s="2"/>
    </row>
    <row r="3728" spans="9:9" x14ac:dyDescent="0.25">
      <c r="I3728" s="2"/>
    </row>
    <row r="3729" spans="9:9" x14ac:dyDescent="0.25">
      <c r="I3729" s="2"/>
    </row>
    <row r="3730" spans="9:9" x14ac:dyDescent="0.25">
      <c r="I3730" s="2"/>
    </row>
    <row r="3731" spans="9:9" x14ac:dyDescent="0.25">
      <c r="I3731" s="2"/>
    </row>
    <row r="3732" spans="9:9" x14ac:dyDescent="0.25">
      <c r="I3732" s="2"/>
    </row>
    <row r="3733" spans="9:9" x14ac:dyDescent="0.25">
      <c r="I3733" s="2"/>
    </row>
    <row r="3734" spans="9:9" x14ac:dyDescent="0.25">
      <c r="I3734" s="2"/>
    </row>
    <row r="3735" spans="9:9" x14ac:dyDescent="0.25">
      <c r="I3735" s="2"/>
    </row>
    <row r="3736" spans="9:9" x14ac:dyDescent="0.25">
      <c r="I3736" s="2"/>
    </row>
    <row r="3737" spans="9:9" x14ac:dyDescent="0.25">
      <c r="I3737" s="2"/>
    </row>
    <row r="3738" spans="9:9" x14ac:dyDescent="0.25">
      <c r="I3738" s="2"/>
    </row>
    <row r="3739" spans="9:9" x14ac:dyDescent="0.25">
      <c r="I3739" s="2"/>
    </row>
    <row r="3740" spans="9:9" x14ac:dyDescent="0.25">
      <c r="I3740" s="2"/>
    </row>
    <row r="3741" spans="9:9" x14ac:dyDescent="0.25">
      <c r="I3741" s="2"/>
    </row>
    <row r="3742" spans="9:9" x14ac:dyDescent="0.25">
      <c r="I3742" s="2"/>
    </row>
    <row r="3743" spans="9:9" x14ac:dyDescent="0.25">
      <c r="I3743" s="2"/>
    </row>
    <row r="3744" spans="9:9" x14ac:dyDescent="0.25">
      <c r="I3744" s="2"/>
    </row>
    <row r="3745" spans="9:9" x14ac:dyDescent="0.25">
      <c r="I3745" s="2"/>
    </row>
    <row r="3746" spans="9:9" x14ac:dyDescent="0.25">
      <c r="I3746" s="2"/>
    </row>
    <row r="3747" spans="9:9" x14ac:dyDescent="0.25">
      <c r="I3747" s="2"/>
    </row>
    <row r="3748" spans="9:9" x14ac:dyDescent="0.25">
      <c r="I3748" s="2"/>
    </row>
    <row r="3749" spans="9:9" x14ac:dyDescent="0.25">
      <c r="I3749" s="2"/>
    </row>
    <row r="3750" spans="9:9" x14ac:dyDescent="0.25">
      <c r="I3750" s="2"/>
    </row>
    <row r="3751" spans="9:9" x14ac:dyDescent="0.25">
      <c r="I3751" s="2"/>
    </row>
    <row r="3752" spans="9:9" x14ac:dyDescent="0.25">
      <c r="I3752" s="2"/>
    </row>
    <row r="3753" spans="9:9" x14ac:dyDescent="0.25">
      <c r="I3753" s="2"/>
    </row>
    <row r="3754" spans="9:9" x14ac:dyDescent="0.25">
      <c r="I3754" s="2"/>
    </row>
    <row r="3755" spans="9:9" x14ac:dyDescent="0.25">
      <c r="I3755" s="2"/>
    </row>
    <row r="3756" spans="9:9" x14ac:dyDescent="0.25">
      <c r="I3756" s="2"/>
    </row>
    <row r="3757" spans="9:9" x14ac:dyDescent="0.25">
      <c r="I3757" s="2"/>
    </row>
    <row r="3758" spans="9:9" x14ac:dyDescent="0.25">
      <c r="I3758" s="2"/>
    </row>
    <row r="3759" spans="9:9" x14ac:dyDescent="0.25">
      <c r="I3759" s="2"/>
    </row>
    <row r="3760" spans="9:9" x14ac:dyDescent="0.25">
      <c r="I3760" s="2"/>
    </row>
    <row r="3761" spans="9:9" x14ac:dyDescent="0.25">
      <c r="I3761" s="2"/>
    </row>
    <row r="3762" spans="9:9" x14ac:dyDescent="0.25">
      <c r="I3762" s="2"/>
    </row>
    <row r="3763" spans="9:9" x14ac:dyDescent="0.25">
      <c r="I3763" s="2"/>
    </row>
    <row r="3764" spans="9:9" x14ac:dyDescent="0.25">
      <c r="I3764" s="2"/>
    </row>
    <row r="3765" spans="9:9" x14ac:dyDescent="0.25">
      <c r="I3765" s="2"/>
    </row>
    <row r="3766" spans="9:9" x14ac:dyDescent="0.25">
      <c r="I3766" s="2"/>
    </row>
    <row r="3767" spans="9:9" x14ac:dyDescent="0.25">
      <c r="I3767" s="2"/>
    </row>
    <row r="3768" spans="9:9" x14ac:dyDescent="0.25">
      <c r="I3768" s="2"/>
    </row>
    <row r="3769" spans="9:9" x14ac:dyDescent="0.25">
      <c r="I3769" s="2"/>
    </row>
    <row r="3770" spans="9:9" x14ac:dyDescent="0.25">
      <c r="I3770" s="2"/>
    </row>
    <row r="3771" spans="9:9" x14ac:dyDescent="0.25">
      <c r="I3771" s="2"/>
    </row>
    <row r="3772" spans="9:9" x14ac:dyDescent="0.25">
      <c r="I3772" s="2"/>
    </row>
    <row r="3773" spans="9:9" x14ac:dyDescent="0.25">
      <c r="I3773" s="2"/>
    </row>
    <row r="3774" spans="9:9" x14ac:dyDescent="0.25">
      <c r="I3774" s="2"/>
    </row>
    <row r="3775" spans="9:9" x14ac:dyDescent="0.25">
      <c r="I3775" s="2"/>
    </row>
    <row r="3776" spans="9:9" x14ac:dyDescent="0.25">
      <c r="I3776" s="2"/>
    </row>
    <row r="3777" spans="9:9" x14ac:dyDescent="0.25">
      <c r="I3777" s="2"/>
    </row>
    <row r="3778" spans="9:9" x14ac:dyDescent="0.25">
      <c r="I3778" s="2"/>
    </row>
    <row r="3779" spans="9:9" x14ac:dyDescent="0.25">
      <c r="I3779" s="2"/>
    </row>
    <row r="3780" spans="9:9" x14ac:dyDescent="0.25">
      <c r="I3780" s="2"/>
    </row>
    <row r="3781" spans="9:9" x14ac:dyDescent="0.25">
      <c r="I3781" s="2"/>
    </row>
    <row r="3782" spans="9:9" x14ac:dyDescent="0.25">
      <c r="I3782" s="2"/>
    </row>
    <row r="3783" spans="9:9" x14ac:dyDescent="0.25">
      <c r="I3783" s="2"/>
    </row>
    <row r="3784" spans="9:9" x14ac:dyDescent="0.25">
      <c r="I3784" s="2"/>
    </row>
    <row r="3785" spans="9:9" x14ac:dyDescent="0.25">
      <c r="I3785" s="2"/>
    </row>
    <row r="3786" spans="9:9" x14ac:dyDescent="0.25">
      <c r="I3786" s="2"/>
    </row>
    <row r="3787" spans="9:9" x14ac:dyDescent="0.25">
      <c r="I3787" s="2"/>
    </row>
    <row r="3788" spans="9:9" x14ac:dyDescent="0.25">
      <c r="I3788" s="2"/>
    </row>
    <row r="3789" spans="9:9" x14ac:dyDescent="0.25">
      <c r="I3789" s="2"/>
    </row>
    <row r="3790" spans="9:9" x14ac:dyDescent="0.25">
      <c r="I3790" s="2"/>
    </row>
    <row r="3791" spans="9:9" x14ac:dyDescent="0.25">
      <c r="I3791" s="2"/>
    </row>
    <row r="3792" spans="9:9" x14ac:dyDescent="0.25">
      <c r="I3792" s="2"/>
    </row>
    <row r="3793" spans="9:9" x14ac:dyDescent="0.25">
      <c r="I3793" s="2"/>
    </row>
    <row r="3794" spans="9:9" x14ac:dyDescent="0.25">
      <c r="I3794" s="2"/>
    </row>
    <row r="3795" spans="9:9" x14ac:dyDescent="0.25">
      <c r="I3795" s="2"/>
    </row>
    <row r="3796" spans="9:9" x14ac:dyDescent="0.25">
      <c r="I3796" s="2"/>
    </row>
    <row r="3797" spans="9:9" x14ac:dyDescent="0.25">
      <c r="I3797" s="2"/>
    </row>
    <row r="3798" spans="9:9" x14ac:dyDescent="0.25">
      <c r="I3798" s="2"/>
    </row>
    <row r="3799" spans="9:9" x14ac:dyDescent="0.25">
      <c r="I3799" s="2"/>
    </row>
    <row r="3800" spans="9:9" x14ac:dyDescent="0.25">
      <c r="I3800" s="2"/>
    </row>
    <row r="3801" spans="9:9" x14ac:dyDescent="0.25">
      <c r="I3801" s="2"/>
    </row>
    <row r="3802" spans="9:9" x14ac:dyDescent="0.25">
      <c r="I3802" s="2"/>
    </row>
    <row r="3803" spans="9:9" x14ac:dyDescent="0.25">
      <c r="I3803" s="2"/>
    </row>
    <row r="3804" spans="9:9" x14ac:dyDescent="0.25">
      <c r="I3804" s="2"/>
    </row>
    <row r="3805" spans="9:9" x14ac:dyDescent="0.25">
      <c r="I3805" s="2"/>
    </row>
    <row r="3806" spans="9:9" x14ac:dyDescent="0.25">
      <c r="I3806" s="2"/>
    </row>
    <row r="3807" spans="9:9" x14ac:dyDescent="0.25">
      <c r="I3807" s="2"/>
    </row>
    <row r="3808" spans="9:9" x14ac:dyDescent="0.25">
      <c r="I3808" s="2"/>
    </row>
    <row r="3809" spans="9:9" x14ac:dyDescent="0.25">
      <c r="I3809" s="2"/>
    </row>
    <row r="3810" spans="9:9" x14ac:dyDescent="0.25">
      <c r="I3810" s="2"/>
    </row>
    <row r="3811" spans="9:9" x14ac:dyDescent="0.25">
      <c r="I3811" s="2"/>
    </row>
    <row r="3812" spans="9:9" x14ac:dyDescent="0.25">
      <c r="I3812" s="2"/>
    </row>
    <row r="3813" spans="9:9" x14ac:dyDescent="0.25">
      <c r="I3813" s="2"/>
    </row>
    <row r="3814" spans="9:9" x14ac:dyDescent="0.25">
      <c r="I3814" s="2"/>
    </row>
    <row r="3815" spans="9:9" x14ac:dyDescent="0.25">
      <c r="I3815" s="2"/>
    </row>
    <row r="3816" spans="9:9" x14ac:dyDescent="0.25">
      <c r="I3816" s="2"/>
    </row>
    <row r="3817" spans="9:9" x14ac:dyDescent="0.25">
      <c r="I3817" s="2"/>
    </row>
    <row r="3818" spans="9:9" x14ac:dyDescent="0.25">
      <c r="I3818" s="2"/>
    </row>
    <row r="3819" spans="9:9" x14ac:dyDescent="0.25">
      <c r="I3819" s="2"/>
    </row>
    <row r="3820" spans="9:9" x14ac:dyDescent="0.25">
      <c r="I3820" s="2"/>
    </row>
    <row r="3821" spans="9:9" x14ac:dyDescent="0.25">
      <c r="I3821" s="2"/>
    </row>
    <row r="3822" spans="9:9" x14ac:dyDescent="0.25">
      <c r="I3822" s="2"/>
    </row>
    <row r="3823" spans="9:9" x14ac:dyDescent="0.25">
      <c r="I3823" s="2"/>
    </row>
    <row r="3824" spans="9:9" x14ac:dyDescent="0.25">
      <c r="I3824" s="2"/>
    </row>
    <row r="3825" spans="9:9" x14ac:dyDescent="0.25">
      <c r="I3825" s="2"/>
    </row>
    <row r="3826" spans="9:9" x14ac:dyDescent="0.25">
      <c r="I3826" s="2"/>
    </row>
    <row r="3827" spans="9:9" x14ac:dyDescent="0.25">
      <c r="I3827" s="2"/>
    </row>
    <row r="3828" spans="9:9" x14ac:dyDescent="0.25">
      <c r="I3828" s="2"/>
    </row>
    <row r="3829" spans="9:9" x14ac:dyDescent="0.25">
      <c r="I3829" s="2"/>
    </row>
    <row r="3830" spans="9:9" x14ac:dyDescent="0.25">
      <c r="I3830" s="2"/>
    </row>
    <row r="3831" spans="9:9" x14ac:dyDescent="0.25">
      <c r="I3831" s="2"/>
    </row>
    <row r="3832" spans="9:9" x14ac:dyDescent="0.25">
      <c r="I3832" s="2"/>
    </row>
    <row r="3833" spans="9:9" x14ac:dyDescent="0.25">
      <c r="I3833" s="2"/>
    </row>
    <row r="3834" spans="9:9" x14ac:dyDescent="0.25">
      <c r="I3834" s="2"/>
    </row>
    <row r="3835" spans="9:9" x14ac:dyDescent="0.25">
      <c r="I3835" s="2"/>
    </row>
    <row r="3836" spans="9:9" x14ac:dyDescent="0.25">
      <c r="I3836" s="2"/>
    </row>
    <row r="3837" spans="9:9" x14ac:dyDescent="0.25">
      <c r="I3837" s="2"/>
    </row>
    <row r="3838" spans="9:9" x14ac:dyDescent="0.25">
      <c r="I3838" s="2"/>
    </row>
    <row r="3839" spans="9:9" x14ac:dyDescent="0.25">
      <c r="I3839" s="2"/>
    </row>
    <row r="3840" spans="9:9" x14ac:dyDescent="0.25">
      <c r="I3840" s="2"/>
    </row>
    <row r="3841" spans="9:9" x14ac:dyDescent="0.25">
      <c r="I3841" s="2"/>
    </row>
    <row r="3842" spans="9:9" x14ac:dyDescent="0.25">
      <c r="I3842" s="2"/>
    </row>
    <row r="3843" spans="9:9" x14ac:dyDescent="0.25">
      <c r="I3843" s="2"/>
    </row>
    <row r="3844" spans="9:9" x14ac:dyDescent="0.25">
      <c r="I3844" s="2"/>
    </row>
    <row r="3845" spans="9:9" x14ac:dyDescent="0.25">
      <c r="I3845" s="2"/>
    </row>
    <row r="3846" spans="9:9" x14ac:dyDescent="0.25">
      <c r="I3846" s="2"/>
    </row>
    <row r="3847" spans="9:9" x14ac:dyDescent="0.25">
      <c r="I3847" s="2"/>
    </row>
    <row r="3848" spans="9:9" x14ac:dyDescent="0.25">
      <c r="I3848" s="2"/>
    </row>
    <row r="3849" spans="9:9" x14ac:dyDescent="0.25">
      <c r="I3849" s="2"/>
    </row>
    <row r="3850" spans="9:9" x14ac:dyDescent="0.25">
      <c r="I3850" s="2"/>
    </row>
    <row r="3851" spans="9:9" x14ac:dyDescent="0.25">
      <c r="I3851" s="2"/>
    </row>
    <row r="3852" spans="9:9" x14ac:dyDescent="0.25">
      <c r="I3852" s="2"/>
    </row>
    <row r="3853" spans="9:9" x14ac:dyDescent="0.25">
      <c r="I3853" s="2"/>
    </row>
    <row r="3854" spans="9:9" x14ac:dyDescent="0.25">
      <c r="I3854" s="2"/>
    </row>
    <row r="3855" spans="9:9" x14ac:dyDescent="0.25">
      <c r="I3855" s="2"/>
    </row>
    <row r="3856" spans="9:9" x14ac:dyDescent="0.25">
      <c r="I3856" s="2"/>
    </row>
    <row r="3857" spans="9:9" x14ac:dyDescent="0.25">
      <c r="I3857" s="2"/>
    </row>
    <row r="3858" spans="9:9" x14ac:dyDescent="0.25">
      <c r="I3858" s="2"/>
    </row>
    <row r="3859" spans="9:9" x14ac:dyDescent="0.25">
      <c r="I3859" s="2"/>
    </row>
    <row r="3860" spans="9:9" x14ac:dyDescent="0.25">
      <c r="I3860" s="2"/>
    </row>
    <row r="3861" spans="9:9" x14ac:dyDescent="0.25">
      <c r="I3861" s="2"/>
    </row>
    <row r="3862" spans="9:9" x14ac:dyDescent="0.25">
      <c r="I3862" s="2"/>
    </row>
    <row r="3863" spans="9:9" x14ac:dyDescent="0.25">
      <c r="I3863" s="2"/>
    </row>
    <row r="3864" spans="9:9" x14ac:dyDescent="0.25">
      <c r="I3864" s="2"/>
    </row>
    <row r="3865" spans="9:9" x14ac:dyDescent="0.25">
      <c r="I3865" s="2"/>
    </row>
    <row r="3866" spans="9:9" x14ac:dyDescent="0.25">
      <c r="I3866" s="2"/>
    </row>
    <row r="3867" spans="9:9" x14ac:dyDescent="0.25">
      <c r="I3867" s="2"/>
    </row>
    <row r="3868" spans="9:9" x14ac:dyDescent="0.25">
      <c r="I3868" s="2"/>
    </row>
    <row r="3869" spans="9:9" x14ac:dyDescent="0.25">
      <c r="I3869" s="2"/>
    </row>
    <row r="3870" spans="9:9" x14ac:dyDescent="0.25">
      <c r="I3870" s="2"/>
    </row>
    <row r="3871" spans="9:9" x14ac:dyDescent="0.25">
      <c r="I3871" s="2"/>
    </row>
    <row r="3872" spans="9:9" x14ac:dyDescent="0.25">
      <c r="I3872" s="2"/>
    </row>
    <row r="3873" spans="9:9" x14ac:dyDescent="0.25">
      <c r="I3873" s="2"/>
    </row>
    <row r="3874" spans="9:9" x14ac:dyDescent="0.25">
      <c r="I3874" s="2"/>
    </row>
    <row r="3875" spans="9:9" x14ac:dyDescent="0.25">
      <c r="I3875" s="2"/>
    </row>
    <row r="3876" spans="9:9" x14ac:dyDescent="0.25">
      <c r="I3876" s="2"/>
    </row>
    <row r="3877" spans="9:9" x14ac:dyDescent="0.25">
      <c r="I3877" s="2"/>
    </row>
    <row r="3878" spans="9:9" x14ac:dyDescent="0.25">
      <c r="I3878" s="2"/>
    </row>
    <row r="3879" spans="9:9" x14ac:dyDescent="0.25">
      <c r="I3879" s="2"/>
    </row>
    <row r="3880" spans="9:9" x14ac:dyDescent="0.25">
      <c r="I3880" s="2"/>
    </row>
    <row r="3881" spans="9:9" x14ac:dyDescent="0.25">
      <c r="I3881" s="2"/>
    </row>
    <row r="3882" spans="9:9" x14ac:dyDescent="0.25">
      <c r="I3882" s="2"/>
    </row>
    <row r="3883" spans="9:9" x14ac:dyDescent="0.25">
      <c r="I3883" s="2"/>
    </row>
    <row r="3884" spans="9:9" x14ac:dyDescent="0.25">
      <c r="I3884" s="2"/>
    </row>
    <row r="3885" spans="9:9" x14ac:dyDescent="0.25">
      <c r="I3885" s="2"/>
    </row>
    <row r="3886" spans="9:9" x14ac:dyDescent="0.25">
      <c r="I3886" s="2"/>
    </row>
    <row r="3887" spans="9:9" x14ac:dyDescent="0.25">
      <c r="I3887" s="2"/>
    </row>
    <row r="3888" spans="9:9" x14ac:dyDescent="0.25">
      <c r="I3888" s="2"/>
    </row>
    <row r="3889" spans="9:9" x14ac:dyDescent="0.25">
      <c r="I3889" s="2"/>
    </row>
    <row r="3890" spans="9:9" x14ac:dyDescent="0.25">
      <c r="I3890" s="2"/>
    </row>
    <row r="3891" spans="9:9" x14ac:dyDescent="0.25">
      <c r="I3891" s="2"/>
    </row>
    <row r="3892" spans="9:9" x14ac:dyDescent="0.25">
      <c r="I3892" s="2"/>
    </row>
    <row r="3893" spans="9:9" x14ac:dyDescent="0.25">
      <c r="I3893" s="2"/>
    </row>
    <row r="3894" spans="9:9" x14ac:dyDescent="0.25">
      <c r="I3894" s="2"/>
    </row>
    <row r="3895" spans="9:9" x14ac:dyDescent="0.25">
      <c r="I3895" s="2"/>
    </row>
    <row r="3896" spans="9:9" x14ac:dyDescent="0.25">
      <c r="I3896" s="2"/>
    </row>
    <row r="3897" spans="9:9" x14ac:dyDescent="0.25">
      <c r="I3897" s="2"/>
    </row>
    <row r="3898" spans="9:9" x14ac:dyDescent="0.25">
      <c r="I3898" s="2"/>
    </row>
    <row r="3899" spans="9:9" x14ac:dyDescent="0.25">
      <c r="I3899" s="2"/>
    </row>
    <row r="3900" spans="9:9" x14ac:dyDescent="0.25">
      <c r="I3900" s="2"/>
    </row>
    <row r="3901" spans="9:9" x14ac:dyDescent="0.25">
      <c r="I3901" s="2"/>
    </row>
    <row r="3902" spans="9:9" x14ac:dyDescent="0.25">
      <c r="I3902" s="2"/>
    </row>
    <row r="3903" spans="9:9" x14ac:dyDescent="0.25">
      <c r="I3903" s="2"/>
    </row>
    <row r="3904" spans="9:9" x14ac:dyDescent="0.25">
      <c r="I3904" s="2"/>
    </row>
    <row r="3905" spans="9:9" x14ac:dyDescent="0.25">
      <c r="I3905" s="2"/>
    </row>
    <row r="3906" spans="9:9" x14ac:dyDescent="0.25">
      <c r="I3906" s="2"/>
    </row>
    <row r="3907" spans="9:9" x14ac:dyDescent="0.25">
      <c r="I3907" s="2"/>
    </row>
    <row r="3908" spans="9:9" x14ac:dyDescent="0.25">
      <c r="I3908" s="2"/>
    </row>
    <row r="3909" spans="9:9" x14ac:dyDescent="0.25">
      <c r="I3909" s="2"/>
    </row>
    <row r="3910" spans="9:9" x14ac:dyDescent="0.25">
      <c r="I3910" s="2"/>
    </row>
    <row r="3911" spans="9:9" x14ac:dyDescent="0.25">
      <c r="I3911" s="2"/>
    </row>
    <row r="3912" spans="9:9" x14ac:dyDescent="0.25">
      <c r="I3912" s="2"/>
    </row>
    <row r="3913" spans="9:9" x14ac:dyDescent="0.25">
      <c r="I3913" s="2"/>
    </row>
    <row r="3914" spans="9:9" x14ac:dyDescent="0.25">
      <c r="I3914" s="2"/>
    </row>
    <row r="3915" spans="9:9" x14ac:dyDescent="0.25">
      <c r="I3915" s="2"/>
    </row>
    <row r="3916" spans="9:9" x14ac:dyDescent="0.25">
      <c r="I3916" s="2"/>
    </row>
    <row r="3917" spans="9:9" x14ac:dyDescent="0.25">
      <c r="I3917" s="2"/>
    </row>
    <row r="3918" spans="9:9" x14ac:dyDescent="0.25">
      <c r="I3918" s="2"/>
    </row>
    <row r="3919" spans="9:9" x14ac:dyDescent="0.25">
      <c r="I3919" s="2"/>
    </row>
    <row r="3920" spans="9:9" x14ac:dyDescent="0.25">
      <c r="I3920" s="2"/>
    </row>
    <row r="3921" spans="9:9" x14ac:dyDescent="0.25">
      <c r="I3921" s="2"/>
    </row>
    <row r="3922" spans="9:9" x14ac:dyDescent="0.25">
      <c r="I3922" s="2"/>
    </row>
    <row r="3923" spans="9:9" x14ac:dyDescent="0.25">
      <c r="I3923" s="2"/>
    </row>
    <row r="3924" spans="9:9" x14ac:dyDescent="0.25">
      <c r="I3924" s="2"/>
    </row>
    <row r="3925" spans="9:9" x14ac:dyDescent="0.25">
      <c r="I3925" s="2"/>
    </row>
    <row r="3926" spans="9:9" x14ac:dyDescent="0.25">
      <c r="I3926" s="2"/>
    </row>
    <row r="3927" spans="9:9" x14ac:dyDescent="0.25">
      <c r="I3927" s="2"/>
    </row>
    <row r="3928" spans="9:9" x14ac:dyDescent="0.25">
      <c r="I3928" s="2"/>
    </row>
    <row r="3929" spans="9:9" x14ac:dyDescent="0.25">
      <c r="I3929" s="2"/>
    </row>
    <row r="3930" spans="9:9" x14ac:dyDescent="0.25">
      <c r="I3930" s="2"/>
    </row>
    <row r="3931" spans="9:9" x14ac:dyDescent="0.25">
      <c r="I3931" s="2"/>
    </row>
    <row r="3932" spans="9:9" x14ac:dyDescent="0.25">
      <c r="I3932" s="2"/>
    </row>
    <row r="3933" spans="9:9" x14ac:dyDescent="0.25">
      <c r="I3933" s="2"/>
    </row>
    <row r="3934" spans="9:9" x14ac:dyDescent="0.25">
      <c r="I3934" s="2"/>
    </row>
    <row r="3935" spans="9:9" x14ac:dyDescent="0.25">
      <c r="I3935" s="2"/>
    </row>
    <row r="3936" spans="9:9" x14ac:dyDescent="0.25">
      <c r="I3936" s="2"/>
    </row>
    <row r="3937" spans="9:9" x14ac:dyDescent="0.25">
      <c r="I3937" s="2"/>
    </row>
    <row r="3938" spans="9:9" x14ac:dyDescent="0.25">
      <c r="I3938" s="2"/>
    </row>
    <row r="3939" spans="9:9" x14ac:dyDescent="0.25">
      <c r="I3939" s="2"/>
    </row>
    <row r="3940" spans="9:9" x14ac:dyDescent="0.25">
      <c r="I3940" s="2"/>
    </row>
    <row r="3941" spans="9:9" x14ac:dyDescent="0.25">
      <c r="I3941" s="2"/>
    </row>
    <row r="3942" spans="9:9" x14ac:dyDescent="0.25">
      <c r="I3942" s="2"/>
    </row>
    <row r="3943" spans="9:9" x14ac:dyDescent="0.25">
      <c r="I3943" s="2"/>
    </row>
    <row r="3944" spans="9:9" x14ac:dyDescent="0.25">
      <c r="I3944" s="2"/>
    </row>
    <row r="3945" spans="9:9" x14ac:dyDescent="0.25">
      <c r="I3945" s="2"/>
    </row>
    <row r="3946" spans="9:9" x14ac:dyDescent="0.25">
      <c r="I3946" s="2"/>
    </row>
    <row r="3947" spans="9:9" x14ac:dyDescent="0.25">
      <c r="I3947" s="2"/>
    </row>
    <row r="3948" spans="9:9" x14ac:dyDescent="0.25">
      <c r="I3948" s="2"/>
    </row>
    <row r="3949" spans="9:9" x14ac:dyDescent="0.25">
      <c r="I3949" s="2"/>
    </row>
    <row r="3950" spans="9:9" x14ac:dyDescent="0.25">
      <c r="I3950" s="2"/>
    </row>
    <row r="3951" spans="9:9" x14ac:dyDescent="0.25">
      <c r="I3951" s="2"/>
    </row>
    <row r="3952" spans="9:9" x14ac:dyDescent="0.25">
      <c r="I3952" s="2"/>
    </row>
    <row r="3953" spans="9:9" x14ac:dyDescent="0.25">
      <c r="I3953" s="2"/>
    </row>
    <row r="3954" spans="9:9" x14ac:dyDescent="0.25">
      <c r="I3954" s="2"/>
    </row>
    <row r="3955" spans="9:9" x14ac:dyDescent="0.25">
      <c r="I3955" s="2"/>
    </row>
    <row r="3956" spans="9:9" x14ac:dyDescent="0.25">
      <c r="I3956" s="2"/>
    </row>
    <row r="3957" spans="9:9" x14ac:dyDescent="0.25">
      <c r="I3957" s="2"/>
    </row>
    <row r="3958" spans="9:9" x14ac:dyDescent="0.25">
      <c r="I3958" s="2"/>
    </row>
    <row r="3959" spans="9:9" x14ac:dyDescent="0.25">
      <c r="I3959" s="2"/>
    </row>
    <row r="3960" spans="9:9" x14ac:dyDescent="0.25">
      <c r="I3960" s="2"/>
    </row>
    <row r="3961" spans="9:9" x14ac:dyDescent="0.25">
      <c r="I3961" s="2"/>
    </row>
    <row r="3962" spans="9:9" x14ac:dyDescent="0.25">
      <c r="I3962" s="2"/>
    </row>
    <row r="3963" spans="9:9" x14ac:dyDescent="0.25">
      <c r="I3963" s="2"/>
    </row>
    <row r="3964" spans="9:9" x14ac:dyDescent="0.25">
      <c r="I3964" s="2"/>
    </row>
    <row r="3965" spans="9:9" x14ac:dyDescent="0.25">
      <c r="I3965" s="2"/>
    </row>
    <row r="3966" spans="9:9" x14ac:dyDescent="0.25">
      <c r="I3966" s="2"/>
    </row>
    <row r="3967" spans="9:9" x14ac:dyDescent="0.25">
      <c r="I3967" s="2"/>
    </row>
    <row r="3968" spans="9:9" x14ac:dyDescent="0.25">
      <c r="I3968" s="2"/>
    </row>
    <row r="3969" spans="9:9" x14ac:dyDescent="0.25">
      <c r="I3969" s="2"/>
    </row>
    <row r="3970" spans="9:9" x14ac:dyDescent="0.25">
      <c r="I3970" s="2"/>
    </row>
    <row r="3971" spans="9:9" x14ac:dyDescent="0.25">
      <c r="I3971" s="2"/>
    </row>
    <row r="3972" spans="9:9" x14ac:dyDescent="0.25">
      <c r="I3972" s="2"/>
    </row>
    <row r="3973" spans="9:9" x14ac:dyDescent="0.25">
      <c r="I3973" s="2"/>
    </row>
    <row r="3974" spans="9:9" x14ac:dyDescent="0.25">
      <c r="I3974" s="2"/>
    </row>
    <row r="3975" spans="9:9" x14ac:dyDescent="0.25">
      <c r="I3975" s="2"/>
    </row>
    <row r="3976" spans="9:9" x14ac:dyDescent="0.25">
      <c r="I3976" s="2"/>
    </row>
    <row r="3977" spans="9:9" x14ac:dyDescent="0.25">
      <c r="I3977" s="2"/>
    </row>
    <row r="3978" spans="9:9" x14ac:dyDescent="0.25">
      <c r="I3978" s="2"/>
    </row>
    <row r="3979" spans="9:9" x14ac:dyDescent="0.25">
      <c r="I3979" s="2"/>
    </row>
    <row r="3980" spans="9:9" x14ac:dyDescent="0.25">
      <c r="I3980" s="2"/>
    </row>
    <row r="3981" spans="9:9" x14ac:dyDescent="0.25">
      <c r="I3981" s="2"/>
    </row>
    <row r="3982" spans="9:9" x14ac:dyDescent="0.25">
      <c r="I3982" s="2"/>
    </row>
    <row r="3983" spans="9:9" x14ac:dyDescent="0.25">
      <c r="I3983" s="2"/>
    </row>
    <row r="3984" spans="9:9" x14ac:dyDescent="0.25">
      <c r="I3984" s="2"/>
    </row>
    <row r="3985" spans="9:9" x14ac:dyDescent="0.25">
      <c r="I3985" s="2"/>
    </row>
    <row r="3986" spans="9:9" x14ac:dyDescent="0.25">
      <c r="I3986" s="2"/>
    </row>
    <row r="3987" spans="9:9" x14ac:dyDescent="0.25">
      <c r="I3987" s="2"/>
    </row>
    <row r="3988" spans="9:9" x14ac:dyDescent="0.25">
      <c r="I3988" s="2"/>
    </row>
    <row r="3989" spans="9:9" x14ac:dyDescent="0.25">
      <c r="I3989" s="2"/>
    </row>
    <row r="3990" spans="9:9" x14ac:dyDescent="0.25">
      <c r="I3990" s="2"/>
    </row>
    <row r="3991" spans="9:9" x14ac:dyDescent="0.25">
      <c r="I3991" s="2"/>
    </row>
    <row r="3992" spans="9:9" x14ac:dyDescent="0.25">
      <c r="I3992" s="2"/>
    </row>
    <row r="3993" spans="9:9" x14ac:dyDescent="0.25">
      <c r="I3993" s="2"/>
    </row>
    <row r="3994" spans="9:9" x14ac:dyDescent="0.25">
      <c r="I3994" s="2"/>
    </row>
    <row r="3995" spans="9:9" x14ac:dyDescent="0.25">
      <c r="I3995" s="2"/>
    </row>
    <row r="3996" spans="9:9" x14ac:dyDescent="0.25">
      <c r="I3996" s="2"/>
    </row>
    <row r="3997" spans="9:9" x14ac:dyDescent="0.25">
      <c r="I3997" s="2"/>
    </row>
    <row r="3998" spans="9:9" x14ac:dyDescent="0.25">
      <c r="I3998" s="2"/>
    </row>
    <row r="3999" spans="9:9" x14ac:dyDescent="0.25">
      <c r="I3999" s="2"/>
    </row>
    <row r="4000" spans="9:9" x14ac:dyDescent="0.25">
      <c r="I4000" s="2"/>
    </row>
    <row r="4001" spans="9:9" x14ac:dyDescent="0.25">
      <c r="I4001" s="2"/>
    </row>
    <row r="4002" spans="9:9" x14ac:dyDescent="0.25">
      <c r="I4002" s="2"/>
    </row>
    <row r="4003" spans="9:9" x14ac:dyDescent="0.25">
      <c r="I4003" s="2"/>
    </row>
    <row r="4004" spans="9:9" x14ac:dyDescent="0.25">
      <c r="I4004" s="2"/>
    </row>
    <row r="4005" spans="9:9" x14ac:dyDescent="0.25">
      <c r="I4005" s="2"/>
    </row>
    <row r="4006" spans="9:9" x14ac:dyDescent="0.25">
      <c r="I4006" s="2"/>
    </row>
    <row r="4007" spans="9:9" x14ac:dyDescent="0.25">
      <c r="I4007" s="2"/>
    </row>
    <row r="4008" spans="9:9" x14ac:dyDescent="0.25">
      <c r="I4008" s="2"/>
    </row>
    <row r="4009" spans="9:9" x14ac:dyDescent="0.25">
      <c r="I4009" s="2"/>
    </row>
    <row r="4010" spans="9:9" x14ac:dyDescent="0.25">
      <c r="I4010" s="2"/>
    </row>
    <row r="4011" spans="9:9" x14ac:dyDescent="0.25">
      <c r="I4011" s="2"/>
    </row>
    <row r="4012" spans="9:9" x14ac:dyDescent="0.25">
      <c r="I4012" s="2"/>
    </row>
    <row r="4013" spans="9:9" x14ac:dyDescent="0.25">
      <c r="I4013" s="2"/>
    </row>
    <row r="4014" spans="9:9" x14ac:dyDescent="0.25">
      <c r="I4014" s="2"/>
    </row>
    <row r="4015" spans="9:9" x14ac:dyDescent="0.25">
      <c r="I4015" s="2"/>
    </row>
    <row r="4016" spans="9:9" x14ac:dyDescent="0.25">
      <c r="I4016" s="2"/>
    </row>
    <row r="4017" spans="9:9" x14ac:dyDescent="0.25">
      <c r="I4017" s="2"/>
    </row>
    <row r="4018" spans="9:9" x14ac:dyDescent="0.25">
      <c r="I4018" s="2"/>
    </row>
    <row r="4019" spans="9:9" x14ac:dyDescent="0.25">
      <c r="I4019" s="2"/>
    </row>
    <row r="4020" spans="9:9" x14ac:dyDescent="0.25">
      <c r="I4020" s="2"/>
    </row>
    <row r="4021" spans="9:9" x14ac:dyDescent="0.25">
      <c r="I4021" s="2"/>
    </row>
    <row r="4022" spans="9:9" x14ac:dyDescent="0.25">
      <c r="I4022" s="2"/>
    </row>
    <row r="4023" spans="9:9" x14ac:dyDescent="0.25">
      <c r="I4023" s="2"/>
    </row>
    <row r="4024" spans="9:9" x14ac:dyDescent="0.25">
      <c r="I4024" s="2"/>
    </row>
    <row r="4025" spans="9:9" x14ac:dyDescent="0.25">
      <c r="I4025" s="2"/>
    </row>
    <row r="4026" spans="9:9" x14ac:dyDescent="0.25">
      <c r="I4026" s="2"/>
    </row>
    <row r="4027" spans="9:9" x14ac:dyDescent="0.25">
      <c r="I4027" s="2"/>
    </row>
    <row r="4028" spans="9:9" x14ac:dyDescent="0.25">
      <c r="I4028" s="2"/>
    </row>
    <row r="4029" spans="9:9" x14ac:dyDescent="0.25">
      <c r="I4029" s="2"/>
    </row>
    <row r="4030" spans="9:9" x14ac:dyDescent="0.25">
      <c r="I4030" s="2"/>
    </row>
    <row r="4031" spans="9:9" x14ac:dyDescent="0.25">
      <c r="I4031" s="2"/>
    </row>
    <row r="4032" spans="9:9" x14ac:dyDescent="0.25">
      <c r="I4032" s="2"/>
    </row>
    <row r="4033" spans="9:9" x14ac:dyDescent="0.25">
      <c r="I4033" s="2"/>
    </row>
    <row r="4034" spans="9:9" x14ac:dyDescent="0.25">
      <c r="I4034" s="2"/>
    </row>
    <row r="4035" spans="9:9" x14ac:dyDescent="0.25">
      <c r="I4035" s="2"/>
    </row>
    <row r="4036" spans="9:9" x14ac:dyDescent="0.25">
      <c r="I4036" s="2"/>
    </row>
    <row r="4037" spans="9:9" x14ac:dyDescent="0.25">
      <c r="I4037" s="2"/>
    </row>
    <row r="4038" spans="9:9" x14ac:dyDescent="0.25">
      <c r="I4038" s="2"/>
    </row>
    <row r="4039" spans="9:9" x14ac:dyDescent="0.25">
      <c r="I4039" s="2"/>
    </row>
    <row r="4040" spans="9:9" x14ac:dyDescent="0.25">
      <c r="I4040" s="2"/>
    </row>
    <row r="4041" spans="9:9" x14ac:dyDescent="0.25">
      <c r="I4041" s="2"/>
    </row>
    <row r="4042" spans="9:9" x14ac:dyDescent="0.25">
      <c r="I4042" s="2"/>
    </row>
    <row r="4043" spans="9:9" x14ac:dyDescent="0.25">
      <c r="I4043" s="2"/>
    </row>
    <row r="4044" spans="9:9" x14ac:dyDescent="0.25">
      <c r="I4044" s="2"/>
    </row>
    <row r="4045" spans="9:9" x14ac:dyDescent="0.25">
      <c r="I4045" s="2"/>
    </row>
    <row r="4046" spans="9:9" x14ac:dyDescent="0.25">
      <c r="I4046" s="2"/>
    </row>
    <row r="4047" spans="9:9" x14ac:dyDescent="0.25">
      <c r="I4047" s="2"/>
    </row>
    <row r="4048" spans="9:9" x14ac:dyDescent="0.25">
      <c r="I4048" s="2"/>
    </row>
    <row r="4049" spans="9:9" x14ac:dyDescent="0.25">
      <c r="I4049" s="2"/>
    </row>
    <row r="4050" spans="9:9" x14ac:dyDescent="0.25">
      <c r="I4050" s="2"/>
    </row>
    <row r="4051" spans="9:9" x14ac:dyDescent="0.25">
      <c r="I4051" s="2"/>
    </row>
    <row r="4052" spans="9:9" x14ac:dyDescent="0.25">
      <c r="I4052" s="2"/>
    </row>
    <row r="4053" spans="9:9" x14ac:dyDescent="0.25">
      <c r="I4053" s="2"/>
    </row>
    <row r="4054" spans="9:9" x14ac:dyDescent="0.25">
      <c r="I4054" s="2"/>
    </row>
    <row r="4055" spans="9:9" x14ac:dyDescent="0.25">
      <c r="I4055" s="2"/>
    </row>
    <row r="4056" spans="9:9" x14ac:dyDescent="0.25">
      <c r="I4056" s="2"/>
    </row>
    <row r="4057" spans="9:9" x14ac:dyDescent="0.25">
      <c r="I4057" s="2"/>
    </row>
    <row r="4058" spans="9:9" x14ac:dyDescent="0.25">
      <c r="I4058" s="2"/>
    </row>
    <row r="4059" spans="9:9" x14ac:dyDescent="0.25">
      <c r="I4059" s="2"/>
    </row>
    <row r="4060" spans="9:9" x14ac:dyDescent="0.25">
      <c r="I4060" s="2"/>
    </row>
    <row r="4061" spans="9:9" x14ac:dyDescent="0.25">
      <c r="I4061" s="2"/>
    </row>
    <row r="4062" spans="9:9" x14ac:dyDescent="0.25">
      <c r="I4062" s="2"/>
    </row>
    <row r="4063" spans="9:9" x14ac:dyDescent="0.25">
      <c r="I4063" s="2"/>
    </row>
    <row r="4064" spans="9:9" x14ac:dyDescent="0.25">
      <c r="I4064" s="2"/>
    </row>
    <row r="4065" spans="9:9" x14ac:dyDescent="0.25">
      <c r="I4065" s="2"/>
    </row>
    <row r="4066" spans="9:9" x14ac:dyDescent="0.25">
      <c r="I4066" s="2"/>
    </row>
    <row r="4067" spans="9:9" x14ac:dyDescent="0.25">
      <c r="I4067" s="2"/>
    </row>
    <row r="4068" spans="9:9" x14ac:dyDescent="0.25">
      <c r="I4068" s="2"/>
    </row>
    <row r="4069" spans="9:9" x14ac:dyDescent="0.25">
      <c r="I4069" s="2"/>
    </row>
    <row r="4070" spans="9:9" x14ac:dyDescent="0.25">
      <c r="I4070" s="2"/>
    </row>
    <row r="4071" spans="9:9" x14ac:dyDescent="0.25">
      <c r="I4071" s="2"/>
    </row>
    <row r="4072" spans="9:9" x14ac:dyDescent="0.25">
      <c r="I4072" s="2"/>
    </row>
    <row r="4073" spans="9:9" x14ac:dyDescent="0.25">
      <c r="I4073" s="2"/>
    </row>
    <row r="4074" spans="9:9" x14ac:dyDescent="0.25">
      <c r="I4074" s="2"/>
    </row>
    <row r="4075" spans="9:9" x14ac:dyDescent="0.25">
      <c r="I4075" s="2"/>
    </row>
    <row r="4076" spans="9:9" x14ac:dyDescent="0.25">
      <c r="I4076" s="2"/>
    </row>
    <row r="4077" spans="9:9" x14ac:dyDescent="0.25">
      <c r="I4077" s="2"/>
    </row>
    <row r="4078" spans="9:9" x14ac:dyDescent="0.25">
      <c r="I4078" s="2"/>
    </row>
    <row r="4079" spans="9:9" x14ac:dyDescent="0.25">
      <c r="I4079" s="2"/>
    </row>
    <row r="4080" spans="9:9" x14ac:dyDescent="0.25">
      <c r="I4080" s="2"/>
    </row>
    <row r="4081" spans="9:9" x14ac:dyDescent="0.25">
      <c r="I4081" s="2"/>
    </row>
    <row r="4082" spans="9:9" x14ac:dyDescent="0.25">
      <c r="I4082" s="2"/>
    </row>
    <row r="4083" spans="9:9" x14ac:dyDescent="0.25">
      <c r="I4083" s="2"/>
    </row>
    <row r="4084" spans="9:9" x14ac:dyDescent="0.25">
      <c r="I4084" s="2"/>
    </row>
    <row r="4085" spans="9:9" x14ac:dyDescent="0.25">
      <c r="I4085" s="2"/>
    </row>
    <row r="4086" spans="9:9" x14ac:dyDescent="0.25">
      <c r="I4086" s="2"/>
    </row>
    <row r="4087" spans="9:9" x14ac:dyDescent="0.25">
      <c r="I4087" s="2"/>
    </row>
    <row r="4088" spans="9:9" x14ac:dyDescent="0.25">
      <c r="I4088" s="2"/>
    </row>
    <row r="4089" spans="9:9" x14ac:dyDescent="0.25">
      <c r="I4089" s="2"/>
    </row>
    <row r="4090" spans="9:9" x14ac:dyDescent="0.25">
      <c r="I4090" s="2"/>
    </row>
    <row r="4091" spans="9:9" x14ac:dyDescent="0.25">
      <c r="I4091" s="2"/>
    </row>
    <row r="4092" spans="9:9" x14ac:dyDescent="0.25">
      <c r="I4092" s="2"/>
    </row>
    <row r="4093" spans="9:9" x14ac:dyDescent="0.25">
      <c r="I4093" s="2"/>
    </row>
    <row r="4094" spans="9:9" x14ac:dyDescent="0.25">
      <c r="I4094" s="2"/>
    </row>
    <row r="4095" spans="9:9" x14ac:dyDescent="0.25">
      <c r="I4095" s="2"/>
    </row>
    <row r="4096" spans="9:9" x14ac:dyDescent="0.25">
      <c r="I4096" s="2"/>
    </row>
    <row r="4097" spans="9:9" x14ac:dyDescent="0.25">
      <c r="I4097" s="2"/>
    </row>
    <row r="4098" spans="9:9" x14ac:dyDescent="0.25">
      <c r="I4098" s="2"/>
    </row>
    <row r="4099" spans="9:9" x14ac:dyDescent="0.25">
      <c r="I4099" s="2"/>
    </row>
    <row r="4100" spans="9:9" x14ac:dyDescent="0.25">
      <c r="I4100" s="2"/>
    </row>
    <row r="4101" spans="9:9" x14ac:dyDescent="0.25">
      <c r="I4101" s="2"/>
    </row>
    <row r="4102" spans="9:9" x14ac:dyDescent="0.25">
      <c r="I4102" s="2"/>
    </row>
    <row r="4103" spans="9:9" x14ac:dyDescent="0.25">
      <c r="I4103" s="2"/>
    </row>
    <row r="4104" spans="9:9" x14ac:dyDescent="0.25">
      <c r="I4104" s="2"/>
    </row>
    <row r="4105" spans="9:9" x14ac:dyDescent="0.25">
      <c r="I4105" s="2"/>
    </row>
    <row r="4106" spans="9:9" x14ac:dyDescent="0.25">
      <c r="I4106" s="2"/>
    </row>
    <row r="4107" spans="9:9" x14ac:dyDescent="0.25">
      <c r="I4107" s="2"/>
    </row>
    <row r="4108" spans="9:9" x14ac:dyDescent="0.25">
      <c r="I4108" s="2"/>
    </row>
    <row r="4109" spans="9:9" x14ac:dyDescent="0.25">
      <c r="I4109" s="2"/>
    </row>
    <row r="4110" spans="9:9" x14ac:dyDescent="0.25">
      <c r="I4110" s="2"/>
    </row>
    <row r="4111" spans="9:9" x14ac:dyDescent="0.25">
      <c r="I4111" s="2"/>
    </row>
    <row r="4112" spans="9:9" x14ac:dyDescent="0.25">
      <c r="I4112" s="2"/>
    </row>
    <row r="4113" spans="9:9" x14ac:dyDescent="0.25">
      <c r="I4113" s="2"/>
    </row>
    <row r="4114" spans="9:9" x14ac:dyDescent="0.25">
      <c r="I4114" s="2"/>
    </row>
    <row r="4115" spans="9:9" x14ac:dyDescent="0.25">
      <c r="I4115" s="2"/>
    </row>
    <row r="4116" spans="9:9" x14ac:dyDescent="0.25">
      <c r="I4116" s="2"/>
    </row>
    <row r="4117" spans="9:9" x14ac:dyDescent="0.25">
      <c r="I4117" s="2"/>
    </row>
    <row r="4118" spans="9:9" x14ac:dyDescent="0.25">
      <c r="I4118" s="2"/>
    </row>
    <row r="4119" spans="9:9" x14ac:dyDescent="0.25">
      <c r="I4119" s="2"/>
    </row>
    <row r="4120" spans="9:9" x14ac:dyDescent="0.25">
      <c r="I4120" s="2"/>
    </row>
    <row r="4121" spans="9:9" x14ac:dyDescent="0.25">
      <c r="I4121" s="2"/>
    </row>
    <row r="4122" spans="9:9" x14ac:dyDescent="0.25">
      <c r="I4122" s="2"/>
    </row>
    <row r="4123" spans="9:9" x14ac:dyDescent="0.25">
      <c r="I4123" s="2"/>
    </row>
    <row r="4124" spans="9:9" x14ac:dyDescent="0.25">
      <c r="I4124" s="2"/>
    </row>
    <row r="4125" spans="9:9" x14ac:dyDescent="0.25">
      <c r="I4125" s="2"/>
    </row>
    <row r="4126" spans="9:9" x14ac:dyDescent="0.25">
      <c r="I4126" s="2"/>
    </row>
    <row r="4127" spans="9:9" x14ac:dyDescent="0.25">
      <c r="I4127" s="2"/>
    </row>
    <row r="4128" spans="9:9" x14ac:dyDescent="0.25">
      <c r="I4128" s="2"/>
    </row>
    <row r="4129" spans="9:9" x14ac:dyDescent="0.25">
      <c r="I4129" s="2"/>
    </row>
    <row r="4130" spans="9:9" x14ac:dyDescent="0.25">
      <c r="I4130" s="2"/>
    </row>
    <row r="4131" spans="9:9" x14ac:dyDescent="0.25">
      <c r="I4131" s="2"/>
    </row>
    <row r="4132" spans="9:9" x14ac:dyDescent="0.25">
      <c r="I4132" s="2"/>
    </row>
    <row r="4133" spans="9:9" x14ac:dyDescent="0.25">
      <c r="I4133" s="2"/>
    </row>
    <row r="4134" spans="9:9" x14ac:dyDescent="0.25">
      <c r="I4134" s="2"/>
    </row>
    <row r="4135" spans="9:9" x14ac:dyDescent="0.25">
      <c r="I4135" s="2"/>
    </row>
    <row r="4136" spans="9:9" x14ac:dyDescent="0.25">
      <c r="I4136" s="2"/>
    </row>
    <row r="4137" spans="9:9" x14ac:dyDescent="0.25">
      <c r="I4137" s="2"/>
    </row>
    <row r="4138" spans="9:9" x14ac:dyDescent="0.25">
      <c r="I4138" s="2"/>
    </row>
    <row r="4139" spans="9:9" x14ac:dyDescent="0.25">
      <c r="I4139" s="2"/>
    </row>
    <row r="4140" spans="9:9" x14ac:dyDescent="0.25">
      <c r="I4140" s="2"/>
    </row>
    <row r="4141" spans="9:9" x14ac:dyDescent="0.25">
      <c r="I4141" s="2"/>
    </row>
    <row r="4142" spans="9:9" x14ac:dyDescent="0.25">
      <c r="I4142" s="2"/>
    </row>
    <row r="4143" spans="9:9" x14ac:dyDescent="0.25">
      <c r="I4143" s="2"/>
    </row>
    <row r="4144" spans="9:9" x14ac:dyDescent="0.25">
      <c r="I4144" s="2"/>
    </row>
    <row r="4145" spans="9:9" x14ac:dyDescent="0.25">
      <c r="I4145" s="2"/>
    </row>
    <row r="4146" spans="9:9" x14ac:dyDescent="0.25">
      <c r="I4146" s="2"/>
    </row>
    <row r="4147" spans="9:9" x14ac:dyDescent="0.25">
      <c r="I4147" s="2"/>
    </row>
    <row r="4148" spans="9:9" x14ac:dyDescent="0.25">
      <c r="I4148" s="2"/>
    </row>
    <row r="4149" spans="9:9" x14ac:dyDescent="0.25">
      <c r="I4149" s="2"/>
    </row>
    <row r="4150" spans="9:9" x14ac:dyDescent="0.25">
      <c r="I4150" s="2"/>
    </row>
    <row r="4151" spans="9:9" x14ac:dyDescent="0.25">
      <c r="I4151" s="2"/>
    </row>
    <row r="4152" spans="9:9" x14ac:dyDescent="0.25">
      <c r="I4152" s="2"/>
    </row>
    <row r="4153" spans="9:9" x14ac:dyDescent="0.25">
      <c r="I4153" s="2"/>
    </row>
    <row r="4154" spans="9:9" x14ac:dyDescent="0.25">
      <c r="I4154" s="2"/>
    </row>
    <row r="4155" spans="9:9" x14ac:dyDescent="0.25">
      <c r="I4155" s="2"/>
    </row>
    <row r="4156" spans="9:9" x14ac:dyDescent="0.25">
      <c r="I4156" s="2"/>
    </row>
    <row r="4157" spans="9:9" x14ac:dyDescent="0.25">
      <c r="I4157" s="2"/>
    </row>
    <row r="4158" spans="9:9" x14ac:dyDescent="0.25">
      <c r="I4158" s="2"/>
    </row>
    <row r="4159" spans="9:9" x14ac:dyDescent="0.25">
      <c r="I4159" s="2"/>
    </row>
    <row r="4160" spans="9:9" x14ac:dyDescent="0.25">
      <c r="I4160" s="2"/>
    </row>
    <row r="4161" spans="9:9" x14ac:dyDescent="0.25">
      <c r="I4161" s="2"/>
    </row>
    <row r="4162" spans="9:9" x14ac:dyDescent="0.25">
      <c r="I4162" s="2"/>
    </row>
    <row r="4163" spans="9:9" x14ac:dyDescent="0.25">
      <c r="I4163" s="2"/>
    </row>
    <row r="4164" spans="9:9" x14ac:dyDescent="0.25">
      <c r="I4164" s="2"/>
    </row>
    <row r="4165" spans="9:9" x14ac:dyDescent="0.25">
      <c r="I4165" s="2"/>
    </row>
    <row r="4166" spans="9:9" x14ac:dyDescent="0.25">
      <c r="I4166" s="2"/>
    </row>
    <row r="4167" spans="9:9" x14ac:dyDescent="0.25">
      <c r="I4167" s="2"/>
    </row>
    <row r="4168" spans="9:9" x14ac:dyDescent="0.25">
      <c r="I4168" s="2"/>
    </row>
    <row r="4169" spans="9:9" x14ac:dyDescent="0.25">
      <c r="I4169" s="2"/>
    </row>
    <row r="4170" spans="9:9" x14ac:dyDescent="0.25">
      <c r="I4170" s="2"/>
    </row>
    <row r="4171" spans="9:9" x14ac:dyDescent="0.25">
      <c r="I4171" s="2"/>
    </row>
    <row r="4172" spans="9:9" x14ac:dyDescent="0.25">
      <c r="I4172" s="2"/>
    </row>
    <row r="4173" spans="9:9" x14ac:dyDescent="0.25">
      <c r="I4173" s="2"/>
    </row>
    <row r="4174" spans="9:9" x14ac:dyDescent="0.25">
      <c r="I4174" s="2"/>
    </row>
    <row r="4175" spans="9:9" x14ac:dyDescent="0.25">
      <c r="I4175" s="2"/>
    </row>
    <row r="4176" spans="9:9" x14ac:dyDescent="0.25">
      <c r="I4176" s="2"/>
    </row>
    <row r="4177" spans="9:9" x14ac:dyDescent="0.25">
      <c r="I4177" s="2"/>
    </row>
    <row r="4178" spans="9:9" x14ac:dyDescent="0.25">
      <c r="I4178" s="2"/>
    </row>
    <row r="4179" spans="9:9" x14ac:dyDescent="0.25">
      <c r="I4179" s="2"/>
    </row>
    <row r="4180" spans="9:9" x14ac:dyDescent="0.25">
      <c r="I4180" s="2"/>
    </row>
    <row r="4181" spans="9:9" x14ac:dyDescent="0.25">
      <c r="I4181" s="2"/>
    </row>
    <row r="4182" spans="9:9" x14ac:dyDescent="0.25">
      <c r="I4182" s="2"/>
    </row>
    <row r="4183" spans="9:9" x14ac:dyDescent="0.25">
      <c r="I4183" s="2"/>
    </row>
    <row r="4184" spans="9:9" x14ac:dyDescent="0.25">
      <c r="I4184" s="2"/>
    </row>
    <row r="4185" spans="9:9" x14ac:dyDescent="0.25">
      <c r="I4185" s="2"/>
    </row>
    <row r="4186" spans="9:9" x14ac:dyDescent="0.25">
      <c r="I4186" s="2"/>
    </row>
    <row r="4187" spans="9:9" x14ac:dyDescent="0.25">
      <c r="I4187" s="2"/>
    </row>
    <row r="4188" spans="9:9" x14ac:dyDescent="0.25">
      <c r="I4188" s="2"/>
    </row>
    <row r="4189" spans="9:9" x14ac:dyDescent="0.25">
      <c r="I4189" s="2"/>
    </row>
    <row r="4190" spans="9:9" x14ac:dyDescent="0.25">
      <c r="I4190" s="2"/>
    </row>
    <row r="4191" spans="9:9" x14ac:dyDescent="0.25">
      <c r="I4191" s="2"/>
    </row>
    <row r="4192" spans="9:9" x14ac:dyDescent="0.25">
      <c r="I4192" s="2"/>
    </row>
    <row r="4193" spans="9:9" x14ac:dyDescent="0.25">
      <c r="I4193" s="2"/>
    </row>
    <row r="4194" spans="9:9" x14ac:dyDescent="0.25">
      <c r="I4194" s="2"/>
    </row>
    <row r="4195" spans="9:9" x14ac:dyDescent="0.25">
      <c r="I4195" s="2"/>
    </row>
    <row r="4196" spans="9:9" x14ac:dyDescent="0.25">
      <c r="I4196" s="2"/>
    </row>
    <row r="4197" spans="9:9" x14ac:dyDescent="0.25">
      <c r="I4197" s="2"/>
    </row>
    <row r="4198" spans="9:9" x14ac:dyDescent="0.25">
      <c r="I4198" s="2"/>
    </row>
    <row r="4199" spans="9:9" x14ac:dyDescent="0.25">
      <c r="I4199" s="2"/>
    </row>
    <row r="4200" spans="9:9" x14ac:dyDescent="0.25">
      <c r="I4200" s="2"/>
    </row>
    <row r="4201" spans="9:9" x14ac:dyDescent="0.25">
      <c r="I4201" s="2"/>
    </row>
    <row r="4202" spans="9:9" x14ac:dyDescent="0.25">
      <c r="I4202" s="2"/>
    </row>
    <row r="4203" spans="9:9" x14ac:dyDescent="0.25">
      <c r="I4203" s="2"/>
    </row>
    <row r="4204" spans="9:9" x14ac:dyDescent="0.25">
      <c r="I4204" s="2"/>
    </row>
    <row r="4205" spans="9:9" x14ac:dyDescent="0.25">
      <c r="I4205" s="2"/>
    </row>
    <row r="4206" spans="9:9" x14ac:dyDescent="0.25">
      <c r="I4206" s="2"/>
    </row>
    <row r="4207" spans="9:9" x14ac:dyDescent="0.25">
      <c r="I4207" s="2"/>
    </row>
    <row r="4208" spans="9:9" x14ac:dyDescent="0.25">
      <c r="I4208" s="2"/>
    </row>
    <row r="4209" spans="9:9" x14ac:dyDescent="0.25">
      <c r="I4209" s="2"/>
    </row>
    <row r="4210" spans="9:9" x14ac:dyDescent="0.25">
      <c r="I4210" s="2"/>
    </row>
    <row r="4211" spans="9:9" x14ac:dyDescent="0.25">
      <c r="I4211" s="2"/>
    </row>
    <row r="4212" spans="9:9" x14ac:dyDescent="0.25">
      <c r="I4212" s="2"/>
    </row>
    <row r="4213" spans="9:9" x14ac:dyDescent="0.25">
      <c r="I4213" s="2"/>
    </row>
    <row r="4214" spans="9:9" x14ac:dyDescent="0.25">
      <c r="I4214" s="2"/>
    </row>
    <row r="4215" spans="9:9" x14ac:dyDescent="0.25">
      <c r="I4215" s="2"/>
    </row>
    <row r="4216" spans="9:9" x14ac:dyDescent="0.25">
      <c r="I4216" s="2"/>
    </row>
    <row r="4217" spans="9:9" x14ac:dyDescent="0.25">
      <c r="I4217" s="2"/>
    </row>
    <row r="4218" spans="9:9" x14ac:dyDescent="0.25">
      <c r="I4218" s="2"/>
    </row>
    <row r="4219" spans="9:9" x14ac:dyDescent="0.25">
      <c r="I4219" s="2"/>
    </row>
    <row r="4220" spans="9:9" x14ac:dyDescent="0.25">
      <c r="I4220" s="2"/>
    </row>
    <row r="4221" spans="9:9" x14ac:dyDescent="0.25">
      <c r="I4221" s="2"/>
    </row>
    <row r="4222" spans="9:9" x14ac:dyDescent="0.25">
      <c r="I4222" s="2"/>
    </row>
    <row r="4223" spans="9:9" x14ac:dyDescent="0.25">
      <c r="I4223" s="2"/>
    </row>
    <row r="4224" spans="9:9" x14ac:dyDescent="0.25">
      <c r="I4224" s="2"/>
    </row>
    <row r="4225" spans="9:9" x14ac:dyDescent="0.25">
      <c r="I4225" s="2"/>
    </row>
    <row r="4226" spans="9:9" x14ac:dyDescent="0.25">
      <c r="I4226" s="2"/>
    </row>
    <row r="4227" spans="9:9" x14ac:dyDescent="0.25">
      <c r="I4227" s="2"/>
    </row>
    <row r="4228" spans="9:9" x14ac:dyDescent="0.25">
      <c r="I4228" s="2"/>
    </row>
    <row r="4229" spans="9:9" x14ac:dyDescent="0.25">
      <c r="I4229" s="2"/>
    </row>
    <row r="4230" spans="9:9" x14ac:dyDescent="0.25">
      <c r="I4230" s="2"/>
    </row>
    <row r="4231" spans="9:9" x14ac:dyDescent="0.25">
      <c r="I4231" s="2"/>
    </row>
    <row r="4232" spans="9:9" x14ac:dyDescent="0.25">
      <c r="I4232" s="2"/>
    </row>
    <row r="4233" spans="9:9" x14ac:dyDescent="0.25">
      <c r="I4233" s="2"/>
    </row>
    <row r="4234" spans="9:9" x14ac:dyDescent="0.25">
      <c r="I4234" s="2"/>
    </row>
    <row r="4235" spans="9:9" x14ac:dyDescent="0.25">
      <c r="I4235" s="2"/>
    </row>
    <row r="4236" spans="9:9" x14ac:dyDescent="0.25">
      <c r="I4236" s="2"/>
    </row>
    <row r="4237" spans="9:9" x14ac:dyDescent="0.25">
      <c r="I4237" s="2"/>
    </row>
    <row r="4238" spans="9:9" x14ac:dyDescent="0.25">
      <c r="I4238" s="2"/>
    </row>
    <row r="4239" spans="9:9" x14ac:dyDescent="0.25">
      <c r="I4239" s="2"/>
    </row>
    <row r="4240" spans="9:9" x14ac:dyDescent="0.25">
      <c r="I4240" s="2"/>
    </row>
    <row r="4241" spans="9:9" x14ac:dyDescent="0.25">
      <c r="I4241" s="2"/>
    </row>
    <row r="4242" spans="9:9" x14ac:dyDescent="0.25">
      <c r="I4242" s="2"/>
    </row>
    <row r="4243" spans="9:9" x14ac:dyDescent="0.25">
      <c r="I4243" s="2"/>
    </row>
    <row r="4244" spans="9:9" x14ac:dyDescent="0.25">
      <c r="I4244" s="2"/>
    </row>
    <row r="4245" spans="9:9" x14ac:dyDescent="0.25">
      <c r="I4245" s="2"/>
    </row>
    <row r="4246" spans="9:9" x14ac:dyDescent="0.25">
      <c r="I4246" s="2"/>
    </row>
    <row r="4247" spans="9:9" x14ac:dyDescent="0.25">
      <c r="I4247" s="2"/>
    </row>
    <row r="4248" spans="9:9" x14ac:dyDescent="0.25">
      <c r="I4248" s="2"/>
    </row>
    <row r="4249" spans="9:9" x14ac:dyDescent="0.25">
      <c r="I4249" s="2"/>
    </row>
    <row r="4250" spans="9:9" x14ac:dyDescent="0.25">
      <c r="I4250" s="2"/>
    </row>
    <row r="4251" spans="9:9" x14ac:dyDescent="0.25">
      <c r="I4251" s="2"/>
    </row>
    <row r="4252" spans="9:9" x14ac:dyDescent="0.25">
      <c r="I4252" s="2"/>
    </row>
    <row r="4253" spans="9:9" x14ac:dyDescent="0.25">
      <c r="I4253" s="2"/>
    </row>
    <row r="4254" spans="9:9" x14ac:dyDescent="0.25">
      <c r="I4254" s="2"/>
    </row>
    <row r="4255" spans="9:9" x14ac:dyDescent="0.25">
      <c r="I4255" s="2"/>
    </row>
    <row r="4256" spans="9:9" x14ac:dyDescent="0.25">
      <c r="I4256" s="2"/>
    </row>
    <row r="4257" spans="9:9" x14ac:dyDescent="0.25">
      <c r="I4257" s="2"/>
    </row>
    <row r="4258" spans="9:9" x14ac:dyDescent="0.25">
      <c r="I4258" s="2"/>
    </row>
    <row r="4259" spans="9:9" x14ac:dyDescent="0.25">
      <c r="I4259" s="2"/>
    </row>
    <row r="4260" spans="9:9" x14ac:dyDescent="0.25">
      <c r="I4260" s="2"/>
    </row>
    <row r="4261" spans="9:9" x14ac:dyDescent="0.25">
      <c r="I4261" s="2"/>
    </row>
    <row r="4262" spans="9:9" x14ac:dyDescent="0.25">
      <c r="I4262" s="2"/>
    </row>
    <row r="4263" spans="9:9" x14ac:dyDescent="0.25">
      <c r="I4263" s="2"/>
    </row>
    <row r="4264" spans="9:9" x14ac:dyDescent="0.25">
      <c r="I4264" s="2"/>
    </row>
    <row r="4265" spans="9:9" x14ac:dyDescent="0.25">
      <c r="I4265" s="2"/>
    </row>
    <row r="4266" spans="9:9" x14ac:dyDescent="0.25">
      <c r="I4266" s="2"/>
    </row>
    <row r="4267" spans="9:9" x14ac:dyDescent="0.25">
      <c r="I4267" s="2"/>
    </row>
    <row r="4268" spans="9:9" x14ac:dyDescent="0.25">
      <c r="I4268" s="2"/>
    </row>
    <row r="4269" spans="9:9" x14ac:dyDescent="0.25">
      <c r="I4269" s="2"/>
    </row>
    <row r="4270" spans="9:9" x14ac:dyDescent="0.25">
      <c r="I4270" s="2"/>
    </row>
    <row r="4271" spans="9:9" x14ac:dyDescent="0.25">
      <c r="I4271" s="2"/>
    </row>
    <row r="4272" spans="9:9" x14ac:dyDescent="0.25">
      <c r="I4272" s="2"/>
    </row>
    <row r="4273" spans="9:9" x14ac:dyDescent="0.25">
      <c r="I4273" s="2"/>
    </row>
    <row r="4274" spans="9:9" x14ac:dyDescent="0.25">
      <c r="I4274" s="2"/>
    </row>
    <row r="4275" spans="9:9" x14ac:dyDescent="0.25">
      <c r="I4275" s="2"/>
    </row>
    <row r="4276" spans="9:9" x14ac:dyDescent="0.25">
      <c r="I4276" s="2"/>
    </row>
    <row r="4277" spans="9:9" x14ac:dyDescent="0.25">
      <c r="I4277" s="2"/>
    </row>
    <row r="4278" spans="9:9" x14ac:dyDescent="0.25">
      <c r="I4278" s="2"/>
    </row>
    <row r="4279" spans="9:9" x14ac:dyDescent="0.25">
      <c r="I4279" s="2"/>
    </row>
    <row r="4280" spans="9:9" x14ac:dyDescent="0.25">
      <c r="I4280" s="2"/>
    </row>
    <row r="4281" spans="9:9" x14ac:dyDescent="0.25">
      <c r="I4281" s="2"/>
    </row>
    <row r="4282" spans="9:9" x14ac:dyDescent="0.25">
      <c r="I4282" s="2"/>
    </row>
    <row r="4283" spans="9:9" x14ac:dyDescent="0.25">
      <c r="I4283" s="2"/>
    </row>
    <row r="4284" spans="9:9" x14ac:dyDescent="0.25">
      <c r="I4284" s="2"/>
    </row>
    <row r="4285" spans="9:9" x14ac:dyDescent="0.25">
      <c r="I4285" s="2"/>
    </row>
    <row r="4286" spans="9:9" x14ac:dyDescent="0.25">
      <c r="I4286" s="2"/>
    </row>
    <row r="4287" spans="9:9" x14ac:dyDescent="0.25">
      <c r="I4287" s="2"/>
    </row>
    <row r="4288" spans="9:9" x14ac:dyDescent="0.25">
      <c r="I4288" s="2"/>
    </row>
    <row r="4289" spans="9:9" x14ac:dyDescent="0.25">
      <c r="I4289" s="2"/>
    </row>
    <row r="4290" spans="9:9" x14ac:dyDescent="0.25">
      <c r="I4290" s="2"/>
    </row>
    <row r="4291" spans="9:9" x14ac:dyDescent="0.25">
      <c r="I4291" s="2"/>
    </row>
    <row r="4292" spans="9:9" x14ac:dyDescent="0.25">
      <c r="I4292" s="2"/>
    </row>
    <row r="4293" spans="9:9" x14ac:dyDescent="0.25">
      <c r="I4293" s="2"/>
    </row>
    <row r="4294" spans="9:9" x14ac:dyDescent="0.25">
      <c r="I4294" s="2"/>
    </row>
    <row r="4295" spans="9:9" x14ac:dyDescent="0.25">
      <c r="I4295" s="2"/>
    </row>
    <row r="4296" spans="9:9" x14ac:dyDescent="0.25">
      <c r="I4296" s="2"/>
    </row>
    <row r="4297" spans="9:9" x14ac:dyDescent="0.25">
      <c r="I4297" s="2"/>
    </row>
    <row r="4298" spans="9:9" x14ac:dyDescent="0.25">
      <c r="I4298" s="2"/>
    </row>
    <row r="4299" spans="9:9" x14ac:dyDescent="0.25">
      <c r="I4299" s="2"/>
    </row>
    <row r="4300" spans="9:9" x14ac:dyDescent="0.25">
      <c r="I4300" s="2"/>
    </row>
    <row r="4301" spans="9:9" x14ac:dyDescent="0.25">
      <c r="I4301" s="2"/>
    </row>
    <row r="4302" spans="9:9" x14ac:dyDescent="0.25">
      <c r="I4302" s="2"/>
    </row>
    <row r="4303" spans="9:9" x14ac:dyDescent="0.25">
      <c r="I4303" s="2"/>
    </row>
    <row r="4304" spans="9:9" x14ac:dyDescent="0.25">
      <c r="I4304" s="2"/>
    </row>
    <row r="4305" spans="9:9" x14ac:dyDescent="0.25">
      <c r="I4305" s="2"/>
    </row>
    <row r="4306" spans="9:9" x14ac:dyDescent="0.25">
      <c r="I4306" s="2"/>
    </row>
    <row r="4307" spans="9:9" x14ac:dyDescent="0.25">
      <c r="I4307" s="2"/>
    </row>
    <row r="4308" spans="9:9" x14ac:dyDescent="0.25">
      <c r="I4308" s="2"/>
    </row>
    <row r="4309" spans="9:9" x14ac:dyDescent="0.25">
      <c r="I4309" s="2"/>
    </row>
    <row r="4310" spans="9:9" x14ac:dyDescent="0.25">
      <c r="I4310" s="2"/>
    </row>
    <row r="4311" spans="9:9" x14ac:dyDescent="0.25">
      <c r="I4311" s="2"/>
    </row>
    <row r="4312" spans="9:9" x14ac:dyDescent="0.25">
      <c r="I4312" s="2"/>
    </row>
    <row r="4313" spans="9:9" x14ac:dyDescent="0.25">
      <c r="I4313" s="2"/>
    </row>
    <row r="4314" spans="9:9" x14ac:dyDescent="0.25">
      <c r="I4314" s="2"/>
    </row>
    <row r="4315" spans="9:9" x14ac:dyDescent="0.25">
      <c r="I4315" s="2"/>
    </row>
    <row r="4316" spans="9:9" x14ac:dyDescent="0.25">
      <c r="I4316" s="2"/>
    </row>
    <row r="4317" spans="9:9" x14ac:dyDescent="0.25">
      <c r="I4317" s="2"/>
    </row>
    <row r="4318" spans="9:9" x14ac:dyDescent="0.25">
      <c r="I4318" s="2"/>
    </row>
    <row r="4319" spans="9:9" x14ac:dyDescent="0.25">
      <c r="I4319" s="2"/>
    </row>
    <row r="4320" spans="9:9" x14ac:dyDescent="0.25">
      <c r="I4320" s="2"/>
    </row>
    <row r="4321" spans="9:9" x14ac:dyDescent="0.25">
      <c r="I4321" s="2"/>
    </row>
    <row r="4322" spans="9:9" x14ac:dyDescent="0.25">
      <c r="I4322" s="2"/>
    </row>
    <row r="4323" spans="9:9" x14ac:dyDescent="0.25">
      <c r="I4323" s="2"/>
    </row>
    <row r="4324" spans="9:9" x14ac:dyDescent="0.25">
      <c r="I4324" s="2"/>
    </row>
    <row r="4325" spans="9:9" x14ac:dyDescent="0.25">
      <c r="I4325" s="2"/>
    </row>
    <row r="4326" spans="9:9" x14ac:dyDescent="0.25">
      <c r="I4326" s="2"/>
    </row>
    <row r="4327" spans="9:9" x14ac:dyDescent="0.25">
      <c r="I4327" s="2"/>
    </row>
    <row r="4328" spans="9:9" x14ac:dyDescent="0.25">
      <c r="I4328" s="2"/>
    </row>
    <row r="4329" spans="9:9" x14ac:dyDescent="0.25">
      <c r="I4329" s="2"/>
    </row>
    <row r="4330" spans="9:9" x14ac:dyDescent="0.25">
      <c r="I4330" s="2"/>
    </row>
    <row r="4331" spans="9:9" x14ac:dyDescent="0.25">
      <c r="I4331" s="2"/>
    </row>
    <row r="4332" spans="9:9" x14ac:dyDescent="0.25">
      <c r="I4332" s="2"/>
    </row>
    <row r="4333" spans="9:9" x14ac:dyDescent="0.25">
      <c r="I4333" s="2"/>
    </row>
    <row r="4334" spans="9:9" x14ac:dyDescent="0.25">
      <c r="I4334" s="2"/>
    </row>
    <row r="4335" spans="9:9" x14ac:dyDescent="0.25">
      <c r="I4335" s="2"/>
    </row>
    <row r="4336" spans="9:9" x14ac:dyDescent="0.25">
      <c r="I4336" s="2"/>
    </row>
    <row r="4337" spans="9:9" x14ac:dyDescent="0.25">
      <c r="I4337" s="2"/>
    </row>
    <row r="4338" spans="9:9" x14ac:dyDescent="0.25">
      <c r="I4338" s="2"/>
    </row>
    <row r="4339" spans="9:9" x14ac:dyDescent="0.25">
      <c r="I4339" s="2"/>
    </row>
    <row r="4340" spans="9:9" x14ac:dyDescent="0.25">
      <c r="I4340" s="2"/>
    </row>
    <row r="4341" spans="9:9" x14ac:dyDescent="0.25">
      <c r="I4341" s="2"/>
    </row>
    <row r="4342" spans="9:9" x14ac:dyDescent="0.25">
      <c r="I4342" s="2"/>
    </row>
    <row r="4343" spans="9:9" x14ac:dyDescent="0.25">
      <c r="I4343" s="2"/>
    </row>
    <row r="4344" spans="9:9" x14ac:dyDescent="0.25">
      <c r="I4344" s="2"/>
    </row>
    <row r="4345" spans="9:9" x14ac:dyDescent="0.25">
      <c r="I4345" s="2"/>
    </row>
    <row r="4346" spans="9:9" x14ac:dyDescent="0.25">
      <c r="I4346" s="2"/>
    </row>
    <row r="4347" spans="9:9" x14ac:dyDescent="0.25">
      <c r="I4347" s="2"/>
    </row>
    <row r="4348" spans="9:9" x14ac:dyDescent="0.25">
      <c r="I4348" s="2"/>
    </row>
    <row r="4349" spans="9:9" x14ac:dyDescent="0.25">
      <c r="I4349" s="2"/>
    </row>
    <row r="4350" spans="9:9" x14ac:dyDescent="0.25">
      <c r="I4350" s="2"/>
    </row>
    <row r="4351" spans="9:9" x14ac:dyDescent="0.25">
      <c r="I4351" s="2"/>
    </row>
    <row r="4352" spans="9:9" x14ac:dyDescent="0.25">
      <c r="I4352" s="2"/>
    </row>
    <row r="4353" spans="9:9" x14ac:dyDescent="0.25">
      <c r="I4353" s="2"/>
    </row>
    <row r="4354" spans="9:9" x14ac:dyDescent="0.25">
      <c r="I4354" s="2"/>
    </row>
    <row r="4355" spans="9:9" x14ac:dyDescent="0.25">
      <c r="I4355" s="2"/>
    </row>
    <row r="4356" spans="9:9" x14ac:dyDescent="0.25">
      <c r="I4356" s="2"/>
    </row>
    <row r="4357" spans="9:9" x14ac:dyDescent="0.25">
      <c r="I4357" s="2"/>
    </row>
    <row r="4358" spans="9:9" x14ac:dyDescent="0.25">
      <c r="I4358" s="2"/>
    </row>
    <row r="4359" spans="9:9" x14ac:dyDescent="0.25">
      <c r="I4359" s="2"/>
    </row>
    <row r="4360" spans="9:9" x14ac:dyDescent="0.25">
      <c r="I4360" s="2"/>
    </row>
    <row r="4361" spans="9:9" x14ac:dyDescent="0.25">
      <c r="I4361" s="2"/>
    </row>
    <row r="4362" spans="9:9" x14ac:dyDescent="0.25">
      <c r="I4362" s="2"/>
    </row>
    <row r="4363" spans="9:9" x14ac:dyDescent="0.25">
      <c r="I4363" s="2"/>
    </row>
    <row r="4364" spans="9:9" x14ac:dyDescent="0.25">
      <c r="I4364" s="2"/>
    </row>
    <row r="4365" spans="9:9" x14ac:dyDescent="0.25">
      <c r="I4365" s="2"/>
    </row>
    <row r="4366" spans="9:9" x14ac:dyDescent="0.25">
      <c r="I4366" s="2"/>
    </row>
    <row r="4367" spans="9:9" x14ac:dyDescent="0.25">
      <c r="I4367" s="2"/>
    </row>
    <row r="4368" spans="9:9" x14ac:dyDescent="0.25">
      <c r="I4368" s="2"/>
    </row>
    <row r="4369" spans="9:9" x14ac:dyDescent="0.25">
      <c r="I4369" s="2"/>
    </row>
    <row r="4370" spans="9:9" x14ac:dyDescent="0.25">
      <c r="I4370" s="2"/>
    </row>
    <row r="4371" spans="9:9" x14ac:dyDescent="0.25">
      <c r="I4371" s="2"/>
    </row>
    <row r="4372" spans="9:9" x14ac:dyDescent="0.25">
      <c r="I4372" s="2"/>
    </row>
    <row r="4373" spans="9:9" x14ac:dyDescent="0.25">
      <c r="I4373" s="2"/>
    </row>
    <row r="4374" spans="9:9" x14ac:dyDescent="0.25">
      <c r="I4374" s="2"/>
    </row>
    <row r="4375" spans="9:9" x14ac:dyDescent="0.25">
      <c r="I4375" s="2"/>
    </row>
    <row r="4376" spans="9:9" x14ac:dyDescent="0.25">
      <c r="I4376" s="2"/>
    </row>
    <row r="4377" spans="9:9" x14ac:dyDescent="0.25">
      <c r="I4377" s="2"/>
    </row>
    <row r="4378" spans="9:9" x14ac:dyDescent="0.25">
      <c r="I4378" s="2"/>
    </row>
    <row r="4379" spans="9:9" x14ac:dyDescent="0.25">
      <c r="I4379" s="2"/>
    </row>
    <row r="4380" spans="9:9" x14ac:dyDescent="0.25">
      <c r="I4380" s="2"/>
    </row>
    <row r="4381" spans="9:9" x14ac:dyDescent="0.25">
      <c r="I4381" s="2"/>
    </row>
    <row r="4382" spans="9:9" x14ac:dyDescent="0.25">
      <c r="I4382" s="2"/>
    </row>
    <row r="4383" spans="9:9" x14ac:dyDescent="0.25">
      <c r="I4383" s="2"/>
    </row>
    <row r="4384" spans="9:9" x14ac:dyDescent="0.25">
      <c r="I4384" s="2"/>
    </row>
    <row r="4385" spans="9:9" x14ac:dyDescent="0.25">
      <c r="I4385" s="2"/>
    </row>
    <row r="4386" spans="9:9" x14ac:dyDescent="0.25">
      <c r="I4386" s="2"/>
    </row>
    <row r="4387" spans="9:9" x14ac:dyDescent="0.25">
      <c r="I4387" s="2"/>
    </row>
    <row r="4388" spans="9:9" x14ac:dyDescent="0.25">
      <c r="I4388" s="2"/>
    </row>
    <row r="4389" spans="9:9" x14ac:dyDescent="0.25">
      <c r="I4389" s="2"/>
    </row>
    <row r="4390" spans="9:9" x14ac:dyDescent="0.25">
      <c r="I4390" s="2"/>
    </row>
    <row r="4391" spans="9:9" x14ac:dyDescent="0.25">
      <c r="I4391" s="2"/>
    </row>
    <row r="4392" spans="9:9" x14ac:dyDescent="0.25">
      <c r="I4392" s="2"/>
    </row>
    <row r="4393" spans="9:9" x14ac:dyDescent="0.25">
      <c r="I4393" s="2"/>
    </row>
    <row r="4394" spans="9:9" x14ac:dyDescent="0.25">
      <c r="I4394" s="2"/>
    </row>
    <row r="4395" spans="9:9" x14ac:dyDescent="0.25">
      <c r="I4395" s="2"/>
    </row>
    <row r="4396" spans="9:9" x14ac:dyDescent="0.25">
      <c r="I4396" s="2"/>
    </row>
    <row r="4397" spans="9:9" x14ac:dyDescent="0.25">
      <c r="I4397" s="2"/>
    </row>
    <row r="4398" spans="9:9" x14ac:dyDescent="0.25">
      <c r="I4398" s="2"/>
    </row>
    <row r="4399" spans="9:9" x14ac:dyDescent="0.25">
      <c r="I4399" s="2"/>
    </row>
    <row r="4400" spans="9:9" x14ac:dyDescent="0.25">
      <c r="I4400" s="2"/>
    </row>
    <row r="4401" spans="9:9" x14ac:dyDescent="0.25">
      <c r="I4401" s="2"/>
    </row>
    <row r="4402" spans="9:9" x14ac:dyDescent="0.25">
      <c r="I4402" s="2"/>
    </row>
    <row r="4403" spans="9:9" x14ac:dyDescent="0.25">
      <c r="I4403" s="2"/>
    </row>
    <row r="4404" spans="9:9" x14ac:dyDescent="0.25">
      <c r="I4404" s="2"/>
    </row>
    <row r="4405" spans="9:9" x14ac:dyDescent="0.25">
      <c r="I4405" s="2"/>
    </row>
    <row r="4406" spans="9:9" x14ac:dyDescent="0.25">
      <c r="I4406" s="2"/>
    </row>
    <row r="4407" spans="9:9" x14ac:dyDescent="0.25">
      <c r="I4407" s="2"/>
    </row>
    <row r="4408" spans="9:9" x14ac:dyDescent="0.25">
      <c r="I4408" s="2"/>
    </row>
    <row r="4409" spans="9:9" x14ac:dyDescent="0.25">
      <c r="I4409" s="2"/>
    </row>
    <row r="4410" spans="9:9" x14ac:dyDescent="0.25">
      <c r="I4410" s="2"/>
    </row>
    <row r="4411" spans="9:9" x14ac:dyDescent="0.25">
      <c r="I4411" s="2"/>
    </row>
    <row r="4412" spans="9:9" x14ac:dyDescent="0.25">
      <c r="I4412" s="2"/>
    </row>
    <row r="4413" spans="9:9" x14ac:dyDescent="0.25">
      <c r="I4413" s="2"/>
    </row>
    <row r="4414" spans="9:9" x14ac:dyDescent="0.25">
      <c r="I4414" s="2"/>
    </row>
    <row r="4415" spans="9:9" x14ac:dyDescent="0.25">
      <c r="I4415" s="2"/>
    </row>
    <row r="4416" spans="9:9" x14ac:dyDescent="0.25">
      <c r="I4416" s="2"/>
    </row>
    <row r="4417" spans="9:9" x14ac:dyDescent="0.25">
      <c r="I4417" s="2"/>
    </row>
    <row r="4418" spans="9:9" x14ac:dyDescent="0.25">
      <c r="I4418" s="2"/>
    </row>
    <row r="4419" spans="9:9" x14ac:dyDescent="0.25">
      <c r="I4419" s="2"/>
    </row>
    <row r="4420" spans="9:9" x14ac:dyDescent="0.25">
      <c r="I4420" s="2"/>
    </row>
    <row r="4421" spans="9:9" x14ac:dyDescent="0.25">
      <c r="I4421" s="2"/>
    </row>
    <row r="4422" spans="9:9" x14ac:dyDescent="0.25">
      <c r="I4422" s="2"/>
    </row>
    <row r="4423" spans="9:9" x14ac:dyDescent="0.25">
      <c r="I4423" s="2"/>
    </row>
    <row r="4424" spans="9:9" x14ac:dyDescent="0.25">
      <c r="I4424" s="2"/>
    </row>
    <row r="4425" spans="9:9" x14ac:dyDescent="0.25">
      <c r="I4425" s="2"/>
    </row>
    <row r="4426" spans="9:9" x14ac:dyDescent="0.25">
      <c r="I4426" s="2"/>
    </row>
    <row r="4427" spans="9:9" x14ac:dyDescent="0.25">
      <c r="I4427" s="2"/>
    </row>
    <row r="4428" spans="9:9" x14ac:dyDescent="0.25">
      <c r="I4428" s="2"/>
    </row>
    <row r="4429" spans="9:9" x14ac:dyDescent="0.25">
      <c r="I4429" s="2"/>
    </row>
    <row r="4430" spans="9:9" x14ac:dyDescent="0.25">
      <c r="I4430" s="2"/>
    </row>
    <row r="4431" spans="9:9" x14ac:dyDescent="0.25">
      <c r="I4431" s="2"/>
    </row>
    <row r="4432" spans="9:9" x14ac:dyDescent="0.25">
      <c r="I4432" s="2"/>
    </row>
    <row r="4433" spans="9:9" x14ac:dyDescent="0.25">
      <c r="I4433" s="2"/>
    </row>
    <row r="4434" spans="9:9" x14ac:dyDescent="0.25">
      <c r="I4434" s="2"/>
    </row>
    <row r="4435" spans="9:9" x14ac:dyDescent="0.25">
      <c r="I4435" s="2"/>
    </row>
    <row r="4436" spans="9:9" x14ac:dyDescent="0.25">
      <c r="I4436" s="2"/>
    </row>
    <row r="4437" spans="9:9" x14ac:dyDescent="0.25">
      <c r="I4437" s="2"/>
    </row>
    <row r="4438" spans="9:9" x14ac:dyDescent="0.25">
      <c r="I4438" s="2"/>
    </row>
    <row r="4439" spans="9:9" x14ac:dyDescent="0.25">
      <c r="I4439" s="2"/>
    </row>
    <row r="4440" spans="9:9" x14ac:dyDescent="0.25">
      <c r="I4440" s="2"/>
    </row>
    <row r="4441" spans="9:9" x14ac:dyDescent="0.25">
      <c r="I4441" s="2"/>
    </row>
    <row r="4442" spans="9:9" x14ac:dyDescent="0.25">
      <c r="I4442" s="2"/>
    </row>
    <row r="4443" spans="9:9" x14ac:dyDescent="0.25">
      <c r="I4443" s="2"/>
    </row>
    <row r="4444" spans="9:9" x14ac:dyDescent="0.25">
      <c r="I4444" s="2"/>
    </row>
    <row r="4445" spans="9:9" x14ac:dyDescent="0.25">
      <c r="I4445" s="2"/>
    </row>
    <row r="4446" spans="9:9" x14ac:dyDescent="0.25">
      <c r="I4446" s="2"/>
    </row>
    <row r="4447" spans="9:9" x14ac:dyDescent="0.25">
      <c r="I4447" s="2"/>
    </row>
    <row r="4448" spans="9:9" x14ac:dyDescent="0.25">
      <c r="I4448" s="2"/>
    </row>
    <row r="4449" spans="9:9" x14ac:dyDescent="0.25">
      <c r="I4449" s="2"/>
    </row>
    <row r="4450" spans="9:9" x14ac:dyDescent="0.25">
      <c r="I4450" s="2"/>
    </row>
    <row r="4451" spans="9:9" x14ac:dyDescent="0.25">
      <c r="I4451" s="2"/>
    </row>
    <row r="4452" spans="9:9" x14ac:dyDescent="0.25">
      <c r="I4452" s="2"/>
    </row>
    <row r="4453" spans="9:9" x14ac:dyDescent="0.25">
      <c r="I4453" s="2"/>
    </row>
    <row r="4454" spans="9:9" x14ac:dyDescent="0.25">
      <c r="I4454" s="2"/>
    </row>
    <row r="4455" spans="9:9" x14ac:dyDescent="0.25">
      <c r="I4455" s="2"/>
    </row>
    <row r="4456" spans="9:9" x14ac:dyDescent="0.25">
      <c r="I4456" s="2"/>
    </row>
    <row r="4457" spans="9:9" x14ac:dyDescent="0.25">
      <c r="I4457" s="2"/>
    </row>
    <row r="4458" spans="9:9" x14ac:dyDescent="0.25">
      <c r="I4458" s="2"/>
    </row>
    <row r="4459" spans="9:9" x14ac:dyDescent="0.25">
      <c r="I4459" s="2"/>
    </row>
    <row r="4460" spans="9:9" x14ac:dyDescent="0.25">
      <c r="I4460" s="2"/>
    </row>
    <row r="4461" spans="9:9" x14ac:dyDescent="0.25">
      <c r="I4461" s="2"/>
    </row>
    <row r="4462" spans="9:9" x14ac:dyDescent="0.25">
      <c r="I4462" s="2"/>
    </row>
    <row r="4463" spans="9:9" x14ac:dyDescent="0.25">
      <c r="I4463" s="2"/>
    </row>
    <row r="4464" spans="9:9" x14ac:dyDescent="0.25">
      <c r="I4464" s="2"/>
    </row>
    <row r="4465" spans="9:9" x14ac:dyDescent="0.25">
      <c r="I4465" s="2"/>
    </row>
    <row r="4466" spans="9:9" x14ac:dyDescent="0.25">
      <c r="I4466" s="2"/>
    </row>
    <row r="4467" spans="9:9" x14ac:dyDescent="0.25">
      <c r="I4467" s="2"/>
    </row>
    <row r="4468" spans="9:9" x14ac:dyDescent="0.25">
      <c r="I4468" s="2"/>
    </row>
    <row r="4469" spans="9:9" x14ac:dyDescent="0.25">
      <c r="I4469" s="2"/>
    </row>
    <row r="4470" spans="9:9" x14ac:dyDescent="0.25">
      <c r="I4470" s="2"/>
    </row>
    <row r="4471" spans="9:9" x14ac:dyDescent="0.25">
      <c r="I4471" s="2"/>
    </row>
    <row r="4472" spans="9:9" x14ac:dyDescent="0.25">
      <c r="I4472" s="2"/>
    </row>
    <row r="4473" spans="9:9" x14ac:dyDescent="0.25">
      <c r="I4473" s="2"/>
    </row>
    <row r="4474" spans="9:9" x14ac:dyDescent="0.25">
      <c r="I4474" s="2"/>
    </row>
    <row r="4475" spans="9:9" x14ac:dyDescent="0.25">
      <c r="I4475" s="2"/>
    </row>
    <row r="4476" spans="9:9" x14ac:dyDescent="0.25">
      <c r="I4476" s="2"/>
    </row>
    <row r="4477" spans="9:9" x14ac:dyDescent="0.25">
      <c r="I4477" s="2"/>
    </row>
    <row r="4478" spans="9:9" x14ac:dyDescent="0.25">
      <c r="I4478" s="2"/>
    </row>
    <row r="4479" spans="9:9" x14ac:dyDescent="0.25">
      <c r="I4479" s="2"/>
    </row>
    <row r="4480" spans="9:9" x14ac:dyDescent="0.25">
      <c r="I4480" s="2"/>
    </row>
    <row r="4481" spans="9:9" x14ac:dyDescent="0.25">
      <c r="I4481" s="2"/>
    </row>
    <row r="4482" spans="9:9" x14ac:dyDescent="0.25">
      <c r="I4482" s="2"/>
    </row>
    <row r="4483" spans="9:9" x14ac:dyDescent="0.25">
      <c r="I4483" s="2"/>
    </row>
    <row r="4484" spans="9:9" x14ac:dyDescent="0.25">
      <c r="I4484" s="2"/>
    </row>
    <row r="4485" spans="9:9" x14ac:dyDescent="0.25">
      <c r="I4485" s="2"/>
    </row>
    <row r="4486" spans="9:9" x14ac:dyDescent="0.25">
      <c r="I4486" s="2"/>
    </row>
    <row r="4487" spans="9:9" x14ac:dyDescent="0.25">
      <c r="I4487" s="2"/>
    </row>
    <row r="4488" spans="9:9" x14ac:dyDescent="0.25">
      <c r="I4488" s="2"/>
    </row>
    <row r="4489" spans="9:9" x14ac:dyDescent="0.25">
      <c r="I4489" s="2"/>
    </row>
    <row r="4490" spans="9:9" x14ac:dyDescent="0.25">
      <c r="I4490" s="2"/>
    </row>
    <row r="4491" spans="9:9" x14ac:dyDescent="0.25">
      <c r="I4491" s="2"/>
    </row>
    <row r="4492" spans="9:9" x14ac:dyDescent="0.25">
      <c r="I4492" s="2"/>
    </row>
    <row r="4493" spans="9:9" x14ac:dyDescent="0.25">
      <c r="I4493" s="2"/>
    </row>
    <row r="4494" spans="9:9" x14ac:dyDescent="0.25">
      <c r="I4494" s="2"/>
    </row>
    <row r="4495" spans="9:9" x14ac:dyDescent="0.25">
      <c r="I4495" s="2"/>
    </row>
    <row r="4496" spans="9:9" x14ac:dyDescent="0.25">
      <c r="I4496" s="2"/>
    </row>
    <row r="4497" spans="9:9" x14ac:dyDescent="0.25">
      <c r="I4497" s="2"/>
    </row>
    <row r="4498" spans="9:9" x14ac:dyDescent="0.25">
      <c r="I4498" s="2"/>
    </row>
    <row r="4499" spans="9:9" x14ac:dyDescent="0.25">
      <c r="I4499" s="2"/>
    </row>
    <row r="4500" spans="9:9" x14ac:dyDescent="0.25">
      <c r="I4500" s="2"/>
    </row>
    <row r="4501" spans="9:9" x14ac:dyDescent="0.25">
      <c r="I4501" s="2"/>
    </row>
    <row r="4502" spans="9:9" x14ac:dyDescent="0.25">
      <c r="I4502" s="2"/>
    </row>
    <row r="4503" spans="9:9" x14ac:dyDescent="0.25">
      <c r="I4503" s="2"/>
    </row>
    <row r="4504" spans="9:9" x14ac:dyDescent="0.25">
      <c r="I4504" s="2"/>
    </row>
    <row r="4505" spans="9:9" x14ac:dyDescent="0.25">
      <c r="I4505" s="2"/>
    </row>
    <row r="4506" spans="9:9" x14ac:dyDescent="0.25">
      <c r="I4506" s="2"/>
    </row>
    <row r="4507" spans="9:9" x14ac:dyDescent="0.25">
      <c r="I4507" s="2"/>
    </row>
    <row r="4508" spans="9:9" x14ac:dyDescent="0.25">
      <c r="I4508" s="2"/>
    </row>
    <row r="4509" spans="9:9" x14ac:dyDescent="0.25">
      <c r="I4509" s="2"/>
    </row>
    <row r="4510" spans="9:9" x14ac:dyDescent="0.25">
      <c r="I4510" s="2"/>
    </row>
    <row r="4511" spans="9:9" x14ac:dyDescent="0.25">
      <c r="I4511" s="2"/>
    </row>
    <row r="4512" spans="9:9" x14ac:dyDescent="0.25">
      <c r="I4512" s="2"/>
    </row>
    <row r="4513" spans="9:9" x14ac:dyDescent="0.25">
      <c r="I4513" s="2"/>
    </row>
    <row r="4514" spans="9:9" x14ac:dyDescent="0.25">
      <c r="I4514" s="2"/>
    </row>
    <row r="4515" spans="9:9" x14ac:dyDescent="0.25">
      <c r="I4515" s="2"/>
    </row>
    <row r="4516" spans="9:9" x14ac:dyDescent="0.25">
      <c r="I4516" s="2"/>
    </row>
    <row r="4517" spans="9:9" x14ac:dyDescent="0.25">
      <c r="I4517" s="2"/>
    </row>
    <row r="4518" spans="9:9" x14ac:dyDescent="0.25">
      <c r="I4518" s="2"/>
    </row>
    <row r="4519" spans="9:9" x14ac:dyDescent="0.25">
      <c r="I4519" s="2"/>
    </row>
    <row r="4520" spans="9:9" x14ac:dyDescent="0.25">
      <c r="I4520" s="2"/>
    </row>
    <row r="4521" spans="9:9" x14ac:dyDescent="0.25">
      <c r="I4521" s="2"/>
    </row>
    <row r="4522" spans="9:9" x14ac:dyDescent="0.25">
      <c r="I4522" s="2"/>
    </row>
    <row r="4523" spans="9:9" x14ac:dyDescent="0.25">
      <c r="I4523" s="2"/>
    </row>
    <row r="4524" spans="9:9" x14ac:dyDescent="0.25">
      <c r="I4524" s="2"/>
    </row>
    <row r="4525" spans="9:9" x14ac:dyDescent="0.25">
      <c r="I4525" s="2"/>
    </row>
    <row r="4526" spans="9:9" x14ac:dyDescent="0.25">
      <c r="I4526" s="2"/>
    </row>
    <row r="4527" spans="9:9" x14ac:dyDescent="0.25">
      <c r="I4527" s="2"/>
    </row>
    <row r="4528" spans="9:9" x14ac:dyDescent="0.25">
      <c r="I4528" s="2"/>
    </row>
    <row r="4529" spans="9:9" x14ac:dyDescent="0.25">
      <c r="I4529" s="2"/>
    </row>
    <row r="4530" spans="9:9" x14ac:dyDescent="0.25">
      <c r="I4530" s="2"/>
    </row>
    <row r="4531" spans="9:9" x14ac:dyDescent="0.25">
      <c r="I4531" s="2"/>
    </row>
    <row r="4532" spans="9:9" x14ac:dyDescent="0.25">
      <c r="I4532" s="2"/>
    </row>
    <row r="4533" spans="9:9" x14ac:dyDescent="0.25">
      <c r="I4533" s="2"/>
    </row>
    <row r="4534" spans="9:9" x14ac:dyDescent="0.25">
      <c r="I4534" s="2"/>
    </row>
    <row r="4535" spans="9:9" x14ac:dyDescent="0.25">
      <c r="I4535" s="2"/>
    </row>
    <row r="4536" spans="9:9" x14ac:dyDescent="0.25">
      <c r="I4536" s="2"/>
    </row>
    <row r="4537" spans="9:9" x14ac:dyDescent="0.25">
      <c r="I4537" s="2"/>
    </row>
    <row r="4538" spans="9:9" x14ac:dyDescent="0.25">
      <c r="I4538" s="2"/>
    </row>
    <row r="4539" spans="9:9" x14ac:dyDescent="0.25">
      <c r="I4539" s="2"/>
    </row>
    <row r="4540" spans="9:9" x14ac:dyDescent="0.25">
      <c r="I4540" s="2"/>
    </row>
    <row r="4541" spans="9:9" x14ac:dyDescent="0.25">
      <c r="I4541" s="2"/>
    </row>
    <row r="4542" spans="9:9" x14ac:dyDescent="0.25">
      <c r="I4542" s="2"/>
    </row>
    <row r="4543" spans="9:9" x14ac:dyDescent="0.25">
      <c r="I4543" s="2"/>
    </row>
    <row r="4544" spans="9:9" x14ac:dyDescent="0.25">
      <c r="I4544" s="2"/>
    </row>
    <row r="4545" spans="9:9" x14ac:dyDescent="0.25">
      <c r="I4545" s="2"/>
    </row>
    <row r="4546" spans="9:9" x14ac:dyDescent="0.25">
      <c r="I4546" s="2"/>
    </row>
    <row r="4547" spans="9:9" x14ac:dyDescent="0.25">
      <c r="I4547" s="2"/>
    </row>
    <row r="4548" spans="9:9" x14ac:dyDescent="0.25">
      <c r="I4548" s="2"/>
    </row>
    <row r="4549" spans="9:9" x14ac:dyDescent="0.25">
      <c r="I4549" s="2"/>
    </row>
    <row r="4550" spans="9:9" x14ac:dyDescent="0.25">
      <c r="I4550" s="2"/>
    </row>
    <row r="4551" spans="9:9" x14ac:dyDescent="0.25">
      <c r="I4551" s="2"/>
    </row>
    <row r="4552" spans="9:9" x14ac:dyDescent="0.25">
      <c r="I4552" s="2"/>
    </row>
    <row r="4553" spans="9:9" x14ac:dyDescent="0.25">
      <c r="I4553" s="2"/>
    </row>
    <row r="4554" spans="9:9" x14ac:dyDescent="0.25">
      <c r="I4554" s="2"/>
    </row>
    <row r="4555" spans="9:9" x14ac:dyDescent="0.25">
      <c r="I4555" s="2"/>
    </row>
    <row r="4556" spans="9:9" x14ac:dyDescent="0.25">
      <c r="I4556" s="2"/>
    </row>
    <row r="4557" spans="9:9" x14ac:dyDescent="0.25">
      <c r="I4557" s="2"/>
    </row>
    <row r="4558" spans="9:9" x14ac:dyDescent="0.25">
      <c r="I4558" s="2"/>
    </row>
    <row r="4559" spans="9:9" x14ac:dyDescent="0.25">
      <c r="I4559" s="2"/>
    </row>
    <row r="4560" spans="9:9" x14ac:dyDescent="0.25">
      <c r="I4560" s="2"/>
    </row>
    <row r="4561" spans="9:9" x14ac:dyDescent="0.25">
      <c r="I4561" s="2"/>
    </row>
    <row r="4562" spans="9:9" x14ac:dyDescent="0.25">
      <c r="I4562" s="2"/>
    </row>
    <row r="4563" spans="9:9" x14ac:dyDescent="0.25">
      <c r="I4563" s="2"/>
    </row>
    <row r="4564" spans="9:9" x14ac:dyDescent="0.25">
      <c r="I4564" s="2"/>
    </row>
    <row r="4565" spans="9:9" x14ac:dyDescent="0.25">
      <c r="I4565" s="2"/>
    </row>
    <row r="4566" spans="9:9" x14ac:dyDescent="0.25">
      <c r="I4566" s="2"/>
    </row>
    <row r="4567" spans="9:9" x14ac:dyDescent="0.25">
      <c r="I4567" s="2"/>
    </row>
    <row r="4568" spans="9:9" x14ac:dyDescent="0.25">
      <c r="I4568" s="2"/>
    </row>
    <row r="4569" spans="9:9" x14ac:dyDescent="0.25">
      <c r="I4569" s="2"/>
    </row>
    <row r="4570" spans="9:9" x14ac:dyDescent="0.25">
      <c r="I4570" s="2"/>
    </row>
    <row r="4571" spans="9:9" x14ac:dyDescent="0.25">
      <c r="I4571" s="2"/>
    </row>
    <row r="4572" spans="9:9" x14ac:dyDescent="0.25">
      <c r="I4572" s="2"/>
    </row>
    <row r="4573" spans="9:9" x14ac:dyDescent="0.25">
      <c r="I4573" s="2"/>
    </row>
    <row r="4574" spans="9:9" x14ac:dyDescent="0.25">
      <c r="I4574" s="2"/>
    </row>
    <row r="4575" spans="9:9" x14ac:dyDescent="0.25">
      <c r="I4575" s="2"/>
    </row>
    <row r="4576" spans="9:9" x14ac:dyDescent="0.25">
      <c r="I4576" s="2"/>
    </row>
    <row r="4577" spans="9:9" x14ac:dyDescent="0.25">
      <c r="I4577" s="2"/>
    </row>
    <row r="4578" spans="9:9" x14ac:dyDescent="0.25">
      <c r="I4578" s="2"/>
    </row>
    <row r="4579" spans="9:9" x14ac:dyDescent="0.25">
      <c r="I4579" s="2"/>
    </row>
    <row r="4580" spans="9:9" x14ac:dyDescent="0.25">
      <c r="I4580" s="2"/>
    </row>
    <row r="4581" spans="9:9" x14ac:dyDescent="0.25">
      <c r="I4581" s="2"/>
    </row>
    <row r="4582" spans="9:9" x14ac:dyDescent="0.25">
      <c r="I4582" s="2"/>
    </row>
    <row r="4583" spans="9:9" x14ac:dyDescent="0.25">
      <c r="I4583" s="2"/>
    </row>
    <row r="4584" spans="9:9" x14ac:dyDescent="0.25">
      <c r="I4584" s="2"/>
    </row>
    <row r="4585" spans="9:9" x14ac:dyDescent="0.25">
      <c r="I4585" s="2"/>
    </row>
    <row r="4586" spans="9:9" x14ac:dyDescent="0.25">
      <c r="I4586" s="2"/>
    </row>
    <row r="4587" spans="9:9" x14ac:dyDescent="0.25">
      <c r="I4587" s="2"/>
    </row>
    <row r="4588" spans="9:9" x14ac:dyDescent="0.25">
      <c r="I4588" s="2"/>
    </row>
    <row r="4589" spans="9:9" x14ac:dyDescent="0.25">
      <c r="I4589" s="2"/>
    </row>
    <row r="4590" spans="9:9" x14ac:dyDescent="0.25">
      <c r="I4590" s="2"/>
    </row>
    <row r="4591" spans="9:9" x14ac:dyDescent="0.25">
      <c r="I4591" s="2"/>
    </row>
    <row r="4592" spans="9:9" x14ac:dyDescent="0.25">
      <c r="I4592" s="2"/>
    </row>
    <row r="4593" spans="9:9" x14ac:dyDescent="0.25">
      <c r="I4593" s="2"/>
    </row>
    <row r="4594" spans="9:9" x14ac:dyDescent="0.25">
      <c r="I4594" s="2"/>
    </row>
    <row r="4595" spans="9:9" x14ac:dyDescent="0.25">
      <c r="I4595" s="2"/>
    </row>
    <row r="4596" spans="9:9" x14ac:dyDescent="0.25">
      <c r="I4596" s="2"/>
    </row>
    <row r="4597" spans="9:9" x14ac:dyDescent="0.25">
      <c r="I4597" s="2"/>
    </row>
    <row r="4598" spans="9:9" x14ac:dyDescent="0.25">
      <c r="I4598" s="2"/>
    </row>
    <row r="4599" spans="9:9" x14ac:dyDescent="0.25">
      <c r="I4599" s="2"/>
    </row>
    <row r="4600" spans="9:9" x14ac:dyDescent="0.25">
      <c r="I4600" s="2"/>
    </row>
    <row r="4601" spans="9:9" x14ac:dyDescent="0.25">
      <c r="I4601" s="2"/>
    </row>
    <row r="4602" spans="9:9" x14ac:dyDescent="0.25">
      <c r="I4602" s="2"/>
    </row>
    <row r="4603" spans="9:9" x14ac:dyDescent="0.25">
      <c r="I4603" s="2"/>
    </row>
    <row r="4604" spans="9:9" x14ac:dyDescent="0.25">
      <c r="I4604" s="2"/>
    </row>
    <row r="4605" spans="9:9" x14ac:dyDescent="0.25">
      <c r="I4605" s="2"/>
    </row>
    <row r="4606" spans="9:9" x14ac:dyDescent="0.25">
      <c r="I4606" s="2"/>
    </row>
    <row r="4607" spans="9:9" x14ac:dyDescent="0.25">
      <c r="I4607" s="2"/>
    </row>
    <row r="4608" spans="9:9" x14ac:dyDescent="0.25">
      <c r="I4608" s="2"/>
    </row>
    <row r="4609" spans="9:9" x14ac:dyDescent="0.25">
      <c r="I4609" s="2"/>
    </row>
    <row r="4610" spans="9:9" x14ac:dyDescent="0.25">
      <c r="I4610" s="2"/>
    </row>
    <row r="4611" spans="9:9" x14ac:dyDescent="0.25">
      <c r="I4611" s="2"/>
    </row>
    <row r="4612" spans="9:9" x14ac:dyDescent="0.25">
      <c r="I4612" s="2"/>
    </row>
    <row r="4613" spans="9:9" x14ac:dyDescent="0.25">
      <c r="I4613" s="2"/>
    </row>
    <row r="4614" spans="9:9" x14ac:dyDescent="0.25">
      <c r="I4614" s="2"/>
    </row>
    <row r="4615" spans="9:9" x14ac:dyDescent="0.25">
      <c r="I4615" s="2"/>
    </row>
    <row r="4616" spans="9:9" x14ac:dyDescent="0.25">
      <c r="I4616" s="2"/>
    </row>
    <row r="4617" spans="9:9" x14ac:dyDescent="0.25">
      <c r="I4617" s="2"/>
    </row>
    <row r="4618" spans="9:9" x14ac:dyDescent="0.25">
      <c r="I4618" s="2"/>
    </row>
    <row r="4619" spans="9:9" x14ac:dyDescent="0.25">
      <c r="I4619" s="2"/>
    </row>
    <row r="4620" spans="9:9" x14ac:dyDescent="0.25">
      <c r="I4620" s="2"/>
    </row>
    <row r="4621" spans="9:9" x14ac:dyDescent="0.25">
      <c r="I4621" s="2"/>
    </row>
    <row r="4622" spans="9:9" x14ac:dyDescent="0.25">
      <c r="I4622" s="2"/>
    </row>
    <row r="4623" spans="9:9" x14ac:dyDescent="0.25">
      <c r="I4623" s="2"/>
    </row>
    <row r="4624" spans="9:9" x14ac:dyDescent="0.25">
      <c r="I4624" s="2"/>
    </row>
    <row r="4625" spans="9:9" x14ac:dyDescent="0.25">
      <c r="I4625" s="2"/>
    </row>
    <row r="4626" spans="9:9" x14ac:dyDescent="0.25">
      <c r="I4626" s="2"/>
    </row>
    <row r="4627" spans="9:9" x14ac:dyDescent="0.25">
      <c r="I4627" s="2"/>
    </row>
    <row r="4628" spans="9:9" x14ac:dyDescent="0.25">
      <c r="I4628" s="2"/>
    </row>
    <row r="4629" spans="9:9" x14ac:dyDescent="0.25">
      <c r="I4629" s="2"/>
    </row>
    <row r="4630" spans="9:9" x14ac:dyDescent="0.25">
      <c r="I4630" s="2"/>
    </row>
    <row r="4631" spans="9:9" x14ac:dyDescent="0.25">
      <c r="I4631" s="2"/>
    </row>
    <row r="4632" spans="9:9" x14ac:dyDescent="0.25">
      <c r="I4632" s="2"/>
    </row>
    <row r="4633" spans="9:9" x14ac:dyDescent="0.25">
      <c r="I4633" s="2"/>
    </row>
    <row r="4634" spans="9:9" x14ac:dyDescent="0.25">
      <c r="I4634" s="2"/>
    </row>
    <row r="4635" spans="9:9" x14ac:dyDescent="0.25">
      <c r="I4635" s="2"/>
    </row>
    <row r="4636" spans="9:9" x14ac:dyDescent="0.25">
      <c r="I4636" s="2"/>
    </row>
    <row r="4637" spans="9:9" x14ac:dyDescent="0.25">
      <c r="I4637" s="2"/>
    </row>
    <row r="4638" spans="9:9" x14ac:dyDescent="0.25">
      <c r="I4638" s="2"/>
    </row>
    <row r="4639" spans="9:9" x14ac:dyDescent="0.25">
      <c r="I4639" s="2"/>
    </row>
    <row r="4640" spans="9:9" x14ac:dyDescent="0.25">
      <c r="I4640" s="2"/>
    </row>
    <row r="4641" spans="9:9" x14ac:dyDescent="0.25">
      <c r="I4641" s="2"/>
    </row>
    <row r="4642" spans="9:9" x14ac:dyDescent="0.25">
      <c r="I4642" s="2"/>
    </row>
    <row r="4643" spans="9:9" x14ac:dyDescent="0.25">
      <c r="I4643" s="2"/>
    </row>
    <row r="4644" spans="9:9" x14ac:dyDescent="0.25">
      <c r="I4644" s="2"/>
    </row>
    <row r="4645" spans="9:9" x14ac:dyDescent="0.25">
      <c r="I4645" s="2"/>
    </row>
    <row r="4646" spans="9:9" x14ac:dyDescent="0.25">
      <c r="I4646" s="2"/>
    </row>
    <row r="4647" spans="9:9" x14ac:dyDescent="0.25">
      <c r="I4647" s="2"/>
    </row>
    <row r="4648" spans="9:9" x14ac:dyDescent="0.25">
      <c r="I4648" s="2"/>
    </row>
    <row r="4649" spans="9:9" x14ac:dyDescent="0.25">
      <c r="I4649" s="2"/>
    </row>
    <row r="4650" spans="9:9" x14ac:dyDescent="0.25">
      <c r="I4650" s="2"/>
    </row>
    <row r="4651" spans="9:9" x14ac:dyDescent="0.25">
      <c r="I4651" s="2"/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5FFD6-44E9-4C98-9751-B68AC597DE72}">
  <dimension ref="A1:K4651"/>
  <sheetViews>
    <sheetView workbookViewId="0">
      <pane ySplit="1" topLeftCell="A2" activePane="bottomLeft" state="frozen"/>
      <selection pane="bottomLeft" activeCell="J2" sqref="J2"/>
    </sheetView>
  </sheetViews>
  <sheetFormatPr defaultRowHeight="15" x14ac:dyDescent="0.25"/>
  <cols>
    <col min="1" max="2" width="9.140625" style="1"/>
    <col min="3" max="3" width="13.5703125" bestFit="1" customWidth="1"/>
    <col min="4" max="4" width="14.85546875" style="1" bestFit="1" customWidth="1"/>
    <col min="8" max="8" width="10.85546875" bestFit="1" customWidth="1"/>
    <col min="9" max="9" width="9.85546875" bestFit="1" customWidth="1"/>
    <col min="10" max="10" width="14.85546875" customWidth="1"/>
    <col min="11" max="11" width="14.42578125" customWidth="1"/>
  </cols>
  <sheetData>
    <row r="1" spans="1:11" ht="30" customHeight="1" x14ac:dyDescent="0.25">
      <c r="A1" s="1" t="s">
        <v>1</v>
      </c>
      <c r="B1" s="1" t="s">
        <v>98</v>
      </c>
      <c r="C1" t="s">
        <v>58</v>
      </c>
      <c r="D1" s="1" t="s">
        <v>2</v>
      </c>
      <c r="E1" s="1" t="s">
        <v>0</v>
      </c>
      <c r="F1" s="1" t="s">
        <v>100</v>
      </c>
      <c r="G1" s="7" t="s">
        <v>93</v>
      </c>
      <c r="H1" t="s">
        <v>4</v>
      </c>
      <c r="I1" s="7" t="s">
        <v>57</v>
      </c>
      <c r="J1" s="11" t="s">
        <v>102</v>
      </c>
      <c r="K1" s="11" t="s">
        <v>103</v>
      </c>
    </row>
    <row r="2" spans="1:11" x14ac:dyDescent="0.25">
      <c r="A2" s="1">
        <v>1958</v>
      </c>
      <c r="B2" s="1" t="s">
        <v>99</v>
      </c>
      <c r="C2" t="s">
        <v>6</v>
      </c>
      <c r="D2" s="1" t="s">
        <v>94</v>
      </c>
      <c r="E2">
        <v>21</v>
      </c>
      <c r="F2" s="1" t="s">
        <v>105</v>
      </c>
      <c r="G2">
        <v>1</v>
      </c>
      <c r="H2">
        <v>4</v>
      </c>
      <c r="I2" s="2">
        <f>0.005454*(G2+0.5)^2*H2</f>
        <v>4.9085999999999998E-2</v>
      </c>
      <c r="J2">
        <f>I2/(71*0.01)</f>
        <v>6.9135211267605634E-2</v>
      </c>
      <c r="K2">
        <f>J2*(26.79/38.29)</f>
        <v>4.8371175499063848E-2</v>
      </c>
    </row>
    <row r="3" spans="1:11" x14ac:dyDescent="0.25">
      <c r="A3" s="1">
        <v>1958</v>
      </c>
      <c r="B3" s="1" t="s">
        <v>99</v>
      </c>
      <c r="C3" t="s">
        <v>6</v>
      </c>
      <c r="D3" s="1" t="s">
        <v>94</v>
      </c>
      <c r="E3">
        <v>21</v>
      </c>
      <c r="F3" s="1" t="s">
        <v>105</v>
      </c>
      <c r="G3">
        <v>2</v>
      </c>
      <c r="H3">
        <v>1</v>
      </c>
      <c r="I3" s="2">
        <f t="shared" ref="I3:I66" si="0">0.005454*(G3+0.5)^2*H3</f>
        <v>3.40875E-2</v>
      </c>
      <c r="J3">
        <f t="shared" ref="J3:J66" si="1">I3/(71*0.01)</f>
        <v>4.8010563380281694E-2</v>
      </c>
      <c r="K3">
        <f t="shared" ref="K3:K66" si="2">J3*(26.79/38.29)</f>
        <v>3.359109409657212E-2</v>
      </c>
    </row>
    <row r="4" spans="1:11" x14ac:dyDescent="0.25">
      <c r="A4" s="1">
        <v>1958</v>
      </c>
      <c r="B4" s="1" t="s">
        <v>99</v>
      </c>
      <c r="C4" t="s">
        <v>6</v>
      </c>
      <c r="D4" s="1" t="s">
        <v>94</v>
      </c>
      <c r="E4">
        <v>21</v>
      </c>
      <c r="F4" s="1" t="s">
        <v>105</v>
      </c>
      <c r="G4">
        <v>3</v>
      </c>
      <c r="H4">
        <v>1</v>
      </c>
      <c r="I4" s="2">
        <f t="shared" si="0"/>
        <v>6.6811499999999996E-2</v>
      </c>
      <c r="J4">
        <f t="shared" si="1"/>
        <v>9.4100704225352105E-2</v>
      </c>
      <c r="K4">
        <f t="shared" si="2"/>
        <v>6.5838544429281345E-2</v>
      </c>
    </row>
    <row r="5" spans="1:11" x14ac:dyDescent="0.25">
      <c r="A5" s="1">
        <v>1958</v>
      </c>
      <c r="B5" s="1" t="s">
        <v>99</v>
      </c>
      <c r="C5" t="s">
        <v>6</v>
      </c>
      <c r="D5" s="1" t="s">
        <v>94</v>
      </c>
      <c r="E5">
        <v>21</v>
      </c>
      <c r="F5" s="1" t="s">
        <v>105</v>
      </c>
      <c r="G5">
        <v>4</v>
      </c>
      <c r="H5">
        <v>1</v>
      </c>
      <c r="I5" s="2">
        <f t="shared" si="0"/>
        <v>0.11044349999999999</v>
      </c>
      <c r="J5">
        <f t="shared" si="1"/>
        <v>0.15555422535211266</v>
      </c>
      <c r="K5">
        <f t="shared" si="2"/>
        <v>0.10883514487289365</v>
      </c>
    </row>
    <row r="6" spans="1:11" x14ac:dyDescent="0.25">
      <c r="A6" s="1">
        <v>1958</v>
      </c>
      <c r="B6" s="1" t="s">
        <v>99</v>
      </c>
      <c r="C6" t="s">
        <v>6</v>
      </c>
      <c r="D6" s="1" t="s">
        <v>94</v>
      </c>
      <c r="E6">
        <v>25</v>
      </c>
      <c r="F6" s="1" t="s">
        <v>105</v>
      </c>
      <c r="G6">
        <v>1</v>
      </c>
      <c r="H6">
        <v>2</v>
      </c>
      <c r="I6" s="2">
        <f t="shared" si="0"/>
        <v>2.4542999999999999E-2</v>
      </c>
      <c r="J6">
        <f t="shared" si="1"/>
        <v>3.4567605633802817E-2</v>
      </c>
      <c r="K6">
        <f t="shared" si="2"/>
        <v>2.4185587749531924E-2</v>
      </c>
    </row>
    <row r="7" spans="1:11" x14ac:dyDescent="0.25">
      <c r="A7" s="1">
        <v>1958</v>
      </c>
      <c r="B7" s="1" t="s">
        <v>99</v>
      </c>
      <c r="C7" t="s">
        <v>6</v>
      </c>
      <c r="D7" s="1" t="s">
        <v>94</v>
      </c>
      <c r="E7">
        <v>25</v>
      </c>
      <c r="F7" s="1" t="s">
        <v>105</v>
      </c>
      <c r="G7">
        <v>4</v>
      </c>
      <c r="H7">
        <v>1</v>
      </c>
      <c r="I7" s="2">
        <f t="shared" si="0"/>
        <v>0.11044349999999999</v>
      </c>
      <c r="J7">
        <f t="shared" si="1"/>
        <v>0.15555422535211266</v>
      </c>
      <c r="K7">
        <f t="shared" si="2"/>
        <v>0.10883514487289365</v>
      </c>
    </row>
    <row r="8" spans="1:11" x14ac:dyDescent="0.25">
      <c r="A8" s="1">
        <v>1958</v>
      </c>
      <c r="B8" s="1" t="s">
        <v>99</v>
      </c>
      <c r="C8" t="s">
        <v>6</v>
      </c>
      <c r="D8" s="1" t="s">
        <v>94</v>
      </c>
      <c r="E8">
        <v>29</v>
      </c>
      <c r="F8" s="1" t="s">
        <v>105</v>
      </c>
      <c r="G8">
        <v>1</v>
      </c>
      <c r="H8">
        <v>4</v>
      </c>
      <c r="I8" s="2">
        <f t="shared" si="0"/>
        <v>4.9085999999999998E-2</v>
      </c>
      <c r="J8">
        <f t="shared" si="1"/>
        <v>6.9135211267605634E-2</v>
      </c>
      <c r="K8">
        <f t="shared" si="2"/>
        <v>4.8371175499063848E-2</v>
      </c>
    </row>
    <row r="9" spans="1:11" x14ac:dyDescent="0.25">
      <c r="A9" s="1">
        <v>1958</v>
      </c>
      <c r="B9" s="1" t="s">
        <v>99</v>
      </c>
      <c r="C9" t="s">
        <v>6</v>
      </c>
      <c r="D9" s="1" t="s">
        <v>94</v>
      </c>
      <c r="E9">
        <v>29</v>
      </c>
      <c r="F9" s="1" t="s">
        <v>105</v>
      </c>
      <c r="G9">
        <v>2</v>
      </c>
      <c r="H9">
        <v>5</v>
      </c>
      <c r="I9" s="2">
        <f t="shared" si="0"/>
        <v>0.17043749999999999</v>
      </c>
      <c r="J9">
        <f t="shared" si="1"/>
        <v>0.24005281690140845</v>
      </c>
      <c r="K9">
        <f t="shared" si="2"/>
        <v>0.16795547048286058</v>
      </c>
    </row>
    <row r="10" spans="1:11" x14ac:dyDescent="0.25">
      <c r="A10" s="1">
        <v>1958</v>
      </c>
      <c r="B10" s="1" t="s">
        <v>99</v>
      </c>
      <c r="C10" t="s">
        <v>6</v>
      </c>
      <c r="D10" s="1" t="s">
        <v>94</v>
      </c>
      <c r="E10">
        <v>29</v>
      </c>
      <c r="F10" s="1" t="s">
        <v>105</v>
      </c>
      <c r="G10">
        <v>3</v>
      </c>
      <c r="H10">
        <v>3</v>
      </c>
      <c r="I10" s="2">
        <f t="shared" si="0"/>
        <v>0.20043449999999999</v>
      </c>
      <c r="J10">
        <f t="shared" si="1"/>
        <v>0.28230211267605632</v>
      </c>
      <c r="K10">
        <f t="shared" si="2"/>
        <v>0.19751563328784405</v>
      </c>
    </row>
    <row r="11" spans="1:11" x14ac:dyDescent="0.25">
      <c r="A11" s="1">
        <v>1958</v>
      </c>
      <c r="B11" s="1" t="s">
        <v>99</v>
      </c>
      <c r="C11" t="s">
        <v>6</v>
      </c>
      <c r="D11" s="1" t="s">
        <v>94</v>
      </c>
      <c r="E11">
        <v>30</v>
      </c>
      <c r="F11" s="1" t="s">
        <v>105</v>
      </c>
      <c r="G11">
        <v>1</v>
      </c>
      <c r="H11">
        <v>1</v>
      </c>
      <c r="I11" s="2">
        <f t="shared" si="0"/>
        <v>1.2271499999999999E-2</v>
      </c>
      <c r="J11">
        <f t="shared" si="1"/>
        <v>1.7283802816901409E-2</v>
      </c>
      <c r="K11">
        <f t="shared" si="2"/>
        <v>1.2092793874765962E-2</v>
      </c>
    </row>
    <row r="12" spans="1:11" x14ac:dyDescent="0.25">
      <c r="A12" s="1">
        <v>1958</v>
      </c>
      <c r="B12" s="1" t="s">
        <v>99</v>
      </c>
      <c r="C12" t="s">
        <v>6</v>
      </c>
      <c r="D12" s="1" t="s">
        <v>94</v>
      </c>
      <c r="E12">
        <v>30</v>
      </c>
      <c r="F12" s="1" t="s">
        <v>105</v>
      </c>
      <c r="G12">
        <v>3</v>
      </c>
      <c r="H12">
        <v>1</v>
      </c>
      <c r="I12" s="2">
        <f t="shared" si="0"/>
        <v>6.6811499999999996E-2</v>
      </c>
      <c r="J12">
        <f t="shared" si="1"/>
        <v>9.4100704225352105E-2</v>
      </c>
      <c r="K12">
        <f t="shared" si="2"/>
        <v>6.5838544429281345E-2</v>
      </c>
    </row>
    <row r="13" spans="1:11" x14ac:dyDescent="0.25">
      <c r="A13" s="1">
        <v>1958</v>
      </c>
      <c r="B13" s="1" t="s">
        <v>99</v>
      </c>
      <c r="C13" t="s">
        <v>6</v>
      </c>
      <c r="D13" s="1" t="s">
        <v>94</v>
      </c>
      <c r="E13">
        <v>32</v>
      </c>
      <c r="F13" s="1" t="s">
        <v>105</v>
      </c>
      <c r="G13">
        <v>1</v>
      </c>
      <c r="H13">
        <v>34</v>
      </c>
      <c r="I13" s="2">
        <f t="shared" si="0"/>
        <v>0.41723099999999996</v>
      </c>
      <c r="J13">
        <f t="shared" si="1"/>
        <v>0.58764929577464786</v>
      </c>
      <c r="K13">
        <f t="shared" si="2"/>
        <v>0.41115499174204273</v>
      </c>
    </row>
    <row r="14" spans="1:11" x14ac:dyDescent="0.25">
      <c r="A14" s="1">
        <v>1958</v>
      </c>
      <c r="B14" s="1" t="s">
        <v>99</v>
      </c>
      <c r="C14" t="s">
        <v>6</v>
      </c>
      <c r="D14" s="1" t="s">
        <v>94</v>
      </c>
      <c r="E14">
        <v>32</v>
      </c>
      <c r="F14" s="1" t="s">
        <v>105</v>
      </c>
      <c r="G14">
        <v>2</v>
      </c>
      <c r="H14">
        <v>6</v>
      </c>
      <c r="I14" s="2">
        <f t="shared" si="0"/>
        <v>0.20452500000000001</v>
      </c>
      <c r="J14">
        <f t="shared" si="1"/>
        <v>0.28806338028169015</v>
      </c>
      <c r="K14">
        <f t="shared" si="2"/>
        <v>0.20154656457943271</v>
      </c>
    </row>
    <row r="15" spans="1:11" x14ac:dyDescent="0.25">
      <c r="A15" s="1">
        <v>1958</v>
      </c>
      <c r="B15" s="1" t="s">
        <v>99</v>
      </c>
      <c r="C15" t="s">
        <v>6</v>
      </c>
      <c r="D15" s="1" t="s">
        <v>94</v>
      </c>
      <c r="E15">
        <v>34</v>
      </c>
      <c r="F15" s="1" t="s">
        <v>105</v>
      </c>
      <c r="G15">
        <v>1</v>
      </c>
      <c r="H15">
        <v>5</v>
      </c>
      <c r="I15" s="2">
        <f t="shared" si="0"/>
        <v>6.1357499999999995E-2</v>
      </c>
      <c r="J15">
        <f t="shared" si="1"/>
        <v>8.6419014084507043E-2</v>
      </c>
      <c r="K15">
        <f t="shared" si="2"/>
        <v>6.0463969373829814E-2</v>
      </c>
    </row>
    <row r="16" spans="1:11" x14ac:dyDescent="0.25">
      <c r="A16" s="1">
        <v>1958</v>
      </c>
      <c r="B16" s="1" t="s">
        <v>99</v>
      </c>
      <c r="C16" t="s">
        <v>6</v>
      </c>
      <c r="D16" s="1" t="s">
        <v>94</v>
      </c>
      <c r="E16">
        <v>34</v>
      </c>
      <c r="F16" s="1" t="s">
        <v>105</v>
      </c>
      <c r="G16">
        <v>2</v>
      </c>
      <c r="H16">
        <v>8</v>
      </c>
      <c r="I16" s="2">
        <f t="shared" si="0"/>
        <v>0.2727</v>
      </c>
      <c r="J16">
        <f t="shared" si="1"/>
        <v>0.38408450704225355</v>
      </c>
      <c r="K16">
        <f t="shared" si="2"/>
        <v>0.26872875277257696</v>
      </c>
    </row>
    <row r="17" spans="1:11" x14ac:dyDescent="0.25">
      <c r="A17" s="1">
        <v>1958</v>
      </c>
      <c r="B17" s="1" t="s">
        <v>99</v>
      </c>
      <c r="C17" t="s">
        <v>6</v>
      </c>
      <c r="D17" s="1" t="s">
        <v>94</v>
      </c>
      <c r="E17">
        <v>34</v>
      </c>
      <c r="F17" s="1" t="s">
        <v>105</v>
      </c>
      <c r="G17">
        <v>3</v>
      </c>
      <c r="H17">
        <v>7</v>
      </c>
      <c r="I17" s="2">
        <f t="shared" si="0"/>
        <v>0.46768049999999994</v>
      </c>
      <c r="J17">
        <f t="shared" si="1"/>
        <v>0.65870492957746474</v>
      </c>
      <c r="K17">
        <f t="shared" si="2"/>
        <v>0.46086981100496943</v>
      </c>
    </row>
    <row r="18" spans="1:11" x14ac:dyDescent="0.25">
      <c r="A18" s="1">
        <v>1958</v>
      </c>
      <c r="B18" s="1" t="s">
        <v>99</v>
      </c>
      <c r="C18" t="s">
        <v>6</v>
      </c>
      <c r="D18" s="1" t="s">
        <v>94</v>
      </c>
      <c r="E18">
        <v>34</v>
      </c>
      <c r="F18" s="1" t="s">
        <v>105</v>
      </c>
      <c r="G18">
        <v>4</v>
      </c>
      <c r="H18">
        <v>4</v>
      </c>
      <c r="I18" s="2">
        <f t="shared" si="0"/>
        <v>0.44177399999999994</v>
      </c>
      <c r="J18">
        <f t="shared" si="1"/>
        <v>0.62221690140845065</v>
      </c>
      <c r="K18">
        <f t="shared" si="2"/>
        <v>0.43534057949157462</v>
      </c>
    </row>
    <row r="19" spans="1:11" x14ac:dyDescent="0.25">
      <c r="A19" s="1">
        <v>1958</v>
      </c>
      <c r="B19" s="1" t="s">
        <v>99</v>
      </c>
      <c r="C19" t="s">
        <v>6</v>
      </c>
      <c r="D19" s="1" t="s">
        <v>94</v>
      </c>
      <c r="E19">
        <v>38</v>
      </c>
      <c r="F19" s="1" t="s">
        <v>105</v>
      </c>
      <c r="G19">
        <v>1</v>
      </c>
      <c r="H19">
        <v>2</v>
      </c>
      <c r="I19" s="2">
        <f t="shared" si="0"/>
        <v>2.4542999999999999E-2</v>
      </c>
      <c r="J19">
        <f t="shared" si="1"/>
        <v>3.4567605633802817E-2</v>
      </c>
      <c r="K19">
        <f t="shared" si="2"/>
        <v>2.4185587749531924E-2</v>
      </c>
    </row>
    <row r="20" spans="1:11" x14ac:dyDescent="0.25">
      <c r="A20" s="1">
        <v>1958</v>
      </c>
      <c r="B20" s="1" t="s">
        <v>99</v>
      </c>
      <c r="C20" t="s">
        <v>6</v>
      </c>
      <c r="D20" s="1" t="s">
        <v>94</v>
      </c>
      <c r="E20">
        <v>38</v>
      </c>
      <c r="F20" s="1" t="s">
        <v>105</v>
      </c>
      <c r="G20">
        <v>2</v>
      </c>
      <c r="H20">
        <v>2</v>
      </c>
      <c r="I20" s="2">
        <f t="shared" si="0"/>
        <v>6.8174999999999999E-2</v>
      </c>
      <c r="J20">
        <f t="shared" si="1"/>
        <v>9.6021126760563388E-2</v>
      </c>
      <c r="K20">
        <f t="shared" si="2"/>
        <v>6.7182188193144241E-2</v>
      </c>
    </row>
    <row r="21" spans="1:11" x14ac:dyDescent="0.25">
      <c r="A21" s="1">
        <v>1958</v>
      </c>
      <c r="B21" s="1" t="s">
        <v>99</v>
      </c>
      <c r="C21" t="s">
        <v>6</v>
      </c>
      <c r="D21" s="1" t="s">
        <v>94</v>
      </c>
      <c r="E21">
        <v>38</v>
      </c>
      <c r="F21" s="1" t="s">
        <v>105</v>
      </c>
      <c r="G21">
        <v>3</v>
      </c>
      <c r="H21">
        <v>9</v>
      </c>
      <c r="I21" s="2">
        <f t="shared" si="0"/>
        <v>0.60130349999999999</v>
      </c>
      <c r="J21">
        <f t="shared" si="1"/>
        <v>0.84690633802816906</v>
      </c>
      <c r="K21">
        <f t="shared" si="2"/>
        <v>0.59254689986353215</v>
      </c>
    </row>
    <row r="22" spans="1:11" x14ac:dyDescent="0.25">
      <c r="A22" s="1">
        <v>1958</v>
      </c>
      <c r="B22" s="1" t="s">
        <v>99</v>
      </c>
      <c r="C22" t="s">
        <v>6</v>
      </c>
      <c r="D22" s="1" t="s">
        <v>94</v>
      </c>
      <c r="E22">
        <v>38</v>
      </c>
      <c r="F22" s="1" t="s">
        <v>105</v>
      </c>
      <c r="G22">
        <v>4</v>
      </c>
      <c r="H22">
        <v>6</v>
      </c>
      <c r="I22" s="2">
        <f t="shared" si="0"/>
        <v>0.66266099999999994</v>
      </c>
      <c r="J22">
        <f t="shared" si="1"/>
        <v>0.93332535211267598</v>
      </c>
      <c r="K22">
        <f t="shared" si="2"/>
        <v>0.65301086923736196</v>
      </c>
    </row>
    <row r="23" spans="1:11" x14ac:dyDescent="0.25">
      <c r="A23" s="1">
        <v>1958</v>
      </c>
      <c r="B23" s="1" t="s">
        <v>99</v>
      </c>
      <c r="C23" t="s">
        <v>6</v>
      </c>
      <c r="D23" s="1" t="s">
        <v>94</v>
      </c>
      <c r="E23">
        <v>40</v>
      </c>
      <c r="F23" s="1" t="s">
        <v>105</v>
      </c>
      <c r="G23">
        <v>1</v>
      </c>
      <c r="H23">
        <v>1</v>
      </c>
      <c r="I23" s="2">
        <f t="shared" si="0"/>
        <v>1.2271499999999999E-2</v>
      </c>
      <c r="J23">
        <f t="shared" si="1"/>
        <v>1.7283802816901409E-2</v>
      </c>
      <c r="K23">
        <f t="shared" si="2"/>
        <v>1.2092793874765962E-2</v>
      </c>
    </row>
    <row r="24" spans="1:11" x14ac:dyDescent="0.25">
      <c r="A24" s="1">
        <v>1958</v>
      </c>
      <c r="B24" s="1" t="s">
        <v>99</v>
      </c>
      <c r="C24" t="s">
        <v>6</v>
      </c>
      <c r="D24" s="1" t="s">
        <v>94</v>
      </c>
      <c r="E24">
        <v>40</v>
      </c>
      <c r="F24" s="1" t="s">
        <v>105</v>
      </c>
      <c r="G24">
        <v>2</v>
      </c>
      <c r="H24">
        <v>6</v>
      </c>
      <c r="I24" s="2">
        <f t="shared" si="0"/>
        <v>0.20452500000000001</v>
      </c>
      <c r="J24">
        <f t="shared" si="1"/>
        <v>0.28806338028169015</v>
      </c>
      <c r="K24">
        <f t="shared" si="2"/>
        <v>0.20154656457943271</v>
      </c>
    </row>
    <row r="25" spans="1:11" x14ac:dyDescent="0.25">
      <c r="A25" s="1">
        <v>1958</v>
      </c>
      <c r="B25" s="1" t="s">
        <v>99</v>
      </c>
      <c r="C25" t="s">
        <v>6</v>
      </c>
      <c r="D25" s="1" t="s">
        <v>94</v>
      </c>
      <c r="E25">
        <v>40</v>
      </c>
      <c r="F25" s="1" t="s">
        <v>105</v>
      </c>
      <c r="G25">
        <v>3</v>
      </c>
      <c r="H25">
        <v>3</v>
      </c>
      <c r="I25" s="2">
        <f t="shared" si="0"/>
        <v>0.20043449999999999</v>
      </c>
      <c r="J25">
        <f t="shared" si="1"/>
        <v>0.28230211267605632</v>
      </c>
      <c r="K25">
        <f t="shared" si="2"/>
        <v>0.19751563328784405</v>
      </c>
    </row>
    <row r="26" spans="1:11" x14ac:dyDescent="0.25">
      <c r="A26" s="1">
        <v>1958</v>
      </c>
      <c r="B26" s="1" t="s">
        <v>99</v>
      </c>
      <c r="C26" t="s">
        <v>6</v>
      </c>
      <c r="D26" s="1" t="s">
        <v>94</v>
      </c>
      <c r="E26">
        <v>40</v>
      </c>
      <c r="F26" s="1" t="s">
        <v>105</v>
      </c>
      <c r="G26">
        <v>4</v>
      </c>
      <c r="H26">
        <v>7</v>
      </c>
      <c r="I26" s="2">
        <f t="shared" si="0"/>
        <v>0.77310449999999986</v>
      </c>
      <c r="J26">
        <f t="shared" si="1"/>
        <v>1.0888795774647886</v>
      </c>
      <c r="K26">
        <f t="shared" si="2"/>
        <v>0.76184601411025554</v>
      </c>
    </row>
    <row r="27" spans="1:11" x14ac:dyDescent="0.25">
      <c r="A27" s="1">
        <v>1958</v>
      </c>
      <c r="B27" s="1" t="s">
        <v>99</v>
      </c>
      <c r="C27" t="s">
        <v>6</v>
      </c>
      <c r="D27" s="1" t="s">
        <v>94</v>
      </c>
      <c r="E27">
        <v>53</v>
      </c>
      <c r="F27" s="1" t="s">
        <v>105</v>
      </c>
      <c r="G27">
        <v>1</v>
      </c>
      <c r="H27">
        <v>1</v>
      </c>
      <c r="I27" s="2">
        <f t="shared" si="0"/>
        <v>1.2271499999999999E-2</v>
      </c>
      <c r="J27">
        <f t="shared" si="1"/>
        <v>1.7283802816901409E-2</v>
      </c>
      <c r="K27">
        <f t="shared" si="2"/>
        <v>1.2092793874765962E-2</v>
      </c>
    </row>
    <row r="28" spans="1:11" x14ac:dyDescent="0.25">
      <c r="A28" s="1">
        <v>1958</v>
      </c>
      <c r="B28" s="1" t="s">
        <v>99</v>
      </c>
      <c r="C28" t="s">
        <v>6</v>
      </c>
      <c r="D28" s="1" t="s">
        <v>94</v>
      </c>
      <c r="E28">
        <v>53</v>
      </c>
      <c r="F28" s="1" t="s">
        <v>105</v>
      </c>
      <c r="G28">
        <v>2</v>
      </c>
      <c r="H28">
        <v>2</v>
      </c>
      <c r="I28" s="2">
        <f t="shared" si="0"/>
        <v>6.8174999999999999E-2</v>
      </c>
      <c r="J28">
        <f t="shared" si="1"/>
        <v>9.6021126760563388E-2</v>
      </c>
      <c r="K28">
        <f t="shared" si="2"/>
        <v>6.7182188193144241E-2</v>
      </c>
    </row>
    <row r="29" spans="1:11" x14ac:dyDescent="0.25">
      <c r="A29" s="1">
        <v>1958</v>
      </c>
      <c r="B29" s="1" t="s">
        <v>99</v>
      </c>
      <c r="C29" t="s">
        <v>6</v>
      </c>
      <c r="D29" s="1" t="s">
        <v>94</v>
      </c>
      <c r="E29">
        <v>54</v>
      </c>
      <c r="F29" s="1" t="s">
        <v>105</v>
      </c>
      <c r="G29">
        <v>1</v>
      </c>
      <c r="H29">
        <v>1</v>
      </c>
      <c r="I29" s="2">
        <f t="shared" si="0"/>
        <v>1.2271499999999999E-2</v>
      </c>
      <c r="J29">
        <f t="shared" si="1"/>
        <v>1.7283802816901409E-2</v>
      </c>
      <c r="K29">
        <f t="shared" si="2"/>
        <v>1.2092793874765962E-2</v>
      </c>
    </row>
    <row r="30" spans="1:11" x14ac:dyDescent="0.25">
      <c r="A30" s="1">
        <v>1958</v>
      </c>
      <c r="B30" s="1" t="s">
        <v>99</v>
      </c>
      <c r="C30" t="s">
        <v>6</v>
      </c>
      <c r="D30" s="1" t="s">
        <v>94</v>
      </c>
      <c r="E30">
        <v>54</v>
      </c>
      <c r="F30" s="1" t="s">
        <v>105</v>
      </c>
      <c r="G30">
        <v>3</v>
      </c>
      <c r="H30">
        <v>1</v>
      </c>
      <c r="I30" s="2">
        <f t="shared" si="0"/>
        <v>6.6811499999999996E-2</v>
      </c>
      <c r="J30">
        <f t="shared" si="1"/>
        <v>9.4100704225352105E-2</v>
      </c>
      <c r="K30">
        <f t="shared" si="2"/>
        <v>6.5838544429281345E-2</v>
      </c>
    </row>
    <row r="31" spans="1:11" x14ac:dyDescent="0.25">
      <c r="A31" s="1">
        <v>1958</v>
      </c>
      <c r="B31" s="1" t="s">
        <v>99</v>
      </c>
      <c r="C31" t="s">
        <v>6</v>
      </c>
      <c r="D31" s="1" t="s">
        <v>94</v>
      </c>
      <c r="E31">
        <v>56</v>
      </c>
      <c r="F31" s="1" t="s">
        <v>105</v>
      </c>
      <c r="G31">
        <v>1</v>
      </c>
      <c r="H31">
        <v>1</v>
      </c>
      <c r="I31" s="2">
        <f t="shared" si="0"/>
        <v>1.2271499999999999E-2</v>
      </c>
      <c r="J31">
        <f t="shared" si="1"/>
        <v>1.7283802816901409E-2</v>
      </c>
      <c r="K31">
        <f t="shared" si="2"/>
        <v>1.2092793874765962E-2</v>
      </c>
    </row>
    <row r="32" spans="1:11" x14ac:dyDescent="0.25">
      <c r="A32" s="1">
        <v>1958</v>
      </c>
      <c r="B32" s="1" t="s">
        <v>99</v>
      </c>
      <c r="C32" t="s">
        <v>6</v>
      </c>
      <c r="D32" s="1" t="s">
        <v>94</v>
      </c>
      <c r="E32">
        <v>56</v>
      </c>
      <c r="F32" s="1" t="s">
        <v>105</v>
      </c>
      <c r="G32">
        <v>3</v>
      </c>
      <c r="H32">
        <v>1</v>
      </c>
      <c r="I32" s="2">
        <f t="shared" si="0"/>
        <v>6.6811499999999996E-2</v>
      </c>
      <c r="J32">
        <f t="shared" si="1"/>
        <v>9.4100704225352105E-2</v>
      </c>
      <c r="K32">
        <f t="shared" si="2"/>
        <v>6.5838544429281345E-2</v>
      </c>
    </row>
    <row r="33" spans="1:11" x14ac:dyDescent="0.25">
      <c r="A33" s="1">
        <v>1958</v>
      </c>
      <c r="B33" s="1" t="s">
        <v>99</v>
      </c>
      <c r="C33" t="s">
        <v>6</v>
      </c>
      <c r="D33" s="1" t="s">
        <v>94</v>
      </c>
      <c r="E33">
        <v>56</v>
      </c>
      <c r="F33" s="1" t="s">
        <v>105</v>
      </c>
      <c r="G33">
        <v>4</v>
      </c>
      <c r="H33">
        <v>1</v>
      </c>
      <c r="I33" s="2">
        <f t="shared" si="0"/>
        <v>0.11044349999999999</v>
      </c>
      <c r="J33">
        <f t="shared" si="1"/>
        <v>0.15555422535211266</v>
      </c>
      <c r="K33">
        <f t="shared" si="2"/>
        <v>0.10883514487289365</v>
      </c>
    </row>
    <row r="34" spans="1:11" x14ac:dyDescent="0.25">
      <c r="A34" s="1">
        <v>1958</v>
      </c>
      <c r="B34" s="1" t="s">
        <v>99</v>
      </c>
      <c r="C34" t="s">
        <v>6</v>
      </c>
      <c r="D34" s="1" t="s">
        <v>94</v>
      </c>
      <c r="E34">
        <v>58</v>
      </c>
      <c r="F34" s="1" t="s">
        <v>105</v>
      </c>
      <c r="G34">
        <v>3</v>
      </c>
      <c r="H34">
        <v>3</v>
      </c>
      <c r="I34" s="2">
        <f t="shared" si="0"/>
        <v>0.20043449999999999</v>
      </c>
      <c r="J34">
        <f t="shared" si="1"/>
        <v>0.28230211267605632</v>
      </c>
      <c r="K34">
        <f t="shared" si="2"/>
        <v>0.19751563328784405</v>
      </c>
    </row>
    <row r="35" spans="1:11" x14ac:dyDescent="0.25">
      <c r="A35" s="1">
        <v>1958</v>
      </c>
      <c r="B35" s="1" t="s">
        <v>99</v>
      </c>
      <c r="C35" t="s">
        <v>6</v>
      </c>
      <c r="D35" s="1" t="s">
        <v>94</v>
      </c>
      <c r="E35">
        <v>58</v>
      </c>
      <c r="F35" s="1" t="s">
        <v>105</v>
      </c>
      <c r="G35">
        <v>4</v>
      </c>
      <c r="H35">
        <v>9</v>
      </c>
      <c r="I35" s="2">
        <f t="shared" si="0"/>
        <v>0.99399149999999992</v>
      </c>
      <c r="J35">
        <f t="shared" si="1"/>
        <v>1.399988028169014</v>
      </c>
      <c r="K35">
        <f t="shared" si="2"/>
        <v>0.97951630385604294</v>
      </c>
    </row>
    <row r="36" spans="1:11" x14ac:dyDescent="0.25">
      <c r="A36" s="1">
        <v>1958</v>
      </c>
      <c r="B36" s="1" t="s">
        <v>99</v>
      </c>
      <c r="C36" t="s">
        <v>6</v>
      </c>
      <c r="D36" s="1" t="s">
        <v>94</v>
      </c>
      <c r="E36">
        <v>76</v>
      </c>
      <c r="F36" s="1" t="s">
        <v>105</v>
      </c>
      <c r="G36">
        <v>1</v>
      </c>
      <c r="H36">
        <v>9</v>
      </c>
      <c r="I36" s="2">
        <f t="shared" si="0"/>
        <v>0.1104435</v>
      </c>
      <c r="J36">
        <f t="shared" si="1"/>
        <v>0.15555422535211269</v>
      </c>
      <c r="K36">
        <f t="shared" si="2"/>
        <v>0.10883514487289367</v>
      </c>
    </row>
    <row r="37" spans="1:11" x14ac:dyDescent="0.25">
      <c r="A37" s="1">
        <v>1958</v>
      </c>
      <c r="B37" s="1" t="s">
        <v>99</v>
      </c>
      <c r="C37" t="s">
        <v>6</v>
      </c>
      <c r="D37" s="1" t="s">
        <v>94</v>
      </c>
      <c r="E37">
        <v>76</v>
      </c>
      <c r="F37" s="1" t="s">
        <v>105</v>
      </c>
      <c r="G37">
        <v>2</v>
      </c>
      <c r="H37">
        <v>7</v>
      </c>
      <c r="I37" s="2">
        <f t="shared" si="0"/>
        <v>0.23861250000000001</v>
      </c>
      <c r="J37">
        <f t="shared" si="1"/>
        <v>0.33607394366197185</v>
      </c>
      <c r="K37">
        <f t="shared" si="2"/>
        <v>0.23513765867600483</v>
      </c>
    </row>
    <row r="38" spans="1:11" x14ac:dyDescent="0.25">
      <c r="A38" s="1">
        <v>1958</v>
      </c>
      <c r="B38" s="1" t="s">
        <v>99</v>
      </c>
      <c r="C38" t="s">
        <v>6</v>
      </c>
      <c r="D38" s="1" t="s">
        <v>94</v>
      </c>
      <c r="E38">
        <v>76</v>
      </c>
      <c r="F38" s="1" t="s">
        <v>105</v>
      </c>
      <c r="G38">
        <v>3</v>
      </c>
      <c r="H38">
        <v>1</v>
      </c>
      <c r="I38" s="2">
        <f t="shared" si="0"/>
        <v>6.6811499999999996E-2</v>
      </c>
      <c r="J38">
        <f t="shared" si="1"/>
        <v>9.4100704225352105E-2</v>
      </c>
      <c r="K38">
        <f t="shared" si="2"/>
        <v>6.5838544429281345E-2</v>
      </c>
    </row>
    <row r="39" spans="1:11" x14ac:dyDescent="0.25">
      <c r="A39" s="1">
        <v>1958</v>
      </c>
      <c r="B39" s="1" t="s">
        <v>99</v>
      </c>
      <c r="C39" t="s">
        <v>6</v>
      </c>
      <c r="D39" s="1" t="s">
        <v>94</v>
      </c>
      <c r="E39">
        <v>76</v>
      </c>
      <c r="F39" s="1" t="s">
        <v>105</v>
      </c>
      <c r="G39">
        <v>4</v>
      </c>
      <c r="H39">
        <v>2</v>
      </c>
      <c r="I39" s="2">
        <f t="shared" si="0"/>
        <v>0.22088699999999997</v>
      </c>
      <c r="J39">
        <f t="shared" si="1"/>
        <v>0.31110845070422533</v>
      </c>
      <c r="K39">
        <f t="shared" si="2"/>
        <v>0.21767028974578731</v>
      </c>
    </row>
    <row r="40" spans="1:11" x14ac:dyDescent="0.25">
      <c r="A40" s="1">
        <v>1958</v>
      </c>
      <c r="B40" s="1" t="s">
        <v>99</v>
      </c>
      <c r="C40" t="s">
        <v>6</v>
      </c>
      <c r="D40" s="1" t="s">
        <v>94</v>
      </c>
      <c r="E40">
        <v>79</v>
      </c>
      <c r="F40" s="1" t="s">
        <v>105</v>
      </c>
      <c r="G40">
        <v>1</v>
      </c>
      <c r="H40">
        <v>35</v>
      </c>
      <c r="I40" s="2">
        <f t="shared" si="0"/>
        <v>0.42950249999999995</v>
      </c>
      <c r="J40">
        <f t="shared" si="1"/>
        <v>0.60493309859154931</v>
      </c>
      <c r="K40">
        <f t="shared" si="2"/>
        <v>0.4232477856168087</v>
      </c>
    </row>
    <row r="41" spans="1:11" x14ac:dyDescent="0.25">
      <c r="A41" s="1">
        <v>1958</v>
      </c>
      <c r="B41" s="1" t="s">
        <v>99</v>
      </c>
      <c r="C41" t="s">
        <v>6</v>
      </c>
      <c r="D41" s="1" t="s">
        <v>94</v>
      </c>
      <c r="E41">
        <v>79</v>
      </c>
      <c r="F41" s="1" t="s">
        <v>105</v>
      </c>
      <c r="G41">
        <v>2</v>
      </c>
      <c r="H41">
        <v>19</v>
      </c>
      <c r="I41" s="2">
        <f t="shared" si="0"/>
        <v>0.64766250000000003</v>
      </c>
      <c r="J41">
        <f t="shared" si="1"/>
        <v>0.91220070422535215</v>
      </c>
      <c r="K41">
        <f t="shared" si="2"/>
        <v>0.63823078783487031</v>
      </c>
    </row>
    <row r="42" spans="1:11" x14ac:dyDescent="0.25">
      <c r="A42" s="1">
        <v>1958</v>
      </c>
      <c r="B42" s="1" t="s">
        <v>99</v>
      </c>
      <c r="C42" t="s">
        <v>6</v>
      </c>
      <c r="D42" s="1" t="s">
        <v>94</v>
      </c>
      <c r="E42">
        <v>79</v>
      </c>
      <c r="F42" s="1" t="s">
        <v>105</v>
      </c>
      <c r="G42">
        <v>3</v>
      </c>
      <c r="H42">
        <v>7</v>
      </c>
      <c r="I42" s="2">
        <f t="shared" si="0"/>
        <v>0.46768049999999994</v>
      </c>
      <c r="J42">
        <f t="shared" si="1"/>
        <v>0.65870492957746474</v>
      </c>
      <c r="K42">
        <f t="shared" si="2"/>
        <v>0.46086981100496943</v>
      </c>
    </row>
    <row r="43" spans="1:11" x14ac:dyDescent="0.25">
      <c r="A43" s="1">
        <v>1958</v>
      </c>
      <c r="B43" s="1" t="s">
        <v>99</v>
      </c>
      <c r="C43" t="s">
        <v>6</v>
      </c>
      <c r="D43" s="1" t="s">
        <v>94</v>
      </c>
      <c r="E43">
        <v>79</v>
      </c>
      <c r="F43" s="1" t="s">
        <v>105</v>
      </c>
      <c r="G43">
        <v>4</v>
      </c>
      <c r="H43">
        <v>5</v>
      </c>
      <c r="I43" s="2">
        <f t="shared" si="0"/>
        <v>0.55221749999999992</v>
      </c>
      <c r="J43">
        <f t="shared" si="1"/>
        <v>0.77777112676056326</v>
      </c>
      <c r="K43">
        <f t="shared" si="2"/>
        <v>0.54417572436446826</v>
      </c>
    </row>
    <row r="44" spans="1:11" x14ac:dyDescent="0.25">
      <c r="A44" s="1">
        <v>1958</v>
      </c>
      <c r="B44" s="1" t="s">
        <v>99</v>
      </c>
      <c r="C44" t="s">
        <v>6</v>
      </c>
      <c r="D44" s="1" t="s">
        <v>94</v>
      </c>
      <c r="E44">
        <v>85</v>
      </c>
      <c r="F44" s="1" t="s">
        <v>105</v>
      </c>
      <c r="G44">
        <v>1</v>
      </c>
      <c r="H44">
        <v>3</v>
      </c>
      <c r="I44" s="2">
        <f t="shared" si="0"/>
        <v>3.68145E-2</v>
      </c>
      <c r="J44">
        <f t="shared" si="1"/>
        <v>5.1851408450704226E-2</v>
      </c>
      <c r="K44">
        <f t="shared" si="2"/>
        <v>3.627838162429789E-2</v>
      </c>
    </row>
    <row r="45" spans="1:11" x14ac:dyDescent="0.25">
      <c r="A45" s="1">
        <v>1958</v>
      </c>
      <c r="B45" s="1" t="s">
        <v>99</v>
      </c>
      <c r="C45" t="s">
        <v>6</v>
      </c>
      <c r="D45" s="1" t="s">
        <v>94</v>
      </c>
      <c r="E45">
        <v>88</v>
      </c>
      <c r="F45" s="1" t="s">
        <v>105</v>
      </c>
      <c r="G45">
        <v>1</v>
      </c>
      <c r="H45">
        <v>1</v>
      </c>
      <c r="I45" s="2">
        <f t="shared" si="0"/>
        <v>1.2271499999999999E-2</v>
      </c>
      <c r="J45">
        <f t="shared" si="1"/>
        <v>1.7283802816901409E-2</v>
      </c>
      <c r="K45">
        <f t="shared" si="2"/>
        <v>1.2092793874765962E-2</v>
      </c>
    </row>
    <row r="46" spans="1:11" x14ac:dyDescent="0.25">
      <c r="A46" s="1">
        <v>1958</v>
      </c>
      <c r="B46" s="1" t="s">
        <v>99</v>
      </c>
      <c r="C46" t="s">
        <v>6</v>
      </c>
      <c r="D46" s="1" t="s">
        <v>94</v>
      </c>
      <c r="E46">
        <v>91</v>
      </c>
      <c r="F46" s="1" t="s">
        <v>105</v>
      </c>
      <c r="G46">
        <v>1</v>
      </c>
      <c r="H46">
        <v>1</v>
      </c>
      <c r="I46" s="2">
        <f t="shared" si="0"/>
        <v>1.2271499999999999E-2</v>
      </c>
      <c r="J46">
        <f t="shared" si="1"/>
        <v>1.7283802816901409E-2</v>
      </c>
      <c r="K46">
        <f t="shared" si="2"/>
        <v>1.2092793874765962E-2</v>
      </c>
    </row>
    <row r="47" spans="1:11" x14ac:dyDescent="0.25">
      <c r="A47" s="1">
        <v>1958</v>
      </c>
      <c r="B47" s="1" t="s">
        <v>99</v>
      </c>
      <c r="C47" t="s">
        <v>6</v>
      </c>
      <c r="D47" s="1" t="s">
        <v>94</v>
      </c>
      <c r="E47">
        <v>91</v>
      </c>
      <c r="F47" s="1" t="s">
        <v>105</v>
      </c>
      <c r="G47">
        <v>2</v>
      </c>
      <c r="H47">
        <v>2</v>
      </c>
      <c r="I47" s="2">
        <f t="shared" si="0"/>
        <v>6.8174999999999999E-2</v>
      </c>
      <c r="J47">
        <f t="shared" si="1"/>
        <v>9.6021126760563388E-2</v>
      </c>
      <c r="K47">
        <f t="shared" si="2"/>
        <v>6.7182188193144241E-2</v>
      </c>
    </row>
    <row r="48" spans="1:11" x14ac:dyDescent="0.25">
      <c r="A48" s="1">
        <v>1958</v>
      </c>
      <c r="B48" s="1" t="s">
        <v>99</v>
      </c>
      <c r="C48" t="s">
        <v>6</v>
      </c>
      <c r="D48" s="1" t="s">
        <v>94</v>
      </c>
      <c r="E48">
        <v>91</v>
      </c>
      <c r="F48" s="1" t="s">
        <v>105</v>
      </c>
      <c r="G48">
        <v>3</v>
      </c>
      <c r="H48">
        <v>1</v>
      </c>
      <c r="I48" s="2">
        <f t="shared" si="0"/>
        <v>6.6811499999999996E-2</v>
      </c>
      <c r="J48">
        <f t="shared" si="1"/>
        <v>9.4100704225352105E-2</v>
      </c>
      <c r="K48">
        <f t="shared" si="2"/>
        <v>6.5838544429281345E-2</v>
      </c>
    </row>
    <row r="49" spans="1:11" x14ac:dyDescent="0.25">
      <c r="A49" s="1">
        <v>1958</v>
      </c>
      <c r="B49" s="1" t="s">
        <v>99</v>
      </c>
      <c r="C49" t="s">
        <v>6</v>
      </c>
      <c r="D49" s="1" t="s">
        <v>95</v>
      </c>
      <c r="E49">
        <v>32</v>
      </c>
      <c r="F49" s="1" t="s">
        <v>105</v>
      </c>
      <c r="G49">
        <v>1</v>
      </c>
      <c r="H49">
        <v>6</v>
      </c>
      <c r="I49" s="2">
        <f t="shared" si="0"/>
        <v>7.3629E-2</v>
      </c>
      <c r="J49">
        <f t="shared" si="1"/>
        <v>0.10370281690140845</v>
      </c>
      <c r="K49">
        <f t="shared" si="2"/>
        <v>7.2556763248595779E-2</v>
      </c>
    </row>
    <row r="50" spans="1:11" x14ac:dyDescent="0.25">
      <c r="A50" s="1">
        <v>1958</v>
      </c>
      <c r="B50" s="1" t="s">
        <v>99</v>
      </c>
      <c r="C50" t="s">
        <v>6</v>
      </c>
      <c r="D50" s="1" t="s">
        <v>95</v>
      </c>
      <c r="E50">
        <v>38</v>
      </c>
      <c r="F50" s="1" t="s">
        <v>105</v>
      </c>
      <c r="G50">
        <v>1</v>
      </c>
      <c r="H50">
        <v>1</v>
      </c>
      <c r="I50" s="2">
        <f t="shared" si="0"/>
        <v>1.2271499999999999E-2</v>
      </c>
      <c r="J50">
        <f t="shared" si="1"/>
        <v>1.7283802816901409E-2</v>
      </c>
      <c r="K50">
        <f t="shared" si="2"/>
        <v>1.2092793874765962E-2</v>
      </c>
    </row>
    <row r="51" spans="1:11" x14ac:dyDescent="0.25">
      <c r="A51" s="1">
        <v>1958</v>
      </c>
      <c r="B51" s="1" t="s">
        <v>99</v>
      </c>
      <c r="C51" t="s">
        <v>6</v>
      </c>
      <c r="D51" s="1" t="s">
        <v>95</v>
      </c>
      <c r="E51">
        <v>38</v>
      </c>
      <c r="F51" s="1" t="s">
        <v>105</v>
      </c>
      <c r="G51">
        <v>3</v>
      </c>
      <c r="H51">
        <v>1</v>
      </c>
      <c r="I51" s="2">
        <f t="shared" si="0"/>
        <v>6.6811499999999996E-2</v>
      </c>
      <c r="J51">
        <f t="shared" si="1"/>
        <v>9.4100704225352105E-2</v>
      </c>
      <c r="K51">
        <f t="shared" si="2"/>
        <v>6.5838544429281345E-2</v>
      </c>
    </row>
    <row r="52" spans="1:11" x14ac:dyDescent="0.25">
      <c r="A52" s="1">
        <v>1958</v>
      </c>
      <c r="B52" s="1" t="s">
        <v>99</v>
      </c>
      <c r="C52" t="s">
        <v>6</v>
      </c>
      <c r="D52" s="1" t="s">
        <v>95</v>
      </c>
      <c r="E52">
        <v>54</v>
      </c>
      <c r="F52" s="1" t="s">
        <v>105</v>
      </c>
      <c r="G52">
        <v>1</v>
      </c>
      <c r="H52">
        <v>1</v>
      </c>
      <c r="I52" s="2">
        <f t="shared" si="0"/>
        <v>1.2271499999999999E-2</v>
      </c>
      <c r="J52">
        <f t="shared" si="1"/>
        <v>1.7283802816901409E-2</v>
      </c>
      <c r="K52">
        <f t="shared" si="2"/>
        <v>1.2092793874765962E-2</v>
      </c>
    </row>
    <row r="53" spans="1:11" x14ac:dyDescent="0.25">
      <c r="A53" s="1">
        <v>1958</v>
      </c>
      <c r="B53" s="1" t="s">
        <v>99</v>
      </c>
      <c r="C53" t="s">
        <v>6</v>
      </c>
      <c r="D53" s="1" t="s">
        <v>95</v>
      </c>
      <c r="E53">
        <v>76</v>
      </c>
      <c r="F53" s="1" t="s">
        <v>105</v>
      </c>
      <c r="G53">
        <v>1</v>
      </c>
      <c r="H53">
        <v>4</v>
      </c>
      <c r="I53" s="2">
        <f t="shared" si="0"/>
        <v>4.9085999999999998E-2</v>
      </c>
      <c r="J53">
        <f t="shared" si="1"/>
        <v>6.9135211267605634E-2</v>
      </c>
      <c r="K53">
        <f t="shared" si="2"/>
        <v>4.8371175499063848E-2</v>
      </c>
    </row>
    <row r="54" spans="1:11" x14ac:dyDescent="0.25">
      <c r="A54" s="1">
        <v>1958</v>
      </c>
      <c r="B54" s="1" t="s">
        <v>99</v>
      </c>
      <c r="C54" t="s">
        <v>6</v>
      </c>
      <c r="D54" s="1" t="s">
        <v>95</v>
      </c>
      <c r="E54">
        <v>76</v>
      </c>
      <c r="F54" s="1" t="s">
        <v>105</v>
      </c>
      <c r="G54">
        <v>2</v>
      </c>
      <c r="H54">
        <v>1</v>
      </c>
      <c r="I54" s="2">
        <f t="shared" si="0"/>
        <v>3.40875E-2</v>
      </c>
      <c r="J54">
        <f t="shared" si="1"/>
        <v>4.8010563380281694E-2</v>
      </c>
      <c r="K54">
        <f t="shared" si="2"/>
        <v>3.359109409657212E-2</v>
      </c>
    </row>
    <row r="55" spans="1:11" x14ac:dyDescent="0.25">
      <c r="A55" s="1">
        <v>1958</v>
      </c>
      <c r="B55" s="1" t="s">
        <v>99</v>
      </c>
      <c r="C55" t="s">
        <v>6</v>
      </c>
      <c r="D55" s="1" t="s">
        <v>95</v>
      </c>
      <c r="E55">
        <v>76</v>
      </c>
      <c r="F55" s="1" t="s">
        <v>105</v>
      </c>
      <c r="G55">
        <v>3</v>
      </c>
      <c r="H55">
        <v>2</v>
      </c>
      <c r="I55" s="2">
        <f t="shared" si="0"/>
        <v>0.13362299999999999</v>
      </c>
      <c r="J55">
        <f t="shared" si="1"/>
        <v>0.18820140845070421</v>
      </c>
      <c r="K55">
        <f t="shared" si="2"/>
        <v>0.13167708885856269</v>
      </c>
    </row>
    <row r="56" spans="1:11" x14ac:dyDescent="0.25">
      <c r="A56" s="1">
        <v>1958</v>
      </c>
      <c r="B56" s="1" t="s">
        <v>99</v>
      </c>
      <c r="C56" t="s">
        <v>6</v>
      </c>
      <c r="D56" s="1" t="s">
        <v>95</v>
      </c>
      <c r="E56">
        <v>76</v>
      </c>
      <c r="F56" s="1" t="s">
        <v>105</v>
      </c>
      <c r="G56">
        <v>4</v>
      </c>
      <c r="H56">
        <v>1</v>
      </c>
      <c r="I56" s="2">
        <f t="shared" si="0"/>
        <v>0.11044349999999999</v>
      </c>
      <c r="J56">
        <f t="shared" si="1"/>
        <v>0.15555422535211266</v>
      </c>
      <c r="K56">
        <f t="shared" si="2"/>
        <v>0.10883514487289365</v>
      </c>
    </row>
    <row r="57" spans="1:11" x14ac:dyDescent="0.25">
      <c r="A57" s="1">
        <v>1958</v>
      </c>
      <c r="B57" s="1" t="s">
        <v>99</v>
      </c>
      <c r="C57" t="s">
        <v>6</v>
      </c>
      <c r="D57" s="1" t="s">
        <v>95</v>
      </c>
      <c r="E57">
        <v>79</v>
      </c>
      <c r="F57" s="1" t="s">
        <v>105</v>
      </c>
      <c r="G57">
        <v>1</v>
      </c>
      <c r="H57">
        <v>2</v>
      </c>
      <c r="I57" s="2">
        <f t="shared" si="0"/>
        <v>2.4542999999999999E-2</v>
      </c>
      <c r="J57">
        <f t="shared" si="1"/>
        <v>3.4567605633802817E-2</v>
      </c>
      <c r="K57">
        <f t="shared" si="2"/>
        <v>2.4185587749531924E-2</v>
      </c>
    </row>
    <row r="58" spans="1:11" x14ac:dyDescent="0.25">
      <c r="A58" s="1">
        <v>1958</v>
      </c>
      <c r="B58" s="1" t="s">
        <v>99</v>
      </c>
      <c r="C58" t="s">
        <v>6</v>
      </c>
      <c r="D58" s="1" t="s">
        <v>96</v>
      </c>
      <c r="E58">
        <v>78</v>
      </c>
      <c r="F58" s="1" t="s">
        <v>105</v>
      </c>
      <c r="G58">
        <v>1</v>
      </c>
      <c r="H58">
        <v>4</v>
      </c>
      <c r="I58" s="2">
        <f t="shared" si="0"/>
        <v>4.9085999999999998E-2</v>
      </c>
      <c r="J58">
        <f t="shared" si="1"/>
        <v>6.9135211267605634E-2</v>
      </c>
      <c r="K58">
        <f t="shared" si="2"/>
        <v>4.8371175499063848E-2</v>
      </c>
    </row>
    <row r="59" spans="1:11" x14ac:dyDescent="0.25">
      <c r="A59" s="1">
        <v>1958</v>
      </c>
      <c r="B59" s="1" t="s">
        <v>99</v>
      </c>
      <c r="C59" t="s">
        <v>6</v>
      </c>
      <c r="D59" s="1" t="s">
        <v>96</v>
      </c>
      <c r="E59">
        <v>78</v>
      </c>
      <c r="F59" s="1" t="s">
        <v>105</v>
      </c>
      <c r="G59">
        <v>2</v>
      </c>
      <c r="H59">
        <v>9</v>
      </c>
      <c r="I59" s="2">
        <f t="shared" si="0"/>
        <v>0.30678749999999999</v>
      </c>
      <c r="J59">
        <f t="shared" si="1"/>
        <v>0.4320950704225352</v>
      </c>
      <c r="K59">
        <f t="shared" si="2"/>
        <v>0.30231984686914903</v>
      </c>
    </row>
    <row r="60" spans="1:11" x14ac:dyDescent="0.25">
      <c r="A60" s="1">
        <v>1958</v>
      </c>
      <c r="B60" s="1" t="s">
        <v>99</v>
      </c>
      <c r="C60" t="s">
        <v>6</v>
      </c>
      <c r="D60" s="1" t="s">
        <v>96</v>
      </c>
      <c r="E60">
        <v>78</v>
      </c>
      <c r="F60" s="1" t="s">
        <v>105</v>
      </c>
      <c r="G60">
        <v>3</v>
      </c>
      <c r="H60">
        <v>1</v>
      </c>
      <c r="I60" s="2">
        <f t="shared" si="0"/>
        <v>6.6811499999999996E-2</v>
      </c>
      <c r="J60">
        <f t="shared" si="1"/>
        <v>9.4100704225352105E-2</v>
      </c>
      <c r="K60">
        <f t="shared" si="2"/>
        <v>6.5838544429281345E-2</v>
      </c>
    </row>
    <row r="61" spans="1:11" x14ac:dyDescent="0.25">
      <c r="A61" s="1">
        <v>1958</v>
      </c>
      <c r="B61" s="1" t="s">
        <v>99</v>
      </c>
      <c r="C61" t="s">
        <v>6</v>
      </c>
      <c r="D61" s="1" t="s">
        <v>96</v>
      </c>
      <c r="E61">
        <v>78</v>
      </c>
      <c r="F61" s="1" t="s">
        <v>105</v>
      </c>
      <c r="G61">
        <v>4</v>
      </c>
      <c r="H61">
        <v>1</v>
      </c>
      <c r="I61" s="2">
        <f t="shared" si="0"/>
        <v>0.11044349999999999</v>
      </c>
      <c r="J61">
        <f t="shared" si="1"/>
        <v>0.15555422535211266</v>
      </c>
      <c r="K61">
        <f t="shared" si="2"/>
        <v>0.10883514487289365</v>
      </c>
    </row>
    <row r="62" spans="1:11" x14ac:dyDescent="0.25">
      <c r="A62" s="1">
        <v>1958</v>
      </c>
      <c r="B62" s="1" t="s">
        <v>99</v>
      </c>
      <c r="C62" t="s">
        <v>6</v>
      </c>
      <c r="D62" s="1" t="s">
        <v>96</v>
      </c>
      <c r="E62">
        <v>86</v>
      </c>
      <c r="F62" s="1" t="s">
        <v>105</v>
      </c>
      <c r="G62">
        <v>1</v>
      </c>
      <c r="H62">
        <v>38</v>
      </c>
      <c r="I62" s="2">
        <f t="shared" si="0"/>
        <v>0.46631699999999998</v>
      </c>
      <c r="J62">
        <f t="shared" si="1"/>
        <v>0.65678450704225355</v>
      </c>
      <c r="K62">
        <f t="shared" si="2"/>
        <v>0.45952616724110662</v>
      </c>
    </row>
    <row r="63" spans="1:11" x14ac:dyDescent="0.25">
      <c r="A63" s="1">
        <v>1958</v>
      </c>
      <c r="B63" s="1" t="s">
        <v>99</v>
      </c>
      <c r="C63" t="s">
        <v>6</v>
      </c>
      <c r="D63" s="1" t="s">
        <v>96</v>
      </c>
      <c r="E63">
        <v>86</v>
      </c>
      <c r="F63" s="1" t="s">
        <v>105</v>
      </c>
      <c r="G63">
        <v>2</v>
      </c>
      <c r="H63">
        <v>16</v>
      </c>
      <c r="I63" s="2">
        <f t="shared" si="0"/>
        <v>0.5454</v>
      </c>
      <c r="J63">
        <f t="shared" si="1"/>
        <v>0.76816901408450711</v>
      </c>
      <c r="K63">
        <f t="shared" si="2"/>
        <v>0.53745750554515392</v>
      </c>
    </row>
    <row r="64" spans="1:11" x14ac:dyDescent="0.25">
      <c r="A64" s="1">
        <v>1958</v>
      </c>
      <c r="B64" s="1" t="s">
        <v>99</v>
      </c>
      <c r="C64" t="s">
        <v>6</v>
      </c>
      <c r="D64" s="1" t="s">
        <v>96</v>
      </c>
      <c r="E64">
        <v>86</v>
      </c>
      <c r="F64" s="1" t="s">
        <v>105</v>
      </c>
      <c r="G64">
        <v>3</v>
      </c>
      <c r="H64">
        <v>2</v>
      </c>
      <c r="I64" s="2">
        <f t="shared" si="0"/>
        <v>0.13362299999999999</v>
      </c>
      <c r="J64">
        <f t="shared" si="1"/>
        <v>0.18820140845070421</v>
      </c>
      <c r="K64">
        <f t="shared" si="2"/>
        <v>0.13167708885856269</v>
      </c>
    </row>
    <row r="65" spans="1:11" x14ac:dyDescent="0.25">
      <c r="A65" s="1">
        <v>1958</v>
      </c>
      <c r="B65" s="1" t="s">
        <v>99</v>
      </c>
      <c r="C65" t="s">
        <v>6</v>
      </c>
      <c r="D65" s="1" t="s">
        <v>96</v>
      </c>
      <c r="E65">
        <v>63</v>
      </c>
      <c r="F65" s="1" t="s">
        <v>105</v>
      </c>
      <c r="G65">
        <v>1</v>
      </c>
      <c r="H65">
        <v>31</v>
      </c>
      <c r="I65" s="2">
        <f t="shared" si="0"/>
        <v>0.38041649999999999</v>
      </c>
      <c r="J65">
        <f t="shared" si="1"/>
        <v>0.53579788732394362</v>
      </c>
      <c r="K65">
        <f t="shared" si="2"/>
        <v>0.37487661011774481</v>
      </c>
    </row>
    <row r="66" spans="1:11" x14ac:dyDescent="0.25">
      <c r="A66" s="1">
        <v>1958</v>
      </c>
      <c r="B66" s="1" t="s">
        <v>99</v>
      </c>
      <c r="C66" t="s">
        <v>6</v>
      </c>
      <c r="D66" s="1" t="s">
        <v>96</v>
      </c>
      <c r="E66">
        <v>63</v>
      </c>
      <c r="F66" s="1" t="s">
        <v>105</v>
      </c>
      <c r="G66">
        <v>2</v>
      </c>
      <c r="H66">
        <v>11</v>
      </c>
      <c r="I66" s="2">
        <f t="shared" si="0"/>
        <v>0.37496249999999998</v>
      </c>
      <c r="J66">
        <f t="shared" si="1"/>
        <v>0.52811619718309855</v>
      </c>
      <c r="K66">
        <f t="shared" si="2"/>
        <v>0.36950203506229329</v>
      </c>
    </row>
    <row r="67" spans="1:11" x14ac:dyDescent="0.25">
      <c r="A67" s="1">
        <v>1958</v>
      </c>
      <c r="B67" s="1" t="s">
        <v>99</v>
      </c>
      <c r="C67" t="s">
        <v>6</v>
      </c>
      <c r="D67" s="1" t="s">
        <v>96</v>
      </c>
      <c r="E67">
        <v>63</v>
      </c>
      <c r="F67" s="1" t="s">
        <v>105</v>
      </c>
      <c r="G67">
        <v>3</v>
      </c>
      <c r="H67">
        <v>9</v>
      </c>
      <c r="I67" s="2">
        <f t="shared" ref="I67:I130" si="3">0.005454*(G67+0.5)^2*H67</f>
        <v>0.60130349999999999</v>
      </c>
      <c r="J67">
        <f t="shared" ref="J67:J69" si="4">I67/(71*0.01)</f>
        <v>0.84690633802816906</v>
      </c>
      <c r="K67">
        <f t="shared" ref="K67:K130" si="5">J67*(26.79/38.29)</f>
        <v>0.59254689986353215</v>
      </c>
    </row>
    <row r="68" spans="1:11" x14ac:dyDescent="0.25">
      <c r="A68" s="1">
        <v>1958</v>
      </c>
      <c r="B68" s="1" t="s">
        <v>99</v>
      </c>
      <c r="C68" t="s">
        <v>6</v>
      </c>
      <c r="D68" s="1" t="s">
        <v>96</v>
      </c>
      <c r="E68">
        <v>63</v>
      </c>
      <c r="F68" s="1" t="s">
        <v>105</v>
      </c>
      <c r="G68">
        <v>4</v>
      </c>
      <c r="H68">
        <v>3</v>
      </c>
      <c r="I68" s="2">
        <f t="shared" si="3"/>
        <v>0.33133049999999997</v>
      </c>
      <c r="J68">
        <f t="shared" si="4"/>
        <v>0.46666267605633799</v>
      </c>
      <c r="K68">
        <f t="shared" si="5"/>
        <v>0.32650543461868098</v>
      </c>
    </row>
    <row r="69" spans="1:11" x14ac:dyDescent="0.25">
      <c r="A69" s="1">
        <v>1958</v>
      </c>
      <c r="B69" s="1" t="s">
        <v>99</v>
      </c>
      <c r="C69" t="s">
        <v>6</v>
      </c>
      <c r="D69" s="1" t="s">
        <v>96</v>
      </c>
      <c r="E69">
        <v>119</v>
      </c>
      <c r="F69" s="1" t="s">
        <v>105</v>
      </c>
      <c r="G69">
        <v>1</v>
      </c>
      <c r="H69">
        <v>9</v>
      </c>
      <c r="I69" s="2">
        <f t="shared" si="3"/>
        <v>0.1104435</v>
      </c>
      <c r="J69">
        <f t="shared" si="4"/>
        <v>0.15555422535211269</v>
      </c>
      <c r="K69">
        <f t="shared" si="5"/>
        <v>0.10883514487289367</v>
      </c>
    </row>
    <row r="70" spans="1:11" x14ac:dyDescent="0.25">
      <c r="A70" s="1">
        <v>1963</v>
      </c>
      <c r="B70" s="1" t="s">
        <v>99</v>
      </c>
      <c r="C70" t="s">
        <v>9</v>
      </c>
      <c r="D70" s="1" t="s">
        <v>94</v>
      </c>
      <c r="E70">
        <v>17</v>
      </c>
      <c r="F70" s="1" t="s">
        <v>105</v>
      </c>
      <c r="G70">
        <v>1</v>
      </c>
      <c r="H70">
        <v>1</v>
      </c>
      <c r="I70" s="2">
        <f t="shared" si="3"/>
        <v>1.2271499999999999E-2</v>
      </c>
      <c r="J70">
        <f>I70/(101*0.01)</f>
        <v>1.2149999999999999E-2</v>
      </c>
      <c r="K70">
        <f t="shared" si="5"/>
        <v>8.5008749020632005E-3</v>
      </c>
    </row>
    <row r="71" spans="1:11" x14ac:dyDescent="0.25">
      <c r="A71" s="1">
        <v>1963</v>
      </c>
      <c r="B71" s="1" t="s">
        <v>99</v>
      </c>
      <c r="C71" t="s">
        <v>9</v>
      </c>
      <c r="D71" s="1" t="s">
        <v>94</v>
      </c>
      <c r="E71">
        <v>21</v>
      </c>
      <c r="F71" s="1" t="s">
        <v>105</v>
      </c>
      <c r="G71">
        <v>1</v>
      </c>
      <c r="H71">
        <v>1</v>
      </c>
      <c r="I71" s="2">
        <f t="shared" si="3"/>
        <v>1.2271499999999999E-2</v>
      </c>
      <c r="J71">
        <f t="shared" ref="J71:J134" si="6">I71/(101*0.01)</f>
        <v>1.2149999999999999E-2</v>
      </c>
      <c r="K71">
        <f t="shared" si="5"/>
        <v>8.5008749020632005E-3</v>
      </c>
    </row>
    <row r="72" spans="1:11" x14ac:dyDescent="0.25">
      <c r="A72" s="1">
        <v>1963</v>
      </c>
      <c r="B72" s="1" t="s">
        <v>99</v>
      </c>
      <c r="C72" t="s">
        <v>9</v>
      </c>
      <c r="D72" s="1" t="s">
        <v>94</v>
      </c>
      <c r="E72">
        <v>21</v>
      </c>
      <c r="F72" s="1" t="s">
        <v>105</v>
      </c>
      <c r="G72">
        <v>3</v>
      </c>
      <c r="H72">
        <v>1</v>
      </c>
      <c r="I72" s="2">
        <f t="shared" si="3"/>
        <v>6.6811499999999996E-2</v>
      </c>
      <c r="J72">
        <f t="shared" si="6"/>
        <v>6.615E-2</v>
      </c>
      <c r="K72">
        <f t="shared" si="5"/>
        <v>4.6282541133455209E-2</v>
      </c>
    </row>
    <row r="73" spans="1:11" x14ac:dyDescent="0.25">
      <c r="A73" s="1">
        <v>1963</v>
      </c>
      <c r="B73" s="1" t="s">
        <v>99</v>
      </c>
      <c r="C73" t="s">
        <v>9</v>
      </c>
      <c r="D73" s="1" t="s">
        <v>94</v>
      </c>
      <c r="E73">
        <v>29</v>
      </c>
      <c r="F73" s="1" t="s">
        <v>105</v>
      </c>
      <c r="G73">
        <v>1</v>
      </c>
      <c r="H73">
        <v>1</v>
      </c>
      <c r="I73" s="2">
        <f t="shared" si="3"/>
        <v>1.2271499999999999E-2</v>
      </c>
      <c r="J73">
        <f t="shared" si="6"/>
        <v>1.2149999999999999E-2</v>
      </c>
      <c r="K73">
        <f t="shared" si="5"/>
        <v>8.5008749020632005E-3</v>
      </c>
    </row>
    <row r="74" spans="1:11" x14ac:dyDescent="0.25">
      <c r="A74" s="1">
        <v>1963</v>
      </c>
      <c r="B74" s="1" t="s">
        <v>99</v>
      </c>
      <c r="C74" t="s">
        <v>9</v>
      </c>
      <c r="D74" s="1" t="s">
        <v>94</v>
      </c>
      <c r="E74">
        <v>29</v>
      </c>
      <c r="F74" s="1" t="s">
        <v>105</v>
      </c>
      <c r="G74">
        <v>2</v>
      </c>
      <c r="H74">
        <v>1</v>
      </c>
      <c r="I74" s="2">
        <f t="shared" si="3"/>
        <v>3.40875E-2</v>
      </c>
      <c r="J74">
        <f t="shared" si="6"/>
        <v>3.3750000000000002E-2</v>
      </c>
      <c r="K74">
        <f t="shared" si="5"/>
        <v>2.3613541394620005E-2</v>
      </c>
    </row>
    <row r="75" spans="1:11" x14ac:dyDescent="0.25">
      <c r="A75" s="1">
        <v>1963</v>
      </c>
      <c r="B75" s="1" t="s">
        <v>99</v>
      </c>
      <c r="C75" t="s">
        <v>9</v>
      </c>
      <c r="D75" s="1" t="s">
        <v>94</v>
      </c>
      <c r="E75">
        <v>29</v>
      </c>
      <c r="F75" s="1" t="s">
        <v>105</v>
      </c>
      <c r="G75">
        <v>3</v>
      </c>
      <c r="H75">
        <v>1</v>
      </c>
      <c r="I75" s="2">
        <f t="shared" si="3"/>
        <v>6.6811499999999996E-2</v>
      </c>
      <c r="J75">
        <f t="shared" si="6"/>
        <v>6.615E-2</v>
      </c>
      <c r="K75">
        <f t="shared" si="5"/>
        <v>4.6282541133455209E-2</v>
      </c>
    </row>
    <row r="76" spans="1:11" x14ac:dyDescent="0.25">
      <c r="A76" s="1">
        <v>1963</v>
      </c>
      <c r="B76" s="1" t="s">
        <v>99</v>
      </c>
      <c r="C76" t="s">
        <v>9</v>
      </c>
      <c r="D76" s="1" t="s">
        <v>94</v>
      </c>
      <c r="E76">
        <v>29</v>
      </c>
      <c r="F76" s="1" t="s">
        <v>105</v>
      </c>
      <c r="G76">
        <v>4</v>
      </c>
      <c r="H76">
        <v>1</v>
      </c>
      <c r="I76" s="2">
        <f t="shared" si="3"/>
        <v>0.11044349999999999</v>
      </c>
      <c r="J76">
        <f t="shared" si="6"/>
        <v>0.10934999999999999</v>
      </c>
      <c r="K76">
        <f t="shared" si="5"/>
        <v>7.6507874118568797E-2</v>
      </c>
    </row>
    <row r="77" spans="1:11" x14ac:dyDescent="0.25">
      <c r="A77" s="1">
        <v>1963</v>
      </c>
      <c r="B77" s="1" t="s">
        <v>99</v>
      </c>
      <c r="C77" t="s">
        <v>9</v>
      </c>
      <c r="D77" s="1" t="s">
        <v>94</v>
      </c>
      <c r="E77">
        <v>32</v>
      </c>
      <c r="F77" s="1" t="s">
        <v>105</v>
      </c>
      <c r="G77">
        <v>1</v>
      </c>
      <c r="H77">
        <v>7</v>
      </c>
      <c r="I77" s="2">
        <f t="shared" si="3"/>
        <v>8.5900499999999991E-2</v>
      </c>
      <c r="J77">
        <f t="shared" si="6"/>
        <v>8.5049999999999987E-2</v>
      </c>
      <c r="K77">
        <f t="shared" si="5"/>
        <v>5.9506124314442403E-2</v>
      </c>
    </row>
    <row r="78" spans="1:11" x14ac:dyDescent="0.25">
      <c r="A78" s="1">
        <v>1963</v>
      </c>
      <c r="B78" s="1" t="s">
        <v>99</v>
      </c>
      <c r="C78" t="s">
        <v>9</v>
      </c>
      <c r="D78" s="1" t="s">
        <v>94</v>
      </c>
      <c r="E78">
        <v>32</v>
      </c>
      <c r="F78" s="1" t="s">
        <v>105</v>
      </c>
      <c r="G78">
        <v>2</v>
      </c>
      <c r="H78">
        <v>9</v>
      </c>
      <c r="I78" s="2">
        <f t="shared" si="3"/>
        <v>0.30678749999999999</v>
      </c>
      <c r="J78">
        <f t="shared" si="6"/>
        <v>0.30374999999999996</v>
      </c>
      <c r="K78">
        <f t="shared" si="5"/>
        <v>0.21252187255158</v>
      </c>
    </row>
    <row r="79" spans="1:11" x14ac:dyDescent="0.25">
      <c r="A79" s="1">
        <v>1963</v>
      </c>
      <c r="B79" s="1" t="s">
        <v>99</v>
      </c>
      <c r="C79" t="s">
        <v>9</v>
      </c>
      <c r="D79" s="1" t="s">
        <v>94</v>
      </c>
      <c r="E79">
        <v>32</v>
      </c>
      <c r="F79" s="1" t="s">
        <v>105</v>
      </c>
      <c r="G79">
        <v>3</v>
      </c>
      <c r="H79">
        <v>4</v>
      </c>
      <c r="I79" s="2">
        <f t="shared" si="3"/>
        <v>0.26724599999999998</v>
      </c>
      <c r="J79">
        <f t="shared" si="6"/>
        <v>0.2646</v>
      </c>
      <c r="K79">
        <f t="shared" si="5"/>
        <v>0.18513016453382083</v>
      </c>
    </row>
    <row r="80" spans="1:11" x14ac:dyDescent="0.25">
      <c r="A80" s="1">
        <v>1963</v>
      </c>
      <c r="B80" s="1" t="s">
        <v>99</v>
      </c>
      <c r="C80" t="s">
        <v>9</v>
      </c>
      <c r="D80" s="1" t="s">
        <v>94</v>
      </c>
      <c r="E80">
        <v>32</v>
      </c>
      <c r="F80" s="1" t="s">
        <v>105</v>
      </c>
      <c r="G80">
        <v>4</v>
      </c>
      <c r="H80">
        <v>3</v>
      </c>
      <c r="I80" s="2">
        <f t="shared" si="3"/>
        <v>0.33133049999999997</v>
      </c>
      <c r="J80">
        <f t="shared" si="6"/>
        <v>0.32804999999999995</v>
      </c>
      <c r="K80">
        <f t="shared" si="5"/>
        <v>0.22952362235570639</v>
      </c>
    </row>
    <row r="81" spans="1:11" x14ac:dyDescent="0.25">
      <c r="A81" s="1">
        <v>1963</v>
      </c>
      <c r="B81" s="1" t="s">
        <v>99</v>
      </c>
      <c r="C81" t="s">
        <v>9</v>
      </c>
      <c r="D81" s="1" t="s">
        <v>94</v>
      </c>
      <c r="E81">
        <v>34</v>
      </c>
      <c r="F81" s="1" t="s">
        <v>105</v>
      </c>
      <c r="G81">
        <v>2</v>
      </c>
      <c r="H81">
        <v>1</v>
      </c>
      <c r="I81" s="2">
        <f t="shared" si="3"/>
        <v>3.40875E-2</v>
      </c>
      <c r="J81">
        <f t="shared" si="6"/>
        <v>3.3750000000000002E-2</v>
      </c>
      <c r="K81">
        <f t="shared" si="5"/>
        <v>2.3613541394620005E-2</v>
      </c>
    </row>
    <row r="82" spans="1:11" x14ac:dyDescent="0.25">
      <c r="A82" s="1">
        <v>1963</v>
      </c>
      <c r="B82" s="1" t="s">
        <v>99</v>
      </c>
      <c r="C82" t="s">
        <v>9</v>
      </c>
      <c r="D82" s="1" t="s">
        <v>94</v>
      </c>
      <c r="E82">
        <v>34</v>
      </c>
      <c r="F82" s="1" t="s">
        <v>105</v>
      </c>
      <c r="G82">
        <v>4</v>
      </c>
      <c r="H82">
        <v>3</v>
      </c>
      <c r="I82" s="2">
        <f t="shared" si="3"/>
        <v>0.33133049999999997</v>
      </c>
      <c r="J82">
        <f t="shared" si="6"/>
        <v>0.32804999999999995</v>
      </c>
      <c r="K82">
        <f t="shared" si="5"/>
        <v>0.22952362235570639</v>
      </c>
    </row>
    <row r="83" spans="1:11" x14ac:dyDescent="0.25">
      <c r="A83" s="1">
        <v>1963</v>
      </c>
      <c r="B83" s="1" t="s">
        <v>99</v>
      </c>
      <c r="C83" t="s">
        <v>9</v>
      </c>
      <c r="D83" s="1" t="s">
        <v>94</v>
      </c>
      <c r="E83">
        <v>38</v>
      </c>
      <c r="F83" s="1" t="s">
        <v>105</v>
      </c>
      <c r="G83">
        <v>4</v>
      </c>
      <c r="H83">
        <v>4</v>
      </c>
      <c r="I83" s="2">
        <f t="shared" si="3"/>
        <v>0.44177399999999994</v>
      </c>
      <c r="J83">
        <f t="shared" si="6"/>
        <v>0.43739999999999996</v>
      </c>
      <c r="K83">
        <f t="shared" si="5"/>
        <v>0.30603149647427519</v>
      </c>
    </row>
    <row r="84" spans="1:11" x14ac:dyDescent="0.25">
      <c r="A84" s="1">
        <v>1963</v>
      </c>
      <c r="B84" s="1" t="s">
        <v>99</v>
      </c>
      <c r="C84" t="s">
        <v>9</v>
      </c>
      <c r="D84" s="1" t="s">
        <v>94</v>
      </c>
      <c r="E84">
        <v>40</v>
      </c>
      <c r="F84" s="1" t="s">
        <v>105</v>
      </c>
      <c r="G84">
        <v>3</v>
      </c>
      <c r="H84">
        <v>2</v>
      </c>
      <c r="I84" s="2">
        <f t="shared" si="3"/>
        <v>0.13362299999999999</v>
      </c>
      <c r="J84">
        <f t="shared" si="6"/>
        <v>0.1323</v>
      </c>
      <c r="K84">
        <f t="shared" si="5"/>
        <v>9.2565082266910417E-2</v>
      </c>
    </row>
    <row r="85" spans="1:11" x14ac:dyDescent="0.25">
      <c r="A85" s="1">
        <v>1963</v>
      </c>
      <c r="B85" s="1" t="s">
        <v>99</v>
      </c>
      <c r="C85" t="s">
        <v>9</v>
      </c>
      <c r="D85" s="1" t="s">
        <v>94</v>
      </c>
      <c r="E85">
        <v>40</v>
      </c>
      <c r="F85" s="1" t="s">
        <v>105</v>
      </c>
      <c r="G85">
        <v>4</v>
      </c>
      <c r="H85">
        <v>4</v>
      </c>
      <c r="I85" s="2">
        <f t="shared" si="3"/>
        <v>0.44177399999999994</v>
      </c>
      <c r="J85">
        <f t="shared" si="6"/>
        <v>0.43739999999999996</v>
      </c>
      <c r="K85">
        <f t="shared" si="5"/>
        <v>0.30603149647427519</v>
      </c>
    </row>
    <row r="86" spans="1:11" x14ac:dyDescent="0.25">
      <c r="A86" s="1">
        <v>1963</v>
      </c>
      <c r="B86" s="1" t="s">
        <v>99</v>
      </c>
      <c r="C86" t="s">
        <v>9</v>
      </c>
      <c r="D86" s="1" t="s">
        <v>94</v>
      </c>
      <c r="E86">
        <v>53</v>
      </c>
      <c r="F86" s="1" t="s">
        <v>105</v>
      </c>
      <c r="G86">
        <v>4</v>
      </c>
      <c r="H86">
        <v>1</v>
      </c>
      <c r="I86" s="2">
        <f t="shared" si="3"/>
        <v>0.11044349999999999</v>
      </c>
      <c r="J86">
        <f t="shared" si="6"/>
        <v>0.10934999999999999</v>
      </c>
      <c r="K86">
        <f t="shared" si="5"/>
        <v>7.6507874118568797E-2</v>
      </c>
    </row>
    <row r="87" spans="1:11" x14ac:dyDescent="0.25">
      <c r="A87" s="1">
        <v>1963</v>
      </c>
      <c r="B87" s="1" t="s">
        <v>99</v>
      </c>
      <c r="C87" t="s">
        <v>9</v>
      </c>
      <c r="D87" s="1" t="s">
        <v>94</v>
      </c>
      <c r="E87">
        <v>58</v>
      </c>
      <c r="F87" s="1" t="s">
        <v>105</v>
      </c>
      <c r="G87">
        <v>1</v>
      </c>
      <c r="H87">
        <v>8</v>
      </c>
      <c r="I87" s="2">
        <f t="shared" si="3"/>
        <v>9.8171999999999995E-2</v>
      </c>
      <c r="J87">
        <f t="shared" si="6"/>
        <v>9.7199999999999995E-2</v>
      </c>
      <c r="K87">
        <f t="shared" si="5"/>
        <v>6.8006999216505604E-2</v>
      </c>
    </row>
    <row r="88" spans="1:11" x14ac:dyDescent="0.25">
      <c r="A88" s="1">
        <v>1963</v>
      </c>
      <c r="B88" s="1" t="s">
        <v>99</v>
      </c>
      <c r="C88" t="s">
        <v>9</v>
      </c>
      <c r="D88" s="1" t="s">
        <v>94</v>
      </c>
      <c r="E88">
        <v>58</v>
      </c>
      <c r="F88" s="1" t="s">
        <v>105</v>
      </c>
      <c r="G88">
        <v>2</v>
      </c>
      <c r="H88">
        <v>3</v>
      </c>
      <c r="I88" s="2">
        <f t="shared" si="3"/>
        <v>0.10226250000000001</v>
      </c>
      <c r="J88">
        <f t="shared" si="6"/>
        <v>0.10125000000000001</v>
      </c>
      <c r="K88">
        <f t="shared" si="5"/>
        <v>7.0840624183860015E-2</v>
      </c>
    </row>
    <row r="89" spans="1:11" x14ac:dyDescent="0.25">
      <c r="A89" s="1">
        <v>1963</v>
      </c>
      <c r="B89" s="1" t="s">
        <v>99</v>
      </c>
      <c r="C89" t="s">
        <v>9</v>
      </c>
      <c r="D89" s="1" t="s">
        <v>94</v>
      </c>
      <c r="E89">
        <v>58</v>
      </c>
      <c r="F89" s="1" t="s">
        <v>105</v>
      </c>
      <c r="G89">
        <v>4</v>
      </c>
      <c r="H89">
        <v>1</v>
      </c>
      <c r="I89" s="2">
        <f t="shared" si="3"/>
        <v>0.11044349999999999</v>
      </c>
      <c r="J89">
        <f t="shared" si="6"/>
        <v>0.10934999999999999</v>
      </c>
      <c r="K89">
        <f t="shared" si="5"/>
        <v>7.6507874118568797E-2</v>
      </c>
    </row>
    <row r="90" spans="1:11" x14ac:dyDescent="0.25">
      <c r="A90" s="1">
        <v>1963</v>
      </c>
      <c r="B90" s="1" t="s">
        <v>99</v>
      </c>
      <c r="C90" t="s">
        <v>9</v>
      </c>
      <c r="D90" s="1" t="s">
        <v>94</v>
      </c>
      <c r="E90">
        <v>66</v>
      </c>
      <c r="F90" s="1" t="s">
        <v>105</v>
      </c>
      <c r="G90">
        <v>2</v>
      </c>
      <c r="H90">
        <v>2</v>
      </c>
      <c r="I90" s="2">
        <f t="shared" si="3"/>
        <v>6.8174999999999999E-2</v>
      </c>
      <c r="J90">
        <f t="shared" si="6"/>
        <v>6.7500000000000004E-2</v>
      </c>
      <c r="K90">
        <f t="shared" si="5"/>
        <v>4.722708278924001E-2</v>
      </c>
    </row>
    <row r="91" spans="1:11" x14ac:dyDescent="0.25">
      <c r="A91" s="1">
        <v>1963</v>
      </c>
      <c r="B91" s="1" t="s">
        <v>99</v>
      </c>
      <c r="C91" t="s">
        <v>9</v>
      </c>
      <c r="D91" s="1" t="s">
        <v>94</v>
      </c>
      <c r="E91">
        <v>71</v>
      </c>
      <c r="F91" s="1" t="s">
        <v>105</v>
      </c>
      <c r="G91">
        <v>1</v>
      </c>
      <c r="H91">
        <v>8</v>
      </c>
      <c r="I91" s="2">
        <f t="shared" si="3"/>
        <v>9.8171999999999995E-2</v>
      </c>
      <c r="J91">
        <f t="shared" si="6"/>
        <v>9.7199999999999995E-2</v>
      </c>
      <c r="K91">
        <f t="shared" si="5"/>
        <v>6.8006999216505604E-2</v>
      </c>
    </row>
    <row r="92" spans="1:11" x14ac:dyDescent="0.25">
      <c r="A92" s="1">
        <v>1963</v>
      </c>
      <c r="B92" s="1" t="s">
        <v>99</v>
      </c>
      <c r="C92" t="s">
        <v>9</v>
      </c>
      <c r="D92" s="1" t="s">
        <v>94</v>
      </c>
      <c r="E92">
        <v>71</v>
      </c>
      <c r="F92" s="1" t="s">
        <v>105</v>
      </c>
      <c r="G92">
        <v>2</v>
      </c>
      <c r="H92">
        <v>2</v>
      </c>
      <c r="I92" s="2">
        <f t="shared" si="3"/>
        <v>6.8174999999999999E-2</v>
      </c>
      <c r="J92">
        <f t="shared" si="6"/>
        <v>6.7500000000000004E-2</v>
      </c>
      <c r="K92">
        <f t="shared" si="5"/>
        <v>4.722708278924001E-2</v>
      </c>
    </row>
    <row r="93" spans="1:11" x14ac:dyDescent="0.25">
      <c r="A93" s="1">
        <v>1963</v>
      </c>
      <c r="B93" s="1" t="s">
        <v>99</v>
      </c>
      <c r="C93" t="s">
        <v>9</v>
      </c>
      <c r="D93" s="1" t="s">
        <v>94</v>
      </c>
      <c r="E93">
        <v>76</v>
      </c>
      <c r="F93" s="1" t="s">
        <v>105</v>
      </c>
      <c r="G93">
        <v>1</v>
      </c>
      <c r="H93">
        <v>5</v>
      </c>
      <c r="I93" s="2">
        <f t="shared" si="3"/>
        <v>6.1357499999999995E-2</v>
      </c>
      <c r="J93">
        <f t="shared" si="6"/>
        <v>6.0749999999999992E-2</v>
      </c>
      <c r="K93">
        <f t="shared" si="5"/>
        <v>4.2504374510316002E-2</v>
      </c>
    </row>
    <row r="94" spans="1:11" x14ac:dyDescent="0.25">
      <c r="A94" s="1">
        <v>1963</v>
      </c>
      <c r="B94" s="1" t="s">
        <v>99</v>
      </c>
      <c r="C94" t="s">
        <v>9</v>
      </c>
      <c r="D94" s="1" t="s">
        <v>94</v>
      </c>
      <c r="E94">
        <v>76</v>
      </c>
      <c r="F94" s="1" t="s">
        <v>105</v>
      </c>
      <c r="G94">
        <v>2</v>
      </c>
      <c r="H94">
        <v>1</v>
      </c>
      <c r="I94" s="2">
        <f t="shared" si="3"/>
        <v>3.40875E-2</v>
      </c>
      <c r="J94">
        <f t="shared" si="6"/>
        <v>3.3750000000000002E-2</v>
      </c>
      <c r="K94">
        <f t="shared" si="5"/>
        <v>2.3613541394620005E-2</v>
      </c>
    </row>
    <row r="95" spans="1:11" x14ac:dyDescent="0.25">
      <c r="A95" s="1">
        <v>1963</v>
      </c>
      <c r="B95" s="1" t="s">
        <v>99</v>
      </c>
      <c r="C95" t="s">
        <v>9</v>
      </c>
      <c r="D95" s="1" t="s">
        <v>94</v>
      </c>
      <c r="E95">
        <v>76</v>
      </c>
      <c r="F95" s="1" t="s">
        <v>105</v>
      </c>
      <c r="G95">
        <v>3</v>
      </c>
      <c r="H95">
        <v>2</v>
      </c>
      <c r="I95" s="2">
        <f t="shared" si="3"/>
        <v>0.13362299999999999</v>
      </c>
      <c r="J95">
        <f t="shared" si="6"/>
        <v>0.1323</v>
      </c>
      <c r="K95">
        <f t="shared" si="5"/>
        <v>9.2565082266910417E-2</v>
      </c>
    </row>
    <row r="96" spans="1:11" x14ac:dyDescent="0.25">
      <c r="A96" s="1">
        <v>1963</v>
      </c>
      <c r="B96" s="1" t="s">
        <v>99</v>
      </c>
      <c r="C96" t="s">
        <v>9</v>
      </c>
      <c r="D96" s="1" t="s">
        <v>94</v>
      </c>
      <c r="E96">
        <v>79</v>
      </c>
      <c r="F96" s="1" t="s">
        <v>105</v>
      </c>
      <c r="G96">
        <v>1</v>
      </c>
      <c r="H96">
        <v>7</v>
      </c>
      <c r="I96" s="2">
        <f t="shared" si="3"/>
        <v>8.5900499999999991E-2</v>
      </c>
      <c r="J96">
        <f t="shared" si="6"/>
        <v>8.5049999999999987E-2</v>
      </c>
      <c r="K96">
        <f t="shared" si="5"/>
        <v>5.9506124314442403E-2</v>
      </c>
    </row>
    <row r="97" spans="1:11" x14ac:dyDescent="0.25">
      <c r="A97" s="1">
        <v>1963</v>
      </c>
      <c r="B97" s="1" t="s">
        <v>99</v>
      </c>
      <c r="C97" t="s">
        <v>9</v>
      </c>
      <c r="D97" s="1" t="s">
        <v>94</v>
      </c>
      <c r="E97">
        <v>79</v>
      </c>
      <c r="F97" s="1" t="s">
        <v>105</v>
      </c>
      <c r="G97">
        <v>2</v>
      </c>
      <c r="H97">
        <v>5</v>
      </c>
      <c r="I97" s="2">
        <f t="shared" si="3"/>
        <v>0.17043749999999999</v>
      </c>
      <c r="J97">
        <f t="shared" si="6"/>
        <v>0.16874999999999998</v>
      </c>
      <c r="K97">
        <f t="shared" si="5"/>
        <v>0.11806770697310001</v>
      </c>
    </row>
    <row r="98" spans="1:11" x14ac:dyDescent="0.25">
      <c r="A98" s="1">
        <v>1963</v>
      </c>
      <c r="B98" s="1" t="s">
        <v>99</v>
      </c>
      <c r="C98" t="s">
        <v>9</v>
      </c>
      <c r="D98" s="1" t="s">
        <v>94</v>
      </c>
      <c r="E98">
        <v>79</v>
      </c>
      <c r="F98" s="1" t="s">
        <v>105</v>
      </c>
      <c r="G98">
        <v>3</v>
      </c>
      <c r="H98">
        <v>3</v>
      </c>
      <c r="I98" s="2">
        <f t="shared" si="3"/>
        <v>0.20043449999999999</v>
      </c>
      <c r="J98">
        <f t="shared" si="6"/>
        <v>0.19844999999999999</v>
      </c>
      <c r="K98">
        <f t="shared" si="5"/>
        <v>0.13884762340036561</v>
      </c>
    </row>
    <row r="99" spans="1:11" x14ac:dyDescent="0.25">
      <c r="A99" s="1">
        <v>1963</v>
      </c>
      <c r="B99" s="1" t="s">
        <v>99</v>
      </c>
      <c r="C99" t="s">
        <v>9</v>
      </c>
      <c r="D99" s="1" t="s">
        <v>94</v>
      </c>
      <c r="E99">
        <v>79</v>
      </c>
      <c r="F99" s="1" t="s">
        <v>105</v>
      </c>
      <c r="G99">
        <v>4</v>
      </c>
      <c r="H99">
        <v>3</v>
      </c>
      <c r="I99" s="2">
        <f t="shared" si="3"/>
        <v>0.33133049999999997</v>
      </c>
      <c r="J99">
        <f t="shared" si="6"/>
        <v>0.32804999999999995</v>
      </c>
      <c r="K99">
        <f t="shared" si="5"/>
        <v>0.22952362235570639</v>
      </c>
    </row>
    <row r="100" spans="1:11" x14ac:dyDescent="0.25">
      <c r="A100" s="1">
        <v>1963</v>
      </c>
      <c r="B100" s="1" t="s">
        <v>99</v>
      </c>
      <c r="C100" t="s">
        <v>9</v>
      </c>
      <c r="D100" s="1" t="s">
        <v>94</v>
      </c>
      <c r="E100">
        <v>85</v>
      </c>
      <c r="F100" s="1" t="s">
        <v>105</v>
      </c>
      <c r="G100">
        <v>1</v>
      </c>
      <c r="H100">
        <v>1</v>
      </c>
      <c r="I100" s="2">
        <f t="shared" si="3"/>
        <v>1.2271499999999999E-2</v>
      </c>
      <c r="J100">
        <f t="shared" si="6"/>
        <v>1.2149999999999999E-2</v>
      </c>
      <c r="K100">
        <f t="shared" si="5"/>
        <v>8.5008749020632005E-3</v>
      </c>
    </row>
    <row r="101" spans="1:11" x14ac:dyDescent="0.25">
      <c r="A101" s="1">
        <v>1963</v>
      </c>
      <c r="B101" s="1" t="s">
        <v>99</v>
      </c>
      <c r="C101" t="s">
        <v>9</v>
      </c>
      <c r="D101" s="1" t="s">
        <v>95</v>
      </c>
      <c r="E101">
        <v>21</v>
      </c>
      <c r="F101" s="1" t="s">
        <v>105</v>
      </c>
      <c r="G101">
        <v>2</v>
      </c>
      <c r="H101">
        <v>1</v>
      </c>
      <c r="I101" s="2">
        <f t="shared" si="3"/>
        <v>3.40875E-2</v>
      </c>
      <c r="J101">
        <f t="shared" si="6"/>
        <v>3.3750000000000002E-2</v>
      </c>
      <c r="K101">
        <f t="shared" si="5"/>
        <v>2.3613541394620005E-2</v>
      </c>
    </row>
    <row r="102" spans="1:11" x14ac:dyDescent="0.25">
      <c r="A102" s="1">
        <v>1963</v>
      </c>
      <c r="B102" s="1" t="s">
        <v>99</v>
      </c>
      <c r="C102" t="s">
        <v>9</v>
      </c>
      <c r="D102" s="1" t="s">
        <v>95</v>
      </c>
      <c r="E102">
        <v>29</v>
      </c>
      <c r="F102" s="1" t="s">
        <v>105</v>
      </c>
      <c r="G102">
        <v>1</v>
      </c>
      <c r="H102">
        <v>3</v>
      </c>
      <c r="I102" s="2">
        <f t="shared" si="3"/>
        <v>3.68145E-2</v>
      </c>
      <c r="J102">
        <f t="shared" si="6"/>
        <v>3.6449999999999996E-2</v>
      </c>
      <c r="K102">
        <f t="shared" si="5"/>
        <v>2.5502624706189601E-2</v>
      </c>
    </row>
    <row r="103" spans="1:11" x14ac:dyDescent="0.25">
      <c r="A103" s="1">
        <v>1963</v>
      </c>
      <c r="B103" s="1" t="s">
        <v>99</v>
      </c>
      <c r="C103" t="s">
        <v>9</v>
      </c>
      <c r="D103" s="1" t="s">
        <v>95</v>
      </c>
      <c r="E103">
        <v>32</v>
      </c>
      <c r="F103" s="1" t="s">
        <v>105</v>
      </c>
      <c r="G103">
        <v>1</v>
      </c>
      <c r="H103">
        <v>20</v>
      </c>
      <c r="I103" s="2">
        <f t="shared" si="3"/>
        <v>0.24542999999999998</v>
      </c>
      <c r="J103">
        <f t="shared" si="6"/>
        <v>0.24299999999999997</v>
      </c>
      <c r="K103">
        <f t="shared" si="5"/>
        <v>0.17001749804126401</v>
      </c>
    </row>
    <row r="104" spans="1:11" x14ac:dyDescent="0.25">
      <c r="A104" s="1">
        <v>1963</v>
      </c>
      <c r="B104" s="1" t="s">
        <v>99</v>
      </c>
      <c r="C104" t="s">
        <v>9</v>
      </c>
      <c r="D104" s="1" t="s">
        <v>95</v>
      </c>
      <c r="E104">
        <v>32</v>
      </c>
      <c r="F104" s="1" t="s">
        <v>105</v>
      </c>
      <c r="G104">
        <v>2</v>
      </c>
      <c r="H104">
        <v>5</v>
      </c>
      <c r="I104" s="2">
        <f t="shared" si="3"/>
        <v>0.17043749999999999</v>
      </c>
      <c r="J104">
        <f t="shared" si="6"/>
        <v>0.16874999999999998</v>
      </c>
      <c r="K104">
        <f t="shared" si="5"/>
        <v>0.11806770697310001</v>
      </c>
    </row>
    <row r="105" spans="1:11" x14ac:dyDescent="0.25">
      <c r="A105" s="1">
        <v>1963</v>
      </c>
      <c r="B105" s="1" t="s">
        <v>99</v>
      </c>
      <c r="C105" t="s">
        <v>9</v>
      </c>
      <c r="D105" s="1" t="s">
        <v>95</v>
      </c>
      <c r="E105">
        <v>32</v>
      </c>
      <c r="F105" s="1" t="s">
        <v>105</v>
      </c>
      <c r="G105">
        <v>3</v>
      </c>
      <c r="H105">
        <v>6</v>
      </c>
      <c r="I105" s="2">
        <f t="shared" si="3"/>
        <v>0.40086899999999998</v>
      </c>
      <c r="J105">
        <f t="shared" si="6"/>
        <v>0.39689999999999998</v>
      </c>
      <c r="K105">
        <f t="shared" si="5"/>
        <v>0.27769524680073121</v>
      </c>
    </row>
    <row r="106" spans="1:11" x14ac:dyDescent="0.25">
      <c r="A106" s="1">
        <v>1963</v>
      </c>
      <c r="B106" s="1" t="s">
        <v>99</v>
      </c>
      <c r="C106" t="s">
        <v>9</v>
      </c>
      <c r="D106" s="1" t="s">
        <v>95</v>
      </c>
      <c r="E106">
        <v>32</v>
      </c>
      <c r="F106" s="1" t="s">
        <v>105</v>
      </c>
      <c r="G106">
        <v>4</v>
      </c>
      <c r="H106">
        <v>1</v>
      </c>
      <c r="I106" s="2">
        <f t="shared" si="3"/>
        <v>0.11044349999999999</v>
      </c>
      <c r="J106">
        <f t="shared" si="6"/>
        <v>0.10934999999999999</v>
      </c>
      <c r="K106">
        <f t="shared" si="5"/>
        <v>7.6507874118568797E-2</v>
      </c>
    </row>
    <row r="107" spans="1:11" x14ac:dyDescent="0.25">
      <c r="A107" s="1">
        <v>1963</v>
      </c>
      <c r="B107" s="1" t="s">
        <v>99</v>
      </c>
      <c r="C107" t="s">
        <v>9</v>
      </c>
      <c r="D107" s="1" t="s">
        <v>95</v>
      </c>
      <c r="E107">
        <v>34</v>
      </c>
      <c r="F107" s="1" t="s">
        <v>105</v>
      </c>
      <c r="G107">
        <v>1</v>
      </c>
      <c r="H107">
        <v>1</v>
      </c>
      <c r="I107" s="2">
        <f t="shared" si="3"/>
        <v>1.2271499999999999E-2</v>
      </c>
      <c r="J107">
        <f t="shared" si="6"/>
        <v>1.2149999999999999E-2</v>
      </c>
      <c r="K107">
        <f t="shared" si="5"/>
        <v>8.5008749020632005E-3</v>
      </c>
    </row>
    <row r="108" spans="1:11" x14ac:dyDescent="0.25">
      <c r="A108" s="1">
        <v>1963</v>
      </c>
      <c r="B108" s="1" t="s">
        <v>99</v>
      </c>
      <c r="C108" t="s">
        <v>9</v>
      </c>
      <c r="D108" s="1" t="s">
        <v>95</v>
      </c>
      <c r="E108">
        <v>34</v>
      </c>
      <c r="F108" s="1" t="s">
        <v>105</v>
      </c>
      <c r="G108">
        <v>4</v>
      </c>
      <c r="H108">
        <v>1</v>
      </c>
      <c r="I108" s="2">
        <f t="shared" si="3"/>
        <v>0.11044349999999999</v>
      </c>
      <c r="J108">
        <f t="shared" si="6"/>
        <v>0.10934999999999999</v>
      </c>
      <c r="K108">
        <f t="shared" si="5"/>
        <v>7.6507874118568797E-2</v>
      </c>
    </row>
    <row r="109" spans="1:11" x14ac:dyDescent="0.25">
      <c r="A109" s="1">
        <v>1963</v>
      </c>
      <c r="B109" s="1" t="s">
        <v>99</v>
      </c>
      <c r="C109" t="s">
        <v>9</v>
      </c>
      <c r="D109" s="1" t="s">
        <v>95</v>
      </c>
      <c r="E109">
        <v>38</v>
      </c>
      <c r="F109" s="1" t="s">
        <v>105</v>
      </c>
      <c r="G109">
        <v>1</v>
      </c>
      <c r="H109">
        <v>1</v>
      </c>
      <c r="I109" s="2">
        <f t="shared" si="3"/>
        <v>1.2271499999999999E-2</v>
      </c>
      <c r="J109">
        <f t="shared" si="6"/>
        <v>1.2149999999999999E-2</v>
      </c>
      <c r="K109">
        <f t="shared" si="5"/>
        <v>8.5008749020632005E-3</v>
      </c>
    </row>
    <row r="110" spans="1:11" x14ac:dyDescent="0.25">
      <c r="A110" s="1">
        <v>1963</v>
      </c>
      <c r="B110" s="1" t="s">
        <v>99</v>
      </c>
      <c r="C110" t="s">
        <v>9</v>
      </c>
      <c r="D110" s="1" t="s">
        <v>95</v>
      </c>
      <c r="E110">
        <v>38</v>
      </c>
      <c r="F110" s="1" t="s">
        <v>105</v>
      </c>
      <c r="G110">
        <v>3</v>
      </c>
      <c r="H110">
        <v>5</v>
      </c>
      <c r="I110" s="2">
        <f t="shared" si="3"/>
        <v>0.33405750000000001</v>
      </c>
      <c r="J110">
        <f t="shared" si="6"/>
        <v>0.33074999999999999</v>
      </c>
      <c r="K110">
        <f t="shared" si="5"/>
        <v>0.23141270566727604</v>
      </c>
    </row>
    <row r="111" spans="1:11" x14ac:dyDescent="0.25">
      <c r="A111" s="1">
        <v>1963</v>
      </c>
      <c r="B111" s="1" t="s">
        <v>99</v>
      </c>
      <c r="C111" t="s">
        <v>9</v>
      </c>
      <c r="D111" s="1" t="s">
        <v>95</v>
      </c>
      <c r="E111">
        <v>40</v>
      </c>
      <c r="F111" s="1" t="s">
        <v>105</v>
      </c>
      <c r="G111">
        <v>1</v>
      </c>
      <c r="H111">
        <v>4</v>
      </c>
      <c r="I111" s="2">
        <f t="shared" si="3"/>
        <v>4.9085999999999998E-2</v>
      </c>
      <c r="J111">
        <f t="shared" si="6"/>
        <v>4.8599999999999997E-2</v>
      </c>
      <c r="K111">
        <f t="shared" si="5"/>
        <v>3.4003499608252802E-2</v>
      </c>
    </row>
    <row r="112" spans="1:11" x14ac:dyDescent="0.25">
      <c r="A112" s="1">
        <v>1963</v>
      </c>
      <c r="B112" s="1" t="s">
        <v>99</v>
      </c>
      <c r="C112" t="s">
        <v>9</v>
      </c>
      <c r="D112" s="1" t="s">
        <v>95</v>
      </c>
      <c r="E112">
        <v>40</v>
      </c>
      <c r="F112" s="1" t="s">
        <v>105</v>
      </c>
      <c r="G112">
        <v>2</v>
      </c>
      <c r="H112">
        <v>1</v>
      </c>
      <c r="I112" s="2">
        <f t="shared" si="3"/>
        <v>3.40875E-2</v>
      </c>
      <c r="J112">
        <f t="shared" si="6"/>
        <v>3.3750000000000002E-2</v>
      </c>
      <c r="K112">
        <f t="shared" si="5"/>
        <v>2.3613541394620005E-2</v>
      </c>
    </row>
    <row r="113" spans="1:11" x14ac:dyDescent="0.25">
      <c r="A113" s="1">
        <v>1963</v>
      </c>
      <c r="B113" s="1" t="s">
        <v>99</v>
      </c>
      <c r="C113" t="s">
        <v>9</v>
      </c>
      <c r="D113" s="1" t="s">
        <v>95</v>
      </c>
      <c r="E113">
        <v>40</v>
      </c>
      <c r="F113" s="1" t="s">
        <v>105</v>
      </c>
      <c r="G113">
        <v>3</v>
      </c>
      <c r="H113">
        <v>1</v>
      </c>
      <c r="I113" s="2">
        <f t="shared" si="3"/>
        <v>6.6811499999999996E-2</v>
      </c>
      <c r="J113">
        <f t="shared" si="6"/>
        <v>6.615E-2</v>
      </c>
      <c r="K113">
        <f t="shared" si="5"/>
        <v>4.6282541133455209E-2</v>
      </c>
    </row>
    <row r="114" spans="1:11" x14ac:dyDescent="0.25">
      <c r="A114" s="1">
        <v>1963</v>
      </c>
      <c r="B114" s="1" t="s">
        <v>99</v>
      </c>
      <c r="C114" t="s">
        <v>9</v>
      </c>
      <c r="D114" s="1" t="s">
        <v>95</v>
      </c>
      <c r="E114">
        <v>40</v>
      </c>
      <c r="F114" s="1" t="s">
        <v>105</v>
      </c>
      <c r="G114">
        <v>4</v>
      </c>
      <c r="H114">
        <v>2</v>
      </c>
      <c r="I114" s="2">
        <f t="shared" si="3"/>
        <v>0.22088699999999997</v>
      </c>
      <c r="J114">
        <f t="shared" si="6"/>
        <v>0.21869999999999998</v>
      </c>
      <c r="K114">
        <f t="shared" si="5"/>
        <v>0.15301574823713759</v>
      </c>
    </row>
    <row r="115" spans="1:11" x14ac:dyDescent="0.25">
      <c r="A115" s="1">
        <v>1963</v>
      </c>
      <c r="B115" s="1" t="s">
        <v>99</v>
      </c>
      <c r="C115" t="s">
        <v>9</v>
      </c>
      <c r="D115" s="1" t="s">
        <v>95</v>
      </c>
      <c r="E115">
        <v>41</v>
      </c>
      <c r="F115" s="1" t="s">
        <v>105</v>
      </c>
      <c r="G115">
        <v>4</v>
      </c>
      <c r="H115">
        <v>1</v>
      </c>
      <c r="I115" s="2">
        <f t="shared" si="3"/>
        <v>0.11044349999999999</v>
      </c>
      <c r="J115">
        <f t="shared" si="6"/>
        <v>0.10934999999999999</v>
      </c>
      <c r="K115">
        <f t="shared" si="5"/>
        <v>7.6507874118568797E-2</v>
      </c>
    </row>
    <row r="116" spans="1:11" x14ac:dyDescent="0.25">
      <c r="A116" s="1">
        <v>1963</v>
      </c>
      <c r="B116" s="1" t="s">
        <v>99</v>
      </c>
      <c r="C116" t="s">
        <v>9</v>
      </c>
      <c r="D116" s="1" t="s">
        <v>95</v>
      </c>
      <c r="E116">
        <v>53</v>
      </c>
      <c r="F116" s="1" t="s">
        <v>105</v>
      </c>
      <c r="G116">
        <v>1</v>
      </c>
      <c r="H116">
        <v>4</v>
      </c>
      <c r="I116" s="2">
        <f t="shared" si="3"/>
        <v>4.9085999999999998E-2</v>
      </c>
      <c r="J116">
        <f t="shared" si="6"/>
        <v>4.8599999999999997E-2</v>
      </c>
      <c r="K116">
        <f t="shared" si="5"/>
        <v>3.4003499608252802E-2</v>
      </c>
    </row>
    <row r="117" spans="1:11" x14ac:dyDescent="0.25">
      <c r="A117" s="1">
        <v>1963</v>
      </c>
      <c r="B117" s="1" t="s">
        <v>99</v>
      </c>
      <c r="C117" t="s">
        <v>9</v>
      </c>
      <c r="D117" s="1" t="s">
        <v>95</v>
      </c>
      <c r="E117">
        <v>53</v>
      </c>
      <c r="F117" s="1" t="s">
        <v>105</v>
      </c>
      <c r="G117">
        <v>3</v>
      </c>
      <c r="H117">
        <v>1</v>
      </c>
      <c r="I117" s="2">
        <f t="shared" si="3"/>
        <v>6.6811499999999996E-2</v>
      </c>
      <c r="J117">
        <f t="shared" si="6"/>
        <v>6.615E-2</v>
      </c>
      <c r="K117">
        <f t="shared" si="5"/>
        <v>4.6282541133455209E-2</v>
      </c>
    </row>
    <row r="118" spans="1:11" x14ac:dyDescent="0.25">
      <c r="A118" s="1">
        <v>1963</v>
      </c>
      <c r="B118" s="1" t="s">
        <v>99</v>
      </c>
      <c r="C118" t="s">
        <v>9</v>
      </c>
      <c r="D118" s="1" t="s">
        <v>95</v>
      </c>
      <c r="E118">
        <v>54</v>
      </c>
      <c r="F118" s="1" t="s">
        <v>105</v>
      </c>
      <c r="G118">
        <v>1</v>
      </c>
      <c r="H118">
        <v>6</v>
      </c>
      <c r="I118" s="2">
        <f t="shared" si="3"/>
        <v>7.3629E-2</v>
      </c>
      <c r="J118">
        <f t="shared" si="6"/>
        <v>7.2899999999999993E-2</v>
      </c>
      <c r="K118">
        <f t="shared" si="5"/>
        <v>5.1005249412379203E-2</v>
      </c>
    </row>
    <row r="119" spans="1:11" x14ac:dyDescent="0.25">
      <c r="A119" s="1">
        <v>1963</v>
      </c>
      <c r="B119" s="1" t="s">
        <v>99</v>
      </c>
      <c r="C119" t="s">
        <v>9</v>
      </c>
      <c r="D119" s="1" t="s">
        <v>95</v>
      </c>
      <c r="E119">
        <v>54</v>
      </c>
      <c r="F119" s="1" t="s">
        <v>105</v>
      </c>
      <c r="G119">
        <v>2</v>
      </c>
      <c r="H119">
        <v>1</v>
      </c>
      <c r="I119" s="2">
        <f t="shared" si="3"/>
        <v>3.40875E-2</v>
      </c>
      <c r="J119">
        <f t="shared" si="6"/>
        <v>3.3750000000000002E-2</v>
      </c>
      <c r="K119">
        <f t="shared" si="5"/>
        <v>2.3613541394620005E-2</v>
      </c>
    </row>
    <row r="120" spans="1:11" x14ac:dyDescent="0.25">
      <c r="A120" s="1">
        <v>1963</v>
      </c>
      <c r="B120" s="1" t="s">
        <v>99</v>
      </c>
      <c r="C120" t="s">
        <v>9</v>
      </c>
      <c r="D120" s="1" t="s">
        <v>95</v>
      </c>
      <c r="E120">
        <v>54</v>
      </c>
      <c r="F120" s="1" t="s">
        <v>105</v>
      </c>
      <c r="G120">
        <v>4</v>
      </c>
      <c r="H120">
        <v>1</v>
      </c>
      <c r="I120" s="2">
        <f t="shared" si="3"/>
        <v>0.11044349999999999</v>
      </c>
      <c r="J120">
        <f t="shared" si="6"/>
        <v>0.10934999999999999</v>
      </c>
      <c r="K120">
        <f t="shared" si="5"/>
        <v>7.6507874118568797E-2</v>
      </c>
    </row>
    <row r="121" spans="1:11" x14ac:dyDescent="0.25">
      <c r="A121" s="1">
        <v>1963</v>
      </c>
      <c r="B121" s="1" t="s">
        <v>99</v>
      </c>
      <c r="C121" t="s">
        <v>9</v>
      </c>
      <c r="D121" s="1" t="s">
        <v>95</v>
      </c>
      <c r="E121">
        <v>56</v>
      </c>
      <c r="F121" s="1" t="s">
        <v>105</v>
      </c>
      <c r="G121">
        <v>1</v>
      </c>
      <c r="H121">
        <v>3</v>
      </c>
      <c r="I121" s="2">
        <f t="shared" si="3"/>
        <v>3.68145E-2</v>
      </c>
      <c r="J121">
        <f t="shared" si="6"/>
        <v>3.6449999999999996E-2</v>
      </c>
      <c r="K121">
        <f t="shared" si="5"/>
        <v>2.5502624706189601E-2</v>
      </c>
    </row>
    <row r="122" spans="1:11" x14ac:dyDescent="0.25">
      <c r="A122" s="1">
        <v>1963</v>
      </c>
      <c r="B122" s="1" t="s">
        <v>99</v>
      </c>
      <c r="C122" t="s">
        <v>9</v>
      </c>
      <c r="D122" s="1" t="s">
        <v>95</v>
      </c>
      <c r="E122">
        <v>58</v>
      </c>
      <c r="F122" s="1" t="s">
        <v>105</v>
      </c>
      <c r="G122">
        <v>1</v>
      </c>
      <c r="H122">
        <v>5</v>
      </c>
      <c r="I122" s="2">
        <f t="shared" si="3"/>
        <v>6.1357499999999995E-2</v>
      </c>
      <c r="J122">
        <f t="shared" si="6"/>
        <v>6.0749999999999992E-2</v>
      </c>
      <c r="K122">
        <f t="shared" si="5"/>
        <v>4.2504374510316002E-2</v>
      </c>
    </row>
    <row r="123" spans="1:11" x14ac:dyDescent="0.25">
      <c r="A123" s="1">
        <v>1963</v>
      </c>
      <c r="B123" s="1" t="s">
        <v>99</v>
      </c>
      <c r="C123" t="s">
        <v>9</v>
      </c>
      <c r="D123" s="1" t="s">
        <v>95</v>
      </c>
      <c r="E123">
        <v>58</v>
      </c>
      <c r="F123" s="1" t="s">
        <v>105</v>
      </c>
      <c r="G123">
        <v>2</v>
      </c>
      <c r="H123">
        <v>4</v>
      </c>
      <c r="I123" s="2">
        <f t="shared" si="3"/>
        <v>0.13635</v>
      </c>
      <c r="J123">
        <f t="shared" si="6"/>
        <v>0.13500000000000001</v>
      </c>
      <c r="K123">
        <f t="shared" si="5"/>
        <v>9.445416557848002E-2</v>
      </c>
    </row>
    <row r="124" spans="1:11" x14ac:dyDescent="0.25">
      <c r="A124" s="1">
        <v>1963</v>
      </c>
      <c r="B124" s="1" t="s">
        <v>99</v>
      </c>
      <c r="C124" t="s">
        <v>9</v>
      </c>
      <c r="D124" s="1" t="s">
        <v>95</v>
      </c>
      <c r="E124">
        <v>71</v>
      </c>
      <c r="F124" s="1" t="s">
        <v>105</v>
      </c>
      <c r="G124">
        <v>1</v>
      </c>
      <c r="H124">
        <v>8</v>
      </c>
      <c r="I124" s="2">
        <f t="shared" si="3"/>
        <v>9.8171999999999995E-2</v>
      </c>
      <c r="J124">
        <f t="shared" si="6"/>
        <v>9.7199999999999995E-2</v>
      </c>
      <c r="K124">
        <f t="shared" si="5"/>
        <v>6.8006999216505604E-2</v>
      </c>
    </row>
    <row r="125" spans="1:11" x14ac:dyDescent="0.25">
      <c r="A125" s="1">
        <v>1963</v>
      </c>
      <c r="B125" s="1" t="s">
        <v>99</v>
      </c>
      <c r="C125" t="s">
        <v>9</v>
      </c>
      <c r="D125" s="1" t="s">
        <v>95</v>
      </c>
      <c r="E125">
        <v>71</v>
      </c>
      <c r="F125" s="1" t="s">
        <v>105</v>
      </c>
      <c r="G125">
        <v>2</v>
      </c>
      <c r="H125">
        <v>2</v>
      </c>
      <c r="I125" s="2">
        <f t="shared" si="3"/>
        <v>6.8174999999999999E-2</v>
      </c>
      <c r="J125">
        <f t="shared" si="6"/>
        <v>6.7500000000000004E-2</v>
      </c>
      <c r="K125">
        <f t="shared" si="5"/>
        <v>4.722708278924001E-2</v>
      </c>
    </row>
    <row r="126" spans="1:11" x14ac:dyDescent="0.25">
      <c r="A126" s="1">
        <v>1963</v>
      </c>
      <c r="B126" s="1" t="s">
        <v>99</v>
      </c>
      <c r="C126" t="s">
        <v>9</v>
      </c>
      <c r="D126" s="1" t="s">
        <v>95</v>
      </c>
      <c r="E126">
        <v>76</v>
      </c>
      <c r="F126" s="1" t="s">
        <v>105</v>
      </c>
      <c r="G126">
        <v>1</v>
      </c>
      <c r="H126">
        <v>4</v>
      </c>
      <c r="I126" s="2">
        <f t="shared" si="3"/>
        <v>4.9085999999999998E-2</v>
      </c>
      <c r="J126">
        <f t="shared" si="6"/>
        <v>4.8599999999999997E-2</v>
      </c>
      <c r="K126">
        <f t="shared" si="5"/>
        <v>3.4003499608252802E-2</v>
      </c>
    </row>
    <row r="127" spans="1:11" x14ac:dyDescent="0.25">
      <c r="A127" s="1">
        <v>1963</v>
      </c>
      <c r="B127" s="1" t="s">
        <v>99</v>
      </c>
      <c r="C127" t="s">
        <v>9</v>
      </c>
      <c r="D127" s="1" t="s">
        <v>95</v>
      </c>
      <c r="E127">
        <v>76</v>
      </c>
      <c r="F127" s="1" t="s">
        <v>105</v>
      </c>
      <c r="G127">
        <v>2</v>
      </c>
      <c r="H127">
        <v>3</v>
      </c>
      <c r="I127" s="2">
        <f t="shared" si="3"/>
        <v>0.10226250000000001</v>
      </c>
      <c r="J127">
        <f t="shared" si="6"/>
        <v>0.10125000000000001</v>
      </c>
      <c r="K127">
        <f t="shared" si="5"/>
        <v>7.0840624183860015E-2</v>
      </c>
    </row>
    <row r="128" spans="1:11" x14ac:dyDescent="0.25">
      <c r="A128" s="1">
        <v>1963</v>
      </c>
      <c r="B128" s="1" t="s">
        <v>99</v>
      </c>
      <c r="C128" t="s">
        <v>9</v>
      </c>
      <c r="D128" s="1" t="s">
        <v>95</v>
      </c>
      <c r="E128">
        <v>79</v>
      </c>
      <c r="F128" s="1" t="s">
        <v>105</v>
      </c>
      <c r="G128">
        <v>1</v>
      </c>
      <c r="H128">
        <v>11</v>
      </c>
      <c r="I128" s="2">
        <f t="shared" si="3"/>
        <v>0.13498649999999998</v>
      </c>
      <c r="J128">
        <f t="shared" si="6"/>
        <v>0.13364999999999999</v>
      </c>
      <c r="K128">
        <f t="shared" si="5"/>
        <v>9.3509623922695212E-2</v>
      </c>
    </row>
    <row r="129" spans="1:11" x14ac:dyDescent="0.25">
      <c r="A129" s="1">
        <v>1963</v>
      </c>
      <c r="B129" s="1" t="s">
        <v>99</v>
      </c>
      <c r="C129" t="s">
        <v>9</v>
      </c>
      <c r="D129" s="1" t="s">
        <v>95</v>
      </c>
      <c r="E129">
        <v>79</v>
      </c>
      <c r="F129" s="1" t="s">
        <v>105</v>
      </c>
      <c r="G129">
        <v>2</v>
      </c>
      <c r="H129">
        <v>5</v>
      </c>
      <c r="I129" s="2">
        <f t="shared" si="3"/>
        <v>0.17043749999999999</v>
      </c>
      <c r="J129">
        <f t="shared" si="6"/>
        <v>0.16874999999999998</v>
      </c>
      <c r="K129">
        <f t="shared" si="5"/>
        <v>0.11806770697310001</v>
      </c>
    </row>
    <row r="130" spans="1:11" x14ac:dyDescent="0.25">
      <c r="A130" s="1">
        <v>1963</v>
      </c>
      <c r="B130" s="1" t="s">
        <v>99</v>
      </c>
      <c r="C130" t="s">
        <v>9</v>
      </c>
      <c r="D130" s="1" t="s">
        <v>95</v>
      </c>
      <c r="E130">
        <v>79</v>
      </c>
      <c r="F130" s="1" t="s">
        <v>105</v>
      </c>
      <c r="G130">
        <v>3</v>
      </c>
      <c r="H130">
        <v>5</v>
      </c>
      <c r="I130" s="2">
        <f t="shared" si="3"/>
        <v>0.33405750000000001</v>
      </c>
      <c r="J130">
        <f t="shared" si="6"/>
        <v>0.33074999999999999</v>
      </c>
      <c r="K130">
        <f t="shared" si="5"/>
        <v>0.23141270566727604</v>
      </c>
    </row>
    <row r="131" spans="1:11" x14ac:dyDescent="0.25">
      <c r="A131" s="1">
        <v>1963</v>
      </c>
      <c r="B131" s="1" t="s">
        <v>99</v>
      </c>
      <c r="C131" t="s">
        <v>9</v>
      </c>
      <c r="D131" s="1" t="s">
        <v>95</v>
      </c>
      <c r="E131">
        <v>79</v>
      </c>
      <c r="F131" s="1" t="s">
        <v>105</v>
      </c>
      <c r="G131">
        <v>4</v>
      </c>
      <c r="H131">
        <v>3</v>
      </c>
      <c r="I131" s="2">
        <f t="shared" ref="I131:I194" si="7">0.005454*(G131+0.5)^2*H131</f>
        <v>0.33133049999999997</v>
      </c>
      <c r="J131">
        <f t="shared" si="6"/>
        <v>0.32804999999999995</v>
      </c>
      <c r="K131">
        <f t="shared" ref="K131:K194" si="8">J131*(26.79/38.29)</f>
        <v>0.22952362235570639</v>
      </c>
    </row>
    <row r="132" spans="1:11" x14ac:dyDescent="0.25">
      <c r="A132" s="1">
        <v>1963</v>
      </c>
      <c r="B132" s="1" t="s">
        <v>99</v>
      </c>
      <c r="C132" t="s">
        <v>9</v>
      </c>
      <c r="D132" s="1" t="s">
        <v>95</v>
      </c>
      <c r="E132">
        <v>84</v>
      </c>
      <c r="F132" s="1" t="s">
        <v>105</v>
      </c>
      <c r="G132">
        <v>1</v>
      </c>
      <c r="H132">
        <v>15</v>
      </c>
      <c r="I132" s="2">
        <f t="shared" si="7"/>
        <v>0.1840725</v>
      </c>
      <c r="J132">
        <f t="shared" si="6"/>
        <v>0.18225</v>
      </c>
      <c r="K132">
        <f t="shared" si="8"/>
        <v>0.12751312353094801</v>
      </c>
    </row>
    <row r="133" spans="1:11" x14ac:dyDescent="0.25">
      <c r="A133" s="1">
        <v>1963</v>
      </c>
      <c r="B133" s="1" t="s">
        <v>99</v>
      </c>
      <c r="C133" t="s">
        <v>9</v>
      </c>
      <c r="D133" s="1" t="s">
        <v>95</v>
      </c>
      <c r="E133">
        <v>91</v>
      </c>
      <c r="F133" s="1" t="s">
        <v>105</v>
      </c>
      <c r="G133">
        <v>1</v>
      </c>
      <c r="H133">
        <v>3</v>
      </c>
      <c r="I133" s="2">
        <f t="shared" si="7"/>
        <v>3.68145E-2</v>
      </c>
      <c r="J133">
        <f t="shared" si="6"/>
        <v>3.6449999999999996E-2</v>
      </c>
      <c r="K133">
        <f t="shared" si="8"/>
        <v>2.5502624706189601E-2</v>
      </c>
    </row>
    <row r="134" spans="1:11" x14ac:dyDescent="0.25">
      <c r="A134" s="1">
        <v>1963</v>
      </c>
      <c r="B134" s="1" t="s">
        <v>99</v>
      </c>
      <c r="C134" t="s">
        <v>9</v>
      </c>
      <c r="D134" s="1" t="s">
        <v>95</v>
      </c>
      <c r="E134">
        <v>91</v>
      </c>
      <c r="F134" s="1" t="s">
        <v>105</v>
      </c>
      <c r="G134">
        <v>3</v>
      </c>
      <c r="H134">
        <v>1</v>
      </c>
      <c r="I134" s="2">
        <f t="shared" si="7"/>
        <v>6.6811499999999996E-2</v>
      </c>
      <c r="J134">
        <f t="shared" si="6"/>
        <v>6.615E-2</v>
      </c>
      <c r="K134">
        <f t="shared" si="8"/>
        <v>4.6282541133455209E-2</v>
      </c>
    </row>
    <row r="135" spans="1:11" x14ac:dyDescent="0.25">
      <c r="A135" s="1">
        <v>1963</v>
      </c>
      <c r="B135" s="1" t="s">
        <v>99</v>
      </c>
      <c r="C135" t="s">
        <v>9</v>
      </c>
      <c r="D135" s="1" t="s">
        <v>97</v>
      </c>
      <c r="E135">
        <v>21</v>
      </c>
      <c r="F135" s="1" t="s">
        <v>105</v>
      </c>
      <c r="G135">
        <v>1</v>
      </c>
      <c r="H135">
        <v>2</v>
      </c>
      <c r="I135" s="2">
        <f t="shared" si="7"/>
        <v>2.4542999999999999E-2</v>
      </c>
      <c r="J135">
        <f t="shared" ref="J135:J175" si="9">I135/(101*0.01)</f>
        <v>2.4299999999999999E-2</v>
      </c>
      <c r="K135">
        <f t="shared" si="8"/>
        <v>1.7001749804126401E-2</v>
      </c>
    </row>
    <row r="136" spans="1:11" x14ac:dyDescent="0.25">
      <c r="A136" s="1">
        <v>1963</v>
      </c>
      <c r="B136" s="1" t="s">
        <v>99</v>
      </c>
      <c r="C136" t="s">
        <v>9</v>
      </c>
      <c r="D136" s="1" t="s">
        <v>97</v>
      </c>
      <c r="E136">
        <v>21</v>
      </c>
      <c r="F136" s="1" t="s">
        <v>105</v>
      </c>
      <c r="G136">
        <v>2</v>
      </c>
      <c r="H136">
        <v>2</v>
      </c>
      <c r="I136" s="2">
        <f t="shared" si="7"/>
        <v>6.8174999999999999E-2</v>
      </c>
      <c r="J136">
        <f t="shared" si="9"/>
        <v>6.7500000000000004E-2</v>
      </c>
      <c r="K136">
        <f t="shared" si="8"/>
        <v>4.722708278924001E-2</v>
      </c>
    </row>
    <row r="137" spans="1:11" x14ac:dyDescent="0.25">
      <c r="A137" s="1">
        <v>1963</v>
      </c>
      <c r="B137" s="1" t="s">
        <v>99</v>
      </c>
      <c r="C137" t="s">
        <v>9</v>
      </c>
      <c r="D137" s="1" t="s">
        <v>97</v>
      </c>
      <c r="E137">
        <v>21</v>
      </c>
      <c r="F137" s="1" t="s">
        <v>105</v>
      </c>
      <c r="G137">
        <v>3</v>
      </c>
      <c r="H137">
        <v>1</v>
      </c>
      <c r="I137" s="2">
        <f t="shared" si="7"/>
        <v>6.6811499999999996E-2</v>
      </c>
      <c r="J137">
        <f t="shared" si="9"/>
        <v>6.615E-2</v>
      </c>
      <c r="K137">
        <f t="shared" si="8"/>
        <v>4.6282541133455209E-2</v>
      </c>
    </row>
    <row r="138" spans="1:11" x14ac:dyDescent="0.25">
      <c r="A138" s="1">
        <v>1963</v>
      </c>
      <c r="B138" s="1" t="s">
        <v>99</v>
      </c>
      <c r="C138" t="s">
        <v>9</v>
      </c>
      <c r="D138" s="1" t="s">
        <v>97</v>
      </c>
      <c r="E138">
        <v>29</v>
      </c>
      <c r="F138" s="1" t="s">
        <v>105</v>
      </c>
      <c r="G138">
        <v>1</v>
      </c>
      <c r="H138">
        <v>2</v>
      </c>
      <c r="I138" s="2">
        <f t="shared" si="7"/>
        <v>2.4542999999999999E-2</v>
      </c>
      <c r="J138">
        <f t="shared" si="9"/>
        <v>2.4299999999999999E-2</v>
      </c>
      <c r="K138">
        <f t="shared" si="8"/>
        <v>1.7001749804126401E-2</v>
      </c>
    </row>
    <row r="139" spans="1:11" x14ac:dyDescent="0.25">
      <c r="A139" s="1">
        <v>1963</v>
      </c>
      <c r="B139" s="1" t="s">
        <v>99</v>
      </c>
      <c r="C139" t="s">
        <v>9</v>
      </c>
      <c r="D139" s="1" t="s">
        <v>97</v>
      </c>
      <c r="E139">
        <v>25</v>
      </c>
      <c r="F139" s="1" t="s">
        <v>105</v>
      </c>
      <c r="G139">
        <v>3</v>
      </c>
      <c r="H139">
        <v>1</v>
      </c>
      <c r="I139" s="2">
        <f t="shared" si="7"/>
        <v>6.6811499999999996E-2</v>
      </c>
      <c r="J139">
        <f t="shared" si="9"/>
        <v>6.615E-2</v>
      </c>
      <c r="K139">
        <f t="shared" si="8"/>
        <v>4.6282541133455209E-2</v>
      </c>
    </row>
    <row r="140" spans="1:11" x14ac:dyDescent="0.25">
      <c r="A140" s="1">
        <v>1963</v>
      </c>
      <c r="B140" s="1" t="s">
        <v>99</v>
      </c>
      <c r="C140" t="s">
        <v>9</v>
      </c>
      <c r="D140" s="1" t="s">
        <v>97</v>
      </c>
      <c r="E140">
        <v>32</v>
      </c>
      <c r="F140" s="1" t="s">
        <v>105</v>
      </c>
      <c r="G140">
        <v>1</v>
      </c>
      <c r="H140">
        <v>20</v>
      </c>
      <c r="I140" s="2">
        <f t="shared" si="7"/>
        <v>0.24542999999999998</v>
      </c>
      <c r="J140">
        <f t="shared" si="9"/>
        <v>0.24299999999999997</v>
      </c>
      <c r="K140">
        <f t="shared" si="8"/>
        <v>0.17001749804126401</v>
      </c>
    </row>
    <row r="141" spans="1:11" x14ac:dyDescent="0.25">
      <c r="A141" s="1">
        <v>1963</v>
      </c>
      <c r="B141" s="1" t="s">
        <v>99</v>
      </c>
      <c r="C141" t="s">
        <v>9</v>
      </c>
      <c r="D141" s="1" t="s">
        <v>97</v>
      </c>
      <c r="E141">
        <v>32</v>
      </c>
      <c r="F141" s="1" t="s">
        <v>105</v>
      </c>
      <c r="G141">
        <v>2</v>
      </c>
      <c r="H141">
        <v>5</v>
      </c>
      <c r="I141" s="2">
        <f t="shared" si="7"/>
        <v>0.17043749999999999</v>
      </c>
      <c r="J141">
        <f t="shared" si="9"/>
        <v>0.16874999999999998</v>
      </c>
      <c r="K141">
        <f t="shared" si="8"/>
        <v>0.11806770697310001</v>
      </c>
    </row>
    <row r="142" spans="1:11" x14ac:dyDescent="0.25">
      <c r="A142" s="1">
        <v>1963</v>
      </c>
      <c r="B142" s="1" t="s">
        <v>99</v>
      </c>
      <c r="C142" t="s">
        <v>9</v>
      </c>
      <c r="D142" s="1" t="s">
        <v>97</v>
      </c>
      <c r="E142">
        <v>32</v>
      </c>
      <c r="F142" s="1" t="s">
        <v>105</v>
      </c>
      <c r="G142">
        <v>4</v>
      </c>
      <c r="H142">
        <v>2</v>
      </c>
      <c r="I142" s="2">
        <f t="shared" si="7"/>
        <v>0.22088699999999997</v>
      </c>
      <c r="J142">
        <f t="shared" si="9"/>
        <v>0.21869999999999998</v>
      </c>
      <c r="K142">
        <f t="shared" si="8"/>
        <v>0.15301574823713759</v>
      </c>
    </row>
    <row r="143" spans="1:11" x14ac:dyDescent="0.25">
      <c r="A143" s="1">
        <v>1963</v>
      </c>
      <c r="B143" s="1" t="s">
        <v>99</v>
      </c>
      <c r="C143" t="s">
        <v>9</v>
      </c>
      <c r="D143" s="1" t="s">
        <v>97</v>
      </c>
      <c r="E143">
        <v>34</v>
      </c>
      <c r="F143" s="1" t="s">
        <v>105</v>
      </c>
      <c r="G143">
        <v>3</v>
      </c>
      <c r="H143">
        <v>1</v>
      </c>
      <c r="I143" s="2">
        <f t="shared" si="7"/>
        <v>6.6811499999999996E-2</v>
      </c>
      <c r="J143">
        <f t="shared" si="9"/>
        <v>6.615E-2</v>
      </c>
      <c r="K143">
        <f t="shared" si="8"/>
        <v>4.6282541133455209E-2</v>
      </c>
    </row>
    <row r="144" spans="1:11" x14ac:dyDescent="0.25">
      <c r="A144" s="1">
        <v>1963</v>
      </c>
      <c r="B144" s="1" t="s">
        <v>99</v>
      </c>
      <c r="C144" t="s">
        <v>9</v>
      </c>
      <c r="D144" s="1" t="s">
        <v>97</v>
      </c>
      <c r="E144">
        <v>34</v>
      </c>
      <c r="F144" s="1" t="s">
        <v>105</v>
      </c>
      <c r="G144">
        <v>4</v>
      </c>
      <c r="H144">
        <v>2</v>
      </c>
      <c r="I144" s="2">
        <f t="shared" si="7"/>
        <v>0.22088699999999997</v>
      </c>
      <c r="J144">
        <f t="shared" si="9"/>
        <v>0.21869999999999998</v>
      </c>
      <c r="K144">
        <f t="shared" si="8"/>
        <v>0.15301574823713759</v>
      </c>
    </row>
    <row r="145" spans="1:11" x14ac:dyDescent="0.25">
      <c r="A145" s="1">
        <v>1963</v>
      </c>
      <c r="B145" s="1" t="s">
        <v>99</v>
      </c>
      <c r="C145" t="s">
        <v>9</v>
      </c>
      <c r="D145" s="1" t="s">
        <v>97</v>
      </c>
      <c r="E145">
        <v>38</v>
      </c>
      <c r="F145" s="1" t="s">
        <v>105</v>
      </c>
      <c r="G145">
        <v>2</v>
      </c>
      <c r="H145">
        <v>3</v>
      </c>
      <c r="I145" s="2">
        <f t="shared" si="7"/>
        <v>0.10226250000000001</v>
      </c>
      <c r="J145">
        <f t="shared" si="9"/>
        <v>0.10125000000000001</v>
      </c>
      <c r="K145">
        <f t="shared" si="8"/>
        <v>7.0840624183860015E-2</v>
      </c>
    </row>
    <row r="146" spans="1:11" x14ac:dyDescent="0.25">
      <c r="A146" s="1">
        <v>1963</v>
      </c>
      <c r="B146" s="1" t="s">
        <v>99</v>
      </c>
      <c r="C146" t="s">
        <v>9</v>
      </c>
      <c r="D146" s="1" t="s">
        <v>97</v>
      </c>
      <c r="E146">
        <v>38</v>
      </c>
      <c r="F146" s="1" t="s">
        <v>105</v>
      </c>
      <c r="G146">
        <v>3</v>
      </c>
      <c r="H146">
        <v>8</v>
      </c>
      <c r="I146" s="2">
        <f t="shared" si="7"/>
        <v>0.53449199999999997</v>
      </c>
      <c r="J146">
        <f t="shared" si="9"/>
        <v>0.5292</v>
      </c>
      <c r="K146">
        <f t="shared" si="8"/>
        <v>0.37026032906764167</v>
      </c>
    </row>
    <row r="147" spans="1:11" x14ac:dyDescent="0.25">
      <c r="A147" s="1">
        <v>1963</v>
      </c>
      <c r="B147" s="1" t="s">
        <v>99</v>
      </c>
      <c r="C147" t="s">
        <v>9</v>
      </c>
      <c r="D147" s="1" t="s">
        <v>97</v>
      </c>
      <c r="E147">
        <v>40</v>
      </c>
      <c r="F147" s="1" t="s">
        <v>105</v>
      </c>
      <c r="G147">
        <v>2</v>
      </c>
      <c r="H147">
        <v>1</v>
      </c>
      <c r="I147" s="2">
        <f t="shared" si="7"/>
        <v>3.40875E-2</v>
      </c>
      <c r="J147">
        <f t="shared" si="9"/>
        <v>3.3750000000000002E-2</v>
      </c>
      <c r="K147">
        <f t="shared" si="8"/>
        <v>2.3613541394620005E-2</v>
      </c>
    </row>
    <row r="148" spans="1:11" x14ac:dyDescent="0.25">
      <c r="A148" s="1">
        <v>1963</v>
      </c>
      <c r="B148" s="1" t="s">
        <v>99</v>
      </c>
      <c r="C148" t="s">
        <v>9</v>
      </c>
      <c r="D148" s="1" t="s">
        <v>97</v>
      </c>
      <c r="E148">
        <v>40</v>
      </c>
      <c r="F148" s="1" t="s">
        <v>105</v>
      </c>
      <c r="G148">
        <v>4</v>
      </c>
      <c r="H148">
        <v>1</v>
      </c>
      <c r="I148" s="2">
        <f t="shared" si="7"/>
        <v>0.11044349999999999</v>
      </c>
      <c r="J148">
        <f t="shared" si="9"/>
        <v>0.10934999999999999</v>
      </c>
      <c r="K148">
        <f t="shared" si="8"/>
        <v>7.6507874118568797E-2</v>
      </c>
    </row>
    <row r="149" spans="1:11" x14ac:dyDescent="0.25">
      <c r="A149" s="1">
        <v>1963</v>
      </c>
      <c r="B149" s="1" t="s">
        <v>99</v>
      </c>
      <c r="C149" t="s">
        <v>9</v>
      </c>
      <c r="D149" s="1" t="s">
        <v>97</v>
      </c>
      <c r="E149">
        <v>58</v>
      </c>
      <c r="F149" s="1" t="s">
        <v>105</v>
      </c>
      <c r="G149">
        <v>4</v>
      </c>
      <c r="H149">
        <v>2</v>
      </c>
      <c r="I149" s="2">
        <f t="shared" si="7"/>
        <v>0.22088699999999997</v>
      </c>
      <c r="J149">
        <f t="shared" si="9"/>
        <v>0.21869999999999998</v>
      </c>
      <c r="K149">
        <f t="shared" si="8"/>
        <v>0.15301574823713759</v>
      </c>
    </row>
    <row r="150" spans="1:11" x14ac:dyDescent="0.25">
      <c r="A150" s="1">
        <v>1963</v>
      </c>
      <c r="B150" s="1" t="s">
        <v>99</v>
      </c>
      <c r="C150" t="s">
        <v>9</v>
      </c>
      <c r="D150" s="1" t="s">
        <v>97</v>
      </c>
      <c r="E150">
        <v>71</v>
      </c>
      <c r="F150" s="1" t="s">
        <v>105</v>
      </c>
      <c r="G150">
        <v>1</v>
      </c>
      <c r="H150">
        <v>5</v>
      </c>
      <c r="I150" s="2">
        <f t="shared" si="7"/>
        <v>6.1357499999999995E-2</v>
      </c>
      <c r="J150">
        <f t="shared" si="9"/>
        <v>6.0749999999999992E-2</v>
      </c>
      <c r="K150">
        <f t="shared" si="8"/>
        <v>4.2504374510316002E-2</v>
      </c>
    </row>
    <row r="151" spans="1:11" x14ac:dyDescent="0.25">
      <c r="A151" s="1">
        <v>1963</v>
      </c>
      <c r="B151" s="1" t="s">
        <v>99</v>
      </c>
      <c r="C151" t="s">
        <v>9</v>
      </c>
      <c r="D151" s="1" t="s">
        <v>97</v>
      </c>
      <c r="E151">
        <v>76</v>
      </c>
      <c r="F151" s="1" t="s">
        <v>105</v>
      </c>
      <c r="G151">
        <v>1</v>
      </c>
      <c r="H151">
        <v>8</v>
      </c>
      <c r="I151" s="2">
        <f t="shared" si="7"/>
        <v>9.8171999999999995E-2</v>
      </c>
      <c r="J151">
        <f t="shared" si="9"/>
        <v>9.7199999999999995E-2</v>
      </c>
      <c r="K151">
        <f t="shared" si="8"/>
        <v>6.8006999216505604E-2</v>
      </c>
    </row>
    <row r="152" spans="1:11" x14ac:dyDescent="0.25">
      <c r="A152" s="1">
        <v>1963</v>
      </c>
      <c r="B152" s="1" t="s">
        <v>99</v>
      </c>
      <c r="C152" t="s">
        <v>9</v>
      </c>
      <c r="D152" s="1" t="s">
        <v>97</v>
      </c>
      <c r="E152">
        <v>76</v>
      </c>
      <c r="F152" s="1" t="s">
        <v>105</v>
      </c>
      <c r="G152">
        <v>2</v>
      </c>
      <c r="H152">
        <v>4</v>
      </c>
      <c r="I152" s="2">
        <f t="shared" si="7"/>
        <v>0.13635</v>
      </c>
      <c r="J152">
        <f t="shared" si="9"/>
        <v>0.13500000000000001</v>
      </c>
      <c r="K152">
        <f t="shared" si="8"/>
        <v>9.445416557848002E-2</v>
      </c>
    </row>
    <row r="153" spans="1:11" x14ac:dyDescent="0.25">
      <c r="A153" s="1">
        <v>1963</v>
      </c>
      <c r="B153" s="1" t="s">
        <v>99</v>
      </c>
      <c r="C153" t="s">
        <v>9</v>
      </c>
      <c r="D153" s="1" t="s">
        <v>97</v>
      </c>
      <c r="E153">
        <v>76</v>
      </c>
      <c r="F153" s="1" t="s">
        <v>105</v>
      </c>
      <c r="G153">
        <v>3</v>
      </c>
      <c r="H153">
        <v>2</v>
      </c>
      <c r="I153" s="2">
        <f t="shared" si="7"/>
        <v>0.13362299999999999</v>
      </c>
      <c r="J153">
        <f t="shared" si="9"/>
        <v>0.1323</v>
      </c>
      <c r="K153">
        <f t="shared" si="8"/>
        <v>9.2565082266910417E-2</v>
      </c>
    </row>
    <row r="154" spans="1:11" x14ac:dyDescent="0.25">
      <c r="A154" s="1">
        <v>1963</v>
      </c>
      <c r="B154" s="1" t="s">
        <v>99</v>
      </c>
      <c r="C154" t="s">
        <v>9</v>
      </c>
      <c r="D154" s="1" t="s">
        <v>97</v>
      </c>
      <c r="E154">
        <v>76</v>
      </c>
      <c r="F154" s="1" t="s">
        <v>105</v>
      </c>
      <c r="G154">
        <v>4</v>
      </c>
      <c r="H154">
        <v>1</v>
      </c>
      <c r="I154" s="2">
        <f t="shared" si="7"/>
        <v>0.11044349999999999</v>
      </c>
      <c r="J154">
        <f t="shared" si="9"/>
        <v>0.10934999999999999</v>
      </c>
      <c r="K154">
        <f t="shared" si="8"/>
        <v>7.6507874118568797E-2</v>
      </c>
    </row>
    <row r="155" spans="1:11" x14ac:dyDescent="0.25">
      <c r="A155" s="1">
        <v>1963</v>
      </c>
      <c r="B155" s="1" t="s">
        <v>99</v>
      </c>
      <c r="C155" t="s">
        <v>9</v>
      </c>
      <c r="D155" s="1" t="s">
        <v>97</v>
      </c>
      <c r="E155">
        <v>79</v>
      </c>
      <c r="F155" s="1" t="s">
        <v>105</v>
      </c>
      <c r="G155">
        <v>1</v>
      </c>
      <c r="H155">
        <v>12</v>
      </c>
      <c r="I155" s="2">
        <f t="shared" si="7"/>
        <v>0.147258</v>
      </c>
      <c r="J155">
        <f t="shared" si="9"/>
        <v>0.14579999999999999</v>
      </c>
      <c r="K155">
        <f t="shared" si="8"/>
        <v>0.10201049882475841</v>
      </c>
    </row>
    <row r="156" spans="1:11" x14ac:dyDescent="0.25">
      <c r="A156" s="1">
        <v>1963</v>
      </c>
      <c r="B156" s="1" t="s">
        <v>99</v>
      </c>
      <c r="C156" t="s">
        <v>9</v>
      </c>
      <c r="D156" s="1" t="s">
        <v>97</v>
      </c>
      <c r="E156">
        <v>79</v>
      </c>
      <c r="F156" s="1" t="s">
        <v>105</v>
      </c>
      <c r="G156">
        <v>2</v>
      </c>
      <c r="H156">
        <v>4</v>
      </c>
      <c r="I156" s="2">
        <f t="shared" si="7"/>
        <v>0.13635</v>
      </c>
      <c r="J156">
        <f t="shared" si="9"/>
        <v>0.13500000000000001</v>
      </c>
      <c r="K156">
        <f t="shared" si="8"/>
        <v>9.445416557848002E-2</v>
      </c>
    </row>
    <row r="157" spans="1:11" x14ac:dyDescent="0.25">
      <c r="A157" s="1">
        <v>1963</v>
      </c>
      <c r="B157" s="1" t="s">
        <v>99</v>
      </c>
      <c r="C157" t="s">
        <v>9</v>
      </c>
      <c r="D157" s="1" t="s">
        <v>97</v>
      </c>
      <c r="E157">
        <v>79</v>
      </c>
      <c r="F157" s="1" t="s">
        <v>105</v>
      </c>
      <c r="G157">
        <v>3</v>
      </c>
      <c r="H157">
        <v>4</v>
      </c>
      <c r="I157" s="2">
        <f t="shared" si="7"/>
        <v>0.26724599999999998</v>
      </c>
      <c r="J157">
        <f t="shared" si="9"/>
        <v>0.2646</v>
      </c>
      <c r="K157">
        <f t="shared" si="8"/>
        <v>0.18513016453382083</v>
      </c>
    </row>
    <row r="158" spans="1:11" x14ac:dyDescent="0.25">
      <c r="A158" s="1">
        <v>1963</v>
      </c>
      <c r="B158" s="1" t="s">
        <v>99</v>
      </c>
      <c r="C158" t="s">
        <v>9</v>
      </c>
      <c r="D158" s="1" t="s">
        <v>97</v>
      </c>
      <c r="E158">
        <v>79</v>
      </c>
      <c r="F158" s="1" t="s">
        <v>105</v>
      </c>
      <c r="G158">
        <v>4</v>
      </c>
      <c r="H158">
        <v>3</v>
      </c>
      <c r="I158" s="2">
        <f t="shared" si="7"/>
        <v>0.33133049999999997</v>
      </c>
      <c r="J158">
        <f t="shared" si="9"/>
        <v>0.32804999999999995</v>
      </c>
      <c r="K158">
        <f t="shared" si="8"/>
        <v>0.22952362235570639</v>
      </c>
    </row>
    <row r="159" spans="1:11" x14ac:dyDescent="0.25">
      <c r="A159" s="1">
        <v>1963</v>
      </c>
      <c r="B159" s="1" t="s">
        <v>99</v>
      </c>
      <c r="C159" t="s">
        <v>9</v>
      </c>
      <c r="D159" s="1" t="s">
        <v>97</v>
      </c>
      <c r="E159">
        <v>84</v>
      </c>
      <c r="F159" s="1" t="s">
        <v>105</v>
      </c>
      <c r="G159">
        <v>1</v>
      </c>
      <c r="H159">
        <v>1</v>
      </c>
      <c r="I159" s="2">
        <f t="shared" si="7"/>
        <v>1.2271499999999999E-2</v>
      </c>
      <c r="J159">
        <f t="shared" si="9"/>
        <v>1.2149999999999999E-2</v>
      </c>
      <c r="K159">
        <f t="shared" si="8"/>
        <v>8.5008749020632005E-3</v>
      </c>
    </row>
    <row r="160" spans="1:11" x14ac:dyDescent="0.25">
      <c r="A160" s="1">
        <v>1963</v>
      </c>
      <c r="B160" s="1" t="s">
        <v>99</v>
      </c>
      <c r="C160" t="s">
        <v>9</v>
      </c>
      <c r="D160" s="1" t="s">
        <v>97</v>
      </c>
      <c r="E160">
        <v>85</v>
      </c>
      <c r="F160" s="1" t="s">
        <v>105</v>
      </c>
      <c r="G160">
        <v>1</v>
      </c>
      <c r="H160">
        <v>1</v>
      </c>
      <c r="I160" s="2">
        <f t="shared" si="7"/>
        <v>1.2271499999999999E-2</v>
      </c>
      <c r="J160">
        <f t="shared" si="9"/>
        <v>1.2149999999999999E-2</v>
      </c>
      <c r="K160">
        <f t="shared" si="8"/>
        <v>8.5008749020632005E-3</v>
      </c>
    </row>
    <row r="161" spans="1:11" x14ac:dyDescent="0.25">
      <c r="A161" s="1">
        <v>1963</v>
      </c>
      <c r="B161" s="1" t="s">
        <v>99</v>
      </c>
      <c r="C161" t="s">
        <v>9</v>
      </c>
      <c r="D161" s="1" t="s">
        <v>97</v>
      </c>
      <c r="E161">
        <v>91</v>
      </c>
      <c r="F161" s="1" t="s">
        <v>105</v>
      </c>
      <c r="G161">
        <v>1</v>
      </c>
      <c r="H161">
        <v>2</v>
      </c>
      <c r="I161" s="2">
        <f t="shared" si="7"/>
        <v>2.4542999999999999E-2</v>
      </c>
      <c r="J161">
        <f t="shared" si="9"/>
        <v>2.4299999999999999E-2</v>
      </c>
      <c r="K161">
        <f t="shared" si="8"/>
        <v>1.7001749804126401E-2</v>
      </c>
    </row>
    <row r="162" spans="1:11" x14ac:dyDescent="0.25">
      <c r="A162" s="1">
        <v>1963</v>
      </c>
      <c r="B162" s="1" t="s">
        <v>99</v>
      </c>
      <c r="C162" t="s">
        <v>9</v>
      </c>
      <c r="D162" s="1" t="s">
        <v>97</v>
      </c>
      <c r="E162">
        <v>91</v>
      </c>
      <c r="F162" s="1" t="s">
        <v>105</v>
      </c>
      <c r="G162">
        <v>3</v>
      </c>
      <c r="H162">
        <v>1</v>
      </c>
      <c r="I162" s="2">
        <f t="shared" si="7"/>
        <v>6.6811499999999996E-2</v>
      </c>
      <c r="J162">
        <f t="shared" si="9"/>
        <v>6.615E-2</v>
      </c>
      <c r="K162">
        <f t="shared" si="8"/>
        <v>4.6282541133455209E-2</v>
      </c>
    </row>
    <row r="163" spans="1:11" x14ac:dyDescent="0.25">
      <c r="A163" s="1">
        <v>1963</v>
      </c>
      <c r="B163" s="1" t="s">
        <v>99</v>
      </c>
      <c r="C163" t="s">
        <v>9</v>
      </c>
      <c r="D163" s="1" t="s">
        <v>96</v>
      </c>
      <c r="E163">
        <v>33</v>
      </c>
      <c r="F163" s="1" t="s">
        <v>105</v>
      </c>
      <c r="G163">
        <v>1</v>
      </c>
      <c r="H163">
        <v>8</v>
      </c>
      <c r="I163" s="2">
        <f t="shared" si="7"/>
        <v>9.8171999999999995E-2</v>
      </c>
      <c r="J163">
        <f t="shared" si="9"/>
        <v>9.7199999999999995E-2</v>
      </c>
      <c r="K163">
        <f t="shared" si="8"/>
        <v>6.8006999216505604E-2</v>
      </c>
    </row>
    <row r="164" spans="1:11" x14ac:dyDescent="0.25">
      <c r="A164" s="1">
        <v>1963</v>
      </c>
      <c r="B164" s="1" t="s">
        <v>99</v>
      </c>
      <c r="C164" t="s">
        <v>9</v>
      </c>
      <c r="D164" s="1" t="s">
        <v>96</v>
      </c>
      <c r="E164">
        <v>63</v>
      </c>
      <c r="F164" s="1" t="s">
        <v>105</v>
      </c>
      <c r="G164">
        <v>1</v>
      </c>
      <c r="H164">
        <v>37</v>
      </c>
      <c r="I164" s="2">
        <f t="shared" si="7"/>
        <v>0.45404549999999999</v>
      </c>
      <c r="J164">
        <f t="shared" si="9"/>
        <v>0.44955000000000001</v>
      </c>
      <c r="K164">
        <f t="shared" si="8"/>
        <v>0.31453237137633844</v>
      </c>
    </row>
    <row r="165" spans="1:11" x14ac:dyDescent="0.25">
      <c r="A165" s="1">
        <v>1963</v>
      </c>
      <c r="B165" s="1" t="s">
        <v>99</v>
      </c>
      <c r="C165" t="s">
        <v>9</v>
      </c>
      <c r="D165" s="1" t="s">
        <v>96</v>
      </c>
      <c r="E165">
        <v>63</v>
      </c>
      <c r="F165" s="1" t="s">
        <v>105</v>
      </c>
      <c r="G165">
        <v>2</v>
      </c>
      <c r="H165">
        <v>10</v>
      </c>
      <c r="I165" s="2">
        <f t="shared" si="7"/>
        <v>0.34087499999999998</v>
      </c>
      <c r="J165">
        <f t="shared" si="9"/>
        <v>0.33749999999999997</v>
      </c>
      <c r="K165">
        <f t="shared" si="8"/>
        <v>0.23613541394620002</v>
      </c>
    </row>
    <row r="166" spans="1:11" x14ac:dyDescent="0.25">
      <c r="A166" s="1">
        <v>1963</v>
      </c>
      <c r="B166" s="1" t="s">
        <v>99</v>
      </c>
      <c r="C166" t="s">
        <v>9</v>
      </c>
      <c r="D166" s="1" t="s">
        <v>96</v>
      </c>
      <c r="E166">
        <v>63</v>
      </c>
      <c r="F166" s="1" t="s">
        <v>105</v>
      </c>
      <c r="G166">
        <v>3</v>
      </c>
      <c r="H166">
        <v>3</v>
      </c>
      <c r="I166" s="2">
        <f t="shared" si="7"/>
        <v>0.20043449999999999</v>
      </c>
      <c r="J166">
        <f t="shared" si="9"/>
        <v>0.19844999999999999</v>
      </c>
      <c r="K166">
        <f t="shared" si="8"/>
        <v>0.13884762340036561</v>
      </c>
    </row>
    <row r="167" spans="1:11" x14ac:dyDescent="0.25">
      <c r="A167" s="1">
        <v>1963</v>
      </c>
      <c r="B167" s="1" t="s">
        <v>99</v>
      </c>
      <c r="C167" t="s">
        <v>9</v>
      </c>
      <c r="D167" s="1" t="s">
        <v>96</v>
      </c>
      <c r="E167">
        <v>63</v>
      </c>
      <c r="F167" s="1" t="s">
        <v>105</v>
      </c>
      <c r="G167">
        <v>4</v>
      </c>
      <c r="H167">
        <v>3</v>
      </c>
      <c r="I167" s="2">
        <f t="shared" si="7"/>
        <v>0.33133049999999997</v>
      </c>
      <c r="J167">
        <f t="shared" si="9"/>
        <v>0.32804999999999995</v>
      </c>
      <c r="K167">
        <f t="shared" si="8"/>
        <v>0.22952362235570639</v>
      </c>
    </row>
    <row r="168" spans="1:11" x14ac:dyDescent="0.25">
      <c r="A168" s="1">
        <v>1963</v>
      </c>
      <c r="B168" s="1" t="s">
        <v>99</v>
      </c>
      <c r="C168" t="s">
        <v>9</v>
      </c>
      <c r="D168" s="1" t="s">
        <v>96</v>
      </c>
      <c r="E168">
        <v>78</v>
      </c>
      <c r="F168" s="1" t="s">
        <v>105</v>
      </c>
      <c r="G168">
        <v>1</v>
      </c>
      <c r="H168">
        <v>2</v>
      </c>
      <c r="I168" s="2">
        <f t="shared" si="7"/>
        <v>2.4542999999999999E-2</v>
      </c>
      <c r="J168">
        <f t="shared" si="9"/>
        <v>2.4299999999999999E-2</v>
      </c>
      <c r="K168">
        <f t="shared" si="8"/>
        <v>1.7001749804126401E-2</v>
      </c>
    </row>
    <row r="169" spans="1:11" x14ac:dyDescent="0.25">
      <c r="A169" s="1">
        <v>1963</v>
      </c>
      <c r="B169" s="1" t="s">
        <v>99</v>
      </c>
      <c r="C169" t="s">
        <v>9</v>
      </c>
      <c r="D169" s="1" t="s">
        <v>96</v>
      </c>
      <c r="E169">
        <v>78</v>
      </c>
      <c r="F169" s="1" t="s">
        <v>105</v>
      </c>
      <c r="G169">
        <v>2</v>
      </c>
      <c r="H169">
        <v>7</v>
      </c>
      <c r="I169" s="2">
        <f t="shared" si="7"/>
        <v>0.23861250000000001</v>
      </c>
      <c r="J169">
        <f t="shared" si="9"/>
        <v>0.23625000000000002</v>
      </c>
      <c r="K169">
        <f t="shared" si="8"/>
        <v>0.16529478976234005</v>
      </c>
    </row>
    <row r="170" spans="1:11" x14ac:dyDescent="0.25">
      <c r="A170" s="1">
        <v>1963</v>
      </c>
      <c r="B170" s="1" t="s">
        <v>99</v>
      </c>
      <c r="C170" t="s">
        <v>9</v>
      </c>
      <c r="D170" s="1" t="s">
        <v>96</v>
      </c>
      <c r="E170">
        <v>78</v>
      </c>
      <c r="F170" s="1" t="s">
        <v>105</v>
      </c>
      <c r="G170">
        <v>3</v>
      </c>
      <c r="H170">
        <v>2</v>
      </c>
      <c r="I170" s="2">
        <f t="shared" si="7"/>
        <v>0.13362299999999999</v>
      </c>
      <c r="J170">
        <f t="shared" si="9"/>
        <v>0.1323</v>
      </c>
      <c r="K170">
        <f t="shared" si="8"/>
        <v>9.2565082266910417E-2</v>
      </c>
    </row>
    <row r="171" spans="1:11" x14ac:dyDescent="0.25">
      <c r="A171" s="1">
        <v>1963</v>
      </c>
      <c r="B171" s="1" t="s">
        <v>99</v>
      </c>
      <c r="C171" t="s">
        <v>9</v>
      </c>
      <c r="D171" s="1" t="s">
        <v>96</v>
      </c>
      <c r="E171">
        <v>78</v>
      </c>
      <c r="F171" s="1" t="s">
        <v>105</v>
      </c>
      <c r="G171">
        <v>4</v>
      </c>
      <c r="H171">
        <v>1</v>
      </c>
      <c r="I171" s="2">
        <f t="shared" si="7"/>
        <v>0.11044349999999999</v>
      </c>
      <c r="J171">
        <f t="shared" si="9"/>
        <v>0.10934999999999999</v>
      </c>
      <c r="K171">
        <f t="shared" si="8"/>
        <v>7.6507874118568797E-2</v>
      </c>
    </row>
    <row r="172" spans="1:11" x14ac:dyDescent="0.25">
      <c r="A172" s="1">
        <v>1963</v>
      </c>
      <c r="B172" s="1" t="s">
        <v>99</v>
      </c>
      <c r="C172" t="s">
        <v>9</v>
      </c>
      <c r="D172" s="1" t="s">
        <v>96</v>
      </c>
      <c r="E172">
        <v>86</v>
      </c>
      <c r="F172" s="1" t="s">
        <v>105</v>
      </c>
      <c r="G172">
        <v>1</v>
      </c>
      <c r="H172">
        <v>16</v>
      </c>
      <c r="I172" s="2">
        <f t="shared" si="7"/>
        <v>0.19634399999999999</v>
      </c>
      <c r="J172">
        <f t="shared" si="9"/>
        <v>0.19439999999999999</v>
      </c>
      <c r="K172">
        <f t="shared" si="8"/>
        <v>0.13601399843301121</v>
      </c>
    </row>
    <row r="173" spans="1:11" x14ac:dyDescent="0.25">
      <c r="A173" s="1">
        <v>1963</v>
      </c>
      <c r="B173" s="1" t="s">
        <v>99</v>
      </c>
      <c r="C173" t="s">
        <v>9</v>
      </c>
      <c r="D173" s="1" t="s">
        <v>96</v>
      </c>
      <c r="E173">
        <v>86</v>
      </c>
      <c r="F173" s="1" t="s">
        <v>105</v>
      </c>
      <c r="G173">
        <v>2</v>
      </c>
      <c r="H173">
        <v>12</v>
      </c>
      <c r="I173" s="2">
        <f t="shared" si="7"/>
        <v>0.40905000000000002</v>
      </c>
      <c r="J173">
        <f t="shared" si="9"/>
        <v>0.40500000000000003</v>
      </c>
      <c r="K173">
        <f t="shared" si="8"/>
        <v>0.28336249673544006</v>
      </c>
    </row>
    <row r="174" spans="1:11" x14ac:dyDescent="0.25">
      <c r="A174" s="1">
        <v>1963</v>
      </c>
      <c r="B174" s="1" t="s">
        <v>99</v>
      </c>
      <c r="C174" t="s">
        <v>9</v>
      </c>
      <c r="D174" s="1" t="s">
        <v>96</v>
      </c>
      <c r="E174">
        <v>86</v>
      </c>
      <c r="F174" s="1" t="s">
        <v>105</v>
      </c>
      <c r="G174">
        <v>3</v>
      </c>
      <c r="H174">
        <v>4</v>
      </c>
      <c r="I174" s="2">
        <f t="shared" si="7"/>
        <v>0.26724599999999998</v>
      </c>
      <c r="J174">
        <f t="shared" si="9"/>
        <v>0.2646</v>
      </c>
      <c r="K174">
        <f t="shared" si="8"/>
        <v>0.18513016453382083</v>
      </c>
    </row>
    <row r="175" spans="1:11" x14ac:dyDescent="0.25">
      <c r="A175" s="1">
        <v>1963</v>
      </c>
      <c r="B175" s="1" t="s">
        <v>99</v>
      </c>
      <c r="C175" t="s">
        <v>9</v>
      </c>
      <c r="D175" s="1" t="s">
        <v>96</v>
      </c>
      <c r="E175">
        <v>86</v>
      </c>
      <c r="F175" s="1" t="s">
        <v>105</v>
      </c>
      <c r="G175">
        <v>4</v>
      </c>
      <c r="H175">
        <v>1</v>
      </c>
      <c r="I175" s="2">
        <f t="shared" si="7"/>
        <v>0.11044349999999999</v>
      </c>
      <c r="J175">
        <f t="shared" si="9"/>
        <v>0.10934999999999999</v>
      </c>
      <c r="K175">
        <f t="shared" si="8"/>
        <v>7.6507874118568797E-2</v>
      </c>
    </row>
    <row r="176" spans="1:11" x14ac:dyDescent="0.25">
      <c r="A176" s="1">
        <v>1970</v>
      </c>
      <c r="B176" s="1" t="s">
        <v>99</v>
      </c>
      <c r="C176" t="s">
        <v>9</v>
      </c>
      <c r="D176" s="1" t="s">
        <v>94</v>
      </c>
      <c r="E176">
        <v>25</v>
      </c>
      <c r="F176" s="1" t="s">
        <v>105</v>
      </c>
      <c r="G176">
        <v>1</v>
      </c>
      <c r="H176">
        <v>4</v>
      </c>
      <c r="I176" s="2">
        <f t="shared" si="7"/>
        <v>4.9085999999999998E-2</v>
      </c>
      <c r="J176">
        <f>I176/(87*0.01)</f>
        <v>5.6420689655172412E-2</v>
      </c>
      <c r="K176">
        <f t="shared" si="8"/>
        <v>3.9475327131419921E-2</v>
      </c>
    </row>
    <row r="177" spans="1:11" x14ac:dyDescent="0.25">
      <c r="A177" s="1">
        <v>1970</v>
      </c>
      <c r="B177" s="1" t="s">
        <v>99</v>
      </c>
      <c r="C177" t="s">
        <v>9</v>
      </c>
      <c r="D177" s="1" t="s">
        <v>94</v>
      </c>
      <c r="E177">
        <v>25</v>
      </c>
      <c r="F177" s="1" t="s">
        <v>105</v>
      </c>
      <c r="G177">
        <v>2</v>
      </c>
      <c r="H177">
        <v>1</v>
      </c>
      <c r="I177" s="2">
        <f t="shared" si="7"/>
        <v>3.40875E-2</v>
      </c>
      <c r="J177">
        <f t="shared" ref="J177:J240" si="10">I177/(87*0.01)</f>
        <v>3.9181034482758621E-2</v>
      </c>
      <c r="K177">
        <f t="shared" si="8"/>
        <v>2.7413421619041613E-2</v>
      </c>
    </row>
    <row r="178" spans="1:11" x14ac:dyDescent="0.25">
      <c r="A178" s="1">
        <v>1970</v>
      </c>
      <c r="B178" s="1" t="s">
        <v>99</v>
      </c>
      <c r="C178" t="s">
        <v>9</v>
      </c>
      <c r="D178" s="1" t="s">
        <v>94</v>
      </c>
      <c r="E178">
        <v>25</v>
      </c>
      <c r="F178" s="1" t="s">
        <v>105</v>
      </c>
      <c r="G178">
        <v>3</v>
      </c>
      <c r="H178">
        <v>3</v>
      </c>
      <c r="I178" s="2">
        <f t="shared" si="7"/>
        <v>0.20043449999999999</v>
      </c>
      <c r="J178">
        <f t="shared" si="10"/>
        <v>0.23038448275862067</v>
      </c>
      <c r="K178">
        <f t="shared" si="8"/>
        <v>0.16119091911996467</v>
      </c>
    </row>
    <row r="179" spans="1:11" x14ac:dyDescent="0.25">
      <c r="A179" s="1">
        <v>1970</v>
      </c>
      <c r="B179" s="1" t="s">
        <v>99</v>
      </c>
      <c r="C179" t="s">
        <v>9</v>
      </c>
      <c r="D179" s="1" t="s">
        <v>94</v>
      </c>
      <c r="E179">
        <v>29</v>
      </c>
      <c r="F179" s="1" t="s">
        <v>105</v>
      </c>
      <c r="G179">
        <v>1</v>
      </c>
      <c r="H179">
        <v>4</v>
      </c>
      <c r="I179" s="2">
        <f t="shared" si="7"/>
        <v>4.9085999999999998E-2</v>
      </c>
      <c r="J179">
        <f t="shared" si="10"/>
        <v>5.6420689655172412E-2</v>
      </c>
      <c r="K179">
        <f t="shared" si="8"/>
        <v>3.9475327131419921E-2</v>
      </c>
    </row>
    <row r="180" spans="1:11" x14ac:dyDescent="0.25">
      <c r="A180" s="1">
        <v>1970</v>
      </c>
      <c r="B180" s="1" t="s">
        <v>99</v>
      </c>
      <c r="C180" t="s">
        <v>9</v>
      </c>
      <c r="D180" s="1" t="s">
        <v>94</v>
      </c>
      <c r="E180">
        <v>29</v>
      </c>
      <c r="F180" s="1" t="s">
        <v>105</v>
      </c>
      <c r="G180">
        <v>2</v>
      </c>
      <c r="H180">
        <v>1</v>
      </c>
      <c r="I180" s="2">
        <f t="shared" si="7"/>
        <v>3.40875E-2</v>
      </c>
      <c r="J180">
        <f t="shared" si="10"/>
        <v>3.9181034482758621E-2</v>
      </c>
      <c r="K180">
        <f t="shared" si="8"/>
        <v>2.7413421619041613E-2</v>
      </c>
    </row>
    <row r="181" spans="1:11" x14ac:dyDescent="0.25">
      <c r="A181" s="1">
        <v>1970</v>
      </c>
      <c r="B181" s="1" t="s">
        <v>99</v>
      </c>
      <c r="C181" t="s">
        <v>9</v>
      </c>
      <c r="D181" s="1" t="s">
        <v>94</v>
      </c>
      <c r="E181">
        <v>29</v>
      </c>
      <c r="F181" s="1" t="s">
        <v>105</v>
      </c>
      <c r="G181">
        <v>3</v>
      </c>
      <c r="H181">
        <v>3</v>
      </c>
      <c r="I181" s="2">
        <f t="shared" si="7"/>
        <v>0.20043449999999999</v>
      </c>
      <c r="J181">
        <f t="shared" si="10"/>
        <v>0.23038448275862067</v>
      </c>
      <c r="K181">
        <f t="shared" si="8"/>
        <v>0.16119091911996467</v>
      </c>
    </row>
    <row r="182" spans="1:11" x14ac:dyDescent="0.25">
      <c r="A182" s="1">
        <v>1970</v>
      </c>
      <c r="B182" s="1" t="s">
        <v>99</v>
      </c>
      <c r="C182" t="s">
        <v>9</v>
      </c>
      <c r="D182" s="1" t="s">
        <v>94</v>
      </c>
      <c r="E182">
        <v>29</v>
      </c>
      <c r="F182" s="1" t="s">
        <v>105</v>
      </c>
      <c r="G182">
        <v>4</v>
      </c>
      <c r="H182">
        <v>1</v>
      </c>
      <c r="I182" s="2">
        <f t="shared" si="7"/>
        <v>0.11044349999999999</v>
      </c>
      <c r="J182">
        <f t="shared" si="10"/>
        <v>0.12694655172413791</v>
      </c>
      <c r="K182">
        <f t="shared" si="8"/>
        <v>8.8819486045694812E-2</v>
      </c>
    </row>
    <row r="183" spans="1:11" x14ac:dyDescent="0.25">
      <c r="A183" s="1">
        <v>1970</v>
      </c>
      <c r="B183" s="1" t="s">
        <v>99</v>
      </c>
      <c r="C183" t="s">
        <v>9</v>
      </c>
      <c r="D183" s="1" t="s">
        <v>94</v>
      </c>
      <c r="E183">
        <v>32</v>
      </c>
      <c r="F183" s="1" t="s">
        <v>105</v>
      </c>
      <c r="G183">
        <v>1</v>
      </c>
      <c r="H183">
        <v>41</v>
      </c>
      <c r="I183" s="2">
        <f t="shared" si="7"/>
        <v>0.50313149999999995</v>
      </c>
      <c r="J183">
        <f t="shared" si="10"/>
        <v>0.57831206896551723</v>
      </c>
      <c r="K183">
        <f t="shared" si="8"/>
        <v>0.40462210309705421</v>
      </c>
    </row>
    <row r="184" spans="1:11" x14ac:dyDescent="0.25">
      <c r="A184" s="1">
        <v>1970</v>
      </c>
      <c r="B184" s="1" t="s">
        <v>99</v>
      </c>
      <c r="C184" t="s">
        <v>9</v>
      </c>
      <c r="D184" s="1" t="s">
        <v>94</v>
      </c>
      <c r="E184">
        <v>32</v>
      </c>
      <c r="F184" s="1" t="s">
        <v>105</v>
      </c>
      <c r="G184">
        <v>2</v>
      </c>
      <c r="H184">
        <v>21</v>
      </c>
      <c r="I184" s="2">
        <f t="shared" si="7"/>
        <v>0.71583750000000002</v>
      </c>
      <c r="J184">
        <f t="shared" si="10"/>
        <v>0.82280172413793107</v>
      </c>
      <c r="K184">
        <f t="shared" si="8"/>
        <v>0.57568185399987393</v>
      </c>
    </row>
    <row r="185" spans="1:11" x14ac:dyDescent="0.25">
      <c r="A185" s="1">
        <v>1970</v>
      </c>
      <c r="B185" s="1" t="s">
        <v>99</v>
      </c>
      <c r="C185" t="s">
        <v>9</v>
      </c>
      <c r="D185" s="1" t="s">
        <v>94</v>
      </c>
      <c r="E185">
        <v>32</v>
      </c>
      <c r="F185" s="1" t="s">
        <v>105</v>
      </c>
      <c r="G185">
        <v>3</v>
      </c>
      <c r="H185">
        <v>12</v>
      </c>
      <c r="I185" s="2">
        <f t="shared" si="7"/>
        <v>0.80173799999999995</v>
      </c>
      <c r="J185">
        <f t="shared" si="10"/>
        <v>0.92153793103448267</v>
      </c>
      <c r="K185">
        <f t="shared" si="8"/>
        <v>0.64476367647985866</v>
      </c>
    </row>
    <row r="186" spans="1:11" x14ac:dyDescent="0.25">
      <c r="A186" s="1">
        <v>1970</v>
      </c>
      <c r="B186" s="1" t="s">
        <v>99</v>
      </c>
      <c r="C186" t="s">
        <v>9</v>
      </c>
      <c r="D186" s="1" t="s">
        <v>94</v>
      </c>
      <c r="E186">
        <v>32</v>
      </c>
      <c r="F186" s="1" t="s">
        <v>105</v>
      </c>
      <c r="G186">
        <v>4</v>
      </c>
      <c r="H186">
        <v>8</v>
      </c>
      <c r="I186" s="2">
        <f t="shared" si="7"/>
        <v>0.88354799999999989</v>
      </c>
      <c r="J186">
        <f t="shared" si="10"/>
        <v>1.0155724137931033</v>
      </c>
      <c r="K186">
        <f t="shared" si="8"/>
        <v>0.7105558883655585</v>
      </c>
    </row>
    <row r="187" spans="1:11" x14ac:dyDescent="0.25">
      <c r="A187" s="1">
        <v>1970</v>
      </c>
      <c r="B187" s="1" t="s">
        <v>99</v>
      </c>
      <c r="C187" t="s">
        <v>9</v>
      </c>
      <c r="D187" s="1" t="s">
        <v>94</v>
      </c>
      <c r="E187">
        <v>34</v>
      </c>
      <c r="F187" s="1" t="s">
        <v>105</v>
      </c>
      <c r="G187">
        <v>1</v>
      </c>
      <c r="H187">
        <v>1</v>
      </c>
      <c r="I187" s="2">
        <f t="shared" si="7"/>
        <v>1.2271499999999999E-2</v>
      </c>
      <c r="J187">
        <f t="shared" si="10"/>
        <v>1.4105172413793103E-2</v>
      </c>
      <c r="K187">
        <f t="shared" si="8"/>
        <v>9.8688317828549803E-3</v>
      </c>
    </row>
    <row r="188" spans="1:11" x14ac:dyDescent="0.25">
      <c r="A188" s="1">
        <v>1970</v>
      </c>
      <c r="B188" s="1" t="s">
        <v>99</v>
      </c>
      <c r="C188" t="s">
        <v>9</v>
      </c>
      <c r="D188" s="1" t="s">
        <v>94</v>
      </c>
      <c r="E188">
        <v>34</v>
      </c>
      <c r="F188" s="1" t="s">
        <v>105</v>
      </c>
      <c r="G188">
        <v>2</v>
      </c>
      <c r="H188">
        <v>1</v>
      </c>
      <c r="I188" s="2">
        <f t="shared" si="7"/>
        <v>3.40875E-2</v>
      </c>
      <c r="J188">
        <f t="shared" si="10"/>
        <v>3.9181034482758621E-2</v>
      </c>
      <c r="K188">
        <f t="shared" si="8"/>
        <v>2.7413421619041613E-2</v>
      </c>
    </row>
    <row r="189" spans="1:11" x14ac:dyDescent="0.25">
      <c r="A189" s="1">
        <v>1970</v>
      </c>
      <c r="B189" s="1" t="s">
        <v>99</v>
      </c>
      <c r="C189" t="s">
        <v>9</v>
      </c>
      <c r="D189" s="1" t="s">
        <v>94</v>
      </c>
      <c r="E189">
        <v>34</v>
      </c>
      <c r="F189" s="1" t="s">
        <v>105</v>
      </c>
      <c r="G189">
        <v>3</v>
      </c>
      <c r="H189">
        <v>4</v>
      </c>
      <c r="I189" s="2">
        <f t="shared" si="7"/>
        <v>0.26724599999999998</v>
      </c>
      <c r="J189">
        <f t="shared" si="10"/>
        <v>0.30717931034482759</v>
      </c>
      <c r="K189">
        <f t="shared" si="8"/>
        <v>0.21492122549328627</v>
      </c>
    </row>
    <row r="190" spans="1:11" x14ac:dyDescent="0.25">
      <c r="A190" s="1">
        <v>1970</v>
      </c>
      <c r="B190" s="1" t="s">
        <v>99</v>
      </c>
      <c r="C190" t="s">
        <v>9</v>
      </c>
      <c r="D190" s="1" t="s">
        <v>94</v>
      </c>
      <c r="E190">
        <v>34</v>
      </c>
      <c r="F190" s="1" t="s">
        <v>105</v>
      </c>
      <c r="G190">
        <v>4</v>
      </c>
      <c r="H190">
        <v>2</v>
      </c>
      <c r="I190" s="2">
        <f t="shared" si="7"/>
        <v>0.22088699999999997</v>
      </c>
      <c r="J190">
        <f t="shared" si="10"/>
        <v>0.25389310344827581</v>
      </c>
      <c r="K190">
        <f t="shared" si="8"/>
        <v>0.17763897209138962</v>
      </c>
    </row>
    <row r="191" spans="1:11" x14ac:dyDescent="0.25">
      <c r="A191" s="1">
        <v>1970</v>
      </c>
      <c r="B191" s="1" t="s">
        <v>99</v>
      </c>
      <c r="C191" t="s">
        <v>9</v>
      </c>
      <c r="D191" s="1" t="s">
        <v>94</v>
      </c>
      <c r="E191">
        <v>38</v>
      </c>
      <c r="F191" s="1" t="s">
        <v>105</v>
      </c>
      <c r="G191">
        <v>3</v>
      </c>
      <c r="H191">
        <v>1</v>
      </c>
      <c r="I191" s="2">
        <f t="shared" si="7"/>
        <v>6.6811499999999996E-2</v>
      </c>
      <c r="J191">
        <f t="shared" si="10"/>
        <v>7.6794827586206899E-2</v>
      </c>
      <c r="K191">
        <f t="shared" si="8"/>
        <v>5.3730306373321567E-2</v>
      </c>
    </row>
    <row r="192" spans="1:11" x14ac:dyDescent="0.25">
      <c r="A192" s="1">
        <v>1970</v>
      </c>
      <c r="B192" s="1" t="s">
        <v>99</v>
      </c>
      <c r="C192" t="s">
        <v>9</v>
      </c>
      <c r="D192" s="1" t="s">
        <v>94</v>
      </c>
      <c r="E192">
        <v>38</v>
      </c>
      <c r="F192" s="1" t="s">
        <v>105</v>
      </c>
      <c r="G192">
        <v>4</v>
      </c>
      <c r="H192">
        <v>4</v>
      </c>
      <c r="I192" s="2">
        <f t="shared" si="7"/>
        <v>0.44177399999999994</v>
      </c>
      <c r="J192">
        <f t="shared" si="10"/>
        <v>0.50778620689655163</v>
      </c>
      <c r="K192">
        <f t="shared" si="8"/>
        <v>0.35527794418277925</v>
      </c>
    </row>
    <row r="193" spans="1:11" x14ac:dyDescent="0.25">
      <c r="A193" s="1">
        <v>1970</v>
      </c>
      <c r="B193" s="1" t="s">
        <v>99</v>
      </c>
      <c r="C193" t="s">
        <v>9</v>
      </c>
      <c r="D193" s="1" t="s">
        <v>94</v>
      </c>
      <c r="E193">
        <v>40</v>
      </c>
      <c r="F193" s="1" t="s">
        <v>105</v>
      </c>
      <c r="G193">
        <v>1</v>
      </c>
      <c r="H193">
        <v>1</v>
      </c>
      <c r="I193" s="2">
        <f t="shared" si="7"/>
        <v>1.2271499999999999E-2</v>
      </c>
      <c r="J193">
        <f t="shared" si="10"/>
        <v>1.4105172413793103E-2</v>
      </c>
      <c r="K193">
        <f t="shared" si="8"/>
        <v>9.8688317828549803E-3</v>
      </c>
    </row>
    <row r="194" spans="1:11" x14ac:dyDescent="0.25">
      <c r="A194" s="1">
        <v>1970</v>
      </c>
      <c r="B194" s="1" t="s">
        <v>99</v>
      </c>
      <c r="C194" t="s">
        <v>9</v>
      </c>
      <c r="D194" s="1" t="s">
        <v>94</v>
      </c>
      <c r="E194">
        <v>40</v>
      </c>
      <c r="F194" s="1" t="s">
        <v>105</v>
      </c>
      <c r="G194">
        <v>2</v>
      </c>
      <c r="H194">
        <v>1</v>
      </c>
      <c r="I194" s="2">
        <f t="shared" si="7"/>
        <v>3.40875E-2</v>
      </c>
      <c r="J194">
        <f t="shared" si="10"/>
        <v>3.9181034482758621E-2</v>
      </c>
      <c r="K194">
        <f t="shared" si="8"/>
        <v>2.7413421619041613E-2</v>
      </c>
    </row>
    <row r="195" spans="1:11" x14ac:dyDescent="0.25">
      <c r="A195" s="1">
        <v>1970</v>
      </c>
      <c r="B195" s="1" t="s">
        <v>99</v>
      </c>
      <c r="C195" t="s">
        <v>9</v>
      </c>
      <c r="D195" s="1" t="s">
        <v>94</v>
      </c>
      <c r="E195">
        <v>40</v>
      </c>
      <c r="F195" s="1" t="s">
        <v>105</v>
      </c>
      <c r="G195">
        <v>3</v>
      </c>
      <c r="H195">
        <v>3</v>
      </c>
      <c r="I195" s="2">
        <f t="shared" ref="I195:I258" si="11">0.005454*(G195+0.5)^2*H195</f>
        <v>0.20043449999999999</v>
      </c>
      <c r="J195">
        <f t="shared" si="10"/>
        <v>0.23038448275862067</v>
      </c>
      <c r="K195">
        <f t="shared" ref="K195:K258" si="12">J195*(26.79/38.29)</f>
        <v>0.16119091911996467</v>
      </c>
    </row>
    <row r="196" spans="1:11" x14ac:dyDescent="0.25">
      <c r="A196" s="1">
        <v>1970</v>
      </c>
      <c r="B196" s="1" t="s">
        <v>99</v>
      </c>
      <c r="C196" t="s">
        <v>9</v>
      </c>
      <c r="D196" s="1" t="s">
        <v>94</v>
      </c>
      <c r="E196">
        <v>40</v>
      </c>
      <c r="F196" s="1" t="s">
        <v>105</v>
      </c>
      <c r="G196">
        <v>4</v>
      </c>
      <c r="H196">
        <v>3</v>
      </c>
      <c r="I196" s="2">
        <f t="shared" si="11"/>
        <v>0.33133049999999997</v>
      </c>
      <c r="J196">
        <f t="shared" si="10"/>
        <v>0.38083965517241375</v>
      </c>
      <c r="K196">
        <f t="shared" si="12"/>
        <v>0.26645845813708446</v>
      </c>
    </row>
    <row r="197" spans="1:11" x14ac:dyDescent="0.25">
      <c r="A197" s="1">
        <v>1970</v>
      </c>
      <c r="B197" s="1" t="s">
        <v>99</v>
      </c>
      <c r="C197" t="s">
        <v>9</v>
      </c>
      <c r="D197" s="1" t="s">
        <v>94</v>
      </c>
      <c r="E197">
        <v>53</v>
      </c>
      <c r="F197" s="1" t="s">
        <v>105</v>
      </c>
      <c r="G197">
        <v>1</v>
      </c>
      <c r="H197">
        <v>3</v>
      </c>
      <c r="I197" s="2">
        <f t="shared" si="11"/>
        <v>3.68145E-2</v>
      </c>
      <c r="J197">
        <f t="shared" si="10"/>
        <v>4.2315517241379309E-2</v>
      </c>
      <c r="K197">
        <f t="shared" si="12"/>
        <v>2.9606495348564941E-2</v>
      </c>
    </row>
    <row r="198" spans="1:11" x14ac:dyDescent="0.25">
      <c r="A198" s="1">
        <v>1970</v>
      </c>
      <c r="B198" s="1" t="s">
        <v>99</v>
      </c>
      <c r="C198" t="s">
        <v>9</v>
      </c>
      <c r="D198" s="1" t="s">
        <v>94</v>
      </c>
      <c r="E198">
        <v>53</v>
      </c>
      <c r="F198" s="1" t="s">
        <v>105</v>
      </c>
      <c r="G198">
        <v>2</v>
      </c>
      <c r="H198">
        <v>1</v>
      </c>
      <c r="I198" s="2">
        <f t="shared" si="11"/>
        <v>3.40875E-2</v>
      </c>
      <c r="J198">
        <f t="shared" si="10"/>
        <v>3.9181034482758621E-2</v>
      </c>
      <c r="K198">
        <f t="shared" si="12"/>
        <v>2.7413421619041613E-2</v>
      </c>
    </row>
    <row r="199" spans="1:11" x14ac:dyDescent="0.25">
      <c r="A199" s="1">
        <v>1970</v>
      </c>
      <c r="B199" s="1" t="s">
        <v>99</v>
      </c>
      <c r="C199" t="s">
        <v>9</v>
      </c>
      <c r="D199" s="1" t="s">
        <v>94</v>
      </c>
      <c r="E199">
        <v>54</v>
      </c>
      <c r="F199" s="1" t="s">
        <v>105</v>
      </c>
      <c r="G199">
        <v>1</v>
      </c>
      <c r="H199">
        <v>2</v>
      </c>
      <c r="I199" s="2">
        <f t="shared" si="11"/>
        <v>2.4542999999999999E-2</v>
      </c>
      <c r="J199">
        <f t="shared" si="10"/>
        <v>2.8210344827586206E-2</v>
      </c>
      <c r="K199">
        <f t="shared" si="12"/>
        <v>1.9737663565709961E-2</v>
      </c>
    </row>
    <row r="200" spans="1:11" x14ac:dyDescent="0.25">
      <c r="A200" s="1">
        <v>1970</v>
      </c>
      <c r="B200" s="1" t="s">
        <v>99</v>
      </c>
      <c r="C200" t="s">
        <v>9</v>
      </c>
      <c r="D200" s="1" t="s">
        <v>94</v>
      </c>
      <c r="E200">
        <v>54</v>
      </c>
      <c r="F200" s="1" t="s">
        <v>105</v>
      </c>
      <c r="G200">
        <v>2</v>
      </c>
      <c r="H200">
        <v>2</v>
      </c>
      <c r="I200" s="2">
        <f t="shared" si="11"/>
        <v>6.8174999999999999E-2</v>
      </c>
      <c r="J200">
        <f t="shared" si="10"/>
        <v>7.8362068965517243E-2</v>
      </c>
      <c r="K200">
        <f t="shared" si="12"/>
        <v>5.4826843238083227E-2</v>
      </c>
    </row>
    <row r="201" spans="1:11" x14ac:dyDescent="0.25">
      <c r="A201" s="1">
        <v>1970</v>
      </c>
      <c r="B201" s="1" t="s">
        <v>99</v>
      </c>
      <c r="C201" t="s">
        <v>9</v>
      </c>
      <c r="D201" s="1" t="s">
        <v>94</v>
      </c>
      <c r="E201">
        <v>56</v>
      </c>
      <c r="F201" s="1" t="s">
        <v>105</v>
      </c>
      <c r="G201">
        <v>1</v>
      </c>
      <c r="H201">
        <v>8</v>
      </c>
      <c r="I201" s="2">
        <f t="shared" si="11"/>
        <v>9.8171999999999995E-2</v>
      </c>
      <c r="J201">
        <f t="shared" si="10"/>
        <v>0.11284137931034482</v>
      </c>
      <c r="K201">
        <f t="shared" si="12"/>
        <v>7.8950654262839842E-2</v>
      </c>
    </row>
    <row r="202" spans="1:11" x14ac:dyDescent="0.25">
      <c r="A202" s="1">
        <v>1970</v>
      </c>
      <c r="B202" s="1" t="s">
        <v>99</v>
      </c>
      <c r="C202" t="s">
        <v>9</v>
      </c>
      <c r="D202" s="1" t="s">
        <v>94</v>
      </c>
      <c r="E202">
        <v>56</v>
      </c>
      <c r="F202" s="1" t="s">
        <v>105</v>
      </c>
      <c r="G202">
        <v>2</v>
      </c>
      <c r="H202">
        <v>2</v>
      </c>
      <c r="I202" s="2">
        <f t="shared" si="11"/>
        <v>6.8174999999999999E-2</v>
      </c>
      <c r="J202">
        <f t="shared" si="10"/>
        <v>7.8362068965517243E-2</v>
      </c>
      <c r="K202">
        <f t="shared" si="12"/>
        <v>5.4826843238083227E-2</v>
      </c>
    </row>
    <row r="203" spans="1:11" x14ac:dyDescent="0.25">
      <c r="A203" s="1">
        <v>1970</v>
      </c>
      <c r="B203" s="1" t="s">
        <v>99</v>
      </c>
      <c r="C203" t="s">
        <v>9</v>
      </c>
      <c r="D203" s="1" t="s">
        <v>94</v>
      </c>
      <c r="E203">
        <v>56</v>
      </c>
      <c r="F203" s="1" t="s">
        <v>105</v>
      </c>
      <c r="G203">
        <v>3</v>
      </c>
      <c r="H203">
        <v>3</v>
      </c>
      <c r="I203" s="2">
        <f t="shared" si="11"/>
        <v>0.20043449999999999</v>
      </c>
      <c r="J203">
        <f t="shared" si="10"/>
        <v>0.23038448275862067</v>
      </c>
      <c r="K203">
        <f t="shared" si="12"/>
        <v>0.16119091911996467</v>
      </c>
    </row>
    <row r="204" spans="1:11" x14ac:dyDescent="0.25">
      <c r="A204" s="1">
        <v>1970</v>
      </c>
      <c r="B204" s="1" t="s">
        <v>99</v>
      </c>
      <c r="C204" t="s">
        <v>9</v>
      </c>
      <c r="D204" s="1" t="s">
        <v>94</v>
      </c>
      <c r="E204">
        <v>56</v>
      </c>
      <c r="F204" s="1" t="s">
        <v>105</v>
      </c>
      <c r="G204">
        <v>4</v>
      </c>
      <c r="H204">
        <v>1</v>
      </c>
      <c r="I204" s="2">
        <f t="shared" si="11"/>
        <v>0.11044349999999999</v>
      </c>
      <c r="J204">
        <f t="shared" si="10"/>
        <v>0.12694655172413791</v>
      </c>
      <c r="K204">
        <f t="shared" si="12"/>
        <v>8.8819486045694812E-2</v>
      </c>
    </row>
    <row r="205" spans="1:11" x14ac:dyDescent="0.25">
      <c r="A205" s="1">
        <v>1970</v>
      </c>
      <c r="B205" s="1" t="s">
        <v>99</v>
      </c>
      <c r="C205" t="s">
        <v>9</v>
      </c>
      <c r="D205" s="1" t="s">
        <v>94</v>
      </c>
      <c r="E205">
        <v>58</v>
      </c>
      <c r="F205" s="1" t="s">
        <v>105</v>
      </c>
      <c r="G205">
        <v>1</v>
      </c>
      <c r="H205">
        <v>60</v>
      </c>
      <c r="I205" s="2">
        <f t="shared" si="11"/>
        <v>0.73629</v>
      </c>
      <c r="J205">
        <f t="shared" si="10"/>
        <v>0.84631034482758616</v>
      </c>
      <c r="K205">
        <f t="shared" si="12"/>
        <v>0.59212990697129886</v>
      </c>
    </row>
    <row r="206" spans="1:11" x14ac:dyDescent="0.25">
      <c r="A206" s="1">
        <v>1970</v>
      </c>
      <c r="B206" s="1" t="s">
        <v>99</v>
      </c>
      <c r="C206" t="s">
        <v>9</v>
      </c>
      <c r="D206" s="1" t="s">
        <v>94</v>
      </c>
      <c r="E206">
        <v>58</v>
      </c>
      <c r="F206" s="1" t="s">
        <v>105</v>
      </c>
      <c r="G206">
        <v>2</v>
      </c>
      <c r="H206">
        <v>11</v>
      </c>
      <c r="I206" s="2">
        <f t="shared" si="11"/>
        <v>0.37496249999999998</v>
      </c>
      <c r="J206">
        <f t="shared" si="10"/>
        <v>0.43099137931034481</v>
      </c>
      <c r="K206">
        <f t="shared" si="12"/>
        <v>0.30154763780945776</v>
      </c>
    </row>
    <row r="207" spans="1:11" x14ac:dyDescent="0.25">
      <c r="A207" s="1">
        <v>1970</v>
      </c>
      <c r="B207" s="1" t="s">
        <v>99</v>
      </c>
      <c r="C207" t="s">
        <v>9</v>
      </c>
      <c r="D207" s="1" t="s">
        <v>94</v>
      </c>
      <c r="E207">
        <v>58</v>
      </c>
      <c r="F207" s="1" t="s">
        <v>105</v>
      </c>
      <c r="G207">
        <v>3</v>
      </c>
      <c r="H207">
        <v>3</v>
      </c>
      <c r="I207" s="2">
        <f t="shared" si="11"/>
        <v>0.20043449999999999</v>
      </c>
      <c r="J207">
        <f t="shared" si="10"/>
        <v>0.23038448275862067</v>
      </c>
      <c r="K207">
        <f t="shared" si="12"/>
        <v>0.16119091911996467</v>
      </c>
    </row>
    <row r="208" spans="1:11" x14ac:dyDescent="0.25">
      <c r="A208" s="1">
        <v>1970</v>
      </c>
      <c r="B208" s="1" t="s">
        <v>99</v>
      </c>
      <c r="C208" t="s">
        <v>9</v>
      </c>
      <c r="D208" s="1" t="s">
        <v>94</v>
      </c>
      <c r="E208">
        <v>58</v>
      </c>
      <c r="F208" s="1" t="s">
        <v>105</v>
      </c>
      <c r="G208">
        <v>4</v>
      </c>
      <c r="H208">
        <v>1</v>
      </c>
      <c r="I208" s="2">
        <f t="shared" si="11"/>
        <v>0.11044349999999999</v>
      </c>
      <c r="J208">
        <f t="shared" si="10"/>
        <v>0.12694655172413791</v>
      </c>
      <c r="K208">
        <f t="shared" si="12"/>
        <v>8.8819486045694812E-2</v>
      </c>
    </row>
    <row r="209" spans="1:11" x14ac:dyDescent="0.25">
      <c r="A209" s="1">
        <v>1970</v>
      </c>
      <c r="B209" s="1" t="s">
        <v>99</v>
      </c>
      <c r="C209" t="s">
        <v>9</v>
      </c>
      <c r="D209" s="1" t="s">
        <v>94</v>
      </c>
      <c r="E209">
        <v>66</v>
      </c>
      <c r="F209" s="1" t="s">
        <v>105</v>
      </c>
      <c r="G209">
        <v>1</v>
      </c>
      <c r="H209">
        <v>3</v>
      </c>
      <c r="I209" s="2">
        <f t="shared" si="11"/>
        <v>3.68145E-2</v>
      </c>
      <c r="J209">
        <f t="shared" si="10"/>
        <v>4.2315517241379309E-2</v>
      </c>
      <c r="K209">
        <f t="shared" si="12"/>
        <v>2.9606495348564941E-2</v>
      </c>
    </row>
    <row r="210" spans="1:11" x14ac:dyDescent="0.25">
      <c r="A210" s="1">
        <v>1970</v>
      </c>
      <c r="B210" s="1" t="s">
        <v>99</v>
      </c>
      <c r="C210" t="s">
        <v>9</v>
      </c>
      <c r="D210" s="1" t="s">
        <v>94</v>
      </c>
      <c r="E210">
        <v>66</v>
      </c>
      <c r="F210" s="1" t="s">
        <v>105</v>
      </c>
      <c r="G210">
        <v>2</v>
      </c>
      <c r="H210">
        <v>1</v>
      </c>
      <c r="I210" s="2">
        <f t="shared" si="11"/>
        <v>3.40875E-2</v>
      </c>
      <c r="J210">
        <f t="shared" si="10"/>
        <v>3.9181034482758621E-2</v>
      </c>
      <c r="K210">
        <f t="shared" si="12"/>
        <v>2.7413421619041613E-2</v>
      </c>
    </row>
    <row r="211" spans="1:11" x14ac:dyDescent="0.25">
      <c r="A211" s="1">
        <v>1970</v>
      </c>
      <c r="B211" s="1" t="s">
        <v>99</v>
      </c>
      <c r="C211" t="s">
        <v>9</v>
      </c>
      <c r="D211" s="1" t="s">
        <v>94</v>
      </c>
      <c r="E211">
        <v>66</v>
      </c>
      <c r="F211" s="1" t="s">
        <v>105</v>
      </c>
      <c r="G211">
        <v>3</v>
      </c>
      <c r="H211">
        <v>1</v>
      </c>
      <c r="I211" s="2">
        <f t="shared" si="11"/>
        <v>6.6811499999999996E-2</v>
      </c>
      <c r="J211">
        <f t="shared" si="10"/>
        <v>7.6794827586206899E-2</v>
      </c>
      <c r="K211">
        <f t="shared" si="12"/>
        <v>5.3730306373321567E-2</v>
      </c>
    </row>
    <row r="212" spans="1:11" x14ac:dyDescent="0.25">
      <c r="A212" s="1">
        <v>1970</v>
      </c>
      <c r="B212" s="1" t="s">
        <v>99</v>
      </c>
      <c r="C212" t="s">
        <v>9</v>
      </c>
      <c r="D212" s="1" t="s">
        <v>94</v>
      </c>
      <c r="E212">
        <v>66</v>
      </c>
      <c r="F212" s="1" t="s">
        <v>105</v>
      </c>
      <c r="G212">
        <v>4</v>
      </c>
      <c r="H212">
        <v>1</v>
      </c>
      <c r="I212" s="2">
        <f t="shared" si="11"/>
        <v>0.11044349999999999</v>
      </c>
      <c r="J212">
        <f t="shared" si="10"/>
        <v>0.12694655172413791</v>
      </c>
      <c r="K212">
        <f t="shared" si="12"/>
        <v>8.8819486045694812E-2</v>
      </c>
    </row>
    <row r="213" spans="1:11" x14ac:dyDescent="0.25">
      <c r="A213" s="1">
        <v>1970</v>
      </c>
      <c r="B213" s="1" t="s">
        <v>99</v>
      </c>
      <c r="C213" t="s">
        <v>9</v>
      </c>
      <c r="D213" s="1" t="s">
        <v>94</v>
      </c>
      <c r="E213">
        <v>71</v>
      </c>
      <c r="F213" s="1" t="s">
        <v>105</v>
      </c>
      <c r="G213">
        <v>1</v>
      </c>
      <c r="H213">
        <v>19</v>
      </c>
      <c r="I213" s="2">
        <f t="shared" si="11"/>
        <v>0.23315849999999999</v>
      </c>
      <c r="J213">
        <f t="shared" si="10"/>
        <v>0.26799827586206898</v>
      </c>
      <c r="K213">
        <f t="shared" si="12"/>
        <v>0.18750780387424465</v>
      </c>
    </row>
    <row r="214" spans="1:11" x14ac:dyDescent="0.25">
      <c r="A214" s="1">
        <v>1970</v>
      </c>
      <c r="B214" s="1" t="s">
        <v>99</v>
      </c>
      <c r="C214" t="s">
        <v>9</v>
      </c>
      <c r="D214" s="1" t="s">
        <v>94</v>
      </c>
      <c r="E214">
        <v>71</v>
      </c>
      <c r="F214" s="1" t="s">
        <v>105</v>
      </c>
      <c r="G214">
        <v>2</v>
      </c>
      <c r="H214">
        <v>4</v>
      </c>
      <c r="I214" s="2">
        <f t="shared" si="11"/>
        <v>0.13635</v>
      </c>
      <c r="J214">
        <f t="shared" si="10"/>
        <v>0.15672413793103449</v>
      </c>
      <c r="K214">
        <f t="shared" si="12"/>
        <v>0.10965368647616645</v>
      </c>
    </row>
    <row r="215" spans="1:11" x14ac:dyDescent="0.25">
      <c r="A215" s="1">
        <v>1970</v>
      </c>
      <c r="B215" s="1" t="s">
        <v>99</v>
      </c>
      <c r="C215" t="s">
        <v>9</v>
      </c>
      <c r="D215" s="1" t="s">
        <v>94</v>
      </c>
      <c r="E215">
        <v>76</v>
      </c>
      <c r="F215" s="1" t="s">
        <v>105</v>
      </c>
      <c r="G215">
        <v>1</v>
      </c>
      <c r="H215">
        <v>37</v>
      </c>
      <c r="I215" s="2">
        <f t="shared" si="11"/>
        <v>0.45404549999999999</v>
      </c>
      <c r="J215">
        <f t="shared" si="10"/>
        <v>0.52189137931034479</v>
      </c>
      <c r="K215">
        <f t="shared" si="12"/>
        <v>0.36514677596563427</v>
      </c>
    </row>
    <row r="216" spans="1:11" x14ac:dyDescent="0.25">
      <c r="A216" s="1">
        <v>1970</v>
      </c>
      <c r="B216" s="1" t="s">
        <v>99</v>
      </c>
      <c r="C216" t="s">
        <v>9</v>
      </c>
      <c r="D216" s="1" t="s">
        <v>94</v>
      </c>
      <c r="E216">
        <v>76</v>
      </c>
      <c r="F216" s="1" t="s">
        <v>105</v>
      </c>
      <c r="G216">
        <v>2</v>
      </c>
      <c r="H216">
        <v>3</v>
      </c>
      <c r="I216" s="2">
        <f t="shared" si="11"/>
        <v>0.10226250000000001</v>
      </c>
      <c r="J216">
        <f t="shared" si="10"/>
        <v>0.11754310344827587</v>
      </c>
      <c r="K216">
        <f t="shared" si="12"/>
        <v>8.2240264857124851E-2</v>
      </c>
    </row>
    <row r="217" spans="1:11" x14ac:dyDescent="0.25">
      <c r="A217" s="1">
        <v>1970</v>
      </c>
      <c r="B217" s="1" t="s">
        <v>99</v>
      </c>
      <c r="C217" t="s">
        <v>9</v>
      </c>
      <c r="D217" s="1" t="s">
        <v>94</v>
      </c>
      <c r="E217">
        <v>76</v>
      </c>
      <c r="F217" s="1" t="s">
        <v>105</v>
      </c>
      <c r="G217">
        <v>3</v>
      </c>
      <c r="H217">
        <v>2</v>
      </c>
      <c r="I217" s="2">
        <f t="shared" si="11"/>
        <v>0.13362299999999999</v>
      </c>
      <c r="J217">
        <f t="shared" si="10"/>
        <v>0.1535896551724138</v>
      </c>
      <c r="K217">
        <f t="shared" si="12"/>
        <v>0.10746061274664313</v>
      </c>
    </row>
    <row r="218" spans="1:11" x14ac:dyDescent="0.25">
      <c r="A218" s="1">
        <v>1970</v>
      </c>
      <c r="B218" s="1" t="s">
        <v>99</v>
      </c>
      <c r="C218" t="s">
        <v>9</v>
      </c>
      <c r="D218" s="1" t="s">
        <v>94</v>
      </c>
      <c r="E218">
        <v>76</v>
      </c>
      <c r="F218" s="1" t="s">
        <v>105</v>
      </c>
      <c r="G218">
        <v>4</v>
      </c>
      <c r="H218">
        <v>5</v>
      </c>
      <c r="I218" s="2">
        <f t="shared" si="11"/>
        <v>0.55221749999999992</v>
      </c>
      <c r="J218">
        <f t="shared" si="10"/>
        <v>0.63473275862068956</v>
      </c>
      <c r="K218">
        <f t="shared" si="12"/>
        <v>0.44409743022847409</v>
      </c>
    </row>
    <row r="219" spans="1:11" x14ac:dyDescent="0.25">
      <c r="A219" s="1">
        <v>1970</v>
      </c>
      <c r="B219" s="1" t="s">
        <v>99</v>
      </c>
      <c r="C219" t="s">
        <v>9</v>
      </c>
      <c r="D219" s="1" t="s">
        <v>94</v>
      </c>
      <c r="E219">
        <v>79</v>
      </c>
      <c r="F219" s="1" t="s">
        <v>105</v>
      </c>
      <c r="G219">
        <v>1</v>
      </c>
      <c r="H219">
        <v>18</v>
      </c>
      <c r="I219" s="2">
        <f t="shared" si="11"/>
        <v>0.220887</v>
      </c>
      <c r="J219">
        <f t="shared" si="10"/>
        <v>0.25389310344827587</v>
      </c>
      <c r="K219">
        <f t="shared" si="12"/>
        <v>0.17763897209138965</v>
      </c>
    </row>
    <row r="220" spans="1:11" x14ac:dyDescent="0.25">
      <c r="A220" s="1">
        <v>1970</v>
      </c>
      <c r="B220" s="1" t="s">
        <v>99</v>
      </c>
      <c r="C220" t="s">
        <v>9</v>
      </c>
      <c r="D220" s="1" t="s">
        <v>94</v>
      </c>
      <c r="E220">
        <v>79</v>
      </c>
      <c r="F220" s="1" t="s">
        <v>105</v>
      </c>
      <c r="G220">
        <v>2</v>
      </c>
      <c r="H220">
        <v>13</v>
      </c>
      <c r="I220" s="2">
        <f t="shared" si="11"/>
        <v>0.44313750000000002</v>
      </c>
      <c r="J220">
        <f t="shared" si="10"/>
        <v>0.50935344827586204</v>
      </c>
      <c r="K220">
        <f t="shared" si="12"/>
        <v>0.35637448104754094</v>
      </c>
    </row>
    <row r="221" spans="1:11" x14ac:dyDescent="0.25">
      <c r="A221" s="1">
        <v>1970</v>
      </c>
      <c r="B221" s="1" t="s">
        <v>99</v>
      </c>
      <c r="C221" t="s">
        <v>9</v>
      </c>
      <c r="D221" s="1" t="s">
        <v>94</v>
      </c>
      <c r="E221">
        <v>79</v>
      </c>
      <c r="F221" s="1" t="s">
        <v>105</v>
      </c>
      <c r="G221">
        <v>3</v>
      </c>
      <c r="H221">
        <v>11</v>
      </c>
      <c r="I221" s="2">
        <f t="shared" si="11"/>
        <v>0.73492649999999993</v>
      </c>
      <c r="J221">
        <f t="shared" si="10"/>
        <v>0.84474310344827575</v>
      </c>
      <c r="K221">
        <f t="shared" si="12"/>
        <v>0.59103337010653711</v>
      </c>
    </row>
    <row r="222" spans="1:11" x14ac:dyDescent="0.25">
      <c r="A222" s="1">
        <v>1970</v>
      </c>
      <c r="B222" s="1" t="s">
        <v>99</v>
      </c>
      <c r="C222" t="s">
        <v>9</v>
      </c>
      <c r="D222" s="1" t="s">
        <v>94</v>
      </c>
      <c r="E222">
        <v>79</v>
      </c>
      <c r="F222" s="1" t="s">
        <v>105</v>
      </c>
      <c r="G222">
        <v>4</v>
      </c>
      <c r="H222">
        <v>7</v>
      </c>
      <c r="I222" s="2">
        <f t="shared" si="11"/>
        <v>0.77310449999999986</v>
      </c>
      <c r="J222">
        <f t="shared" si="10"/>
        <v>0.88862586206896532</v>
      </c>
      <c r="K222">
        <f t="shared" si="12"/>
        <v>0.6217364023198636</v>
      </c>
    </row>
    <row r="223" spans="1:11" x14ac:dyDescent="0.25">
      <c r="A223" s="1">
        <v>1970</v>
      </c>
      <c r="B223" s="1" t="s">
        <v>99</v>
      </c>
      <c r="C223" t="s">
        <v>9</v>
      </c>
      <c r="D223" s="1" t="s">
        <v>94</v>
      </c>
      <c r="E223">
        <v>85</v>
      </c>
      <c r="F223" s="1" t="s">
        <v>105</v>
      </c>
      <c r="G223">
        <v>1</v>
      </c>
      <c r="H223">
        <v>9</v>
      </c>
      <c r="I223" s="2">
        <f t="shared" si="11"/>
        <v>0.1104435</v>
      </c>
      <c r="J223">
        <f t="shared" si="10"/>
        <v>0.12694655172413793</v>
      </c>
      <c r="K223">
        <f t="shared" si="12"/>
        <v>8.8819486045694826E-2</v>
      </c>
    </row>
    <row r="224" spans="1:11" x14ac:dyDescent="0.25">
      <c r="A224" s="1">
        <v>1970</v>
      </c>
      <c r="B224" s="1" t="s">
        <v>99</v>
      </c>
      <c r="C224" t="s">
        <v>9</v>
      </c>
      <c r="D224" s="1" t="s">
        <v>94</v>
      </c>
      <c r="E224">
        <v>85</v>
      </c>
      <c r="F224" s="1" t="s">
        <v>105</v>
      </c>
      <c r="G224">
        <v>2</v>
      </c>
      <c r="H224">
        <v>2</v>
      </c>
      <c r="I224" s="2">
        <f t="shared" si="11"/>
        <v>6.8174999999999999E-2</v>
      </c>
      <c r="J224">
        <f t="shared" si="10"/>
        <v>7.8362068965517243E-2</v>
      </c>
      <c r="K224">
        <f t="shared" si="12"/>
        <v>5.4826843238083227E-2</v>
      </c>
    </row>
    <row r="225" spans="1:11" x14ac:dyDescent="0.25">
      <c r="A225" s="1">
        <v>1970</v>
      </c>
      <c r="B225" s="1" t="s">
        <v>99</v>
      </c>
      <c r="C225" t="s">
        <v>9</v>
      </c>
      <c r="D225" s="1" t="s">
        <v>94</v>
      </c>
      <c r="E225">
        <v>91</v>
      </c>
      <c r="F225" s="1" t="s">
        <v>105</v>
      </c>
      <c r="G225">
        <v>1</v>
      </c>
      <c r="H225">
        <v>4</v>
      </c>
      <c r="I225" s="2">
        <f t="shared" si="11"/>
        <v>4.9085999999999998E-2</v>
      </c>
      <c r="J225">
        <f t="shared" si="10"/>
        <v>5.6420689655172412E-2</v>
      </c>
      <c r="K225">
        <f t="shared" si="12"/>
        <v>3.9475327131419921E-2</v>
      </c>
    </row>
    <row r="226" spans="1:11" x14ac:dyDescent="0.25">
      <c r="A226" s="1">
        <v>1970</v>
      </c>
      <c r="B226" s="1" t="s">
        <v>99</v>
      </c>
      <c r="C226" t="s">
        <v>9</v>
      </c>
      <c r="D226" s="1" t="s">
        <v>94</v>
      </c>
      <c r="E226">
        <v>91</v>
      </c>
      <c r="F226" s="1" t="s">
        <v>105</v>
      </c>
      <c r="G226">
        <v>2</v>
      </c>
      <c r="H226">
        <v>2</v>
      </c>
      <c r="I226" s="2">
        <f t="shared" si="11"/>
        <v>6.8174999999999999E-2</v>
      </c>
      <c r="J226">
        <f t="shared" si="10"/>
        <v>7.8362068965517243E-2</v>
      </c>
      <c r="K226">
        <f t="shared" si="12"/>
        <v>5.4826843238083227E-2</v>
      </c>
    </row>
    <row r="227" spans="1:11" x14ac:dyDescent="0.25">
      <c r="A227" s="1">
        <v>1970</v>
      </c>
      <c r="B227" s="1" t="s">
        <v>99</v>
      </c>
      <c r="C227" t="s">
        <v>9</v>
      </c>
      <c r="D227" s="1" t="s">
        <v>94</v>
      </c>
      <c r="E227">
        <v>30</v>
      </c>
      <c r="F227" s="1" t="s">
        <v>105</v>
      </c>
      <c r="G227">
        <v>3</v>
      </c>
      <c r="H227">
        <v>1</v>
      </c>
      <c r="I227" s="2">
        <f t="shared" si="11"/>
        <v>6.6811499999999996E-2</v>
      </c>
      <c r="J227">
        <f t="shared" si="10"/>
        <v>7.6794827586206899E-2</v>
      </c>
      <c r="K227">
        <f t="shared" si="12"/>
        <v>5.3730306373321567E-2</v>
      </c>
    </row>
    <row r="228" spans="1:11" x14ac:dyDescent="0.25">
      <c r="A228" s="1">
        <v>1970</v>
      </c>
      <c r="B228" s="1" t="s">
        <v>99</v>
      </c>
      <c r="C228" t="s">
        <v>9</v>
      </c>
      <c r="D228" s="1" t="s">
        <v>95</v>
      </c>
      <c r="E228">
        <v>29</v>
      </c>
      <c r="F228" s="1" t="s">
        <v>105</v>
      </c>
      <c r="G228">
        <v>1</v>
      </c>
      <c r="H228">
        <v>3</v>
      </c>
      <c r="I228" s="2">
        <f t="shared" si="11"/>
        <v>3.68145E-2</v>
      </c>
      <c r="J228">
        <f t="shared" si="10"/>
        <v>4.2315517241379309E-2</v>
      </c>
      <c r="K228">
        <f t="shared" si="12"/>
        <v>2.9606495348564941E-2</v>
      </c>
    </row>
    <row r="229" spans="1:11" x14ac:dyDescent="0.25">
      <c r="A229" s="1">
        <v>1970</v>
      </c>
      <c r="B229" s="1" t="s">
        <v>99</v>
      </c>
      <c r="C229" t="s">
        <v>9</v>
      </c>
      <c r="D229" s="1" t="s">
        <v>95</v>
      </c>
      <c r="E229">
        <v>29</v>
      </c>
      <c r="F229" s="1" t="s">
        <v>105</v>
      </c>
      <c r="G229">
        <v>2</v>
      </c>
      <c r="H229">
        <v>2</v>
      </c>
      <c r="I229" s="2">
        <f t="shared" si="11"/>
        <v>6.8174999999999999E-2</v>
      </c>
      <c r="J229">
        <f t="shared" si="10"/>
        <v>7.8362068965517243E-2</v>
      </c>
      <c r="K229">
        <f t="shared" si="12"/>
        <v>5.4826843238083227E-2</v>
      </c>
    </row>
    <row r="230" spans="1:11" x14ac:dyDescent="0.25">
      <c r="A230" s="1">
        <v>1970</v>
      </c>
      <c r="B230" s="1" t="s">
        <v>99</v>
      </c>
      <c r="C230" t="s">
        <v>9</v>
      </c>
      <c r="D230" s="1" t="s">
        <v>95</v>
      </c>
      <c r="E230">
        <v>32</v>
      </c>
      <c r="F230" s="1" t="s">
        <v>105</v>
      </c>
      <c r="G230">
        <v>1</v>
      </c>
      <c r="H230">
        <v>16</v>
      </c>
      <c r="I230" s="2">
        <f t="shared" si="11"/>
        <v>0.19634399999999999</v>
      </c>
      <c r="J230">
        <f t="shared" si="10"/>
        <v>0.22568275862068965</v>
      </c>
      <c r="K230">
        <f t="shared" si="12"/>
        <v>0.15790130852567968</v>
      </c>
    </row>
    <row r="231" spans="1:11" x14ac:dyDescent="0.25">
      <c r="A231" s="1">
        <v>1970</v>
      </c>
      <c r="B231" s="1" t="s">
        <v>99</v>
      </c>
      <c r="C231" t="s">
        <v>9</v>
      </c>
      <c r="D231" s="1" t="s">
        <v>95</v>
      </c>
      <c r="E231">
        <v>32</v>
      </c>
      <c r="F231" s="1" t="s">
        <v>105</v>
      </c>
      <c r="G231">
        <v>2</v>
      </c>
      <c r="H231">
        <v>4</v>
      </c>
      <c r="I231" s="2">
        <f t="shared" si="11"/>
        <v>0.13635</v>
      </c>
      <c r="J231">
        <f t="shared" si="10"/>
        <v>0.15672413793103449</v>
      </c>
      <c r="K231">
        <f t="shared" si="12"/>
        <v>0.10965368647616645</v>
      </c>
    </row>
    <row r="232" spans="1:11" x14ac:dyDescent="0.25">
      <c r="A232" s="1">
        <v>1970</v>
      </c>
      <c r="B232" s="1" t="s">
        <v>99</v>
      </c>
      <c r="C232" t="s">
        <v>9</v>
      </c>
      <c r="D232" s="1" t="s">
        <v>95</v>
      </c>
      <c r="E232">
        <v>40</v>
      </c>
      <c r="F232" s="1" t="s">
        <v>105</v>
      </c>
      <c r="G232">
        <v>1</v>
      </c>
      <c r="H232">
        <v>4</v>
      </c>
      <c r="I232" s="2">
        <f t="shared" si="11"/>
        <v>4.9085999999999998E-2</v>
      </c>
      <c r="J232">
        <f t="shared" si="10"/>
        <v>5.6420689655172412E-2</v>
      </c>
      <c r="K232">
        <f t="shared" si="12"/>
        <v>3.9475327131419921E-2</v>
      </c>
    </row>
    <row r="233" spans="1:11" x14ac:dyDescent="0.25">
      <c r="A233" s="1">
        <v>1970</v>
      </c>
      <c r="B233" s="1" t="s">
        <v>99</v>
      </c>
      <c r="C233" t="s">
        <v>9</v>
      </c>
      <c r="D233" s="1" t="s">
        <v>95</v>
      </c>
      <c r="E233">
        <v>53</v>
      </c>
      <c r="F233" s="1" t="s">
        <v>105</v>
      </c>
      <c r="G233">
        <v>1</v>
      </c>
      <c r="H233">
        <v>4</v>
      </c>
      <c r="I233" s="2">
        <f t="shared" si="11"/>
        <v>4.9085999999999998E-2</v>
      </c>
      <c r="J233">
        <f t="shared" si="10"/>
        <v>5.6420689655172412E-2</v>
      </c>
      <c r="K233">
        <f t="shared" si="12"/>
        <v>3.9475327131419921E-2</v>
      </c>
    </row>
    <row r="234" spans="1:11" x14ac:dyDescent="0.25">
      <c r="A234" s="1">
        <v>1970</v>
      </c>
      <c r="B234" s="1" t="s">
        <v>99</v>
      </c>
      <c r="C234" t="s">
        <v>9</v>
      </c>
      <c r="D234" s="1" t="s">
        <v>95</v>
      </c>
      <c r="E234">
        <v>53</v>
      </c>
      <c r="F234" s="1" t="s">
        <v>105</v>
      </c>
      <c r="G234">
        <v>2</v>
      </c>
      <c r="H234">
        <v>5</v>
      </c>
      <c r="I234" s="2">
        <f t="shared" si="11"/>
        <v>0.17043749999999999</v>
      </c>
      <c r="J234">
        <f t="shared" si="10"/>
        <v>0.1959051724137931</v>
      </c>
      <c r="K234">
        <f t="shared" si="12"/>
        <v>0.13706710809520806</v>
      </c>
    </row>
    <row r="235" spans="1:11" x14ac:dyDescent="0.25">
      <c r="A235" s="1">
        <v>1970</v>
      </c>
      <c r="B235" s="1" t="s">
        <v>99</v>
      </c>
      <c r="C235" t="s">
        <v>9</v>
      </c>
      <c r="D235" s="1" t="s">
        <v>95</v>
      </c>
      <c r="E235">
        <v>53</v>
      </c>
      <c r="F235" s="1" t="s">
        <v>105</v>
      </c>
      <c r="G235">
        <v>3</v>
      </c>
      <c r="H235">
        <v>1</v>
      </c>
      <c r="I235" s="2">
        <f t="shared" si="11"/>
        <v>6.6811499999999996E-2</v>
      </c>
      <c r="J235">
        <f t="shared" si="10"/>
        <v>7.6794827586206899E-2</v>
      </c>
      <c r="K235">
        <f t="shared" si="12"/>
        <v>5.3730306373321567E-2</v>
      </c>
    </row>
    <row r="236" spans="1:11" x14ac:dyDescent="0.25">
      <c r="A236" s="1">
        <v>1970</v>
      </c>
      <c r="B236" s="1" t="s">
        <v>99</v>
      </c>
      <c r="C236" t="s">
        <v>9</v>
      </c>
      <c r="D236" s="1" t="s">
        <v>95</v>
      </c>
      <c r="E236">
        <v>54</v>
      </c>
      <c r="F236" s="1" t="s">
        <v>105</v>
      </c>
      <c r="G236">
        <v>1</v>
      </c>
      <c r="H236">
        <v>7</v>
      </c>
      <c r="I236" s="2">
        <f t="shared" si="11"/>
        <v>8.5900499999999991E-2</v>
      </c>
      <c r="J236">
        <f t="shared" si="10"/>
        <v>9.8736206896551715E-2</v>
      </c>
      <c r="K236">
        <f t="shared" si="12"/>
        <v>6.9081822479984858E-2</v>
      </c>
    </row>
    <row r="237" spans="1:11" x14ac:dyDescent="0.25">
      <c r="A237" s="1">
        <v>1970</v>
      </c>
      <c r="B237" s="1" t="s">
        <v>99</v>
      </c>
      <c r="C237" t="s">
        <v>9</v>
      </c>
      <c r="D237" s="1" t="s">
        <v>95</v>
      </c>
      <c r="E237">
        <v>54</v>
      </c>
      <c r="F237" s="1" t="s">
        <v>105</v>
      </c>
      <c r="G237">
        <v>2</v>
      </c>
      <c r="H237">
        <v>3</v>
      </c>
      <c r="I237" s="2">
        <f t="shared" si="11"/>
        <v>0.10226250000000001</v>
      </c>
      <c r="J237">
        <f t="shared" si="10"/>
        <v>0.11754310344827587</v>
      </c>
      <c r="K237">
        <f t="shared" si="12"/>
        <v>8.2240264857124851E-2</v>
      </c>
    </row>
    <row r="238" spans="1:11" x14ac:dyDescent="0.25">
      <c r="A238" s="1">
        <v>1970</v>
      </c>
      <c r="B238" s="1" t="s">
        <v>99</v>
      </c>
      <c r="C238" t="s">
        <v>9</v>
      </c>
      <c r="D238" s="1" t="s">
        <v>95</v>
      </c>
      <c r="E238">
        <v>54</v>
      </c>
      <c r="F238" s="1" t="s">
        <v>105</v>
      </c>
      <c r="G238">
        <v>3</v>
      </c>
      <c r="H238">
        <v>2</v>
      </c>
      <c r="I238" s="2">
        <f t="shared" si="11"/>
        <v>0.13362299999999999</v>
      </c>
      <c r="J238">
        <f t="shared" si="10"/>
        <v>0.1535896551724138</v>
      </c>
      <c r="K238">
        <f t="shared" si="12"/>
        <v>0.10746061274664313</v>
      </c>
    </row>
    <row r="239" spans="1:11" x14ac:dyDescent="0.25">
      <c r="A239" s="1">
        <v>1970</v>
      </c>
      <c r="B239" s="1" t="s">
        <v>99</v>
      </c>
      <c r="C239" t="s">
        <v>9</v>
      </c>
      <c r="D239" s="1" t="s">
        <v>95</v>
      </c>
      <c r="E239">
        <v>56</v>
      </c>
      <c r="F239" s="1" t="s">
        <v>105</v>
      </c>
      <c r="G239">
        <v>1</v>
      </c>
      <c r="H239">
        <v>2</v>
      </c>
      <c r="I239" s="2">
        <f t="shared" si="11"/>
        <v>2.4542999999999999E-2</v>
      </c>
      <c r="J239">
        <f t="shared" si="10"/>
        <v>2.8210344827586206E-2</v>
      </c>
      <c r="K239">
        <f t="shared" si="12"/>
        <v>1.9737663565709961E-2</v>
      </c>
    </row>
    <row r="240" spans="1:11" x14ac:dyDescent="0.25">
      <c r="A240" s="1">
        <v>1970</v>
      </c>
      <c r="B240" s="1" t="s">
        <v>99</v>
      </c>
      <c r="C240" t="s">
        <v>9</v>
      </c>
      <c r="D240" s="1" t="s">
        <v>95</v>
      </c>
      <c r="E240">
        <v>56</v>
      </c>
      <c r="F240" s="1" t="s">
        <v>105</v>
      </c>
      <c r="G240">
        <v>2</v>
      </c>
      <c r="H240">
        <v>1</v>
      </c>
      <c r="I240" s="2">
        <f t="shared" si="11"/>
        <v>3.40875E-2</v>
      </c>
      <c r="J240">
        <f t="shared" si="10"/>
        <v>3.9181034482758621E-2</v>
      </c>
      <c r="K240">
        <f t="shared" si="12"/>
        <v>2.7413421619041613E-2</v>
      </c>
    </row>
    <row r="241" spans="1:11" x14ac:dyDescent="0.25">
      <c r="A241" s="1">
        <v>1970</v>
      </c>
      <c r="B241" s="1" t="s">
        <v>99</v>
      </c>
      <c r="C241" t="s">
        <v>9</v>
      </c>
      <c r="D241" s="1" t="s">
        <v>95</v>
      </c>
      <c r="E241">
        <v>56</v>
      </c>
      <c r="F241" s="1" t="s">
        <v>105</v>
      </c>
      <c r="G241">
        <v>3</v>
      </c>
      <c r="H241">
        <v>1</v>
      </c>
      <c r="I241" s="2">
        <f t="shared" si="11"/>
        <v>6.6811499999999996E-2</v>
      </c>
      <c r="J241">
        <f t="shared" ref="J241:J295" si="13">I241/(87*0.01)</f>
        <v>7.6794827586206899E-2</v>
      </c>
      <c r="K241">
        <f t="shared" si="12"/>
        <v>5.3730306373321567E-2</v>
      </c>
    </row>
    <row r="242" spans="1:11" x14ac:dyDescent="0.25">
      <c r="A242" s="1">
        <v>1970</v>
      </c>
      <c r="B242" s="1" t="s">
        <v>99</v>
      </c>
      <c r="C242" t="s">
        <v>9</v>
      </c>
      <c r="D242" s="1" t="s">
        <v>95</v>
      </c>
      <c r="E242">
        <v>58</v>
      </c>
      <c r="F242" s="1" t="s">
        <v>105</v>
      </c>
      <c r="G242">
        <v>1</v>
      </c>
      <c r="H242">
        <v>5</v>
      </c>
      <c r="I242" s="2">
        <f t="shared" si="11"/>
        <v>6.1357499999999995E-2</v>
      </c>
      <c r="J242">
        <f t="shared" si="13"/>
        <v>7.0525862068965509E-2</v>
      </c>
      <c r="K242">
        <f t="shared" si="12"/>
        <v>4.9344158914274898E-2</v>
      </c>
    </row>
    <row r="243" spans="1:11" x14ac:dyDescent="0.25">
      <c r="A243" s="1">
        <v>1970</v>
      </c>
      <c r="B243" s="1" t="s">
        <v>99</v>
      </c>
      <c r="C243" t="s">
        <v>9</v>
      </c>
      <c r="D243" s="1" t="s">
        <v>95</v>
      </c>
      <c r="E243">
        <v>58</v>
      </c>
      <c r="F243" s="1" t="s">
        <v>105</v>
      </c>
      <c r="G243">
        <v>2</v>
      </c>
      <c r="H243">
        <v>1</v>
      </c>
      <c r="I243" s="2">
        <f t="shared" si="11"/>
        <v>3.40875E-2</v>
      </c>
      <c r="J243">
        <f t="shared" si="13"/>
        <v>3.9181034482758621E-2</v>
      </c>
      <c r="K243">
        <f t="shared" si="12"/>
        <v>2.7413421619041613E-2</v>
      </c>
    </row>
    <row r="244" spans="1:11" x14ac:dyDescent="0.25">
      <c r="A244" s="1">
        <v>1970</v>
      </c>
      <c r="B244" s="1" t="s">
        <v>99</v>
      </c>
      <c r="C244" t="s">
        <v>9</v>
      </c>
      <c r="D244" s="1" t="s">
        <v>95</v>
      </c>
      <c r="E244">
        <v>71</v>
      </c>
      <c r="F244" s="1" t="s">
        <v>105</v>
      </c>
      <c r="G244">
        <v>1</v>
      </c>
      <c r="H244">
        <v>1</v>
      </c>
      <c r="I244" s="2">
        <f t="shared" si="11"/>
        <v>1.2271499999999999E-2</v>
      </c>
      <c r="J244">
        <f t="shared" si="13"/>
        <v>1.4105172413793103E-2</v>
      </c>
      <c r="K244">
        <f t="shared" si="12"/>
        <v>9.8688317828549803E-3</v>
      </c>
    </row>
    <row r="245" spans="1:11" x14ac:dyDescent="0.25">
      <c r="A245" s="1">
        <v>1970</v>
      </c>
      <c r="B245" s="1" t="s">
        <v>99</v>
      </c>
      <c r="C245" t="s">
        <v>9</v>
      </c>
      <c r="D245" s="1" t="s">
        <v>95</v>
      </c>
      <c r="E245">
        <v>71</v>
      </c>
      <c r="F245" s="1" t="s">
        <v>105</v>
      </c>
      <c r="G245">
        <v>3</v>
      </c>
      <c r="H245">
        <v>2</v>
      </c>
      <c r="I245" s="2">
        <f t="shared" si="11"/>
        <v>0.13362299999999999</v>
      </c>
      <c r="J245">
        <f t="shared" si="13"/>
        <v>0.1535896551724138</v>
      </c>
      <c r="K245">
        <f t="shared" si="12"/>
        <v>0.10746061274664313</v>
      </c>
    </row>
    <row r="246" spans="1:11" x14ac:dyDescent="0.25">
      <c r="A246" s="1">
        <v>1970</v>
      </c>
      <c r="B246" s="1" t="s">
        <v>99</v>
      </c>
      <c r="C246" t="s">
        <v>9</v>
      </c>
      <c r="D246" s="1" t="s">
        <v>95</v>
      </c>
      <c r="E246">
        <v>71</v>
      </c>
      <c r="F246" s="1" t="s">
        <v>105</v>
      </c>
      <c r="G246">
        <v>4</v>
      </c>
      <c r="H246">
        <v>1</v>
      </c>
      <c r="I246" s="2">
        <f t="shared" si="11"/>
        <v>0.11044349999999999</v>
      </c>
      <c r="J246">
        <f t="shared" si="13"/>
        <v>0.12694655172413791</v>
      </c>
      <c r="K246">
        <f t="shared" si="12"/>
        <v>8.8819486045694812E-2</v>
      </c>
    </row>
    <row r="247" spans="1:11" x14ac:dyDescent="0.25">
      <c r="A247" s="1">
        <v>1970</v>
      </c>
      <c r="B247" s="1" t="s">
        <v>99</v>
      </c>
      <c r="C247" t="s">
        <v>9</v>
      </c>
      <c r="D247" s="1" t="s">
        <v>95</v>
      </c>
      <c r="E247">
        <v>76</v>
      </c>
      <c r="F247" s="1" t="s">
        <v>105</v>
      </c>
      <c r="G247">
        <v>1</v>
      </c>
      <c r="H247">
        <v>2</v>
      </c>
      <c r="I247" s="2">
        <f t="shared" si="11"/>
        <v>2.4542999999999999E-2</v>
      </c>
      <c r="J247">
        <f t="shared" si="13"/>
        <v>2.8210344827586206E-2</v>
      </c>
      <c r="K247">
        <f t="shared" si="12"/>
        <v>1.9737663565709961E-2</v>
      </c>
    </row>
    <row r="248" spans="1:11" x14ac:dyDescent="0.25">
      <c r="A248" s="1">
        <v>1970</v>
      </c>
      <c r="B248" s="1" t="s">
        <v>99</v>
      </c>
      <c r="C248" t="s">
        <v>9</v>
      </c>
      <c r="D248" s="1" t="s">
        <v>95</v>
      </c>
      <c r="E248">
        <v>76</v>
      </c>
      <c r="F248" s="1" t="s">
        <v>105</v>
      </c>
      <c r="G248">
        <v>2</v>
      </c>
      <c r="H248">
        <v>2</v>
      </c>
      <c r="I248" s="2">
        <f t="shared" si="11"/>
        <v>6.8174999999999999E-2</v>
      </c>
      <c r="J248">
        <f t="shared" si="13"/>
        <v>7.8362068965517243E-2</v>
      </c>
      <c r="K248">
        <f t="shared" si="12"/>
        <v>5.4826843238083227E-2</v>
      </c>
    </row>
    <row r="249" spans="1:11" x14ac:dyDescent="0.25">
      <c r="A249" s="1">
        <v>1970</v>
      </c>
      <c r="B249" s="1" t="s">
        <v>99</v>
      </c>
      <c r="C249" t="s">
        <v>9</v>
      </c>
      <c r="D249" s="1" t="s">
        <v>95</v>
      </c>
      <c r="E249">
        <v>79</v>
      </c>
      <c r="F249" s="1" t="s">
        <v>105</v>
      </c>
      <c r="G249">
        <v>1</v>
      </c>
      <c r="H249">
        <v>22</v>
      </c>
      <c r="I249" s="2">
        <f t="shared" si="11"/>
        <v>0.26997299999999996</v>
      </c>
      <c r="J249">
        <f t="shared" si="13"/>
        <v>0.31031379310344825</v>
      </c>
      <c r="K249">
        <f t="shared" si="12"/>
        <v>0.21711429922280956</v>
      </c>
    </row>
    <row r="250" spans="1:11" x14ac:dyDescent="0.25">
      <c r="A250" s="1">
        <v>1970</v>
      </c>
      <c r="B250" s="1" t="s">
        <v>99</v>
      </c>
      <c r="C250" t="s">
        <v>9</v>
      </c>
      <c r="D250" s="1" t="s">
        <v>95</v>
      </c>
      <c r="E250">
        <v>79</v>
      </c>
      <c r="F250" s="1" t="s">
        <v>105</v>
      </c>
      <c r="G250">
        <v>2</v>
      </c>
      <c r="H250">
        <v>3</v>
      </c>
      <c r="I250" s="2">
        <f t="shared" si="11"/>
        <v>0.10226250000000001</v>
      </c>
      <c r="J250">
        <f t="shared" si="13"/>
        <v>0.11754310344827587</v>
      </c>
      <c r="K250">
        <f t="shared" si="12"/>
        <v>8.2240264857124851E-2</v>
      </c>
    </row>
    <row r="251" spans="1:11" x14ac:dyDescent="0.25">
      <c r="A251" s="1">
        <v>1970</v>
      </c>
      <c r="B251" s="1" t="s">
        <v>99</v>
      </c>
      <c r="C251" t="s">
        <v>9</v>
      </c>
      <c r="D251" s="1" t="s">
        <v>95</v>
      </c>
      <c r="E251">
        <v>79</v>
      </c>
      <c r="F251" s="1" t="s">
        <v>105</v>
      </c>
      <c r="G251">
        <v>3</v>
      </c>
      <c r="H251">
        <v>3</v>
      </c>
      <c r="I251" s="2">
        <f t="shared" si="11"/>
        <v>0.20043449999999999</v>
      </c>
      <c r="J251">
        <f t="shared" si="13"/>
        <v>0.23038448275862067</v>
      </c>
      <c r="K251">
        <f t="shared" si="12"/>
        <v>0.16119091911996467</v>
      </c>
    </row>
    <row r="252" spans="1:11" x14ac:dyDescent="0.25">
      <c r="A252" s="1">
        <v>1970</v>
      </c>
      <c r="B252" s="1" t="s">
        <v>99</v>
      </c>
      <c r="C252" t="s">
        <v>9</v>
      </c>
      <c r="D252" s="1" t="s">
        <v>95</v>
      </c>
      <c r="E252">
        <v>79</v>
      </c>
      <c r="F252" s="1" t="s">
        <v>105</v>
      </c>
      <c r="G252">
        <v>4</v>
      </c>
      <c r="H252">
        <v>6</v>
      </c>
      <c r="I252" s="2">
        <f t="shared" si="11"/>
        <v>0.66266099999999994</v>
      </c>
      <c r="J252">
        <f t="shared" si="13"/>
        <v>0.7616793103448275</v>
      </c>
      <c r="K252">
        <f t="shared" si="12"/>
        <v>0.53291691627416893</v>
      </c>
    </row>
    <row r="253" spans="1:11" x14ac:dyDescent="0.25">
      <c r="A253" s="1">
        <v>1970</v>
      </c>
      <c r="B253" s="1" t="s">
        <v>99</v>
      </c>
      <c r="C253" t="s">
        <v>9</v>
      </c>
      <c r="D253" s="1" t="s">
        <v>95</v>
      </c>
      <c r="E253">
        <v>84</v>
      </c>
      <c r="F253" s="1" t="s">
        <v>105</v>
      </c>
      <c r="G253">
        <v>1</v>
      </c>
      <c r="H253">
        <v>4</v>
      </c>
      <c r="I253" s="2">
        <f t="shared" si="11"/>
        <v>4.9085999999999998E-2</v>
      </c>
      <c r="J253">
        <f t="shared" si="13"/>
        <v>5.6420689655172412E-2</v>
      </c>
      <c r="K253">
        <f t="shared" si="12"/>
        <v>3.9475327131419921E-2</v>
      </c>
    </row>
    <row r="254" spans="1:11" x14ac:dyDescent="0.25">
      <c r="A254" s="1">
        <v>1970</v>
      </c>
      <c r="B254" s="1" t="s">
        <v>99</v>
      </c>
      <c r="C254" t="s">
        <v>9</v>
      </c>
      <c r="D254" s="1" t="s">
        <v>95</v>
      </c>
      <c r="E254">
        <v>84</v>
      </c>
      <c r="F254" s="1" t="s">
        <v>105</v>
      </c>
      <c r="G254">
        <v>2</v>
      </c>
      <c r="H254">
        <v>2</v>
      </c>
      <c r="I254" s="2">
        <f t="shared" si="11"/>
        <v>6.8174999999999999E-2</v>
      </c>
      <c r="J254">
        <f t="shared" si="13"/>
        <v>7.8362068965517243E-2</v>
      </c>
      <c r="K254">
        <f t="shared" si="12"/>
        <v>5.4826843238083227E-2</v>
      </c>
    </row>
    <row r="255" spans="1:11" x14ac:dyDescent="0.25">
      <c r="A255" s="1">
        <v>1970</v>
      </c>
      <c r="B255" s="1" t="s">
        <v>99</v>
      </c>
      <c r="C255" t="s">
        <v>9</v>
      </c>
      <c r="D255" s="1" t="s">
        <v>95</v>
      </c>
      <c r="E255">
        <v>84</v>
      </c>
      <c r="F255" s="1" t="s">
        <v>105</v>
      </c>
      <c r="G255">
        <v>3</v>
      </c>
      <c r="H255">
        <v>1</v>
      </c>
      <c r="I255" s="2">
        <f t="shared" si="11"/>
        <v>6.6811499999999996E-2</v>
      </c>
      <c r="J255">
        <f t="shared" si="13"/>
        <v>7.6794827586206899E-2</v>
      </c>
      <c r="K255">
        <f t="shared" si="12"/>
        <v>5.3730306373321567E-2</v>
      </c>
    </row>
    <row r="256" spans="1:11" x14ac:dyDescent="0.25">
      <c r="A256" s="1">
        <v>1970</v>
      </c>
      <c r="B256" s="1" t="s">
        <v>99</v>
      </c>
      <c r="C256" t="s">
        <v>9</v>
      </c>
      <c r="D256" s="1" t="s">
        <v>95</v>
      </c>
      <c r="E256">
        <v>84</v>
      </c>
      <c r="F256" s="1" t="s">
        <v>105</v>
      </c>
      <c r="G256">
        <v>4</v>
      </c>
      <c r="H256">
        <v>1</v>
      </c>
      <c r="I256" s="2">
        <f t="shared" si="11"/>
        <v>0.11044349999999999</v>
      </c>
      <c r="J256">
        <f t="shared" si="13"/>
        <v>0.12694655172413791</v>
      </c>
      <c r="K256">
        <f t="shared" si="12"/>
        <v>8.8819486045694812E-2</v>
      </c>
    </row>
    <row r="257" spans="1:11" x14ac:dyDescent="0.25">
      <c r="A257" s="1">
        <v>1970</v>
      </c>
      <c r="B257" s="1" t="s">
        <v>99</v>
      </c>
      <c r="C257" t="s">
        <v>9</v>
      </c>
      <c r="D257" s="1" t="s">
        <v>95</v>
      </c>
      <c r="E257">
        <v>88</v>
      </c>
      <c r="F257" s="1" t="s">
        <v>105</v>
      </c>
      <c r="G257">
        <v>1</v>
      </c>
      <c r="H257">
        <v>3</v>
      </c>
      <c r="I257" s="2">
        <f t="shared" si="11"/>
        <v>3.68145E-2</v>
      </c>
      <c r="J257">
        <f t="shared" si="13"/>
        <v>4.2315517241379309E-2</v>
      </c>
      <c r="K257">
        <f t="shared" si="12"/>
        <v>2.9606495348564941E-2</v>
      </c>
    </row>
    <row r="258" spans="1:11" x14ac:dyDescent="0.25">
      <c r="A258" s="1">
        <v>1970</v>
      </c>
      <c r="B258" s="1" t="s">
        <v>99</v>
      </c>
      <c r="C258" t="s">
        <v>9</v>
      </c>
      <c r="D258" s="1" t="s">
        <v>95</v>
      </c>
      <c r="E258">
        <v>91</v>
      </c>
      <c r="F258" s="1" t="s">
        <v>105</v>
      </c>
      <c r="G258">
        <v>1</v>
      </c>
      <c r="H258">
        <v>3</v>
      </c>
      <c r="I258" s="2">
        <f t="shared" si="11"/>
        <v>3.68145E-2</v>
      </c>
      <c r="J258">
        <f t="shared" si="13"/>
        <v>4.2315517241379309E-2</v>
      </c>
      <c r="K258">
        <f t="shared" si="12"/>
        <v>2.9606495348564941E-2</v>
      </c>
    </row>
    <row r="259" spans="1:11" x14ac:dyDescent="0.25">
      <c r="A259" s="1">
        <v>1970</v>
      </c>
      <c r="B259" s="1" t="s">
        <v>99</v>
      </c>
      <c r="C259" t="s">
        <v>9</v>
      </c>
      <c r="D259" s="1" t="s">
        <v>95</v>
      </c>
      <c r="E259">
        <v>91</v>
      </c>
      <c r="F259" s="1" t="s">
        <v>105</v>
      </c>
      <c r="G259">
        <v>4</v>
      </c>
      <c r="H259">
        <v>1</v>
      </c>
      <c r="I259" s="2">
        <f t="shared" ref="I259:I295" si="14">0.005454*(G259+0.5)^2*H259</f>
        <v>0.11044349999999999</v>
      </c>
      <c r="J259">
        <f t="shared" si="13"/>
        <v>0.12694655172413791</v>
      </c>
      <c r="K259">
        <f t="shared" ref="K259:K295" si="15">J259*(26.79/38.29)</f>
        <v>8.8819486045694812E-2</v>
      </c>
    </row>
    <row r="260" spans="1:11" x14ac:dyDescent="0.25">
      <c r="A260" s="1">
        <v>1970</v>
      </c>
      <c r="B260" s="1" t="s">
        <v>99</v>
      </c>
      <c r="C260" t="s">
        <v>9</v>
      </c>
      <c r="D260" s="1" t="s">
        <v>97</v>
      </c>
      <c r="E260">
        <v>25</v>
      </c>
      <c r="F260" s="1" t="s">
        <v>105</v>
      </c>
      <c r="G260">
        <v>2</v>
      </c>
      <c r="H260">
        <v>1</v>
      </c>
      <c r="I260" s="2">
        <f t="shared" si="14"/>
        <v>3.40875E-2</v>
      </c>
      <c r="J260">
        <f t="shared" si="13"/>
        <v>3.9181034482758621E-2</v>
      </c>
      <c r="K260">
        <f t="shared" si="15"/>
        <v>2.7413421619041613E-2</v>
      </c>
    </row>
    <row r="261" spans="1:11" x14ac:dyDescent="0.25">
      <c r="A261" s="1">
        <v>1970</v>
      </c>
      <c r="B261" s="1" t="s">
        <v>99</v>
      </c>
      <c r="C261" t="s">
        <v>9</v>
      </c>
      <c r="D261" s="1" t="s">
        <v>97</v>
      </c>
      <c r="E261">
        <v>25</v>
      </c>
      <c r="F261" s="1" t="s">
        <v>105</v>
      </c>
      <c r="G261">
        <v>3</v>
      </c>
      <c r="H261">
        <v>1</v>
      </c>
      <c r="I261" s="2">
        <f t="shared" si="14"/>
        <v>6.6811499999999996E-2</v>
      </c>
      <c r="J261">
        <f t="shared" si="13"/>
        <v>7.6794827586206899E-2</v>
      </c>
      <c r="K261">
        <f t="shared" si="15"/>
        <v>5.3730306373321567E-2</v>
      </c>
    </row>
    <row r="262" spans="1:11" x14ac:dyDescent="0.25">
      <c r="A262" s="1">
        <v>1970</v>
      </c>
      <c r="B262" s="1" t="s">
        <v>99</v>
      </c>
      <c r="C262" t="s">
        <v>9</v>
      </c>
      <c r="D262" s="1" t="s">
        <v>97</v>
      </c>
      <c r="E262">
        <v>29</v>
      </c>
      <c r="F262" s="1" t="s">
        <v>105</v>
      </c>
      <c r="G262">
        <v>1</v>
      </c>
      <c r="H262">
        <v>1</v>
      </c>
      <c r="I262" s="2">
        <f t="shared" si="14"/>
        <v>1.2271499999999999E-2</v>
      </c>
      <c r="J262">
        <f t="shared" si="13"/>
        <v>1.4105172413793103E-2</v>
      </c>
      <c r="K262">
        <f t="shared" si="15"/>
        <v>9.8688317828549803E-3</v>
      </c>
    </row>
    <row r="263" spans="1:11" x14ac:dyDescent="0.25">
      <c r="A263" s="1">
        <v>1970</v>
      </c>
      <c r="B263" s="1" t="s">
        <v>99</v>
      </c>
      <c r="C263" t="s">
        <v>9</v>
      </c>
      <c r="D263" s="1" t="s">
        <v>97</v>
      </c>
      <c r="E263">
        <v>32</v>
      </c>
      <c r="F263" s="1" t="s">
        <v>105</v>
      </c>
      <c r="G263">
        <v>1</v>
      </c>
      <c r="H263">
        <v>12</v>
      </c>
      <c r="I263" s="2">
        <f t="shared" si="14"/>
        <v>0.147258</v>
      </c>
      <c r="J263">
        <f t="shared" si="13"/>
        <v>0.16926206896551724</v>
      </c>
      <c r="K263">
        <f t="shared" si="15"/>
        <v>0.11842598139425976</v>
      </c>
    </row>
    <row r="264" spans="1:11" x14ac:dyDescent="0.25">
      <c r="A264" s="1">
        <v>1970</v>
      </c>
      <c r="B264" s="1" t="s">
        <v>99</v>
      </c>
      <c r="C264" t="s">
        <v>9</v>
      </c>
      <c r="D264" s="1" t="s">
        <v>97</v>
      </c>
      <c r="E264">
        <v>32</v>
      </c>
      <c r="F264" s="1" t="s">
        <v>105</v>
      </c>
      <c r="G264">
        <v>2</v>
      </c>
      <c r="H264">
        <v>5</v>
      </c>
      <c r="I264" s="2">
        <f t="shared" si="14"/>
        <v>0.17043749999999999</v>
      </c>
      <c r="J264">
        <f t="shared" si="13"/>
        <v>0.1959051724137931</v>
      </c>
      <c r="K264">
        <f t="shared" si="15"/>
        <v>0.13706710809520806</v>
      </c>
    </row>
    <row r="265" spans="1:11" x14ac:dyDescent="0.25">
      <c r="A265" s="1">
        <v>1970</v>
      </c>
      <c r="B265" s="1" t="s">
        <v>99</v>
      </c>
      <c r="C265" t="s">
        <v>9</v>
      </c>
      <c r="D265" s="1" t="s">
        <v>97</v>
      </c>
      <c r="E265">
        <v>32</v>
      </c>
      <c r="F265" s="1" t="s">
        <v>105</v>
      </c>
      <c r="G265">
        <v>3</v>
      </c>
      <c r="H265">
        <v>2</v>
      </c>
      <c r="I265" s="2">
        <f t="shared" si="14"/>
        <v>0.13362299999999999</v>
      </c>
      <c r="J265">
        <f t="shared" si="13"/>
        <v>0.1535896551724138</v>
      </c>
      <c r="K265">
        <f t="shared" si="15"/>
        <v>0.10746061274664313</v>
      </c>
    </row>
    <row r="266" spans="1:11" x14ac:dyDescent="0.25">
      <c r="A266" s="1">
        <v>1970</v>
      </c>
      <c r="B266" s="1" t="s">
        <v>99</v>
      </c>
      <c r="C266" t="s">
        <v>9</v>
      </c>
      <c r="D266" s="1" t="s">
        <v>97</v>
      </c>
      <c r="E266">
        <v>32</v>
      </c>
      <c r="F266" s="1" t="s">
        <v>105</v>
      </c>
      <c r="G266">
        <v>4</v>
      </c>
      <c r="H266">
        <v>1</v>
      </c>
      <c r="I266" s="2">
        <f t="shared" si="14"/>
        <v>0.11044349999999999</v>
      </c>
      <c r="J266">
        <f t="shared" si="13"/>
        <v>0.12694655172413791</v>
      </c>
      <c r="K266">
        <f t="shared" si="15"/>
        <v>8.8819486045694812E-2</v>
      </c>
    </row>
    <row r="267" spans="1:11" x14ac:dyDescent="0.25">
      <c r="A267" s="1">
        <v>1970</v>
      </c>
      <c r="B267" s="1" t="s">
        <v>99</v>
      </c>
      <c r="C267" t="s">
        <v>9</v>
      </c>
      <c r="D267" s="1" t="s">
        <v>97</v>
      </c>
      <c r="E267">
        <v>40</v>
      </c>
      <c r="F267" s="1" t="s">
        <v>105</v>
      </c>
      <c r="G267">
        <v>2</v>
      </c>
      <c r="H267">
        <v>1</v>
      </c>
      <c r="I267" s="2">
        <f t="shared" si="14"/>
        <v>3.40875E-2</v>
      </c>
      <c r="J267">
        <f t="shared" si="13"/>
        <v>3.9181034482758621E-2</v>
      </c>
      <c r="K267">
        <f t="shared" si="15"/>
        <v>2.7413421619041613E-2</v>
      </c>
    </row>
    <row r="268" spans="1:11" x14ac:dyDescent="0.25">
      <c r="A268" s="1">
        <v>1970</v>
      </c>
      <c r="B268" s="1" t="s">
        <v>99</v>
      </c>
      <c r="C268" t="s">
        <v>9</v>
      </c>
      <c r="D268" s="1" t="s">
        <v>97</v>
      </c>
      <c r="E268">
        <v>40</v>
      </c>
      <c r="F268" s="1" t="s">
        <v>105</v>
      </c>
      <c r="G268">
        <v>4</v>
      </c>
      <c r="H268">
        <v>1</v>
      </c>
      <c r="I268" s="2">
        <f t="shared" si="14"/>
        <v>0.11044349999999999</v>
      </c>
      <c r="J268">
        <f t="shared" si="13"/>
        <v>0.12694655172413791</v>
      </c>
      <c r="K268">
        <f t="shared" si="15"/>
        <v>8.8819486045694812E-2</v>
      </c>
    </row>
    <row r="269" spans="1:11" x14ac:dyDescent="0.25">
      <c r="A269" s="1">
        <v>1970</v>
      </c>
      <c r="B269" s="1" t="s">
        <v>99</v>
      </c>
      <c r="C269" t="s">
        <v>9</v>
      </c>
      <c r="D269" s="1" t="s">
        <v>97</v>
      </c>
      <c r="E269">
        <v>56</v>
      </c>
      <c r="F269" s="1" t="s">
        <v>105</v>
      </c>
      <c r="G269">
        <v>1</v>
      </c>
      <c r="H269">
        <v>1</v>
      </c>
      <c r="I269" s="2">
        <f t="shared" si="14"/>
        <v>1.2271499999999999E-2</v>
      </c>
      <c r="J269">
        <f t="shared" si="13"/>
        <v>1.4105172413793103E-2</v>
      </c>
      <c r="K269">
        <f t="shared" si="15"/>
        <v>9.8688317828549803E-3</v>
      </c>
    </row>
    <row r="270" spans="1:11" x14ac:dyDescent="0.25">
      <c r="A270" s="1">
        <v>1970</v>
      </c>
      <c r="B270" s="1" t="s">
        <v>99</v>
      </c>
      <c r="C270" t="s">
        <v>9</v>
      </c>
      <c r="D270" s="1" t="s">
        <v>97</v>
      </c>
      <c r="E270">
        <v>76</v>
      </c>
      <c r="F270" s="1" t="s">
        <v>105</v>
      </c>
      <c r="G270">
        <v>1</v>
      </c>
      <c r="H270">
        <v>4</v>
      </c>
      <c r="I270" s="2">
        <f t="shared" si="14"/>
        <v>4.9085999999999998E-2</v>
      </c>
      <c r="J270">
        <f t="shared" si="13"/>
        <v>5.6420689655172412E-2</v>
      </c>
      <c r="K270">
        <f t="shared" si="15"/>
        <v>3.9475327131419921E-2</v>
      </c>
    </row>
    <row r="271" spans="1:11" x14ac:dyDescent="0.25">
      <c r="A271" s="1">
        <v>1970</v>
      </c>
      <c r="B271" s="1" t="s">
        <v>99</v>
      </c>
      <c r="C271" t="s">
        <v>9</v>
      </c>
      <c r="D271" s="1" t="s">
        <v>97</v>
      </c>
      <c r="E271">
        <v>76</v>
      </c>
      <c r="F271" s="1" t="s">
        <v>105</v>
      </c>
      <c r="G271">
        <v>2</v>
      </c>
      <c r="H271">
        <v>3</v>
      </c>
      <c r="I271" s="2">
        <f t="shared" si="14"/>
        <v>0.10226250000000001</v>
      </c>
      <c r="J271">
        <f t="shared" si="13"/>
        <v>0.11754310344827587</v>
      </c>
      <c r="K271">
        <f t="shared" si="15"/>
        <v>8.2240264857124851E-2</v>
      </c>
    </row>
    <row r="272" spans="1:11" x14ac:dyDescent="0.25">
      <c r="A272" s="1">
        <v>1970</v>
      </c>
      <c r="B272" s="1" t="s">
        <v>99</v>
      </c>
      <c r="C272" t="s">
        <v>9</v>
      </c>
      <c r="D272" s="1" t="s">
        <v>97</v>
      </c>
      <c r="E272">
        <v>79</v>
      </c>
      <c r="F272" s="1" t="s">
        <v>105</v>
      </c>
      <c r="G272">
        <v>1</v>
      </c>
      <c r="H272">
        <v>9</v>
      </c>
      <c r="I272" s="2">
        <f t="shared" si="14"/>
        <v>0.1104435</v>
      </c>
      <c r="J272">
        <f t="shared" si="13"/>
        <v>0.12694655172413793</v>
      </c>
      <c r="K272">
        <f t="shared" si="15"/>
        <v>8.8819486045694826E-2</v>
      </c>
    </row>
    <row r="273" spans="1:11" x14ac:dyDescent="0.25">
      <c r="A273" s="1">
        <v>1970</v>
      </c>
      <c r="B273" s="1" t="s">
        <v>99</v>
      </c>
      <c r="C273" t="s">
        <v>9</v>
      </c>
      <c r="D273" s="1" t="s">
        <v>97</v>
      </c>
      <c r="E273">
        <v>79</v>
      </c>
      <c r="F273" s="1" t="s">
        <v>105</v>
      </c>
      <c r="G273">
        <v>2</v>
      </c>
      <c r="H273">
        <v>5</v>
      </c>
      <c r="I273" s="2">
        <f t="shared" si="14"/>
        <v>0.17043749999999999</v>
      </c>
      <c r="J273">
        <f t="shared" si="13"/>
        <v>0.1959051724137931</v>
      </c>
      <c r="K273">
        <f t="shared" si="15"/>
        <v>0.13706710809520806</v>
      </c>
    </row>
    <row r="274" spans="1:11" x14ac:dyDescent="0.25">
      <c r="A274" s="1">
        <v>1970</v>
      </c>
      <c r="B274" s="1" t="s">
        <v>99</v>
      </c>
      <c r="C274" t="s">
        <v>9</v>
      </c>
      <c r="D274" s="1" t="s">
        <v>97</v>
      </c>
      <c r="E274">
        <v>85</v>
      </c>
      <c r="F274" s="1" t="s">
        <v>105</v>
      </c>
      <c r="G274">
        <v>1</v>
      </c>
      <c r="H274">
        <v>1</v>
      </c>
      <c r="I274" s="2">
        <f t="shared" si="14"/>
        <v>1.2271499999999999E-2</v>
      </c>
      <c r="J274">
        <f t="shared" si="13"/>
        <v>1.4105172413793103E-2</v>
      </c>
      <c r="K274">
        <f t="shared" si="15"/>
        <v>9.8688317828549803E-3</v>
      </c>
    </row>
    <row r="275" spans="1:11" x14ac:dyDescent="0.25">
      <c r="A275" s="1">
        <v>1970</v>
      </c>
      <c r="B275" s="1" t="s">
        <v>99</v>
      </c>
      <c r="C275" t="s">
        <v>9</v>
      </c>
      <c r="D275" s="1" t="s">
        <v>97</v>
      </c>
      <c r="E275">
        <v>91</v>
      </c>
      <c r="F275" s="1" t="s">
        <v>105</v>
      </c>
      <c r="G275">
        <v>2</v>
      </c>
      <c r="H275">
        <v>1</v>
      </c>
      <c r="I275" s="2">
        <f t="shared" si="14"/>
        <v>3.40875E-2</v>
      </c>
      <c r="J275">
        <f t="shared" si="13"/>
        <v>3.9181034482758621E-2</v>
      </c>
      <c r="K275">
        <f t="shared" si="15"/>
        <v>2.7413421619041613E-2</v>
      </c>
    </row>
    <row r="276" spans="1:11" x14ac:dyDescent="0.25">
      <c r="A276" s="1">
        <v>1970</v>
      </c>
      <c r="B276" s="1" t="s">
        <v>99</v>
      </c>
      <c r="C276" t="s">
        <v>9</v>
      </c>
      <c r="D276" s="1" t="s">
        <v>97</v>
      </c>
      <c r="E276">
        <v>91</v>
      </c>
      <c r="F276" s="1" t="s">
        <v>105</v>
      </c>
      <c r="G276">
        <v>3</v>
      </c>
      <c r="H276">
        <v>1</v>
      </c>
      <c r="I276" s="2">
        <f t="shared" si="14"/>
        <v>6.6811499999999996E-2</v>
      </c>
      <c r="J276">
        <f t="shared" si="13"/>
        <v>7.6794827586206899E-2</v>
      </c>
      <c r="K276">
        <f t="shared" si="15"/>
        <v>5.3730306373321567E-2</v>
      </c>
    </row>
    <row r="277" spans="1:11" x14ac:dyDescent="0.25">
      <c r="A277" s="1">
        <v>1970</v>
      </c>
      <c r="B277" s="1" t="s">
        <v>99</v>
      </c>
      <c r="C277" t="s">
        <v>9</v>
      </c>
      <c r="D277" s="1" t="s">
        <v>96</v>
      </c>
      <c r="E277">
        <v>27</v>
      </c>
      <c r="F277" s="1" t="s">
        <v>105</v>
      </c>
      <c r="G277">
        <v>1</v>
      </c>
      <c r="H277">
        <v>2</v>
      </c>
      <c r="I277" s="2">
        <f t="shared" si="14"/>
        <v>2.4542999999999999E-2</v>
      </c>
      <c r="J277">
        <f t="shared" si="13"/>
        <v>2.8210344827586206E-2</v>
      </c>
      <c r="K277">
        <f t="shared" si="15"/>
        <v>1.9737663565709961E-2</v>
      </c>
    </row>
    <row r="278" spans="1:11" x14ac:dyDescent="0.25">
      <c r="A278" s="1">
        <v>1970</v>
      </c>
      <c r="B278" s="1" t="s">
        <v>99</v>
      </c>
      <c r="C278" t="s">
        <v>9</v>
      </c>
      <c r="D278" s="1" t="s">
        <v>96</v>
      </c>
      <c r="E278">
        <v>33</v>
      </c>
      <c r="F278" s="1" t="s">
        <v>105</v>
      </c>
      <c r="G278">
        <v>1</v>
      </c>
      <c r="H278">
        <v>22</v>
      </c>
      <c r="I278" s="2">
        <f t="shared" si="14"/>
        <v>0.26997299999999996</v>
      </c>
      <c r="J278">
        <f t="shared" si="13"/>
        <v>0.31031379310344825</v>
      </c>
      <c r="K278">
        <f t="shared" si="15"/>
        <v>0.21711429922280956</v>
      </c>
    </row>
    <row r="279" spans="1:11" x14ac:dyDescent="0.25">
      <c r="A279" s="1">
        <v>1970</v>
      </c>
      <c r="B279" s="1" t="s">
        <v>99</v>
      </c>
      <c r="C279" t="s">
        <v>9</v>
      </c>
      <c r="D279" s="1" t="s">
        <v>96</v>
      </c>
      <c r="E279">
        <v>33</v>
      </c>
      <c r="F279" s="1" t="s">
        <v>105</v>
      </c>
      <c r="G279">
        <v>2</v>
      </c>
      <c r="H279">
        <v>3</v>
      </c>
      <c r="I279" s="2">
        <f t="shared" si="14"/>
        <v>0.10226250000000001</v>
      </c>
      <c r="J279">
        <f t="shared" si="13"/>
        <v>0.11754310344827587</v>
      </c>
      <c r="K279">
        <f t="shared" si="15"/>
        <v>8.2240264857124851E-2</v>
      </c>
    </row>
    <row r="280" spans="1:11" x14ac:dyDescent="0.25">
      <c r="A280" s="1">
        <v>1970</v>
      </c>
      <c r="B280" s="1" t="s">
        <v>99</v>
      </c>
      <c r="C280" t="s">
        <v>9</v>
      </c>
      <c r="D280" s="1" t="s">
        <v>96</v>
      </c>
      <c r="E280">
        <v>33</v>
      </c>
      <c r="F280" s="1" t="s">
        <v>105</v>
      </c>
      <c r="G280">
        <v>3</v>
      </c>
      <c r="H280">
        <v>2</v>
      </c>
      <c r="I280" s="2">
        <f t="shared" si="14"/>
        <v>0.13362299999999999</v>
      </c>
      <c r="J280">
        <f t="shared" si="13"/>
        <v>0.1535896551724138</v>
      </c>
      <c r="K280">
        <f t="shared" si="15"/>
        <v>0.10746061274664313</v>
      </c>
    </row>
    <row r="281" spans="1:11" x14ac:dyDescent="0.25">
      <c r="A281" s="1">
        <v>1970</v>
      </c>
      <c r="B281" s="1" t="s">
        <v>99</v>
      </c>
      <c r="C281" t="s">
        <v>9</v>
      </c>
      <c r="D281" s="1" t="s">
        <v>96</v>
      </c>
      <c r="E281">
        <v>63</v>
      </c>
      <c r="F281" s="1" t="s">
        <v>105</v>
      </c>
      <c r="G281">
        <v>1</v>
      </c>
      <c r="H281">
        <v>43</v>
      </c>
      <c r="I281" s="2">
        <f t="shared" si="14"/>
        <v>0.52767449999999994</v>
      </c>
      <c r="J281">
        <f t="shared" si="13"/>
        <v>0.60652241379310334</v>
      </c>
      <c r="K281">
        <f t="shared" si="15"/>
        <v>0.42435976666276409</v>
      </c>
    </row>
    <row r="282" spans="1:11" x14ac:dyDescent="0.25">
      <c r="A282" s="1">
        <v>1970</v>
      </c>
      <c r="B282" s="1" t="s">
        <v>99</v>
      </c>
      <c r="C282" t="s">
        <v>9</v>
      </c>
      <c r="D282" s="1" t="s">
        <v>96</v>
      </c>
      <c r="E282">
        <v>63</v>
      </c>
      <c r="F282" s="1" t="s">
        <v>105</v>
      </c>
      <c r="G282">
        <v>2</v>
      </c>
      <c r="H282">
        <v>19</v>
      </c>
      <c r="I282" s="2">
        <f t="shared" si="14"/>
        <v>0.64766250000000003</v>
      </c>
      <c r="J282">
        <f t="shared" si="13"/>
        <v>0.74443965517241384</v>
      </c>
      <c r="K282">
        <f t="shared" si="15"/>
        <v>0.52085501076179064</v>
      </c>
    </row>
    <row r="283" spans="1:11" x14ac:dyDescent="0.25">
      <c r="A283" s="1">
        <v>1970</v>
      </c>
      <c r="B283" s="1" t="s">
        <v>99</v>
      </c>
      <c r="C283" t="s">
        <v>9</v>
      </c>
      <c r="D283" s="1" t="s">
        <v>96</v>
      </c>
      <c r="E283">
        <v>63</v>
      </c>
      <c r="F283" s="1" t="s">
        <v>105</v>
      </c>
      <c r="G283">
        <v>3</v>
      </c>
      <c r="H283">
        <v>5</v>
      </c>
      <c r="I283" s="2">
        <f t="shared" si="14"/>
        <v>0.33405750000000001</v>
      </c>
      <c r="J283">
        <f t="shared" si="13"/>
        <v>0.38397413793103452</v>
      </c>
      <c r="K283">
        <f t="shared" si="15"/>
        <v>0.26865153186660784</v>
      </c>
    </row>
    <row r="284" spans="1:11" x14ac:dyDescent="0.25">
      <c r="A284" s="1">
        <v>1970</v>
      </c>
      <c r="B284" s="1" t="s">
        <v>99</v>
      </c>
      <c r="C284" t="s">
        <v>9</v>
      </c>
      <c r="D284" s="1" t="s">
        <v>96</v>
      </c>
      <c r="E284">
        <v>63</v>
      </c>
      <c r="F284" s="1" t="s">
        <v>105</v>
      </c>
      <c r="G284">
        <v>4</v>
      </c>
      <c r="H284">
        <v>3</v>
      </c>
      <c r="I284" s="2">
        <f t="shared" si="14"/>
        <v>0.33133049999999997</v>
      </c>
      <c r="J284">
        <f t="shared" si="13"/>
        <v>0.38083965517241375</v>
      </c>
      <c r="K284">
        <f t="shared" si="15"/>
        <v>0.26645845813708446</v>
      </c>
    </row>
    <row r="285" spans="1:11" x14ac:dyDescent="0.25">
      <c r="A285" s="1">
        <v>1970</v>
      </c>
      <c r="B285" s="1" t="s">
        <v>99</v>
      </c>
      <c r="C285" t="s">
        <v>9</v>
      </c>
      <c r="D285" s="1" t="s">
        <v>96</v>
      </c>
      <c r="E285">
        <v>65</v>
      </c>
      <c r="F285" s="1" t="s">
        <v>105</v>
      </c>
      <c r="G285">
        <v>1</v>
      </c>
      <c r="H285">
        <v>1</v>
      </c>
      <c r="I285" s="2">
        <f t="shared" si="14"/>
        <v>1.2271499999999999E-2</v>
      </c>
      <c r="J285">
        <f t="shared" si="13"/>
        <v>1.4105172413793103E-2</v>
      </c>
      <c r="K285">
        <f t="shared" si="15"/>
        <v>9.8688317828549803E-3</v>
      </c>
    </row>
    <row r="286" spans="1:11" x14ac:dyDescent="0.25">
      <c r="A286" s="1">
        <v>1970</v>
      </c>
      <c r="B286" s="1" t="s">
        <v>99</v>
      </c>
      <c r="C286" t="s">
        <v>9</v>
      </c>
      <c r="D286" s="1" t="s">
        <v>96</v>
      </c>
      <c r="E286">
        <v>65</v>
      </c>
      <c r="F286" s="1" t="s">
        <v>105</v>
      </c>
      <c r="G286">
        <v>4</v>
      </c>
      <c r="H286">
        <v>1</v>
      </c>
      <c r="I286" s="2">
        <f t="shared" si="14"/>
        <v>0.11044349999999999</v>
      </c>
      <c r="J286">
        <f t="shared" si="13"/>
        <v>0.12694655172413791</v>
      </c>
      <c r="K286">
        <f t="shared" si="15"/>
        <v>8.8819486045694812E-2</v>
      </c>
    </row>
    <row r="287" spans="1:11" x14ac:dyDescent="0.25">
      <c r="A287" s="1">
        <v>1970</v>
      </c>
      <c r="B287" s="1" t="s">
        <v>99</v>
      </c>
      <c r="C287" t="s">
        <v>9</v>
      </c>
      <c r="D287" s="1" t="s">
        <v>96</v>
      </c>
      <c r="E287">
        <v>78</v>
      </c>
      <c r="F287" s="1" t="s">
        <v>105</v>
      </c>
      <c r="G287">
        <v>1</v>
      </c>
      <c r="H287">
        <v>7</v>
      </c>
      <c r="I287" s="2">
        <f t="shared" si="14"/>
        <v>8.5900499999999991E-2</v>
      </c>
      <c r="J287">
        <f t="shared" si="13"/>
        <v>9.8736206896551715E-2</v>
      </c>
      <c r="K287">
        <f t="shared" si="15"/>
        <v>6.9081822479984858E-2</v>
      </c>
    </row>
    <row r="288" spans="1:11" x14ac:dyDescent="0.25">
      <c r="A288" s="1">
        <v>1970</v>
      </c>
      <c r="B288" s="1" t="s">
        <v>99</v>
      </c>
      <c r="C288" t="s">
        <v>9</v>
      </c>
      <c r="D288" s="1" t="s">
        <v>96</v>
      </c>
      <c r="E288">
        <v>78</v>
      </c>
      <c r="F288" s="1" t="s">
        <v>105</v>
      </c>
      <c r="G288">
        <v>2</v>
      </c>
      <c r="H288">
        <v>5</v>
      </c>
      <c r="I288" s="2">
        <f t="shared" si="14"/>
        <v>0.17043749999999999</v>
      </c>
      <c r="J288">
        <f t="shared" si="13"/>
        <v>0.1959051724137931</v>
      </c>
      <c r="K288">
        <f t="shared" si="15"/>
        <v>0.13706710809520806</v>
      </c>
    </row>
    <row r="289" spans="1:11" x14ac:dyDescent="0.25">
      <c r="A289" s="1">
        <v>1970</v>
      </c>
      <c r="B289" s="1" t="s">
        <v>99</v>
      </c>
      <c r="C289" t="s">
        <v>9</v>
      </c>
      <c r="D289" s="1" t="s">
        <v>96</v>
      </c>
      <c r="E289">
        <v>78</v>
      </c>
      <c r="F289" s="1" t="s">
        <v>105</v>
      </c>
      <c r="G289">
        <v>3</v>
      </c>
      <c r="H289">
        <v>1</v>
      </c>
      <c r="I289" s="2">
        <f t="shared" si="14"/>
        <v>6.6811499999999996E-2</v>
      </c>
      <c r="J289">
        <f t="shared" si="13"/>
        <v>7.6794827586206899E-2</v>
      </c>
      <c r="K289">
        <f t="shared" si="15"/>
        <v>5.3730306373321567E-2</v>
      </c>
    </row>
    <row r="290" spans="1:11" x14ac:dyDescent="0.25">
      <c r="A290" s="1">
        <v>1970</v>
      </c>
      <c r="B290" s="1" t="s">
        <v>99</v>
      </c>
      <c r="C290" t="s">
        <v>9</v>
      </c>
      <c r="D290" s="1" t="s">
        <v>96</v>
      </c>
      <c r="E290">
        <v>86</v>
      </c>
      <c r="F290" s="1" t="s">
        <v>105</v>
      </c>
      <c r="G290">
        <v>1</v>
      </c>
      <c r="H290">
        <v>20</v>
      </c>
      <c r="I290" s="2">
        <f t="shared" si="14"/>
        <v>0.24542999999999998</v>
      </c>
      <c r="J290">
        <f t="shared" si="13"/>
        <v>0.28210344827586203</v>
      </c>
      <c r="K290">
        <f t="shared" si="15"/>
        <v>0.19737663565709959</v>
      </c>
    </row>
    <row r="291" spans="1:11" x14ac:dyDescent="0.25">
      <c r="A291" s="1">
        <v>1970</v>
      </c>
      <c r="B291" s="1" t="s">
        <v>99</v>
      </c>
      <c r="C291" t="s">
        <v>9</v>
      </c>
      <c r="D291" s="1" t="s">
        <v>96</v>
      </c>
      <c r="E291">
        <v>86</v>
      </c>
      <c r="F291" s="1" t="s">
        <v>105</v>
      </c>
      <c r="G291">
        <v>2</v>
      </c>
      <c r="H291">
        <v>25</v>
      </c>
      <c r="I291" s="2">
        <f t="shared" si="14"/>
        <v>0.85218749999999999</v>
      </c>
      <c r="J291">
        <f t="shared" si="13"/>
        <v>0.97952586206896552</v>
      </c>
      <c r="K291">
        <f t="shared" si="15"/>
        <v>0.68533554047604039</v>
      </c>
    </row>
    <row r="292" spans="1:11" x14ac:dyDescent="0.25">
      <c r="A292" s="1">
        <v>1970</v>
      </c>
      <c r="B292" s="1" t="s">
        <v>99</v>
      </c>
      <c r="C292" t="s">
        <v>9</v>
      </c>
      <c r="D292" s="1" t="s">
        <v>96</v>
      </c>
      <c r="E292">
        <v>86</v>
      </c>
      <c r="F292" s="1" t="s">
        <v>105</v>
      </c>
      <c r="G292">
        <v>3</v>
      </c>
      <c r="H292">
        <v>5</v>
      </c>
      <c r="I292" s="2">
        <f t="shared" si="14"/>
        <v>0.33405750000000001</v>
      </c>
      <c r="J292">
        <f t="shared" si="13"/>
        <v>0.38397413793103452</v>
      </c>
      <c r="K292">
        <f t="shared" si="15"/>
        <v>0.26865153186660784</v>
      </c>
    </row>
    <row r="293" spans="1:11" x14ac:dyDescent="0.25">
      <c r="A293" s="1">
        <v>1970</v>
      </c>
      <c r="B293" s="1" t="s">
        <v>99</v>
      </c>
      <c r="C293" t="s">
        <v>9</v>
      </c>
      <c r="D293" s="1" t="s">
        <v>96</v>
      </c>
      <c r="E293">
        <v>86</v>
      </c>
      <c r="F293" s="1" t="s">
        <v>105</v>
      </c>
      <c r="G293">
        <v>4</v>
      </c>
      <c r="H293">
        <v>3</v>
      </c>
      <c r="I293" s="2">
        <f t="shared" si="14"/>
        <v>0.33133049999999997</v>
      </c>
      <c r="J293">
        <f t="shared" si="13"/>
        <v>0.38083965517241375</v>
      </c>
      <c r="K293">
        <f t="shared" si="15"/>
        <v>0.26645845813708446</v>
      </c>
    </row>
    <row r="294" spans="1:11" x14ac:dyDescent="0.25">
      <c r="A294" s="1">
        <v>1970</v>
      </c>
      <c r="B294" s="1" t="s">
        <v>99</v>
      </c>
      <c r="C294" t="s">
        <v>9</v>
      </c>
      <c r="D294" s="1" t="s">
        <v>96</v>
      </c>
      <c r="E294">
        <v>119</v>
      </c>
      <c r="F294" s="1" t="s">
        <v>105</v>
      </c>
      <c r="G294">
        <v>1</v>
      </c>
      <c r="H294">
        <v>37</v>
      </c>
      <c r="I294" s="2">
        <f t="shared" si="14"/>
        <v>0.45404549999999999</v>
      </c>
      <c r="J294">
        <f t="shared" si="13"/>
        <v>0.52189137931034479</v>
      </c>
      <c r="K294">
        <f t="shared" si="15"/>
        <v>0.36514677596563427</v>
      </c>
    </row>
    <row r="295" spans="1:11" x14ac:dyDescent="0.25">
      <c r="A295" s="1">
        <v>1970</v>
      </c>
      <c r="B295" s="1" t="s">
        <v>99</v>
      </c>
      <c r="C295" t="s">
        <v>9</v>
      </c>
      <c r="D295" s="1" t="s">
        <v>96</v>
      </c>
      <c r="E295">
        <v>119</v>
      </c>
      <c r="F295" s="1" t="s">
        <v>105</v>
      </c>
      <c r="G295">
        <v>2</v>
      </c>
      <c r="H295">
        <v>4</v>
      </c>
      <c r="I295" s="2">
        <f t="shared" si="14"/>
        <v>0.13635</v>
      </c>
      <c r="J295">
        <f t="shared" si="13"/>
        <v>0.15672413793103449</v>
      </c>
      <c r="K295">
        <f t="shared" si="15"/>
        <v>0.10965368647616645</v>
      </c>
    </row>
    <row r="296" spans="1:11" x14ac:dyDescent="0.25">
      <c r="I296" s="2"/>
    </row>
    <row r="297" spans="1:11" x14ac:dyDescent="0.25">
      <c r="I297" s="2"/>
    </row>
    <row r="298" spans="1:11" x14ac:dyDescent="0.25">
      <c r="I298" s="2"/>
    </row>
    <row r="299" spans="1:11" x14ac:dyDescent="0.25">
      <c r="I299" s="2"/>
    </row>
    <row r="300" spans="1:11" x14ac:dyDescent="0.25">
      <c r="I300" s="2"/>
    </row>
    <row r="301" spans="1:11" x14ac:dyDescent="0.25">
      <c r="I301" s="2"/>
    </row>
    <row r="302" spans="1:11" x14ac:dyDescent="0.25">
      <c r="I302" s="2"/>
    </row>
    <row r="303" spans="1:11" x14ac:dyDescent="0.25">
      <c r="I303" s="2"/>
    </row>
    <row r="304" spans="1:11" x14ac:dyDescent="0.25">
      <c r="I304" s="2"/>
    </row>
    <row r="305" spans="9:9" x14ac:dyDescent="0.25">
      <c r="I305" s="2"/>
    </row>
    <row r="306" spans="9:9" x14ac:dyDescent="0.25">
      <c r="I306" s="2"/>
    </row>
    <row r="307" spans="9:9" x14ac:dyDescent="0.25">
      <c r="I307" s="2"/>
    </row>
    <row r="308" spans="9:9" x14ac:dyDescent="0.25">
      <c r="I308" s="2"/>
    </row>
    <row r="309" spans="9:9" x14ac:dyDescent="0.25">
      <c r="I309" s="2"/>
    </row>
    <row r="310" spans="9:9" x14ac:dyDescent="0.25">
      <c r="I310" s="2"/>
    </row>
    <row r="311" spans="9:9" x14ac:dyDescent="0.25">
      <c r="I311" s="2"/>
    </row>
    <row r="312" spans="9:9" x14ac:dyDescent="0.25">
      <c r="I312" s="2"/>
    </row>
    <row r="313" spans="9:9" x14ac:dyDescent="0.25">
      <c r="I313" s="2"/>
    </row>
    <row r="314" spans="9:9" x14ac:dyDescent="0.25">
      <c r="I314" s="2"/>
    </row>
    <row r="315" spans="9:9" x14ac:dyDescent="0.25">
      <c r="I315" s="2"/>
    </row>
    <row r="316" spans="9:9" x14ac:dyDescent="0.25">
      <c r="I316" s="2"/>
    </row>
    <row r="317" spans="9:9" x14ac:dyDescent="0.25">
      <c r="I317" s="2"/>
    </row>
    <row r="318" spans="9:9" x14ac:dyDescent="0.25">
      <c r="I318" s="2"/>
    </row>
    <row r="319" spans="9:9" x14ac:dyDescent="0.25">
      <c r="I319" s="2"/>
    </row>
    <row r="320" spans="9:9" x14ac:dyDescent="0.25">
      <c r="I320" s="2"/>
    </row>
    <row r="321" spans="9:9" x14ac:dyDescent="0.25">
      <c r="I321" s="2"/>
    </row>
    <row r="322" spans="9:9" x14ac:dyDescent="0.25">
      <c r="I322" s="2"/>
    </row>
    <row r="323" spans="9:9" x14ac:dyDescent="0.25">
      <c r="I323" s="2"/>
    </row>
    <row r="324" spans="9:9" x14ac:dyDescent="0.25">
      <c r="I324" s="2"/>
    </row>
    <row r="325" spans="9:9" x14ac:dyDescent="0.25">
      <c r="I325" s="2"/>
    </row>
    <row r="326" spans="9:9" x14ac:dyDescent="0.25">
      <c r="I326" s="2"/>
    </row>
    <row r="327" spans="9:9" x14ac:dyDescent="0.25">
      <c r="I327" s="2"/>
    </row>
    <row r="328" spans="9:9" x14ac:dyDescent="0.25">
      <c r="I328" s="2"/>
    </row>
    <row r="329" spans="9:9" x14ac:dyDescent="0.25">
      <c r="I329" s="2"/>
    </row>
    <row r="330" spans="9:9" x14ac:dyDescent="0.25">
      <c r="I330" s="2"/>
    </row>
    <row r="331" spans="9:9" x14ac:dyDescent="0.25">
      <c r="I331" s="2"/>
    </row>
    <row r="332" spans="9:9" x14ac:dyDescent="0.25">
      <c r="I332" s="2"/>
    </row>
    <row r="333" spans="9:9" x14ac:dyDescent="0.25">
      <c r="I333" s="2"/>
    </row>
    <row r="334" spans="9:9" x14ac:dyDescent="0.25">
      <c r="I334" s="2"/>
    </row>
    <row r="335" spans="9:9" x14ac:dyDescent="0.25">
      <c r="I335" s="2"/>
    </row>
    <row r="336" spans="9:9" x14ac:dyDescent="0.25">
      <c r="I336" s="2"/>
    </row>
    <row r="337" spans="9:9" x14ac:dyDescent="0.25">
      <c r="I337" s="2"/>
    </row>
    <row r="338" spans="9:9" x14ac:dyDescent="0.25">
      <c r="I338" s="2"/>
    </row>
    <row r="339" spans="9:9" x14ac:dyDescent="0.25">
      <c r="I339" s="2"/>
    </row>
    <row r="340" spans="9:9" x14ac:dyDescent="0.25">
      <c r="I340" s="2"/>
    </row>
    <row r="341" spans="9:9" x14ac:dyDescent="0.25">
      <c r="I341" s="2"/>
    </row>
    <row r="342" spans="9:9" x14ac:dyDescent="0.25">
      <c r="I342" s="2"/>
    </row>
    <row r="343" spans="9:9" x14ac:dyDescent="0.25">
      <c r="I343" s="2"/>
    </row>
    <row r="344" spans="9:9" x14ac:dyDescent="0.25">
      <c r="I344" s="2"/>
    </row>
    <row r="345" spans="9:9" x14ac:dyDescent="0.25">
      <c r="I345" s="2"/>
    </row>
    <row r="346" spans="9:9" x14ac:dyDescent="0.25">
      <c r="I346" s="2"/>
    </row>
    <row r="347" spans="9:9" x14ac:dyDescent="0.25">
      <c r="I347" s="2"/>
    </row>
    <row r="348" spans="9:9" x14ac:dyDescent="0.25">
      <c r="I348" s="2"/>
    </row>
    <row r="349" spans="9:9" x14ac:dyDescent="0.25">
      <c r="I349" s="2"/>
    </row>
    <row r="350" spans="9:9" x14ac:dyDescent="0.25">
      <c r="I350" s="2"/>
    </row>
    <row r="351" spans="9:9" x14ac:dyDescent="0.25">
      <c r="I351" s="2"/>
    </row>
    <row r="352" spans="9:9" x14ac:dyDescent="0.25">
      <c r="I352" s="2"/>
    </row>
    <row r="353" spans="9:9" x14ac:dyDescent="0.25">
      <c r="I353" s="2"/>
    </row>
    <row r="354" spans="9:9" x14ac:dyDescent="0.25">
      <c r="I354" s="2"/>
    </row>
    <row r="355" spans="9:9" x14ac:dyDescent="0.25">
      <c r="I355" s="2"/>
    </row>
    <row r="356" spans="9:9" x14ac:dyDescent="0.25">
      <c r="I356" s="2"/>
    </row>
    <row r="357" spans="9:9" x14ac:dyDescent="0.25">
      <c r="I357" s="2"/>
    </row>
    <row r="358" spans="9:9" x14ac:dyDescent="0.25">
      <c r="I358" s="2"/>
    </row>
    <row r="359" spans="9:9" x14ac:dyDescent="0.25">
      <c r="I359" s="2"/>
    </row>
    <row r="360" spans="9:9" x14ac:dyDescent="0.25">
      <c r="I360" s="2"/>
    </row>
    <row r="361" spans="9:9" x14ac:dyDescent="0.25">
      <c r="I361" s="2"/>
    </row>
    <row r="362" spans="9:9" x14ac:dyDescent="0.25">
      <c r="I362" s="2"/>
    </row>
    <row r="363" spans="9:9" x14ac:dyDescent="0.25">
      <c r="I363" s="2"/>
    </row>
    <row r="364" spans="9:9" x14ac:dyDescent="0.25">
      <c r="I364" s="2"/>
    </row>
    <row r="365" spans="9:9" x14ac:dyDescent="0.25">
      <c r="I365" s="2"/>
    </row>
    <row r="366" spans="9:9" x14ac:dyDescent="0.25">
      <c r="I366" s="2"/>
    </row>
    <row r="367" spans="9:9" x14ac:dyDescent="0.25">
      <c r="I367" s="2"/>
    </row>
    <row r="368" spans="9:9" x14ac:dyDescent="0.25">
      <c r="I368" s="2"/>
    </row>
    <row r="369" spans="9:9" x14ac:dyDescent="0.25">
      <c r="I369" s="2"/>
    </row>
    <row r="370" spans="9:9" x14ac:dyDescent="0.25">
      <c r="I370" s="2"/>
    </row>
    <row r="371" spans="9:9" x14ac:dyDescent="0.25">
      <c r="I371" s="2"/>
    </row>
    <row r="372" spans="9:9" x14ac:dyDescent="0.25">
      <c r="I372" s="2"/>
    </row>
    <row r="373" spans="9:9" x14ac:dyDescent="0.25">
      <c r="I373" s="2"/>
    </row>
    <row r="374" spans="9:9" x14ac:dyDescent="0.25">
      <c r="I374" s="2"/>
    </row>
    <row r="375" spans="9:9" x14ac:dyDescent="0.25">
      <c r="I375" s="2"/>
    </row>
    <row r="376" spans="9:9" x14ac:dyDescent="0.25">
      <c r="I376" s="2"/>
    </row>
    <row r="377" spans="9:9" x14ac:dyDescent="0.25">
      <c r="I377" s="2"/>
    </row>
    <row r="378" spans="9:9" x14ac:dyDescent="0.25">
      <c r="I378" s="2"/>
    </row>
    <row r="379" spans="9:9" x14ac:dyDescent="0.25">
      <c r="I379" s="2"/>
    </row>
    <row r="380" spans="9:9" x14ac:dyDescent="0.25">
      <c r="I380" s="2"/>
    </row>
    <row r="381" spans="9:9" x14ac:dyDescent="0.25">
      <c r="I381" s="2"/>
    </row>
    <row r="382" spans="9:9" x14ac:dyDescent="0.25">
      <c r="I382" s="2"/>
    </row>
    <row r="383" spans="9:9" x14ac:dyDescent="0.25">
      <c r="I383" s="2"/>
    </row>
    <row r="384" spans="9:9" x14ac:dyDescent="0.25">
      <c r="I384" s="2"/>
    </row>
    <row r="385" spans="9:9" x14ac:dyDescent="0.25">
      <c r="I385" s="2"/>
    </row>
    <row r="386" spans="9:9" x14ac:dyDescent="0.25">
      <c r="I386" s="2"/>
    </row>
    <row r="387" spans="9:9" x14ac:dyDescent="0.25">
      <c r="I387" s="2"/>
    </row>
    <row r="388" spans="9:9" x14ac:dyDescent="0.25">
      <c r="I388" s="2"/>
    </row>
    <row r="389" spans="9:9" x14ac:dyDescent="0.25">
      <c r="I389" s="2"/>
    </row>
    <row r="390" spans="9:9" x14ac:dyDescent="0.25">
      <c r="I390" s="2"/>
    </row>
    <row r="391" spans="9:9" x14ac:dyDescent="0.25">
      <c r="I391" s="2"/>
    </row>
    <row r="392" spans="9:9" x14ac:dyDescent="0.25">
      <c r="I392" s="2"/>
    </row>
    <row r="393" spans="9:9" x14ac:dyDescent="0.25">
      <c r="I393" s="2"/>
    </row>
    <row r="394" spans="9:9" x14ac:dyDescent="0.25">
      <c r="I394" s="2"/>
    </row>
    <row r="395" spans="9:9" x14ac:dyDescent="0.25">
      <c r="I395" s="2"/>
    </row>
    <row r="396" spans="9:9" x14ac:dyDescent="0.25">
      <c r="I396" s="2"/>
    </row>
    <row r="397" spans="9:9" x14ac:dyDescent="0.25">
      <c r="I397" s="2"/>
    </row>
    <row r="398" spans="9:9" x14ac:dyDescent="0.25">
      <c r="I398" s="2"/>
    </row>
    <row r="399" spans="9:9" x14ac:dyDescent="0.25">
      <c r="I399" s="2"/>
    </row>
    <row r="400" spans="9:9" x14ac:dyDescent="0.25">
      <c r="I400" s="2"/>
    </row>
    <row r="401" spans="9:9" x14ac:dyDescent="0.25">
      <c r="I401" s="2"/>
    </row>
    <row r="402" spans="9:9" x14ac:dyDescent="0.25">
      <c r="I402" s="2"/>
    </row>
    <row r="403" spans="9:9" x14ac:dyDescent="0.25">
      <c r="I403" s="2"/>
    </row>
    <row r="404" spans="9:9" x14ac:dyDescent="0.25">
      <c r="I404" s="2"/>
    </row>
    <row r="405" spans="9:9" x14ac:dyDescent="0.25">
      <c r="I405" s="2"/>
    </row>
    <row r="406" spans="9:9" x14ac:dyDescent="0.25">
      <c r="I406" s="2"/>
    </row>
    <row r="407" spans="9:9" x14ac:dyDescent="0.25">
      <c r="I407" s="2"/>
    </row>
    <row r="408" spans="9:9" x14ac:dyDescent="0.25">
      <c r="I408" s="2"/>
    </row>
    <row r="409" spans="9:9" x14ac:dyDescent="0.25">
      <c r="I409" s="2"/>
    </row>
    <row r="410" spans="9:9" x14ac:dyDescent="0.25">
      <c r="I410" s="2"/>
    </row>
    <row r="411" spans="9:9" x14ac:dyDescent="0.25">
      <c r="I411" s="2"/>
    </row>
    <row r="412" spans="9:9" x14ac:dyDescent="0.25">
      <c r="I412" s="2"/>
    </row>
    <row r="413" spans="9:9" x14ac:dyDescent="0.25">
      <c r="I413" s="2"/>
    </row>
    <row r="414" spans="9:9" x14ac:dyDescent="0.25">
      <c r="I414" s="2"/>
    </row>
    <row r="415" spans="9:9" x14ac:dyDescent="0.25">
      <c r="I415" s="2"/>
    </row>
    <row r="416" spans="9:9" x14ac:dyDescent="0.25">
      <c r="I416" s="2"/>
    </row>
    <row r="417" spans="9:9" x14ac:dyDescent="0.25">
      <c r="I417" s="2"/>
    </row>
    <row r="418" spans="9:9" x14ac:dyDescent="0.25">
      <c r="I418" s="2"/>
    </row>
    <row r="419" spans="9:9" x14ac:dyDescent="0.25">
      <c r="I419" s="2"/>
    </row>
    <row r="420" spans="9:9" x14ac:dyDescent="0.25">
      <c r="I420" s="2"/>
    </row>
    <row r="421" spans="9:9" x14ac:dyDescent="0.25">
      <c r="I421" s="2"/>
    </row>
    <row r="422" spans="9:9" x14ac:dyDescent="0.25">
      <c r="I422" s="2"/>
    </row>
    <row r="423" spans="9:9" x14ac:dyDescent="0.25">
      <c r="I423" s="2"/>
    </row>
    <row r="424" spans="9:9" x14ac:dyDescent="0.25">
      <c r="I424" s="2"/>
    </row>
    <row r="425" spans="9:9" x14ac:dyDescent="0.25">
      <c r="I425" s="2"/>
    </row>
    <row r="426" spans="9:9" x14ac:dyDescent="0.25">
      <c r="I426" s="2"/>
    </row>
    <row r="427" spans="9:9" x14ac:dyDescent="0.25">
      <c r="I427" s="2"/>
    </row>
    <row r="428" spans="9:9" x14ac:dyDescent="0.25">
      <c r="I428" s="2"/>
    </row>
    <row r="429" spans="9:9" x14ac:dyDescent="0.25">
      <c r="I429" s="2"/>
    </row>
    <row r="430" spans="9:9" x14ac:dyDescent="0.25">
      <c r="I430" s="2"/>
    </row>
    <row r="431" spans="9:9" x14ac:dyDescent="0.25">
      <c r="I431" s="2"/>
    </row>
    <row r="432" spans="9:9" x14ac:dyDescent="0.25">
      <c r="I432" s="2"/>
    </row>
    <row r="433" spans="9:9" x14ac:dyDescent="0.25">
      <c r="I433" s="2"/>
    </row>
    <row r="434" spans="9:9" x14ac:dyDescent="0.25">
      <c r="I434" s="2"/>
    </row>
    <row r="435" spans="9:9" x14ac:dyDescent="0.25">
      <c r="I435" s="2"/>
    </row>
    <row r="436" spans="9:9" x14ac:dyDescent="0.25">
      <c r="I436" s="2"/>
    </row>
    <row r="437" spans="9:9" x14ac:dyDescent="0.25">
      <c r="I437" s="2"/>
    </row>
    <row r="438" spans="9:9" x14ac:dyDescent="0.25">
      <c r="I438" s="2"/>
    </row>
    <row r="439" spans="9:9" x14ac:dyDescent="0.25">
      <c r="I439" s="2"/>
    </row>
    <row r="440" spans="9:9" x14ac:dyDescent="0.25">
      <c r="I440" s="2"/>
    </row>
    <row r="441" spans="9:9" x14ac:dyDescent="0.25">
      <c r="I441" s="2"/>
    </row>
    <row r="442" spans="9:9" x14ac:dyDescent="0.25">
      <c r="I442" s="2"/>
    </row>
    <row r="443" spans="9:9" x14ac:dyDescent="0.25">
      <c r="I443" s="2"/>
    </row>
    <row r="444" spans="9:9" x14ac:dyDescent="0.25">
      <c r="I444" s="2"/>
    </row>
    <row r="445" spans="9:9" x14ac:dyDescent="0.25">
      <c r="I445" s="2"/>
    </row>
    <row r="446" spans="9:9" x14ac:dyDescent="0.25">
      <c r="I446" s="2"/>
    </row>
    <row r="447" spans="9:9" x14ac:dyDescent="0.25">
      <c r="I447" s="2"/>
    </row>
    <row r="448" spans="9:9" x14ac:dyDescent="0.25">
      <c r="I448" s="2"/>
    </row>
    <row r="449" spans="9:9" x14ac:dyDescent="0.25">
      <c r="I449" s="2"/>
    </row>
    <row r="450" spans="9:9" x14ac:dyDescent="0.25">
      <c r="I450" s="2"/>
    </row>
    <row r="451" spans="9:9" x14ac:dyDescent="0.25">
      <c r="I451" s="2"/>
    </row>
    <row r="452" spans="9:9" x14ac:dyDescent="0.25">
      <c r="I452" s="2"/>
    </row>
    <row r="453" spans="9:9" x14ac:dyDescent="0.25">
      <c r="I453" s="2"/>
    </row>
    <row r="454" spans="9:9" x14ac:dyDescent="0.25">
      <c r="I454" s="2"/>
    </row>
    <row r="455" spans="9:9" x14ac:dyDescent="0.25">
      <c r="I455" s="2"/>
    </row>
    <row r="456" spans="9:9" x14ac:dyDescent="0.25">
      <c r="I456" s="2"/>
    </row>
    <row r="457" spans="9:9" x14ac:dyDescent="0.25">
      <c r="I457" s="2"/>
    </row>
    <row r="458" spans="9:9" x14ac:dyDescent="0.25">
      <c r="I458" s="2"/>
    </row>
    <row r="459" spans="9:9" x14ac:dyDescent="0.25">
      <c r="I459" s="2"/>
    </row>
    <row r="460" spans="9:9" x14ac:dyDescent="0.25">
      <c r="I460" s="2"/>
    </row>
    <row r="461" spans="9:9" x14ac:dyDescent="0.25">
      <c r="I461" s="2"/>
    </row>
    <row r="462" spans="9:9" x14ac:dyDescent="0.25">
      <c r="I462" s="2"/>
    </row>
    <row r="463" spans="9:9" x14ac:dyDescent="0.25">
      <c r="I463" s="2"/>
    </row>
    <row r="464" spans="9:9" x14ac:dyDescent="0.25">
      <c r="I464" s="2"/>
    </row>
    <row r="465" spans="9:9" x14ac:dyDescent="0.25">
      <c r="I465" s="2"/>
    </row>
    <row r="466" spans="9:9" x14ac:dyDescent="0.25">
      <c r="I466" s="2"/>
    </row>
    <row r="467" spans="9:9" x14ac:dyDescent="0.25">
      <c r="I467" s="2"/>
    </row>
    <row r="468" spans="9:9" x14ac:dyDescent="0.25">
      <c r="I468" s="2"/>
    </row>
    <row r="469" spans="9:9" x14ac:dyDescent="0.25">
      <c r="I469" s="2"/>
    </row>
    <row r="470" spans="9:9" x14ac:dyDescent="0.25">
      <c r="I470" s="2"/>
    </row>
    <row r="471" spans="9:9" x14ac:dyDescent="0.25">
      <c r="I471" s="2"/>
    </row>
    <row r="472" spans="9:9" x14ac:dyDescent="0.25">
      <c r="I472" s="2"/>
    </row>
    <row r="473" spans="9:9" x14ac:dyDescent="0.25">
      <c r="I473" s="2"/>
    </row>
    <row r="474" spans="9:9" x14ac:dyDescent="0.25">
      <c r="I474" s="2"/>
    </row>
    <row r="475" spans="9:9" x14ac:dyDescent="0.25">
      <c r="I475" s="2"/>
    </row>
    <row r="476" spans="9:9" x14ac:dyDescent="0.25">
      <c r="I476" s="2"/>
    </row>
    <row r="477" spans="9:9" x14ac:dyDescent="0.25">
      <c r="I477" s="2"/>
    </row>
    <row r="478" spans="9:9" x14ac:dyDescent="0.25">
      <c r="I478" s="2"/>
    </row>
    <row r="479" spans="9:9" x14ac:dyDescent="0.25">
      <c r="I479" s="2"/>
    </row>
    <row r="480" spans="9:9" x14ac:dyDescent="0.25">
      <c r="I480" s="2"/>
    </row>
    <row r="481" spans="9:9" x14ac:dyDescent="0.25">
      <c r="I481" s="2"/>
    </row>
    <row r="482" spans="9:9" x14ac:dyDescent="0.25">
      <c r="I482" s="2"/>
    </row>
    <row r="483" spans="9:9" x14ac:dyDescent="0.25">
      <c r="I483" s="2"/>
    </row>
    <row r="484" spans="9:9" x14ac:dyDescent="0.25">
      <c r="I484" s="2"/>
    </row>
    <row r="485" spans="9:9" x14ac:dyDescent="0.25">
      <c r="I485" s="2"/>
    </row>
    <row r="486" spans="9:9" x14ac:dyDescent="0.25">
      <c r="I486" s="2"/>
    </row>
    <row r="487" spans="9:9" x14ac:dyDescent="0.25">
      <c r="I487" s="2"/>
    </row>
    <row r="488" spans="9:9" x14ac:dyDescent="0.25">
      <c r="I488" s="2"/>
    </row>
    <row r="489" spans="9:9" x14ac:dyDescent="0.25">
      <c r="I489" s="2"/>
    </row>
    <row r="490" spans="9:9" x14ac:dyDescent="0.25">
      <c r="I490" s="2"/>
    </row>
    <row r="491" spans="9:9" x14ac:dyDescent="0.25">
      <c r="I491" s="2"/>
    </row>
    <row r="492" spans="9:9" x14ac:dyDescent="0.25">
      <c r="I492" s="2"/>
    </row>
    <row r="493" spans="9:9" x14ac:dyDescent="0.25">
      <c r="I493" s="2"/>
    </row>
    <row r="494" spans="9:9" x14ac:dyDescent="0.25">
      <c r="I494" s="2"/>
    </row>
    <row r="495" spans="9:9" x14ac:dyDescent="0.25">
      <c r="I495" s="2"/>
    </row>
    <row r="496" spans="9:9" x14ac:dyDescent="0.25">
      <c r="I496" s="2"/>
    </row>
    <row r="497" spans="9:9" x14ac:dyDescent="0.25">
      <c r="I497" s="2"/>
    </row>
    <row r="498" spans="9:9" x14ac:dyDescent="0.25">
      <c r="I498" s="2"/>
    </row>
    <row r="499" spans="9:9" x14ac:dyDescent="0.25">
      <c r="I499" s="2"/>
    </row>
    <row r="500" spans="9:9" x14ac:dyDescent="0.25">
      <c r="I500" s="2"/>
    </row>
    <row r="501" spans="9:9" x14ac:dyDescent="0.25">
      <c r="I501" s="2"/>
    </row>
    <row r="502" spans="9:9" x14ac:dyDescent="0.25">
      <c r="I502" s="2"/>
    </row>
    <row r="503" spans="9:9" x14ac:dyDescent="0.25">
      <c r="I503" s="2"/>
    </row>
    <row r="504" spans="9:9" x14ac:dyDescent="0.25">
      <c r="I504" s="2"/>
    </row>
    <row r="505" spans="9:9" x14ac:dyDescent="0.25">
      <c r="I505" s="2"/>
    </row>
    <row r="506" spans="9:9" x14ac:dyDescent="0.25">
      <c r="I506" s="2"/>
    </row>
    <row r="507" spans="9:9" x14ac:dyDescent="0.25">
      <c r="I507" s="2"/>
    </row>
    <row r="508" spans="9:9" x14ac:dyDescent="0.25">
      <c r="I508" s="2"/>
    </row>
    <row r="509" spans="9:9" x14ac:dyDescent="0.25">
      <c r="I509" s="2"/>
    </row>
    <row r="510" spans="9:9" x14ac:dyDescent="0.25">
      <c r="I510" s="2"/>
    </row>
    <row r="511" spans="9:9" x14ac:dyDescent="0.25">
      <c r="I511" s="2"/>
    </row>
    <row r="512" spans="9:9" x14ac:dyDescent="0.25">
      <c r="I512" s="2"/>
    </row>
    <row r="513" spans="9:9" x14ac:dyDescent="0.25">
      <c r="I513" s="2"/>
    </row>
    <row r="514" spans="9:9" x14ac:dyDescent="0.25">
      <c r="I514" s="2"/>
    </row>
    <row r="515" spans="9:9" x14ac:dyDescent="0.25">
      <c r="I515" s="2"/>
    </row>
    <row r="516" spans="9:9" x14ac:dyDescent="0.25">
      <c r="I516" s="2"/>
    </row>
    <row r="517" spans="9:9" x14ac:dyDescent="0.25">
      <c r="I517" s="2"/>
    </row>
    <row r="518" spans="9:9" x14ac:dyDescent="0.25">
      <c r="I518" s="2"/>
    </row>
    <row r="519" spans="9:9" x14ac:dyDescent="0.25">
      <c r="I519" s="2"/>
    </row>
    <row r="520" spans="9:9" x14ac:dyDescent="0.25">
      <c r="I520" s="2"/>
    </row>
    <row r="521" spans="9:9" x14ac:dyDescent="0.25">
      <c r="I521" s="2"/>
    </row>
    <row r="522" spans="9:9" x14ac:dyDescent="0.25">
      <c r="I522" s="2"/>
    </row>
    <row r="523" spans="9:9" x14ac:dyDescent="0.25">
      <c r="I523" s="2"/>
    </row>
    <row r="524" spans="9:9" x14ac:dyDescent="0.25">
      <c r="I524" s="2"/>
    </row>
    <row r="525" spans="9:9" x14ac:dyDescent="0.25">
      <c r="I525" s="2"/>
    </row>
    <row r="526" spans="9:9" x14ac:dyDescent="0.25">
      <c r="I526" s="2"/>
    </row>
    <row r="527" spans="9:9" x14ac:dyDescent="0.25">
      <c r="I527" s="2"/>
    </row>
    <row r="528" spans="9:9" x14ac:dyDescent="0.25">
      <c r="I528" s="2"/>
    </row>
    <row r="529" spans="9:9" x14ac:dyDescent="0.25">
      <c r="I529" s="2"/>
    </row>
    <row r="530" spans="9:9" x14ac:dyDescent="0.25">
      <c r="I530" s="2"/>
    </row>
    <row r="531" spans="9:9" x14ac:dyDescent="0.25">
      <c r="I531" s="2"/>
    </row>
    <row r="532" spans="9:9" x14ac:dyDescent="0.25">
      <c r="I532" s="2"/>
    </row>
    <row r="533" spans="9:9" x14ac:dyDescent="0.25">
      <c r="I533" s="2"/>
    </row>
    <row r="534" spans="9:9" x14ac:dyDescent="0.25">
      <c r="I534" s="2"/>
    </row>
    <row r="535" spans="9:9" x14ac:dyDescent="0.25">
      <c r="I535" s="2"/>
    </row>
    <row r="536" spans="9:9" x14ac:dyDescent="0.25">
      <c r="I536" s="2"/>
    </row>
    <row r="537" spans="9:9" x14ac:dyDescent="0.25">
      <c r="I537" s="2"/>
    </row>
    <row r="538" spans="9:9" x14ac:dyDescent="0.25">
      <c r="I538" s="2"/>
    </row>
    <row r="539" spans="9:9" x14ac:dyDescent="0.25">
      <c r="I539" s="2"/>
    </row>
    <row r="540" spans="9:9" x14ac:dyDescent="0.25">
      <c r="I540" s="2"/>
    </row>
    <row r="541" spans="9:9" x14ac:dyDescent="0.25">
      <c r="I541" s="2"/>
    </row>
    <row r="542" spans="9:9" x14ac:dyDescent="0.25">
      <c r="I542" s="2"/>
    </row>
    <row r="543" spans="9:9" x14ac:dyDescent="0.25">
      <c r="I543" s="2"/>
    </row>
    <row r="544" spans="9:9" x14ac:dyDescent="0.25">
      <c r="I544" s="2"/>
    </row>
    <row r="545" spans="9:9" x14ac:dyDescent="0.25">
      <c r="I545" s="2"/>
    </row>
    <row r="546" spans="9:9" x14ac:dyDescent="0.25">
      <c r="I546" s="2"/>
    </row>
    <row r="547" spans="9:9" x14ac:dyDescent="0.25">
      <c r="I547" s="2"/>
    </row>
    <row r="548" spans="9:9" x14ac:dyDescent="0.25">
      <c r="I548" s="2"/>
    </row>
    <row r="549" spans="9:9" x14ac:dyDescent="0.25">
      <c r="I549" s="2"/>
    </row>
    <row r="550" spans="9:9" x14ac:dyDescent="0.25">
      <c r="I550" s="2"/>
    </row>
    <row r="551" spans="9:9" x14ac:dyDescent="0.25">
      <c r="I551" s="2"/>
    </row>
    <row r="552" spans="9:9" x14ac:dyDescent="0.25">
      <c r="I552" s="2"/>
    </row>
    <row r="553" spans="9:9" x14ac:dyDescent="0.25">
      <c r="I553" s="2"/>
    </row>
    <row r="554" spans="9:9" x14ac:dyDescent="0.25">
      <c r="I554" s="2"/>
    </row>
    <row r="555" spans="9:9" x14ac:dyDescent="0.25">
      <c r="I555" s="2"/>
    </row>
    <row r="556" spans="9:9" x14ac:dyDescent="0.25">
      <c r="I556" s="2"/>
    </row>
    <row r="557" spans="9:9" x14ac:dyDescent="0.25">
      <c r="I557" s="2"/>
    </row>
    <row r="558" spans="9:9" x14ac:dyDescent="0.25">
      <c r="I558" s="2"/>
    </row>
    <row r="559" spans="9:9" x14ac:dyDescent="0.25">
      <c r="I559" s="2"/>
    </row>
    <row r="560" spans="9:9" x14ac:dyDescent="0.25">
      <c r="I560" s="2"/>
    </row>
    <row r="561" spans="9:9" x14ac:dyDescent="0.25">
      <c r="I561" s="2"/>
    </row>
    <row r="562" spans="9:9" x14ac:dyDescent="0.25">
      <c r="I562" s="2"/>
    </row>
    <row r="563" spans="9:9" x14ac:dyDescent="0.25">
      <c r="I563" s="2"/>
    </row>
    <row r="564" spans="9:9" x14ac:dyDescent="0.25">
      <c r="I564" s="2"/>
    </row>
    <row r="565" spans="9:9" x14ac:dyDescent="0.25">
      <c r="I565" s="2"/>
    </row>
    <row r="566" spans="9:9" x14ac:dyDescent="0.25">
      <c r="I566" s="2"/>
    </row>
    <row r="567" spans="9:9" x14ac:dyDescent="0.25">
      <c r="I567" s="2"/>
    </row>
    <row r="568" spans="9:9" x14ac:dyDescent="0.25">
      <c r="I568" s="2"/>
    </row>
    <row r="569" spans="9:9" x14ac:dyDescent="0.25">
      <c r="I569" s="2"/>
    </row>
    <row r="570" spans="9:9" x14ac:dyDescent="0.25">
      <c r="I570" s="2"/>
    </row>
    <row r="571" spans="9:9" x14ac:dyDescent="0.25">
      <c r="I571" s="2"/>
    </row>
    <row r="572" spans="9:9" x14ac:dyDescent="0.25">
      <c r="I572" s="2"/>
    </row>
    <row r="573" spans="9:9" x14ac:dyDescent="0.25">
      <c r="I573" s="2"/>
    </row>
    <row r="574" spans="9:9" x14ac:dyDescent="0.25">
      <c r="I574" s="2"/>
    </row>
    <row r="575" spans="9:9" x14ac:dyDescent="0.25">
      <c r="I575" s="2"/>
    </row>
    <row r="576" spans="9:9" x14ac:dyDescent="0.25">
      <c r="I576" s="2"/>
    </row>
    <row r="577" spans="9:9" x14ac:dyDescent="0.25">
      <c r="I577" s="2"/>
    </row>
    <row r="578" spans="9:9" x14ac:dyDescent="0.25">
      <c r="I578" s="2"/>
    </row>
    <row r="579" spans="9:9" x14ac:dyDescent="0.25">
      <c r="I579" s="2"/>
    </row>
    <row r="580" spans="9:9" x14ac:dyDescent="0.25">
      <c r="I580" s="2"/>
    </row>
    <row r="581" spans="9:9" x14ac:dyDescent="0.25">
      <c r="I581" s="2"/>
    </row>
    <row r="582" spans="9:9" x14ac:dyDescent="0.25">
      <c r="I582" s="2"/>
    </row>
    <row r="583" spans="9:9" x14ac:dyDescent="0.25">
      <c r="I583" s="2"/>
    </row>
    <row r="584" spans="9:9" x14ac:dyDescent="0.25">
      <c r="I584" s="2"/>
    </row>
    <row r="585" spans="9:9" x14ac:dyDescent="0.25">
      <c r="I585" s="2"/>
    </row>
    <row r="586" spans="9:9" x14ac:dyDescent="0.25">
      <c r="I586" s="2"/>
    </row>
    <row r="587" spans="9:9" x14ac:dyDescent="0.25">
      <c r="I587" s="2"/>
    </row>
    <row r="588" spans="9:9" x14ac:dyDescent="0.25">
      <c r="I588" s="2"/>
    </row>
    <row r="589" spans="9:9" x14ac:dyDescent="0.25">
      <c r="I589" s="2"/>
    </row>
    <row r="590" spans="9:9" x14ac:dyDescent="0.25">
      <c r="I590" s="2"/>
    </row>
    <row r="591" spans="9:9" x14ac:dyDescent="0.25">
      <c r="I591" s="2"/>
    </row>
    <row r="592" spans="9:9" x14ac:dyDescent="0.25">
      <c r="I592" s="2"/>
    </row>
    <row r="593" spans="9:9" x14ac:dyDescent="0.25">
      <c r="I593" s="2"/>
    </row>
    <row r="594" spans="9:9" x14ac:dyDescent="0.25">
      <c r="I594" s="2"/>
    </row>
    <row r="595" spans="9:9" x14ac:dyDescent="0.25">
      <c r="I595" s="2"/>
    </row>
    <row r="596" spans="9:9" x14ac:dyDescent="0.25">
      <c r="I596" s="2"/>
    </row>
    <row r="597" spans="9:9" x14ac:dyDescent="0.25">
      <c r="I597" s="2"/>
    </row>
    <row r="598" spans="9:9" x14ac:dyDescent="0.25">
      <c r="I598" s="2"/>
    </row>
    <row r="599" spans="9:9" x14ac:dyDescent="0.25">
      <c r="I599" s="2"/>
    </row>
    <row r="600" spans="9:9" x14ac:dyDescent="0.25">
      <c r="I600" s="2"/>
    </row>
    <row r="601" spans="9:9" x14ac:dyDescent="0.25">
      <c r="I601" s="2"/>
    </row>
    <row r="602" spans="9:9" x14ac:dyDescent="0.25">
      <c r="I602" s="2"/>
    </row>
    <row r="603" spans="9:9" x14ac:dyDescent="0.25">
      <c r="I603" s="2"/>
    </row>
    <row r="604" spans="9:9" x14ac:dyDescent="0.25">
      <c r="I604" s="2"/>
    </row>
    <row r="605" spans="9:9" x14ac:dyDescent="0.25">
      <c r="I605" s="2"/>
    </row>
    <row r="606" spans="9:9" x14ac:dyDescent="0.25">
      <c r="I606" s="2"/>
    </row>
    <row r="607" spans="9:9" x14ac:dyDescent="0.25">
      <c r="I607" s="2"/>
    </row>
    <row r="608" spans="9:9" x14ac:dyDescent="0.25">
      <c r="I608" s="2"/>
    </row>
    <row r="609" spans="9:9" x14ac:dyDescent="0.25">
      <c r="I609" s="2"/>
    </row>
    <row r="610" spans="9:9" x14ac:dyDescent="0.25">
      <c r="I610" s="2"/>
    </row>
    <row r="611" spans="9:9" x14ac:dyDescent="0.25">
      <c r="I611" s="2"/>
    </row>
    <row r="612" spans="9:9" x14ac:dyDescent="0.25">
      <c r="I612" s="2"/>
    </row>
    <row r="613" spans="9:9" x14ac:dyDescent="0.25">
      <c r="I613" s="2"/>
    </row>
    <row r="614" spans="9:9" x14ac:dyDescent="0.25">
      <c r="I614" s="2"/>
    </row>
    <row r="615" spans="9:9" x14ac:dyDescent="0.25">
      <c r="I615" s="2"/>
    </row>
    <row r="616" spans="9:9" x14ac:dyDescent="0.25">
      <c r="I616" s="2"/>
    </row>
    <row r="617" spans="9:9" x14ac:dyDescent="0.25">
      <c r="I617" s="2"/>
    </row>
    <row r="618" spans="9:9" x14ac:dyDescent="0.25">
      <c r="I618" s="2"/>
    </row>
    <row r="619" spans="9:9" x14ac:dyDescent="0.25">
      <c r="I619" s="2"/>
    </row>
    <row r="620" spans="9:9" x14ac:dyDescent="0.25">
      <c r="I620" s="2"/>
    </row>
    <row r="621" spans="9:9" x14ac:dyDescent="0.25">
      <c r="I621" s="2"/>
    </row>
    <row r="622" spans="9:9" x14ac:dyDescent="0.25">
      <c r="I622" s="2"/>
    </row>
    <row r="623" spans="9:9" x14ac:dyDescent="0.25">
      <c r="I623" s="2"/>
    </row>
    <row r="624" spans="9:9" x14ac:dyDescent="0.25">
      <c r="I624" s="2"/>
    </row>
    <row r="625" spans="9:9" x14ac:dyDescent="0.25">
      <c r="I625" s="2"/>
    </row>
    <row r="626" spans="9:9" x14ac:dyDescent="0.25">
      <c r="I626" s="2"/>
    </row>
    <row r="627" spans="9:9" x14ac:dyDescent="0.25">
      <c r="I627" s="2"/>
    </row>
    <row r="628" spans="9:9" x14ac:dyDescent="0.25">
      <c r="I628" s="2"/>
    </row>
    <row r="629" spans="9:9" x14ac:dyDescent="0.25">
      <c r="I629" s="2"/>
    </row>
    <row r="630" spans="9:9" x14ac:dyDescent="0.25">
      <c r="I630" s="2"/>
    </row>
    <row r="631" spans="9:9" x14ac:dyDescent="0.25">
      <c r="I631" s="2"/>
    </row>
    <row r="632" spans="9:9" x14ac:dyDescent="0.25">
      <c r="I632" s="2"/>
    </row>
    <row r="633" spans="9:9" x14ac:dyDescent="0.25">
      <c r="I633" s="2"/>
    </row>
    <row r="634" spans="9:9" x14ac:dyDescent="0.25">
      <c r="I634" s="2"/>
    </row>
    <row r="635" spans="9:9" x14ac:dyDescent="0.25">
      <c r="I635" s="2"/>
    </row>
    <row r="636" spans="9:9" x14ac:dyDescent="0.25">
      <c r="I636" s="2"/>
    </row>
    <row r="637" spans="9:9" x14ac:dyDescent="0.25">
      <c r="I637" s="2"/>
    </row>
    <row r="638" spans="9:9" x14ac:dyDescent="0.25">
      <c r="I638" s="2"/>
    </row>
    <row r="639" spans="9:9" x14ac:dyDescent="0.25">
      <c r="I639" s="2"/>
    </row>
    <row r="640" spans="9:9" x14ac:dyDescent="0.25">
      <c r="I640" s="2"/>
    </row>
    <row r="641" spans="9:9" x14ac:dyDescent="0.25">
      <c r="I641" s="2"/>
    </row>
    <row r="642" spans="9:9" x14ac:dyDescent="0.25">
      <c r="I642" s="2"/>
    </row>
    <row r="643" spans="9:9" x14ac:dyDescent="0.25">
      <c r="I643" s="2"/>
    </row>
    <row r="644" spans="9:9" x14ac:dyDescent="0.25">
      <c r="I644" s="2"/>
    </row>
    <row r="645" spans="9:9" x14ac:dyDescent="0.25">
      <c r="I645" s="2"/>
    </row>
    <row r="646" spans="9:9" x14ac:dyDescent="0.25">
      <c r="I646" s="2"/>
    </row>
    <row r="647" spans="9:9" x14ac:dyDescent="0.25">
      <c r="I647" s="2"/>
    </row>
    <row r="648" spans="9:9" x14ac:dyDescent="0.25">
      <c r="I648" s="2"/>
    </row>
    <row r="649" spans="9:9" x14ac:dyDescent="0.25">
      <c r="I649" s="2"/>
    </row>
    <row r="650" spans="9:9" x14ac:dyDescent="0.25">
      <c r="I650" s="2"/>
    </row>
    <row r="651" spans="9:9" x14ac:dyDescent="0.25">
      <c r="I651" s="2"/>
    </row>
    <row r="652" spans="9:9" x14ac:dyDescent="0.25">
      <c r="I652" s="2"/>
    </row>
    <row r="653" spans="9:9" x14ac:dyDescent="0.25">
      <c r="I653" s="2"/>
    </row>
    <row r="654" spans="9:9" x14ac:dyDescent="0.25">
      <c r="I654" s="2"/>
    </row>
    <row r="655" spans="9:9" x14ac:dyDescent="0.25">
      <c r="I655" s="2"/>
    </row>
    <row r="656" spans="9:9" x14ac:dyDescent="0.25">
      <c r="I656" s="2"/>
    </row>
    <row r="657" spans="9:9" x14ac:dyDescent="0.25">
      <c r="I657" s="2"/>
    </row>
    <row r="658" spans="9:9" x14ac:dyDescent="0.25">
      <c r="I658" s="2"/>
    </row>
    <row r="659" spans="9:9" x14ac:dyDescent="0.25">
      <c r="I659" s="2"/>
    </row>
    <row r="660" spans="9:9" x14ac:dyDescent="0.25">
      <c r="I660" s="2"/>
    </row>
    <row r="661" spans="9:9" x14ac:dyDescent="0.25">
      <c r="I661" s="2"/>
    </row>
    <row r="662" spans="9:9" x14ac:dyDescent="0.25">
      <c r="I662" s="2"/>
    </row>
    <row r="663" spans="9:9" x14ac:dyDescent="0.25">
      <c r="I663" s="2"/>
    </row>
    <row r="664" spans="9:9" x14ac:dyDescent="0.25">
      <c r="I664" s="2"/>
    </row>
    <row r="665" spans="9:9" x14ac:dyDescent="0.25">
      <c r="I665" s="2"/>
    </row>
    <row r="666" spans="9:9" x14ac:dyDescent="0.25">
      <c r="I666" s="2"/>
    </row>
    <row r="667" spans="9:9" x14ac:dyDescent="0.25">
      <c r="I667" s="2"/>
    </row>
    <row r="668" spans="9:9" x14ac:dyDescent="0.25">
      <c r="I668" s="2"/>
    </row>
    <row r="669" spans="9:9" x14ac:dyDescent="0.25">
      <c r="I669" s="2"/>
    </row>
    <row r="670" spans="9:9" x14ac:dyDescent="0.25">
      <c r="I670" s="2"/>
    </row>
    <row r="671" spans="9:9" x14ac:dyDescent="0.25">
      <c r="I671" s="2"/>
    </row>
    <row r="672" spans="9:9" x14ac:dyDescent="0.25">
      <c r="I672" s="2"/>
    </row>
    <row r="673" spans="9:9" x14ac:dyDescent="0.25">
      <c r="I673" s="2"/>
    </row>
    <row r="674" spans="9:9" x14ac:dyDescent="0.25">
      <c r="I674" s="2"/>
    </row>
    <row r="675" spans="9:9" x14ac:dyDescent="0.25">
      <c r="I675" s="2"/>
    </row>
    <row r="676" spans="9:9" x14ac:dyDescent="0.25">
      <c r="I676" s="2"/>
    </row>
    <row r="677" spans="9:9" x14ac:dyDescent="0.25">
      <c r="I677" s="2"/>
    </row>
    <row r="678" spans="9:9" x14ac:dyDescent="0.25">
      <c r="I678" s="2"/>
    </row>
    <row r="679" spans="9:9" x14ac:dyDescent="0.25">
      <c r="I679" s="2"/>
    </row>
    <row r="680" spans="9:9" x14ac:dyDescent="0.25">
      <c r="I680" s="2"/>
    </row>
    <row r="681" spans="9:9" x14ac:dyDescent="0.25">
      <c r="I681" s="2"/>
    </row>
    <row r="682" spans="9:9" x14ac:dyDescent="0.25">
      <c r="I682" s="2"/>
    </row>
    <row r="683" spans="9:9" x14ac:dyDescent="0.25">
      <c r="I683" s="2"/>
    </row>
    <row r="684" spans="9:9" x14ac:dyDescent="0.25">
      <c r="I684" s="2"/>
    </row>
    <row r="685" spans="9:9" x14ac:dyDescent="0.25">
      <c r="I685" s="2"/>
    </row>
    <row r="686" spans="9:9" x14ac:dyDescent="0.25">
      <c r="I686" s="2"/>
    </row>
    <row r="687" spans="9:9" x14ac:dyDescent="0.25">
      <c r="I687" s="2"/>
    </row>
    <row r="688" spans="9:9" x14ac:dyDescent="0.25">
      <c r="I688" s="2"/>
    </row>
    <row r="689" spans="9:9" x14ac:dyDescent="0.25">
      <c r="I689" s="2"/>
    </row>
    <row r="690" spans="9:9" x14ac:dyDescent="0.25">
      <c r="I690" s="2"/>
    </row>
    <row r="691" spans="9:9" x14ac:dyDescent="0.25">
      <c r="I691" s="2"/>
    </row>
    <row r="692" spans="9:9" x14ac:dyDescent="0.25">
      <c r="I692" s="2"/>
    </row>
    <row r="693" spans="9:9" x14ac:dyDescent="0.25">
      <c r="I693" s="2"/>
    </row>
    <row r="694" spans="9:9" x14ac:dyDescent="0.25">
      <c r="I694" s="2"/>
    </row>
    <row r="695" spans="9:9" x14ac:dyDescent="0.25">
      <c r="I695" s="2"/>
    </row>
    <row r="696" spans="9:9" x14ac:dyDescent="0.25">
      <c r="I696" s="2"/>
    </row>
    <row r="697" spans="9:9" x14ac:dyDescent="0.25">
      <c r="I697" s="2"/>
    </row>
    <row r="698" spans="9:9" x14ac:dyDescent="0.25">
      <c r="I698" s="2"/>
    </row>
    <row r="699" spans="9:9" x14ac:dyDescent="0.25">
      <c r="I699" s="2"/>
    </row>
    <row r="700" spans="9:9" x14ac:dyDescent="0.25">
      <c r="I700" s="2"/>
    </row>
    <row r="701" spans="9:9" x14ac:dyDescent="0.25">
      <c r="I701" s="2"/>
    </row>
    <row r="702" spans="9:9" x14ac:dyDescent="0.25">
      <c r="I702" s="2"/>
    </row>
    <row r="703" spans="9:9" x14ac:dyDescent="0.25">
      <c r="I703" s="2"/>
    </row>
    <row r="704" spans="9:9" x14ac:dyDescent="0.25">
      <c r="I704" s="2"/>
    </row>
    <row r="705" spans="9:9" x14ac:dyDescent="0.25">
      <c r="I705" s="2"/>
    </row>
    <row r="706" spans="9:9" x14ac:dyDescent="0.25">
      <c r="I706" s="2"/>
    </row>
    <row r="707" spans="9:9" x14ac:dyDescent="0.25">
      <c r="I707" s="2"/>
    </row>
    <row r="708" spans="9:9" x14ac:dyDescent="0.25">
      <c r="I708" s="2"/>
    </row>
    <row r="709" spans="9:9" x14ac:dyDescent="0.25">
      <c r="I709" s="2"/>
    </row>
    <row r="710" spans="9:9" x14ac:dyDescent="0.25">
      <c r="I710" s="2"/>
    </row>
    <row r="711" spans="9:9" x14ac:dyDescent="0.25">
      <c r="I711" s="2"/>
    </row>
    <row r="712" spans="9:9" x14ac:dyDescent="0.25">
      <c r="I712" s="2"/>
    </row>
    <row r="713" spans="9:9" x14ac:dyDescent="0.25">
      <c r="I713" s="2"/>
    </row>
    <row r="714" spans="9:9" x14ac:dyDescent="0.25">
      <c r="I714" s="2"/>
    </row>
    <row r="715" spans="9:9" x14ac:dyDescent="0.25">
      <c r="I715" s="2"/>
    </row>
    <row r="716" spans="9:9" x14ac:dyDescent="0.25">
      <c r="I716" s="2"/>
    </row>
    <row r="717" spans="9:9" x14ac:dyDescent="0.25">
      <c r="I717" s="2"/>
    </row>
    <row r="718" spans="9:9" x14ac:dyDescent="0.25">
      <c r="I718" s="2"/>
    </row>
    <row r="719" spans="9:9" x14ac:dyDescent="0.25">
      <c r="I719" s="2"/>
    </row>
    <row r="720" spans="9:9" x14ac:dyDescent="0.25">
      <c r="I720" s="2"/>
    </row>
    <row r="721" spans="9:9" x14ac:dyDescent="0.25">
      <c r="I721" s="2"/>
    </row>
    <row r="722" spans="9:9" x14ac:dyDescent="0.25">
      <c r="I722" s="2"/>
    </row>
    <row r="723" spans="9:9" x14ac:dyDescent="0.25">
      <c r="I723" s="2"/>
    </row>
    <row r="724" spans="9:9" x14ac:dyDescent="0.25">
      <c r="I724" s="2"/>
    </row>
    <row r="725" spans="9:9" x14ac:dyDescent="0.25">
      <c r="I725" s="2"/>
    </row>
    <row r="726" spans="9:9" x14ac:dyDescent="0.25">
      <c r="I726" s="2"/>
    </row>
    <row r="727" spans="9:9" x14ac:dyDescent="0.25">
      <c r="I727" s="2"/>
    </row>
    <row r="728" spans="9:9" x14ac:dyDescent="0.25">
      <c r="I728" s="2"/>
    </row>
    <row r="729" spans="9:9" x14ac:dyDescent="0.25">
      <c r="I729" s="2"/>
    </row>
    <row r="730" spans="9:9" x14ac:dyDescent="0.25">
      <c r="I730" s="2"/>
    </row>
    <row r="731" spans="9:9" x14ac:dyDescent="0.25">
      <c r="I731" s="2"/>
    </row>
    <row r="732" spans="9:9" x14ac:dyDescent="0.25">
      <c r="I732" s="2"/>
    </row>
    <row r="733" spans="9:9" x14ac:dyDescent="0.25">
      <c r="I733" s="2"/>
    </row>
    <row r="734" spans="9:9" x14ac:dyDescent="0.25">
      <c r="I734" s="2"/>
    </row>
    <row r="735" spans="9:9" x14ac:dyDescent="0.25">
      <c r="I735" s="2"/>
    </row>
    <row r="736" spans="9:9" x14ac:dyDescent="0.25">
      <c r="I736" s="2"/>
    </row>
    <row r="737" spans="9:9" x14ac:dyDescent="0.25">
      <c r="I737" s="2"/>
    </row>
    <row r="738" spans="9:9" x14ac:dyDescent="0.25">
      <c r="I738" s="2"/>
    </row>
    <row r="739" spans="9:9" x14ac:dyDescent="0.25">
      <c r="I739" s="2"/>
    </row>
    <row r="740" spans="9:9" x14ac:dyDescent="0.25">
      <c r="I740" s="2"/>
    </row>
    <row r="741" spans="9:9" x14ac:dyDescent="0.25">
      <c r="I741" s="2"/>
    </row>
    <row r="742" spans="9:9" x14ac:dyDescent="0.25">
      <c r="I742" s="2"/>
    </row>
    <row r="743" spans="9:9" x14ac:dyDescent="0.25">
      <c r="I743" s="2"/>
    </row>
    <row r="744" spans="9:9" x14ac:dyDescent="0.25">
      <c r="I744" s="2"/>
    </row>
    <row r="745" spans="9:9" x14ac:dyDescent="0.25">
      <c r="I745" s="2"/>
    </row>
    <row r="746" spans="9:9" x14ac:dyDescent="0.25">
      <c r="I746" s="2"/>
    </row>
    <row r="747" spans="9:9" x14ac:dyDescent="0.25">
      <c r="I747" s="2"/>
    </row>
    <row r="748" spans="9:9" x14ac:dyDescent="0.25">
      <c r="I748" s="2"/>
    </row>
    <row r="749" spans="9:9" x14ac:dyDescent="0.25">
      <c r="I749" s="2"/>
    </row>
    <row r="750" spans="9:9" x14ac:dyDescent="0.25">
      <c r="I750" s="2"/>
    </row>
    <row r="751" spans="9:9" x14ac:dyDescent="0.25">
      <c r="I751" s="2"/>
    </row>
    <row r="752" spans="9:9" x14ac:dyDescent="0.25">
      <c r="I752" s="2"/>
    </row>
    <row r="753" spans="9:9" x14ac:dyDescent="0.25">
      <c r="I753" s="2"/>
    </row>
    <row r="754" spans="9:9" x14ac:dyDescent="0.25">
      <c r="I754" s="2"/>
    </row>
    <row r="755" spans="9:9" x14ac:dyDescent="0.25">
      <c r="I755" s="2"/>
    </row>
    <row r="756" spans="9:9" x14ac:dyDescent="0.25">
      <c r="I756" s="2"/>
    </row>
    <row r="757" spans="9:9" x14ac:dyDescent="0.25">
      <c r="I757" s="2"/>
    </row>
    <row r="758" spans="9:9" x14ac:dyDescent="0.25">
      <c r="I758" s="2"/>
    </row>
    <row r="759" spans="9:9" x14ac:dyDescent="0.25">
      <c r="I759" s="2"/>
    </row>
    <row r="760" spans="9:9" x14ac:dyDescent="0.25">
      <c r="I760" s="2"/>
    </row>
    <row r="761" spans="9:9" x14ac:dyDescent="0.25">
      <c r="I761" s="2"/>
    </row>
    <row r="762" spans="9:9" x14ac:dyDescent="0.25">
      <c r="I762" s="2"/>
    </row>
    <row r="763" spans="9:9" x14ac:dyDescent="0.25">
      <c r="I763" s="2"/>
    </row>
    <row r="764" spans="9:9" x14ac:dyDescent="0.25">
      <c r="I764" s="2"/>
    </row>
    <row r="765" spans="9:9" x14ac:dyDescent="0.25">
      <c r="I765" s="2"/>
    </row>
    <row r="766" spans="9:9" x14ac:dyDescent="0.25">
      <c r="I766" s="2"/>
    </row>
    <row r="767" spans="9:9" x14ac:dyDescent="0.25">
      <c r="I767" s="2"/>
    </row>
    <row r="768" spans="9:9" x14ac:dyDescent="0.25">
      <c r="I768" s="2"/>
    </row>
    <row r="769" spans="9:9" x14ac:dyDescent="0.25">
      <c r="I769" s="2"/>
    </row>
    <row r="770" spans="9:9" x14ac:dyDescent="0.25">
      <c r="I770" s="2"/>
    </row>
    <row r="771" spans="9:9" x14ac:dyDescent="0.25">
      <c r="I771" s="2"/>
    </row>
    <row r="772" spans="9:9" x14ac:dyDescent="0.25">
      <c r="I772" s="2"/>
    </row>
    <row r="773" spans="9:9" x14ac:dyDescent="0.25">
      <c r="I773" s="2"/>
    </row>
    <row r="774" spans="9:9" x14ac:dyDescent="0.25">
      <c r="I774" s="2"/>
    </row>
    <row r="775" spans="9:9" x14ac:dyDescent="0.25">
      <c r="I775" s="2"/>
    </row>
    <row r="776" spans="9:9" x14ac:dyDescent="0.25">
      <c r="I776" s="2"/>
    </row>
    <row r="777" spans="9:9" x14ac:dyDescent="0.25">
      <c r="I777" s="2"/>
    </row>
    <row r="778" spans="9:9" x14ac:dyDescent="0.25">
      <c r="I778" s="2"/>
    </row>
    <row r="779" spans="9:9" x14ac:dyDescent="0.25">
      <c r="I779" s="2"/>
    </row>
    <row r="780" spans="9:9" x14ac:dyDescent="0.25">
      <c r="I780" s="2"/>
    </row>
    <row r="781" spans="9:9" x14ac:dyDescent="0.25">
      <c r="I781" s="2"/>
    </row>
    <row r="782" spans="9:9" x14ac:dyDescent="0.25">
      <c r="I782" s="2"/>
    </row>
    <row r="783" spans="9:9" x14ac:dyDescent="0.25">
      <c r="I783" s="2"/>
    </row>
    <row r="784" spans="9:9" x14ac:dyDescent="0.25">
      <c r="I784" s="2"/>
    </row>
    <row r="785" spans="9:9" x14ac:dyDescent="0.25">
      <c r="I785" s="2"/>
    </row>
    <row r="786" spans="9:9" x14ac:dyDescent="0.25">
      <c r="I786" s="2"/>
    </row>
    <row r="787" spans="9:9" x14ac:dyDescent="0.25">
      <c r="I787" s="2"/>
    </row>
    <row r="788" spans="9:9" x14ac:dyDescent="0.25">
      <c r="I788" s="2"/>
    </row>
    <row r="789" spans="9:9" x14ac:dyDescent="0.25">
      <c r="I789" s="2"/>
    </row>
    <row r="790" spans="9:9" x14ac:dyDescent="0.25">
      <c r="I790" s="2"/>
    </row>
    <row r="791" spans="9:9" x14ac:dyDescent="0.25">
      <c r="I791" s="2"/>
    </row>
    <row r="792" spans="9:9" x14ac:dyDescent="0.25">
      <c r="I792" s="2"/>
    </row>
    <row r="793" spans="9:9" x14ac:dyDescent="0.25">
      <c r="I793" s="2"/>
    </row>
    <row r="794" spans="9:9" x14ac:dyDescent="0.25">
      <c r="I794" s="2"/>
    </row>
    <row r="795" spans="9:9" x14ac:dyDescent="0.25">
      <c r="I795" s="2"/>
    </row>
    <row r="796" spans="9:9" x14ac:dyDescent="0.25">
      <c r="I796" s="2"/>
    </row>
    <row r="797" spans="9:9" x14ac:dyDescent="0.25">
      <c r="I797" s="2"/>
    </row>
    <row r="798" spans="9:9" x14ac:dyDescent="0.25">
      <c r="I798" s="2"/>
    </row>
    <row r="799" spans="9:9" x14ac:dyDescent="0.25">
      <c r="I799" s="2"/>
    </row>
    <row r="800" spans="9:9" x14ac:dyDescent="0.25">
      <c r="I800" s="2"/>
    </row>
    <row r="801" spans="9:9" x14ac:dyDescent="0.25">
      <c r="I801" s="2"/>
    </row>
    <row r="802" spans="9:9" x14ac:dyDescent="0.25">
      <c r="I802" s="2"/>
    </row>
    <row r="803" spans="9:9" x14ac:dyDescent="0.25">
      <c r="I803" s="2"/>
    </row>
    <row r="804" spans="9:9" x14ac:dyDescent="0.25">
      <c r="I804" s="2"/>
    </row>
    <row r="805" spans="9:9" x14ac:dyDescent="0.25">
      <c r="I805" s="2"/>
    </row>
    <row r="806" spans="9:9" x14ac:dyDescent="0.25">
      <c r="I806" s="2"/>
    </row>
    <row r="807" spans="9:9" x14ac:dyDescent="0.25">
      <c r="I807" s="2"/>
    </row>
    <row r="808" spans="9:9" x14ac:dyDescent="0.25">
      <c r="I808" s="2"/>
    </row>
    <row r="809" spans="9:9" x14ac:dyDescent="0.25">
      <c r="I809" s="2"/>
    </row>
    <row r="810" spans="9:9" x14ac:dyDescent="0.25">
      <c r="I810" s="2"/>
    </row>
    <row r="811" spans="9:9" x14ac:dyDescent="0.25">
      <c r="I811" s="2"/>
    </row>
    <row r="812" spans="9:9" x14ac:dyDescent="0.25">
      <c r="I812" s="2"/>
    </row>
    <row r="813" spans="9:9" x14ac:dyDescent="0.25">
      <c r="I813" s="2"/>
    </row>
    <row r="814" spans="9:9" x14ac:dyDescent="0.25">
      <c r="I814" s="2"/>
    </row>
    <row r="815" spans="9:9" x14ac:dyDescent="0.25">
      <c r="I815" s="2"/>
    </row>
    <row r="816" spans="9:9" x14ac:dyDescent="0.25">
      <c r="I816" s="2"/>
    </row>
    <row r="817" spans="9:9" x14ac:dyDescent="0.25">
      <c r="I817" s="2"/>
    </row>
    <row r="818" spans="9:9" x14ac:dyDescent="0.25">
      <c r="I818" s="2"/>
    </row>
    <row r="819" spans="9:9" x14ac:dyDescent="0.25">
      <c r="I819" s="2"/>
    </row>
    <row r="820" spans="9:9" x14ac:dyDescent="0.25">
      <c r="I820" s="2"/>
    </row>
    <row r="821" spans="9:9" x14ac:dyDescent="0.25">
      <c r="I821" s="2"/>
    </row>
    <row r="822" spans="9:9" x14ac:dyDescent="0.25">
      <c r="I822" s="2"/>
    </row>
    <row r="823" spans="9:9" x14ac:dyDescent="0.25">
      <c r="I823" s="2"/>
    </row>
    <row r="824" spans="9:9" x14ac:dyDescent="0.25">
      <c r="I824" s="2"/>
    </row>
    <row r="825" spans="9:9" x14ac:dyDescent="0.25">
      <c r="I825" s="2"/>
    </row>
    <row r="826" spans="9:9" x14ac:dyDescent="0.25">
      <c r="I826" s="2"/>
    </row>
    <row r="827" spans="9:9" x14ac:dyDescent="0.25">
      <c r="I827" s="2"/>
    </row>
    <row r="828" spans="9:9" x14ac:dyDescent="0.25">
      <c r="I828" s="2"/>
    </row>
    <row r="829" spans="9:9" x14ac:dyDescent="0.25">
      <c r="I829" s="2"/>
    </row>
    <row r="830" spans="9:9" x14ac:dyDescent="0.25">
      <c r="I830" s="2"/>
    </row>
    <row r="831" spans="9:9" x14ac:dyDescent="0.25">
      <c r="I831" s="2"/>
    </row>
    <row r="832" spans="9:9" x14ac:dyDescent="0.25">
      <c r="I832" s="2"/>
    </row>
    <row r="833" spans="9:9" x14ac:dyDescent="0.25">
      <c r="I833" s="2"/>
    </row>
    <row r="834" spans="9:9" x14ac:dyDescent="0.25">
      <c r="I834" s="2"/>
    </row>
    <row r="835" spans="9:9" x14ac:dyDescent="0.25">
      <c r="I835" s="2"/>
    </row>
    <row r="836" spans="9:9" x14ac:dyDescent="0.25">
      <c r="I836" s="2"/>
    </row>
    <row r="837" spans="9:9" x14ac:dyDescent="0.25">
      <c r="I837" s="2"/>
    </row>
    <row r="838" spans="9:9" x14ac:dyDescent="0.25">
      <c r="I838" s="2"/>
    </row>
    <row r="839" spans="9:9" x14ac:dyDescent="0.25">
      <c r="I839" s="2"/>
    </row>
    <row r="840" spans="9:9" x14ac:dyDescent="0.25">
      <c r="I840" s="2"/>
    </row>
    <row r="841" spans="9:9" x14ac:dyDescent="0.25">
      <c r="I841" s="2"/>
    </row>
    <row r="842" spans="9:9" x14ac:dyDescent="0.25">
      <c r="I842" s="2"/>
    </row>
    <row r="843" spans="9:9" x14ac:dyDescent="0.25">
      <c r="I843" s="2"/>
    </row>
    <row r="844" spans="9:9" x14ac:dyDescent="0.25">
      <c r="I844" s="2"/>
    </row>
    <row r="845" spans="9:9" x14ac:dyDescent="0.25">
      <c r="I845" s="2"/>
    </row>
    <row r="846" spans="9:9" x14ac:dyDescent="0.25">
      <c r="I846" s="2"/>
    </row>
    <row r="847" spans="9:9" x14ac:dyDescent="0.25">
      <c r="I847" s="2"/>
    </row>
    <row r="848" spans="9:9" x14ac:dyDescent="0.25">
      <c r="I848" s="2"/>
    </row>
    <row r="849" spans="9:9" x14ac:dyDescent="0.25">
      <c r="I849" s="2"/>
    </row>
    <row r="850" spans="9:9" x14ac:dyDescent="0.25">
      <c r="I850" s="2"/>
    </row>
    <row r="851" spans="9:9" x14ac:dyDescent="0.25">
      <c r="I851" s="2"/>
    </row>
    <row r="852" spans="9:9" x14ac:dyDescent="0.25">
      <c r="I852" s="2"/>
    </row>
    <row r="853" spans="9:9" x14ac:dyDescent="0.25">
      <c r="I853" s="2"/>
    </row>
    <row r="854" spans="9:9" x14ac:dyDescent="0.25">
      <c r="I854" s="2"/>
    </row>
    <row r="855" spans="9:9" x14ac:dyDescent="0.25">
      <c r="I855" s="2"/>
    </row>
    <row r="856" spans="9:9" x14ac:dyDescent="0.25">
      <c r="I856" s="2"/>
    </row>
    <row r="857" spans="9:9" x14ac:dyDescent="0.25">
      <c r="I857" s="2"/>
    </row>
    <row r="858" spans="9:9" x14ac:dyDescent="0.25">
      <c r="I858" s="2"/>
    </row>
    <row r="859" spans="9:9" x14ac:dyDescent="0.25">
      <c r="I859" s="2"/>
    </row>
    <row r="860" spans="9:9" x14ac:dyDescent="0.25">
      <c r="I860" s="2"/>
    </row>
    <row r="861" spans="9:9" x14ac:dyDescent="0.25">
      <c r="I861" s="2"/>
    </row>
    <row r="862" spans="9:9" x14ac:dyDescent="0.25">
      <c r="I862" s="2"/>
    </row>
    <row r="863" spans="9:9" x14ac:dyDescent="0.25">
      <c r="I863" s="2"/>
    </row>
    <row r="864" spans="9:9" x14ac:dyDescent="0.25">
      <c r="I864" s="2"/>
    </row>
    <row r="865" spans="9:9" x14ac:dyDescent="0.25">
      <c r="I865" s="2"/>
    </row>
    <row r="866" spans="9:9" x14ac:dyDescent="0.25">
      <c r="I866" s="2"/>
    </row>
    <row r="867" spans="9:9" x14ac:dyDescent="0.25">
      <c r="I867" s="2"/>
    </row>
    <row r="868" spans="9:9" x14ac:dyDescent="0.25">
      <c r="I868" s="2"/>
    </row>
    <row r="869" spans="9:9" x14ac:dyDescent="0.25">
      <c r="I869" s="2"/>
    </row>
    <row r="870" spans="9:9" x14ac:dyDescent="0.25">
      <c r="I870" s="2"/>
    </row>
    <row r="871" spans="9:9" x14ac:dyDescent="0.25">
      <c r="I871" s="2"/>
    </row>
    <row r="872" spans="9:9" x14ac:dyDescent="0.25">
      <c r="I872" s="2"/>
    </row>
    <row r="873" spans="9:9" x14ac:dyDescent="0.25">
      <c r="I873" s="2"/>
    </row>
    <row r="874" spans="9:9" x14ac:dyDescent="0.25">
      <c r="I874" s="2"/>
    </row>
    <row r="875" spans="9:9" x14ac:dyDescent="0.25">
      <c r="I875" s="2"/>
    </row>
    <row r="876" spans="9:9" x14ac:dyDescent="0.25">
      <c r="I876" s="2"/>
    </row>
    <row r="877" spans="9:9" x14ac:dyDescent="0.25">
      <c r="I877" s="2"/>
    </row>
    <row r="878" spans="9:9" x14ac:dyDescent="0.25">
      <c r="I878" s="2"/>
    </row>
    <row r="879" spans="9:9" x14ac:dyDescent="0.25">
      <c r="I879" s="2"/>
    </row>
    <row r="880" spans="9:9" x14ac:dyDescent="0.25">
      <c r="I880" s="2"/>
    </row>
    <row r="881" spans="9:9" x14ac:dyDescent="0.25">
      <c r="I881" s="2"/>
    </row>
    <row r="882" spans="9:9" x14ac:dyDescent="0.25">
      <c r="I882" s="2"/>
    </row>
    <row r="883" spans="9:9" x14ac:dyDescent="0.25">
      <c r="I883" s="2"/>
    </row>
    <row r="884" spans="9:9" x14ac:dyDescent="0.25">
      <c r="I884" s="2"/>
    </row>
    <row r="885" spans="9:9" x14ac:dyDescent="0.25">
      <c r="I885" s="2"/>
    </row>
    <row r="886" spans="9:9" x14ac:dyDescent="0.25">
      <c r="I886" s="2"/>
    </row>
    <row r="887" spans="9:9" x14ac:dyDescent="0.25">
      <c r="I887" s="2"/>
    </row>
    <row r="888" spans="9:9" x14ac:dyDescent="0.25">
      <c r="I888" s="2"/>
    </row>
    <row r="889" spans="9:9" x14ac:dyDescent="0.25">
      <c r="I889" s="2"/>
    </row>
    <row r="890" spans="9:9" x14ac:dyDescent="0.25">
      <c r="I890" s="2"/>
    </row>
    <row r="891" spans="9:9" x14ac:dyDescent="0.25">
      <c r="I891" s="2"/>
    </row>
    <row r="892" spans="9:9" x14ac:dyDescent="0.25">
      <c r="I892" s="2"/>
    </row>
    <row r="893" spans="9:9" x14ac:dyDescent="0.25">
      <c r="I893" s="2"/>
    </row>
    <row r="894" spans="9:9" x14ac:dyDescent="0.25">
      <c r="I894" s="2"/>
    </row>
    <row r="895" spans="9:9" x14ac:dyDescent="0.25">
      <c r="I895" s="2"/>
    </row>
    <row r="896" spans="9:9" x14ac:dyDescent="0.25">
      <c r="I896" s="2"/>
    </row>
    <row r="897" spans="9:9" x14ac:dyDescent="0.25">
      <c r="I897" s="2"/>
    </row>
    <row r="898" spans="9:9" x14ac:dyDescent="0.25">
      <c r="I898" s="2"/>
    </row>
    <row r="899" spans="9:9" x14ac:dyDescent="0.25">
      <c r="I899" s="2"/>
    </row>
    <row r="900" spans="9:9" x14ac:dyDescent="0.25">
      <c r="I900" s="2"/>
    </row>
    <row r="901" spans="9:9" x14ac:dyDescent="0.25">
      <c r="I901" s="2"/>
    </row>
    <row r="902" spans="9:9" x14ac:dyDescent="0.25">
      <c r="I902" s="2"/>
    </row>
    <row r="903" spans="9:9" x14ac:dyDescent="0.25">
      <c r="I903" s="2"/>
    </row>
    <row r="904" spans="9:9" x14ac:dyDescent="0.25">
      <c r="I904" s="2"/>
    </row>
    <row r="905" spans="9:9" x14ac:dyDescent="0.25">
      <c r="I905" s="2"/>
    </row>
    <row r="906" spans="9:9" x14ac:dyDescent="0.25">
      <c r="I906" s="2"/>
    </row>
    <row r="907" spans="9:9" x14ac:dyDescent="0.25">
      <c r="I907" s="2"/>
    </row>
    <row r="908" spans="9:9" x14ac:dyDescent="0.25">
      <c r="I908" s="2"/>
    </row>
    <row r="909" spans="9:9" x14ac:dyDescent="0.25">
      <c r="I909" s="2"/>
    </row>
    <row r="910" spans="9:9" x14ac:dyDescent="0.25">
      <c r="I910" s="2"/>
    </row>
    <row r="911" spans="9:9" x14ac:dyDescent="0.25">
      <c r="I911" s="2"/>
    </row>
    <row r="912" spans="9:9" x14ac:dyDescent="0.25">
      <c r="I912" s="2"/>
    </row>
    <row r="913" spans="9:9" x14ac:dyDescent="0.25">
      <c r="I913" s="2"/>
    </row>
    <row r="914" spans="9:9" x14ac:dyDescent="0.25">
      <c r="I914" s="2"/>
    </row>
    <row r="915" spans="9:9" x14ac:dyDescent="0.25">
      <c r="I915" s="2"/>
    </row>
    <row r="916" spans="9:9" x14ac:dyDescent="0.25">
      <c r="I916" s="2"/>
    </row>
    <row r="917" spans="9:9" x14ac:dyDescent="0.25">
      <c r="I917" s="2"/>
    </row>
    <row r="918" spans="9:9" x14ac:dyDescent="0.25">
      <c r="I918" s="2"/>
    </row>
    <row r="919" spans="9:9" x14ac:dyDescent="0.25">
      <c r="I919" s="2"/>
    </row>
    <row r="920" spans="9:9" x14ac:dyDescent="0.25">
      <c r="I920" s="2"/>
    </row>
    <row r="921" spans="9:9" x14ac:dyDescent="0.25">
      <c r="I921" s="2"/>
    </row>
    <row r="922" spans="9:9" x14ac:dyDescent="0.25">
      <c r="I922" s="2"/>
    </row>
    <row r="923" spans="9:9" x14ac:dyDescent="0.25">
      <c r="I923" s="2"/>
    </row>
    <row r="924" spans="9:9" x14ac:dyDescent="0.25">
      <c r="I924" s="2"/>
    </row>
    <row r="925" spans="9:9" x14ac:dyDescent="0.25">
      <c r="I925" s="2"/>
    </row>
    <row r="926" spans="9:9" x14ac:dyDescent="0.25">
      <c r="I926" s="2"/>
    </row>
    <row r="927" spans="9:9" x14ac:dyDescent="0.25">
      <c r="I927" s="2"/>
    </row>
    <row r="928" spans="9:9" x14ac:dyDescent="0.25">
      <c r="I928" s="2"/>
    </row>
    <row r="929" spans="9:9" x14ac:dyDescent="0.25">
      <c r="I929" s="2"/>
    </row>
    <row r="930" spans="9:9" x14ac:dyDescent="0.25">
      <c r="I930" s="2"/>
    </row>
    <row r="931" spans="9:9" x14ac:dyDescent="0.25">
      <c r="I931" s="2"/>
    </row>
    <row r="932" spans="9:9" x14ac:dyDescent="0.25">
      <c r="I932" s="2"/>
    </row>
    <row r="933" spans="9:9" x14ac:dyDescent="0.25">
      <c r="I933" s="2"/>
    </row>
    <row r="934" spans="9:9" x14ac:dyDescent="0.25">
      <c r="I934" s="2"/>
    </row>
    <row r="935" spans="9:9" x14ac:dyDescent="0.25">
      <c r="I935" s="2"/>
    </row>
    <row r="936" spans="9:9" x14ac:dyDescent="0.25">
      <c r="I936" s="2"/>
    </row>
    <row r="937" spans="9:9" x14ac:dyDescent="0.25">
      <c r="I937" s="2"/>
    </row>
    <row r="938" spans="9:9" x14ac:dyDescent="0.25">
      <c r="I938" s="2"/>
    </row>
    <row r="939" spans="9:9" x14ac:dyDescent="0.25">
      <c r="I939" s="2"/>
    </row>
    <row r="940" spans="9:9" x14ac:dyDescent="0.25">
      <c r="I940" s="2"/>
    </row>
    <row r="941" spans="9:9" x14ac:dyDescent="0.25">
      <c r="I941" s="2"/>
    </row>
    <row r="942" spans="9:9" x14ac:dyDescent="0.25">
      <c r="I942" s="2"/>
    </row>
    <row r="943" spans="9:9" x14ac:dyDescent="0.25">
      <c r="I943" s="2"/>
    </row>
    <row r="944" spans="9:9" x14ac:dyDescent="0.25">
      <c r="I944" s="2"/>
    </row>
    <row r="945" spans="9:9" x14ac:dyDescent="0.25">
      <c r="I945" s="2"/>
    </row>
    <row r="946" spans="9:9" x14ac:dyDescent="0.25">
      <c r="I946" s="2"/>
    </row>
    <row r="947" spans="9:9" x14ac:dyDescent="0.25">
      <c r="I947" s="2"/>
    </row>
    <row r="948" spans="9:9" x14ac:dyDescent="0.25">
      <c r="I948" s="2"/>
    </row>
    <row r="949" spans="9:9" x14ac:dyDescent="0.25">
      <c r="I949" s="2"/>
    </row>
    <row r="950" spans="9:9" x14ac:dyDescent="0.25">
      <c r="I950" s="2"/>
    </row>
    <row r="951" spans="9:9" x14ac:dyDescent="0.25">
      <c r="I951" s="2"/>
    </row>
    <row r="952" spans="9:9" x14ac:dyDescent="0.25">
      <c r="I952" s="2"/>
    </row>
    <row r="953" spans="9:9" x14ac:dyDescent="0.25">
      <c r="I953" s="2"/>
    </row>
    <row r="954" spans="9:9" x14ac:dyDescent="0.25">
      <c r="I954" s="2"/>
    </row>
    <row r="955" spans="9:9" x14ac:dyDescent="0.25">
      <c r="I955" s="2"/>
    </row>
    <row r="956" spans="9:9" x14ac:dyDescent="0.25">
      <c r="I956" s="2"/>
    </row>
    <row r="957" spans="9:9" x14ac:dyDescent="0.25">
      <c r="I957" s="2"/>
    </row>
    <row r="958" spans="9:9" x14ac:dyDescent="0.25">
      <c r="I958" s="2"/>
    </row>
    <row r="959" spans="9:9" x14ac:dyDescent="0.25">
      <c r="I959" s="2"/>
    </row>
    <row r="960" spans="9:9" x14ac:dyDescent="0.25">
      <c r="I960" s="2"/>
    </row>
    <row r="961" spans="9:9" x14ac:dyDescent="0.25">
      <c r="I961" s="2"/>
    </row>
    <row r="962" spans="9:9" x14ac:dyDescent="0.25">
      <c r="I962" s="2"/>
    </row>
    <row r="963" spans="9:9" x14ac:dyDescent="0.25">
      <c r="I963" s="2"/>
    </row>
    <row r="964" spans="9:9" x14ac:dyDescent="0.25">
      <c r="I964" s="2"/>
    </row>
    <row r="965" spans="9:9" x14ac:dyDescent="0.25">
      <c r="I965" s="2"/>
    </row>
    <row r="966" spans="9:9" x14ac:dyDescent="0.25">
      <c r="I966" s="2"/>
    </row>
    <row r="967" spans="9:9" x14ac:dyDescent="0.25">
      <c r="I967" s="2"/>
    </row>
    <row r="968" spans="9:9" x14ac:dyDescent="0.25">
      <c r="I968" s="2"/>
    </row>
    <row r="969" spans="9:9" x14ac:dyDescent="0.25">
      <c r="I969" s="2"/>
    </row>
    <row r="970" spans="9:9" x14ac:dyDescent="0.25">
      <c r="I970" s="2"/>
    </row>
    <row r="971" spans="9:9" x14ac:dyDescent="0.25">
      <c r="I971" s="2"/>
    </row>
    <row r="972" spans="9:9" x14ac:dyDescent="0.25">
      <c r="I972" s="2"/>
    </row>
    <row r="973" spans="9:9" x14ac:dyDescent="0.25">
      <c r="I973" s="2"/>
    </row>
    <row r="974" spans="9:9" x14ac:dyDescent="0.25">
      <c r="I974" s="2"/>
    </row>
    <row r="975" spans="9:9" x14ac:dyDescent="0.25">
      <c r="I975" s="2"/>
    </row>
    <row r="976" spans="9:9" x14ac:dyDescent="0.25">
      <c r="I976" s="2"/>
    </row>
    <row r="977" spans="9:9" x14ac:dyDescent="0.25">
      <c r="I977" s="2"/>
    </row>
    <row r="978" spans="9:9" x14ac:dyDescent="0.25">
      <c r="I978" s="2"/>
    </row>
    <row r="979" spans="9:9" x14ac:dyDescent="0.25">
      <c r="I979" s="2"/>
    </row>
    <row r="980" spans="9:9" x14ac:dyDescent="0.25">
      <c r="I980" s="2"/>
    </row>
    <row r="981" spans="9:9" x14ac:dyDescent="0.25">
      <c r="I981" s="2"/>
    </row>
    <row r="982" spans="9:9" x14ac:dyDescent="0.25">
      <c r="I982" s="2"/>
    </row>
    <row r="983" spans="9:9" x14ac:dyDescent="0.25">
      <c r="I983" s="2"/>
    </row>
    <row r="984" spans="9:9" x14ac:dyDescent="0.25">
      <c r="I984" s="2"/>
    </row>
    <row r="985" spans="9:9" x14ac:dyDescent="0.25">
      <c r="I985" s="2"/>
    </row>
    <row r="986" spans="9:9" x14ac:dyDescent="0.25">
      <c r="I986" s="2"/>
    </row>
    <row r="987" spans="9:9" x14ac:dyDescent="0.25">
      <c r="I987" s="2"/>
    </row>
    <row r="988" spans="9:9" x14ac:dyDescent="0.25">
      <c r="I988" s="2"/>
    </row>
    <row r="989" spans="9:9" x14ac:dyDescent="0.25">
      <c r="I989" s="2"/>
    </row>
    <row r="990" spans="9:9" x14ac:dyDescent="0.25">
      <c r="I990" s="2"/>
    </row>
    <row r="991" spans="9:9" x14ac:dyDescent="0.25">
      <c r="I991" s="2"/>
    </row>
    <row r="992" spans="9:9" x14ac:dyDescent="0.25">
      <c r="I992" s="2"/>
    </row>
    <row r="993" spans="9:9" x14ac:dyDescent="0.25">
      <c r="I993" s="2"/>
    </row>
    <row r="994" spans="9:9" x14ac:dyDescent="0.25">
      <c r="I994" s="2"/>
    </row>
    <row r="995" spans="9:9" x14ac:dyDescent="0.25">
      <c r="I995" s="2"/>
    </row>
    <row r="996" spans="9:9" x14ac:dyDescent="0.25">
      <c r="I996" s="2"/>
    </row>
    <row r="997" spans="9:9" x14ac:dyDescent="0.25">
      <c r="I997" s="2"/>
    </row>
    <row r="998" spans="9:9" x14ac:dyDescent="0.25">
      <c r="I998" s="2"/>
    </row>
    <row r="999" spans="9:9" x14ac:dyDescent="0.25">
      <c r="I999" s="2"/>
    </row>
    <row r="1000" spans="9:9" x14ac:dyDescent="0.25">
      <c r="I1000" s="2"/>
    </row>
    <row r="1001" spans="9:9" x14ac:dyDescent="0.25">
      <c r="I1001" s="2"/>
    </row>
    <row r="1002" spans="9:9" x14ac:dyDescent="0.25">
      <c r="I1002" s="2"/>
    </row>
    <row r="1003" spans="9:9" x14ac:dyDescent="0.25">
      <c r="I1003" s="2"/>
    </row>
    <row r="1004" spans="9:9" x14ac:dyDescent="0.25">
      <c r="I1004" s="2"/>
    </row>
    <row r="1005" spans="9:9" x14ac:dyDescent="0.25">
      <c r="I1005" s="2"/>
    </row>
    <row r="1006" spans="9:9" x14ac:dyDescent="0.25">
      <c r="I1006" s="2"/>
    </row>
    <row r="1007" spans="9:9" x14ac:dyDescent="0.25">
      <c r="I1007" s="2"/>
    </row>
    <row r="1008" spans="9:9" x14ac:dyDescent="0.25">
      <c r="I1008" s="2"/>
    </row>
    <row r="1009" spans="9:9" x14ac:dyDescent="0.25">
      <c r="I1009" s="2"/>
    </row>
    <row r="1010" spans="9:9" x14ac:dyDescent="0.25">
      <c r="I1010" s="2"/>
    </row>
    <row r="1011" spans="9:9" x14ac:dyDescent="0.25">
      <c r="I1011" s="2"/>
    </row>
    <row r="1012" spans="9:9" x14ac:dyDescent="0.25">
      <c r="I1012" s="2"/>
    </row>
    <row r="1013" spans="9:9" x14ac:dyDescent="0.25">
      <c r="I1013" s="2"/>
    </row>
    <row r="1014" spans="9:9" x14ac:dyDescent="0.25">
      <c r="I1014" s="2"/>
    </row>
    <row r="1015" spans="9:9" x14ac:dyDescent="0.25">
      <c r="I1015" s="2"/>
    </row>
    <row r="1016" spans="9:9" x14ac:dyDescent="0.25">
      <c r="I1016" s="2"/>
    </row>
    <row r="1017" spans="9:9" x14ac:dyDescent="0.25">
      <c r="I1017" s="2"/>
    </row>
    <row r="1018" spans="9:9" x14ac:dyDescent="0.25">
      <c r="I1018" s="2"/>
    </row>
    <row r="1019" spans="9:9" x14ac:dyDescent="0.25">
      <c r="I1019" s="2"/>
    </row>
    <row r="1020" spans="9:9" x14ac:dyDescent="0.25">
      <c r="I1020" s="2"/>
    </row>
    <row r="1021" spans="9:9" x14ac:dyDescent="0.25">
      <c r="I1021" s="2"/>
    </row>
    <row r="1022" spans="9:9" x14ac:dyDescent="0.25">
      <c r="I1022" s="2"/>
    </row>
    <row r="1023" spans="9:9" x14ac:dyDescent="0.25">
      <c r="I1023" s="2"/>
    </row>
    <row r="1024" spans="9:9" x14ac:dyDescent="0.25">
      <c r="I1024" s="2"/>
    </row>
    <row r="1025" spans="9:9" x14ac:dyDescent="0.25">
      <c r="I1025" s="2"/>
    </row>
    <row r="1026" spans="9:9" x14ac:dyDescent="0.25">
      <c r="I1026" s="2"/>
    </row>
    <row r="1027" spans="9:9" x14ac:dyDescent="0.25">
      <c r="I1027" s="2"/>
    </row>
    <row r="1028" spans="9:9" x14ac:dyDescent="0.25">
      <c r="I1028" s="2"/>
    </row>
    <row r="1029" spans="9:9" x14ac:dyDescent="0.25">
      <c r="I1029" s="2"/>
    </row>
    <row r="1030" spans="9:9" x14ac:dyDescent="0.25">
      <c r="I1030" s="2"/>
    </row>
    <row r="1031" spans="9:9" x14ac:dyDescent="0.25">
      <c r="I1031" s="2"/>
    </row>
    <row r="1032" spans="9:9" x14ac:dyDescent="0.25">
      <c r="I1032" s="2"/>
    </row>
    <row r="1033" spans="9:9" x14ac:dyDescent="0.25">
      <c r="I1033" s="2"/>
    </row>
    <row r="1034" spans="9:9" x14ac:dyDescent="0.25">
      <c r="I1034" s="2"/>
    </row>
    <row r="1035" spans="9:9" x14ac:dyDescent="0.25">
      <c r="I1035" s="2"/>
    </row>
    <row r="1036" spans="9:9" x14ac:dyDescent="0.25">
      <c r="I1036" s="2"/>
    </row>
    <row r="1037" spans="9:9" x14ac:dyDescent="0.25">
      <c r="I1037" s="2"/>
    </row>
    <row r="1038" spans="9:9" x14ac:dyDescent="0.25">
      <c r="I1038" s="2"/>
    </row>
    <row r="1039" spans="9:9" x14ac:dyDescent="0.25">
      <c r="I1039" s="2"/>
    </row>
    <row r="1040" spans="9:9" x14ac:dyDescent="0.25">
      <c r="I1040" s="2"/>
    </row>
    <row r="1041" spans="9:9" x14ac:dyDescent="0.25">
      <c r="I1041" s="2"/>
    </row>
    <row r="1042" spans="9:9" x14ac:dyDescent="0.25">
      <c r="I1042" s="2"/>
    </row>
    <row r="1043" spans="9:9" x14ac:dyDescent="0.25">
      <c r="I1043" s="2"/>
    </row>
    <row r="1044" spans="9:9" x14ac:dyDescent="0.25">
      <c r="I1044" s="2"/>
    </row>
    <row r="1045" spans="9:9" x14ac:dyDescent="0.25">
      <c r="I1045" s="2"/>
    </row>
    <row r="1046" spans="9:9" x14ac:dyDescent="0.25">
      <c r="I1046" s="2"/>
    </row>
    <row r="1047" spans="9:9" x14ac:dyDescent="0.25">
      <c r="I1047" s="2"/>
    </row>
    <row r="1048" spans="9:9" x14ac:dyDescent="0.25">
      <c r="I1048" s="2"/>
    </row>
    <row r="1049" spans="9:9" x14ac:dyDescent="0.25">
      <c r="I1049" s="2"/>
    </row>
    <row r="1050" spans="9:9" x14ac:dyDescent="0.25">
      <c r="I1050" s="2"/>
    </row>
    <row r="1051" spans="9:9" x14ac:dyDescent="0.25">
      <c r="I1051" s="2"/>
    </row>
    <row r="1052" spans="9:9" x14ac:dyDescent="0.25">
      <c r="I1052" s="2"/>
    </row>
    <row r="1053" spans="9:9" x14ac:dyDescent="0.25">
      <c r="I1053" s="2"/>
    </row>
    <row r="1054" spans="9:9" x14ac:dyDescent="0.25">
      <c r="I1054" s="2"/>
    </row>
    <row r="1055" spans="9:9" x14ac:dyDescent="0.25">
      <c r="I1055" s="2"/>
    </row>
    <row r="1056" spans="9:9" x14ac:dyDescent="0.25">
      <c r="I1056" s="2"/>
    </row>
    <row r="1057" spans="9:9" x14ac:dyDescent="0.25">
      <c r="I1057" s="2"/>
    </row>
    <row r="1058" spans="9:9" x14ac:dyDescent="0.25">
      <c r="I1058" s="2"/>
    </row>
    <row r="1059" spans="9:9" x14ac:dyDescent="0.25">
      <c r="I1059" s="2"/>
    </row>
    <row r="1060" spans="9:9" x14ac:dyDescent="0.25">
      <c r="I1060" s="2"/>
    </row>
    <row r="1061" spans="9:9" x14ac:dyDescent="0.25">
      <c r="I1061" s="2"/>
    </row>
    <row r="1062" spans="9:9" x14ac:dyDescent="0.25">
      <c r="I1062" s="2"/>
    </row>
    <row r="1063" spans="9:9" x14ac:dyDescent="0.25">
      <c r="I1063" s="2"/>
    </row>
    <row r="1064" spans="9:9" x14ac:dyDescent="0.25">
      <c r="I1064" s="2"/>
    </row>
    <row r="1065" spans="9:9" x14ac:dyDescent="0.25">
      <c r="I1065" s="2"/>
    </row>
    <row r="1066" spans="9:9" x14ac:dyDescent="0.25">
      <c r="I1066" s="2"/>
    </row>
    <row r="1067" spans="9:9" x14ac:dyDescent="0.25">
      <c r="I1067" s="2"/>
    </row>
    <row r="1068" spans="9:9" x14ac:dyDescent="0.25">
      <c r="I1068" s="2"/>
    </row>
    <row r="1069" spans="9:9" x14ac:dyDescent="0.25">
      <c r="I1069" s="2"/>
    </row>
    <row r="1070" spans="9:9" x14ac:dyDescent="0.25">
      <c r="I1070" s="2"/>
    </row>
    <row r="1071" spans="9:9" x14ac:dyDescent="0.25">
      <c r="I1071" s="2"/>
    </row>
    <row r="1072" spans="9:9" x14ac:dyDescent="0.25">
      <c r="I1072" s="2"/>
    </row>
    <row r="1073" spans="9:9" x14ac:dyDescent="0.25">
      <c r="I1073" s="2"/>
    </row>
    <row r="1074" spans="9:9" x14ac:dyDescent="0.25">
      <c r="I1074" s="2"/>
    </row>
    <row r="1075" spans="9:9" x14ac:dyDescent="0.25">
      <c r="I1075" s="2"/>
    </row>
    <row r="1076" spans="9:9" x14ac:dyDescent="0.25">
      <c r="I1076" s="2"/>
    </row>
    <row r="1077" spans="9:9" x14ac:dyDescent="0.25">
      <c r="I1077" s="2"/>
    </row>
    <row r="1078" spans="9:9" x14ac:dyDescent="0.25">
      <c r="I1078" s="2"/>
    </row>
    <row r="1079" spans="9:9" x14ac:dyDescent="0.25">
      <c r="I1079" s="2"/>
    </row>
    <row r="1080" spans="9:9" x14ac:dyDescent="0.25">
      <c r="I1080" s="2"/>
    </row>
    <row r="1081" spans="9:9" x14ac:dyDescent="0.25">
      <c r="I1081" s="2"/>
    </row>
    <row r="1082" spans="9:9" x14ac:dyDescent="0.25">
      <c r="I1082" s="2"/>
    </row>
    <row r="1083" spans="9:9" x14ac:dyDescent="0.25">
      <c r="I1083" s="2"/>
    </row>
    <row r="1084" spans="9:9" x14ac:dyDescent="0.25">
      <c r="I1084" s="2"/>
    </row>
    <row r="1085" spans="9:9" x14ac:dyDescent="0.25">
      <c r="I1085" s="2"/>
    </row>
    <row r="1086" spans="9:9" x14ac:dyDescent="0.25">
      <c r="I1086" s="2"/>
    </row>
    <row r="1087" spans="9:9" x14ac:dyDescent="0.25">
      <c r="I1087" s="2"/>
    </row>
    <row r="1088" spans="9:9" x14ac:dyDescent="0.25">
      <c r="I1088" s="2"/>
    </row>
    <row r="1089" spans="9:9" x14ac:dyDescent="0.25">
      <c r="I1089" s="2"/>
    </row>
    <row r="1090" spans="9:9" x14ac:dyDescent="0.25">
      <c r="I1090" s="2"/>
    </row>
    <row r="1091" spans="9:9" x14ac:dyDescent="0.25">
      <c r="I1091" s="2"/>
    </row>
    <row r="1092" spans="9:9" x14ac:dyDescent="0.25">
      <c r="I1092" s="2"/>
    </row>
    <row r="1093" spans="9:9" x14ac:dyDescent="0.25">
      <c r="I1093" s="2"/>
    </row>
    <row r="1094" spans="9:9" x14ac:dyDescent="0.25">
      <c r="I1094" s="2"/>
    </row>
    <row r="1095" spans="9:9" x14ac:dyDescent="0.25">
      <c r="I1095" s="2"/>
    </row>
    <row r="1096" spans="9:9" x14ac:dyDescent="0.25">
      <c r="I1096" s="2"/>
    </row>
    <row r="1097" spans="9:9" x14ac:dyDescent="0.25">
      <c r="I1097" s="2"/>
    </row>
    <row r="1098" spans="9:9" x14ac:dyDescent="0.25">
      <c r="I1098" s="2"/>
    </row>
    <row r="1099" spans="9:9" x14ac:dyDescent="0.25">
      <c r="I1099" s="2"/>
    </row>
    <row r="1100" spans="9:9" x14ac:dyDescent="0.25">
      <c r="I1100" s="2"/>
    </row>
    <row r="1101" spans="9:9" x14ac:dyDescent="0.25">
      <c r="I1101" s="2"/>
    </row>
    <row r="1102" spans="9:9" x14ac:dyDescent="0.25">
      <c r="I1102" s="2"/>
    </row>
    <row r="1103" spans="9:9" x14ac:dyDescent="0.25">
      <c r="I1103" s="2"/>
    </row>
    <row r="1104" spans="9:9" x14ac:dyDescent="0.25">
      <c r="I1104" s="2"/>
    </row>
    <row r="1105" spans="9:9" x14ac:dyDescent="0.25">
      <c r="I1105" s="2"/>
    </row>
    <row r="1106" spans="9:9" x14ac:dyDescent="0.25">
      <c r="I1106" s="2"/>
    </row>
    <row r="1107" spans="9:9" x14ac:dyDescent="0.25">
      <c r="I1107" s="2"/>
    </row>
    <row r="1108" spans="9:9" x14ac:dyDescent="0.25">
      <c r="I1108" s="2"/>
    </row>
    <row r="1109" spans="9:9" x14ac:dyDescent="0.25">
      <c r="I1109" s="2"/>
    </row>
    <row r="1110" spans="9:9" x14ac:dyDescent="0.25">
      <c r="I1110" s="2"/>
    </row>
    <row r="1111" spans="9:9" x14ac:dyDescent="0.25">
      <c r="I1111" s="2"/>
    </row>
    <row r="1112" spans="9:9" x14ac:dyDescent="0.25">
      <c r="I1112" s="2"/>
    </row>
    <row r="1113" spans="9:9" x14ac:dyDescent="0.25">
      <c r="I1113" s="2"/>
    </row>
    <row r="1114" spans="9:9" x14ac:dyDescent="0.25">
      <c r="I1114" s="2"/>
    </row>
    <row r="1115" spans="9:9" x14ac:dyDescent="0.25">
      <c r="I1115" s="2"/>
    </row>
    <row r="1116" spans="9:9" x14ac:dyDescent="0.25">
      <c r="I1116" s="2"/>
    </row>
    <row r="1117" spans="9:9" x14ac:dyDescent="0.25">
      <c r="I1117" s="2"/>
    </row>
    <row r="1118" spans="9:9" x14ac:dyDescent="0.25">
      <c r="I1118" s="2"/>
    </row>
    <row r="1119" spans="9:9" x14ac:dyDescent="0.25">
      <c r="I1119" s="2"/>
    </row>
    <row r="1120" spans="9:9" x14ac:dyDescent="0.25">
      <c r="I1120" s="2"/>
    </row>
    <row r="1121" spans="9:9" x14ac:dyDescent="0.25">
      <c r="I1121" s="2"/>
    </row>
    <row r="1122" spans="9:9" x14ac:dyDescent="0.25">
      <c r="I1122" s="2"/>
    </row>
    <row r="1123" spans="9:9" x14ac:dyDescent="0.25">
      <c r="I1123" s="2"/>
    </row>
    <row r="1124" spans="9:9" x14ac:dyDescent="0.25">
      <c r="I1124" s="2"/>
    </row>
    <row r="1125" spans="9:9" x14ac:dyDescent="0.25">
      <c r="I1125" s="2"/>
    </row>
    <row r="1126" spans="9:9" x14ac:dyDescent="0.25">
      <c r="I1126" s="2"/>
    </row>
    <row r="1127" spans="9:9" x14ac:dyDescent="0.25">
      <c r="I1127" s="2"/>
    </row>
    <row r="1128" spans="9:9" x14ac:dyDescent="0.25">
      <c r="I1128" s="2"/>
    </row>
    <row r="1129" spans="9:9" x14ac:dyDescent="0.25">
      <c r="I1129" s="2"/>
    </row>
    <row r="1130" spans="9:9" x14ac:dyDescent="0.25">
      <c r="I1130" s="2"/>
    </row>
    <row r="1131" spans="9:9" x14ac:dyDescent="0.25">
      <c r="I1131" s="2"/>
    </row>
    <row r="1132" spans="9:9" x14ac:dyDescent="0.25">
      <c r="I1132" s="2"/>
    </row>
    <row r="1133" spans="9:9" x14ac:dyDescent="0.25">
      <c r="I1133" s="2"/>
    </row>
    <row r="1134" spans="9:9" x14ac:dyDescent="0.25">
      <c r="I1134" s="2"/>
    </row>
    <row r="1135" spans="9:9" x14ac:dyDescent="0.25">
      <c r="I1135" s="2"/>
    </row>
    <row r="1136" spans="9:9" x14ac:dyDescent="0.25">
      <c r="I1136" s="2"/>
    </row>
    <row r="1137" spans="9:9" x14ac:dyDescent="0.25">
      <c r="I1137" s="2"/>
    </row>
    <row r="1138" spans="9:9" x14ac:dyDescent="0.25">
      <c r="I1138" s="2"/>
    </row>
    <row r="1139" spans="9:9" x14ac:dyDescent="0.25">
      <c r="I1139" s="2"/>
    </row>
    <row r="1140" spans="9:9" x14ac:dyDescent="0.25">
      <c r="I1140" s="2"/>
    </row>
    <row r="1141" spans="9:9" x14ac:dyDescent="0.25">
      <c r="I1141" s="2"/>
    </row>
    <row r="1142" spans="9:9" x14ac:dyDescent="0.25">
      <c r="I1142" s="2"/>
    </row>
    <row r="1143" spans="9:9" x14ac:dyDescent="0.25">
      <c r="I1143" s="2"/>
    </row>
    <row r="1144" spans="9:9" x14ac:dyDescent="0.25">
      <c r="I1144" s="2"/>
    </row>
    <row r="1145" spans="9:9" x14ac:dyDescent="0.25">
      <c r="I1145" s="2"/>
    </row>
    <row r="1146" spans="9:9" x14ac:dyDescent="0.25">
      <c r="I1146" s="2"/>
    </row>
    <row r="1147" spans="9:9" x14ac:dyDescent="0.25">
      <c r="I1147" s="2"/>
    </row>
    <row r="1148" spans="9:9" x14ac:dyDescent="0.25">
      <c r="I1148" s="2"/>
    </row>
    <row r="1149" spans="9:9" x14ac:dyDescent="0.25">
      <c r="I1149" s="2"/>
    </row>
    <row r="1150" spans="9:9" x14ac:dyDescent="0.25">
      <c r="I1150" s="2"/>
    </row>
    <row r="1151" spans="9:9" x14ac:dyDescent="0.25">
      <c r="I1151" s="2"/>
    </row>
    <row r="1152" spans="9:9" x14ac:dyDescent="0.25">
      <c r="I1152" s="2"/>
    </row>
    <row r="1153" spans="9:9" x14ac:dyDescent="0.25">
      <c r="I1153" s="2"/>
    </row>
    <row r="1154" spans="9:9" x14ac:dyDescent="0.25">
      <c r="I1154" s="2"/>
    </row>
    <row r="1155" spans="9:9" x14ac:dyDescent="0.25">
      <c r="I1155" s="2"/>
    </row>
    <row r="1156" spans="9:9" x14ac:dyDescent="0.25">
      <c r="I1156" s="2"/>
    </row>
    <row r="1157" spans="9:9" x14ac:dyDescent="0.25">
      <c r="I1157" s="2"/>
    </row>
    <row r="1158" spans="9:9" x14ac:dyDescent="0.25">
      <c r="I1158" s="2"/>
    </row>
    <row r="1159" spans="9:9" x14ac:dyDescent="0.25">
      <c r="I1159" s="2"/>
    </row>
    <row r="1160" spans="9:9" x14ac:dyDescent="0.25">
      <c r="I1160" s="2"/>
    </row>
    <row r="1161" spans="9:9" x14ac:dyDescent="0.25">
      <c r="I1161" s="2"/>
    </row>
    <row r="1162" spans="9:9" x14ac:dyDescent="0.25">
      <c r="I1162" s="2"/>
    </row>
    <row r="1163" spans="9:9" x14ac:dyDescent="0.25">
      <c r="I1163" s="2"/>
    </row>
    <row r="1164" spans="9:9" x14ac:dyDescent="0.25">
      <c r="I1164" s="2"/>
    </row>
    <row r="1165" spans="9:9" x14ac:dyDescent="0.25">
      <c r="I1165" s="2"/>
    </row>
    <row r="1166" spans="9:9" x14ac:dyDescent="0.25">
      <c r="I1166" s="2"/>
    </row>
    <row r="1167" spans="9:9" x14ac:dyDescent="0.25">
      <c r="I1167" s="2"/>
    </row>
    <row r="1168" spans="9:9" x14ac:dyDescent="0.25">
      <c r="I1168" s="2"/>
    </row>
    <row r="1169" spans="9:9" x14ac:dyDescent="0.25">
      <c r="I1169" s="2"/>
    </row>
    <row r="1170" spans="9:9" x14ac:dyDescent="0.25">
      <c r="I1170" s="2"/>
    </row>
    <row r="1171" spans="9:9" x14ac:dyDescent="0.25">
      <c r="I1171" s="2"/>
    </row>
    <row r="1172" spans="9:9" x14ac:dyDescent="0.25">
      <c r="I1172" s="2"/>
    </row>
    <row r="1173" spans="9:9" x14ac:dyDescent="0.25">
      <c r="I1173" s="2"/>
    </row>
    <row r="1174" spans="9:9" x14ac:dyDescent="0.25">
      <c r="I1174" s="2"/>
    </row>
    <row r="1175" spans="9:9" x14ac:dyDescent="0.25">
      <c r="I1175" s="2"/>
    </row>
    <row r="1176" spans="9:9" x14ac:dyDescent="0.25">
      <c r="I1176" s="2"/>
    </row>
    <row r="1177" spans="9:9" x14ac:dyDescent="0.25">
      <c r="I1177" s="2"/>
    </row>
    <row r="1178" spans="9:9" x14ac:dyDescent="0.25">
      <c r="I1178" s="2"/>
    </row>
    <row r="1179" spans="9:9" x14ac:dyDescent="0.25">
      <c r="I1179" s="2"/>
    </row>
    <row r="1180" spans="9:9" x14ac:dyDescent="0.25">
      <c r="I1180" s="2"/>
    </row>
    <row r="1181" spans="9:9" x14ac:dyDescent="0.25">
      <c r="I1181" s="2"/>
    </row>
    <row r="1182" spans="9:9" x14ac:dyDescent="0.25">
      <c r="I1182" s="2"/>
    </row>
    <row r="1183" spans="9:9" x14ac:dyDescent="0.25">
      <c r="I1183" s="2"/>
    </row>
    <row r="1184" spans="9:9" x14ac:dyDescent="0.25">
      <c r="I1184" s="2"/>
    </row>
    <row r="1185" spans="9:9" x14ac:dyDescent="0.25">
      <c r="I1185" s="2"/>
    </row>
    <row r="1186" spans="9:9" x14ac:dyDescent="0.25">
      <c r="I1186" s="2"/>
    </row>
    <row r="1187" spans="9:9" x14ac:dyDescent="0.25">
      <c r="I1187" s="2"/>
    </row>
    <row r="1188" spans="9:9" x14ac:dyDescent="0.25">
      <c r="I1188" s="2"/>
    </row>
    <row r="1189" spans="9:9" x14ac:dyDescent="0.25">
      <c r="I1189" s="2"/>
    </row>
    <row r="1190" spans="9:9" x14ac:dyDescent="0.25">
      <c r="I1190" s="2"/>
    </row>
    <row r="1191" spans="9:9" x14ac:dyDescent="0.25">
      <c r="I1191" s="2"/>
    </row>
    <row r="1192" spans="9:9" x14ac:dyDescent="0.25">
      <c r="I1192" s="2"/>
    </row>
    <row r="1193" spans="9:9" x14ac:dyDescent="0.25">
      <c r="I1193" s="2"/>
    </row>
    <row r="1194" spans="9:9" x14ac:dyDescent="0.25">
      <c r="I1194" s="2"/>
    </row>
    <row r="1195" spans="9:9" x14ac:dyDescent="0.25">
      <c r="I1195" s="2"/>
    </row>
    <row r="1196" spans="9:9" x14ac:dyDescent="0.25">
      <c r="I1196" s="2"/>
    </row>
    <row r="1197" spans="9:9" x14ac:dyDescent="0.25">
      <c r="I1197" s="2"/>
    </row>
    <row r="1198" spans="9:9" x14ac:dyDescent="0.25">
      <c r="I1198" s="2"/>
    </row>
    <row r="1199" spans="9:9" x14ac:dyDescent="0.25">
      <c r="I1199" s="2"/>
    </row>
    <row r="1200" spans="9:9" x14ac:dyDescent="0.25">
      <c r="I1200" s="2"/>
    </row>
    <row r="1201" spans="9:9" x14ac:dyDescent="0.25">
      <c r="I1201" s="2"/>
    </row>
    <row r="1202" spans="9:9" x14ac:dyDescent="0.25">
      <c r="I1202" s="2"/>
    </row>
    <row r="1203" spans="9:9" x14ac:dyDescent="0.25">
      <c r="I1203" s="2"/>
    </row>
    <row r="1204" spans="9:9" x14ac:dyDescent="0.25">
      <c r="I1204" s="2"/>
    </row>
    <row r="1205" spans="9:9" x14ac:dyDescent="0.25">
      <c r="I1205" s="2"/>
    </row>
    <row r="1206" spans="9:9" x14ac:dyDescent="0.25">
      <c r="I1206" s="2"/>
    </row>
    <row r="1207" spans="9:9" x14ac:dyDescent="0.25">
      <c r="I1207" s="2"/>
    </row>
    <row r="1208" spans="9:9" x14ac:dyDescent="0.25">
      <c r="I1208" s="2"/>
    </row>
    <row r="1209" spans="9:9" x14ac:dyDescent="0.25">
      <c r="I1209" s="2"/>
    </row>
    <row r="1210" spans="9:9" x14ac:dyDescent="0.25">
      <c r="I1210" s="2"/>
    </row>
    <row r="1211" spans="9:9" x14ac:dyDescent="0.25">
      <c r="I1211" s="2"/>
    </row>
    <row r="1212" spans="9:9" x14ac:dyDescent="0.25">
      <c r="I1212" s="2"/>
    </row>
    <row r="1213" spans="9:9" x14ac:dyDescent="0.25">
      <c r="I1213" s="2"/>
    </row>
    <row r="1214" spans="9:9" x14ac:dyDescent="0.25">
      <c r="I1214" s="2"/>
    </row>
    <row r="1215" spans="9:9" x14ac:dyDescent="0.25">
      <c r="I1215" s="2"/>
    </row>
    <row r="1216" spans="9:9" x14ac:dyDescent="0.25">
      <c r="I1216" s="2"/>
    </row>
    <row r="1217" spans="9:9" x14ac:dyDescent="0.25">
      <c r="I1217" s="2"/>
    </row>
    <row r="1218" spans="9:9" x14ac:dyDescent="0.25">
      <c r="I1218" s="2"/>
    </row>
    <row r="1219" spans="9:9" x14ac:dyDescent="0.25">
      <c r="I1219" s="2"/>
    </row>
    <row r="1220" spans="9:9" x14ac:dyDescent="0.25">
      <c r="I1220" s="2"/>
    </row>
    <row r="1221" spans="9:9" x14ac:dyDescent="0.25">
      <c r="I1221" s="2"/>
    </row>
    <row r="1222" spans="9:9" x14ac:dyDescent="0.25">
      <c r="I1222" s="2"/>
    </row>
    <row r="1223" spans="9:9" x14ac:dyDescent="0.25">
      <c r="I1223" s="2"/>
    </row>
    <row r="1224" spans="9:9" x14ac:dyDescent="0.25">
      <c r="I1224" s="2"/>
    </row>
    <row r="1225" spans="9:9" x14ac:dyDescent="0.25">
      <c r="I1225" s="2"/>
    </row>
    <row r="1226" spans="9:9" x14ac:dyDescent="0.25">
      <c r="I1226" s="2"/>
    </row>
    <row r="1227" spans="9:9" x14ac:dyDescent="0.25">
      <c r="I1227" s="2"/>
    </row>
    <row r="1228" spans="9:9" x14ac:dyDescent="0.25">
      <c r="I1228" s="2"/>
    </row>
    <row r="1229" spans="9:9" x14ac:dyDescent="0.25">
      <c r="I1229" s="2"/>
    </row>
    <row r="1230" spans="9:9" x14ac:dyDescent="0.25">
      <c r="I1230" s="2"/>
    </row>
    <row r="1231" spans="9:9" x14ac:dyDescent="0.25">
      <c r="I1231" s="2"/>
    </row>
    <row r="1232" spans="9:9" x14ac:dyDescent="0.25">
      <c r="I1232" s="2"/>
    </row>
    <row r="1233" spans="9:9" x14ac:dyDescent="0.25">
      <c r="I1233" s="2"/>
    </row>
    <row r="1234" spans="9:9" x14ac:dyDescent="0.25">
      <c r="I1234" s="2"/>
    </row>
    <row r="1235" spans="9:9" x14ac:dyDescent="0.25">
      <c r="I1235" s="2"/>
    </row>
    <row r="1236" spans="9:9" x14ac:dyDescent="0.25">
      <c r="I1236" s="2"/>
    </row>
    <row r="1237" spans="9:9" x14ac:dyDescent="0.25">
      <c r="I1237" s="2"/>
    </row>
    <row r="1238" spans="9:9" x14ac:dyDescent="0.25">
      <c r="I1238" s="2"/>
    </row>
    <row r="1239" spans="9:9" x14ac:dyDescent="0.25">
      <c r="I1239" s="2"/>
    </row>
    <row r="1240" spans="9:9" x14ac:dyDescent="0.25">
      <c r="I1240" s="2"/>
    </row>
    <row r="1241" spans="9:9" x14ac:dyDescent="0.25">
      <c r="I1241" s="2"/>
    </row>
    <row r="1242" spans="9:9" x14ac:dyDescent="0.25">
      <c r="I1242" s="2"/>
    </row>
    <row r="1243" spans="9:9" x14ac:dyDescent="0.25">
      <c r="I1243" s="2"/>
    </row>
    <row r="1244" spans="9:9" x14ac:dyDescent="0.25">
      <c r="I1244" s="2"/>
    </row>
    <row r="1245" spans="9:9" x14ac:dyDescent="0.25">
      <c r="I1245" s="2"/>
    </row>
    <row r="1246" spans="9:9" x14ac:dyDescent="0.25">
      <c r="I1246" s="2"/>
    </row>
    <row r="1247" spans="9:9" x14ac:dyDescent="0.25">
      <c r="I1247" s="2"/>
    </row>
    <row r="1248" spans="9:9" x14ac:dyDescent="0.25">
      <c r="I1248" s="2"/>
    </row>
    <row r="1249" spans="9:9" x14ac:dyDescent="0.25">
      <c r="I1249" s="2"/>
    </row>
    <row r="1250" spans="9:9" x14ac:dyDescent="0.25">
      <c r="I1250" s="2"/>
    </row>
    <row r="1251" spans="9:9" x14ac:dyDescent="0.25">
      <c r="I1251" s="2"/>
    </row>
    <row r="1252" spans="9:9" x14ac:dyDescent="0.25">
      <c r="I1252" s="2"/>
    </row>
    <row r="1253" spans="9:9" x14ac:dyDescent="0.25">
      <c r="I1253" s="2"/>
    </row>
    <row r="1254" spans="9:9" x14ac:dyDescent="0.25">
      <c r="I1254" s="2"/>
    </row>
    <row r="1255" spans="9:9" x14ac:dyDescent="0.25">
      <c r="I1255" s="2"/>
    </row>
    <row r="1256" spans="9:9" x14ac:dyDescent="0.25">
      <c r="I1256" s="2"/>
    </row>
    <row r="1257" spans="9:9" x14ac:dyDescent="0.25">
      <c r="I1257" s="2"/>
    </row>
    <row r="1258" spans="9:9" x14ac:dyDescent="0.25">
      <c r="I1258" s="2"/>
    </row>
    <row r="1259" spans="9:9" x14ac:dyDescent="0.25">
      <c r="I1259" s="2"/>
    </row>
    <row r="1260" spans="9:9" x14ac:dyDescent="0.25">
      <c r="I1260" s="2"/>
    </row>
    <row r="1261" spans="9:9" x14ac:dyDescent="0.25">
      <c r="I1261" s="2"/>
    </row>
    <row r="1262" spans="9:9" x14ac:dyDescent="0.25">
      <c r="I1262" s="2"/>
    </row>
    <row r="1263" spans="9:9" x14ac:dyDescent="0.25">
      <c r="I1263" s="2"/>
    </row>
    <row r="1264" spans="9:9" x14ac:dyDescent="0.25">
      <c r="I1264" s="2"/>
    </row>
    <row r="1265" spans="9:9" x14ac:dyDescent="0.25">
      <c r="I1265" s="2"/>
    </row>
    <row r="1266" spans="9:9" x14ac:dyDescent="0.25">
      <c r="I1266" s="2"/>
    </row>
    <row r="1267" spans="9:9" x14ac:dyDescent="0.25">
      <c r="I1267" s="2"/>
    </row>
    <row r="1268" spans="9:9" x14ac:dyDescent="0.25">
      <c r="I1268" s="2"/>
    </row>
    <row r="1269" spans="9:9" x14ac:dyDescent="0.25">
      <c r="I1269" s="2"/>
    </row>
    <row r="1270" spans="9:9" x14ac:dyDescent="0.25">
      <c r="I1270" s="2"/>
    </row>
    <row r="1271" spans="9:9" x14ac:dyDescent="0.25">
      <c r="I1271" s="2"/>
    </row>
    <row r="1272" spans="9:9" x14ac:dyDescent="0.25">
      <c r="I1272" s="2"/>
    </row>
    <row r="1273" spans="9:9" x14ac:dyDescent="0.25">
      <c r="I1273" s="2"/>
    </row>
    <row r="1274" spans="9:9" x14ac:dyDescent="0.25">
      <c r="I1274" s="2"/>
    </row>
    <row r="1275" spans="9:9" x14ac:dyDescent="0.25">
      <c r="I1275" s="2"/>
    </row>
    <row r="1276" spans="9:9" x14ac:dyDescent="0.25">
      <c r="I1276" s="2"/>
    </row>
    <row r="1277" spans="9:9" x14ac:dyDescent="0.25">
      <c r="I1277" s="2"/>
    </row>
    <row r="1278" spans="9:9" x14ac:dyDescent="0.25">
      <c r="I1278" s="2"/>
    </row>
    <row r="1279" spans="9:9" x14ac:dyDescent="0.25">
      <c r="I1279" s="2"/>
    </row>
    <row r="1280" spans="9:9" x14ac:dyDescent="0.25">
      <c r="I1280" s="2"/>
    </row>
    <row r="1281" spans="9:9" x14ac:dyDescent="0.25">
      <c r="I1281" s="2"/>
    </row>
    <row r="1282" spans="9:9" x14ac:dyDescent="0.25">
      <c r="I1282" s="2"/>
    </row>
    <row r="1283" spans="9:9" x14ac:dyDescent="0.25">
      <c r="I1283" s="2"/>
    </row>
    <row r="1284" spans="9:9" x14ac:dyDescent="0.25">
      <c r="I1284" s="2"/>
    </row>
    <row r="1285" spans="9:9" x14ac:dyDescent="0.25">
      <c r="I1285" s="2"/>
    </row>
    <row r="1286" spans="9:9" x14ac:dyDescent="0.25">
      <c r="I1286" s="2"/>
    </row>
    <row r="1287" spans="9:9" x14ac:dyDescent="0.25">
      <c r="I1287" s="2"/>
    </row>
    <row r="1288" spans="9:9" x14ac:dyDescent="0.25">
      <c r="I1288" s="2"/>
    </row>
    <row r="1289" spans="9:9" x14ac:dyDescent="0.25">
      <c r="I1289" s="2"/>
    </row>
    <row r="1290" spans="9:9" x14ac:dyDescent="0.25">
      <c r="I1290" s="2"/>
    </row>
    <row r="1291" spans="9:9" x14ac:dyDescent="0.25">
      <c r="I1291" s="2"/>
    </row>
    <row r="1292" spans="9:9" x14ac:dyDescent="0.25">
      <c r="I1292" s="2"/>
    </row>
    <row r="1293" spans="9:9" x14ac:dyDescent="0.25">
      <c r="I1293" s="2"/>
    </row>
    <row r="1294" spans="9:9" x14ac:dyDescent="0.25">
      <c r="I1294" s="2"/>
    </row>
    <row r="1295" spans="9:9" x14ac:dyDescent="0.25">
      <c r="I1295" s="2"/>
    </row>
    <row r="1296" spans="9:9" x14ac:dyDescent="0.25">
      <c r="I1296" s="2"/>
    </row>
    <row r="1297" spans="9:9" x14ac:dyDescent="0.25">
      <c r="I1297" s="2"/>
    </row>
    <row r="1298" spans="9:9" x14ac:dyDescent="0.25">
      <c r="I1298" s="2"/>
    </row>
    <row r="1299" spans="9:9" x14ac:dyDescent="0.25">
      <c r="I1299" s="2"/>
    </row>
    <row r="1300" spans="9:9" x14ac:dyDescent="0.25">
      <c r="I1300" s="2"/>
    </row>
    <row r="1301" spans="9:9" x14ac:dyDescent="0.25">
      <c r="I1301" s="2"/>
    </row>
    <row r="1302" spans="9:9" x14ac:dyDescent="0.25">
      <c r="I1302" s="2"/>
    </row>
    <row r="1303" spans="9:9" x14ac:dyDescent="0.25">
      <c r="I1303" s="2"/>
    </row>
    <row r="1304" spans="9:9" x14ac:dyDescent="0.25">
      <c r="I1304" s="2"/>
    </row>
    <row r="1305" spans="9:9" x14ac:dyDescent="0.25">
      <c r="I1305" s="2"/>
    </row>
    <row r="1306" spans="9:9" x14ac:dyDescent="0.25">
      <c r="I1306" s="2"/>
    </row>
    <row r="1307" spans="9:9" x14ac:dyDescent="0.25">
      <c r="I1307" s="2"/>
    </row>
    <row r="1308" spans="9:9" x14ac:dyDescent="0.25">
      <c r="I1308" s="2"/>
    </row>
    <row r="1309" spans="9:9" x14ac:dyDescent="0.25">
      <c r="I1309" s="2"/>
    </row>
    <row r="1310" spans="9:9" x14ac:dyDescent="0.25">
      <c r="I1310" s="2"/>
    </row>
    <row r="1311" spans="9:9" x14ac:dyDescent="0.25">
      <c r="I1311" s="2"/>
    </row>
    <row r="1312" spans="9:9" x14ac:dyDescent="0.25">
      <c r="I1312" s="2"/>
    </row>
    <row r="1313" spans="9:9" x14ac:dyDescent="0.25">
      <c r="I1313" s="2"/>
    </row>
    <row r="1314" spans="9:9" x14ac:dyDescent="0.25">
      <c r="I1314" s="2"/>
    </row>
    <row r="1315" spans="9:9" x14ac:dyDescent="0.25">
      <c r="I1315" s="2"/>
    </row>
    <row r="1316" spans="9:9" x14ac:dyDescent="0.25">
      <c r="I1316" s="2"/>
    </row>
    <row r="1317" spans="9:9" x14ac:dyDescent="0.25">
      <c r="I1317" s="2"/>
    </row>
    <row r="1318" spans="9:9" x14ac:dyDescent="0.25">
      <c r="I1318" s="2"/>
    </row>
    <row r="1319" spans="9:9" x14ac:dyDescent="0.25">
      <c r="I1319" s="2"/>
    </row>
    <row r="1320" spans="9:9" x14ac:dyDescent="0.25">
      <c r="I1320" s="2"/>
    </row>
    <row r="1321" spans="9:9" x14ac:dyDescent="0.25">
      <c r="I1321" s="2"/>
    </row>
    <row r="1322" spans="9:9" x14ac:dyDescent="0.25">
      <c r="I1322" s="2"/>
    </row>
    <row r="1323" spans="9:9" x14ac:dyDescent="0.25">
      <c r="I1323" s="2"/>
    </row>
    <row r="1324" spans="9:9" x14ac:dyDescent="0.25">
      <c r="I1324" s="2"/>
    </row>
    <row r="1325" spans="9:9" x14ac:dyDescent="0.25">
      <c r="I1325" s="2"/>
    </row>
    <row r="1326" spans="9:9" x14ac:dyDescent="0.25">
      <c r="I1326" s="2"/>
    </row>
    <row r="1327" spans="9:9" x14ac:dyDescent="0.25">
      <c r="I1327" s="2"/>
    </row>
    <row r="1328" spans="9:9" x14ac:dyDescent="0.25">
      <c r="I1328" s="2"/>
    </row>
    <row r="1329" spans="9:9" x14ac:dyDescent="0.25">
      <c r="I1329" s="2"/>
    </row>
    <row r="1330" spans="9:9" x14ac:dyDescent="0.25">
      <c r="I1330" s="2"/>
    </row>
    <row r="1331" spans="9:9" x14ac:dyDescent="0.25">
      <c r="I1331" s="2"/>
    </row>
    <row r="1332" spans="9:9" x14ac:dyDescent="0.25">
      <c r="I1332" s="2"/>
    </row>
    <row r="1333" spans="9:9" x14ac:dyDescent="0.25">
      <c r="I1333" s="2"/>
    </row>
    <row r="1334" spans="9:9" x14ac:dyDescent="0.25">
      <c r="I1334" s="2"/>
    </row>
    <row r="1335" spans="9:9" x14ac:dyDescent="0.25">
      <c r="I1335" s="2"/>
    </row>
    <row r="1336" spans="9:9" x14ac:dyDescent="0.25">
      <c r="I1336" s="2"/>
    </row>
    <row r="1337" spans="9:9" x14ac:dyDescent="0.25">
      <c r="I1337" s="2"/>
    </row>
    <row r="1338" spans="9:9" x14ac:dyDescent="0.25">
      <c r="I1338" s="2"/>
    </row>
    <row r="1339" spans="9:9" x14ac:dyDescent="0.25">
      <c r="I1339" s="2"/>
    </row>
    <row r="1340" spans="9:9" x14ac:dyDescent="0.25">
      <c r="I1340" s="2"/>
    </row>
    <row r="1341" spans="9:9" x14ac:dyDescent="0.25">
      <c r="I1341" s="2"/>
    </row>
    <row r="1342" spans="9:9" x14ac:dyDescent="0.25">
      <c r="I1342" s="2"/>
    </row>
    <row r="1343" spans="9:9" x14ac:dyDescent="0.25">
      <c r="I1343" s="2"/>
    </row>
    <row r="1344" spans="9:9" x14ac:dyDescent="0.25">
      <c r="I1344" s="2"/>
    </row>
    <row r="1345" spans="9:9" x14ac:dyDescent="0.25">
      <c r="I1345" s="2"/>
    </row>
    <row r="1346" spans="9:9" x14ac:dyDescent="0.25">
      <c r="I1346" s="2"/>
    </row>
    <row r="1347" spans="9:9" x14ac:dyDescent="0.25">
      <c r="I1347" s="2"/>
    </row>
    <row r="1348" spans="9:9" x14ac:dyDescent="0.25">
      <c r="I1348" s="2"/>
    </row>
    <row r="1349" spans="9:9" x14ac:dyDescent="0.25">
      <c r="I1349" s="2"/>
    </row>
    <row r="1350" spans="9:9" x14ac:dyDescent="0.25">
      <c r="I1350" s="2"/>
    </row>
    <row r="1351" spans="9:9" x14ac:dyDescent="0.25">
      <c r="I1351" s="2"/>
    </row>
    <row r="1352" spans="9:9" x14ac:dyDescent="0.25">
      <c r="I1352" s="2"/>
    </row>
    <row r="1353" spans="9:9" x14ac:dyDescent="0.25">
      <c r="I1353" s="2"/>
    </row>
    <row r="1354" spans="9:9" x14ac:dyDescent="0.25">
      <c r="I1354" s="2"/>
    </row>
    <row r="1355" spans="9:9" x14ac:dyDescent="0.25">
      <c r="I1355" s="2"/>
    </row>
    <row r="1356" spans="9:9" x14ac:dyDescent="0.25">
      <c r="I1356" s="2"/>
    </row>
    <row r="1357" spans="9:9" x14ac:dyDescent="0.25">
      <c r="I1357" s="2"/>
    </row>
    <row r="1358" spans="9:9" x14ac:dyDescent="0.25">
      <c r="I1358" s="2"/>
    </row>
    <row r="1359" spans="9:9" x14ac:dyDescent="0.25">
      <c r="I1359" s="2"/>
    </row>
    <row r="1360" spans="9:9" x14ac:dyDescent="0.25">
      <c r="I1360" s="2"/>
    </row>
    <row r="1361" spans="9:9" x14ac:dyDescent="0.25">
      <c r="I1361" s="2"/>
    </row>
    <row r="1362" spans="9:9" x14ac:dyDescent="0.25">
      <c r="I1362" s="2"/>
    </row>
    <row r="1363" spans="9:9" x14ac:dyDescent="0.25">
      <c r="I1363" s="2"/>
    </row>
    <row r="1364" spans="9:9" x14ac:dyDescent="0.25">
      <c r="I1364" s="2"/>
    </row>
    <row r="1365" spans="9:9" x14ac:dyDescent="0.25">
      <c r="I1365" s="2"/>
    </row>
    <row r="1366" spans="9:9" x14ac:dyDescent="0.25">
      <c r="I1366" s="2"/>
    </row>
    <row r="1367" spans="9:9" x14ac:dyDescent="0.25">
      <c r="I1367" s="2"/>
    </row>
    <row r="1368" spans="9:9" x14ac:dyDescent="0.25">
      <c r="I1368" s="2"/>
    </row>
    <row r="1369" spans="9:9" x14ac:dyDescent="0.25">
      <c r="I1369" s="2"/>
    </row>
    <row r="1370" spans="9:9" x14ac:dyDescent="0.25">
      <c r="I1370" s="2"/>
    </row>
    <row r="1371" spans="9:9" x14ac:dyDescent="0.25">
      <c r="I1371" s="2"/>
    </row>
    <row r="1372" spans="9:9" x14ac:dyDescent="0.25">
      <c r="I1372" s="2"/>
    </row>
    <row r="1373" spans="9:9" x14ac:dyDescent="0.25">
      <c r="I1373" s="2"/>
    </row>
    <row r="1374" spans="9:9" x14ac:dyDescent="0.25">
      <c r="I1374" s="2"/>
    </row>
    <row r="1375" spans="9:9" x14ac:dyDescent="0.25">
      <c r="I1375" s="2"/>
    </row>
    <row r="1376" spans="9:9" x14ac:dyDescent="0.25">
      <c r="I1376" s="2"/>
    </row>
    <row r="1377" spans="9:9" x14ac:dyDescent="0.25">
      <c r="I1377" s="2"/>
    </row>
    <row r="1378" spans="9:9" x14ac:dyDescent="0.25">
      <c r="I1378" s="2"/>
    </row>
    <row r="1379" spans="9:9" x14ac:dyDescent="0.25">
      <c r="I1379" s="2"/>
    </row>
    <row r="1380" spans="9:9" x14ac:dyDescent="0.25">
      <c r="I1380" s="2"/>
    </row>
    <row r="1381" spans="9:9" x14ac:dyDescent="0.25">
      <c r="I1381" s="2"/>
    </row>
    <row r="1382" spans="9:9" x14ac:dyDescent="0.25">
      <c r="I1382" s="2"/>
    </row>
    <row r="1383" spans="9:9" x14ac:dyDescent="0.25">
      <c r="I1383" s="2"/>
    </row>
    <row r="1384" spans="9:9" x14ac:dyDescent="0.25">
      <c r="I1384" s="2"/>
    </row>
    <row r="1385" spans="9:9" x14ac:dyDescent="0.25">
      <c r="I1385" s="2"/>
    </row>
    <row r="1386" spans="9:9" x14ac:dyDescent="0.25">
      <c r="I1386" s="2"/>
    </row>
    <row r="1387" spans="9:9" x14ac:dyDescent="0.25">
      <c r="I1387" s="2"/>
    </row>
    <row r="1388" spans="9:9" x14ac:dyDescent="0.25">
      <c r="I1388" s="2"/>
    </row>
    <row r="1389" spans="9:9" x14ac:dyDescent="0.25">
      <c r="I1389" s="2"/>
    </row>
    <row r="1390" spans="9:9" x14ac:dyDescent="0.25">
      <c r="I1390" s="2"/>
    </row>
    <row r="1391" spans="9:9" x14ac:dyDescent="0.25">
      <c r="I1391" s="2"/>
    </row>
    <row r="1392" spans="9:9" x14ac:dyDescent="0.25">
      <c r="I1392" s="2"/>
    </row>
    <row r="1393" spans="9:9" x14ac:dyDescent="0.25">
      <c r="I1393" s="2"/>
    </row>
    <row r="1394" spans="9:9" x14ac:dyDescent="0.25">
      <c r="I1394" s="2"/>
    </row>
    <row r="1395" spans="9:9" x14ac:dyDescent="0.25">
      <c r="I1395" s="2"/>
    </row>
    <row r="1396" spans="9:9" x14ac:dyDescent="0.25">
      <c r="I1396" s="2"/>
    </row>
    <row r="1397" spans="9:9" x14ac:dyDescent="0.25">
      <c r="I1397" s="2"/>
    </row>
    <row r="1398" spans="9:9" x14ac:dyDescent="0.25">
      <c r="I1398" s="2"/>
    </row>
    <row r="1399" spans="9:9" x14ac:dyDescent="0.25">
      <c r="I1399" s="2"/>
    </row>
    <row r="1400" spans="9:9" x14ac:dyDescent="0.25">
      <c r="I1400" s="2"/>
    </row>
    <row r="1401" spans="9:9" x14ac:dyDescent="0.25">
      <c r="I1401" s="2"/>
    </row>
    <row r="1402" spans="9:9" x14ac:dyDescent="0.25">
      <c r="I1402" s="2"/>
    </row>
    <row r="1403" spans="9:9" x14ac:dyDescent="0.25">
      <c r="I1403" s="2"/>
    </row>
    <row r="1404" spans="9:9" x14ac:dyDescent="0.25">
      <c r="I1404" s="2"/>
    </row>
    <row r="1405" spans="9:9" x14ac:dyDescent="0.25">
      <c r="I1405" s="2"/>
    </row>
    <row r="1406" spans="9:9" x14ac:dyDescent="0.25">
      <c r="I1406" s="2"/>
    </row>
    <row r="1407" spans="9:9" x14ac:dyDescent="0.25">
      <c r="I1407" s="2"/>
    </row>
    <row r="1408" spans="9:9" x14ac:dyDescent="0.25">
      <c r="I1408" s="2"/>
    </row>
    <row r="1409" spans="9:9" x14ac:dyDescent="0.25">
      <c r="I1409" s="2"/>
    </row>
    <row r="1410" spans="9:9" x14ac:dyDescent="0.25">
      <c r="I1410" s="2"/>
    </row>
    <row r="1411" spans="9:9" x14ac:dyDescent="0.25">
      <c r="I1411" s="2"/>
    </row>
    <row r="1412" spans="9:9" x14ac:dyDescent="0.25">
      <c r="I1412" s="2"/>
    </row>
    <row r="1413" spans="9:9" x14ac:dyDescent="0.25">
      <c r="I1413" s="2"/>
    </row>
    <row r="1414" spans="9:9" x14ac:dyDescent="0.25">
      <c r="I1414" s="2"/>
    </row>
    <row r="1415" spans="9:9" x14ac:dyDescent="0.25">
      <c r="I1415" s="2"/>
    </row>
    <row r="1416" spans="9:9" x14ac:dyDescent="0.25">
      <c r="I1416" s="2"/>
    </row>
    <row r="1417" spans="9:9" x14ac:dyDescent="0.25">
      <c r="I1417" s="2"/>
    </row>
    <row r="1418" spans="9:9" x14ac:dyDescent="0.25">
      <c r="I1418" s="2"/>
    </row>
    <row r="1419" spans="9:9" x14ac:dyDescent="0.25">
      <c r="I1419" s="2"/>
    </row>
    <row r="1420" spans="9:9" x14ac:dyDescent="0.25">
      <c r="I1420" s="2"/>
    </row>
    <row r="1421" spans="9:9" x14ac:dyDescent="0.25">
      <c r="I1421" s="2"/>
    </row>
    <row r="1422" spans="9:9" x14ac:dyDescent="0.25">
      <c r="I1422" s="2"/>
    </row>
    <row r="1423" spans="9:9" x14ac:dyDescent="0.25">
      <c r="I1423" s="2"/>
    </row>
    <row r="1424" spans="9:9" x14ac:dyDescent="0.25">
      <c r="I1424" s="2"/>
    </row>
    <row r="1425" spans="9:9" x14ac:dyDescent="0.25">
      <c r="I1425" s="2"/>
    </row>
    <row r="1426" spans="9:9" x14ac:dyDescent="0.25">
      <c r="I1426" s="2"/>
    </row>
    <row r="1427" spans="9:9" x14ac:dyDescent="0.25">
      <c r="I1427" s="2"/>
    </row>
    <row r="1428" spans="9:9" x14ac:dyDescent="0.25">
      <c r="I1428" s="2"/>
    </row>
    <row r="1429" spans="9:9" x14ac:dyDescent="0.25">
      <c r="I1429" s="2"/>
    </row>
    <row r="1430" spans="9:9" x14ac:dyDescent="0.25">
      <c r="I1430" s="2"/>
    </row>
    <row r="1431" spans="9:9" x14ac:dyDescent="0.25">
      <c r="I1431" s="2"/>
    </row>
    <row r="1432" spans="9:9" x14ac:dyDescent="0.25">
      <c r="I1432" s="2"/>
    </row>
    <row r="1433" spans="9:9" x14ac:dyDescent="0.25">
      <c r="I1433" s="2"/>
    </row>
    <row r="1434" spans="9:9" x14ac:dyDescent="0.25">
      <c r="I1434" s="2"/>
    </row>
    <row r="1435" spans="9:9" x14ac:dyDescent="0.25">
      <c r="I1435" s="2"/>
    </row>
    <row r="1436" spans="9:9" x14ac:dyDescent="0.25">
      <c r="I1436" s="2"/>
    </row>
    <row r="1437" spans="9:9" x14ac:dyDescent="0.25">
      <c r="I1437" s="2"/>
    </row>
    <row r="1438" spans="9:9" x14ac:dyDescent="0.25">
      <c r="I1438" s="2"/>
    </row>
    <row r="1439" spans="9:9" x14ac:dyDescent="0.25">
      <c r="I1439" s="2"/>
    </row>
    <row r="1440" spans="9:9" x14ac:dyDescent="0.25">
      <c r="I1440" s="2"/>
    </row>
    <row r="1441" spans="9:9" x14ac:dyDescent="0.25">
      <c r="I1441" s="2"/>
    </row>
    <row r="1442" spans="9:9" x14ac:dyDescent="0.25">
      <c r="I1442" s="2"/>
    </row>
    <row r="1443" spans="9:9" x14ac:dyDescent="0.25">
      <c r="I1443" s="2"/>
    </row>
    <row r="1444" spans="9:9" x14ac:dyDescent="0.25">
      <c r="I1444" s="2"/>
    </row>
    <row r="1445" spans="9:9" x14ac:dyDescent="0.25">
      <c r="I1445" s="2"/>
    </row>
    <row r="1446" spans="9:9" x14ac:dyDescent="0.25">
      <c r="I1446" s="2"/>
    </row>
    <row r="1447" spans="9:9" x14ac:dyDescent="0.25">
      <c r="I1447" s="2"/>
    </row>
    <row r="1448" spans="9:9" x14ac:dyDescent="0.25">
      <c r="I1448" s="2"/>
    </row>
    <row r="1449" spans="9:9" x14ac:dyDescent="0.25">
      <c r="I1449" s="2"/>
    </row>
    <row r="1450" spans="9:9" x14ac:dyDescent="0.25">
      <c r="I1450" s="2"/>
    </row>
    <row r="1451" spans="9:9" x14ac:dyDescent="0.25">
      <c r="I1451" s="2"/>
    </row>
    <row r="1452" spans="9:9" x14ac:dyDescent="0.25">
      <c r="I1452" s="2"/>
    </row>
    <row r="1453" spans="9:9" x14ac:dyDescent="0.25">
      <c r="I1453" s="2"/>
    </row>
    <row r="1454" spans="9:9" x14ac:dyDescent="0.25">
      <c r="I1454" s="2"/>
    </row>
    <row r="1455" spans="9:9" x14ac:dyDescent="0.25">
      <c r="I1455" s="2"/>
    </row>
    <row r="1456" spans="9:9" x14ac:dyDescent="0.25">
      <c r="I1456" s="2"/>
    </row>
    <row r="1457" spans="9:9" x14ac:dyDescent="0.25">
      <c r="I1457" s="2"/>
    </row>
    <row r="1458" spans="9:9" x14ac:dyDescent="0.25">
      <c r="I1458" s="2"/>
    </row>
    <row r="1459" spans="9:9" x14ac:dyDescent="0.25">
      <c r="I1459" s="2"/>
    </row>
    <row r="1460" spans="9:9" x14ac:dyDescent="0.25">
      <c r="I1460" s="2"/>
    </row>
    <row r="1461" spans="9:9" x14ac:dyDescent="0.25">
      <c r="I1461" s="2"/>
    </row>
    <row r="1462" spans="9:9" x14ac:dyDescent="0.25">
      <c r="I1462" s="2"/>
    </row>
    <row r="1463" spans="9:9" x14ac:dyDescent="0.25">
      <c r="I1463" s="2"/>
    </row>
    <row r="1464" spans="9:9" x14ac:dyDescent="0.25">
      <c r="I1464" s="2"/>
    </row>
    <row r="1465" spans="9:9" x14ac:dyDescent="0.25">
      <c r="I1465" s="2"/>
    </row>
    <row r="1466" spans="9:9" x14ac:dyDescent="0.25">
      <c r="I1466" s="2"/>
    </row>
    <row r="1467" spans="9:9" x14ac:dyDescent="0.25">
      <c r="I1467" s="2"/>
    </row>
    <row r="1468" spans="9:9" x14ac:dyDescent="0.25">
      <c r="I1468" s="2"/>
    </row>
    <row r="1469" spans="9:9" x14ac:dyDescent="0.25">
      <c r="I1469" s="2"/>
    </row>
    <row r="1470" spans="9:9" x14ac:dyDescent="0.25">
      <c r="I1470" s="2"/>
    </row>
    <row r="1471" spans="9:9" x14ac:dyDescent="0.25">
      <c r="I1471" s="2"/>
    </row>
    <row r="1472" spans="9:9" x14ac:dyDescent="0.25">
      <c r="I1472" s="2"/>
    </row>
    <row r="1473" spans="9:9" x14ac:dyDescent="0.25">
      <c r="I1473" s="2"/>
    </row>
    <row r="1474" spans="9:9" x14ac:dyDescent="0.25">
      <c r="I1474" s="2"/>
    </row>
    <row r="1475" spans="9:9" x14ac:dyDescent="0.25">
      <c r="I1475" s="2"/>
    </row>
    <row r="1476" spans="9:9" x14ac:dyDescent="0.25">
      <c r="I1476" s="2"/>
    </row>
    <row r="1477" spans="9:9" x14ac:dyDescent="0.25">
      <c r="I1477" s="2"/>
    </row>
    <row r="1478" spans="9:9" x14ac:dyDescent="0.25">
      <c r="I1478" s="2"/>
    </row>
    <row r="1479" spans="9:9" x14ac:dyDescent="0.25">
      <c r="I1479" s="2"/>
    </row>
    <row r="1480" spans="9:9" x14ac:dyDescent="0.25">
      <c r="I1480" s="2"/>
    </row>
    <row r="1481" spans="9:9" x14ac:dyDescent="0.25">
      <c r="I1481" s="2"/>
    </row>
    <row r="1482" spans="9:9" x14ac:dyDescent="0.25">
      <c r="I1482" s="2"/>
    </row>
    <row r="1483" spans="9:9" x14ac:dyDescent="0.25">
      <c r="I1483" s="2"/>
    </row>
    <row r="1484" spans="9:9" x14ac:dyDescent="0.25">
      <c r="I1484" s="2"/>
    </row>
    <row r="1485" spans="9:9" x14ac:dyDescent="0.25">
      <c r="I1485" s="2"/>
    </row>
    <row r="1486" spans="9:9" x14ac:dyDescent="0.25">
      <c r="I1486" s="2"/>
    </row>
    <row r="1487" spans="9:9" x14ac:dyDescent="0.25">
      <c r="I1487" s="2"/>
    </row>
    <row r="1488" spans="9:9" x14ac:dyDescent="0.25">
      <c r="I1488" s="2"/>
    </row>
    <row r="1489" spans="9:9" x14ac:dyDescent="0.25">
      <c r="I1489" s="2"/>
    </row>
    <row r="1490" spans="9:9" x14ac:dyDescent="0.25">
      <c r="I1490" s="2"/>
    </row>
    <row r="1491" spans="9:9" x14ac:dyDescent="0.25">
      <c r="I1491" s="2"/>
    </row>
    <row r="1492" spans="9:9" x14ac:dyDescent="0.25">
      <c r="I1492" s="2"/>
    </row>
    <row r="1493" spans="9:9" x14ac:dyDescent="0.25">
      <c r="I1493" s="2"/>
    </row>
    <row r="1494" spans="9:9" x14ac:dyDescent="0.25">
      <c r="I1494" s="2"/>
    </row>
    <row r="1495" spans="9:9" x14ac:dyDescent="0.25">
      <c r="I1495" s="2"/>
    </row>
    <row r="1496" spans="9:9" x14ac:dyDescent="0.25">
      <c r="I1496" s="2"/>
    </row>
    <row r="1497" spans="9:9" x14ac:dyDescent="0.25">
      <c r="I1497" s="2"/>
    </row>
    <row r="1498" spans="9:9" x14ac:dyDescent="0.25">
      <c r="I1498" s="2"/>
    </row>
    <row r="1499" spans="9:9" x14ac:dyDescent="0.25">
      <c r="I1499" s="2"/>
    </row>
    <row r="1500" spans="9:9" x14ac:dyDescent="0.25">
      <c r="I1500" s="2"/>
    </row>
    <row r="1501" spans="9:9" x14ac:dyDescent="0.25">
      <c r="I1501" s="2"/>
    </row>
    <row r="1502" spans="9:9" x14ac:dyDescent="0.25">
      <c r="I1502" s="2"/>
    </row>
    <row r="1503" spans="9:9" x14ac:dyDescent="0.25">
      <c r="I1503" s="2"/>
    </row>
    <row r="1504" spans="9:9" x14ac:dyDescent="0.25">
      <c r="I1504" s="2"/>
    </row>
    <row r="1505" spans="9:9" x14ac:dyDescent="0.25">
      <c r="I1505" s="2"/>
    </row>
    <row r="1506" spans="9:9" x14ac:dyDescent="0.25">
      <c r="I1506" s="2"/>
    </row>
    <row r="1507" spans="9:9" x14ac:dyDescent="0.25">
      <c r="I1507" s="2"/>
    </row>
    <row r="1508" spans="9:9" x14ac:dyDescent="0.25">
      <c r="I1508" s="2"/>
    </row>
    <row r="1509" spans="9:9" x14ac:dyDescent="0.25">
      <c r="I1509" s="2"/>
    </row>
    <row r="1510" spans="9:9" x14ac:dyDescent="0.25">
      <c r="I1510" s="2"/>
    </row>
    <row r="1511" spans="9:9" x14ac:dyDescent="0.25">
      <c r="I1511" s="2"/>
    </row>
    <row r="1512" spans="9:9" x14ac:dyDescent="0.25">
      <c r="I1512" s="2"/>
    </row>
    <row r="1513" spans="9:9" x14ac:dyDescent="0.25">
      <c r="I1513" s="2"/>
    </row>
    <row r="1514" spans="9:9" x14ac:dyDescent="0.25">
      <c r="I1514" s="2"/>
    </row>
    <row r="1515" spans="9:9" x14ac:dyDescent="0.25">
      <c r="I1515" s="2"/>
    </row>
    <row r="1516" spans="9:9" x14ac:dyDescent="0.25">
      <c r="I1516" s="2"/>
    </row>
    <row r="1517" spans="9:9" x14ac:dyDescent="0.25">
      <c r="I1517" s="2"/>
    </row>
    <row r="1518" spans="9:9" x14ac:dyDescent="0.25">
      <c r="I1518" s="2"/>
    </row>
    <row r="1519" spans="9:9" x14ac:dyDescent="0.25">
      <c r="I1519" s="2"/>
    </row>
    <row r="1520" spans="9:9" x14ac:dyDescent="0.25">
      <c r="I1520" s="2"/>
    </row>
    <row r="1521" spans="9:9" x14ac:dyDescent="0.25">
      <c r="I1521" s="2"/>
    </row>
    <row r="1522" spans="9:9" x14ac:dyDescent="0.25">
      <c r="I1522" s="2"/>
    </row>
    <row r="1523" spans="9:9" x14ac:dyDescent="0.25">
      <c r="I1523" s="2"/>
    </row>
    <row r="1524" spans="9:9" x14ac:dyDescent="0.25">
      <c r="I1524" s="2"/>
    </row>
    <row r="1525" spans="9:9" x14ac:dyDescent="0.25">
      <c r="I1525" s="2"/>
    </row>
    <row r="1526" spans="9:9" x14ac:dyDescent="0.25">
      <c r="I1526" s="2"/>
    </row>
    <row r="1527" spans="9:9" x14ac:dyDescent="0.25">
      <c r="I1527" s="2"/>
    </row>
    <row r="1528" spans="9:9" x14ac:dyDescent="0.25">
      <c r="I1528" s="2"/>
    </row>
    <row r="1529" spans="9:9" x14ac:dyDescent="0.25">
      <c r="I1529" s="2"/>
    </row>
    <row r="1530" spans="9:9" x14ac:dyDescent="0.25">
      <c r="I1530" s="2"/>
    </row>
    <row r="1531" spans="9:9" x14ac:dyDescent="0.25">
      <c r="I1531" s="2"/>
    </row>
    <row r="1532" spans="9:9" x14ac:dyDescent="0.25">
      <c r="I1532" s="2"/>
    </row>
    <row r="1533" spans="9:9" x14ac:dyDescent="0.25">
      <c r="I1533" s="2"/>
    </row>
    <row r="1534" spans="9:9" x14ac:dyDescent="0.25">
      <c r="I1534" s="2"/>
    </row>
    <row r="1535" spans="9:9" x14ac:dyDescent="0.25">
      <c r="I1535" s="2"/>
    </row>
    <row r="1536" spans="9:9" x14ac:dyDescent="0.25">
      <c r="I1536" s="2"/>
    </row>
    <row r="1537" spans="9:9" x14ac:dyDescent="0.25">
      <c r="I1537" s="2"/>
    </row>
    <row r="1538" spans="9:9" x14ac:dyDescent="0.25">
      <c r="I1538" s="2"/>
    </row>
    <row r="1539" spans="9:9" x14ac:dyDescent="0.25">
      <c r="I1539" s="2"/>
    </row>
    <row r="1540" spans="9:9" x14ac:dyDescent="0.25">
      <c r="I1540" s="2"/>
    </row>
    <row r="1541" spans="9:9" x14ac:dyDescent="0.25">
      <c r="I1541" s="2"/>
    </row>
    <row r="1542" spans="9:9" x14ac:dyDescent="0.25">
      <c r="I1542" s="2"/>
    </row>
    <row r="1543" spans="9:9" x14ac:dyDescent="0.25">
      <c r="I1543" s="2"/>
    </row>
    <row r="1544" spans="9:9" x14ac:dyDescent="0.25">
      <c r="I1544" s="2"/>
    </row>
    <row r="1545" spans="9:9" x14ac:dyDescent="0.25">
      <c r="I1545" s="2"/>
    </row>
    <row r="1546" spans="9:9" x14ac:dyDescent="0.25">
      <c r="I1546" s="2"/>
    </row>
    <row r="1547" spans="9:9" x14ac:dyDescent="0.25">
      <c r="I1547" s="2"/>
    </row>
    <row r="1548" spans="9:9" x14ac:dyDescent="0.25">
      <c r="I1548" s="2"/>
    </row>
    <row r="1549" spans="9:9" x14ac:dyDescent="0.25">
      <c r="I1549" s="2"/>
    </row>
    <row r="1550" spans="9:9" x14ac:dyDescent="0.25">
      <c r="I1550" s="2"/>
    </row>
    <row r="1551" spans="9:9" x14ac:dyDescent="0.25">
      <c r="I1551" s="2"/>
    </row>
    <row r="1552" spans="9:9" x14ac:dyDescent="0.25">
      <c r="I1552" s="2"/>
    </row>
    <row r="1553" spans="9:9" x14ac:dyDescent="0.25">
      <c r="I1553" s="2"/>
    </row>
    <row r="1554" spans="9:9" x14ac:dyDescent="0.25">
      <c r="I1554" s="2"/>
    </row>
    <row r="1555" spans="9:9" x14ac:dyDescent="0.25">
      <c r="I1555" s="2"/>
    </row>
    <row r="1556" spans="9:9" x14ac:dyDescent="0.25">
      <c r="I1556" s="2"/>
    </row>
    <row r="1557" spans="9:9" x14ac:dyDescent="0.25">
      <c r="I1557" s="2"/>
    </row>
    <row r="1558" spans="9:9" x14ac:dyDescent="0.25">
      <c r="I1558" s="2"/>
    </row>
    <row r="1559" spans="9:9" x14ac:dyDescent="0.25">
      <c r="I1559" s="2"/>
    </row>
    <row r="1560" spans="9:9" x14ac:dyDescent="0.25">
      <c r="I1560" s="2"/>
    </row>
    <row r="1561" spans="9:9" x14ac:dyDescent="0.25">
      <c r="I1561" s="2"/>
    </row>
    <row r="1562" spans="9:9" x14ac:dyDescent="0.25">
      <c r="I1562" s="2"/>
    </row>
    <row r="1563" spans="9:9" x14ac:dyDescent="0.25">
      <c r="I1563" s="2"/>
    </row>
    <row r="1564" spans="9:9" x14ac:dyDescent="0.25">
      <c r="I1564" s="2"/>
    </row>
    <row r="1565" spans="9:9" x14ac:dyDescent="0.25">
      <c r="I1565" s="2"/>
    </row>
    <row r="1566" spans="9:9" x14ac:dyDescent="0.25">
      <c r="I1566" s="2"/>
    </row>
    <row r="1567" spans="9:9" x14ac:dyDescent="0.25">
      <c r="I1567" s="2"/>
    </row>
    <row r="1568" spans="9:9" x14ac:dyDescent="0.25">
      <c r="I1568" s="2"/>
    </row>
    <row r="1569" spans="9:9" x14ac:dyDescent="0.25">
      <c r="I1569" s="2"/>
    </row>
    <row r="1570" spans="9:9" x14ac:dyDescent="0.25">
      <c r="I1570" s="2"/>
    </row>
    <row r="1571" spans="9:9" x14ac:dyDescent="0.25">
      <c r="I1571" s="2"/>
    </row>
    <row r="1572" spans="9:9" x14ac:dyDescent="0.25">
      <c r="I1572" s="2"/>
    </row>
    <row r="1573" spans="9:9" x14ac:dyDescent="0.25">
      <c r="I1573" s="2"/>
    </row>
    <row r="1574" spans="9:9" x14ac:dyDescent="0.25">
      <c r="I1574" s="2"/>
    </row>
    <row r="1575" spans="9:9" x14ac:dyDescent="0.25">
      <c r="I1575" s="2"/>
    </row>
    <row r="1576" spans="9:9" x14ac:dyDescent="0.25">
      <c r="I1576" s="2"/>
    </row>
    <row r="1577" spans="9:9" x14ac:dyDescent="0.25">
      <c r="I1577" s="2"/>
    </row>
    <row r="1578" spans="9:9" x14ac:dyDescent="0.25">
      <c r="I1578" s="2"/>
    </row>
    <row r="1579" spans="9:9" x14ac:dyDescent="0.25">
      <c r="I1579" s="2"/>
    </row>
    <row r="1580" spans="9:9" x14ac:dyDescent="0.25">
      <c r="I1580" s="2"/>
    </row>
    <row r="1581" spans="9:9" x14ac:dyDescent="0.25">
      <c r="I1581" s="2"/>
    </row>
    <row r="1582" spans="9:9" x14ac:dyDescent="0.25">
      <c r="I1582" s="2"/>
    </row>
    <row r="1583" spans="9:9" x14ac:dyDescent="0.25">
      <c r="I1583" s="2"/>
    </row>
    <row r="1584" spans="9:9" x14ac:dyDescent="0.25">
      <c r="I1584" s="2"/>
    </row>
    <row r="1585" spans="9:9" x14ac:dyDescent="0.25">
      <c r="I1585" s="2"/>
    </row>
    <row r="1586" spans="9:9" x14ac:dyDescent="0.25">
      <c r="I1586" s="2"/>
    </row>
    <row r="1587" spans="9:9" x14ac:dyDescent="0.25">
      <c r="I1587" s="2"/>
    </row>
    <row r="1588" spans="9:9" x14ac:dyDescent="0.25">
      <c r="I1588" s="2"/>
    </row>
    <row r="1589" spans="9:9" x14ac:dyDescent="0.25">
      <c r="I1589" s="2"/>
    </row>
    <row r="1590" spans="9:9" x14ac:dyDescent="0.25">
      <c r="I1590" s="2"/>
    </row>
    <row r="1591" spans="9:9" x14ac:dyDescent="0.25">
      <c r="I1591" s="2"/>
    </row>
    <row r="1592" spans="9:9" x14ac:dyDescent="0.25">
      <c r="I1592" s="2"/>
    </row>
    <row r="1593" spans="9:9" x14ac:dyDescent="0.25">
      <c r="I1593" s="2"/>
    </row>
    <row r="1594" spans="9:9" x14ac:dyDescent="0.25">
      <c r="I1594" s="2"/>
    </row>
    <row r="1595" spans="9:9" x14ac:dyDescent="0.25">
      <c r="I1595" s="2"/>
    </row>
    <row r="1596" spans="9:9" x14ac:dyDescent="0.25">
      <c r="I1596" s="2"/>
    </row>
    <row r="1597" spans="9:9" x14ac:dyDescent="0.25">
      <c r="I1597" s="2"/>
    </row>
    <row r="1598" spans="9:9" x14ac:dyDescent="0.25">
      <c r="I1598" s="2"/>
    </row>
    <row r="1599" spans="9:9" x14ac:dyDescent="0.25">
      <c r="I1599" s="2"/>
    </row>
    <row r="1600" spans="9:9" x14ac:dyDescent="0.25">
      <c r="I1600" s="2"/>
    </row>
    <row r="1601" spans="9:9" x14ac:dyDescent="0.25">
      <c r="I1601" s="2"/>
    </row>
    <row r="1602" spans="9:9" x14ac:dyDescent="0.25">
      <c r="I1602" s="2"/>
    </row>
    <row r="1603" spans="9:9" x14ac:dyDescent="0.25">
      <c r="I1603" s="2"/>
    </row>
    <row r="1604" spans="9:9" x14ac:dyDescent="0.25">
      <c r="I1604" s="2"/>
    </row>
    <row r="1605" spans="9:9" x14ac:dyDescent="0.25">
      <c r="I1605" s="2"/>
    </row>
    <row r="1606" spans="9:9" x14ac:dyDescent="0.25">
      <c r="I1606" s="2"/>
    </row>
    <row r="1607" spans="9:9" x14ac:dyDescent="0.25">
      <c r="I1607" s="2"/>
    </row>
    <row r="1608" spans="9:9" x14ac:dyDescent="0.25">
      <c r="I1608" s="2"/>
    </row>
    <row r="1609" spans="9:9" x14ac:dyDescent="0.25">
      <c r="I1609" s="2"/>
    </row>
    <row r="1610" spans="9:9" x14ac:dyDescent="0.25">
      <c r="I1610" s="2"/>
    </row>
    <row r="1611" spans="9:9" x14ac:dyDescent="0.25">
      <c r="I1611" s="2"/>
    </row>
    <row r="1612" spans="9:9" x14ac:dyDescent="0.25">
      <c r="I1612" s="2"/>
    </row>
    <row r="1613" spans="9:9" x14ac:dyDescent="0.25">
      <c r="I1613" s="2"/>
    </row>
    <row r="1614" spans="9:9" x14ac:dyDescent="0.25">
      <c r="I1614" s="2"/>
    </row>
    <row r="1615" spans="9:9" x14ac:dyDescent="0.25">
      <c r="I1615" s="2"/>
    </row>
    <row r="1616" spans="9:9" x14ac:dyDescent="0.25">
      <c r="I1616" s="2"/>
    </row>
    <row r="1617" spans="9:9" x14ac:dyDescent="0.25">
      <c r="I1617" s="2"/>
    </row>
    <row r="1618" spans="9:9" x14ac:dyDescent="0.25">
      <c r="I1618" s="2"/>
    </row>
    <row r="1619" spans="9:9" x14ac:dyDescent="0.25">
      <c r="I1619" s="2"/>
    </row>
    <row r="1620" spans="9:9" x14ac:dyDescent="0.25">
      <c r="I1620" s="2"/>
    </row>
    <row r="1621" spans="9:9" x14ac:dyDescent="0.25">
      <c r="I1621" s="2"/>
    </row>
    <row r="1622" spans="9:9" x14ac:dyDescent="0.25">
      <c r="I1622" s="2"/>
    </row>
    <row r="1623" spans="9:9" x14ac:dyDescent="0.25">
      <c r="I1623" s="2"/>
    </row>
    <row r="1624" spans="9:9" x14ac:dyDescent="0.25">
      <c r="I1624" s="2"/>
    </row>
    <row r="1625" spans="9:9" x14ac:dyDescent="0.25">
      <c r="I1625" s="2"/>
    </row>
    <row r="1626" spans="9:9" x14ac:dyDescent="0.25">
      <c r="I1626" s="2"/>
    </row>
    <row r="1627" spans="9:9" x14ac:dyDescent="0.25">
      <c r="I1627" s="2"/>
    </row>
    <row r="1628" spans="9:9" x14ac:dyDescent="0.25">
      <c r="I1628" s="2"/>
    </row>
    <row r="1629" spans="9:9" x14ac:dyDescent="0.25">
      <c r="I1629" s="2"/>
    </row>
    <row r="1630" spans="9:9" x14ac:dyDescent="0.25">
      <c r="I1630" s="2"/>
    </row>
    <row r="1631" spans="9:9" x14ac:dyDescent="0.25">
      <c r="I1631" s="2"/>
    </row>
    <row r="1632" spans="9:9" x14ac:dyDescent="0.25">
      <c r="I1632" s="2"/>
    </row>
    <row r="1633" spans="9:9" x14ac:dyDescent="0.25">
      <c r="I1633" s="2"/>
    </row>
    <row r="1634" spans="9:9" x14ac:dyDescent="0.25">
      <c r="I1634" s="2"/>
    </row>
    <row r="1635" spans="9:9" x14ac:dyDescent="0.25">
      <c r="I1635" s="2"/>
    </row>
    <row r="1636" spans="9:9" x14ac:dyDescent="0.25">
      <c r="I1636" s="2"/>
    </row>
    <row r="1637" spans="9:9" x14ac:dyDescent="0.25">
      <c r="I1637" s="2"/>
    </row>
    <row r="1638" spans="9:9" x14ac:dyDescent="0.25">
      <c r="I1638" s="2"/>
    </row>
    <row r="1639" spans="9:9" x14ac:dyDescent="0.25">
      <c r="I1639" s="2"/>
    </row>
    <row r="1640" spans="9:9" x14ac:dyDescent="0.25">
      <c r="I1640" s="2"/>
    </row>
    <row r="1641" spans="9:9" x14ac:dyDescent="0.25">
      <c r="I1641" s="2"/>
    </row>
    <row r="1642" spans="9:9" x14ac:dyDescent="0.25">
      <c r="I1642" s="2"/>
    </row>
    <row r="1643" spans="9:9" x14ac:dyDescent="0.25">
      <c r="I1643" s="2"/>
    </row>
    <row r="1644" spans="9:9" x14ac:dyDescent="0.25">
      <c r="I1644" s="2"/>
    </row>
    <row r="1645" spans="9:9" x14ac:dyDescent="0.25">
      <c r="I1645" s="2"/>
    </row>
    <row r="1646" spans="9:9" x14ac:dyDescent="0.25">
      <c r="I1646" s="2"/>
    </row>
    <row r="1647" spans="9:9" x14ac:dyDescent="0.25">
      <c r="I1647" s="2"/>
    </row>
    <row r="1648" spans="9:9" x14ac:dyDescent="0.25">
      <c r="I1648" s="2"/>
    </row>
    <row r="1649" spans="9:9" x14ac:dyDescent="0.25">
      <c r="I1649" s="2"/>
    </row>
    <row r="1650" spans="9:9" x14ac:dyDescent="0.25">
      <c r="I1650" s="2"/>
    </row>
    <row r="1651" spans="9:9" x14ac:dyDescent="0.25">
      <c r="I1651" s="2"/>
    </row>
    <row r="1652" spans="9:9" x14ac:dyDescent="0.25">
      <c r="I1652" s="2"/>
    </row>
    <row r="1653" spans="9:9" x14ac:dyDescent="0.25">
      <c r="I1653" s="2"/>
    </row>
    <row r="1654" spans="9:9" x14ac:dyDescent="0.25">
      <c r="I1654" s="2"/>
    </row>
    <row r="1655" spans="9:9" x14ac:dyDescent="0.25">
      <c r="I1655" s="2"/>
    </row>
    <row r="1656" spans="9:9" x14ac:dyDescent="0.25">
      <c r="I1656" s="2"/>
    </row>
    <row r="1657" spans="9:9" x14ac:dyDescent="0.25">
      <c r="I1657" s="2"/>
    </row>
    <row r="1658" spans="9:9" x14ac:dyDescent="0.25">
      <c r="I1658" s="2"/>
    </row>
    <row r="1659" spans="9:9" x14ac:dyDescent="0.25">
      <c r="I1659" s="2"/>
    </row>
    <row r="1660" spans="9:9" x14ac:dyDescent="0.25">
      <c r="I1660" s="2"/>
    </row>
    <row r="1661" spans="9:9" x14ac:dyDescent="0.25">
      <c r="I1661" s="2"/>
    </row>
    <row r="1662" spans="9:9" x14ac:dyDescent="0.25">
      <c r="I1662" s="2"/>
    </row>
    <row r="1663" spans="9:9" x14ac:dyDescent="0.25">
      <c r="I1663" s="2"/>
    </row>
    <row r="1664" spans="9:9" x14ac:dyDescent="0.25">
      <c r="I1664" s="2"/>
    </row>
    <row r="1665" spans="9:9" x14ac:dyDescent="0.25">
      <c r="I1665" s="2"/>
    </row>
    <row r="1666" spans="9:9" x14ac:dyDescent="0.25">
      <c r="I1666" s="2"/>
    </row>
    <row r="1667" spans="9:9" x14ac:dyDescent="0.25">
      <c r="I1667" s="2"/>
    </row>
    <row r="1668" spans="9:9" x14ac:dyDescent="0.25">
      <c r="I1668" s="2"/>
    </row>
    <row r="1669" spans="9:9" x14ac:dyDescent="0.25">
      <c r="I1669" s="2"/>
    </row>
    <row r="1670" spans="9:9" x14ac:dyDescent="0.25">
      <c r="I1670" s="2"/>
    </row>
    <row r="1671" spans="9:9" x14ac:dyDescent="0.25">
      <c r="I1671" s="2"/>
    </row>
    <row r="1672" spans="9:9" x14ac:dyDescent="0.25">
      <c r="I1672" s="2"/>
    </row>
    <row r="1673" spans="9:9" x14ac:dyDescent="0.25">
      <c r="I1673" s="2"/>
    </row>
    <row r="1674" spans="9:9" x14ac:dyDescent="0.25">
      <c r="I1674" s="2"/>
    </row>
    <row r="1675" spans="9:9" x14ac:dyDescent="0.25">
      <c r="I1675" s="2"/>
    </row>
    <row r="1676" spans="9:9" x14ac:dyDescent="0.25">
      <c r="I1676" s="2"/>
    </row>
    <row r="1677" spans="9:9" x14ac:dyDescent="0.25">
      <c r="I1677" s="2"/>
    </row>
    <row r="1678" spans="9:9" x14ac:dyDescent="0.25">
      <c r="I1678" s="2"/>
    </row>
    <row r="1679" spans="9:9" x14ac:dyDescent="0.25">
      <c r="I1679" s="2"/>
    </row>
    <row r="1680" spans="9:9" x14ac:dyDescent="0.25">
      <c r="I1680" s="2"/>
    </row>
    <row r="1681" spans="9:9" x14ac:dyDescent="0.25">
      <c r="I1681" s="2"/>
    </row>
    <row r="1682" spans="9:9" x14ac:dyDescent="0.25">
      <c r="I1682" s="2"/>
    </row>
    <row r="1683" spans="9:9" x14ac:dyDescent="0.25">
      <c r="I1683" s="2"/>
    </row>
    <row r="1684" spans="9:9" x14ac:dyDescent="0.25">
      <c r="I1684" s="2"/>
    </row>
    <row r="1685" spans="9:9" x14ac:dyDescent="0.25">
      <c r="I1685" s="2"/>
    </row>
    <row r="1686" spans="9:9" x14ac:dyDescent="0.25">
      <c r="I1686" s="2"/>
    </row>
    <row r="1687" spans="9:9" x14ac:dyDescent="0.25">
      <c r="I1687" s="2"/>
    </row>
    <row r="1688" spans="9:9" x14ac:dyDescent="0.25">
      <c r="I1688" s="2"/>
    </row>
    <row r="1689" spans="9:9" x14ac:dyDescent="0.25">
      <c r="I1689" s="2"/>
    </row>
    <row r="1690" spans="9:9" x14ac:dyDescent="0.25">
      <c r="I1690" s="2"/>
    </row>
    <row r="1691" spans="9:9" x14ac:dyDescent="0.25">
      <c r="I1691" s="2"/>
    </row>
    <row r="1692" spans="9:9" x14ac:dyDescent="0.25">
      <c r="I1692" s="2"/>
    </row>
    <row r="1693" spans="9:9" x14ac:dyDescent="0.25">
      <c r="I1693" s="2"/>
    </row>
    <row r="1694" spans="9:9" x14ac:dyDescent="0.25">
      <c r="I1694" s="2"/>
    </row>
    <row r="1695" spans="9:9" x14ac:dyDescent="0.25">
      <c r="I1695" s="2"/>
    </row>
    <row r="1696" spans="9:9" x14ac:dyDescent="0.25">
      <c r="I1696" s="2"/>
    </row>
    <row r="1697" spans="9:9" x14ac:dyDescent="0.25">
      <c r="I1697" s="2"/>
    </row>
    <row r="1698" spans="9:9" x14ac:dyDescent="0.25">
      <c r="I1698" s="2"/>
    </row>
    <row r="1699" spans="9:9" x14ac:dyDescent="0.25">
      <c r="I1699" s="2"/>
    </row>
    <row r="1700" spans="9:9" x14ac:dyDescent="0.25">
      <c r="I1700" s="2"/>
    </row>
    <row r="1701" spans="9:9" x14ac:dyDescent="0.25">
      <c r="I1701" s="2"/>
    </row>
    <row r="1702" spans="9:9" x14ac:dyDescent="0.25">
      <c r="I1702" s="2"/>
    </row>
    <row r="1703" spans="9:9" x14ac:dyDescent="0.25">
      <c r="I1703" s="2"/>
    </row>
    <row r="1704" spans="9:9" x14ac:dyDescent="0.25">
      <c r="I1704" s="2"/>
    </row>
    <row r="1705" spans="9:9" x14ac:dyDescent="0.25">
      <c r="I1705" s="2"/>
    </row>
    <row r="1706" spans="9:9" x14ac:dyDescent="0.25">
      <c r="I1706" s="2"/>
    </row>
    <row r="1707" spans="9:9" x14ac:dyDescent="0.25">
      <c r="I1707" s="2"/>
    </row>
    <row r="1708" spans="9:9" x14ac:dyDescent="0.25">
      <c r="I1708" s="2"/>
    </row>
    <row r="1709" spans="9:9" x14ac:dyDescent="0.25">
      <c r="I1709" s="2"/>
    </row>
    <row r="1710" spans="9:9" x14ac:dyDescent="0.25">
      <c r="I1710" s="2"/>
    </row>
    <row r="1711" spans="9:9" x14ac:dyDescent="0.25">
      <c r="I1711" s="2"/>
    </row>
    <row r="1712" spans="9:9" x14ac:dyDescent="0.25">
      <c r="I1712" s="2"/>
    </row>
    <row r="1713" spans="9:9" x14ac:dyDescent="0.25">
      <c r="I1713" s="2"/>
    </row>
    <row r="1714" spans="9:9" x14ac:dyDescent="0.25">
      <c r="I1714" s="2"/>
    </row>
    <row r="1715" spans="9:9" x14ac:dyDescent="0.25">
      <c r="I1715" s="2"/>
    </row>
    <row r="1716" spans="9:9" x14ac:dyDescent="0.25">
      <c r="I1716" s="2"/>
    </row>
    <row r="1717" spans="9:9" x14ac:dyDescent="0.25">
      <c r="I1717" s="2"/>
    </row>
    <row r="1718" spans="9:9" x14ac:dyDescent="0.25">
      <c r="I1718" s="2"/>
    </row>
    <row r="1719" spans="9:9" x14ac:dyDescent="0.25">
      <c r="I1719" s="2"/>
    </row>
    <row r="1720" spans="9:9" x14ac:dyDescent="0.25">
      <c r="I1720" s="2"/>
    </row>
    <row r="1721" spans="9:9" x14ac:dyDescent="0.25">
      <c r="I1721" s="2"/>
    </row>
    <row r="1722" spans="9:9" x14ac:dyDescent="0.25">
      <c r="I1722" s="2"/>
    </row>
    <row r="1723" spans="9:9" x14ac:dyDescent="0.25">
      <c r="I1723" s="2"/>
    </row>
    <row r="1724" spans="9:9" x14ac:dyDescent="0.25">
      <c r="I1724" s="2"/>
    </row>
    <row r="1725" spans="9:9" x14ac:dyDescent="0.25">
      <c r="I1725" s="2"/>
    </row>
    <row r="1726" spans="9:9" x14ac:dyDescent="0.25">
      <c r="I1726" s="2"/>
    </row>
    <row r="1727" spans="9:9" x14ac:dyDescent="0.25">
      <c r="I1727" s="2"/>
    </row>
    <row r="1728" spans="9:9" x14ac:dyDescent="0.25">
      <c r="I1728" s="2"/>
    </row>
    <row r="1729" spans="9:9" x14ac:dyDescent="0.25">
      <c r="I1729" s="2"/>
    </row>
    <row r="1730" spans="9:9" x14ac:dyDescent="0.25">
      <c r="I1730" s="2"/>
    </row>
    <row r="1731" spans="9:9" x14ac:dyDescent="0.25">
      <c r="I1731" s="2"/>
    </row>
    <row r="1732" spans="9:9" x14ac:dyDescent="0.25">
      <c r="I1732" s="2"/>
    </row>
    <row r="1733" spans="9:9" x14ac:dyDescent="0.25">
      <c r="I1733" s="2"/>
    </row>
    <row r="1734" spans="9:9" x14ac:dyDescent="0.25">
      <c r="I1734" s="2"/>
    </row>
    <row r="1735" spans="9:9" x14ac:dyDescent="0.25">
      <c r="I1735" s="2"/>
    </row>
    <row r="1736" spans="9:9" x14ac:dyDescent="0.25">
      <c r="I1736" s="2"/>
    </row>
    <row r="1737" spans="9:9" x14ac:dyDescent="0.25">
      <c r="I1737" s="2"/>
    </row>
    <row r="1738" spans="9:9" x14ac:dyDescent="0.25">
      <c r="I1738" s="2"/>
    </row>
    <row r="1739" spans="9:9" x14ac:dyDescent="0.25">
      <c r="I1739" s="2"/>
    </row>
    <row r="1740" spans="9:9" x14ac:dyDescent="0.25">
      <c r="I1740" s="2"/>
    </row>
    <row r="1741" spans="9:9" x14ac:dyDescent="0.25">
      <c r="I1741" s="2"/>
    </row>
    <row r="1742" spans="9:9" x14ac:dyDescent="0.25">
      <c r="I1742" s="2"/>
    </row>
    <row r="1743" spans="9:9" x14ac:dyDescent="0.25">
      <c r="I1743" s="2"/>
    </row>
    <row r="1744" spans="9:9" x14ac:dyDescent="0.25">
      <c r="I1744" s="2"/>
    </row>
    <row r="1745" spans="9:9" x14ac:dyDescent="0.25">
      <c r="I1745" s="2"/>
    </row>
    <row r="1746" spans="9:9" x14ac:dyDescent="0.25">
      <c r="I1746" s="2"/>
    </row>
    <row r="1747" spans="9:9" x14ac:dyDescent="0.25">
      <c r="I1747" s="2"/>
    </row>
    <row r="1748" spans="9:9" x14ac:dyDescent="0.25">
      <c r="I1748" s="2"/>
    </row>
    <row r="1749" spans="9:9" x14ac:dyDescent="0.25">
      <c r="I1749" s="2"/>
    </row>
    <row r="1750" spans="9:9" x14ac:dyDescent="0.25">
      <c r="I1750" s="2"/>
    </row>
    <row r="1751" spans="9:9" x14ac:dyDescent="0.25">
      <c r="I1751" s="2"/>
    </row>
    <row r="1752" spans="9:9" x14ac:dyDescent="0.25">
      <c r="I1752" s="2"/>
    </row>
    <row r="1753" spans="9:9" x14ac:dyDescent="0.25">
      <c r="I1753" s="2"/>
    </row>
    <row r="1754" spans="9:9" x14ac:dyDescent="0.25">
      <c r="I1754" s="2"/>
    </row>
    <row r="1755" spans="9:9" x14ac:dyDescent="0.25">
      <c r="I1755" s="2"/>
    </row>
    <row r="1756" spans="9:9" x14ac:dyDescent="0.25">
      <c r="I1756" s="2"/>
    </row>
    <row r="1757" spans="9:9" x14ac:dyDescent="0.25">
      <c r="I1757" s="2"/>
    </row>
    <row r="1758" spans="9:9" x14ac:dyDescent="0.25">
      <c r="I1758" s="2"/>
    </row>
    <row r="1759" spans="9:9" x14ac:dyDescent="0.25">
      <c r="I1759" s="2"/>
    </row>
    <row r="1760" spans="9:9" x14ac:dyDescent="0.25">
      <c r="I1760" s="2"/>
    </row>
    <row r="1761" spans="9:9" x14ac:dyDescent="0.25">
      <c r="I1761" s="2"/>
    </row>
    <row r="1762" spans="9:9" x14ac:dyDescent="0.25">
      <c r="I1762" s="2"/>
    </row>
    <row r="1763" spans="9:9" x14ac:dyDescent="0.25">
      <c r="I1763" s="2"/>
    </row>
    <row r="1764" spans="9:9" x14ac:dyDescent="0.25">
      <c r="I1764" s="2"/>
    </row>
    <row r="1765" spans="9:9" x14ac:dyDescent="0.25">
      <c r="I1765" s="2"/>
    </row>
    <row r="1766" spans="9:9" x14ac:dyDescent="0.25">
      <c r="I1766" s="2"/>
    </row>
    <row r="1767" spans="9:9" x14ac:dyDescent="0.25">
      <c r="I1767" s="2"/>
    </row>
    <row r="1768" spans="9:9" x14ac:dyDescent="0.25">
      <c r="I1768" s="2"/>
    </row>
    <row r="1769" spans="9:9" x14ac:dyDescent="0.25">
      <c r="I1769" s="2"/>
    </row>
    <row r="1770" spans="9:9" x14ac:dyDescent="0.25">
      <c r="I1770" s="2"/>
    </row>
    <row r="1771" spans="9:9" x14ac:dyDescent="0.25">
      <c r="I1771" s="2"/>
    </row>
    <row r="1772" spans="9:9" x14ac:dyDescent="0.25">
      <c r="I1772" s="2"/>
    </row>
    <row r="1773" spans="9:9" x14ac:dyDescent="0.25">
      <c r="I1773" s="2"/>
    </row>
    <row r="1774" spans="9:9" x14ac:dyDescent="0.25">
      <c r="I1774" s="2"/>
    </row>
    <row r="1775" spans="9:9" x14ac:dyDescent="0.25">
      <c r="I1775" s="2"/>
    </row>
    <row r="1776" spans="9:9" x14ac:dyDescent="0.25">
      <c r="I1776" s="2"/>
    </row>
    <row r="1777" spans="9:9" x14ac:dyDescent="0.25">
      <c r="I1777" s="2"/>
    </row>
    <row r="1778" spans="9:9" x14ac:dyDescent="0.25">
      <c r="I1778" s="2"/>
    </row>
    <row r="1779" spans="9:9" x14ac:dyDescent="0.25">
      <c r="I1779" s="2"/>
    </row>
    <row r="1780" spans="9:9" x14ac:dyDescent="0.25">
      <c r="I1780" s="2"/>
    </row>
    <row r="1781" spans="9:9" x14ac:dyDescent="0.25">
      <c r="I1781" s="2"/>
    </row>
    <row r="1782" spans="9:9" x14ac:dyDescent="0.25">
      <c r="I1782" s="2"/>
    </row>
    <row r="1783" spans="9:9" x14ac:dyDescent="0.25">
      <c r="I1783" s="2"/>
    </row>
    <row r="1784" spans="9:9" x14ac:dyDescent="0.25">
      <c r="I1784" s="2"/>
    </row>
    <row r="1785" spans="9:9" x14ac:dyDescent="0.25">
      <c r="I1785" s="2"/>
    </row>
    <row r="1786" spans="9:9" x14ac:dyDescent="0.25">
      <c r="I1786" s="2"/>
    </row>
    <row r="1787" spans="9:9" x14ac:dyDescent="0.25">
      <c r="I1787" s="2"/>
    </row>
    <row r="1788" spans="9:9" x14ac:dyDescent="0.25">
      <c r="I1788" s="2"/>
    </row>
    <row r="1789" spans="9:9" x14ac:dyDescent="0.25">
      <c r="I1789" s="2"/>
    </row>
    <row r="1790" spans="9:9" x14ac:dyDescent="0.25">
      <c r="I1790" s="2"/>
    </row>
    <row r="1791" spans="9:9" x14ac:dyDescent="0.25">
      <c r="I1791" s="2"/>
    </row>
    <row r="1792" spans="9:9" x14ac:dyDescent="0.25">
      <c r="I1792" s="2"/>
    </row>
    <row r="1793" spans="9:9" x14ac:dyDescent="0.25">
      <c r="I1793" s="2"/>
    </row>
    <row r="1794" spans="9:9" x14ac:dyDescent="0.25">
      <c r="I1794" s="2"/>
    </row>
    <row r="1795" spans="9:9" x14ac:dyDescent="0.25">
      <c r="I1795" s="2"/>
    </row>
    <row r="1796" spans="9:9" x14ac:dyDescent="0.25">
      <c r="I1796" s="2"/>
    </row>
    <row r="1797" spans="9:9" x14ac:dyDescent="0.25">
      <c r="I1797" s="2"/>
    </row>
    <row r="1798" spans="9:9" x14ac:dyDescent="0.25">
      <c r="I1798" s="2"/>
    </row>
    <row r="1799" spans="9:9" x14ac:dyDescent="0.25">
      <c r="I1799" s="2"/>
    </row>
    <row r="1800" spans="9:9" x14ac:dyDescent="0.25">
      <c r="I1800" s="2"/>
    </row>
    <row r="1801" spans="9:9" x14ac:dyDescent="0.25">
      <c r="I1801" s="2"/>
    </row>
    <row r="1802" spans="9:9" x14ac:dyDescent="0.25">
      <c r="I1802" s="2"/>
    </row>
    <row r="1803" spans="9:9" x14ac:dyDescent="0.25">
      <c r="I1803" s="2"/>
    </row>
    <row r="1804" spans="9:9" x14ac:dyDescent="0.25">
      <c r="I1804" s="2"/>
    </row>
    <row r="1805" spans="9:9" x14ac:dyDescent="0.25">
      <c r="I1805" s="2"/>
    </row>
    <row r="1806" spans="9:9" x14ac:dyDescent="0.25">
      <c r="I1806" s="2"/>
    </row>
    <row r="1807" spans="9:9" x14ac:dyDescent="0.25">
      <c r="I1807" s="2"/>
    </row>
    <row r="1808" spans="9:9" x14ac:dyDescent="0.25">
      <c r="I1808" s="2"/>
    </row>
    <row r="1809" spans="9:9" x14ac:dyDescent="0.25">
      <c r="I1809" s="2"/>
    </row>
    <row r="1810" spans="9:9" x14ac:dyDescent="0.25">
      <c r="I1810" s="2"/>
    </row>
    <row r="1811" spans="9:9" x14ac:dyDescent="0.25">
      <c r="I1811" s="2"/>
    </row>
    <row r="1812" spans="9:9" x14ac:dyDescent="0.25">
      <c r="I1812" s="2"/>
    </row>
    <row r="1813" spans="9:9" x14ac:dyDescent="0.25">
      <c r="I1813" s="2"/>
    </row>
    <row r="1814" spans="9:9" x14ac:dyDescent="0.25">
      <c r="I1814" s="2"/>
    </row>
    <row r="1815" spans="9:9" x14ac:dyDescent="0.25">
      <c r="I1815" s="2"/>
    </row>
    <row r="1816" spans="9:9" x14ac:dyDescent="0.25">
      <c r="I1816" s="2"/>
    </row>
    <row r="1817" spans="9:9" x14ac:dyDescent="0.25">
      <c r="I1817" s="2"/>
    </row>
    <row r="1818" spans="9:9" x14ac:dyDescent="0.25">
      <c r="I1818" s="2"/>
    </row>
    <row r="1819" spans="9:9" x14ac:dyDescent="0.25">
      <c r="I1819" s="2"/>
    </row>
    <row r="1820" spans="9:9" x14ac:dyDescent="0.25">
      <c r="I1820" s="2"/>
    </row>
    <row r="1821" spans="9:9" x14ac:dyDescent="0.25">
      <c r="I1821" s="2"/>
    </row>
    <row r="1822" spans="9:9" x14ac:dyDescent="0.25">
      <c r="I1822" s="2"/>
    </row>
    <row r="1823" spans="9:9" x14ac:dyDescent="0.25">
      <c r="I1823" s="2"/>
    </row>
    <row r="1824" spans="9:9" x14ac:dyDescent="0.25">
      <c r="I1824" s="2"/>
    </row>
    <row r="1825" spans="9:9" x14ac:dyDescent="0.25">
      <c r="I1825" s="2"/>
    </row>
    <row r="1826" spans="9:9" x14ac:dyDescent="0.25">
      <c r="I1826" s="2"/>
    </row>
    <row r="1827" spans="9:9" x14ac:dyDescent="0.25">
      <c r="I1827" s="2"/>
    </row>
    <row r="1828" spans="9:9" x14ac:dyDescent="0.25">
      <c r="I1828" s="2"/>
    </row>
    <row r="1829" spans="9:9" x14ac:dyDescent="0.25">
      <c r="I1829" s="2"/>
    </row>
    <row r="1830" spans="9:9" x14ac:dyDescent="0.25">
      <c r="I1830" s="2"/>
    </row>
    <row r="1831" spans="9:9" x14ac:dyDescent="0.25">
      <c r="I1831" s="2"/>
    </row>
    <row r="1832" spans="9:9" x14ac:dyDescent="0.25">
      <c r="I1832" s="2"/>
    </row>
    <row r="1833" spans="9:9" x14ac:dyDescent="0.25">
      <c r="I1833" s="2"/>
    </row>
    <row r="1834" spans="9:9" x14ac:dyDescent="0.25">
      <c r="I1834" s="2"/>
    </row>
    <row r="1835" spans="9:9" x14ac:dyDescent="0.25">
      <c r="I1835" s="2"/>
    </row>
    <row r="1836" spans="9:9" x14ac:dyDescent="0.25">
      <c r="I1836" s="2"/>
    </row>
    <row r="1837" spans="9:9" x14ac:dyDescent="0.25">
      <c r="I1837" s="2"/>
    </row>
    <row r="1838" spans="9:9" x14ac:dyDescent="0.25">
      <c r="I1838" s="2"/>
    </row>
    <row r="1839" spans="9:9" x14ac:dyDescent="0.25">
      <c r="I1839" s="2"/>
    </row>
    <row r="1840" spans="9:9" x14ac:dyDescent="0.25">
      <c r="I1840" s="2"/>
    </row>
    <row r="1841" spans="9:9" x14ac:dyDescent="0.25">
      <c r="I1841" s="2"/>
    </row>
    <row r="1842" spans="9:9" x14ac:dyDescent="0.25">
      <c r="I1842" s="2"/>
    </row>
    <row r="1843" spans="9:9" x14ac:dyDescent="0.25">
      <c r="I1843" s="2"/>
    </row>
    <row r="1844" spans="9:9" x14ac:dyDescent="0.25">
      <c r="I1844" s="2"/>
    </row>
    <row r="1845" spans="9:9" x14ac:dyDescent="0.25">
      <c r="I1845" s="2"/>
    </row>
    <row r="1846" spans="9:9" x14ac:dyDescent="0.25">
      <c r="I1846" s="2"/>
    </row>
    <row r="1847" spans="9:9" x14ac:dyDescent="0.25">
      <c r="I1847" s="2"/>
    </row>
    <row r="1848" spans="9:9" x14ac:dyDescent="0.25">
      <c r="I1848" s="2"/>
    </row>
    <row r="1849" spans="9:9" x14ac:dyDescent="0.25">
      <c r="I1849" s="2"/>
    </row>
    <row r="1850" spans="9:9" x14ac:dyDescent="0.25">
      <c r="I1850" s="2"/>
    </row>
    <row r="1851" spans="9:9" x14ac:dyDescent="0.25">
      <c r="I1851" s="2"/>
    </row>
    <row r="1852" spans="9:9" x14ac:dyDescent="0.25">
      <c r="I1852" s="2"/>
    </row>
    <row r="1853" spans="9:9" x14ac:dyDescent="0.25">
      <c r="I1853" s="2"/>
    </row>
    <row r="1854" spans="9:9" x14ac:dyDescent="0.25">
      <c r="I1854" s="2"/>
    </row>
    <row r="1855" spans="9:9" x14ac:dyDescent="0.25">
      <c r="I1855" s="2"/>
    </row>
    <row r="1856" spans="9:9" x14ac:dyDescent="0.25">
      <c r="I1856" s="2"/>
    </row>
    <row r="1857" spans="9:9" x14ac:dyDescent="0.25">
      <c r="I1857" s="2"/>
    </row>
    <row r="1858" spans="9:9" x14ac:dyDescent="0.25">
      <c r="I1858" s="2"/>
    </row>
    <row r="1859" spans="9:9" x14ac:dyDescent="0.25">
      <c r="I1859" s="2"/>
    </row>
    <row r="1860" spans="9:9" x14ac:dyDescent="0.25">
      <c r="I1860" s="2"/>
    </row>
    <row r="1861" spans="9:9" x14ac:dyDescent="0.25">
      <c r="I1861" s="2"/>
    </row>
    <row r="1862" spans="9:9" x14ac:dyDescent="0.25">
      <c r="I1862" s="2"/>
    </row>
    <row r="1863" spans="9:9" x14ac:dyDescent="0.25">
      <c r="I1863" s="2"/>
    </row>
    <row r="1864" spans="9:9" x14ac:dyDescent="0.25">
      <c r="I1864" s="2"/>
    </row>
    <row r="1865" spans="9:9" x14ac:dyDescent="0.25">
      <c r="I1865" s="2"/>
    </row>
    <row r="1866" spans="9:9" x14ac:dyDescent="0.25">
      <c r="I1866" s="2"/>
    </row>
    <row r="1867" spans="9:9" x14ac:dyDescent="0.25">
      <c r="I1867" s="2"/>
    </row>
    <row r="1868" spans="9:9" x14ac:dyDescent="0.25">
      <c r="I1868" s="2"/>
    </row>
    <row r="1869" spans="9:9" x14ac:dyDescent="0.25">
      <c r="I1869" s="2"/>
    </row>
    <row r="1870" spans="9:9" x14ac:dyDescent="0.25">
      <c r="I1870" s="2"/>
    </row>
    <row r="1871" spans="9:9" x14ac:dyDescent="0.25">
      <c r="I1871" s="2"/>
    </row>
    <row r="1872" spans="9:9" x14ac:dyDescent="0.25">
      <c r="I1872" s="2"/>
    </row>
    <row r="1873" spans="9:9" x14ac:dyDescent="0.25">
      <c r="I1873" s="2"/>
    </row>
    <row r="1874" spans="9:9" x14ac:dyDescent="0.25">
      <c r="I1874" s="2"/>
    </row>
    <row r="1875" spans="9:9" x14ac:dyDescent="0.25">
      <c r="I1875" s="2"/>
    </row>
    <row r="1876" spans="9:9" x14ac:dyDescent="0.25">
      <c r="I1876" s="2"/>
    </row>
    <row r="1877" spans="9:9" x14ac:dyDescent="0.25">
      <c r="I1877" s="2"/>
    </row>
    <row r="1878" spans="9:9" x14ac:dyDescent="0.25">
      <c r="I1878" s="2"/>
    </row>
    <row r="1879" spans="9:9" x14ac:dyDescent="0.25">
      <c r="I1879" s="2"/>
    </row>
    <row r="1880" spans="9:9" x14ac:dyDescent="0.25">
      <c r="I1880" s="2"/>
    </row>
    <row r="1881" spans="9:9" x14ac:dyDescent="0.25">
      <c r="I1881" s="2"/>
    </row>
    <row r="1882" spans="9:9" x14ac:dyDescent="0.25">
      <c r="I1882" s="2"/>
    </row>
    <row r="1883" spans="9:9" x14ac:dyDescent="0.25">
      <c r="I1883" s="2"/>
    </row>
    <row r="1884" spans="9:9" x14ac:dyDescent="0.25">
      <c r="I1884" s="2"/>
    </row>
    <row r="1885" spans="9:9" x14ac:dyDescent="0.25">
      <c r="I1885" s="2"/>
    </row>
    <row r="1886" spans="9:9" x14ac:dyDescent="0.25">
      <c r="I1886" s="2"/>
    </row>
    <row r="1887" spans="9:9" x14ac:dyDescent="0.25">
      <c r="I1887" s="2"/>
    </row>
    <row r="1888" spans="9:9" x14ac:dyDescent="0.25">
      <c r="I1888" s="2"/>
    </row>
    <row r="1889" spans="9:9" x14ac:dyDescent="0.25">
      <c r="I1889" s="2"/>
    </row>
    <row r="1890" spans="9:9" x14ac:dyDescent="0.25">
      <c r="I1890" s="2"/>
    </row>
    <row r="1891" spans="9:9" x14ac:dyDescent="0.25">
      <c r="I1891" s="2"/>
    </row>
    <row r="1892" spans="9:9" x14ac:dyDescent="0.25">
      <c r="I1892" s="2"/>
    </row>
    <row r="1893" spans="9:9" x14ac:dyDescent="0.25">
      <c r="I1893" s="2"/>
    </row>
    <row r="1894" spans="9:9" x14ac:dyDescent="0.25">
      <c r="I1894" s="2"/>
    </row>
    <row r="1895" spans="9:9" x14ac:dyDescent="0.25">
      <c r="I1895" s="2"/>
    </row>
    <row r="1896" spans="9:9" x14ac:dyDescent="0.25">
      <c r="I1896" s="2"/>
    </row>
    <row r="1897" spans="9:9" x14ac:dyDescent="0.25">
      <c r="I1897" s="2"/>
    </row>
    <row r="1898" spans="9:9" x14ac:dyDescent="0.25">
      <c r="I1898" s="2"/>
    </row>
    <row r="1899" spans="9:9" x14ac:dyDescent="0.25">
      <c r="I1899" s="2"/>
    </row>
    <row r="1900" spans="9:9" x14ac:dyDescent="0.25">
      <c r="I1900" s="2"/>
    </row>
    <row r="1901" spans="9:9" x14ac:dyDescent="0.25">
      <c r="I1901" s="2"/>
    </row>
    <row r="1902" spans="9:9" x14ac:dyDescent="0.25">
      <c r="I1902" s="2"/>
    </row>
    <row r="1903" spans="9:9" x14ac:dyDescent="0.25">
      <c r="I1903" s="2"/>
    </row>
    <row r="1904" spans="9:9" x14ac:dyDescent="0.25">
      <c r="I1904" s="2"/>
    </row>
    <row r="1905" spans="9:9" x14ac:dyDescent="0.25">
      <c r="I1905" s="2"/>
    </row>
    <row r="1906" spans="9:9" x14ac:dyDescent="0.25">
      <c r="I1906" s="2"/>
    </row>
    <row r="1907" spans="9:9" x14ac:dyDescent="0.25">
      <c r="I1907" s="2"/>
    </row>
    <row r="1908" spans="9:9" x14ac:dyDescent="0.25">
      <c r="I1908" s="2"/>
    </row>
    <row r="1909" spans="9:9" x14ac:dyDescent="0.25">
      <c r="I1909" s="2"/>
    </row>
    <row r="1910" spans="9:9" x14ac:dyDescent="0.25">
      <c r="I1910" s="2"/>
    </row>
    <row r="1911" spans="9:9" x14ac:dyDescent="0.25">
      <c r="I1911" s="2"/>
    </row>
    <row r="1912" spans="9:9" x14ac:dyDescent="0.25">
      <c r="I1912" s="2"/>
    </row>
    <row r="1913" spans="9:9" x14ac:dyDescent="0.25">
      <c r="I1913" s="2"/>
    </row>
    <row r="1914" spans="9:9" x14ac:dyDescent="0.25">
      <c r="I1914" s="2"/>
    </row>
    <row r="1915" spans="9:9" x14ac:dyDescent="0.25">
      <c r="I1915" s="2"/>
    </row>
    <row r="1916" spans="9:9" x14ac:dyDescent="0.25">
      <c r="I1916" s="2"/>
    </row>
    <row r="1917" spans="9:9" x14ac:dyDescent="0.25">
      <c r="I1917" s="2"/>
    </row>
    <row r="1918" spans="9:9" x14ac:dyDescent="0.25">
      <c r="I1918" s="2"/>
    </row>
    <row r="1919" spans="9:9" x14ac:dyDescent="0.25">
      <c r="I1919" s="2"/>
    </row>
    <row r="1920" spans="9:9" x14ac:dyDescent="0.25">
      <c r="I1920" s="2"/>
    </row>
    <row r="1921" spans="9:9" x14ac:dyDescent="0.25">
      <c r="I1921" s="2"/>
    </row>
    <row r="1922" spans="9:9" x14ac:dyDescent="0.25">
      <c r="I1922" s="2"/>
    </row>
    <row r="1923" spans="9:9" x14ac:dyDescent="0.25">
      <c r="I1923" s="2"/>
    </row>
    <row r="1924" spans="9:9" x14ac:dyDescent="0.25">
      <c r="I1924" s="2"/>
    </row>
    <row r="1925" spans="9:9" x14ac:dyDescent="0.25">
      <c r="I1925" s="2"/>
    </row>
    <row r="1926" spans="9:9" x14ac:dyDescent="0.25">
      <c r="I1926" s="2"/>
    </row>
    <row r="1927" spans="9:9" x14ac:dyDescent="0.25">
      <c r="I1927" s="2"/>
    </row>
    <row r="1928" spans="9:9" x14ac:dyDescent="0.25">
      <c r="I1928" s="2"/>
    </row>
    <row r="1929" spans="9:9" x14ac:dyDescent="0.25">
      <c r="I1929" s="2"/>
    </row>
    <row r="1930" spans="9:9" x14ac:dyDescent="0.25">
      <c r="I1930" s="2"/>
    </row>
    <row r="1931" spans="9:9" x14ac:dyDescent="0.25">
      <c r="I1931" s="2"/>
    </row>
    <row r="1932" spans="9:9" x14ac:dyDescent="0.25">
      <c r="I1932" s="2"/>
    </row>
    <row r="1933" spans="9:9" x14ac:dyDescent="0.25">
      <c r="I1933" s="2"/>
    </row>
    <row r="1934" spans="9:9" x14ac:dyDescent="0.25">
      <c r="I1934" s="2"/>
    </row>
    <row r="1935" spans="9:9" x14ac:dyDescent="0.25">
      <c r="I1935" s="2"/>
    </row>
    <row r="1936" spans="9:9" x14ac:dyDescent="0.25">
      <c r="I1936" s="2"/>
    </row>
    <row r="1937" spans="9:9" x14ac:dyDescent="0.25">
      <c r="I1937" s="2"/>
    </row>
    <row r="1938" spans="9:9" x14ac:dyDescent="0.25">
      <c r="I1938" s="2"/>
    </row>
    <row r="1939" spans="9:9" x14ac:dyDescent="0.25">
      <c r="I1939" s="2"/>
    </row>
    <row r="1940" spans="9:9" x14ac:dyDescent="0.25">
      <c r="I1940" s="2"/>
    </row>
    <row r="1941" spans="9:9" x14ac:dyDescent="0.25">
      <c r="I1941" s="2"/>
    </row>
    <row r="1942" spans="9:9" x14ac:dyDescent="0.25">
      <c r="I1942" s="2"/>
    </row>
    <row r="1943" spans="9:9" x14ac:dyDescent="0.25">
      <c r="I1943" s="2"/>
    </row>
    <row r="1944" spans="9:9" x14ac:dyDescent="0.25">
      <c r="I1944" s="2"/>
    </row>
    <row r="1945" spans="9:9" x14ac:dyDescent="0.25">
      <c r="I1945" s="2"/>
    </row>
    <row r="1946" spans="9:9" x14ac:dyDescent="0.25">
      <c r="I1946" s="2"/>
    </row>
    <row r="1947" spans="9:9" x14ac:dyDescent="0.25">
      <c r="I1947" s="2"/>
    </row>
    <row r="1948" spans="9:9" x14ac:dyDescent="0.25">
      <c r="I1948" s="2"/>
    </row>
    <row r="1949" spans="9:9" x14ac:dyDescent="0.25">
      <c r="I1949" s="2"/>
    </row>
    <row r="1950" spans="9:9" x14ac:dyDescent="0.25">
      <c r="I1950" s="2"/>
    </row>
    <row r="1951" spans="9:9" x14ac:dyDescent="0.25">
      <c r="I1951" s="2"/>
    </row>
    <row r="1952" spans="9:9" x14ac:dyDescent="0.25">
      <c r="I1952" s="2"/>
    </row>
    <row r="1953" spans="9:9" x14ac:dyDescent="0.25">
      <c r="I1953" s="2"/>
    </row>
    <row r="1954" spans="9:9" x14ac:dyDescent="0.25">
      <c r="I1954" s="2"/>
    </row>
    <row r="1955" spans="9:9" x14ac:dyDescent="0.25">
      <c r="I1955" s="2"/>
    </row>
    <row r="1956" spans="9:9" x14ac:dyDescent="0.25">
      <c r="I1956" s="2"/>
    </row>
    <row r="1957" spans="9:9" x14ac:dyDescent="0.25">
      <c r="I1957" s="2"/>
    </row>
    <row r="1958" spans="9:9" x14ac:dyDescent="0.25">
      <c r="I1958" s="2"/>
    </row>
    <row r="1959" spans="9:9" x14ac:dyDescent="0.25">
      <c r="I1959" s="2"/>
    </row>
    <row r="1960" spans="9:9" x14ac:dyDescent="0.25">
      <c r="I1960" s="2"/>
    </row>
    <row r="1961" spans="9:9" x14ac:dyDescent="0.25">
      <c r="I1961" s="2"/>
    </row>
    <row r="1962" spans="9:9" x14ac:dyDescent="0.25">
      <c r="I1962" s="2"/>
    </row>
    <row r="1963" spans="9:9" x14ac:dyDescent="0.25">
      <c r="I1963" s="2"/>
    </row>
    <row r="1964" spans="9:9" x14ac:dyDescent="0.25">
      <c r="I1964" s="2"/>
    </row>
    <row r="1965" spans="9:9" x14ac:dyDescent="0.25">
      <c r="I1965" s="2"/>
    </row>
    <row r="1966" spans="9:9" x14ac:dyDescent="0.25">
      <c r="I1966" s="2"/>
    </row>
    <row r="1967" spans="9:9" x14ac:dyDescent="0.25">
      <c r="I1967" s="2"/>
    </row>
    <row r="1968" spans="9:9" x14ac:dyDescent="0.25">
      <c r="I1968" s="2"/>
    </row>
    <row r="1969" spans="9:9" x14ac:dyDescent="0.25">
      <c r="I1969" s="2"/>
    </row>
    <row r="1970" spans="9:9" x14ac:dyDescent="0.25">
      <c r="I1970" s="2"/>
    </row>
    <row r="1971" spans="9:9" x14ac:dyDescent="0.25">
      <c r="I1971" s="2"/>
    </row>
    <row r="1972" spans="9:9" x14ac:dyDescent="0.25">
      <c r="I1972" s="2"/>
    </row>
    <row r="1973" spans="9:9" x14ac:dyDescent="0.25">
      <c r="I1973" s="2"/>
    </row>
    <row r="1974" spans="9:9" x14ac:dyDescent="0.25">
      <c r="I1974" s="2"/>
    </row>
    <row r="1975" spans="9:9" x14ac:dyDescent="0.25">
      <c r="I1975" s="2"/>
    </row>
    <row r="1976" spans="9:9" x14ac:dyDescent="0.25">
      <c r="I1976" s="2"/>
    </row>
    <row r="1977" spans="9:9" x14ac:dyDescent="0.25">
      <c r="I1977" s="2"/>
    </row>
    <row r="1978" spans="9:9" x14ac:dyDescent="0.25">
      <c r="I1978" s="2"/>
    </row>
    <row r="1979" spans="9:9" x14ac:dyDescent="0.25">
      <c r="I1979" s="2"/>
    </row>
    <row r="1980" spans="9:9" x14ac:dyDescent="0.25">
      <c r="I1980" s="2"/>
    </row>
    <row r="1981" spans="9:9" x14ac:dyDescent="0.25">
      <c r="I1981" s="2"/>
    </row>
    <row r="1982" spans="9:9" x14ac:dyDescent="0.25">
      <c r="I1982" s="2"/>
    </row>
    <row r="1983" spans="9:9" x14ac:dyDescent="0.25">
      <c r="I1983" s="2"/>
    </row>
    <row r="1984" spans="9:9" x14ac:dyDescent="0.25">
      <c r="I1984" s="2"/>
    </row>
    <row r="1985" spans="9:9" x14ac:dyDescent="0.25">
      <c r="I1985" s="2"/>
    </row>
    <row r="1986" spans="9:9" x14ac:dyDescent="0.25">
      <c r="I1986" s="2"/>
    </row>
    <row r="1987" spans="9:9" x14ac:dyDescent="0.25">
      <c r="I1987" s="2"/>
    </row>
    <row r="1988" spans="9:9" x14ac:dyDescent="0.25">
      <c r="I1988" s="2"/>
    </row>
    <row r="1989" spans="9:9" x14ac:dyDescent="0.25">
      <c r="I1989" s="2"/>
    </row>
    <row r="1990" spans="9:9" x14ac:dyDescent="0.25">
      <c r="I1990" s="2"/>
    </row>
    <row r="1991" spans="9:9" x14ac:dyDescent="0.25">
      <c r="I1991" s="2"/>
    </row>
    <row r="1992" spans="9:9" x14ac:dyDescent="0.25">
      <c r="I1992" s="2"/>
    </row>
    <row r="1993" spans="9:9" x14ac:dyDescent="0.25">
      <c r="I1993" s="2"/>
    </row>
    <row r="1994" spans="9:9" x14ac:dyDescent="0.25">
      <c r="I1994" s="2"/>
    </row>
    <row r="1995" spans="9:9" x14ac:dyDescent="0.25">
      <c r="I1995" s="2"/>
    </row>
    <row r="1996" spans="9:9" x14ac:dyDescent="0.25">
      <c r="I1996" s="2"/>
    </row>
    <row r="1997" spans="9:9" x14ac:dyDescent="0.25">
      <c r="I1997" s="2"/>
    </row>
    <row r="1998" spans="9:9" x14ac:dyDescent="0.25">
      <c r="I1998" s="2"/>
    </row>
    <row r="1999" spans="9:9" x14ac:dyDescent="0.25">
      <c r="I1999" s="2"/>
    </row>
    <row r="2000" spans="9:9" x14ac:dyDescent="0.25">
      <c r="I2000" s="2"/>
    </row>
    <row r="2001" spans="9:9" x14ac:dyDescent="0.25">
      <c r="I2001" s="2"/>
    </row>
    <row r="2002" spans="9:9" x14ac:dyDescent="0.25">
      <c r="I2002" s="2"/>
    </row>
    <row r="2003" spans="9:9" x14ac:dyDescent="0.25">
      <c r="I2003" s="2"/>
    </row>
    <row r="2004" spans="9:9" x14ac:dyDescent="0.25">
      <c r="I2004" s="2"/>
    </row>
    <row r="2005" spans="9:9" x14ac:dyDescent="0.25">
      <c r="I2005" s="2"/>
    </row>
    <row r="2006" spans="9:9" x14ac:dyDescent="0.25">
      <c r="I2006" s="2"/>
    </row>
    <row r="2007" spans="9:9" x14ac:dyDescent="0.25">
      <c r="I2007" s="2"/>
    </row>
    <row r="2008" spans="9:9" x14ac:dyDescent="0.25">
      <c r="I2008" s="2"/>
    </row>
    <row r="2009" spans="9:9" x14ac:dyDescent="0.25">
      <c r="I2009" s="2"/>
    </row>
    <row r="2010" spans="9:9" x14ac:dyDescent="0.25">
      <c r="I2010" s="2"/>
    </row>
    <row r="2011" spans="9:9" x14ac:dyDescent="0.25">
      <c r="I2011" s="2"/>
    </row>
    <row r="2012" spans="9:9" x14ac:dyDescent="0.25">
      <c r="I2012" s="2"/>
    </row>
    <row r="2013" spans="9:9" x14ac:dyDescent="0.25">
      <c r="I2013" s="2"/>
    </row>
    <row r="2014" spans="9:9" x14ac:dyDescent="0.25">
      <c r="I2014" s="2"/>
    </row>
    <row r="2015" spans="9:9" x14ac:dyDescent="0.25">
      <c r="I2015" s="2"/>
    </row>
    <row r="2016" spans="9:9" x14ac:dyDescent="0.25">
      <c r="I2016" s="2"/>
    </row>
    <row r="2017" spans="9:9" x14ac:dyDescent="0.25">
      <c r="I2017" s="2"/>
    </row>
    <row r="2018" spans="9:9" x14ac:dyDescent="0.25">
      <c r="I2018" s="2"/>
    </row>
    <row r="2019" spans="9:9" x14ac:dyDescent="0.25">
      <c r="I2019" s="2"/>
    </row>
    <row r="2020" spans="9:9" x14ac:dyDescent="0.25">
      <c r="I2020" s="2"/>
    </row>
    <row r="2021" spans="9:9" x14ac:dyDescent="0.25">
      <c r="I2021" s="2"/>
    </row>
    <row r="2022" spans="9:9" x14ac:dyDescent="0.25">
      <c r="I2022" s="2"/>
    </row>
    <row r="2023" spans="9:9" x14ac:dyDescent="0.25">
      <c r="I2023" s="2"/>
    </row>
    <row r="2024" spans="9:9" x14ac:dyDescent="0.25">
      <c r="I2024" s="2"/>
    </row>
    <row r="2025" spans="9:9" x14ac:dyDescent="0.25">
      <c r="I2025" s="2"/>
    </row>
    <row r="2026" spans="9:9" x14ac:dyDescent="0.25">
      <c r="I2026" s="2"/>
    </row>
    <row r="2027" spans="9:9" x14ac:dyDescent="0.25">
      <c r="I2027" s="2"/>
    </row>
    <row r="2028" spans="9:9" x14ac:dyDescent="0.25">
      <c r="I2028" s="2"/>
    </row>
    <row r="2029" spans="9:9" x14ac:dyDescent="0.25">
      <c r="I2029" s="2"/>
    </row>
    <row r="2030" spans="9:9" x14ac:dyDescent="0.25">
      <c r="I2030" s="2"/>
    </row>
    <row r="2031" spans="9:9" x14ac:dyDescent="0.25">
      <c r="I2031" s="2"/>
    </row>
    <row r="2032" spans="9:9" x14ac:dyDescent="0.25">
      <c r="I2032" s="2"/>
    </row>
    <row r="2033" spans="9:9" x14ac:dyDescent="0.25">
      <c r="I2033" s="2"/>
    </row>
    <row r="2034" spans="9:9" x14ac:dyDescent="0.25">
      <c r="I2034" s="2"/>
    </row>
    <row r="2035" spans="9:9" x14ac:dyDescent="0.25">
      <c r="I2035" s="2"/>
    </row>
    <row r="2036" spans="9:9" x14ac:dyDescent="0.25">
      <c r="I2036" s="2"/>
    </row>
    <row r="2037" spans="9:9" x14ac:dyDescent="0.25">
      <c r="I2037" s="2"/>
    </row>
    <row r="2038" spans="9:9" x14ac:dyDescent="0.25">
      <c r="I2038" s="2"/>
    </row>
    <row r="2039" spans="9:9" x14ac:dyDescent="0.25">
      <c r="I2039" s="2"/>
    </row>
    <row r="2040" spans="9:9" x14ac:dyDescent="0.25">
      <c r="I2040" s="2"/>
    </row>
    <row r="2041" spans="9:9" x14ac:dyDescent="0.25">
      <c r="I2041" s="2"/>
    </row>
    <row r="2042" spans="9:9" x14ac:dyDescent="0.25">
      <c r="I2042" s="2"/>
    </row>
    <row r="2043" spans="9:9" x14ac:dyDescent="0.25">
      <c r="I2043" s="2"/>
    </row>
    <row r="2044" spans="9:9" x14ac:dyDescent="0.25">
      <c r="I2044" s="2"/>
    </row>
    <row r="2045" spans="9:9" x14ac:dyDescent="0.25">
      <c r="I2045" s="2"/>
    </row>
    <row r="2046" spans="9:9" x14ac:dyDescent="0.25">
      <c r="I2046" s="2"/>
    </row>
    <row r="2047" spans="9:9" x14ac:dyDescent="0.25">
      <c r="I2047" s="2"/>
    </row>
    <row r="2048" spans="9:9" x14ac:dyDescent="0.25">
      <c r="I2048" s="2"/>
    </row>
    <row r="2049" spans="9:9" x14ac:dyDescent="0.25">
      <c r="I2049" s="2"/>
    </row>
    <row r="2050" spans="9:9" x14ac:dyDescent="0.25">
      <c r="I2050" s="2"/>
    </row>
    <row r="2051" spans="9:9" x14ac:dyDescent="0.25">
      <c r="I2051" s="2"/>
    </row>
    <row r="2052" spans="9:9" x14ac:dyDescent="0.25">
      <c r="I2052" s="2"/>
    </row>
    <row r="2053" spans="9:9" x14ac:dyDescent="0.25">
      <c r="I2053" s="2"/>
    </row>
    <row r="2054" spans="9:9" x14ac:dyDescent="0.25">
      <c r="I2054" s="2"/>
    </row>
    <row r="2055" spans="9:9" x14ac:dyDescent="0.25">
      <c r="I2055" s="2"/>
    </row>
    <row r="2056" spans="9:9" x14ac:dyDescent="0.25">
      <c r="I2056" s="2"/>
    </row>
    <row r="2057" spans="9:9" x14ac:dyDescent="0.25">
      <c r="I2057" s="2"/>
    </row>
    <row r="2058" spans="9:9" x14ac:dyDescent="0.25">
      <c r="I2058" s="2"/>
    </row>
    <row r="2059" spans="9:9" x14ac:dyDescent="0.25">
      <c r="I2059" s="2"/>
    </row>
    <row r="2060" spans="9:9" x14ac:dyDescent="0.25">
      <c r="I2060" s="2"/>
    </row>
    <row r="2061" spans="9:9" x14ac:dyDescent="0.25">
      <c r="I2061" s="2"/>
    </row>
    <row r="2062" spans="9:9" x14ac:dyDescent="0.25">
      <c r="I2062" s="2"/>
    </row>
    <row r="2063" spans="9:9" x14ac:dyDescent="0.25">
      <c r="I2063" s="2"/>
    </row>
    <row r="2064" spans="9:9" x14ac:dyDescent="0.25">
      <c r="I2064" s="2"/>
    </row>
    <row r="2065" spans="9:9" x14ac:dyDescent="0.25">
      <c r="I2065" s="2"/>
    </row>
    <row r="2066" spans="9:9" x14ac:dyDescent="0.25">
      <c r="I2066" s="2"/>
    </row>
    <row r="2067" spans="9:9" x14ac:dyDescent="0.25">
      <c r="I2067" s="2"/>
    </row>
    <row r="2068" spans="9:9" x14ac:dyDescent="0.25">
      <c r="I2068" s="2"/>
    </row>
    <row r="2069" spans="9:9" x14ac:dyDescent="0.25">
      <c r="I2069" s="2"/>
    </row>
    <row r="2070" spans="9:9" x14ac:dyDescent="0.25">
      <c r="I2070" s="2"/>
    </row>
    <row r="2071" spans="9:9" x14ac:dyDescent="0.25">
      <c r="I2071" s="2"/>
    </row>
    <row r="2072" spans="9:9" x14ac:dyDescent="0.25">
      <c r="I2072" s="2"/>
    </row>
    <row r="2073" spans="9:9" x14ac:dyDescent="0.25">
      <c r="I2073" s="2"/>
    </row>
    <row r="2074" spans="9:9" x14ac:dyDescent="0.25">
      <c r="I2074" s="2"/>
    </row>
    <row r="2075" spans="9:9" x14ac:dyDescent="0.25">
      <c r="I2075" s="2"/>
    </row>
    <row r="2076" spans="9:9" x14ac:dyDescent="0.25">
      <c r="I2076" s="2"/>
    </row>
    <row r="2077" spans="9:9" x14ac:dyDescent="0.25">
      <c r="I2077" s="2"/>
    </row>
    <row r="2078" spans="9:9" x14ac:dyDescent="0.25">
      <c r="I2078" s="2"/>
    </row>
    <row r="2079" spans="9:9" x14ac:dyDescent="0.25">
      <c r="I2079" s="2"/>
    </row>
    <row r="2080" spans="9:9" x14ac:dyDescent="0.25">
      <c r="I2080" s="2"/>
    </row>
    <row r="2081" spans="9:9" x14ac:dyDescent="0.25">
      <c r="I2081" s="2"/>
    </row>
    <row r="2082" spans="9:9" x14ac:dyDescent="0.25">
      <c r="I2082" s="2"/>
    </row>
    <row r="2083" spans="9:9" x14ac:dyDescent="0.25">
      <c r="I2083" s="2"/>
    </row>
    <row r="2084" spans="9:9" x14ac:dyDescent="0.25">
      <c r="I2084" s="2"/>
    </row>
    <row r="2085" spans="9:9" x14ac:dyDescent="0.25">
      <c r="I2085" s="2"/>
    </row>
    <row r="2086" spans="9:9" x14ac:dyDescent="0.25">
      <c r="I2086" s="2"/>
    </row>
    <row r="2087" spans="9:9" x14ac:dyDescent="0.25">
      <c r="I2087" s="2"/>
    </row>
    <row r="2088" spans="9:9" x14ac:dyDescent="0.25">
      <c r="I2088" s="2"/>
    </row>
    <row r="2089" spans="9:9" x14ac:dyDescent="0.25">
      <c r="I2089" s="2"/>
    </row>
    <row r="2090" spans="9:9" x14ac:dyDescent="0.25">
      <c r="I2090" s="2"/>
    </row>
    <row r="2091" spans="9:9" x14ac:dyDescent="0.25">
      <c r="I2091" s="2"/>
    </row>
    <row r="2092" spans="9:9" x14ac:dyDescent="0.25">
      <c r="I2092" s="2"/>
    </row>
    <row r="2093" spans="9:9" x14ac:dyDescent="0.25">
      <c r="I2093" s="2"/>
    </row>
    <row r="2094" spans="9:9" x14ac:dyDescent="0.25">
      <c r="I2094" s="2"/>
    </row>
    <row r="2095" spans="9:9" x14ac:dyDescent="0.25">
      <c r="I2095" s="2"/>
    </row>
    <row r="2096" spans="9:9" x14ac:dyDescent="0.25">
      <c r="I2096" s="2"/>
    </row>
    <row r="2097" spans="9:9" x14ac:dyDescent="0.25">
      <c r="I2097" s="2"/>
    </row>
    <row r="2098" spans="9:9" x14ac:dyDescent="0.25">
      <c r="I2098" s="2"/>
    </row>
    <row r="2099" spans="9:9" x14ac:dyDescent="0.25">
      <c r="I2099" s="2"/>
    </row>
    <row r="2100" spans="9:9" x14ac:dyDescent="0.25">
      <c r="I2100" s="2"/>
    </row>
    <row r="2101" spans="9:9" x14ac:dyDescent="0.25">
      <c r="I2101" s="2"/>
    </row>
    <row r="2102" spans="9:9" x14ac:dyDescent="0.25">
      <c r="I2102" s="2"/>
    </row>
    <row r="2103" spans="9:9" x14ac:dyDescent="0.25">
      <c r="I2103" s="2"/>
    </row>
    <row r="2104" spans="9:9" x14ac:dyDescent="0.25">
      <c r="I2104" s="2"/>
    </row>
    <row r="2105" spans="9:9" x14ac:dyDescent="0.25">
      <c r="I2105" s="2"/>
    </row>
    <row r="2106" spans="9:9" x14ac:dyDescent="0.25">
      <c r="I2106" s="2"/>
    </row>
    <row r="2107" spans="9:9" x14ac:dyDescent="0.25">
      <c r="I2107" s="2"/>
    </row>
    <row r="2108" spans="9:9" x14ac:dyDescent="0.25">
      <c r="I2108" s="2"/>
    </row>
    <row r="2109" spans="9:9" x14ac:dyDescent="0.25">
      <c r="I2109" s="2"/>
    </row>
    <row r="2110" spans="9:9" x14ac:dyDescent="0.25">
      <c r="I2110" s="2"/>
    </row>
    <row r="2111" spans="9:9" x14ac:dyDescent="0.25">
      <c r="I2111" s="2"/>
    </row>
    <row r="2112" spans="9:9" x14ac:dyDescent="0.25">
      <c r="I2112" s="2"/>
    </row>
    <row r="2113" spans="9:9" x14ac:dyDescent="0.25">
      <c r="I2113" s="2"/>
    </row>
    <row r="2114" spans="9:9" x14ac:dyDescent="0.25">
      <c r="I2114" s="2"/>
    </row>
    <row r="2115" spans="9:9" x14ac:dyDescent="0.25">
      <c r="I2115" s="2"/>
    </row>
    <row r="2116" spans="9:9" x14ac:dyDescent="0.25">
      <c r="I2116" s="2"/>
    </row>
    <row r="2117" spans="9:9" x14ac:dyDescent="0.25">
      <c r="I2117" s="2"/>
    </row>
    <row r="2118" spans="9:9" x14ac:dyDescent="0.25">
      <c r="I2118" s="2"/>
    </row>
    <row r="2119" spans="9:9" x14ac:dyDescent="0.25">
      <c r="I2119" s="2"/>
    </row>
    <row r="2120" spans="9:9" x14ac:dyDescent="0.25">
      <c r="I2120" s="2"/>
    </row>
    <row r="2121" spans="9:9" x14ac:dyDescent="0.25">
      <c r="I2121" s="2"/>
    </row>
    <row r="2122" spans="9:9" x14ac:dyDescent="0.25">
      <c r="I2122" s="2"/>
    </row>
    <row r="2123" spans="9:9" x14ac:dyDescent="0.25">
      <c r="I2123" s="2"/>
    </row>
    <row r="2124" spans="9:9" x14ac:dyDescent="0.25">
      <c r="I2124" s="2"/>
    </row>
    <row r="2125" spans="9:9" x14ac:dyDescent="0.25">
      <c r="I2125" s="2"/>
    </row>
    <row r="2126" spans="9:9" x14ac:dyDescent="0.25">
      <c r="I2126" s="2"/>
    </row>
    <row r="2127" spans="9:9" x14ac:dyDescent="0.25">
      <c r="I2127" s="2"/>
    </row>
    <row r="2128" spans="9:9" x14ac:dyDescent="0.25">
      <c r="I2128" s="2"/>
    </row>
    <row r="2129" spans="9:9" x14ac:dyDescent="0.25">
      <c r="I2129" s="2"/>
    </row>
    <row r="2130" spans="9:9" x14ac:dyDescent="0.25">
      <c r="I2130" s="2"/>
    </row>
    <row r="2131" spans="9:9" x14ac:dyDescent="0.25">
      <c r="I2131" s="2"/>
    </row>
    <row r="2132" spans="9:9" x14ac:dyDescent="0.25">
      <c r="I2132" s="2"/>
    </row>
    <row r="2133" spans="9:9" x14ac:dyDescent="0.25">
      <c r="I2133" s="2"/>
    </row>
    <row r="2134" spans="9:9" x14ac:dyDescent="0.25">
      <c r="I2134" s="2"/>
    </row>
    <row r="2135" spans="9:9" x14ac:dyDescent="0.25">
      <c r="I2135" s="2"/>
    </row>
    <row r="2136" spans="9:9" x14ac:dyDescent="0.25">
      <c r="I2136" s="2"/>
    </row>
    <row r="2137" spans="9:9" x14ac:dyDescent="0.25">
      <c r="I2137" s="2"/>
    </row>
    <row r="2138" spans="9:9" x14ac:dyDescent="0.25">
      <c r="I2138" s="2"/>
    </row>
    <row r="2139" spans="9:9" x14ac:dyDescent="0.25">
      <c r="I2139" s="2"/>
    </row>
    <row r="2140" spans="9:9" x14ac:dyDescent="0.25">
      <c r="I2140" s="2"/>
    </row>
    <row r="2141" spans="9:9" x14ac:dyDescent="0.25">
      <c r="I2141" s="2"/>
    </row>
    <row r="2142" spans="9:9" x14ac:dyDescent="0.25">
      <c r="I2142" s="2"/>
    </row>
    <row r="2143" spans="9:9" x14ac:dyDescent="0.25">
      <c r="I2143" s="2"/>
    </row>
    <row r="2144" spans="9:9" x14ac:dyDescent="0.25">
      <c r="I2144" s="2"/>
    </row>
    <row r="2145" spans="9:9" x14ac:dyDescent="0.25">
      <c r="I2145" s="2"/>
    </row>
    <row r="2146" spans="9:9" x14ac:dyDescent="0.25">
      <c r="I2146" s="2"/>
    </row>
    <row r="2147" spans="9:9" x14ac:dyDescent="0.25">
      <c r="I2147" s="2"/>
    </row>
    <row r="2148" spans="9:9" x14ac:dyDescent="0.25">
      <c r="I2148" s="2"/>
    </row>
    <row r="2149" spans="9:9" x14ac:dyDescent="0.25">
      <c r="I2149" s="2"/>
    </row>
    <row r="2150" spans="9:9" x14ac:dyDescent="0.25">
      <c r="I2150" s="2"/>
    </row>
    <row r="2151" spans="9:9" x14ac:dyDescent="0.25">
      <c r="I2151" s="2"/>
    </row>
    <row r="2152" spans="9:9" x14ac:dyDescent="0.25">
      <c r="I2152" s="2"/>
    </row>
    <row r="2153" spans="9:9" x14ac:dyDescent="0.25">
      <c r="I2153" s="2"/>
    </row>
    <row r="2154" spans="9:9" x14ac:dyDescent="0.25">
      <c r="I2154" s="2"/>
    </row>
    <row r="2155" spans="9:9" x14ac:dyDescent="0.25">
      <c r="I2155" s="2"/>
    </row>
    <row r="2156" spans="9:9" x14ac:dyDescent="0.25">
      <c r="I2156" s="2"/>
    </row>
    <row r="2157" spans="9:9" x14ac:dyDescent="0.25">
      <c r="I2157" s="2"/>
    </row>
    <row r="2158" spans="9:9" x14ac:dyDescent="0.25">
      <c r="I2158" s="2"/>
    </row>
    <row r="2159" spans="9:9" x14ac:dyDescent="0.25">
      <c r="I2159" s="2"/>
    </row>
    <row r="2160" spans="9:9" x14ac:dyDescent="0.25">
      <c r="I2160" s="2"/>
    </row>
    <row r="2161" spans="9:9" x14ac:dyDescent="0.25">
      <c r="I2161" s="2"/>
    </row>
    <row r="2162" spans="9:9" x14ac:dyDescent="0.25">
      <c r="I2162" s="2"/>
    </row>
    <row r="2163" spans="9:9" x14ac:dyDescent="0.25">
      <c r="I2163" s="2"/>
    </row>
    <row r="2164" spans="9:9" x14ac:dyDescent="0.25">
      <c r="I2164" s="2"/>
    </row>
    <row r="2165" spans="9:9" x14ac:dyDescent="0.25">
      <c r="I2165" s="2"/>
    </row>
    <row r="2166" spans="9:9" x14ac:dyDescent="0.25">
      <c r="I2166" s="2"/>
    </row>
    <row r="2167" spans="9:9" x14ac:dyDescent="0.25">
      <c r="I2167" s="2"/>
    </row>
    <row r="2168" spans="9:9" x14ac:dyDescent="0.25">
      <c r="I2168" s="2"/>
    </row>
    <row r="2169" spans="9:9" x14ac:dyDescent="0.25">
      <c r="I2169" s="2"/>
    </row>
    <row r="2170" spans="9:9" x14ac:dyDescent="0.25">
      <c r="I2170" s="2"/>
    </row>
    <row r="2171" spans="9:9" x14ac:dyDescent="0.25">
      <c r="I2171" s="2"/>
    </row>
    <row r="2172" spans="9:9" x14ac:dyDescent="0.25">
      <c r="I2172" s="2"/>
    </row>
    <row r="2173" spans="9:9" x14ac:dyDescent="0.25">
      <c r="I2173" s="2"/>
    </row>
    <row r="2174" spans="9:9" x14ac:dyDescent="0.25">
      <c r="I2174" s="2"/>
    </row>
    <row r="2175" spans="9:9" x14ac:dyDescent="0.25">
      <c r="I2175" s="2"/>
    </row>
    <row r="2176" spans="9:9" x14ac:dyDescent="0.25">
      <c r="I2176" s="2"/>
    </row>
    <row r="2177" spans="9:9" x14ac:dyDescent="0.25">
      <c r="I2177" s="2"/>
    </row>
    <row r="2178" spans="9:9" x14ac:dyDescent="0.25">
      <c r="I2178" s="2"/>
    </row>
    <row r="2179" spans="9:9" x14ac:dyDescent="0.25">
      <c r="I2179" s="2"/>
    </row>
    <row r="2180" spans="9:9" x14ac:dyDescent="0.25">
      <c r="I2180" s="2"/>
    </row>
    <row r="2181" spans="9:9" x14ac:dyDescent="0.25">
      <c r="I2181" s="2"/>
    </row>
    <row r="2182" spans="9:9" x14ac:dyDescent="0.25">
      <c r="I2182" s="2"/>
    </row>
    <row r="2183" spans="9:9" x14ac:dyDescent="0.25">
      <c r="I2183" s="2"/>
    </row>
    <row r="2184" spans="9:9" x14ac:dyDescent="0.25">
      <c r="I2184" s="2"/>
    </row>
    <row r="2185" spans="9:9" x14ac:dyDescent="0.25">
      <c r="I2185" s="2"/>
    </row>
    <row r="2186" spans="9:9" x14ac:dyDescent="0.25">
      <c r="I2186" s="2"/>
    </row>
    <row r="2187" spans="9:9" x14ac:dyDescent="0.25">
      <c r="I2187" s="2"/>
    </row>
    <row r="2188" spans="9:9" x14ac:dyDescent="0.25">
      <c r="I2188" s="2"/>
    </row>
    <row r="2189" spans="9:9" x14ac:dyDescent="0.25">
      <c r="I2189" s="2"/>
    </row>
    <row r="2190" spans="9:9" x14ac:dyDescent="0.25">
      <c r="I2190" s="2"/>
    </row>
    <row r="2191" spans="9:9" x14ac:dyDescent="0.25">
      <c r="I2191" s="2"/>
    </row>
    <row r="2192" spans="9:9" x14ac:dyDescent="0.25">
      <c r="I2192" s="2"/>
    </row>
    <row r="2193" spans="9:9" x14ac:dyDescent="0.25">
      <c r="I2193" s="2"/>
    </row>
    <row r="2194" spans="9:9" x14ac:dyDescent="0.25">
      <c r="I2194" s="2"/>
    </row>
    <row r="2195" spans="9:9" x14ac:dyDescent="0.25">
      <c r="I2195" s="2"/>
    </row>
    <row r="2196" spans="9:9" x14ac:dyDescent="0.25">
      <c r="I2196" s="2"/>
    </row>
    <row r="2197" spans="9:9" x14ac:dyDescent="0.25">
      <c r="I2197" s="2"/>
    </row>
    <row r="2198" spans="9:9" x14ac:dyDescent="0.25">
      <c r="I2198" s="2"/>
    </row>
    <row r="2199" spans="9:9" x14ac:dyDescent="0.25">
      <c r="I2199" s="2"/>
    </row>
    <row r="2200" spans="9:9" x14ac:dyDescent="0.25">
      <c r="I2200" s="2"/>
    </row>
    <row r="2201" spans="9:9" x14ac:dyDescent="0.25">
      <c r="I2201" s="2"/>
    </row>
    <row r="2202" spans="9:9" x14ac:dyDescent="0.25">
      <c r="I2202" s="2"/>
    </row>
    <row r="2203" spans="9:9" x14ac:dyDescent="0.25">
      <c r="I2203" s="2"/>
    </row>
    <row r="2204" spans="9:9" x14ac:dyDescent="0.25">
      <c r="I2204" s="2"/>
    </row>
    <row r="2205" spans="9:9" x14ac:dyDescent="0.25">
      <c r="I2205" s="2"/>
    </row>
    <row r="2206" spans="9:9" x14ac:dyDescent="0.25">
      <c r="I2206" s="2"/>
    </row>
    <row r="2207" spans="9:9" x14ac:dyDescent="0.25">
      <c r="I2207" s="2"/>
    </row>
    <row r="2208" spans="9:9" x14ac:dyDescent="0.25">
      <c r="I2208" s="2"/>
    </row>
    <row r="2209" spans="9:9" x14ac:dyDescent="0.25">
      <c r="I2209" s="2"/>
    </row>
    <row r="2210" spans="9:9" x14ac:dyDescent="0.25">
      <c r="I2210" s="2"/>
    </row>
    <row r="2211" spans="9:9" x14ac:dyDescent="0.25">
      <c r="I2211" s="2"/>
    </row>
    <row r="2212" spans="9:9" x14ac:dyDescent="0.25">
      <c r="I2212" s="2"/>
    </row>
    <row r="2213" spans="9:9" x14ac:dyDescent="0.25">
      <c r="I2213" s="2"/>
    </row>
    <row r="2214" spans="9:9" x14ac:dyDescent="0.25">
      <c r="I2214" s="2"/>
    </row>
    <row r="2215" spans="9:9" x14ac:dyDescent="0.25">
      <c r="I2215" s="2"/>
    </row>
    <row r="2216" spans="9:9" x14ac:dyDescent="0.25">
      <c r="I2216" s="2"/>
    </row>
    <row r="2217" spans="9:9" x14ac:dyDescent="0.25">
      <c r="I2217" s="2"/>
    </row>
    <row r="2218" spans="9:9" x14ac:dyDescent="0.25">
      <c r="I2218" s="2"/>
    </row>
    <row r="2219" spans="9:9" x14ac:dyDescent="0.25">
      <c r="I2219" s="2"/>
    </row>
    <row r="2220" spans="9:9" x14ac:dyDescent="0.25">
      <c r="I2220" s="2"/>
    </row>
    <row r="2221" spans="9:9" x14ac:dyDescent="0.25">
      <c r="I2221" s="2"/>
    </row>
    <row r="2222" spans="9:9" x14ac:dyDescent="0.25">
      <c r="I2222" s="2"/>
    </row>
    <row r="2223" spans="9:9" x14ac:dyDescent="0.25">
      <c r="I2223" s="2"/>
    </row>
    <row r="2224" spans="9:9" x14ac:dyDescent="0.25">
      <c r="I2224" s="2"/>
    </row>
    <row r="2225" spans="9:9" x14ac:dyDescent="0.25">
      <c r="I2225" s="2"/>
    </row>
    <row r="2226" spans="9:9" x14ac:dyDescent="0.25">
      <c r="I2226" s="2"/>
    </row>
    <row r="2227" spans="9:9" x14ac:dyDescent="0.25">
      <c r="I2227" s="2"/>
    </row>
    <row r="2228" spans="9:9" x14ac:dyDescent="0.25">
      <c r="I2228" s="2"/>
    </row>
    <row r="2229" spans="9:9" x14ac:dyDescent="0.25">
      <c r="I2229" s="2"/>
    </row>
    <row r="2230" spans="9:9" x14ac:dyDescent="0.25">
      <c r="I2230" s="2"/>
    </row>
    <row r="2231" spans="9:9" x14ac:dyDescent="0.25">
      <c r="I2231" s="2"/>
    </row>
    <row r="2232" spans="9:9" x14ac:dyDescent="0.25">
      <c r="I2232" s="2"/>
    </row>
    <row r="2233" spans="9:9" x14ac:dyDescent="0.25">
      <c r="I2233" s="2"/>
    </row>
    <row r="2234" spans="9:9" x14ac:dyDescent="0.25">
      <c r="I2234" s="2"/>
    </row>
    <row r="2235" spans="9:9" x14ac:dyDescent="0.25">
      <c r="I2235" s="2"/>
    </row>
    <row r="2236" spans="9:9" x14ac:dyDescent="0.25">
      <c r="I2236" s="2"/>
    </row>
    <row r="2237" spans="9:9" x14ac:dyDescent="0.25">
      <c r="I2237" s="2"/>
    </row>
    <row r="2238" spans="9:9" x14ac:dyDescent="0.25">
      <c r="I2238" s="2"/>
    </row>
    <row r="2239" spans="9:9" x14ac:dyDescent="0.25">
      <c r="I2239" s="2"/>
    </row>
    <row r="2240" spans="9:9" x14ac:dyDescent="0.25">
      <c r="I2240" s="2"/>
    </row>
    <row r="2241" spans="9:9" x14ac:dyDescent="0.25">
      <c r="I2241" s="2"/>
    </row>
    <row r="2242" spans="9:9" x14ac:dyDescent="0.25">
      <c r="I2242" s="2"/>
    </row>
    <row r="2243" spans="9:9" x14ac:dyDescent="0.25">
      <c r="I2243" s="2"/>
    </row>
    <row r="2244" spans="9:9" x14ac:dyDescent="0.25">
      <c r="I2244" s="2"/>
    </row>
    <row r="2245" spans="9:9" x14ac:dyDescent="0.25">
      <c r="I2245" s="2"/>
    </row>
    <row r="2246" spans="9:9" x14ac:dyDescent="0.25">
      <c r="I2246" s="2"/>
    </row>
    <row r="2247" spans="9:9" x14ac:dyDescent="0.25">
      <c r="I2247" s="2"/>
    </row>
    <row r="2248" spans="9:9" x14ac:dyDescent="0.25">
      <c r="I2248" s="2"/>
    </row>
    <row r="2249" spans="9:9" x14ac:dyDescent="0.25">
      <c r="I2249" s="2"/>
    </row>
    <row r="2250" spans="9:9" x14ac:dyDescent="0.25">
      <c r="I2250" s="2"/>
    </row>
    <row r="2251" spans="9:9" x14ac:dyDescent="0.25">
      <c r="I2251" s="2"/>
    </row>
    <row r="2252" spans="9:9" x14ac:dyDescent="0.25">
      <c r="I2252" s="2"/>
    </row>
    <row r="2253" spans="9:9" x14ac:dyDescent="0.25">
      <c r="I2253" s="2"/>
    </row>
    <row r="2254" spans="9:9" x14ac:dyDescent="0.25">
      <c r="I2254" s="2"/>
    </row>
    <row r="2255" spans="9:9" x14ac:dyDescent="0.25">
      <c r="I2255" s="2"/>
    </row>
    <row r="2256" spans="9:9" x14ac:dyDescent="0.25">
      <c r="I2256" s="2"/>
    </row>
    <row r="2257" spans="9:9" x14ac:dyDescent="0.25">
      <c r="I2257" s="2"/>
    </row>
    <row r="2258" spans="9:9" x14ac:dyDescent="0.25">
      <c r="I2258" s="2"/>
    </row>
    <row r="2259" spans="9:9" x14ac:dyDescent="0.25">
      <c r="I2259" s="2"/>
    </row>
    <row r="2260" spans="9:9" x14ac:dyDescent="0.25">
      <c r="I2260" s="2"/>
    </row>
    <row r="2261" spans="9:9" x14ac:dyDescent="0.25">
      <c r="I2261" s="2"/>
    </row>
    <row r="2262" spans="9:9" x14ac:dyDescent="0.25">
      <c r="I2262" s="2"/>
    </row>
    <row r="2263" spans="9:9" x14ac:dyDescent="0.25">
      <c r="I2263" s="2"/>
    </row>
    <row r="2264" spans="9:9" x14ac:dyDescent="0.25">
      <c r="I2264" s="2"/>
    </row>
    <row r="2265" spans="9:9" x14ac:dyDescent="0.25">
      <c r="I2265" s="2"/>
    </row>
    <row r="2266" spans="9:9" x14ac:dyDescent="0.25">
      <c r="I2266" s="2"/>
    </row>
    <row r="2267" spans="9:9" x14ac:dyDescent="0.25">
      <c r="I2267" s="2"/>
    </row>
    <row r="2268" spans="9:9" x14ac:dyDescent="0.25">
      <c r="I2268" s="2"/>
    </row>
    <row r="2269" spans="9:9" x14ac:dyDescent="0.25">
      <c r="I2269" s="2"/>
    </row>
    <row r="2270" spans="9:9" x14ac:dyDescent="0.25">
      <c r="I2270" s="2"/>
    </row>
    <row r="2271" spans="9:9" x14ac:dyDescent="0.25">
      <c r="I2271" s="2"/>
    </row>
    <row r="2272" spans="9:9" x14ac:dyDescent="0.25">
      <c r="I2272" s="2"/>
    </row>
    <row r="2273" spans="9:9" x14ac:dyDescent="0.25">
      <c r="I2273" s="2"/>
    </row>
    <row r="2274" spans="9:9" x14ac:dyDescent="0.25">
      <c r="I2274" s="2"/>
    </row>
    <row r="2275" spans="9:9" x14ac:dyDescent="0.25">
      <c r="I2275" s="2"/>
    </row>
    <row r="2276" spans="9:9" x14ac:dyDescent="0.25">
      <c r="I2276" s="2"/>
    </row>
    <row r="2277" spans="9:9" x14ac:dyDescent="0.25">
      <c r="I2277" s="2"/>
    </row>
    <row r="2278" spans="9:9" x14ac:dyDescent="0.25">
      <c r="I2278" s="2"/>
    </row>
    <row r="2279" spans="9:9" x14ac:dyDescent="0.25">
      <c r="I2279" s="2"/>
    </row>
    <row r="2280" spans="9:9" x14ac:dyDescent="0.25">
      <c r="I2280" s="2"/>
    </row>
    <row r="2281" spans="9:9" x14ac:dyDescent="0.25">
      <c r="I2281" s="2"/>
    </row>
    <row r="2282" spans="9:9" x14ac:dyDescent="0.25">
      <c r="I2282" s="2"/>
    </row>
    <row r="2283" spans="9:9" x14ac:dyDescent="0.25">
      <c r="I2283" s="2"/>
    </row>
    <row r="2284" spans="9:9" x14ac:dyDescent="0.25">
      <c r="I2284" s="2"/>
    </row>
    <row r="2285" spans="9:9" x14ac:dyDescent="0.25">
      <c r="I2285" s="2"/>
    </row>
    <row r="2286" spans="9:9" x14ac:dyDescent="0.25">
      <c r="I2286" s="2"/>
    </row>
    <row r="2287" spans="9:9" x14ac:dyDescent="0.25">
      <c r="I2287" s="2"/>
    </row>
    <row r="2288" spans="9:9" x14ac:dyDescent="0.25">
      <c r="I2288" s="2"/>
    </row>
    <row r="2289" spans="9:9" x14ac:dyDescent="0.25">
      <c r="I2289" s="2"/>
    </row>
    <row r="2290" spans="9:9" x14ac:dyDescent="0.25">
      <c r="I2290" s="2"/>
    </row>
    <row r="2291" spans="9:9" x14ac:dyDescent="0.25">
      <c r="I2291" s="2"/>
    </row>
    <row r="2292" spans="9:9" x14ac:dyDescent="0.25">
      <c r="I2292" s="2"/>
    </row>
    <row r="2293" spans="9:9" x14ac:dyDescent="0.25">
      <c r="I2293" s="2"/>
    </row>
    <row r="2294" spans="9:9" x14ac:dyDescent="0.25">
      <c r="I2294" s="2"/>
    </row>
    <row r="2295" spans="9:9" x14ac:dyDescent="0.25">
      <c r="I2295" s="2"/>
    </row>
    <row r="2296" spans="9:9" x14ac:dyDescent="0.25">
      <c r="I2296" s="2"/>
    </row>
    <row r="2297" spans="9:9" x14ac:dyDescent="0.25">
      <c r="I2297" s="2"/>
    </row>
    <row r="2298" spans="9:9" x14ac:dyDescent="0.25">
      <c r="I2298" s="2"/>
    </row>
    <row r="2299" spans="9:9" x14ac:dyDescent="0.25">
      <c r="I2299" s="2"/>
    </row>
    <row r="2300" spans="9:9" x14ac:dyDescent="0.25">
      <c r="I2300" s="2"/>
    </row>
    <row r="2301" spans="9:9" x14ac:dyDescent="0.25">
      <c r="I2301" s="2"/>
    </row>
    <row r="2302" spans="9:9" x14ac:dyDescent="0.25">
      <c r="I2302" s="2"/>
    </row>
    <row r="2303" spans="9:9" x14ac:dyDescent="0.25">
      <c r="I2303" s="2"/>
    </row>
    <row r="2304" spans="9:9" x14ac:dyDescent="0.25">
      <c r="I2304" s="2"/>
    </row>
    <row r="2305" spans="9:9" x14ac:dyDescent="0.25">
      <c r="I2305" s="2"/>
    </row>
    <row r="2306" spans="9:9" x14ac:dyDescent="0.25">
      <c r="I2306" s="2"/>
    </row>
    <row r="2307" spans="9:9" x14ac:dyDescent="0.25">
      <c r="I2307" s="2"/>
    </row>
    <row r="2308" spans="9:9" x14ac:dyDescent="0.25">
      <c r="I2308" s="2"/>
    </row>
    <row r="2309" spans="9:9" x14ac:dyDescent="0.25">
      <c r="I2309" s="2"/>
    </row>
    <row r="2310" spans="9:9" x14ac:dyDescent="0.25">
      <c r="I2310" s="2"/>
    </row>
    <row r="2311" spans="9:9" x14ac:dyDescent="0.25">
      <c r="I2311" s="2"/>
    </row>
    <row r="2312" spans="9:9" x14ac:dyDescent="0.25">
      <c r="I2312" s="2"/>
    </row>
    <row r="2313" spans="9:9" x14ac:dyDescent="0.25">
      <c r="I2313" s="2"/>
    </row>
    <row r="2314" spans="9:9" x14ac:dyDescent="0.25">
      <c r="I2314" s="2"/>
    </row>
    <row r="2315" spans="9:9" x14ac:dyDescent="0.25">
      <c r="I2315" s="2"/>
    </row>
    <row r="2316" spans="9:9" x14ac:dyDescent="0.25">
      <c r="I2316" s="2"/>
    </row>
    <row r="2317" spans="9:9" x14ac:dyDescent="0.25">
      <c r="I2317" s="2"/>
    </row>
    <row r="2318" spans="9:9" x14ac:dyDescent="0.25">
      <c r="I2318" s="2"/>
    </row>
    <row r="2319" spans="9:9" x14ac:dyDescent="0.25">
      <c r="I2319" s="2"/>
    </row>
    <row r="2320" spans="9:9" x14ac:dyDescent="0.25">
      <c r="I2320" s="2"/>
    </row>
    <row r="2321" spans="9:9" x14ac:dyDescent="0.25">
      <c r="I2321" s="2"/>
    </row>
    <row r="2322" spans="9:9" x14ac:dyDescent="0.25">
      <c r="I2322" s="2"/>
    </row>
    <row r="2323" spans="9:9" x14ac:dyDescent="0.25">
      <c r="I2323" s="2"/>
    </row>
    <row r="2324" spans="9:9" x14ac:dyDescent="0.25">
      <c r="I2324" s="2"/>
    </row>
    <row r="2325" spans="9:9" x14ac:dyDescent="0.25">
      <c r="I2325" s="2"/>
    </row>
    <row r="2326" spans="9:9" x14ac:dyDescent="0.25">
      <c r="I2326" s="2"/>
    </row>
    <row r="2327" spans="9:9" x14ac:dyDescent="0.25">
      <c r="I2327" s="2"/>
    </row>
    <row r="2328" spans="9:9" x14ac:dyDescent="0.25">
      <c r="I2328" s="2"/>
    </row>
    <row r="2329" spans="9:9" x14ac:dyDescent="0.25">
      <c r="I2329" s="2"/>
    </row>
    <row r="2330" spans="9:9" x14ac:dyDescent="0.25">
      <c r="I2330" s="2"/>
    </row>
    <row r="2331" spans="9:9" x14ac:dyDescent="0.25">
      <c r="I2331" s="2"/>
    </row>
    <row r="2332" spans="9:9" x14ac:dyDescent="0.25">
      <c r="I2332" s="2"/>
    </row>
    <row r="2333" spans="9:9" x14ac:dyDescent="0.25">
      <c r="I2333" s="2"/>
    </row>
    <row r="2334" spans="9:9" x14ac:dyDescent="0.25">
      <c r="I2334" s="2"/>
    </row>
    <row r="2335" spans="9:9" x14ac:dyDescent="0.25">
      <c r="I2335" s="2"/>
    </row>
    <row r="2336" spans="9:9" x14ac:dyDescent="0.25">
      <c r="I2336" s="2"/>
    </row>
    <row r="2337" spans="9:9" x14ac:dyDescent="0.25">
      <c r="I2337" s="2"/>
    </row>
    <row r="2338" spans="9:9" x14ac:dyDescent="0.25">
      <c r="I2338" s="2"/>
    </row>
    <row r="2339" spans="9:9" x14ac:dyDescent="0.25">
      <c r="I2339" s="2"/>
    </row>
    <row r="2340" spans="9:9" x14ac:dyDescent="0.25">
      <c r="I2340" s="2"/>
    </row>
    <row r="2341" spans="9:9" x14ac:dyDescent="0.25">
      <c r="I2341" s="2"/>
    </row>
    <row r="2342" spans="9:9" x14ac:dyDescent="0.25">
      <c r="I2342" s="2"/>
    </row>
    <row r="2343" spans="9:9" x14ac:dyDescent="0.25">
      <c r="I2343" s="2"/>
    </row>
    <row r="2344" spans="9:9" x14ac:dyDescent="0.25">
      <c r="I2344" s="2"/>
    </row>
    <row r="2345" spans="9:9" x14ac:dyDescent="0.25">
      <c r="I2345" s="2"/>
    </row>
    <row r="2346" spans="9:9" x14ac:dyDescent="0.25">
      <c r="I2346" s="2"/>
    </row>
    <row r="2347" spans="9:9" x14ac:dyDescent="0.25">
      <c r="I2347" s="2"/>
    </row>
    <row r="2348" spans="9:9" x14ac:dyDescent="0.25">
      <c r="I2348" s="2"/>
    </row>
    <row r="2349" spans="9:9" x14ac:dyDescent="0.25">
      <c r="I2349" s="2"/>
    </row>
    <row r="2350" spans="9:9" x14ac:dyDescent="0.25">
      <c r="I2350" s="2"/>
    </row>
    <row r="2351" spans="9:9" x14ac:dyDescent="0.25">
      <c r="I2351" s="2"/>
    </row>
    <row r="2352" spans="9:9" x14ac:dyDescent="0.25">
      <c r="I2352" s="2"/>
    </row>
    <row r="2353" spans="9:9" x14ac:dyDescent="0.25">
      <c r="I2353" s="2"/>
    </row>
    <row r="2354" spans="9:9" x14ac:dyDescent="0.25">
      <c r="I2354" s="2"/>
    </row>
    <row r="2355" spans="9:9" x14ac:dyDescent="0.25">
      <c r="I2355" s="2"/>
    </row>
    <row r="2356" spans="9:9" x14ac:dyDescent="0.25">
      <c r="I2356" s="2"/>
    </row>
    <row r="2357" spans="9:9" x14ac:dyDescent="0.25">
      <c r="I2357" s="2"/>
    </row>
    <row r="2358" spans="9:9" x14ac:dyDescent="0.25">
      <c r="I2358" s="2"/>
    </row>
    <row r="2359" spans="9:9" x14ac:dyDescent="0.25">
      <c r="I2359" s="2"/>
    </row>
    <row r="2360" spans="9:9" x14ac:dyDescent="0.25">
      <c r="I2360" s="2"/>
    </row>
    <row r="2361" spans="9:9" x14ac:dyDescent="0.25">
      <c r="I2361" s="2"/>
    </row>
    <row r="2362" spans="9:9" x14ac:dyDescent="0.25">
      <c r="I2362" s="2"/>
    </row>
    <row r="2363" spans="9:9" x14ac:dyDescent="0.25">
      <c r="I2363" s="2"/>
    </row>
    <row r="2364" spans="9:9" x14ac:dyDescent="0.25">
      <c r="I2364" s="2"/>
    </row>
    <row r="2365" spans="9:9" x14ac:dyDescent="0.25">
      <c r="I2365" s="2"/>
    </row>
    <row r="2366" spans="9:9" x14ac:dyDescent="0.25">
      <c r="I2366" s="2"/>
    </row>
    <row r="2367" spans="9:9" x14ac:dyDescent="0.25">
      <c r="I2367" s="2"/>
    </row>
    <row r="2368" spans="9:9" x14ac:dyDescent="0.25">
      <c r="I2368" s="2"/>
    </row>
    <row r="2369" spans="9:9" x14ac:dyDescent="0.25">
      <c r="I2369" s="2"/>
    </row>
    <row r="2370" spans="9:9" x14ac:dyDescent="0.25">
      <c r="I2370" s="2"/>
    </row>
    <row r="2371" spans="9:9" x14ac:dyDescent="0.25">
      <c r="I2371" s="2"/>
    </row>
    <row r="2372" spans="9:9" x14ac:dyDescent="0.25">
      <c r="I2372" s="2"/>
    </row>
    <row r="2373" spans="9:9" x14ac:dyDescent="0.25">
      <c r="I2373" s="2"/>
    </row>
    <row r="2374" spans="9:9" x14ac:dyDescent="0.25">
      <c r="I2374" s="2"/>
    </row>
    <row r="2375" spans="9:9" x14ac:dyDescent="0.25">
      <c r="I2375" s="2"/>
    </row>
    <row r="2376" spans="9:9" x14ac:dyDescent="0.25">
      <c r="I2376" s="2"/>
    </row>
    <row r="2377" spans="9:9" x14ac:dyDescent="0.25">
      <c r="I2377" s="2"/>
    </row>
    <row r="2378" spans="9:9" x14ac:dyDescent="0.25">
      <c r="I2378" s="2"/>
    </row>
    <row r="2379" spans="9:9" x14ac:dyDescent="0.25">
      <c r="I2379" s="2"/>
    </row>
    <row r="2380" spans="9:9" x14ac:dyDescent="0.25">
      <c r="I2380" s="2"/>
    </row>
    <row r="2381" spans="9:9" x14ac:dyDescent="0.25">
      <c r="I2381" s="2"/>
    </row>
    <row r="2382" spans="9:9" x14ac:dyDescent="0.25">
      <c r="I2382" s="2"/>
    </row>
    <row r="2383" spans="9:9" x14ac:dyDescent="0.25">
      <c r="I2383" s="2"/>
    </row>
    <row r="2384" spans="9:9" x14ac:dyDescent="0.25">
      <c r="I2384" s="2"/>
    </row>
    <row r="2385" spans="9:9" x14ac:dyDescent="0.25">
      <c r="I2385" s="2"/>
    </row>
    <row r="2386" spans="9:9" x14ac:dyDescent="0.25">
      <c r="I2386" s="2"/>
    </row>
    <row r="2387" spans="9:9" x14ac:dyDescent="0.25">
      <c r="I2387" s="2"/>
    </row>
    <row r="2388" spans="9:9" x14ac:dyDescent="0.25">
      <c r="I2388" s="2"/>
    </row>
    <row r="2389" spans="9:9" x14ac:dyDescent="0.25">
      <c r="I2389" s="2"/>
    </row>
    <row r="2390" spans="9:9" x14ac:dyDescent="0.25">
      <c r="I2390" s="2"/>
    </row>
    <row r="2391" spans="9:9" x14ac:dyDescent="0.25">
      <c r="I2391" s="2"/>
    </row>
    <row r="2392" spans="9:9" x14ac:dyDescent="0.25">
      <c r="I2392" s="2"/>
    </row>
    <row r="2393" spans="9:9" x14ac:dyDescent="0.25">
      <c r="I2393" s="2"/>
    </row>
    <row r="2394" spans="9:9" x14ac:dyDescent="0.25">
      <c r="I2394" s="2"/>
    </row>
    <row r="2395" spans="9:9" x14ac:dyDescent="0.25">
      <c r="I2395" s="2"/>
    </row>
    <row r="2396" spans="9:9" x14ac:dyDescent="0.25">
      <c r="I2396" s="2"/>
    </row>
    <row r="2397" spans="9:9" x14ac:dyDescent="0.25">
      <c r="I2397" s="2"/>
    </row>
    <row r="2398" spans="9:9" x14ac:dyDescent="0.25">
      <c r="I2398" s="2"/>
    </row>
    <row r="2399" spans="9:9" x14ac:dyDescent="0.25">
      <c r="I2399" s="2"/>
    </row>
    <row r="2400" spans="9:9" x14ac:dyDescent="0.25">
      <c r="I2400" s="2"/>
    </row>
    <row r="2401" spans="9:9" x14ac:dyDescent="0.25">
      <c r="I2401" s="2"/>
    </row>
    <row r="2402" spans="9:9" x14ac:dyDescent="0.25">
      <c r="I2402" s="2"/>
    </row>
    <row r="2403" spans="9:9" x14ac:dyDescent="0.25">
      <c r="I2403" s="2"/>
    </row>
    <row r="2404" spans="9:9" x14ac:dyDescent="0.25">
      <c r="I2404" s="2"/>
    </row>
    <row r="2405" spans="9:9" x14ac:dyDescent="0.25">
      <c r="I2405" s="2"/>
    </row>
    <row r="2406" spans="9:9" x14ac:dyDescent="0.25">
      <c r="I2406" s="2"/>
    </row>
    <row r="2407" spans="9:9" x14ac:dyDescent="0.25">
      <c r="I2407" s="2"/>
    </row>
    <row r="2408" spans="9:9" x14ac:dyDescent="0.25">
      <c r="I2408" s="2"/>
    </row>
    <row r="2409" spans="9:9" x14ac:dyDescent="0.25">
      <c r="I2409" s="2"/>
    </row>
    <row r="2410" spans="9:9" x14ac:dyDescent="0.25">
      <c r="I2410" s="2"/>
    </row>
    <row r="2411" spans="9:9" x14ac:dyDescent="0.25">
      <c r="I2411" s="2"/>
    </row>
    <row r="2412" spans="9:9" x14ac:dyDescent="0.25">
      <c r="I2412" s="2"/>
    </row>
    <row r="2413" spans="9:9" x14ac:dyDescent="0.25">
      <c r="I2413" s="2"/>
    </row>
    <row r="2414" spans="9:9" x14ac:dyDescent="0.25">
      <c r="I2414" s="2"/>
    </row>
    <row r="2415" spans="9:9" x14ac:dyDescent="0.25">
      <c r="I2415" s="2"/>
    </row>
    <row r="2416" spans="9:9" x14ac:dyDescent="0.25">
      <c r="I2416" s="2"/>
    </row>
    <row r="2417" spans="9:9" x14ac:dyDescent="0.25">
      <c r="I2417" s="2"/>
    </row>
    <row r="2418" spans="9:9" x14ac:dyDescent="0.25">
      <c r="I2418" s="2"/>
    </row>
    <row r="2419" spans="9:9" x14ac:dyDescent="0.25">
      <c r="I2419" s="2"/>
    </row>
    <row r="2420" spans="9:9" x14ac:dyDescent="0.25">
      <c r="I2420" s="2"/>
    </row>
    <row r="2421" spans="9:9" x14ac:dyDescent="0.25">
      <c r="I2421" s="2"/>
    </row>
    <row r="2422" spans="9:9" x14ac:dyDescent="0.25">
      <c r="I2422" s="2"/>
    </row>
    <row r="2423" spans="9:9" x14ac:dyDescent="0.25">
      <c r="I2423" s="2"/>
    </row>
    <row r="2424" spans="9:9" x14ac:dyDescent="0.25">
      <c r="I2424" s="2"/>
    </row>
    <row r="2425" spans="9:9" x14ac:dyDescent="0.25">
      <c r="I2425" s="2"/>
    </row>
    <row r="2426" spans="9:9" x14ac:dyDescent="0.25">
      <c r="I2426" s="2"/>
    </row>
    <row r="2427" spans="9:9" x14ac:dyDescent="0.25">
      <c r="I2427" s="2"/>
    </row>
    <row r="2428" spans="9:9" x14ac:dyDescent="0.25">
      <c r="I2428" s="2"/>
    </row>
    <row r="2429" spans="9:9" x14ac:dyDescent="0.25">
      <c r="I2429" s="2"/>
    </row>
    <row r="2430" spans="9:9" x14ac:dyDescent="0.25">
      <c r="I2430" s="2"/>
    </row>
    <row r="2431" spans="9:9" x14ac:dyDescent="0.25">
      <c r="I2431" s="2"/>
    </row>
    <row r="2432" spans="9:9" x14ac:dyDescent="0.25">
      <c r="I2432" s="2"/>
    </row>
    <row r="2433" spans="9:9" x14ac:dyDescent="0.25">
      <c r="I2433" s="2"/>
    </row>
    <row r="2434" spans="9:9" x14ac:dyDescent="0.25">
      <c r="I2434" s="2"/>
    </row>
    <row r="2435" spans="9:9" x14ac:dyDescent="0.25">
      <c r="I2435" s="2"/>
    </row>
    <row r="2436" spans="9:9" x14ac:dyDescent="0.25">
      <c r="I2436" s="2"/>
    </row>
    <row r="2437" spans="9:9" x14ac:dyDescent="0.25">
      <c r="I2437" s="2"/>
    </row>
    <row r="2438" spans="9:9" x14ac:dyDescent="0.25">
      <c r="I2438" s="2"/>
    </row>
    <row r="2439" spans="9:9" x14ac:dyDescent="0.25">
      <c r="I2439" s="2"/>
    </row>
    <row r="2440" spans="9:9" x14ac:dyDescent="0.25">
      <c r="I2440" s="2"/>
    </row>
    <row r="2441" spans="9:9" x14ac:dyDescent="0.25">
      <c r="I2441" s="2"/>
    </row>
    <row r="2442" spans="9:9" x14ac:dyDescent="0.25">
      <c r="I2442" s="2"/>
    </row>
    <row r="2443" spans="9:9" x14ac:dyDescent="0.25">
      <c r="I2443" s="2"/>
    </row>
    <row r="2444" spans="9:9" x14ac:dyDescent="0.25">
      <c r="I2444" s="2"/>
    </row>
    <row r="2445" spans="9:9" x14ac:dyDescent="0.25">
      <c r="I2445" s="2"/>
    </row>
    <row r="2446" spans="9:9" x14ac:dyDescent="0.25">
      <c r="I2446" s="2"/>
    </row>
    <row r="2447" spans="9:9" x14ac:dyDescent="0.25">
      <c r="I2447" s="2"/>
    </row>
    <row r="2448" spans="9:9" x14ac:dyDescent="0.25">
      <c r="I2448" s="2"/>
    </row>
    <row r="2449" spans="9:9" x14ac:dyDescent="0.25">
      <c r="I2449" s="2"/>
    </row>
    <row r="2450" spans="9:9" x14ac:dyDescent="0.25">
      <c r="I2450" s="2"/>
    </row>
    <row r="2451" spans="9:9" x14ac:dyDescent="0.25">
      <c r="I2451" s="2"/>
    </row>
    <row r="2452" spans="9:9" x14ac:dyDescent="0.25">
      <c r="I2452" s="2"/>
    </row>
    <row r="2453" spans="9:9" x14ac:dyDescent="0.25">
      <c r="I2453" s="2"/>
    </row>
    <row r="2454" spans="9:9" x14ac:dyDescent="0.25">
      <c r="I2454" s="2"/>
    </row>
    <row r="2455" spans="9:9" x14ac:dyDescent="0.25">
      <c r="I2455" s="2"/>
    </row>
    <row r="2456" spans="9:9" x14ac:dyDescent="0.25">
      <c r="I2456" s="2"/>
    </row>
    <row r="2457" spans="9:9" x14ac:dyDescent="0.25">
      <c r="I2457" s="2"/>
    </row>
    <row r="2458" spans="9:9" x14ac:dyDescent="0.25">
      <c r="I2458" s="2"/>
    </row>
    <row r="2459" spans="9:9" x14ac:dyDescent="0.25">
      <c r="I2459" s="2"/>
    </row>
    <row r="2460" spans="9:9" x14ac:dyDescent="0.25">
      <c r="I2460" s="2"/>
    </row>
    <row r="2461" spans="9:9" x14ac:dyDescent="0.25">
      <c r="I2461" s="2"/>
    </row>
    <row r="2462" spans="9:9" x14ac:dyDescent="0.25">
      <c r="I2462" s="2"/>
    </row>
    <row r="2463" spans="9:9" x14ac:dyDescent="0.25">
      <c r="I2463" s="2"/>
    </row>
    <row r="2464" spans="9:9" x14ac:dyDescent="0.25">
      <c r="I2464" s="2"/>
    </row>
    <row r="2465" spans="9:9" x14ac:dyDescent="0.25">
      <c r="I2465" s="2"/>
    </row>
    <row r="2466" spans="9:9" x14ac:dyDescent="0.25">
      <c r="I2466" s="2"/>
    </row>
    <row r="2467" spans="9:9" x14ac:dyDescent="0.25">
      <c r="I2467" s="2"/>
    </row>
    <row r="2468" spans="9:9" x14ac:dyDescent="0.25">
      <c r="I2468" s="2"/>
    </row>
    <row r="2469" spans="9:9" x14ac:dyDescent="0.25">
      <c r="I2469" s="2"/>
    </row>
    <row r="2470" spans="9:9" x14ac:dyDescent="0.25">
      <c r="I2470" s="2"/>
    </row>
    <row r="2471" spans="9:9" x14ac:dyDescent="0.25">
      <c r="I2471" s="2"/>
    </row>
    <row r="2472" spans="9:9" x14ac:dyDescent="0.25">
      <c r="I2472" s="2"/>
    </row>
    <row r="2473" spans="9:9" x14ac:dyDescent="0.25">
      <c r="I2473" s="2"/>
    </row>
    <row r="2474" spans="9:9" x14ac:dyDescent="0.25">
      <c r="I2474" s="2"/>
    </row>
    <row r="2475" spans="9:9" x14ac:dyDescent="0.25">
      <c r="I2475" s="2"/>
    </row>
    <row r="2476" spans="9:9" x14ac:dyDescent="0.25">
      <c r="I2476" s="2"/>
    </row>
    <row r="2477" spans="9:9" x14ac:dyDescent="0.25">
      <c r="I2477" s="2"/>
    </row>
    <row r="2478" spans="9:9" x14ac:dyDescent="0.25">
      <c r="I2478" s="2"/>
    </row>
    <row r="2479" spans="9:9" x14ac:dyDescent="0.25">
      <c r="I2479" s="2"/>
    </row>
    <row r="2480" spans="9:9" x14ac:dyDescent="0.25">
      <c r="I2480" s="2"/>
    </row>
    <row r="2481" spans="9:9" x14ac:dyDescent="0.25">
      <c r="I2481" s="2"/>
    </row>
    <row r="2482" spans="9:9" x14ac:dyDescent="0.25">
      <c r="I2482" s="2"/>
    </row>
    <row r="2483" spans="9:9" x14ac:dyDescent="0.25">
      <c r="I2483" s="2"/>
    </row>
    <row r="2484" spans="9:9" x14ac:dyDescent="0.25">
      <c r="I2484" s="2"/>
    </row>
    <row r="2485" spans="9:9" x14ac:dyDescent="0.25">
      <c r="I2485" s="2"/>
    </row>
    <row r="2486" spans="9:9" x14ac:dyDescent="0.25">
      <c r="I2486" s="2"/>
    </row>
    <row r="2487" spans="9:9" x14ac:dyDescent="0.25">
      <c r="I2487" s="2"/>
    </row>
    <row r="2488" spans="9:9" x14ac:dyDescent="0.25">
      <c r="I2488" s="2"/>
    </row>
    <row r="2489" spans="9:9" x14ac:dyDescent="0.25">
      <c r="I2489" s="2"/>
    </row>
    <row r="2490" spans="9:9" x14ac:dyDescent="0.25">
      <c r="I2490" s="2"/>
    </row>
    <row r="2491" spans="9:9" x14ac:dyDescent="0.25">
      <c r="I2491" s="2"/>
    </row>
    <row r="2492" spans="9:9" x14ac:dyDescent="0.25">
      <c r="I2492" s="2"/>
    </row>
    <row r="2493" spans="9:9" x14ac:dyDescent="0.25">
      <c r="I2493" s="2"/>
    </row>
    <row r="2494" spans="9:9" x14ac:dyDescent="0.25">
      <c r="I2494" s="2"/>
    </row>
    <row r="2495" spans="9:9" x14ac:dyDescent="0.25">
      <c r="I2495" s="2"/>
    </row>
    <row r="2496" spans="9:9" x14ac:dyDescent="0.25">
      <c r="I2496" s="2"/>
    </row>
    <row r="2497" spans="9:9" x14ac:dyDescent="0.25">
      <c r="I2497" s="2"/>
    </row>
    <row r="2498" spans="9:9" x14ac:dyDescent="0.25">
      <c r="I2498" s="2"/>
    </row>
    <row r="2499" spans="9:9" x14ac:dyDescent="0.25">
      <c r="I2499" s="2"/>
    </row>
    <row r="2500" spans="9:9" x14ac:dyDescent="0.25">
      <c r="I2500" s="2"/>
    </row>
    <row r="2501" spans="9:9" x14ac:dyDescent="0.25">
      <c r="I2501" s="2"/>
    </row>
    <row r="2502" spans="9:9" x14ac:dyDescent="0.25">
      <c r="I2502" s="2"/>
    </row>
    <row r="2503" spans="9:9" x14ac:dyDescent="0.25">
      <c r="I2503" s="2"/>
    </row>
    <row r="2504" spans="9:9" x14ac:dyDescent="0.25">
      <c r="I2504" s="2"/>
    </row>
    <row r="2505" spans="9:9" x14ac:dyDescent="0.25">
      <c r="I2505" s="2"/>
    </row>
    <row r="2506" spans="9:9" x14ac:dyDescent="0.25">
      <c r="I2506" s="2"/>
    </row>
    <row r="2507" spans="9:9" x14ac:dyDescent="0.25">
      <c r="I2507" s="2"/>
    </row>
    <row r="2508" spans="9:9" x14ac:dyDescent="0.25">
      <c r="I2508" s="2"/>
    </row>
    <row r="2509" spans="9:9" x14ac:dyDescent="0.25">
      <c r="I2509" s="2"/>
    </row>
    <row r="2510" spans="9:9" x14ac:dyDescent="0.25">
      <c r="I2510" s="2"/>
    </row>
    <row r="2511" spans="9:9" x14ac:dyDescent="0.25">
      <c r="I2511" s="2"/>
    </row>
    <row r="2512" spans="9:9" x14ac:dyDescent="0.25">
      <c r="I2512" s="2"/>
    </row>
    <row r="2513" spans="9:9" x14ac:dyDescent="0.25">
      <c r="I2513" s="2"/>
    </row>
    <row r="2514" spans="9:9" x14ac:dyDescent="0.25">
      <c r="I2514" s="2"/>
    </row>
    <row r="2515" spans="9:9" x14ac:dyDescent="0.25">
      <c r="I2515" s="2"/>
    </row>
    <row r="2516" spans="9:9" x14ac:dyDescent="0.25">
      <c r="I2516" s="2"/>
    </row>
    <row r="2517" spans="9:9" x14ac:dyDescent="0.25">
      <c r="I2517" s="2"/>
    </row>
    <row r="2518" spans="9:9" x14ac:dyDescent="0.25">
      <c r="I2518" s="2"/>
    </row>
    <row r="2519" spans="9:9" x14ac:dyDescent="0.25">
      <c r="I2519" s="2"/>
    </row>
    <row r="2520" spans="9:9" x14ac:dyDescent="0.25">
      <c r="I2520" s="2"/>
    </row>
    <row r="2521" spans="9:9" x14ac:dyDescent="0.25">
      <c r="I2521" s="2"/>
    </row>
    <row r="2522" spans="9:9" x14ac:dyDescent="0.25">
      <c r="I2522" s="2"/>
    </row>
    <row r="2523" spans="9:9" x14ac:dyDescent="0.25">
      <c r="I2523" s="2"/>
    </row>
    <row r="2524" spans="9:9" x14ac:dyDescent="0.25">
      <c r="I2524" s="2"/>
    </row>
    <row r="2525" spans="9:9" x14ac:dyDescent="0.25">
      <c r="I2525" s="2"/>
    </row>
    <row r="2526" spans="9:9" x14ac:dyDescent="0.25">
      <c r="I2526" s="2"/>
    </row>
    <row r="2527" spans="9:9" x14ac:dyDescent="0.25">
      <c r="I2527" s="2"/>
    </row>
    <row r="2528" spans="9:9" x14ac:dyDescent="0.25">
      <c r="I2528" s="2"/>
    </row>
    <row r="2529" spans="9:9" x14ac:dyDescent="0.25">
      <c r="I2529" s="2"/>
    </row>
    <row r="2530" spans="9:9" x14ac:dyDescent="0.25">
      <c r="I2530" s="2"/>
    </row>
    <row r="2531" spans="9:9" x14ac:dyDescent="0.25">
      <c r="I2531" s="2"/>
    </row>
    <row r="2532" spans="9:9" x14ac:dyDescent="0.25">
      <c r="I2532" s="2"/>
    </row>
    <row r="2533" spans="9:9" x14ac:dyDescent="0.25">
      <c r="I2533" s="2"/>
    </row>
    <row r="2534" spans="9:9" x14ac:dyDescent="0.25">
      <c r="I2534" s="2"/>
    </row>
    <row r="2535" spans="9:9" x14ac:dyDescent="0.25">
      <c r="I2535" s="2"/>
    </row>
    <row r="2536" spans="9:9" x14ac:dyDescent="0.25">
      <c r="I2536" s="2"/>
    </row>
    <row r="2537" spans="9:9" x14ac:dyDescent="0.25">
      <c r="I2537" s="2"/>
    </row>
    <row r="2538" spans="9:9" x14ac:dyDescent="0.25">
      <c r="I2538" s="2"/>
    </row>
    <row r="2539" spans="9:9" x14ac:dyDescent="0.25">
      <c r="I2539" s="2"/>
    </row>
    <row r="2540" spans="9:9" x14ac:dyDescent="0.25">
      <c r="I2540" s="2"/>
    </row>
    <row r="2541" spans="9:9" x14ac:dyDescent="0.25">
      <c r="I2541" s="2"/>
    </row>
    <row r="2542" spans="9:9" x14ac:dyDescent="0.25">
      <c r="I2542" s="2"/>
    </row>
    <row r="2543" spans="9:9" x14ac:dyDescent="0.25">
      <c r="I2543" s="2"/>
    </row>
    <row r="2544" spans="9:9" x14ac:dyDescent="0.25">
      <c r="I2544" s="2"/>
    </row>
    <row r="2545" spans="9:9" x14ac:dyDescent="0.25">
      <c r="I2545" s="2"/>
    </row>
    <row r="2546" spans="9:9" x14ac:dyDescent="0.25">
      <c r="I2546" s="2"/>
    </row>
    <row r="2547" spans="9:9" x14ac:dyDescent="0.25">
      <c r="I2547" s="2"/>
    </row>
    <row r="2548" spans="9:9" x14ac:dyDescent="0.25">
      <c r="I2548" s="2"/>
    </row>
    <row r="2549" spans="9:9" x14ac:dyDescent="0.25">
      <c r="I2549" s="2"/>
    </row>
    <row r="2550" spans="9:9" x14ac:dyDescent="0.25">
      <c r="I2550" s="2"/>
    </row>
    <row r="2551" spans="9:9" x14ac:dyDescent="0.25">
      <c r="I2551" s="2"/>
    </row>
    <row r="2552" spans="9:9" x14ac:dyDescent="0.25">
      <c r="I2552" s="2"/>
    </row>
    <row r="2553" spans="9:9" x14ac:dyDescent="0.25">
      <c r="I2553" s="2"/>
    </row>
    <row r="2554" spans="9:9" x14ac:dyDescent="0.25">
      <c r="I2554" s="2"/>
    </row>
    <row r="2555" spans="9:9" x14ac:dyDescent="0.25">
      <c r="I2555" s="2"/>
    </row>
    <row r="2556" spans="9:9" x14ac:dyDescent="0.25">
      <c r="I2556" s="2"/>
    </row>
    <row r="2557" spans="9:9" x14ac:dyDescent="0.25">
      <c r="I2557" s="2"/>
    </row>
    <row r="2558" spans="9:9" x14ac:dyDescent="0.25">
      <c r="I2558" s="2"/>
    </row>
    <row r="2559" spans="9:9" x14ac:dyDescent="0.25">
      <c r="I2559" s="2"/>
    </row>
    <row r="2560" spans="9:9" x14ac:dyDescent="0.25">
      <c r="I2560" s="2"/>
    </row>
    <row r="2561" spans="9:9" x14ac:dyDescent="0.25">
      <c r="I2561" s="2"/>
    </row>
    <row r="2562" spans="9:9" x14ac:dyDescent="0.25">
      <c r="I2562" s="2"/>
    </row>
    <row r="2563" spans="9:9" x14ac:dyDescent="0.25">
      <c r="I2563" s="2"/>
    </row>
    <row r="2564" spans="9:9" x14ac:dyDescent="0.25">
      <c r="I2564" s="2"/>
    </row>
    <row r="2565" spans="9:9" x14ac:dyDescent="0.25">
      <c r="I2565" s="2"/>
    </row>
    <row r="2566" spans="9:9" x14ac:dyDescent="0.25">
      <c r="I2566" s="2"/>
    </row>
    <row r="2567" spans="9:9" x14ac:dyDescent="0.25">
      <c r="I2567" s="2"/>
    </row>
    <row r="2568" spans="9:9" x14ac:dyDescent="0.25">
      <c r="I2568" s="2"/>
    </row>
    <row r="2569" spans="9:9" x14ac:dyDescent="0.25">
      <c r="I2569" s="2"/>
    </row>
    <row r="2570" spans="9:9" x14ac:dyDescent="0.25">
      <c r="I2570" s="2"/>
    </row>
    <row r="2571" spans="9:9" x14ac:dyDescent="0.25">
      <c r="I2571" s="2"/>
    </row>
    <row r="2572" spans="9:9" x14ac:dyDescent="0.25">
      <c r="I2572" s="2"/>
    </row>
    <row r="2573" spans="9:9" x14ac:dyDescent="0.25">
      <c r="I2573" s="2"/>
    </row>
    <row r="2574" spans="9:9" x14ac:dyDescent="0.25">
      <c r="I2574" s="2"/>
    </row>
    <row r="2575" spans="9:9" x14ac:dyDescent="0.25">
      <c r="I2575" s="2"/>
    </row>
    <row r="2576" spans="9:9" x14ac:dyDescent="0.25">
      <c r="I2576" s="2"/>
    </row>
    <row r="2577" spans="9:9" x14ac:dyDescent="0.25">
      <c r="I2577" s="2"/>
    </row>
    <row r="2578" spans="9:9" x14ac:dyDescent="0.25">
      <c r="I2578" s="2"/>
    </row>
    <row r="2579" spans="9:9" x14ac:dyDescent="0.25">
      <c r="I2579" s="2"/>
    </row>
    <row r="2580" spans="9:9" x14ac:dyDescent="0.25">
      <c r="I2580" s="2"/>
    </row>
    <row r="2581" spans="9:9" x14ac:dyDescent="0.25">
      <c r="I2581" s="2"/>
    </row>
    <row r="2582" spans="9:9" x14ac:dyDescent="0.25">
      <c r="I2582" s="2"/>
    </row>
    <row r="2583" spans="9:9" x14ac:dyDescent="0.25">
      <c r="I2583" s="2"/>
    </row>
    <row r="2584" spans="9:9" x14ac:dyDescent="0.25">
      <c r="I2584" s="2"/>
    </row>
    <row r="2585" spans="9:9" x14ac:dyDescent="0.25">
      <c r="I2585" s="2"/>
    </row>
    <row r="2586" spans="9:9" x14ac:dyDescent="0.25">
      <c r="I2586" s="2"/>
    </row>
    <row r="2587" spans="9:9" x14ac:dyDescent="0.25">
      <c r="I2587" s="2"/>
    </row>
    <row r="2588" spans="9:9" x14ac:dyDescent="0.25">
      <c r="I2588" s="2"/>
    </row>
    <row r="2589" spans="9:9" x14ac:dyDescent="0.25">
      <c r="I2589" s="2"/>
    </row>
    <row r="2590" spans="9:9" x14ac:dyDescent="0.25">
      <c r="I2590" s="2"/>
    </row>
    <row r="2591" spans="9:9" x14ac:dyDescent="0.25">
      <c r="I2591" s="2"/>
    </row>
    <row r="2592" spans="9:9" x14ac:dyDescent="0.25">
      <c r="I2592" s="2"/>
    </row>
    <row r="2593" spans="9:9" x14ac:dyDescent="0.25">
      <c r="I2593" s="2"/>
    </row>
    <row r="2594" spans="9:9" x14ac:dyDescent="0.25">
      <c r="I2594" s="2"/>
    </row>
    <row r="2595" spans="9:9" x14ac:dyDescent="0.25">
      <c r="I2595" s="2"/>
    </row>
    <row r="2596" spans="9:9" x14ac:dyDescent="0.25">
      <c r="I2596" s="2"/>
    </row>
    <row r="2597" spans="9:9" x14ac:dyDescent="0.25">
      <c r="I2597" s="2"/>
    </row>
    <row r="2598" spans="9:9" x14ac:dyDescent="0.25">
      <c r="I2598" s="2"/>
    </row>
    <row r="2599" spans="9:9" x14ac:dyDescent="0.25">
      <c r="I2599" s="2"/>
    </row>
    <row r="2600" spans="9:9" x14ac:dyDescent="0.25">
      <c r="I2600" s="2"/>
    </row>
    <row r="2601" spans="9:9" x14ac:dyDescent="0.25">
      <c r="I2601" s="2"/>
    </row>
    <row r="2602" spans="9:9" x14ac:dyDescent="0.25">
      <c r="I2602" s="2"/>
    </row>
    <row r="2603" spans="9:9" x14ac:dyDescent="0.25">
      <c r="I2603" s="2"/>
    </row>
    <row r="2604" spans="9:9" x14ac:dyDescent="0.25">
      <c r="I2604" s="2"/>
    </row>
    <row r="2605" spans="9:9" x14ac:dyDescent="0.25">
      <c r="I2605" s="2"/>
    </row>
    <row r="2606" spans="9:9" x14ac:dyDescent="0.25">
      <c r="I2606" s="2"/>
    </row>
    <row r="2607" spans="9:9" x14ac:dyDescent="0.25">
      <c r="I2607" s="2"/>
    </row>
    <row r="2608" spans="9:9" x14ac:dyDescent="0.25">
      <c r="I2608" s="2"/>
    </row>
    <row r="2609" spans="9:9" x14ac:dyDescent="0.25">
      <c r="I2609" s="2"/>
    </row>
    <row r="2610" spans="9:9" x14ac:dyDescent="0.25">
      <c r="I2610" s="2"/>
    </row>
    <row r="2611" spans="9:9" x14ac:dyDescent="0.25">
      <c r="I2611" s="2"/>
    </row>
    <row r="2612" spans="9:9" x14ac:dyDescent="0.25">
      <c r="I2612" s="2"/>
    </row>
    <row r="2613" spans="9:9" x14ac:dyDescent="0.25">
      <c r="I2613" s="2"/>
    </row>
    <row r="2614" spans="9:9" x14ac:dyDescent="0.25">
      <c r="I2614" s="2"/>
    </row>
    <row r="2615" spans="9:9" x14ac:dyDescent="0.25">
      <c r="I2615" s="2"/>
    </row>
    <row r="2616" spans="9:9" x14ac:dyDescent="0.25">
      <c r="I2616" s="2"/>
    </row>
    <row r="2617" spans="9:9" x14ac:dyDescent="0.25">
      <c r="I2617" s="2"/>
    </row>
    <row r="2618" spans="9:9" x14ac:dyDescent="0.25">
      <c r="I2618" s="2"/>
    </row>
    <row r="2619" spans="9:9" x14ac:dyDescent="0.25">
      <c r="I2619" s="2"/>
    </row>
    <row r="2620" spans="9:9" x14ac:dyDescent="0.25">
      <c r="I2620" s="2"/>
    </row>
    <row r="2621" spans="9:9" x14ac:dyDescent="0.25">
      <c r="I2621" s="2"/>
    </row>
    <row r="2622" spans="9:9" x14ac:dyDescent="0.25">
      <c r="I2622" s="2"/>
    </row>
    <row r="2623" spans="9:9" x14ac:dyDescent="0.25">
      <c r="I2623" s="2"/>
    </row>
    <row r="2624" spans="9:9" x14ac:dyDescent="0.25">
      <c r="I2624" s="2"/>
    </row>
    <row r="2625" spans="9:9" x14ac:dyDescent="0.25">
      <c r="I2625" s="2"/>
    </row>
    <row r="2626" spans="9:9" x14ac:dyDescent="0.25">
      <c r="I2626" s="2"/>
    </row>
    <row r="2627" spans="9:9" x14ac:dyDescent="0.25">
      <c r="I2627" s="2"/>
    </row>
    <row r="2628" spans="9:9" x14ac:dyDescent="0.25">
      <c r="I2628" s="2"/>
    </row>
    <row r="2629" spans="9:9" x14ac:dyDescent="0.25">
      <c r="I2629" s="2"/>
    </row>
    <row r="2630" spans="9:9" x14ac:dyDescent="0.25">
      <c r="I2630" s="2"/>
    </row>
    <row r="2631" spans="9:9" x14ac:dyDescent="0.25">
      <c r="I2631" s="2"/>
    </row>
    <row r="2632" spans="9:9" x14ac:dyDescent="0.25">
      <c r="I2632" s="2"/>
    </row>
    <row r="2633" spans="9:9" x14ac:dyDescent="0.25">
      <c r="I2633" s="2"/>
    </row>
    <row r="2634" spans="9:9" x14ac:dyDescent="0.25">
      <c r="I2634" s="2"/>
    </row>
    <row r="2635" spans="9:9" x14ac:dyDescent="0.25">
      <c r="I2635" s="2"/>
    </row>
    <row r="2636" spans="9:9" x14ac:dyDescent="0.25">
      <c r="I2636" s="2"/>
    </row>
    <row r="2637" spans="9:9" x14ac:dyDescent="0.25">
      <c r="I2637" s="2"/>
    </row>
    <row r="2638" spans="9:9" x14ac:dyDescent="0.25">
      <c r="I2638" s="2"/>
    </row>
    <row r="2639" spans="9:9" x14ac:dyDescent="0.25">
      <c r="I2639" s="2"/>
    </row>
    <row r="2640" spans="9:9" x14ac:dyDescent="0.25">
      <c r="I2640" s="2"/>
    </row>
    <row r="2641" spans="9:9" x14ac:dyDescent="0.25">
      <c r="I2641" s="2"/>
    </row>
    <row r="2642" spans="9:9" x14ac:dyDescent="0.25">
      <c r="I2642" s="2"/>
    </row>
    <row r="2643" spans="9:9" x14ac:dyDescent="0.25">
      <c r="I2643" s="2"/>
    </row>
    <row r="2644" spans="9:9" x14ac:dyDescent="0.25">
      <c r="I2644" s="2"/>
    </row>
    <row r="2645" spans="9:9" x14ac:dyDescent="0.25">
      <c r="I2645" s="2"/>
    </row>
    <row r="2646" spans="9:9" x14ac:dyDescent="0.25">
      <c r="I2646" s="2"/>
    </row>
    <row r="2647" spans="9:9" x14ac:dyDescent="0.25">
      <c r="I2647" s="2"/>
    </row>
    <row r="2648" spans="9:9" x14ac:dyDescent="0.25">
      <c r="I2648" s="2"/>
    </row>
    <row r="2649" spans="9:9" x14ac:dyDescent="0.25">
      <c r="I2649" s="2"/>
    </row>
    <row r="2650" spans="9:9" x14ac:dyDescent="0.25">
      <c r="I2650" s="2"/>
    </row>
    <row r="2651" spans="9:9" x14ac:dyDescent="0.25">
      <c r="I2651" s="2"/>
    </row>
    <row r="2652" spans="9:9" x14ac:dyDescent="0.25">
      <c r="I2652" s="2"/>
    </row>
    <row r="2653" spans="9:9" x14ac:dyDescent="0.25">
      <c r="I2653" s="2"/>
    </row>
    <row r="2654" spans="9:9" x14ac:dyDescent="0.25">
      <c r="I2654" s="2"/>
    </row>
    <row r="2655" spans="9:9" x14ac:dyDescent="0.25">
      <c r="I2655" s="2"/>
    </row>
    <row r="2656" spans="9:9" x14ac:dyDescent="0.25">
      <c r="I2656" s="2"/>
    </row>
    <row r="2657" spans="9:9" x14ac:dyDescent="0.25">
      <c r="I2657" s="2"/>
    </row>
    <row r="2658" spans="9:9" x14ac:dyDescent="0.25">
      <c r="I2658" s="2"/>
    </row>
    <row r="2659" spans="9:9" x14ac:dyDescent="0.25">
      <c r="I2659" s="2"/>
    </row>
    <row r="2660" spans="9:9" x14ac:dyDescent="0.25">
      <c r="I2660" s="2"/>
    </row>
    <row r="2661" spans="9:9" x14ac:dyDescent="0.25">
      <c r="I2661" s="2"/>
    </row>
    <row r="2662" spans="9:9" x14ac:dyDescent="0.25">
      <c r="I2662" s="2"/>
    </row>
    <row r="2663" spans="9:9" x14ac:dyDescent="0.25">
      <c r="I2663" s="2"/>
    </row>
    <row r="2664" spans="9:9" x14ac:dyDescent="0.25">
      <c r="I2664" s="2"/>
    </row>
    <row r="2665" spans="9:9" x14ac:dyDescent="0.25">
      <c r="I2665" s="2"/>
    </row>
    <row r="2666" spans="9:9" x14ac:dyDescent="0.25">
      <c r="I2666" s="2"/>
    </row>
    <row r="2667" spans="9:9" x14ac:dyDescent="0.25">
      <c r="I2667" s="2"/>
    </row>
    <row r="2668" spans="9:9" x14ac:dyDescent="0.25">
      <c r="I2668" s="2"/>
    </row>
    <row r="2669" spans="9:9" x14ac:dyDescent="0.25">
      <c r="I2669" s="2"/>
    </row>
    <row r="2670" spans="9:9" x14ac:dyDescent="0.25">
      <c r="I2670" s="2"/>
    </row>
    <row r="2671" spans="9:9" x14ac:dyDescent="0.25">
      <c r="I2671" s="2"/>
    </row>
    <row r="2672" spans="9:9" x14ac:dyDescent="0.25">
      <c r="I2672" s="2"/>
    </row>
    <row r="2673" spans="9:9" x14ac:dyDescent="0.25">
      <c r="I2673" s="2"/>
    </row>
    <row r="2674" spans="9:9" x14ac:dyDescent="0.25">
      <c r="I2674" s="2"/>
    </row>
    <row r="2675" spans="9:9" x14ac:dyDescent="0.25">
      <c r="I2675" s="2"/>
    </row>
    <row r="2676" spans="9:9" x14ac:dyDescent="0.25">
      <c r="I2676" s="2"/>
    </row>
    <row r="2677" spans="9:9" x14ac:dyDescent="0.25">
      <c r="I2677" s="2"/>
    </row>
    <row r="2678" spans="9:9" x14ac:dyDescent="0.25">
      <c r="I2678" s="2"/>
    </row>
    <row r="2679" spans="9:9" x14ac:dyDescent="0.25">
      <c r="I2679" s="2"/>
    </row>
    <row r="2680" spans="9:9" x14ac:dyDescent="0.25">
      <c r="I2680" s="2"/>
    </row>
    <row r="2681" spans="9:9" x14ac:dyDescent="0.25">
      <c r="I2681" s="2"/>
    </row>
    <row r="2682" spans="9:9" x14ac:dyDescent="0.25">
      <c r="I2682" s="2"/>
    </row>
    <row r="2683" spans="9:9" x14ac:dyDescent="0.25">
      <c r="I2683" s="2"/>
    </row>
    <row r="2684" spans="9:9" x14ac:dyDescent="0.25">
      <c r="I2684" s="2"/>
    </row>
    <row r="2685" spans="9:9" x14ac:dyDescent="0.25">
      <c r="I2685" s="2"/>
    </row>
    <row r="2686" spans="9:9" x14ac:dyDescent="0.25">
      <c r="I2686" s="2"/>
    </row>
    <row r="2687" spans="9:9" x14ac:dyDescent="0.25">
      <c r="I2687" s="2"/>
    </row>
    <row r="2688" spans="9:9" x14ac:dyDescent="0.25">
      <c r="I2688" s="2"/>
    </row>
    <row r="2689" spans="9:9" x14ac:dyDescent="0.25">
      <c r="I2689" s="2"/>
    </row>
    <row r="2690" spans="9:9" x14ac:dyDescent="0.25">
      <c r="I2690" s="2"/>
    </row>
    <row r="2691" spans="9:9" x14ac:dyDescent="0.25">
      <c r="I2691" s="2"/>
    </row>
    <row r="2692" spans="9:9" x14ac:dyDescent="0.25">
      <c r="I2692" s="2"/>
    </row>
    <row r="2693" spans="9:9" x14ac:dyDescent="0.25">
      <c r="I2693" s="2"/>
    </row>
    <row r="2694" spans="9:9" x14ac:dyDescent="0.25">
      <c r="I2694" s="2"/>
    </row>
    <row r="2695" spans="9:9" x14ac:dyDescent="0.25">
      <c r="I2695" s="2"/>
    </row>
    <row r="2696" spans="9:9" x14ac:dyDescent="0.25">
      <c r="I2696" s="2"/>
    </row>
    <row r="2697" spans="9:9" x14ac:dyDescent="0.25">
      <c r="I2697" s="2"/>
    </row>
    <row r="2698" spans="9:9" x14ac:dyDescent="0.25">
      <c r="I2698" s="2"/>
    </row>
    <row r="2699" spans="9:9" x14ac:dyDescent="0.25">
      <c r="I2699" s="2"/>
    </row>
    <row r="2700" spans="9:9" x14ac:dyDescent="0.25">
      <c r="I2700" s="2"/>
    </row>
    <row r="2701" spans="9:9" x14ac:dyDescent="0.25">
      <c r="I2701" s="2"/>
    </row>
    <row r="2702" spans="9:9" x14ac:dyDescent="0.25">
      <c r="I2702" s="2"/>
    </row>
    <row r="2703" spans="9:9" x14ac:dyDescent="0.25">
      <c r="I2703" s="2"/>
    </row>
    <row r="2704" spans="9:9" x14ac:dyDescent="0.25">
      <c r="I2704" s="2"/>
    </row>
    <row r="2705" spans="9:9" x14ac:dyDescent="0.25">
      <c r="I2705" s="2"/>
    </row>
    <row r="2706" spans="9:9" x14ac:dyDescent="0.25">
      <c r="I2706" s="2"/>
    </row>
    <row r="2707" spans="9:9" x14ac:dyDescent="0.25">
      <c r="I2707" s="2"/>
    </row>
    <row r="2708" spans="9:9" x14ac:dyDescent="0.25">
      <c r="I2708" s="2"/>
    </row>
    <row r="2709" spans="9:9" x14ac:dyDescent="0.25">
      <c r="I2709" s="2"/>
    </row>
    <row r="2710" spans="9:9" x14ac:dyDescent="0.25">
      <c r="I2710" s="2"/>
    </row>
    <row r="2711" spans="9:9" x14ac:dyDescent="0.25">
      <c r="I2711" s="2"/>
    </row>
    <row r="2712" spans="9:9" x14ac:dyDescent="0.25">
      <c r="I2712" s="2"/>
    </row>
    <row r="2713" spans="9:9" x14ac:dyDescent="0.25">
      <c r="I2713" s="2"/>
    </row>
    <row r="2714" spans="9:9" x14ac:dyDescent="0.25">
      <c r="I2714" s="2"/>
    </row>
    <row r="2715" spans="9:9" x14ac:dyDescent="0.25">
      <c r="I2715" s="2"/>
    </row>
    <row r="2716" spans="9:9" x14ac:dyDescent="0.25">
      <c r="I2716" s="2"/>
    </row>
    <row r="2717" spans="9:9" x14ac:dyDescent="0.25">
      <c r="I2717" s="2"/>
    </row>
    <row r="2718" spans="9:9" x14ac:dyDescent="0.25">
      <c r="I2718" s="2"/>
    </row>
    <row r="2719" spans="9:9" x14ac:dyDescent="0.25">
      <c r="I2719" s="2"/>
    </row>
    <row r="2720" spans="9:9" x14ac:dyDescent="0.25">
      <c r="I2720" s="2"/>
    </row>
    <row r="2721" spans="9:9" x14ac:dyDescent="0.25">
      <c r="I2721" s="2"/>
    </row>
    <row r="2722" spans="9:9" x14ac:dyDescent="0.25">
      <c r="I2722" s="2"/>
    </row>
    <row r="2723" spans="9:9" x14ac:dyDescent="0.25">
      <c r="I2723" s="2"/>
    </row>
    <row r="2724" spans="9:9" x14ac:dyDescent="0.25">
      <c r="I2724" s="2"/>
    </row>
    <row r="2725" spans="9:9" x14ac:dyDescent="0.25">
      <c r="I2725" s="2"/>
    </row>
    <row r="2726" spans="9:9" x14ac:dyDescent="0.25">
      <c r="I2726" s="2"/>
    </row>
    <row r="2727" spans="9:9" x14ac:dyDescent="0.25">
      <c r="I2727" s="2"/>
    </row>
    <row r="2728" spans="9:9" x14ac:dyDescent="0.25">
      <c r="I2728" s="2"/>
    </row>
    <row r="2729" spans="9:9" x14ac:dyDescent="0.25">
      <c r="I2729" s="2"/>
    </row>
    <row r="2730" spans="9:9" x14ac:dyDescent="0.25">
      <c r="I2730" s="2"/>
    </row>
    <row r="2731" spans="9:9" x14ac:dyDescent="0.25">
      <c r="I2731" s="2"/>
    </row>
    <row r="2732" spans="9:9" x14ac:dyDescent="0.25">
      <c r="I2732" s="2"/>
    </row>
    <row r="2733" spans="9:9" x14ac:dyDescent="0.25">
      <c r="I2733" s="2"/>
    </row>
    <row r="2734" spans="9:9" x14ac:dyDescent="0.25">
      <c r="I2734" s="2"/>
    </row>
    <row r="2735" spans="9:9" x14ac:dyDescent="0.25">
      <c r="I2735" s="2"/>
    </row>
    <row r="2736" spans="9:9" x14ac:dyDescent="0.25">
      <c r="I2736" s="2"/>
    </row>
    <row r="2737" spans="9:9" x14ac:dyDescent="0.25">
      <c r="I2737" s="2"/>
    </row>
    <row r="2738" spans="9:9" x14ac:dyDescent="0.25">
      <c r="I2738" s="2"/>
    </row>
    <row r="2739" spans="9:9" x14ac:dyDescent="0.25">
      <c r="I2739" s="2"/>
    </row>
    <row r="2740" spans="9:9" x14ac:dyDescent="0.25">
      <c r="I2740" s="2"/>
    </row>
    <row r="2741" spans="9:9" x14ac:dyDescent="0.25">
      <c r="I2741" s="2"/>
    </row>
    <row r="2742" spans="9:9" x14ac:dyDescent="0.25">
      <c r="I2742" s="2"/>
    </row>
    <row r="2743" spans="9:9" x14ac:dyDescent="0.25">
      <c r="I2743" s="2"/>
    </row>
    <row r="2744" spans="9:9" x14ac:dyDescent="0.25">
      <c r="I2744" s="2"/>
    </row>
    <row r="2745" spans="9:9" x14ac:dyDescent="0.25">
      <c r="I2745" s="2"/>
    </row>
    <row r="2746" spans="9:9" x14ac:dyDescent="0.25">
      <c r="I2746" s="2"/>
    </row>
    <row r="2747" spans="9:9" x14ac:dyDescent="0.25">
      <c r="I2747" s="2"/>
    </row>
    <row r="2748" spans="9:9" x14ac:dyDescent="0.25">
      <c r="I2748" s="2"/>
    </row>
    <row r="2749" spans="9:9" x14ac:dyDescent="0.25">
      <c r="I2749" s="2"/>
    </row>
    <row r="2750" spans="9:9" x14ac:dyDescent="0.25">
      <c r="I2750" s="2"/>
    </row>
    <row r="2751" spans="9:9" x14ac:dyDescent="0.25">
      <c r="I2751" s="2"/>
    </row>
    <row r="2752" spans="9:9" x14ac:dyDescent="0.25">
      <c r="I2752" s="2"/>
    </row>
    <row r="2753" spans="9:9" x14ac:dyDescent="0.25">
      <c r="I2753" s="2"/>
    </row>
    <row r="2754" spans="9:9" x14ac:dyDescent="0.25">
      <c r="I2754" s="2"/>
    </row>
    <row r="2755" spans="9:9" x14ac:dyDescent="0.25">
      <c r="I2755" s="2"/>
    </row>
    <row r="2756" spans="9:9" x14ac:dyDescent="0.25">
      <c r="I2756" s="2"/>
    </row>
    <row r="2757" spans="9:9" x14ac:dyDescent="0.25">
      <c r="I2757" s="2"/>
    </row>
    <row r="2758" spans="9:9" x14ac:dyDescent="0.25">
      <c r="I2758" s="2"/>
    </row>
    <row r="2759" spans="9:9" x14ac:dyDescent="0.25">
      <c r="I2759" s="2"/>
    </row>
    <row r="2760" spans="9:9" x14ac:dyDescent="0.25">
      <c r="I2760" s="2"/>
    </row>
    <row r="2761" spans="9:9" x14ac:dyDescent="0.25">
      <c r="I2761" s="2"/>
    </row>
    <row r="2762" spans="9:9" x14ac:dyDescent="0.25">
      <c r="I2762" s="2"/>
    </row>
    <row r="2763" spans="9:9" x14ac:dyDescent="0.25">
      <c r="I2763" s="2"/>
    </row>
    <row r="2764" spans="9:9" x14ac:dyDescent="0.25">
      <c r="I2764" s="2"/>
    </row>
    <row r="2765" spans="9:9" x14ac:dyDescent="0.25">
      <c r="I2765" s="2"/>
    </row>
    <row r="2766" spans="9:9" x14ac:dyDescent="0.25">
      <c r="I2766" s="2"/>
    </row>
    <row r="2767" spans="9:9" x14ac:dyDescent="0.25">
      <c r="I2767" s="2"/>
    </row>
    <row r="2768" spans="9:9" x14ac:dyDescent="0.25">
      <c r="I2768" s="2"/>
    </row>
    <row r="2769" spans="9:9" x14ac:dyDescent="0.25">
      <c r="I2769" s="2"/>
    </row>
    <row r="2770" spans="9:9" x14ac:dyDescent="0.25">
      <c r="I2770" s="2"/>
    </row>
    <row r="2771" spans="9:9" x14ac:dyDescent="0.25">
      <c r="I2771" s="2"/>
    </row>
    <row r="2772" spans="9:9" x14ac:dyDescent="0.25">
      <c r="I2772" s="2"/>
    </row>
    <row r="2773" spans="9:9" x14ac:dyDescent="0.25">
      <c r="I2773" s="2"/>
    </row>
    <row r="2774" spans="9:9" x14ac:dyDescent="0.25">
      <c r="I2774" s="2"/>
    </row>
    <row r="2775" spans="9:9" x14ac:dyDescent="0.25">
      <c r="I2775" s="2"/>
    </row>
    <row r="2776" spans="9:9" x14ac:dyDescent="0.25">
      <c r="I2776" s="2"/>
    </row>
    <row r="2777" spans="9:9" x14ac:dyDescent="0.25">
      <c r="I2777" s="2"/>
    </row>
    <row r="2778" spans="9:9" x14ac:dyDescent="0.25">
      <c r="I2778" s="2"/>
    </row>
    <row r="2779" spans="9:9" x14ac:dyDescent="0.25">
      <c r="I2779" s="2"/>
    </row>
    <row r="2780" spans="9:9" x14ac:dyDescent="0.25">
      <c r="I2780" s="2"/>
    </row>
    <row r="2781" spans="9:9" x14ac:dyDescent="0.25">
      <c r="I2781" s="2"/>
    </row>
    <row r="2782" spans="9:9" x14ac:dyDescent="0.25">
      <c r="I2782" s="2"/>
    </row>
    <row r="2783" spans="9:9" x14ac:dyDescent="0.25">
      <c r="I2783" s="2"/>
    </row>
    <row r="2784" spans="9:9" x14ac:dyDescent="0.25">
      <c r="I2784" s="2"/>
    </row>
    <row r="2785" spans="9:9" x14ac:dyDescent="0.25">
      <c r="I2785" s="2"/>
    </row>
    <row r="2786" spans="9:9" x14ac:dyDescent="0.25">
      <c r="I2786" s="2"/>
    </row>
    <row r="2787" spans="9:9" x14ac:dyDescent="0.25">
      <c r="I2787" s="2"/>
    </row>
    <row r="2788" spans="9:9" x14ac:dyDescent="0.25">
      <c r="I2788" s="2"/>
    </row>
    <row r="2789" spans="9:9" x14ac:dyDescent="0.25">
      <c r="I2789" s="2"/>
    </row>
    <row r="2790" spans="9:9" x14ac:dyDescent="0.25">
      <c r="I2790" s="2"/>
    </row>
    <row r="2791" spans="9:9" x14ac:dyDescent="0.25">
      <c r="I2791" s="2"/>
    </row>
    <row r="2792" spans="9:9" x14ac:dyDescent="0.25">
      <c r="I2792" s="2"/>
    </row>
    <row r="2793" spans="9:9" x14ac:dyDescent="0.25">
      <c r="I2793" s="2"/>
    </row>
    <row r="2794" spans="9:9" x14ac:dyDescent="0.25">
      <c r="I2794" s="2"/>
    </row>
    <row r="2795" spans="9:9" x14ac:dyDescent="0.25">
      <c r="I2795" s="2"/>
    </row>
    <row r="2796" spans="9:9" x14ac:dyDescent="0.25">
      <c r="I2796" s="2"/>
    </row>
    <row r="2797" spans="9:9" x14ac:dyDescent="0.25">
      <c r="I2797" s="2"/>
    </row>
    <row r="2798" spans="9:9" x14ac:dyDescent="0.25">
      <c r="I2798" s="2"/>
    </row>
    <row r="2799" spans="9:9" x14ac:dyDescent="0.25">
      <c r="I2799" s="2"/>
    </row>
    <row r="2800" spans="9:9" x14ac:dyDescent="0.25">
      <c r="I2800" s="2"/>
    </row>
    <row r="2801" spans="9:9" x14ac:dyDescent="0.25">
      <c r="I2801" s="2"/>
    </row>
    <row r="2802" spans="9:9" x14ac:dyDescent="0.25">
      <c r="I2802" s="2"/>
    </row>
    <row r="2803" spans="9:9" x14ac:dyDescent="0.25">
      <c r="I2803" s="2"/>
    </row>
    <row r="2804" spans="9:9" x14ac:dyDescent="0.25">
      <c r="I2804" s="2"/>
    </row>
    <row r="2805" spans="9:9" x14ac:dyDescent="0.25">
      <c r="I2805" s="2"/>
    </row>
    <row r="2806" spans="9:9" x14ac:dyDescent="0.25">
      <c r="I2806" s="2"/>
    </row>
    <row r="2807" spans="9:9" x14ac:dyDescent="0.25">
      <c r="I2807" s="2"/>
    </row>
    <row r="2808" spans="9:9" x14ac:dyDescent="0.25">
      <c r="I2808" s="2"/>
    </row>
    <row r="2809" spans="9:9" x14ac:dyDescent="0.25">
      <c r="I2809" s="2"/>
    </row>
    <row r="2810" spans="9:9" x14ac:dyDescent="0.25">
      <c r="I2810" s="2"/>
    </row>
    <row r="2811" spans="9:9" x14ac:dyDescent="0.25">
      <c r="I2811" s="2"/>
    </row>
    <row r="2812" spans="9:9" x14ac:dyDescent="0.25">
      <c r="I2812" s="2"/>
    </row>
    <row r="2813" spans="9:9" x14ac:dyDescent="0.25">
      <c r="I2813" s="2"/>
    </row>
    <row r="2814" spans="9:9" x14ac:dyDescent="0.25">
      <c r="I2814" s="2"/>
    </row>
    <row r="2815" spans="9:9" x14ac:dyDescent="0.25">
      <c r="I2815" s="2"/>
    </row>
    <row r="2816" spans="9:9" x14ac:dyDescent="0.25">
      <c r="I2816" s="2"/>
    </row>
    <row r="2817" spans="9:9" x14ac:dyDescent="0.25">
      <c r="I2817" s="2"/>
    </row>
    <row r="2818" spans="9:9" x14ac:dyDescent="0.25">
      <c r="I2818" s="2"/>
    </row>
    <row r="2819" spans="9:9" x14ac:dyDescent="0.25">
      <c r="I2819" s="2"/>
    </row>
    <row r="2820" spans="9:9" x14ac:dyDescent="0.25">
      <c r="I2820" s="2"/>
    </row>
    <row r="2821" spans="9:9" x14ac:dyDescent="0.25">
      <c r="I2821" s="2"/>
    </row>
    <row r="2822" spans="9:9" x14ac:dyDescent="0.25">
      <c r="I2822" s="2"/>
    </row>
    <row r="2823" spans="9:9" x14ac:dyDescent="0.25">
      <c r="I2823" s="2"/>
    </row>
    <row r="2824" spans="9:9" x14ac:dyDescent="0.25">
      <c r="I2824" s="2"/>
    </row>
    <row r="2825" spans="9:9" x14ac:dyDescent="0.25">
      <c r="I2825" s="2"/>
    </row>
    <row r="2826" spans="9:9" x14ac:dyDescent="0.25">
      <c r="I2826" s="2"/>
    </row>
    <row r="2827" spans="9:9" x14ac:dyDescent="0.25">
      <c r="I2827" s="2"/>
    </row>
    <row r="2828" spans="9:9" x14ac:dyDescent="0.25">
      <c r="I2828" s="2"/>
    </row>
    <row r="2829" spans="9:9" x14ac:dyDescent="0.25">
      <c r="I2829" s="2"/>
    </row>
    <row r="2830" spans="9:9" x14ac:dyDescent="0.25">
      <c r="I2830" s="2"/>
    </row>
    <row r="2831" spans="9:9" x14ac:dyDescent="0.25">
      <c r="I2831" s="2"/>
    </row>
    <row r="2832" spans="9:9" x14ac:dyDescent="0.25">
      <c r="I2832" s="2"/>
    </row>
    <row r="2833" spans="9:9" x14ac:dyDescent="0.25">
      <c r="I2833" s="2"/>
    </row>
    <row r="2834" spans="9:9" x14ac:dyDescent="0.25">
      <c r="I2834" s="2"/>
    </row>
    <row r="2835" spans="9:9" x14ac:dyDescent="0.25">
      <c r="I2835" s="2"/>
    </row>
    <row r="2836" spans="9:9" x14ac:dyDescent="0.25">
      <c r="I2836" s="2"/>
    </row>
    <row r="2837" spans="9:9" x14ac:dyDescent="0.25">
      <c r="I2837" s="2"/>
    </row>
    <row r="2838" spans="9:9" x14ac:dyDescent="0.25">
      <c r="I2838" s="2"/>
    </row>
    <row r="2839" spans="9:9" x14ac:dyDescent="0.25">
      <c r="I2839" s="2"/>
    </row>
    <row r="2840" spans="9:9" x14ac:dyDescent="0.25">
      <c r="I2840" s="2"/>
    </row>
    <row r="2841" spans="9:9" x14ac:dyDescent="0.25">
      <c r="I2841" s="2"/>
    </row>
    <row r="2842" spans="9:9" x14ac:dyDescent="0.25">
      <c r="I2842" s="2"/>
    </row>
    <row r="2843" spans="9:9" x14ac:dyDescent="0.25">
      <c r="I2843" s="2"/>
    </row>
    <row r="2844" spans="9:9" x14ac:dyDescent="0.25">
      <c r="I2844" s="2"/>
    </row>
    <row r="2845" spans="9:9" x14ac:dyDescent="0.25">
      <c r="I2845" s="2"/>
    </row>
    <row r="2846" spans="9:9" x14ac:dyDescent="0.25">
      <c r="I2846" s="2"/>
    </row>
    <row r="2847" spans="9:9" x14ac:dyDescent="0.25">
      <c r="I2847" s="2"/>
    </row>
    <row r="2848" spans="9:9" x14ac:dyDescent="0.25">
      <c r="I2848" s="2"/>
    </row>
    <row r="2849" spans="9:9" x14ac:dyDescent="0.25">
      <c r="I2849" s="2"/>
    </row>
    <row r="2850" spans="9:9" x14ac:dyDescent="0.25">
      <c r="I2850" s="2"/>
    </row>
    <row r="2851" spans="9:9" x14ac:dyDescent="0.25">
      <c r="I2851" s="2"/>
    </row>
    <row r="2852" spans="9:9" x14ac:dyDescent="0.25">
      <c r="I2852" s="2"/>
    </row>
    <row r="2853" spans="9:9" x14ac:dyDescent="0.25">
      <c r="I2853" s="2"/>
    </row>
    <row r="2854" spans="9:9" x14ac:dyDescent="0.25">
      <c r="I2854" s="2"/>
    </row>
    <row r="2855" spans="9:9" x14ac:dyDescent="0.25">
      <c r="I2855" s="2"/>
    </row>
    <row r="2856" spans="9:9" x14ac:dyDescent="0.25">
      <c r="I2856" s="2"/>
    </row>
    <row r="2857" spans="9:9" x14ac:dyDescent="0.25">
      <c r="I2857" s="2"/>
    </row>
    <row r="2858" spans="9:9" x14ac:dyDescent="0.25">
      <c r="I2858" s="2"/>
    </row>
    <row r="2859" spans="9:9" x14ac:dyDescent="0.25">
      <c r="I2859" s="2"/>
    </row>
    <row r="2860" spans="9:9" x14ac:dyDescent="0.25">
      <c r="I2860" s="2"/>
    </row>
    <row r="2861" spans="9:9" x14ac:dyDescent="0.25">
      <c r="I2861" s="2"/>
    </row>
    <row r="2862" spans="9:9" x14ac:dyDescent="0.25">
      <c r="I2862" s="2"/>
    </row>
    <row r="2863" spans="9:9" x14ac:dyDescent="0.25">
      <c r="I2863" s="2"/>
    </row>
    <row r="2864" spans="9:9" x14ac:dyDescent="0.25">
      <c r="I2864" s="2"/>
    </row>
    <row r="2865" spans="9:9" x14ac:dyDescent="0.25">
      <c r="I2865" s="2"/>
    </row>
    <row r="2866" spans="9:9" x14ac:dyDescent="0.25">
      <c r="I2866" s="2"/>
    </row>
    <row r="2867" spans="9:9" x14ac:dyDescent="0.25">
      <c r="I2867" s="2"/>
    </row>
    <row r="2868" spans="9:9" x14ac:dyDescent="0.25">
      <c r="I2868" s="2"/>
    </row>
    <row r="2869" spans="9:9" x14ac:dyDescent="0.25">
      <c r="I2869" s="2"/>
    </row>
    <row r="2870" spans="9:9" x14ac:dyDescent="0.25">
      <c r="I2870" s="2"/>
    </row>
    <row r="2871" spans="9:9" x14ac:dyDescent="0.25">
      <c r="I2871" s="2"/>
    </row>
    <row r="2872" spans="9:9" x14ac:dyDescent="0.25">
      <c r="I2872" s="2"/>
    </row>
    <row r="2873" spans="9:9" x14ac:dyDescent="0.25">
      <c r="I2873" s="2"/>
    </row>
    <row r="2874" spans="9:9" x14ac:dyDescent="0.25">
      <c r="I2874" s="2"/>
    </row>
    <row r="2875" spans="9:9" x14ac:dyDescent="0.25">
      <c r="I2875" s="2"/>
    </row>
    <row r="2876" spans="9:9" x14ac:dyDescent="0.25">
      <c r="I2876" s="2"/>
    </row>
    <row r="2877" spans="9:9" x14ac:dyDescent="0.25">
      <c r="I2877" s="2"/>
    </row>
    <row r="2878" spans="9:9" x14ac:dyDescent="0.25">
      <c r="I2878" s="2"/>
    </row>
    <row r="2879" spans="9:9" x14ac:dyDescent="0.25">
      <c r="I2879" s="2"/>
    </row>
    <row r="2880" spans="9:9" x14ac:dyDescent="0.25">
      <c r="I2880" s="2"/>
    </row>
    <row r="2881" spans="9:9" x14ac:dyDescent="0.25">
      <c r="I2881" s="2"/>
    </row>
    <row r="2882" spans="9:9" x14ac:dyDescent="0.25">
      <c r="I2882" s="2"/>
    </row>
    <row r="2883" spans="9:9" x14ac:dyDescent="0.25">
      <c r="I2883" s="2"/>
    </row>
    <row r="2884" spans="9:9" x14ac:dyDescent="0.25">
      <c r="I2884" s="2"/>
    </row>
    <row r="2885" spans="9:9" x14ac:dyDescent="0.25">
      <c r="I2885" s="2"/>
    </row>
    <row r="2886" spans="9:9" x14ac:dyDescent="0.25">
      <c r="I2886" s="2"/>
    </row>
    <row r="2887" spans="9:9" x14ac:dyDescent="0.25">
      <c r="I2887" s="2"/>
    </row>
    <row r="2888" spans="9:9" x14ac:dyDescent="0.25">
      <c r="I2888" s="2"/>
    </row>
    <row r="2889" spans="9:9" x14ac:dyDescent="0.25">
      <c r="I2889" s="2"/>
    </row>
    <row r="2890" spans="9:9" x14ac:dyDescent="0.25">
      <c r="I2890" s="2"/>
    </row>
    <row r="2891" spans="9:9" x14ac:dyDescent="0.25">
      <c r="I2891" s="2"/>
    </row>
    <row r="2892" spans="9:9" x14ac:dyDescent="0.25">
      <c r="I2892" s="2"/>
    </row>
    <row r="2893" spans="9:9" x14ac:dyDescent="0.25">
      <c r="I2893" s="2"/>
    </row>
    <row r="2894" spans="9:9" x14ac:dyDescent="0.25">
      <c r="I2894" s="2"/>
    </row>
    <row r="2895" spans="9:9" x14ac:dyDescent="0.25">
      <c r="I2895" s="2"/>
    </row>
    <row r="2896" spans="9:9" x14ac:dyDescent="0.25">
      <c r="I2896" s="2"/>
    </row>
    <row r="2897" spans="9:9" x14ac:dyDescent="0.25">
      <c r="I2897" s="2"/>
    </row>
    <row r="2898" spans="9:9" x14ac:dyDescent="0.25">
      <c r="I2898" s="2"/>
    </row>
    <row r="2899" spans="9:9" x14ac:dyDescent="0.25">
      <c r="I2899" s="2"/>
    </row>
    <row r="2900" spans="9:9" x14ac:dyDescent="0.25">
      <c r="I2900" s="2"/>
    </row>
    <row r="2901" spans="9:9" x14ac:dyDescent="0.25">
      <c r="I2901" s="2"/>
    </row>
    <row r="2902" spans="9:9" x14ac:dyDescent="0.25">
      <c r="I2902" s="2"/>
    </row>
    <row r="2903" spans="9:9" x14ac:dyDescent="0.25">
      <c r="I2903" s="2"/>
    </row>
    <row r="2904" spans="9:9" x14ac:dyDescent="0.25">
      <c r="I2904" s="2"/>
    </row>
    <row r="2905" spans="9:9" x14ac:dyDescent="0.25">
      <c r="I2905" s="2"/>
    </row>
    <row r="2906" spans="9:9" x14ac:dyDescent="0.25">
      <c r="I2906" s="2"/>
    </row>
    <row r="2907" spans="9:9" x14ac:dyDescent="0.25">
      <c r="I2907" s="2"/>
    </row>
    <row r="2908" spans="9:9" x14ac:dyDescent="0.25">
      <c r="I2908" s="2"/>
    </row>
    <row r="2909" spans="9:9" x14ac:dyDescent="0.25">
      <c r="I2909" s="2"/>
    </row>
    <row r="2910" spans="9:9" x14ac:dyDescent="0.25">
      <c r="I2910" s="2"/>
    </row>
    <row r="2911" spans="9:9" x14ac:dyDescent="0.25">
      <c r="I2911" s="2"/>
    </row>
    <row r="2912" spans="9:9" x14ac:dyDescent="0.25">
      <c r="I2912" s="2"/>
    </row>
    <row r="2913" spans="9:9" x14ac:dyDescent="0.25">
      <c r="I2913" s="2"/>
    </row>
    <row r="2914" spans="9:9" x14ac:dyDescent="0.25">
      <c r="I2914" s="2"/>
    </row>
    <row r="2915" spans="9:9" x14ac:dyDescent="0.25">
      <c r="I2915" s="2"/>
    </row>
    <row r="2916" spans="9:9" x14ac:dyDescent="0.25">
      <c r="I2916" s="2"/>
    </row>
    <row r="2917" spans="9:9" x14ac:dyDescent="0.25">
      <c r="I2917" s="2"/>
    </row>
    <row r="2918" spans="9:9" x14ac:dyDescent="0.25">
      <c r="I2918" s="2"/>
    </row>
    <row r="2919" spans="9:9" x14ac:dyDescent="0.25">
      <c r="I2919" s="2"/>
    </row>
    <row r="2920" spans="9:9" x14ac:dyDescent="0.25">
      <c r="I2920" s="2"/>
    </row>
    <row r="2921" spans="9:9" x14ac:dyDescent="0.25">
      <c r="I2921" s="2"/>
    </row>
    <row r="2922" spans="9:9" x14ac:dyDescent="0.25">
      <c r="I2922" s="2"/>
    </row>
    <row r="2923" spans="9:9" x14ac:dyDescent="0.25">
      <c r="I2923" s="2"/>
    </row>
    <row r="2924" spans="9:9" x14ac:dyDescent="0.25">
      <c r="I2924" s="2"/>
    </row>
    <row r="2925" spans="9:9" x14ac:dyDescent="0.25">
      <c r="I2925" s="2"/>
    </row>
    <row r="2926" spans="9:9" x14ac:dyDescent="0.25">
      <c r="I2926" s="2"/>
    </row>
    <row r="2927" spans="9:9" x14ac:dyDescent="0.25">
      <c r="I2927" s="2"/>
    </row>
    <row r="2928" spans="9:9" x14ac:dyDescent="0.25">
      <c r="I2928" s="2"/>
    </row>
    <row r="2929" spans="9:9" x14ac:dyDescent="0.25">
      <c r="I2929" s="2"/>
    </row>
    <row r="2930" spans="9:9" x14ac:dyDescent="0.25">
      <c r="I2930" s="2"/>
    </row>
    <row r="2931" spans="9:9" x14ac:dyDescent="0.25">
      <c r="I2931" s="2"/>
    </row>
    <row r="2932" spans="9:9" x14ac:dyDescent="0.25">
      <c r="I2932" s="2"/>
    </row>
    <row r="2933" spans="9:9" x14ac:dyDescent="0.25">
      <c r="I2933" s="2"/>
    </row>
    <row r="2934" spans="9:9" x14ac:dyDescent="0.25">
      <c r="I2934" s="2"/>
    </row>
    <row r="2935" spans="9:9" x14ac:dyDescent="0.25">
      <c r="I2935" s="2"/>
    </row>
    <row r="2936" spans="9:9" x14ac:dyDescent="0.25">
      <c r="I2936" s="2"/>
    </row>
    <row r="2937" spans="9:9" x14ac:dyDescent="0.25">
      <c r="I2937" s="2"/>
    </row>
    <row r="2938" spans="9:9" x14ac:dyDescent="0.25">
      <c r="I2938" s="2"/>
    </row>
    <row r="2939" spans="9:9" x14ac:dyDescent="0.25">
      <c r="I2939" s="2"/>
    </row>
    <row r="2940" spans="9:9" x14ac:dyDescent="0.25">
      <c r="I2940" s="2"/>
    </row>
    <row r="2941" spans="9:9" x14ac:dyDescent="0.25">
      <c r="I2941" s="2"/>
    </row>
    <row r="2942" spans="9:9" x14ac:dyDescent="0.25">
      <c r="I2942" s="2"/>
    </row>
    <row r="2943" spans="9:9" x14ac:dyDescent="0.25">
      <c r="I2943" s="2"/>
    </row>
    <row r="2944" spans="9:9" x14ac:dyDescent="0.25">
      <c r="I2944" s="2"/>
    </row>
    <row r="2945" spans="9:9" x14ac:dyDescent="0.25">
      <c r="I2945" s="2"/>
    </row>
    <row r="2946" spans="9:9" x14ac:dyDescent="0.25">
      <c r="I2946" s="2"/>
    </row>
    <row r="2947" spans="9:9" x14ac:dyDescent="0.25">
      <c r="I2947" s="2"/>
    </row>
    <row r="2948" spans="9:9" x14ac:dyDescent="0.25">
      <c r="I2948" s="2"/>
    </row>
    <row r="2949" spans="9:9" x14ac:dyDescent="0.25">
      <c r="I2949" s="2"/>
    </row>
    <row r="2950" spans="9:9" x14ac:dyDescent="0.25">
      <c r="I2950" s="2"/>
    </row>
    <row r="2951" spans="9:9" x14ac:dyDescent="0.25">
      <c r="I2951" s="2"/>
    </row>
    <row r="2952" spans="9:9" x14ac:dyDescent="0.25">
      <c r="I2952" s="2"/>
    </row>
    <row r="2953" spans="9:9" x14ac:dyDescent="0.25">
      <c r="I2953" s="2"/>
    </row>
    <row r="2954" spans="9:9" x14ac:dyDescent="0.25">
      <c r="I2954" s="2"/>
    </row>
    <row r="2955" spans="9:9" x14ac:dyDescent="0.25">
      <c r="I2955" s="2"/>
    </row>
    <row r="2956" spans="9:9" x14ac:dyDescent="0.25">
      <c r="I2956" s="2"/>
    </row>
    <row r="2957" spans="9:9" x14ac:dyDescent="0.25">
      <c r="I2957" s="2"/>
    </row>
    <row r="2958" spans="9:9" x14ac:dyDescent="0.25">
      <c r="I2958" s="2"/>
    </row>
    <row r="2959" spans="9:9" x14ac:dyDescent="0.25">
      <c r="I2959" s="2"/>
    </row>
    <row r="2960" spans="9:9" x14ac:dyDescent="0.25">
      <c r="I2960" s="2"/>
    </row>
    <row r="2961" spans="9:9" x14ac:dyDescent="0.25">
      <c r="I2961" s="2"/>
    </row>
    <row r="2962" spans="9:9" x14ac:dyDescent="0.25">
      <c r="I2962" s="2"/>
    </row>
    <row r="2963" spans="9:9" x14ac:dyDescent="0.25">
      <c r="I2963" s="2"/>
    </row>
    <row r="2964" spans="9:9" x14ac:dyDescent="0.25">
      <c r="I2964" s="2"/>
    </row>
    <row r="2965" spans="9:9" x14ac:dyDescent="0.25">
      <c r="I2965" s="2"/>
    </row>
    <row r="2966" spans="9:9" x14ac:dyDescent="0.25">
      <c r="I2966" s="2"/>
    </row>
    <row r="2967" spans="9:9" x14ac:dyDescent="0.25">
      <c r="I2967" s="2"/>
    </row>
    <row r="2968" spans="9:9" x14ac:dyDescent="0.25">
      <c r="I2968" s="2"/>
    </row>
    <row r="2969" spans="9:9" x14ac:dyDescent="0.25">
      <c r="I2969" s="2"/>
    </row>
    <row r="2970" spans="9:9" x14ac:dyDescent="0.25">
      <c r="I2970" s="2"/>
    </row>
    <row r="2971" spans="9:9" x14ac:dyDescent="0.25">
      <c r="I2971" s="2"/>
    </row>
    <row r="2972" spans="9:9" x14ac:dyDescent="0.25">
      <c r="I2972" s="2"/>
    </row>
    <row r="2973" spans="9:9" x14ac:dyDescent="0.25">
      <c r="I2973" s="2"/>
    </row>
    <row r="2974" spans="9:9" x14ac:dyDescent="0.25">
      <c r="I2974" s="2"/>
    </row>
    <row r="2975" spans="9:9" x14ac:dyDescent="0.25">
      <c r="I2975" s="2"/>
    </row>
    <row r="2976" spans="9:9" x14ac:dyDescent="0.25">
      <c r="I2976" s="2"/>
    </row>
    <row r="2977" spans="9:9" x14ac:dyDescent="0.25">
      <c r="I2977" s="2"/>
    </row>
    <row r="2978" spans="9:9" x14ac:dyDescent="0.25">
      <c r="I2978" s="2"/>
    </row>
    <row r="2979" spans="9:9" x14ac:dyDescent="0.25">
      <c r="I2979" s="2"/>
    </row>
    <row r="2980" spans="9:9" x14ac:dyDescent="0.25">
      <c r="I2980" s="2"/>
    </row>
    <row r="2981" spans="9:9" x14ac:dyDescent="0.25">
      <c r="I2981" s="2"/>
    </row>
    <row r="2982" spans="9:9" x14ac:dyDescent="0.25">
      <c r="I2982" s="2"/>
    </row>
    <row r="2983" spans="9:9" x14ac:dyDescent="0.25">
      <c r="I2983" s="2"/>
    </row>
    <row r="2984" spans="9:9" x14ac:dyDescent="0.25">
      <c r="I2984" s="2"/>
    </row>
    <row r="2985" spans="9:9" x14ac:dyDescent="0.25">
      <c r="I2985" s="2"/>
    </row>
    <row r="2986" spans="9:9" x14ac:dyDescent="0.25">
      <c r="I2986" s="2"/>
    </row>
    <row r="2987" spans="9:9" x14ac:dyDescent="0.25">
      <c r="I2987" s="2"/>
    </row>
    <row r="2988" spans="9:9" x14ac:dyDescent="0.25">
      <c r="I2988" s="2"/>
    </row>
    <row r="2989" spans="9:9" x14ac:dyDescent="0.25">
      <c r="I2989" s="2"/>
    </row>
    <row r="2990" spans="9:9" x14ac:dyDescent="0.25">
      <c r="I2990" s="2"/>
    </row>
    <row r="2991" spans="9:9" x14ac:dyDescent="0.25">
      <c r="I2991" s="2"/>
    </row>
    <row r="2992" spans="9:9" x14ac:dyDescent="0.25">
      <c r="I2992" s="2"/>
    </row>
    <row r="2993" spans="9:9" x14ac:dyDescent="0.25">
      <c r="I2993" s="2"/>
    </row>
    <row r="2994" spans="9:9" x14ac:dyDescent="0.25">
      <c r="I2994" s="2"/>
    </row>
    <row r="2995" spans="9:9" x14ac:dyDescent="0.25">
      <c r="I2995" s="2"/>
    </row>
    <row r="2996" spans="9:9" x14ac:dyDescent="0.25">
      <c r="I2996" s="2"/>
    </row>
    <row r="2997" spans="9:9" x14ac:dyDescent="0.25">
      <c r="I2997" s="2"/>
    </row>
    <row r="2998" spans="9:9" x14ac:dyDescent="0.25">
      <c r="I2998" s="2"/>
    </row>
    <row r="2999" spans="9:9" x14ac:dyDescent="0.25">
      <c r="I2999" s="2"/>
    </row>
    <row r="3000" spans="9:9" x14ac:dyDescent="0.25">
      <c r="I3000" s="2"/>
    </row>
    <row r="3001" spans="9:9" x14ac:dyDescent="0.25">
      <c r="I3001" s="2"/>
    </row>
    <row r="3002" spans="9:9" x14ac:dyDescent="0.25">
      <c r="I3002" s="2"/>
    </row>
    <row r="3003" spans="9:9" x14ac:dyDescent="0.25">
      <c r="I3003" s="2"/>
    </row>
    <row r="3004" spans="9:9" x14ac:dyDescent="0.25">
      <c r="I3004" s="2"/>
    </row>
    <row r="3005" spans="9:9" x14ac:dyDescent="0.25">
      <c r="I3005" s="2"/>
    </row>
    <row r="3006" spans="9:9" x14ac:dyDescent="0.25">
      <c r="I3006" s="2"/>
    </row>
    <row r="3007" spans="9:9" x14ac:dyDescent="0.25">
      <c r="I3007" s="2"/>
    </row>
    <row r="3008" spans="9:9" x14ac:dyDescent="0.25">
      <c r="I3008" s="2"/>
    </row>
    <row r="3009" spans="9:9" x14ac:dyDescent="0.25">
      <c r="I3009" s="2"/>
    </row>
    <row r="3010" spans="9:9" x14ac:dyDescent="0.25">
      <c r="I3010" s="2"/>
    </row>
    <row r="3011" spans="9:9" x14ac:dyDescent="0.25">
      <c r="I3011" s="2"/>
    </row>
    <row r="3012" spans="9:9" x14ac:dyDescent="0.25">
      <c r="I3012" s="2"/>
    </row>
    <row r="3013" spans="9:9" x14ac:dyDescent="0.25">
      <c r="I3013" s="2"/>
    </row>
    <row r="3014" spans="9:9" x14ac:dyDescent="0.25">
      <c r="I3014" s="2"/>
    </row>
    <row r="3015" spans="9:9" x14ac:dyDescent="0.25">
      <c r="I3015" s="2"/>
    </row>
    <row r="3016" spans="9:9" x14ac:dyDescent="0.25">
      <c r="I3016" s="2"/>
    </row>
    <row r="3017" spans="9:9" x14ac:dyDescent="0.25">
      <c r="I3017" s="2"/>
    </row>
    <row r="3018" spans="9:9" x14ac:dyDescent="0.25">
      <c r="I3018" s="2"/>
    </row>
    <row r="3019" spans="9:9" x14ac:dyDescent="0.25">
      <c r="I3019" s="2"/>
    </row>
    <row r="3020" spans="9:9" x14ac:dyDescent="0.25">
      <c r="I3020" s="2"/>
    </row>
    <row r="3021" spans="9:9" x14ac:dyDescent="0.25">
      <c r="I3021" s="2"/>
    </row>
    <row r="3022" spans="9:9" x14ac:dyDescent="0.25">
      <c r="I3022" s="2"/>
    </row>
    <row r="3023" spans="9:9" x14ac:dyDescent="0.25">
      <c r="I3023" s="2"/>
    </row>
    <row r="3024" spans="9:9" x14ac:dyDescent="0.25">
      <c r="I3024" s="2"/>
    </row>
    <row r="3025" spans="9:9" x14ac:dyDescent="0.25">
      <c r="I3025" s="2"/>
    </row>
    <row r="3026" spans="9:9" x14ac:dyDescent="0.25">
      <c r="I3026" s="2"/>
    </row>
    <row r="3027" spans="9:9" x14ac:dyDescent="0.25">
      <c r="I3027" s="2"/>
    </row>
    <row r="3028" spans="9:9" x14ac:dyDescent="0.25">
      <c r="I3028" s="2"/>
    </row>
    <row r="3029" spans="9:9" x14ac:dyDescent="0.25">
      <c r="I3029" s="2"/>
    </row>
    <row r="3030" spans="9:9" x14ac:dyDescent="0.25">
      <c r="I3030" s="2"/>
    </row>
    <row r="3031" spans="9:9" x14ac:dyDescent="0.25">
      <c r="I3031" s="2"/>
    </row>
    <row r="3032" spans="9:9" x14ac:dyDescent="0.25">
      <c r="I3032" s="2"/>
    </row>
    <row r="3033" spans="9:9" x14ac:dyDescent="0.25">
      <c r="I3033" s="2"/>
    </row>
    <row r="3034" spans="9:9" x14ac:dyDescent="0.25">
      <c r="I3034" s="2"/>
    </row>
    <row r="3035" spans="9:9" x14ac:dyDescent="0.25">
      <c r="I3035" s="2"/>
    </row>
    <row r="3036" spans="9:9" x14ac:dyDescent="0.25">
      <c r="I3036" s="2"/>
    </row>
    <row r="3037" spans="9:9" x14ac:dyDescent="0.25">
      <c r="I3037" s="2"/>
    </row>
    <row r="3038" spans="9:9" x14ac:dyDescent="0.25">
      <c r="I3038" s="2"/>
    </row>
    <row r="3039" spans="9:9" x14ac:dyDescent="0.25">
      <c r="I3039" s="2"/>
    </row>
    <row r="3040" spans="9:9" x14ac:dyDescent="0.25">
      <c r="I3040" s="2"/>
    </row>
    <row r="3041" spans="9:9" x14ac:dyDescent="0.25">
      <c r="I3041" s="2"/>
    </row>
    <row r="3042" spans="9:9" x14ac:dyDescent="0.25">
      <c r="I3042" s="2"/>
    </row>
    <row r="3043" spans="9:9" x14ac:dyDescent="0.25">
      <c r="I3043" s="2"/>
    </row>
    <row r="3044" spans="9:9" x14ac:dyDescent="0.25">
      <c r="I3044" s="2"/>
    </row>
    <row r="3045" spans="9:9" x14ac:dyDescent="0.25">
      <c r="I3045" s="2"/>
    </row>
    <row r="3046" spans="9:9" x14ac:dyDescent="0.25">
      <c r="I3046" s="2"/>
    </row>
    <row r="3047" spans="9:9" x14ac:dyDescent="0.25">
      <c r="I3047" s="2"/>
    </row>
    <row r="3048" spans="9:9" x14ac:dyDescent="0.25">
      <c r="I3048" s="2"/>
    </row>
    <row r="3049" spans="9:9" x14ac:dyDescent="0.25">
      <c r="I3049" s="2"/>
    </row>
    <row r="3050" spans="9:9" x14ac:dyDescent="0.25">
      <c r="I3050" s="2"/>
    </row>
    <row r="3051" spans="9:9" x14ac:dyDescent="0.25">
      <c r="I3051" s="2"/>
    </row>
    <row r="3052" spans="9:9" x14ac:dyDescent="0.25">
      <c r="I3052" s="2"/>
    </row>
    <row r="3053" spans="9:9" x14ac:dyDescent="0.25">
      <c r="I3053" s="2"/>
    </row>
    <row r="3054" spans="9:9" x14ac:dyDescent="0.25">
      <c r="I3054" s="2"/>
    </row>
    <row r="3055" spans="9:9" x14ac:dyDescent="0.25">
      <c r="I3055" s="2"/>
    </row>
    <row r="3056" spans="9:9" x14ac:dyDescent="0.25">
      <c r="I3056" s="2"/>
    </row>
    <row r="3057" spans="9:9" x14ac:dyDescent="0.25">
      <c r="I3057" s="2"/>
    </row>
    <row r="3058" spans="9:9" x14ac:dyDescent="0.25">
      <c r="I3058" s="2"/>
    </row>
    <row r="3059" spans="9:9" x14ac:dyDescent="0.25">
      <c r="I3059" s="2"/>
    </row>
    <row r="3060" spans="9:9" x14ac:dyDescent="0.25">
      <c r="I3060" s="2"/>
    </row>
    <row r="3061" spans="9:9" x14ac:dyDescent="0.25">
      <c r="I3061" s="2"/>
    </row>
    <row r="3062" spans="9:9" x14ac:dyDescent="0.25">
      <c r="I3062" s="2"/>
    </row>
    <row r="3063" spans="9:9" x14ac:dyDescent="0.25">
      <c r="I3063" s="2"/>
    </row>
    <row r="3064" spans="9:9" x14ac:dyDescent="0.25">
      <c r="I3064" s="2"/>
    </row>
    <row r="3065" spans="9:9" x14ac:dyDescent="0.25">
      <c r="I3065" s="2"/>
    </row>
    <row r="3066" spans="9:9" x14ac:dyDescent="0.25">
      <c r="I3066" s="2"/>
    </row>
    <row r="3067" spans="9:9" x14ac:dyDescent="0.25">
      <c r="I3067" s="2"/>
    </row>
    <row r="3068" spans="9:9" x14ac:dyDescent="0.25">
      <c r="I3068" s="2"/>
    </row>
    <row r="3069" spans="9:9" x14ac:dyDescent="0.25">
      <c r="I3069" s="2"/>
    </row>
    <row r="3070" spans="9:9" x14ac:dyDescent="0.25">
      <c r="I3070" s="2"/>
    </row>
    <row r="3071" spans="9:9" x14ac:dyDescent="0.25">
      <c r="I3071" s="2"/>
    </row>
    <row r="3072" spans="9:9" x14ac:dyDescent="0.25">
      <c r="I3072" s="2"/>
    </row>
    <row r="3073" spans="9:9" x14ac:dyDescent="0.25">
      <c r="I3073" s="2"/>
    </row>
    <row r="3074" spans="9:9" x14ac:dyDescent="0.25">
      <c r="I3074" s="2"/>
    </row>
    <row r="3075" spans="9:9" x14ac:dyDescent="0.25">
      <c r="I3075" s="2"/>
    </row>
    <row r="3076" spans="9:9" x14ac:dyDescent="0.25">
      <c r="I3076" s="2"/>
    </row>
    <row r="3077" spans="9:9" x14ac:dyDescent="0.25">
      <c r="I3077" s="2"/>
    </row>
    <row r="3078" spans="9:9" x14ac:dyDescent="0.25">
      <c r="I3078" s="2"/>
    </row>
    <row r="3079" spans="9:9" x14ac:dyDescent="0.25">
      <c r="I3079" s="2"/>
    </row>
    <row r="3080" spans="9:9" x14ac:dyDescent="0.25">
      <c r="I3080" s="2"/>
    </row>
    <row r="3081" spans="9:9" x14ac:dyDescent="0.25">
      <c r="I3081" s="2"/>
    </row>
    <row r="3082" spans="9:9" x14ac:dyDescent="0.25">
      <c r="I3082" s="2"/>
    </row>
    <row r="3083" spans="9:9" x14ac:dyDescent="0.25">
      <c r="I3083" s="2"/>
    </row>
    <row r="3084" spans="9:9" x14ac:dyDescent="0.25">
      <c r="I3084" s="2"/>
    </row>
    <row r="3085" spans="9:9" x14ac:dyDescent="0.25">
      <c r="I3085" s="2"/>
    </row>
    <row r="3086" spans="9:9" x14ac:dyDescent="0.25">
      <c r="I3086" s="2"/>
    </row>
    <row r="3087" spans="9:9" x14ac:dyDescent="0.25">
      <c r="I3087" s="2"/>
    </row>
    <row r="3088" spans="9:9" x14ac:dyDescent="0.25">
      <c r="I3088" s="2"/>
    </row>
    <row r="3089" spans="9:9" x14ac:dyDescent="0.25">
      <c r="I3089" s="2"/>
    </row>
    <row r="3090" spans="9:9" x14ac:dyDescent="0.25">
      <c r="I3090" s="2"/>
    </row>
    <row r="3091" spans="9:9" x14ac:dyDescent="0.25">
      <c r="I3091" s="2"/>
    </row>
    <row r="3092" spans="9:9" x14ac:dyDescent="0.25">
      <c r="I3092" s="2"/>
    </row>
    <row r="3093" spans="9:9" x14ac:dyDescent="0.25">
      <c r="I3093" s="2"/>
    </row>
    <row r="3094" spans="9:9" x14ac:dyDescent="0.25">
      <c r="I3094" s="2"/>
    </row>
    <row r="3095" spans="9:9" x14ac:dyDescent="0.25">
      <c r="I3095" s="2"/>
    </row>
    <row r="3096" spans="9:9" x14ac:dyDescent="0.25">
      <c r="I3096" s="2"/>
    </row>
    <row r="3097" spans="9:9" x14ac:dyDescent="0.25">
      <c r="I3097" s="2"/>
    </row>
    <row r="3098" spans="9:9" x14ac:dyDescent="0.25">
      <c r="I3098" s="2"/>
    </row>
    <row r="3099" spans="9:9" x14ac:dyDescent="0.25">
      <c r="I3099" s="2"/>
    </row>
    <row r="3100" spans="9:9" x14ac:dyDescent="0.25">
      <c r="I3100" s="2"/>
    </row>
    <row r="3101" spans="9:9" x14ac:dyDescent="0.25">
      <c r="I3101" s="2"/>
    </row>
    <row r="3102" spans="9:9" x14ac:dyDescent="0.25">
      <c r="I3102" s="2"/>
    </row>
    <row r="3103" spans="9:9" x14ac:dyDescent="0.25">
      <c r="I3103" s="2"/>
    </row>
    <row r="3104" spans="9:9" x14ac:dyDescent="0.25">
      <c r="I3104" s="2"/>
    </row>
    <row r="3105" spans="9:9" x14ac:dyDescent="0.25">
      <c r="I3105" s="2"/>
    </row>
    <row r="3106" spans="9:9" x14ac:dyDescent="0.25">
      <c r="I3106" s="2"/>
    </row>
    <row r="3107" spans="9:9" x14ac:dyDescent="0.25">
      <c r="I3107" s="2"/>
    </row>
    <row r="3108" spans="9:9" x14ac:dyDescent="0.25">
      <c r="I3108" s="2"/>
    </row>
    <row r="3109" spans="9:9" x14ac:dyDescent="0.25">
      <c r="I3109" s="2"/>
    </row>
    <row r="3110" spans="9:9" x14ac:dyDescent="0.25">
      <c r="I3110" s="2"/>
    </row>
    <row r="3111" spans="9:9" x14ac:dyDescent="0.25">
      <c r="I3111" s="2"/>
    </row>
    <row r="3112" spans="9:9" x14ac:dyDescent="0.25">
      <c r="I3112" s="2"/>
    </row>
    <row r="3113" spans="9:9" x14ac:dyDescent="0.25">
      <c r="I3113" s="2"/>
    </row>
    <row r="3114" spans="9:9" x14ac:dyDescent="0.25">
      <c r="I3114" s="2"/>
    </row>
    <row r="3115" spans="9:9" x14ac:dyDescent="0.25">
      <c r="I3115" s="2"/>
    </row>
    <row r="3116" spans="9:9" x14ac:dyDescent="0.25">
      <c r="I3116" s="2"/>
    </row>
    <row r="3117" spans="9:9" x14ac:dyDescent="0.25">
      <c r="I3117" s="2"/>
    </row>
    <row r="3118" spans="9:9" x14ac:dyDescent="0.25">
      <c r="I3118" s="2"/>
    </row>
    <row r="3119" spans="9:9" x14ac:dyDescent="0.25">
      <c r="I3119" s="2"/>
    </row>
    <row r="3120" spans="9:9" x14ac:dyDescent="0.25">
      <c r="I3120" s="2"/>
    </row>
    <row r="3121" spans="9:9" x14ac:dyDescent="0.25">
      <c r="I3121" s="2"/>
    </row>
    <row r="3122" spans="9:9" x14ac:dyDescent="0.25">
      <c r="I3122" s="2"/>
    </row>
    <row r="3123" spans="9:9" x14ac:dyDescent="0.25">
      <c r="I3123" s="2"/>
    </row>
    <row r="3124" spans="9:9" x14ac:dyDescent="0.25">
      <c r="I3124" s="2"/>
    </row>
    <row r="3125" spans="9:9" x14ac:dyDescent="0.25">
      <c r="I3125" s="2"/>
    </row>
    <row r="3126" spans="9:9" x14ac:dyDescent="0.25">
      <c r="I3126" s="2"/>
    </row>
    <row r="3127" spans="9:9" x14ac:dyDescent="0.25">
      <c r="I3127" s="2"/>
    </row>
    <row r="3128" spans="9:9" x14ac:dyDescent="0.25">
      <c r="I3128" s="2"/>
    </row>
    <row r="3129" spans="9:9" x14ac:dyDescent="0.25">
      <c r="I3129" s="2"/>
    </row>
    <row r="3130" spans="9:9" x14ac:dyDescent="0.25">
      <c r="I3130" s="2"/>
    </row>
    <row r="3131" spans="9:9" x14ac:dyDescent="0.25">
      <c r="I3131" s="2"/>
    </row>
    <row r="3132" spans="9:9" x14ac:dyDescent="0.25">
      <c r="I3132" s="2"/>
    </row>
    <row r="3133" spans="9:9" x14ac:dyDescent="0.25">
      <c r="I3133" s="2"/>
    </row>
    <row r="3134" spans="9:9" x14ac:dyDescent="0.25">
      <c r="I3134" s="2"/>
    </row>
    <row r="3135" spans="9:9" x14ac:dyDescent="0.25">
      <c r="I3135" s="2"/>
    </row>
    <row r="3136" spans="9:9" x14ac:dyDescent="0.25">
      <c r="I3136" s="2"/>
    </row>
    <row r="3137" spans="9:9" x14ac:dyDescent="0.25">
      <c r="I3137" s="2"/>
    </row>
    <row r="3138" spans="9:9" x14ac:dyDescent="0.25">
      <c r="I3138" s="2"/>
    </row>
    <row r="3139" spans="9:9" x14ac:dyDescent="0.25">
      <c r="I3139" s="2"/>
    </row>
    <row r="3140" spans="9:9" x14ac:dyDescent="0.25">
      <c r="I3140" s="2"/>
    </row>
    <row r="3141" spans="9:9" x14ac:dyDescent="0.25">
      <c r="I3141" s="2"/>
    </row>
    <row r="3142" spans="9:9" x14ac:dyDescent="0.25">
      <c r="I3142" s="2"/>
    </row>
    <row r="3143" spans="9:9" x14ac:dyDescent="0.25">
      <c r="I3143" s="2"/>
    </row>
    <row r="3144" spans="9:9" x14ac:dyDescent="0.25">
      <c r="I3144" s="2"/>
    </row>
    <row r="3145" spans="9:9" x14ac:dyDescent="0.25">
      <c r="I3145" s="2"/>
    </row>
    <row r="3146" spans="9:9" x14ac:dyDescent="0.25">
      <c r="I3146" s="2"/>
    </row>
    <row r="3147" spans="9:9" x14ac:dyDescent="0.25">
      <c r="I3147" s="2"/>
    </row>
    <row r="3148" spans="9:9" x14ac:dyDescent="0.25">
      <c r="I3148" s="2"/>
    </row>
    <row r="3149" spans="9:9" x14ac:dyDescent="0.25">
      <c r="I3149" s="2"/>
    </row>
    <row r="3150" spans="9:9" x14ac:dyDescent="0.25">
      <c r="I3150" s="2"/>
    </row>
    <row r="3151" spans="9:9" x14ac:dyDescent="0.25">
      <c r="I3151" s="2"/>
    </row>
    <row r="3152" spans="9:9" x14ac:dyDescent="0.25">
      <c r="I3152" s="2"/>
    </row>
    <row r="3153" spans="9:9" x14ac:dyDescent="0.25">
      <c r="I3153" s="2"/>
    </row>
    <row r="3154" spans="9:9" x14ac:dyDescent="0.25">
      <c r="I3154" s="2"/>
    </row>
    <row r="3155" spans="9:9" x14ac:dyDescent="0.25">
      <c r="I3155" s="2"/>
    </row>
    <row r="3156" spans="9:9" x14ac:dyDescent="0.25">
      <c r="I3156" s="2"/>
    </row>
    <row r="3157" spans="9:9" x14ac:dyDescent="0.25">
      <c r="I3157" s="2"/>
    </row>
    <row r="3158" spans="9:9" x14ac:dyDescent="0.25">
      <c r="I3158" s="2"/>
    </row>
    <row r="3159" spans="9:9" x14ac:dyDescent="0.25">
      <c r="I3159" s="2"/>
    </row>
    <row r="3160" spans="9:9" x14ac:dyDescent="0.25">
      <c r="I3160" s="2"/>
    </row>
    <row r="3161" spans="9:9" x14ac:dyDescent="0.25">
      <c r="I3161" s="2"/>
    </row>
    <row r="3162" spans="9:9" x14ac:dyDescent="0.25">
      <c r="I3162" s="2"/>
    </row>
    <row r="3163" spans="9:9" x14ac:dyDescent="0.25">
      <c r="I3163" s="2"/>
    </row>
    <row r="3164" spans="9:9" x14ac:dyDescent="0.25">
      <c r="I3164" s="2"/>
    </row>
    <row r="3165" spans="9:9" x14ac:dyDescent="0.25">
      <c r="I3165" s="2"/>
    </row>
    <row r="3166" spans="9:9" x14ac:dyDescent="0.25">
      <c r="I3166" s="2"/>
    </row>
    <row r="3167" spans="9:9" x14ac:dyDescent="0.25">
      <c r="I3167" s="2"/>
    </row>
    <row r="3168" spans="9:9" x14ac:dyDescent="0.25">
      <c r="I3168" s="2"/>
    </row>
    <row r="3169" spans="9:9" x14ac:dyDescent="0.25">
      <c r="I3169" s="2"/>
    </row>
    <row r="3170" spans="9:9" x14ac:dyDescent="0.25">
      <c r="I3170" s="2"/>
    </row>
    <row r="3171" spans="9:9" x14ac:dyDescent="0.25">
      <c r="I3171" s="2"/>
    </row>
    <row r="3172" spans="9:9" x14ac:dyDescent="0.25">
      <c r="I3172" s="2"/>
    </row>
    <row r="3173" spans="9:9" x14ac:dyDescent="0.25">
      <c r="I3173" s="2"/>
    </row>
    <row r="3174" spans="9:9" x14ac:dyDescent="0.25">
      <c r="I3174" s="2"/>
    </row>
    <row r="3175" spans="9:9" x14ac:dyDescent="0.25">
      <c r="I3175" s="2"/>
    </row>
    <row r="3176" spans="9:9" x14ac:dyDescent="0.25">
      <c r="I3176" s="2"/>
    </row>
    <row r="3177" spans="9:9" x14ac:dyDescent="0.25">
      <c r="I3177" s="2"/>
    </row>
    <row r="3178" spans="9:9" x14ac:dyDescent="0.25">
      <c r="I3178" s="2"/>
    </row>
    <row r="3179" spans="9:9" x14ac:dyDescent="0.25">
      <c r="I3179" s="2"/>
    </row>
    <row r="3180" spans="9:9" x14ac:dyDescent="0.25">
      <c r="I3180" s="2"/>
    </row>
    <row r="3181" spans="9:9" x14ac:dyDescent="0.25">
      <c r="I3181" s="2"/>
    </row>
    <row r="3182" spans="9:9" x14ac:dyDescent="0.25">
      <c r="I3182" s="2"/>
    </row>
    <row r="3183" spans="9:9" x14ac:dyDescent="0.25">
      <c r="I3183" s="2"/>
    </row>
    <row r="3184" spans="9:9" x14ac:dyDescent="0.25">
      <c r="I3184" s="2"/>
    </row>
    <row r="3185" spans="9:9" x14ac:dyDescent="0.25">
      <c r="I3185" s="2"/>
    </row>
    <row r="3186" spans="9:9" x14ac:dyDescent="0.25">
      <c r="I3186" s="2"/>
    </row>
    <row r="3187" spans="9:9" x14ac:dyDescent="0.25">
      <c r="I3187" s="2"/>
    </row>
    <row r="3188" spans="9:9" x14ac:dyDescent="0.25">
      <c r="I3188" s="2"/>
    </row>
    <row r="3189" spans="9:9" x14ac:dyDescent="0.25">
      <c r="I3189" s="2"/>
    </row>
    <row r="3190" spans="9:9" x14ac:dyDescent="0.25">
      <c r="I3190" s="2"/>
    </row>
    <row r="3191" spans="9:9" x14ac:dyDescent="0.25">
      <c r="I3191" s="2"/>
    </row>
    <row r="3192" spans="9:9" x14ac:dyDescent="0.25">
      <c r="I3192" s="2"/>
    </row>
    <row r="3193" spans="9:9" x14ac:dyDescent="0.25">
      <c r="I3193" s="2"/>
    </row>
    <row r="3194" spans="9:9" x14ac:dyDescent="0.25">
      <c r="I3194" s="2"/>
    </row>
    <row r="3195" spans="9:9" x14ac:dyDescent="0.25">
      <c r="I3195" s="2"/>
    </row>
    <row r="3196" spans="9:9" x14ac:dyDescent="0.25">
      <c r="I3196" s="2"/>
    </row>
    <row r="3197" spans="9:9" x14ac:dyDescent="0.25">
      <c r="I3197" s="2"/>
    </row>
    <row r="3198" spans="9:9" x14ac:dyDescent="0.25">
      <c r="I3198" s="2"/>
    </row>
    <row r="3199" spans="9:9" x14ac:dyDescent="0.25">
      <c r="I3199" s="2"/>
    </row>
    <row r="3200" spans="9:9" x14ac:dyDescent="0.25">
      <c r="I3200" s="2"/>
    </row>
    <row r="3201" spans="9:9" x14ac:dyDescent="0.25">
      <c r="I3201" s="2"/>
    </row>
    <row r="3202" spans="9:9" x14ac:dyDescent="0.25">
      <c r="I3202" s="2"/>
    </row>
    <row r="3203" spans="9:9" x14ac:dyDescent="0.25">
      <c r="I3203" s="2"/>
    </row>
    <row r="3204" spans="9:9" x14ac:dyDescent="0.25">
      <c r="I3204" s="2"/>
    </row>
    <row r="3205" spans="9:9" x14ac:dyDescent="0.25">
      <c r="I3205" s="2"/>
    </row>
    <row r="3206" spans="9:9" x14ac:dyDescent="0.25">
      <c r="I3206" s="2"/>
    </row>
    <row r="3207" spans="9:9" x14ac:dyDescent="0.25">
      <c r="I3207" s="2"/>
    </row>
    <row r="3208" spans="9:9" x14ac:dyDescent="0.25">
      <c r="I3208" s="2"/>
    </row>
    <row r="3209" spans="9:9" x14ac:dyDescent="0.25">
      <c r="I3209" s="2"/>
    </row>
    <row r="3210" spans="9:9" x14ac:dyDescent="0.25">
      <c r="I3210" s="2"/>
    </row>
    <row r="3211" spans="9:9" x14ac:dyDescent="0.25">
      <c r="I3211" s="2"/>
    </row>
    <row r="3212" spans="9:9" x14ac:dyDescent="0.25">
      <c r="I3212" s="2"/>
    </row>
    <row r="3213" spans="9:9" x14ac:dyDescent="0.25">
      <c r="I3213" s="2"/>
    </row>
    <row r="3214" spans="9:9" x14ac:dyDescent="0.25">
      <c r="I3214" s="2"/>
    </row>
    <row r="3215" spans="9:9" x14ac:dyDescent="0.25">
      <c r="I3215" s="2"/>
    </row>
    <row r="3216" spans="9:9" x14ac:dyDescent="0.25">
      <c r="I3216" s="2"/>
    </row>
    <row r="3217" spans="9:9" x14ac:dyDescent="0.25">
      <c r="I3217" s="2"/>
    </row>
    <row r="3218" spans="9:9" x14ac:dyDescent="0.25">
      <c r="I3218" s="2"/>
    </row>
    <row r="3219" spans="9:9" x14ac:dyDescent="0.25">
      <c r="I3219" s="2"/>
    </row>
    <row r="3220" spans="9:9" x14ac:dyDescent="0.25">
      <c r="I3220" s="2"/>
    </row>
    <row r="3221" spans="9:9" x14ac:dyDescent="0.25">
      <c r="I3221" s="2"/>
    </row>
    <row r="3222" spans="9:9" x14ac:dyDescent="0.25">
      <c r="I3222" s="2"/>
    </row>
    <row r="3223" spans="9:9" x14ac:dyDescent="0.25">
      <c r="I3223" s="2"/>
    </row>
    <row r="3224" spans="9:9" x14ac:dyDescent="0.25">
      <c r="I3224" s="2"/>
    </row>
    <row r="3225" spans="9:9" x14ac:dyDescent="0.25">
      <c r="I3225" s="2"/>
    </row>
    <row r="3226" spans="9:9" x14ac:dyDescent="0.25">
      <c r="I3226" s="2"/>
    </row>
    <row r="3227" spans="9:9" x14ac:dyDescent="0.25">
      <c r="I3227" s="2"/>
    </row>
    <row r="3228" spans="9:9" x14ac:dyDescent="0.25">
      <c r="I3228" s="2"/>
    </row>
    <row r="3229" spans="9:9" x14ac:dyDescent="0.25">
      <c r="I3229" s="2"/>
    </row>
    <row r="3230" spans="9:9" x14ac:dyDescent="0.25">
      <c r="I3230" s="2"/>
    </row>
    <row r="3231" spans="9:9" x14ac:dyDescent="0.25">
      <c r="I3231" s="2"/>
    </row>
    <row r="3232" spans="9:9" x14ac:dyDescent="0.25">
      <c r="I3232" s="2"/>
    </row>
    <row r="3233" spans="9:9" x14ac:dyDescent="0.25">
      <c r="I3233" s="2"/>
    </row>
    <row r="3234" spans="9:9" x14ac:dyDescent="0.25">
      <c r="I3234" s="2"/>
    </row>
    <row r="3235" spans="9:9" x14ac:dyDescent="0.25">
      <c r="I3235" s="2"/>
    </row>
    <row r="3236" spans="9:9" x14ac:dyDescent="0.25">
      <c r="I3236" s="2"/>
    </row>
    <row r="3237" spans="9:9" x14ac:dyDescent="0.25">
      <c r="I3237" s="2"/>
    </row>
    <row r="3238" spans="9:9" x14ac:dyDescent="0.25">
      <c r="I3238" s="2"/>
    </row>
    <row r="3239" spans="9:9" x14ac:dyDescent="0.25">
      <c r="I3239" s="2"/>
    </row>
    <row r="3240" spans="9:9" x14ac:dyDescent="0.25">
      <c r="I3240" s="2"/>
    </row>
    <row r="3241" spans="9:9" x14ac:dyDescent="0.25">
      <c r="I3241" s="2"/>
    </row>
    <row r="3242" spans="9:9" x14ac:dyDescent="0.25">
      <c r="I3242" s="2"/>
    </row>
    <row r="3243" spans="9:9" x14ac:dyDescent="0.25">
      <c r="I3243" s="2"/>
    </row>
    <row r="3244" spans="9:9" x14ac:dyDescent="0.25">
      <c r="I3244" s="2"/>
    </row>
    <row r="3245" spans="9:9" x14ac:dyDescent="0.25">
      <c r="I3245" s="2"/>
    </row>
    <row r="3246" spans="9:9" x14ac:dyDescent="0.25">
      <c r="I3246" s="2"/>
    </row>
    <row r="3247" spans="9:9" x14ac:dyDescent="0.25">
      <c r="I3247" s="2"/>
    </row>
    <row r="3248" spans="9:9" x14ac:dyDescent="0.25">
      <c r="I3248" s="2"/>
    </row>
    <row r="3249" spans="9:9" x14ac:dyDescent="0.25">
      <c r="I3249" s="2"/>
    </row>
    <row r="3250" spans="9:9" x14ac:dyDescent="0.25">
      <c r="I3250" s="2"/>
    </row>
    <row r="3251" spans="9:9" x14ac:dyDescent="0.25">
      <c r="I3251" s="2"/>
    </row>
    <row r="3252" spans="9:9" x14ac:dyDescent="0.25">
      <c r="I3252" s="2"/>
    </row>
    <row r="3253" spans="9:9" x14ac:dyDescent="0.25">
      <c r="I3253" s="2"/>
    </row>
    <row r="3254" spans="9:9" x14ac:dyDescent="0.25">
      <c r="I3254" s="2"/>
    </row>
    <row r="3255" spans="9:9" x14ac:dyDescent="0.25">
      <c r="I3255" s="2"/>
    </row>
    <row r="3256" spans="9:9" x14ac:dyDescent="0.25">
      <c r="I3256" s="2"/>
    </row>
    <row r="3257" spans="9:9" x14ac:dyDescent="0.25">
      <c r="I3257" s="2"/>
    </row>
    <row r="3258" spans="9:9" x14ac:dyDescent="0.25">
      <c r="I3258" s="2"/>
    </row>
    <row r="3259" spans="9:9" x14ac:dyDescent="0.25">
      <c r="I3259" s="2"/>
    </row>
    <row r="3260" spans="9:9" x14ac:dyDescent="0.25">
      <c r="I3260" s="2"/>
    </row>
    <row r="3261" spans="9:9" x14ac:dyDescent="0.25">
      <c r="I3261" s="2"/>
    </row>
    <row r="3262" spans="9:9" x14ac:dyDescent="0.25">
      <c r="I3262" s="2"/>
    </row>
    <row r="3263" spans="9:9" x14ac:dyDescent="0.25">
      <c r="I3263" s="2"/>
    </row>
    <row r="3264" spans="9:9" x14ac:dyDescent="0.25">
      <c r="I3264" s="2"/>
    </row>
    <row r="3265" spans="9:9" x14ac:dyDescent="0.25">
      <c r="I3265" s="2"/>
    </row>
    <row r="3266" spans="9:9" x14ac:dyDescent="0.25">
      <c r="I3266" s="2"/>
    </row>
    <row r="3267" spans="9:9" x14ac:dyDescent="0.25">
      <c r="I3267" s="2"/>
    </row>
    <row r="3268" spans="9:9" x14ac:dyDescent="0.25">
      <c r="I3268" s="2"/>
    </row>
    <row r="3269" spans="9:9" x14ac:dyDescent="0.25">
      <c r="I3269" s="2"/>
    </row>
    <row r="3270" spans="9:9" x14ac:dyDescent="0.25">
      <c r="I3270" s="2"/>
    </row>
    <row r="3271" spans="9:9" x14ac:dyDescent="0.25">
      <c r="I3271" s="2"/>
    </row>
    <row r="3272" spans="9:9" x14ac:dyDescent="0.25">
      <c r="I3272" s="2"/>
    </row>
    <row r="3273" spans="9:9" x14ac:dyDescent="0.25">
      <c r="I3273" s="2"/>
    </row>
    <row r="3274" spans="9:9" x14ac:dyDescent="0.25">
      <c r="I3274" s="2"/>
    </row>
    <row r="3275" spans="9:9" x14ac:dyDescent="0.25">
      <c r="I3275" s="2"/>
    </row>
    <row r="3276" spans="9:9" x14ac:dyDescent="0.25">
      <c r="I3276" s="2"/>
    </row>
    <row r="3277" spans="9:9" x14ac:dyDescent="0.25">
      <c r="I3277" s="2"/>
    </row>
    <row r="3278" spans="9:9" x14ac:dyDescent="0.25">
      <c r="I3278" s="2"/>
    </row>
    <row r="3279" spans="9:9" x14ac:dyDescent="0.25">
      <c r="I3279" s="2"/>
    </row>
    <row r="3280" spans="9:9" x14ac:dyDescent="0.25">
      <c r="I3280" s="2"/>
    </row>
    <row r="3281" spans="9:9" x14ac:dyDescent="0.25">
      <c r="I3281" s="2"/>
    </row>
    <row r="3282" spans="9:9" x14ac:dyDescent="0.25">
      <c r="I3282" s="2"/>
    </row>
    <row r="3283" spans="9:9" x14ac:dyDescent="0.25">
      <c r="I3283" s="2"/>
    </row>
    <row r="3284" spans="9:9" x14ac:dyDescent="0.25">
      <c r="I3284" s="2"/>
    </row>
    <row r="3285" spans="9:9" x14ac:dyDescent="0.25">
      <c r="I3285" s="2"/>
    </row>
    <row r="3286" spans="9:9" x14ac:dyDescent="0.25">
      <c r="I3286" s="2"/>
    </row>
    <row r="3287" spans="9:9" x14ac:dyDescent="0.25">
      <c r="I3287" s="2"/>
    </row>
    <row r="3288" spans="9:9" x14ac:dyDescent="0.25">
      <c r="I3288" s="2"/>
    </row>
    <row r="3289" spans="9:9" x14ac:dyDescent="0.25">
      <c r="I3289" s="2"/>
    </row>
    <row r="3290" spans="9:9" x14ac:dyDescent="0.25">
      <c r="I3290" s="2"/>
    </row>
    <row r="3291" spans="9:9" x14ac:dyDescent="0.25">
      <c r="I3291" s="2"/>
    </row>
    <row r="3292" spans="9:9" x14ac:dyDescent="0.25">
      <c r="I3292" s="2"/>
    </row>
    <row r="3293" spans="9:9" x14ac:dyDescent="0.25">
      <c r="I3293" s="2"/>
    </row>
    <row r="3294" spans="9:9" x14ac:dyDescent="0.25">
      <c r="I3294" s="2"/>
    </row>
    <row r="3295" spans="9:9" x14ac:dyDescent="0.25">
      <c r="I3295" s="2"/>
    </row>
    <row r="3296" spans="9:9" x14ac:dyDescent="0.25">
      <c r="I3296" s="2"/>
    </row>
    <row r="3297" spans="9:9" x14ac:dyDescent="0.25">
      <c r="I3297" s="2"/>
    </row>
    <row r="3298" spans="9:9" x14ac:dyDescent="0.25">
      <c r="I3298" s="2"/>
    </row>
    <row r="3299" spans="9:9" x14ac:dyDescent="0.25">
      <c r="I3299" s="2"/>
    </row>
    <row r="3300" spans="9:9" x14ac:dyDescent="0.25">
      <c r="I3300" s="2"/>
    </row>
    <row r="3301" spans="9:9" x14ac:dyDescent="0.25">
      <c r="I3301" s="2"/>
    </row>
    <row r="3302" spans="9:9" x14ac:dyDescent="0.25">
      <c r="I3302" s="2"/>
    </row>
    <row r="3303" spans="9:9" x14ac:dyDescent="0.25">
      <c r="I3303" s="2"/>
    </row>
    <row r="3304" spans="9:9" x14ac:dyDescent="0.25">
      <c r="I3304" s="2"/>
    </row>
    <row r="3305" spans="9:9" x14ac:dyDescent="0.25">
      <c r="I3305" s="2"/>
    </row>
    <row r="3306" spans="9:9" x14ac:dyDescent="0.25">
      <c r="I3306" s="2"/>
    </row>
    <row r="3307" spans="9:9" x14ac:dyDescent="0.25">
      <c r="I3307" s="2"/>
    </row>
    <row r="3308" spans="9:9" x14ac:dyDescent="0.25">
      <c r="I3308" s="2"/>
    </row>
    <row r="3309" spans="9:9" x14ac:dyDescent="0.25">
      <c r="I3309" s="2"/>
    </row>
    <row r="3310" spans="9:9" x14ac:dyDescent="0.25">
      <c r="I3310" s="2"/>
    </row>
    <row r="3311" spans="9:9" x14ac:dyDescent="0.25">
      <c r="I3311" s="2"/>
    </row>
    <row r="3312" spans="9:9" x14ac:dyDescent="0.25">
      <c r="I3312" s="2"/>
    </row>
    <row r="3313" spans="9:9" x14ac:dyDescent="0.25">
      <c r="I3313" s="2"/>
    </row>
    <row r="3314" spans="9:9" x14ac:dyDescent="0.25">
      <c r="I3314" s="2"/>
    </row>
    <row r="3315" spans="9:9" x14ac:dyDescent="0.25">
      <c r="I3315" s="2"/>
    </row>
    <row r="3316" spans="9:9" x14ac:dyDescent="0.25">
      <c r="I3316" s="2"/>
    </row>
    <row r="3317" spans="9:9" x14ac:dyDescent="0.25">
      <c r="I3317" s="2"/>
    </row>
    <row r="3318" spans="9:9" x14ac:dyDescent="0.25">
      <c r="I3318" s="2"/>
    </row>
    <row r="3319" spans="9:9" x14ac:dyDescent="0.25">
      <c r="I3319" s="2"/>
    </row>
    <row r="3320" spans="9:9" x14ac:dyDescent="0.25">
      <c r="I3320" s="2"/>
    </row>
    <row r="3321" spans="9:9" x14ac:dyDescent="0.25">
      <c r="I3321" s="2"/>
    </row>
    <row r="3322" spans="9:9" x14ac:dyDescent="0.25">
      <c r="I3322" s="2"/>
    </row>
    <row r="3323" spans="9:9" x14ac:dyDescent="0.25">
      <c r="I3323" s="2"/>
    </row>
    <row r="3324" spans="9:9" x14ac:dyDescent="0.25">
      <c r="I3324" s="2"/>
    </row>
    <row r="3325" spans="9:9" x14ac:dyDescent="0.25">
      <c r="I3325" s="2"/>
    </row>
    <row r="3326" spans="9:9" x14ac:dyDescent="0.25">
      <c r="I3326" s="2"/>
    </row>
    <row r="3327" spans="9:9" x14ac:dyDescent="0.25">
      <c r="I3327" s="2"/>
    </row>
    <row r="3328" spans="9:9" x14ac:dyDescent="0.25">
      <c r="I3328" s="2"/>
    </row>
    <row r="3329" spans="9:9" x14ac:dyDescent="0.25">
      <c r="I3329" s="2"/>
    </row>
    <row r="3330" spans="9:9" x14ac:dyDescent="0.25">
      <c r="I3330" s="2"/>
    </row>
    <row r="3331" spans="9:9" x14ac:dyDescent="0.25">
      <c r="I3331" s="2"/>
    </row>
    <row r="3332" spans="9:9" x14ac:dyDescent="0.25">
      <c r="I3332" s="2"/>
    </row>
    <row r="3333" spans="9:9" x14ac:dyDescent="0.25">
      <c r="I3333" s="2"/>
    </row>
    <row r="3334" spans="9:9" x14ac:dyDescent="0.25">
      <c r="I3334" s="2"/>
    </row>
    <row r="3335" spans="9:9" x14ac:dyDescent="0.25">
      <c r="I3335" s="2"/>
    </row>
    <row r="3336" spans="9:9" x14ac:dyDescent="0.25">
      <c r="I3336" s="2"/>
    </row>
    <row r="3337" spans="9:9" x14ac:dyDescent="0.25">
      <c r="I3337" s="2"/>
    </row>
    <row r="3338" spans="9:9" x14ac:dyDescent="0.25">
      <c r="I3338" s="2"/>
    </row>
    <row r="3339" spans="9:9" x14ac:dyDescent="0.25">
      <c r="I3339" s="2"/>
    </row>
    <row r="3340" spans="9:9" x14ac:dyDescent="0.25">
      <c r="I3340" s="2"/>
    </row>
    <row r="3341" spans="9:9" x14ac:dyDescent="0.25">
      <c r="I3341" s="2"/>
    </row>
    <row r="3342" spans="9:9" x14ac:dyDescent="0.25">
      <c r="I3342" s="2"/>
    </row>
    <row r="3343" spans="9:9" x14ac:dyDescent="0.25">
      <c r="I3343" s="2"/>
    </row>
    <row r="3344" spans="9:9" x14ac:dyDescent="0.25">
      <c r="I3344" s="2"/>
    </row>
    <row r="3345" spans="9:9" x14ac:dyDescent="0.25">
      <c r="I3345" s="2"/>
    </row>
    <row r="3346" spans="9:9" x14ac:dyDescent="0.25">
      <c r="I3346" s="2"/>
    </row>
    <row r="3347" spans="9:9" x14ac:dyDescent="0.25">
      <c r="I3347" s="2"/>
    </row>
    <row r="3348" spans="9:9" x14ac:dyDescent="0.25">
      <c r="I3348" s="2"/>
    </row>
    <row r="3349" spans="9:9" x14ac:dyDescent="0.25">
      <c r="I3349" s="2"/>
    </row>
    <row r="3350" spans="9:9" x14ac:dyDescent="0.25">
      <c r="I3350" s="2"/>
    </row>
    <row r="3351" spans="9:9" x14ac:dyDescent="0.25">
      <c r="I3351" s="2"/>
    </row>
    <row r="3352" spans="9:9" x14ac:dyDescent="0.25">
      <c r="I3352" s="2"/>
    </row>
    <row r="3353" spans="9:9" x14ac:dyDescent="0.25">
      <c r="I3353" s="2"/>
    </row>
    <row r="3354" spans="9:9" x14ac:dyDescent="0.25">
      <c r="I3354" s="2"/>
    </row>
    <row r="3355" spans="9:9" x14ac:dyDescent="0.25">
      <c r="I3355" s="2"/>
    </row>
    <row r="3356" spans="9:9" x14ac:dyDescent="0.25">
      <c r="I3356" s="2"/>
    </row>
    <row r="3357" spans="9:9" x14ac:dyDescent="0.25">
      <c r="I3357" s="2"/>
    </row>
    <row r="3358" spans="9:9" x14ac:dyDescent="0.25">
      <c r="I3358" s="2"/>
    </row>
    <row r="3359" spans="9:9" x14ac:dyDescent="0.25">
      <c r="I3359" s="2"/>
    </row>
    <row r="3360" spans="9:9" x14ac:dyDescent="0.25">
      <c r="I3360" s="2"/>
    </row>
    <row r="3361" spans="9:9" x14ac:dyDescent="0.25">
      <c r="I3361" s="2"/>
    </row>
    <row r="3362" spans="9:9" x14ac:dyDescent="0.25">
      <c r="I3362" s="2"/>
    </row>
    <row r="3363" spans="9:9" x14ac:dyDescent="0.25">
      <c r="I3363" s="2"/>
    </row>
    <row r="3364" spans="9:9" x14ac:dyDescent="0.25">
      <c r="I3364" s="2"/>
    </row>
    <row r="3365" spans="9:9" x14ac:dyDescent="0.25">
      <c r="I3365" s="2"/>
    </row>
    <row r="3366" spans="9:9" x14ac:dyDescent="0.25">
      <c r="I3366" s="2"/>
    </row>
    <row r="3367" spans="9:9" x14ac:dyDescent="0.25">
      <c r="I3367" s="2"/>
    </row>
    <row r="3368" spans="9:9" x14ac:dyDescent="0.25">
      <c r="I3368" s="2"/>
    </row>
    <row r="3369" spans="9:9" x14ac:dyDescent="0.25">
      <c r="I3369" s="2"/>
    </row>
    <row r="3370" spans="9:9" x14ac:dyDescent="0.25">
      <c r="I3370" s="2"/>
    </row>
    <row r="3371" spans="9:9" x14ac:dyDescent="0.25">
      <c r="I3371" s="2"/>
    </row>
    <row r="3372" spans="9:9" x14ac:dyDescent="0.25">
      <c r="I3372" s="2"/>
    </row>
    <row r="3373" spans="9:9" x14ac:dyDescent="0.25">
      <c r="I3373" s="2"/>
    </row>
    <row r="3374" spans="9:9" x14ac:dyDescent="0.25">
      <c r="I3374" s="2"/>
    </row>
    <row r="3375" spans="9:9" x14ac:dyDescent="0.25">
      <c r="I3375" s="2"/>
    </row>
    <row r="3376" spans="9:9" x14ac:dyDescent="0.25">
      <c r="I3376" s="2"/>
    </row>
    <row r="3377" spans="9:9" x14ac:dyDescent="0.25">
      <c r="I3377" s="2"/>
    </row>
    <row r="3378" spans="9:9" x14ac:dyDescent="0.25">
      <c r="I3378" s="2"/>
    </row>
    <row r="3379" spans="9:9" x14ac:dyDescent="0.25">
      <c r="I3379" s="2"/>
    </row>
    <row r="3380" spans="9:9" x14ac:dyDescent="0.25">
      <c r="I3380" s="2"/>
    </row>
    <row r="3381" spans="9:9" x14ac:dyDescent="0.25">
      <c r="I3381" s="2"/>
    </row>
    <row r="3382" spans="9:9" x14ac:dyDescent="0.25">
      <c r="I3382" s="2"/>
    </row>
    <row r="3383" spans="9:9" x14ac:dyDescent="0.25">
      <c r="I3383" s="2"/>
    </row>
    <row r="3384" spans="9:9" x14ac:dyDescent="0.25">
      <c r="I3384" s="2"/>
    </row>
    <row r="3385" spans="9:9" x14ac:dyDescent="0.25">
      <c r="I3385" s="2"/>
    </row>
    <row r="3386" spans="9:9" x14ac:dyDescent="0.25">
      <c r="I3386" s="2"/>
    </row>
    <row r="3387" spans="9:9" x14ac:dyDescent="0.25">
      <c r="I3387" s="2"/>
    </row>
    <row r="3388" spans="9:9" x14ac:dyDescent="0.25">
      <c r="I3388" s="2"/>
    </row>
    <row r="3389" spans="9:9" x14ac:dyDescent="0.25">
      <c r="I3389" s="2"/>
    </row>
    <row r="3390" spans="9:9" x14ac:dyDescent="0.25">
      <c r="I3390" s="2"/>
    </row>
    <row r="3391" spans="9:9" x14ac:dyDescent="0.25">
      <c r="I3391" s="2"/>
    </row>
    <row r="3392" spans="9:9" x14ac:dyDescent="0.25">
      <c r="I3392" s="2"/>
    </row>
    <row r="3393" spans="9:9" x14ac:dyDescent="0.25">
      <c r="I3393" s="2"/>
    </row>
    <row r="3394" spans="9:9" x14ac:dyDescent="0.25">
      <c r="I3394" s="2"/>
    </row>
    <row r="3395" spans="9:9" x14ac:dyDescent="0.25">
      <c r="I3395" s="2"/>
    </row>
    <row r="3396" spans="9:9" x14ac:dyDescent="0.25">
      <c r="I3396" s="2"/>
    </row>
    <row r="3397" spans="9:9" x14ac:dyDescent="0.25">
      <c r="I3397" s="2"/>
    </row>
    <row r="3398" spans="9:9" x14ac:dyDescent="0.25">
      <c r="I3398" s="2"/>
    </row>
    <row r="3399" spans="9:9" x14ac:dyDescent="0.25">
      <c r="I3399" s="2"/>
    </row>
    <row r="3400" spans="9:9" x14ac:dyDescent="0.25">
      <c r="I3400" s="2"/>
    </row>
    <row r="3401" spans="9:9" x14ac:dyDescent="0.25">
      <c r="I3401" s="2"/>
    </row>
    <row r="3402" spans="9:9" x14ac:dyDescent="0.25">
      <c r="I3402" s="2"/>
    </row>
    <row r="3403" spans="9:9" x14ac:dyDescent="0.25">
      <c r="I3403" s="2"/>
    </row>
    <row r="3404" spans="9:9" x14ac:dyDescent="0.25">
      <c r="I3404" s="2"/>
    </row>
    <row r="3405" spans="9:9" x14ac:dyDescent="0.25">
      <c r="I3405" s="2"/>
    </row>
    <row r="3406" spans="9:9" x14ac:dyDescent="0.25">
      <c r="I3406" s="2"/>
    </row>
    <row r="3407" spans="9:9" x14ac:dyDescent="0.25">
      <c r="I3407" s="2"/>
    </row>
    <row r="3408" spans="9:9" x14ac:dyDescent="0.25">
      <c r="I3408" s="2"/>
    </row>
    <row r="3409" spans="9:9" x14ac:dyDescent="0.25">
      <c r="I3409" s="2"/>
    </row>
    <row r="3410" spans="9:9" x14ac:dyDescent="0.25">
      <c r="I3410" s="2"/>
    </row>
    <row r="3411" spans="9:9" x14ac:dyDescent="0.25">
      <c r="I3411" s="2"/>
    </row>
    <row r="3412" spans="9:9" x14ac:dyDescent="0.25">
      <c r="I3412" s="2"/>
    </row>
    <row r="3413" spans="9:9" x14ac:dyDescent="0.25">
      <c r="I3413" s="2"/>
    </row>
    <row r="3414" spans="9:9" x14ac:dyDescent="0.25">
      <c r="I3414" s="2"/>
    </row>
    <row r="3415" spans="9:9" x14ac:dyDescent="0.25">
      <c r="I3415" s="2"/>
    </row>
    <row r="3416" spans="9:9" x14ac:dyDescent="0.25">
      <c r="I3416" s="2"/>
    </row>
    <row r="3417" spans="9:9" x14ac:dyDescent="0.25">
      <c r="I3417" s="2"/>
    </row>
    <row r="3418" spans="9:9" x14ac:dyDescent="0.25">
      <c r="I3418" s="2"/>
    </row>
    <row r="3419" spans="9:9" x14ac:dyDescent="0.25">
      <c r="I3419" s="2"/>
    </row>
    <row r="3420" spans="9:9" x14ac:dyDescent="0.25">
      <c r="I3420" s="2"/>
    </row>
    <row r="3421" spans="9:9" x14ac:dyDescent="0.25">
      <c r="I3421" s="2"/>
    </row>
    <row r="3422" spans="9:9" x14ac:dyDescent="0.25">
      <c r="I3422" s="2"/>
    </row>
    <row r="3423" spans="9:9" x14ac:dyDescent="0.25">
      <c r="I3423" s="2"/>
    </row>
    <row r="3424" spans="9:9" x14ac:dyDescent="0.25">
      <c r="I3424" s="2"/>
    </row>
    <row r="3425" spans="9:9" x14ac:dyDescent="0.25">
      <c r="I3425" s="2"/>
    </row>
    <row r="3426" spans="9:9" x14ac:dyDescent="0.25">
      <c r="I3426" s="2"/>
    </row>
    <row r="3427" spans="9:9" x14ac:dyDescent="0.25">
      <c r="I3427" s="2"/>
    </row>
    <row r="3428" spans="9:9" x14ac:dyDescent="0.25">
      <c r="I3428" s="2"/>
    </row>
    <row r="3429" spans="9:9" x14ac:dyDescent="0.25">
      <c r="I3429" s="2"/>
    </row>
    <row r="3430" spans="9:9" x14ac:dyDescent="0.25">
      <c r="I3430" s="2"/>
    </row>
    <row r="3431" spans="9:9" x14ac:dyDescent="0.25">
      <c r="I3431" s="2"/>
    </row>
    <row r="3432" spans="9:9" x14ac:dyDescent="0.25">
      <c r="I3432" s="2"/>
    </row>
    <row r="3433" spans="9:9" x14ac:dyDescent="0.25">
      <c r="I3433" s="2"/>
    </row>
    <row r="3434" spans="9:9" x14ac:dyDescent="0.25">
      <c r="I3434" s="2"/>
    </row>
    <row r="3435" spans="9:9" x14ac:dyDescent="0.25">
      <c r="I3435" s="2"/>
    </row>
    <row r="3436" spans="9:9" x14ac:dyDescent="0.25">
      <c r="I3436" s="2"/>
    </row>
    <row r="3437" spans="9:9" x14ac:dyDescent="0.25">
      <c r="I3437" s="2"/>
    </row>
    <row r="3438" spans="9:9" x14ac:dyDescent="0.25">
      <c r="I3438" s="2"/>
    </row>
    <row r="3439" spans="9:9" x14ac:dyDescent="0.25">
      <c r="I3439" s="2"/>
    </row>
    <row r="3440" spans="9:9" x14ac:dyDescent="0.25">
      <c r="I3440" s="2"/>
    </row>
    <row r="3441" spans="9:9" x14ac:dyDescent="0.25">
      <c r="I3441" s="2"/>
    </row>
    <row r="3442" spans="9:9" x14ac:dyDescent="0.25">
      <c r="I3442" s="2"/>
    </row>
    <row r="3443" spans="9:9" x14ac:dyDescent="0.25">
      <c r="I3443" s="2"/>
    </row>
    <row r="3444" spans="9:9" x14ac:dyDescent="0.25">
      <c r="I3444" s="2"/>
    </row>
    <row r="3445" spans="9:9" x14ac:dyDescent="0.25">
      <c r="I3445" s="2"/>
    </row>
    <row r="3446" spans="9:9" x14ac:dyDescent="0.25">
      <c r="I3446" s="2"/>
    </row>
    <row r="3447" spans="9:9" x14ac:dyDescent="0.25">
      <c r="I3447" s="2"/>
    </row>
    <row r="3448" spans="9:9" x14ac:dyDescent="0.25">
      <c r="I3448" s="2"/>
    </row>
    <row r="3449" spans="9:9" x14ac:dyDescent="0.25">
      <c r="I3449" s="2"/>
    </row>
    <row r="3450" spans="9:9" x14ac:dyDescent="0.25">
      <c r="I3450" s="2"/>
    </row>
    <row r="3451" spans="9:9" x14ac:dyDescent="0.25">
      <c r="I3451" s="2"/>
    </row>
    <row r="3452" spans="9:9" x14ac:dyDescent="0.25">
      <c r="I3452" s="2"/>
    </row>
    <row r="3453" spans="9:9" x14ac:dyDescent="0.25">
      <c r="I3453" s="2"/>
    </row>
    <row r="3454" spans="9:9" x14ac:dyDescent="0.25">
      <c r="I3454" s="2"/>
    </row>
    <row r="3455" spans="9:9" x14ac:dyDescent="0.25">
      <c r="I3455" s="2"/>
    </row>
    <row r="3456" spans="9:9" x14ac:dyDescent="0.25">
      <c r="I3456" s="2"/>
    </row>
    <row r="3457" spans="9:9" x14ac:dyDescent="0.25">
      <c r="I3457" s="2"/>
    </row>
    <row r="3458" spans="9:9" x14ac:dyDescent="0.25">
      <c r="I3458" s="2"/>
    </row>
    <row r="3459" spans="9:9" x14ac:dyDescent="0.25">
      <c r="I3459" s="2"/>
    </row>
    <row r="3460" spans="9:9" x14ac:dyDescent="0.25">
      <c r="I3460" s="2"/>
    </row>
    <row r="3461" spans="9:9" x14ac:dyDescent="0.25">
      <c r="I3461" s="2"/>
    </row>
    <row r="3462" spans="9:9" x14ac:dyDescent="0.25">
      <c r="I3462" s="2"/>
    </row>
    <row r="3463" spans="9:9" x14ac:dyDescent="0.25">
      <c r="I3463" s="2"/>
    </row>
    <row r="3464" spans="9:9" x14ac:dyDescent="0.25">
      <c r="I3464" s="2"/>
    </row>
    <row r="3465" spans="9:9" x14ac:dyDescent="0.25">
      <c r="I3465" s="2"/>
    </row>
    <row r="3466" spans="9:9" x14ac:dyDescent="0.25">
      <c r="I3466" s="2"/>
    </row>
    <row r="3467" spans="9:9" x14ac:dyDescent="0.25">
      <c r="I3467" s="2"/>
    </row>
    <row r="3468" spans="9:9" x14ac:dyDescent="0.25">
      <c r="I3468" s="2"/>
    </row>
    <row r="3469" spans="9:9" x14ac:dyDescent="0.25">
      <c r="I3469" s="2"/>
    </row>
    <row r="3470" spans="9:9" x14ac:dyDescent="0.25">
      <c r="I3470" s="2"/>
    </row>
    <row r="3471" spans="9:9" x14ac:dyDescent="0.25">
      <c r="I3471" s="2"/>
    </row>
    <row r="3472" spans="9:9" x14ac:dyDescent="0.25">
      <c r="I3472" s="2"/>
    </row>
    <row r="3473" spans="9:9" x14ac:dyDescent="0.25">
      <c r="I3473" s="2"/>
    </row>
    <row r="3474" spans="9:9" x14ac:dyDescent="0.25">
      <c r="I3474" s="2"/>
    </row>
    <row r="3475" spans="9:9" x14ac:dyDescent="0.25">
      <c r="I3475" s="2"/>
    </row>
    <row r="3476" spans="9:9" x14ac:dyDescent="0.25">
      <c r="I3476" s="2"/>
    </row>
    <row r="3477" spans="9:9" x14ac:dyDescent="0.25">
      <c r="I3477" s="2"/>
    </row>
    <row r="3478" spans="9:9" x14ac:dyDescent="0.25">
      <c r="I3478" s="2"/>
    </row>
    <row r="3479" spans="9:9" x14ac:dyDescent="0.25">
      <c r="I3479" s="2"/>
    </row>
    <row r="3480" spans="9:9" x14ac:dyDescent="0.25">
      <c r="I3480" s="2"/>
    </row>
    <row r="3481" spans="9:9" x14ac:dyDescent="0.25">
      <c r="I3481" s="2"/>
    </row>
    <row r="3482" spans="9:9" x14ac:dyDescent="0.25">
      <c r="I3482" s="2"/>
    </row>
    <row r="3483" spans="9:9" x14ac:dyDescent="0.25">
      <c r="I3483" s="2"/>
    </row>
    <row r="3484" spans="9:9" x14ac:dyDescent="0.25">
      <c r="I3484" s="2"/>
    </row>
    <row r="3485" spans="9:9" x14ac:dyDescent="0.25">
      <c r="I3485" s="2"/>
    </row>
    <row r="3486" spans="9:9" x14ac:dyDescent="0.25">
      <c r="I3486" s="2"/>
    </row>
    <row r="3487" spans="9:9" x14ac:dyDescent="0.25">
      <c r="I3487" s="2"/>
    </row>
    <row r="3488" spans="9:9" x14ac:dyDescent="0.25">
      <c r="I3488" s="2"/>
    </row>
    <row r="3489" spans="9:9" x14ac:dyDescent="0.25">
      <c r="I3489" s="2"/>
    </row>
    <row r="3490" spans="9:9" x14ac:dyDescent="0.25">
      <c r="I3490" s="2"/>
    </row>
    <row r="3491" spans="9:9" x14ac:dyDescent="0.25">
      <c r="I3491" s="2"/>
    </row>
    <row r="3492" spans="9:9" x14ac:dyDescent="0.25">
      <c r="I3492" s="2"/>
    </row>
    <row r="3493" spans="9:9" x14ac:dyDescent="0.25">
      <c r="I3493" s="2"/>
    </row>
    <row r="3494" spans="9:9" x14ac:dyDescent="0.25">
      <c r="I3494" s="2"/>
    </row>
    <row r="3495" spans="9:9" x14ac:dyDescent="0.25">
      <c r="I3495" s="2"/>
    </row>
    <row r="3496" spans="9:9" x14ac:dyDescent="0.25">
      <c r="I3496" s="2"/>
    </row>
    <row r="3497" spans="9:9" x14ac:dyDescent="0.25">
      <c r="I3497" s="2"/>
    </row>
    <row r="3498" spans="9:9" x14ac:dyDescent="0.25">
      <c r="I3498" s="2"/>
    </row>
    <row r="3499" spans="9:9" x14ac:dyDescent="0.25">
      <c r="I3499" s="2"/>
    </row>
    <row r="3500" spans="9:9" x14ac:dyDescent="0.25">
      <c r="I3500" s="2"/>
    </row>
    <row r="3501" spans="9:9" x14ac:dyDescent="0.25">
      <c r="I3501" s="2"/>
    </row>
    <row r="3502" spans="9:9" x14ac:dyDescent="0.25">
      <c r="I3502" s="2"/>
    </row>
    <row r="3503" spans="9:9" x14ac:dyDescent="0.25">
      <c r="I3503" s="2"/>
    </row>
    <row r="3504" spans="9:9" x14ac:dyDescent="0.25">
      <c r="I3504" s="2"/>
    </row>
    <row r="3505" spans="9:9" x14ac:dyDescent="0.25">
      <c r="I3505" s="2"/>
    </row>
    <row r="3506" spans="9:9" x14ac:dyDescent="0.25">
      <c r="I3506" s="2"/>
    </row>
    <row r="3507" spans="9:9" x14ac:dyDescent="0.25">
      <c r="I3507" s="2"/>
    </row>
    <row r="3508" spans="9:9" x14ac:dyDescent="0.25">
      <c r="I3508" s="2"/>
    </row>
    <row r="3509" spans="9:9" x14ac:dyDescent="0.25">
      <c r="I3509" s="2"/>
    </row>
    <row r="3510" spans="9:9" x14ac:dyDescent="0.25">
      <c r="I3510" s="2"/>
    </row>
    <row r="3511" spans="9:9" x14ac:dyDescent="0.25">
      <c r="I3511" s="2"/>
    </row>
    <row r="3512" spans="9:9" x14ac:dyDescent="0.25">
      <c r="I3512" s="2"/>
    </row>
    <row r="3513" spans="9:9" x14ac:dyDescent="0.25">
      <c r="I3513" s="2"/>
    </row>
    <row r="3514" spans="9:9" x14ac:dyDescent="0.25">
      <c r="I3514" s="2"/>
    </row>
    <row r="3515" spans="9:9" x14ac:dyDescent="0.25">
      <c r="I3515" s="2"/>
    </row>
    <row r="3516" spans="9:9" x14ac:dyDescent="0.25">
      <c r="I3516" s="2"/>
    </row>
    <row r="3517" spans="9:9" x14ac:dyDescent="0.25">
      <c r="I3517" s="2"/>
    </row>
    <row r="3518" spans="9:9" x14ac:dyDescent="0.25">
      <c r="I3518" s="2"/>
    </row>
    <row r="3519" spans="9:9" x14ac:dyDescent="0.25">
      <c r="I3519" s="2"/>
    </row>
    <row r="3520" spans="9:9" x14ac:dyDescent="0.25">
      <c r="I3520" s="2"/>
    </row>
    <row r="3521" spans="9:9" x14ac:dyDescent="0.25">
      <c r="I3521" s="2"/>
    </row>
    <row r="3522" spans="9:9" x14ac:dyDescent="0.25">
      <c r="I3522" s="2"/>
    </row>
    <row r="3523" spans="9:9" x14ac:dyDescent="0.25">
      <c r="I3523" s="2"/>
    </row>
    <row r="3524" spans="9:9" x14ac:dyDescent="0.25">
      <c r="I3524" s="2"/>
    </row>
    <row r="3525" spans="9:9" x14ac:dyDescent="0.25">
      <c r="I3525" s="2"/>
    </row>
    <row r="3526" spans="9:9" x14ac:dyDescent="0.25">
      <c r="I3526" s="2"/>
    </row>
    <row r="3527" spans="9:9" x14ac:dyDescent="0.25">
      <c r="I3527" s="2"/>
    </row>
    <row r="3528" spans="9:9" x14ac:dyDescent="0.25">
      <c r="I3528" s="2"/>
    </row>
    <row r="3529" spans="9:9" x14ac:dyDescent="0.25">
      <c r="I3529" s="2"/>
    </row>
    <row r="3530" spans="9:9" x14ac:dyDescent="0.25">
      <c r="I3530" s="2"/>
    </row>
    <row r="3531" spans="9:9" x14ac:dyDescent="0.25">
      <c r="I3531" s="2"/>
    </row>
    <row r="3532" spans="9:9" x14ac:dyDescent="0.25">
      <c r="I3532" s="2"/>
    </row>
    <row r="3533" spans="9:9" x14ac:dyDescent="0.25">
      <c r="I3533" s="2"/>
    </row>
    <row r="3534" spans="9:9" x14ac:dyDescent="0.25">
      <c r="I3534" s="2"/>
    </row>
    <row r="3535" spans="9:9" x14ac:dyDescent="0.25">
      <c r="I3535" s="2"/>
    </row>
    <row r="3536" spans="9:9" x14ac:dyDescent="0.25">
      <c r="I3536" s="2"/>
    </row>
    <row r="3537" spans="9:9" x14ac:dyDescent="0.25">
      <c r="I3537" s="2"/>
    </row>
    <row r="3538" spans="9:9" x14ac:dyDescent="0.25">
      <c r="I3538" s="2"/>
    </row>
    <row r="3539" spans="9:9" x14ac:dyDescent="0.25">
      <c r="I3539" s="2"/>
    </row>
    <row r="3540" spans="9:9" x14ac:dyDescent="0.25">
      <c r="I3540" s="2"/>
    </row>
    <row r="3541" spans="9:9" x14ac:dyDescent="0.25">
      <c r="I3541" s="2"/>
    </row>
    <row r="3542" spans="9:9" x14ac:dyDescent="0.25">
      <c r="I3542" s="2"/>
    </row>
    <row r="3543" spans="9:9" x14ac:dyDescent="0.25">
      <c r="I3543" s="2"/>
    </row>
    <row r="3544" spans="9:9" x14ac:dyDescent="0.25">
      <c r="I3544" s="2"/>
    </row>
    <row r="3545" spans="9:9" x14ac:dyDescent="0.25">
      <c r="I3545" s="2"/>
    </row>
    <row r="3546" spans="9:9" x14ac:dyDescent="0.25">
      <c r="I3546" s="2"/>
    </row>
    <row r="3547" spans="9:9" x14ac:dyDescent="0.25">
      <c r="I3547" s="2"/>
    </row>
    <row r="3548" spans="9:9" x14ac:dyDescent="0.25">
      <c r="I3548" s="2"/>
    </row>
    <row r="3549" spans="9:9" x14ac:dyDescent="0.25">
      <c r="I3549" s="2"/>
    </row>
    <row r="3550" spans="9:9" x14ac:dyDescent="0.25">
      <c r="I3550" s="2"/>
    </row>
    <row r="3551" spans="9:9" x14ac:dyDescent="0.25">
      <c r="I3551" s="2"/>
    </row>
    <row r="3552" spans="9:9" x14ac:dyDescent="0.25">
      <c r="I3552" s="2"/>
    </row>
    <row r="3553" spans="9:9" x14ac:dyDescent="0.25">
      <c r="I3553" s="2"/>
    </row>
    <row r="3554" spans="9:9" x14ac:dyDescent="0.25">
      <c r="I3554" s="2"/>
    </row>
    <row r="3555" spans="9:9" x14ac:dyDescent="0.25">
      <c r="I3555" s="2"/>
    </row>
    <row r="3556" spans="9:9" x14ac:dyDescent="0.25">
      <c r="I3556" s="2"/>
    </row>
    <row r="3557" spans="9:9" x14ac:dyDescent="0.25">
      <c r="I3557" s="2"/>
    </row>
    <row r="3558" spans="9:9" x14ac:dyDescent="0.25">
      <c r="I3558" s="2"/>
    </row>
    <row r="3559" spans="9:9" x14ac:dyDescent="0.25">
      <c r="I3559" s="2"/>
    </row>
    <row r="3560" spans="9:9" x14ac:dyDescent="0.25">
      <c r="I3560" s="2"/>
    </row>
    <row r="3561" spans="9:9" x14ac:dyDescent="0.25">
      <c r="I3561" s="2"/>
    </row>
    <row r="3562" spans="9:9" x14ac:dyDescent="0.25">
      <c r="I3562" s="2"/>
    </row>
    <row r="3563" spans="9:9" x14ac:dyDescent="0.25">
      <c r="I3563" s="2"/>
    </row>
    <row r="3564" spans="9:9" x14ac:dyDescent="0.25">
      <c r="I3564" s="2"/>
    </row>
    <row r="3565" spans="9:9" x14ac:dyDescent="0.25">
      <c r="I3565" s="2"/>
    </row>
    <row r="3566" spans="9:9" x14ac:dyDescent="0.25">
      <c r="I3566" s="2"/>
    </row>
    <row r="3567" spans="9:9" x14ac:dyDescent="0.25">
      <c r="I3567" s="2"/>
    </row>
    <row r="3568" spans="9:9" x14ac:dyDescent="0.25">
      <c r="I3568" s="2"/>
    </row>
    <row r="3569" spans="9:9" x14ac:dyDescent="0.25">
      <c r="I3569" s="2"/>
    </row>
    <row r="3570" spans="9:9" x14ac:dyDescent="0.25">
      <c r="I3570" s="2"/>
    </row>
    <row r="3571" spans="9:9" x14ac:dyDescent="0.25">
      <c r="I3571" s="2"/>
    </row>
    <row r="3572" spans="9:9" x14ac:dyDescent="0.25">
      <c r="I3572" s="2"/>
    </row>
    <row r="3573" spans="9:9" x14ac:dyDescent="0.25">
      <c r="I3573" s="2"/>
    </row>
    <row r="3574" spans="9:9" x14ac:dyDescent="0.25">
      <c r="I3574" s="2"/>
    </row>
    <row r="3575" spans="9:9" x14ac:dyDescent="0.25">
      <c r="I3575" s="2"/>
    </row>
    <row r="3576" spans="9:9" x14ac:dyDescent="0.25">
      <c r="I3576" s="2"/>
    </row>
    <row r="3577" spans="9:9" x14ac:dyDescent="0.25">
      <c r="I3577" s="2"/>
    </row>
    <row r="3578" spans="9:9" x14ac:dyDescent="0.25">
      <c r="I3578" s="2"/>
    </row>
    <row r="3579" spans="9:9" x14ac:dyDescent="0.25">
      <c r="I3579" s="2"/>
    </row>
    <row r="3580" spans="9:9" x14ac:dyDescent="0.25">
      <c r="I3580" s="2"/>
    </row>
    <row r="3581" spans="9:9" x14ac:dyDescent="0.25">
      <c r="I3581" s="2"/>
    </row>
    <row r="3582" spans="9:9" x14ac:dyDescent="0.25">
      <c r="I3582" s="2"/>
    </row>
    <row r="3583" spans="9:9" x14ac:dyDescent="0.25">
      <c r="I3583" s="2"/>
    </row>
    <row r="3584" spans="9:9" x14ac:dyDescent="0.25">
      <c r="I3584" s="2"/>
    </row>
    <row r="3585" spans="9:9" x14ac:dyDescent="0.25">
      <c r="I3585" s="2"/>
    </row>
    <row r="3586" spans="9:9" x14ac:dyDescent="0.25">
      <c r="I3586" s="2"/>
    </row>
    <row r="3587" spans="9:9" x14ac:dyDescent="0.25">
      <c r="I3587" s="2"/>
    </row>
    <row r="3588" spans="9:9" x14ac:dyDescent="0.25">
      <c r="I3588" s="2"/>
    </row>
    <row r="3589" spans="9:9" x14ac:dyDescent="0.25">
      <c r="I3589" s="2"/>
    </row>
    <row r="3590" spans="9:9" x14ac:dyDescent="0.25">
      <c r="I3590" s="2"/>
    </row>
    <row r="3591" spans="9:9" x14ac:dyDescent="0.25">
      <c r="I3591" s="2"/>
    </row>
    <row r="3592" spans="9:9" x14ac:dyDescent="0.25">
      <c r="I3592" s="2"/>
    </row>
    <row r="3593" spans="9:9" x14ac:dyDescent="0.25">
      <c r="I3593" s="2"/>
    </row>
    <row r="3594" spans="9:9" x14ac:dyDescent="0.25">
      <c r="I3594" s="2"/>
    </row>
    <row r="3595" spans="9:9" x14ac:dyDescent="0.25">
      <c r="I3595" s="2"/>
    </row>
    <row r="3596" spans="9:9" x14ac:dyDescent="0.25">
      <c r="I3596" s="2"/>
    </row>
    <row r="3597" spans="9:9" x14ac:dyDescent="0.25">
      <c r="I3597" s="2"/>
    </row>
    <row r="3598" spans="9:9" x14ac:dyDescent="0.25">
      <c r="I3598" s="2"/>
    </row>
    <row r="3599" spans="9:9" x14ac:dyDescent="0.25">
      <c r="I3599" s="2"/>
    </row>
    <row r="3600" spans="9:9" x14ac:dyDescent="0.25">
      <c r="I3600" s="2"/>
    </row>
    <row r="3601" spans="9:9" x14ac:dyDescent="0.25">
      <c r="I3601" s="2"/>
    </row>
    <row r="3602" spans="9:9" x14ac:dyDescent="0.25">
      <c r="I3602" s="2"/>
    </row>
    <row r="3603" spans="9:9" x14ac:dyDescent="0.25">
      <c r="I3603" s="2"/>
    </row>
    <row r="3604" spans="9:9" x14ac:dyDescent="0.25">
      <c r="I3604" s="2"/>
    </row>
    <row r="3605" spans="9:9" x14ac:dyDescent="0.25">
      <c r="I3605" s="2"/>
    </row>
    <row r="3606" spans="9:9" x14ac:dyDescent="0.25">
      <c r="I3606" s="2"/>
    </row>
    <row r="3607" spans="9:9" x14ac:dyDescent="0.25">
      <c r="I3607" s="2"/>
    </row>
    <row r="3608" spans="9:9" x14ac:dyDescent="0.25">
      <c r="I3608" s="2"/>
    </row>
    <row r="3609" spans="9:9" x14ac:dyDescent="0.25">
      <c r="I3609" s="2"/>
    </row>
    <row r="3610" spans="9:9" x14ac:dyDescent="0.25">
      <c r="I3610" s="2"/>
    </row>
    <row r="3611" spans="9:9" x14ac:dyDescent="0.25">
      <c r="I3611" s="2"/>
    </row>
    <row r="3612" spans="9:9" x14ac:dyDescent="0.25">
      <c r="I3612" s="2"/>
    </row>
    <row r="3613" spans="9:9" x14ac:dyDescent="0.25">
      <c r="I3613" s="2"/>
    </row>
    <row r="3614" spans="9:9" x14ac:dyDescent="0.25">
      <c r="I3614" s="2"/>
    </row>
    <row r="3615" spans="9:9" x14ac:dyDescent="0.25">
      <c r="I3615" s="2"/>
    </row>
    <row r="3616" spans="9:9" x14ac:dyDescent="0.25">
      <c r="I3616" s="2"/>
    </row>
    <row r="3617" spans="9:9" x14ac:dyDescent="0.25">
      <c r="I3617" s="2"/>
    </row>
    <row r="3618" spans="9:9" x14ac:dyDescent="0.25">
      <c r="I3618" s="2"/>
    </row>
    <row r="3619" spans="9:9" x14ac:dyDescent="0.25">
      <c r="I3619" s="2"/>
    </row>
    <row r="3620" spans="9:9" x14ac:dyDescent="0.25">
      <c r="I3620" s="2"/>
    </row>
    <row r="3621" spans="9:9" x14ac:dyDescent="0.25">
      <c r="I3621" s="2"/>
    </row>
    <row r="3622" spans="9:9" x14ac:dyDescent="0.25">
      <c r="I3622" s="2"/>
    </row>
    <row r="3623" spans="9:9" x14ac:dyDescent="0.25">
      <c r="I3623" s="2"/>
    </row>
    <row r="3624" spans="9:9" x14ac:dyDescent="0.25">
      <c r="I3624" s="2"/>
    </row>
    <row r="3625" spans="9:9" x14ac:dyDescent="0.25">
      <c r="I3625" s="2"/>
    </row>
    <row r="3626" spans="9:9" x14ac:dyDescent="0.25">
      <c r="I3626" s="2"/>
    </row>
    <row r="3627" spans="9:9" x14ac:dyDescent="0.25">
      <c r="I3627" s="2"/>
    </row>
    <row r="3628" spans="9:9" x14ac:dyDescent="0.25">
      <c r="I3628" s="2"/>
    </row>
    <row r="3629" spans="9:9" x14ac:dyDescent="0.25">
      <c r="I3629" s="2"/>
    </row>
    <row r="3630" spans="9:9" x14ac:dyDescent="0.25">
      <c r="I3630" s="2"/>
    </row>
    <row r="3631" spans="9:9" x14ac:dyDescent="0.25">
      <c r="I3631" s="2"/>
    </row>
    <row r="3632" spans="9:9" x14ac:dyDescent="0.25">
      <c r="I3632" s="2"/>
    </row>
    <row r="3633" spans="9:9" x14ac:dyDescent="0.25">
      <c r="I3633" s="2"/>
    </row>
    <row r="3634" spans="9:9" x14ac:dyDescent="0.25">
      <c r="I3634" s="2"/>
    </row>
    <row r="3635" spans="9:9" x14ac:dyDescent="0.25">
      <c r="I3635" s="2"/>
    </row>
    <row r="3636" spans="9:9" x14ac:dyDescent="0.25">
      <c r="I3636" s="2"/>
    </row>
    <row r="3637" spans="9:9" x14ac:dyDescent="0.25">
      <c r="I3637" s="2"/>
    </row>
    <row r="3638" spans="9:9" x14ac:dyDescent="0.25">
      <c r="I3638" s="2"/>
    </row>
    <row r="3639" spans="9:9" x14ac:dyDescent="0.25">
      <c r="I3639" s="2"/>
    </row>
    <row r="3640" spans="9:9" x14ac:dyDescent="0.25">
      <c r="I3640" s="2"/>
    </row>
    <row r="3641" spans="9:9" x14ac:dyDescent="0.25">
      <c r="I3641" s="2"/>
    </row>
    <row r="3642" spans="9:9" x14ac:dyDescent="0.25">
      <c r="I3642" s="2"/>
    </row>
    <row r="3643" spans="9:9" x14ac:dyDescent="0.25">
      <c r="I3643" s="2"/>
    </row>
    <row r="3644" spans="9:9" x14ac:dyDescent="0.25">
      <c r="I3644" s="2"/>
    </row>
    <row r="3645" spans="9:9" x14ac:dyDescent="0.25">
      <c r="I3645" s="2"/>
    </row>
    <row r="3646" spans="9:9" x14ac:dyDescent="0.25">
      <c r="I3646" s="2"/>
    </row>
    <row r="3647" spans="9:9" x14ac:dyDescent="0.25">
      <c r="I3647" s="2"/>
    </row>
    <row r="3648" spans="9:9" x14ac:dyDescent="0.25">
      <c r="I3648" s="2"/>
    </row>
    <row r="3649" spans="9:9" x14ac:dyDescent="0.25">
      <c r="I3649" s="2"/>
    </row>
    <row r="3650" spans="9:9" x14ac:dyDescent="0.25">
      <c r="I3650" s="2"/>
    </row>
    <row r="3651" spans="9:9" x14ac:dyDescent="0.25">
      <c r="I3651" s="2"/>
    </row>
    <row r="3652" spans="9:9" x14ac:dyDescent="0.25">
      <c r="I3652" s="2"/>
    </row>
    <row r="3653" spans="9:9" x14ac:dyDescent="0.25">
      <c r="I3653" s="2"/>
    </row>
    <row r="3654" spans="9:9" x14ac:dyDescent="0.25">
      <c r="I3654" s="2"/>
    </row>
    <row r="3655" spans="9:9" x14ac:dyDescent="0.25">
      <c r="I3655" s="2"/>
    </row>
    <row r="3656" spans="9:9" x14ac:dyDescent="0.25">
      <c r="I3656" s="2"/>
    </row>
    <row r="3657" spans="9:9" x14ac:dyDescent="0.25">
      <c r="I3657" s="2"/>
    </row>
    <row r="3658" spans="9:9" x14ac:dyDescent="0.25">
      <c r="I3658" s="2"/>
    </row>
    <row r="3659" spans="9:9" x14ac:dyDescent="0.25">
      <c r="I3659" s="2"/>
    </row>
    <row r="3660" spans="9:9" x14ac:dyDescent="0.25">
      <c r="I3660" s="2"/>
    </row>
    <row r="3661" spans="9:9" x14ac:dyDescent="0.25">
      <c r="I3661" s="2"/>
    </row>
    <row r="3662" spans="9:9" x14ac:dyDescent="0.25">
      <c r="I3662" s="2"/>
    </row>
    <row r="3663" spans="9:9" x14ac:dyDescent="0.25">
      <c r="I3663" s="2"/>
    </row>
    <row r="3664" spans="9:9" x14ac:dyDescent="0.25">
      <c r="I3664" s="2"/>
    </row>
    <row r="3665" spans="9:9" x14ac:dyDescent="0.25">
      <c r="I3665" s="2"/>
    </row>
    <row r="3666" spans="9:9" x14ac:dyDescent="0.25">
      <c r="I3666" s="2"/>
    </row>
    <row r="3667" spans="9:9" x14ac:dyDescent="0.25">
      <c r="I3667" s="2"/>
    </row>
    <row r="3668" spans="9:9" x14ac:dyDescent="0.25">
      <c r="I3668" s="2"/>
    </row>
    <row r="3669" spans="9:9" x14ac:dyDescent="0.25">
      <c r="I3669" s="2"/>
    </row>
    <row r="3670" spans="9:9" x14ac:dyDescent="0.25">
      <c r="I3670" s="2"/>
    </row>
    <row r="3671" spans="9:9" x14ac:dyDescent="0.25">
      <c r="I3671" s="2"/>
    </row>
    <row r="3672" spans="9:9" x14ac:dyDescent="0.25">
      <c r="I3672" s="2"/>
    </row>
    <row r="3673" spans="9:9" x14ac:dyDescent="0.25">
      <c r="I3673" s="2"/>
    </row>
    <row r="3674" spans="9:9" x14ac:dyDescent="0.25">
      <c r="I3674" s="2"/>
    </row>
    <row r="3675" spans="9:9" x14ac:dyDescent="0.25">
      <c r="I3675" s="2"/>
    </row>
    <row r="3676" spans="9:9" x14ac:dyDescent="0.25">
      <c r="I3676" s="2"/>
    </row>
    <row r="3677" spans="9:9" x14ac:dyDescent="0.25">
      <c r="I3677" s="2"/>
    </row>
    <row r="3678" spans="9:9" x14ac:dyDescent="0.25">
      <c r="I3678" s="2"/>
    </row>
    <row r="3679" spans="9:9" x14ac:dyDescent="0.25">
      <c r="I3679" s="2"/>
    </row>
    <row r="3680" spans="9:9" x14ac:dyDescent="0.25">
      <c r="I3680" s="2"/>
    </row>
    <row r="3681" spans="9:9" x14ac:dyDescent="0.25">
      <c r="I3681" s="2"/>
    </row>
    <row r="3682" spans="9:9" x14ac:dyDescent="0.25">
      <c r="I3682" s="2"/>
    </row>
    <row r="3683" spans="9:9" x14ac:dyDescent="0.25">
      <c r="I3683" s="2"/>
    </row>
    <row r="3684" spans="9:9" x14ac:dyDescent="0.25">
      <c r="I3684" s="2"/>
    </row>
    <row r="3685" spans="9:9" x14ac:dyDescent="0.25">
      <c r="I3685" s="2"/>
    </row>
    <row r="3686" spans="9:9" x14ac:dyDescent="0.25">
      <c r="I3686" s="2"/>
    </row>
    <row r="3687" spans="9:9" x14ac:dyDescent="0.25">
      <c r="I3687" s="2"/>
    </row>
    <row r="3688" spans="9:9" x14ac:dyDescent="0.25">
      <c r="I3688" s="2"/>
    </row>
    <row r="3689" spans="9:9" x14ac:dyDescent="0.25">
      <c r="I3689" s="2"/>
    </row>
    <row r="3690" spans="9:9" x14ac:dyDescent="0.25">
      <c r="I3690" s="2"/>
    </row>
    <row r="3691" spans="9:9" x14ac:dyDescent="0.25">
      <c r="I3691" s="2"/>
    </row>
    <row r="3692" spans="9:9" x14ac:dyDescent="0.25">
      <c r="I3692" s="2"/>
    </row>
    <row r="3693" spans="9:9" x14ac:dyDescent="0.25">
      <c r="I3693" s="2"/>
    </row>
    <row r="3694" spans="9:9" x14ac:dyDescent="0.25">
      <c r="I3694" s="2"/>
    </row>
    <row r="3695" spans="9:9" x14ac:dyDescent="0.25">
      <c r="I3695" s="2"/>
    </row>
    <row r="3696" spans="9:9" x14ac:dyDescent="0.25">
      <c r="I3696" s="2"/>
    </row>
    <row r="3697" spans="9:9" x14ac:dyDescent="0.25">
      <c r="I3697" s="2"/>
    </row>
    <row r="3698" spans="9:9" x14ac:dyDescent="0.25">
      <c r="I3698" s="2"/>
    </row>
    <row r="3699" spans="9:9" x14ac:dyDescent="0.25">
      <c r="I3699" s="2"/>
    </row>
    <row r="3700" spans="9:9" x14ac:dyDescent="0.25">
      <c r="I3700" s="2"/>
    </row>
    <row r="3701" spans="9:9" x14ac:dyDescent="0.25">
      <c r="I3701" s="2"/>
    </row>
    <row r="3702" spans="9:9" x14ac:dyDescent="0.25">
      <c r="I3702" s="2"/>
    </row>
    <row r="3703" spans="9:9" x14ac:dyDescent="0.25">
      <c r="I3703" s="2"/>
    </row>
    <row r="3704" spans="9:9" x14ac:dyDescent="0.25">
      <c r="I3704" s="2"/>
    </row>
    <row r="3705" spans="9:9" x14ac:dyDescent="0.25">
      <c r="I3705" s="2"/>
    </row>
    <row r="3706" spans="9:9" x14ac:dyDescent="0.25">
      <c r="I3706" s="2"/>
    </row>
    <row r="3707" spans="9:9" x14ac:dyDescent="0.25">
      <c r="I3707" s="2"/>
    </row>
    <row r="3708" spans="9:9" x14ac:dyDescent="0.25">
      <c r="I3708" s="2"/>
    </row>
    <row r="3709" spans="9:9" x14ac:dyDescent="0.25">
      <c r="I3709" s="2"/>
    </row>
    <row r="3710" spans="9:9" x14ac:dyDescent="0.25">
      <c r="I3710" s="2"/>
    </row>
    <row r="3711" spans="9:9" x14ac:dyDescent="0.25">
      <c r="I3711" s="2"/>
    </row>
    <row r="3712" spans="9:9" x14ac:dyDescent="0.25">
      <c r="I3712" s="2"/>
    </row>
    <row r="3713" spans="9:9" x14ac:dyDescent="0.25">
      <c r="I3713" s="2"/>
    </row>
    <row r="3714" spans="9:9" x14ac:dyDescent="0.25">
      <c r="I3714" s="2"/>
    </row>
    <row r="3715" spans="9:9" x14ac:dyDescent="0.25">
      <c r="I3715" s="2"/>
    </row>
    <row r="3716" spans="9:9" x14ac:dyDescent="0.25">
      <c r="I3716" s="2"/>
    </row>
    <row r="3717" spans="9:9" x14ac:dyDescent="0.25">
      <c r="I3717" s="2"/>
    </row>
    <row r="3718" spans="9:9" x14ac:dyDescent="0.25">
      <c r="I3718" s="2"/>
    </row>
    <row r="3719" spans="9:9" x14ac:dyDescent="0.25">
      <c r="I3719" s="2"/>
    </row>
    <row r="3720" spans="9:9" x14ac:dyDescent="0.25">
      <c r="I3720" s="2"/>
    </row>
    <row r="3721" spans="9:9" x14ac:dyDescent="0.25">
      <c r="I3721" s="2"/>
    </row>
    <row r="3722" spans="9:9" x14ac:dyDescent="0.25">
      <c r="I3722" s="2"/>
    </row>
    <row r="3723" spans="9:9" x14ac:dyDescent="0.25">
      <c r="I3723" s="2"/>
    </row>
    <row r="3724" spans="9:9" x14ac:dyDescent="0.25">
      <c r="I3724" s="2"/>
    </row>
    <row r="3725" spans="9:9" x14ac:dyDescent="0.25">
      <c r="I3725" s="2"/>
    </row>
    <row r="3726" spans="9:9" x14ac:dyDescent="0.25">
      <c r="I3726" s="2"/>
    </row>
    <row r="3727" spans="9:9" x14ac:dyDescent="0.25">
      <c r="I3727" s="2"/>
    </row>
    <row r="3728" spans="9:9" x14ac:dyDescent="0.25">
      <c r="I3728" s="2"/>
    </row>
    <row r="3729" spans="9:9" x14ac:dyDescent="0.25">
      <c r="I3729" s="2"/>
    </row>
    <row r="3730" spans="9:9" x14ac:dyDescent="0.25">
      <c r="I3730" s="2"/>
    </row>
    <row r="3731" spans="9:9" x14ac:dyDescent="0.25">
      <c r="I3731" s="2"/>
    </row>
    <row r="3732" spans="9:9" x14ac:dyDescent="0.25">
      <c r="I3732" s="2"/>
    </row>
    <row r="3733" spans="9:9" x14ac:dyDescent="0.25">
      <c r="I3733" s="2"/>
    </row>
    <row r="3734" spans="9:9" x14ac:dyDescent="0.25">
      <c r="I3734" s="2"/>
    </row>
    <row r="3735" spans="9:9" x14ac:dyDescent="0.25">
      <c r="I3735" s="2"/>
    </row>
    <row r="3736" spans="9:9" x14ac:dyDescent="0.25">
      <c r="I3736" s="2"/>
    </row>
    <row r="3737" spans="9:9" x14ac:dyDescent="0.25">
      <c r="I3737" s="2"/>
    </row>
    <row r="3738" spans="9:9" x14ac:dyDescent="0.25">
      <c r="I3738" s="2"/>
    </row>
    <row r="3739" spans="9:9" x14ac:dyDescent="0.25">
      <c r="I3739" s="2"/>
    </row>
    <row r="3740" spans="9:9" x14ac:dyDescent="0.25">
      <c r="I3740" s="2"/>
    </row>
    <row r="3741" spans="9:9" x14ac:dyDescent="0.25">
      <c r="I3741" s="2"/>
    </row>
    <row r="3742" spans="9:9" x14ac:dyDescent="0.25">
      <c r="I3742" s="2"/>
    </row>
    <row r="3743" spans="9:9" x14ac:dyDescent="0.25">
      <c r="I3743" s="2"/>
    </row>
    <row r="3744" spans="9:9" x14ac:dyDescent="0.25">
      <c r="I3744" s="2"/>
    </row>
    <row r="3745" spans="9:9" x14ac:dyDescent="0.25">
      <c r="I3745" s="2"/>
    </row>
    <row r="3746" spans="9:9" x14ac:dyDescent="0.25">
      <c r="I3746" s="2"/>
    </row>
    <row r="3747" spans="9:9" x14ac:dyDescent="0.25">
      <c r="I3747" s="2"/>
    </row>
    <row r="3748" spans="9:9" x14ac:dyDescent="0.25">
      <c r="I3748" s="2"/>
    </row>
    <row r="3749" spans="9:9" x14ac:dyDescent="0.25">
      <c r="I3749" s="2"/>
    </row>
    <row r="3750" spans="9:9" x14ac:dyDescent="0.25">
      <c r="I3750" s="2"/>
    </row>
    <row r="3751" spans="9:9" x14ac:dyDescent="0.25">
      <c r="I3751" s="2"/>
    </row>
    <row r="3752" spans="9:9" x14ac:dyDescent="0.25">
      <c r="I3752" s="2"/>
    </row>
    <row r="3753" spans="9:9" x14ac:dyDescent="0.25">
      <c r="I3753" s="2"/>
    </row>
    <row r="3754" spans="9:9" x14ac:dyDescent="0.25">
      <c r="I3754" s="2"/>
    </row>
    <row r="3755" spans="9:9" x14ac:dyDescent="0.25">
      <c r="I3755" s="2"/>
    </row>
    <row r="3756" spans="9:9" x14ac:dyDescent="0.25">
      <c r="I3756" s="2"/>
    </row>
    <row r="3757" spans="9:9" x14ac:dyDescent="0.25">
      <c r="I3757" s="2"/>
    </row>
    <row r="3758" spans="9:9" x14ac:dyDescent="0.25">
      <c r="I3758" s="2"/>
    </row>
    <row r="3759" spans="9:9" x14ac:dyDescent="0.25">
      <c r="I3759" s="2"/>
    </row>
    <row r="3760" spans="9:9" x14ac:dyDescent="0.25">
      <c r="I3760" s="2"/>
    </row>
    <row r="3761" spans="9:9" x14ac:dyDescent="0.25">
      <c r="I3761" s="2"/>
    </row>
    <row r="3762" spans="9:9" x14ac:dyDescent="0.25">
      <c r="I3762" s="2"/>
    </row>
    <row r="3763" spans="9:9" x14ac:dyDescent="0.25">
      <c r="I3763" s="2"/>
    </row>
    <row r="3764" spans="9:9" x14ac:dyDescent="0.25">
      <c r="I3764" s="2"/>
    </row>
    <row r="3765" spans="9:9" x14ac:dyDescent="0.25">
      <c r="I3765" s="2"/>
    </row>
    <row r="3766" spans="9:9" x14ac:dyDescent="0.25">
      <c r="I3766" s="2"/>
    </row>
    <row r="3767" spans="9:9" x14ac:dyDescent="0.25">
      <c r="I3767" s="2"/>
    </row>
    <row r="3768" spans="9:9" x14ac:dyDescent="0.25">
      <c r="I3768" s="2"/>
    </row>
    <row r="3769" spans="9:9" x14ac:dyDescent="0.25">
      <c r="I3769" s="2"/>
    </row>
    <row r="3770" spans="9:9" x14ac:dyDescent="0.25">
      <c r="I3770" s="2"/>
    </row>
    <row r="3771" spans="9:9" x14ac:dyDescent="0.25">
      <c r="I3771" s="2"/>
    </row>
    <row r="3772" spans="9:9" x14ac:dyDescent="0.25">
      <c r="I3772" s="2"/>
    </row>
    <row r="3773" spans="9:9" x14ac:dyDescent="0.25">
      <c r="I3773" s="2"/>
    </row>
    <row r="3774" spans="9:9" x14ac:dyDescent="0.25">
      <c r="I3774" s="2"/>
    </row>
    <row r="3775" spans="9:9" x14ac:dyDescent="0.25">
      <c r="I3775" s="2"/>
    </row>
    <row r="3776" spans="9:9" x14ac:dyDescent="0.25">
      <c r="I3776" s="2"/>
    </row>
    <row r="3777" spans="9:9" x14ac:dyDescent="0.25">
      <c r="I3777" s="2"/>
    </row>
    <row r="3778" spans="9:9" x14ac:dyDescent="0.25">
      <c r="I3778" s="2"/>
    </row>
    <row r="3779" spans="9:9" x14ac:dyDescent="0.25">
      <c r="I3779" s="2"/>
    </row>
    <row r="3780" spans="9:9" x14ac:dyDescent="0.25">
      <c r="I3780" s="2"/>
    </row>
    <row r="3781" spans="9:9" x14ac:dyDescent="0.25">
      <c r="I3781" s="2"/>
    </row>
    <row r="3782" spans="9:9" x14ac:dyDescent="0.25">
      <c r="I3782" s="2"/>
    </row>
    <row r="3783" spans="9:9" x14ac:dyDescent="0.25">
      <c r="I3783" s="2"/>
    </row>
    <row r="3784" spans="9:9" x14ac:dyDescent="0.25">
      <c r="I3784" s="2"/>
    </row>
    <row r="3785" spans="9:9" x14ac:dyDescent="0.25">
      <c r="I3785" s="2"/>
    </row>
    <row r="3786" spans="9:9" x14ac:dyDescent="0.25">
      <c r="I3786" s="2"/>
    </row>
    <row r="3787" spans="9:9" x14ac:dyDescent="0.25">
      <c r="I3787" s="2"/>
    </row>
    <row r="3788" spans="9:9" x14ac:dyDescent="0.25">
      <c r="I3788" s="2"/>
    </row>
    <row r="3789" spans="9:9" x14ac:dyDescent="0.25">
      <c r="I3789" s="2"/>
    </row>
    <row r="3790" spans="9:9" x14ac:dyDescent="0.25">
      <c r="I3790" s="2"/>
    </row>
    <row r="3791" spans="9:9" x14ac:dyDescent="0.25">
      <c r="I3791" s="2"/>
    </row>
    <row r="3792" spans="9:9" x14ac:dyDescent="0.25">
      <c r="I3792" s="2"/>
    </row>
    <row r="3793" spans="9:9" x14ac:dyDescent="0.25">
      <c r="I3793" s="2"/>
    </row>
    <row r="3794" spans="9:9" x14ac:dyDescent="0.25">
      <c r="I3794" s="2"/>
    </row>
    <row r="3795" spans="9:9" x14ac:dyDescent="0.25">
      <c r="I3795" s="2"/>
    </row>
    <row r="3796" spans="9:9" x14ac:dyDescent="0.25">
      <c r="I3796" s="2"/>
    </row>
    <row r="3797" spans="9:9" x14ac:dyDescent="0.25">
      <c r="I3797" s="2"/>
    </row>
    <row r="3798" spans="9:9" x14ac:dyDescent="0.25">
      <c r="I3798" s="2"/>
    </row>
    <row r="3799" spans="9:9" x14ac:dyDescent="0.25">
      <c r="I3799" s="2"/>
    </row>
    <row r="3800" spans="9:9" x14ac:dyDescent="0.25">
      <c r="I3800" s="2"/>
    </row>
    <row r="3801" spans="9:9" x14ac:dyDescent="0.25">
      <c r="I3801" s="2"/>
    </row>
    <row r="3802" spans="9:9" x14ac:dyDescent="0.25">
      <c r="I3802" s="2"/>
    </row>
    <row r="3803" spans="9:9" x14ac:dyDescent="0.25">
      <c r="I3803" s="2"/>
    </row>
    <row r="3804" spans="9:9" x14ac:dyDescent="0.25">
      <c r="I3804" s="2"/>
    </row>
    <row r="3805" spans="9:9" x14ac:dyDescent="0.25">
      <c r="I3805" s="2"/>
    </row>
    <row r="3806" spans="9:9" x14ac:dyDescent="0.25">
      <c r="I3806" s="2"/>
    </row>
    <row r="3807" spans="9:9" x14ac:dyDescent="0.25">
      <c r="I3807" s="2"/>
    </row>
    <row r="3808" spans="9:9" x14ac:dyDescent="0.25">
      <c r="I3808" s="2"/>
    </row>
    <row r="3809" spans="9:9" x14ac:dyDescent="0.25">
      <c r="I3809" s="2"/>
    </row>
    <row r="3810" spans="9:9" x14ac:dyDescent="0.25">
      <c r="I3810" s="2"/>
    </row>
    <row r="3811" spans="9:9" x14ac:dyDescent="0.25">
      <c r="I3811" s="2"/>
    </row>
    <row r="3812" spans="9:9" x14ac:dyDescent="0.25">
      <c r="I3812" s="2"/>
    </row>
    <row r="3813" spans="9:9" x14ac:dyDescent="0.25">
      <c r="I3813" s="2"/>
    </row>
    <row r="3814" spans="9:9" x14ac:dyDescent="0.25">
      <c r="I3814" s="2"/>
    </row>
    <row r="3815" spans="9:9" x14ac:dyDescent="0.25">
      <c r="I3815" s="2"/>
    </row>
    <row r="3816" spans="9:9" x14ac:dyDescent="0.25">
      <c r="I3816" s="2"/>
    </row>
    <row r="3817" spans="9:9" x14ac:dyDescent="0.25">
      <c r="I3817" s="2"/>
    </row>
    <row r="3818" spans="9:9" x14ac:dyDescent="0.25">
      <c r="I3818" s="2"/>
    </row>
    <row r="3819" spans="9:9" x14ac:dyDescent="0.25">
      <c r="I3819" s="2"/>
    </row>
    <row r="3820" spans="9:9" x14ac:dyDescent="0.25">
      <c r="I3820" s="2"/>
    </row>
    <row r="3821" spans="9:9" x14ac:dyDescent="0.25">
      <c r="I3821" s="2"/>
    </row>
    <row r="3822" spans="9:9" x14ac:dyDescent="0.25">
      <c r="I3822" s="2"/>
    </row>
    <row r="3823" spans="9:9" x14ac:dyDescent="0.25">
      <c r="I3823" s="2"/>
    </row>
    <row r="3824" spans="9:9" x14ac:dyDescent="0.25">
      <c r="I3824" s="2"/>
    </row>
    <row r="3825" spans="9:9" x14ac:dyDescent="0.25">
      <c r="I3825" s="2"/>
    </row>
    <row r="3826" spans="9:9" x14ac:dyDescent="0.25">
      <c r="I3826" s="2"/>
    </row>
    <row r="3827" spans="9:9" x14ac:dyDescent="0.25">
      <c r="I3827" s="2"/>
    </row>
    <row r="3828" spans="9:9" x14ac:dyDescent="0.25">
      <c r="I3828" s="2"/>
    </row>
    <row r="3829" spans="9:9" x14ac:dyDescent="0.25">
      <c r="I3829" s="2"/>
    </row>
    <row r="3830" spans="9:9" x14ac:dyDescent="0.25">
      <c r="I3830" s="2"/>
    </row>
    <row r="3831" spans="9:9" x14ac:dyDescent="0.25">
      <c r="I3831" s="2"/>
    </row>
    <row r="3832" spans="9:9" x14ac:dyDescent="0.25">
      <c r="I3832" s="2"/>
    </row>
    <row r="3833" spans="9:9" x14ac:dyDescent="0.25">
      <c r="I3833" s="2"/>
    </row>
    <row r="3834" spans="9:9" x14ac:dyDescent="0.25">
      <c r="I3834" s="2"/>
    </row>
    <row r="3835" spans="9:9" x14ac:dyDescent="0.25">
      <c r="I3835" s="2"/>
    </row>
    <row r="3836" spans="9:9" x14ac:dyDescent="0.25">
      <c r="I3836" s="2"/>
    </row>
    <row r="3837" spans="9:9" x14ac:dyDescent="0.25">
      <c r="I3837" s="2"/>
    </row>
    <row r="3838" spans="9:9" x14ac:dyDescent="0.25">
      <c r="I3838" s="2"/>
    </row>
    <row r="3839" spans="9:9" x14ac:dyDescent="0.25">
      <c r="I3839" s="2"/>
    </row>
    <row r="3840" spans="9:9" x14ac:dyDescent="0.25">
      <c r="I3840" s="2"/>
    </row>
    <row r="3841" spans="9:9" x14ac:dyDescent="0.25">
      <c r="I3841" s="2"/>
    </row>
    <row r="3842" spans="9:9" x14ac:dyDescent="0.25">
      <c r="I3842" s="2"/>
    </row>
    <row r="3843" spans="9:9" x14ac:dyDescent="0.25">
      <c r="I3843" s="2"/>
    </row>
    <row r="3844" spans="9:9" x14ac:dyDescent="0.25">
      <c r="I3844" s="2"/>
    </row>
    <row r="3845" spans="9:9" x14ac:dyDescent="0.25">
      <c r="I3845" s="2"/>
    </row>
    <row r="3846" spans="9:9" x14ac:dyDescent="0.25">
      <c r="I3846" s="2"/>
    </row>
    <row r="3847" spans="9:9" x14ac:dyDescent="0.25">
      <c r="I3847" s="2"/>
    </row>
    <row r="3848" spans="9:9" x14ac:dyDescent="0.25">
      <c r="I3848" s="2"/>
    </row>
    <row r="3849" spans="9:9" x14ac:dyDescent="0.25">
      <c r="I3849" s="2"/>
    </row>
    <row r="3850" spans="9:9" x14ac:dyDescent="0.25">
      <c r="I3850" s="2"/>
    </row>
    <row r="3851" spans="9:9" x14ac:dyDescent="0.25">
      <c r="I3851" s="2"/>
    </row>
    <row r="3852" spans="9:9" x14ac:dyDescent="0.25">
      <c r="I3852" s="2"/>
    </row>
    <row r="3853" spans="9:9" x14ac:dyDescent="0.25">
      <c r="I3853" s="2"/>
    </row>
    <row r="3854" spans="9:9" x14ac:dyDescent="0.25">
      <c r="I3854" s="2"/>
    </row>
    <row r="3855" spans="9:9" x14ac:dyDescent="0.25">
      <c r="I3855" s="2"/>
    </row>
    <row r="3856" spans="9:9" x14ac:dyDescent="0.25">
      <c r="I3856" s="2"/>
    </row>
    <row r="3857" spans="9:9" x14ac:dyDescent="0.25">
      <c r="I3857" s="2"/>
    </row>
    <row r="3858" spans="9:9" x14ac:dyDescent="0.25">
      <c r="I3858" s="2"/>
    </row>
    <row r="3859" spans="9:9" x14ac:dyDescent="0.25">
      <c r="I3859" s="2"/>
    </row>
    <row r="3860" spans="9:9" x14ac:dyDescent="0.25">
      <c r="I3860" s="2"/>
    </row>
    <row r="3861" spans="9:9" x14ac:dyDescent="0.25">
      <c r="I3861" s="2"/>
    </row>
    <row r="3862" spans="9:9" x14ac:dyDescent="0.25">
      <c r="I3862" s="2"/>
    </row>
    <row r="3863" spans="9:9" x14ac:dyDescent="0.25">
      <c r="I3863" s="2"/>
    </row>
    <row r="3864" spans="9:9" x14ac:dyDescent="0.25">
      <c r="I3864" s="2"/>
    </row>
    <row r="3865" spans="9:9" x14ac:dyDescent="0.25">
      <c r="I3865" s="2"/>
    </row>
    <row r="3866" spans="9:9" x14ac:dyDescent="0.25">
      <c r="I3866" s="2"/>
    </row>
    <row r="3867" spans="9:9" x14ac:dyDescent="0.25">
      <c r="I3867" s="2"/>
    </row>
    <row r="3868" spans="9:9" x14ac:dyDescent="0.25">
      <c r="I3868" s="2"/>
    </row>
    <row r="3869" spans="9:9" x14ac:dyDescent="0.25">
      <c r="I3869" s="2"/>
    </row>
    <row r="3870" spans="9:9" x14ac:dyDescent="0.25">
      <c r="I3870" s="2"/>
    </row>
    <row r="3871" spans="9:9" x14ac:dyDescent="0.25">
      <c r="I3871" s="2"/>
    </row>
    <row r="3872" spans="9:9" x14ac:dyDescent="0.25">
      <c r="I3872" s="2"/>
    </row>
    <row r="3873" spans="9:9" x14ac:dyDescent="0.25">
      <c r="I3873" s="2"/>
    </row>
    <row r="3874" spans="9:9" x14ac:dyDescent="0.25">
      <c r="I3874" s="2"/>
    </row>
    <row r="3875" spans="9:9" x14ac:dyDescent="0.25">
      <c r="I3875" s="2"/>
    </row>
    <row r="3876" spans="9:9" x14ac:dyDescent="0.25">
      <c r="I3876" s="2"/>
    </row>
    <row r="3877" spans="9:9" x14ac:dyDescent="0.25">
      <c r="I3877" s="2"/>
    </row>
    <row r="3878" spans="9:9" x14ac:dyDescent="0.25">
      <c r="I3878" s="2"/>
    </row>
    <row r="3879" spans="9:9" x14ac:dyDescent="0.25">
      <c r="I3879" s="2"/>
    </row>
    <row r="3880" spans="9:9" x14ac:dyDescent="0.25">
      <c r="I3880" s="2"/>
    </row>
    <row r="3881" spans="9:9" x14ac:dyDescent="0.25">
      <c r="I3881" s="2"/>
    </row>
    <row r="3882" spans="9:9" x14ac:dyDescent="0.25">
      <c r="I3882" s="2"/>
    </row>
    <row r="3883" spans="9:9" x14ac:dyDescent="0.25">
      <c r="I3883" s="2"/>
    </row>
    <row r="3884" spans="9:9" x14ac:dyDescent="0.25">
      <c r="I3884" s="2"/>
    </row>
    <row r="3885" spans="9:9" x14ac:dyDescent="0.25">
      <c r="I3885" s="2"/>
    </row>
    <row r="3886" spans="9:9" x14ac:dyDescent="0.25">
      <c r="I3886" s="2"/>
    </row>
    <row r="3887" spans="9:9" x14ac:dyDescent="0.25">
      <c r="I3887" s="2"/>
    </row>
    <row r="3888" spans="9:9" x14ac:dyDescent="0.25">
      <c r="I3888" s="2"/>
    </row>
    <row r="3889" spans="9:9" x14ac:dyDescent="0.25">
      <c r="I3889" s="2"/>
    </row>
    <row r="3890" spans="9:9" x14ac:dyDescent="0.25">
      <c r="I3890" s="2"/>
    </row>
    <row r="3891" spans="9:9" x14ac:dyDescent="0.25">
      <c r="I3891" s="2"/>
    </row>
    <row r="3892" spans="9:9" x14ac:dyDescent="0.25">
      <c r="I3892" s="2"/>
    </row>
    <row r="3893" spans="9:9" x14ac:dyDescent="0.25">
      <c r="I3893" s="2"/>
    </row>
    <row r="3894" spans="9:9" x14ac:dyDescent="0.25">
      <c r="I3894" s="2"/>
    </row>
    <row r="3895" spans="9:9" x14ac:dyDescent="0.25">
      <c r="I3895" s="2"/>
    </row>
    <row r="3896" spans="9:9" x14ac:dyDescent="0.25">
      <c r="I3896" s="2"/>
    </row>
    <row r="3897" spans="9:9" x14ac:dyDescent="0.25">
      <c r="I3897" s="2"/>
    </row>
    <row r="3898" spans="9:9" x14ac:dyDescent="0.25">
      <c r="I3898" s="2"/>
    </row>
    <row r="3899" spans="9:9" x14ac:dyDescent="0.25">
      <c r="I3899" s="2"/>
    </row>
    <row r="3900" spans="9:9" x14ac:dyDescent="0.25">
      <c r="I3900" s="2"/>
    </row>
    <row r="3901" spans="9:9" x14ac:dyDescent="0.25">
      <c r="I3901" s="2"/>
    </row>
    <row r="3902" spans="9:9" x14ac:dyDescent="0.25">
      <c r="I3902" s="2"/>
    </row>
    <row r="3903" spans="9:9" x14ac:dyDescent="0.25">
      <c r="I3903" s="2"/>
    </row>
    <row r="3904" spans="9:9" x14ac:dyDescent="0.25">
      <c r="I3904" s="2"/>
    </row>
    <row r="3905" spans="9:9" x14ac:dyDescent="0.25">
      <c r="I3905" s="2"/>
    </row>
    <row r="3906" spans="9:9" x14ac:dyDescent="0.25">
      <c r="I3906" s="2"/>
    </row>
    <row r="3907" spans="9:9" x14ac:dyDescent="0.25">
      <c r="I3907" s="2"/>
    </row>
    <row r="3908" spans="9:9" x14ac:dyDescent="0.25">
      <c r="I3908" s="2"/>
    </row>
    <row r="3909" spans="9:9" x14ac:dyDescent="0.25">
      <c r="I3909" s="2"/>
    </row>
    <row r="3910" spans="9:9" x14ac:dyDescent="0.25">
      <c r="I3910" s="2"/>
    </row>
    <row r="3911" spans="9:9" x14ac:dyDescent="0.25">
      <c r="I3911" s="2"/>
    </row>
    <row r="3912" spans="9:9" x14ac:dyDescent="0.25">
      <c r="I3912" s="2"/>
    </row>
    <row r="3913" spans="9:9" x14ac:dyDescent="0.25">
      <c r="I3913" s="2"/>
    </row>
    <row r="3914" spans="9:9" x14ac:dyDescent="0.25">
      <c r="I3914" s="2"/>
    </row>
    <row r="3915" spans="9:9" x14ac:dyDescent="0.25">
      <c r="I3915" s="2"/>
    </row>
    <row r="3916" spans="9:9" x14ac:dyDescent="0.25">
      <c r="I3916" s="2"/>
    </row>
    <row r="3917" spans="9:9" x14ac:dyDescent="0.25">
      <c r="I3917" s="2"/>
    </row>
    <row r="3918" spans="9:9" x14ac:dyDescent="0.25">
      <c r="I3918" s="2"/>
    </row>
    <row r="3919" spans="9:9" x14ac:dyDescent="0.25">
      <c r="I3919" s="2"/>
    </row>
    <row r="3920" spans="9:9" x14ac:dyDescent="0.25">
      <c r="I3920" s="2"/>
    </row>
    <row r="3921" spans="9:9" x14ac:dyDescent="0.25">
      <c r="I3921" s="2"/>
    </row>
    <row r="3922" spans="9:9" x14ac:dyDescent="0.25">
      <c r="I3922" s="2"/>
    </row>
    <row r="3923" spans="9:9" x14ac:dyDescent="0.25">
      <c r="I3923" s="2"/>
    </row>
    <row r="3924" spans="9:9" x14ac:dyDescent="0.25">
      <c r="I3924" s="2"/>
    </row>
    <row r="3925" spans="9:9" x14ac:dyDescent="0.25">
      <c r="I3925" s="2"/>
    </row>
    <row r="3926" spans="9:9" x14ac:dyDescent="0.25">
      <c r="I3926" s="2"/>
    </row>
    <row r="3927" spans="9:9" x14ac:dyDescent="0.25">
      <c r="I3927" s="2"/>
    </row>
    <row r="3928" spans="9:9" x14ac:dyDescent="0.25">
      <c r="I3928" s="2"/>
    </row>
    <row r="3929" spans="9:9" x14ac:dyDescent="0.25">
      <c r="I3929" s="2"/>
    </row>
    <row r="3930" spans="9:9" x14ac:dyDescent="0.25">
      <c r="I3930" s="2"/>
    </row>
    <row r="3931" spans="9:9" x14ac:dyDescent="0.25">
      <c r="I3931" s="2"/>
    </row>
    <row r="3932" spans="9:9" x14ac:dyDescent="0.25">
      <c r="I3932" s="2"/>
    </row>
    <row r="3933" spans="9:9" x14ac:dyDescent="0.25">
      <c r="I3933" s="2"/>
    </row>
    <row r="3934" spans="9:9" x14ac:dyDescent="0.25">
      <c r="I3934" s="2"/>
    </row>
    <row r="3935" spans="9:9" x14ac:dyDescent="0.25">
      <c r="I3935" s="2"/>
    </row>
    <row r="3936" spans="9:9" x14ac:dyDescent="0.25">
      <c r="I3936" s="2"/>
    </row>
    <row r="3937" spans="9:9" x14ac:dyDescent="0.25">
      <c r="I3937" s="2"/>
    </row>
    <row r="3938" spans="9:9" x14ac:dyDescent="0.25">
      <c r="I3938" s="2"/>
    </row>
    <row r="3939" spans="9:9" x14ac:dyDescent="0.25">
      <c r="I3939" s="2"/>
    </row>
    <row r="3940" spans="9:9" x14ac:dyDescent="0.25">
      <c r="I3940" s="2"/>
    </row>
    <row r="3941" spans="9:9" x14ac:dyDescent="0.25">
      <c r="I3941" s="2"/>
    </row>
    <row r="3942" spans="9:9" x14ac:dyDescent="0.25">
      <c r="I3942" s="2"/>
    </row>
    <row r="3943" spans="9:9" x14ac:dyDescent="0.25">
      <c r="I3943" s="2"/>
    </row>
    <row r="3944" spans="9:9" x14ac:dyDescent="0.25">
      <c r="I3944" s="2"/>
    </row>
    <row r="3945" spans="9:9" x14ac:dyDescent="0.25">
      <c r="I3945" s="2"/>
    </row>
    <row r="3946" spans="9:9" x14ac:dyDescent="0.25">
      <c r="I3946" s="2"/>
    </row>
    <row r="3947" spans="9:9" x14ac:dyDescent="0.25">
      <c r="I3947" s="2"/>
    </row>
    <row r="3948" spans="9:9" x14ac:dyDescent="0.25">
      <c r="I3948" s="2"/>
    </row>
    <row r="3949" spans="9:9" x14ac:dyDescent="0.25">
      <c r="I3949" s="2"/>
    </row>
    <row r="3950" spans="9:9" x14ac:dyDescent="0.25">
      <c r="I3950" s="2"/>
    </row>
    <row r="3951" spans="9:9" x14ac:dyDescent="0.25">
      <c r="I3951" s="2"/>
    </row>
    <row r="3952" spans="9:9" x14ac:dyDescent="0.25">
      <c r="I3952" s="2"/>
    </row>
    <row r="3953" spans="9:9" x14ac:dyDescent="0.25">
      <c r="I3953" s="2"/>
    </row>
    <row r="3954" spans="9:9" x14ac:dyDescent="0.25">
      <c r="I3954" s="2"/>
    </row>
    <row r="3955" spans="9:9" x14ac:dyDescent="0.25">
      <c r="I3955" s="2"/>
    </row>
    <row r="3956" spans="9:9" x14ac:dyDescent="0.25">
      <c r="I3956" s="2"/>
    </row>
    <row r="3957" spans="9:9" x14ac:dyDescent="0.25">
      <c r="I3957" s="2"/>
    </row>
    <row r="3958" spans="9:9" x14ac:dyDescent="0.25">
      <c r="I3958" s="2"/>
    </row>
    <row r="3959" spans="9:9" x14ac:dyDescent="0.25">
      <c r="I3959" s="2"/>
    </row>
    <row r="3960" spans="9:9" x14ac:dyDescent="0.25">
      <c r="I3960" s="2"/>
    </row>
    <row r="3961" spans="9:9" x14ac:dyDescent="0.25">
      <c r="I3961" s="2"/>
    </row>
    <row r="3962" spans="9:9" x14ac:dyDescent="0.25">
      <c r="I3962" s="2"/>
    </row>
    <row r="3963" spans="9:9" x14ac:dyDescent="0.25">
      <c r="I3963" s="2"/>
    </row>
    <row r="3964" spans="9:9" x14ac:dyDescent="0.25">
      <c r="I3964" s="2"/>
    </row>
    <row r="3965" spans="9:9" x14ac:dyDescent="0.25">
      <c r="I3965" s="2"/>
    </row>
    <row r="3966" spans="9:9" x14ac:dyDescent="0.25">
      <c r="I3966" s="2"/>
    </row>
    <row r="3967" spans="9:9" x14ac:dyDescent="0.25">
      <c r="I3967" s="2"/>
    </row>
    <row r="3968" spans="9:9" x14ac:dyDescent="0.25">
      <c r="I3968" s="2"/>
    </row>
    <row r="3969" spans="9:9" x14ac:dyDescent="0.25">
      <c r="I3969" s="2"/>
    </row>
    <row r="3970" spans="9:9" x14ac:dyDescent="0.25">
      <c r="I3970" s="2"/>
    </row>
    <row r="3971" spans="9:9" x14ac:dyDescent="0.25">
      <c r="I3971" s="2"/>
    </row>
    <row r="3972" spans="9:9" x14ac:dyDescent="0.25">
      <c r="I3972" s="2"/>
    </row>
    <row r="3973" spans="9:9" x14ac:dyDescent="0.25">
      <c r="I3973" s="2"/>
    </row>
    <row r="3974" spans="9:9" x14ac:dyDescent="0.25">
      <c r="I3974" s="2"/>
    </row>
    <row r="3975" spans="9:9" x14ac:dyDescent="0.25">
      <c r="I3975" s="2"/>
    </row>
    <row r="3976" spans="9:9" x14ac:dyDescent="0.25">
      <c r="I3976" s="2"/>
    </row>
    <row r="3977" spans="9:9" x14ac:dyDescent="0.25">
      <c r="I3977" s="2"/>
    </row>
    <row r="3978" spans="9:9" x14ac:dyDescent="0.25">
      <c r="I3978" s="2"/>
    </row>
    <row r="3979" spans="9:9" x14ac:dyDescent="0.25">
      <c r="I3979" s="2"/>
    </row>
    <row r="3980" spans="9:9" x14ac:dyDescent="0.25">
      <c r="I3980" s="2"/>
    </row>
    <row r="3981" spans="9:9" x14ac:dyDescent="0.25">
      <c r="I3981" s="2"/>
    </row>
    <row r="3982" spans="9:9" x14ac:dyDescent="0.25">
      <c r="I3982" s="2"/>
    </row>
    <row r="3983" spans="9:9" x14ac:dyDescent="0.25">
      <c r="I3983" s="2"/>
    </row>
    <row r="3984" spans="9:9" x14ac:dyDescent="0.25">
      <c r="I3984" s="2"/>
    </row>
    <row r="3985" spans="9:9" x14ac:dyDescent="0.25">
      <c r="I3985" s="2"/>
    </row>
    <row r="3986" spans="9:9" x14ac:dyDescent="0.25">
      <c r="I3986" s="2"/>
    </row>
    <row r="3987" spans="9:9" x14ac:dyDescent="0.25">
      <c r="I3987" s="2"/>
    </row>
    <row r="3988" spans="9:9" x14ac:dyDescent="0.25">
      <c r="I3988" s="2"/>
    </row>
    <row r="3989" spans="9:9" x14ac:dyDescent="0.25">
      <c r="I3989" s="2"/>
    </row>
    <row r="3990" spans="9:9" x14ac:dyDescent="0.25">
      <c r="I3990" s="2"/>
    </row>
    <row r="3991" spans="9:9" x14ac:dyDescent="0.25">
      <c r="I3991" s="2"/>
    </row>
    <row r="3992" spans="9:9" x14ac:dyDescent="0.25">
      <c r="I3992" s="2"/>
    </row>
    <row r="3993" spans="9:9" x14ac:dyDescent="0.25">
      <c r="I3993" s="2"/>
    </row>
    <row r="3994" spans="9:9" x14ac:dyDescent="0.25">
      <c r="I3994" s="2"/>
    </row>
    <row r="3995" spans="9:9" x14ac:dyDescent="0.25">
      <c r="I3995" s="2"/>
    </row>
    <row r="3996" spans="9:9" x14ac:dyDescent="0.25">
      <c r="I3996" s="2"/>
    </row>
    <row r="3997" spans="9:9" x14ac:dyDescent="0.25">
      <c r="I3997" s="2"/>
    </row>
    <row r="3998" spans="9:9" x14ac:dyDescent="0.25">
      <c r="I3998" s="2"/>
    </row>
    <row r="3999" spans="9:9" x14ac:dyDescent="0.25">
      <c r="I3999" s="2"/>
    </row>
    <row r="4000" spans="9:9" x14ac:dyDescent="0.25">
      <c r="I4000" s="2"/>
    </row>
    <row r="4001" spans="9:9" x14ac:dyDescent="0.25">
      <c r="I4001" s="2"/>
    </row>
    <row r="4002" spans="9:9" x14ac:dyDescent="0.25">
      <c r="I4002" s="2"/>
    </row>
    <row r="4003" spans="9:9" x14ac:dyDescent="0.25">
      <c r="I4003" s="2"/>
    </row>
    <row r="4004" spans="9:9" x14ac:dyDescent="0.25">
      <c r="I4004" s="2"/>
    </row>
    <row r="4005" spans="9:9" x14ac:dyDescent="0.25">
      <c r="I4005" s="2"/>
    </row>
    <row r="4006" spans="9:9" x14ac:dyDescent="0.25">
      <c r="I4006" s="2"/>
    </row>
    <row r="4007" spans="9:9" x14ac:dyDescent="0.25">
      <c r="I4007" s="2"/>
    </row>
    <row r="4008" spans="9:9" x14ac:dyDescent="0.25">
      <c r="I4008" s="2"/>
    </row>
    <row r="4009" spans="9:9" x14ac:dyDescent="0.25">
      <c r="I4009" s="2"/>
    </row>
    <row r="4010" spans="9:9" x14ac:dyDescent="0.25">
      <c r="I4010" s="2"/>
    </row>
    <row r="4011" spans="9:9" x14ac:dyDescent="0.25">
      <c r="I4011" s="2"/>
    </row>
    <row r="4012" spans="9:9" x14ac:dyDescent="0.25">
      <c r="I4012" s="2"/>
    </row>
    <row r="4013" spans="9:9" x14ac:dyDescent="0.25">
      <c r="I4013" s="2"/>
    </row>
    <row r="4014" spans="9:9" x14ac:dyDescent="0.25">
      <c r="I4014" s="2"/>
    </row>
    <row r="4015" spans="9:9" x14ac:dyDescent="0.25">
      <c r="I4015" s="2"/>
    </row>
    <row r="4016" spans="9:9" x14ac:dyDescent="0.25">
      <c r="I4016" s="2"/>
    </row>
    <row r="4017" spans="9:9" x14ac:dyDescent="0.25">
      <c r="I4017" s="2"/>
    </row>
    <row r="4018" spans="9:9" x14ac:dyDescent="0.25">
      <c r="I4018" s="2"/>
    </row>
    <row r="4019" spans="9:9" x14ac:dyDescent="0.25">
      <c r="I4019" s="2"/>
    </row>
    <row r="4020" spans="9:9" x14ac:dyDescent="0.25">
      <c r="I4020" s="2"/>
    </row>
    <row r="4021" spans="9:9" x14ac:dyDescent="0.25">
      <c r="I4021" s="2"/>
    </row>
    <row r="4022" spans="9:9" x14ac:dyDescent="0.25">
      <c r="I4022" s="2"/>
    </row>
    <row r="4023" spans="9:9" x14ac:dyDescent="0.25">
      <c r="I4023" s="2"/>
    </row>
    <row r="4024" spans="9:9" x14ac:dyDescent="0.25">
      <c r="I4024" s="2"/>
    </row>
    <row r="4025" spans="9:9" x14ac:dyDescent="0.25">
      <c r="I4025" s="2"/>
    </row>
    <row r="4026" spans="9:9" x14ac:dyDescent="0.25">
      <c r="I4026" s="2"/>
    </row>
    <row r="4027" spans="9:9" x14ac:dyDescent="0.25">
      <c r="I4027" s="2"/>
    </row>
    <row r="4028" spans="9:9" x14ac:dyDescent="0.25">
      <c r="I4028" s="2"/>
    </row>
    <row r="4029" spans="9:9" x14ac:dyDescent="0.25">
      <c r="I4029" s="2"/>
    </row>
    <row r="4030" spans="9:9" x14ac:dyDescent="0.25">
      <c r="I4030" s="2"/>
    </row>
    <row r="4031" spans="9:9" x14ac:dyDescent="0.25">
      <c r="I4031" s="2"/>
    </row>
    <row r="4032" spans="9:9" x14ac:dyDescent="0.25">
      <c r="I4032" s="2"/>
    </row>
    <row r="4033" spans="9:9" x14ac:dyDescent="0.25">
      <c r="I4033" s="2"/>
    </row>
    <row r="4034" spans="9:9" x14ac:dyDescent="0.25">
      <c r="I4034" s="2"/>
    </row>
    <row r="4035" spans="9:9" x14ac:dyDescent="0.25">
      <c r="I4035" s="2"/>
    </row>
    <row r="4036" spans="9:9" x14ac:dyDescent="0.25">
      <c r="I4036" s="2"/>
    </row>
    <row r="4037" spans="9:9" x14ac:dyDescent="0.25">
      <c r="I4037" s="2"/>
    </row>
    <row r="4038" spans="9:9" x14ac:dyDescent="0.25">
      <c r="I4038" s="2"/>
    </row>
    <row r="4039" spans="9:9" x14ac:dyDescent="0.25">
      <c r="I4039" s="2"/>
    </row>
    <row r="4040" spans="9:9" x14ac:dyDescent="0.25">
      <c r="I4040" s="2"/>
    </row>
    <row r="4041" spans="9:9" x14ac:dyDescent="0.25">
      <c r="I4041" s="2"/>
    </row>
    <row r="4042" spans="9:9" x14ac:dyDescent="0.25">
      <c r="I4042" s="2"/>
    </row>
    <row r="4043" spans="9:9" x14ac:dyDescent="0.25">
      <c r="I4043" s="2"/>
    </row>
    <row r="4044" spans="9:9" x14ac:dyDescent="0.25">
      <c r="I4044" s="2"/>
    </row>
    <row r="4045" spans="9:9" x14ac:dyDescent="0.25">
      <c r="I4045" s="2"/>
    </row>
    <row r="4046" spans="9:9" x14ac:dyDescent="0.25">
      <c r="I4046" s="2"/>
    </row>
    <row r="4047" spans="9:9" x14ac:dyDescent="0.25">
      <c r="I4047" s="2"/>
    </row>
    <row r="4048" spans="9:9" x14ac:dyDescent="0.25">
      <c r="I4048" s="2"/>
    </row>
    <row r="4049" spans="9:9" x14ac:dyDescent="0.25">
      <c r="I4049" s="2"/>
    </row>
    <row r="4050" spans="9:9" x14ac:dyDescent="0.25">
      <c r="I4050" s="2"/>
    </row>
    <row r="4051" spans="9:9" x14ac:dyDescent="0.25">
      <c r="I4051" s="2"/>
    </row>
    <row r="4052" spans="9:9" x14ac:dyDescent="0.25">
      <c r="I4052" s="2"/>
    </row>
    <row r="4053" spans="9:9" x14ac:dyDescent="0.25">
      <c r="I4053" s="2"/>
    </row>
    <row r="4054" spans="9:9" x14ac:dyDescent="0.25">
      <c r="I4054" s="2"/>
    </row>
    <row r="4055" spans="9:9" x14ac:dyDescent="0.25">
      <c r="I4055" s="2"/>
    </row>
    <row r="4056" spans="9:9" x14ac:dyDescent="0.25">
      <c r="I4056" s="2"/>
    </row>
    <row r="4057" spans="9:9" x14ac:dyDescent="0.25">
      <c r="I4057" s="2"/>
    </row>
    <row r="4058" spans="9:9" x14ac:dyDescent="0.25">
      <c r="I4058" s="2"/>
    </row>
    <row r="4059" spans="9:9" x14ac:dyDescent="0.25">
      <c r="I4059" s="2"/>
    </row>
    <row r="4060" spans="9:9" x14ac:dyDescent="0.25">
      <c r="I4060" s="2"/>
    </row>
    <row r="4061" spans="9:9" x14ac:dyDescent="0.25">
      <c r="I4061" s="2"/>
    </row>
    <row r="4062" spans="9:9" x14ac:dyDescent="0.25">
      <c r="I4062" s="2"/>
    </row>
    <row r="4063" spans="9:9" x14ac:dyDescent="0.25">
      <c r="I4063" s="2"/>
    </row>
    <row r="4064" spans="9:9" x14ac:dyDescent="0.25">
      <c r="I4064" s="2"/>
    </row>
    <row r="4065" spans="9:9" x14ac:dyDescent="0.25">
      <c r="I4065" s="2"/>
    </row>
    <row r="4066" spans="9:9" x14ac:dyDescent="0.25">
      <c r="I4066" s="2"/>
    </row>
    <row r="4067" spans="9:9" x14ac:dyDescent="0.25">
      <c r="I4067" s="2"/>
    </row>
    <row r="4068" spans="9:9" x14ac:dyDescent="0.25">
      <c r="I4068" s="2"/>
    </row>
    <row r="4069" spans="9:9" x14ac:dyDescent="0.25">
      <c r="I4069" s="2"/>
    </row>
    <row r="4070" spans="9:9" x14ac:dyDescent="0.25">
      <c r="I4070" s="2"/>
    </row>
    <row r="4071" spans="9:9" x14ac:dyDescent="0.25">
      <c r="I4071" s="2"/>
    </row>
    <row r="4072" spans="9:9" x14ac:dyDescent="0.25">
      <c r="I4072" s="2"/>
    </row>
    <row r="4073" spans="9:9" x14ac:dyDescent="0.25">
      <c r="I4073" s="2"/>
    </row>
    <row r="4074" spans="9:9" x14ac:dyDescent="0.25">
      <c r="I4074" s="2"/>
    </row>
    <row r="4075" spans="9:9" x14ac:dyDescent="0.25">
      <c r="I4075" s="2"/>
    </row>
    <row r="4076" spans="9:9" x14ac:dyDescent="0.25">
      <c r="I4076" s="2"/>
    </row>
    <row r="4077" spans="9:9" x14ac:dyDescent="0.25">
      <c r="I4077" s="2"/>
    </row>
    <row r="4078" spans="9:9" x14ac:dyDescent="0.25">
      <c r="I4078" s="2"/>
    </row>
    <row r="4079" spans="9:9" x14ac:dyDescent="0.25">
      <c r="I4079" s="2"/>
    </row>
    <row r="4080" spans="9:9" x14ac:dyDescent="0.25">
      <c r="I4080" s="2"/>
    </row>
    <row r="4081" spans="9:9" x14ac:dyDescent="0.25">
      <c r="I4081" s="2"/>
    </row>
    <row r="4082" spans="9:9" x14ac:dyDescent="0.25">
      <c r="I4082" s="2"/>
    </row>
    <row r="4083" spans="9:9" x14ac:dyDescent="0.25">
      <c r="I4083" s="2"/>
    </row>
    <row r="4084" spans="9:9" x14ac:dyDescent="0.25">
      <c r="I4084" s="2"/>
    </row>
    <row r="4085" spans="9:9" x14ac:dyDescent="0.25">
      <c r="I4085" s="2"/>
    </row>
    <row r="4086" spans="9:9" x14ac:dyDescent="0.25">
      <c r="I4086" s="2"/>
    </row>
    <row r="4087" spans="9:9" x14ac:dyDescent="0.25">
      <c r="I4087" s="2"/>
    </row>
    <row r="4088" spans="9:9" x14ac:dyDescent="0.25">
      <c r="I4088" s="2"/>
    </row>
    <row r="4089" spans="9:9" x14ac:dyDescent="0.25">
      <c r="I4089" s="2"/>
    </row>
    <row r="4090" spans="9:9" x14ac:dyDescent="0.25">
      <c r="I4090" s="2"/>
    </row>
    <row r="4091" spans="9:9" x14ac:dyDescent="0.25">
      <c r="I4091" s="2"/>
    </row>
    <row r="4092" spans="9:9" x14ac:dyDescent="0.25">
      <c r="I4092" s="2"/>
    </row>
    <row r="4093" spans="9:9" x14ac:dyDescent="0.25">
      <c r="I4093" s="2"/>
    </row>
    <row r="4094" spans="9:9" x14ac:dyDescent="0.25">
      <c r="I4094" s="2"/>
    </row>
    <row r="4095" spans="9:9" x14ac:dyDescent="0.25">
      <c r="I4095" s="2"/>
    </row>
    <row r="4096" spans="9:9" x14ac:dyDescent="0.25">
      <c r="I4096" s="2"/>
    </row>
    <row r="4097" spans="9:9" x14ac:dyDescent="0.25">
      <c r="I4097" s="2"/>
    </row>
    <row r="4098" spans="9:9" x14ac:dyDescent="0.25">
      <c r="I4098" s="2"/>
    </row>
    <row r="4099" spans="9:9" x14ac:dyDescent="0.25">
      <c r="I4099" s="2"/>
    </row>
    <row r="4100" spans="9:9" x14ac:dyDescent="0.25">
      <c r="I4100" s="2"/>
    </row>
    <row r="4101" spans="9:9" x14ac:dyDescent="0.25">
      <c r="I4101" s="2"/>
    </row>
    <row r="4102" spans="9:9" x14ac:dyDescent="0.25">
      <c r="I4102" s="2"/>
    </row>
    <row r="4103" spans="9:9" x14ac:dyDescent="0.25">
      <c r="I4103" s="2"/>
    </row>
    <row r="4104" spans="9:9" x14ac:dyDescent="0.25">
      <c r="I4104" s="2"/>
    </row>
    <row r="4105" spans="9:9" x14ac:dyDescent="0.25">
      <c r="I4105" s="2"/>
    </row>
    <row r="4106" spans="9:9" x14ac:dyDescent="0.25">
      <c r="I4106" s="2"/>
    </row>
    <row r="4107" spans="9:9" x14ac:dyDescent="0.25">
      <c r="I4107" s="2"/>
    </row>
    <row r="4108" spans="9:9" x14ac:dyDescent="0.25">
      <c r="I4108" s="2"/>
    </row>
    <row r="4109" spans="9:9" x14ac:dyDescent="0.25">
      <c r="I4109" s="2"/>
    </row>
    <row r="4110" spans="9:9" x14ac:dyDescent="0.25">
      <c r="I4110" s="2"/>
    </row>
    <row r="4111" spans="9:9" x14ac:dyDescent="0.25">
      <c r="I4111" s="2"/>
    </row>
    <row r="4112" spans="9:9" x14ac:dyDescent="0.25">
      <c r="I4112" s="2"/>
    </row>
    <row r="4113" spans="9:9" x14ac:dyDescent="0.25">
      <c r="I4113" s="2"/>
    </row>
    <row r="4114" spans="9:9" x14ac:dyDescent="0.25">
      <c r="I4114" s="2"/>
    </row>
    <row r="4115" spans="9:9" x14ac:dyDescent="0.25">
      <c r="I4115" s="2"/>
    </row>
    <row r="4116" spans="9:9" x14ac:dyDescent="0.25">
      <c r="I4116" s="2"/>
    </row>
    <row r="4117" spans="9:9" x14ac:dyDescent="0.25">
      <c r="I4117" s="2"/>
    </row>
    <row r="4118" spans="9:9" x14ac:dyDescent="0.25">
      <c r="I4118" s="2"/>
    </row>
    <row r="4119" spans="9:9" x14ac:dyDescent="0.25">
      <c r="I4119" s="2"/>
    </row>
    <row r="4120" spans="9:9" x14ac:dyDescent="0.25">
      <c r="I4120" s="2"/>
    </row>
    <row r="4121" spans="9:9" x14ac:dyDescent="0.25">
      <c r="I4121" s="2"/>
    </row>
    <row r="4122" spans="9:9" x14ac:dyDescent="0.25">
      <c r="I4122" s="2"/>
    </row>
    <row r="4123" spans="9:9" x14ac:dyDescent="0.25">
      <c r="I4123" s="2"/>
    </row>
    <row r="4124" spans="9:9" x14ac:dyDescent="0.25">
      <c r="I4124" s="2"/>
    </row>
    <row r="4125" spans="9:9" x14ac:dyDescent="0.25">
      <c r="I4125" s="2"/>
    </row>
    <row r="4126" spans="9:9" x14ac:dyDescent="0.25">
      <c r="I4126" s="2"/>
    </row>
    <row r="4127" spans="9:9" x14ac:dyDescent="0.25">
      <c r="I4127" s="2"/>
    </row>
    <row r="4128" spans="9:9" x14ac:dyDescent="0.25">
      <c r="I4128" s="2"/>
    </row>
    <row r="4129" spans="9:9" x14ac:dyDescent="0.25">
      <c r="I4129" s="2"/>
    </row>
    <row r="4130" spans="9:9" x14ac:dyDescent="0.25">
      <c r="I4130" s="2"/>
    </row>
    <row r="4131" spans="9:9" x14ac:dyDescent="0.25">
      <c r="I4131" s="2"/>
    </row>
    <row r="4132" spans="9:9" x14ac:dyDescent="0.25">
      <c r="I4132" s="2"/>
    </row>
    <row r="4133" spans="9:9" x14ac:dyDescent="0.25">
      <c r="I4133" s="2"/>
    </row>
    <row r="4134" spans="9:9" x14ac:dyDescent="0.25">
      <c r="I4134" s="2"/>
    </row>
    <row r="4135" spans="9:9" x14ac:dyDescent="0.25">
      <c r="I4135" s="2"/>
    </row>
    <row r="4136" spans="9:9" x14ac:dyDescent="0.25">
      <c r="I4136" s="2"/>
    </row>
    <row r="4137" spans="9:9" x14ac:dyDescent="0.25">
      <c r="I4137" s="2"/>
    </row>
    <row r="4138" spans="9:9" x14ac:dyDescent="0.25">
      <c r="I4138" s="2"/>
    </row>
    <row r="4139" spans="9:9" x14ac:dyDescent="0.25">
      <c r="I4139" s="2"/>
    </row>
    <row r="4140" spans="9:9" x14ac:dyDescent="0.25">
      <c r="I4140" s="2"/>
    </row>
    <row r="4141" spans="9:9" x14ac:dyDescent="0.25">
      <c r="I4141" s="2"/>
    </row>
    <row r="4142" spans="9:9" x14ac:dyDescent="0.25">
      <c r="I4142" s="2"/>
    </row>
    <row r="4143" spans="9:9" x14ac:dyDescent="0.25">
      <c r="I4143" s="2"/>
    </row>
    <row r="4144" spans="9:9" x14ac:dyDescent="0.25">
      <c r="I4144" s="2"/>
    </row>
    <row r="4145" spans="9:9" x14ac:dyDescent="0.25">
      <c r="I4145" s="2"/>
    </row>
    <row r="4146" spans="9:9" x14ac:dyDescent="0.25">
      <c r="I4146" s="2"/>
    </row>
    <row r="4147" spans="9:9" x14ac:dyDescent="0.25">
      <c r="I4147" s="2"/>
    </row>
    <row r="4148" spans="9:9" x14ac:dyDescent="0.25">
      <c r="I4148" s="2"/>
    </row>
    <row r="4149" spans="9:9" x14ac:dyDescent="0.25">
      <c r="I4149" s="2"/>
    </row>
    <row r="4150" spans="9:9" x14ac:dyDescent="0.25">
      <c r="I4150" s="2"/>
    </row>
    <row r="4151" spans="9:9" x14ac:dyDescent="0.25">
      <c r="I4151" s="2"/>
    </row>
    <row r="4152" spans="9:9" x14ac:dyDescent="0.25">
      <c r="I4152" s="2"/>
    </row>
    <row r="4153" spans="9:9" x14ac:dyDescent="0.25">
      <c r="I4153" s="2"/>
    </row>
    <row r="4154" spans="9:9" x14ac:dyDescent="0.25">
      <c r="I4154" s="2"/>
    </row>
    <row r="4155" spans="9:9" x14ac:dyDescent="0.25">
      <c r="I4155" s="2"/>
    </row>
    <row r="4156" spans="9:9" x14ac:dyDescent="0.25">
      <c r="I4156" s="2"/>
    </row>
    <row r="4157" spans="9:9" x14ac:dyDescent="0.25">
      <c r="I4157" s="2"/>
    </row>
    <row r="4158" spans="9:9" x14ac:dyDescent="0.25">
      <c r="I4158" s="2"/>
    </row>
    <row r="4159" spans="9:9" x14ac:dyDescent="0.25">
      <c r="I4159" s="2"/>
    </row>
    <row r="4160" spans="9:9" x14ac:dyDescent="0.25">
      <c r="I4160" s="2"/>
    </row>
    <row r="4161" spans="9:9" x14ac:dyDescent="0.25">
      <c r="I4161" s="2"/>
    </row>
    <row r="4162" spans="9:9" x14ac:dyDescent="0.25">
      <c r="I4162" s="2"/>
    </row>
    <row r="4163" spans="9:9" x14ac:dyDescent="0.25">
      <c r="I4163" s="2"/>
    </row>
    <row r="4164" spans="9:9" x14ac:dyDescent="0.25">
      <c r="I4164" s="2"/>
    </row>
    <row r="4165" spans="9:9" x14ac:dyDescent="0.25">
      <c r="I4165" s="2"/>
    </row>
    <row r="4166" spans="9:9" x14ac:dyDescent="0.25">
      <c r="I4166" s="2"/>
    </row>
    <row r="4167" spans="9:9" x14ac:dyDescent="0.25">
      <c r="I4167" s="2"/>
    </row>
    <row r="4168" spans="9:9" x14ac:dyDescent="0.25">
      <c r="I4168" s="2"/>
    </row>
    <row r="4169" spans="9:9" x14ac:dyDescent="0.25">
      <c r="I4169" s="2"/>
    </row>
    <row r="4170" spans="9:9" x14ac:dyDescent="0.25">
      <c r="I4170" s="2"/>
    </row>
    <row r="4171" spans="9:9" x14ac:dyDescent="0.25">
      <c r="I4171" s="2"/>
    </row>
    <row r="4172" spans="9:9" x14ac:dyDescent="0.25">
      <c r="I4172" s="2"/>
    </row>
    <row r="4173" spans="9:9" x14ac:dyDescent="0.25">
      <c r="I4173" s="2"/>
    </row>
    <row r="4174" spans="9:9" x14ac:dyDescent="0.25">
      <c r="I4174" s="2"/>
    </row>
    <row r="4175" spans="9:9" x14ac:dyDescent="0.25">
      <c r="I4175" s="2"/>
    </row>
    <row r="4176" spans="9:9" x14ac:dyDescent="0.25">
      <c r="I4176" s="2"/>
    </row>
    <row r="4177" spans="9:9" x14ac:dyDescent="0.25">
      <c r="I4177" s="2"/>
    </row>
    <row r="4178" spans="9:9" x14ac:dyDescent="0.25">
      <c r="I4178" s="2"/>
    </row>
    <row r="4179" spans="9:9" x14ac:dyDescent="0.25">
      <c r="I4179" s="2"/>
    </row>
    <row r="4180" spans="9:9" x14ac:dyDescent="0.25">
      <c r="I4180" s="2"/>
    </row>
    <row r="4181" spans="9:9" x14ac:dyDescent="0.25">
      <c r="I4181" s="2"/>
    </row>
    <row r="4182" spans="9:9" x14ac:dyDescent="0.25">
      <c r="I4182" s="2"/>
    </row>
    <row r="4183" spans="9:9" x14ac:dyDescent="0.25">
      <c r="I4183" s="2"/>
    </row>
    <row r="4184" spans="9:9" x14ac:dyDescent="0.25">
      <c r="I4184" s="2"/>
    </row>
    <row r="4185" spans="9:9" x14ac:dyDescent="0.25">
      <c r="I4185" s="2"/>
    </row>
    <row r="4186" spans="9:9" x14ac:dyDescent="0.25">
      <c r="I4186" s="2"/>
    </row>
    <row r="4187" spans="9:9" x14ac:dyDescent="0.25">
      <c r="I4187" s="2"/>
    </row>
    <row r="4188" spans="9:9" x14ac:dyDescent="0.25">
      <c r="I4188" s="2"/>
    </row>
    <row r="4189" spans="9:9" x14ac:dyDescent="0.25">
      <c r="I4189" s="2"/>
    </row>
    <row r="4190" spans="9:9" x14ac:dyDescent="0.25">
      <c r="I4190" s="2"/>
    </row>
    <row r="4191" spans="9:9" x14ac:dyDescent="0.25">
      <c r="I4191" s="2"/>
    </row>
    <row r="4192" spans="9:9" x14ac:dyDescent="0.25">
      <c r="I4192" s="2"/>
    </row>
    <row r="4193" spans="9:9" x14ac:dyDescent="0.25">
      <c r="I4193" s="2"/>
    </row>
    <row r="4194" spans="9:9" x14ac:dyDescent="0.25">
      <c r="I4194" s="2"/>
    </row>
    <row r="4195" spans="9:9" x14ac:dyDescent="0.25">
      <c r="I4195" s="2"/>
    </row>
    <row r="4196" spans="9:9" x14ac:dyDescent="0.25">
      <c r="I4196" s="2"/>
    </row>
    <row r="4197" spans="9:9" x14ac:dyDescent="0.25">
      <c r="I4197" s="2"/>
    </row>
    <row r="4198" spans="9:9" x14ac:dyDescent="0.25">
      <c r="I4198" s="2"/>
    </row>
    <row r="4199" spans="9:9" x14ac:dyDescent="0.25">
      <c r="I4199" s="2"/>
    </row>
    <row r="4200" spans="9:9" x14ac:dyDescent="0.25">
      <c r="I4200" s="2"/>
    </row>
    <row r="4201" spans="9:9" x14ac:dyDescent="0.25">
      <c r="I4201" s="2"/>
    </row>
    <row r="4202" spans="9:9" x14ac:dyDescent="0.25">
      <c r="I4202" s="2"/>
    </row>
    <row r="4203" spans="9:9" x14ac:dyDescent="0.25">
      <c r="I4203" s="2"/>
    </row>
    <row r="4204" spans="9:9" x14ac:dyDescent="0.25">
      <c r="I4204" s="2"/>
    </row>
    <row r="4205" spans="9:9" x14ac:dyDescent="0.25">
      <c r="I4205" s="2"/>
    </row>
    <row r="4206" spans="9:9" x14ac:dyDescent="0.25">
      <c r="I4206" s="2"/>
    </row>
    <row r="4207" spans="9:9" x14ac:dyDescent="0.25">
      <c r="I4207" s="2"/>
    </row>
    <row r="4208" spans="9:9" x14ac:dyDescent="0.25">
      <c r="I4208" s="2"/>
    </row>
    <row r="4209" spans="9:9" x14ac:dyDescent="0.25">
      <c r="I4209" s="2"/>
    </row>
    <row r="4210" spans="9:9" x14ac:dyDescent="0.25">
      <c r="I4210" s="2"/>
    </row>
    <row r="4211" spans="9:9" x14ac:dyDescent="0.25">
      <c r="I4211" s="2"/>
    </row>
    <row r="4212" spans="9:9" x14ac:dyDescent="0.25">
      <c r="I4212" s="2"/>
    </row>
    <row r="4213" spans="9:9" x14ac:dyDescent="0.25">
      <c r="I4213" s="2"/>
    </row>
    <row r="4214" spans="9:9" x14ac:dyDescent="0.25">
      <c r="I4214" s="2"/>
    </row>
    <row r="4215" spans="9:9" x14ac:dyDescent="0.25">
      <c r="I4215" s="2"/>
    </row>
    <row r="4216" spans="9:9" x14ac:dyDescent="0.25">
      <c r="I4216" s="2"/>
    </row>
    <row r="4217" spans="9:9" x14ac:dyDescent="0.25">
      <c r="I4217" s="2"/>
    </row>
    <row r="4218" spans="9:9" x14ac:dyDescent="0.25">
      <c r="I4218" s="2"/>
    </row>
    <row r="4219" spans="9:9" x14ac:dyDescent="0.25">
      <c r="I4219" s="2"/>
    </row>
    <row r="4220" spans="9:9" x14ac:dyDescent="0.25">
      <c r="I4220" s="2"/>
    </row>
    <row r="4221" spans="9:9" x14ac:dyDescent="0.25">
      <c r="I4221" s="2"/>
    </row>
    <row r="4222" spans="9:9" x14ac:dyDescent="0.25">
      <c r="I4222" s="2"/>
    </row>
    <row r="4223" spans="9:9" x14ac:dyDescent="0.25">
      <c r="I4223" s="2"/>
    </row>
    <row r="4224" spans="9:9" x14ac:dyDescent="0.25">
      <c r="I4224" s="2"/>
    </row>
    <row r="4225" spans="9:9" x14ac:dyDescent="0.25">
      <c r="I4225" s="2"/>
    </row>
    <row r="4226" spans="9:9" x14ac:dyDescent="0.25">
      <c r="I4226" s="2"/>
    </row>
    <row r="4227" spans="9:9" x14ac:dyDescent="0.25">
      <c r="I4227" s="2"/>
    </row>
    <row r="4228" spans="9:9" x14ac:dyDescent="0.25">
      <c r="I4228" s="2"/>
    </row>
    <row r="4229" spans="9:9" x14ac:dyDescent="0.25">
      <c r="I4229" s="2"/>
    </row>
    <row r="4230" spans="9:9" x14ac:dyDescent="0.25">
      <c r="I4230" s="2"/>
    </row>
    <row r="4231" spans="9:9" x14ac:dyDescent="0.25">
      <c r="I4231" s="2"/>
    </row>
    <row r="4232" spans="9:9" x14ac:dyDescent="0.25">
      <c r="I4232" s="2"/>
    </row>
    <row r="4233" spans="9:9" x14ac:dyDescent="0.25">
      <c r="I4233" s="2"/>
    </row>
    <row r="4234" spans="9:9" x14ac:dyDescent="0.25">
      <c r="I4234" s="2"/>
    </row>
    <row r="4235" spans="9:9" x14ac:dyDescent="0.25">
      <c r="I4235" s="2"/>
    </row>
    <row r="4236" spans="9:9" x14ac:dyDescent="0.25">
      <c r="I4236" s="2"/>
    </row>
    <row r="4237" spans="9:9" x14ac:dyDescent="0.25">
      <c r="I4237" s="2"/>
    </row>
    <row r="4238" spans="9:9" x14ac:dyDescent="0.25">
      <c r="I4238" s="2"/>
    </row>
    <row r="4239" spans="9:9" x14ac:dyDescent="0.25">
      <c r="I4239" s="2"/>
    </row>
    <row r="4240" spans="9:9" x14ac:dyDescent="0.25">
      <c r="I4240" s="2"/>
    </row>
    <row r="4241" spans="9:9" x14ac:dyDescent="0.25">
      <c r="I4241" s="2"/>
    </row>
    <row r="4242" spans="9:9" x14ac:dyDescent="0.25">
      <c r="I4242" s="2"/>
    </row>
    <row r="4243" spans="9:9" x14ac:dyDescent="0.25">
      <c r="I4243" s="2"/>
    </row>
    <row r="4244" spans="9:9" x14ac:dyDescent="0.25">
      <c r="I4244" s="2"/>
    </row>
    <row r="4245" spans="9:9" x14ac:dyDescent="0.25">
      <c r="I4245" s="2"/>
    </row>
    <row r="4246" spans="9:9" x14ac:dyDescent="0.25">
      <c r="I4246" s="2"/>
    </row>
    <row r="4247" spans="9:9" x14ac:dyDescent="0.25">
      <c r="I4247" s="2"/>
    </row>
    <row r="4248" spans="9:9" x14ac:dyDescent="0.25">
      <c r="I4248" s="2"/>
    </row>
    <row r="4249" spans="9:9" x14ac:dyDescent="0.25">
      <c r="I4249" s="2"/>
    </row>
    <row r="4250" spans="9:9" x14ac:dyDescent="0.25">
      <c r="I4250" s="2"/>
    </row>
    <row r="4251" spans="9:9" x14ac:dyDescent="0.25">
      <c r="I4251" s="2"/>
    </row>
    <row r="4252" spans="9:9" x14ac:dyDescent="0.25">
      <c r="I4252" s="2"/>
    </row>
    <row r="4253" spans="9:9" x14ac:dyDescent="0.25">
      <c r="I4253" s="2"/>
    </row>
    <row r="4254" spans="9:9" x14ac:dyDescent="0.25">
      <c r="I4254" s="2"/>
    </row>
    <row r="4255" spans="9:9" x14ac:dyDescent="0.25">
      <c r="I4255" s="2"/>
    </row>
    <row r="4256" spans="9:9" x14ac:dyDescent="0.25">
      <c r="I4256" s="2"/>
    </row>
    <row r="4257" spans="9:9" x14ac:dyDescent="0.25">
      <c r="I4257" s="2"/>
    </row>
    <row r="4258" spans="9:9" x14ac:dyDescent="0.25">
      <c r="I4258" s="2"/>
    </row>
    <row r="4259" spans="9:9" x14ac:dyDescent="0.25">
      <c r="I4259" s="2"/>
    </row>
    <row r="4260" spans="9:9" x14ac:dyDescent="0.25">
      <c r="I4260" s="2"/>
    </row>
    <row r="4261" spans="9:9" x14ac:dyDescent="0.25">
      <c r="I4261" s="2"/>
    </row>
    <row r="4262" spans="9:9" x14ac:dyDescent="0.25">
      <c r="I4262" s="2"/>
    </row>
    <row r="4263" spans="9:9" x14ac:dyDescent="0.25">
      <c r="I4263" s="2"/>
    </row>
    <row r="4264" spans="9:9" x14ac:dyDescent="0.25">
      <c r="I4264" s="2"/>
    </row>
    <row r="4265" spans="9:9" x14ac:dyDescent="0.25">
      <c r="I4265" s="2"/>
    </row>
    <row r="4266" spans="9:9" x14ac:dyDescent="0.25">
      <c r="I4266" s="2"/>
    </row>
    <row r="4267" spans="9:9" x14ac:dyDescent="0.25">
      <c r="I4267" s="2"/>
    </row>
    <row r="4268" spans="9:9" x14ac:dyDescent="0.25">
      <c r="I4268" s="2"/>
    </row>
    <row r="4269" spans="9:9" x14ac:dyDescent="0.25">
      <c r="I4269" s="2"/>
    </row>
    <row r="4270" spans="9:9" x14ac:dyDescent="0.25">
      <c r="I4270" s="2"/>
    </row>
    <row r="4271" spans="9:9" x14ac:dyDescent="0.25">
      <c r="I4271" s="2"/>
    </row>
    <row r="4272" spans="9:9" x14ac:dyDescent="0.25">
      <c r="I4272" s="2"/>
    </row>
    <row r="4273" spans="9:9" x14ac:dyDescent="0.25">
      <c r="I4273" s="2"/>
    </row>
    <row r="4274" spans="9:9" x14ac:dyDescent="0.25">
      <c r="I4274" s="2"/>
    </row>
    <row r="4275" spans="9:9" x14ac:dyDescent="0.25">
      <c r="I4275" s="2"/>
    </row>
    <row r="4276" spans="9:9" x14ac:dyDescent="0.25">
      <c r="I4276" s="2"/>
    </row>
    <row r="4277" spans="9:9" x14ac:dyDescent="0.25">
      <c r="I4277" s="2"/>
    </row>
    <row r="4278" spans="9:9" x14ac:dyDescent="0.25">
      <c r="I4278" s="2"/>
    </row>
    <row r="4279" spans="9:9" x14ac:dyDescent="0.25">
      <c r="I4279" s="2"/>
    </row>
    <row r="4280" spans="9:9" x14ac:dyDescent="0.25">
      <c r="I4280" s="2"/>
    </row>
    <row r="4281" spans="9:9" x14ac:dyDescent="0.25">
      <c r="I4281" s="2"/>
    </row>
    <row r="4282" spans="9:9" x14ac:dyDescent="0.25">
      <c r="I4282" s="2"/>
    </row>
    <row r="4283" spans="9:9" x14ac:dyDescent="0.25">
      <c r="I4283" s="2"/>
    </row>
    <row r="4284" spans="9:9" x14ac:dyDescent="0.25">
      <c r="I4284" s="2"/>
    </row>
    <row r="4285" spans="9:9" x14ac:dyDescent="0.25">
      <c r="I4285" s="2"/>
    </row>
    <row r="4286" spans="9:9" x14ac:dyDescent="0.25">
      <c r="I4286" s="2"/>
    </row>
    <row r="4287" spans="9:9" x14ac:dyDescent="0.25">
      <c r="I4287" s="2"/>
    </row>
    <row r="4288" spans="9:9" x14ac:dyDescent="0.25">
      <c r="I4288" s="2"/>
    </row>
    <row r="4289" spans="9:9" x14ac:dyDescent="0.25">
      <c r="I4289" s="2"/>
    </row>
    <row r="4290" spans="9:9" x14ac:dyDescent="0.25">
      <c r="I4290" s="2"/>
    </row>
    <row r="4291" spans="9:9" x14ac:dyDescent="0.25">
      <c r="I4291" s="2"/>
    </row>
    <row r="4292" spans="9:9" x14ac:dyDescent="0.25">
      <c r="I4292" s="2"/>
    </row>
    <row r="4293" spans="9:9" x14ac:dyDescent="0.25">
      <c r="I4293" s="2"/>
    </row>
    <row r="4294" spans="9:9" x14ac:dyDescent="0.25">
      <c r="I4294" s="2"/>
    </row>
    <row r="4295" spans="9:9" x14ac:dyDescent="0.25">
      <c r="I4295" s="2"/>
    </row>
    <row r="4296" spans="9:9" x14ac:dyDescent="0.25">
      <c r="I4296" s="2"/>
    </row>
    <row r="4297" spans="9:9" x14ac:dyDescent="0.25">
      <c r="I4297" s="2"/>
    </row>
    <row r="4298" spans="9:9" x14ac:dyDescent="0.25">
      <c r="I4298" s="2"/>
    </row>
    <row r="4299" spans="9:9" x14ac:dyDescent="0.25">
      <c r="I4299" s="2"/>
    </row>
    <row r="4300" spans="9:9" x14ac:dyDescent="0.25">
      <c r="I4300" s="2"/>
    </row>
    <row r="4301" spans="9:9" x14ac:dyDescent="0.25">
      <c r="I4301" s="2"/>
    </row>
    <row r="4302" spans="9:9" x14ac:dyDescent="0.25">
      <c r="I4302" s="2"/>
    </row>
    <row r="4303" spans="9:9" x14ac:dyDescent="0.25">
      <c r="I4303" s="2"/>
    </row>
    <row r="4304" spans="9:9" x14ac:dyDescent="0.25">
      <c r="I4304" s="2"/>
    </row>
    <row r="4305" spans="9:9" x14ac:dyDescent="0.25">
      <c r="I4305" s="2"/>
    </row>
    <row r="4306" spans="9:9" x14ac:dyDescent="0.25">
      <c r="I4306" s="2"/>
    </row>
    <row r="4307" spans="9:9" x14ac:dyDescent="0.25">
      <c r="I4307" s="2"/>
    </row>
    <row r="4308" spans="9:9" x14ac:dyDescent="0.25">
      <c r="I4308" s="2"/>
    </row>
    <row r="4309" spans="9:9" x14ac:dyDescent="0.25">
      <c r="I4309" s="2"/>
    </row>
    <row r="4310" spans="9:9" x14ac:dyDescent="0.25">
      <c r="I4310" s="2"/>
    </row>
    <row r="4311" spans="9:9" x14ac:dyDescent="0.25">
      <c r="I4311" s="2"/>
    </row>
    <row r="4312" spans="9:9" x14ac:dyDescent="0.25">
      <c r="I4312" s="2"/>
    </row>
    <row r="4313" spans="9:9" x14ac:dyDescent="0.25">
      <c r="I4313" s="2"/>
    </row>
    <row r="4314" spans="9:9" x14ac:dyDescent="0.25">
      <c r="I4314" s="2"/>
    </row>
    <row r="4315" spans="9:9" x14ac:dyDescent="0.25">
      <c r="I4315" s="2"/>
    </row>
    <row r="4316" spans="9:9" x14ac:dyDescent="0.25">
      <c r="I4316" s="2"/>
    </row>
    <row r="4317" spans="9:9" x14ac:dyDescent="0.25">
      <c r="I4317" s="2"/>
    </row>
    <row r="4318" spans="9:9" x14ac:dyDescent="0.25">
      <c r="I4318" s="2"/>
    </row>
    <row r="4319" spans="9:9" x14ac:dyDescent="0.25">
      <c r="I4319" s="2"/>
    </row>
    <row r="4320" spans="9:9" x14ac:dyDescent="0.25">
      <c r="I4320" s="2"/>
    </row>
    <row r="4321" spans="9:9" x14ac:dyDescent="0.25">
      <c r="I4321" s="2"/>
    </row>
    <row r="4322" spans="9:9" x14ac:dyDescent="0.25">
      <c r="I4322" s="2"/>
    </row>
    <row r="4323" spans="9:9" x14ac:dyDescent="0.25">
      <c r="I4323" s="2"/>
    </row>
    <row r="4324" spans="9:9" x14ac:dyDescent="0.25">
      <c r="I4324" s="2"/>
    </row>
    <row r="4325" spans="9:9" x14ac:dyDescent="0.25">
      <c r="I4325" s="2"/>
    </row>
    <row r="4326" spans="9:9" x14ac:dyDescent="0.25">
      <c r="I4326" s="2"/>
    </row>
    <row r="4327" spans="9:9" x14ac:dyDescent="0.25">
      <c r="I4327" s="2"/>
    </row>
    <row r="4328" spans="9:9" x14ac:dyDescent="0.25">
      <c r="I4328" s="2"/>
    </row>
    <row r="4329" spans="9:9" x14ac:dyDescent="0.25">
      <c r="I4329" s="2"/>
    </row>
    <row r="4330" spans="9:9" x14ac:dyDescent="0.25">
      <c r="I4330" s="2"/>
    </row>
    <row r="4331" spans="9:9" x14ac:dyDescent="0.25">
      <c r="I4331" s="2"/>
    </row>
    <row r="4332" spans="9:9" x14ac:dyDescent="0.25">
      <c r="I4332" s="2"/>
    </row>
    <row r="4333" spans="9:9" x14ac:dyDescent="0.25">
      <c r="I4333" s="2"/>
    </row>
    <row r="4334" spans="9:9" x14ac:dyDescent="0.25">
      <c r="I4334" s="2"/>
    </row>
    <row r="4335" spans="9:9" x14ac:dyDescent="0.25">
      <c r="I4335" s="2"/>
    </row>
    <row r="4336" spans="9:9" x14ac:dyDescent="0.25">
      <c r="I4336" s="2"/>
    </row>
    <row r="4337" spans="9:9" x14ac:dyDescent="0.25">
      <c r="I4337" s="2"/>
    </row>
    <row r="4338" spans="9:9" x14ac:dyDescent="0.25">
      <c r="I4338" s="2"/>
    </row>
    <row r="4339" spans="9:9" x14ac:dyDescent="0.25">
      <c r="I4339" s="2"/>
    </row>
    <row r="4340" spans="9:9" x14ac:dyDescent="0.25">
      <c r="I4340" s="2"/>
    </row>
    <row r="4341" spans="9:9" x14ac:dyDescent="0.25">
      <c r="I4341" s="2"/>
    </row>
    <row r="4342" spans="9:9" x14ac:dyDescent="0.25">
      <c r="I4342" s="2"/>
    </row>
    <row r="4343" spans="9:9" x14ac:dyDescent="0.25">
      <c r="I4343" s="2"/>
    </row>
    <row r="4344" spans="9:9" x14ac:dyDescent="0.25">
      <c r="I4344" s="2"/>
    </row>
    <row r="4345" spans="9:9" x14ac:dyDescent="0.25">
      <c r="I4345" s="2"/>
    </row>
    <row r="4346" spans="9:9" x14ac:dyDescent="0.25">
      <c r="I4346" s="2"/>
    </row>
    <row r="4347" spans="9:9" x14ac:dyDescent="0.25">
      <c r="I4347" s="2"/>
    </row>
    <row r="4348" spans="9:9" x14ac:dyDescent="0.25">
      <c r="I4348" s="2"/>
    </row>
    <row r="4349" spans="9:9" x14ac:dyDescent="0.25">
      <c r="I4349" s="2"/>
    </row>
    <row r="4350" spans="9:9" x14ac:dyDescent="0.25">
      <c r="I4350" s="2"/>
    </row>
    <row r="4351" spans="9:9" x14ac:dyDescent="0.25">
      <c r="I4351" s="2"/>
    </row>
    <row r="4352" spans="9:9" x14ac:dyDescent="0.25">
      <c r="I4352" s="2"/>
    </row>
    <row r="4353" spans="9:9" x14ac:dyDescent="0.25">
      <c r="I4353" s="2"/>
    </row>
    <row r="4354" spans="9:9" x14ac:dyDescent="0.25">
      <c r="I4354" s="2"/>
    </row>
    <row r="4355" spans="9:9" x14ac:dyDescent="0.25">
      <c r="I4355" s="2"/>
    </row>
    <row r="4356" spans="9:9" x14ac:dyDescent="0.25">
      <c r="I4356" s="2"/>
    </row>
    <row r="4357" spans="9:9" x14ac:dyDescent="0.25">
      <c r="I4357" s="2"/>
    </row>
    <row r="4358" spans="9:9" x14ac:dyDescent="0.25">
      <c r="I4358" s="2"/>
    </row>
    <row r="4359" spans="9:9" x14ac:dyDescent="0.25">
      <c r="I4359" s="2"/>
    </row>
    <row r="4360" spans="9:9" x14ac:dyDescent="0.25">
      <c r="I4360" s="2"/>
    </row>
    <row r="4361" spans="9:9" x14ac:dyDescent="0.25">
      <c r="I4361" s="2"/>
    </row>
    <row r="4362" spans="9:9" x14ac:dyDescent="0.25">
      <c r="I4362" s="2"/>
    </row>
    <row r="4363" spans="9:9" x14ac:dyDescent="0.25">
      <c r="I4363" s="2"/>
    </row>
    <row r="4364" spans="9:9" x14ac:dyDescent="0.25">
      <c r="I4364" s="2"/>
    </row>
    <row r="4365" spans="9:9" x14ac:dyDescent="0.25">
      <c r="I4365" s="2"/>
    </row>
    <row r="4366" spans="9:9" x14ac:dyDescent="0.25">
      <c r="I4366" s="2"/>
    </row>
    <row r="4367" spans="9:9" x14ac:dyDescent="0.25">
      <c r="I4367" s="2"/>
    </row>
    <row r="4368" spans="9:9" x14ac:dyDescent="0.25">
      <c r="I4368" s="2"/>
    </row>
    <row r="4369" spans="9:9" x14ac:dyDescent="0.25">
      <c r="I4369" s="2"/>
    </row>
    <row r="4370" spans="9:9" x14ac:dyDescent="0.25">
      <c r="I4370" s="2"/>
    </row>
    <row r="4371" spans="9:9" x14ac:dyDescent="0.25">
      <c r="I4371" s="2"/>
    </row>
    <row r="4372" spans="9:9" x14ac:dyDescent="0.25">
      <c r="I4372" s="2"/>
    </row>
    <row r="4373" spans="9:9" x14ac:dyDescent="0.25">
      <c r="I4373" s="2"/>
    </row>
    <row r="4374" spans="9:9" x14ac:dyDescent="0.25">
      <c r="I4374" s="2"/>
    </row>
    <row r="4375" spans="9:9" x14ac:dyDescent="0.25">
      <c r="I4375" s="2"/>
    </row>
    <row r="4376" spans="9:9" x14ac:dyDescent="0.25">
      <c r="I4376" s="2"/>
    </row>
    <row r="4377" spans="9:9" x14ac:dyDescent="0.25">
      <c r="I4377" s="2"/>
    </row>
    <row r="4378" spans="9:9" x14ac:dyDescent="0.25">
      <c r="I4378" s="2"/>
    </row>
    <row r="4379" spans="9:9" x14ac:dyDescent="0.25">
      <c r="I4379" s="2"/>
    </row>
    <row r="4380" spans="9:9" x14ac:dyDescent="0.25">
      <c r="I4380" s="2"/>
    </row>
    <row r="4381" spans="9:9" x14ac:dyDescent="0.25">
      <c r="I4381" s="2"/>
    </row>
    <row r="4382" spans="9:9" x14ac:dyDescent="0.25">
      <c r="I4382" s="2"/>
    </row>
    <row r="4383" spans="9:9" x14ac:dyDescent="0.25">
      <c r="I4383" s="2"/>
    </row>
    <row r="4384" spans="9:9" x14ac:dyDescent="0.25">
      <c r="I4384" s="2"/>
    </row>
    <row r="4385" spans="9:9" x14ac:dyDescent="0.25">
      <c r="I4385" s="2"/>
    </row>
    <row r="4386" spans="9:9" x14ac:dyDescent="0.25">
      <c r="I4386" s="2"/>
    </row>
    <row r="4387" spans="9:9" x14ac:dyDescent="0.25">
      <c r="I4387" s="2"/>
    </row>
    <row r="4388" spans="9:9" x14ac:dyDescent="0.25">
      <c r="I4388" s="2"/>
    </row>
    <row r="4389" spans="9:9" x14ac:dyDescent="0.25">
      <c r="I4389" s="2"/>
    </row>
    <row r="4390" spans="9:9" x14ac:dyDescent="0.25">
      <c r="I4390" s="2"/>
    </row>
    <row r="4391" spans="9:9" x14ac:dyDescent="0.25">
      <c r="I4391" s="2"/>
    </row>
    <row r="4392" spans="9:9" x14ac:dyDescent="0.25">
      <c r="I4392" s="2"/>
    </row>
    <row r="4393" spans="9:9" x14ac:dyDescent="0.25">
      <c r="I4393" s="2"/>
    </row>
    <row r="4394" spans="9:9" x14ac:dyDescent="0.25">
      <c r="I4394" s="2"/>
    </row>
    <row r="4395" spans="9:9" x14ac:dyDescent="0.25">
      <c r="I4395" s="2"/>
    </row>
    <row r="4396" spans="9:9" x14ac:dyDescent="0.25">
      <c r="I4396" s="2"/>
    </row>
    <row r="4397" spans="9:9" x14ac:dyDescent="0.25">
      <c r="I4397" s="2"/>
    </row>
    <row r="4398" spans="9:9" x14ac:dyDescent="0.25">
      <c r="I4398" s="2"/>
    </row>
    <row r="4399" spans="9:9" x14ac:dyDescent="0.25">
      <c r="I4399" s="2"/>
    </row>
    <row r="4400" spans="9:9" x14ac:dyDescent="0.25">
      <c r="I4400" s="2"/>
    </row>
    <row r="4401" spans="9:9" x14ac:dyDescent="0.25">
      <c r="I4401" s="2"/>
    </row>
    <row r="4402" spans="9:9" x14ac:dyDescent="0.25">
      <c r="I4402" s="2"/>
    </row>
    <row r="4403" spans="9:9" x14ac:dyDescent="0.25">
      <c r="I4403" s="2"/>
    </row>
    <row r="4404" spans="9:9" x14ac:dyDescent="0.25">
      <c r="I4404" s="2"/>
    </row>
    <row r="4405" spans="9:9" x14ac:dyDescent="0.25">
      <c r="I4405" s="2"/>
    </row>
    <row r="4406" spans="9:9" x14ac:dyDescent="0.25">
      <c r="I4406" s="2"/>
    </row>
    <row r="4407" spans="9:9" x14ac:dyDescent="0.25">
      <c r="I4407" s="2"/>
    </row>
    <row r="4408" spans="9:9" x14ac:dyDescent="0.25">
      <c r="I4408" s="2"/>
    </row>
    <row r="4409" spans="9:9" x14ac:dyDescent="0.25">
      <c r="I4409" s="2"/>
    </row>
    <row r="4410" spans="9:9" x14ac:dyDescent="0.25">
      <c r="I4410" s="2"/>
    </row>
    <row r="4411" spans="9:9" x14ac:dyDescent="0.25">
      <c r="I4411" s="2"/>
    </row>
    <row r="4412" spans="9:9" x14ac:dyDescent="0.25">
      <c r="I4412" s="2"/>
    </row>
    <row r="4413" spans="9:9" x14ac:dyDescent="0.25">
      <c r="I4413" s="2"/>
    </row>
    <row r="4414" spans="9:9" x14ac:dyDescent="0.25">
      <c r="I4414" s="2"/>
    </row>
    <row r="4415" spans="9:9" x14ac:dyDescent="0.25">
      <c r="I4415" s="2"/>
    </row>
    <row r="4416" spans="9:9" x14ac:dyDescent="0.25">
      <c r="I4416" s="2"/>
    </row>
    <row r="4417" spans="9:9" x14ac:dyDescent="0.25">
      <c r="I4417" s="2"/>
    </row>
    <row r="4418" spans="9:9" x14ac:dyDescent="0.25">
      <c r="I4418" s="2"/>
    </row>
    <row r="4419" spans="9:9" x14ac:dyDescent="0.25">
      <c r="I4419" s="2"/>
    </row>
    <row r="4420" spans="9:9" x14ac:dyDescent="0.25">
      <c r="I4420" s="2"/>
    </row>
    <row r="4421" spans="9:9" x14ac:dyDescent="0.25">
      <c r="I4421" s="2"/>
    </row>
    <row r="4422" spans="9:9" x14ac:dyDescent="0.25">
      <c r="I4422" s="2"/>
    </row>
    <row r="4423" spans="9:9" x14ac:dyDescent="0.25">
      <c r="I4423" s="2"/>
    </row>
    <row r="4424" spans="9:9" x14ac:dyDescent="0.25">
      <c r="I4424" s="2"/>
    </row>
    <row r="4425" spans="9:9" x14ac:dyDescent="0.25">
      <c r="I4425" s="2"/>
    </row>
    <row r="4426" spans="9:9" x14ac:dyDescent="0.25">
      <c r="I4426" s="2"/>
    </row>
    <row r="4427" spans="9:9" x14ac:dyDescent="0.25">
      <c r="I4427" s="2"/>
    </row>
    <row r="4428" spans="9:9" x14ac:dyDescent="0.25">
      <c r="I4428" s="2"/>
    </row>
    <row r="4429" spans="9:9" x14ac:dyDescent="0.25">
      <c r="I4429" s="2"/>
    </row>
    <row r="4430" spans="9:9" x14ac:dyDescent="0.25">
      <c r="I4430" s="2"/>
    </row>
    <row r="4431" spans="9:9" x14ac:dyDescent="0.25">
      <c r="I4431" s="2"/>
    </row>
    <row r="4432" spans="9:9" x14ac:dyDescent="0.25">
      <c r="I4432" s="2"/>
    </row>
    <row r="4433" spans="9:9" x14ac:dyDescent="0.25">
      <c r="I4433" s="2"/>
    </row>
    <row r="4434" spans="9:9" x14ac:dyDescent="0.25">
      <c r="I4434" s="2"/>
    </row>
    <row r="4435" spans="9:9" x14ac:dyDescent="0.25">
      <c r="I4435" s="2"/>
    </row>
    <row r="4436" spans="9:9" x14ac:dyDescent="0.25">
      <c r="I4436" s="2"/>
    </row>
    <row r="4437" spans="9:9" x14ac:dyDescent="0.25">
      <c r="I4437" s="2"/>
    </row>
    <row r="4438" spans="9:9" x14ac:dyDescent="0.25">
      <c r="I4438" s="2"/>
    </row>
    <row r="4439" spans="9:9" x14ac:dyDescent="0.25">
      <c r="I4439" s="2"/>
    </row>
    <row r="4440" spans="9:9" x14ac:dyDescent="0.25">
      <c r="I4440" s="2"/>
    </row>
    <row r="4441" spans="9:9" x14ac:dyDescent="0.25">
      <c r="I4441" s="2"/>
    </row>
    <row r="4442" spans="9:9" x14ac:dyDescent="0.25">
      <c r="I4442" s="2"/>
    </row>
    <row r="4443" spans="9:9" x14ac:dyDescent="0.25">
      <c r="I4443" s="2"/>
    </row>
    <row r="4444" spans="9:9" x14ac:dyDescent="0.25">
      <c r="I4444" s="2"/>
    </row>
    <row r="4445" spans="9:9" x14ac:dyDescent="0.25">
      <c r="I4445" s="2"/>
    </row>
    <row r="4446" spans="9:9" x14ac:dyDescent="0.25">
      <c r="I4446" s="2"/>
    </row>
    <row r="4447" spans="9:9" x14ac:dyDescent="0.25">
      <c r="I4447" s="2"/>
    </row>
    <row r="4448" spans="9:9" x14ac:dyDescent="0.25">
      <c r="I4448" s="2"/>
    </row>
    <row r="4449" spans="9:9" x14ac:dyDescent="0.25">
      <c r="I4449" s="2"/>
    </row>
    <row r="4450" spans="9:9" x14ac:dyDescent="0.25">
      <c r="I4450" s="2"/>
    </row>
    <row r="4451" spans="9:9" x14ac:dyDescent="0.25">
      <c r="I4451" s="2"/>
    </row>
    <row r="4452" spans="9:9" x14ac:dyDescent="0.25">
      <c r="I4452" s="2"/>
    </row>
    <row r="4453" spans="9:9" x14ac:dyDescent="0.25">
      <c r="I4453" s="2"/>
    </row>
    <row r="4454" spans="9:9" x14ac:dyDescent="0.25">
      <c r="I4454" s="2"/>
    </row>
    <row r="4455" spans="9:9" x14ac:dyDescent="0.25">
      <c r="I4455" s="2"/>
    </row>
    <row r="4456" spans="9:9" x14ac:dyDescent="0.25">
      <c r="I4456" s="2"/>
    </row>
    <row r="4457" spans="9:9" x14ac:dyDescent="0.25">
      <c r="I4457" s="2"/>
    </row>
    <row r="4458" spans="9:9" x14ac:dyDescent="0.25">
      <c r="I4458" s="2"/>
    </row>
    <row r="4459" spans="9:9" x14ac:dyDescent="0.25">
      <c r="I4459" s="2"/>
    </row>
    <row r="4460" spans="9:9" x14ac:dyDescent="0.25">
      <c r="I4460" s="2"/>
    </row>
    <row r="4461" spans="9:9" x14ac:dyDescent="0.25">
      <c r="I4461" s="2"/>
    </row>
    <row r="4462" spans="9:9" x14ac:dyDescent="0.25">
      <c r="I4462" s="2"/>
    </row>
    <row r="4463" spans="9:9" x14ac:dyDescent="0.25">
      <c r="I4463" s="2"/>
    </row>
    <row r="4464" spans="9:9" x14ac:dyDescent="0.25">
      <c r="I4464" s="2"/>
    </row>
    <row r="4465" spans="9:9" x14ac:dyDescent="0.25">
      <c r="I4465" s="2"/>
    </row>
    <row r="4466" spans="9:9" x14ac:dyDescent="0.25">
      <c r="I4466" s="2"/>
    </row>
    <row r="4467" spans="9:9" x14ac:dyDescent="0.25">
      <c r="I4467" s="2"/>
    </row>
    <row r="4468" spans="9:9" x14ac:dyDescent="0.25">
      <c r="I4468" s="2"/>
    </row>
    <row r="4469" spans="9:9" x14ac:dyDescent="0.25">
      <c r="I4469" s="2"/>
    </row>
    <row r="4470" spans="9:9" x14ac:dyDescent="0.25">
      <c r="I4470" s="2"/>
    </row>
    <row r="4471" spans="9:9" x14ac:dyDescent="0.25">
      <c r="I4471" s="2"/>
    </row>
    <row r="4472" spans="9:9" x14ac:dyDescent="0.25">
      <c r="I4472" s="2"/>
    </row>
    <row r="4473" spans="9:9" x14ac:dyDescent="0.25">
      <c r="I4473" s="2"/>
    </row>
    <row r="4474" spans="9:9" x14ac:dyDescent="0.25">
      <c r="I4474" s="2"/>
    </row>
    <row r="4475" spans="9:9" x14ac:dyDescent="0.25">
      <c r="I4475" s="2"/>
    </row>
    <row r="4476" spans="9:9" x14ac:dyDescent="0.25">
      <c r="I4476" s="2"/>
    </row>
    <row r="4477" spans="9:9" x14ac:dyDescent="0.25">
      <c r="I4477" s="2"/>
    </row>
    <row r="4478" spans="9:9" x14ac:dyDescent="0.25">
      <c r="I4478" s="2"/>
    </row>
    <row r="4479" spans="9:9" x14ac:dyDescent="0.25">
      <c r="I4479" s="2"/>
    </row>
    <row r="4480" spans="9:9" x14ac:dyDescent="0.25">
      <c r="I4480" s="2"/>
    </row>
    <row r="4481" spans="9:9" x14ac:dyDescent="0.25">
      <c r="I4481" s="2"/>
    </row>
    <row r="4482" spans="9:9" x14ac:dyDescent="0.25">
      <c r="I4482" s="2"/>
    </row>
    <row r="4483" spans="9:9" x14ac:dyDescent="0.25">
      <c r="I4483" s="2"/>
    </row>
    <row r="4484" spans="9:9" x14ac:dyDescent="0.25">
      <c r="I4484" s="2"/>
    </row>
    <row r="4485" spans="9:9" x14ac:dyDescent="0.25">
      <c r="I4485" s="2"/>
    </row>
    <row r="4486" spans="9:9" x14ac:dyDescent="0.25">
      <c r="I4486" s="2"/>
    </row>
    <row r="4487" spans="9:9" x14ac:dyDescent="0.25">
      <c r="I4487" s="2"/>
    </row>
    <row r="4488" spans="9:9" x14ac:dyDescent="0.25">
      <c r="I4488" s="2"/>
    </row>
    <row r="4489" spans="9:9" x14ac:dyDescent="0.25">
      <c r="I4489" s="2"/>
    </row>
    <row r="4490" spans="9:9" x14ac:dyDescent="0.25">
      <c r="I4490" s="2"/>
    </row>
    <row r="4491" spans="9:9" x14ac:dyDescent="0.25">
      <c r="I4491" s="2"/>
    </row>
    <row r="4492" spans="9:9" x14ac:dyDescent="0.25">
      <c r="I4492" s="2"/>
    </row>
    <row r="4493" spans="9:9" x14ac:dyDescent="0.25">
      <c r="I4493" s="2"/>
    </row>
    <row r="4494" spans="9:9" x14ac:dyDescent="0.25">
      <c r="I4494" s="2"/>
    </row>
    <row r="4495" spans="9:9" x14ac:dyDescent="0.25">
      <c r="I4495" s="2"/>
    </row>
    <row r="4496" spans="9:9" x14ac:dyDescent="0.25">
      <c r="I4496" s="2"/>
    </row>
    <row r="4497" spans="9:9" x14ac:dyDescent="0.25">
      <c r="I4497" s="2"/>
    </row>
    <row r="4498" spans="9:9" x14ac:dyDescent="0.25">
      <c r="I4498" s="2"/>
    </row>
    <row r="4499" spans="9:9" x14ac:dyDescent="0.25">
      <c r="I4499" s="2"/>
    </row>
    <row r="4500" spans="9:9" x14ac:dyDescent="0.25">
      <c r="I4500" s="2"/>
    </row>
    <row r="4501" spans="9:9" x14ac:dyDescent="0.25">
      <c r="I4501" s="2"/>
    </row>
    <row r="4502" spans="9:9" x14ac:dyDescent="0.25">
      <c r="I4502" s="2"/>
    </row>
    <row r="4503" spans="9:9" x14ac:dyDescent="0.25">
      <c r="I4503" s="2"/>
    </row>
    <row r="4504" spans="9:9" x14ac:dyDescent="0.25">
      <c r="I4504" s="2"/>
    </row>
    <row r="4505" spans="9:9" x14ac:dyDescent="0.25">
      <c r="I4505" s="2"/>
    </row>
    <row r="4506" spans="9:9" x14ac:dyDescent="0.25">
      <c r="I4506" s="2"/>
    </row>
    <row r="4507" spans="9:9" x14ac:dyDescent="0.25">
      <c r="I4507" s="2"/>
    </row>
    <row r="4508" spans="9:9" x14ac:dyDescent="0.25">
      <c r="I4508" s="2"/>
    </row>
    <row r="4509" spans="9:9" x14ac:dyDescent="0.25">
      <c r="I4509" s="2"/>
    </row>
    <row r="4510" spans="9:9" x14ac:dyDescent="0.25">
      <c r="I4510" s="2"/>
    </row>
    <row r="4511" spans="9:9" x14ac:dyDescent="0.25">
      <c r="I4511" s="2"/>
    </row>
    <row r="4512" spans="9:9" x14ac:dyDescent="0.25">
      <c r="I4512" s="2"/>
    </row>
    <row r="4513" spans="9:9" x14ac:dyDescent="0.25">
      <c r="I4513" s="2"/>
    </row>
    <row r="4514" spans="9:9" x14ac:dyDescent="0.25">
      <c r="I4514" s="2"/>
    </row>
    <row r="4515" spans="9:9" x14ac:dyDescent="0.25">
      <c r="I4515" s="2"/>
    </row>
    <row r="4516" spans="9:9" x14ac:dyDescent="0.25">
      <c r="I4516" s="2"/>
    </row>
    <row r="4517" spans="9:9" x14ac:dyDescent="0.25">
      <c r="I4517" s="2"/>
    </row>
    <row r="4518" spans="9:9" x14ac:dyDescent="0.25">
      <c r="I4518" s="2"/>
    </row>
    <row r="4519" spans="9:9" x14ac:dyDescent="0.25">
      <c r="I4519" s="2"/>
    </row>
    <row r="4520" spans="9:9" x14ac:dyDescent="0.25">
      <c r="I4520" s="2"/>
    </row>
    <row r="4521" spans="9:9" x14ac:dyDescent="0.25">
      <c r="I4521" s="2"/>
    </row>
    <row r="4522" spans="9:9" x14ac:dyDescent="0.25">
      <c r="I4522" s="2"/>
    </row>
    <row r="4523" spans="9:9" x14ac:dyDescent="0.25">
      <c r="I4523" s="2"/>
    </row>
    <row r="4524" spans="9:9" x14ac:dyDescent="0.25">
      <c r="I4524" s="2"/>
    </row>
    <row r="4525" spans="9:9" x14ac:dyDescent="0.25">
      <c r="I4525" s="2"/>
    </row>
    <row r="4526" spans="9:9" x14ac:dyDescent="0.25">
      <c r="I4526" s="2"/>
    </row>
    <row r="4527" spans="9:9" x14ac:dyDescent="0.25">
      <c r="I4527" s="2"/>
    </row>
    <row r="4528" spans="9:9" x14ac:dyDescent="0.25">
      <c r="I4528" s="2"/>
    </row>
    <row r="4529" spans="9:9" x14ac:dyDescent="0.25">
      <c r="I4529" s="2"/>
    </row>
    <row r="4530" spans="9:9" x14ac:dyDescent="0.25">
      <c r="I4530" s="2"/>
    </row>
    <row r="4531" spans="9:9" x14ac:dyDescent="0.25">
      <c r="I4531" s="2"/>
    </row>
    <row r="4532" spans="9:9" x14ac:dyDescent="0.25">
      <c r="I4532" s="2"/>
    </row>
    <row r="4533" spans="9:9" x14ac:dyDescent="0.25">
      <c r="I4533" s="2"/>
    </row>
    <row r="4534" spans="9:9" x14ac:dyDescent="0.25">
      <c r="I4534" s="2"/>
    </row>
    <row r="4535" spans="9:9" x14ac:dyDescent="0.25">
      <c r="I4535" s="2"/>
    </row>
    <row r="4536" spans="9:9" x14ac:dyDescent="0.25">
      <c r="I4536" s="2"/>
    </row>
    <row r="4537" spans="9:9" x14ac:dyDescent="0.25">
      <c r="I4537" s="2"/>
    </row>
    <row r="4538" spans="9:9" x14ac:dyDescent="0.25">
      <c r="I4538" s="2"/>
    </row>
    <row r="4539" spans="9:9" x14ac:dyDescent="0.25">
      <c r="I4539" s="2"/>
    </row>
    <row r="4540" spans="9:9" x14ac:dyDescent="0.25">
      <c r="I4540" s="2"/>
    </row>
    <row r="4541" spans="9:9" x14ac:dyDescent="0.25">
      <c r="I4541" s="2"/>
    </row>
    <row r="4542" spans="9:9" x14ac:dyDescent="0.25">
      <c r="I4542" s="2"/>
    </row>
    <row r="4543" spans="9:9" x14ac:dyDescent="0.25">
      <c r="I4543" s="2"/>
    </row>
    <row r="4544" spans="9:9" x14ac:dyDescent="0.25">
      <c r="I4544" s="2"/>
    </row>
    <row r="4545" spans="9:9" x14ac:dyDescent="0.25">
      <c r="I4545" s="2"/>
    </row>
    <row r="4546" spans="9:9" x14ac:dyDescent="0.25">
      <c r="I4546" s="2"/>
    </row>
    <row r="4547" spans="9:9" x14ac:dyDescent="0.25">
      <c r="I4547" s="2"/>
    </row>
    <row r="4548" spans="9:9" x14ac:dyDescent="0.25">
      <c r="I4548" s="2"/>
    </row>
    <row r="4549" spans="9:9" x14ac:dyDescent="0.25">
      <c r="I4549" s="2"/>
    </row>
    <row r="4550" spans="9:9" x14ac:dyDescent="0.25">
      <c r="I4550" s="2"/>
    </row>
    <row r="4551" spans="9:9" x14ac:dyDescent="0.25">
      <c r="I4551" s="2"/>
    </row>
    <row r="4552" spans="9:9" x14ac:dyDescent="0.25">
      <c r="I4552" s="2"/>
    </row>
    <row r="4553" spans="9:9" x14ac:dyDescent="0.25">
      <c r="I4553" s="2"/>
    </row>
    <row r="4554" spans="9:9" x14ac:dyDescent="0.25">
      <c r="I4554" s="2"/>
    </row>
    <row r="4555" spans="9:9" x14ac:dyDescent="0.25">
      <c r="I4555" s="2"/>
    </row>
    <row r="4556" spans="9:9" x14ac:dyDescent="0.25">
      <c r="I4556" s="2"/>
    </row>
    <row r="4557" spans="9:9" x14ac:dyDescent="0.25">
      <c r="I4557" s="2"/>
    </row>
    <row r="4558" spans="9:9" x14ac:dyDescent="0.25">
      <c r="I4558" s="2"/>
    </row>
    <row r="4559" spans="9:9" x14ac:dyDescent="0.25">
      <c r="I4559" s="2"/>
    </row>
    <row r="4560" spans="9:9" x14ac:dyDescent="0.25">
      <c r="I4560" s="2"/>
    </row>
    <row r="4561" spans="9:9" x14ac:dyDescent="0.25">
      <c r="I4561" s="2"/>
    </row>
    <row r="4562" spans="9:9" x14ac:dyDescent="0.25">
      <c r="I4562" s="2"/>
    </row>
    <row r="4563" spans="9:9" x14ac:dyDescent="0.25">
      <c r="I4563" s="2"/>
    </row>
    <row r="4564" spans="9:9" x14ac:dyDescent="0.25">
      <c r="I4564" s="2"/>
    </row>
    <row r="4565" spans="9:9" x14ac:dyDescent="0.25">
      <c r="I4565" s="2"/>
    </row>
    <row r="4566" spans="9:9" x14ac:dyDescent="0.25">
      <c r="I4566" s="2"/>
    </row>
    <row r="4567" spans="9:9" x14ac:dyDescent="0.25">
      <c r="I4567" s="2"/>
    </row>
    <row r="4568" spans="9:9" x14ac:dyDescent="0.25">
      <c r="I4568" s="2"/>
    </row>
    <row r="4569" spans="9:9" x14ac:dyDescent="0.25">
      <c r="I4569" s="2"/>
    </row>
    <row r="4570" spans="9:9" x14ac:dyDescent="0.25">
      <c r="I4570" s="2"/>
    </row>
    <row r="4571" spans="9:9" x14ac:dyDescent="0.25">
      <c r="I4571" s="2"/>
    </row>
    <row r="4572" spans="9:9" x14ac:dyDescent="0.25">
      <c r="I4572" s="2"/>
    </row>
    <row r="4573" spans="9:9" x14ac:dyDescent="0.25">
      <c r="I4573" s="2"/>
    </row>
    <row r="4574" spans="9:9" x14ac:dyDescent="0.25">
      <c r="I4574" s="2"/>
    </row>
    <row r="4575" spans="9:9" x14ac:dyDescent="0.25">
      <c r="I4575" s="2"/>
    </row>
    <row r="4576" spans="9:9" x14ac:dyDescent="0.25">
      <c r="I4576" s="2"/>
    </row>
    <row r="4577" spans="9:9" x14ac:dyDescent="0.25">
      <c r="I4577" s="2"/>
    </row>
    <row r="4578" spans="9:9" x14ac:dyDescent="0.25">
      <c r="I4578" s="2"/>
    </row>
    <row r="4579" spans="9:9" x14ac:dyDescent="0.25">
      <c r="I4579" s="2"/>
    </row>
    <row r="4580" spans="9:9" x14ac:dyDescent="0.25">
      <c r="I4580" s="2"/>
    </row>
    <row r="4581" spans="9:9" x14ac:dyDescent="0.25">
      <c r="I4581" s="2"/>
    </row>
    <row r="4582" spans="9:9" x14ac:dyDescent="0.25">
      <c r="I4582" s="2"/>
    </row>
    <row r="4583" spans="9:9" x14ac:dyDescent="0.25">
      <c r="I4583" s="2"/>
    </row>
    <row r="4584" spans="9:9" x14ac:dyDescent="0.25">
      <c r="I4584" s="2"/>
    </row>
    <row r="4585" spans="9:9" x14ac:dyDescent="0.25">
      <c r="I4585" s="2"/>
    </row>
    <row r="4586" spans="9:9" x14ac:dyDescent="0.25">
      <c r="I4586" s="2"/>
    </row>
    <row r="4587" spans="9:9" x14ac:dyDescent="0.25">
      <c r="I4587" s="2"/>
    </row>
    <row r="4588" spans="9:9" x14ac:dyDescent="0.25">
      <c r="I4588" s="2"/>
    </row>
    <row r="4589" spans="9:9" x14ac:dyDescent="0.25">
      <c r="I4589" s="2"/>
    </row>
    <row r="4590" spans="9:9" x14ac:dyDescent="0.25">
      <c r="I4590" s="2"/>
    </row>
    <row r="4591" spans="9:9" x14ac:dyDescent="0.25">
      <c r="I4591" s="2"/>
    </row>
    <row r="4592" spans="9:9" x14ac:dyDescent="0.25">
      <c r="I4592" s="2"/>
    </row>
    <row r="4593" spans="9:9" x14ac:dyDescent="0.25">
      <c r="I4593" s="2"/>
    </row>
    <row r="4594" spans="9:9" x14ac:dyDescent="0.25">
      <c r="I4594" s="2"/>
    </row>
    <row r="4595" spans="9:9" x14ac:dyDescent="0.25">
      <c r="I4595" s="2"/>
    </row>
    <row r="4596" spans="9:9" x14ac:dyDescent="0.25">
      <c r="I4596" s="2"/>
    </row>
    <row r="4597" spans="9:9" x14ac:dyDescent="0.25">
      <c r="I4597" s="2"/>
    </row>
    <row r="4598" spans="9:9" x14ac:dyDescent="0.25">
      <c r="I4598" s="2"/>
    </row>
    <row r="4599" spans="9:9" x14ac:dyDescent="0.25">
      <c r="I4599" s="2"/>
    </row>
    <row r="4600" spans="9:9" x14ac:dyDescent="0.25">
      <c r="I4600" s="2"/>
    </row>
    <row r="4601" spans="9:9" x14ac:dyDescent="0.25">
      <c r="I4601" s="2"/>
    </row>
    <row r="4602" spans="9:9" x14ac:dyDescent="0.25">
      <c r="I4602" s="2"/>
    </row>
    <row r="4603" spans="9:9" x14ac:dyDescent="0.25">
      <c r="I4603" s="2"/>
    </row>
    <row r="4604" spans="9:9" x14ac:dyDescent="0.25">
      <c r="I4604" s="2"/>
    </row>
    <row r="4605" spans="9:9" x14ac:dyDescent="0.25">
      <c r="I4605" s="2"/>
    </row>
    <row r="4606" spans="9:9" x14ac:dyDescent="0.25">
      <c r="I4606" s="2"/>
    </row>
    <row r="4607" spans="9:9" x14ac:dyDescent="0.25">
      <c r="I4607" s="2"/>
    </row>
    <row r="4608" spans="9:9" x14ac:dyDescent="0.25">
      <c r="I4608" s="2"/>
    </row>
    <row r="4609" spans="9:9" x14ac:dyDescent="0.25">
      <c r="I4609" s="2"/>
    </row>
    <row r="4610" spans="9:9" x14ac:dyDescent="0.25">
      <c r="I4610" s="2"/>
    </row>
    <row r="4611" spans="9:9" x14ac:dyDescent="0.25">
      <c r="I4611" s="2"/>
    </row>
    <row r="4612" spans="9:9" x14ac:dyDescent="0.25">
      <c r="I4612" s="2"/>
    </row>
    <row r="4613" spans="9:9" x14ac:dyDescent="0.25">
      <c r="I4613" s="2"/>
    </row>
    <row r="4614" spans="9:9" x14ac:dyDescent="0.25">
      <c r="I4614" s="2"/>
    </row>
    <row r="4615" spans="9:9" x14ac:dyDescent="0.25">
      <c r="I4615" s="2"/>
    </row>
    <row r="4616" spans="9:9" x14ac:dyDescent="0.25">
      <c r="I4616" s="2"/>
    </row>
    <row r="4617" spans="9:9" x14ac:dyDescent="0.25">
      <c r="I4617" s="2"/>
    </row>
    <row r="4618" spans="9:9" x14ac:dyDescent="0.25">
      <c r="I4618" s="2"/>
    </row>
    <row r="4619" spans="9:9" x14ac:dyDescent="0.25">
      <c r="I4619" s="2"/>
    </row>
    <row r="4620" spans="9:9" x14ac:dyDescent="0.25">
      <c r="I4620" s="2"/>
    </row>
    <row r="4621" spans="9:9" x14ac:dyDescent="0.25">
      <c r="I4621" s="2"/>
    </row>
    <row r="4622" spans="9:9" x14ac:dyDescent="0.25">
      <c r="I4622" s="2"/>
    </row>
    <row r="4623" spans="9:9" x14ac:dyDescent="0.25">
      <c r="I4623" s="2"/>
    </row>
    <row r="4624" spans="9:9" x14ac:dyDescent="0.25">
      <c r="I4624" s="2"/>
    </row>
    <row r="4625" spans="9:9" x14ac:dyDescent="0.25">
      <c r="I4625" s="2"/>
    </row>
    <row r="4626" spans="9:9" x14ac:dyDescent="0.25">
      <c r="I4626" s="2"/>
    </row>
    <row r="4627" spans="9:9" x14ac:dyDescent="0.25">
      <c r="I4627" s="2"/>
    </row>
    <row r="4628" spans="9:9" x14ac:dyDescent="0.25">
      <c r="I4628" s="2"/>
    </row>
    <row r="4629" spans="9:9" x14ac:dyDescent="0.25">
      <c r="I4629" s="2"/>
    </row>
    <row r="4630" spans="9:9" x14ac:dyDescent="0.25">
      <c r="I4630" s="2"/>
    </row>
    <row r="4631" spans="9:9" x14ac:dyDescent="0.25">
      <c r="I4631" s="2"/>
    </row>
    <row r="4632" spans="9:9" x14ac:dyDescent="0.25">
      <c r="I4632" s="2"/>
    </row>
    <row r="4633" spans="9:9" x14ac:dyDescent="0.25">
      <c r="I4633" s="2"/>
    </row>
    <row r="4634" spans="9:9" x14ac:dyDescent="0.25">
      <c r="I4634" s="2"/>
    </row>
    <row r="4635" spans="9:9" x14ac:dyDescent="0.25">
      <c r="I4635" s="2"/>
    </row>
    <row r="4636" spans="9:9" x14ac:dyDescent="0.25">
      <c r="I4636" s="2"/>
    </row>
    <row r="4637" spans="9:9" x14ac:dyDescent="0.25">
      <c r="I4637" s="2"/>
    </row>
    <row r="4638" spans="9:9" x14ac:dyDescent="0.25">
      <c r="I4638" s="2"/>
    </row>
    <row r="4639" spans="9:9" x14ac:dyDescent="0.25">
      <c r="I4639" s="2"/>
    </row>
    <row r="4640" spans="9:9" x14ac:dyDescent="0.25">
      <c r="I4640" s="2"/>
    </row>
    <row r="4641" spans="9:9" x14ac:dyDescent="0.25">
      <c r="I4641" s="2"/>
    </row>
    <row r="4642" spans="9:9" x14ac:dyDescent="0.25">
      <c r="I4642" s="2"/>
    </row>
    <row r="4643" spans="9:9" x14ac:dyDescent="0.25">
      <c r="I4643" s="2"/>
    </row>
    <row r="4644" spans="9:9" x14ac:dyDescent="0.25">
      <c r="I4644" s="2"/>
    </row>
    <row r="4645" spans="9:9" x14ac:dyDescent="0.25">
      <c r="I4645" s="2"/>
    </row>
    <row r="4646" spans="9:9" x14ac:dyDescent="0.25">
      <c r="I4646" s="2"/>
    </row>
    <row r="4647" spans="9:9" x14ac:dyDescent="0.25">
      <c r="I4647" s="2"/>
    </row>
    <row r="4648" spans="9:9" x14ac:dyDescent="0.25">
      <c r="I4648" s="2"/>
    </row>
    <row r="4649" spans="9:9" x14ac:dyDescent="0.25">
      <c r="I4649" s="2"/>
    </row>
    <row r="4650" spans="9:9" x14ac:dyDescent="0.25">
      <c r="I4650" s="2"/>
    </row>
    <row r="4651" spans="9:9" x14ac:dyDescent="0.25">
      <c r="I4651" s="2"/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536B1-6F52-4A02-B0A5-B0BB6F4B0A02}">
  <dimension ref="A1:H3888"/>
  <sheetViews>
    <sheetView workbookViewId="0">
      <pane ySplit="1" topLeftCell="A2" activePane="bottomLeft" state="frozen"/>
      <selection pane="bottomLeft" activeCell="G2" sqref="G2"/>
    </sheetView>
  </sheetViews>
  <sheetFormatPr defaultRowHeight="15" x14ac:dyDescent="0.25"/>
  <cols>
    <col min="1" max="1" width="5" style="1" bestFit="1" customWidth="1"/>
    <col min="2" max="2" width="3.85546875" style="1" bestFit="1" customWidth="1"/>
    <col min="3" max="3" width="9" bestFit="1" customWidth="1"/>
    <col min="4" max="4" width="4.5703125" bestFit="1" customWidth="1"/>
    <col min="5" max="5" width="4.140625" bestFit="1" customWidth="1"/>
    <col min="6" max="6" width="9.85546875" bestFit="1" customWidth="1"/>
    <col min="7" max="7" width="12" bestFit="1" customWidth="1"/>
    <col min="8" max="8" width="14.85546875" bestFit="1" customWidth="1"/>
  </cols>
  <sheetData>
    <row r="1" spans="1:8" ht="30" customHeight="1" x14ac:dyDescent="0.25">
      <c r="A1" s="1" t="s">
        <v>1</v>
      </c>
      <c r="B1" s="1" t="s">
        <v>98</v>
      </c>
      <c r="C1" t="s">
        <v>53</v>
      </c>
      <c r="D1" s="1" t="s">
        <v>54</v>
      </c>
      <c r="E1" s="1" t="s">
        <v>0</v>
      </c>
      <c r="F1" s="7" t="s">
        <v>55</v>
      </c>
      <c r="G1" s="7" t="s">
        <v>102</v>
      </c>
      <c r="H1" s="11" t="s">
        <v>103</v>
      </c>
    </row>
    <row r="2" spans="1:8" x14ac:dyDescent="0.25">
      <c r="A2" s="1">
        <v>1987</v>
      </c>
      <c r="B2" s="1" t="s">
        <v>99</v>
      </c>
      <c r="C2" t="s">
        <v>52</v>
      </c>
      <c r="D2">
        <v>1</v>
      </c>
      <c r="E2">
        <v>32</v>
      </c>
      <c r="F2">
        <v>0.04</v>
      </c>
      <c r="G2">
        <f>(F2/0.01)/100</f>
        <v>0.04</v>
      </c>
      <c r="H2">
        <f>G2*(26.79/38.29)</f>
        <v>2.7986419430660745E-2</v>
      </c>
    </row>
    <row r="3" spans="1:8" x14ac:dyDescent="0.25">
      <c r="A3" s="1">
        <v>1987</v>
      </c>
      <c r="B3" s="1" t="s">
        <v>99</v>
      </c>
      <c r="C3" t="s">
        <v>52</v>
      </c>
      <c r="D3">
        <v>1</v>
      </c>
      <c r="E3">
        <v>32</v>
      </c>
      <c r="F3">
        <v>0.02</v>
      </c>
      <c r="G3">
        <f t="shared" ref="G3:G66" si="0">(F3/0.01)/100</f>
        <v>0.02</v>
      </c>
      <c r="H3">
        <f>G3*(26.79/38.29)</f>
        <v>1.3993209715330373E-2</v>
      </c>
    </row>
    <row r="4" spans="1:8" x14ac:dyDescent="0.25">
      <c r="A4" s="1">
        <v>1987</v>
      </c>
      <c r="B4" s="1" t="s">
        <v>99</v>
      </c>
      <c r="C4" t="s">
        <v>52</v>
      </c>
      <c r="D4">
        <v>1</v>
      </c>
      <c r="E4">
        <v>119</v>
      </c>
      <c r="F4">
        <v>0.01</v>
      </c>
      <c r="G4">
        <f t="shared" si="0"/>
        <v>0.01</v>
      </c>
      <c r="H4">
        <f>G4*(26.79/38.29)</f>
        <v>6.9966048576651863E-3</v>
      </c>
    </row>
    <row r="5" spans="1:8" x14ac:dyDescent="0.25">
      <c r="A5" s="1">
        <v>1987</v>
      </c>
      <c r="B5" s="1" t="s">
        <v>99</v>
      </c>
      <c r="C5" t="s">
        <v>52</v>
      </c>
      <c r="D5">
        <v>2</v>
      </c>
      <c r="E5">
        <v>32</v>
      </c>
      <c r="F5">
        <v>0.02</v>
      </c>
      <c r="G5">
        <f t="shared" si="0"/>
        <v>0.02</v>
      </c>
      <c r="H5">
        <f>G5*(26.79/38.29)</f>
        <v>1.3993209715330373E-2</v>
      </c>
    </row>
    <row r="6" spans="1:8" x14ac:dyDescent="0.25">
      <c r="A6" s="1">
        <v>1987</v>
      </c>
      <c r="B6" s="1" t="s">
        <v>99</v>
      </c>
      <c r="C6" t="s">
        <v>52</v>
      </c>
      <c r="D6">
        <v>2</v>
      </c>
      <c r="E6">
        <v>32</v>
      </c>
      <c r="F6">
        <v>0.09</v>
      </c>
      <c r="G6">
        <f t="shared" si="0"/>
        <v>0.09</v>
      </c>
      <c r="H6">
        <f>G6*(26.79/38.29)</f>
        <v>6.2969443718986676E-2</v>
      </c>
    </row>
    <row r="7" spans="1:8" x14ac:dyDescent="0.25">
      <c r="A7" s="1">
        <v>1987</v>
      </c>
      <c r="B7" s="1" t="s">
        <v>99</v>
      </c>
      <c r="C7" t="s">
        <v>52</v>
      </c>
      <c r="D7">
        <v>3</v>
      </c>
      <c r="E7">
        <v>32</v>
      </c>
      <c r="F7">
        <v>0.01</v>
      </c>
      <c r="G7">
        <f t="shared" si="0"/>
        <v>0.01</v>
      </c>
      <c r="H7">
        <f>G7*(26.79/38.29)</f>
        <v>6.9966048576651863E-3</v>
      </c>
    </row>
    <row r="8" spans="1:8" x14ac:dyDescent="0.25">
      <c r="A8" s="1">
        <v>1987</v>
      </c>
      <c r="B8" s="1" t="s">
        <v>99</v>
      </c>
      <c r="C8" t="s">
        <v>52</v>
      </c>
      <c r="D8">
        <v>3</v>
      </c>
      <c r="E8">
        <v>32</v>
      </c>
      <c r="F8">
        <v>0.01</v>
      </c>
      <c r="G8">
        <f t="shared" si="0"/>
        <v>0.01</v>
      </c>
      <c r="H8">
        <f>G8*(26.79/38.29)</f>
        <v>6.9966048576651863E-3</v>
      </c>
    </row>
    <row r="9" spans="1:8" x14ac:dyDescent="0.25">
      <c r="A9" s="1">
        <v>1987</v>
      </c>
      <c r="B9" s="1" t="s">
        <v>99</v>
      </c>
      <c r="C9" t="s">
        <v>52</v>
      </c>
      <c r="D9">
        <v>3</v>
      </c>
      <c r="E9">
        <v>32</v>
      </c>
      <c r="F9">
        <v>0.01</v>
      </c>
      <c r="G9">
        <f t="shared" si="0"/>
        <v>0.01</v>
      </c>
      <c r="H9">
        <f>G9*(26.79/38.29)</f>
        <v>6.9966048576651863E-3</v>
      </c>
    </row>
    <row r="10" spans="1:8" x14ac:dyDescent="0.25">
      <c r="A10" s="1">
        <v>1987</v>
      </c>
      <c r="B10" s="1" t="s">
        <v>99</v>
      </c>
      <c r="C10" t="s">
        <v>52</v>
      </c>
      <c r="D10">
        <v>3</v>
      </c>
      <c r="E10">
        <v>32</v>
      </c>
      <c r="F10">
        <v>0.09</v>
      </c>
      <c r="G10">
        <f t="shared" si="0"/>
        <v>0.09</v>
      </c>
      <c r="H10">
        <f>G10*(26.79/38.29)</f>
        <v>6.2969443718986676E-2</v>
      </c>
    </row>
    <row r="11" spans="1:8" x14ac:dyDescent="0.25">
      <c r="A11" s="1">
        <v>1987</v>
      </c>
      <c r="B11" s="1" t="s">
        <v>99</v>
      </c>
      <c r="C11" t="s">
        <v>52</v>
      </c>
      <c r="D11">
        <v>4</v>
      </c>
      <c r="E11">
        <v>32</v>
      </c>
      <c r="F11">
        <v>0.05</v>
      </c>
      <c r="G11">
        <f t="shared" si="0"/>
        <v>0.05</v>
      </c>
      <c r="H11">
        <f>G11*(26.79/38.29)</f>
        <v>3.4983024288325934E-2</v>
      </c>
    </row>
    <row r="12" spans="1:8" x14ac:dyDescent="0.25">
      <c r="A12" s="1">
        <v>1987</v>
      </c>
      <c r="B12" s="1" t="s">
        <v>99</v>
      </c>
      <c r="C12" t="s">
        <v>52</v>
      </c>
      <c r="D12">
        <v>4</v>
      </c>
      <c r="E12">
        <v>32</v>
      </c>
      <c r="F12">
        <v>0.02</v>
      </c>
      <c r="G12">
        <f t="shared" si="0"/>
        <v>0.02</v>
      </c>
      <c r="H12">
        <f>G12*(26.79/38.29)</f>
        <v>1.3993209715330373E-2</v>
      </c>
    </row>
    <row r="13" spans="1:8" x14ac:dyDescent="0.25">
      <c r="A13" s="1">
        <v>1987</v>
      </c>
      <c r="B13" s="1" t="s">
        <v>99</v>
      </c>
      <c r="C13" t="s">
        <v>52</v>
      </c>
      <c r="D13">
        <v>4</v>
      </c>
      <c r="E13">
        <v>32</v>
      </c>
      <c r="F13">
        <v>0.02</v>
      </c>
      <c r="G13">
        <f t="shared" si="0"/>
        <v>0.02</v>
      </c>
      <c r="H13">
        <f>G13*(26.79/38.29)</f>
        <v>1.3993209715330373E-2</v>
      </c>
    </row>
    <row r="14" spans="1:8" x14ac:dyDescent="0.25">
      <c r="A14" s="1">
        <v>1987</v>
      </c>
      <c r="B14" s="1" t="s">
        <v>99</v>
      </c>
      <c r="C14" t="s">
        <v>52</v>
      </c>
      <c r="D14">
        <v>4</v>
      </c>
      <c r="E14">
        <v>32</v>
      </c>
      <c r="F14">
        <v>7.0000000000000007E-2</v>
      </c>
      <c r="G14">
        <f t="shared" si="0"/>
        <v>7.0000000000000007E-2</v>
      </c>
      <c r="H14">
        <f>G14*(26.79/38.29)</f>
        <v>4.8976234003656312E-2</v>
      </c>
    </row>
    <row r="15" spans="1:8" x14ac:dyDescent="0.25">
      <c r="A15" s="1">
        <v>1987</v>
      </c>
      <c r="B15" s="1" t="s">
        <v>99</v>
      </c>
      <c r="C15" t="s">
        <v>52</v>
      </c>
      <c r="D15">
        <v>4</v>
      </c>
      <c r="E15">
        <v>32</v>
      </c>
      <c r="F15">
        <v>0.03</v>
      </c>
      <c r="G15">
        <f t="shared" si="0"/>
        <v>0.03</v>
      </c>
      <c r="H15">
        <f>G15*(26.79/38.29)</f>
        <v>2.0989814572995556E-2</v>
      </c>
    </row>
    <row r="16" spans="1:8" x14ac:dyDescent="0.25">
      <c r="A16" s="1">
        <v>1987</v>
      </c>
      <c r="B16" s="1" t="s">
        <v>99</v>
      </c>
      <c r="C16" t="s">
        <v>52</v>
      </c>
      <c r="D16">
        <v>4</v>
      </c>
      <c r="E16">
        <v>32</v>
      </c>
      <c r="F16">
        <v>0.03</v>
      </c>
      <c r="G16">
        <f t="shared" si="0"/>
        <v>0.03</v>
      </c>
      <c r="H16">
        <f>G16*(26.79/38.29)</f>
        <v>2.0989814572995556E-2</v>
      </c>
    </row>
    <row r="17" spans="1:8" x14ac:dyDescent="0.25">
      <c r="A17" s="1">
        <v>1987</v>
      </c>
      <c r="B17" s="1" t="s">
        <v>99</v>
      </c>
      <c r="C17" t="s">
        <v>52</v>
      </c>
      <c r="D17">
        <v>4</v>
      </c>
      <c r="E17">
        <v>32</v>
      </c>
      <c r="F17">
        <v>0.02</v>
      </c>
      <c r="G17">
        <f t="shared" si="0"/>
        <v>0.02</v>
      </c>
      <c r="H17">
        <f>G17*(26.79/38.29)</f>
        <v>1.3993209715330373E-2</v>
      </c>
    </row>
    <row r="18" spans="1:8" x14ac:dyDescent="0.25">
      <c r="A18" s="1">
        <v>1987</v>
      </c>
      <c r="B18" s="1" t="s">
        <v>99</v>
      </c>
      <c r="C18" t="s">
        <v>52</v>
      </c>
      <c r="D18">
        <v>4</v>
      </c>
      <c r="E18">
        <v>34</v>
      </c>
      <c r="F18">
        <v>0.11</v>
      </c>
      <c r="G18">
        <f t="shared" si="0"/>
        <v>0.11</v>
      </c>
      <c r="H18">
        <f>G18*(26.79/38.29)</f>
        <v>7.6962653434317047E-2</v>
      </c>
    </row>
    <row r="19" spans="1:8" x14ac:dyDescent="0.25">
      <c r="A19" s="1">
        <v>1987</v>
      </c>
      <c r="B19" s="1" t="s">
        <v>99</v>
      </c>
      <c r="C19" t="s">
        <v>52</v>
      </c>
      <c r="D19">
        <v>4</v>
      </c>
      <c r="E19">
        <v>63</v>
      </c>
      <c r="F19">
        <v>7.0000000000000007E-2</v>
      </c>
      <c r="G19">
        <f t="shared" si="0"/>
        <v>7.0000000000000007E-2</v>
      </c>
      <c r="H19">
        <f>G19*(26.79/38.29)</f>
        <v>4.8976234003656312E-2</v>
      </c>
    </row>
    <row r="20" spans="1:8" x14ac:dyDescent="0.25">
      <c r="A20" s="1">
        <v>1987</v>
      </c>
      <c r="B20" s="1" t="s">
        <v>99</v>
      </c>
      <c r="C20" t="s">
        <v>52</v>
      </c>
      <c r="D20">
        <v>5</v>
      </c>
      <c r="E20">
        <v>32</v>
      </c>
      <c r="F20">
        <v>0.13</v>
      </c>
      <c r="G20">
        <f t="shared" si="0"/>
        <v>0.13</v>
      </c>
      <c r="H20">
        <f>G20*(26.79/38.29)</f>
        <v>9.0955863149647431E-2</v>
      </c>
    </row>
    <row r="21" spans="1:8" x14ac:dyDescent="0.25">
      <c r="A21" s="1">
        <v>1987</v>
      </c>
      <c r="B21" s="1" t="s">
        <v>99</v>
      </c>
      <c r="C21" t="s">
        <v>52</v>
      </c>
      <c r="D21">
        <v>5</v>
      </c>
      <c r="E21">
        <v>32</v>
      </c>
      <c r="F21">
        <v>0.01</v>
      </c>
      <c r="G21">
        <f t="shared" si="0"/>
        <v>0.01</v>
      </c>
      <c r="H21">
        <f>G21*(26.79/38.29)</f>
        <v>6.9966048576651863E-3</v>
      </c>
    </row>
    <row r="22" spans="1:8" x14ac:dyDescent="0.25">
      <c r="A22" s="1">
        <v>1987</v>
      </c>
      <c r="B22" s="1" t="s">
        <v>99</v>
      </c>
      <c r="C22" t="s">
        <v>52</v>
      </c>
      <c r="D22">
        <v>5</v>
      </c>
      <c r="E22">
        <v>32</v>
      </c>
      <c r="F22">
        <v>0.01</v>
      </c>
      <c r="G22">
        <f t="shared" si="0"/>
        <v>0.01</v>
      </c>
      <c r="H22">
        <f>G22*(26.79/38.29)</f>
        <v>6.9966048576651863E-3</v>
      </c>
    </row>
    <row r="23" spans="1:8" x14ac:dyDescent="0.25">
      <c r="A23" s="1">
        <v>1987</v>
      </c>
      <c r="B23" s="1" t="s">
        <v>99</v>
      </c>
      <c r="C23" t="s">
        <v>52</v>
      </c>
      <c r="D23">
        <v>6</v>
      </c>
      <c r="E23">
        <v>119</v>
      </c>
      <c r="F23">
        <v>0.02</v>
      </c>
      <c r="G23">
        <f t="shared" si="0"/>
        <v>0.02</v>
      </c>
      <c r="H23">
        <f>G23*(26.79/38.29)</f>
        <v>1.3993209715330373E-2</v>
      </c>
    </row>
    <row r="24" spans="1:8" x14ac:dyDescent="0.25">
      <c r="A24" s="1">
        <v>1987</v>
      </c>
      <c r="B24" s="1" t="s">
        <v>99</v>
      </c>
      <c r="C24" t="s">
        <v>52</v>
      </c>
      <c r="D24">
        <v>6</v>
      </c>
      <c r="E24">
        <v>119</v>
      </c>
      <c r="F24">
        <v>0.03</v>
      </c>
      <c r="G24">
        <f t="shared" si="0"/>
        <v>0.03</v>
      </c>
      <c r="H24">
        <f>G24*(26.79/38.29)</f>
        <v>2.0989814572995556E-2</v>
      </c>
    </row>
    <row r="25" spans="1:8" x14ac:dyDescent="0.25">
      <c r="A25" s="1">
        <v>1987</v>
      </c>
      <c r="B25" s="1" t="s">
        <v>99</v>
      </c>
      <c r="C25" t="s">
        <v>52</v>
      </c>
      <c r="D25">
        <v>6</v>
      </c>
      <c r="E25">
        <v>119</v>
      </c>
      <c r="F25">
        <v>0.02</v>
      </c>
      <c r="G25">
        <f t="shared" si="0"/>
        <v>0.02</v>
      </c>
      <c r="H25">
        <f>G25*(26.79/38.29)</f>
        <v>1.3993209715330373E-2</v>
      </c>
    </row>
    <row r="26" spans="1:8" x14ac:dyDescent="0.25">
      <c r="A26" s="1">
        <v>1987</v>
      </c>
      <c r="B26" s="1" t="s">
        <v>99</v>
      </c>
      <c r="C26" t="s">
        <v>52</v>
      </c>
      <c r="D26">
        <v>6</v>
      </c>
      <c r="E26">
        <v>119</v>
      </c>
      <c r="F26">
        <v>0.03</v>
      </c>
      <c r="G26">
        <f t="shared" si="0"/>
        <v>0.03</v>
      </c>
      <c r="H26">
        <f>G26*(26.79/38.29)</f>
        <v>2.0989814572995556E-2</v>
      </c>
    </row>
    <row r="27" spans="1:8" x14ac:dyDescent="0.25">
      <c r="A27" s="1">
        <v>1987</v>
      </c>
      <c r="B27" s="1" t="s">
        <v>99</v>
      </c>
      <c r="C27" t="s">
        <v>52</v>
      </c>
      <c r="D27">
        <v>7</v>
      </c>
      <c r="E27">
        <v>66</v>
      </c>
      <c r="F27">
        <v>0.02</v>
      </c>
      <c r="G27">
        <f t="shared" si="0"/>
        <v>0.02</v>
      </c>
      <c r="H27">
        <f>G27*(26.79/38.29)</f>
        <v>1.3993209715330373E-2</v>
      </c>
    </row>
    <row r="28" spans="1:8" x14ac:dyDescent="0.25">
      <c r="A28" s="1">
        <v>1987</v>
      </c>
      <c r="B28" s="1" t="s">
        <v>99</v>
      </c>
      <c r="C28" t="s">
        <v>52</v>
      </c>
      <c r="D28">
        <v>7</v>
      </c>
      <c r="E28">
        <v>76</v>
      </c>
      <c r="F28">
        <v>0.04</v>
      </c>
      <c r="G28">
        <f t="shared" si="0"/>
        <v>0.04</v>
      </c>
      <c r="H28">
        <f>G28*(26.79/38.29)</f>
        <v>2.7986419430660745E-2</v>
      </c>
    </row>
    <row r="29" spans="1:8" x14ac:dyDescent="0.25">
      <c r="A29" s="1">
        <v>1987</v>
      </c>
      <c r="B29" s="1" t="s">
        <v>99</v>
      </c>
      <c r="C29" t="s">
        <v>52</v>
      </c>
      <c r="D29">
        <v>7</v>
      </c>
      <c r="E29">
        <v>76</v>
      </c>
      <c r="F29">
        <v>0.06</v>
      </c>
      <c r="G29">
        <f t="shared" si="0"/>
        <v>0.06</v>
      </c>
      <c r="H29">
        <f>G29*(26.79/38.29)</f>
        <v>4.1979629145991113E-2</v>
      </c>
    </row>
    <row r="30" spans="1:8" x14ac:dyDescent="0.25">
      <c r="A30" s="1">
        <v>1987</v>
      </c>
      <c r="B30" s="1" t="s">
        <v>99</v>
      </c>
      <c r="C30" t="s">
        <v>52</v>
      </c>
      <c r="D30">
        <v>7</v>
      </c>
      <c r="E30">
        <v>76</v>
      </c>
      <c r="F30">
        <v>0.09</v>
      </c>
      <c r="G30">
        <f t="shared" si="0"/>
        <v>0.09</v>
      </c>
      <c r="H30">
        <f>G30*(26.79/38.29)</f>
        <v>6.2969443718986676E-2</v>
      </c>
    </row>
    <row r="31" spans="1:8" x14ac:dyDescent="0.25">
      <c r="A31" s="1">
        <v>1987</v>
      </c>
      <c r="B31" s="1" t="s">
        <v>99</v>
      </c>
      <c r="C31" t="s">
        <v>52</v>
      </c>
      <c r="D31">
        <v>8</v>
      </c>
      <c r="E31">
        <v>11</v>
      </c>
      <c r="F31">
        <v>0.03</v>
      </c>
      <c r="G31">
        <f t="shared" si="0"/>
        <v>0.03</v>
      </c>
      <c r="H31">
        <f>G31*(26.79/38.29)</f>
        <v>2.0989814572995556E-2</v>
      </c>
    </row>
    <row r="32" spans="1:8" x14ac:dyDescent="0.25">
      <c r="A32" s="1">
        <v>1987</v>
      </c>
      <c r="B32" s="1" t="s">
        <v>99</v>
      </c>
      <c r="C32" t="s">
        <v>52</v>
      </c>
      <c r="D32">
        <v>8</v>
      </c>
      <c r="E32">
        <v>32</v>
      </c>
      <c r="F32">
        <v>0.01</v>
      </c>
      <c r="G32">
        <f t="shared" si="0"/>
        <v>0.01</v>
      </c>
      <c r="H32">
        <f>G32*(26.79/38.29)</f>
        <v>6.9966048576651863E-3</v>
      </c>
    </row>
    <row r="33" spans="1:8" x14ac:dyDescent="0.25">
      <c r="A33" s="1">
        <v>1987</v>
      </c>
      <c r="B33" s="1" t="s">
        <v>99</v>
      </c>
      <c r="C33" t="s">
        <v>52</v>
      </c>
      <c r="D33">
        <v>8</v>
      </c>
      <c r="E33">
        <v>32</v>
      </c>
      <c r="F33">
        <v>0.01</v>
      </c>
      <c r="G33">
        <f t="shared" si="0"/>
        <v>0.01</v>
      </c>
      <c r="H33">
        <f>G33*(26.79/38.29)</f>
        <v>6.9966048576651863E-3</v>
      </c>
    </row>
    <row r="34" spans="1:8" x14ac:dyDescent="0.25">
      <c r="A34" s="1">
        <v>1987</v>
      </c>
      <c r="B34" s="1" t="s">
        <v>99</v>
      </c>
      <c r="C34" t="s">
        <v>52</v>
      </c>
      <c r="D34">
        <v>8</v>
      </c>
      <c r="E34">
        <v>66</v>
      </c>
      <c r="F34">
        <v>0.02</v>
      </c>
      <c r="G34">
        <f t="shared" si="0"/>
        <v>0.02</v>
      </c>
      <c r="H34">
        <f>G34*(26.79/38.29)</f>
        <v>1.3993209715330373E-2</v>
      </c>
    </row>
    <row r="35" spans="1:8" x14ac:dyDescent="0.25">
      <c r="A35" s="1">
        <v>1987</v>
      </c>
      <c r="B35" s="1" t="s">
        <v>99</v>
      </c>
      <c r="C35" t="s">
        <v>52</v>
      </c>
      <c r="D35">
        <v>8</v>
      </c>
      <c r="E35">
        <v>76</v>
      </c>
      <c r="F35">
        <v>0.01</v>
      </c>
      <c r="G35">
        <f t="shared" si="0"/>
        <v>0.01</v>
      </c>
      <c r="H35">
        <f>G35*(26.79/38.29)</f>
        <v>6.9966048576651863E-3</v>
      </c>
    </row>
    <row r="36" spans="1:8" x14ac:dyDescent="0.25">
      <c r="A36" s="1">
        <v>1987</v>
      </c>
      <c r="B36" s="1" t="s">
        <v>99</v>
      </c>
      <c r="C36" t="s">
        <v>52</v>
      </c>
      <c r="D36">
        <v>9</v>
      </c>
      <c r="E36">
        <v>32</v>
      </c>
      <c r="F36">
        <v>0.03</v>
      </c>
      <c r="G36">
        <f t="shared" si="0"/>
        <v>0.03</v>
      </c>
      <c r="H36">
        <f>G36*(26.79/38.29)</f>
        <v>2.0989814572995556E-2</v>
      </c>
    </row>
    <row r="37" spans="1:8" x14ac:dyDescent="0.25">
      <c r="A37" s="1">
        <v>1987</v>
      </c>
      <c r="B37" s="1" t="s">
        <v>99</v>
      </c>
      <c r="C37" t="s">
        <v>52</v>
      </c>
      <c r="D37">
        <v>9</v>
      </c>
      <c r="E37">
        <v>32</v>
      </c>
      <c r="F37">
        <v>0.09</v>
      </c>
      <c r="G37">
        <f t="shared" si="0"/>
        <v>0.09</v>
      </c>
      <c r="H37">
        <f>G37*(26.79/38.29)</f>
        <v>6.2969443718986676E-2</v>
      </c>
    </row>
    <row r="38" spans="1:8" x14ac:dyDescent="0.25">
      <c r="A38" s="1">
        <v>1987</v>
      </c>
      <c r="B38" s="1" t="s">
        <v>99</v>
      </c>
      <c r="C38" t="s">
        <v>52</v>
      </c>
      <c r="D38">
        <v>9</v>
      </c>
      <c r="E38">
        <v>76</v>
      </c>
      <c r="F38">
        <v>0.02</v>
      </c>
      <c r="G38">
        <f t="shared" si="0"/>
        <v>0.02</v>
      </c>
      <c r="H38">
        <f>G38*(26.79/38.29)</f>
        <v>1.3993209715330373E-2</v>
      </c>
    </row>
    <row r="39" spans="1:8" x14ac:dyDescent="0.25">
      <c r="A39" s="1">
        <v>1987</v>
      </c>
      <c r="B39" s="1" t="s">
        <v>99</v>
      </c>
      <c r="C39" t="s">
        <v>52</v>
      </c>
      <c r="D39">
        <v>10</v>
      </c>
      <c r="E39">
        <v>32</v>
      </c>
      <c r="F39">
        <v>0.06</v>
      </c>
      <c r="G39">
        <f t="shared" si="0"/>
        <v>0.06</v>
      </c>
      <c r="H39">
        <f>G39*(26.79/38.29)</f>
        <v>4.1979629145991113E-2</v>
      </c>
    </row>
    <row r="40" spans="1:8" x14ac:dyDescent="0.25">
      <c r="A40" s="1">
        <v>1987</v>
      </c>
      <c r="B40" s="1" t="s">
        <v>99</v>
      </c>
      <c r="C40" t="s">
        <v>52</v>
      </c>
      <c r="D40">
        <v>10</v>
      </c>
      <c r="E40">
        <v>32</v>
      </c>
      <c r="F40">
        <v>0.01</v>
      </c>
      <c r="G40">
        <f t="shared" si="0"/>
        <v>0.01</v>
      </c>
      <c r="H40">
        <f>G40*(26.79/38.29)</f>
        <v>6.9966048576651863E-3</v>
      </c>
    </row>
    <row r="41" spans="1:8" x14ac:dyDescent="0.25">
      <c r="A41" s="1">
        <v>1987</v>
      </c>
      <c r="B41" s="1" t="s">
        <v>99</v>
      </c>
      <c r="C41" t="s">
        <v>52</v>
      </c>
      <c r="D41">
        <v>10</v>
      </c>
      <c r="E41">
        <v>32</v>
      </c>
      <c r="F41">
        <v>0.01</v>
      </c>
      <c r="G41">
        <f t="shared" si="0"/>
        <v>0.01</v>
      </c>
      <c r="H41">
        <f>G41*(26.79/38.29)</f>
        <v>6.9966048576651863E-3</v>
      </c>
    </row>
    <row r="42" spans="1:8" x14ac:dyDescent="0.25">
      <c r="A42" s="1">
        <v>1987</v>
      </c>
      <c r="B42" s="1" t="s">
        <v>99</v>
      </c>
      <c r="C42" t="s">
        <v>52</v>
      </c>
      <c r="D42">
        <v>10</v>
      </c>
      <c r="E42">
        <v>91</v>
      </c>
      <c r="F42">
        <v>0.09</v>
      </c>
      <c r="G42">
        <f t="shared" si="0"/>
        <v>0.09</v>
      </c>
      <c r="H42">
        <f>G42*(26.79/38.29)</f>
        <v>6.2969443718986676E-2</v>
      </c>
    </row>
    <row r="43" spans="1:8" x14ac:dyDescent="0.25">
      <c r="A43" s="1">
        <v>1987</v>
      </c>
      <c r="B43" s="1" t="s">
        <v>99</v>
      </c>
      <c r="C43" t="s">
        <v>52</v>
      </c>
      <c r="D43">
        <v>10</v>
      </c>
      <c r="E43">
        <v>119</v>
      </c>
      <c r="F43">
        <v>0.01</v>
      </c>
      <c r="G43">
        <f t="shared" si="0"/>
        <v>0.01</v>
      </c>
      <c r="H43">
        <f>G43*(26.79/38.29)</f>
        <v>6.9966048576651863E-3</v>
      </c>
    </row>
    <row r="44" spans="1:8" x14ac:dyDescent="0.25">
      <c r="A44" s="1">
        <v>1987</v>
      </c>
      <c r="B44" s="1" t="s">
        <v>99</v>
      </c>
      <c r="C44" t="s">
        <v>52</v>
      </c>
      <c r="D44">
        <v>11</v>
      </c>
      <c r="E44">
        <v>32</v>
      </c>
      <c r="F44">
        <v>0.11</v>
      </c>
      <c r="G44">
        <f t="shared" si="0"/>
        <v>0.11</v>
      </c>
      <c r="H44">
        <f>G44*(26.79/38.29)</f>
        <v>7.6962653434317047E-2</v>
      </c>
    </row>
    <row r="45" spans="1:8" x14ac:dyDescent="0.25">
      <c r="A45" s="1">
        <v>1987</v>
      </c>
      <c r="B45" s="1" t="s">
        <v>99</v>
      </c>
      <c r="C45" t="s">
        <v>52</v>
      </c>
      <c r="D45">
        <v>11</v>
      </c>
      <c r="E45">
        <v>32</v>
      </c>
      <c r="F45">
        <v>0.02</v>
      </c>
      <c r="G45">
        <f t="shared" si="0"/>
        <v>0.02</v>
      </c>
      <c r="H45">
        <f>G45*(26.79/38.29)</f>
        <v>1.3993209715330373E-2</v>
      </c>
    </row>
    <row r="46" spans="1:8" x14ac:dyDescent="0.25">
      <c r="A46" s="1">
        <v>1987</v>
      </c>
      <c r="B46" s="1" t="s">
        <v>99</v>
      </c>
      <c r="C46" t="s">
        <v>52</v>
      </c>
      <c r="D46">
        <v>11</v>
      </c>
      <c r="E46">
        <v>76</v>
      </c>
      <c r="F46">
        <v>0.01</v>
      </c>
      <c r="G46">
        <f t="shared" si="0"/>
        <v>0.01</v>
      </c>
      <c r="H46">
        <f>G46*(26.79/38.29)</f>
        <v>6.9966048576651863E-3</v>
      </c>
    </row>
    <row r="47" spans="1:8" x14ac:dyDescent="0.25">
      <c r="A47" s="1">
        <v>1987</v>
      </c>
      <c r="B47" s="1" t="s">
        <v>99</v>
      </c>
      <c r="C47" t="s">
        <v>52</v>
      </c>
      <c r="D47">
        <v>11</v>
      </c>
      <c r="E47">
        <v>111</v>
      </c>
      <c r="F47">
        <v>0.02</v>
      </c>
      <c r="G47">
        <f t="shared" si="0"/>
        <v>0.02</v>
      </c>
      <c r="H47">
        <f>G47*(26.79/38.29)</f>
        <v>1.3993209715330373E-2</v>
      </c>
    </row>
    <row r="48" spans="1:8" x14ac:dyDescent="0.25">
      <c r="A48" s="1">
        <v>1987</v>
      </c>
      <c r="B48" s="1" t="s">
        <v>99</v>
      </c>
      <c r="C48" t="s">
        <v>52</v>
      </c>
      <c r="D48">
        <v>12</v>
      </c>
      <c r="E48">
        <v>66</v>
      </c>
      <c r="F48">
        <v>0.01</v>
      </c>
      <c r="G48">
        <f t="shared" si="0"/>
        <v>0.01</v>
      </c>
      <c r="H48">
        <f>G48*(26.79/38.29)</f>
        <v>6.9966048576651863E-3</v>
      </c>
    </row>
    <row r="49" spans="1:8" x14ac:dyDescent="0.25">
      <c r="A49" s="1">
        <v>1987</v>
      </c>
      <c r="B49" s="1" t="s">
        <v>99</v>
      </c>
      <c r="C49" t="s">
        <v>52</v>
      </c>
      <c r="D49">
        <v>12</v>
      </c>
      <c r="E49">
        <v>66</v>
      </c>
      <c r="F49">
        <v>0.01</v>
      </c>
      <c r="G49">
        <f t="shared" si="0"/>
        <v>0.01</v>
      </c>
      <c r="H49">
        <f>G49*(26.79/38.29)</f>
        <v>6.9966048576651863E-3</v>
      </c>
    </row>
    <row r="50" spans="1:8" x14ac:dyDescent="0.25">
      <c r="A50" s="1">
        <v>1987</v>
      </c>
      <c r="B50" s="1" t="s">
        <v>99</v>
      </c>
      <c r="C50" t="s">
        <v>52</v>
      </c>
      <c r="D50">
        <v>12</v>
      </c>
      <c r="E50">
        <v>76</v>
      </c>
      <c r="F50">
        <v>0.03</v>
      </c>
      <c r="G50">
        <f t="shared" si="0"/>
        <v>0.03</v>
      </c>
      <c r="H50">
        <f>G50*(26.79/38.29)</f>
        <v>2.0989814572995556E-2</v>
      </c>
    </row>
    <row r="51" spans="1:8" x14ac:dyDescent="0.25">
      <c r="A51" s="1">
        <v>1987</v>
      </c>
      <c r="B51" s="1" t="s">
        <v>99</v>
      </c>
      <c r="C51" t="s">
        <v>52</v>
      </c>
      <c r="D51">
        <v>12</v>
      </c>
      <c r="E51">
        <v>76</v>
      </c>
      <c r="F51">
        <v>0.01</v>
      </c>
      <c r="G51">
        <f t="shared" si="0"/>
        <v>0.01</v>
      </c>
      <c r="H51">
        <f>G51*(26.79/38.29)</f>
        <v>6.9966048576651863E-3</v>
      </c>
    </row>
    <row r="52" spans="1:8" x14ac:dyDescent="0.25">
      <c r="A52" s="1">
        <v>1987</v>
      </c>
      <c r="B52" s="1" t="s">
        <v>99</v>
      </c>
      <c r="C52" t="s">
        <v>52</v>
      </c>
      <c r="D52">
        <v>12</v>
      </c>
      <c r="E52">
        <v>111</v>
      </c>
      <c r="F52">
        <v>0.1</v>
      </c>
      <c r="G52">
        <f t="shared" si="0"/>
        <v>0.1</v>
      </c>
      <c r="H52">
        <f>G52*(26.79/38.29)</f>
        <v>6.9966048576651868E-2</v>
      </c>
    </row>
    <row r="53" spans="1:8" x14ac:dyDescent="0.25">
      <c r="A53" s="1">
        <v>1987</v>
      </c>
      <c r="B53" s="1" t="s">
        <v>99</v>
      </c>
      <c r="C53" t="s">
        <v>52</v>
      </c>
      <c r="D53">
        <v>12</v>
      </c>
      <c r="E53">
        <v>119</v>
      </c>
      <c r="F53">
        <v>0.01</v>
      </c>
      <c r="G53">
        <f t="shared" si="0"/>
        <v>0.01</v>
      </c>
      <c r="H53">
        <f>G53*(26.79/38.29)</f>
        <v>6.9966048576651863E-3</v>
      </c>
    </row>
    <row r="54" spans="1:8" x14ac:dyDescent="0.25">
      <c r="A54" s="1">
        <v>1987</v>
      </c>
      <c r="B54" s="1" t="s">
        <v>99</v>
      </c>
      <c r="C54" t="s">
        <v>52</v>
      </c>
      <c r="D54">
        <v>13</v>
      </c>
      <c r="E54">
        <v>32</v>
      </c>
      <c r="F54">
        <v>0.04</v>
      </c>
      <c r="G54">
        <f t="shared" si="0"/>
        <v>0.04</v>
      </c>
      <c r="H54">
        <f>G54*(26.79/38.29)</f>
        <v>2.7986419430660745E-2</v>
      </c>
    </row>
    <row r="55" spans="1:8" x14ac:dyDescent="0.25">
      <c r="A55" s="1">
        <v>1987</v>
      </c>
      <c r="B55" s="1" t="s">
        <v>99</v>
      </c>
      <c r="C55" t="s">
        <v>52</v>
      </c>
      <c r="D55">
        <v>13</v>
      </c>
      <c r="E55">
        <v>32</v>
      </c>
      <c r="F55">
        <v>0.03</v>
      </c>
      <c r="G55">
        <f t="shared" si="0"/>
        <v>0.03</v>
      </c>
      <c r="H55">
        <f>G55*(26.79/38.29)</f>
        <v>2.0989814572995556E-2</v>
      </c>
    </row>
    <row r="56" spans="1:8" x14ac:dyDescent="0.25">
      <c r="A56" s="1">
        <v>1987</v>
      </c>
      <c r="B56" s="1" t="s">
        <v>99</v>
      </c>
      <c r="C56" t="s">
        <v>52</v>
      </c>
      <c r="D56">
        <v>14</v>
      </c>
      <c r="E56">
        <v>53</v>
      </c>
      <c r="F56">
        <v>0.04</v>
      </c>
      <c r="G56">
        <f t="shared" si="0"/>
        <v>0.04</v>
      </c>
      <c r="H56">
        <f>G56*(26.79/38.29)</f>
        <v>2.7986419430660745E-2</v>
      </c>
    </row>
    <row r="57" spans="1:8" x14ac:dyDescent="0.25">
      <c r="A57" s="1">
        <v>1987</v>
      </c>
      <c r="B57" s="1" t="s">
        <v>99</v>
      </c>
      <c r="C57" t="s">
        <v>52</v>
      </c>
      <c r="D57">
        <v>14</v>
      </c>
      <c r="E57">
        <v>53</v>
      </c>
      <c r="F57">
        <v>0.09</v>
      </c>
      <c r="G57">
        <f t="shared" si="0"/>
        <v>0.09</v>
      </c>
      <c r="H57">
        <f>G57*(26.79/38.29)</f>
        <v>6.2969443718986676E-2</v>
      </c>
    </row>
    <row r="58" spans="1:8" x14ac:dyDescent="0.25">
      <c r="A58" s="1">
        <v>1987</v>
      </c>
      <c r="B58" s="1" t="s">
        <v>99</v>
      </c>
      <c r="C58" t="s">
        <v>52</v>
      </c>
      <c r="D58">
        <v>14</v>
      </c>
      <c r="E58">
        <v>76</v>
      </c>
      <c r="F58">
        <v>0.01</v>
      </c>
      <c r="G58">
        <f t="shared" si="0"/>
        <v>0.01</v>
      </c>
      <c r="H58">
        <f>G58*(26.79/38.29)</f>
        <v>6.9966048576651863E-3</v>
      </c>
    </row>
    <row r="59" spans="1:8" x14ac:dyDescent="0.25">
      <c r="A59" s="1">
        <v>1987</v>
      </c>
      <c r="B59" s="1" t="s">
        <v>99</v>
      </c>
      <c r="C59" t="s">
        <v>52</v>
      </c>
      <c r="D59">
        <v>14</v>
      </c>
      <c r="E59">
        <v>86</v>
      </c>
      <c r="F59">
        <v>0.05</v>
      </c>
      <c r="G59">
        <f t="shared" si="0"/>
        <v>0.05</v>
      </c>
      <c r="H59">
        <f>G59*(26.79/38.29)</f>
        <v>3.4983024288325934E-2</v>
      </c>
    </row>
    <row r="60" spans="1:8" x14ac:dyDescent="0.25">
      <c r="A60" s="1">
        <v>1987</v>
      </c>
      <c r="B60" s="1" t="s">
        <v>99</v>
      </c>
      <c r="C60" t="s">
        <v>52</v>
      </c>
      <c r="D60">
        <v>15</v>
      </c>
      <c r="E60">
        <v>32</v>
      </c>
      <c r="F60">
        <v>0.01</v>
      </c>
      <c r="G60">
        <f t="shared" si="0"/>
        <v>0.01</v>
      </c>
      <c r="H60">
        <f>G60*(26.79/38.29)</f>
        <v>6.9966048576651863E-3</v>
      </c>
    </row>
    <row r="61" spans="1:8" x14ac:dyDescent="0.25">
      <c r="A61" s="1">
        <v>1987</v>
      </c>
      <c r="B61" s="1" t="s">
        <v>99</v>
      </c>
      <c r="C61" t="s">
        <v>52</v>
      </c>
      <c r="D61">
        <v>15</v>
      </c>
      <c r="E61">
        <v>76</v>
      </c>
      <c r="F61">
        <v>0.02</v>
      </c>
      <c r="G61">
        <f t="shared" si="0"/>
        <v>0.02</v>
      </c>
      <c r="H61">
        <f>G61*(26.79/38.29)</f>
        <v>1.3993209715330373E-2</v>
      </c>
    </row>
    <row r="62" spans="1:8" x14ac:dyDescent="0.25">
      <c r="A62" s="1">
        <v>1987</v>
      </c>
      <c r="B62" s="1" t="s">
        <v>99</v>
      </c>
      <c r="C62" t="s">
        <v>52</v>
      </c>
      <c r="D62">
        <v>15</v>
      </c>
      <c r="E62">
        <v>76</v>
      </c>
      <c r="F62">
        <v>0.02</v>
      </c>
      <c r="G62">
        <f t="shared" si="0"/>
        <v>0.02</v>
      </c>
      <c r="H62">
        <f>G62*(26.79/38.29)</f>
        <v>1.3993209715330373E-2</v>
      </c>
    </row>
    <row r="63" spans="1:8" x14ac:dyDescent="0.25">
      <c r="A63" s="1">
        <v>1987</v>
      </c>
      <c r="B63" s="1" t="s">
        <v>99</v>
      </c>
      <c r="C63" t="s">
        <v>52</v>
      </c>
      <c r="D63">
        <v>15</v>
      </c>
      <c r="E63">
        <v>78</v>
      </c>
      <c r="F63">
        <v>0.01</v>
      </c>
      <c r="G63">
        <f t="shared" si="0"/>
        <v>0.01</v>
      </c>
      <c r="H63">
        <f>G63*(26.79/38.29)</f>
        <v>6.9966048576651863E-3</v>
      </c>
    </row>
    <row r="64" spans="1:8" x14ac:dyDescent="0.25">
      <c r="A64" s="1">
        <v>1987</v>
      </c>
      <c r="B64" s="1" t="s">
        <v>99</v>
      </c>
      <c r="C64" t="s">
        <v>52</v>
      </c>
      <c r="D64">
        <v>15</v>
      </c>
      <c r="E64">
        <v>119</v>
      </c>
      <c r="F64">
        <v>0.01</v>
      </c>
      <c r="G64">
        <f t="shared" si="0"/>
        <v>0.01</v>
      </c>
      <c r="H64">
        <f>G64*(26.79/38.29)</f>
        <v>6.9966048576651863E-3</v>
      </c>
    </row>
    <row r="65" spans="1:8" x14ac:dyDescent="0.25">
      <c r="A65" s="1">
        <v>1987</v>
      </c>
      <c r="B65" s="1" t="s">
        <v>99</v>
      </c>
      <c r="C65" t="s">
        <v>52</v>
      </c>
      <c r="D65">
        <v>16</v>
      </c>
      <c r="E65">
        <v>56</v>
      </c>
      <c r="F65">
        <v>0.09</v>
      </c>
      <c r="G65">
        <f t="shared" si="0"/>
        <v>0.09</v>
      </c>
      <c r="H65">
        <f>G65*(26.79/38.29)</f>
        <v>6.2969443718986676E-2</v>
      </c>
    </row>
    <row r="66" spans="1:8" x14ac:dyDescent="0.25">
      <c r="A66" s="1">
        <v>1987</v>
      </c>
      <c r="B66" s="1" t="s">
        <v>99</v>
      </c>
      <c r="C66" t="s">
        <v>52</v>
      </c>
      <c r="D66">
        <v>16</v>
      </c>
      <c r="E66">
        <v>91</v>
      </c>
      <c r="F66">
        <v>0.03</v>
      </c>
      <c r="G66">
        <f t="shared" si="0"/>
        <v>0.03</v>
      </c>
      <c r="H66">
        <f>G66*(26.79/38.29)</f>
        <v>2.0989814572995556E-2</v>
      </c>
    </row>
    <row r="67" spans="1:8" x14ac:dyDescent="0.25">
      <c r="A67" s="1">
        <v>1987</v>
      </c>
      <c r="B67" s="1" t="s">
        <v>99</v>
      </c>
      <c r="C67" t="s">
        <v>52</v>
      </c>
      <c r="D67">
        <v>16</v>
      </c>
      <c r="E67">
        <v>91</v>
      </c>
      <c r="F67">
        <v>0.01</v>
      </c>
      <c r="G67">
        <f t="shared" ref="G67:G130" si="1">(F67/0.01)/100</f>
        <v>0.01</v>
      </c>
      <c r="H67">
        <f>G67*(26.79/38.29)</f>
        <v>6.9966048576651863E-3</v>
      </c>
    </row>
    <row r="68" spans="1:8" x14ac:dyDescent="0.25">
      <c r="A68" s="1">
        <v>1987</v>
      </c>
      <c r="B68" s="1" t="s">
        <v>99</v>
      </c>
      <c r="C68" t="s">
        <v>52</v>
      </c>
      <c r="D68">
        <v>16</v>
      </c>
      <c r="E68">
        <v>119</v>
      </c>
      <c r="F68">
        <v>0.02</v>
      </c>
      <c r="G68">
        <f t="shared" si="1"/>
        <v>0.02</v>
      </c>
      <c r="H68">
        <f>G68*(26.79/38.29)</f>
        <v>1.3993209715330373E-2</v>
      </c>
    </row>
    <row r="69" spans="1:8" x14ac:dyDescent="0.25">
      <c r="A69" s="1">
        <v>1987</v>
      </c>
      <c r="B69" s="1" t="s">
        <v>99</v>
      </c>
      <c r="C69" t="s">
        <v>52</v>
      </c>
      <c r="D69">
        <v>16</v>
      </c>
      <c r="E69">
        <v>119</v>
      </c>
      <c r="F69">
        <v>0.02</v>
      </c>
      <c r="G69">
        <f t="shared" si="1"/>
        <v>0.02</v>
      </c>
      <c r="H69">
        <f>G69*(26.79/38.29)</f>
        <v>1.3993209715330373E-2</v>
      </c>
    </row>
    <row r="70" spans="1:8" x14ac:dyDescent="0.25">
      <c r="A70" s="1">
        <v>1987</v>
      </c>
      <c r="B70" s="1" t="s">
        <v>99</v>
      </c>
      <c r="C70" t="s">
        <v>52</v>
      </c>
      <c r="D70">
        <v>16</v>
      </c>
      <c r="E70">
        <v>119</v>
      </c>
      <c r="F70">
        <v>0.01</v>
      </c>
      <c r="G70">
        <f t="shared" si="1"/>
        <v>0.01</v>
      </c>
      <c r="H70">
        <f>G70*(26.79/38.29)</f>
        <v>6.9966048576651863E-3</v>
      </c>
    </row>
    <row r="71" spans="1:8" x14ac:dyDescent="0.25">
      <c r="A71" s="1">
        <v>1987</v>
      </c>
      <c r="B71" s="1" t="s">
        <v>99</v>
      </c>
      <c r="C71" t="s">
        <v>52</v>
      </c>
      <c r="D71">
        <v>16</v>
      </c>
      <c r="E71">
        <v>119</v>
      </c>
      <c r="F71">
        <v>0.01</v>
      </c>
      <c r="G71">
        <f t="shared" si="1"/>
        <v>0.01</v>
      </c>
      <c r="H71">
        <f>G71*(26.79/38.29)</f>
        <v>6.9966048576651863E-3</v>
      </c>
    </row>
    <row r="72" spans="1:8" x14ac:dyDescent="0.25">
      <c r="A72" s="1">
        <v>1987</v>
      </c>
      <c r="B72" s="1" t="s">
        <v>99</v>
      </c>
      <c r="C72" t="s">
        <v>52</v>
      </c>
      <c r="D72">
        <v>17</v>
      </c>
      <c r="E72">
        <v>119</v>
      </c>
      <c r="F72">
        <v>0.02</v>
      </c>
      <c r="G72">
        <f t="shared" si="1"/>
        <v>0.02</v>
      </c>
      <c r="H72">
        <f>G72*(26.79/38.29)</f>
        <v>1.3993209715330373E-2</v>
      </c>
    </row>
    <row r="73" spans="1:8" x14ac:dyDescent="0.25">
      <c r="A73" s="1">
        <v>1987</v>
      </c>
      <c r="B73" s="1" t="s">
        <v>99</v>
      </c>
      <c r="C73" t="s">
        <v>52</v>
      </c>
      <c r="D73">
        <v>17</v>
      </c>
      <c r="E73">
        <v>119</v>
      </c>
      <c r="F73">
        <v>0.01</v>
      </c>
      <c r="G73">
        <f t="shared" si="1"/>
        <v>0.01</v>
      </c>
      <c r="H73">
        <f>G73*(26.79/38.29)</f>
        <v>6.9966048576651863E-3</v>
      </c>
    </row>
    <row r="74" spans="1:8" x14ac:dyDescent="0.25">
      <c r="A74" s="1">
        <v>1987</v>
      </c>
      <c r="B74" s="1" t="s">
        <v>99</v>
      </c>
      <c r="C74" t="s">
        <v>52</v>
      </c>
      <c r="D74">
        <v>18</v>
      </c>
      <c r="E74">
        <v>29</v>
      </c>
      <c r="F74">
        <v>0.06</v>
      </c>
      <c r="G74">
        <f t="shared" si="1"/>
        <v>0.06</v>
      </c>
      <c r="H74">
        <f>G74*(26.79/38.29)</f>
        <v>4.1979629145991113E-2</v>
      </c>
    </row>
    <row r="75" spans="1:8" x14ac:dyDescent="0.25">
      <c r="A75" s="1">
        <v>1987</v>
      </c>
      <c r="B75" s="1" t="s">
        <v>99</v>
      </c>
      <c r="C75" t="s">
        <v>52</v>
      </c>
      <c r="D75">
        <v>18</v>
      </c>
      <c r="E75">
        <v>63</v>
      </c>
      <c r="F75">
        <v>0.11</v>
      </c>
      <c r="G75">
        <f t="shared" si="1"/>
        <v>0.11</v>
      </c>
      <c r="H75">
        <f>G75*(26.79/38.29)</f>
        <v>7.6962653434317047E-2</v>
      </c>
    </row>
    <row r="76" spans="1:8" x14ac:dyDescent="0.25">
      <c r="A76" s="1">
        <v>1987</v>
      </c>
      <c r="B76" s="1" t="s">
        <v>99</v>
      </c>
      <c r="C76" t="s">
        <v>52</v>
      </c>
      <c r="D76">
        <v>18</v>
      </c>
      <c r="E76">
        <v>66</v>
      </c>
      <c r="F76">
        <v>0.01</v>
      </c>
      <c r="G76">
        <f t="shared" si="1"/>
        <v>0.01</v>
      </c>
      <c r="H76">
        <f>G76*(26.79/38.29)</f>
        <v>6.9966048576651863E-3</v>
      </c>
    </row>
    <row r="77" spans="1:8" x14ac:dyDescent="0.25">
      <c r="A77" s="1">
        <v>1987</v>
      </c>
      <c r="B77" s="1" t="s">
        <v>99</v>
      </c>
      <c r="C77" t="s">
        <v>52</v>
      </c>
      <c r="D77">
        <v>18</v>
      </c>
      <c r="E77">
        <v>76</v>
      </c>
      <c r="F77">
        <v>0.01</v>
      </c>
      <c r="G77">
        <f t="shared" si="1"/>
        <v>0.01</v>
      </c>
      <c r="H77">
        <f>G77*(26.79/38.29)</f>
        <v>6.9966048576651863E-3</v>
      </c>
    </row>
    <row r="78" spans="1:8" x14ac:dyDescent="0.25">
      <c r="A78" s="1">
        <v>1987</v>
      </c>
      <c r="B78" s="1" t="s">
        <v>99</v>
      </c>
      <c r="C78" t="s">
        <v>52</v>
      </c>
      <c r="D78">
        <v>18</v>
      </c>
      <c r="E78">
        <v>91</v>
      </c>
      <c r="F78">
        <v>0.01</v>
      </c>
      <c r="G78">
        <f t="shared" si="1"/>
        <v>0.01</v>
      </c>
      <c r="H78">
        <f>G78*(26.79/38.29)</f>
        <v>6.9966048576651863E-3</v>
      </c>
    </row>
    <row r="79" spans="1:8" x14ac:dyDescent="0.25">
      <c r="A79" s="1">
        <v>1987</v>
      </c>
      <c r="B79" s="1" t="s">
        <v>99</v>
      </c>
      <c r="C79" t="s">
        <v>52</v>
      </c>
      <c r="D79">
        <v>19</v>
      </c>
      <c r="E79">
        <v>76</v>
      </c>
      <c r="F79">
        <v>0.04</v>
      </c>
      <c r="G79">
        <f t="shared" si="1"/>
        <v>0.04</v>
      </c>
      <c r="H79">
        <f>G79*(26.79/38.29)</f>
        <v>2.7986419430660745E-2</v>
      </c>
    </row>
    <row r="80" spans="1:8" x14ac:dyDescent="0.25">
      <c r="A80" s="1">
        <v>1987</v>
      </c>
      <c r="B80" s="1" t="s">
        <v>99</v>
      </c>
      <c r="C80" t="s">
        <v>52</v>
      </c>
      <c r="D80">
        <v>20</v>
      </c>
      <c r="E80">
        <v>66</v>
      </c>
      <c r="F80">
        <v>0.01</v>
      </c>
      <c r="G80">
        <f t="shared" si="1"/>
        <v>0.01</v>
      </c>
      <c r="H80">
        <f>G80*(26.79/38.29)</f>
        <v>6.9966048576651863E-3</v>
      </c>
    </row>
    <row r="81" spans="1:8" x14ac:dyDescent="0.25">
      <c r="A81" s="1">
        <v>1987</v>
      </c>
      <c r="B81" s="1" t="s">
        <v>99</v>
      </c>
      <c r="C81" t="s">
        <v>52</v>
      </c>
      <c r="D81">
        <v>20</v>
      </c>
      <c r="E81">
        <v>66</v>
      </c>
      <c r="F81">
        <v>0.02</v>
      </c>
      <c r="G81">
        <f t="shared" si="1"/>
        <v>0.02</v>
      </c>
      <c r="H81">
        <f>G81*(26.79/38.29)</f>
        <v>1.3993209715330373E-2</v>
      </c>
    </row>
    <row r="82" spans="1:8" x14ac:dyDescent="0.25">
      <c r="A82" s="1">
        <v>1987</v>
      </c>
      <c r="B82" s="1" t="s">
        <v>99</v>
      </c>
      <c r="C82" t="s">
        <v>52</v>
      </c>
      <c r="D82">
        <v>20</v>
      </c>
      <c r="E82">
        <v>76</v>
      </c>
      <c r="F82">
        <v>0.02</v>
      </c>
      <c r="G82">
        <f t="shared" si="1"/>
        <v>0.02</v>
      </c>
      <c r="H82">
        <f>G82*(26.79/38.29)</f>
        <v>1.3993209715330373E-2</v>
      </c>
    </row>
    <row r="83" spans="1:8" x14ac:dyDescent="0.25">
      <c r="A83" s="1">
        <v>1987</v>
      </c>
      <c r="B83" s="1" t="s">
        <v>99</v>
      </c>
      <c r="C83" t="s">
        <v>52</v>
      </c>
      <c r="D83">
        <v>20</v>
      </c>
      <c r="E83">
        <v>91</v>
      </c>
      <c r="F83">
        <v>0.01</v>
      </c>
      <c r="G83">
        <f t="shared" si="1"/>
        <v>0.01</v>
      </c>
      <c r="H83">
        <f>G83*(26.79/38.29)</f>
        <v>6.9966048576651863E-3</v>
      </c>
    </row>
    <row r="84" spans="1:8" x14ac:dyDescent="0.25">
      <c r="A84" s="1">
        <v>1987</v>
      </c>
      <c r="B84" s="1" t="s">
        <v>99</v>
      </c>
      <c r="C84" t="s">
        <v>52</v>
      </c>
      <c r="D84">
        <v>20</v>
      </c>
      <c r="E84">
        <v>91</v>
      </c>
      <c r="F84">
        <v>0.01</v>
      </c>
      <c r="G84">
        <f t="shared" si="1"/>
        <v>0.01</v>
      </c>
      <c r="H84">
        <f>G84*(26.79/38.29)</f>
        <v>6.9966048576651863E-3</v>
      </c>
    </row>
    <row r="85" spans="1:8" x14ac:dyDescent="0.25">
      <c r="A85" s="1">
        <v>1987</v>
      </c>
      <c r="B85" s="1" t="s">
        <v>99</v>
      </c>
      <c r="C85" t="s">
        <v>52</v>
      </c>
      <c r="D85">
        <v>20</v>
      </c>
      <c r="E85">
        <v>91</v>
      </c>
      <c r="F85">
        <v>0.01</v>
      </c>
      <c r="G85">
        <f t="shared" si="1"/>
        <v>0.01</v>
      </c>
      <c r="H85">
        <f>G85*(26.79/38.29)</f>
        <v>6.9966048576651863E-3</v>
      </c>
    </row>
    <row r="86" spans="1:8" x14ac:dyDescent="0.25">
      <c r="A86" s="1">
        <v>1987</v>
      </c>
      <c r="B86" s="1" t="s">
        <v>99</v>
      </c>
      <c r="C86" t="s">
        <v>52</v>
      </c>
      <c r="D86">
        <v>20</v>
      </c>
      <c r="E86">
        <v>91</v>
      </c>
      <c r="F86">
        <v>0.01</v>
      </c>
      <c r="G86">
        <f t="shared" si="1"/>
        <v>0.01</v>
      </c>
      <c r="H86">
        <f>G86*(26.79/38.29)</f>
        <v>6.9966048576651863E-3</v>
      </c>
    </row>
    <row r="87" spans="1:8" x14ac:dyDescent="0.25">
      <c r="A87" s="1">
        <v>1987</v>
      </c>
      <c r="B87" s="1" t="s">
        <v>99</v>
      </c>
      <c r="C87" t="s">
        <v>52</v>
      </c>
      <c r="D87">
        <v>21</v>
      </c>
      <c r="E87">
        <v>78</v>
      </c>
      <c r="F87">
        <v>0.02</v>
      </c>
      <c r="G87">
        <f t="shared" si="1"/>
        <v>0.02</v>
      </c>
      <c r="H87">
        <f>G87*(26.79/38.29)</f>
        <v>1.3993209715330373E-2</v>
      </c>
    </row>
    <row r="88" spans="1:8" x14ac:dyDescent="0.25">
      <c r="A88" s="1">
        <v>1987</v>
      </c>
      <c r="B88" s="1" t="s">
        <v>99</v>
      </c>
      <c r="C88" t="s">
        <v>52</v>
      </c>
      <c r="D88">
        <v>21</v>
      </c>
      <c r="E88">
        <v>78</v>
      </c>
      <c r="F88">
        <v>0.01</v>
      </c>
      <c r="G88">
        <f t="shared" si="1"/>
        <v>0.01</v>
      </c>
      <c r="H88">
        <f>G88*(26.79/38.29)</f>
        <v>6.9966048576651863E-3</v>
      </c>
    </row>
    <row r="89" spans="1:8" x14ac:dyDescent="0.25">
      <c r="A89" s="1">
        <v>1987</v>
      </c>
      <c r="B89" s="1" t="s">
        <v>99</v>
      </c>
      <c r="C89" t="s">
        <v>52</v>
      </c>
      <c r="D89">
        <v>22</v>
      </c>
      <c r="E89">
        <v>32</v>
      </c>
      <c r="F89">
        <v>7.0000000000000007E-2</v>
      </c>
      <c r="G89">
        <f t="shared" si="1"/>
        <v>7.0000000000000007E-2</v>
      </c>
      <c r="H89">
        <f>G89*(26.79/38.29)</f>
        <v>4.8976234003656312E-2</v>
      </c>
    </row>
    <row r="90" spans="1:8" x14ac:dyDescent="0.25">
      <c r="A90" s="1">
        <v>1987</v>
      </c>
      <c r="B90" s="1" t="s">
        <v>99</v>
      </c>
      <c r="C90" t="s">
        <v>52</v>
      </c>
      <c r="D90">
        <v>22</v>
      </c>
      <c r="E90">
        <v>32</v>
      </c>
      <c r="F90">
        <v>0.09</v>
      </c>
      <c r="G90">
        <f t="shared" si="1"/>
        <v>0.09</v>
      </c>
      <c r="H90">
        <f>G90*(26.79/38.29)</f>
        <v>6.2969443718986676E-2</v>
      </c>
    </row>
    <row r="91" spans="1:8" x14ac:dyDescent="0.25">
      <c r="A91" s="1">
        <v>1987</v>
      </c>
      <c r="B91" s="1" t="s">
        <v>99</v>
      </c>
      <c r="C91" t="s">
        <v>52</v>
      </c>
      <c r="D91">
        <v>22</v>
      </c>
      <c r="E91">
        <v>56</v>
      </c>
      <c r="F91">
        <v>7.0000000000000007E-2</v>
      </c>
      <c r="G91">
        <f t="shared" si="1"/>
        <v>7.0000000000000007E-2</v>
      </c>
      <c r="H91">
        <f>G91*(26.79/38.29)</f>
        <v>4.8976234003656312E-2</v>
      </c>
    </row>
    <row r="92" spans="1:8" x14ac:dyDescent="0.25">
      <c r="A92" s="1">
        <v>1987</v>
      </c>
      <c r="B92" s="1" t="s">
        <v>99</v>
      </c>
      <c r="C92" t="s">
        <v>52</v>
      </c>
      <c r="D92">
        <v>22</v>
      </c>
      <c r="E92">
        <v>56</v>
      </c>
      <c r="F92">
        <v>0.01</v>
      </c>
      <c r="G92">
        <f t="shared" si="1"/>
        <v>0.01</v>
      </c>
      <c r="H92">
        <f>G92*(26.79/38.29)</f>
        <v>6.9966048576651863E-3</v>
      </c>
    </row>
    <row r="93" spans="1:8" x14ac:dyDescent="0.25">
      <c r="A93" s="1">
        <v>1987</v>
      </c>
      <c r="B93" s="1" t="s">
        <v>99</v>
      </c>
      <c r="C93" t="s">
        <v>52</v>
      </c>
      <c r="D93">
        <v>22</v>
      </c>
      <c r="E93">
        <v>63</v>
      </c>
      <c r="F93">
        <v>0.08</v>
      </c>
      <c r="G93">
        <f t="shared" si="1"/>
        <v>0.08</v>
      </c>
      <c r="H93">
        <f>G93*(26.79/38.29)</f>
        <v>5.597283886132149E-2</v>
      </c>
    </row>
    <row r="94" spans="1:8" x14ac:dyDescent="0.25">
      <c r="A94" s="1">
        <v>1987</v>
      </c>
      <c r="B94" s="1" t="s">
        <v>99</v>
      </c>
      <c r="C94" t="s">
        <v>52</v>
      </c>
      <c r="D94">
        <v>22</v>
      </c>
      <c r="E94">
        <v>86</v>
      </c>
      <c r="F94">
        <v>0.02</v>
      </c>
      <c r="G94">
        <f t="shared" si="1"/>
        <v>0.02</v>
      </c>
      <c r="H94">
        <f>G94*(26.79/38.29)</f>
        <v>1.3993209715330373E-2</v>
      </c>
    </row>
    <row r="95" spans="1:8" x14ac:dyDescent="0.25">
      <c r="A95" s="1">
        <v>1987</v>
      </c>
      <c r="B95" s="1" t="s">
        <v>99</v>
      </c>
      <c r="C95" t="s">
        <v>52</v>
      </c>
      <c r="D95">
        <v>23</v>
      </c>
      <c r="E95">
        <v>32</v>
      </c>
      <c r="F95">
        <v>0.01</v>
      </c>
      <c r="G95">
        <f t="shared" si="1"/>
        <v>0.01</v>
      </c>
      <c r="H95">
        <f>G95*(26.79/38.29)</f>
        <v>6.9966048576651863E-3</v>
      </c>
    </row>
    <row r="96" spans="1:8" x14ac:dyDescent="0.25">
      <c r="A96" s="1">
        <v>1987</v>
      </c>
      <c r="B96" s="1" t="s">
        <v>99</v>
      </c>
      <c r="C96" t="s">
        <v>52</v>
      </c>
      <c r="D96">
        <v>23</v>
      </c>
      <c r="E96">
        <v>32</v>
      </c>
      <c r="F96">
        <v>0.01</v>
      </c>
      <c r="G96">
        <f t="shared" si="1"/>
        <v>0.01</v>
      </c>
      <c r="H96">
        <f>G96*(26.79/38.29)</f>
        <v>6.9966048576651863E-3</v>
      </c>
    </row>
    <row r="97" spans="1:8" x14ac:dyDescent="0.25">
      <c r="A97" s="1">
        <v>1987</v>
      </c>
      <c r="B97" s="1" t="s">
        <v>99</v>
      </c>
      <c r="C97" t="s">
        <v>52</v>
      </c>
      <c r="D97">
        <v>23</v>
      </c>
      <c r="E97">
        <v>32</v>
      </c>
      <c r="F97">
        <v>0.06</v>
      </c>
      <c r="G97">
        <f t="shared" si="1"/>
        <v>0.06</v>
      </c>
      <c r="H97">
        <f>G97*(26.79/38.29)</f>
        <v>4.1979629145991113E-2</v>
      </c>
    </row>
    <row r="98" spans="1:8" x14ac:dyDescent="0.25">
      <c r="A98" s="1">
        <v>1987</v>
      </c>
      <c r="B98" s="1" t="s">
        <v>99</v>
      </c>
      <c r="C98" t="s">
        <v>52</v>
      </c>
      <c r="D98">
        <v>23</v>
      </c>
      <c r="E98">
        <v>32</v>
      </c>
      <c r="F98">
        <v>0.01</v>
      </c>
      <c r="G98">
        <f t="shared" si="1"/>
        <v>0.01</v>
      </c>
      <c r="H98">
        <f>G98*(26.79/38.29)</f>
        <v>6.9966048576651863E-3</v>
      </c>
    </row>
    <row r="99" spans="1:8" x14ac:dyDescent="0.25">
      <c r="A99" s="1">
        <v>1987</v>
      </c>
      <c r="B99" s="1" t="s">
        <v>99</v>
      </c>
      <c r="C99" t="s">
        <v>52</v>
      </c>
      <c r="D99">
        <v>23</v>
      </c>
      <c r="E99">
        <v>32</v>
      </c>
      <c r="F99">
        <v>0.02</v>
      </c>
      <c r="G99">
        <f t="shared" si="1"/>
        <v>0.02</v>
      </c>
      <c r="H99">
        <f>G99*(26.79/38.29)</f>
        <v>1.3993209715330373E-2</v>
      </c>
    </row>
    <row r="100" spans="1:8" x14ac:dyDescent="0.25">
      <c r="A100" s="1">
        <v>1987</v>
      </c>
      <c r="B100" s="1" t="s">
        <v>99</v>
      </c>
      <c r="C100" t="s">
        <v>52</v>
      </c>
      <c r="D100">
        <v>23</v>
      </c>
      <c r="E100">
        <v>32</v>
      </c>
      <c r="F100">
        <v>0.06</v>
      </c>
      <c r="G100">
        <f t="shared" si="1"/>
        <v>0.06</v>
      </c>
      <c r="H100">
        <f>G100*(26.79/38.29)</f>
        <v>4.1979629145991113E-2</v>
      </c>
    </row>
    <row r="101" spans="1:8" x14ac:dyDescent="0.25">
      <c r="A101" s="1">
        <v>1987</v>
      </c>
      <c r="B101" s="1" t="s">
        <v>99</v>
      </c>
      <c r="C101" t="s">
        <v>52</v>
      </c>
      <c r="D101">
        <v>23</v>
      </c>
      <c r="E101">
        <v>86</v>
      </c>
      <c r="F101">
        <v>0.1</v>
      </c>
      <c r="G101">
        <f t="shared" si="1"/>
        <v>0.1</v>
      </c>
      <c r="H101">
        <f>G101*(26.79/38.29)</f>
        <v>6.9966048576651868E-2</v>
      </c>
    </row>
    <row r="102" spans="1:8" x14ac:dyDescent="0.25">
      <c r="A102" s="1">
        <v>1987</v>
      </c>
      <c r="B102" s="1" t="s">
        <v>99</v>
      </c>
      <c r="C102" t="s">
        <v>52</v>
      </c>
      <c r="D102">
        <v>23</v>
      </c>
      <c r="E102">
        <v>86</v>
      </c>
      <c r="F102">
        <v>0.09</v>
      </c>
      <c r="G102">
        <f t="shared" si="1"/>
        <v>0.09</v>
      </c>
      <c r="H102">
        <f>G102*(26.79/38.29)</f>
        <v>6.2969443718986676E-2</v>
      </c>
    </row>
    <row r="103" spans="1:8" x14ac:dyDescent="0.25">
      <c r="A103" s="1">
        <v>1987</v>
      </c>
      <c r="B103" s="1" t="s">
        <v>99</v>
      </c>
      <c r="C103" t="s">
        <v>52</v>
      </c>
      <c r="D103">
        <v>24</v>
      </c>
      <c r="E103">
        <v>63</v>
      </c>
      <c r="F103">
        <v>0.01</v>
      </c>
      <c r="G103">
        <f t="shared" si="1"/>
        <v>0.01</v>
      </c>
      <c r="H103">
        <f>G103*(26.79/38.29)</f>
        <v>6.9966048576651863E-3</v>
      </c>
    </row>
    <row r="104" spans="1:8" x14ac:dyDescent="0.25">
      <c r="A104" s="1">
        <v>1987</v>
      </c>
      <c r="B104" s="1" t="s">
        <v>99</v>
      </c>
      <c r="C104" t="s">
        <v>52</v>
      </c>
      <c r="D104">
        <v>24</v>
      </c>
      <c r="E104">
        <v>66</v>
      </c>
      <c r="F104">
        <v>0.01</v>
      </c>
      <c r="G104">
        <f t="shared" si="1"/>
        <v>0.01</v>
      </c>
      <c r="H104">
        <f>G104*(26.79/38.29)</f>
        <v>6.9966048576651863E-3</v>
      </c>
    </row>
    <row r="105" spans="1:8" x14ac:dyDescent="0.25">
      <c r="A105" s="1">
        <v>1987</v>
      </c>
      <c r="B105" s="1" t="s">
        <v>99</v>
      </c>
      <c r="C105" t="s">
        <v>52</v>
      </c>
      <c r="D105">
        <v>25</v>
      </c>
      <c r="E105">
        <v>76</v>
      </c>
      <c r="F105">
        <v>0.03</v>
      </c>
      <c r="G105">
        <f t="shared" si="1"/>
        <v>0.03</v>
      </c>
      <c r="H105">
        <f>G105*(26.79/38.29)</f>
        <v>2.0989814572995556E-2</v>
      </c>
    </row>
    <row r="106" spans="1:8" x14ac:dyDescent="0.25">
      <c r="A106" s="1">
        <v>1987</v>
      </c>
      <c r="B106" s="1" t="s">
        <v>99</v>
      </c>
      <c r="C106" t="s">
        <v>52</v>
      </c>
      <c r="D106">
        <v>25</v>
      </c>
      <c r="E106">
        <v>86</v>
      </c>
      <c r="F106">
        <v>0.02</v>
      </c>
      <c r="G106">
        <f t="shared" si="1"/>
        <v>0.02</v>
      </c>
      <c r="H106">
        <f>G106*(26.79/38.29)</f>
        <v>1.3993209715330373E-2</v>
      </c>
    </row>
    <row r="107" spans="1:8" x14ac:dyDescent="0.25">
      <c r="A107" s="1">
        <v>1987</v>
      </c>
      <c r="B107" s="1" t="s">
        <v>99</v>
      </c>
      <c r="C107" t="s">
        <v>52</v>
      </c>
      <c r="D107">
        <v>26</v>
      </c>
      <c r="E107">
        <v>32</v>
      </c>
      <c r="F107">
        <v>0.01</v>
      </c>
      <c r="G107">
        <f t="shared" si="1"/>
        <v>0.01</v>
      </c>
      <c r="H107">
        <f>G107*(26.79/38.29)</f>
        <v>6.9966048576651863E-3</v>
      </c>
    </row>
    <row r="108" spans="1:8" x14ac:dyDescent="0.25">
      <c r="A108" s="1">
        <v>1987</v>
      </c>
      <c r="B108" s="1" t="s">
        <v>99</v>
      </c>
      <c r="C108" t="s">
        <v>52</v>
      </c>
      <c r="D108">
        <v>26</v>
      </c>
      <c r="E108">
        <v>32</v>
      </c>
      <c r="F108">
        <v>0.03</v>
      </c>
      <c r="G108">
        <f t="shared" si="1"/>
        <v>0.03</v>
      </c>
      <c r="H108">
        <f>G108*(26.79/38.29)</f>
        <v>2.0989814572995556E-2</v>
      </c>
    </row>
    <row r="109" spans="1:8" x14ac:dyDescent="0.25">
      <c r="A109" s="1">
        <v>1987</v>
      </c>
      <c r="B109" s="1" t="s">
        <v>99</v>
      </c>
      <c r="C109" t="s">
        <v>52</v>
      </c>
      <c r="D109">
        <v>27</v>
      </c>
      <c r="E109">
        <v>76</v>
      </c>
      <c r="F109">
        <v>0.01</v>
      </c>
      <c r="G109">
        <f t="shared" si="1"/>
        <v>0.01</v>
      </c>
      <c r="H109">
        <f>G109*(26.79/38.29)</f>
        <v>6.9966048576651863E-3</v>
      </c>
    </row>
    <row r="110" spans="1:8" x14ac:dyDescent="0.25">
      <c r="A110" s="1">
        <v>1987</v>
      </c>
      <c r="B110" s="1" t="s">
        <v>99</v>
      </c>
      <c r="C110" t="s">
        <v>52</v>
      </c>
      <c r="D110">
        <v>27</v>
      </c>
      <c r="E110">
        <v>78</v>
      </c>
      <c r="F110">
        <v>0.01</v>
      </c>
      <c r="G110">
        <f t="shared" si="1"/>
        <v>0.01</v>
      </c>
      <c r="H110">
        <f>G110*(26.79/38.29)</f>
        <v>6.9966048576651863E-3</v>
      </c>
    </row>
    <row r="111" spans="1:8" x14ac:dyDescent="0.25">
      <c r="A111" s="1">
        <v>1987</v>
      </c>
      <c r="B111" s="1" t="s">
        <v>99</v>
      </c>
      <c r="C111" t="s">
        <v>52</v>
      </c>
      <c r="D111">
        <v>27</v>
      </c>
      <c r="E111">
        <v>78</v>
      </c>
      <c r="F111">
        <v>0.02</v>
      </c>
      <c r="G111">
        <f t="shared" si="1"/>
        <v>0.02</v>
      </c>
      <c r="H111">
        <f>G111*(26.79/38.29)</f>
        <v>1.3993209715330373E-2</v>
      </c>
    </row>
    <row r="112" spans="1:8" x14ac:dyDescent="0.25">
      <c r="A112" s="1">
        <v>1987</v>
      </c>
      <c r="B112" s="1" t="s">
        <v>99</v>
      </c>
      <c r="C112" t="s">
        <v>52</v>
      </c>
      <c r="D112">
        <v>27</v>
      </c>
      <c r="E112">
        <v>78</v>
      </c>
      <c r="F112">
        <v>0.01</v>
      </c>
      <c r="G112">
        <f t="shared" si="1"/>
        <v>0.01</v>
      </c>
      <c r="H112">
        <f>G112*(26.79/38.29)</f>
        <v>6.9966048576651863E-3</v>
      </c>
    </row>
    <row r="113" spans="1:8" x14ac:dyDescent="0.25">
      <c r="A113" s="1">
        <v>1987</v>
      </c>
      <c r="B113" s="1" t="s">
        <v>99</v>
      </c>
      <c r="C113" t="s">
        <v>52</v>
      </c>
      <c r="D113">
        <v>27</v>
      </c>
      <c r="E113">
        <v>79</v>
      </c>
      <c r="F113">
        <v>0.03</v>
      </c>
      <c r="G113">
        <f t="shared" si="1"/>
        <v>0.03</v>
      </c>
      <c r="H113">
        <f>G113*(26.79/38.29)</f>
        <v>2.0989814572995556E-2</v>
      </c>
    </row>
    <row r="114" spans="1:8" x14ac:dyDescent="0.25">
      <c r="A114" s="1">
        <v>1987</v>
      </c>
      <c r="B114" s="1" t="s">
        <v>99</v>
      </c>
      <c r="C114" t="s">
        <v>52</v>
      </c>
      <c r="D114">
        <v>27</v>
      </c>
      <c r="E114">
        <v>91</v>
      </c>
      <c r="F114">
        <v>0.01</v>
      </c>
      <c r="G114">
        <f t="shared" si="1"/>
        <v>0.01</v>
      </c>
      <c r="H114">
        <f>G114*(26.79/38.29)</f>
        <v>6.9966048576651863E-3</v>
      </c>
    </row>
    <row r="115" spans="1:8" x14ac:dyDescent="0.25">
      <c r="A115" s="1">
        <v>1987</v>
      </c>
      <c r="B115" s="1" t="s">
        <v>99</v>
      </c>
      <c r="C115" t="s">
        <v>52</v>
      </c>
      <c r="D115">
        <v>28</v>
      </c>
      <c r="E115">
        <v>66</v>
      </c>
      <c r="F115">
        <v>0.03</v>
      </c>
      <c r="G115">
        <f t="shared" si="1"/>
        <v>0.03</v>
      </c>
      <c r="H115">
        <f>G115*(26.79/38.29)</f>
        <v>2.0989814572995556E-2</v>
      </c>
    </row>
    <row r="116" spans="1:8" x14ac:dyDescent="0.25">
      <c r="A116" s="1">
        <v>1987</v>
      </c>
      <c r="B116" s="1" t="s">
        <v>99</v>
      </c>
      <c r="C116" t="s">
        <v>52</v>
      </c>
      <c r="D116">
        <v>28</v>
      </c>
      <c r="E116">
        <v>76</v>
      </c>
      <c r="F116">
        <v>0.04</v>
      </c>
      <c r="G116">
        <f t="shared" si="1"/>
        <v>0.04</v>
      </c>
      <c r="H116">
        <f>G116*(26.79/38.29)</f>
        <v>2.7986419430660745E-2</v>
      </c>
    </row>
    <row r="117" spans="1:8" x14ac:dyDescent="0.25">
      <c r="A117" s="1">
        <v>1987</v>
      </c>
      <c r="B117" s="1" t="s">
        <v>99</v>
      </c>
      <c r="C117" t="s">
        <v>52</v>
      </c>
      <c r="D117">
        <v>28</v>
      </c>
      <c r="E117">
        <v>91</v>
      </c>
      <c r="F117">
        <v>0.01</v>
      </c>
      <c r="G117">
        <f t="shared" si="1"/>
        <v>0.01</v>
      </c>
      <c r="H117">
        <f>G117*(26.79/38.29)</f>
        <v>6.9966048576651863E-3</v>
      </c>
    </row>
    <row r="118" spans="1:8" x14ac:dyDescent="0.25">
      <c r="A118" s="1">
        <v>1987</v>
      </c>
      <c r="B118" s="1" t="s">
        <v>99</v>
      </c>
      <c r="C118" t="s">
        <v>52</v>
      </c>
      <c r="D118">
        <v>28</v>
      </c>
      <c r="E118">
        <v>91</v>
      </c>
      <c r="F118">
        <v>0.01</v>
      </c>
      <c r="G118">
        <f t="shared" si="1"/>
        <v>0.01</v>
      </c>
      <c r="H118">
        <f>G118*(26.79/38.29)</f>
        <v>6.9966048576651863E-3</v>
      </c>
    </row>
    <row r="119" spans="1:8" x14ac:dyDescent="0.25">
      <c r="A119" s="1">
        <v>1987</v>
      </c>
      <c r="B119" s="1" t="s">
        <v>99</v>
      </c>
      <c r="C119" t="s">
        <v>52</v>
      </c>
      <c r="D119">
        <v>29</v>
      </c>
      <c r="E119">
        <v>66</v>
      </c>
      <c r="F119">
        <v>0.01</v>
      </c>
      <c r="G119">
        <f t="shared" si="1"/>
        <v>0.01</v>
      </c>
      <c r="H119">
        <f>G119*(26.79/38.29)</f>
        <v>6.9966048576651863E-3</v>
      </c>
    </row>
    <row r="120" spans="1:8" x14ac:dyDescent="0.25">
      <c r="A120" s="1">
        <v>1987</v>
      </c>
      <c r="B120" s="1" t="s">
        <v>99</v>
      </c>
      <c r="C120" t="s">
        <v>52</v>
      </c>
      <c r="D120">
        <v>29</v>
      </c>
      <c r="E120">
        <v>66</v>
      </c>
      <c r="F120">
        <v>0.01</v>
      </c>
      <c r="G120">
        <f t="shared" si="1"/>
        <v>0.01</v>
      </c>
      <c r="H120">
        <f>G120*(26.79/38.29)</f>
        <v>6.9966048576651863E-3</v>
      </c>
    </row>
    <row r="121" spans="1:8" x14ac:dyDescent="0.25">
      <c r="A121" s="1">
        <v>1987</v>
      </c>
      <c r="B121" s="1" t="s">
        <v>99</v>
      </c>
      <c r="C121" t="s">
        <v>52</v>
      </c>
      <c r="D121">
        <v>29</v>
      </c>
      <c r="E121">
        <v>66</v>
      </c>
      <c r="F121">
        <v>0.01</v>
      </c>
      <c r="G121">
        <f t="shared" si="1"/>
        <v>0.01</v>
      </c>
      <c r="H121">
        <f>G121*(26.79/38.29)</f>
        <v>6.9966048576651863E-3</v>
      </c>
    </row>
    <row r="122" spans="1:8" x14ac:dyDescent="0.25">
      <c r="A122" s="1">
        <v>1987</v>
      </c>
      <c r="B122" s="1" t="s">
        <v>99</v>
      </c>
      <c r="C122" t="s">
        <v>52</v>
      </c>
      <c r="D122">
        <v>29</v>
      </c>
      <c r="E122">
        <v>66</v>
      </c>
      <c r="F122">
        <v>0.03</v>
      </c>
      <c r="G122">
        <f t="shared" si="1"/>
        <v>0.03</v>
      </c>
      <c r="H122">
        <f>G122*(26.79/38.29)</f>
        <v>2.0989814572995556E-2</v>
      </c>
    </row>
    <row r="123" spans="1:8" x14ac:dyDescent="0.25">
      <c r="A123" s="1">
        <v>1987</v>
      </c>
      <c r="B123" s="1" t="s">
        <v>99</v>
      </c>
      <c r="C123" t="s">
        <v>52</v>
      </c>
      <c r="D123">
        <v>29</v>
      </c>
      <c r="E123">
        <v>66</v>
      </c>
      <c r="F123">
        <v>0.01</v>
      </c>
      <c r="G123">
        <f t="shared" si="1"/>
        <v>0.01</v>
      </c>
      <c r="H123">
        <f>G123*(26.79/38.29)</f>
        <v>6.9966048576651863E-3</v>
      </c>
    </row>
    <row r="124" spans="1:8" x14ac:dyDescent="0.25">
      <c r="A124" s="1">
        <v>1987</v>
      </c>
      <c r="B124" s="1" t="s">
        <v>99</v>
      </c>
      <c r="C124" t="s">
        <v>52</v>
      </c>
      <c r="D124">
        <v>29</v>
      </c>
      <c r="E124">
        <v>86</v>
      </c>
      <c r="F124">
        <v>0.01</v>
      </c>
      <c r="G124">
        <f t="shared" si="1"/>
        <v>0.01</v>
      </c>
      <c r="H124">
        <f>G124*(26.79/38.29)</f>
        <v>6.9966048576651863E-3</v>
      </c>
    </row>
    <row r="125" spans="1:8" x14ac:dyDescent="0.25">
      <c r="A125" s="1">
        <v>1987</v>
      </c>
      <c r="B125" s="1" t="s">
        <v>99</v>
      </c>
      <c r="C125" t="s">
        <v>52</v>
      </c>
      <c r="D125">
        <v>30</v>
      </c>
      <c r="E125">
        <v>63</v>
      </c>
      <c r="F125">
        <v>0.09</v>
      </c>
      <c r="G125">
        <f t="shared" si="1"/>
        <v>0.09</v>
      </c>
      <c r="H125">
        <f>G125*(26.79/38.29)</f>
        <v>6.2969443718986676E-2</v>
      </c>
    </row>
    <row r="126" spans="1:8" x14ac:dyDescent="0.25">
      <c r="A126" s="1">
        <v>1987</v>
      </c>
      <c r="B126" s="1" t="s">
        <v>99</v>
      </c>
      <c r="C126" t="s">
        <v>52</v>
      </c>
      <c r="D126">
        <v>30</v>
      </c>
      <c r="E126">
        <v>66</v>
      </c>
      <c r="F126">
        <v>0.02</v>
      </c>
      <c r="G126">
        <f t="shared" si="1"/>
        <v>0.02</v>
      </c>
      <c r="H126">
        <f>G126*(26.79/38.29)</f>
        <v>1.3993209715330373E-2</v>
      </c>
    </row>
    <row r="127" spans="1:8" x14ac:dyDescent="0.25">
      <c r="A127" s="1">
        <v>1987</v>
      </c>
      <c r="B127" s="1" t="s">
        <v>99</v>
      </c>
      <c r="C127" t="s">
        <v>52</v>
      </c>
      <c r="D127">
        <v>30</v>
      </c>
      <c r="E127">
        <v>76</v>
      </c>
      <c r="F127">
        <v>0.01</v>
      </c>
      <c r="G127">
        <f t="shared" si="1"/>
        <v>0.01</v>
      </c>
      <c r="H127">
        <f>G127*(26.79/38.29)</f>
        <v>6.9966048576651863E-3</v>
      </c>
    </row>
    <row r="128" spans="1:8" x14ac:dyDescent="0.25">
      <c r="A128" s="1">
        <v>1987</v>
      </c>
      <c r="B128" s="1" t="s">
        <v>99</v>
      </c>
      <c r="C128" t="s">
        <v>52</v>
      </c>
      <c r="D128">
        <v>30</v>
      </c>
      <c r="E128">
        <v>78</v>
      </c>
      <c r="F128">
        <v>0.01</v>
      </c>
      <c r="G128">
        <f t="shared" si="1"/>
        <v>0.01</v>
      </c>
      <c r="H128">
        <f>G128*(26.79/38.29)</f>
        <v>6.9966048576651863E-3</v>
      </c>
    </row>
    <row r="129" spans="1:8" x14ac:dyDescent="0.25">
      <c r="A129" s="1">
        <v>1987</v>
      </c>
      <c r="B129" s="1" t="s">
        <v>99</v>
      </c>
      <c r="C129" t="s">
        <v>52</v>
      </c>
      <c r="D129">
        <v>30</v>
      </c>
      <c r="E129">
        <v>78</v>
      </c>
      <c r="F129">
        <v>0.03</v>
      </c>
      <c r="G129">
        <f t="shared" si="1"/>
        <v>0.03</v>
      </c>
      <c r="H129">
        <f>G129*(26.79/38.29)</f>
        <v>2.0989814572995556E-2</v>
      </c>
    </row>
    <row r="130" spans="1:8" x14ac:dyDescent="0.25">
      <c r="A130" s="1">
        <v>1987</v>
      </c>
      <c r="B130" s="1" t="s">
        <v>99</v>
      </c>
      <c r="C130" t="s">
        <v>52</v>
      </c>
      <c r="D130">
        <v>30</v>
      </c>
      <c r="E130">
        <v>78</v>
      </c>
      <c r="F130">
        <v>0.01</v>
      </c>
      <c r="G130">
        <f t="shared" si="1"/>
        <v>0.01</v>
      </c>
      <c r="H130">
        <f>G130*(26.79/38.29)</f>
        <v>6.9966048576651863E-3</v>
      </c>
    </row>
    <row r="131" spans="1:8" x14ac:dyDescent="0.25">
      <c r="A131" s="1">
        <v>1987</v>
      </c>
      <c r="B131" s="1" t="s">
        <v>99</v>
      </c>
      <c r="C131" t="s">
        <v>52</v>
      </c>
      <c r="D131">
        <v>30</v>
      </c>
      <c r="E131">
        <v>78</v>
      </c>
      <c r="F131">
        <v>0.01</v>
      </c>
      <c r="G131">
        <f t="shared" ref="G131:G194" si="2">(F131/0.01)/100</f>
        <v>0.01</v>
      </c>
      <c r="H131">
        <f>G131*(26.79/38.29)</f>
        <v>6.9966048576651863E-3</v>
      </c>
    </row>
    <row r="132" spans="1:8" x14ac:dyDescent="0.25">
      <c r="A132" s="1">
        <v>1987</v>
      </c>
      <c r="B132" s="1" t="s">
        <v>99</v>
      </c>
      <c r="C132" t="s">
        <v>52</v>
      </c>
      <c r="D132">
        <v>30</v>
      </c>
      <c r="E132">
        <v>78</v>
      </c>
      <c r="F132">
        <v>0.02</v>
      </c>
      <c r="G132">
        <f t="shared" si="2"/>
        <v>0.02</v>
      </c>
      <c r="H132">
        <f>G132*(26.79/38.29)</f>
        <v>1.3993209715330373E-2</v>
      </c>
    </row>
    <row r="133" spans="1:8" x14ac:dyDescent="0.25">
      <c r="A133" s="1">
        <v>1987</v>
      </c>
      <c r="B133" s="1" t="s">
        <v>99</v>
      </c>
      <c r="C133" t="s">
        <v>52</v>
      </c>
      <c r="D133">
        <v>30</v>
      </c>
      <c r="E133">
        <v>78</v>
      </c>
      <c r="F133">
        <v>0.03</v>
      </c>
      <c r="G133">
        <f t="shared" si="2"/>
        <v>0.03</v>
      </c>
      <c r="H133">
        <f>G133*(26.79/38.29)</f>
        <v>2.0989814572995556E-2</v>
      </c>
    </row>
    <row r="134" spans="1:8" x14ac:dyDescent="0.25">
      <c r="A134" s="1">
        <v>1987</v>
      </c>
      <c r="B134" s="1" t="s">
        <v>99</v>
      </c>
      <c r="C134" t="s">
        <v>52</v>
      </c>
      <c r="D134">
        <v>30</v>
      </c>
      <c r="E134">
        <v>79</v>
      </c>
      <c r="F134">
        <v>0.01</v>
      </c>
      <c r="G134">
        <f t="shared" si="2"/>
        <v>0.01</v>
      </c>
      <c r="H134">
        <f>G134*(26.79/38.29)</f>
        <v>6.9966048576651863E-3</v>
      </c>
    </row>
    <row r="135" spans="1:8" x14ac:dyDescent="0.25">
      <c r="A135" s="1">
        <v>1987</v>
      </c>
      <c r="B135" s="1" t="s">
        <v>99</v>
      </c>
      <c r="C135" t="s">
        <v>52</v>
      </c>
      <c r="D135">
        <v>30</v>
      </c>
      <c r="E135">
        <v>86</v>
      </c>
      <c r="F135">
        <v>0.01</v>
      </c>
      <c r="G135">
        <f t="shared" si="2"/>
        <v>0.01</v>
      </c>
      <c r="H135">
        <f>G135*(26.79/38.29)</f>
        <v>6.9966048576651863E-3</v>
      </c>
    </row>
    <row r="136" spans="1:8" x14ac:dyDescent="0.25">
      <c r="A136" s="1">
        <v>1987</v>
      </c>
      <c r="B136" s="1" t="s">
        <v>99</v>
      </c>
      <c r="C136" t="s">
        <v>52</v>
      </c>
      <c r="D136">
        <v>31</v>
      </c>
      <c r="E136">
        <v>29</v>
      </c>
      <c r="F136">
        <v>0.01</v>
      </c>
      <c r="G136">
        <f t="shared" si="2"/>
        <v>0.01</v>
      </c>
      <c r="H136">
        <f>G136*(26.79/38.29)</f>
        <v>6.9966048576651863E-3</v>
      </c>
    </row>
    <row r="137" spans="1:8" x14ac:dyDescent="0.25">
      <c r="A137" s="1">
        <v>1987</v>
      </c>
      <c r="B137" s="1" t="s">
        <v>99</v>
      </c>
      <c r="C137" t="s">
        <v>52</v>
      </c>
      <c r="D137">
        <v>31</v>
      </c>
      <c r="E137">
        <v>29</v>
      </c>
      <c r="F137">
        <v>0.01</v>
      </c>
      <c r="G137">
        <f t="shared" si="2"/>
        <v>0.01</v>
      </c>
      <c r="H137">
        <f>G137*(26.79/38.29)</f>
        <v>6.9966048576651863E-3</v>
      </c>
    </row>
    <row r="138" spans="1:8" x14ac:dyDescent="0.25">
      <c r="A138" s="1">
        <v>1987</v>
      </c>
      <c r="B138" s="1" t="s">
        <v>99</v>
      </c>
      <c r="C138" t="s">
        <v>52</v>
      </c>
      <c r="D138">
        <v>31</v>
      </c>
      <c r="E138">
        <v>29</v>
      </c>
      <c r="F138">
        <v>0.01</v>
      </c>
      <c r="G138">
        <f t="shared" si="2"/>
        <v>0.01</v>
      </c>
      <c r="H138">
        <f>G138*(26.79/38.29)</f>
        <v>6.9966048576651863E-3</v>
      </c>
    </row>
    <row r="139" spans="1:8" x14ac:dyDescent="0.25">
      <c r="A139" s="1">
        <v>1987</v>
      </c>
      <c r="B139" s="1" t="s">
        <v>99</v>
      </c>
      <c r="C139" t="s">
        <v>52</v>
      </c>
      <c r="D139">
        <v>31</v>
      </c>
      <c r="E139">
        <v>66</v>
      </c>
      <c r="F139">
        <v>0.01</v>
      </c>
      <c r="G139">
        <f t="shared" si="2"/>
        <v>0.01</v>
      </c>
      <c r="H139">
        <f>G139*(26.79/38.29)</f>
        <v>6.9966048576651863E-3</v>
      </c>
    </row>
    <row r="140" spans="1:8" x14ac:dyDescent="0.25">
      <c r="A140" s="1">
        <v>1987</v>
      </c>
      <c r="B140" s="1" t="s">
        <v>99</v>
      </c>
      <c r="C140" t="s">
        <v>52</v>
      </c>
      <c r="D140">
        <v>31</v>
      </c>
      <c r="E140">
        <v>78</v>
      </c>
      <c r="F140">
        <v>0.01</v>
      </c>
      <c r="G140">
        <f t="shared" si="2"/>
        <v>0.01</v>
      </c>
      <c r="H140">
        <f>G140*(26.79/38.29)</f>
        <v>6.9966048576651863E-3</v>
      </c>
    </row>
    <row r="141" spans="1:8" x14ac:dyDescent="0.25">
      <c r="A141" s="1">
        <v>1987</v>
      </c>
      <c r="B141" s="1" t="s">
        <v>99</v>
      </c>
      <c r="C141" t="s">
        <v>52</v>
      </c>
      <c r="D141">
        <v>31</v>
      </c>
      <c r="E141">
        <v>78</v>
      </c>
      <c r="F141">
        <v>0.01</v>
      </c>
      <c r="G141">
        <f t="shared" si="2"/>
        <v>0.01</v>
      </c>
      <c r="H141">
        <f>G141*(26.79/38.29)</f>
        <v>6.9966048576651863E-3</v>
      </c>
    </row>
    <row r="142" spans="1:8" x14ac:dyDescent="0.25">
      <c r="A142" s="1">
        <v>1987</v>
      </c>
      <c r="B142" s="1" t="s">
        <v>99</v>
      </c>
      <c r="C142" t="s">
        <v>52</v>
      </c>
      <c r="D142">
        <v>32</v>
      </c>
      <c r="E142">
        <v>63</v>
      </c>
      <c r="F142">
        <v>0.03</v>
      </c>
      <c r="G142">
        <f t="shared" si="2"/>
        <v>0.03</v>
      </c>
      <c r="H142">
        <f>G142*(26.79/38.29)</f>
        <v>2.0989814572995556E-2</v>
      </c>
    </row>
    <row r="143" spans="1:8" x14ac:dyDescent="0.25">
      <c r="A143" s="1">
        <v>1987</v>
      </c>
      <c r="B143" s="1" t="s">
        <v>99</v>
      </c>
      <c r="C143" t="s">
        <v>52</v>
      </c>
      <c r="D143">
        <v>32</v>
      </c>
      <c r="E143">
        <v>63</v>
      </c>
      <c r="F143">
        <v>0.01</v>
      </c>
      <c r="G143">
        <f t="shared" si="2"/>
        <v>0.01</v>
      </c>
      <c r="H143">
        <f>G143*(26.79/38.29)</f>
        <v>6.9966048576651863E-3</v>
      </c>
    </row>
    <row r="144" spans="1:8" x14ac:dyDescent="0.25">
      <c r="A144" s="1">
        <v>1987</v>
      </c>
      <c r="B144" s="1" t="s">
        <v>99</v>
      </c>
      <c r="C144" t="s">
        <v>52</v>
      </c>
      <c r="D144">
        <v>32</v>
      </c>
      <c r="E144">
        <v>66</v>
      </c>
      <c r="F144">
        <v>0.01</v>
      </c>
      <c r="G144">
        <f t="shared" si="2"/>
        <v>0.01</v>
      </c>
      <c r="H144">
        <f>G144*(26.79/38.29)</f>
        <v>6.9966048576651863E-3</v>
      </c>
    </row>
    <row r="145" spans="1:8" x14ac:dyDescent="0.25">
      <c r="A145" s="1">
        <v>1987</v>
      </c>
      <c r="B145" s="1" t="s">
        <v>99</v>
      </c>
      <c r="C145" t="s">
        <v>52</v>
      </c>
      <c r="D145">
        <v>33</v>
      </c>
      <c r="E145">
        <v>25</v>
      </c>
      <c r="F145">
        <v>0.05</v>
      </c>
      <c r="G145">
        <f t="shared" si="2"/>
        <v>0.05</v>
      </c>
      <c r="H145">
        <f>G145*(26.79/38.29)</f>
        <v>3.4983024288325934E-2</v>
      </c>
    </row>
    <row r="146" spans="1:8" x14ac:dyDescent="0.25">
      <c r="A146" s="1">
        <v>1987</v>
      </c>
      <c r="B146" s="1" t="s">
        <v>99</v>
      </c>
      <c r="C146" t="s">
        <v>52</v>
      </c>
      <c r="D146">
        <v>33</v>
      </c>
      <c r="E146">
        <v>40</v>
      </c>
      <c r="F146">
        <v>0.01</v>
      </c>
      <c r="G146">
        <f t="shared" si="2"/>
        <v>0.01</v>
      </c>
      <c r="H146">
        <f>G146*(26.79/38.29)</f>
        <v>6.9966048576651863E-3</v>
      </c>
    </row>
    <row r="147" spans="1:8" x14ac:dyDescent="0.25">
      <c r="A147" s="1">
        <v>1987</v>
      </c>
      <c r="B147" s="1" t="s">
        <v>99</v>
      </c>
      <c r="C147" t="s">
        <v>52</v>
      </c>
      <c r="D147">
        <v>33</v>
      </c>
      <c r="E147">
        <v>86</v>
      </c>
      <c r="F147">
        <v>0.05</v>
      </c>
      <c r="G147">
        <f t="shared" si="2"/>
        <v>0.05</v>
      </c>
      <c r="H147">
        <f>G147*(26.79/38.29)</f>
        <v>3.4983024288325934E-2</v>
      </c>
    </row>
    <row r="148" spans="1:8" x14ac:dyDescent="0.25">
      <c r="A148" s="1">
        <v>1987</v>
      </c>
      <c r="B148" s="1" t="s">
        <v>99</v>
      </c>
      <c r="C148" t="s">
        <v>52</v>
      </c>
      <c r="D148">
        <v>34</v>
      </c>
      <c r="E148">
        <v>66</v>
      </c>
      <c r="F148">
        <v>0.01</v>
      </c>
      <c r="G148">
        <f t="shared" si="2"/>
        <v>0.01</v>
      </c>
      <c r="H148">
        <f>G148*(26.79/38.29)</f>
        <v>6.9966048576651863E-3</v>
      </c>
    </row>
    <row r="149" spans="1:8" x14ac:dyDescent="0.25">
      <c r="A149" s="1">
        <v>1987</v>
      </c>
      <c r="B149" s="1" t="s">
        <v>99</v>
      </c>
      <c r="C149" t="s">
        <v>52</v>
      </c>
      <c r="D149">
        <v>34</v>
      </c>
      <c r="E149">
        <v>66</v>
      </c>
      <c r="F149">
        <v>0.02</v>
      </c>
      <c r="G149">
        <f t="shared" si="2"/>
        <v>0.02</v>
      </c>
      <c r="H149">
        <f>G149*(26.79/38.29)</f>
        <v>1.3993209715330373E-2</v>
      </c>
    </row>
    <row r="150" spans="1:8" x14ac:dyDescent="0.25">
      <c r="A150" s="1">
        <v>1987</v>
      </c>
      <c r="B150" s="1" t="s">
        <v>99</v>
      </c>
      <c r="C150" t="s">
        <v>52</v>
      </c>
      <c r="D150">
        <v>34</v>
      </c>
      <c r="E150">
        <v>76</v>
      </c>
      <c r="F150">
        <v>0.03</v>
      </c>
      <c r="G150">
        <f t="shared" si="2"/>
        <v>0.03</v>
      </c>
      <c r="H150">
        <f>G150*(26.79/38.29)</f>
        <v>2.0989814572995556E-2</v>
      </c>
    </row>
    <row r="151" spans="1:8" x14ac:dyDescent="0.25">
      <c r="A151" s="1">
        <v>1987</v>
      </c>
      <c r="B151" s="1" t="s">
        <v>99</v>
      </c>
      <c r="C151" t="s">
        <v>52</v>
      </c>
      <c r="D151">
        <v>34</v>
      </c>
      <c r="E151">
        <v>76</v>
      </c>
      <c r="F151">
        <v>0.01</v>
      </c>
      <c r="G151">
        <f t="shared" si="2"/>
        <v>0.01</v>
      </c>
      <c r="H151">
        <f>G151*(26.79/38.29)</f>
        <v>6.9966048576651863E-3</v>
      </c>
    </row>
    <row r="152" spans="1:8" x14ac:dyDescent="0.25">
      <c r="A152" s="1">
        <v>1987</v>
      </c>
      <c r="B152" s="1" t="s">
        <v>99</v>
      </c>
      <c r="C152" t="s">
        <v>52</v>
      </c>
      <c r="D152">
        <v>34</v>
      </c>
      <c r="E152">
        <v>76</v>
      </c>
      <c r="F152">
        <v>0.1</v>
      </c>
      <c r="G152">
        <f t="shared" si="2"/>
        <v>0.1</v>
      </c>
      <c r="H152">
        <f>G152*(26.79/38.29)</f>
        <v>6.9966048576651868E-2</v>
      </c>
    </row>
    <row r="153" spans="1:8" x14ac:dyDescent="0.25">
      <c r="A153" s="1">
        <v>1987</v>
      </c>
      <c r="B153" s="1" t="s">
        <v>99</v>
      </c>
      <c r="C153" t="s">
        <v>52</v>
      </c>
      <c r="D153">
        <v>34</v>
      </c>
      <c r="E153">
        <v>76</v>
      </c>
      <c r="F153">
        <v>0.03</v>
      </c>
      <c r="G153">
        <f t="shared" si="2"/>
        <v>0.03</v>
      </c>
      <c r="H153">
        <f>G153*(26.79/38.29)</f>
        <v>2.0989814572995556E-2</v>
      </c>
    </row>
    <row r="154" spans="1:8" x14ac:dyDescent="0.25">
      <c r="A154" s="1">
        <v>1987</v>
      </c>
      <c r="B154" s="1" t="s">
        <v>99</v>
      </c>
      <c r="C154" t="s">
        <v>52</v>
      </c>
      <c r="D154">
        <v>34</v>
      </c>
      <c r="E154">
        <v>112</v>
      </c>
      <c r="F154">
        <v>0.01</v>
      </c>
      <c r="G154">
        <f t="shared" si="2"/>
        <v>0.01</v>
      </c>
      <c r="H154">
        <f>G154*(26.79/38.29)</f>
        <v>6.9966048576651863E-3</v>
      </c>
    </row>
    <row r="155" spans="1:8" x14ac:dyDescent="0.25">
      <c r="A155" s="1">
        <v>1987</v>
      </c>
      <c r="B155" s="1" t="s">
        <v>99</v>
      </c>
      <c r="C155" t="s">
        <v>52</v>
      </c>
      <c r="D155">
        <v>35</v>
      </c>
      <c r="E155">
        <v>78</v>
      </c>
      <c r="F155">
        <v>0.01</v>
      </c>
      <c r="G155">
        <f t="shared" si="2"/>
        <v>0.01</v>
      </c>
      <c r="H155">
        <f>G155*(26.79/38.29)</f>
        <v>6.9966048576651863E-3</v>
      </c>
    </row>
    <row r="156" spans="1:8" x14ac:dyDescent="0.25">
      <c r="A156" s="1">
        <v>1987</v>
      </c>
      <c r="B156" s="1" t="s">
        <v>99</v>
      </c>
      <c r="C156" t="s">
        <v>52</v>
      </c>
      <c r="D156">
        <v>36</v>
      </c>
      <c r="E156">
        <v>63</v>
      </c>
      <c r="F156">
        <v>0.05</v>
      </c>
      <c r="G156">
        <f t="shared" si="2"/>
        <v>0.05</v>
      </c>
      <c r="H156">
        <f>G156*(26.79/38.29)</f>
        <v>3.4983024288325934E-2</v>
      </c>
    </row>
    <row r="157" spans="1:8" x14ac:dyDescent="0.25">
      <c r="A157" s="1">
        <v>1987</v>
      </c>
      <c r="B157" s="1" t="s">
        <v>99</v>
      </c>
      <c r="C157" t="s">
        <v>52</v>
      </c>
      <c r="D157">
        <v>36</v>
      </c>
      <c r="E157">
        <v>76</v>
      </c>
      <c r="F157">
        <v>0.01</v>
      </c>
      <c r="G157">
        <f t="shared" si="2"/>
        <v>0.01</v>
      </c>
      <c r="H157">
        <f>G157*(26.79/38.29)</f>
        <v>6.9966048576651863E-3</v>
      </c>
    </row>
    <row r="158" spans="1:8" x14ac:dyDescent="0.25">
      <c r="A158" s="1">
        <v>1987</v>
      </c>
      <c r="B158" s="1" t="s">
        <v>99</v>
      </c>
      <c r="C158" t="s">
        <v>52</v>
      </c>
      <c r="D158">
        <v>36</v>
      </c>
      <c r="E158">
        <v>76</v>
      </c>
      <c r="F158">
        <v>0.02</v>
      </c>
      <c r="G158">
        <f t="shared" si="2"/>
        <v>0.02</v>
      </c>
      <c r="H158">
        <f>G158*(26.79/38.29)</f>
        <v>1.3993209715330373E-2</v>
      </c>
    </row>
    <row r="159" spans="1:8" x14ac:dyDescent="0.25">
      <c r="A159" s="1">
        <v>1987</v>
      </c>
      <c r="B159" s="1" t="s">
        <v>99</v>
      </c>
      <c r="C159" t="s">
        <v>52</v>
      </c>
      <c r="D159">
        <v>37</v>
      </c>
      <c r="E159">
        <v>56</v>
      </c>
      <c r="F159">
        <v>0.09</v>
      </c>
      <c r="G159">
        <f t="shared" si="2"/>
        <v>0.09</v>
      </c>
      <c r="H159">
        <f>G159*(26.79/38.29)</f>
        <v>6.2969443718986676E-2</v>
      </c>
    </row>
    <row r="160" spans="1:8" x14ac:dyDescent="0.25">
      <c r="A160" s="1">
        <v>1987</v>
      </c>
      <c r="B160" s="1" t="s">
        <v>99</v>
      </c>
      <c r="C160" t="s">
        <v>52</v>
      </c>
      <c r="D160">
        <v>37</v>
      </c>
      <c r="E160">
        <v>76</v>
      </c>
      <c r="F160">
        <v>7.0000000000000007E-2</v>
      </c>
      <c r="G160">
        <f t="shared" si="2"/>
        <v>7.0000000000000007E-2</v>
      </c>
      <c r="H160">
        <f>G160*(26.79/38.29)</f>
        <v>4.8976234003656312E-2</v>
      </c>
    </row>
    <row r="161" spans="1:8" x14ac:dyDescent="0.25">
      <c r="A161" s="1">
        <v>1987</v>
      </c>
      <c r="B161" s="1" t="s">
        <v>99</v>
      </c>
      <c r="C161" t="s">
        <v>52</v>
      </c>
      <c r="D161">
        <v>37</v>
      </c>
      <c r="E161">
        <v>79</v>
      </c>
      <c r="F161">
        <v>7.0000000000000007E-2</v>
      </c>
      <c r="G161">
        <f t="shared" si="2"/>
        <v>7.0000000000000007E-2</v>
      </c>
      <c r="H161">
        <f>G161*(26.79/38.29)</f>
        <v>4.8976234003656312E-2</v>
      </c>
    </row>
    <row r="162" spans="1:8" x14ac:dyDescent="0.25">
      <c r="A162" s="1">
        <v>1987</v>
      </c>
      <c r="B162" s="1" t="s">
        <v>99</v>
      </c>
      <c r="C162" t="s">
        <v>52</v>
      </c>
      <c r="D162">
        <v>38</v>
      </c>
      <c r="E162">
        <v>21</v>
      </c>
      <c r="F162">
        <v>0.03</v>
      </c>
      <c r="G162">
        <f t="shared" si="2"/>
        <v>0.03</v>
      </c>
      <c r="H162">
        <f>G162*(26.79/38.29)</f>
        <v>2.0989814572995556E-2</v>
      </c>
    </row>
    <row r="163" spans="1:8" x14ac:dyDescent="0.25">
      <c r="A163" s="1">
        <v>1987</v>
      </c>
      <c r="B163" s="1" t="s">
        <v>99</v>
      </c>
      <c r="C163" t="s">
        <v>52</v>
      </c>
      <c r="D163">
        <v>38</v>
      </c>
      <c r="E163">
        <v>29</v>
      </c>
      <c r="F163">
        <v>0.01</v>
      </c>
      <c r="G163">
        <f t="shared" si="2"/>
        <v>0.01</v>
      </c>
      <c r="H163">
        <f>G163*(26.79/38.29)</f>
        <v>6.9966048576651863E-3</v>
      </c>
    </row>
    <row r="164" spans="1:8" x14ac:dyDescent="0.25">
      <c r="A164" s="1">
        <v>1987</v>
      </c>
      <c r="B164" s="1" t="s">
        <v>99</v>
      </c>
      <c r="C164" t="s">
        <v>52</v>
      </c>
      <c r="D164">
        <v>38</v>
      </c>
      <c r="E164">
        <v>29</v>
      </c>
      <c r="F164">
        <v>0.01</v>
      </c>
      <c r="G164">
        <f t="shared" si="2"/>
        <v>0.01</v>
      </c>
      <c r="H164">
        <f>G164*(26.79/38.29)</f>
        <v>6.9966048576651863E-3</v>
      </c>
    </row>
    <row r="165" spans="1:8" x14ac:dyDescent="0.25">
      <c r="A165" s="1">
        <v>1987</v>
      </c>
      <c r="B165" s="1" t="s">
        <v>99</v>
      </c>
      <c r="C165" t="s">
        <v>52</v>
      </c>
      <c r="D165">
        <v>38</v>
      </c>
      <c r="E165">
        <v>29</v>
      </c>
      <c r="F165">
        <v>0.03</v>
      </c>
      <c r="G165">
        <f t="shared" si="2"/>
        <v>0.03</v>
      </c>
      <c r="H165">
        <f>G165*(26.79/38.29)</f>
        <v>2.0989814572995556E-2</v>
      </c>
    </row>
    <row r="166" spans="1:8" x14ac:dyDescent="0.25">
      <c r="A166" s="1">
        <v>1987</v>
      </c>
      <c r="B166" s="1" t="s">
        <v>99</v>
      </c>
      <c r="C166" t="s">
        <v>52</v>
      </c>
      <c r="D166">
        <v>38</v>
      </c>
      <c r="E166">
        <v>53</v>
      </c>
      <c r="F166">
        <v>7.0000000000000007E-2</v>
      </c>
      <c r="G166">
        <f t="shared" si="2"/>
        <v>7.0000000000000007E-2</v>
      </c>
      <c r="H166">
        <f>G166*(26.79/38.29)</f>
        <v>4.8976234003656312E-2</v>
      </c>
    </row>
    <row r="167" spans="1:8" x14ac:dyDescent="0.25">
      <c r="A167" s="1">
        <v>1987</v>
      </c>
      <c r="B167" s="1" t="s">
        <v>99</v>
      </c>
      <c r="C167" t="s">
        <v>52</v>
      </c>
      <c r="D167">
        <v>38</v>
      </c>
      <c r="E167">
        <v>53</v>
      </c>
      <c r="F167">
        <v>0.01</v>
      </c>
      <c r="G167">
        <f t="shared" si="2"/>
        <v>0.01</v>
      </c>
      <c r="H167">
        <f>G167*(26.79/38.29)</f>
        <v>6.9966048576651863E-3</v>
      </c>
    </row>
    <row r="168" spans="1:8" x14ac:dyDescent="0.25">
      <c r="A168" s="1">
        <v>1987</v>
      </c>
      <c r="B168" s="1" t="s">
        <v>99</v>
      </c>
      <c r="C168" t="s">
        <v>52</v>
      </c>
      <c r="D168">
        <v>38</v>
      </c>
      <c r="E168">
        <v>56</v>
      </c>
      <c r="F168">
        <v>0.01</v>
      </c>
      <c r="G168">
        <f t="shared" si="2"/>
        <v>0.01</v>
      </c>
      <c r="H168">
        <f>G168*(26.79/38.29)</f>
        <v>6.9966048576651863E-3</v>
      </c>
    </row>
    <row r="169" spans="1:8" x14ac:dyDescent="0.25">
      <c r="A169" s="1">
        <v>1987</v>
      </c>
      <c r="B169" s="1" t="s">
        <v>99</v>
      </c>
      <c r="C169" t="s">
        <v>52</v>
      </c>
      <c r="D169">
        <v>38</v>
      </c>
      <c r="E169">
        <v>58</v>
      </c>
      <c r="F169">
        <v>0.09</v>
      </c>
      <c r="G169">
        <f t="shared" si="2"/>
        <v>0.09</v>
      </c>
      <c r="H169">
        <f>G169*(26.79/38.29)</f>
        <v>6.2969443718986676E-2</v>
      </c>
    </row>
    <row r="170" spans="1:8" x14ac:dyDescent="0.25">
      <c r="A170" s="1">
        <v>1987</v>
      </c>
      <c r="B170" s="1" t="s">
        <v>99</v>
      </c>
      <c r="C170" t="s">
        <v>52</v>
      </c>
      <c r="D170">
        <v>38</v>
      </c>
      <c r="E170">
        <v>79</v>
      </c>
      <c r="F170">
        <v>0.01</v>
      </c>
      <c r="G170">
        <f t="shared" si="2"/>
        <v>0.01</v>
      </c>
      <c r="H170">
        <f>G170*(26.79/38.29)</f>
        <v>6.9966048576651863E-3</v>
      </c>
    </row>
    <row r="171" spans="1:8" x14ac:dyDescent="0.25">
      <c r="A171" s="1">
        <v>1987</v>
      </c>
      <c r="B171" s="1" t="s">
        <v>99</v>
      </c>
      <c r="C171" t="s">
        <v>52</v>
      </c>
      <c r="D171">
        <v>38</v>
      </c>
      <c r="E171">
        <v>111</v>
      </c>
      <c r="F171">
        <v>0.03</v>
      </c>
      <c r="G171">
        <f t="shared" si="2"/>
        <v>0.03</v>
      </c>
      <c r="H171">
        <f>G171*(26.79/38.29)</f>
        <v>2.0989814572995556E-2</v>
      </c>
    </row>
    <row r="172" spans="1:8" x14ac:dyDescent="0.25">
      <c r="A172" s="1">
        <v>1987</v>
      </c>
      <c r="B172" s="1" t="s">
        <v>99</v>
      </c>
      <c r="C172" t="s">
        <v>52</v>
      </c>
      <c r="D172">
        <v>39</v>
      </c>
      <c r="E172">
        <v>29</v>
      </c>
      <c r="F172">
        <v>0.01</v>
      </c>
      <c r="G172">
        <f t="shared" si="2"/>
        <v>0.01</v>
      </c>
      <c r="H172">
        <f>G172*(26.79/38.29)</f>
        <v>6.9966048576651863E-3</v>
      </c>
    </row>
    <row r="173" spans="1:8" x14ac:dyDescent="0.25">
      <c r="A173" s="1">
        <v>1987</v>
      </c>
      <c r="B173" s="1" t="s">
        <v>99</v>
      </c>
      <c r="C173" t="s">
        <v>52</v>
      </c>
      <c r="D173">
        <v>39</v>
      </c>
      <c r="E173">
        <v>63</v>
      </c>
      <c r="F173">
        <v>0.04</v>
      </c>
      <c r="G173">
        <f t="shared" si="2"/>
        <v>0.04</v>
      </c>
      <c r="H173">
        <f>G173*(26.79/38.29)</f>
        <v>2.7986419430660745E-2</v>
      </c>
    </row>
    <row r="174" spans="1:8" x14ac:dyDescent="0.25">
      <c r="A174" s="1">
        <v>1987</v>
      </c>
      <c r="B174" s="1" t="s">
        <v>99</v>
      </c>
      <c r="C174" t="s">
        <v>52</v>
      </c>
      <c r="D174">
        <v>39</v>
      </c>
      <c r="E174">
        <v>79</v>
      </c>
      <c r="F174">
        <v>0.06</v>
      </c>
      <c r="G174">
        <f t="shared" si="2"/>
        <v>0.06</v>
      </c>
      <c r="H174">
        <f>G174*(26.79/38.29)</f>
        <v>4.1979629145991113E-2</v>
      </c>
    </row>
    <row r="175" spans="1:8" x14ac:dyDescent="0.25">
      <c r="A175" s="1">
        <v>1987</v>
      </c>
      <c r="B175" s="1" t="s">
        <v>99</v>
      </c>
      <c r="C175" t="s">
        <v>52</v>
      </c>
      <c r="D175">
        <v>40</v>
      </c>
      <c r="E175">
        <v>32</v>
      </c>
      <c r="F175">
        <v>0.01</v>
      </c>
      <c r="G175">
        <f t="shared" si="2"/>
        <v>0.01</v>
      </c>
      <c r="H175">
        <f>G175*(26.79/38.29)</f>
        <v>6.9966048576651863E-3</v>
      </c>
    </row>
    <row r="176" spans="1:8" x14ac:dyDescent="0.25">
      <c r="A176" s="1">
        <v>1987</v>
      </c>
      <c r="B176" s="1" t="s">
        <v>99</v>
      </c>
      <c r="C176" t="s">
        <v>52</v>
      </c>
      <c r="D176">
        <v>40</v>
      </c>
      <c r="E176">
        <v>54</v>
      </c>
      <c r="F176">
        <v>0.02</v>
      </c>
      <c r="G176">
        <f t="shared" si="2"/>
        <v>0.02</v>
      </c>
      <c r="H176">
        <f>G176*(26.79/38.29)</f>
        <v>1.3993209715330373E-2</v>
      </c>
    </row>
    <row r="177" spans="1:8" x14ac:dyDescent="0.25">
      <c r="A177" s="1">
        <v>1987</v>
      </c>
      <c r="B177" s="1" t="s">
        <v>99</v>
      </c>
      <c r="C177" t="s">
        <v>52</v>
      </c>
      <c r="D177">
        <v>40</v>
      </c>
      <c r="E177">
        <v>54</v>
      </c>
      <c r="F177">
        <v>0.03</v>
      </c>
      <c r="G177">
        <f t="shared" si="2"/>
        <v>0.03</v>
      </c>
      <c r="H177">
        <f>G177*(26.79/38.29)</f>
        <v>2.0989814572995556E-2</v>
      </c>
    </row>
    <row r="178" spans="1:8" x14ac:dyDescent="0.25">
      <c r="A178" s="1">
        <v>1987</v>
      </c>
      <c r="B178" s="1" t="s">
        <v>99</v>
      </c>
      <c r="C178" t="s">
        <v>52</v>
      </c>
      <c r="D178">
        <v>41</v>
      </c>
      <c r="E178">
        <v>54</v>
      </c>
      <c r="F178">
        <v>0.01</v>
      </c>
      <c r="G178">
        <f t="shared" si="2"/>
        <v>0.01</v>
      </c>
      <c r="H178">
        <f>G178*(26.79/38.29)</f>
        <v>6.9966048576651863E-3</v>
      </c>
    </row>
    <row r="179" spans="1:8" x14ac:dyDescent="0.25">
      <c r="A179" s="1">
        <v>1987</v>
      </c>
      <c r="B179" s="1" t="s">
        <v>99</v>
      </c>
      <c r="C179" t="s">
        <v>52</v>
      </c>
      <c r="D179">
        <v>41</v>
      </c>
      <c r="E179">
        <v>54</v>
      </c>
      <c r="F179">
        <v>0.04</v>
      </c>
      <c r="G179">
        <f t="shared" si="2"/>
        <v>0.04</v>
      </c>
      <c r="H179">
        <f>G179*(26.79/38.29)</f>
        <v>2.7986419430660745E-2</v>
      </c>
    </row>
    <row r="180" spans="1:8" x14ac:dyDescent="0.25">
      <c r="A180" s="1">
        <v>1987</v>
      </c>
      <c r="B180" s="1" t="s">
        <v>99</v>
      </c>
      <c r="C180" t="s">
        <v>52</v>
      </c>
      <c r="D180">
        <v>41</v>
      </c>
      <c r="E180">
        <v>54</v>
      </c>
      <c r="F180">
        <v>0.03</v>
      </c>
      <c r="G180">
        <f t="shared" si="2"/>
        <v>0.03</v>
      </c>
      <c r="H180">
        <f>G180*(26.79/38.29)</f>
        <v>2.0989814572995556E-2</v>
      </c>
    </row>
    <row r="181" spans="1:8" x14ac:dyDescent="0.25">
      <c r="A181" s="1">
        <v>1987</v>
      </c>
      <c r="B181" s="1" t="s">
        <v>99</v>
      </c>
      <c r="C181" t="s">
        <v>52</v>
      </c>
      <c r="D181">
        <v>41</v>
      </c>
      <c r="E181">
        <v>54</v>
      </c>
      <c r="F181">
        <v>0.01</v>
      </c>
      <c r="G181">
        <f t="shared" si="2"/>
        <v>0.01</v>
      </c>
      <c r="H181">
        <f>G181*(26.79/38.29)</f>
        <v>6.9966048576651863E-3</v>
      </c>
    </row>
    <row r="182" spans="1:8" x14ac:dyDescent="0.25">
      <c r="A182" s="1">
        <v>1987</v>
      </c>
      <c r="B182" s="1" t="s">
        <v>99</v>
      </c>
      <c r="C182" t="s">
        <v>52</v>
      </c>
      <c r="D182">
        <v>41</v>
      </c>
      <c r="E182">
        <v>76</v>
      </c>
      <c r="F182">
        <v>0.02</v>
      </c>
      <c r="G182">
        <f t="shared" si="2"/>
        <v>0.02</v>
      </c>
      <c r="H182">
        <f>G182*(26.79/38.29)</f>
        <v>1.3993209715330373E-2</v>
      </c>
    </row>
    <row r="183" spans="1:8" x14ac:dyDescent="0.25">
      <c r="A183" s="1">
        <v>1987</v>
      </c>
      <c r="B183" s="1" t="s">
        <v>99</v>
      </c>
      <c r="C183" t="s">
        <v>52</v>
      </c>
      <c r="D183">
        <v>41</v>
      </c>
      <c r="E183">
        <v>79</v>
      </c>
      <c r="F183">
        <v>0.01</v>
      </c>
      <c r="G183">
        <f t="shared" si="2"/>
        <v>0.01</v>
      </c>
      <c r="H183">
        <f>G183*(26.79/38.29)</f>
        <v>6.9966048576651863E-3</v>
      </c>
    </row>
    <row r="184" spans="1:8" x14ac:dyDescent="0.25">
      <c r="A184" s="1">
        <v>1987</v>
      </c>
      <c r="B184" s="1" t="s">
        <v>99</v>
      </c>
      <c r="C184" t="s">
        <v>52</v>
      </c>
      <c r="D184">
        <v>42</v>
      </c>
      <c r="E184">
        <v>28</v>
      </c>
      <c r="F184">
        <v>0.01</v>
      </c>
      <c r="G184">
        <f t="shared" si="2"/>
        <v>0.01</v>
      </c>
      <c r="H184">
        <f>G184*(26.79/38.29)</f>
        <v>6.9966048576651863E-3</v>
      </c>
    </row>
    <row r="185" spans="1:8" x14ac:dyDescent="0.25">
      <c r="A185" s="1">
        <v>1987</v>
      </c>
      <c r="B185" s="1" t="s">
        <v>99</v>
      </c>
      <c r="C185" t="s">
        <v>52</v>
      </c>
      <c r="D185">
        <v>42</v>
      </c>
      <c r="E185">
        <v>32</v>
      </c>
      <c r="F185">
        <v>0.02</v>
      </c>
      <c r="G185">
        <f t="shared" si="2"/>
        <v>0.02</v>
      </c>
      <c r="H185">
        <f>G185*(26.79/38.29)</f>
        <v>1.3993209715330373E-2</v>
      </c>
    </row>
    <row r="186" spans="1:8" x14ac:dyDescent="0.25">
      <c r="A186" s="1">
        <v>1987</v>
      </c>
      <c r="B186" s="1" t="s">
        <v>99</v>
      </c>
      <c r="C186" t="s">
        <v>52</v>
      </c>
      <c r="D186">
        <v>42</v>
      </c>
      <c r="E186">
        <v>78</v>
      </c>
      <c r="F186">
        <v>0.01</v>
      </c>
      <c r="G186">
        <f t="shared" si="2"/>
        <v>0.01</v>
      </c>
      <c r="H186">
        <f>G186*(26.79/38.29)</f>
        <v>6.9966048576651863E-3</v>
      </c>
    </row>
    <row r="187" spans="1:8" x14ac:dyDescent="0.25">
      <c r="A187" s="1">
        <v>1987</v>
      </c>
      <c r="B187" s="1" t="s">
        <v>99</v>
      </c>
      <c r="C187" t="s">
        <v>52</v>
      </c>
      <c r="D187">
        <v>42</v>
      </c>
      <c r="E187">
        <v>78</v>
      </c>
      <c r="F187">
        <v>0.01</v>
      </c>
      <c r="G187">
        <f t="shared" si="2"/>
        <v>0.01</v>
      </c>
      <c r="H187">
        <f>G187*(26.79/38.29)</f>
        <v>6.9966048576651863E-3</v>
      </c>
    </row>
    <row r="188" spans="1:8" x14ac:dyDescent="0.25">
      <c r="A188" s="1">
        <v>1987</v>
      </c>
      <c r="B188" s="1" t="s">
        <v>99</v>
      </c>
      <c r="C188" t="s">
        <v>52</v>
      </c>
      <c r="D188">
        <v>43</v>
      </c>
      <c r="E188">
        <v>32</v>
      </c>
      <c r="F188">
        <v>0.01</v>
      </c>
      <c r="G188">
        <f t="shared" si="2"/>
        <v>0.01</v>
      </c>
      <c r="H188">
        <f>G188*(26.79/38.29)</f>
        <v>6.9966048576651863E-3</v>
      </c>
    </row>
    <row r="189" spans="1:8" x14ac:dyDescent="0.25">
      <c r="A189" s="1">
        <v>1987</v>
      </c>
      <c r="B189" s="1" t="s">
        <v>99</v>
      </c>
      <c r="C189" t="s">
        <v>52</v>
      </c>
      <c r="D189">
        <v>43</v>
      </c>
      <c r="E189">
        <v>32</v>
      </c>
      <c r="F189">
        <v>0.01</v>
      </c>
      <c r="G189">
        <f t="shared" si="2"/>
        <v>0.01</v>
      </c>
      <c r="H189">
        <f>G189*(26.79/38.29)</f>
        <v>6.9966048576651863E-3</v>
      </c>
    </row>
    <row r="190" spans="1:8" x14ac:dyDescent="0.25">
      <c r="A190" s="1">
        <v>1987</v>
      </c>
      <c r="B190" s="1" t="s">
        <v>99</v>
      </c>
      <c r="C190" t="s">
        <v>52</v>
      </c>
      <c r="D190">
        <v>43</v>
      </c>
      <c r="E190">
        <v>32</v>
      </c>
      <c r="F190">
        <v>0.01</v>
      </c>
      <c r="G190">
        <f t="shared" si="2"/>
        <v>0.01</v>
      </c>
      <c r="H190">
        <f>G190*(26.79/38.29)</f>
        <v>6.9966048576651863E-3</v>
      </c>
    </row>
    <row r="191" spans="1:8" x14ac:dyDescent="0.25">
      <c r="A191" s="1">
        <v>1987</v>
      </c>
      <c r="B191" s="1" t="s">
        <v>99</v>
      </c>
      <c r="C191" t="s">
        <v>52</v>
      </c>
      <c r="D191">
        <v>43</v>
      </c>
      <c r="E191">
        <v>32</v>
      </c>
      <c r="F191">
        <v>0.02</v>
      </c>
      <c r="G191">
        <f t="shared" si="2"/>
        <v>0.02</v>
      </c>
      <c r="H191">
        <f>G191*(26.79/38.29)</f>
        <v>1.3993209715330373E-2</v>
      </c>
    </row>
    <row r="192" spans="1:8" x14ac:dyDescent="0.25">
      <c r="A192" s="1">
        <v>1987</v>
      </c>
      <c r="B192" s="1" t="s">
        <v>99</v>
      </c>
      <c r="C192" t="s">
        <v>52</v>
      </c>
      <c r="D192">
        <v>43</v>
      </c>
      <c r="E192">
        <v>32</v>
      </c>
      <c r="F192">
        <v>0.01</v>
      </c>
      <c r="G192">
        <f t="shared" si="2"/>
        <v>0.01</v>
      </c>
      <c r="H192">
        <f>G192*(26.79/38.29)</f>
        <v>6.9966048576651863E-3</v>
      </c>
    </row>
    <row r="193" spans="1:8" x14ac:dyDescent="0.25">
      <c r="A193" s="1">
        <v>1987</v>
      </c>
      <c r="B193" s="1" t="s">
        <v>99</v>
      </c>
      <c r="C193" t="s">
        <v>52</v>
      </c>
      <c r="D193">
        <v>43</v>
      </c>
      <c r="E193">
        <v>76</v>
      </c>
      <c r="F193">
        <v>0.01</v>
      </c>
      <c r="G193">
        <f t="shared" si="2"/>
        <v>0.01</v>
      </c>
      <c r="H193">
        <f>G193*(26.79/38.29)</f>
        <v>6.9966048576651863E-3</v>
      </c>
    </row>
    <row r="194" spans="1:8" x14ac:dyDescent="0.25">
      <c r="A194" s="1">
        <v>1987</v>
      </c>
      <c r="B194" s="1" t="s">
        <v>99</v>
      </c>
      <c r="C194" t="s">
        <v>52</v>
      </c>
      <c r="D194">
        <v>44</v>
      </c>
      <c r="E194">
        <v>32</v>
      </c>
      <c r="F194">
        <v>0.01</v>
      </c>
      <c r="G194">
        <f t="shared" si="2"/>
        <v>0.01</v>
      </c>
      <c r="H194">
        <f>G194*(26.79/38.29)</f>
        <v>6.9966048576651863E-3</v>
      </c>
    </row>
    <row r="195" spans="1:8" x14ac:dyDescent="0.25">
      <c r="A195" s="1">
        <v>1987</v>
      </c>
      <c r="B195" s="1" t="s">
        <v>99</v>
      </c>
      <c r="C195" t="s">
        <v>52</v>
      </c>
      <c r="D195">
        <v>44</v>
      </c>
      <c r="E195">
        <v>32</v>
      </c>
      <c r="F195">
        <v>0.01</v>
      </c>
      <c r="G195">
        <f t="shared" ref="G195:G258" si="3">(F195/0.01)/100</f>
        <v>0.01</v>
      </c>
      <c r="H195">
        <f>G195*(26.79/38.29)</f>
        <v>6.9966048576651863E-3</v>
      </c>
    </row>
    <row r="196" spans="1:8" x14ac:dyDescent="0.25">
      <c r="A196" s="1">
        <v>1987</v>
      </c>
      <c r="B196" s="1" t="s">
        <v>99</v>
      </c>
      <c r="C196" t="s">
        <v>52</v>
      </c>
      <c r="D196">
        <v>44</v>
      </c>
      <c r="E196">
        <v>79</v>
      </c>
      <c r="F196">
        <v>0.02</v>
      </c>
      <c r="G196">
        <f t="shared" si="3"/>
        <v>0.02</v>
      </c>
      <c r="H196">
        <f>G196*(26.79/38.29)</f>
        <v>1.3993209715330373E-2</v>
      </c>
    </row>
    <row r="197" spans="1:8" x14ac:dyDescent="0.25">
      <c r="A197" s="1">
        <v>1987</v>
      </c>
      <c r="B197" s="1" t="s">
        <v>99</v>
      </c>
      <c r="C197" t="s">
        <v>52</v>
      </c>
      <c r="D197">
        <v>44</v>
      </c>
      <c r="E197">
        <v>79</v>
      </c>
      <c r="F197">
        <v>0.09</v>
      </c>
      <c r="G197">
        <f t="shared" si="3"/>
        <v>0.09</v>
      </c>
      <c r="H197">
        <f>G197*(26.79/38.29)</f>
        <v>6.2969443718986676E-2</v>
      </c>
    </row>
    <row r="198" spans="1:8" x14ac:dyDescent="0.25">
      <c r="A198" s="1">
        <v>1987</v>
      </c>
      <c r="B198" s="1" t="s">
        <v>99</v>
      </c>
      <c r="C198" t="s">
        <v>52</v>
      </c>
      <c r="D198">
        <v>44</v>
      </c>
      <c r="E198">
        <v>86</v>
      </c>
      <c r="F198">
        <v>0.05</v>
      </c>
      <c r="G198">
        <f t="shared" si="3"/>
        <v>0.05</v>
      </c>
      <c r="H198">
        <f>G198*(26.79/38.29)</f>
        <v>3.4983024288325934E-2</v>
      </c>
    </row>
    <row r="199" spans="1:8" x14ac:dyDescent="0.25">
      <c r="A199" s="1">
        <v>1987</v>
      </c>
      <c r="B199" s="1" t="s">
        <v>99</v>
      </c>
      <c r="C199" t="s">
        <v>52</v>
      </c>
      <c r="D199">
        <v>45</v>
      </c>
      <c r="E199">
        <v>85</v>
      </c>
      <c r="F199">
        <v>0.01</v>
      </c>
      <c r="G199">
        <f t="shared" si="3"/>
        <v>0.01</v>
      </c>
      <c r="H199">
        <f>G199*(26.79/38.29)</f>
        <v>6.9966048576651863E-3</v>
      </c>
    </row>
    <row r="200" spans="1:8" x14ac:dyDescent="0.25">
      <c r="A200" s="1">
        <v>1987</v>
      </c>
      <c r="B200" s="1" t="s">
        <v>99</v>
      </c>
      <c r="C200" t="s">
        <v>52</v>
      </c>
      <c r="D200">
        <v>45</v>
      </c>
      <c r="E200">
        <v>119</v>
      </c>
      <c r="F200">
        <v>0.01</v>
      </c>
      <c r="G200">
        <f t="shared" si="3"/>
        <v>0.01</v>
      </c>
      <c r="H200">
        <f>G200*(26.79/38.29)</f>
        <v>6.9966048576651863E-3</v>
      </c>
    </row>
    <row r="201" spans="1:8" x14ac:dyDescent="0.25">
      <c r="A201" s="1">
        <v>1987</v>
      </c>
      <c r="B201" s="1" t="s">
        <v>99</v>
      </c>
      <c r="C201" t="s">
        <v>52</v>
      </c>
      <c r="D201">
        <v>46</v>
      </c>
      <c r="E201">
        <v>78</v>
      </c>
      <c r="F201">
        <v>0.01</v>
      </c>
      <c r="G201">
        <f t="shared" si="3"/>
        <v>0.01</v>
      </c>
      <c r="H201">
        <f>G201*(26.79/38.29)</f>
        <v>6.9966048576651863E-3</v>
      </c>
    </row>
    <row r="202" spans="1:8" x14ac:dyDescent="0.25">
      <c r="A202" s="1">
        <v>1987</v>
      </c>
      <c r="B202" s="1" t="s">
        <v>99</v>
      </c>
      <c r="C202" t="s">
        <v>52</v>
      </c>
      <c r="D202">
        <v>46</v>
      </c>
      <c r="E202">
        <v>79</v>
      </c>
      <c r="F202">
        <v>0.03</v>
      </c>
      <c r="G202">
        <f t="shared" si="3"/>
        <v>0.03</v>
      </c>
      <c r="H202">
        <f>G202*(26.79/38.29)</f>
        <v>2.0989814572995556E-2</v>
      </c>
    </row>
    <row r="203" spans="1:8" x14ac:dyDescent="0.25">
      <c r="A203" s="1">
        <v>1987</v>
      </c>
      <c r="B203" s="1" t="s">
        <v>99</v>
      </c>
      <c r="C203" t="s">
        <v>52</v>
      </c>
      <c r="D203">
        <v>46</v>
      </c>
      <c r="E203">
        <v>86</v>
      </c>
      <c r="F203">
        <v>0.05</v>
      </c>
      <c r="G203">
        <f t="shared" si="3"/>
        <v>0.05</v>
      </c>
      <c r="H203">
        <f>G203*(26.79/38.29)</f>
        <v>3.4983024288325934E-2</v>
      </c>
    </row>
    <row r="204" spans="1:8" x14ac:dyDescent="0.25">
      <c r="A204" s="1">
        <v>1987</v>
      </c>
      <c r="B204" s="1" t="s">
        <v>99</v>
      </c>
      <c r="C204" t="s">
        <v>52</v>
      </c>
      <c r="D204">
        <v>46</v>
      </c>
      <c r="E204">
        <v>119</v>
      </c>
      <c r="F204">
        <v>0.01</v>
      </c>
      <c r="G204">
        <f t="shared" si="3"/>
        <v>0.01</v>
      </c>
      <c r="H204">
        <f>G204*(26.79/38.29)</f>
        <v>6.9966048576651863E-3</v>
      </c>
    </row>
    <row r="205" spans="1:8" x14ac:dyDescent="0.25">
      <c r="A205" s="1">
        <v>1987</v>
      </c>
      <c r="B205" s="1" t="s">
        <v>99</v>
      </c>
      <c r="C205" t="s">
        <v>52</v>
      </c>
      <c r="D205">
        <v>46</v>
      </c>
      <c r="E205">
        <v>119</v>
      </c>
      <c r="F205">
        <v>0.01</v>
      </c>
      <c r="G205">
        <f t="shared" si="3"/>
        <v>0.01</v>
      </c>
      <c r="H205">
        <f>G205*(26.79/38.29)</f>
        <v>6.9966048576651863E-3</v>
      </c>
    </row>
    <row r="206" spans="1:8" x14ac:dyDescent="0.25">
      <c r="A206" s="1">
        <v>1987</v>
      </c>
      <c r="B206" s="1" t="s">
        <v>99</v>
      </c>
      <c r="C206" t="s">
        <v>52</v>
      </c>
      <c r="D206">
        <v>47</v>
      </c>
      <c r="E206">
        <v>29</v>
      </c>
      <c r="F206">
        <v>0.12</v>
      </c>
      <c r="G206">
        <f t="shared" si="3"/>
        <v>0.12</v>
      </c>
      <c r="H206">
        <f>G206*(26.79/38.29)</f>
        <v>8.3959258291982225E-2</v>
      </c>
    </row>
    <row r="207" spans="1:8" x14ac:dyDescent="0.25">
      <c r="A207" s="1">
        <v>1987</v>
      </c>
      <c r="B207" s="1" t="s">
        <v>99</v>
      </c>
      <c r="C207" t="s">
        <v>52</v>
      </c>
      <c r="D207">
        <v>47</v>
      </c>
      <c r="E207">
        <v>63</v>
      </c>
      <c r="F207">
        <v>0.03</v>
      </c>
      <c r="G207">
        <f t="shared" si="3"/>
        <v>0.03</v>
      </c>
      <c r="H207">
        <f>G207*(26.79/38.29)</f>
        <v>2.0989814572995556E-2</v>
      </c>
    </row>
    <row r="208" spans="1:8" x14ac:dyDescent="0.25">
      <c r="A208" s="1">
        <v>1987</v>
      </c>
      <c r="B208" s="1" t="s">
        <v>99</v>
      </c>
      <c r="C208" t="s">
        <v>52</v>
      </c>
      <c r="D208">
        <v>47</v>
      </c>
      <c r="E208">
        <v>63</v>
      </c>
      <c r="F208">
        <v>0.01</v>
      </c>
      <c r="G208">
        <f t="shared" si="3"/>
        <v>0.01</v>
      </c>
      <c r="H208">
        <f>G208*(26.79/38.29)</f>
        <v>6.9966048576651863E-3</v>
      </c>
    </row>
    <row r="209" spans="1:8" x14ac:dyDescent="0.25">
      <c r="A209" s="1">
        <v>1987</v>
      </c>
      <c r="B209" s="1" t="s">
        <v>99</v>
      </c>
      <c r="C209" t="s">
        <v>52</v>
      </c>
      <c r="D209">
        <v>47</v>
      </c>
      <c r="E209">
        <v>76</v>
      </c>
      <c r="F209">
        <v>0.01</v>
      </c>
      <c r="G209">
        <f t="shared" si="3"/>
        <v>0.01</v>
      </c>
      <c r="H209">
        <f>G209*(26.79/38.29)</f>
        <v>6.9966048576651863E-3</v>
      </c>
    </row>
    <row r="210" spans="1:8" x14ac:dyDescent="0.25">
      <c r="A210" s="1">
        <v>1987</v>
      </c>
      <c r="B210" s="1" t="s">
        <v>99</v>
      </c>
      <c r="C210" t="s">
        <v>52</v>
      </c>
      <c r="D210">
        <v>48</v>
      </c>
      <c r="E210">
        <v>53</v>
      </c>
      <c r="F210">
        <v>0.04</v>
      </c>
      <c r="G210">
        <f t="shared" si="3"/>
        <v>0.04</v>
      </c>
      <c r="H210">
        <f>G210*(26.79/38.29)</f>
        <v>2.7986419430660745E-2</v>
      </c>
    </row>
    <row r="211" spans="1:8" x14ac:dyDescent="0.25">
      <c r="A211" s="1">
        <v>1987</v>
      </c>
      <c r="B211" s="1" t="s">
        <v>99</v>
      </c>
      <c r="C211" t="s">
        <v>52</v>
      </c>
      <c r="D211">
        <v>48</v>
      </c>
      <c r="E211">
        <v>53</v>
      </c>
      <c r="F211">
        <v>0.04</v>
      </c>
      <c r="G211">
        <f t="shared" si="3"/>
        <v>0.04</v>
      </c>
      <c r="H211">
        <f>G211*(26.79/38.29)</f>
        <v>2.7986419430660745E-2</v>
      </c>
    </row>
    <row r="212" spans="1:8" x14ac:dyDescent="0.25">
      <c r="A212" s="1">
        <v>1987</v>
      </c>
      <c r="B212" s="1" t="s">
        <v>99</v>
      </c>
      <c r="C212" t="s">
        <v>52</v>
      </c>
      <c r="D212">
        <v>48</v>
      </c>
      <c r="E212">
        <v>53</v>
      </c>
      <c r="F212">
        <v>0.01</v>
      </c>
      <c r="G212">
        <f t="shared" si="3"/>
        <v>0.01</v>
      </c>
      <c r="H212">
        <f>G212*(26.79/38.29)</f>
        <v>6.9966048576651863E-3</v>
      </c>
    </row>
    <row r="213" spans="1:8" x14ac:dyDescent="0.25">
      <c r="A213" s="1">
        <v>1987</v>
      </c>
      <c r="B213" s="1" t="s">
        <v>99</v>
      </c>
      <c r="C213" t="s">
        <v>52</v>
      </c>
      <c r="D213">
        <v>48</v>
      </c>
      <c r="E213">
        <v>56</v>
      </c>
      <c r="F213">
        <v>0.02</v>
      </c>
      <c r="G213">
        <f t="shared" si="3"/>
        <v>0.02</v>
      </c>
      <c r="H213">
        <f>G213*(26.79/38.29)</f>
        <v>1.3993209715330373E-2</v>
      </c>
    </row>
    <row r="214" spans="1:8" x14ac:dyDescent="0.25">
      <c r="A214" s="1">
        <v>1987</v>
      </c>
      <c r="B214" s="1" t="s">
        <v>99</v>
      </c>
      <c r="C214" t="s">
        <v>52</v>
      </c>
      <c r="D214">
        <v>48</v>
      </c>
      <c r="E214">
        <v>78</v>
      </c>
      <c r="F214">
        <v>0.01</v>
      </c>
      <c r="G214">
        <f t="shared" si="3"/>
        <v>0.01</v>
      </c>
      <c r="H214">
        <f>G214*(26.79/38.29)</f>
        <v>6.9966048576651863E-3</v>
      </c>
    </row>
    <row r="215" spans="1:8" x14ac:dyDescent="0.25">
      <c r="A215" s="1">
        <v>1987</v>
      </c>
      <c r="B215" s="1" t="s">
        <v>99</v>
      </c>
      <c r="C215" t="s">
        <v>52</v>
      </c>
      <c r="D215">
        <v>48</v>
      </c>
      <c r="E215">
        <v>78</v>
      </c>
      <c r="F215">
        <v>0.01</v>
      </c>
      <c r="G215">
        <f t="shared" si="3"/>
        <v>0.01</v>
      </c>
      <c r="H215">
        <f>G215*(26.79/38.29)</f>
        <v>6.9966048576651863E-3</v>
      </c>
    </row>
    <row r="216" spans="1:8" x14ac:dyDescent="0.25">
      <c r="A216" s="1">
        <v>1987</v>
      </c>
      <c r="B216" s="1" t="s">
        <v>99</v>
      </c>
      <c r="C216" t="s">
        <v>52</v>
      </c>
      <c r="D216">
        <v>48</v>
      </c>
      <c r="E216">
        <v>79</v>
      </c>
      <c r="F216">
        <v>0.03</v>
      </c>
      <c r="G216">
        <f t="shared" si="3"/>
        <v>0.03</v>
      </c>
      <c r="H216">
        <f>G216*(26.79/38.29)</f>
        <v>2.0989814572995556E-2</v>
      </c>
    </row>
    <row r="217" spans="1:8" x14ac:dyDescent="0.25">
      <c r="A217" s="1">
        <v>1987</v>
      </c>
      <c r="B217" s="1" t="s">
        <v>99</v>
      </c>
      <c r="C217" t="s">
        <v>52</v>
      </c>
      <c r="D217">
        <v>49</v>
      </c>
      <c r="E217">
        <v>76</v>
      </c>
      <c r="F217">
        <v>0.01</v>
      </c>
      <c r="G217">
        <f t="shared" si="3"/>
        <v>0.01</v>
      </c>
      <c r="H217">
        <f>G217*(26.79/38.29)</f>
        <v>6.9966048576651863E-3</v>
      </c>
    </row>
    <row r="218" spans="1:8" x14ac:dyDescent="0.25">
      <c r="A218" s="1">
        <v>1987</v>
      </c>
      <c r="B218" s="1" t="s">
        <v>99</v>
      </c>
      <c r="C218" t="s">
        <v>52</v>
      </c>
      <c r="D218">
        <v>49</v>
      </c>
      <c r="E218">
        <v>78</v>
      </c>
      <c r="F218">
        <v>0.01</v>
      </c>
      <c r="G218">
        <f t="shared" si="3"/>
        <v>0.01</v>
      </c>
      <c r="H218">
        <f>G218*(26.79/38.29)</f>
        <v>6.9966048576651863E-3</v>
      </c>
    </row>
    <row r="219" spans="1:8" x14ac:dyDescent="0.25">
      <c r="A219" s="1">
        <v>1987</v>
      </c>
      <c r="B219" s="1" t="s">
        <v>99</v>
      </c>
      <c r="C219" t="s">
        <v>52</v>
      </c>
      <c r="D219">
        <v>50</v>
      </c>
      <c r="E219">
        <v>32</v>
      </c>
      <c r="F219">
        <v>0.01</v>
      </c>
      <c r="G219">
        <f t="shared" si="3"/>
        <v>0.01</v>
      </c>
      <c r="H219">
        <f>G219*(26.79/38.29)</f>
        <v>6.9966048576651863E-3</v>
      </c>
    </row>
    <row r="220" spans="1:8" x14ac:dyDescent="0.25">
      <c r="A220" s="1">
        <v>1987</v>
      </c>
      <c r="B220" s="1" t="s">
        <v>99</v>
      </c>
      <c r="C220" t="s">
        <v>52</v>
      </c>
      <c r="D220">
        <v>50</v>
      </c>
      <c r="E220">
        <v>76</v>
      </c>
      <c r="F220">
        <v>0.09</v>
      </c>
      <c r="G220">
        <f t="shared" si="3"/>
        <v>0.09</v>
      </c>
      <c r="H220">
        <f>G220*(26.79/38.29)</f>
        <v>6.2969443718986676E-2</v>
      </c>
    </row>
    <row r="221" spans="1:8" x14ac:dyDescent="0.25">
      <c r="A221" s="1">
        <v>1987</v>
      </c>
      <c r="B221" s="1" t="s">
        <v>99</v>
      </c>
      <c r="C221" t="s">
        <v>52</v>
      </c>
      <c r="D221">
        <v>50</v>
      </c>
      <c r="E221">
        <v>78</v>
      </c>
      <c r="F221">
        <v>0.05</v>
      </c>
      <c r="G221">
        <f t="shared" si="3"/>
        <v>0.05</v>
      </c>
      <c r="H221">
        <f>G221*(26.79/38.29)</f>
        <v>3.4983024288325934E-2</v>
      </c>
    </row>
    <row r="222" spans="1:8" x14ac:dyDescent="0.25">
      <c r="A222" s="1">
        <v>1987</v>
      </c>
      <c r="B222" s="1" t="s">
        <v>99</v>
      </c>
      <c r="C222" t="s">
        <v>52</v>
      </c>
      <c r="D222">
        <v>50</v>
      </c>
      <c r="E222">
        <v>78</v>
      </c>
      <c r="F222">
        <v>0.01</v>
      </c>
      <c r="G222">
        <f t="shared" si="3"/>
        <v>0.01</v>
      </c>
      <c r="H222">
        <f>G222*(26.79/38.29)</f>
        <v>6.9966048576651863E-3</v>
      </c>
    </row>
    <row r="223" spans="1:8" x14ac:dyDescent="0.25">
      <c r="A223" s="1">
        <v>1987</v>
      </c>
      <c r="B223" s="1" t="s">
        <v>99</v>
      </c>
      <c r="C223" t="s">
        <v>52</v>
      </c>
      <c r="D223">
        <v>50</v>
      </c>
      <c r="E223">
        <v>86</v>
      </c>
      <c r="F223">
        <v>0.02</v>
      </c>
      <c r="G223">
        <f t="shared" si="3"/>
        <v>0.02</v>
      </c>
      <c r="H223">
        <f>G223*(26.79/38.29)</f>
        <v>1.3993209715330373E-2</v>
      </c>
    </row>
    <row r="224" spans="1:8" x14ac:dyDescent="0.25">
      <c r="A224" s="1">
        <v>1987</v>
      </c>
      <c r="B224" s="1" t="s">
        <v>99</v>
      </c>
      <c r="C224" t="s">
        <v>52</v>
      </c>
      <c r="D224">
        <v>51</v>
      </c>
      <c r="E224">
        <v>76</v>
      </c>
      <c r="F224">
        <v>0.03</v>
      </c>
      <c r="G224">
        <f t="shared" si="3"/>
        <v>0.03</v>
      </c>
      <c r="H224">
        <f>G224*(26.79/38.29)</f>
        <v>2.0989814572995556E-2</v>
      </c>
    </row>
    <row r="225" spans="1:8" x14ac:dyDescent="0.25">
      <c r="A225" s="1">
        <v>1987</v>
      </c>
      <c r="B225" s="1" t="s">
        <v>99</v>
      </c>
      <c r="C225" t="s">
        <v>52</v>
      </c>
      <c r="D225">
        <v>51</v>
      </c>
      <c r="E225">
        <v>78</v>
      </c>
      <c r="F225">
        <v>0.02</v>
      </c>
      <c r="G225">
        <f t="shared" si="3"/>
        <v>0.02</v>
      </c>
      <c r="H225">
        <f>G225*(26.79/38.29)</f>
        <v>1.3993209715330373E-2</v>
      </c>
    </row>
    <row r="226" spans="1:8" x14ac:dyDescent="0.25">
      <c r="A226" s="1">
        <v>1987</v>
      </c>
      <c r="B226" s="1" t="s">
        <v>99</v>
      </c>
      <c r="C226" t="s">
        <v>52</v>
      </c>
      <c r="D226">
        <v>51</v>
      </c>
      <c r="E226">
        <v>91</v>
      </c>
      <c r="F226">
        <v>0.01</v>
      </c>
      <c r="G226">
        <f t="shared" si="3"/>
        <v>0.01</v>
      </c>
      <c r="H226">
        <f>G226*(26.79/38.29)</f>
        <v>6.9966048576651863E-3</v>
      </c>
    </row>
    <row r="227" spans="1:8" x14ac:dyDescent="0.25">
      <c r="A227" s="1">
        <v>1987</v>
      </c>
      <c r="B227" s="1" t="s">
        <v>99</v>
      </c>
      <c r="C227" t="s">
        <v>52</v>
      </c>
      <c r="D227">
        <v>52</v>
      </c>
      <c r="E227">
        <v>78</v>
      </c>
      <c r="F227">
        <v>0.01</v>
      </c>
      <c r="G227">
        <f t="shared" si="3"/>
        <v>0.01</v>
      </c>
      <c r="H227">
        <f>G227*(26.79/38.29)</f>
        <v>6.9966048576651863E-3</v>
      </c>
    </row>
    <row r="228" spans="1:8" x14ac:dyDescent="0.25">
      <c r="A228" s="1">
        <v>1987</v>
      </c>
      <c r="B228" s="1" t="s">
        <v>99</v>
      </c>
      <c r="C228" t="s">
        <v>52</v>
      </c>
      <c r="D228">
        <v>52</v>
      </c>
      <c r="E228">
        <v>78</v>
      </c>
      <c r="F228">
        <v>0.01</v>
      </c>
      <c r="G228">
        <f t="shared" si="3"/>
        <v>0.01</v>
      </c>
      <c r="H228">
        <f>G228*(26.79/38.29)</f>
        <v>6.9966048576651863E-3</v>
      </c>
    </row>
    <row r="229" spans="1:8" x14ac:dyDescent="0.25">
      <c r="A229" s="1">
        <v>1987</v>
      </c>
      <c r="B229" s="1" t="s">
        <v>99</v>
      </c>
      <c r="C229" t="s">
        <v>52</v>
      </c>
      <c r="D229">
        <v>52</v>
      </c>
      <c r="E229">
        <v>78</v>
      </c>
      <c r="F229">
        <v>0.02</v>
      </c>
      <c r="G229">
        <f t="shared" si="3"/>
        <v>0.02</v>
      </c>
      <c r="H229">
        <f>G229*(26.79/38.29)</f>
        <v>1.3993209715330373E-2</v>
      </c>
    </row>
    <row r="230" spans="1:8" x14ac:dyDescent="0.25">
      <c r="A230" s="1">
        <v>1987</v>
      </c>
      <c r="B230" s="1" t="s">
        <v>99</v>
      </c>
      <c r="C230" t="s">
        <v>52</v>
      </c>
      <c r="D230">
        <v>52</v>
      </c>
      <c r="E230">
        <v>78</v>
      </c>
      <c r="F230">
        <v>0.01</v>
      </c>
      <c r="G230">
        <f t="shared" si="3"/>
        <v>0.01</v>
      </c>
      <c r="H230">
        <f>G230*(26.79/38.29)</f>
        <v>6.9966048576651863E-3</v>
      </c>
    </row>
    <row r="231" spans="1:8" x14ac:dyDescent="0.25">
      <c r="A231" s="1">
        <v>1987</v>
      </c>
      <c r="B231" s="1" t="s">
        <v>99</v>
      </c>
      <c r="C231" t="s">
        <v>52</v>
      </c>
      <c r="D231">
        <v>52</v>
      </c>
      <c r="E231">
        <v>78</v>
      </c>
      <c r="F231">
        <v>0.01</v>
      </c>
      <c r="G231">
        <f t="shared" si="3"/>
        <v>0.01</v>
      </c>
      <c r="H231">
        <f>G231*(26.79/38.29)</f>
        <v>6.9966048576651863E-3</v>
      </c>
    </row>
    <row r="232" spans="1:8" x14ac:dyDescent="0.25">
      <c r="A232" s="1">
        <v>1987</v>
      </c>
      <c r="B232" s="1" t="s">
        <v>99</v>
      </c>
      <c r="C232" t="s">
        <v>52</v>
      </c>
      <c r="D232">
        <v>52</v>
      </c>
      <c r="E232">
        <v>86</v>
      </c>
      <c r="F232">
        <v>0.12</v>
      </c>
      <c r="G232">
        <f t="shared" si="3"/>
        <v>0.12</v>
      </c>
      <c r="H232">
        <f>G232*(26.79/38.29)</f>
        <v>8.3959258291982225E-2</v>
      </c>
    </row>
    <row r="233" spans="1:8" x14ac:dyDescent="0.25">
      <c r="A233" s="1">
        <v>1987</v>
      </c>
      <c r="B233" s="1" t="s">
        <v>99</v>
      </c>
      <c r="C233" t="s">
        <v>52</v>
      </c>
      <c r="D233">
        <v>53</v>
      </c>
      <c r="E233">
        <v>32</v>
      </c>
      <c r="F233">
        <v>0.03</v>
      </c>
      <c r="G233">
        <f t="shared" si="3"/>
        <v>0.03</v>
      </c>
      <c r="H233">
        <f>G233*(26.79/38.29)</f>
        <v>2.0989814572995556E-2</v>
      </c>
    </row>
    <row r="234" spans="1:8" x14ac:dyDescent="0.25">
      <c r="A234" s="1">
        <v>1987</v>
      </c>
      <c r="B234" s="1" t="s">
        <v>99</v>
      </c>
      <c r="C234" t="s">
        <v>52</v>
      </c>
      <c r="D234">
        <v>53</v>
      </c>
      <c r="E234">
        <v>63</v>
      </c>
      <c r="F234">
        <v>0.09</v>
      </c>
      <c r="G234">
        <f t="shared" si="3"/>
        <v>0.09</v>
      </c>
      <c r="H234">
        <f>G234*(26.79/38.29)</f>
        <v>6.2969443718986676E-2</v>
      </c>
    </row>
    <row r="235" spans="1:8" x14ac:dyDescent="0.25">
      <c r="A235" s="1">
        <v>1987</v>
      </c>
      <c r="B235" s="1" t="s">
        <v>99</v>
      </c>
      <c r="C235" t="s">
        <v>52</v>
      </c>
      <c r="D235">
        <v>53</v>
      </c>
      <c r="E235">
        <v>66</v>
      </c>
      <c r="F235">
        <v>0.04</v>
      </c>
      <c r="G235">
        <f t="shared" si="3"/>
        <v>0.04</v>
      </c>
      <c r="H235">
        <f>G235*(26.79/38.29)</f>
        <v>2.7986419430660745E-2</v>
      </c>
    </row>
    <row r="236" spans="1:8" x14ac:dyDescent="0.25">
      <c r="A236" s="1">
        <v>1987</v>
      </c>
      <c r="B236" s="1" t="s">
        <v>99</v>
      </c>
      <c r="C236" t="s">
        <v>52</v>
      </c>
      <c r="D236">
        <v>53</v>
      </c>
      <c r="E236">
        <v>119</v>
      </c>
      <c r="F236">
        <v>0.01</v>
      </c>
      <c r="G236">
        <f t="shared" si="3"/>
        <v>0.01</v>
      </c>
      <c r="H236">
        <f>G236*(26.79/38.29)</f>
        <v>6.9966048576651863E-3</v>
      </c>
    </row>
    <row r="237" spans="1:8" x14ac:dyDescent="0.25">
      <c r="A237" s="1">
        <v>1987</v>
      </c>
      <c r="B237" s="1" t="s">
        <v>99</v>
      </c>
      <c r="C237" t="s">
        <v>52</v>
      </c>
      <c r="D237">
        <v>53</v>
      </c>
      <c r="E237">
        <v>119</v>
      </c>
      <c r="F237">
        <v>0.01</v>
      </c>
      <c r="G237">
        <f t="shared" si="3"/>
        <v>0.01</v>
      </c>
      <c r="H237">
        <f>G237*(26.79/38.29)</f>
        <v>6.9966048576651863E-3</v>
      </c>
    </row>
    <row r="238" spans="1:8" x14ac:dyDescent="0.25">
      <c r="A238" s="1">
        <v>1987</v>
      </c>
      <c r="B238" s="1" t="s">
        <v>99</v>
      </c>
      <c r="C238" t="s">
        <v>52</v>
      </c>
      <c r="D238">
        <v>54</v>
      </c>
      <c r="E238">
        <v>63</v>
      </c>
      <c r="F238">
        <v>0.01</v>
      </c>
      <c r="G238">
        <f t="shared" si="3"/>
        <v>0.01</v>
      </c>
      <c r="H238">
        <f>G238*(26.79/38.29)</f>
        <v>6.9966048576651863E-3</v>
      </c>
    </row>
    <row r="239" spans="1:8" x14ac:dyDescent="0.25">
      <c r="A239" s="1">
        <v>1987</v>
      </c>
      <c r="B239" s="1" t="s">
        <v>99</v>
      </c>
      <c r="C239" t="s">
        <v>52</v>
      </c>
      <c r="D239">
        <v>54</v>
      </c>
      <c r="E239">
        <v>76</v>
      </c>
      <c r="F239">
        <v>0.01</v>
      </c>
      <c r="G239">
        <f t="shared" si="3"/>
        <v>0.01</v>
      </c>
      <c r="H239">
        <f>G239*(26.79/38.29)</f>
        <v>6.9966048576651863E-3</v>
      </c>
    </row>
    <row r="240" spans="1:8" x14ac:dyDescent="0.25">
      <c r="A240" s="1">
        <v>1987</v>
      </c>
      <c r="B240" s="1" t="s">
        <v>99</v>
      </c>
      <c r="C240" t="s">
        <v>52</v>
      </c>
      <c r="D240">
        <v>54</v>
      </c>
      <c r="E240">
        <v>78</v>
      </c>
      <c r="F240">
        <v>0.01</v>
      </c>
      <c r="G240">
        <f t="shared" si="3"/>
        <v>0.01</v>
      </c>
      <c r="H240">
        <f>G240*(26.79/38.29)</f>
        <v>6.9966048576651863E-3</v>
      </c>
    </row>
    <row r="241" spans="1:8" x14ac:dyDescent="0.25">
      <c r="A241" s="1">
        <v>1987</v>
      </c>
      <c r="B241" s="1" t="s">
        <v>99</v>
      </c>
      <c r="C241" t="s">
        <v>52</v>
      </c>
      <c r="D241">
        <v>54</v>
      </c>
      <c r="E241">
        <v>78</v>
      </c>
      <c r="F241">
        <v>0.03</v>
      </c>
      <c r="G241">
        <f t="shared" si="3"/>
        <v>0.03</v>
      </c>
      <c r="H241">
        <f>G241*(26.79/38.29)</f>
        <v>2.0989814572995556E-2</v>
      </c>
    </row>
    <row r="242" spans="1:8" x14ac:dyDescent="0.25">
      <c r="A242" s="1">
        <v>1987</v>
      </c>
      <c r="B242" s="1" t="s">
        <v>99</v>
      </c>
      <c r="C242" t="s">
        <v>52</v>
      </c>
      <c r="D242">
        <v>54</v>
      </c>
      <c r="E242">
        <v>79</v>
      </c>
      <c r="F242">
        <v>0.02</v>
      </c>
      <c r="G242">
        <f t="shared" si="3"/>
        <v>0.02</v>
      </c>
      <c r="H242">
        <f>G242*(26.79/38.29)</f>
        <v>1.3993209715330373E-2</v>
      </c>
    </row>
    <row r="243" spans="1:8" x14ac:dyDescent="0.25">
      <c r="A243" s="1">
        <v>1987</v>
      </c>
      <c r="B243" s="1" t="s">
        <v>99</v>
      </c>
      <c r="C243" t="s">
        <v>52</v>
      </c>
      <c r="D243">
        <v>54</v>
      </c>
      <c r="E243">
        <v>86</v>
      </c>
      <c r="F243">
        <v>0.05</v>
      </c>
      <c r="G243">
        <f t="shared" si="3"/>
        <v>0.05</v>
      </c>
      <c r="H243">
        <f>G243*(26.79/38.29)</f>
        <v>3.4983024288325934E-2</v>
      </c>
    </row>
    <row r="244" spans="1:8" x14ac:dyDescent="0.25">
      <c r="A244" s="1">
        <v>1987</v>
      </c>
      <c r="B244" s="1" t="s">
        <v>99</v>
      </c>
      <c r="C244" t="s">
        <v>52</v>
      </c>
      <c r="D244">
        <v>55</v>
      </c>
      <c r="E244">
        <v>76</v>
      </c>
      <c r="F244">
        <v>0.01</v>
      </c>
      <c r="G244">
        <f t="shared" si="3"/>
        <v>0.01</v>
      </c>
      <c r="H244">
        <f>G244*(26.79/38.29)</f>
        <v>6.9966048576651863E-3</v>
      </c>
    </row>
    <row r="245" spans="1:8" x14ac:dyDescent="0.25">
      <c r="A245" s="1">
        <v>1987</v>
      </c>
      <c r="B245" s="1" t="s">
        <v>99</v>
      </c>
      <c r="C245" t="s">
        <v>52</v>
      </c>
      <c r="D245">
        <v>55</v>
      </c>
      <c r="E245">
        <v>79</v>
      </c>
      <c r="F245">
        <v>0.02</v>
      </c>
      <c r="G245">
        <f t="shared" si="3"/>
        <v>0.02</v>
      </c>
      <c r="H245">
        <f>G245*(26.79/38.29)</f>
        <v>1.3993209715330373E-2</v>
      </c>
    </row>
    <row r="246" spans="1:8" x14ac:dyDescent="0.25">
      <c r="A246" s="1">
        <v>1987</v>
      </c>
      <c r="B246" s="1" t="s">
        <v>99</v>
      </c>
      <c r="C246" t="s">
        <v>52</v>
      </c>
      <c r="D246">
        <v>55</v>
      </c>
      <c r="E246">
        <v>79</v>
      </c>
      <c r="F246">
        <v>0.04</v>
      </c>
      <c r="G246">
        <f t="shared" si="3"/>
        <v>0.04</v>
      </c>
      <c r="H246">
        <f>G246*(26.79/38.29)</f>
        <v>2.7986419430660745E-2</v>
      </c>
    </row>
    <row r="247" spans="1:8" x14ac:dyDescent="0.25">
      <c r="A247" s="1">
        <v>1987</v>
      </c>
      <c r="B247" s="1" t="s">
        <v>99</v>
      </c>
      <c r="C247" t="s">
        <v>52</v>
      </c>
      <c r="D247">
        <v>55</v>
      </c>
      <c r="E247">
        <v>86</v>
      </c>
      <c r="F247">
        <v>0.01</v>
      </c>
      <c r="G247">
        <f t="shared" si="3"/>
        <v>0.01</v>
      </c>
      <c r="H247">
        <f>G247*(26.79/38.29)</f>
        <v>6.9966048576651863E-3</v>
      </c>
    </row>
    <row r="248" spans="1:8" x14ac:dyDescent="0.25">
      <c r="A248" s="1">
        <v>1987</v>
      </c>
      <c r="B248" s="1" t="s">
        <v>99</v>
      </c>
      <c r="C248" t="s">
        <v>52</v>
      </c>
      <c r="D248">
        <v>56</v>
      </c>
      <c r="E248">
        <v>78</v>
      </c>
      <c r="F248">
        <v>0.01</v>
      </c>
      <c r="G248">
        <f t="shared" si="3"/>
        <v>0.01</v>
      </c>
      <c r="H248">
        <f>G248*(26.79/38.29)</f>
        <v>6.9966048576651863E-3</v>
      </c>
    </row>
    <row r="249" spans="1:8" x14ac:dyDescent="0.25">
      <c r="A249" s="1">
        <v>1987</v>
      </c>
      <c r="B249" s="1" t="s">
        <v>99</v>
      </c>
      <c r="C249" t="s">
        <v>52</v>
      </c>
      <c r="D249">
        <v>56</v>
      </c>
      <c r="E249">
        <v>86</v>
      </c>
      <c r="F249">
        <v>0.11</v>
      </c>
      <c r="G249">
        <f t="shared" si="3"/>
        <v>0.11</v>
      </c>
      <c r="H249">
        <f>G249*(26.79/38.29)</f>
        <v>7.6962653434317047E-2</v>
      </c>
    </row>
    <row r="250" spans="1:8" x14ac:dyDescent="0.25">
      <c r="A250" s="1">
        <v>1987</v>
      </c>
      <c r="B250" s="1" t="s">
        <v>99</v>
      </c>
      <c r="C250" t="s">
        <v>52</v>
      </c>
      <c r="D250">
        <v>57</v>
      </c>
      <c r="E250">
        <v>86</v>
      </c>
      <c r="F250">
        <v>0.02</v>
      </c>
      <c r="G250">
        <f t="shared" si="3"/>
        <v>0.02</v>
      </c>
      <c r="H250">
        <f>G250*(26.79/38.29)</f>
        <v>1.3993209715330373E-2</v>
      </c>
    </row>
    <row r="251" spans="1:8" x14ac:dyDescent="0.25">
      <c r="A251" s="1">
        <v>1987</v>
      </c>
      <c r="B251" s="1" t="s">
        <v>99</v>
      </c>
      <c r="C251" t="s">
        <v>52</v>
      </c>
      <c r="D251">
        <v>58</v>
      </c>
      <c r="E251">
        <v>66</v>
      </c>
      <c r="F251">
        <v>0.02</v>
      </c>
      <c r="G251">
        <f t="shared" si="3"/>
        <v>0.02</v>
      </c>
      <c r="H251">
        <f>G251*(26.79/38.29)</f>
        <v>1.3993209715330373E-2</v>
      </c>
    </row>
    <row r="252" spans="1:8" x14ac:dyDescent="0.25">
      <c r="A252" s="1">
        <v>1987</v>
      </c>
      <c r="B252" s="1" t="s">
        <v>99</v>
      </c>
      <c r="C252" t="s">
        <v>52</v>
      </c>
      <c r="D252">
        <v>58</v>
      </c>
      <c r="E252">
        <v>78</v>
      </c>
      <c r="F252">
        <v>0.01</v>
      </c>
      <c r="G252">
        <f t="shared" si="3"/>
        <v>0.01</v>
      </c>
      <c r="H252">
        <f>G252*(26.79/38.29)</f>
        <v>6.9966048576651863E-3</v>
      </c>
    </row>
    <row r="253" spans="1:8" x14ac:dyDescent="0.25">
      <c r="A253" s="1">
        <v>1987</v>
      </c>
      <c r="B253" s="1" t="s">
        <v>99</v>
      </c>
      <c r="C253" t="s">
        <v>52</v>
      </c>
      <c r="D253">
        <v>58</v>
      </c>
      <c r="E253">
        <v>86</v>
      </c>
      <c r="F253">
        <v>0.02</v>
      </c>
      <c r="G253">
        <f t="shared" si="3"/>
        <v>0.02</v>
      </c>
      <c r="H253">
        <f>G253*(26.79/38.29)</f>
        <v>1.3993209715330373E-2</v>
      </c>
    </row>
    <row r="254" spans="1:8" x14ac:dyDescent="0.25">
      <c r="A254" s="1">
        <v>1987</v>
      </c>
      <c r="B254" s="1" t="s">
        <v>99</v>
      </c>
      <c r="C254" t="s">
        <v>52</v>
      </c>
      <c r="D254">
        <v>59</v>
      </c>
      <c r="E254">
        <v>66</v>
      </c>
      <c r="F254">
        <v>0.02</v>
      </c>
      <c r="G254">
        <f t="shared" si="3"/>
        <v>0.02</v>
      </c>
      <c r="H254">
        <f>G254*(26.79/38.29)</f>
        <v>1.3993209715330373E-2</v>
      </c>
    </row>
    <row r="255" spans="1:8" x14ac:dyDescent="0.25">
      <c r="A255" s="1">
        <v>1987</v>
      </c>
      <c r="B255" s="1" t="s">
        <v>99</v>
      </c>
      <c r="C255" t="s">
        <v>52</v>
      </c>
      <c r="D255">
        <v>59</v>
      </c>
      <c r="E255">
        <v>78</v>
      </c>
      <c r="F255">
        <v>0.03</v>
      </c>
      <c r="G255">
        <f t="shared" si="3"/>
        <v>0.03</v>
      </c>
      <c r="H255">
        <f>G255*(26.79/38.29)</f>
        <v>2.0989814572995556E-2</v>
      </c>
    </row>
    <row r="256" spans="1:8" x14ac:dyDescent="0.25">
      <c r="A256" s="1">
        <v>1987</v>
      </c>
      <c r="B256" s="1" t="s">
        <v>99</v>
      </c>
      <c r="C256" t="s">
        <v>52</v>
      </c>
      <c r="D256">
        <v>59</v>
      </c>
      <c r="E256">
        <v>78</v>
      </c>
      <c r="F256">
        <v>0.05</v>
      </c>
      <c r="G256">
        <f t="shared" si="3"/>
        <v>0.05</v>
      </c>
      <c r="H256">
        <f>G256*(26.79/38.29)</f>
        <v>3.4983024288325934E-2</v>
      </c>
    </row>
    <row r="257" spans="1:8" x14ac:dyDescent="0.25">
      <c r="A257" s="1">
        <v>1987</v>
      </c>
      <c r="B257" s="1" t="s">
        <v>99</v>
      </c>
      <c r="C257" t="s">
        <v>52</v>
      </c>
      <c r="D257">
        <v>59</v>
      </c>
      <c r="E257">
        <v>78</v>
      </c>
      <c r="F257">
        <v>0.02</v>
      </c>
      <c r="G257">
        <f t="shared" si="3"/>
        <v>0.02</v>
      </c>
      <c r="H257">
        <f>G257*(26.79/38.29)</f>
        <v>1.3993209715330373E-2</v>
      </c>
    </row>
    <row r="258" spans="1:8" x14ac:dyDescent="0.25">
      <c r="A258" s="1">
        <v>1987</v>
      </c>
      <c r="B258" s="1" t="s">
        <v>99</v>
      </c>
      <c r="C258" t="s">
        <v>52</v>
      </c>
      <c r="D258">
        <v>59</v>
      </c>
      <c r="E258">
        <v>78</v>
      </c>
      <c r="F258">
        <v>0.03</v>
      </c>
      <c r="G258">
        <f t="shared" si="3"/>
        <v>0.03</v>
      </c>
      <c r="H258">
        <f>G258*(26.79/38.29)</f>
        <v>2.0989814572995556E-2</v>
      </c>
    </row>
    <row r="259" spans="1:8" x14ac:dyDescent="0.25">
      <c r="A259" s="1">
        <v>1987</v>
      </c>
      <c r="B259" s="1" t="s">
        <v>99</v>
      </c>
      <c r="C259" t="s">
        <v>52</v>
      </c>
      <c r="D259">
        <v>59</v>
      </c>
      <c r="E259">
        <v>78</v>
      </c>
      <c r="F259">
        <v>0.02</v>
      </c>
      <c r="G259">
        <f t="shared" ref="G259:G322" si="4">(F259/0.01)/100</f>
        <v>0.02</v>
      </c>
      <c r="H259">
        <f>G259*(26.79/38.29)</f>
        <v>1.3993209715330373E-2</v>
      </c>
    </row>
    <row r="260" spans="1:8" x14ac:dyDescent="0.25">
      <c r="A260" s="1">
        <v>1987</v>
      </c>
      <c r="B260" s="1" t="s">
        <v>99</v>
      </c>
      <c r="C260" t="s">
        <v>52</v>
      </c>
      <c r="D260">
        <v>59</v>
      </c>
      <c r="E260">
        <v>79</v>
      </c>
      <c r="F260">
        <v>0.05</v>
      </c>
      <c r="G260">
        <f t="shared" si="4"/>
        <v>0.05</v>
      </c>
      <c r="H260">
        <f>G260*(26.79/38.29)</f>
        <v>3.4983024288325934E-2</v>
      </c>
    </row>
    <row r="261" spans="1:8" x14ac:dyDescent="0.25">
      <c r="A261" s="1">
        <v>1987</v>
      </c>
      <c r="B261" s="1" t="s">
        <v>99</v>
      </c>
      <c r="C261" t="s">
        <v>52</v>
      </c>
      <c r="D261">
        <v>59</v>
      </c>
      <c r="E261">
        <v>79</v>
      </c>
      <c r="F261">
        <v>0.05</v>
      </c>
      <c r="G261">
        <f t="shared" si="4"/>
        <v>0.05</v>
      </c>
      <c r="H261">
        <f>G261*(26.79/38.29)</f>
        <v>3.4983024288325934E-2</v>
      </c>
    </row>
    <row r="262" spans="1:8" x14ac:dyDescent="0.25">
      <c r="A262" s="1">
        <v>1987</v>
      </c>
      <c r="B262" s="1" t="s">
        <v>99</v>
      </c>
      <c r="C262" t="s">
        <v>52</v>
      </c>
      <c r="D262">
        <v>59</v>
      </c>
      <c r="E262">
        <v>86</v>
      </c>
      <c r="F262">
        <v>0.01</v>
      </c>
      <c r="G262">
        <f t="shared" si="4"/>
        <v>0.01</v>
      </c>
      <c r="H262">
        <f>G262*(26.79/38.29)</f>
        <v>6.9966048576651863E-3</v>
      </c>
    </row>
    <row r="263" spans="1:8" x14ac:dyDescent="0.25">
      <c r="A263" s="1">
        <v>1987</v>
      </c>
      <c r="B263" s="1" t="s">
        <v>99</v>
      </c>
      <c r="C263" t="s">
        <v>52</v>
      </c>
      <c r="D263">
        <v>59</v>
      </c>
      <c r="E263">
        <v>86</v>
      </c>
      <c r="F263">
        <v>0.01</v>
      </c>
      <c r="G263">
        <f t="shared" si="4"/>
        <v>0.01</v>
      </c>
      <c r="H263">
        <f>G263*(26.79/38.29)</f>
        <v>6.9966048576651863E-3</v>
      </c>
    </row>
    <row r="264" spans="1:8" x14ac:dyDescent="0.25">
      <c r="A264" s="1">
        <v>1987</v>
      </c>
      <c r="B264" s="1" t="s">
        <v>99</v>
      </c>
      <c r="C264" t="s">
        <v>52</v>
      </c>
      <c r="D264">
        <v>59</v>
      </c>
      <c r="E264">
        <v>119</v>
      </c>
      <c r="F264">
        <v>0.05</v>
      </c>
      <c r="G264">
        <f t="shared" si="4"/>
        <v>0.05</v>
      </c>
      <c r="H264">
        <f>G264*(26.79/38.29)</f>
        <v>3.4983024288325934E-2</v>
      </c>
    </row>
    <row r="265" spans="1:8" x14ac:dyDescent="0.25">
      <c r="A265" s="1">
        <v>1987</v>
      </c>
      <c r="B265" s="1" t="s">
        <v>99</v>
      </c>
      <c r="C265" t="s">
        <v>52</v>
      </c>
      <c r="D265">
        <v>60</v>
      </c>
      <c r="E265">
        <v>32</v>
      </c>
      <c r="F265">
        <v>0.01</v>
      </c>
      <c r="G265">
        <f t="shared" si="4"/>
        <v>0.01</v>
      </c>
      <c r="H265">
        <f>G265*(26.79/38.29)</f>
        <v>6.9966048576651863E-3</v>
      </c>
    </row>
    <row r="266" spans="1:8" x14ac:dyDescent="0.25">
      <c r="A266" s="1">
        <v>1987</v>
      </c>
      <c r="B266" s="1" t="s">
        <v>99</v>
      </c>
      <c r="C266" t="s">
        <v>52</v>
      </c>
      <c r="D266">
        <v>60</v>
      </c>
      <c r="E266">
        <v>32</v>
      </c>
      <c r="F266">
        <v>0.02</v>
      </c>
      <c r="G266">
        <f t="shared" si="4"/>
        <v>0.02</v>
      </c>
      <c r="H266">
        <f>G266*(26.79/38.29)</f>
        <v>1.3993209715330373E-2</v>
      </c>
    </row>
    <row r="267" spans="1:8" x14ac:dyDescent="0.25">
      <c r="A267" s="1">
        <v>1987</v>
      </c>
      <c r="B267" s="1" t="s">
        <v>99</v>
      </c>
      <c r="C267" t="s">
        <v>52</v>
      </c>
      <c r="D267">
        <v>60</v>
      </c>
      <c r="E267">
        <v>32</v>
      </c>
      <c r="F267">
        <v>0.02</v>
      </c>
      <c r="G267">
        <f t="shared" si="4"/>
        <v>0.02</v>
      </c>
      <c r="H267">
        <f>G267*(26.79/38.29)</f>
        <v>1.3993209715330373E-2</v>
      </c>
    </row>
    <row r="268" spans="1:8" x14ac:dyDescent="0.25">
      <c r="A268" s="1">
        <v>1987</v>
      </c>
      <c r="B268" s="1" t="s">
        <v>99</v>
      </c>
      <c r="C268" t="s">
        <v>52</v>
      </c>
      <c r="D268">
        <v>60</v>
      </c>
      <c r="E268">
        <v>32</v>
      </c>
      <c r="F268">
        <v>0.09</v>
      </c>
      <c r="G268">
        <f t="shared" si="4"/>
        <v>0.09</v>
      </c>
      <c r="H268">
        <f>G268*(26.79/38.29)</f>
        <v>6.2969443718986676E-2</v>
      </c>
    </row>
    <row r="269" spans="1:8" x14ac:dyDescent="0.25">
      <c r="A269" s="1">
        <v>1987</v>
      </c>
      <c r="B269" s="1" t="s">
        <v>99</v>
      </c>
      <c r="C269" t="s">
        <v>52</v>
      </c>
      <c r="D269">
        <v>60</v>
      </c>
      <c r="E269">
        <v>32</v>
      </c>
      <c r="F269">
        <v>0.03</v>
      </c>
      <c r="G269">
        <f t="shared" si="4"/>
        <v>0.03</v>
      </c>
      <c r="H269">
        <f>G269*(26.79/38.29)</f>
        <v>2.0989814572995556E-2</v>
      </c>
    </row>
    <row r="270" spans="1:8" x14ac:dyDescent="0.25">
      <c r="A270" s="1">
        <v>1987</v>
      </c>
      <c r="B270" s="1" t="s">
        <v>99</v>
      </c>
      <c r="C270" t="s">
        <v>52</v>
      </c>
      <c r="D270">
        <v>61</v>
      </c>
      <c r="E270">
        <v>63</v>
      </c>
      <c r="F270">
        <v>0.01</v>
      </c>
      <c r="G270">
        <f t="shared" si="4"/>
        <v>0.01</v>
      </c>
      <c r="H270">
        <f>G270*(26.79/38.29)</f>
        <v>6.9966048576651863E-3</v>
      </c>
    </row>
    <row r="271" spans="1:8" x14ac:dyDescent="0.25">
      <c r="A271" s="1">
        <v>1987</v>
      </c>
      <c r="B271" s="1" t="s">
        <v>99</v>
      </c>
      <c r="C271" t="s">
        <v>52</v>
      </c>
      <c r="D271">
        <v>61</v>
      </c>
      <c r="E271">
        <v>76</v>
      </c>
      <c r="F271">
        <v>0.02</v>
      </c>
      <c r="G271">
        <f t="shared" si="4"/>
        <v>0.02</v>
      </c>
      <c r="H271">
        <f>G271*(26.79/38.29)</f>
        <v>1.3993209715330373E-2</v>
      </c>
    </row>
    <row r="272" spans="1:8" x14ac:dyDescent="0.25">
      <c r="A272" s="1">
        <v>1987</v>
      </c>
      <c r="B272" s="1" t="s">
        <v>99</v>
      </c>
      <c r="C272" t="s">
        <v>52</v>
      </c>
      <c r="D272">
        <v>61</v>
      </c>
      <c r="E272">
        <v>78</v>
      </c>
      <c r="F272">
        <v>0.01</v>
      </c>
      <c r="G272">
        <f t="shared" si="4"/>
        <v>0.01</v>
      </c>
      <c r="H272">
        <f>G272*(26.79/38.29)</f>
        <v>6.9966048576651863E-3</v>
      </c>
    </row>
    <row r="273" spans="1:8" x14ac:dyDescent="0.25">
      <c r="A273" s="1">
        <v>1987</v>
      </c>
      <c r="B273" s="1" t="s">
        <v>99</v>
      </c>
      <c r="C273" t="s">
        <v>52</v>
      </c>
      <c r="D273">
        <v>61</v>
      </c>
      <c r="E273">
        <v>78</v>
      </c>
      <c r="F273">
        <v>0.02</v>
      </c>
      <c r="G273">
        <f t="shared" si="4"/>
        <v>0.02</v>
      </c>
      <c r="H273">
        <f>G273*(26.79/38.29)</f>
        <v>1.3993209715330373E-2</v>
      </c>
    </row>
    <row r="274" spans="1:8" x14ac:dyDescent="0.25">
      <c r="A274" s="1">
        <v>1987</v>
      </c>
      <c r="B274" s="1" t="s">
        <v>99</v>
      </c>
      <c r="C274" t="s">
        <v>52</v>
      </c>
      <c r="D274">
        <v>61</v>
      </c>
      <c r="E274">
        <v>78</v>
      </c>
      <c r="F274">
        <v>0.01</v>
      </c>
      <c r="G274">
        <f t="shared" si="4"/>
        <v>0.01</v>
      </c>
      <c r="H274">
        <f>G274*(26.79/38.29)</f>
        <v>6.9966048576651863E-3</v>
      </c>
    </row>
    <row r="275" spans="1:8" x14ac:dyDescent="0.25">
      <c r="A275" s="1">
        <v>1987</v>
      </c>
      <c r="B275" s="1" t="s">
        <v>99</v>
      </c>
      <c r="C275" t="s">
        <v>52</v>
      </c>
      <c r="D275">
        <v>62</v>
      </c>
      <c r="E275">
        <v>53</v>
      </c>
      <c r="F275">
        <v>0.05</v>
      </c>
      <c r="G275">
        <f t="shared" si="4"/>
        <v>0.05</v>
      </c>
      <c r="H275">
        <f>G275*(26.79/38.29)</f>
        <v>3.4983024288325934E-2</v>
      </c>
    </row>
    <row r="276" spans="1:8" x14ac:dyDescent="0.25">
      <c r="A276" s="1">
        <v>1987</v>
      </c>
      <c r="B276" s="1" t="s">
        <v>99</v>
      </c>
      <c r="C276" t="s">
        <v>52</v>
      </c>
      <c r="D276">
        <v>62</v>
      </c>
      <c r="E276">
        <v>76</v>
      </c>
      <c r="F276">
        <v>0.01</v>
      </c>
      <c r="G276">
        <f t="shared" si="4"/>
        <v>0.01</v>
      </c>
      <c r="H276">
        <f>G276*(26.79/38.29)</f>
        <v>6.9966048576651863E-3</v>
      </c>
    </row>
    <row r="277" spans="1:8" x14ac:dyDescent="0.25">
      <c r="A277" s="1">
        <v>1987</v>
      </c>
      <c r="B277" s="1" t="s">
        <v>99</v>
      </c>
      <c r="C277" t="s">
        <v>52</v>
      </c>
      <c r="D277">
        <v>62</v>
      </c>
      <c r="E277">
        <v>76</v>
      </c>
      <c r="F277">
        <v>0.01</v>
      </c>
      <c r="G277">
        <f t="shared" si="4"/>
        <v>0.01</v>
      </c>
      <c r="H277">
        <f>G277*(26.79/38.29)</f>
        <v>6.9966048576651863E-3</v>
      </c>
    </row>
    <row r="278" spans="1:8" x14ac:dyDescent="0.25">
      <c r="A278" s="1">
        <v>1987</v>
      </c>
      <c r="B278" s="1" t="s">
        <v>99</v>
      </c>
      <c r="C278" t="s">
        <v>52</v>
      </c>
      <c r="D278">
        <v>63</v>
      </c>
      <c r="E278">
        <v>56</v>
      </c>
      <c r="F278">
        <v>0.05</v>
      </c>
      <c r="G278">
        <f t="shared" si="4"/>
        <v>0.05</v>
      </c>
      <c r="H278">
        <f>G278*(26.79/38.29)</f>
        <v>3.4983024288325934E-2</v>
      </c>
    </row>
    <row r="279" spans="1:8" x14ac:dyDescent="0.25">
      <c r="A279" s="1">
        <v>1987</v>
      </c>
      <c r="B279" s="1" t="s">
        <v>99</v>
      </c>
      <c r="C279" t="s">
        <v>52</v>
      </c>
      <c r="D279">
        <v>64</v>
      </c>
      <c r="E279">
        <v>32</v>
      </c>
      <c r="F279">
        <v>0.02</v>
      </c>
      <c r="G279">
        <f t="shared" si="4"/>
        <v>0.02</v>
      </c>
      <c r="H279">
        <f>G279*(26.79/38.29)</f>
        <v>1.3993209715330373E-2</v>
      </c>
    </row>
    <row r="280" spans="1:8" x14ac:dyDescent="0.25">
      <c r="A280" s="1">
        <v>1987</v>
      </c>
      <c r="B280" s="1" t="s">
        <v>99</v>
      </c>
      <c r="C280" t="s">
        <v>52</v>
      </c>
      <c r="D280">
        <v>64</v>
      </c>
      <c r="E280">
        <v>32</v>
      </c>
      <c r="F280">
        <v>0.02</v>
      </c>
      <c r="G280">
        <f t="shared" si="4"/>
        <v>0.02</v>
      </c>
      <c r="H280">
        <f>G280*(26.79/38.29)</f>
        <v>1.3993209715330373E-2</v>
      </c>
    </row>
    <row r="281" spans="1:8" x14ac:dyDescent="0.25">
      <c r="A281" s="1">
        <v>1987</v>
      </c>
      <c r="B281" s="1" t="s">
        <v>99</v>
      </c>
      <c r="C281" t="s">
        <v>52</v>
      </c>
      <c r="D281">
        <v>64</v>
      </c>
      <c r="E281">
        <v>32</v>
      </c>
      <c r="F281">
        <v>0.02</v>
      </c>
      <c r="G281">
        <f t="shared" si="4"/>
        <v>0.02</v>
      </c>
      <c r="H281">
        <f>G281*(26.79/38.29)</f>
        <v>1.3993209715330373E-2</v>
      </c>
    </row>
    <row r="282" spans="1:8" x14ac:dyDescent="0.25">
      <c r="A282" s="1">
        <v>1987</v>
      </c>
      <c r="B282" s="1" t="s">
        <v>99</v>
      </c>
      <c r="C282" t="s">
        <v>52</v>
      </c>
      <c r="D282">
        <v>64</v>
      </c>
      <c r="E282">
        <v>32</v>
      </c>
      <c r="F282">
        <v>0.02</v>
      </c>
      <c r="G282">
        <f t="shared" si="4"/>
        <v>0.02</v>
      </c>
      <c r="H282">
        <f>G282*(26.79/38.29)</f>
        <v>1.3993209715330373E-2</v>
      </c>
    </row>
    <row r="283" spans="1:8" x14ac:dyDescent="0.25">
      <c r="A283" s="1">
        <v>1987</v>
      </c>
      <c r="B283" s="1" t="s">
        <v>99</v>
      </c>
      <c r="C283" t="s">
        <v>52</v>
      </c>
      <c r="D283">
        <v>64</v>
      </c>
      <c r="E283">
        <v>32</v>
      </c>
      <c r="F283">
        <v>0.01</v>
      </c>
      <c r="G283">
        <f t="shared" si="4"/>
        <v>0.01</v>
      </c>
      <c r="H283">
        <f>G283*(26.79/38.29)</f>
        <v>6.9966048576651863E-3</v>
      </c>
    </row>
    <row r="284" spans="1:8" x14ac:dyDescent="0.25">
      <c r="A284" s="1">
        <v>1987</v>
      </c>
      <c r="B284" s="1" t="s">
        <v>99</v>
      </c>
      <c r="C284" t="s">
        <v>52</v>
      </c>
      <c r="D284">
        <v>65</v>
      </c>
      <c r="E284">
        <v>25</v>
      </c>
      <c r="F284">
        <v>0.02</v>
      </c>
      <c r="G284">
        <f t="shared" si="4"/>
        <v>0.02</v>
      </c>
      <c r="H284">
        <f>G284*(26.79/38.29)</f>
        <v>1.3993209715330373E-2</v>
      </c>
    </row>
    <row r="285" spans="1:8" x14ac:dyDescent="0.25">
      <c r="A285" s="1">
        <v>1987</v>
      </c>
      <c r="B285" s="1" t="s">
        <v>99</v>
      </c>
      <c r="C285" t="s">
        <v>52</v>
      </c>
      <c r="D285">
        <v>65</v>
      </c>
      <c r="E285">
        <v>32</v>
      </c>
      <c r="F285">
        <v>0.11</v>
      </c>
      <c r="G285">
        <f t="shared" si="4"/>
        <v>0.11</v>
      </c>
      <c r="H285">
        <f>G285*(26.79/38.29)</f>
        <v>7.6962653434317047E-2</v>
      </c>
    </row>
    <row r="286" spans="1:8" x14ac:dyDescent="0.25">
      <c r="A286" s="1">
        <v>1987</v>
      </c>
      <c r="B286" s="1" t="s">
        <v>99</v>
      </c>
      <c r="C286" t="s">
        <v>52</v>
      </c>
      <c r="D286">
        <v>65</v>
      </c>
      <c r="E286">
        <v>76</v>
      </c>
      <c r="F286">
        <v>0.01</v>
      </c>
      <c r="G286">
        <f t="shared" si="4"/>
        <v>0.01</v>
      </c>
      <c r="H286">
        <f>G286*(26.79/38.29)</f>
        <v>6.9966048576651863E-3</v>
      </c>
    </row>
    <row r="287" spans="1:8" x14ac:dyDescent="0.25">
      <c r="A287" s="1">
        <v>1987</v>
      </c>
      <c r="B287" s="1" t="s">
        <v>99</v>
      </c>
      <c r="C287" t="s">
        <v>52</v>
      </c>
      <c r="D287">
        <v>65</v>
      </c>
      <c r="E287">
        <v>76</v>
      </c>
      <c r="F287">
        <v>0.02</v>
      </c>
      <c r="G287">
        <f t="shared" si="4"/>
        <v>0.02</v>
      </c>
      <c r="H287">
        <f>G287*(26.79/38.29)</f>
        <v>1.3993209715330373E-2</v>
      </c>
    </row>
    <row r="288" spans="1:8" x14ac:dyDescent="0.25">
      <c r="A288" s="1">
        <v>1987</v>
      </c>
      <c r="B288" s="1" t="s">
        <v>99</v>
      </c>
      <c r="C288" t="s">
        <v>52</v>
      </c>
      <c r="D288">
        <v>65</v>
      </c>
      <c r="E288">
        <v>78</v>
      </c>
      <c r="F288">
        <v>0.01</v>
      </c>
      <c r="G288">
        <f t="shared" si="4"/>
        <v>0.01</v>
      </c>
      <c r="H288">
        <f>G288*(26.79/38.29)</f>
        <v>6.9966048576651863E-3</v>
      </c>
    </row>
    <row r="289" spans="1:8" x14ac:dyDescent="0.25">
      <c r="A289" s="1">
        <v>1987</v>
      </c>
      <c r="B289" s="1" t="s">
        <v>99</v>
      </c>
      <c r="C289" t="s">
        <v>52</v>
      </c>
      <c r="D289">
        <v>65</v>
      </c>
      <c r="E289">
        <v>79</v>
      </c>
      <c r="F289">
        <v>0.03</v>
      </c>
      <c r="G289">
        <f t="shared" si="4"/>
        <v>0.03</v>
      </c>
      <c r="H289">
        <f>G289*(26.79/38.29)</f>
        <v>2.0989814572995556E-2</v>
      </c>
    </row>
    <row r="290" spans="1:8" x14ac:dyDescent="0.25">
      <c r="A290" s="1">
        <v>1987</v>
      </c>
      <c r="B290" s="1" t="s">
        <v>99</v>
      </c>
      <c r="C290" t="s">
        <v>52</v>
      </c>
      <c r="D290">
        <v>65</v>
      </c>
      <c r="E290">
        <v>86</v>
      </c>
      <c r="F290">
        <v>0.01</v>
      </c>
      <c r="G290">
        <f t="shared" si="4"/>
        <v>0.01</v>
      </c>
      <c r="H290">
        <f>G290*(26.79/38.29)</f>
        <v>6.9966048576651863E-3</v>
      </c>
    </row>
    <row r="291" spans="1:8" x14ac:dyDescent="0.25">
      <c r="A291" s="1">
        <v>1987</v>
      </c>
      <c r="B291" s="1" t="s">
        <v>99</v>
      </c>
      <c r="C291" t="s">
        <v>52</v>
      </c>
      <c r="D291">
        <v>66</v>
      </c>
      <c r="E291">
        <v>63</v>
      </c>
      <c r="F291">
        <v>0.01</v>
      </c>
      <c r="G291">
        <f t="shared" si="4"/>
        <v>0.01</v>
      </c>
      <c r="H291">
        <f>G291*(26.79/38.29)</f>
        <v>6.9966048576651863E-3</v>
      </c>
    </row>
    <row r="292" spans="1:8" x14ac:dyDescent="0.25">
      <c r="A292" s="1">
        <v>1987</v>
      </c>
      <c r="B292" s="1" t="s">
        <v>99</v>
      </c>
      <c r="C292" t="s">
        <v>52</v>
      </c>
      <c r="D292">
        <v>66</v>
      </c>
      <c r="E292">
        <v>78</v>
      </c>
      <c r="F292">
        <v>0.01</v>
      </c>
      <c r="G292">
        <f t="shared" si="4"/>
        <v>0.01</v>
      </c>
      <c r="H292">
        <f>G292*(26.79/38.29)</f>
        <v>6.9966048576651863E-3</v>
      </c>
    </row>
    <row r="293" spans="1:8" x14ac:dyDescent="0.25">
      <c r="A293" s="1">
        <v>1987</v>
      </c>
      <c r="B293" s="1" t="s">
        <v>99</v>
      </c>
      <c r="C293" t="s">
        <v>52</v>
      </c>
      <c r="D293">
        <v>66</v>
      </c>
      <c r="E293">
        <v>78</v>
      </c>
      <c r="F293">
        <v>0.01</v>
      </c>
      <c r="G293">
        <f t="shared" si="4"/>
        <v>0.01</v>
      </c>
      <c r="H293">
        <f>G293*(26.79/38.29)</f>
        <v>6.9966048576651863E-3</v>
      </c>
    </row>
    <row r="294" spans="1:8" x14ac:dyDescent="0.25">
      <c r="A294" s="1">
        <v>1987</v>
      </c>
      <c r="B294" s="1" t="s">
        <v>99</v>
      </c>
      <c r="C294" t="s">
        <v>52</v>
      </c>
      <c r="D294">
        <v>66</v>
      </c>
      <c r="E294">
        <v>86</v>
      </c>
      <c r="F294">
        <v>0.01</v>
      </c>
      <c r="G294">
        <f t="shared" si="4"/>
        <v>0.01</v>
      </c>
      <c r="H294">
        <f>G294*(26.79/38.29)</f>
        <v>6.9966048576651863E-3</v>
      </c>
    </row>
    <row r="295" spans="1:8" x14ac:dyDescent="0.25">
      <c r="A295" s="1">
        <v>1987</v>
      </c>
      <c r="B295" s="1" t="s">
        <v>99</v>
      </c>
      <c r="C295" t="s">
        <v>52</v>
      </c>
      <c r="D295">
        <v>66</v>
      </c>
      <c r="E295">
        <v>86</v>
      </c>
      <c r="F295">
        <v>0.01</v>
      </c>
      <c r="G295">
        <f t="shared" si="4"/>
        <v>0.01</v>
      </c>
      <c r="H295">
        <f>G295*(26.79/38.29)</f>
        <v>6.9966048576651863E-3</v>
      </c>
    </row>
    <row r="296" spans="1:8" x14ac:dyDescent="0.25">
      <c r="A296" s="1">
        <v>1987</v>
      </c>
      <c r="B296" s="1" t="s">
        <v>99</v>
      </c>
      <c r="C296" t="s">
        <v>52</v>
      </c>
      <c r="D296">
        <v>66</v>
      </c>
      <c r="E296">
        <v>86</v>
      </c>
      <c r="F296">
        <v>0.01</v>
      </c>
      <c r="G296">
        <f t="shared" si="4"/>
        <v>0.01</v>
      </c>
      <c r="H296">
        <f>G296*(26.79/38.29)</f>
        <v>6.9966048576651863E-3</v>
      </c>
    </row>
    <row r="297" spans="1:8" x14ac:dyDescent="0.25">
      <c r="A297" s="1">
        <v>1987</v>
      </c>
      <c r="B297" s="1" t="s">
        <v>99</v>
      </c>
      <c r="C297" t="s">
        <v>52</v>
      </c>
      <c r="D297">
        <v>66</v>
      </c>
      <c r="E297">
        <v>86</v>
      </c>
      <c r="F297">
        <v>0.01</v>
      </c>
      <c r="G297">
        <f t="shared" si="4"/>
        <v>0.01</v>
      </c>
      <c r="H297">
        <f>G297*(26.79/38.29)</f>
        <v>6.9966048576651863E-3</v>
      </c>
    </row>
    <row r="298" spans="1:8" x14ac:dyDescent="0.25">
      <c r="A298" s="1">
        <v>1987</v>
      </c>
      <c r="B298" s="1" t="s">
        <v>99</v>
      </c>
      <c r="C298" t="s">
        <v>52</v>
      </c>
      <c r="D298">
        <v>67</v>
      </c>
      <c r="E298">
        <v>54</v>
      </c>
      <c r="F298">
        <v>0.11</v>
      </c>
      <c r="G298">
        <f t="shared" si="4"/>
        <v>0.11</v>
      </c>
      <c r="H298">
        <f>G298*(26.79/38.29)</f>
        <v>7.6962653434317047E-2</v>
      </c>
    </row>
    <row r="299" spans="1:8" x14ac:dyDescent="0.25">
      <c r="A299" s="1">
        <v>1987</v>
      </c>
      <c r="B299" s="1" t="s">
        <v>99</v>
      </c>
      <c r="C299" t="s">
        <v>52</v>
      </c>
      <c r="D299">
        <v>67</v>
      </c>
      <c r="E299">
        <v>54</v>
      </c>
      <c r="F299">
        <v>7.0000000000000007E-2</v>
      </c>
      <c r="G299">
        <f t="shared" si="4"/>
        <v>7.0000000000000007E-2</v>
      </c>
      <c r="H299">
        <f>G299*(26.79/38.29)</f>
        <v>4.8976234003656312E-2</v>
      </c>
    </row>
    <row r="300" spans="1:8" x14ac:dyDescent="0.25">
      <c r="A300" s="1">
        <v>1987</v>
      </c>
      <c r="B300" s="1" t="s">
        <v>99</v>
      </c>
      <c r="C300" t="s">
        <v>52</v>
      </c>
      <c r="D300">
        <v>68</v>
      </c>
      <c r="E300">
        <v>54</v>
      </c>
      <c r="F300">
        <v>0.01</v>
      </c>
      <c r="G300">
        <f t="shared" si="4"/>
        <v>0.01</v>
      </c>
      <c r="H300">
        <f>G300*(26.79/38.29)</f>
        <v>6.9966048576651863E-3</v>
      </c>
    </row>
    <row r="301" spans="1:8" x14ac:dyDescent="0.25">
      <c r="A301" s="1">
        <v>1987</v>
      </c>
      <c r="B301" s="1" t="s">
        <v>99</v>
      </c>
      <c r="C301" t="s">
        <v>52</v>
      </c>
      <c r="D301">
        <v>68</v>
      </c>
      <c r="E301">
        <v>63</v>
      </c>
      <c r="F301">
        <v>0.02</v>
      </c>
      <c r="G301">
        <f t="shared" si="4"/>
        <v>0.02</v>
      </c>
      <c r="H301">
        <f>G301*(26.79/38.29)</f>
        <v>1.3993209715330373E-2</v>
      </c>
    </row>
    <row r="302" spans="1:8" x14ac:dyDescent="0.25">
      <c r="A302" s="1">
        <v>1987</v>
      </c>
      <c r="B302" s="1" t="s">
        <v>99</v>
      </c>
      <c r="C302" t="s">
        <v>52</v>
      </c>
      <c r="D302">
        <v>68</v>
      </c>
      <c r="E302">
        <v>78</v>
      </c>
      <c r="F302">
        <v>0.01</v>
      </c>
      <c r="G302">
        <f t="shared" si="4"/>
        <v>0.01</v>
      </c>
      <c r="H302">
        <f>G302*(26.79/38.29)</f>
        <v>6.9966048576651863E-3</v>
      </c>
    </row>
    <row r="303" spans="1:8" x14ac:dyDescent="0.25">
      <c r="A303" s="1">
        <v>1987</v>
      </c>
      <c r="B303" s="1" t="s">
        <v>99</v>
      </c>
      <c r="C303" t="s">
        <v>52</v>
      </c>
      <c r="D303">
        <v>68</v>
      </c>
      <c r="E303">
        <v>79</v>
      </c>
      <c r="F303">
        <v>0.05</v>
      </c>
      <c r="G303">
        <f t="shared" si="4"/>
        <v>0.05</v>
      </c>
      <c r="H303">
        <f>G303*(26.79/38.29)</f>
        <v>3.4983024288325934E-2</v>
      </c>
    </row>
    <row r="304" spans="1:8" x14ac:dyDescent="0.25">
      <c r="A304" s="1">
        <v>1987</v>
      </c>
      <c r="B304" s="1" t="s">
        <v>99</v>
      </c>
      <c r="C304" t="s">
        <v>52</v>
      </c>
      <c r="D304">
        <v>68</v>
      </c>
      <c r="E304">
        <v>86</v>
      </c>
      <c r="F304">
        <v>0.01</v>
      </c>
      <c r="G304">
        <f t="shared" si="4"/>
        <v>0.01</v>
      </c>
      <c r="H304">
        <f>G304*(26.79/38.29)</f>
        <v>6.9966048576651863E-3</v>
      </c>
    </row>
    <row r="305" spans="1:8" x14ac:dyDescent="0.25">
      <c r="A305" s="1">
        <v>1987</v>
      </c>
      <c r="B305" s="1" t="s">
        <v>99</v>
      </c>
      <c r="C305" t="s">
        <v>52</v>
      </c>
      <c r="D305">
        <v>69</v>
      </c>
      <c r="E305">
        <v>25</v>
      </c>
      <c r="F305">
        <v>0.01</v>
      </c>
      <c r="G305">
        <f t="shared" si="4"/>
        <v>0.01</v>
      </c>
      <c r="H305">
        <f>G305*(26.79/38.29)</f>
        <v>6.9966048576651863E-3</v>
      </c>
    </row>
    <row r="306" spans="1:8" x14ac:dyDescent="0.25">
      <c r="A306" s="1">
        <v>1987</v>
      </c>
      <c r="B306" s="1" t="s">
        <v>99</v>
      </c>
      <c r="C306" t="s">
        <v>52</v>
      </c>
      <c r="D306">
        <v>69</v>
      </c>
      <c r="E306">
        <v>54</v>
      </c>
      <c r="F306">
        <v>0.08</v>
      </c>
      <c r="G306">
        <f t="shared" si="4"/>
        <v>0.08</v>
      </c>
      <c r="H306">
        <f>G306*(26.79/38.29)</f>
        <v>5.597283886132149E-2</v>
      </c>
    </row>
    <row r="307" spans="1:8" x14ac:dyDescent="0.25">
      <c r="A307" s="1">
        <v>1987</v>
      </c>
      <c r="B307" s="1" t="s">
        <v>99</v>
      </c>
      <c r="C307" t="s">
        <v>52</v>
      </c>
      <c r="D307">
        <v>69</v>
      </c>
      <c r="E307">
        <v>54</v>
      </c>
      <c r="F307">
        <v>0.11</v>
      </c>
      <c r="G307">
        <f t="shared" si="4"/>
        <v>0.11</v>
      </c>
      <c r="H307">
        <f>G307*(26.79/38.29)</f>
        <v>7.6962653434317047E-2</v>
      </c>
    </row>
    <row r="308" spans="1:8" x14ac:dyDescent="0.25">
      <c r="A308" s="1">
        <v>1987</v>
      </c>
      <c r="B308" s="1" t="s">
        <v>99</v>
      </c>
      <c r="C308" t="s">
        <v>52</v>
      </c>
      <c r="D308">
        <v>69</v>
      </c>
      <c r="E308">
        <v>54</v>
      </c>
      <c r="F308">
        <v>0.01</v>
      </c>
      <c r="G308">
        <f t="shared" si="4"/>
        <v>0.01</v>
      </c>
      <c r="H308">
        <f>G308*(26.79/38.29)</f>
        <v>6.9966048576651863E-3</v>
      </c>
    </row>
    <row r="309" spans="1:8" x14ac:dyDescent="0.25">
      <c r="A309" s="1">
        <v>1987</v>
      </c>
      <c r="B309" s="1" t="s">
        <v>99</v>
      </c>
      <c r="C309" t="s">
        <v>52</v>
      </c>
      <c r="D309">
        <v>69</v>
      </c>
      <c r="E309">
        <v>54</v>
      </c>
      <c r="F309">
        <v>0.02</v>
      </c>
      <c r="G309">
        <f t="shared" si="4"/>
        <v>0.02</v>
      </c>
      <c r="H309">
        <f>G309*(26.79/38.29)</f>
        <v>1.3993209715330373E-2</v>
      </c>
    </row>
    <row r="310" spans="1:8" x14ac:dyDescent="0.25">
      <c r="A310" s="1">
        <v>1987</v>
      </c>
      <c r="B310" s="1" t="s">
        <v>99</v>
      </c>
      <c r="C310" t="s">
        <v>52</v>
      </c>
      <c r="D310">
        <v>69</v>
      </c>
      <c r="E310">
        <v>54</v>
      </c>
      <c r="F310">
        <v>0.01</v>
      </c>
      <c r="G310">
        <f t="shared" si="4"/>
        <v>0.01</v>
      </c>
      <c r="H310">
        <f>G310*(26.79/38.29)</f>
        <v>6.9966048576651863E-3</v>
      </c>
    </row>
    <row r="311" spans="1:8" x14ac:dyDescent="0.25">
      <c r="A311" s="1">
        <v>1987</v>
      </c>
      <c r="B311" s="1" t="s">
        <v>99</v>
      </c>
      <c r="C311" t="s">
        <v>52</v>
      </c>
      <c r="D311">
        <v>69</v>
      </c>
      <c r="E311">
        <v>54</v>
      </c>
      <c r="F311">
        <v>0.01</v>
      </c>
      <c r="G311">
        <f t="shared" si="4"/>
        <v>0.01</v>
      </c>
      <c r="H311">
        <f>G311*(26.79/38.29)</f>
        <v>6.9966048576651863E-3</v>
      </c>
    </row>
    <row r="312" spans="1:8" x14ac:dyDescent="0.25">
      <c r="A312" s="1">
        <v>1987</v>
      </c>
      <c r="B312" s="1" t="s">
        <v>99</v>
      </c>
      <c r="C312" t="s">
        <v>52</v>
      </c>
      <c r="D312">
        <v>69</v>
      </c>
      <c r="E312">
        <v>79</v>
      </c>
      <c r="F312">
        <v>0.01</v>
      </c>
      <c r="G312">
        <f t="shared" si="4"/>
        <v>0.01</v>
      </c>
      <c r="H312">
        <f>G312*(26.79/38.29)</f>
        <v>6.9966048576651863E-3</v>
      </c>
    </row>
    <row r="313" spans="1:8" x14ac:dyDescent="0.25">
      <c r="A313" s="1">
        <v>1987</v>
      </c>
      <c r="B313" s="1" t="s">
        <v>99</v>
      </c>
      <c r="C313" t="s">
        <v>52</v>
      </c>
      <c r="D313">
        <v>69</v>
      </c>
      <c r="E313">
        <v>79</v>
      </c>
      <c r="F313">
        <v>0.01</v>
      </c>
      <c r="G313">
        <f t="shared" si="4"/>
        <v>0.01</v>
      </c>
      <c r="H313">
        <f>G313*(26.79/38.29)</f>
        <v>6.9966048576651863E-3</v>
      </c>
    </row>
    <row r="314" spans="1:8" x14ac:dyDescent="0.25">
      <c r="A314" s="1">
        <v>1987</v>
      </c>
      <c r="B314" s="1" t="s">
        <v>99</v>
      </c>
      <c r="C314" t="s">
        <v>52</v>
      </c>
      <c r="D314">
        <v>70</v>
      </c>
      <c r="E314">
        <v>54</v>
      </c>
      <c r="F314">
        <v>0.01</v>
      </c>
      <c r="G314">
        <f t="shared" si="4"/>
        <v>0.01</v>
      </c>
      <c r="H314">
        <f>G314*(26.79/38.29)</f>
        <v>6.9966048576651863E-3</v>
      </c>
    </row>
    <row r="315" spans="1:8" x14ac:dyDescent="0.25">
      <c r="A315" s="1">
        <v>1987</v>
      </c>
      <c r="B315" s="1" t="s">
        <v>99</v>
      </c>
      <c r="C315" t="s">
        <v>52</v>
      </c>
      <c r="D315">
        <v>70</v>
      </c>
      <c r="E315">
        <v>78</v>
      </c>
      <c r="F315">
        <v>0.01</v>
      </c>
      <c r="G315">
        <f t="shared" si="4"/>
        <v>0.01</v>
      </c>
      <c r="H315">
        <f>G315*(26.79/38.29)</f>
        <v>6.9966048576651863E-3</v>
      </c>
    </row>
    <row r="316" spans="1:8" x14ac:dyDescent="0.25">
      <c r="A316" s="1">
        <v>1987</v>
      </c>
      <c r="B316" s="1" t="s">
        <v>99</v>
      </c>
      <c r="C316" t="s">
        <v>52</v>
      </c>
      <c r="D316">
        <v>70</v>
      </c>
      <c r="E316">
        <v>79</v>
      </c>
      <c r="F316">
        <v>0.01</v>
      </c>
      <c r="G316">
        <f t="shared" si="4"/>
        <v>0.01</v>
      </c>
      <c r="H316">
        <f>G316*(26.79/38.29)</f>
        <v>6.9966048576651863E-3</v>
      </c>
    </row>
    <row r="317" spans="1:8" x14ac:dyDescent="0.25">
      <c r="A317" s="1">
        <v>1987</v>
      </c>
      <c r="B317" s="1" t="s">
        <v>99</v>
      </c>
      <c r="C317" t="s">
        <v>52</v>
      </c>
      <c r="D317">
        <v>70</v>
      </c>
      <c r="E317">
        <v>86</v>
      </c>
      <c r="F317">
        <v>0.12</v>
      </c>
      <c r="G317">
        <f t="shared" si="4"/>
        <v>0.12</v>
      </c>
      <c r="H317">
        <f>G317*(26.79/38.29)</f>
        <v>8.3959258291982225E-2</v>
      </c>
    </row>
    <row r="318" spans="1:8" x14ac:dyDescent="0.25">
      <c r="A318" s="1">
        <v>1987</v>
      </c>
      <c r="B318" s="1" t="s">
        <v>99</v>
      </c>
      <c r="C318" t="s">
        <v>52</v>
      </c>
      <c r="D318">
        <v>71</v>
      </c>
      <c r="E318">
        <v>66</v>
      </c>
      <c r="F318">
        <v>0.01</v>
      </c>
      <c r="G318">
        <f t="shared" si="4"/>
        <v>0.01</v>
      </c>
      <c r="H318">
        <f>G318*(26.79/38.29)</f>
        <v>6.9966048576651863E-3</v>
      </c>
    </row>
    <row r="319" spans="1:8" x14ac:dyDescent="0.25">
      <c r="A319" s="1">
        <v>1987</v>
      </c>
      <c r="B319" s="1" t="s">
        <v>99</v>
      </c>
      <c r="C319" t="s">
        <v>52</v>
      </c>
      <c r="D319">
        <v>71</v>
      </c>
      <c r="E319">
        <v>66</v>
      </c>
      <c r="F319">
        <v>0.03</v>
      </c>
      <c r="G319">
        <f t="shared" si="4"/>
        <v>0.03</v>
      </c>
      <c r="H319">
        <f>G319*(26.79/38.29)</f>
        <v>2.0989814572995556E-2</v>
      </c>
    </row>
    <row r="320" spans="1:8" x14ac:dyDescent="0.25">
      <c r="A320" s="1">
        <v>1987</v>
      </c>
      <c r="B320" s="1" t="s">
        <v>99</v>
      </c>
      <c r="C320" t="s">
        <v>52</v>
      </c>
      <c r="D320">
        <v>71</v>
      </c>
      <c r="E320">
        <v>76</v>
      </c>
      <c r="F320">
        <v>0.04</v>
      </c>
      <c r="G320">
        <f t="shared" si="4"/>
        <v>0.04</v>
      </c>
      <c r="H320">
        <f>G320*(26.79/38.29)</f>
        <v>2.7986419430660745E-2</v>
      </c>
    </row>
    <row r="321" spans="1:8" x14ac:dyDescent="0.25">
      <c r="A321" s="1">
        <v>1987</v>
      </c>
      <c r="B321" s="1" t="s">
        <v>99</v>
      </c>
      <c r="C321" t="s">
        <v>52</v>
      </c>
      <c r="D321">
        <v>71</v>
      </c>
      <c r="E321">
        <v>79</v>
      </c>
      <c r="F321">
        <v>0.02</v>
      </c>
      <c r="G321">
        <f t="shared" si="4"/>
        <v>0.02</v>
      </c>
      <c r="H321">
        <f>G321*(26.79/38.29)</f>
        <v>1.3993209715330373E-2</v>
      </c>
    </row>
    <row r="322" spans="1:8" x14ac:dyDescent="0.25">
      <c r="A322" s="1">
        <v>1987</v>
      </c>
      <c r="B322" s="1" t="s">
        <v>99</v>
      </c>
      <c r="C322" t="s">
        <v>52</v>
      </c>
      <c r="D322">
        <v>71</v>
      </c>
      <c r="E322">
        <v>86</v>
      </c>
      <c r="F322">
        <v>0.01</v>
      </c>
      <c r="G322">
        <f t="shared" si="4"/>
        <v>0.01</v>
      </c>
      <c r="H322">
        <f>G322*(26.79/38.29)</f>
        <v>6.9966048576651863E-3</v>
      </c>
    </row>
    <row r="323" spans="1:8" x14ac:dyDescent="0.25">
      <c r="A323" s="1">
        <v>1987</v>
      </c>
      <c r="B323" s="1" t="s">
        <v>99</v>
      </c>
      <c r="C323" t="s">
        <v>52</v>
      </c>
      <c r="D323">
        <v>71</v>
      </c>
      <c r="E323">
        <v>86</v>
      </c>
      <c r="F323">
        <v>0.01</v>
      </c>
      <c r="G323">
        <f t="shared" ref="G323:G386" si="5">(F323/0.01)/100</f>
        <v>0.01</v>
      </c>
      <c r="H323">
        <f>G323*(26.79/38.29)</f>
        <v>6.9966048576651863E-3</v>
      </c>
    </row>
    <row r="324" spans="1:8" x14ac:dyDescent="0.25">
      <c r="A324" s="1">
        <v>1987</v>
      </c>
      <c r="B324" s="1" t="s">
        <v>99</v>
      </c>
      <c r="C324" t="s">
        <v>52</v>
      </c>
      <c r="D324">
        <v>71</v>
      </c>
      <c r="E324">
        <v>86</v>
      </c>
      <c r="F324">
        <v>0.02</v>
      </c>
      <c r="G324">
        <f t="shared" si="5"/>
        <v>0.02</v>
      </c>
      <c r="H324">
        <f>G324*(26.79/38.29)</f>
        <v>1.3993209715330373E-2</v>
      </c>
    </row>
    <row r="325" spans="1:8" x14ac:dyDescent="0.25">
      <c r="A325" s="1">
        <v>1987</v>
      </c>
      <c r="B325" s="1" t="s">
        <v>99</v>
      </c>
      <c r="C325" t="s">
        <v>52</v>
      </c>
      <c r="D325">
        <v>71</v>
      </c>
      <c r="E325">
        <v>86</v>
      </c>
      <c r="F325">
        <v>0.02</v>
      </c>
      <c r="G325">
        <f t="shared" si="5"/>
        <v>0.02</v>
      </c>
      <c r="H325">
        <f>G325*(26.79/38.29)</f>
        <v>1.3993209715330373E-2</v>
      </c>
    </row>
    <row r="326" spans="1:8" x14ac:dyDescent="0.25">
      <c r="A326" s="1">
        <v>1987</v>
      </c>
      <c r="B326" s="1" t="s">
        <v>99</v>
      </c>
      <c r="C326" t="s">
        <v>52</v>
      </c>
      <c r="D326">
        <v>71</v>
      </c>
      <c r="E326">
        <v>86</v>
      </c>
      <c r="F326">
        <v>0.02</v>
      </c>
      <c r="G326">
        <f t="shared" si="5"/>
        <v>0.02</v>
      </c>
      <c r="H326">
        <f>G326*(26.79/38.29)</f>
        <v>1.3993209715330373E-2</v>
      </c>
    </row>
    <row r="327" spans="1:8" x14ac:dyDescent="0.25">
      <c r="A327" s="1">
        <v>1987</v>
      </c>
      <c r="B327" s="1" t="s">
        <v>99</v>
      </c>
      <c r="C327" t="s">
        <v>52</v>
      </c>
      <c r="D327">
        <v>72</v>
      </c>
      <c r="E327">
        <v>38</v>
      </c>
      <c r="F327">
        <v>0.11</v>
      </c>
      <c r="G327">
        <f t="shared" si="5"/>
        <v>0.11</v>
      </c>
      <c r="H327">
        <f>G327*(26.79/38.29)</f>
        <v>7.6962653434317047E-2</v>
      </c>
    </row>
    <row r="328" spans="1:8" x14ac:dyDescent="0.25">
      <c r="A328" s="1">
        <v>1987</v>
      </c>
      <c r="B328" s="1" t="s">
        <v>99</v>
      </c>
      <c r="C328" t="s">
        <v>52</v>
      </c>
      <c r="D328">
        <v>72</v>
      </c>
      <c r="E328">
        <v>66</v>
      </c>
      <c r="F328">
        <v>0.01</v>
      </c>
      <c r="G328">
        <f t="shared" si="5"/>
        <v>0.01</v>
      </c>
      <c r="H328">
        <f>G328*(26.79/38.29)</f>
        <v>6.9966048576651863E-3</v>
      </c>
    </row>
    <row r="329" spans="1:8" x14ac:dyDescent="0.25">
      <c r="A329" s="1">
        <v>1987</v>
      </c>
      <c r="B329" s="1" t="s">
        <v>99</v>
      </c>
      <c r="C329" t="s">
        <v>52</v>
      </c>
      <c r="D329">
        <v>72</v>
      </c>
      <c r="E329">
        <v>71</v>
      </c>
      <c r="F329">
        <v>0.11</v>
      </c>
      <c r="G329">
        <f t="shared" si="5"/>
        <v>0.11</v>
      </c>
      <c r="H329">
        <f>G329*(26.79/38.29)</f>
        <v>7.6962653434317047E-2</v>
      </c>
    </row>
    <row r="330" spans="1:8" x14ac:dyDescent="0.25">
      <c r="A330" s="1">
        <v>1987</v>
      </c>
      <c r="B330" s="1" t="s">
        <v>99</v>
      </c>
      <c r="C330" t="s">
        <v>52</v>
      </c>
      <c r="D330">
        <v>72</v>
      </c>
      <c r="E330">
        <v>71</v>
      </c>
      <c r="F330">
        <v>0.09</v>
      </c>
      <c r="G330">
        <f t="shared" si="5"/>
        <v>0.09</v>
      </c>
      <c r="H330">
        <f>G330*(26.79/38.29)</f>
        <v>6.2969443718986676E-2</v>
      </c>
    </row>
    <row r="331" spans="1:8" x14ac:dyDescent="0.25">
      <c r="A331" s="1">
        <v>1987</v>
      </c>
      <c r="B331" s="1" t="s">
        <v>99</v>
      </c>
      <c r="C331" t="s">
        <v>52</v>
      </c>
      <c r="D331">
        <v>72</v>
      </c>
      <c r="E331">
        <v>79</v>
      </c>
      <c r="F331">
        <v>0.05</v>
      </c>
      <c r="G331">
        <f t="shared" si="5"/>
        <v>0.05</v>
      </c>
      <c r="H331">
        <f>G331*(26.79/38.29)</f>
        <v>3.4983024288325934E-2</v>
      </c>
    </row>
    <row r="332" spans="1:8" x14ac:dyDescent="0.25">
      <c r="A332" s="1">
        <v>1987</v>
      </c>
      <c r="B332" s="1" t="s">
        <v>99</v>
      </c>
      <c r="C332" t="s">
        <v>52</v>
      </c>
      <c r="D332">
        <v>72</v>
      </c>
      <c r="E332">
        <v>79</v>
      </c>
      <c r="F332">
        <v>0.01</v>
      </c>
      <c r="G332">
        <f t="shared" si="5"/>
        <v>0.01</v>
      </c>
      <c r="H332">
        <f>G332*(26.79/38.29)</f>
        <v>6.9966048576651863E-3</v>
      </c>
    </row>
    <row r="333" spans="1:8" x14ac:dyDescent="0.25">
      <c r="A333" s="1">
        <v>1987</v>
      </c>
      <c r="B333" s="1" t="s">
        <v>99</v>
      </c>
      <c r="C333" t="s">
        <v>52</v>
      </c>
      <c r="D333">
        <v>73</v>
      </c>
      <c r="E333">
        <v>79</v>
      </c>
      <c r="F333">
        <v>0.01</v>
      </c>
      <c r="G333">
        <f t="shared" si="5"/>
        <v>0.01</v>
      </c>
      <c r="H333">
        <f>G333*(26.79/38.29)</f>
        <v>6.9966048576651863E-3</v>
      </c>
    </row>
    <row r="334" spans="1:8" x14ac:dyDescent="0.25">
      <c r="A334" s="1">
        <v>1987</v>
      </c>
      <c r="B334" s="1" t="s">
        <v>99</v>
      </c>
      <c r="C334" t="s">
        <v>52</v>
      </c>
      <c r="D334">
        <v>74</v>
      </c>
      <c r="E334">
        <v>29</v>
      </c>
      <c r="F334">
        <v>0.03</v>
      </c>
      <c r="G334">
        <f t="shared" si="5"/>
        <v>0.03</v>
      </c>
      <c r="H334">
        <f>G334*(26.79/38.29)</f>
        <v>2.0989814572995556E-2</v>
      </c>
    </row>
    <row r="335" spans="1:8" x14ac:dyDescent="0.25">
      <c r="A335" s="1">
        <v>1987</v>
      </c>
      <c r="B335" s="1" t="s">
        <v>99</v>
      </c>
      <c r="C335" t="s">
        <v>52</v>
      </c>
      <c r="D335">
        <v>74</v>
      </c>
      <c r="E335">
        <v>29</v>
      </c>
      <c r="F335">
        <v>0.04</v>
      </c>
      <c r="G335">
        <f t="shared" si="5"/>
        <v>0.04</v>
      </c>
      <c r="H335">
        <f>G335*(26.79/38.29)</f>
        <v>2.7986419430660745E-2</v>
      </c>
    </row>
    <row r="336" spans="1:8" x14ac:dyDescent="0.25">
      <c r="A336" s="1">
        <v>1987</v>
      </c>
      <c r="B336" s="1" t="s">
        <v>99</v>
      </c>
      <c r="C336" t="s">
        <v>52</v>
      </c>
      <c r="D336">
        <v>74</v>
      </c>
      <c r="E336">
        <v>58</v>
      </c>
      <c r="F336">
        <v>0.01</v>
      </c>
      <c r="G336">
        <f t="shared" si="5"/>
        <v>0.01</v>
      </c>
      <c r="H336">
        <f>G336*(26.79/38.29)</f>
        <v>6.9966048576651863E-3</v>
      </c>
    </row>
    <row r="337" spans="1:8" x14ac:dyDescent="0.25">
      <c r="A337" s="1">
        <v>1987</v>
      </c>
      <c r="B337" s="1" t="s">
        <v>99</v>
      </c>
      <c r="C337" t="s">
        <v>52</v>
      </c>
      <c r="D337">
        <v>74</v>
      </c>
      <c r="E337">
        <v>63</v>
      </c>
      <c r="F337">
        <v>0.01</v>
      </c>
      <c r="G337">
        <f t="shared" si="5"/>
        <v>0.01</v>
      </c>
      <c r="H337">
        <f>G337*(26.79/38.29)</f>
        <v>6.9966048576651863E-3</v>
      </c>
    </row>
    <row r="338" spans="1:8" x14ac:dyDescent="0.25">
      <c r="A338" s="1">
        <v>1987</v>
      </c>
      <c r="B338" s="1" t="s">
        <v>99</v>
      </c>
      <c r="C338" t="s">
        <v>52</v>
      </c>
      <c r="D338">
        <v>74</v>
      </c>
      <c r="E338">
        <v>78</v>
      </c>
      <c r="F338">
        <v>0.01</v>
      </c>
      <c r="G338">
        <f t="shared" si="5"/>
        <v>0.01</v>
      </c>
      <c r="H338">
        <f>G338*(26.79/38.29)</f>
        <v>6.9966048576651863E-3</v>
      </c>
    </row>
    <row r="339" spans="1:8" x14ac:dyDescent="0.25">
      <c r="A339" s="1">
        <v>1987</v>
      </c>
      <c r="B339" s="1" t="s">
        <v>99</v>
      </c>
      <c r="C339" t="s">
        <v>52</v>
      </c>
      <c r="D339">
        <v>74</v>
      </c>
      <c r="E339">
        <v>78</v>
      </c>
      <c r="F339">
        <v>0.02</v>
      </c>
      <c r="G339">
        <f t="shared" si="5"/>
        <v>0.02</v>
      </c>
      <c r="H339">
        <f>G339*(26.79/38.29)</f>
        <v>1.3993209715330373E-2</v>
      </c>
    </row>
    <row r="340" spans="1:8" x14ac:dyDescent="0.25">
      <c r="A340" s="1">
        <v>1987</v>
      </c>
      <c r="B340" s="1" t="s">
        <v>99</v>
      </c>
      <c r="C340" t="s">
        <v>52</v>
      </c>
      <c r="D340">
        <v>74</v>
      </c>
      <c r="E340">
        <v>78</v>
      </c>
      <c r="F340">
        <v>0.01</v>
      </c>
      <c r="G340">
        <f t="shared" si="5"/>
        <v>0.01</v>
      </c>
      <c r="H340">
        <f>G340*(26.79/38.29)</f>
        <v>6.9966048576651863E-3</v>
      </c>
    </row>
    <row r="341" spans="1:8" x14ac:dyDescent="0.25">
      <c r="A341" s="1">
        <v>1987</v>
      </c>
      <c r="B341" s="1" t="s">
        <v>99</v>
      </c>
      <c r="C341" t="s">
        <v>52</v>
      </c>
      <c r="D341">
        <v>74</v>
      </c>
      <c r="E341">
        <v>78</v>
      </c>
      <c r="F341">
        <v>0.01</v>
      </c>
      <c r="G341">
        <f t="shared" si="5"/>
        <v>0.01</v>
      </c>
      <c r="H341">
        <f>G341*(26.79/38.29)</f>
        <v>6.9966048576651863E-3</v>
      </c>
    </row>
    <row r="342" spans="1:8" x14ac:dyDescent="0.25">
      <c r="A342" s="1">
        <v>1987</v>
      </c>
      <c r="B342" s="1" t="s">
        <v>99</v>
      </c>
      <c r="C342" t="s">
        <v>52</v>
      </c>
      <c r="D342">
        <v>74</v>
      </c>
      <c r="E342">
        <v>85</v>
      </c>
      <c r="F342">
        <v>0.03</v>
      </c>
      <c r="G342">
        <f t="shared" si="5"/>
        <v>0.03</v>
      </c>
      <c r="H342">
        <f>G342*(26.79/38.29)</f>
        <v>2.0989814572995556E-2</v>
      </c>
    </row>
    <row r="343" spans="1:8" x14ac:dyDescent="0.25">
      <c r="A343" s="1">
        <v>1987</v>
      </c>
      <c r="B343" s="1" t="s">
        <v>99</v>
      </c>
      <c r="C343" t="s">
        <v>52</v>
      </c>
      <c r="D343">
        <v>75</v>
      </c>
      <c r="E343">
        <v>25</v>
      </c>
      <c r="F343">
        <v>0.05</v>
      </c>
      <c r="G343">
        <f t="shared" si="5"/>
        <v>0.05</v>
      </c>
      <c r="H343">
        <f>G343*(26.79/38.29)</f>
        <v>3.4983024288325934E-2</v>
      </c>
    </row>
    <row r="344" spans="1:8" x14ac:dyDescent="0.25">
      <c r="A344" s="1">
        <v>1987</v>
      </c>
      <c r="B344" s="1" t="s">
        <v>99</v>
      </c>
      <c r="C344" t="s">
        <v>52</v>
      </c>
      <c r="D344">
        <v>75</v>
      </c>
      <c r="E344">
        <v>63</v>
      </c>
      <c r="F344">
        <v>0.05</v>
      </c>
      <c r="G344">
        <f t="shared" si="5"/>
        <v>0.05</v>
      </c>
      <c r="H344">
        <f>G344*(26.79/38.29)</f>
        <v>3.4983024288325934E-2</v>
      </c>
    </row>
    <row r="345" spans="1:8" x14ac:dyDescent="0.25">
      <c r="A345" s="1">
        <v>1987</v>
      </c>
      <c r="B345" s="1" t="s">
        <v>99</v>
      </c>
      <c r="C345" t="s">
        <v>52</v>
      </c>
      <c r="D345">
        <v>75</v>
      </c>
      <c r="E345">
        <v>79</v>
      </c>
      <c r="F345">
        <v>0.03</v>
      </c>
      <c r="G345">
        <f t="shared" si="5"/>
        <v>0.03</v>
      </c>
      <c r="H345">
        <f>G345*(26.79/38.29)</f>
        <v>2.0989814572995556E-2</v>
      </c>
    </row>
    <row r="346" spans="1:8" x14ac:dyDescent="0.25">
      <c r="A346" s="1">
        <v>1987</v>
      </c>
      <c r="B346" s="1" t="s">
        <v>99</v>
      </c>
      <c r="C346" t="s">
        <v>52</v>
      </c>
      <c r="D346">
        <v>75</v>
      </c>
      <c r="E346">
        <v>79</v>
      </c>
      <c r="F346">
        <v>0.09</v>
      </c>
      <c r="G346">
        <f t="shared" si="5"/>
        <v>0.09</v>
      </c>
      <c r="H346">
        <f>G346*(26.79/38.29)</f>
        <v>6.2969443718986676E-2</v>
      </c>
    </row>
    <row r="347" spans="1:8" x14ac:dyDescent="0.25">
      <c r="A347" s="1">
        <v>1987</v>
      </c>
      <c r="B347" s="1" t="s">
        <v>99</v>
      </c>
      <c r="C347" t="s">
        <v>52</v>
      </c>
      <c r="D347">
        <v>76</v>
      </c>
      <c r="E347">
        <v>79</v>
      </c>
      <c r="F347">
        <v>0.02</v>
      </c>
      <c r="G347">
        <f t="shared" si="5"/>
        <v>0.02</v>
      </c>
      <c r="H347">
        <f>G347*(26.79/38.29)</f>
        <v>1.3993209715330373E-2</v>
      </c>
    </row>
    <row r="348" spans="1:8" x14ac:dyDescent="0.25">
      <c r="A348" s="1">
        <v>1987</v>
      </c>
      <c r="B348" s="1" t="s">
        <v>99</v>
      </c>
      <c r="C348" t="s">
        <v>52</v>
      </c>
      <c r="D348">
        <v>76</v>
      </c>
      <c r="E348">
        <v>85</v>
      </c>
      <c r="F348">
        <v>0.02</v>
      </c>
      <c r="G348">
        <f t="shared" si="5"/>
        <v>0.02</v>
      </c>
      <c r="H348">
        <f>G348*(26.79/38.29)</f>
        <v>1.3993209715330373E-2</v>
      </c>
    </row>
    <row r="349" spans="1:8" x14ac:dyDescent="0.25">
      <c r="A349" s="1">
        <v>1987</v>
      </c>
      <c r="B349" s="1" t="s">
        <v>99</v>
      </c>
      <c r="C349" t="s">
        <v>52</v>
      </c>
      <c r="D349">
        <v>76</v>
      </c>
      <c r="E349">
        <v>85</v>
      </c>
      <c r="F349">
        <v>0.01</v>
      </c>
      <c r="G349">
        <f t="shared" si="5"/>
        <v>0.01</v>
      </c>
      <c r="H349">
        <f>G349*(26.79/38.29)</f>
        <v>6.9966048576651863E-3</v>
      </c>
    </row>
    <row r="350" spans="1:8" x14ac:dyDescent="0.25">
      <c r="A350" s="1">
        <v>1987</v>
      </c>
      <c r="B350" s="1" t="s">
        <v>99</v>
      </c>
      <c r="C350" t="s">
        <v>52</v>
      </c>
      <c r="D350">
        <v>77</v>
      </c>
      <c r="E350">
        <v>54</v>
      </c>
      <c r="F350">
        <v>0.03</v>
      </c>
      <c r="G350">
        <f t="shared" si="5"/>
        <v>0.03</v>
      </c>
      <c r="H350">
        <f>G350*(26.79/38.29)</f>
        <v>2.0989814572995556E-2</v>
      </c>
    </row>
    <row r="351" spans="1:8" x14ac:dyDescent="0.25">
      <c r="A351" s="1">
        <v>1987</v>
      </c>
      <c r="B351" s="1" t="s">
        <v>99</v>
      </c>
      <c r="C351" t="s">
        <v>52</v>
      </c>
      <c r="D351">
        <v>77</v>
      </c>
      <c r="E351">
        <v>54</v>
      </c>
      <c r="F351">
        <v>0.05</v>
      </c>
      <c r="G351">
        <f t="shared" si="5"/>
        <v>0.05</v>
      </c>
      <c r="H351">
        <f>G351*(26.79/38.29)</f>
        <v>3.4983024288325934E-2</v>
      </c>
    </row>
    <row r="352" spans="1:8" x14ac:dyDescent="0.25">
      <c r="A352" s="1">
        <v>1987</v>
      </c>
      <c r="B352" s="1" t="s">
        <v>99</v>
      </c>
      <c r="C352" t="s">
        <v>52</v>
      </c>
      <c r="D352">
        <v>77</v>
      </c>
      <c r="E352">
        <v>76</v>
      </c>
      <c r="F352">
        <v>0.02</v>
      </c>
      <c r="G352">
        <f t="shared" si="5"/>
        <v>0.02</v>
      </c>
      <c r="H352">
        <f>G352*(26.79/38.29)</f>
        <v>1.3993209715330373E-2</v>
      </c>
    </row>
    <row r="353" spans="1:8" x14ac:dyDescent="0.25">
      <c r="A353" s="1">
        <v>1987</v>
      </c>
      <c r="B353" s="1" t="s">
        <v>99</v>
      </c>
      <c r="C353" t="s">
        <v>52</v>
      </c>
      <c r="D353">
        <v>77</v>
      </c>
      <c r="E353">
        <v>76</v>
      </c>
      <c r="F353">
        <v>0.11</v>
      </c>
      <c r="G353">
        <f t="shared" si="5"/>
        <v>0.11</v>
      </c>
      <c r="H353">
        <f>G353*(26.79/38.29)</f>
        <v>7.6962653434317047E-2</v>
      </c>
    </row>
    <row r="354" spans="1:8" x14ac:dyDescent="0.25">
      <c r="A354" s="1">
        <v>1987</v>
      </c>
      <c r="B354" s="1" t="s">
        <v>99</v>
      </c>
      <c r="C354" t="s">
        <v>52</v>
      </c>
      <c r="D354">
        <v>78</v>
      </c>
      <c r="E354">
        <v>33</v>
      </c>
      <c r="F354">
        <v>0.01</v>
      </c>
      <c r="G354">
        <f t="shared" si="5"/>
        <v>0.01</v>
      </c>
      <c r="H354">
        <f>G354*(26.79/38.29)</f>
        <v>6.9966048576651863E-3</v>
      </c>
    </row>
    <row r="355" spans="1:8" x14ac:dyDescent="0.25">
      <c r="A355" s="1">
        <v>1987</v>
      </c>
      <c r="B355" s="1" t="s">
        <v>99</v>
      </c>
      <c r="C355" t="s">
        <v>52</v>
      </c>
      <c r="D355">
        <v>78</v>
      </c>
      <c r="E355">
        <v>76</v>
      </c>
      <c r="F355">
        <v>0.01</v>
      </c>
      <c r="G355">
        <f t="shared" si="5"/>
        <v>0.01</v>
      </c>
      <c r="H355">
        <f>G355*(26.79/38.29)</f>
        <v>6.9966048576651863E-3</v>
      </c>
    </row>
    <row r="356" spans="1:8" x14ac:dyDescent="0.25">
      <c r="A356" s="1">
        <v>1987</v>
      </c>
      <c r="B356" s="1" t="s">
        <v>99</v>
      </c>
      <c r="C356" t="s">
        <v>52</v>
      </c>
      <c r="D356">
        <v>78</v>
      </c>
      <c r="E356">
        <v>76</v>
      </c>
      <c r="F356">
        <v>0.02</v>
      </c>
      <c r="G356">
        <f t="shared" si="5"/>
        <v>0.02</v>
      </c>
      <c r="H356">
        <f>G356*(26.79/38.29)</f>
        <v>1.3993209715330373E-2</v>
      </c>
    </row>
    <row r="357" spans="1:8" x14ac:dyDescent="0.25">
      <c r="A357" s="1">
        <v>1987</v>
      </c>
      <c r="B357" s="1" t="s">
        <v>99</v>
      </c>
      <c r="C357" t="s">
        <v>52</v>
      </c>
      <c r="D357">
        <v>78</v>
      </c>
      <c r="E357">
        <v>79</v>
      </c>
      <c r="F357">
        <v>0.02</v>
      </c>
      <c r="G357">
        <f t="shared" si="5"/>
        <v>0.02</v>
      </c>
      <c r="H357">
        <f>G357*(26.79/38.29)</f>
        <v>1.3993209715330373E-2</v>
      </c>
    </row>
    <row r="358" spans="1:8" x14ac:dyDescent="0.25">
      <c r="A358" s="1">
        <v>1987</v>
      </c>
      <c r="B358" s="1" t="s">
        <v>99</v>
      </c>
      <c r="C358" t="s">
        <v>52</v>
      </c>
      <c r="D358">
        <v>78</v>
      </c>
      <c r="E358">
        <v>79</v>
      </c>
      <c r="F358">
        <v>0.06</v>
      </c>
      <c r="G358">
        <f t="shared" si="5"/>
        <v>0.06</v>
      </c>
      <c r="H358">
        <f>G358*(26.79/38.29)</f>
        <v>4.1979629145991113E-2</v>
      </c>
    </row>
    <row r="359" spans="1:8" x14ac:dyDescent="0.25">
      <c r="A359" s="1">
        <v>1987</v>
      </c>
      <c r="B359" s="1" t="s">
        <v>99</v>
      </c>
      <c r="C359" t="s">
        <v>52</v>
      </c>
      <c r="D359">
        <v>79</v>
      </c>
      <c r="E359">
        <v>79</v>
      </c>
      <c r="F359">
        <v>0.11</v>
      </c>
      <c r="G359">
        <f t="shared" si="5"/>
        <v>0.11</v>
      </c>
      <c r="H359">
        <f>G359*(26.79/38.29)</f>
        <v>7.6962653434317047E-2</v>
      </c>
    </row>
    <row r="360" spans="1:8" x14ac:dyDescent="0.25">
      <c r="A360" s="1">
        <v>1987</v>
      </c>
      <c r="B360" s="1" t="s">
        <v>99</v>
      </c>
      <c r="C360" t="s">
        <v>52</v>
      </c>
      <c r="D360">
        <v>80</v>
      </c>
      <c r="E360">
        <v>53</v>
      </c>
      <c r="F360">
        <v>0.02</v>
      </c>
      <c r="G360">
        <f t="shared" si="5"/>
        <v>0.02</v>
      </c>
      <c r="H360">
        <f>G360*(26.79/38.29)</f>
        <v>1.3993209715330373E-2</v>
      </c>
    </row>
    <row r="361" spans="1:8" x14ac:dyDescent="0.25">
      <c r="A361" s="1">
        <v>1987</v>
      </c>
      <c r="B361" s="1" t="s">
        <v>99</v>
      </c>
      <c r="C361" t="s">
        <v>52</v>
      </c>
      <c r="D361">
        <v>80</v>
      </c>
      <c r="E361">
        <v>63</v>
      </c>
      <c r="F361">
        <v>0.01</v>
      </c>
      <c r="G361">
        <f t="shared" si="5"/>
        <v>0.01</v>
      </c>
      <c r="H361">
        <f>G361*(26.79/38.29)</f>
        <v>6.9966048576651863E-3</v>
      </c>
    </row>
    <row r="362" spans="1:8" x14ac:dyDescent="0.25">
      <c r="A362" s="1">
        <v>1987</v>
      </c>
      <c r="B362" s="1" t="s">
        <v>99</v>
      </c>
      <c r="C362" t="s">
        <v>52</v>
      </c>
      <c r="D362">
        <v>80</v>
      </c>
      <c r="E362">
        <v>76</v>
      </c>
      <c r="F362">
        <v>0.06</v>
      </c>
      <c r="G362">
        <f t="shared" si="5"/>
        <v>0.06</v>
      </c>
      <c r="H362">
        <f>G362*(26.79/38.29)</f>
        <v>4.1979629145991113E-2</v>
      </c>
    </row>
    <row r="363" spans="1:8" x14ac:dyDescent="0.25">
      <c r="A363" s="1">
        <v>1987</v>
      </c>
      <c r="B363" s="1" t="s">
        <v>99</v>
      </c>
      <c r="C363" t="s">
        <v>52</v>
      </c>
      <c r="D363">
        <v>80</v>
      </c>
      <c r="E363">
        <v>79</v>
      </c>
      <c r="F363">
        <v>7.0000000000000007E-2</v>
      </c>
      <c r="G363">
        <f t="shared" si="5"/>
        <v>7.0000000000000007E-2</v>
      </c>
      <c r="H363">
        <f>G363*(26.79/38.29)</f>
        <v>4.8976234003656312E-2</v>
      </c>
    </row>
    <row r="364" spans="1:8" x14ac:dyDescent="0.25">
      <c r="A364" s="1">
        <v>1987</v>
      </c>
      <c r="B364" s="1" t="s">
        <v>99</v>
      </c>
      <c r="C364" t="s">
        <v>52</v>
      </c>
      <c r="D364">
        <v>80</v>
      </c>
      <c r="E364">
        <v>79</v>
      </c>
      <c r="F364">
        <v>0.01</v>
      </c>
      <c r="G364">
        <f t="shared" si="5"/>
        <v>0.01</v>
      </c>
      <c r="H364">
        <f>G364*(26.79/38.29)</f>
        <v>6.9966048576651863E-3</v>
      </c>
    </row>
    <row r="365" spans="1:8" x14ac:dyDescent="0.25">
      <c r="A365" s="1">
        <v>1987</v>
      </c>
      <c r="B365" s="1" t="s">
        <v>99</v>
      </c>
      <c r="C365" t="s">
        <v>52</v>
      </c>
      <c r="D365">
        <v>80</v>
      </c>
      <c r="E365">
        <v>86</v>
      </c>
      <c r="F365">
        <v>0.01</v>
      </c>
      <c r="G365">
        <f t="shared" si="5"/>
        <v>0.01</v>
      </c>
      <c r="H365">
        <f>G365*(26.79/38.29)</f>
        <v>6.9966048576651863E-3</v>
      </c>
    </row>
    <row r="366" spans="1:8" x14ac:dyDescent="0.25">
      <c r="A366" s="1">
        <v>1987</v>
      </c>
      <c r="B366" s="1" t="s">
        <v>99</v>
      </c>
      <c r="C366" t="s">
        <v>52</v>
      </c>
      <c r="D366">
        <v>81</v>
      </c>
      <c r="E366">
        <v>66</v>
      </c>
      <c r="F366">
        <v>0.01</v>
      </c>
      <c r="G366">
        <f t="shared" si="5"/>
        <v>0.01</v>
      </c>
      <c r="H366">
        <f>G366*(26.79/38.29)</f>
        <v>6.9966048576651863E-3</v>
      </c>
    </row>
    <row r="367" spans="1:8" x14ac:dyDescent="0.25">
      <c r="A367" s="1">
        <v>1987</v>
      </c>
      <c r="B367" s="1" t="s">
        <v>99</v>
      </c>
      <c r="C367" t="s">
        <v>52</v>
      </c>
      <c r="D367">
        <v>81</v>
      </c>
      <c r="E367">
        <v>66</v>
      </c>
      <c r="F367">
        <v>0.01</v>
      </c>
      <c r="G367">
        <f t="shared" si="5"/>
        <v>0.01</v>
      </c>
      <c r="H367">
        <f>G367*(26.79/38.29)</f>
        <v>6.9966048576651863E-3</v>
      </c>
    </row>
    <row r="368" spans="1:8" x14ac:dyDescent="0.25">
      <c r="A368" s="1">
        <v>1987</v>
      </c>
      <c r="B368" s="1" t="s">
        <v>99</v>
      </c>
      <c r="C368" t="s">
        <v>52</v>
      </c>
      <c r="D368">
        <v>81</v>
      </c>
      <c r="E368">
        <v>66</v>
      </c>
      <c r="F368">
        <v>0.01</v>
      </c>
      <c r="G368">
        <f t="shared" si="5"/>
        <v>0.01</v>
      </c>
      <c r="H368">
        <f>G368*(26.79/38.29)</f>
        <v>6.9966048576651863E-3</v>
      </c>
    </row>
    <row r="369" spans="1:8" x14ac:dyDescent="0.25">
      <c r="A369" s="1">
        <v>1987</v>
      </c>
      <c r="B369" s="1" t="s">
        <v>99</v>
      </c>
      <c r="C369" t="s">
        <v>52</v>
      </c>
      <c r="D369">
        <v>81</v>
      </c>
      <c r="E369">
        <v>66</v>
      </c>
      <c r="F369">
        <v>0.01</v>
      </c>
      <c r="G369">
        <f t="shared" si="5"/>
        <v>0.01</v>
      </c>
      <c r="H369">
        <f>G369*(26.79/38.29)</f>
        <v>6.9966048576651863E-3</v>
      </c>
    </row>
    <row r="370" spans="1:8" x14ac:dyDescent="0.25">
      <c r="A370" s="1">
        <v>1987</v>
      </c>
      <c r="B370" s="1" t="s">
        <v>99</v>
      </c>
      <c r="C370" t="s">
        <v>52</v>
      </c>
      <c r="D370">
        <v>81</v>
      </c>
      <c r="E370">
        <v>71</v>
      </c>
      <c r="F370">
        <v>0.04</v>
      </c>
      <c r="G370">
        <f t="shared" si="5"/>
        <v>0.04</v>
      </c>
      <c r="H370">
        <f>G370*(26.79/38.29)</f>
        <v>2.7986419430660745E-2</v>
      </c>
    </row>
    <row r="371" spans="1:8" x14ac:dyDescent="0.25">
      <c r="A371" s="1">
        <v>1987</v>
      </c>
      <c r="B371" s="1" t="s">
        <v>99</v>
      </c>
      <c r="C371" t="s">
        <v>52</v>
      </c>
      <c r="D371">
        <v>81</v>
      </c>
      <c r="E371">
        <v>78</v>
      </c>
      <c r="F371">
        <v>0.02</v>
      </c>
      <c r="G371">
        <f t="shared" si="5"/>
        <v>0.02</v>
      </c>
      <c r="H371">
        <f>G371*(26.79/38.29)</f>
        <v>1.3993209715330373E-2</v>
      </c>
    </row>
    <row r="372" spans="1:8" x14ac:dyDescent="0.25">
      <c r="A372" s="1">
        <v>1987</v>
      </c>
      <c r="B372" s="1" t="s">
        <v>99</v>
      </c>
      <c r="C372" t="s">
        <v>52</v>
      </c>
      <c r="D372">
        <v>81</v>
      </c>
      <c r="E372">
        <v>111</v>
      </c>
      <c r="F372">
        <v>0.01</v>
      </c>
      <c r="G372">
        <f t="shared" si="5"/>
        <v>0.01</v>
      </c>
      <c r="H372">
        <f>G372*(26.79/38.29)</f>
        <v>6.9966048576651863E-3</v>
      </c>
    </row>
    <row r="373" spans="1:8" x14ac:dyDescent="0.25">
      <c r="A373" s="1">
        <v>1987</v>
      </c>
      <c r="B373" s="1" t="s">
        <v>99</v>
      </c>
      <c r="C373" t="s">
        <v>52</v>
      </c>
      <c r="D373">
        <v>82</v>
      </c>
      <c r="E373">
        <v>32</v>
      </c>
      <c r="F373">
        <v>0.01</v>
      </c>
      <c r="G373">
        <f t="shared" si="5"/>
        <v>0.01</v>
      </c>
      <c r="H373">
        <f>G373*(26.79/38.29)</f>
        <v>6.9966048576651863E-3</v>
      </c>
    </row>
    <row r="374" spans="1:8" x14ac:dyDescent="0.25">
      <c r="A374" s="1">
        <v>1987</v>
      </c>
      <c r="B374" s="1" t="s">
        <v>99</v>
      </c>
      <c r="C374" t="s">
        <v>52</v>
      </c>
      <c r="D374">
        <v>82</v>
      </c>
      <c r="E374">
        <v>54</v>
      </c>
      <c r="F374">
        <v>0.01</v>
      </c>
      <c r="G374">
        <f t="shared" si="5"/>
        <v>0.01</v>
      </c>
      <c r="H374">
        <f>G374*(26.79/38.29)</f>
        <v>6.9966048576651863E-3</v>
      </c>
    </row>
    <row r="375" spans="1:8" x14ac:dyDescent="0.25">
      <c r="A375" s="1">
        <v>1987</v>
      </c>
      <c r="B375" s="1" t="s">
        <v>99</v>
      </c>
      <c r="C375" t="s">
        <v>52</v>
      </c>
      <c r="D375">
        <v>82</v>
      </c>
      <c r="E375">
        <v>78</v>
      </c>
      <c r="F375">
        <v>0.01</v>
      </c>
      <c r="G375">
        <f t="shared" si="5"/>
        <v>0.01</v>
      </c>
      <c r="H375">
        <f>G375*(26.79/38.29)</f>
        <v>6.9966048576651863E-3</v>
      </c>
    </row>
    <row r="376" spans="1:8" x14ac:dyDescent="0.25">
      <c r="A376" s="1">
        <v>1987</v>
      </c>
      <c r="B376" s="1" t="s">
        <v>99</v>
      </c>
      <c r="C376" t="s">
        <v>52</v>
      </c>
      <c r="D376">
        <v>83</v>
      </c>
      <c r="E376">
        <v>63</v>
      </c>
      <c r="F376">
        <v>0.01</v>
      </c>
      <c r="G376">
        <f t="shared" si="5"/>
        <v>0.01</v>
      </c>
      <c r="H376">
        <f>G376*(26.79/38.29)</f>
        <v>6.9966048576651863E-3</v>
      </c>
    </row>
    <row r="377" spans="1:8" x14ac:dyDescent="0.25">
      <c r="A377" s="1">
        <v>1987</v>
      </c>
      <c r="B377" s="1" t="s">
        <v>99</v>
      </c>
      <c r="C377" t="s">
        <v>52</v>
      </c>
      <c r="D377">
        <v>83</v>
      </c>
      <c r="E377">
        <v>79</v>
      </c>
      <c r="F377">
        <v>0.05</v>
      </c>
      <c r="G377">
        <f t="shared" si="5"/>
        <v>0.05</v>
      </c>
      <c r="H377">
        <f>G377*(26.79/38.29)</f>
        <v>3.4983024288325934E-2</v>
      </c>
    </row>
    <row r="378" spans="1:8" x14ac:dyDescent="0.25">
      <c r="A378" s="1">
        <v>1987</v>
      </c>
      <c r="B378" s="1" t="s">
        <v>99</v>
      </c>
      <c r="C378" t="s">
        <v>52</v>
      </c>
      <c r="D378">
        <v>84</v>
      </c>
      <c r="E378">
        <v>79</v>
      </c>
      <c r="F378">
        <v>0.05</v>
      </c>
      <c r="G378">
        <f t="shared" si="5"/>
        <v>0.05</v>
      </c>
      <c r="H378">
        <f>G378*(26.79/38.29)</f>
        <v>3.4983024288325934E-2</v>
      </c>
    </row>
    <row r="379" spans="1:8" x14ac:dyDescent="0.25">
      <c r="A379" s="1">
        <v>1987</v>
      </c>
      <c r="B379" s="1" t="s">
        <v>99</v>
      </c>
      <c r="C379" t="s">
        <v>52</v>
      </c>
      <c r="D379">
        <v>85</v>
      </c>
      <c r="E379">
        <v>25</v>
      </c>
      <c r="F379">
        <v>0.1</v>
      </c>
      <c r="G379">
        <f t="shared" si="5"/>
        <v>0.1</v>
      </c>
      <c r="H379">
        <f>G379*(26.79/38.29)</f>
        <v>6.9966048576651868E-2</v>
      </c>
    </row>
    <row r="380" spans="1:8" x14ac:dyDescent="0.25">
      <c r="A380" s="1">
        <v>1987</v>
      </c>
      <c r="B380" s="1" t="s">
        <v>99</v>
      </c>
      <c r="C380" t="s">
        <v>52</v>
      </c>
      <c r="D380">
        <v>85</v>
      </c>
      <c r="E380">
        <v>78</v>
      </c>
      <c r="F380">
        <v>0.01</v>
      </c>
      <c r="G380">
        <f t="shared" si="5"/>
        <v>0.01</v>
      </c>
      <c r="H380">
        <f>G380*(26.79/38.29)</f>
        <v>6.9966048576651863E-3</v>
      </c>
    </row>
    <row r="381" spans="1:8" x14ac:dyDescent="0.25">
      <c r="A381" s="1">
        <v>1987</v>
      </c>
      <c r="B381" s="1" t="s">
        <v>99</v>
      </c>
      <c r="C381" t="s">
        <v>52</v>
      </c>
      <c r="D381">
        <v>85</v>
      </c>
      <c r="E381">
        <v>78</v>
      </c>
      <c r="F381">
        <v>0.01</v>
      </c>
      <c r="G381">
        <f t="shared" si="5"/>
        <v>0.01</v>
      </c>
      <c r="H381">
        <f>G381*(26.79/38.29)</f>
        <v>6.9966048576651863E-3</v>
      </c>
    </row>
    <row r="382" spans="1:8" x14ac:dyDescent="0.25">
      <c r="A382" s="1">
        <v>1987</v>
      </c>
      <c r="B382" s="1" t="s">
        <v>99</v>
      </c>
      <c r="C382" t="s">
        <v>52</v>
      </c>
      <c r="D382">
        <v>85</v>
      </c>
      <c r="E382">
        <v>78</v>
      </c>
      <c r="F382">
        <v>0.01</v>
      </c>
      <c r="G382">
        <f t="shared" si="5"/>
        <v>0.01</v>
      </c>
      <c r="H382">
        <f>G382*(26.79/38.29)</f>
        <v>6.9966048576651863E-3</v>
      </c>
    </row>
    <row r="383" spans="1:8" x14ac:dyDescent="0.25">
      <c r="A383" s="1">
        <v>1987</v>
      </c>
      <c r="B383" s="1" t="s">
        <v>99</v>
      </c>
      <c r="C383" t="s">
        <v>52</v>
      </c>
      <c r="D383">
        <v>85</v>
      </c>
      <c r="E383">
        <v>79</v>
      </c>
      <c r="F383">
        <v>0.05</v>
      </c>
      <c r="G383">
        <f t="shared" si="5"/>
        <v>0.05</v>
      </c>
      <c r="H383">
        <f>G383*(26.79/38.29)</f>
        <v>3.4983024288325934E-2</v>
      </c>
    </row>
    <row r="384" spans="1:8" x14ac:dyDescent="0.25">
      <c r="A384" s="1">
        <v>1987</v>
      </c>
      <c r="B384" s="1" t="s">
        <v>99</v>
      </c>
      <c r="C384" t="s">
        <v>52</v>
      </c>
      <c r="D384">
        <v>86</v>
      </c>
      <c r="E384">
        <v>32</v>
      </c>
      <c r="F384">
        <v>0.01</v>
      </c>
      <c r="G384">
        <f t="shared" si="5"/>
        <v>0.01</v>
      </c>
      <c r="H384">
        <f>G384*(26.79/38.29)</f>
        <v>6.9966048576651863E-3</v>
      </c>
    </row>
    <row r="385" spans="1:8" x14ac:dyDescent="0.25">
      <c r="A385" s="1">
        <v>1987</v>
      </c>
      <c r="B385" s="1" t="s">
        <v>99</v>
      </c>
      <c r="C385" t="s">
        <v>52</v>
      </c>
      <c r="D385">
        <v>86</v>
      </c>
      <c r="E385">
        <v>33</v>
      </c>
      <c r="F385">
        <v>0.03</v>
      </c>
      <c r="G385">
        <f t="shared" si="5"/>
        <v>0.03</v>
      </c>
      <c r="H385">
        <f>G385*(26.79/38.29)</f>
        <v>2.0989814572995556E-2</v>
      </c>
    </row>
    <row r="386" spans="1:8" x14ac:dyDescent="0.25">
      <c r="A386" s="1">
        <v>1987</v>
      </c>
      <c r="B386" s="1" t="s">
        <v>99</v>
      </c>
      <c r="C386" t="s">
        <v>52</v>
      </c>
      <c r="D386">
        <v>86</v>
      </c>
      <c r="E386">
        <v>76</v>
      </c>
      <c r="F386">
        <v>0.01</v>
      </c>
      <c r="G386">
        <f t="shared" si="5"/>
        <v>0.01</v>
      </c>
      <c r="H386">
        <f>G386*(26.79/38.29)</f>
        <v>6.9966048576651863E-3</v>
      </c>
    </row>
    <row r="387" spans="1:8" x14ac:dyDescent="0.25">
      <c r="A387" s="1">
        <v>1987</v>
      </c>
      <c r="B387" s="1" t="s">
        <v>99</v>
      </c>
      <c r="C387" t="s">
        <v>52</v>
      </c>
      <c r="D387">
        <v>86</v>
      </c>
      <c r="E387">
        <v>78</v>
      </c>
      <c r="F387">
        <v>0.01</v>
      </c>
      <c r="G387">
        <f t="shared" ref="G387:G442" si="6">(F387/0.01)/100</f>
        <v>0.01</v>
      </c>
      <c r="H387">
        <f>G387*(26.79/38.29)</f>
        <v>6.9966048576651863E-3</v>
      </c>
    </row>
    <row r="388" spans="1:8" x14ac:dyDescent="0.25">
      <c r="A388" s="1">
        <v>1987</v>
      </c>
      <c r="B388" s="1" t="s">
        <v>99</v>
      </c>
      <c r="C388" t="s">
        <v>52</v>
      </c>
      <c r="D388">
        <v>86</v>
      </c>
      <c r="E388">
        <v>86</v>
      </c>
      <c r="F388">
        <v>0.02</v>
      </c>
      <c r="G388">
        <f t="shared" si="6"/>
        <v>0.02</v>
      </c>
      <c r="H388">
        <f>G388*(26.79/38.29)</f>
        <v>1.3993209715330373E-2</v>
      </c>
    </row>
    <row r="389" spans="1:8" x14ac:dyDescent="0.25">
      <c r="A389" s="1">
        <v>1987</v>
      </c>
      <c r="B389" s="1" t="s">
        <v>99</v>
      </c>
      <c r="C389" t="s">
        <v>52</v>
      </c>
      <c r="D389">
        <v>87</v>
      </c>
      <c r="E389">
        <v>29</v>
      </c>
      <c r="F389">
        <v>0.04</v>
      </c>
      <c r="G389">
        <f t="shared" si="6"/>
        <v>0.04</v>
      </c>
      <c r="H389">
        <f>G389*(26.79/38.29)</f>
        <v>2.7986419430660745E-2</v>
      </c>
    </row>
    <row r="390" spans="1:8" x14ac:dyDescent="0.25">
      <c r="A390" s="1">
        <v>1987</v>
      </c>
      <c r="B390" s="1" t="s">
        <v>99</v>
      </c>
      <c r="C390" t="s">
        <v>52</v>
      </c>
      <c r="D390">
        <v>87</v>
      </c>
      <c r="E390">
        <v>29</v>
      </c>
      <c r="F390">
        <v>0.02</v>
      </c>
      <c r="G390">
        <f t="shared" si="6"/>
        <v>0.02</v>
      </c>
      <c r="H390">
        <f>G390*(26.79/38.29)</f>
        <v>1.3993209715330373E-2</v>
      </c>
    </row>
    <row r="391" spans="1:8" x14ac:dyDescent="0.25">
      <c r="A391" s="1">
        <v>1987</v>
      </c>
      <c r="B391" s="1" t="s">
        <v>99</v>
      </c>
      <c r="C391" t="s">
        <v>52</v>
      </c>
      <c r="D391">
        <v>87</v>
      </c>
      <c r="E391">
        <v>63</v>
      </c>
      <c r="F391">
        <v>0.11</v>
      </c>
      <c r="G391">
        <f t="shared" si="6"/>
        <v>0.11</v>
      </c>
      <c r="H391">
        <f>G391*(26.79/38.29)</f>
        <v>7.6962653434317047E-2</v>
      </c>
    </row>
    <row r="392" spans="1:8" x14ac:dyDescent="0.25">
      <c r="A392" s="1">
        <v>1987</v>
      </c>
      <c r="B392" s="1" t="s">
        <v>99</v>
      </c>
      <c r="C392" t="s">
        <v>52</v>
      </c>
      <c r="D392">
        <v>87</v>
      </c>
      <c r="E392">
        <v>78</v>
      </c>
      <c r="F392">
        <v>0.01</v>
      </c>
      <c r="G392">
        <f t="shared" si="6"/>
        <v>0.01</v>
      </c>
      <c r="H392">
        <f>G392*(26.79/38.29)</f>
        <v>6.9966048576651863E-3</v>
      </c>
    </row>
    <row r="393" spans="1:8" x14ac:dyDescent="0.25">
      <c r="A393" s="1">
        <v>1987</v>
      </c>
      <c r="B393" s="1" t="s">
        <v>99</v>
      </c>
      <c r="C393" t="s">
        <v>52</v>
      </c>
      <c r="D393">
        <v>87</v>
      </c>
      <c r="E393">
        <v>79</v>
      </c>
      <c r="F393">
        <v>0.02</v>
      </c>
      <c r="G393">
        <f t="shared" si="6"/>
        <v>0.02</v>
      </c>
      <c r="H393">
        <f>G393*(26.79/38.29)</f>
        <v>1.3993209715330373E-2</v>
      </c>
    </row>
    <row r="394" spans="1:8" x14ac:dyDescent="0.25">
      <c r="A394" s="1">
        <v>1987</v>
      </c>
      <c r="B394" s="1" t="s">
        <v>99</v>
      </c>
      <c r="C394" t="s">
        <v>52</v>
      </c>
      <c r="D394">
        <v>88</v>
      </c>
      <c r="E394">
        <v>78</v>
      </c>
      <c r="F394">
        <v>0.01</v>
      </c>
      <c r="G394">
        <f t="shared" si="6"/>
        <v>0.01</v>
      </c>
      <c r="H394">
        <f>G394*(26.79/38.29)</f>
        <v>6.9966048576651863E-3</v>
      </c>
    </row>
    <row r="395" spans="1:8" x14ac:dyDescent="0.25">
      <c r="A395" s="1">
        <v>1987</v>
      </c>
      <c r="B395" s="1" t="s">
        <v>99</v>
      </c>
      <c r="C395" t="s">
        <v>52</v>
      </c>
      <c r="D395">
        <v>88</v>
      </c>
      <c r="E395">
        <v>79</v>
      </c>
      <c r="F395">
        <v>0.12</v>
      </c>
      <c r="G395">
        <f t="shared" si="6"/>
        <v>0.12</v>
      </c>
      <c r="H395">
        <f>G395*(26.79/38.29)</f>
        <v>8.3959258291982225E-2</v>
      </c>
    </row>
    <row r="396" spans="1:8" x14ac:dyDescent="0.25">
      <c r="A396" s="1">
        <v>1987</v>
      </c>
      <c r="B396" s="1" t="s">
        <v>99</v>
      </c>
      <c r="C396" t="s">
        <v>52</v>
      </c>
      <c r="D396">
        <v>88</v>
      </c>
      <c r="E396">
        <v>79</v>
      </c>
      <c r="F396">
        <v>0.01</v>
      </c>
      <c r="G396">
        <f t="shared" si="6"/>
        <v>0.01</v>
      </c>
      <c r="H396">
        <f>G396*(26.79/38.29)</f>
        <v>6.9966048576651863E-3</v>
      </c>
    </row>
    <row r="397" spans="1:8" x14ac:dyDescent="0.25">
      <c r="A397" s="1">
        <v>1987</v>
      </c>
      <c r="B397" s="1" t="s">
        <v>99</v>
      </c>
      <c r="C397" t="s">
        <v>52</v>
      </c>
      <c r="D397">
        <v>88</v>
      </c>
      <c r="E397">
        <v>86</v>
      </c>
      <c r="F397">
        <v>0.01</v>
      </c>
      <c r="G397">
        <f t="shared" si="6"/>
        <v>0.01</v>
      </c>
      <c r="H397">
        <f>G397*(26.79/38.29)</f>
        <v>6.9966048576651863E-3</v>
      </c>
    </row>
    <row r="398" spans="1:8" x14ac:dyDescent="0.25">
      <c r="A398" s="1">
        <v>1987</v>
      </c>
      <c r="B398" s="1" t="s">
        <v>99</v>
      </c>
      <c r="C398" t="s">
        <v>52</v>
      </c>
      <c r="D398">
        <v>89</v>
      </c>
      <c r="E398">
        <v>78</v>
      </c>
      <c r="F398">
        <v>0.01</v>
      </c>
      <c r="G398">
        <f t="shared" si="6"/>
        <v>0.01</v>
      </c>
      <c r="H398">
        <f>G398*(26.79/38.29)</f>
        <v>6.9966048576651863E-3</v>
      </c>
    </row>
    <row r="399" spans="1:8" x14ac:dyDescent="0.25">
      <c r="A399" s="1">
        <v>1987</v>
      </c>
      <c r="B399" s="1" t="s">
        <v>99</v>
      </c>
      <c r="C399" t="s">
        <v>52</v>
      </c>
      <c r="D399">
        <v>89</v>
      </c>
      <c r="E399">
        <v>79</v>
      </c>
      <c r="F399">
        <v>0.04</v>
      </c>
      <c r="G399">
        <f t="shared" si="6"/>
        <v>0.04</v>
      </c>
      <c r="H399">
        <f>G399*(26.79/38.29)</f>
        <v>2.7986419430660745E-2</v>
      </c>
    </row>
    <row r="400" spans="1:8" x14ac:dyDescent="0.25">
      <c r="A400" s="1">
        <v>1987</v>
      </c>
      <c r="B400" s="1" t="s">
        <v>99</v>
      </c>
      <c r="C400" t="s">
        <v>52</v>
      </c>
      <c r="D400">
        <v>90</v>
      </c>
      <c r="E400">
        <v>76</v>
      </c>
      <c r="F400">
        <v>0.05</v>
      </c>
      <c r="G400">
        <f t="shared" si="6"/>
        <v>0.05</v>
      </c>
      <c r="H400">
        <f>G400*(26.79/38.29)</f>
        <v>3.4983024288325934E-2</v>
      </c>
    </row>
    <row r="401" spans="1:8" x14ac:dyDescent="0.25">
      <c r="A401" s="1">
        <v>1987</v>
      </c>
      <c r="B401" s="1" t="s">
        <v>99</v>
      </c>
      <c r="C401" t="s">
        <v>52</v>
      </c>
      <c r="D401">
        <v>90</v>
      </c>
      <c r="E401">
        <v>78</v>
      </c>
      <c r="F401">
        <v>0.03</v>
      </c>
      <c r="G401">
        <f t="shared" si="6"/>
        <v>0.03</v>
      </c>
      <c r="H401">
        <f>G401*(26.79/38.29)</f>
        <v>2.0989814572995556E-2</v>
      </c>
    </row>
    <row r="402" spans="1:8" x14ac:dyDescent="0.25">
      <c r="A402" s="1">
        <v>1987</v>
      </c>
      <c r="B402" s="1" t="s">
        <v>99</v>
      </c>
      <c r="C402" t="s">
        <v>52</v>
      </c>
      <c r="D402">
        <v>90</v>
      </c>
      <c r="E402">
        <v>79</v>
      </c>
      <c r="F402">
        <v>0.01</v>
      </c>
      <c r="G402">
        <f t="shared" si="6"/>
        <v>0.01</v>
      </c>
      <c r="H402">
        <f>G402*(26.79/38.29)</f>
        <v>6.9966048576651863E-3</v>
      </c>
    </row>
    <row r="403" spans="1:8" x14ac:dyDescent="0.25">
      <c r="A403" s="1">
        <v>1987</v>
      </c>
      <c r="B403" s="1" t="s">
        <v>99</v>
      </c>
      <c r="C403" t="s">
        <v>52</v>
      </c>
      <c r="D403">
        <v>90</v>
      </c>
      <c r="E403">
        <v>91</v>
      </c>
      <c r="F403">
        <v>0.01</v>
      </c>
      <c r="G403">
        <f t="shared" si="6"/>
        <v>0.01</v>
      </c>
      <c r="H403">
        <f>G403*(26.79/38.29)</f>
        <v>6.9966048576651863E-3</v>
      </c>
    </row>
    <row r="404" spans="1:8" x14ac:dyDescent="0.25">
      <c r="A404" s="1">
        <v>1987</v>
      </c>
      <c r="B404" s="1" t="s">
        <v>99</v>
      </c>
      <c r="C404" t="s">
        <v>52</v>
      </c>
      <c r="D404">
        <v>90</v>
      </c>
      <c r="E404">
        <v>91</v>
      </c>
      <c r="F404">
        <v>0.03</v>
      </c>
      <c r="G404">
        <f t="shared" si="6"/>
        <v>0.03</v>
      </c>
      <c r="H404">
        <f>G404*(26.79/38.29)</f>
        <v>2.0989814572995556E-2</v>
      </c>
    </row>
    <row r="405" spans="1:8" x14ac:dyDescent="0.25">
      <c r="A405" s="1">
        <v>1987</v>
      </c>
      <c r="B405" s="1" t="s">
        <v>99</v>
      </c>
      <c r="C405" t="s">
        <v>52</v>
      </c>
      <c r="D405">
        <v>91</v>
      </c>
      <c r="E405">
        <v>25</v>
      </c>
      <c r="F405">
        <v>0.04</v>
      </c>
      <c r="G405">
        <f t="shared" si="6"/>
        <v>0.04</v>
      </c>
      <c r="H405">
        <f>G405*(26.79/38.29)</f>
        <v>2.7986419430660745E-2</v>
      </c>
    </row>
    <row r="406" spans="1:8" x14ac:dyDescent="0.25">
      <c r="A406" s="1">
        <v>1987</v>
      </c>
      <c r="B406" s="1" t="s">
        <v>99</v>
      </c>
      <c r="C406" t="s">
        <v>52</v>
      </c>
      <c r="D406">
        <v>91</v>
      </c>
      <c r="E406">
        <v>76</v>
      </c>
      <c r="F406">
        <v>0.01</v>
      </c>
      <c r="G406">
        <f t="shared" si="6"/>
        <v>0.01</v>
      </c>
      <c r="H406">
        <f>G406*(26.79/38.29)</f>
        <v>6.9966048576651863E-3</v>
      </c>
    </row>
    <row r="407" spans="1:8" x14ac:dyDescent="0.25">
      <c r="A407" s="1">
        <v>1987</v>
      </c>
      <c r="B407" s="1" t="s">
        <v>99</v>
      </c>
      <c r="C407" t="s">
        <v>52</v>
      </c>
      <c r="D407">
        <v>91</v>
      </c>
      <c r="E407">
        <v>78</v>
      </c>
      <c r="F407">
        <v>0.01</v>
      </c>
      <c r="G407">
        <f t="shared" si="6"/>
        <v>0.01</v>
      </c>
      <c r="H407">
        <f>G407*(26.79/38.29)</f>
        <v>6.9966048576651863E-3</v>
      </c>
    </row>
    <row r="408" spans="1:8" x14ac:dyDescent="0.25">
      <c r="A408" s="1">
        <v>1987</v>
      </c>
      <c r="B408" s="1" t="s">
        <v>99</v>
      </c>
      <c r="C408" t="s">
        <v>52</v>
      </c>
      <c r="D408">
        <v>91</v>
      </c>
      <c r="E408">
        <v>78</v>
      </c>
      <c r="F408">
        <v>0.02</v>
      </c>
      <c r="G408">
        <f t="shared" si="6"/>
        <v>0.02</v>
      </c>
      <c r="H408">
        <f>G408*(26.79/38.29)</f>
        <v>1.3993209715330373E-2</v>
      </c>
    </row>
    <row r="409" spans="1:8" x14ac:dyDescent="0.25">
      <c r="A409" s="1">
        <v>1987</v>
      </c>
      <c r="B409" s="1" t="s">
        <v>99</v>
      </c>
      <c r="C409" t="s">
        <v>52</v>
      </c>
      <c r="D409">
        <v>91</v>
      </c>
      <c r="E409">
        <v>78</v>
      </c>
      <c r="F409">
        <v>0.01</v>
      </c>
      <c r="G409">
        <f t="shared" si="6"/>
        <v>0.01</v>
      </c>
      <c r="H409">
        <f>G409*(26.79/38.29)</f>
        <v>6.9966048576651863E-3</v>
      </c>
    </row>
    <row r="410" spans="1:8" x14ac:dyDescent="0.25">
      <c r="A410" s="1">
        <v>1987</v>
      </c>
      <c r="B410" s="1" t="s">
        <v>99</v>
      </c>
      <c r="C410" t="s">
        <v>52</v>
      </c>
      <c r="D410">
        <v>91</v>
      </c>
      <c r="E410">
        <v>86</v>
      </c>
      <c r="F410">
        <v>0.01</v>
      </c>
      <c r="G410">
        <f t="shared" si="6"/>
        <v>0.01</v>
      </c>
      <c r="H410">
        <f>G410*(26.79/38.29)</f>
        <v>6.9966048576651863E-3</v>
      </c>
    </row>
    <row r="411" spans="1:8" x14ac:dyDescent="0.25">
      <c r="A411" s="1">
        <v>1987</v>
      </c>
      <c r="B411" s="1" t="s">
        <v>99</v>
      </c>
      <c r="C411" t="s">
        <v>52</v>
      </c>
      <c r="D411">
        <v>92</v>
      </c>
      <c r="E411">
        <v>63</v>
      </c>
      <c r="F411">
        <v>0.01</v>
      </c>
      <c r="G411">
        <f t="shared" si="6"/>
        <v>0.01</v>
      </c>
      <c r="H411">
        <f>G411*(26.79/38.29)</f>
        <v>6.9966048576651863E-3</v>
      </c>
    </row>
    <row r="412" spans="1:8" x14ac:dyDescent="0.25">
      <c r="A412" s="1">
        <v>1987</v>
      </c>
      <c r="B412" s="1" t="s">
        <v>99</v>
      </c>
      <c r="C412" t="s">
        <v>52</v>
      </c>
      <c r="D412">
        <v>92</v>
      </c>
      <c r="E412">
        <v>79</v>
      </c>
      <c r="F412">
        <v>0.12</v>
      </c>
      <c r="G412">
        <f t="shared" si="6"/>
        <v>0.12</v>
      </c>
      <c r="H412">
        <f>G412*(26.79/38.29)</f>
        <v>8.3959258291982225E-2</v>
      </c>
    </row>
    <row r="413" spans="1:8" x14ac:dyDescent="0.25">
      <c r="A413" s="1">
        <v>1987</v>
      </c>
      <c r="B413" s="1" t="s">
        <v>99</v>
      </c>
      <c r="C413" t="s">
        <v>52</v>
      </c>
      <c r="D413">
        <v>93</v>
      </c>
      <c r="E413">
        <v>78</v>
      </c>
      <c r="F413">
        <v>0.01</v>
      </c>
      <c r="G413">
        <f t="shared" si="6"/>
        <v>0.01</v>
      </c>
      <c r="H413">
        <f>G413*(26.79/38.29)</f>
        <v>6.9966048576651863E-3</v>
      </c>
    </row>
    <row r="414" spans="1:8" x14ac:dyDescent="0.25">
      <c r="A414" s="1">
        <v>1987</v>
      </c>
      <c r="B414" s="1" t="s">
        <v>99</v>
      </c>
      <c r="C414" t="s">
        <v>52</v>
      </c>
      <c r="D414">
        <v>93</v>
      </c>
      <c r="E414">
        <v>78</v>
      </c>
      <c r="F414">
        <v>0.04</v>
      </c>
      <c r="G414">
        <f t="shared" si="6"/>
        <v>0.04</v>
      </c>
      <c r="H414">
        <f>G414*(26.79/38.29)</f>
        <v>2.7986419430660745E-2</v>
      </c>
    </row>
    <row r="415" spans="1:8" x14ac:dyDescent="0.25">
      <c r="A415" s="1">
        <v>1987</v>
      </c>
      <c r="B415" s="1" t="s">
        <v>99</v>
      </c>
      <c r="C415" t="s">
        <v>52</v>
      </c>
      <c r="D415">
        <v>93</v>
      </c>
      <c r="E415">
        <v>78</v>
      </c>
      <c r="F415">
        <v>0.01</v>
      </c>
      <c r="G415">
        <f t="shared" si="6"/>
        <v>0.01</v>
      </c>
      <c r="H415">
        <f>G415*(26.79/38.29)</f>
        <v>6.9966048576651863E-3</v>
      </c>
    </row>
    <row r="416" spans="1:8" x14ac:dyDescent="0.25">
      <c r="A416" s="1">
        <v>1987</v>
      </c>
      <c r="B416" s="1" t="s">
        <v>99</v>
      </c>
      <c r="C416" t="s">
        <v>52</v>
      </c>
      <c r="D416">
        <v>94</v>
      </c>
      <c r="E416">
        <v>76</v>
      </c>
      <c r="F416">
        <v>0.01</v>
      </c>
      <c r="G416">
        <f t="shared" si="6"/>
        <v>0.01</v>
      </c>
      <c r="H416">
        <f>G416*(26.79/38.29)</f>
        <v>6.9966048576651863E-3</v>
      </c>
    </row>
    <row r="417" spans="1:8" x14ac:dyDescent="0.25">
      <c r="A417" s="1">
        <v>1987</v>
      </c>
      <c r="B417" s="1" t="s">
        <v>99</v>
      </c>
      <c r="C417" t="s">
        <v>52</v>
      </c>
      <c r="D417">
        <v>94</v>
      </c>
      <c r="E417">
        <v>78</v>
      </c>
      <c r="F417">
        <v>0.01</v>
      </c>
      <c r="G417">
        <f t="shared" si="6"/>
        <v>0.01</v>
      </c>
      <c r="H417">
        <f>G417*(26.79/38.29)</f>
        <v>6.9966048576651863E-3</v>
      </c>
    </row>
    <row r="418" spans="1:8" x14ac:dyDescent="0.25">
      <c r="A418" s="1">
        <v>1987</v>
      </c>
      <c r="B418" s="1" t="s">
        <v>99</v>
      </c>
      <c r="C418" t="s">
        <v>52</v>
      </c>
      <c r="D418">
        <v>94</v>
      </c>
      <c r="E418">
        <v>78</v>
      </c>
      <c r="F418">
        <v>0.01</v>
      </c>
      <c r="G418">
        <f t="shared" si="6"/>
        <v>0.01</v>
      </c>
      <c r="H418">
        <f>G418*(26.79/38.29)</f>
        <v>6.9966048576651863E-3</v>
      </c>
    </row>
    <row r="419" spans="1:8" x14ac:dyDescent="0.25">
      <c r="A419" s="1">
        <v>1987</v>
      </c>
      <c r="B419" s="1" t="s">
        <v>99</v>
      </c>
      <c r="C419" t="s">
        <v>52</v>
      </c>
      <c r="D419">
        <v>94</v>
      </c>
      <c r="E419">
        <v>79</v>
      </c>
      <c r="F419">
        <v>0.01</v>
      </c>
      <c r="G419">
        <f t="shared" si="6"/>
        <v>0.01</v>
      </c>
      <c r="H419">
        <f>G419*(26.79/38.29)</f>
        <v>6.9966048576651863E-3</v>
      </c>
    </row>
    <row r="420" spans="1:8" x14ac:dyDescent="0.25">
      <c r="A420" s="1">
        <v>1987</v>
      </c>
      <c r="B420" s="1" t="s">
        <v>99</v>
      </c>
      <c r="C420" t="s">
        <v>52</v>
      </c>
      <c r="D420">
        <v>94</v>
      </c>
      <c r="E420">
        <v>86</v>
      </c>
      <c r="F420">
        <v>0.11</v>
      </c>
      <c r="G420">
        <f t="shared" si="6"/>
        <v>0.11</v>
      </c>
      <c r="H420">
        <f>G420*(26.79/38.29)</f>
        <v>7.6962653434317047E-2</v>
      </c>
    </row>
    <row r="421" spans="1:8" x14ac:dyDescent="0.25">
      <c r="A421" s="1">
        <v>1987</v>
      </c>
      <c r="B421" s="1" t="s">
        <v>99</v>
      </c>
      <c r="C421" t="s">
        <v>52</v>
      </c>
      <c r="D421">
        <v>95</v>
      </c>
      <c r="E421">
        <v>40</v>
      </c>
      <c r="F421">
        <v>0.05</v>
      </c>
      <c r="G421">
        <f t="shared" si="6"/>
        <v>0.05</v>
      </c>
      <c r="H421">
        <f>G421*(26.79/38.29)</f>
        <v>3.4983024288325934E-2</v>
      </c>
    </row>
    <row r="422" spans="1:8" x14ac:dyDescent="0.25">
      <c r="A422" s="1">
        <v>1987</v>
      </c>
      <c r="B422" s="1" t="s">
        <v>99</v>
      </c>
      <c r="C422" t="s">
        <v>52</v>
      </c>
      <c r="D422">
        <v>95</v>
      </c>
      <c r="E422">
        <v>78</v>
      </c>
      <c r="F422">
        <v>0.01</v>
      </c>
      <c r="G422">
        <f t="shared" si="6"/>
        <v>0.01</v>
      </c>
      <c r="H422">
        <f>G422*(26.79/38.29)</f>
        <v>6.9966048576651863E-3</v>
      </c>
    </row>
    <row r="423" spans="1:8" x14ac:dyDescent="0.25">
      <c r="A423" s="1">
        <v>1987</v>
      </c>
      <c r="B423" s="1" t="s">
        <v>99</v>
      </c>
      <c r="C423" t="s">
        <v>52</v>
      </c>
      <c r="D423">
        <v>95</v>
      </c>
      <c r="E423">
        <v>78</v>
      </c>
      <c r="F423">
        <v>0.02</v>
      </c>
      <c r="G423">
        <f t="shared" si="6"/>
        <v>0.02</v>
      </c>
      <c r="H423">
        <f>G423*(26.79/38.29)</f>
        <v>1.3993209715330373E-2</v>
      </c>
    </row>
    <row r="424" spans="1:8" x14ac:dyDescent="0.25">
      <c r="A424" s="1">
        <v>1987</v>
      </c>
      <c r="B424" s="1" t="s">
        <v>99</v>
      </c>
      <c r="C424" t="s">
        <v>52</v>
      </c>
      <c r="D424">
        <v>95</v>
      </c>
      <c r="E424">
        <v>79</v>
      </c>
      <c r="F424">
        <v>0.02</v>
      </c>
      <c r="G424">
        <f t="shared" si="6"/>
        <v>0.02</v>
      </c>
      <c r="H424">
        <f>G424*(26.79/38.29)</f>
        <v>1.3993209715330373E-2</v>
      </c>
    </row>
    <row r="425" spans="1:8" x14ac:dyDescent="0.25">
      <c r="A425" s="1">
        <v>1987</v>
      </c>
      <c r="B425" s="1" t="s">
        <v>99</v>
      </c>
      <c r="C425" t="s">
        <v>52</v>
      </c>
      <c r="D425">
        <v>96</v>
      </c>
      <c r="E425">
        <v>32</v>
      </c>
      <c r="F425">
        <v>0.03</v>
      </c>
      <c r="G425">
        <f t="shared" si="6"/>
        <v>0.03</v>
      </c>
      <c r="H425">
        <f>G425*(26.79/38.29)</f>
        <v>2.0989814572995556E-2</v>
      </c>
    </row>
    <row r="426" spans="1:8" x14ac:dyDescent="0.25">
      <c r="A426" s="1">
        <v>1987</v>
      </c>
      <c r="B426" s="1" t="s">
        <v>99</v>
      </c>
      <c r="C426" t="s">
        <v>52</v>
      </c>
      <c r="D426">
        <v>96</v>
      </c>
      <c r="E426">
        <v>32</v>
      </c>
      <c r="F426">
        <v>0.01</v>
      </c>
      <c r="G426">
        <f t="shared" si="6"/>
        <v>0.01</v>
      </c>
      <c r="H426">
        <f>G426*(26.79/38.29)</f>
        <v>6.9966048576651863E-3</v>
      </c>
    </row>
    <row r="427" spans="1:8" x14ac:dyDescent="0.25">
      <c r="A427" s="1">
        <v>1987</v>
      </c>
      <c r="B427" s="1" t="s">
        <v>99</v>
      </c>
      <c r="C427" t="s">
        <v>52</v>
      </c>
      <c r="D427">
        <v>96</v>
      </c>
      <c r="E427">
        <v>32</v>
      </c>
      <c r="F427">
        <v>0.02</v>
      </c>
      <c r="G427">
        <f t="shared" si="6"/>
        <v>0.02</v>
      </c>
      <c r="H427">
        <f>G427*(26.79/38.29)</f>
        <v>1.3993209715330373E-2</v>
      </c>
    </row>
    <row r="428" spans="1:8" x14ac:dyDescent="0.25">
      <c r="A428" s="1">
        <v>1987</v>
      </c>
      <c r="B428" s="1" t="s">
        <v>99</v>
      </c>
      <c r="C428" t="s">
        <v>52</v>
      </c>
      <c r="D428">
        <v>96</v>
      </c>
      <c r="E428">
        <v>32</v>
      </c>
      <c r="F428">
        <v>0.01</v>
      </c>
      <c r="G428">
        <f t="shared" si="6"/>
        <v>0.01</v>
      </c>
      <c r="H428">
        <f>G428*(26.79/38.29)</f>
        <v>6.9966048576651863E-3</v>
      </c>
    </row>
    <row r="429" spans="1:8" x14ac:dyDescent="0.25">
      <c r="A429" s="1">
        <v>1987</v>
      </c>
      <c r="B429" s="1" t="s">
        <v>99</v>
      </c>
      <c r="C429" t="s">
        <v>52</v>
      </c>
      <c r="D429">
        <v>96</v>
      </c>
      <c r="E429">
        <v>86</v>
      </c>
      <c r="F429">
        <v>0.05</v>
      </c>
      <c r="G429">
        <f t="shared" si="6"/>
        <v>0.05</v>
      </c>
      <c r="H429">
        <f>G429*(26.79/38.29)</f>
        <v>3.4983024288325934E-2</v>
      </c>
    </row>
    <row r="430" spans="1:8" x14ac:dyDescent="0.25">
      <c r="A430" s="1">
        <v>1987</v>
      </c>
      <c r="B430" s="1" t="s">
        <v>99</v>
      </c>
      <c r="C430" t="s">
        <v>52</v>
      </c>
      <c r="D430">
        <v>97</v>
      </c>
      <c r="E430">
        <v>78</v>
      </c>
      <c r="F430">
        <v>0.01</v>
      </c>
      <c r="G430">
        <f t="shared" si="6"/>
        <v>0.01</v>
      </c>
      <c r="H430">
        <f>G430*(26.79/38.29)</f>
        <v>6.9966048576651863E-3</v>
      </c>
    </row>
    <row r="431" spans="1:8" x14ac:dyDescent="0.25">
      <c r="A431" s="1">
        <v>1987</v>
      </c>
      <c r="B431" s="1" t="s">
        <v>99</v>
      </c>
      <c r="C431" t="s">
        <v>52</v>
      </c>
      <c r="D431">
        <v>97</v>
      </c>
      <c r="E431">
        <v>78</v>
      </c>
      <c r="F431">
        <v>0.01</v>
      </c>
      <c r="G431">
        <f t="shared" si="6"/>
        <v>0.01</v>
      </c>
      <c r="H431">
        <f>G431*(26.79/38.29)</f>
        <v>6.9966048576651863E-3</v>
      </c>
    </row>
    <row r="432" spans="1:8" x14ac:dyDescent="0.25">
      <c r="A432" s="1">
        <v>1987</v>
      </c>
      <c r="B432" s="1" t="s">
        <v>99</v>
      </c>
      <c r="C432" t="s">
        <v>52</v>
      </c>
      <c r="D432">
        <v>98</v>
      </c>
      <c r="E432">
        <v>32</v>
      </c>
      <c r="F432">
        <v>0.01</v>
      </c>
      <c r="G432">
        <f t="shared" si="6"/>
        <v>0.01</v>
      </c>
      <c r="H432">
        <f>G432*(26.79/38.29)</f>
        <v>6.9966048576651863E-3</v>
      </c>
    </row>
    <row r="433" spans="1:8" x14ac:dyDescent="0.25">
      <c r="A433" s="1">
        <v>1987</v>
      </c>
      <c r="B433" s="1" t="s">
        <v>99</v>
      </c>
      <c r="C433" t="s">
        <v>52</v>
      </c>
      <c r="D433">
        <v>98</v>
      </c>
      <c r="E433">
        <v>32</v>
      </c>
      <c r="F433">
        <v>0.02</v>
      </c>
      <c r="G433">
        <f t="shared" si="6"/>
        <v>0.02</v>
      </c>
      <c r="H433">
        <f>G433*(26.79/38.29)</f>
        <v>1.3993209715330373E-2</v>
      </c>
    </row>
    <row r="434" spans="1:8" x14ac:dyDescent="0.25">
      <c r="A434" s="1">
        <v>1987</v>
      </c>
      <c r="B434" s="1" t="s">
        <v>99</v>
      </c>
      <c r="C434" t="s">
        <v>52</v>
      </c>
      <c r="D434">
        <v>98</v>
      </c>
      <c r="E434">
        <v>32</v>
      </c>
      <c r="F434">
        <v>0.11</v>
      </c>
      <c r="G434">
        <f t="shared" si="6"/>
        <v>0.11</v>
      </c>
      <c r="H434">
        <f>G434*(26.79/38.29)</f>
        <v>7.6962653434317047E-2</v>
      </c>
    </row>
    <row r="435" spans="1:8" x14ac:dyDescent="0.25">
      <c r="A435" s="1">
        <v>1987</v>
      </c>
      <c r="B435" s="1" t="s">
        <v>99</v>
      </c>
      <c r="C435" t="s">
        <v>52</v>
      </c>
      <c r="D435">
        <v>98</v>
      </c>
      <c r="E435">
        <v>32</v>
      </c>
      <c r="F435">
        <v>0.01</v>
      </c>
      <c r="G435">
        <f t="shared" si="6"/>
        <v>0.01</v>
      </c>
      <c r="H435">
        <f>G435*(26.79/38.29)</f>
        <v>6.9966048576651863E-3</v>
      </c>
    </row>
    <row r="436" spans="1:8" x14ac:dyDescent="0.25">
      <c r="A436" s="1">
        <v>1987</v>
      </c>
      <c r="B436" s="1" t="s">
        <v>99</v>
      </c>
      <c r="C436" t="s">
        <v>52</v>
      </c>
      <c r="D436">
        <v>99</v>
      </c>
      <c r="E436">
        <v>25</v>
      </c>
      <c r="F436">
        <v>0.06</v>
      </c>
      <c r="G436">
        <f t="shared" si="6"/>
        <v>0.06</v>
      </c>
      <c r="H436">
        <f>G436*(26.79/38.29)</f>
        <v>4.1979629145991113E-2</v>
      </c>
    </row>
    <row r="437" spans="1:8" x14ac:dyDescent="0.25">
      <c r="A437" s="1">
        <v>1987</v>
      </c>
      <c r="B437" s="1" t="s">
        <v>99</v>
      </c>
      <c r="C437" t="s">
        <v>52</v>
      </c>
      <c r="D437">
        <v>99</v>
      </c>
      <c r="E437">
        <v>76</v>
      </c>
      <c r="F437">
        <v>0.01</v>
      </c>
      <c r="G437">
        <f t="shared" si="6"/>
        <v>0.01</v>
      </c>
      <c r="H437">
        <f>G437*(26.79/38.29)</f>
        <v>6.9966048576651863E-3</v>
      </c>
    </row>
    <row r="438" spans="1:8" x14ac:dyDescent="0.25">
      <c r="A438" s="1">
        <v>1987</v>
      </c>
      <c r="B438" s="1" t="s">
        <v>99</v>
      </c>
      <c r="C438" t="s">
        <v>52</v>
      </c>
      <c r="D438">
        <v>99</v>
      </c>
      <c r="E438">
        <v>76</v>
      </c>
      <c r="F438">
        <v>0.04</v>
      </c>
      <c r="G438">
        <f t="shared" si="6"/>
        <v>0.04</v>
      </c>
      <c r="H438">
        <f>G438*(26.79/38.29)</f>
        <v>2.7986419430660745E-2</v>
      </c>
    </row>
    <row r="439" spans="1:8" x14ac:dyDescent="0.25">
      <c r="A439" s="1">
        <v>1987</v>
      </c>
      <c r="B439" s="1" t="s">
        <v>99</v>
      </c>
      <c r="C439" t="s">
        <v>52</v>
      </c>
      <c r="D439">
        <v>99</v>
      </c>
      <c r="E439">
        <v>79</v>
      </c>
      <c r="F439">
        <v>0.06</v>
      </c>
      <c r="G439">
        <f t="shared" si="6"/>
        <v>0.06</v>
      </c>
      <c r="H439">
        <f>G439*(26.79/38.29)</f>
        <v>4.1979629145991113E-2</v>
      </c>
    </row>
    <row r="440" spans="1:8" x14ac:dyDescent="0.25">
      <c r="A440" s="1">
        <v>1987</v>
      </c>
      <c r="B440" s="1" t="s">
        <v>99</v>
      </c>
      <c r="C440" t="s">
        <v>52</v>
      </c>
      <c r="D440">
        <v>99</v>
      </c>
      <c r="E440">
        <v>79</v>
      </c>
      <c r="F440">
        <v>0.01</v>
      </c>
      <c r="G440">
        <f t="shared" si="6"/>
        <v>0.01</v>
      </c>
      <c r="H440">
        <f>G440*(26.79/38.29)</f>
        <v>6.9966048576651863E-3</v>
      </c>
    </row>
    <row r="441" spans="1:8" x14ac:dyDescent="0.25">
      <c r="A441" s="1">
        <v>1987</v>
      </c>
      <c r="B441" s="1" t="s">
        <v>99</v>
      </c>
      <c r="C441" t="s">
        <v>52</v>
      </c>
      <c r="D441">
        <v>100</v>
      </c>
      <c r="E441">
        <v>76</v>
      </c>
      <c r="F441">
        <v>0.1</v>
      </c>
      <c r="G441">
        <f t="shared" si="6"/>
        <v>0.1</v>
      </c>
      <c r="H441">
        <f>G441*(26.79/38.29)</f>
        <v>6.9966048576651868E-2</v>
      </c>
    </row>
    <row r="442" spans="1:8" x14ac:dyDescent="0.25">
      <c r="A442" s="1">
        <v>1987</v>
      </c>
      <c r="B442" s="1" t="s">
        <v>99</v>
      </c>
      <c r="C442" t="s">
        <v>52</v>
      </c>
      <c r="D442">
        <v>100</v>
      </c>
      <c r="E442">
        <v>76</v>
      </c>
      <c r="F442">
        <v>0.06</v>
      </c>
      <c r="G442">
        <f t="shared" si="6"/>
        <v>0.06</v>
      </c>
      <c r="H442">
        <f>G442*(26.79/38.29)</f>
        <v>4.1979629145991113E-2</v>
      </c>
    </row>
    <row r="443" spans="1:8" x14ac:dyDescent="0.25">
      <c r="A443" s="1">
        <v>1993</v>
      </c>
      <c r="B443" s="1" t="s">
        <v>99</v>
      </c>
      <c r="C443" t="s">
        <v>52</v>
      </c>
      <c r="D443">
        <v>1</v>
      </c>
      <c r="E443">
        <v>32</v>
      </c>
      <c r="F443">
        <v>0.01</v>
      </c>
      <c r="G443">
        <f>(F443/0.0026)/90</f>
        <v>4.2735042735042736E-2</v>
      </c>
      <c r="H443">
        <f>G443*(26.79/38.29)</f>
        <v>2.9900020759252934E-2</v>
      </c>
    </row>
    <row r="444" spans="1:8" x14ac:dyDescent="0.25">
      <c r="A444" s="1">
        <v>1993</v>
      </c>
      <c r="B444" s="1" t="s">
        <v>99</v>
      </c>
      <c r="C444" t="s">
        <v>52</v>
      </c>
      <c r="D444">
        <v>1</v>
      </c>
      <c r="E444">
        <v>32</v>
      </c>
      <c r="F444">
        <v>0.01</v>
      </c>
      <c r="G444">
        <f t="shared" ref="G444:G507" si="7">(F444/0.0026)/90</f>
        <v>4.2735042735042736E-2</v>
      </c>
      <c r="H444">
        <f>G444*(26.79/38.29)</f>
        <v>2.9900020759252934E-2</v>
      </c>
    </row>
    <row r="445" spans="1:8" x14ac:dyDescent="0.25">
      <c r="A445" s="1">
        <v>1993</v>
      </c>
      <c r="B445" s="1" t="s">
        <v>99</v>
      </c>
      <c r="C445" t="s">
        <v>52</v>
      </c>
      <c r="D445">
        <v>1</v>
      </c>
      <c r="E445">
        <v>76</v>
      </c>
      <c r="F445">
        <v>0.01</v>
      </c>
      <c r="G445">
        <f t="shared" si="7"/>
        <v>4.2735042735042736E-2</v>
      </c>
      <c r="H445">
        <f>G445*(26.79/38.29)</f>
        <v>2.9900020759252934E-2</v>
      </c>
    </row>
    <row r="446" spans="1:8" x14ac:dyDescent="0.25">
      <c r="A446" s="1">
        <v>1993</v>
      </c>
      <c r="B446" s="1" t="s">
        <v>99</v>
      </c>
      <c r="C446" t="s">
        <v>52</v>
      </c>
      <c r="D446">
        <v>1</v>
      </c>
      <c r="E446">
        <v>76</v>
      </c>
      <c r="F446">
        <v>0.02</v>
      </c>
      <c r="G446">
        <f t="shared" si="7"/>
        <v>8.5470085470085472E-2</v>
      </c>
      <c r="H446">
        <f>G446*(26.79/38.29)</f>
        <v>5.9800041518505868E-2</v>
      </c>
    </row>
    <row r="447" spans="1:8" x14ac:dyDescent="0.25">
      <c r="A447" s="1">
        <v>1993</v>
      </c>
      <c r="B447" s="1" t="s">
        <v>99</v>
      </c>
      <c r="C447" t="s">
        <v>52</v>
      </c>
      <c r="D447">
        <v>1</v>
      </c>
      <c r="E447">
        <v>76</v>
      </c>
      <c r="F447">
        <v>0.03</v>
      </c>
      <c r="G447">
        <f t="shared" si="7"/>
        <v>0.12820512820512819</v>
      </c>
      <c r="H447">
        <f>G447*(26.79/38.29)</f>
        <v>8.9700062277758785E-2</v>
      </c>
    </row>
    <row r="448" spans="1:8" x14ac:dyDescent="0.25">
      <c r="A448" s="1">
        <v>1993</v>
      </c>
      <c r="B448" s="1" t="s">
        <v>99</v>
      </c>
      <c r="C448" t="s">
        <v>52</v>
      </c>
      <c r="D448">
        <v>1</v>
      </c>
      <c r="E448">
        <v>78</v>
      </c>
      <c r="F448">
        <v>0.01</v>
      </c>
      <c r="G448">
        <f t="shared" si="7"/>
        <v>4.2735042735042736E-2</v>
      </c>
      <c r="H448">
        <f>G448*(26.79/38.29)</f>
        <v>2.9900020759252934E-2</v>
      </c>
    </row>
    <row r="449" spans="1:8" x14ac:dyDescent="0.25">
      <c r="A449" s="1">
        <v>1993</v>
      </c>
      <c r="B449" s="1" t="s">
        <v>99</v>
      </c>
      <c r="C449" t="s">
        <v>52</v>
      </c>
      <c r="D449">
        <v>1</v>
      </c>
      <c r="E449">
        <v>78</v>
      </c>
      <c r="F449">
        <v>0.01</v>
      </c>
      <c r="G449">
        <f t="shared" si="7"/>
        <v>4.2735042735042736E-2</v>
      </c>
      <c r="H449">
        <f>G449*(26.79/38.29)</f>
        <v>2.9900020759252934E-2</v>
      </c>
    </row>
    <row r="450" spans="1:8" x14ac:dyDescent="0.25">
      <c r="A450" s="1">
        <v>1993</v>
      </c>
      <c r="B450" s="1" t="s">
        <v>99</v>
      </c>
      <c r="C450" t="s">
        <v>52</v>
      </c>
      <c r="D450">
        <v>1</v>
      </c>
      <c r="E450">
        <v>78</v>
      </c>
      <c r="F450">
        <v>0.01</v>
      </c>
      <c r="G450">
        <f t="shared" si="7"/>
        <v>4.2735042735042736E-2</v>
      </c>
      <c r="H450">
        <f>G450*(26.79/38.29)</f>
        <v>2.9900020759252934E-2</v>
      </c>
    </row>
    <row r="451" spans="1:8" x14ac:dyDescent="0.25">
      <c r="A451" s="1">
        <v>1993</v>
      </c>
      <c r="B451" s="1" t="s">
        <v>99</v>
      </c>
      <c r="C451" t="s">
        <v>52</v>
      </c>
      <c r="D451">
        <v>1</v>
      </c>
      <c r="E451">
        <v>78</v>
      </c>
      <c r="F451">
        <v>0.01</v>
      </c>
      <c r="G451">
        <f t="shared" si="7"/>
        <v>4.2735042735042736E-2</v>
      </c>
      <c r="H451">
        <f>G451*(26.79/38.29)</f>
        <v>2.9900020759252934E-2</v>
      </c>
    </row>
    <row r="452" spans="1:8" x14ac:dyDescent="0.25">
      <c r="A452" s="1">
        <v>1993</v>
      </c>
      <c r="B452" s="1" t="s">
        <v>99</v>
      </c>
      <c r="C452" t="s">
        <v>52</v>
      </c>
      <c r="D452">
        <v>1</v>
      </c>
      <c r="E452">
        <v>78</v>
      </c>
      <c r="F452">
        <v>0.01</v>
      </c>
      <c r="G452">
        <f t="shared" si="7"/>
        <v>4.2735042735042736E-2</v>
      </c>
      <c r="H452">
        <f>G452*(26.79/38.29)</f>
        <v>2.9900020759252934E-2</v>
      </c>
    </row>
    <row r="453" spans="1:8" x14ac:dyDescent="0.25">
      <c r="A453" s="1">
        <v>1993</v>
      </c>
      <c r="B453" s="1" t="s">
        <v>99</v>
      </c>
      <c r="C453" t="s">
        <v>52</v>
      </c>
      <c r="D453">
        <v>1</v>
      </c>
      <c r="E453">
        <v>78</v>
      </c>
      <c r="F453">
        <v>0.02</v>
      </c>
      <c r="G453">
        <f t="shared" si="7"/>
        <v>8.5470085470085472E-2</v>
      </c>
      <c r="H453">
        <f>G453*(26.79/38.29)</f>
        <v>5.9800041518505868E-2</v>
      </c>
    </row>
    <row r="454" spans="1:8" x14ac:dyDescent="0.25">
      <c r="A454" s="1">
        <v>1993</v>
      </c>
      <c r="B454" s="1" t="s">
        <v>99</v>
      </c>
      <c r="C454" t="s">
        <v>52</v>
      </c>
      <c r="D454">
        <v>1</v>
      </c>
      <c r="E454">
        <v>78</v>
      </c>
      <c r="F454">
        <v>0.02</v>
      </c>
      <c r="G454">
        <f t="shared" si="7"/>
        <v>8.5470085470085472E-2</v>
      </c>
      <c r="H454">
        <f>G454*(26.79/38.29)</f>
        <v>5.9800041518505868E-2</v>
      </c>
    </row>
    <row r="455" spans="1:8" x14ac:dyDescent="0.25">
      <c r="A455" s="1">
        <v>1993</v>
      </c>
      <c r="B455" s="1" t="s">
        <v>99</v>
      </c>
      <c r="C455" t="s">
        <v>52</v>
      </c>
      <c r="D455">
        <v>1</v>
      </c>
      <c r="E455">
        <v>78</v>
      </c>
      <c r="F455">
        <v>0.02</v>
      </c>
      <c r="G455">
        <f t="shared" si="7"/>
        <v>8.5470085470085472E-2</v>
      </c>
      <c r="H455">
        <f>G455*(26.79/38.29)</f>
        <v>5.9800041518505868E-2</v>
      </c>
    </row>
    <row r="456" spans="1:8" x14ac:dyDescent="0.25">
      <c r="A456" s="1">
        <v>1993</v>
      </c>
      <c r="B456" s="1" t="s">
        <v>99</v>
      </c>
      <c r="C456" t="s">
        <v>52</v>
      </c>
      <c r="D456">
        <v>1</v>
      </c>
      <c r="E456">
        <v>78</v>
      </c>
      <c r="F456">
        <v>0.01</v>
      </c>
      <c r="G456">
        <f t="shared" si="7"/>
        <v>4.2735042735042736E-2</v>
      </c>
      <c r="H456">
        <f>G456*(26.79/38.29)</f>
        <v>2.9900020759252934E-2</v>
      </c>
    </row>
    <row r="457" spans="1:8" x14ac:dyDescent="0.25">
      <c r="A457" s="1">
        <v>1993</v>
      </c>
      <c r="B457" s="1" t="s">
        <v>99</v>
      </c>
      <c r="C457" t="s">
        <v>52</v>
      </c>
      <c r="D457">
        <v>1</v>
      </c>
      <c r="E457">
        <v>78</v>
      </c>
      <c r="F457">
        <v>0.02</v>
      </c>
      <c r="G457">
        <f t="shared" si="7"/>
        <v>8.5470085470085472E-2</v>
      </c>
      <c r="H457">
        <f>G457*(26.79/38.29)</f>
        <v>5.9800041518505868E-2</v>
      </c>
    </row>
    <row r="458" spans="1:8" x14ac:dyDescent="0.25">
      <c r="A458" s="1">
        <v>1993</v>
      </c>
      <c r="B458" s="1" t="s">
        <v>99</v>
      </c>
      <c r="C458" t="s">
        <v>52</v>
      </c>
      <c r="D458">
        <v>1</v>
      </c>
      <c r="E458">
        <v>78</v>
      </c>
      <c r="F458">
        <v>0.02</v>
      </c>
      <c r="G458">
        <f t="shared" si="7"/>
        <v>8.5470085470085472E-2</v>
      </c>
      <c r="H458">
        <f>G458*(26.79/38.29)</f>
        <v>5.9800041518505868E-2</v>
      </c>
    </row>
    <row r="459" spans="1:8" x14ac:dyDescent="0.25">
      <c r="A459" s="1">
        <v>1993</v>
      </c>
      <c r="B459" s="1" t="s">
        <v>99</v>
      </c>
      <c r="C459" t="s">
        <v>52</v>
      </c>
      <c r="D459">
        <v>2</v>
      </c>
      <c r="E459">
        <v>29</v>
      </c>
      <c r="F459">
        <v>0.03</v>
      </c>
      <c r="G459">
        <f t="shared" si="7"/>
        <v>0.12820512820512819</v>
      </c>
      <c r="H459">
        <f>G459*(26.79/38.29)</f>
        <v>8.9700062277758785E-2</v>
      </c>
    </row>
    <row r="460" spans="1:8" x14ac:dyDescent="0.25">
      <c r="A460" s="1">
        <v>1993</v>
      </c>
      <c r="B460" s="1" t="s">
        <v>99</v>
      </c>
      <c r="C460" t="s">
        <v>52</v>
      </c>
      <c r="D460">
        <v>2</v>
      </c>
      <c r="E460">
        <v>32</v>
      </c>
      <c r="F460">
        <v>0.01</v>
      </c>
      <c r="G460">
        <f t="shared" si="7"/>
        <v>4.2735042735042736E-2</v>
      </c>
      <c r="H460">
        <f>G460*(26.79/38.29)</f>
        <v>2.9900020759252934E-2</v>
      </c>
    </row>
    <row r="461" spans="1:8" x14ac:dyDescent="0.25">
      <c r="A461" s="1">
        <v>1993</v>
      </c>
      <c r="B461" s="1" t="s">
        <v>99</v>
      </c>
      <c r="C461" t="s">
        <v>52</v>
      </c>
      <c r="D461">
        <v>2</v>
      </c>
      <c r="E461">
        <v>63</v>
      </c>
      <c r="F461">
        <v>0.01</v>
      </c>
      <c r="G461">
        <f t="shared" si="7"/>
        <v>4.2735042735042736E-2</v>
      </c>
      <c r="H461">
        <f>G461*(26.79/38.29)</f>
        <v>2.9900020759252934E-2</v>
      </c>
    </row>
    <row r="462" spans="1:8" x14ac:dyDescent="0.25">
      <c r="A462" s="1">
        <v>1993</v>
      </c>
      <c r="B462" s="1" t="s">
        <v>99</v>
      </c>
      <c r="C462" t="s">
        <v>52</v>
      </c>
      <c r="D462">
        <v>2</v>
      </c>
      <c r="E462">
        <v>63</v>
      </c>
      <c r="F462">
        <v>0.01</v>
      </c>
      <c r="G462">
        <f t="shared" si="7"/>
        <v>4.2735042735042736E-2</v>
      </c>
      <c r="H462">
        <f>G462*(26.79/38.29)</f>
        <v>2.9900020759252934E-2</v>
      </c>
    </row>
    <row r="463" spans="1:8" x14ac:dyDescent="0.25">
      <c r="A463" s="1">
        <v>1993</v>
      </c>
      <c r="B463" s="1" t="s">
        <v>99</v>
      </c>
      <c r="C463" t="s">
        <v>52</v>
      </c>
      <c r="D463">
        <v>2</v>
      </c>
      <c r="E463">
        <v>63</v>
      </c>
      <c r="F463">
        <v>0.01</v>
      </c>
      <c r="G463">
        <f t="shared" si="7"/>
        <v>4.2735042735042736E-2</v>
      </c>
      <c r="H463">
        <f>G463*(26.79/38.29)</f>
        <v>2.9900020759252934E-2</v>
      </c>
    </row>
    <row r="464" spans="1:8" x14ac:dyDescent="0.25">
      <c r="A464" s="1">
        <v>1993</v>
      </c>
      <c r="B464" s="1" t="s">
        <v>99</v>
      </c>
      <c r="C464" t="s">
        <v>52</v>
      </c>
      <c r="D464">
        <v>2</v>
      </c>
      <c r="E464">
        <v>76</v>
      </c>
      <c r="F464">
        <v>0.01</v>
      </c>
      <c r="G464">
        <f t="shared" si="7"/>
        <v>4.2735042735042736E-2</v>
      </c>
      <c r="H464">
        <f>G464*(26.79/38.29)</f>
        <v>2.9900020759252934E-2</v>
      </c>
    </row>
    <row r="465" spans="1:8" x14ac:dyDescent="0.25">
      <c r="A465" s="1">
        <v>1993</v>
      </c>
      <c r="B465" s="1" t="s">
        <v>99</v>
      </c>
      <c r="C465" t="s">
        <v>52</v>
      </c>
      <c r="D465">
        <v>2</v>
      </c>
      <c r="E465">
        <v>76</v>
      </c>
      <c r="F465">
        <v>0.01</v>
      </c>
      <c r="G465">
        <f t="shared" si="7"/>
        <v>4.2735042735042736E-2</v>
      </c>
      <c r="H465">
        <f>G465*(26.79/38.29)</f>
        <v>2.9900020759252934E-2</v>
      </c>
    </row>
    <row r="466" spans="1:8" x14ac:dyDescent="0.25">
      <c r="A466" s="1">
        <v>1993</v>
      </c>
      <c r="B466" s="1" t="s">
        <v>99</v>
      </c>
      <c r="C466" t="s">
        <v>52</v>
      </c>
      <c r="D466">
        <v>2</v>
      </c>
      <c r="E466">
        <v>78</v>
      </c>
      <c r="F466">
        <v>0.01</v>
      </c>
      <c r="G466">
        <f t="shared" si="7"/>
        <v>4.2735042735042736E-2</v>
      </c>
      <c r="H466">
        <f>G466*(26.79/38.29)</f>
        <v>2.9900020759252934E-2</v>
      </c>
    </row>
    <row r="467" spans="1:8" x14ac:dyDescent="0.25">
      <c r="A467" s="1">
        <v>1993</v>
      </c>
      <c r="B467" s="1" t="s">
        <v>99</v>
      </c>
      <c r="C467" t="s">
        <v>52</v>
      </c>
      <c r="D467">
        <v>2</v>
      </c>
      <c r="E467">
        <v>78</v>
      </c>
      <c r="F467">
        <v>0.01</v>
      </c>
      <c r="G467">
        <f t="shared" si="7"/>
        <v>4.2735042735042736E-2</v>
      </c>
      <c r="H467">
        <f>G467*(26.79/38.29)</f>
        <v>2.9900020759252934E-2</v>
      </c>
    </row>
    <row r="468" spans="1:8" x14ac:dyDescent="0.25">
      <c r="A468" s="1">
        <v>1993</v>
      </c>
      <c r="B468" s="1" t="s">
        <v>99</v>
      </c>
      <c r="C468" t="s">
        <v>52</v>
      </c>
      <c r="D468">
        <v>2</v>
      </c>
      <c r="E468">
        <v>78</v>
      </c>
      <c r="F468">
        <v>0.01</v>
      </c>
      <c r="G468">
        <f t="shared" si="7"/>
        <v>4.2735042735042736E-2</v>
      </c>
      <c r="H468">
        <f>G468*(26.79/38.29)</f>
        <v>2.9900020759252934E-2</v>
      </c>
    </row>
    <row r="469" spans="1:8" x14ac:dyDescent="0.25">
      <c r="A469" s="1">
        <v>1993</v>
      </c>
      <c r="B469" s="1" t="s">
        <v>99</v>
      </c>
      <c r="C469" t="s">
        <v>52</v>
      </c>
      <c r="D469">
        <v>2</v>
      </c>
      <c r="E469">
        <v>78</v>
      </c>
      <c r="F469">
        <v>0.01</v>
      </c>
      <c r="G469">
        <f t="shared" si="7"/>
        <v>4.2735042735042736E-2</v>
      </c>
      <c r="H469">
        <f>G469*(26.79/38.29)</f>
        <v>2.9900020759252934E-2</v>
      </c>
    </row>
    <row r="470" spans="1:8" x14ac:dyDescent="0.25">
      <c r="A470" s="1">
        <v>1993</v>
      </c>
      <c r="B470" s="1" t="s">
        <v>99</v>
      </c>
      <c r="C470" t="s">
        <v>52</v>
      </c>
      <c r="D470">
        <v>2</v>
      </c>
      <c r="E470">
        <v>79</v>
      </c>
      <c r="F470">
        <v>0.02</v>
      </c>
      <c r="G470">
        <f t="shared" si="7"/>
        <v>8.5470085470085472E-2</v>
      </c>
      <c r="H470">
        <f>G470*(26.79/38.29)</f>
        <v>5.9800041518505868E-2</v>
      </c>
    </row>
    <row r="471" spans="1:8" x14ac:dyDescent="0.25">
      <c r="A471" s="1">
        <v>1993</v>
      </c>
      <c r="B471" s="1" t="s">
        <v>99</v>
      </c>
      <c r="C471" t="s">
        <v>52</v>
      </c>
      <c r="D471">
        <v>2</v>
      </c>
      <c r="E471">
        <v>79</v>
      </c>
      <c r="F471">
        <v>0.03</v>
      </c>
      <c r="G471">
        <f t="shared" si="7"/>
        <v>0.12820512820512819</v>
      </c>
      <c r="H471">
        <f>G471*(26.79/38.29)</f>
        <v>8.9700062277758785E-2</v>
      </c>
    </row>
    <row r="472" spans="1:8" x14ac:dyDescent="0.25">
      <c r="A472" s="1">
        <v>1993</v>
      </c>
      <c r="B472" s="1" t="s">
        <v>99</v>
      </c>
      <c r="C472" t="s">
        <v>52</v>
      </c>
      <c r="D472">
        <v>3</v>
      </c>
      <c r="E472">
        <v>29</v>
      </c>
      <c r="F472">
        <v>0.02</v>
      </c>
      <c r="G472">
        <f t="shared" si="7"/>
        <v>8.5470085470085472E-2</v>
      </c>
      <c r="H472">
        <f>G472*(26.79/38.29)</f>
        <v>5.9800041518505868E-2</v>
      </c>
    </row>
    <row r="473" spans="1:8" x14ac:dyDescent="0.25">
      <c r="A473" s="1">
        <v>1993</v>
      </c>
      <c r="B473" s="1" t="s">
        <v>99</v>
      </c>
      <c r="C473" t="s">
        <v>52</v>
      </c>
      <c r="D473">
        <v>3</v>
      </c>
      <c r="E473">
        <v>32</v>
      </c>
      <c r="F473">
        <v>0.02</v>
      </c>
      <c r="G473">
        <f t="shared" si="7"/>
        <v>8.5470085470085472E-2</v>
      </c>
      <c r="H473">
        <f>G473*(26.79/38.29)</f>
        <v>5.9800041518505868E-2</v>
      </c>
    </row>
    <row r="474" spans="1:8" x14ac:dyDescent="0.25">
      <c r="A474" s="1">
        <v>1993</v>
      </c>
      <c r="B474" s="1" t="s">
        <v>99</v>
      </c>
      <c r="C474" t="s">
        <v>52</v>
      </c>
      <c r="D474">
        <v>3</v>
      </c>
      <c r="E474">
        <v>76</v>
      </c>
      <c r="F474">
        <v>0.02</v>
      </c>
      <c r="G474">
        <f t="shared" si="7"/>
        <v>8.5470085470085472E-2</v>
      </c>
      <c r="H474">
        <f>G474*(26.79/38.29)</f>
        <v>5.9800041518505868E-2</v>
      </c>
    </row>
    <row r="475" spans="1:8" x14ac:dyDescent="0.25">
      <c r="A475" s="1">
        <v>1993</v>
      </c>
      <c r="B475" s="1" t="s">
        <v>99</v>
      </c>
      <c r="C475" t="s">
        <v>52</v>
      </c>
      <c r="D475">
        <v>3</v>
      </c>
      <c r="E475">
        <v>76</v>
      </c>
      <c r="F475">
        <v>0.02</v>
      </c>
      <c r="G475">
        <f t="shared" si="7"/>
        <v>8.5470085470085472E-2</v>
      </c>
      <c r="H475">
        <f>G475*(26.79/38.29)</f>
        <v>5.9800041518505868E-2</v>
      </c>
    </row>
    <row r="476" spans="1:8" x14ac:dyDescent="0.25">
      <c r="A476" s="1">
        <v>1993</v>
      </c>
      <c r="B476" s="1" t="s">
        <v>99</v>
      </c>
      <c r="C476" t="s">
        <v>52</v>
      </c>
      <c r="D476">
        <v>3</v>
      </c>
      <c r="E476">
        <v>76</v>
      </c>
      <c r="F476">
        <v>0.02</v>
      </c>
      <c r="G476">
        <f t="shared" si="7"/>
        <v>8.5470085470085472E-2</v>
      </c>
      <c r="H476">
        <f>G476*(26.79/38.29)</f>
        <v>5.9800041518505868E-2</v>
      </c>
    </row>
    <row r="477" spans="1:8" x14ac:dyDescent="0.25">
      <c r="A477" s="1">
        <v>1993</v>
      </c>
      <c r="B477" s="1" t="s">
        <v>99</v>
      </c>
      <c r="C477" t="s">
        <v>52</v>
      </c>
      <c r="D477">
        <v>3</v>
      </c>
      <c r="E477">
        <v>78</v>
      </c>
      <c r="F477">
        <v>0.01</v>
      </c>
      <c r="G477">
        <f t="shared" si="7"/>
        <v>4.2735042735042736E-2</v>
      </c>
      <c r="H477">
        <f>G477*(26.79/38.29)</f>
        <v>2.9900020759252934E-2</v>
      </c>
    </row>
    <row r="478" spans="1:8" x14ac:dyDescent="0.25">
      <c r="A478" s="1">
        <v>1993</v>
      </c>
      <c r="B478" s="1" t="s">
        <v>99</v>
      </c>
      <c r="C478" t="s">
        <v>52</v>
      </c>
      <c r="D478">
        <v>3</v>
      </c>
      <c r="E478">
        <v>78</v>
      </c>
      <c r="F478">
        <v>0.01</v>
      </c>
      <c r="G478">
        <f t="shared" si="7"/>
        <v>4.2735042735042736E-2</v>
      </c>
      <c r="H478">
        <f>G478*(26.79/38.29)</f>
        <v>2.9900020759252934E-2</v>
      </c>
    </row>
    <row r="479" spans="1:8" x14ac:dyDescent="0.25">
      <c r="A479" s="1">
        <v>1993</v>
      </c>
      <c r="B479" s="1" t="s">
        <v>99</v>
      </c>
      <c r="C479" t="s">
        <v>52</v>
      </c>
      <c r="D479">
        <v>3</v>
      </c>
      <c r="E479">
        <v>78</v>
      </c>
      <c r="F479">
        <v>0.01</v>
      </c>
      <c r="G479">
        <f t="shared" si="7"/>
        <v>4.2735042735042736E-2</v>
      </c>
      <c r="H479">
        <f>G479*(26.79/38.29)</f>
        <v>2.9900020759252934E-2</v>
      </c>
    </row>
    <row r="480" spans="1:8" x14ac:dyDescent="0.25">
      <c r="A480" s="1">
        <v>1993</v>
      </c>
      <c r="B480" s="1" t="s">
        <v>99</v>
      </c>
      <c r="C480" t="s">
        <v>52</v>
      </c>
      <c r="D480">
        <v>3</v>
      </c>
      <c r="E480">
        <v>78</v>
      </c>
      <c r="F480">
        <v>0.01</v>
      </c>
      <c r="G480">
        <f t="shared" si="7"/>
        <v>4.2735042735042736E-2</v>
      </c>
      <c r="H480">
        <f>G480*(26.79/38.29)</f>
        <v>2.9900020759252934E-2</v>
      </c>
    </row>
    <row r="481" spans="1:8" x14ac:dyDescent="0.25">
      <c r="A481" s="1">
        <v>1993</v>
      </c>
      <c r="B481" s="1" t="s">
        <v>99</v>
      </c>
      <c r="C481" t="s">
        <v>52</v>
      </c>
      <c r="D481">
        <v>3</v>
      </c>
      <c r="E481">
        <v>78</v>
      </c>
      <c r="F481">
        <v>0.01</v>
      </c>
      <c r="G481">
        <f t="shared" si="7"/>
        <v>4.2735042735042736E-2</v>
      </c>
      <c r="H481">
        <f>G481*(26.79/38.29)</f>
        <v>2.9900020759252934E-2</v>
      </c>
    </row>
    <row r="482" spans="1:8" x14ac:dyDescent="0.25">
      <c r="A482" s="1">
        <v>1993</v>
      </c>
      <c r="B482" s="1" t="s">
        <v>99</v>
      </c>
      <c r="C482" t="s">
        <v>52</v>
      </c>
      <c r="D482">
        <v>3</v>
      </c>
      <c r="E482">
        <v>79</v>
      </c>
      <c r="F482">
        <v>0.03</v>
      </c>
      <c r="G482">
        <f t="shared" si="7"/>
        <v>0.12820512820512819</v>
      </c>
      <c r="H482">
        <f>G482*(26.79/38.29)</f>
        <v>8.9700062277758785E-2</v>
      </c>
    </row>
    <row r="483" spans="1:8" x14ac:dyDescent="0.25">
      <c r="A483" s="1">
        <v>1993</v>
      </c>
      <c r="B483" s="1" t="s">
        <v>99</v>
      </c>
      <c r="C483" t="s">
        <v>52</v>
      </c>
      <c r="D483">
        <v>3</v>
      </c>
      <c r="E483">
        <v>79</v>
      </c>
      <c r="F483">
        <v>0.01</v>
      </c>
      <c r="G483">
        <f t="shared" si="7"/>
        <v>4.2735042735042736E-2</v>
      </c>
      <c r="H483">
        <f>G483*(26.79/38.29)</f>
        <v>2.9900020759252934E-2</v>
      </c>
    </row>
    <row r="484" spans="1:8" x14ac:dyDescent="0.25">
      <c r="A484" s="1">
        <v>1993</v>
      </c>
      <c r="B484" s="1" t="s">
        <v>99</v>
      </c>
      <c r="C484" t="s">
        <v>52</v>
      </c>
      <c r="D484">
        <v>3</v>
      </c>
      <c r="E484">
        <v>79</v>
      </c>
      <c r="F484">
        <v>0.01</v>
      </c>
      <c r="G484">
        <f t="shared" si="7"/>
        <v>4.2735042735042736E-2</v>
      </c>
      <c r="H484">
        <f>G484*(26.79/38.29)</f>
        <v>2.9900020759252934E-2</v>
      </c>
    </row>
    <row r="485" spans="1:8" x14ac:dyDescent="0.25">
      <c r="A485" s="1">
        <v>1993</v>
      </c>
      <c r="B485" s="1" t="s">
        <v>99</v>
      </c>
      <c r="C485" t="s">
        <v>52</v>
      </c>
      <c r="D485">
        <v>4</v>
      </c>
      <c r="E485">
        <v>28</v>
      </c>
      <c r="F485">
        <v>0.02</v>
      </c>
      <c r="G485">
        <f t="shared" si="7"/>
        <v>8.5470085470085472E-2</v>
      </c>
      <c r="H485">
        <f>G485*(26.79/38.29)</f>
        <v>5.9800041518505868E-2</v>
      </c>
    </row>
    <row r="486" spans="1:8" x14ac:dyDescent="0.25">
      <c r="A486" s="1">
        <v>1993</v>
      </c>
      <c r="B486" s="1" t="s">
        <v>99</v>
      </c>
      <c r="C486" t="s">
        <v>52</v>
      </c>
      <c r="D486">
        <v>4</v>
      </c>
      <c r="E486">
        <v>32</v>
      </c>
      <c r="F486">
        <v>0.02</v>
      </c>
      <c r="G486">
        <f t="shared" si="7"/>
        <v>8.5470085470085472E-2</v>
      </c>
      <c r="H486">
        <f>G486*(26.79/38.29)</f>
        <v>5.9800041518505868E-2</v>
      </c>
    </row>
    <row r="487" spans="1:8" x14ac:dyDescent="0.25">
      <c r="A487" s="1">
        <v>1993</v>
      </c>
      <c r="B487" s="1" t="s">
        <v>99</v>
      </c>
      <c r="C487" t="s">
        <v>52</v>
      </c>
      <c r="D487">
        <v>4</v>
      </c>
      <c r="E487">
        <v>32</v>
      </c>
      <c r="F487">
        <v>0.01</v>
      </c>
      <c r="G487">
        <f t="shared" si="7"/>
        <v>4.2735042735042736E-2</v>
      </c>
      <c r="H487">
        <f>G487*(26.79/38.29)</f>
        <v>2.9900020759252934E-2</v>
      </c>
    </row>
    <row r="488" spans="1:8" x14ac:dyDescent="0.25">
      <c r="A488" s="1">
        <v>1993</v>
      </c>
      <c r="B488" s="1" t="s">
        <v>99</v>
      </c>
      <c r="C488" t="s">
        <v>52</v>
      </c>
      <c r="D488">
        <v>4</v>
      </c>
      <c r="E488">
        <v>32</v>
      </c>
      <c r="F488">
        <v>0.01</v>
      </c>
      <c r="G488">
        <f t="shared" si="7"/>
        <v>4.2735042735042736E-2</v>
      </c>
      <c r="H488">
        <f>G488*(26.79/38.29)</f>
        <v>2.9900020759252934E-2</v>
      </c>
    </row>
    <row r="489" spans="1:8" x14ac:dyDescent="0.25">
      <c r="A489" s="1">
        <v>1993</v>
      </c>
      <c r="B489" s="1" t="s">
        <v>99</v>
      </c>
      <c r="C489" t="s">
        <v>52</v>
      </c>
      <c r="D489">
        <v>4</v>
      </c>
      <c r="E489">
        <v>32</v>
      </c>
      <c r="F489">
        <v>0.01</v>
      </c>
      <c r="G489">
        <f t="shared" si="7"/>
        <v>4.2735042735042736E-2</v>
      </c>
      <c r="H489">
        <f>G489*(26.79/38.29)</f>
        <v>2.9900020759252934E-2</v>
      </c>
    </row>
    <row r="490" spans="1:8" x14ac:dyDescent="0.25">
      <c r="A490" s="1">
        <v>1993</v>
      </c>
      <c r="B490" s="1" t="s">
        <v>99</v>
      </c>
      <c r="C490" t="s">
        <v>52</v>
      </c>
      <c r="D490">
        <v>4</v>
      </c>
      <c r="E490">
        <v>63</v>
      </c>
      <c r="F490">
        <v>0.02</v>
      </c>
      <c r="G490">
        <f t="shared" si="7"/>
        <v>8.5470085470085472E-2</v>
      </c>
      <c r="H490">
        <f>G490*(26.79/38.29)</f>
        <v>5.9800041518505868E-2</v>
      </c>
    </row>
    <row r="491" spans="1:8" x14ac:dyDescent="0.25">
      <c r="A491" s="1">
        <v>1993</v>
      </c>
      <c r="B491" s="1" t="s">
        <v>99</v>
      </c>
      <c r="C491" t="s">
        <v>52</v>
      </c>
      <c r="D491">
        <v>4</v>
      </c>
      <c r="E491">
        <v>76</v>
      </c>
      <c r="F491">
        <v>0.03</v>
      </c>
      <c r="G491">
        <f t="shared" si="7"/>
        <v>0.12820512820512819</v>
      </c>
      <c r="H491">
        <f>G491*(26.79/38.29)</f>
        <v>8.9700062277758785E-2</v>
      </c>
    </row>
    <row r="492" spans="1:8" x14ac:dyDescent="0.25">
      <c r="A492" s="1">
        <v>1993</v>
      </c>
      <c r="B492" s="1" t="s">
        <v>99</v>
      </c>
      <c r="C492" t="s">
        <v>52</v>
      </c>
      <c r="D492">
        <v>4</v>
      </c>
      <c r="E492">
        <v>78</v>
      </c>
      <c r="F492">
        <v>0.02</v>
      </c>
      <c r="G492">
        <f t="shared" si="7"/>
        <v>8.5470085470085472E-2</v>
      </c>
      <c r="H492">
        <f>G492*(26.79/38.29)</f>
        <v>5.9800041518505868E-2</v>
      </c>
    </row>
    <row r="493" spans="1:8" x14ac:dyDescent="0.25">
      <c r="A493" s="1">
        <v>1993</v>
      </c>
      <c r="B493" s="1" t="s">
        <v>99</v>
      </c>
      <c r="C493" t="s">
        <v>52</v>
      </c>
      <c r="D493">
        <v>4</v>
      </c>
      <c r="E493">
        <v>78</v>
      </c>
      <c r="F493">
        <v>0.01</v>
      </c>
      <c r="G493">
        <f t="shared" si="7"/>
        <v>4.2735042735042736E-2</v>
      </c>
      <c r="H493">
        <f>G493*(26.79/38.29)</f>
        <v>2.9900020759252934E-2</v>
      </c>
    </row>
    <row r="494" spans="1:8" x14ac:dyDescent="0.25">
      <c r="A494" s="1">
        <v>1993</v>
      </c>
      <c r="B494" s="1" t="s">
        <v>99</v>
      </c>
      <c r="C494" t="s">
        <v>52</v>
      </c>
      <c r="D494">
        <v>4</v>
      </c>
      <c r="E494">
        <v>78</v>
      </c>
      <c r="F494">
        <v>0.01</v>
      </c>
      <c r="G494">
        <f t="shared" si="7"/>
        <v>4.2735042735042736E-2</v>
      </c>
      <c r="H494">
        <f>G494*(26.79/38.29)</f>
        <v>2.9900020759252934E-2</v>
      </c>
    </row>
    <row r="495" spans="1:8" x14ac:dyDescent="0.25">
      <c r="A495" s="1">
        <v>1993</v>
      </c>
      <c r="B495" s="1" t="s">
        <v>99</v>
      </c>
      <c r="C495" t="s">
        <v>52</v>
      </c>
      <c r="D495">
        <v>4</v>
      </c>
      <c r="E495">
        <v>85</v>
      </c>
      <c r="F495">
        <v>0.02</v>
      </c>
      <c r="G495">
        <f t="shared" si="7"/>
        <v>8.5470085470085472E-2</v>
      </c>
      <c r="H495">
        <f>G495*(26.79/38.29)</f>
        <v>5.9800041518505868E-2</v>
      </c>
    </row>
    <row r="496" spans="1:8" x14ac:dyDescent="0.25">
      <c r="A496" s="1">
        <v>1993</v>
      </c>
      <c r="B496" s="1" t="s">
        <v>99</v>
      </c>
      <c r="C496" t="s">
        <v>52</v>
      </c>
      <c r="D496">
        <v>5</v>
      </c>
      <c r="E496">
        <v>25</v>
      </c>
      <c r="F496">
        <v>0.01</v>
      </c>
      <c r="G496">
        <f t="shared" si="7"/>
        <v>4.2735042735042736E-2</v>
      </c>
      <c r="H496">
        <f>G496*(26.79/38.29)</f>
        <v>2.9900020759252934E-2</v>
      </c>
    </row>
    <row r="497" spans="1:8" x14ac:dyDescent="0.25">
      <c r="A497" s="1">
        <v>1993</v>
      </c>
      <c r="B497" s="1" t="s">
        <v>99</v>
      </c>
      <c r="C497" t="s">
        <v>52</v>
      </c>
      <c r="D497">
        <v>5</v>
      </c>
      <c r="E497">
        <v>32</v>
      </c>
      <c r="F497">
        <v>0.02</v>
      </c>
      <c r="G497">
        <f t="shared" si="7"/>
        <v>8.5470085470085472E-2</v>
      </c>
      <c r="H497">
        <f>G497*(26.79/38.29)</f>
        <v>5.9800041518505868E-2</v>
      </c>
    </row>
    <row r="498" spans="1:8" x14ac:dyDescent="0.25">
      <c r="A498" s="1">
        <v>1993</v>
      </c>
      <c r="B498" s="1" t="s">
        <v>99</v>
      </c>
      <c r="C498" t="s">
        <v>52</v>
      </c>
      <c r="D498">
        <v>5</v>
      </c>
      <c r="E498">
        <v>32</v>
      </c>
      <c r="F498">
        <v>0.02</v>
      </c>
      <c r="G498">
        <f t="shared" si="7"/>
        <v>8.5470085470085472E-2</v>
      </c>
      <c r="H498">
        <f>G498*(26.79/38.29)</f>
        <v>5.9800041518505868E-2</v>
      </c>
    </row>
    <row r="499" spans="1:8" x14ac:dyDescent="0.25">
      <c r="A499" s="1">
        <v>1993</v>
      </c>
      <c r="B499" s="1" t="s">
        <v>99</v>
      </c>
      <c r="C499" t="s">
        <v>52</v>
      </c>
      <c r="D499">
        <v>5</v>
      </c>
      <c r="E499">
        <v>32</v>
      </c>
      <c r="F499">
        <v>0.01</v>
      </c>
      <c r="G499">
        <f t="shared" si="7"/>
        <v>4.2735042735042736E-2</v>
      </c>
      <c r="H499">
        <f>G499*(26.79/38.29)</f>
        <v>2.9900020759252934E-2</v>
      </c>
    </row>
    <row r="500" spans="1:8" x14ac:dyDescent="0.25">
      <c r="A500" s="1">
        <v>1993</v>
      </c>
      <c r="B500" s="1" t="s">
        <v>99</v>
      </c>
      <c r="C500" t="s">
        <v>52</v>
      </c>
      <c r="D500">
        <v>5</v>
      </c>
      <c r="E500">
        <v>32</v>
      </c>
      <c r="F500">
        <v>0.01</v>
      </c>
      <c r="G500">
        <f t="shared" si="7"/>
        <v>4.2735042735042736E-2</v>
      </c>
      <c r="H500">
        <f>G500*(26.79/38.29)</f>
        <v>2.9900020759252934E-2</v>
      </c>
    </row>
    <row r="501" spans="1:8" x14ac:dyDescent="0.25">
      <c r="A501" s="1">
        <v>1993</v>
      </c>
      <c r="B501" s="1" t="s">
        <v>99</v>
      </c>
      <c r="C501" t="s">
        <v>52</v>
      </c>
      <c r="D501">
        <v>5</v>
      </c>
      <c r="E501">
        <v>32</v>
      </c>
      <c r="F501">
        <v>0.01</v>
      </c>
      <c r="G501">
        <f t="shared" si="7"/>
        <v>4.2735042735042736E-2</v>
      </c>
      <c r="H501">
        <f>G501*(26.79/38.29)</f>
        <v>2.9900020759252934E-2</v>
      </c>
    </row>
    <row r="502" spans="1:8" x14ac:dyDescent="0.25">
      <c r="A502" s="1">
        <v>1993</v>
      </c>
      <c r="B502" s="1" t="s">
        <v>99</v>
      </c>
      <c r="C502" t="s">
        <v>52</v>
      </c>
      <c r="D502">
        <v>5</v>
      </c>
      <c r="E502">
        <v>32</v>
      </c>
      <c r="F502">
        <v>0.01</v>
      </c>
      <c r="G502">
        <f t="shared" si="7"/>
        <v>4.2735042735042736E-2</v>
      </c>
      <c r="H502">
        <f>G502*(26.79/38.29)</f>
        <v>2.9900020759252934E-2</v>
      </c>
    </row>
    <row r="503" spans="1:8" x14ac:dyDescent="0.25">
      <c r="A503" s="1">
        <v>1993</v>
      </c>
      <c r="B503" s="1" t="s">
        <v>99</v>
      </c>
      <c r="C503" t="s">
        <v>52</v>
      </c>
      <c r="D503">
        <v>5</v>
      </c>
      <c r="E503">
        <v>54</v>
      </c>
      <c r="F503">
        <v>0.01</v>
      </c>
      <c r="G503">
        <f t="shared" si="7"/>
        <v>4.2735042735042736E-2</v>
      </c>
      <c r="H503">
        <f>G503*(26.79/38.29)</f>
        <v>2.9900020759252934E-2</v>
      </c>
    </row>
    <row r="504" spans="1:8" x14ac:dyDescent="0.25">
      <c r="A504" s="1">
        <v>1993</v>
      </c>
      <c r="B504" s="1" t="s">
        <v>99</v>
      </c>
      <c r="C504" t="s">
        <v>52</v>
      </c>
      <c r="D504">
        <v>5</v>
      </c>
      <c r="E504">
        <v>63</v>
      </c>
      <c r="F504">
        <v>0.02</v>
      </c>
      <c r="G504">
        <f t="shared" si="7"/>
        <v>8.5470085470085472E-2</v>
      </c>
      <c r="H504">
        <f>G504*(26.79/38.29)</f>
        <v>5.9800041518505868E-2</v>
      </c>
    </row>
    <row r="505" spans="1:8" x14ac:dyDescent="0.25">
      <c r="A505" s="1">
        <v>1993</v>
      </c>
      <c r="B505" s="1" t="s">
        <v>99</v>
      </c>
      <c r="C505" t="s">
        <v>52</v>
      </c>
      <c r="D505">
        <v>5</v>
      </c>
      <c r="E505">
        <v>63</v>
      </c>
      <c r="F505">
        <v>0.03</v>
      </c>
      <c r="G505">
        <f t="shared" si="7"/>
        <v>0.12820512820512819</v>
      </c>
      <c r="H505">
        <f>G505*(26.79/38.29)</f>
        <v>8.9700062277758785E-2</v>
      </c>
    </row>
    <row r="506" spans="1:8" x14ac:dyDescent="0.25">
      <c r="A506" s="1">
        <v>1993</v>
      </c>
      <c r="B506" s="1" t="s">
        <v>99</v>
      </c>
      <c r="C506" t="s">
        <v>52</v>
      </c>
      <c r="D506">
        <v>5</v>
      </c>
      <c r="E506">
        <v>78</v>
      </c>
      <c r="F506">
        <v>0.01</v>
      </c>
      <c r="G506">
        <f t="shared" si="7"/>
        <v>4.2735042735042736E-2</v>
      </c>
      <c r="H506">
        <f>G506*(26.79/38.29)</f>
        <v>2.9900020759252934E-2</v>
      </c>
    </row>
    <row r="507" spans="1:8" x14ac:dyDescent="0.25">
      <c r="A507" s="1">
        <v>1993</v>
      </c>
      <c r="B507" s="1" t="s">
        <v>99</v>
      </c>
      <c r="C507" t="s">
        <v>52</v>
      </c>
      <c r="D507">
        <v>5</v>
      </c>
      <c r="E507">
        <v>78</v>
      </c>
      <c r="F507">
        <v>0.01</v>
      </c>
      <c r="G507">
        <f t="shared" si="7"/>
        <v>4.2735042735042736E-2</v>
      </c>
      <c r="H507">
        <f>G507*(26.79/38.29)</f>
        <v>2.9900020759252934E-2</v>
      </c>
    </row>
    <row r="508" spans="1:8" x14ac:dyDescent="0.25">
      <c r="A508" s="1">
        <v>1993</v>
      </c>
      <c r="B508" s="1" t="s">
        <v>99</v>
      </c>
      <c r="C508" t="s">
        <v>52</v>
      </c>
      <c r="D508">
        <v>5</v>
      </c>
      <c r="E508">
        <v>78</v>
      </c>
      <c r="F508">
        <v>0.01</v>
      </c>
      <c r="G508">
        <f t="shared" ref="G508:G571" si="8">(F508/0.0026)/90</f>
        <v>4.2735042735042736E-2</v>
      </c>
      <c r="H508">
        <f>G508*(26.79/38.29)</f>
        <v>2.9900020759252934E-2</v>
      </c>
    </row>
    <row r="509" spans="1:8" x14ac:dyDescent="0.25">
      <c r="A509" s="1">
        <v>1993</v>
      </c>
      <c r="B509" s="1" t="s">
        <v>99</v>
      </c>
      <c r="C509" t="s">
        <v>52</v>
      </c>
      <c r="D509">
        <v>5</v>
      </c>
      <c r="E509">
        <v>79</v>
      </c>
      <c r="F509">
        <v>0.01</v>
      </c>
      <c r="G509">
        <f t="shared" si="8"/>
        <v>4.2735042735042736E-2</v>
      </c>
      <c r="H509">
        <f>G509*(26.79/38.29)</f>
        <v>2.9900020759252934E-2</v>
      </c>
    </row>
    <row r="510" spans="1:8" x14ac:dyDescent="0.25">
      <c r="A510" s="1">
        <v>1997</v>
      </c>
      <c r="B510" s="1" t="s">
        <v>99</v>
      </c>
      <c r="C510" t="s">
        <v>52</v>
      </c>
      <c r="D510">
        <v>1</v>
      </c>
      <c r="E510">
        <v>32</v>
      </c>
      <c r="F510">
        <v>0.02</v>
      </c>
      <c r="G510">
        <f t="shared" si="8"/>
        <v>8.5470085470085472E-2</v>
      </c>
      <c r="H510">
        <f>G510*(26.79/38.29)</f>
        <v>5.9800041518505868E-2</v>
      </c>
    </row>
    <row r="511" spans="1:8" x14ac:dyDescent="0.25">
      <c r="A511" s="1">
        <v>1997</v>
      </c>
      <c r="B511" s="1" t="s">
        <v>99</v>
      </c>
      <c r="C511" t="s">
        <v>52</v>
      </c>
      <c r="D511">
        <v>1</v>
      </c>
      <c r="E511">
        <v>32</v>
      </c>
      <c r="F511">
        <v>0.01</v>
      </c>
      <c r="G511">
        <f t="shared" si="8"/>
        <v>4.2735042735042736E-2</v>
      </c>
      <c r="H511">
        <f>G511*(26.79/38.29)</f>
        <v>2.9900020759252934E-2</v>
      </c>
    </row>
    <row r="512" spans="1:8" x14ac:dyDescent="0.25">
      <c r="A512" s="1">
        <v>1997</v>
      </c>
      <c r="B512" s="1" t="s">
        <v>99</v>
      </c>
      <c r="C512" t="s">
        <v>52</v>
      </c>
      <c r="D512">
        <v>1</v>
      </c>
      <c r="E512">
        <v>71</v>
      </c>
      <c r="F512">
        <v>0.01</v>
      </c>
      <c r="G512">
        <f t="shared" si="8"/>
        <v>4.2735042735042736E-2</v>
      </c>
      <c r="H512">
        <f>G512*(26.79/38.29)</f>
        <v>2.9900020759252934E-2</v>
      </c>
    </row>
    <row r="513" spans="1:8" x14ac:dyDescent="0.25">
      <c r="A513" s="1">
        <v>1997</v>
      </c>
      <c r="B513" s="1" t="s">
        <v>99</v>
      </c>
      <c r="C513" t="s">
        <v>52</v>
      </c>
      <c r="D513">
        <v>1</v>
      </c>
      <c r="E513">
        <v>76</v>
      </c>
      <c r="F513">
        <v>0.01</v>
      </c>
      <c r="G513">
        <f t="shared" si="8"/>
        <v>4.2735042735042736E-2</v>
      </c>
      <c r="H513">
        <f>G513*(26.79/38.29)</f>
        <v>2.9900020759252934E-2</v>
      </c>
    </row>
    <row r="514" spans="1:8" x14ac:dyDescent="0.25">
      <c r="A514" s="1">
        <v>1997</v>
      </c>
      <c r="B514" s="1" t="s">
        <v>99</v>
      </c>
      <c r="C514" t="s">
        <v>52</v>
      </c>
      <c r="D514">
        <v>1</v>
      </c>
      <c r="E514">
        <v>76</v>
      </c>
      <c r="F514">
        <v>0.03</v>
      </c>
      <c r="G514">
        <f t="shared" si="8"/>
        <v>0.12820512820512819</v>
      </c>
      <c r="H514">
        <f>G514*(26.79/38.29)</f>
        <v>8.9700062277758785E-2</v>
      </c>
    </row>
    <row r="515" spans="1:8" x14ac:dyDescent="0.25">
      <c r="A515" s="1">
        <v>1997</v>
      </c>
      <c r="B515" s="1" t="s">
        <v>99</v>
      </c>
      <c r="C515" t="s">
        <v>52</v>
      </c>
      <c r="D515">
        <v>1</v>
      </c>
      <c r="E515">
        <v>78</v>
      </c>
      <c r="F515">
        <v>0.01</v>
      </c>
      <c r="G515">
        <f t="shared" si="8"/>
        <v>4.2735042735042736E-2</v>
      </c>
      <c r="H515">
        <f>G515*(26.79/38.29)</f>
        <v>2.9900020759252934E-2</v>
      </c>
    </row>
    <row r="516" spans="1:8" x14ac:dyDescent="0.25">
      <c r="A516" s="1">
        <v>1997</v>
      </c>
      <c r="B516" s="1" t="s">
        <v>99</v>
      </c>
      <c r="C516" t="s">
        <v>52</v>
      </c>
      <c r="D516">
        <v>1</v>
      </c>
      <c r="E516">
        <v>78</v>
      </c>
      <c r="F516">
        <v>0.01</v>
      </c>
      <c r="G516">
        <f t="shared" si="8"/>
        <v>4.2735042735042736E-2</v>
      </c>
      <c r="H516">
        <f>G516*(26.79/38.29)</f>
        <v>2.9900020759252934E-2</v>
      </c>
    </row>
    <row r="517" spans="1:8" x14ac:dyDescent="0.25">
      <c r="A517" s="1">
        <v>1997</v>
      </c>
      <c r="B517" s="1" t="s">
        <v>99</v>
      </c>
      <c r="C517" t="s">
        <v>52</v>
      </c>
      <c r="D517">
        <v>1</v>
      </c>
      <c r="E517">
        <v>78</v>
      </c>
      <c r="F517">
        <v>0.01</v>
      </c>
      <c r="G517">
        <f t="shared" si="8"/>
        <v>4.2735042735042736E-2</v>
      </c>
      <c r="H517">
        <f>G517*(26.79/38.29)</f>
        <v>2.9900020759252934E-2</v>
      </c>
    </row>
    <row r="518" spans="1:8" x14ac:dyDescent="0.25">
      <c r="A518" s="1">
        <v>1997</v>
      </c>
      <c r="B518" s="1" t="s">
        <v>99</v>
      </c>
      <c r="C518" t="s">
        <v>52</v>
      </c>
      <c r="D518">
        <v>1</v>
      </c>
      <c r="E518">
        <v>78</v>
      </c>
      <c r="F518">
        <v>0.01</v>
      </c>
      <c r="G518">
        <f t="shared" si="8"/>
        <v>4.2735042735042736E-2</v>
      </c>
      <c r="H518">
        <f>G518*(26.79/38.29)</f>
        <v>2.9900020759252934E-2</v>
      </c>
    </row>
    <row r="519" spans="1:8" x14ac:dyDescent="0.25">
      <c r="A519" s="1">
        <v>1997</v>
      </c>
      <c r="B519" s="1" t="s">
        <v>99</v>
      </c>
      <c r="C519" t="s">
        <v>52</v>
      </c>
      <c r="D519">
        <v>1</v>
      </c>
      <c r="E519">
        <v>78</v>
      </c>
      <c r="F519">
        <v>0.01</v>
      </c>
      <c r="G519">
        <f t="shared" si="8"/>
        <v>4.2735042735042736E-2</v>
      </c>
      <c r="H519">
        <f>G519*(26.79/38.29)</f>
        <v>2.9900020759252934E-2</v>
      </c>
    </row>
    <row r="520" spans="1:8" x14ac:dyDescent="0.25">
      <c r="A520" s="1">
        <v>1997</v>
      </c>
      <c r="B520" s="1" t="s">
        <v>99</v>
      </c>
      <c r="C520" t="s">
        <v>52</v>
      </c>
      <c r="D520">
        <v>1</v>
      </c>
      <c r="E520">
        <v>78</v>
      </c>
      <c r="F520">
        <v>0.02</v>
      </c>
      <c r="G520">
        <f t="shared" si="8"/>
        <v>8.5470085470085472E-2</v>
      </c>
      <c r="H520">
        <f>G520*(26.79/38.29)</f>
        <v>5.9800041518505868E-2</v>
      </c>
    </row>
    <row r="521" spans="1:8" x14ac:dyDescent="0.25">
      <c r="A521" s="1">
        <v>1997</v>
      </c>
      <c r="B521" s="1" t="s">
        <v>99</v>
      </c>
      <c r="C521" t="s">
        <v>52</v>
      </c>
      <c r="D521">
        <v>1</v>
      </c>
      <c r="E521">
        <v>78</v>
      </c>
      <c r="F521">
        <v>0.01</v>
      </c>
      <c r="G521">
        <f t="shared" si="8"/>
        <v>4.2735042735042736E-2</v>
      </c>
      <c r="H521">
        <f>G521*(26.79/38.29)</f>
        <v>2.9900020759252934E-2</v>
      </c>
    </row>
    <row r="522" spans="1:8" x14ac:dyDescent="0.25">
      <c r="A522" s="1">
        <v>1997</v>
      </c>
      <c r="B522" s="1" t="s">
        <v>99</v>
      </c>
      <c r="C522" t="s">
        <v>52</v>
      </c>
      <c r="D522">
        <v>1</v>
      </c>
      <c r="E522">
        <v>78</v>
      </c>
      <c r="F522">
        <v>0.01</v>
      </c>
      <c r="G522">
        <f t="shared" si="8"/>
        <v>4.2735042735042736E-2</v>
      </c>
      <c r="H522">
        <f>G522*(26.79/38.29)</f>
        <v>2.9900020759252934E-2</v>
      </c>
    </row>
    <row r="523" spans="1:8" x14ac:dyDescent="0.25">
      <c r="A523" s="1">
        <v>1997</v>
      </c>
      <c r="B523" s="1" t="s">
        <v>99</v>
      </c>
      <c r="C523" t="s">
        <v>52</v>
      </c>
      <c r="D523">
        <v>1</v>
      </c>
      <c r="E523">
        <v>78</v>
      </c>
      <c r="F523">
        <v>0.01</v>
      </c>
      <c r="G523">
        <f t="shared" si="8"/>
        <v>4.2735042735042736E-2</v>
      </c>
      <c r="H523">
        <f>G523*(26.79/38.29)</f>
        <v>2.9900020759252934E-2</v>
      </c>
    </row>
    <row r="524" spans="1:8" x14ac:dyDescent="0.25">
      <c r="A524" s="1">
        <v>1997</v>
      </c>
      <c r="B524" s="1" t="s">
        <v>99</v>
      </c>
      <c r="C524" t="s">
        <v>52</v>
      </c>
      <c r="D524">
        <v>1</v>
      </c>
      <c r="E524">
        <v>78</v>
      </c>
      <c r="F524">
        <v>0.01</v>
      </c>
      <c r="G524">
        <f t="shared" si="8"/>
        <v>4.2735042735042736E-2</v>
      </c>
      <c r="H524">
        <f>G524*(26.79/38.29)</f>
        <v>2.9900020759252934E-2</v>
      </c>
    </row>
    <row r="525" spans="1:8" x14ac:dyDescent="0.25">
      <c r="A525" s="1">
        <v>1997</v>
      </c>
      <c r="B525" s="1" t="s">
        <v>99</v>
      </c>
      <c r="C525" t="s">
        <v>52</v>
      </c>
      <c r="D525">
        <v>1</v>
      </c>
      <c r="E525">
        <v>78</v>
      </c>
      <c r="F525">
        <v>0.01</v>
      </c>
      <c r="G525">
        <f t="shared" si="8"/>
        <v>4.2735042735042736E-2</v>
      </c>
      <c r="H525">
        <f>G525*(26.79/38.29)</f>
        <v>2.9900020759252934E-2</v>
      </c>
    </row>
    <row r="526" spans="1:8" x14ac:dyDescent="0.25">
      <c r="A526" s="1">
        <v>1997</v>
      </c>
      <c r="B526" s="1" t="s">
        <v>99</v>
      </c>
      <c r="C526" t="s">
        <v>52</v>
      </c>
      <c r="D526">
        <v>1</v>
      </c>
      <c r="E526">
        <v>78</v>
      </c>
      <c r="F526">
        <v>0.01</v>
      </c>
      <c r="G526">
        <f t="shared" si="8"/>
        <v>4.2735042735042736E-2</v>
      </c>
      <c r="H526">
        <f>G526*(26.79/38.29)</f>
        <v>2.9900020759252934E-2</v>
      </c>
    </row>
    <row r="527" spans="1:8" x14ac:dyDescent="0.25">
      <c r="A527" s="1">
        <v>1997</v>
      </c>
      <c r="B527" s="1" t="s">
        <v>99</v>
      </c>
      <c r="C527" t="s">
        <v>52</v>
      </c>
      <c r="D527">
        <v>1</v>
      </c>
      <c r="E527">
        <v>78</v>
      </c>
      <c r="F527">
        <v>0.01</v>
      </c>
      <c r="G527">
        <f t="shared" si="8"/>
        <v>4.2735042735042736E-2</v>
      </c>
      <c r="H527">
        <f>G527*(26.79/38.29)</f>
        <v>2.9900020759252934E-2</v>
      </c>
    </row>
    <row r="528" spans="1:8" x14ac:dyDescent="0.25">
      <c r="A528" s="1">
        <v>1997</v>
      </c>
      <c r="B528" s="1" t="s">
        <v>99</v>
      </c>
      <c r="C528" t="s">
        <v>52</v>
      </c>
      <c r="D528">
        <v>1</v>
      </c>
      <c r="E528">
        <v>78</v>
      </c>
      <c r="F528">
        <v>0.01</v>
      </c>
      <c r="G528">
        <f t="shared" si="8"/>
        <v>4.2735042735042736E-2</v>
      </c>
      <c r="H528">
        <f>G528*(26.79/38.29)</f>
        <v>2.9900020759252934E-2</v>
      </c>
    </row>
    <row r="529" spans="1:8" x14ac:dyDescent="0.25">
      <c r="A529" s="1">
        <v>1997</v>
      </c>
      <c r="B529" s="1" t="s">
        <v>99</v>
      </c>
      <c r="C529" t="s">
        <v>52</v>
      </c>
      <c r="D529">
        <v>1</v>
      </c>
      <c r="E529">
        <v>78</v>
      </c>
      <c r="F529">
        <v>0.03</v>
      </c>
      <c r="G529">
        <f t="shared" si="8"/>
        <v>0.12820512820512819</v>
      </c>
      <c r="H529">
        <f>G529*(26.79/38.29)</f>
        <v>8.9700062277758785E-2</v>
      </c>
    </row>
    <row r="530" spans="1:8" x14ac:dyDescent="0.25">
      <c r="A530" s="1">
        <v>1997</v>
      </c>
      <c r="B530" s="1" t="s">
        <v>99</v>
      </c>
      <c r="C530" t="s">
        <v>52</v>
      </c>
      <c r="D530">
        <v>1</v>
      </c>
      <c r="E530">
        <v>78</v>
      </c>
      <c r="F530">
        <v>0.02</v>
      </c>
      <c r="G530">
        <f t="shared" si="8"/>
        <v>8.5470085470085472E-2</v>
      </c>
      <c r="H530">
        <f>G530*(26.79/38.29)</f>
        <v>5.9800041518505868E-2</v>
      </c>
    </row>
    <row r="531" spans="1:8" x14ac:dyDescent="0.25">
      <c r="A531" s="1">
        <v>1997</v>
      </c>
      <c r="B531" s="1" t="s">
        <v>99</v>
      </c>
      <c r="C531" t="s">
        <v>52</v>
      </c>
      <c r="D531">
        <v>1</v>
      </c>
      <c r="E531">
        <v>78</v>
      </c>
      <c r="F531">
        <v>0.01</v>
      </c>
      <c r="G531">
        <f t="shared" si="8"/>
        <v>4.2735042735042736E-2</v>
      </c>
      <c r="H531">
        <f>G531*(26.79/38.29)</f>
        <v>2.9900020759252934E-2</v>
      </c>
    </row>
    <row r="532" spans="1:8" x14ac:dyDescent="0.25">
      <c r="A532" s="1">
        <v>1997</v>
      </c>
      <c r="B532" s="1" t="s">
        <v>99</v>
      </c>
      <c r="C532" t="s">
        <v>52</v>
      </c>
      <c r="D532">
        <v>1</v>
      </c>
      <c r="E532">
        <v>78</v>
      </c>
      <c r="F532">
        <v>0.01</v>
      </c>
      <c r="G532">
        <f t="shared" si="8"/>
        <v>4.2735042735042736E-2</v>
      </c>
      <c r="H532">
        <f>G532*(26.79/38.29)</f>
        <v>2.9900020759252934E-2</v>
      </c>
    </row>
    <row r="533" spans="1:8" x14ac:dyDescent="0.25">
      <c r="A533" s="1">
        <v>1997</v>
      </c>
      <c r="B533" s="1" t="s">
        <v>99</v>
      </c>
      <c r="C533" t="s">
        <v>52</v>
      </c>
      <c r="D533">
        <v>1</v>
      </c>
      <c r="E533">
        <v>78</v>
      </c>
      <c r="F533">
        <v>0.03</v>
      </c>
      <c r="G533">
        <f t="shared" si="8"/>
        <v>0.12820512820512819</v>
      </c>
      <c r="H533">
        <f>G533*(26.79/38.29)</f>
        <v>8.9700062277758785E-2</v>
      </c>
    </row>
    <row r="534" spans="1:8" x14ac:dyDescent="0.25">
      <c r="A534" s="1">
        <v>1997</v>
      </c>
      <c r="B534" s="1" t="s">
        <v>99</v>
      </c>
      <c r="C534" t="s">
        <v>52</v>
      </c>
      <c r="D534">
        <v>2</v>
      </c>
      <c r="E534">
        <v>32</v>
      </c>
      <c r="F534">
        <v>0.01</v>
      </c>
      <c r="G534">
        <f t="shared" si="8"/>
        <v>4.2735042735042736E-2</v>
      </c>
      <c r="H534">
        <f>G534*(26.79/38.29)</f>
        <v>2.9900020759252934E-2</v>
      </c>
    </row>
    <row r="535" spans="1:8" x14ac:dyDescent="0.25">
      <c r="A535" s="1">
        <v>1997</v>
      </c>
      <c r="B535" s="1" t="s">
        <v>99</v>
      </c>
      <c r="C535" t="s">
        <v>52</v>
      </c>
      <c r="D535">
        <v>2</v>
      </c>
      <c r="E535">
        <v>58</v>
      </c>
      <c r="F535">
        <v>0.01</v>
      </c>
      <c r="G535">
        <f t="shared" si="8"/>
        <v>4.2735042735042736E-2</v>
      </c>
      <c r="H535">
        <f>G535*(26.79/38.29)</f>
        <v>2.9900020759252934E-2</v>
      </c>
    </row>
    <row r="536" spans="1:8" x14ac:dyDescent="0.25">
      <c r="A536" s="1">
        <v>1997</v>
      </c>
      <c r="B536" s="1" t="s">
        <v>99</v>
      </c>
      <c r="C536" t="s">
        <v>52</v>
      </c>
      <c r="D536">
        <v>2</v>
      </c>
      <c r="E536">
        <v>63</v>
      </c>
      <c r="F536">
        <v>0.01</v>
      </c>
      <c r="G536">
        <f t="shared" si="8"/>
        <v>4.2735042735042736E-2</v>
      </c>
      <c r="H536">
        <f>G536*(26.79/38.29)</f>
        <v>2.9900020759252934E-2</v>
      </c>
    </row>
    <row r="537" spans="1:8" x14ac:dyDescent="0.25">
      <c r="A537" s="1">
        <v>1997</v>
      </c>
      <c r="B537" s="1" t="s">
        <v>99</v>
      </c>
      <c r="C537" t="s">
        <v>52</v>
      </c>
      <c r="D537">
        <v>2</v>
      </c>
      <c r="E537">
        <v>63</v>
      </c>
      <c r="F537">
        <v>0.01</v>
      </c>
      <c r="G537">
        <f t="shared" si="8"/>
        <v>4.2735042735042736E-2</v>
      </c>
      <c r="H537">
        <f>G537*(26.79/38.29)</f>
        <v>2.9900020759252934E-2</v>
      </c>
    </row>
    <row r="538" spans="1:8" x14ac:dyDescent="0.25">
      <c r="A538" s="1">
        <v>1997</v>
      </c>
      <c r="B538" s="1" t="s">
        <v>99</v>
      </c>
      <c r="C538" t="s">
        <v>52</v>
      </c>
      <c r="D538">
        <v>2</v>
      </c>
      <c r="E538">
        <v>63</v>
      </c>
      <c r="F538">
        <v>0.01</v>
      </c>
      <c r="G538">
        <f t="shared" si="8"/>
        <v>4.2735042735042736E-2</v>
      </c>
      <c r="H538">
        <f>G538*(26.79/38.29)</f>
        <v>2.9900020759252934E-2</v>
      </c>
    </row>
    <row r="539" spans="1:8" x14ac:dyDescent="0.25">
      <c r="A539" s="1">
        <v>1997</v>
      </c>
      <c r="B539" s="1" t="s">
        <v>99</v>
      </c>
      <c r="C539" t="s">
        <v>52</v>
      </c>
      <c r="D539">
        <v>2</v>
      </c>
      <c r="E539">
        <v>76</v>
      </c>
      <c r="F539">
        <v>0.02</v>
      </c>
      <c r="G539">
        <f t="shared" si="8"/>
        <v>8.5470085470085472E-2</v>
      </c>
      <c r="H539">
        <f>G539*(26.79/38.29)</f>
        <v>5.9800041518505868E-2</v>
      </c>
    </row>
    <row r="540" spans="1:8" x14ac:dyDescent="0.25">
      <c r="A540" s="1">
        <v>1997</v>
      </c>
      <c r="B540" s="1" t="s">
        <v>99</v>
      </c>
      <c r="C540" t="s">
        <v>52</v>
      </c>
      <c r="D540">
        <v>2</v>
      </c>
      <c r="E540">
        <v>76</v>
      </c>
      <c r="F540">
        <v>0.01</v>
      </c>
      <c r="G540">
        <f t="shared" si="8"/>
        <v>4.2735042735042736E-2</v>
      </c>
      <c r="H540">
        <f>G540*(26.79/38.29)</f>
        <v>2.9900020759252934E-2</v>
      </c>
    </row>
    <row r="541" spans="1:8" x14ac:dyDescent="0.25">
      <c r="A541" s="1">
        <v>1997</v>
      </c>
      <c r="B541" s="1" t="s">
        <v>99</v>
      </c>
      <c r="C541" t="s">
        <v>52</v>
      </c>
      <c r="D541">
        <v>2</v>
      </c>
      <c r="E541">
        <v>78</v>
      </c>
      <c r="F541">
        <v>0.01</v>
      </c>
      <c r="G541">
        <f t="shared" si="8"/>
        <v>4.2735042735042736E-2</v>
      </c>
      <c r="H541">
        <f>G541*(26.79/38.29)</f>
        <v>2.9900020759252934E-2</v>
      </c>
    </row>
    <row r="542" spans="1:8" x14ac:dyDescent="0.25">
      <c r="A542" s="1">
        <v>1997</v>
      </c>
      <c r="B542" s="1" t="s">
        <v>99</v>
      </c>
      <c r="C542" t="s">
        <v>52</v>
      </c>
      <c r="D542">
        <v>2</v>
      </c>
      <c r="E542">
        <v>78</v>
      </c>
      <c r="F542">
        <v>0.01</v>
      </c>
      <c r="G542">
        <f t="shared" si="8"/>
        <v>4.2735042735042736E-2</v>
      </c>
      <c r="H542">
        <f>G542*(26.79/38.29)</f>
        <v>2.9900020759252934E-2</v>
      </c>
    </row>
    <row r="543" spans="1:8" x14ac:dyDescent="0.25">
      <c r="A543" s="1">
        <v>1997</v>
      </c>
      <c r="B543" s="1" t="s">
        <v>99</v>
      </c>
      <c r="C543" t="s">
        <v>52</v>
      </c>
      <c r="D543">
        <v>2</v>
      </c>
      <c r="E543">
        <v>78</v>
      </c>
      <c r="F543">
        <v>0.02</v>
      </c>
      <c r="G543">
        <f t="shared" si="8"/>
        <v>8.5470085470085472E-2</v>
      </c>
      <c r="H543">
        <f>G543*(26.79/38.29)</f>
        <v>5.9800041518505868E-2</v>
      </c>
    </row>
    <row r="544" spans="1:8" x14ac:dyDescent="0.25">
      <c r="A544" s="1">
        <v>1997</v>
      </c>
      <c r="B544" s="1" t="s">
        <v>99</v>
      </c>
      <c r="C544" t="s">
        <v>52</v>
      </c>
      <c r="D544">
        <v>2</v>
      </c>
      <c r="E544">
        <v>78</v>
      </c>
      <c r="F544">
        <v>0.02</v>
      </c>
      <c r="G544">
        <f t="shared" si="8"/>
        <v>8.5470085470085472E-2</v>
      </c>
      <c r="H544">
        <f>G544*(26.79/38.29)</f>
        <v>5.9800041518505868E-2</v>
      </c>
    </row>
    <row r="545" spans="1:8" x14ac:dyDescent="0.25">
      <c r="A545" s="1">
        <v>1997</v>
      </c>
      <c r="B545" s="1" t="s">
        <v>99</v>
      </c>
      <c r="C545" t="s">
        <v>52</v>
      </c>
      <c r="D545">
        <v>2</v>
      </c>
      <c r="E545">
        <v>78</v>
      </c>
      <c r="F545">
        <v>0.01</v>
      </c>
      <c r="G545">
        <f t="shared" si="8"/>
        <v>4.2735042735042736E-2</v>
      </c>
      <c r="H545">
        <f>G545*(26.79/38.29)</f>
        <v>2.9900020759252934E-2</v>
      </c>
    </row>
    <row r="546" spans="1:8" x14ac:dyDescent="0.25">
      <c r="A546" s="1">
        <v>1997</v>
      </c>
      <c r="B546" s="1" t="s">
        <v>99</v>
      </c>
      <c r="C546" t="s">
        <v>52</v>
      </c>
      <c r="D546">
        <v>2</v>
      </c>
      <c r="E546">
        <v>78</v>
      </c>
      <c r="F546">
        <v>0.01</v>
      </c>
      <c r="G546">
        <f t="shared" si="8"/>
        <v>4.2735042735042736E-2</v>
      </c>
      <c r="H546">
        <f>G546*(26.79/38.29)</f>
        <v>2.9900020759252934E-2</v>
      </c>
    </row>
    <row r="547" spans="1:8" x14ac:dyDescent="0.25">
      <c r="A547" s="1">
        <v>1997</v>
      </c>
      <c r="B547" s="1" t="s">
        <v>99</v>
      </c>
      <c r="C547" t="s">
        <v>52</v>
      </c>
      <c r="D547">
        <v>2</v>
      </c>
      <c r="E547">
        <v>78</v>
      </c>
      <c r="F547">
        <v>0.01</v>
      </c>
      <c r="G547">
        <f t="shared" si="8"/>
        <v>4.2735042735042736E-2</v>
      </c>
      <c r="H547">
        <f>G547*(26.79/38.29)</f>
        <v>2.9900020759252934E-2</v>
      </c>
    </row>
    <row r="548" spans="1:8" x14ac:dyDescent="0.25">
      <c r="A548" s="1">
        <v>1997</v>
      </c>
      <c r="B548" s="1" t="s">
        <v>99</v>
      </c>
      <c r="C548" t="s">
        <v>52</v>
      </c>
      <c r="D548">
        <v>2</v>
      </c>
      <c r="E548">
        <v>78</v>
      </c>
      <c r="F548">
        <v>0.01</v>
      </c>
      <c r="G548">
        <f t="shared" si="8"/>
        <v>4.2735042735042736E-2</v>
      </c>
      <c r="H548">
        <f>G548*(26.79/38.29)</f>
        <v>2.9900020759252934E-2</v>
      </c>
    </row>
    <row r="549" spans="1:8" x14ac:dyDescent="0.25">
      <c r="A549" s="1">
        <v>1997</v>
      </c>
      <c r="B549" s="1" t="s">
        <v>99</v>
      </c>
      <c r="C549" t="s">
        <v>52</v>
      </c>
      <c r="D549">
        <v>2</v>
      </c>
      <c r="E549">
        <v>78</v>
      </c>
      <c r="F549">
        <v>0.01</v>
      </c>
      <c r="G549">
        <f t="shared" si="8"/>
        <v>4.2735042735042736E-2</v>
      </c>
      <c r="H549">
        <f>G549*(26.79/38.29)</f>
        <v>2.9900020759252934E-2</v>
      </c>
    </row>
    <row r="550" spans="1:8" x14ac:dyDescent="0.25">
      <c r="A550" s="1">
        <v>1997</v>
      </c>
      <c r="B550" s="1" t="s">
        <v>99</v>
      </c>
      <c r="C550" t="s">
        <v>52</v>
      </c>
      <c r="D550">
        <v>2</v>
      </c>
      <c r="E550">
        <v>79</v>
      </c>
      <c r="F550">
        <v>0.03</v>
      </c>
      <c r="G550">
        <f t="shared" si="8"/>
        <v>0.12820512820512819</v>
      </c>
      <c r="H550">
        <f>G550*(26.79/38.29)</f>
        <v>8.9700062277758785E-2</v>
      </c>
    </row>
    <row r="551" spans="1:8" x14ac:dyDescent="0.25">
      <c r="A551" s="1">
        <v>1997</v>
      </c>
      <c r="B551" s="1" t="s">
        <v>99</v>
      </c>
      <c r="C551" t="s">
        <v>52</v>
      </c>
      <c r="D551">
        <v>3</v>
      </c>
      <c r="E551">
        <v>29</v>
      </c>
      <c r="F551">
        <v>0.02</v>
      </c>
      <c r="G551">
        <f t="shared" si="8"/>
        <v>8.5470085470085472E-2</v>
      </c>
      <c r="H551">
        <f>G551*(26.79/38.29)</f>
        <v>5.9800041518505868E-2</v>
      </c>
    </row>
    <row r="552" spans="1:8" x14ac:dyDescent="0.25">
      <c r="A552" s="1">
        <v>1997</v>
      </c>
      <c r="B552" s="1" t="s">
        <v>99</v>
      </c>
      <c r="C552" t="s">
        <v>52</v>
      </c>
      <c r="D552">
        <v>3</v>
      </c>
      <c r="E552">
        <v>32</v>
      </c>
      <c r="F552">
        <v>0.02</v>
      </c>
      <c r="G552">
        <f t="shared" si="8"/>
        <v>8.5470085470085472E-2</v>
      </c>
      <c r="H552">
        <f>G552*(26.79/38.29)</f>
        <v>5.9800041518505868E-2</v>
      </c>
    </row>
    <row r="553" spans="1:8" x14ac:dyDescent="0.25">
      <c r="A553" s="1">
        <v>1997</v>
      </c>
      <c r="B553" s="1" t="s">
        <v>99</v>
      </c>
      <c r="C553" t="s">
        <v>52</v>
      </c>
      <c r="D553">
        <v>3</v>
      </c>
      <c r="E553">
        <v>76</v>
      </c>
      <c r="F553">
        <v>0.01</v>
      </c>
      <c r="G553">
        <f t="shared" si="8"/>
        <v>4.2735042735042736E-2</v>
      </c>
      <c r="H553">
        <f>G553*(26.79/38.29)</f>
        <v>2.9900020759252934E-2</v>
      </c>
    </row>
    <row r="554" spans="1:8" x14ac:dyDescent="0.25">
      <c r="A554" s="1">
        <v>1997</v>
      </c>
      <c r="B554" s="1" t="s">
        <v>99</v>
      </c>
      <c r="C554" t="s">
        <v>52</v>
      </c>
      <c r="D554">
        <v>3</v>
      </c>
      <c r="E554">
        <v>76</v>
      </c>
      <c r="F554">
        <v>0.02</v>
      </c>
      <c r="G554">
        <f t="shared" si="8"/>
        <v>8.5470085470085472E-2</v>
      </c>
      <c r="H554">
        <f>G554*(26.79/38.29)</f>
        <v>5.9800041518505868E-2</v>
      </c>
    </row>
    <row r="555" spans="1:8" x14ac:dyDescent="0.25">
      <c r="A555" s="1">
        <v>1997</v>
      </c>
      <c r="B555" s="1" t="s">
        <v>99</v>
      </c>
      <c r="C555" t="s">
        <v>52</v>
      </c>
      <c r="D555">
        <v>3</v>
      </c>
      <c r="E555">
        <v>76</v>
      </c>
      <c r="F555">
        <v>0.03</v>
      </c>
      <c r="G555">
        <f t="shared" si="8"/>
        <v>0.12820512820512819</v>
      </c>
      <c r="H555">
        <f>G555*(26.79/38.29)</f>
        <v>8.9700062277758785E-2</v>
      </c>
    </row>
    <row r="556" spans="1:8" x14ac:dyDescent="0.25">
      <c r="A556" s="1">
        <v>1997</v>
      </c>
      <c r="B556" s="1" t="s">
        <v>99</v>
      </c>
      <c r="C556" t="s">
        <v>52</v>
      </c>
      <c r="D556">
        <v>3</v>
      </c>
      <c r="E556">
        <v>78</v>
      </c>
      <c r="F556">
        <v>0.01</v>
      </c>
      <c r="G556">
        <f t="shared" si="8"/>
        <v>4.2735042735042736E-2</v>
      </c>
      <c r="H556">
        <f>G556*(26.79/38.29)</f>
        <v>2.9900020759252934E-2</v>
      </c>
    </row>
    <row r="557" spans="1:8" x14ac:dyDescent="0.25">
      <c r="A557" s="1">
        <v>1997</v>
      </c>
      <c r="B557" s="1" t="s">
        <v>99</v>
      </c>
      <c r="C557" t="s">
        <v>52</v>
      </c>
      <c r="D557">
        <v>3</v>
      </c>
      <c r="E557">
        <v>78</v>
      </c>
      <c r="F557">
        <v>0.01</v>
      </c>
      <c r="G557">
        <f t="shared" si="8"/>
        <v>4.2735042735042736E-2</v>
      </c>
      <c r="H557">
        <f>G557*(26.79/38.29)</f>
        <v>2.9900020759252934E-2</v>
      </c>
    </row>
    <row r="558" spans="1:8" x14ac:dyDescent="0.25">
      <c r="A558" s="1">
        <v>1997</v>
      </c>
      <c r="B558" s="1" t="s">
        <v>99</v>
      </c>
      <c r="C558" t="s">
        <v>52</v>
      </c>
      <c r="D558">
        <v>3</v>
      </c>
      <c r="E558">
        <v>78</v>
      </c>
      <c r="F558">
        <v>0.01</v>
      </c>
      <c r="G558">
        <f t="shared" si="8"/>
        <v>4.2735042735042736E-2</v>
      </c>
      <c r="H558">
        <f>G558*(26.79/38.29)</f>
        <v>2.9900020759252934E-2</v>
      </c>
    </row>
    <row r="559" spans="1:8" x14ac:dyDescent="0.25">
      <c r="A559" s="1">
        <v>1997</v>
      </c>
      <c r="B559" s="1" t="s">
        <v>99</v>
      </c>
      <c r="C559" t="s">
        <v>52</v>
      </c>
      <c r="D559">
        <v>3</v>
      </c>
      <c r="E559">
        <v>78</v>
      </c>
      <c r="F559">
        <v>0.01</v>
      </c>
      <c r="G559">
        <f t="shared" si="8"/>
        <v>4.2735042735042736E-2</v>
      </c>
      <c r="H559">
        <f>G559*(26.79/38.29)</f>
        <v>2.9900020759252934E-2</v>
      </c>
    </row>
    <row r="560" spans="1:8" x14ac:dyDescent="0.25">
      <c r="A560" s="1">
        <v>1997</v>
      </c>
      <c r="B560" s="1" t="s">
        <v>99</v>
      </c>
      <c r="C560" t="s">
        <v>52</v>
      </c>
      <c r="D560">
        <v>3</v>
      </c>
      <c r="E560">
        <v>78</v>
      </c>
      <c r="F560">
        <v>0.02</v>
      </c>
      <c r="G560">
        <f t="shared" si="8"/>
        <v>8.5470085470085472E-2</v>
      </c>
      <c r="H560">
        <f>G560*(26.79/38.29)</f>
        <v>5.9800041518505868E-2</v>
      </c>
    </row>
    <row r="561" spans="1:8" x14ac:dyDescent="0.25">
      <c r="A561" s="1">
        <v>1997</v>
      </c>
      <c r="B561" s="1" t="s">
        <v>99</v>
      </c>
      <c r="C561" t="s">
        <v>52</v>
      </c>
      <c r="D561">
        <v>3</v>
      </c>
      <c r="E561">
        <v>78</v>
      </c>
      <c r="F561">
        <v>0.01</v>
      </c>
      <c r="G561">
        <f t="shared" si="8"/>
        <v>4.2735042735042736E-2</v>
      </c>
      <c r="H561">
        <f>G561*(26.79/38.29)</f>
        <v>2.9900020759252934E-2</v>
      </c>
    </row>
    <row r="562" spans="1:8" x14ac:dyDescent="0.25">
      <c r="A562" s="1">
        <v>1997</v>
      </c>
      <c r="B562" s="1" t="s">
        <v>99</v>
      </c>
      <c r="C562" t="s">
        <v>52</v>
      </c>
      <c r="D562">
        <v>3</v>
      </c>
      <c r="E562">
        <v>79</v>
      </c>
      <c r="F562">
        <v>0.03</v>
      </c>
      <c r="G562">
        <f t="shared" si="8"/>
        <v>0.12820512820512819</v>
      </c>
      <c r="H562">
        <f>G562*(26.79/38.29)</f>
        <v>8.9700062277758785E-2</v>
      </c>
    </row>
    <row r="563" spans="1:8" x14ac:dyDescent="0.25">
      <c r="A563" s="1">
        <v>1997</v>
      </c>
      <c r="B563" s="1" t="s">
        <v>99</v>
      </c>
      <c r="C563" t="s">
        <v>52</v>
      </c>
      <c r="D563">
        <v>3</v>
      </c>
      <c r="E563">
        <v>79</v>
      </c>
      <c r="F563">
        <v>0.01</v>
      </c>
      <c r="G563">
        <f t="shared" si="8"/>
        <v>4.2735042735042736E-2</v>
      </c>
      <c r="H563">
        <f>G563*(26.79/38.29)</f>
        <v>2.9900020759252934E-2</v>
      </c>
    </row>
    <row r="564" spans="1:8" x14ac:dyDescent="0.25">
      <c r="A564" s="1">
        <v>1997</v>
      </c>
      <c r="B564" s="1" t="s">
        <v>99</v>
      </c>
      <c r="C564" t="s">
        <v>52</v>
      </c>
      <c r="D564">
        <v>3</v>
      </c>
      <c r="E564">
        <v>79</v>
      </c>
      <c r="F564">
        <v>0.01</v>
      </c>
      <c r="G564">
        <f t="shared" si="8"/>
        <v>4.2735042735042736E-2</v>
      </c>
      <c r="H564">
        <f>G564*(26.79/38.29)</f>
        <v>2.9900020759252934E-2</v>
      </c>
    </row>
    <row r="565" spans="1:8" x14ac:dyDescent="0.25">
      <c r="A565" s="1">
        <v>1997</v>
      </c>
      <c r="B565" s="1" t="s">
        <v>99</v>
      </c>
      <c r="C565" t="s">
        <v>52</v>
      </c>
      <c r="D565">
        <v>3</v>
      </c>
      <c r="E565">
        <v>79</v>
      </c>
      <c r="F565">
        <v>0.01</v>
      </c>
      <c r="G565">
        <f t="shared" si="8"/>
        <v>4.2735042735042736E-2</v>
      </c>
      <c r="H565">
        <f>G565*(26.79/38.29)</f>
        <v>2.9900020759252934E-2</v>
      </c>
    </row>
    <row r="566" spans="1:8" x14ac:dyDescent="0.25">
      <c r="A566" s="1">
        <v>1997</v>
      </c>
      <c r="B566" s="1" t="s">
        <v>99</v>
      </c>
      <c r="C566" t="s">
        <v>52</v>
      </c>
      <c r="D566">
        <v>4</v>
      </c>
      <c r="E566">
        <v>28</v>
      </c>
      <c r="F566">
        <v>0.02</v>
      </c>
      <c r="G566">
        <f t="shared" si="8"/>
        <v>8.5470085470085472E-2</v>
      </c>
      <c r="H566">
        <f>G566*(26.79/38.29)</f>
        <v>5.9800041518505868E-2</v>
      </c>
    </row>
    <row r="567" spans="1:8" x14ac:dyDescent="0.25">
      <c r="A567" s="1">
        <v>1997</v>
      </c>
      <c r="B567" s="1" t="s">
        <v>99</v>
      </c>
      <c r="C567" t="s">
        <v>52</v>
      </c>
      <c r="D567">
        <v>4</v>
      </c>
      <c r="E567">
        <v>32</v>
      </c>
      <c r="F567">
        <v>0.02</v>
      </c>
      <c r="G567">
        <f t="shared" si="8"/>
        <v>8.5470085470085472E-2</v>
      </c>
      <c r="H567">
        <f>G567*(26.79/38.29)</f>
        <v>5.9800041518505868E-2</v>
      </c>
    </row>
    <row r="568" spans="1:8" x14ac:dyDescent="0.25">
      <c r="A568" s="1">
        <v>1997</v>
      </c>
      <c r="B568" s="1" t="s">
        <v>99</v>
      </c>
      <c r="C568" t="s">
        <v>52</v>
      </c>
      <c r="D568">
        <v>4</v>
      </c>
      <c r="E568">
        <v>32</v>
      </c>
      <c r="F568">
        <v>0.01</v>
      </c>
      <c r="G568">
        <f t="shared" si="8"/>
        <v>4.2735042735042736E-2</v>
      </c>
      <c r="H568">
        <f>G568*(26.79/38.29)</f>
        <v>2.9900020759252934E-2</v>
      </c>
    </row>
    <row r="569" spans="1:8" x14ac:dyDescent="0.25">
      <c r="A569" s="1">
        <v>1997</v>
      </c>
      <c r="B569" s="1" t="s">
        <v>99</v>
      </c>
      <c r="C569" t="s">
        <v>52</v>
      </c>
      <c r="D569">
        <v>4</v>
      </c>
      <c r="E569">
        <v>32</v>
      </c>
      <c r="F569">
        <v>0.01</v>
      </c>
      <c r="G569">
        <f t="shared" si="8"/>
        <v>4.2735042735042736E-2</v>
      </c>
      <c r="H569">
        <f>G569*(26.79/38.29)</f>
        <v>2.9900020759252934E-2</v>
      </c>
    </row>
    <row r="570" spans="1:8" x14ac:dyDescent="0.25">
      <c r="A570" s="1">
        <v>1997</v>
      </c>
      <c r="B570" s="1" t="s">
        <v>99</v>
      </c>
      <c r="C570" t="s">
        <v>52</v>
      </c>
      <c r="D570">
        <v>4</v>
      </c>
      <c r="E570">
        <v>32</v>
      </c>
      <c r="F570">
        <v>0.01</v>
      </c>
      <c r="G570">
        <f t="shared" si="8"/>
        <v>4.2735042735042736E-2</v>
      </c>
      <c r="H570">
        <f>G570*(26.79/38.29)</f>
        <v>2.9900020759252934E-2</v>
      </c>
    </row>
    <row r="571" spans="1:8" x14ac:dyDescent="0.25">
      <c r="A571" s="1">
        <v>1997</v>
      </c>
      <c r="B571" s="1" t="s">
        <v>99</v>
      </c>
      <c r="C571" t="s">
        <v>52</v>
      </c>
      <c r="D571">
        <v>4</v>
      </c>
      <c r="E571">
        <v>54</v>
      </c>
      <c r="F571">
        <v>0.01</v>
      </c>
      <c r="G571">
        <f t="shared" si="8"/>
        <v>4.2735042735042736E-2</v>
      </c>
      <c r="H571">
        <f>G571*(26.79/38.29)</f>
        <v>2.9900020759252934E-2</v>
      </c>
    </row>
    <row r="572" spans="1:8" x14ac:dyDescent="0.25">
      <c r="A572" s="1">
        <v>1997</v>
      </c>
      <c r="B572" s="1" t="s">
        <v>99</v>
      </c>
      <c r="C572" t="s">
        <v>52</v>
      </c>
      <c r="D572">
        <v>4</v>
      </c>
      <c r="E572">
        <v>54</v>
      </c>
      <c r="F572">
        <v>0.01</v>
      </c>
      <c r="G572">
        <f t="shared" ref="G572:G593" si="9">(F572/0.0026)/90</f>
        <v>4.2735042735042736E-2</v>
      </c>
      <c r="H572">
        <f>G572*(26.79/38.29)</f>
        <v>2.9900020759252934E-2</v>
      </c>
    </row>
    <row r="573" spans="1:8" x14ac:dyDescent="0.25">
      <c r="A573" s="1">
        <v>1997</v>
      </c>
      <c r="B573" s="1" t="s">
        <v>99</v>
      </c>
      <c r="C573" t="s">
        <v>52</v>
      </c>
      <c r="D573">
        <v>4</v>
      </c>
      <c r="E573">
        <v>63</v>
      </c>
      <c r="F573">
        <v>0.02</v>
      </c>
      <c r="G573">
        <f t="shared" si="9"/>
        <v>8.5470085470085472E-2</v>
      </c>
      <c r="H573">
        <f>G573*(26.79/38.29)</f>
        <v>5.9800041518505868E-2</v>
      </c>
    </row>
    <row r="574" spans="1:8" x14ac:dyDescent="0.25">
      <c r="A574" s="1">
        <v>1997</v>
      </c>
      <c r="B574" s="1" t="s">
        <v>99</v>
      </c>
      <c r="C574" t="s">
        <v>52</v>
      </c>
      <c r="D574">
        <v>4</v>
      </c>
      <c r="E574">
        <v>78</v>
      </c>
      <c r="F574">
        <v>0.01</v>
      </c>
      <c r="G574">
        <f t="shared" si="9"/>
        <v>4.2735042735042736E-2</v>
      </c>
      <c r="H574">
        <f>G574*(26.79/38.29)</f>
        <v>2.9900020759252934E-2</v>
      </c>
    </row>
    <row r="575" spans="1:8" x14ac:dyDescent="0.25">
      <c r="A575" s="1">
        <v>1997</v>
      </c>
      <c r="B575" s="1" t="s">
        <v>99</v>
      </c>
      <c r="C575" t="s">
        <v>52</v>
      </c>
      <c r="D575">
        <v>4</v>
      </c>
      <c r="E575">
        <v>78</v>
      </c>
      <c r="F575">
        <v>0.02</v>
      </c>
      <c r="G575">
        <f t="shared" si="9"/>
        <v>8.5470085470085472E-2</v>
      </c>
      <c r="H575">
        <f>G575*(26.79/38.29)</f>
        <v>5.9800041518505868E-2</v>
      </c>
    </row>
    <row r="576" spans="1:8" x14ac:dyDescent="0.25">
      <c r="A576" s="1">
        <v>1997</v>
      </c>
      <c r="B576" s="1" t="s">
        <v>99</v>
      </c>
      <c r="C576" t="s">
        <v>52</v>
      </c>
      <c r="D576">
        <v>4</v>
      </c>
      <c r="E576">
        <v>78</v>
      </c>
      <c r="F576">
        <v>0.01</v>
      </c>
      <c r="G576">
        <f t="shared" si="9"/>
        <v>4.2735042735042736E-2</v>
      </c>
      <c r="H576">
        <f>G576*(26.79/38.29)</f>
        <v>2.9900020759252934E-2</v>
      </c>
    </row>
    <row r="577" spans="1:8" x14ac:dyDescent="0.25">
      <c r="A577" s="1">
        <v>1997</v>
      </c>
      <c r="B577" s="1" t="s">
        <v>99</v>
      </c>
      <c r="C577" t="s">
        <v>52</v>
      </c>
      <c r="D577">
        <v>4</v>
      </c>
      <c r="E577">
        <v>78</v>
      </c>
      <c r="F577">
        <v>0.01</v>
      </c>
      <c r="G577">
        <f t="shared" si="9"/>
        <v>4.2735042735042736E-2</v>
      </c>
      <c r="H577">
        <f>G577*(26.79/38.29)</f>
        <v>2.9900020759252934E-2</v>
      </c>
    </row>
    <row r="578" spans="1:8" x14ac:dyDescent="0.25">
      <c r="A578" s="1">
        <v>1997</v>
      </c>
      <c r="B578" s="1" t="s">
        <v>99</v>
      </c>
      <c r="C578" t="s">
        <v>52</v>
      </c>
      <c r="D578">
        <v>4</v>
      </c>
      <c r="E578">
        <v>79</v>
      </c>
      <c r="F578">
        <v>0.01</v>
      </c>
      <c r="G578">
        <f t="shared" si="9"/>
        <v>4.2735042735042736E-2</v>
      </c>
      <c r="H578">
        <f>G578*(26.79/38.29)</f>
        <v>2.9900020759252934E-2</v>
      </c>
    </row>
    <row r="579" spans="1:8" x14ac:dyDescent="0.25">
      <c r="A579" s="1">
        <v>1997</v>
      </c>
      <c r="B579" s="1" t="s">
        <v>99</v>
      </c>
      <c r="C579" t="s">
        <v>52</v>
      </c>
      <c r="D579">
        <v>4</v>
      </c>
      <c r="E579">
        <v>85</v>
      </c>
      <c r="F579">
        <v>0.02</v>
      </c>
      <c r="G579">
        <f t="shared" si="9"/>
        <v>8.5470085470085472E-2</v>
      </c>
      <c r="H579">
        <f>G579*(26.79/38.29)</f>
        <v>5.9800041518505868E-2</v>
      </c>
    </row>
    <row r="580" spans="1:8" x14ac:dyDescent="0.25">
      <c r="A580" s="1">
        <v>1997</v>
      </c>
      <c r="B580" s="1" t="s">
        <v>99</v>
      </c>
      <c r="C580" t="s">
        <v>52</v>
      </c>
      <c r="D580">
        <v>5</v>
      </c>
      <c r="E580">
        <v>32</v>
      </c>
      <c r="F580">
        <v>0.02</v>
      </c>
      <c r="G580">
        <f t="shared" si="9"/>
        <v>8.5470085470085472E-2</v>
      </c>
      <c r="H580">
        <f>G580*(26.79/38.29)</f>
        <v>5.9800041518505868E-2</v>
      </c>
    </row>
    <row r="581" spans="1:8" x14ac:dyDescent="0.25">
      <c r="A581" s="1">
        <v>1997</v>
      </c>
      <c r="B581" s="1" t="s">
        <v>99</v>
      </c>
      <c r="C581" t="s">
        <v>52</v>
      </c>
      <c r="D581">
        <v>5</v>
      </c>
      <c r="E581">
        <v>32</v>
      </c>
      <c r="F581">
        <v>0.03</v>
      </c>
      <c r="G581">
        <f t="shared" si="9"/>
        <v>0.12820512820512819</v>
      </c>
      <c r="H581">
        <f>G581*(26.79/38.29)</f>
        <v>8.9700062277758785E-2</v>
      </c>
    </row>
    <row r="582" spans="1:8" x14ac:dyDescent="0.25">
      <c r="A582" s="1">
        <v>1997</v>
      </c>
      <c r="B582" s="1" t="s">
        <v>99</v>
      </c>
      <c r="C582" t="s">
        <v>52</v>
      </c>
      <c r="D582">
        <v>5</v>
      </c>
      <c r="E582">
        <v>32</v>
      </c>
      <c r="F582">
        <v>0.01</v>
      </c>
      <c r="G582">
        <f t="shared" si="9"/>
        <v>4.2735042735042736E-2</v>
      </c>
      <c r="H582">
        <f>G582*(26.79/38.29)</f>
        <v>2.9900020759252934E-2</v>
      </c>
    </row>
    <row r="583" spans="1:8" x14ac:dyDescent="0.25">
      <c r="A583" s="1">
        <v>1997</v>
      </c>
      <c r="B583" s="1" t="s">
        <v>99</v>
      </c>
      <c r="C583" t="s">
        <v>52</v>
      </c>
      <c r="D583">
        <v>5</v>
      </c>
      <c r="E583">
        <v>32</v>
      </c>
      <c r="F583">
        <v>0.01</v>
      </c>
      <c r="G583">
        <f t="shared" si="9"/>
        <v>4.2735042735042736E-2</v>
      </c>
      <c r="H583">
        <f>G583*(26.79/38.29)</f>
        <v>2.9900020759252934E-2</v>
      </c>
    </row>
    <row r="584" spans="1:8" x14ac:dyDescent="0.25">
      <c r="A584" s="1">
        <v>1997</v>
      </c>
      <c r="B584" s="1" t="s">
        <v>99</v>
      </c>
      <c r="C584" t="s">
        <v>52</v>
      </c>
      <c r="D584">
        <v>5</v>
      </c>
      <c r="E584">
        <v>32</v>
      </c>
      <c r="F584">
        <v>0.01</v>
      </c>
      <c r="G584">
        <f t="shared" si="9"/>
        <v>4.2735042735042736E-2</v>
      </c>
      <c r="H584">
        <f>G584*(26.79/38.29)</f>
        <v>2.9900020759252934E-2</v>
      </c>
    </row>
    <row r="585" spans="1:8" x14ac:dyDescent="0.25">
      <c r="A585" s="1">
        <v>1997</v>
      </c>
      <c r="B585" s="1" t="s">
        <v>99</v>
      </c>
      <c r="C585" t="s">
        <v>52</v>
      </c>
      <c r="D585">
        <v>5</v>
      </c>
      <c r="E585">
        <v>32</v>
      </c>
      <c r="F585">
        <v>0.01</v>
      </c>
      <c r="G585">
        <f t="shared" si="9"/>
        <v>4.2735042735042736E-2</v>
      </c>
      <c r="H585">
        <f>G585*(26.79/38.29)</f>
        <v>2.9900020759252934E-2</v>
      </c>
    </row>
    <row r="586" spans="1:8" x14ac:dyDescent="0.25">
      <c r="A586" s="1">
        <v>1997</v>
      </c>
      <c r="B586" s="1" t="s">
        <v>99</v>
      </c>
      <c r="C586" t="s">
        <v>52</v>
      </c>
      <c r="D586">
        <v>5</v>
      </c>
      <c r="E586">
        <v>54</v>
      </c>
      <c r="F586">
        <v>0.02</v>
      </c>
      <c r="G586">
        <f t="shared" si="9"/>
        <v>8.5470085470085472E-2</v>
      </c>
      <c r="H586">
        <f>G586*(26.79/38.29)</f>
        <v>5.9800041518505868E-2</v>
      </c>
    </row>
    <row r="587" spans="1:8" x14ac:dyDescent="0.25">
      <c r="A587" s="1">
        <v>1997</v>
      </c>
      <c r="B587" s="1" t="s">
        <v>99</v>
      </c>
      <c r="C587" t="s">
        <v>52</v>
      </c>
      <c r="D587">
        <v>5</v>
      </c>
      <c r="E587">
        <v>54</v>
      </c>
      <c r="F587">
        <v>0.01</v>
      </c>
      <c r="G587">
        <f t="shared" si="9"/>
        <v>4.2735042735042736E-2</v>
      </c>
      <c r="H587">
        <f>G587*(26.79/38.29)</f>
        <v>2.9900020759252934E-2</v>
      </c>
    </row>
    <row r="588" spans="1:8" x14ac:dyDescent="0.25">
      <c r="A588" s="1">
        <v>1997</v>
      </c>
      <c r="B588" s="1" t="s">
        <v>99</v>
      </c>
      <c r="C588" t="s">
        <v>52</v>
      </c>
      <c r="D588">
        <v>5</v>
      </c>
      <c r="E588">
        <v>63</v>
      </c>
      <c r="F588">
        <v>0.03</v>
      </c>
      <c r="G588">
        <f t="shared" si="9"/>
        <v>0.12820512820512819</v>
      </c>
      <c r="H588">
        <f>G588*(26.79/38.29)</f>
        <v>8.9700062277758785E-2</v>
      </c>
    </row>
    <row r="589" spans="1:8" x14ac:dyDescent="0.25">
      <c r="A589" s="1">
        <v>1997</v>
      </c>
      <c r="B589" s="1" t="s">
        <v>99</v>
      </c>
      <c r="C589" t="s">
        <v>52</v>
      </c>
      <c r="D589">
        <v>5</v>
      </c>
      <c r="E589">
        <v>78</v>
      </c>
      <c r="F589">
        <v>0.01</v>
      </c>
      <c r="G589">
        <f t="shared" si="9"/>
        <v>4.2735042735042736E-2</v>
      </c>
      <c r="H589">
        <f>G589*(26.79/38.29)</f>
        <v>2.9900020759252934E-2</v>
      </c>
    </row>
    <row r="590" spans="1:8" x14ac:dyDescent="0.25">
      <c r="A590" s="1">
        <v>1997</v>
      </c>
      <c r="B590" s="1" t="s">
        <v>99</v>
      </c>
      <c r="C590" t="s">
        <v>52</v>
      </c>
      <c r="D590">
        <v>5</v>
      </c>
      <c r="E590">
        <v>78</v>
      </c>
      <c r="F590">
        <v>0.01</v>
      </c>
      <c r="G590">
        <f t="shared" si="9"/>
        <v>4.2735042735042736E-2</v>
      </c>
      <c r="H590">
        <f>G590*(26.79/38.29)</f>
        <v>2.9900020759252934E-2</v>
      </c>
    </row>
    <row r="591" spans="1:8" x14ac:dyDescent="0.25">
      <c r="A591" s="1">
        <v>1997</v>
      </c>
      <c r="B591" s="1" t="s">
        <v>99</v>
      </c>
      <c r="C591" t="s">
        <v>52</v>
      </c>
      <c r="D591">
        <v>5</v>
      </c>
      <c r="E591">
        <v>78</v>
      </c>
      <c r="F591">
        <v>0.01</v>
      </c>
      <c r="G591">
        <f t="shared" si="9"/>
        <v>4.2735042735042736E-2</v>
      </c>
      <c r="H591">
        <f>G591*(26.79/38.29)</f>
        <v>2.9900020759252934E-2</v>
      </c>
    </row>
    <row r="592" spans="1:8" x14ac:dyDescent="0.25">
      <c r="A592" s="1">
        <v>1997</v>
      </c>
      <c r="B592" s="1" t="s">
        <v>99</v>
      </c>
      <c r="C592" t="s">
        <v>52</v>
      </c>
      <c r="D592">
        <v>5</v>
      </c>
      <c r="E592">
        <v>78</v>
      </c>
      <c r="F592">
        <v>0.01</v>
      </c>
      <c r="G592">
        <f t="shared" si="9"/>
        <v>4.2735042735042736E-2</v>
      </c>
      <c r="H592">
        <f>G592*(26.79/38.29)</f>
        <v>2.9900020759252934E-2</v>
      </c>
    </row>
    <row r="593" spans="1:8" x14ac:dyDescent="0.25">
      <c r="A593" s="1">
        <v>1997</v>
      </c>
      <c r="B593" s="1" t="s">
        <v>99</v>
      </c>
      <c r="C593" t="s">
        <v>52</v>
      </c>
      <c r="D593">
        <v>5</v>
      </c>
      <c r="E593">
        <v>79</v>
      </c>
      <c r="F593">
        <v>0.01</v>
      </c>
      <c r="G593">
        <f t="shared" si="9"/>
        <v>4.2735042735042736E-2</v>
      </c>
      <c r="H593">
        <f>G593*(26.79/38.29)</f>
        <v>2.9900020759252934E-2</v>
      </c>
    </row>
    <row r="594" spans="1:8" x14ac:dyDescent="0.25">
      <c r="A594" s="1">
        <v>2002</v>
      </c>
      <c r="B594" s="1" t="s">
        <v>99</v>
      </c>
      <c r="C594" t="s">
        <v>52</v>
      </c>
      <c r="D594">
        <v>1</v>
      </c>
      <c r="E594">
        <v>29</v>
      </c>
      <c r="F594">
        <v>0.02</v>
      </c>
      <c r="G594">
        <f>(F594/0.01)/90</f>
        <v>2.2222222222222223E-2</v>
      </c>
      <c r="H594">
        <f>G594*(26.79/38.29)</f>
        <v>1.5548010794811525E-2</v>
      </c>
    </row>
    <row r="595" spans="1:8" x14ac:dyDescent="0.25">
      <c r="A595" s="1">
        <v>2002</v>
      </c>
      <c r="B595" s="1" t="s">
        <v>99</v>
      </c>
      <c r="C595" t="s">
        <v>52</v>
      </c>
      <c r="D595">
        <v>1</v>
      </c>
      <c r="E595">
        <v>29</v>
      </c>
      <c r="F595">
        <v>0.01</v>
      </c>
      <c r="G595">
        <f t="shared" ref="G595:G658" si="10">(F595/0.01)/90</f>
        <v>1.1111111111111112E-2</v>
      </c>
      <c r="H595">
        <f>G595*(26.79/38.29)</f>
        <v>7.7740053974057624E-3</v>
      </c>
    </row>
    <row r="596" spans="1:8" x14ac:dyDescent="0.25">
      <c r="A596" s="1">
        <v>2002</v>
      </c>
      <c r="B596" s="1" t="s">
        <v>99</v>
      </c>
      <c r="C596" t="s">
        <v>52</v>
      </c>
      <c r="D596">
        <v>1</v>
      </c>
      <c r="E596">
        <v>32</v>
      </c>
      <c r="F596">
        <v>0.02</v>
      </c>
      <c r="G596">
        <f t="shared" si="10"/>
        <v>2.2222222222222223E-2</v>
      </c>
      <c r="H596">
        <f>G596*(26.79/38.29)</f>
        <v>1.5548010794811525E-2</v>
      </c>
    </row>
    <row r="597" spans="1:8" x14ac:dyDescent="0.25">
      <c r="A597" s="1">
        <v>2002</v>
      </c>
      <c r="B597" s="1" t="s">
        <v>99</v>
      </c>
      <c r="C597" t="s">
        <v>52</v>
      </c>
      <c r="D597">
        <v>1</v>
      </c>
      <c r="E597">
        <v>32</v>
      </c>
      <c r="F597">
        <v>0.01</v>
      </c>
      <c r="G597">
        <f t="shared" si="10"/>
        <v>1.1111111111111112E-2</v>
      </c>
      <c r="H597">
        <f>G597*(26.79/38.29)</f>
        <v>7.7740053974057624E-3</v>
      </c>
    </row>
    <row r="598" spans="1:8" x14ac:dyDescent="0.25">
      <c r="A598" s="1">
        <v>2002</v>
      </c>
      <c r="B598" s="1" t="s">
        <v>99</v>
      </c>
      <c r="C598" t="s">
        <v>52</v>
      </c>
      <c r="D598">
        <v>1</v>
      </c>
      <c r="E598">
        <v>32</v>
      </c>
      <c r="F598">
        <v>0.02</v>
      </c>
      <c r="G598">
        <f t="shared" si="10"/>
        <v>2.2222222222222223E-2</v>
      </c>
      <c r="H598">
        <f>G598*(26.79/38.29)</f>
        <v>1.5548010794811525E-2</v>
      </c>
    </row>
    <row r="599" spans="1:8" x14ac:dyDescent="0.25">
      <c r="A599" s="1">
        <v>2002</v>
      </c>
      <c r="B599" s="1" t="s">
        <v>99</v>
      </c>
      <c r="C599" t="s">
        <v>52</v>
      </c>
      <c r="D599">
        <v>1</v>
      </c>
      <c r="E599">
        <v>32</v>
      </c>
      <c r="F599">
        <v>0.01</v>
      </c>
      <c r="G599">
        <f t="shared" si="10"/>
        <v>1.1111111111111112E-2</v>
      </c>
      <c r="H599">
        <f>G599*(26.79/38.29)</f>
        <v>7.7740053974057624E-3</v>
      </c>
    </row>
    <row r="600" spans="1:8" x14ac:dyDescent="0.25">
      <c r="A600" s="1">
        <v>2002</v>
      </c>
      <c r="B600" s="1" t="s">
        <v>99</v>
      </c>
      <c r="C600" t="s">
        <v>52</v>
      </c>
      <c r="D600">
        <v>1</v>
      </c>
      <c r="E600">
        <v>32</v>
      </c>
      <c r="F600">
        <v>0.01</v>
      </c>
      <c r="G600">
        <f t="shared" si="10"/>
        <v>1.1111111111111112E-2</v>
      </c>
      <c r="H600">
        <f>G600*(26.79/38.29)</f>
        <v>7.7740053974057624E-3</v>
      </c>
    </row>
    <row r="601" spans="1:8" x14ac:dyDescent="0.25">
      <c r="A601" s="1">
        <v>2002</v>
      </c>
      <c r="B601" s="1" t="s">
        <v>99</v>
      </c>
      <c r="C601" t="s">
        <v>52</v>
      </c>
      <c r="D601">
        <v>1</v>
      </c>
      <c r="E601">
        <v>32</v>
      </c>
      <c r="F601">
        <v>0.03</v>
      </c>
      <c r="G601">
        <f t="shared" si="10"/>
        <v>3.3333333333333333E-2</v>
      </c>
      <c r="H601">
        <f>G601*(26.79/38.29)</f>
        <v>2.3322016192217288E-2</v>
      </c>
    </row>
    <row r="602" spans="1:8" x14ac:dyDescent="0.25">
      <c r="A602" s="1">
        <v>2002</v>
      </c>
      <c r="B602" s="1" t="s">
        <v>99</v>
      </c>
      <c r="C602" t="s">
        <v>52</v>
      </c>
      <c r="D602">
        <v>1</v>
      </c>
      <c r="E602">
        <v>32</v>
      </c>
      <c r="F602">
        <v>0.01</v>
      </c>
      <c r="G602">
        <f t="shared" si="10"/>
        <v>1.1111111111111112E-2</v>
      </c>
      <c r="H602">
        <f>G602*(26.79/38.29)</f>
        <v>7.7740053974057624E-3</v>
      </c>
    </row>
    <row r="603" spans="1:8" x14ac:dyDescent="0.25">
      <c r="A603" s="1">
        <v>2002</v>
      </c>
      <c r="B603" s="1" t="s">
        <v>99</v>
      </c>
      <c r="C603" t="s">
        <v>52</v>
      </c>
      <c r="D603">
        <v>1</v>
      </c>
      <c r="E603">
        <v>32</v>
      </c>
      <c r="F603">
        <v>0.01</v>
      </c>
      <c r="G603">
        <f t="shared" si="10"/>
        <v>1.1111111111111112E-2</v>
      </c>
      <c r="H603">
        <f>G603*(26.79/38.29)</f>
        <v>7.7740053974057624E-3</v>
      </c>
    </row>
    <row r="604" spans="1:8" x14ac:dyDescent="0.25">
      <c r="A604" s="1">
        <v>2002</v>
      </c>
      <c r="B604" s="1" t="s">
        <v>99</v>
      </c>
      <c r="C604" t="s">
        <v>52</v>
      </c>
      <c r="D604">
        <v>1</v>
      </c>
      <c r="E604">
        <v>58</v>
      </c>
      <c r="F604">
        <v>0.01</v>
      </c>
      <c r="G604">
        <f t="shared" si="10"/>
        <v>1.1111111111111112E-2</v>
      </c>
      <c r="H604">
        <f>G604*(26.79/38.29)</f>
        <v>7.7740053974057624E-3</v>
      </c>
    </row>
    <row r="605" spans="1:8" x14ac:dyDescent="0.25">
      <c r="A605" s="1">
        <v>2002</v>
      </c>
      <c r="B605" s="1" t="s">
        <v>99</v>
      </c>
      <c r="C605" t="s">
        <v>52</v>
      </c>
      <c r="D605">
        <v>1</v>
      </c>
      <c r="E605">
        <v>66</v>
      </c>
      <c r="F605">
        <v>0.01</v>
      </c>
      <c r="G605">
        <f t="shared" si="10"/>
        <v>1.1111111111111112E-2</v>
      </c>
      <c r="H605">
        <f>G605*(26.79/38.29)</f>
        <v>7.7740053974057624E-3</v>
      </c>
    </row>
    <row r="606" spans="1:8" x14ac:dyDescent="0.25">
      <c r="A606" s="1">
        <v>2002</v>
      </c>
      <c r="B606" s="1" t="s">
        <v>99</v>
      </c>
      <c r="C606" t="s">
        <v>52</v>
      </c>
      <c r="D606">
        <v>1</v>
      </c>
      <c r="E606">
        <v>76</v>
      </c>
      <c r="F606">
        <v>0.01</v>
      </c>
      <c r="G606">
        <f t="shared" si="10"/>
        <v>1.1111111111111112E-2</v>
      </c>
      <c r="H606">
        <f>G606*(26.79/38.29)</f>
        <v>7.7740053974057624E-3</v>
      </c>
    </row>
    <row r="607" spans="1:8" x14ac:dyDescent="0.25">
      <c r="A607" s="1">
        <v>2002</v>
      </c>
      <c r="B607" s="1" t="s">
        <v>99</v>
      </c>
      <c r="C607" t="s">
        <v>52</v>
      </c>
      <c r="D607">
        <v>1</v>
      </c>
      <c r="E607">
        <v>76</v>
      </c>
      <c r="F607">
        <v>0.02</v>
      </c>
      <c r="G607">
        <f t="shared" si="10"/>
        <v>2.2222222222222223E-2</v>
      </c>
      <c r="H607">
        <f>G607*(26.79/38.29)</f>
        <v>1.5548010794811525E-2</v>
      </c>
    </row>
    <row r="608" spans="1:8" x14ac:dyDescent="0.25">
      <c r="A608" s="1">
        <v>2002</v>
      </c>
      <c r="B608" s="1" t="s">
        <v>99</v>
      </c>
      <c r="C608" t="s">
        <v>52</v>
      </c>
      <c r="D608">
        <v>1</v>
      </c>
      <c r="E608">
        <v>76</v>
      </c>
      <c r="F608">
        <v>0.03</v>
      </c>
      <c r="G608">
        <f t="shared" si="10"/>
        <v>3.3333333333333333E-2</v>
      </c>
      <c r="H608">
        <f>G608*(26.79/38.29)</f>
        <v>2.3322016192217288E-2</v>
      </c>
    </row>
    <row r="609" spans="1:8" x14ac:dyDescent="0.25">
      <c r="A609" s="1">
        <v>2002</v>
      </c>
      <c r="B609" s="1" t="s">
        <v>99</v>
      </c>
      <c r="C609" t="s">
        <v>52</v>
      </c>
      <c r="D609">
        <v>1</v>
      </c>
      <c r="E609">
        <v>78</v>
      </c>
      <c r="F609">
        <v>0.01</v>
      </c>
      <c r="G609">
        <f t="shared" si="10"/>
        <v>1.1111111111111112E-2</v>
      </c>
      <c r="H609">
        <f>G609*(26.79/38.29)</f>
        <v>7.7740053974057624E-3</v>
      </c>
    </row>
    <row r="610" spans="1:8" x14ac:dyDescent="0.25">
      <c r="A610" s="1">
        <v>2002</v>
      </c>
      <c r="B610" s="1" t="s">
        <v>99</v>
      </c>
      <c r="C610" t="s">
        <v>52</v>
      </c>
      <c r="D610">
        <v>1</v>
      </c>
      <c r="E610">
        <v>78</v>
      </c>
      <c r="F610">
        <v>0.01</v>
      </c>
      <c r="G610">
        <f t="shared" si="10"/>
        <v>1.1111111111111112E-2</v>
      </c>
      <c r="H610">
        <f>G610*(26.79/38.29)</f>
        <v>7.7740053974057624E-3</v>
      </c>
    </row>
    <row r="611" spans="1:8" x14ac:dyDescent="0.25">
      <c r="A611" s="1">
        <v>2002</v>
      </c>
      <c r="B611" s="1" t="s">
        <v>99</v>
      </c>
      <c r="C611" t="s">
        <v>52</v>
      </c>
      <c r="D611">
        <v>1</v>
      </c>
      <c r="E611">
        <v>78</v>
      </c>
      <c r="F611">
        <v>0.02</v>
      </c>
      <c r="G611">
        <f t="shared" si="10"/>
        <v>2.2222222222222223E-2</v>
      </c>
      <c r="H611">
        <f>G611*(26.79/38.29)</f>
        <v>1.5548010794811525E-2</v>
      </c>
    </row>
    <row r="612" spans="1:8" x14ac:dyDescent="0.25">
      <c r="A612" s="1">
        <v>2002</v>
      </c>
      <c r="B612" s="1" t="s">
        <v>99</v>
      </c>
      <c r="C612" t="s">
        <v>52</v>
      </c>
      <c r="D612">
        <v>1</v>
      </c>
      <c r="E612">
        <v>78</v>
      </c>
      <c r="F612">
        <v>0.02</v>
      </c>
      <c r="G612">
        <f t="shared" si="10"/>
        <v>2.2222222222222223E-2</v>
      </c>
      <c r="H612">
        <f>G612*(26.79/38.29)</f>
        <v>1.5548010794811525E-2</v>
      </c>
    </row>
    <row r="613" spans="1:8" x14ac:dyDescent="0.25">
      <c r="A613" s="1">
        <v>2002</v>
      </c>
      <c r="B613" s="1" t="s">
        <v>99</v>
      </c>
      <c r="C613" t="s">
        <v>52</v>
      </c>
      <c r="D613">
        <v>1</v>
      </c>
      <c r="E613">
        <v>78</v>
      </c>
      <c r="F613">
        <v>0.02</v>
      </c>
      <c r="G613">
        <f t="shared" si="10"/>
        <v>2.2222222222222223E-2</v>
      </c>
      <c r="H613">
        <f>G613*(26.79/38.29)</f>
        <v>1.5548010794811525E-2</v>
      </c>
    </row>
    <row r="614" spans="1:8" x14ac:dyDescent="0.25">
      <c r="A614" s="1">
        <v>2002</v>
      </c>
      <c r="B614" s="1" t="s">
        <v>99</v>
      </c>
      <c r="C614" t="s">
        <v>52</v>
      </c>
      <c r="D614">
        <v>1</v>
      </c>
      <c r="E614">
        <v>78</v>
      </c>
      <c r="F614">
        <v>0.01</v>
      </c>
      <c r="G614">
        <f t="shared" si="10"/>
        <v>1.1111111111111112E-2</v>
      </c>
      <c r="H614">
        <f>G614*(26.79/38.29)</f>
        <v>7.7740053974057624E-3</v>
      </c>
    </row>
    <row r="615" spans="1:8" x14ac:dyDescent="0.25">
      <c r="A615" s="1">
        <v>2002</v>
      </c>
      <c r="B615" s="1" t="s">
        <v>99</v>
      </c>
      <c r="C615" t="s">
        <v>52</v>
      </c>
      <c r="D615">
        <v>1</v>
      </c>
      <c r="E615">
        <v>78</v>
      </c>
      <c r="F615">
        <v>0.01</v>
      </c>
      <c r="G615">
        <f t="shared" si="10"/>
        <v>1.1111111111111112E-2</v>
      </c>
      <c r="H615">
        <f>G615*(26.79/38.29)</f>
        <v>7.7740053974057624E-3</v>
      </c>
    </row>
    <row r="616" spans="1:8" x14ac:dyDescent="0.25">
      <c r="A616" s="1">
        <v>2002</v>
      </c>
      <c r="B616" s="1" t="s">
        <v>99</v>
      </c>
      <c r="C616" t="s">
        <v>52</v>
      </c>
      <c r="D616">
        <v>1</v>
      </c>
      <c r="E616">
        <v>78</v>
      </c>
      <c r="F616">
        <v>0.02</v>
      </c>
      <c r="G616">
        <f t="shared" si="10"/>
        <v>2.2222222222222223E-2</v>
      </c>
      <c r="H616">
        <f>G616*(26.79/38.29)</f>
        <v>1.5548010794811525E-2</v>
      </c>
    </row>
    <row r="617" spans="1:8" x14ac:dyDescent="0.25">
      <c r="A617" s="1">
        <v>2002</v>
      </c>
      <c r="B617" s="1" t="s">
        <v>99</v>
      </c>
      <c r="C617" t="s">
        <v>52</v>
      </c>
      <c r="D617">
        <v>1</v>
      </c>
      <c r="E617">
        <v>78</v>
      </c>
      <c r="F617">
        <v>0.01</v>
      </c>
      <c r="G617">
        <f t="shared" si="10"/>
        <v>1.1111111111111112E-2</v>
      </c>
      <c r="H617">
        <f>G617*(26.79/38.29)</f>
        <v>7.7740053974057624E-3</v>
      </c>
    </row>
    <row r="618" spans="1:8" x14ac:dyDescent="0.25">
      <c r="A618" s="1">
        <v>2002</v>
      </c>
      <c r="B618" s="1" t="s">
        <v>99</v>
      </c>
      <c r="C618" t="s">
        <v>52</v>
      </c>
      <c r="D618">
        <v>1</v>
      </c>
      <c r="E618">
        <v>78</v>
      </c>
      <c r="F618">
        <v>0.02</v>
      </c>
      <c r="G618">
        <f t="shared" si="10"/>
        <v>2.2222222222222223E-2</v>
      </c>
      <c r="H618">
        <f>G618*(26.79/38.29)</f>
        <v>1.5548010794811525E-2</v>
      </c>
    </row>
    <row r="619" spans="1:8" x14ac:dyDescent="0.25">
      <c r="A619" s="1">
        <v>2002</v>
      </c>
      <c r="B619" s="1" t="s">
        <v>99</v>
      </c>
      <c r="C619" t="s">
        <v>52</v>
      </c>
      <c r="D619">
        <v>1</v>
      </c>
      <c r="E619">
        <v>78</v>
      </c>
      <c r="F619">
        <v>0.01</v>
      </c>
      <c r="G619">
        <f t="shared" si="10"/>
        <v>1.1111111111111112E-2</v>
      </c>
      <c r="H619">
        <f>G619*(26.79/38.29)</f>
        <v>7.7740053974057624E-3</v>
      </c>
    </row>
    <row r="620" spans="1:8" x14ac:dyDescent="0.25">
      <c r="A620" s="1">
        <v>2002</v>
      </c>
      <c r="B620" s="1" t="s">
        <v>99</v>
      </c>
      <c r="C620" t="s">
        <v>52</v>
      </c>
      <c r="D620">
        <v>1</v>
      </c>
      <c r="E620">
        <v>78</v>
      </c>
      <c r="F620">
        <v>0.01</v>
      </c>
      <c r="G620">
        <f t="shared" si="10"/>
        <v>1.1111111111111112E-2</v>
      </c>
      <c r="H620">
        <f>G620*(26.79/38.29)</f>
        <v>7.7740053974057624E-3</v>
      </c>
    </row>
    <row r="621" spans="1:8" x14ac:dyDescent="0.25">
      <c r="A621" s="1">
        <v>2002</v>
      </c>
      <c r="B621" s="1" t="s">
        <v>99</v>
      </c>
      <c r="C621" t="s">
        <v>52</v>
      </c>
      <c r="D621">
        <v>1</v>
      </c>
      <c r="E621">
        <v>78</v>
      </c>
      <c r="F621">
        <v>0.01</v>
      </c>
      <c r="G621">
        <f t="shared" si="10"/>
        <v>1.1111111111111112E-2</v>
      </c>
      <c r="H621">
        <f>G621*(26.79/38.29)</f>
        <v>7.7740053974057624E-3</v>
      </c>
    </row>
    <row r="622" spans="1:8" x14ac:dyDescent="0.25">
      <c r="A622" s="1">
        <v>2002</v>
      </c>
      <c r="B622" s="1" t="s">
        <v>99</v>
      </c>
      <c r="C622" t="s">
        <v>52</v>
      </c>
      <c r="D622">
        <v>1</v>
      </c>
      <c r="E622">
        <v>78</v>
      </c>
      <c r="F622">
        <v>0.01</v>
      </c>
      <c r="G622">
        <f t="shared" si="10"/>
        <v>1.1111111111111112E-2</v>
      </c>
      <c r="H622">
        <f>G622*(26.79/38.29)</f>
        <v>7.7740053974057624E-3</v>
      </c>
    </row>
    <row r="623" spans="1:8" x14ac:dyDescent="0.25">
      <c r="A623" s="1">
        <v>2002</v>
      </c>
      <c r="B623" s="1" t="s">
        <v>99</v>
      </c>
      <c r="C623" t="s">
        <v>52</v>
      </c>
      <c r="D623">
        <v>1</v>
      </c>
      <c r="E623">
        <v>78</v>
      </c>
      <c r="F623">
        <v>0.01</v>
      </c>
      <c r="G623">
        <f t="shared" si="10"/>
        <v>1.1111111111111112E-2</v>
      </c>
      <c r="H623">
        <f>G623*(26.79/38.29)</f>
        <v>7.7740053974057624E-3</v>
      </c>
    </row>
    <row r="624" spans="1:8" x14ac:dyDescent="0.25">
      <c r="A624" s="1">
        <v>2002</v>
      </c>
      <c r="B624" s="1" t="s">
        <v>99</v>
      </c>
      <c r="C624" t="s">
        <v>52</v>
      </c>
      <c r="D624">
        <v>1</v>
      </c>
      <c r="E624">
        <v>78</v>
      </c>
      <c r="F624">
        <v>0.01</v>
      </c>
      <c r="G624">
        <f t="shared" si="10"/>
        <v>1.1111111111111112E-2</v>
      </c>
      <c r="H624">
        <f>G624*(26.79/38.29)</f>
        <v>7.7740053974057624E-3</v>
      </c>
    </row>
    <row r="625" spans="1:8" x14ac:dyDescent="0.25">
      <c r="A625" s="1">
        <v>2002</v>
      </c>
      <c r="B625" s="1" t="s">
        <v>99</v>
      </c>
      <c r="C625" t="s">
        <v>52</v>
      </c>
      <c r="D625">
        <v>1</v>
      </c>
      <c r="E625">
        <v>78</v>
      </c>
      <c r="F625">
        <v>0.01</v>
      </c>
      <c r="G625">
        <f t="shared" si="10"/>
        <v>1.1111111111111112E-2</v>
      </c>
      <c r="H625">
        <f>G625*(26.79/38.29)</f>
        <v>7.7740053974057624E-3</v>
      </c>
    </row>
    <row r="626" spans="1:8" x14ac:dyDescent="0.25">
      <c r="A626" s="1">
        <v>2002</v>
      </c>
      <c r="B626" s="1" t="s">
        <v>99</v>
      </c>
      <c r="C626" t="s">
        <v>52</v>
      </c>
      <c r="D626">
        <v>1</v>
      </c>
      <c r="E626">
        <v>78</v>
      </c>
      <c r="F626">
        <v>0.02</v>
      </c>
      <c r="G626">
        <f t="shared" si="10"/>
        <v>2.2222222222222223E-2</v>
      </c>
      <c r="H626">
        <f>G626*(26.79/38.29)</f>
        <v>1.5548010794811525E-2</v>
      </c>
    </row>
    <row r="627" spans="1:8" x14ac:dyDescent="0.25">
      <c r="A627" s="1">
        <v>2002</v>
      </c>
      <c r="B627" s="1" t="s">
        <v>99</v>
      </c>
      <c r="C627" t="s">
        <v>52</v>
      </c>
      <c r="D627">
        <v>1</v>
      </c>
      <c r="E627">
        <v>78</v>
      </c>
      <c r="F627">
        <v>0.02</v>
      </c>
      <c r="G627">
        <f t="shared" si="10"/>
        <v>2.2222222222222223E-2</v>
      </c>
      <c r="H627">
        <f>G627*(26.79/38.29)</f>
        <v>1.5548010794811525E-2</v>
      </c>
    </row>
    <row r="628" spans="1:8" x14ac:dyDescent="0.25">
      <c r="A628" s="1">
        <v>2002</v>
      </c>
      <c r="B628" s="1" t="s">
        <v>99</v>
      </c>
      <c r="C628" t="s">
        <v>52</v>
      </c>
      <c r="D628">
        <v>1</v>
      </c>
      <c r="E628">
        <v>78</v>
      </c>
      <c r="F628">
        <v>0.01</v>
      </c>
      <c r="G628">
        <f t="shared" si="10"/>
        <v>1.1111111111111112E-2</v>
      </c>
      <c r="H628">
        <f>G628*(26.79/38.29)</f>
        <v>7.7740053974057624E-3</v>
      </c>
    </row>
    <row r="629" spans="1:8" x14ac:dyDescent="0.25">
      <c r="A629" s="1">
        <v>2002</v>
      </c>
      <c r="B629" s="1" t="s">
        <v>99</v>
      </c>
      <c r="C629" t="s">
        <v>52</v>
      </c>
      <c r="D629">
        <v>1</v>
      </c>
      <c r="E629">
        <v>78</v>
      </c>
      <c r="F629">
        <v>0.01</v>
      </c>
      <c r="G629">
        <f t="shared" si="10"/>
        <v>1.1111111111111112E-2</v>
      </c>
      <c r="H629">
        <f>G629*(26.79/38.29)</f>
        <v>7.7740053974057624E-3</v>
      </c>
    </row>
    <row r="630" spans="1:8" x14ac:dyDescent="0.25">
      <c r="A630" s="1">
        <v>2002</v>
      </c>
      <c r="B630" s="1" t="s">
        <v>99</v>
      </c>
      <c r="C630" t="s">
        <v>52</v>
      </c>
      <c r="D630">
        <v>1</v>
      </c>
      <c r="E630">
        <v>78</v>
      </c>
      <c r="F630">
        <v>0.02</v>
      </c>
      <c r="G630">
        <f t="shared" si="10"/>
        <v>2.2222222222222223E-2</v>
      </c>
      <c r="H630">
        <f>G630*(26.79/38.29)</f>
        <v>1.5548010794811525E-2</v>
      </c>
    </row>
    <row r="631" spans="1:8" x14ac:dyDescent="0.25">
      <c r="A631" s="1">
        <v>2002</v>
      </c>
      <c r="B631" s="1" t="s">
        <v>99</v>
      </c>
      <c r="C631" t="s">
        <v>52</v>
      </c>
      <c r="D631">
        <v>1</v>
      </c>
      <c r="E631">
        <v>78</v>
      </c>
      <c r="F631">
        <v>0.02</v>
      </c>
      <c r="G631">
        <f t="shared" si="10"/>
        <v>2.2222222222222223E-2</v>
      </c>
      <c r="H631">
        <f>G631*(26.79/38.29)</f>
        <v>1.5548010794811525E-2</v>
      </c>
    </row>
    <row r="632" spans="1:8" x14ac:dyDescent="0.25">
      <c r="A632" s="1">
        <v>2002</v>
      </c>
      <c r="B632" s="1" t="s">
        <v>99</v>
      </c>
      <c r="C632" t="s">
        <v>52</v>
      </c>
      <c r="D632">
        <v>1</v>
      </c>
      <c r="E632">
        <v>78</v>
      </c>
      <c r="F632">
        <v>0.02</v>
      </c>
      <c r="G632">
        <f t="shared" si="10"/>
        <v>2.2222222222222223E-2</v>
      </c>
      <c r="H632">
        <f>G632*(26.79/38.29)</f>
        <v>1.5548010794811525E-2</v>
      </c>
    </row>
    <row r="633" spans="1:8" x14ac:dyDescent="0.25">
      <c r="A633" s="1">
        <v>2002</v>
      </c>
      <c r="B633" s="1" t="s">
        <v>99</v>
      </c>
      <c r="C633" t="s">
        <v>52</v>
      </c>
      <c r="D633">
        <v>1</v>
      </c>
      <c r="E633">
        <v>78</v>
      </c>
      <c r="F633">
        <v>0.02</v>
      </c>
      <c r="G633">
        <f t="shared" si="10"/>
        <v>2.2222222222222223E-2</v>
      </c>
      <c r="H633">
        <f>G633*(26.79/38.29)</f>
        <v>1.5548010794811525E-2</v>
      </c>
    </row>
    <row r="634" spans="1:8" x14ac:dyDescent="0.25">
      <c r="A634" s="1">
        <v>2002</v>
      </c>
      <c r="B634" s="1" t="s">
        <v>99</v>
      </c>
      <c r="C634" t="s">
        <v>52</v>
      </c>
      <c r="D634">
        <v>1</v>
      </c>
      <c r="E634">
        <v>78</v>
      </c>
      <c r="F634">
        <v>0.02</v>
      </c>
      <c r="G634">
        <f t="shared" si="10"/>
        <v>2.2222222222222223E-2</v>
      </c>
      <c r="H634">
        <f>G634*(26.79/38.29)</f>
        <v>1.5548010794811525E-2</v>
      </c>
    </row>
    <row r="635" spans="1:8" x14ac:dyDescent="0.25">
      <c r="A635" s="1">
        <v>2002</v>
      </c>
      <c r="B635" s="1" t="s">
        <v>99</v>
      </c>
      <c r="C635" t="s">
        <v>52</v>
      </c>
      <c r="D635">
        <v>1</v>
      </c>
      <c r="E635">
        <v>78</v>
      </c>
      <c r="F635">
        <v>0.01</v>
      </c>
      <c r="G635">
        <f t="shared" si="10"/>
        <v>1.1111111111111112E-2</v>
      </c>
      <c r="H635">
        <f>G635*(26.79/38.29)</f>
        <v>7.7740053974057624E-3</v>
      </c>
    </row>
    <row r="636" spans="1:8" x14ac:dyDescent="0.25">
      <c r="A636" s="1">
        <v>2002</v>
      </c>
      <c r="B636" s="1" t="s">
        <v>99</v>
      </c>
      <c r="C636" t="s">
        <v>52</v>
      </c>
      <c r="D636">
        <v>1</v>
      </c>
      <c r="E636">
        <v>78</v>
      </c>
      <c r="F636">
        <v>0.02</v>
      </c>
      <c r="G636">
        <f t="shared" si="10"/>
        <v>2.2222222222222223E-2</v>
      </c>
      <c r="H636">
        <f>G636*(26.79/38.29)</f>
        <v>1.5548010794811525E-2</v>
      </c>
    </row>
    <row r="637" spans="1:8" x14ac:dyDescent="0.25">
      <c r="A637" s="1">
        <v>2002</v>
      </c>
      <c r="B637" s="1" t="s">
        <v>99</v>
      </c>
      <c r="C637" t="s">
        <v>52</v>
      </c>
      <c r="D637">
        <v>1</v>
      </c>
      <c r="E637">
        <v>78</v>
      </c>
      <c r="F637">
        <v>0.01</v>
      </c>
      <c r="G637">
        <f t="shared" si="10"/>
        <v>1.1111111111111112E-2</v>
      </c>
      <c r="H637">
        <f>G637*(26.79/38.29)</f>
        <v>7.7740053974057624E-3</v>
      </c>
    </row>
    <row r="638" spans="1:8" x14ac:dyDescent="0.25">
      <c r="A638" s="1">
        <v>2002</v>
      </c>
      <c r="B638" s="1" t="s">
        <v>99</v>
      </c>
      <c r="C638" t="s">
        <v>52</v>
      </c>
      <c r="D638">
        <v>1</v>
      </c>
      <c r="E638">
        <v>78</v>
      </c>
      <c r="F638">
        <v>0.02</v>
      </c>
      <c r="G638">
        <f t="shared" si="10"/>
        <v>2.2222222222222223E-2</v>
      </c>
      <c r="H638">
        <f>G638*(26.79/38.29)</f>
        <v>1.5548010794811525E-2</v>
      </c>
    </row>
    <row r="639" spans="1:8" x14ac:dyDescent="0.25">
      <c r="A639" s="1">
        <v>2002</v>
      </c>
      <c r="B639" s="1" t="s">
        <v>99</v>
      </c>
      <c r="C639" t="s">
        <v>52</v>
      </c>
      <c r="D639">
        <v>1</v>
      </c>
      <c r="E639">
        <v>78</v>
      </c>
      <c r="F639">
        <v>0.02</v>
      </c>
      <c r="G639">
        <f t="shared" si="10"/>
        <v>2.2222222222222223E-2</v>
      </c>
      <c r="H639">
        <f>G639*(26.79/38.29)</f>
        <v>1.5548010794811525E-2</v>
      </c>
    </row>
    <row r="640" spans="1:8" x14ac:dyDescent="0.25">
      <c r="A640" s="1">
        <v>2002</v>
      </c>
      <c r="B640" s="1" t="s">
        <v>99</v>
      </c>
      <c r="C640" t="s">
        <v>52</v>
      </c>
      <c r="D640">
        <v>1</v>
      </c>
      <c r="E640">
        <v>78</v>
      </c>
      <c r="F640">
        <v>0.02</v>
      </c>
      <c r="G640">
        <f t="shared" si="10"/>
        <v>2.2222222222222223E-2</v>
      </c>
      <c r="H640">
        <f>G640*(26.79/38.29)</f>
        <v>1.5548010794811525E-2</v>
      </c>
    </row>
    <row r="641" spans="1:8" x14ac:dyDescent="0.25">
      <c r="A641" s="1">
        <v>2002</v>
      </c>
      <c r="B641" s="1" t="s">
        <v>99</v>
      </c>
      <c r="C641" t="s">
        <v>52</v>
      </c>
      <c r="D641">
        <v>1</v>
      </c>
      <c r="E641">
        <v>78</v>
      </c>
      <c r="F641">
        <v>0.02</v>
      </c>
      <c r="G641">
        <f t="shared" si="10"/>
        <v>2.2222222222222223E-2</v>
      </c>
      <c r="H641">
        <f>G641*(26.79/38.29)</f>
        <v>1.5548010794811525E-2</v>
      </c>
    </row>
    <row r="642" spans="1:8" x14ac:dyDescent="0.25">
      <c r="A642" s="1">
        <v>2002</v>
      </c>
      <c r="B642" s="1" t="s">
        <v>99</v>
      </c>
      <c r="C642" t="s">
        <v>52</v>
      </c>
      <c r="D642">
        <v>1</v>
      </c>
      <c r="E642">
        <v>78</v>
      </c>
      <c r="F642">
        <v>0.02</v>
      </c>
      <c r="G642">
        <f t="shared" si="10"/>
        <v>2.2222222222222223E-2</v>
      </c>
      <c r="H642">
        <f>G642*(26.79/38.29)</f>
        <v>1.5548010794811525E-2</v>
      </c>
    </row>
    <row r="643" spans="1:8" x14ac:dyDescent="0.25">
      <c r="A643" s="1">
        <v>2002</v>
      </c>
      <c r="B643" s="1" t="s">
        <v>99</v>
      </c>
      <c r="C643" t="s">
        <v>52</v>
      </c>
      <c r="D643">
        <v>1</v>
      </c>
      <c r="E643">
        <v>78</v>
      </c>
      <c r="F643">
        <v>0.02</v>
      </c>
      <c r="G643">
        <f t="shared" si="10"/>
        <v>2.2222222222222223E-2</v>
      </c>
      <c r="H643">
        <f>G643*(26.79/38.29)</f>
        <v>1.5548010794811525E-2</v>
      </c>
    </row>
    <row r="644" spans="1:8" x14ac:dyDescent="0.25">
      <c r="A644" s="1">
        <v>2002</v>
      </c>
      <c r="B644" s="1" t="s">
        <v>99</v>
      </c>
      <c r="C644" t="s">
        <v>52</v>
      </c>
      <c r="D644">
        <v>1</v>
      </c>
      <c r="E644">
        <v>78</v>
      </c>
      <c r="F644">
        <v>0.02</v>
      </c>
      <c r="G644">
        <f t="shared" si="10"/>
        <v>2.2222222222222223E-2</v>
      </c>
      <c r="H644">
        <f>G644*(26.79/38.29)</f>
        <v>1.5548010794811525E-2</v>
      </c>
    </row>
    <row r="645" spans="1:8" x14ac:dyDescent="0.25">
      <c r="A645" s="1">
        <v>2002</v>
      </c>
      <c r="B645" s="1" t="s">
        <v>99</v>
      </c>
      <c r="C645" t="s">
        <v>52</v>
      </c>
      <c r="D645">
        <v>1</v>
      </c>
      <c r="E645">
        <v>78</v>
      </c>
      <c r="F645">
        <v>0.03</v>
      </c>
      <c r="G645">
        <f t="shared" si="10"/>
        <v>3.3333333333333333E-2</v>
      </c>
      <c r="H645">
        <f>G645*(26.79/38.29)</f>
        <v>2.3322016192217288E-2</v>
      </c>
    </row>
    <row r="646" spans="1:8" x14ac:dyDescent="0.25">
      <c r="A646" s="1">
        <v>2002</v>
      </c>
      <c r="B646" s="1" t="s">
        <v>99</v>
      </c>
      <c r="C646" t="s">
        <v>52</v>
      </c>
      <c r="D646">
        <v>1</v>
      </c>
      <c r="E646">
        <v>78</v>
      </c>
      <c r="F646">
        <v>0.02</v>
      </c>
      <c r="G646">
        <f t="shared" si="10"/>
        <v>2.2222222222222223E-2</v>
      </c>
      <c r="H646">
        <f>G646*(26.79/38.29)</f>
        <v>1.5548010794811525E-2</v>
      </c>
    </row>
    <row r="647" spans="1:8" x14ac:dyDescent="0.25">
      <c r="A647" s="1">
        <v>2002</v>
      </c>
      <c r="B647" s="1" t="s">
        <v>99</v>
      </c>
      <c r="C647" t="s">
        <v>52</v>
      </c>
      <c r="D647">
        <v>1</v>
      </c>
      <c r="E647">
        <v>78</v>
      </c>
      <c r="F647">
        <v>0.01</v>
      </c>
      <c r="G647">
        <f t="shared" si="10"/>
        <v>1.1111111111111112E-2</v>
      </c>
      <c r="H647">
        <f>G647*(26.79/38.29)</f>
        <v>7.7740053974057624E-3</v>
      </c>
    </row>
    <row r="648" spans="1:8" x14ac:dyDescent="0.25">
      <c r="A648" s="1">
        <v>2002</v>
      </c>
      <c r="B648" s="1" t="s">
        <v>99</v>
      </c>
      <c r="C648" t="s">
        <v>52</v>
      </c>
      <c r="D648">
        <v>1</v>
      </c>
      <c r="E648">
        <v>78</v>
      </c>
      <c r="F648">
        <v>0.02</v>
      </c>
      <c r="G648">
        <f t="shared" si="10"/>
        <v>2.2222222222222223E-2</v>
      </c>
      <c r="H648">
        <f>G648*(26.79/38.29)</f>
        <v>1.5548010794811525E-2</v>
      </c>
    </row>
    <row r="649" spans="1:8" x14ac:dyDescent="0.25">
      <c r="A649" s="1">
        <v>2002</v>
      </c>
      <c r="B649" s="1" t="s">
        <v>99</v>
      </c>
      <c r="C649" t="s">
        <v>52</v>
      </c>
      <c r="D649">
        <v>1</v>
      </c>
      <c r="E649">
        <v>78</v>
      </c>
      <c r="F649">
        <v>0.02</v>
      </c>
      <c r="G649">
        <f t="shared" si="10"/>
        <v>2.2222222222222223E-2</v>
      </c>
      <c r="H649">
        <f>G649*(26.79/38.29)</f>
        <v>1.5548010794811525E-2</v>
      </c>
    </row>
    <row r="650" spans="1:8" x14ac:dyDescent="0.25">
      <c r="A650" s="1">
        <v>2002</v>
      </c>
      <c r="B650" s="1" t="s">
        <v>99</v>
      </c>
      <c r="C650" t="s">
        <v>52</v>
      </c>
      <c r="D650">
        <v>1</v>
      </c>
      <c r="E650">
        <v>78</v>
      </c>
      <c r="F650">
        <v>0.01</v>
      </c>
      <c r="G650">
        <f t="shared" si="10"/>
        <v>1.1111111111111112E-2</v>
      </c>
      <c r="H650">
        <f>G650*(26.79/38.29)</f>
        <v>7.7740053974057624E-3</v>
      </c>
    </row>
    <row r="651" spans="1:8" x14ac:dyDescent="0.25">
      <c r="A651" s="1">
        <v>2002</v>
      </c>
      <c r="B651" s="1" t="s">
        <v>99</v>
      </c>
      <c r="C651" t="s">
        <v>52</v>
      </c>
      <c r="D651">
        <v>1</v>
      </c>
      <c r="E651">
        <v>78</v>
      </c>
      <c r="F651">
        <v>0.03</v>
      </c>
      <c r="G651">
        <f t="shared" si="10"/>
        <v>3.3333333333333333E-2</v>
      </c>
      <c r="H651">
        <f>G651*(26.79/38.29)</f>
        <v>2.3322016192217288E-2</v>
      </c>
    </row>
    <row r="652" spans="1:8" x14ac:dyDescent="0.25">
      <c r="A652" s="1">
        <v>2002</v>
      </c>
      <c r="B652" s="1" t="s">
        <v>99</v>
      </c>
      <c r="C652" t="s">
        <v>52</v>
      </c>
      <c r="D652">
        <v>1</v>
      </c>
      <c r="E652">
        <v>78</v>
      </c>
      <c r="F652">
        <v>0.01</v>
      </c>
      <c r="G652">
        <f t="shared" si="10"/>
        <v>1.1111111111111112E-2</v>
      </c>
      <c r="H652">
        <f>G652*(26.79/38.29)</f>
        <v>7.7740053974057624E-3</v>
      </c>
    </row>
    <row r="653" spans="1:8" x14ac:dyDescent="0.25">
      <c r="A653" s="1">
        <v>2002</v>
      </c>
      <c r="B653" s="1" t="s">
        <v>99</v>
      </c>
      <c r="C653" t="s">
        <v>52</v>
      </c>
      <c r="D653">
        <v>1</v>
      </c>
      <c r="E653">
        <v>78</v>
      </c>
      <c r="F653">
        <v>0.01</v>
      </c>
      <c r="G653">
        <f t="shared" si="10"/>
        <v>1.1111111111111112E-2</v>
      </c>
      <c r="H653">
        <f>G653*(26.79/38.29)</f>
        <v>7.7740053974057624E-3</v>
      </c>
    </row>
    <row r="654" spans="1:8" x14ac:dyDescent="0.25">
      <c r="A654" s="1">
        <v>2002</v>
      </c>
      <c r="B654" s="1" t="s">
        <v>99</v>
      </c>
      <c r="C654" t="s">
        <v>52</v>
      </c>
      <c r="D654">
        <v>1</v>
      </c>
      <c r="E654">
        <v>78</v>
      </c>
      <c r="F654">
        <v>0.01</v>
      </c>
      <c r="G654">
        <f t="shared" si="10"/>
        <v>1.1111111111111112E-2</v>
      </c>
      <c r="H654">
        <f>G654*(26.79/38.29)</f>
        <v>7.7740053974057624E-3</v>
      </c>
    </row>
    <row r="655" spans="1:8" x14ac:dyDescent="0.25">
      <c r="A655" s="1">
        <v>2002</v>
      </c>
      <c r="B655" s="1" t="s">
        <v>99</v>
      </c>
      <c r="C655" t="s">
        <v>52</v>
      </c>
      <c r="D655">
        <v>1</v>
      </c>
      <c r="E655">
        <v>78</v>
      </c>
      <c r="F655">
        <v>0.02</v>
      </c>
      <c r="G655">
        <f t="shared" si="10"/>
        <v>2.2222222222222223E-2</v>
      </c>
      <c r="H655">
        <f>G655*(26.79/38.29)</f>
        <v>1.5548010794811525E-2</v>
      </c>
    </row>
    <row r="656" spans="1:8" x14ac:dyDescent="0.25">
      <c r="A656" s="1">
        <v>2002</v>
      </c>
      <c r="B656" s="1" t="s">
        <v>99</v>
      </c>
      <c r="C656" t="s">
        <v>52</v>
      </c>
      <c r="D656">
        <v>1</v>
      </c>
      <c r="E656">
        <v>78</v>
      </c>
      <c r="F656">
        <v>0.02</v>
      </c>
      <c r="G656">
        <f t="shared" si="10"/>
        <v>2.2222222222222223E-2</v>
      </c>
      <c r="H656">
        <f>G656*(26.79/38.29)</f>
        <v>1.5548010794811525E-2</v>
      </c>
    </row>
    <row r="657" spans="1:8" x14ac:dyDescent="0.25">
      <c r="A657" s="1">
        <v>2002</v>
      </c>
      <c r="B657" s="1" t="s">
        <v>99</v>
      </c>
      <c r="C657" t="s">
        <v>52</v>
      </c>
      <c r="D657">
        <v>1</v>
      </c>
      <c r="E657">
        <v>78</v>
      </c>
      <c r="F657">
        <v>0.02</v>
      </c>
      <c r="G657">
        <f t="shared" si="10"/>
        <v>2.2222222222222223E-2</v>
      </c>
      <c r="H657">
        <f>G657*(26.79/38.29)</f>
        <v>1.5548010794811525E-2</v>
      </c>
    </row>
    <row r="658" spans="1:8" x14ac:dyDescent="0.25">
      <c r="A658" s="1">
        <v>2002</v>
      </c>
      <c r="B658" s="1" t="s">
        <v>99</v>
      </c>
      <c r="C658" t="s">
        <v>52</v>
      </c>
      <c r="D658">
        <v>1</v>
      </c>
      <c r="E658">
        <v>78</v>
      </c>
      <c r="F658">
        <v>0.02</v>
      </c>
      <c r="G658">
        <f t="shared" si="10"/>
        <v>2.2222222222222223E-2</v>
      </c>
      <c r="H658">
        <f>G658*(26.79/38.29)</f>
        <v>1.5548010794811525E-2</v>
      </c>
    </row>
    <row r="659" spans="1:8" x14ac:dyDescent="0.25">
      <c r="A659" s="1">
        <v>2002</v>
      </c>
      <c r="B659" s="1" t="s">
        <v>99</v>
      </c>
      <c r="C659" t="s">
        <v>52</v>
      </c>
      <c r="D659">
        <v>1</v>
      </c>
      <c r="E659">
        <v>78</v>
      </c>
      <c r="F659">
        <v>0.01</v>
      </c>
      <c r="G659">
        <f t="shared" ref="G659:G722" si="11">(F659/0.01)/90</f>
        <v>1.1111111111111112E-2</v>
      </c>
      <c r="H659">
        <f>G659*(26.79/38.29)</f>
        <v>7.7740053974057624E-3</v>
      </c>
    </row>
    <row r="660" spans="1:8" x14ac:dyDescent="0.25">
      <c r="A660" s="1">
        <v>2002</v>
      </c>
      <c r="B660" s="1" t="s">
        <v>99</v>
      </c>
      <c r="C660" t="s">
        <v>52</v>
      </c>
      <c r="D660">
        <v>1</v>
      </c>
      <c r="E660">
        <v>78</v>
      </c>
      <c r="F660">
        <v>0.01</v>
      </c>
      <c r="G660">
        <f t="shared" si="11"/>
        <v>1.1111111111111112E-2</v>
      </c>
      <c r="H660">
        <f>G660*(26.79/38.29)</f>
        <v>7.7740053974057624E-3</v>
      </c>
    </row>
    <row r="661" spans="1:8" x14ac:dyDescent="0.25">
      <c r="A661" s="1">
        <v>2002</v>
      </c>
      <c r="B661" s="1" t="s">
        <v>99</v>
      </c>
      <c r="C661" t="s">
        <v>52</v>
      </c>
      <c r="D661">
        <v>1</v>
      </c>
      <c r="E661">
        <v>78</v>
      </c>
      <c r="F661">
        <v>0.02</v>
      </c>
      <c r="G661">
        <f t="shared" si="11"/>
        <v>2.2222222222222223E-2</v>
      </c>
      <c r="H661">
        <f>G661*(26.79/38.29)</f>
        <v>1.5548010794811525E-2</v>
      </c>
    </row>
    <row r="662" spans="1:8" x14ac:dyDescent="0.25">
      <c r="A662" s="1">
        <v>2002</v>
      </c>
      <c r="B662" s="1" t="s">
        <v>99</v>
      </c>
      <c r="C662" t="s">
        <v>52</v>
      </c>
      <c r="D662">
        <v>1</v>
      </c>
      <c r="E662">
        <v>78</v>
      </c>
      <c r="F662">
        <v>0.02</v>
      </c>
      <c r="G662">
        <f t="shared" si="11"/>
        <v>2.2222222222222223E-2</v>
      </c>
      <c r="H662">
        <f>G662*(26.79/38.29)</f>
        <v>1.5548010794811525E-2</v>
      </c>
    </row>
    <row r="663" spans="1:8" x14ac:dyDescent="0.25">
      <c r="A663" s="1">
        <v>2002</v>
      </c>
      <c r="B663" s="1" t="s">
        <v>99</v>
      </c>
      <c r="C663" t="s">
        <v>52</v>
      </c>
      <c r="D663">
        <v>1</v>
      </c>
      <c r="E663">
        <v>78</v>
      </c>
      <c r="F663">
        <v>0.01</v>
      </c>
      <c r="G663">
        <f t="shared" si="11"/>
        <v>1.1111111111111112E-2</v>
      </c>
      <c r="H663">
        <f>G663*(26.79/38.29)</f>
        <v>7.7740053974057624E-3</v>
      </c>
    </row>
    <row r="664" spans="1:8" x14ac:dyDescent="0.25">
      <c r="A664" s="1">
        <v>2002</v>
      </c>
      <c r="B664" s="1" t="s">
        <v>99</v>
      </c>
      <c r="C664" t="s">
        <v>52</v>
      </c>
      <c r="D664">
        <v>1</v>
      </c>
      <c r="E664">
        <v>78</v>
      </c>
      <c r="F664">
        <v>0.01</v>
      </c>
      <c r="G664">
        <f t="shared" si="11"/>
        <v>1.1111111111111112E-2</v>
      </c>
      <c r="H664">
        <f>G664*(26.79/38.29)</f>
        <v>7.7740053974057624E-3</v>
      </c>
    </row>
    <row r="665" spans="1:8" x14ac:dyDescent="0.25">
      <c r="A665" s="1">
        <v>2002</v>
      </c>
      <c r="B665" s="1" t="s">
        <v>99</v>
      </c>
      <c r="C665" t="s">
        <v>52</v>
      </c>
      <c r="D665">
        <v>1</v>
      </c>
      <c r="E665">
        <v>79</v>
      </c>
      <c r="F665">
        <v>0.02</v>
      </c>
      <c r="G665">
        <f t="shared" si="11"/>
        <v>2.2222222222222223E-2</v>
      </c>
      <c r="H665">
        <f>G665*(26.79/38.29)</f>
        <v>1.5548010794811525E-2</v>
      </c>
    </row>
    <row r="666" spans="1:8" x14ac:dyDescent="0.25">
      <c r="A666" s="1">
        <v>2002</v>
      </c>
      <c r="B666" s="1" t="s">
        <v>99</v>
      </c>
      <c r="C666" t="s">
        <v>52</v>
      </c>
      <c r="D666">
        <v>2</v>
      </c>
      <c r="E666">
        <v>29</v>
      </c>
      <c r="F666">
        <v>0.01</v>
      </c>
      <c r="G666">
        <f t="shared" si="11"/>
        <v>1.1111111111111112E-2</v>
      </c>
      <c r="H666">
        <f>G666*(26.79/38.29)</f>
        <v>7.7740053974057624E-3</v>
      </c>
    </row>
    <row r="667" spans="1:8" x14ac:dyDescent="0.25">
      <c r="A667" s="1">
        <v>2002</v>
      </c>
      <c r="B667" s="1" t="s">
        <v>99</v>
      </c>
      <c r="C667" t="s">
        <v>52</v>
      </c>
      <c r="D667">
        <v>2</v>
      </c>
      <c r="E667">
        <v>29</v>
      </c>
      <c r="F667">
        <v>0.01</v>
      </c>
      <c r="G667">
        <f t="shared" si="11"/>
        <v>1.1111111111111112E-2</v>
      </c>
      <c r="H667">
        <f>G667*(26.79/38.29)</f>
        <v>7.7740053974057624E-3</v>
      </c>
    </row>
    <row r="668" spans="1:8" x14ac:dyDescent="0.25">
      <c r="A668" s="1">
        <v>2002</v>
      </c>
      <c r="B668" s="1" t="s">
        <v>99</v>
      </c>
      <c r="C668" t="s">
        <v>52</v>
      </c>
      <c r="D668">
        <v>2</v>
      </c>
      <c r="E668">
        <v>32</v>
      </c>
      <c r="F668">
        <v>0.02</v>
      </c>
      <c r="G668">
        <f t="shared" si="11"/>
        <v>2.2222222222222223E-2</v>
      </c>
      <c r="H668">
        <f>G668*(26.79/38.29)</f>
        <v>1.5548010794811525E-2</v>
      </c>
    </row>
    <row r="669" spans="1:8" x14ac:dyDescent="0.25">
      <c r="A669" s="1">
        <v>2002</v>
      </c>
      <c r="B669" s="1" t="s">
        <v>99</v>
      </c>
      <c r="C669" t="s">
        <v>52</v>
      </c>
      <c r="D669">
        <v>2</v>
      </c>
      <c r="E669">
        <v>32</v>
      </c>
      <c r="F669">
        <v>0.03</v>
      </c>
      <c r="G669">
        <f t="shared" si="11"/>
        <v>3.3333333333333333E-2</v>
      </c>
      <c r="H669">
        <f>G669*(26.79/38.29)</f>
        <v>2.3322016192217288E-2</v>
      </c>
    </row>
    <row r="670" spans="1:8" x14ac:dyDescent="0.25">
      <c r="A670" s="1">
        <v>2002</v>
      </c>
      <c r="B670" s="1" t="s">
        <v>99</v>
      </c>
      <c r="C670" t="s">
        <v>52</v>
      </c>
      <c r="D670">
        <v>2</v>
      </c>
      <c r="E670">
        <v>32</v>
      </c>
      <c r="F670">
        <v>0.01</v>
      </c>
      <c r="G670">
        <f t="shared" si="11"/>
        <v>1.1111111111111112E-2</v>
      </c>
      <c r="H670">
        <f>G670*(26.79/38.29)</f>
        <v>7.7740053974057624E-3</v>
      </c>
    </row>
    <row r="671" spans="1:8" x14ac:dyDescent="0.25">
      <c r="A671" s="1">
        <v>2002</v>
      </c>
      <c r="B671" s="1" t="s">
        <v>99</v>
      </c>
      <c r="C671" t="s">
        <v>52</v>
      </c>
      <c r="D671">
        <v>2</v>
      </c>
      <c r="E671">
        <v>32</v>
      </c>
      <c r="F671">
        <v>0.01</v>
      </c>
      <c r="G671">
        <f t="shared" si="11"/>
        <v>1.1111111111111112E-2</v>
      </c>
      <c r="H671">
        <f>G671*(26.79/38.29)</f>
        <v>7.7740053974057624E-3</v>
      </c>
    </row>
    <row r="672" spans="1:8" x14ac:dyDescent="0.25">
      <c r="A672" s="1">
        <v>2002</v>
      </c>
      <c r="B672" s="1" t="s">
        <v>99</v>
      </c>
      <c r="C672" t="s">
        <v>52</v>
      </c>
      <c r="D672">
        <v>2</v>
      </c>
      <c r="E672">
        <v>32</v>
      </c>
      <c r="F672">
        <v>0.02</v>
      </c>
      <c r="G672">
        <f t="shared" si="11"/>
        <v>2.2222222222222223E-2</v>
      </c>
      <c r="H672">
        <f>G672*(26.79/38.29)</f>
        <v>1.5548010794811525E-2</v>
      </c>
    </row>
    <row r="673" spans="1:8" x14ac:dyDescent="0.25">
      <c r="A673" s="1">
        <v>2002</v>
      </c>
      <c r="B673" s="1" t="s">
        <v>99</v>
      </c>
      <c r="C673" t="s">
        <v>52</v>
      </c>
      <c r="D673">
        <v>2</v>
      </c>
      <c r="E673">
        <v>32</v>
      </c>
      <c r="F673">
        <v>0.02</v>
      </c>
      <c r="G673">
        <f t="shared" si="11"/>
        <v>2.2222222222222223E-2</v>
      </c>
      <c r="H673">
        <f>G673*(26.79/38.29)</f>
        <v>1.5548010794811525E-2</v>
      </c>
    </row>
    <row r="674" spans="1:8" x14ac:dyDescent="0.25">
      <c r="A674" s="1">
        <v>2002</v>
      </c>
      <c r="B674" s="1" t="s">
        <v>99</v>
      </c>
      <c r="C674" t="s">
        <v>52</v>
      </c>
      <c r="D674">
        <v>2</v>
      </c>
      <c r="E674">
        <v>32</v>
      </c>
      <c r="F674">
        <v>0.01</v>
      </c>
      <c r="G674">
        <f t="shared" si="11"/>
        <v>1.1111111111111112E-2</v>
      </c>
      <c r="H674">
        <f>G674*(26.79/38.29)</f>
        <v>7.7740053974057624E-3</v>
      </c>
    </row>
    <row r="675" spans="1:8" x14ac:dyDescent="0.25">
      <c r="A675" s="1">
        <v>2002</v>
      </c>
      <c r="B675" s="1" t="s">
        <v>99</v>
      </c>
      <c r="C675" t="s">
        <v>52</v>
      </c>
      <c r="D675">
        <v>2</v>
      </c>
      <c r="E675">
        <v>32</v>
      </c>
      <c r="F675">
        <v>0.01</v>
      </c>
      <c r="G675">
        <f t="shared" si="11"/>
        <v>1.1111111111111112E-2</v>
      </c>
      <c r="H675">
        <f>G675*(26.79/38.29)</f>
        <v>7.7740053974057624E-3</v>
      </c>
    </row>
    <row r="676" spans="1:8" x14ac:dyDescent="0.25">
      <c r="A676" s="1">
        <v>2002</v>
      </c>
      <c r="B676" s="1" t="s">
        <v>99</v>
      </c>
      <c r="C676" t="s">
        <v>52</v>
      </c>
      <c r="D676">
        <v>2</v>
      </c>
      <c r="E676">
        <v>40</v>
      </c>
      <c r="F676">
        <v>0.01</v>
      </c>
      <c r="G676">
        <f t="shared" si="11"/>
        <v>1.1111111111111112E-2</v>
      </c>
      <c r="H676">
        <f>G676*(26.79/38.29)</f>
        <v>7.7740053974057624E-3</v>
      </c>
    </row>
    <row r="677" spans="1:8" x14ac:dyDescent="0.25">
      <c r="A677" s="1">
        <v>2002</v>
      </c>
      <c r="B677" s="1" t="s">
        <v>99</v>
      </c>
      <c r="C677" t="s">
        <v>52</v>
      </c>
      <c r="D677">
        <v>2</v>
      </c>
      <c r="E677">
        <v>54</v>
      </c>
      <c r="F677">
        <v>0.01</v>
      </c>
      <c r="G677">
        <f t="shared" si="11"/>
        <v>1.1111111111111112E-2</v>
      </c>
      <c r="H677">
        <f>G677*(26.79/38.29)</f>
        <v>7.7740053974057624E-3</v>
      </c>
    </row>
    <row r="678" spans="1:8" x14ac:dyDescent="0.25">
      <c r="A678" s="1">
        <v>2002</v>
      </c>
      <c r="B678" s="1" t="s">
        <v>99</v>
      </c>
      <c r="C678" t="s">
        <v>52</v>
      </c>
      <c r="D678">
        <v>2</v>
      </c>
      <c r="E678">
        <v>58</v>
      </c>
      <c r="F678">
        <v>0.03</v>
      </c>
      <c r="G678">
        <f t="shared" si="11"/>
        <v>3.3333333333333333E-2</v>
      </c>
      <c r="H678">
        <f>G678*(26.79/38.29)</f>
        <v>2.3322016192217288E-2</v>
      </c>
    </row>
    <row r="679" spans="1:8" x14ac:dyDescent="0.25">
      <c r="A679" s="1">
        <v>2002</v>
      </c>
      <c r="B679" s="1" t="s">
        <v>99</v>
      </c>
      <c r="C679" t="s">
        <v>52</v>
      </c>
      <c r="D679">
        <v>2</v>
      </c>
      <c r="E679">
        <v>58</v>
      </c>
      <c r="F679">
        <v>0.01</v>
      </c>
      <c r="G679">
        <f t="shared" si="11"/>
        <v>1.1111111111111112E-2</v>
      </c>
      <c r="H679">
        <f>G679*(26.79/38.29)</f>
        <v>7.7740053974057624E-3</v>
      </c>
    </row>
    <row r="680" spans="1:8" x14ac:dyDescent="0.25">
      <c r="A680" s="1">
        <v>2002</v>
      </c>
      <c r="B680" s="1" t="s">
        <v>99</v>
      </c>
      <c r="C680" t="s">
        <v>52</v>
      </c>
      <c r="D680">
        <v>2</v>
      </c>
      <c r="E680">
        <v>63</v>
      </c>
      <c r="F680">
        <v>0.02</v>
      </c>
      <c r="G680">
        <f t="shared" si="11"/>
        <v>2.2222222222222223E-2</v>
      </c>
      <c r="H680">
        <f>G680*(26.79/38.29)</f>
        <v>1.5548010794811525E-2</v>
      </c>
    </row>
    <row r="681" spans="1:8" x14ac:dyDescent="0.25">
      <c r="A681" s="1">
        <v>2002</v>
      </c>
      <c r="B681" s="1" t="s">
        <v>99</v>
      </c>
      <c r="C681" t="s">
        <v>52</v>
      </c>
      <c r="D681">
        <v>2</v>
      </c>
      <c r="E681">
        <v>63</v>
      </c>
      <c r="F681">
        <v>0.01</v>
      </c>
      <c r="G681">
        <f t="shared" si="11"/>
        <v>1.1111111111111112E-2</v>
      </c>
      <c r="H681">
        <f>G681*(26.79/38.29)</f>
        <v>7.7740053974057624E-3</v>
      </c>
    </row>
    <row r="682" spans="1:8" x14ac:dyDescent="0.25">
      <c r="A682" s="1">
        <v>2002</v>
      </c>
      <c r="B682" s="1" t="s">
        <v>99</v>
      </c>
      <c r="C682" t="s">
        <v>52</v>
      </c>
      <c r="D682">
        <v>2</v>
      </c>
      <c r="E682">
        <v>63</v>
      </c>
      <c r="F682">
        <v>0.01</v>
      </c>
      <c r="G682">
        <f t="shared" si="11"/>
        <v>1.1111111111111112E-2</v>
      </c>
      <c r="H682">
        <f>G682*(26.79/38.29)</f>
        <v>7.7740053974057624E-3</v>
      </c>
    </row>
    <row r="683" spans="1:8" x14ac:dyDescent="0.25">
      <c r="A683" s="1">
        <v>2002</v>
      </c>
      <c r="B683" s="1" t="s">
        <v>99</v>
      </c>
      <c r="C683" t="s">
        <v>52</v>
      </c>
      <c r="D683">
        <v>2</v>
      </c>
      <c r="E683">
        <v>63</v>
      </c>
      <c r="F683">
        <v>0.03</v>
      </c>
      <c r="G683">
        <f t="shared" si="11"/>
        <v>3.3333333333333333E-2</v>
      </c>
      <c r="H683">
        <f>G683*(26.79/38.29)</f>
        <v>2.3322016192217288E-2</v>
      </c>
    </row>
    <row r="684" spans="1:8" x14ac:dyDescent="0.25">
      <c r="A684" s="1">
        <v>2002</v>
      </c>
      <c r="B684" s="1" t="s">
        <v>99</v>
      </c>
      <c r="C684" t="s">
        <v>52</v>
      </c>
      <c r="D684">
        <v>2</v>
      </c>
      <c r="E684">
        <v>66</v>
      </c>
      <c r="F684">
        <v>0.01</v>
      </c>
      <c r="G684">
        <f t="shared" si="11"/>
        <v>1.1111111111111112E-2</v>
      </c>
      <c r="H684">
        <f>G684*(26.79/38.29)</f>
        <v>7.7740053974057624E-3</v>
      </c>
    </row>
    <row r="685" spans="1:8" x14ac:dyDescent="0.25">
      <c r="A685" s="1">
        <v>2002</v>
      </c>
      <c r="B685" s="1" t="s">
        <v>99</v>
      </c>
      <c r="C685" t="s">
        <v>52</v>
      </c>
      <c r="D685">
        <v>2</v>
      </c>
      <c r="E685">
        <v>76</v>
      </c>
      <c r="F685">
        <v>0.02</v>
      </c>
      <c r="G685">
        <f t="shared" si="11"/>
        <v>2.2222222222222223E-2</v>
      </c>
      <c r="H685">
        <f>G685*(26.79/38.29)</f>
        <v>1.5548010794811525E-2</v>
      </c>
    </row>
    <row r="686" spans="1:8" x14ac:dyDescent="0.25">
      <c r="A686" s="1">
        <v>2002</v>
      </c>
      <c r="B686" s="1" t="s">
        <v>99</v>
      </c>
      <c r="C686" t="s">
        <v>52</v>
      </c>
      <c r="D686">
        <v>2</v>
      </c>
      <c r="E686">
        <v>76</v>
      </c>
      <c r="F686">
        <v>0.02</v>
      </c>
      <c r="G686">
        <f t="shared" si="11"/>
        <v>2.2222222222222223E-2</v>
      </c>
      <c r="H686">
        <f>G686*(26.79/38.29)</f>
        <v>1.5548010794811525E-2</v>
      </c>
    </row>
    <row r="687" spans="1:8" x14ac:dyDescent="0.25">
      <c r="A687" s="1">
        <v>2002</v>
      </c>
      <c r="B687" s="1" t="s">
        <v>99</v>
      </c>
      <c r="C687" t="s">
        <v>52</v>
      </c>
      <c r="D687">
        <v>2</v>
      </c>
      <c r="E687">
        <v>76</v>
      </c>
      <c r="F687">
        <v>0.01</v>
      </c>
      <c r="G687">
        <f t="shared" si="11"/>
        <v>1.1111111111111112E-2</v>
      </c>
      <c r="H687">
        <f>G687*(26.79/38.29)</f>
        <v>7.7740053974057624E-3</v>
      </c>
    </row>
    <row r="688" spans="1:8" x14ac:dyDescent="0.25">
      <c r="A688" s="1">
        <v>2002</v>
      </c>
      <c r="B688" s="1" t="s">
        <v>99</v>
      </c>
      <c r="C688" t="s">
        <v>52</v>
      </c>
      <c r="D688">
        <v>2</v>
      </c>
      <c r="E688">
        <v>76</v>
      </c>
      <c r="F688">
        <v>0.01</v>
      </c>
      <c r="G688">
        <f t="shared" si="11"/>
        <v>1.1111111111111112E-2</v>
      </c>
      <c r="H688">
        <f>G688*(26.79/38.29)</f>
        <v>7.7740053974057624E-3</v>
      </c>
    </row>
    <row r="689" spans="1:8" x14ac:dyDescent="0.25">
      <c r="A689" s="1">
        <v>2002</v>
      </c>
      <c r="B689" s="1" t="s">
        <v>99</v>
      </c>
      <c r="C689" t="s">
        <v>52</v>
      </c>
      <c r="D689">
        <v>2</v>
      </c>
      <c r="E689">
        <v>76</v>
      </c>
      <c r="F689">
        <v>0.02</v>
      </c>
      <c r="G689">
        <f t="shared" si="11"/>
        <v>2.2222222222222223E-2</v>
      </c>
      <c r="H689">
        <f>G689*(26.79/38.29)</f>
        <v>1.5548010794811525E-2</v>
      </c>
    </row>
    <row r="690" spans="1:8" x14ac:dyDescent="0.25">
      <c r="A690" s="1">
        <v>2002</v>
      </c>
      <c r="B690" s="1" t="s">
        <v>99</v>
      </c>
      <c r="C690" t="s">
        <v>52</v>
      </c>
      <c r="D690">
        <v>2</v>
      </c>
      <c r="E690">
        <v>76</v>
      </c>
      <c r="F690">
        <v>0.01</v>
      </c>
      <c r="G690">
        <f t="shared" si="11"/>
        <v>1.1111111111111112E-2</v>
      </c>
      <c r="H690">
        <f>G690*(26.79/38.29)</f>
        <v>7.7740053974057624E-3</v>
      </c>
    </row>
    <row r="691" spans="1:8" x14ac:dyDescent="0.25">
      <c r="A691" s="1">
        <v>2002</v>
      </c>
      <c r="B691" s="1" t="s">
        <v>99</v>
      </c>
      <c r="C691" t="s">
        <v>52</v>
      </c>
      <c r="D691">
        <v>2</v>
      </c>
      <c r="E691">
        <v>78</v>
      </c>
      <c r="F691">
        <v>0.02</v>
      </c>
      <c r="G691">
        <f t="shared" si="11"/>
        <v>2.2222222222222223E-2</v>
      </c>
      <c r="H691">
        <f>G691*(26.79/38.29)</f>
        <v>1.5548010794811525E-2</v>
      </c>
    </row>
    <row r="692" spans="1:8" x14ac:dyDescent="0.25">
      <c r="A692" s="1">
        <v>2002</v>
      </c>
      <c r="B692" s="1" t="s">
        <v>99</v>
      </c>
      <c r="C692" t="s">
        <v>52</v>
      </c>
      <c r="D692">
        <v>2</v>
      </c>
      <c r="E692">
        <v>78</v>
      </c>
      <c r="F692">
        <v>0.01</v>
      </c>
      <c r="G692">
        <f t="shared" si="11"/>
        <v>1.1111111111111112E-2</v>
      </c>
      <c r="H692">
        <f>G692*(26.79/38.29)</f>
        <v>7.7740053974057624E-3</v>
      </c>
    </row>
    <row r="693" spans="1:8" x14ac:dyDescent="0.25">
      <c r="A693" s="1">
        <v>2002</v>
      </c>
      <c r="B693" s="1" t="s">
        <v>99</v>
      </c>
      <c r="C693" t="s">
        <v>52</v>
      </c>
      <c r="D693">
        <v>2</v>
      </c>
      <c r="E693">
        <v>78</v>
      </c>
      <c r="F693">
        <v>0.01</v>
      </c>
      <c r="G693">
        <f t="shared" si="11"/>
        <v>1.1111111111111112E-2</v>
      </c>
      <c r="H693">
        <f>G693*(26.79/38.29)</f>
        <v>7.7740053974057624E-3</v>
      </c>
    </row>
    <row r="694" spans="1:8" x14ac:dyDescent="0.25">
      <c r="A694" s="1">
        <v>2002</v>
      </c>
      <c r="B694" s="1" t="s">
        <v>99</v>
      </c>
      <c r="C694" t="s">
        <v>52</v>
      </c>
      <c r="D694">
        <v>2</v>
      </c>
      <c r="E694">
        <v>78</v>
      </c>
      <c r="F694">
        <v>0.01</v>
      </c>
      <c r="G694">
        <f t="shared" si="11"/>
        <v>1.1111111111111112E-2</v>
      </c>
      <c r="H694">
        <f>G694*(26.79/38.29)</f>
        <v>7.7740053974057624E-3</v>
      </c>
    </row>
    <row r="695" spans="1:8" x14ac:dyDescent="0.25">
      <c r="A695" s="1">
        <v>2002</v>
      </c>
      <c r="B695" s="1" t="s">
        <v>99</v>
      </c>
      <c r="C695" t="s">
        <v>52</v>
      </c>
      <c r="D695">
        <v>2</v>
      </c>
      <c r="E695">
        <v>78</v>
      </c>
      <c r="F695">
        <v>0.01</v>
      </c>
      <c r="G695">
        <f t="shared" si="11"/>
        <v>1.1111111111111112E-2</v>
      </c>
      <c r="H695">
        <f>G695*(26.79/38.29)</f>
        <v>7.7740053974057624E-3</v>
      </c>
    </row>
    <row r="696" spans="1:8" x14ac:dyDescent="0.25">
      <c r="A696" s="1">
        <v>2002</v>
      </c>
      <c r="B696" s="1" t="s">
        <v>99</v>
      </c>
      <c r="C696" t="s">
        <v>52</v>
      </c>
      <c r="D696">
        <v>2</v>
      </c>
      <c r="E696">
        <v>78</v>
      </c>
      <c r="F696">
        <v>0.01</v>
      </c>
      <c r="G696">
        <f t="shared" si="11"/>
        <v>1.1111111111111112E-2</v>
      </c>
      <c r="H696">
        <f>G696*(26.79/38.29)</f>
        <v>7.7740053974057624E-3</v>
      </c>
    </row>
    <row r="697" spans="1:8" x14ac:dyDescent="0.25">
      <c r="A697" s="1">
        <v>2002</v>
      </c>
      <c r="B697" s="1" t="s">
        <v>99</v>
      </c>
      <c r="C697" t="s">
        <v>52</v>
      </c>
      <c r="D697">
        <v>2</v>
      </c>
      <c r="E697">
        <v>78</v>
      </c>
      <c r="F697">
        <v>0.01</v>
      </c>
      <c r="G697">
        <f t="shared" si="11"/>
        <v>1.1111111111111112E-2</v>
      </c>
      <c r="H697">
        <f>G697*(26.79/38.29)</f>
        <v>7.7740053974057624E-3</v>
      </c>
    </row>
    <row r="698" spans="1:8" x14ac:dyDescent="0.25">
      <c r="A698" s="1">
        <v>2002</v>
      </c>
      <c r="B698" s="1" t="s">
        <v>99</v>
      </c>
      <c r="C698" t="s">
        <v>52</v>
      </c>
      <c r="D698">
        <v>2</v>
      </c>
      <c r="E698">
        <v>78</v>
      </c>
      <c r="F698">
        <v>0.01</v>
      </c>
      <c r="G698">
        <f t="shared" si="11"/>
        <v>1.1111111111111112E-2</v>
      </c>
      <c r="H698">
        <f>G698*(26.79/38.29)</f>
        <v>7.7740053974057624E-3</v>
      </c>
    </row>
    <row r="699" spans="1:8" x14ac:dyDescent="0.25">
      <c r="A699" s="1">
        <v>2002</v>
      </c>
      <c r="B699" s="1" t="s">
        <v>99</v>
      </c>
      <c r="C699" t="s">
        <v>52</v>
      </c>
      <c r="D699">
        <v>2</v>
      </c>
      <c r="E699">
        <v>78</v>
      </c>
      <c r="F699">
        <v>0.01</v>
      </c>
      <c r="G699">
        <f t="shared" si="11"/>
        <v>1.1111111111111112E-2</v>
      </c>
      <c r="H699">
        <f>G699*(26.79/38.29)</f>
        <v>7.7740053974057624E-3</v>
      </c>
    </row>
    <row r="700" spans="1:8" x14ac:dyDescent="0.25">
      <c r="A700" s="1">
        <v>2002</v>
      </c>
      <c r="B700" s="1" t="s">
        <v>99</v>
      </c>
      <c r="C700" t="s">
        <v>52</v>
      </c>
      <c r="D700">
        <v>2</v>
      </c>
      <c r="E700">
        <v>78</v>
      </c>
      <c r="F700">
        <v>0.01</v>
      </c>
      <c r="G700">
        <f t="shared" si="11"/>
        <v>1.1111111111111112E-2</v>
      </c>
      <c r="H700">
        <f>G700*(26.79/38.29)</f>
        <v>7.7740053974057624E-3</v>
      </c>
    </row>
    <row r="701" spans="1:8" x14ac:dyDescent="0.25">
      <c r="A701" s="1">
        <v>2002</v>
      </c>
      <c r="B701" s="1" t="s">
        <v>99</v>
      </c>
      <c r="C701" t="s">
        <v>52</v>
      </c>
      <c r="D701">
        <v>2</v>
      </c>
      <c r="E701">
        <v>78</v>
      </c>
      <c r="F701">
        <v>0.01</v>
      </c>
      <c r="G701">
        <f t="shared" si="11"/>
        <v>1.1111111111111112E-2</v>
      </c>
      <c r="H701">
        <f>G701*(26.79/38.29)</f>
        <v>7.7740053974057624E-3</v>
      </c>
    </row>
    <row r="702" spans="1:8" x14ac:dyDescent="0.25">
      <c r="A702" s="1">
        <v>2002</v>
      </c>
      <c r="B702" s="1" t="s">
        <v>99</v>
      </c>
      <c r="C702" t="s">
        <v>52</v>
      </c>
      <c r="D702">
        <v>2</v>
      </c>
      <c r="E702">
        <v>78</v>
      </c>
      <c r="F702">
        <v>0.01</v>
      </c>
      <c r="G702">
        <f t="shared" si="11"/>
        <v>1.1111111111111112E-2</v>
      </c>
      <c r="H702">
        <f>G702*(26.79/38.29)</f>
        <v>7.7740053974057624E-3</v>
      </c>
    </row>
    <row r="703" spans="1:8" x14ac:dyDescent="0.25">
      <c r="A703" s="1">
        <v>2002</v>
      </c>
      <c r="B703" s="1" t="s">
        <v>99</v>
      </c>
      <c r="C703" t="s">
        <v>52</v>
      </c>
      <c r="D703">
        <v>2</v>
      </c>
      <c r="E703">
        <v>78</v>
      </c>
      <c r="F703">
        <v>0.01</v>
      </c>
      <c r="G703">
        <f t="shared" si="11"/>
        <v>1.1111111111111112E-2</v>
      </c>
      <c r="H703">
        <f>G703*(26.79/38.29)</f>
        <v>7.7740053974057624E-3</v>
      </c>
    </row>
    <row r="704" spans="1:8" x14ac:dyDescent="0.25">
      <c r="A704" s="1">
        <v>2002</v>
      </c>
      <c r="B704" s="1" t="s">
        <v>99</v>
      </c>
      <c r="C704" t="s">
        <v>52</v>
      </c>
      <c r="D704">
        <v>2</v>
      </c>
      <c r="E704">
        <v>78</v>
      </c>
      <c r="F704">
        <v>0.03</v>
      </c>
      <c r="G704">
        <f t="shared" si="11"/>
        <v>3.3333333333333333E-2</v>
      </c>
      <c r="H704">
        <f>G704*(26.79/38.29)</f>
        <v>2.3322016192217288E-2</v>
      </c>
    </row>
    <row r="705" spans="1:8" x14ac:dyDescent="0.25">
      <c r="A705" s="1">
        <v>2002</v>
      </c>
      <c r="B705" s="1" t="s">
        <v>99</v>
      </c>
      <c r="C705" t="s">
        <v>52</v>
      </c>
      <c r="D705">
        <v>2</v>
      </c>
      <c r="E705">
        <v>78</v>
      </c>
      <c r="F705">
        <v>0.03</v>
      </c>
      <c r="G705">
        <f t="shared" si="11"/>
        <v>3.3333333333333333E-2</v>
      </c>
      <c r="H705">
        <f>G705*(26.79/38.29)</f>
        <v>2.3322016192217288E-2</v>
      </c>
    </row>
    <row r="706" spans="1:8" x14ac:dyDescent="0.25">
      <c r="A706" s="1">
        <v>2002</v>
      </c>
      <c r="B706" s="1" t="s">
        <v>99</v>
      </c>
      <c r="C706" t="s">
        <v>52</v>
      </c>
      <c r="D706">
        <v>2</v>
      </c>
      <c r="E706">
        <v>78</v>
      </c>
      <c r="F706">
        <v>0.01</v>
      </c>
      <c r="G706">
        <f t="shared" si="11"/>
        <v>1.1111111111111112E-2</v>
      </c>
      <c r="H706">
        <f>G706*(26.79/38.29)</f>
        <v>7.7740053974057624E-3</v>
      </c>
    </row>
    <row r="707" spans="1:8" x14ac:dyDescent="0.25">
      <c r="A707" s="1">
        <v>2002</v>
      </c>
      <c r="B707" s="1" t="s">
        <v>99</v>
      </c>
      <c r="C707" t="s">
        <v>52</v>
      </c>
      <c r="D707">
        <v>2</v>
      </c>
      <c r="E707">
        <v>78</v>
      </c>
      <c r="F707">
        <v>0.01</v>
      </c>
      <c r="G707">
        <f t="shared" si="11"/>
        <v>1.1111111111111112E-2</v>
      </c>
      <c r="H707">
        <f>G707*(26.79/38.29)</f>
        <v>7.7740053974057624E-3</v>
      </c>
    </row>
    <row r="708" spans="1:8" x14ac:dyDescent="0.25">
      <c r="A708" s="1">
        <v>2002</v>
      </c>
      <c r="B708" s="1" t="s">
        <v>99</v>
      </c>
      <c r="C708" t="s">
        <v>52</v>
      </c>
      <c r="D708">
        <v>2</v>
      </c>
      <c r="E708">
        <v>78</v>
      </c>
      <c r="F708">
        <v>0.01</v>
      </c>
      <c r="G708">
        <f t="shared" si="11"/>
        <v>1.1111111111111112E-2</v>
      </c>
      <c r="H708">
        <f>G708*(26.79/38.29)</f>
        <v>7.7740053974057624E-3</v>
      </c>
    </row>
    <row r="709" spans="1:8" x14ac:dyDescent="0.25">
      <c r="A709" s="1">
        <v>2002</v>
      </c>
      <c r="B709" s="1" t="s">
        <v>99</v>
      </c>
      <c r="C709" t="s">
        <v>52</v>
      </c>
      <c r="D709">
        <v>2</v>
      </c>
      <c r="E709">
        <v>78</v>
      </c>
      <c r="F709">
        <v>0.02</v>
      </c>
      <c r="G709">
        <f t="shared" si="11"/>
        <v>2.2222222222222223E-2</v>
      </c>
      <c r="H709">
        <f>G709*(26.79/38.29)</f>
        <v>1.5548010794811525E-2</v>
      </c>
    </row>
    <row r="710" spans="1:8" x14ac:dyDescent="0.25">
      <c r="A710" s="1">
        <v>2002</v>
      </c>
      <c r="B710" s="1" t="s">
        <v>99</v>
      </c>
      <c r="C710" t="s">
        <v>52</v>
      </c>
      <c r="D710">
        <v>2</v>
      </c>
      <c r="E710">
        <v>78</v>
      </c>
      <c r="F710">
        <v>0.01</v>
      </c>
      <c r="G710">
        <f t="shared" si="11"/>
        <v>1.1111111111111112E-2</v>
      </c>
      <c r="H710">
        <f>G710*(26.79/38.29)</f>
        <v>7.7740053974057624E-3</v>
      </c>
    </row>
    <row r="711" spans="1:8" x14ac:dyDescent="0.25">
      <c r="A711" s="1">
        <v>2002</v>
      </c>
      <c r="B711" s="1" t="s">
        <v>99</v>
      </c>
      <c r="C711" t="s">
        <v>52</v>
      </c>
      <c r="D711">
        <v>2</v>
      </c>
      <c r="E711">
        <v>78</v>
      </c>
      <c r="F711">
        <v>0.01</v>
      </c>
      <c r="G711">
        <f t="shared" si="11"/>
        <v>1.1111111111111112E-2</v>
      </c>
      <c r="H711">
        <f>G711*(26.79/38.29)</f>
        <v>7.7740053974057624E-3</v>
      </c>
    </row>
    <row r="712" spans="1:8" x14ac:dyDescent="0.25">
      <c r="A712" s="1">
        <v>2002</v>
      </c>
      <c r="B712" s="1" t="s">
        <v>99</v>
      </c>
      <c r="C712" t="s">
        <v>52</v>
      </c>
      <c r="D712">
        <v>2</v>
      </c>
      <c r="E712">
        <v>78</v>
      </c>
      <c r="F712">
        <v>0.01</v>
      </c>
      <c r="G712">
        <f t="shared" si="11"/>
        <v>1.1111111111111112E-2</v>
      </c>
      <c r="H712">
        <f>G712*(26.79/38.29)</f>
        <v>7.7740053974057624E-3</v>
      </c>
    </row>
    <row r="713" spans="1:8" x14ac:dyDescent="0.25">
      <c r="A713" s="1">
        <v>2002</v>
      </c>
      <c r="B713" s="1" t="s">
        <v>99</v>
      </c>
      <c r="C713" t="s">
        <v>52</v>
      </c>
      <c r="D713">
        <v>2</v>
      </c>
      <c r="E713">
        <v>78</v>
      </c>
      <c r="F713">
        <v>0.01</v>
      </c>
      <c r="G713">
        <f t="shared" si="11"/>
        <v>1.1111111111111112E-2</v>
      </c>
      <c r="H713">
        <f>G713*(26.79/38.29)</f>
        <v>7.7740053974057624E-3</v>
      </c>
    </row>
    <row r="714" spans="1:8" x14ac:dyDescent="0.25">
      <c r="A714" s="1">
        <v>2002</v>
      </c>
      <c r="B714" s="1" t="s">
        <v>99</v>
      </c>
      <c r="C714" t="s">
        <v>52</v>
      </c>
      <c r="D714">
        <v>2</v>
      </c>
      <c r="E714">
        <v>78</v>
      </c>
      <c r="F714">
        <v>0.01</v>
      </c>
      <c r="G714">
        <f t="shared" si="11"/>
        <v>1.1111111111111112E-2</v>
      </c>
      <c r="H714">
        <f>G714*(26.79/38.29)</f>
        <v>7.7740053974057624E-3</v>
      </c>
    </row>
    <row r="715" spans="1:8" x14ac:dyDescent="0.25">
      <c r="A715" s="1">
        <v>2002</v>
      </c>
      <c r="B715" s="1" t="s">
        <v>99</v>
      </c>
      <c r="C715" t="s">
        <v>52</v>
      </c>
      <c r="D715">
        <v>2</v>
      </c>
      <c r="E715">
        <v>78</v>
      </c>
      <c r="F715">
        <v>0.01</v>
      </c>
      <c r="G715">
        <f t="shared" si="11"/>
        <v>1.1111111111111112E-2</v>
      </c>
      <c r="H715">
        <f>G715*(26.79/38.29)</f>
        <v>7.7740053974057624E-3</v>
      </c>
    </row>
    <row r="716" spans="1:8" x14ac:dyDescent="0.25">
      <c r="A716" s="1">
        <v>2002</v>
      </c>
      <c r="B716" s="1" t="s">
        <v>99</v>
      </c>
      <c r="C716" t="s">
        <v>52</v>
      </c>
      <c r="D716">
        <v>2</v>
      </c>
      <c r="E716">
        <v>78</v>
      </c>
      <c r="F716">
        <v>0.01</v>
      </c>
      <c r="G716">
        <f t="shared" si="11"/>
        <v>1.1111111111111112E-2</v>
      </c>
      <c r="H716">
        <f>G716*(26.79/38.29)</f>
        <v>7.7740053974057624E-3</v>
      </c>
    </row>
    <row r="717" spans="1:8" x14ac:dyDescent="0.25">
      <c r="A717" s="1">
        <v>2002</v>
      </c>
      <c r="B717" s="1" t="s">
        <v>99</v>
      </c>
      <c r="C717" t="s">
        <v>52</v>
      </c>
      <c r="D717">
        <v>2</v>
      </c>
      <c r="E717">
        <v>78</v>
      </c>
      <c r="F717">
        <v>0.01</v>
      </c>
      <c r="G717">
        <f t="shared" si="11"/>
        <v>1.1111111111111112E-2</v>
      </c>
      <c r="H717">
        <f>G717*(26.79/38.29)</f>
        <v>7.7740053974057624E-3</v>
      </c>
    </row>
    <row r="718" spans="1:8" x14ac:dyDescent="0.25">
      <c r="A718" s="1">
        <v>2002</v>
      </c>
      <c r="B718" s="1" t="s">
        <v>99</v>
      </c>
      <c r="C718" t="s">
        <v>52</v>
      </c>
      <c r="D718">
        <v>2</v>
      </c>
      <c r="E718">
        <v>78</v>
      </c>
      <c r="F718">
        <v>0.01</v>
      </c>
      <c r="G718">
        <f t="shared" si="11"/>
        <v>1.1111111111111112E-2</v>
      </c>
      <c r="H718">
        <f>G718*(26.79/38.29)</f>
        <v>7.7740053974057624E-3</v>
      </c>
    </row>
    <row r="719" spans="1:8" x14ac:dyDescent="0.25">
      <c r="A719" s="1">
        <v>2002</v>
      </c>
      <c r="B719" s="1" t="s">
        <v>99</v>
      </c>
      <c r="C719" t="s">
        <v>52</v>
      </c>
      <c r="D719">
        <v>2</v>
      </c>
      <c r="E719">
        <v>78</v>
      </c>
      <c r="F719">
        <v>0.01</v>
      </c>
      <c r="G719">
        <f t="shared" si="11"/>
        <v>1.1111111111111112E-2</v>
      </c>
      <c r="H719">
        <f>G719*(26.79/38.29)</f>
        <v>7.7740053974057624E-3</v>
      </c>
    </row>
    <row r="720" spans="1:8" x14ac:dyDescent="0.25">
      <c r="A720" s="1">
        <v>2002</v>
      </c>
      <c r="B720" s="1" t="s">
        <v>99</v>
      </c>
      <c r="C720" t="s">
        <v>52</v>
      </c>
      <c r="D720">
        <v>2</v>
      </c>
      <c r="E720">
        <v>78</v>
      </c>
      <c r="F720">
        <v>0.02</v>
      </c>
      <c r="G720">
        <f t="shared" si="11"/>
        <v>2.2222222222222223E-2</v>
      </c>
      <c r="H720">
        <f>G720*(26.79/38.29)</f>
        <v>1.5548010794811525E-2</v>
      </c>
    </row>
    <row r="721" spans="1:8" x14ac:dyDescent="0.25">
      <c r="A721" s="1">
        <v>2002</v>
      </c>
      <c r="B721" s="1" t="s">
        <v>99</v>
      </c>
      <c r="C721" t="s">
        <v>52</v>
      </c>
      <c r="D721">
        <v>2</v>
      </c>
      <c r="E721">
        <v>78</v>
      </c>
      <c r="F721">
        <v>0.01</v>
      </c>
      <c r="G721">
        <f t="shared" si="11"/>
        <v>1.1111111111111112E-2</v>
      </c>
      <c r="H721">
        <f>G721*(26.79/38.29)</f>
        <v>7.7740053974057624E-3</v>
      </c>
    </row>
    <row r="722" spans="1:8" x14ac:dyDescent="0.25">
      <c r="A722" s="1">
        <v>2002</v>
      </c>
      <c r="B722" s="1" t="s">
        <v>99</v>
      </c>
      <c r="C722" t="s">
        <v>52</v>
      </c>
      <c r="D722">
        <v>2</v>
      </c>
      <c r="E722">
        <v>78</v>
      </c>
      <c r="F722">
        <v>0.03</v>
      </c>
      <c r="G722">
        <f t="shared" si="11"/>
        <v>3.3333333333333333E-2</v>
      </c>
      <c r="H722">
        <f>G722*(26.79/38.29)</f>
        <v>2.3322016192217288E-2</v>
      </c>
    </row>
    <row r="723" spans="1:8" x14ac:dyDescent="0.25">
      <c r="A723" s="1">
        <v>2002</v>
      </c>
      <c r="B723" s="1" t="s">
        <v>99</v>
      </c>
      <c r="C723" t="s">
        <v>52</v>
      </c>
      <c r="D723">
        <v>2</v>
      </c>
      <c r="E723">
        <v>78</v>
      </c>
      <c r="F723">
        <v>0.01</v>
      </c>
      <c r="G723">
        <f t="shared" ref="G723:G786" si="12">(F723/0.01)/90</f>
        <v>1.1111111111111112E-2</v>
      </c>
      <c r="H723">
        <f>G723*(26.79/38.29)</f>
        <v>7.7740053974057624E-3</v>
      </c>
    </row>
    <row r="724" spans="1:8" x14ac:dyDescent="0.25">
      <c r="A724" s="1">
        <v>2002</v>
      </c>
      <c r="B724" s="1" t="s">
        <v>99</v>
      </c>
      <c r="C724" t="s">
        <v>52</v>
      </c>
      <c r="D724">
        <v>2</v>
      </c>
      <c r="E724">
        <v>78</v>
      </c>
      <c r="F724">
        <v>0.02</v>
      </c>
      <c r="G724">
        <f t="shared" si="12"/>
        <v>2.2222222222222223E-2</v>
      </c>
      <c r="H724">
        <f>G724*(26.79/38.29)</f>
        <v>1.5548010794811525E-2</v>
      </c>
    </row>
    <row r="725" spans="1:8" x14ac:dyDescent="0.25">
      <c r="A725" s="1">
        <v>2002</v>
      </c>
      <c r="B725" s="1" t="s">
        <v>99</v>
      </c>
      <c r="C725" t="s">
        <v>52</v>
      </c>
      <c r="D725">
        <v>2</v>
      </c>
      <c r="E725">
        <v>78</v>
      </c>
      <c r="F725">
        <v>0.01</v>
      </c>
      <c r="G725">
        <f t="shared" si="12"/>
        <v>1.1111111111111112E-2</v>
      </c>
      <c r="H725">
        <f>G725*(26.79/38.29)</f>
        <v>7.7740053974057624E-3</v>
      </c>
    </row>
    <row r="726" spans="1:8" x14ac:dyDescent="0.25">
      <c r="A726" s="1">
        <v>2002</v>
      </c>
      <c r="B726" s="1" t="s">
        <v>99</v>
      </c>
      <c r="C726" t="s">
        <v>52</v>
      </c>
      <c r="D726">
        <v>2</v>
      </c>
      <c r="E726">
        <v>78</v>
      </c>
      <c r="F726">
        <v>0.01</v>
      </c>
      <c r="G726">
        <f t="shared" si="12"/>
        <v>1.1111111111111112E-2</v>
      </c>
      <c r="H726">
        <f>G726*(26.79/38.29)</f>
        <v>7.7740053974057624E-3</v>
      </c>
    </row>
    <row r="727" spans="1:8" x14ac:dyDescent="0.25">
      <c r="A727" s="1">
        <v>2002</v>
      </c>
      <c r="B727" s="1" t="s">
        <v>99</v>
      </c>
      <c r="C727" t="s">
        <v>52</v>
      </c>
      <c r="D727">
        <v>2</v>
      </c>
      <c r="E727">
        <v>78</v>
      </c>
      <c r="F727">
        <v>0.01</v>
      </c>
      <c r="G727">
        <f t="shared" si="12"/>
        <v>1.1111111111111112E-2</v>
      </c>
      <c r="H727">
        <f>G727*(26.79/38.29)</f>
        <v>7.7740053974057624E-3</v>
      </c>
    </row>
    <row r="728" spans="1:8" x14ac:dyDescent="0.25">
      <c r="A728" s="1">
        <v>2002</v>
      </c>
      <c r="B728" s="1" t="s">
        <v>99</v>
      </c>
      <c r="C728" t="s">
        <v>52</v>
      </c>
      <c r="D728">
        <v>2</v>
      </c>
      <c r="E728">
        <v>78</v>
      </c>
      <c r="F728">
        <v>0.02</v>
      </c>
      <c r="G728">
        <f t="shared" si="12"/>
        <v>2.2222222222222223E-2</v>
      </c>
      <c r="H728">
        <f>G728*(26.79/38.29)</f>
        <v>1.5548010794811525E-2</v>
      </c>
    </row>
    <row r="729" spans="1:8" x14ac:dyDescent="0.25">
      <c r="A729" s="1">
        <v>2002</v>
      </c>
      <c r="B729" s="1" t="s">
        <v>99</v>
      </c>
      <c r="C729" t="s">
        <v>52</v>
      </c>
      <c r="D729">
        <v>2</v>
      </c>
      <c r="E729">
        <v>78</v>
      </c>
      <c r="F729">
        <v>0.01</v>
      </c>
      <c r="G729">
        <f t="shared" si="12"/>
        <v>1.1111111111111112E-2</v>
      </c>
      <c r="H729">
        <f>G729*(26.79/38.29)</f>
        <v>7.7740053974057624E-3</v>
      </c>
    </row>
    <row r="730" spans="1:8" x14ac:dyDescent="0.25">
      <c r="A730" s="1">
        <v>2002</v>
      </c>
      <c r="B730" s="1" t="s">
        <v>99</v>
      </c>
      <c r="C730" t="s">
        <v>52</v>
      </c>
      <c r="D730">
        <v>2</v>
      </c>
      <c r="E730">
        <v>78</v>
      </c>
      <c r="F730">
        <v>0.01</v>
      </c>
      <c r="G730">
        <f t="shared" si="12"/>
        <v>1.1111111111111112E-2</v>
      </c>
      <c r="H730">
        <f>G730*(26.79/38.29)</f>
        <v>7.7740053974057624E-3</v>
      </c>
    </row>
    <row r="731" spans="1:8" x14ac:dyDescent="0.25">
      <c r="A731" s="1">
        <v>2002</v>
      </c>
      <c r="B731" s="1" t="s">
        <v>99</v>
      </c>
      <c r="C731" t="s">
        <v>52</v>
      </c>
      <c r="D731">
        <v>2</v>
      </c>
      <c r="E731">
        <v>78</v>
      </c>
      <c r="F731">
        <v>0.01</v>
      </c>
      <c r="G731">
        <f t="shared" si="12"/>
        <v>1.1111111111111112E-2</v>
      </c>
      <c r="H731">
        <f>G731*(26.79/38.29)</f>
        <v>7.7740053974057624E-3</v>
      </c>
    </row>
    <row r="732" spans="1:8" x14ac:dyDescent="0.25">
      <c r="A732" s="1">
        <v>2002</v>
      </c>
      <c r="B732" s="1" t="s">
        <v>99</v>
      </c>
      <c r="C732" t="s">
        <v>52</v>
      </c>
      <c r="D732">
        <v>2</v>
      </c>
      <c r="E732">
        <v>78</v>
      </c>
      <c r="F732">
        <v>0.01</v>
      </c>
      <c r="G732">
        <f t="shared" si="12"/>
        <v>1.1111111111111112E-2</v>
      </c>
      <c r="H732">
        <f>G732*(26.79/38.29)</f>
        <v>7.7740053974057624E-3</v>
      </c>
    </row>
    <row r="733" spans="1:8" x14ac:dyDescent="0.25">
      <c r="A733" s="1">
        <v>2002</v>
      </c>
      <c r="B733" s="1" t="s">
        <v>99</v>
      </c>
      <c r="C733" t="s">
        <v>52</v>
      </c>
      <c r="D733">
        <v>2</v>
      </c>
      <c r="E733">
        <v>78</v>
      </c>
      <c r="F733">
        <v>0.01</v>
      </c>
      <c r="G733">
        <f t="shared" si="12"/>
        <v>1.1111111111111112E-2</v>
      </c>
      <c r="H733">
        <f>G733*(26.79/38.29)</f>
        <v>7.7740053974057624E-3</v>
      </c>
    </row>
    <row r="734" spans="1:8" x14ac:dyDescent="0.25">
      <c r="A734" s="1">
        <v>2002</v>
      </c>
      <c r="B734" s="1" t="s">
        <v>99</v>
      </c>
      <c r="C734" t="s">
        <v>52</v>
      </c>
      <c r="D734">
        <v>2</v>
      </c>
      <c r="E734">
        <v>78</v>
      </c>
      <c r="F734">
        <v>0.01</v>
      </c>
      <c r="G734">
        <f t="shared" si="12"/>
        <v>1.1111111111111112E-2</v>
      </c>
      <c r="H734">
        <f>G734*(26.79/38.29)</f>
        <v>7.7740053974057624E-3</v>
      </c>
    </row>
    <row r="735" spans="1:8" x14ac:dyDescent="0.25">
      <c r="A735" s="1">
        <v>2002</v>
      </c>
      <c r="B735" s="1" t="s">
        <v>99</v>
      </c>
      <c r="C735" t="s">
        <v>52</v>
      </c>
      <c r="D735">
        <v>2</v>
      </c>
      <c r="E735">
        <v>78</v>
      </c>
      <c r="F735">
        <v>0.01</v>
      </c>
      <c r="G735">
        <f t="shared" si="12"/>
        <v>1.1111111111111112E-2</v>
      </c>
      <c r="H735">
        <f>G735*(26.79/38.29)</f>
        <v>7.7740053974057624E-3</v>
      </c>
    </row>
    <row r="736" spans="1:8" x14ac:dyDescent="0.25">
      <c r="A736" s="1">
        <v>2002</v>
      </c>
      <c r="B736" s="1" t="s">
        <v>99</v>
      </c>
      <c r="C736" t="s">
        <v>52</v>
      </c>
      <c r="D736">
        <v>2</v>
      </c>
      <c r="E736">
        <v>78</v>
      </c>
      <c r="F736">
        <v>0.01</v>
      </c>
      <c r="G736">
        <f t="shared" si="12"/>
        <v>1.1111111111111112E-2</v>
      </c>
      <c r="H736">
        <f>G736*(26.79/38.29)</f>
        <v>7.7740053974057624E-3</v>
      </c>
    </row>
    <row r="737" spans="1:8" x14ac:dyDescent="0.25">
      <c r="A737" s="1">
        <v>2002</v>
      </c>
      <c r="B737" s="1" t="s">
        <v>99</v>
      </c>
      <c r="C737" t="s">
        <v>52</v>
      </c>
      <c r="D737">
        <v>2</v>
      </c>
      <c r="E737">
        <v>78</v>
      </c>
      <c r="F737">
        <v>0.01</v>
      </c>
      <c r="G737">
        <f t="shared" si="12"/>
        <v>1.1111111111111112E-2</v>
      </c>
      <c r="H737">
        <f>G737*(26.79/38.29)</f>
        <v>7.7740053974057624E-3</v>
      </c>
    </row>
    <row r="738" spans="1:8" x14ac:dyDescent="0.25">
      <c r="A738" s="1">
        <v>2002</v>
      </c>
      <c r="B738" s="1" t="s">
        <v>99</v>
      </c>
      <c r="C738" t="s">
        <v>52</v>
      </c>
      <c r="D738">
        <v>2</v>
      </c>
      <c r="E738">
        <v>78</v>
      </c>
      <c r="F738">
        <v>0.01</v>
      </c>
      <c r="G738">
        <f t="shared" si="12"/>
        <v>1.1111111111111112E-2</v>
      </c>
      <c r="H738">
        <f>G738*(26.79/38.29)</f>
        <v>7.7740053974057624E-3</v>
      </c>
    </row>
    <row r="739" spans="1:8" x14ac:dyDescent="0.25">
      <c r="A739" s="1">
        <v>2002</v>
      </c>
      <c r="B739" s="1" t="s">
        <v>99</v>
      </c>
      <c r="C739" t="s">
        <v>52</v>
      </c>
      <c r="D739">
        <v>2</v>
      </c>
      <c r="E739">
        <v>79</v>
      </c>
      <c r="F739">
        <v>0.02</v>
      </c>
      <c r="G739">
        <f t="shared" si="12"/>
        <v>2.2222222222222223E-2</v>
      </c>
      <c r="H739">
        <f>G739*(26.79/38.29)</f>
        <v>1.5548010794811525E-2</v>
      </c>
    </row>
    <row r="740" spans="1:8" x14ac:dyDescent="0.25">
      <c r="A740" s="1">
        <v>2002</v>
      </c>
      <c r="B740" s="1" t="s">
        <v>99</v>
      </c>
      <c r="C740" t="s">
        <v>52</v>
      </c>
      <c r="D740">
        <v>2</v>
      </c>
      <c r="E740">
        <v>79</v>
      </c>
      <c r="F740">
        <v>0.03</v>
      </c>
      <c r="G740">
        <f t="shared" si="12"/>
        <v>3.3333333333333333E-2</v>
      </c>
      <c r="H740">
        <f>G740*(26.79/38.29)</f>
        <v>2.3322016192217288E-2</v>
      </c>
    </row>
    <row r="741" spans="1:8" x14ac:dyDescent="0.25">
      <c r="A741" s="1">
        <v>2002</v>
      </c>
      <c r="B741" s="1" t="s">
        <v>99</v>
      </c>
      <c r="C741" t="s">
        <v>52</v>
      </c>
      <c r="D741">
        <v>2</v>
      </c>
      <c r="E741">
        <v>79</v>
      </c>
      <c r="F741">
        <v>0.01</v>
      </c>
      <c r="G741">
        <f t="shared" si="12"/>
        <v>1.1111111111111112E-2</v>
      </c>
      <c r="H741">
        <f>G741*(26.79/38.29)</f>
        <v>7.7740053974057624E-3</v>
      </c>
    </row>
    <row r="742" spans="1:8" x14ac:dyDescent="0.25">
      <c r="A742" s="1">
        <v>2002</v>
      </c>
      <c r="B742" s="1" t="s">
        <v>99</v>
      </c>
      <c r="C742" t="s">
        <v>52</v>
      </c>
      <c r="D742">
        <v>2</v>
      </c>
      <c r="E742">
        <v>79</v>
      </c>
      <c r="F742">
        <v>0.01</v>
      </c>
      <c r="G742">
        <f t="shared" si="12"/>
        <v>1.1111111111111112E-2</v>
      </c>
      <c r="H742">
        <f>G742*(26.79/38.29)</f>
        <v>7.7740053974057624E-3</v>
      </c>
    </row>
    <row r="743" spans="1:8" x14ac:dyDescent="0.25">
      <c r="A743" s="1">
        <v>2002</v>
      </c>
      <c r="B743" s="1" t="s">
        <v>99</v>
      </c>
      <c r="C743" t="s">
        <v>52</v>
      </c>
      <c r="D743">
        <v>2</v>
      </c>
      <c r="E743">
        <v>85</v>
      </c>
      <c r="F743">
        <v>0.01</v>
      </c>
      <c r="G743">
        <f t="shared" si="12"/>
        <v>1.1111111111111112E-2</v>
      </c>
      <c r="H743">
        <f>G743*(26.79/38.29)</f>
        <v>7.7740053974057624E-3</v>
      </c>
    </row>
    <row r="744" spans="1:8" x14ac:dyDescent="0.25">
      <c r="A744" s="1">
        <v>2002</v>
      </c>
      <c r="B744" s="1" t="s">
        <v>99</v>
      </c>
      <c r="C744" t="s">
        <v>52</v>
      </c>
      <c r="D744">
        <v>2</v>
      </c>
      <c r="E744">
        <v>85</v>
      </c>
      <c r="F744">
        <v>0.01</v>
      </c>
      <c r="G744">
        <f t="shared" si="12"/>
        <v>1.1111111111111112E-2</v>
      </c>
      <c r="H744">
        <f>G744*(26.79/38.29)</f>
        <v>7.7740053974057624E-3</v>
      </c>
    </row>
    <row r="745" spans="1:8" x14ac:dyDescent="0.25">
      <c r="A745" s="1">
        <v>2002</v>
      </c>
      <c r="B745" s="1" t="s">
        <v>99</v>
      </c>
      <c r="C745" t="s">
        <v>52</v>
      </c>
      <c r="D745">
        <v>2</v>
      </c>
      <c r="E745">
        <v>85</v>
      </c>
      <c r="F745">
        <v>0.01</v>
      </c>
      <c r="G745">
        <f t="shared" si="12"/>
        <v>1.1111111111111112E-2</v>
      </c>
      <c r="H745">
        <f>G745*(26.79/38.29)</f>
        <v>7.7740053974057624E-3</v>
      </c>
    </row>
    <row r="746" spans="1:8" x14ac:dyDescent="0.25">
      <c r="A746" s="1">
        <v>2002</v>
      </c>
      <c r="B746" s="1" t="s">
        <v>99</v>
      </c>
      <c r="C746" t="s">
        <v>52</v>
      </c>
      <c r="D746">
        <v>3</v>
      </c>
      <c r="E746">
        <v>29</v>
      </c>
      <c r="F746">
        <v>0.02</v>
      </c>
      <c r="G746">
        <f t="shared" si="12"/>
        <v>2.2222222222222223E-2</v>
      </c>
      <c r="H746">
        <f>G746*(26.79/38.29)</f>
        <v>1.5548010794811525E-2</v>
      </c>
    </row>
    <row r="747" spans="1:8" x14ac:dyDescent="0.25">
      <c r="A747" s="1">
        <v>2002</v>
      </c>
      <c r="B747" s="1" t="s">
        <v>99</v>
      </c>
      <c r="C747" t="s">
        <v>52</v>
      </c>
      <c r="D747">
        <v>3</v>
      </c>
      <c r="E747">
        <v>29</v>
      </c>
      <c r="F747">
        <v>0.03</v>
      </c>
      <c r="G747">
        <f t="shared" si="12"/>
        <v>3.3333333333333333E-2</v>
      </c>
      <c r="H747">
        <f>G747*(26.79/38.29)</f>
        <v>2.3322016192217288E-2</v>
      </c>
    </row>
    <row r="748" spans="1:8" x14ac:dyDescent="0.25">
      <c r="A748" s="1">
        <v>2002</v>
      </c>
      <c r="B748" s="1" t="s">
        <v>99</v>
      </c>
      <c r="C748" t="s">
        <v>52</v>
      </c>
      <c r="D748">
        <v>3</v>
      </c>
      <c r="E748">
        <v>32</v>
      </c>
      <c r="F748">
        <v>0.01</v>
      </c>
      <c r="G748">
        <f t="shared" si="12"/>
        <v>1.1111111111111112E-2</v>
      </c>
      <c r="H748">
        <f>G748*(26.79/38.29)</f>
        <v>7.7740053974057624E-3</v>
      </c>
    </row>
    <row r="749" spans="1:8" x14ac:dyDescent="0.25">
      <c r="A749" s="1">
        <v>2002</v>
      </c>
      <c r="B749" s="1" t="s">
        <v>99</v>
      </c>
      <c r="C749" t="s">
        <v>52</v>
      </c>
      <c r="D749">
        <v>3</v>
      </c>
      <c r="E749">
        <v>32</v>
      </c>
      <c r="F749">
        <v>0.02</v>
      </c>
      <c r="G749">
        <f t="shared" si="12"/>
        <v>2.2222222222222223E-2</v>
      </c>
      <c r="H749">
        <f>G749*(26.79/38.29)</f>
        <v>1.5548010794811525E-2</v>
      </c>
    </row>
    <row r="750" spans="1:8" x14ac:dyDescent="0.25">
      <c r="A750" s="1">
        <v>2002</v>
      </c>
      <c r="B750" s="1" t="s">
        <v>99</v>
      </c>
      <c r="C750" t="s">
        <v>52</v>
      </c>
      <c r="D750">
        <v>3</v>
      </c>
      <c r="E750">
        <v>32</v>
      </c>
      <c r="F750">
        <v>0.01</v>
      </c>
      <c r="G750">
        <f t="shared" si="12"/>
        <v>1.1111111111111112E-2</v>
      </c>
      <c r="H750">
        <f>G750*(26.79/38.29)</f>
        <v>7.7740053974057624E-3</v>
      </c>
    </row>
    <row r="751" spans="1:8" x14ac:dyDescent="0.25">
      <c r="A751" s="1">
        <v>2002</v>
      </c>
      <c r="B751" s="1" t="s">
        <v>99</v>
      </c>
      <c r="C751" t="s">
        <v>52</v>
      </c>
      <c r="D751">
        <v>3</v>
      </c>
      <c r="E751">
        <v>32</v>
      </c>
      <c r="F751">
        <v>0.01</v>
      </c>
      <c r="G751">
        <f t="shared" si="12"/>
        <v>1.1111111111111112E-2</v>
      </c>
      <c r="H751">
        <f>G751*(26.79/38.29)</f>
        <v>7.7740053974057624E-3</v>
      </c>
    </row>
    <row r="752" spans="1:8" x14ac:dyDescent="0.25">
      <c r="A752" s="1">
        <v>2002</v>
      </c>
      <c r="B752" s="1" t="s">
        <v>99</v>
      </c>
      <c r="C752" t="s">
        <v>52</v>
      </c>
      <c r="D752">
        <v>3</v>
      </c>
      <c r="E752">
        <v>32</v>
      </c>
      <c r="F752">
        <v>0.03</v>
      </c>
      <c r="G752">
        <f t="shared" si="12"/>
        <v>3.3333333333333333E-2</v>
      </c>
      <c r="H752">
        <f>G752*(26.79/38.29)</f>
        <v>2.3322016192217288E-2</v>
      </c>
    </row>
    <row r="753" spans="1:8" x14ac:dyDescent="0.25">
      <c r="A753" s="1">
        <v>2002</v>
      </c>
      <c r="B753" s="1" t="s">
        <v>99</v>
      </c>
      <c r="C753" t="s">
        <v>52</v>
      </c>
      <c r="D753">
        <v>3</v>
      </c>
      <c r="E753">
        <v>32</v>
      </c>
      <c r="F753">
        <v>0.03</v>
      </c>
      <c r="G753">
        <f t="shared" si="12"/>
        <v>3.3333333333333333E-2</v>
      </c>
      <c r="H753">
        <f>G753*(26.79/38.29)</f>
        <v>2.3322016192217288E-2</v>
      </c>
    </row>
    <row r="754" spans="1:8" x14ac:dyDescent="0.25">
      <c r="A754" s="1">
        <v>2002</v>
      </c>
      <c r="B754" s="1" t="s">
        <v>99</v>
      </c>
      <c r="C754" t="s">
        <v>52</v>
      </c>
      <c r="D754">
        <v>3</v>
      </c>
      <c r="E754">
        <v>40</v>
      </c>
      <c r="F754">
        <v>0.02</v>
      </c>
      <c r="G754">
        <f t="shared" si="12"/>
        <v>2.2222222222222223E-2</v>
      </c>
      <c r="H754">
        <f>G754*(26.79/38.29)</f>
        <v>1.5548010794811525E-2</v>
      </c>
    </row>
    <row r="755" spans="1:8" x14ac:dyDescent="0.25">
      <c r="A755" s="1">
        <v>2002</v>
      </c>
      <c r="B755" s="1" t="s">
        <v>99</v>
      </c>
      <c r="C755" t="s">
        <v>52</v>
      </c>
      <c r="D755">
        <v>3</v>
      </c>
      <c r="E755">
        <v>53</v>
      </c>
      <c r="F755">
        <v>0.01</v>
      </c>
      <c r="G755">
        <f t="shared" si="12"/>
        <v>1.1111111111111112E-2</v>
      </c>
      <c r="H755">
        <f>G755*(26.79/38.29)</f>
        <v>7.7740053974057624E-3</v>
      </c>
    </row>
    <row r="756" spans="1:8" x14ac:dyDescent="0.25">
      <c r="A756" s="1">
        <v>2002</v>
      </c>
      <c r="B756" s="1" t="s">
        <v>99</v>
      </c>
      <c r="C756" t="s">
        <v>52</v>
      </c>
      <c r="D756">
        <v>3</v>
      </c>
      <c r="E756">
        <v>54</v>
      </c>
      <c r="F756">
        <v>0.02</v>
      </c>
      <c r="G756">
        <f t="shared" si="12"/>
        <v>2.2222222222222223E-2</v>
      </c>
      <c r="H756">
        <f>G756*(26.79/38.29)</f>
        <v>1.5548010794811525E-2</v>
      </c>
    </row>
    <row r="757" spans="1:8" x14ac:dyDescent="0.25">
      <c r="A757" s="1">
        <v>2002</v>
      </c>
      <c r="B757" s="1" t="s">
        <v>99</v>
      </c>
      <c r="C757" t="s">
        <v>52</v>
      </c>
      <c r="D757">
        <v>3</v>
      </c>
      <c r="E757">
        <v>56</v>
      </c>
      <c r="F757">
        <v>0.02</v>
      </c>
      <c r="G757">
        <f t="shared" si="12"/>
        <v>2.2222222222222223E-2</v>
      </c>
      <c r="H757">
        <f>G757*(26.79/38.29)</f>
        <v>1.5548010794811525E-2</v>
      </c>
    </row>
    <row r="758" spans="1:8" x14ac:dyDescent="0.25">
      <c r="A758" s="1">
        <v>2002</v>
      </c>
      <c r="B758" s="1" t="s">
        <v>99</v>
      </c>
      <c r="C758" t="s">
        <v>52</v>
      </c>
      <c r="D758">
        <v>3</v>
      </c>
      <c r="E758">
        <v>63</v>
      </c>
      <c r="F758">
        <v>0.02</v>
      </c>
      <c r="G758">
        <f t="shared" si="12"/>
        <v>2.2222222222222223E-2</v>
      </c>
      <c r="H758">
        <f>G758*(26.79/38.29)</f>
        <v>1.5548010794811525E-2</v>
      </c>
    </row>
    <row r="759" spans="1:8" x14ac:dyDescent="0.25">
      <c r="A759" s="1">
        <v>2002</v>
      </c>
      <c r="B759" s="1" t="s">
        <v>99</v>
      </c>
      <c r="C759" t="s">
        <v>52</v>
      </c>
      <c r="D759">
        <v>3</v>
      </c>
      <c r="E759">
        <v>66</v>
      </c>
      <c r="F759">
        <v>0.01</v>
      </c>
      <c r="G759">
        <f t="shared" si="12"/>
        <v>1.1111111111111112E-2</v>
      </c>
      <c r="H759">
        <f>G759*(26.79/38.29)</f>
        <v>7.7740053974057624E-3</v>
      </c>
    </row>
    <row r="760" spans="1:8" x14ac:dyDescent="0.25">
      <c r="A760" s="1">
        <v>2002</v>
      </c>
      <c r="B760" s="1" t="s">
        <v>99</v>
      </c>
      <c r="C760" t="s">
        <v>52</v>
      </c>
      <c r="D760">
        <v>3</v>
      </c>
      <c r="E760">
        <v>66</v>
      </c>
      <c r="F760">
        <v>0.02</v>
      </c>
      <c r="G760">
        <f t="shared" si="12"/>
        <v>2.2222222222222223E-2</v>
      </c>
      <c r="H760">
        <f>G760*(26.79/38.29)</f>
        <v>1.5548010794811525E-2</v>
      </c>
    </row>
    <row r="761" spans="1:8" x14ac:dyDescent="0.25">
      <c r="A761" s="1">
        <v>2002</v>
      </c>
      <c r="B761" s="1" t="s">
        <v>99</v>
      </c>
      <c r="C761" t="s">
        <v>52</v>
      </c>
      <c r="D761">
        <v>3</v>
      </c>
      <c r="E761">
        <v>76</v>
      </c>
      <c r="F761">
        <v>0.02</v>
      </c>
      <c r="G761">
        <f t="shared" si="12"/>
        <v>2.2222222222222223E-2</v>
      </c>
      <c r="H761">
        <f>G761*(26.79/38.29)</f>
        <v>1.5548010794811525E-2</v>
      </c>
    </row>
    <row r="762" spans="1:8" x14ac:dyDescent="0.25">
      <c r="A762" s="1">
        <v>2002</v>
      </c>
      <c r="B762" s="1" t="s">
        <v>99</v>
      </c>
      <c r="C762" t="s">
        <v>52</v>
      </c>
      <c r="D762">
        <v>3</v>
      </c>
      <c r="E762">
        <v>76</v>
      </c>
      <c r="F762">
        <v>0.01</v>
      </c>
      <c r="G762">
        <f t="shared" si="12"/>
        <v>1.1111111111111112E-2</v>
      </c>
      <c r="H762">
        <f>G762*(26.79/38.29)</f>
        <v>7.7740053974057624E-3</v>
      </c>
    </row>
    <row r="763" spans="1:8" x14ac:dyDescent="0.25">
      <c r="A763" s="1">
        <v>2002</v>
      </c>
      <c r="B763" s="1" t="s">
        <v>99</v>
      </c>
      <c r="C763" t="s">
        <v>52</v>
      </c>
      <c r="D763">
        <v>3</v>
      </c>
      <c r="E763">
        <v>76</v>
      </c>
      <c r="F763">
        <v>0.01</v>
      </c>
      <c r="G763">
        <f t="shared" si="12"/>
        <v>1.1111111111111112E-2</v>
      </c>
      <c r="H763">
        <f>G763*(26.79/38.29)</f>
        <v>7.7740053974057624E-3</v>
      </c>
    </row>
    <row r="764" spans="1:8" x14ac:dyDescent="0.25">
      <c r="A764" s="1">
        <v>2002</v>
      </c>
      <c r="B764" s="1" t="s">
        <v>99</v>
      </c>
      <c r="C764" t="s">
        <v>52</v>
      </c>
      <c r="D764">
        <v>3</v>
      </c>
      <c r="E764">
        <v>76</v>
      </c>
      <c r="F764">
        <v>0.01</v>
      </c>
      <c r="G764">
        <f t="shared" si="12"/>
        <v>1.1111111111111112E-2</v>
      </c>
      <c r="H764">
        <f>G764*(26.79/38.29)</f>
        <v>7.7740053974057624E-3</v>
      </c>
    </row>
    <row r="765" spans="1:8" x14ac:dyDescent="0.25">
      <c r="A765" s="1">
        <v>2002</v>
      </c>
      <c r="B765" s="1" t="s">
        <v>99</v>
      </c>
      <c r="C765" t="s">
        <v>52</v>
      </c>
      <c r="D765">
        <v>3</v>
      </c>
      <c r="E765">
        <v>76</v>
      </c>
      <c r="F765">
        <v>0.01</v>
      </c>
      <c r="G765">
        <f t="shared" si="12"/>
        <v>1.1111111111111112E-2</v>
      </c>
      <c r="H765">
        <f>G765*(26.79/38.29)</f>
        <v>7.7740053974057624E-3</v>
      </c>
    </row>
    <row r="766" spans="1:8" x14ac:dyDescent="0.25">
      <c r="A766" s="1">
        <v>2002</v>
      </c>
      <c r="B766" s="1" t="s">
        <v>99</v>
      </c>
      <c r="C766" t="s">
        <v>52</v>
      </c>
      <c r="D766">
        <v>3</v>
      </c>
      <c r="E766">
        <v>76</v>
      </c>
      <c r="F766">
        <v>0.01</v>
      </c>
      <c r="G766">
        <f t="shared" si="12"/>
        <v>1.1111111111111112E-2</v>
      </c>
      <c r="H766">
        <f>G766*(26.79/38.29)</f>
        <v>7.7740053974057624E-3</v>
      </c>
    </row>
    <row r="767" spans="1:8" x14ac:dyDescent="0.25">
      <c r="A767" s="1">
        <v>2002</v>
      </c>
      <c r="B767" s="1" t="s">
        <v>99</v>
      </c>
      <c r="C767" t="s">
        <v>52</v>
      </c>
      <c r="D767">
        <v>3</v>
      </c>
      <c r="E767">
        <v>76</v>
      </c>
      <c r="F767">
        <v>0.03</v>
      </c>
      <c r="G767">
        <f t="shared" si="12"/>
        <v>3.3333333333333333E-2</v>
      </c>
      <c r="H767">
        <f>G767*(26.79/38.29)</f>
        <v>2.3322016192217288E-2</v>
      </c>
    </row>
    <row r="768" spans="1:8" x14ac:dyDescent="0.25">
      <c r="A768" s="1">
        <v>2002</v>
      </c>
      <c r="B768" s="1" t="s">
        <v>99</v>
      </c>
      <c r="C768" t="s">
        <v>52</v>
      </c>
      <c r="D768">
        <v>3</v>
      </c>
      <c r="E768">
        <v>76</v>
      </c>
      <c r="F768">
        <v>0.03</v>
      </c>
      <c r="G768">
        <f t="shared" si="12"/>
        <v>3.3333333333333333E-2</v>
      </c>
      <c r="H768">
        <f>G768*(26.79/38.29)</f>
        <v>2.3322016192217288E-2</v>
      </c>
    </row>
    <row r="769" spans="1:8" x14ac:dyDescent="0.25">
      <c r="A769" s="1">
        <v>2002</v>
      </c>
      <c r="B769" s="1" t="s">
        <v>99</v>
      </c>
      <c r="C769" t="s">
        <v>52</v>
      </c>
      <c r="D769">
        <v>3</v>
      </c>
      <c r="E769">
        <v>76</v>
      </c>
      <c r="F769">
        <v>0.01</v>
      </c>
      <c r="G769">
        <f t="shared" si="12"/>
        <v>1.1111111111111112E-2</v>
      </c>
      <c r="H769">
        <f>G769*(26.79/38.29)</f>
        <v>7.7740053974057624E-3</v>
      </c>
    </row>
    <row r="770" spans="1:8" x14ac:dyDescent="0.25">
      <c r="A770" s="1">
        <v>2002</v>
      </c>
      <c r="B770" s="1" t="s">
        <v>99</v>
      </c>
      <c r="C770" t="s">
        <v>52</v>
      </c>
      <c r="D770">
        <v>3</v>
      </c>
      <c r="E770">
        <v>76</v>
      </c>
      <c r="F770">
        <v>0.02</v>
      </c>
      <c r="G770">
        <f t="shared" si="12"/>
        <v>2.2222222222222223E-2</v>
      </c>
      <c r="H770">
        <f>G770*(26.79/38.29)</f>
        <v>1.5548010794811525E-2</v>
      </c>
    </row>
    <row r="771" spans="1:8" x14ac:dyDescent="0.25">
      <c r="A771" s="1">
        <v>2002</v>
      </c>
      <c r="B771" s="1" t="s">
        <v>99</v>
      </c>
      <c r="C771" t="s">
        <v>52</v>
      </c>
      <c r="D771">
        <v>3</v>
      </c>
      <c r="E771">
        <v>76</v>
      </c>
      <c r="F771">
        <v>0.01</v>
      </c>
      <c r="G771">
        <f t="shared" si="12"/>
        <v>1.1111111111111112E-2</v>
      </c>
      <c r="H771">
        <f>G771*(26.79/38.29)</f>
        <v>7.7740053974057624E-3</v>
      </c>
    </row>
    <row r="772" spans="1:8" x14ac:dyDescent="0.25">
      <c r="A772" s="1">
        <v>2002</v>
      </c>
      <c r="B772" s="1" t="s">
        <v>99</v>
      </c>
      <c r="C772" t="s">
        <v>52</v>
      </c>
      <c r="D772">
        <v>3</v>
      </c>
      <c r="E772">
        <v>76</v>
      </c>
      <c r="F772">
        <v>0.03</v>
      </c>
      <c r="G772">
        <f t="shared" si="12"/>
        <v>3.3333333333333333E-2</v>
      </c>
      <c r="H772">
        <f>G772*(26.79/38.29)</f>
        <v>2.3322016192217288E-2</v>
      </c>
    </row>
    <row r="773" spans="1:8" x14ac:dyDescent="0.25">
      <c r="A773" s="1">
        <v>2002</v>
      </c>
      <c r="B773" s="1" t="s">
        <v>99</v>
      </c>
      <c r="C773" t="s">
        <v>52</v>
      </c>
      <c r="D773">
        <v>3</v>
      </c>
      <c r="E773">
        <v>76</v>
      </c>
      <c r="F773">
        <v>0.02</v>
      </c>
      <c r="G773">
        <f t="shared" si="12"/>
        <v>2.2222222222222223E-2</v>
      </c>
      <c r="H773">
        <f>G773*(26.79/38.29)</f>
        <v>1.5548010794811525E-2</v>
      </c>
    </row>
    <row r="774" spans="1:8" x14ac:dyDescent="0.25">
      <c r="A774" s="1">
        <v>2002</v>
      </c>
      <c r="B774" s="1" t="s">
        <v>99</v>
      </c>
      <c r="C774" t="s">
        <v>52</v>
      </c>
      <c r="D774">
        <v>3</v>
      </c>
      <c r="E774">
        <v>76</v>
      </c>
      <c r="F774">
        <v>0.02</v>
      </c>
      <c r="G774">
        <f t="shared" si="12"/>
        <v>2.2222222222222223E-2</v>
      </c>
      <c r="H774">
        <f>G774*(26.79/38.29)</f>
        <v>1.5548010794811525E-2</v>
      </c>
    </row>
    <row r="775" spans="1:8" x14ac:dyDescent="0.25">
      <c r="A775" s="1">
        <v>2002</v>
      </c>
      <c r="B775" s="1" t="s">
        <v>99</v>
      </c>
      <c r="C775" t="s">
        <v>52</v>
      </c>
      <c r="D775">
        <v>3</v>
      </c>
      <c r="E775">
        <v>76</v>
      </c>
      <c r="F775">
        <v>0.01</v>
      </c>
      <c r="G775">
        <f t="shared" si="12"/>
        <v>1.1111111111111112E-2</v>
      </c>
      <c r="H775">
        <f>G775*(26.79/38.29)</f>
        <v>7.7740053974057624E-3</v>
      </c>
    </row>
    <row r="776" spans="1:8" x14ac:dyDescent="0.25">
      <c r="A776" s="1">
        <v>2002</v>
      </c>
      <c r="B776" s="1" t="s">
        <v>99</v>
      </c>
      <c r="C776" t="s">
        <v>52</v>
      </c>
      <c r="D776">
        <v>3</v>
      </c>
      <c r="E776">
        <v>78</v>
      </c>
      <c r="F776">
        <v>0.03</v>
      </c>
      <c r="G776">
        <f t="shared" si="12"/>
        <v>3.3333333333333333E-2</v>
      </c>
      <c r="H776">
        <f>G776*(26.79/38.29)</f>
        <v>2.3322016192217288E-2</v>
      </c>
    </row>
    <row r="777" spans="1:8" x14ac:dyDescent="0.25">
      <c r="A777" s="1">
        <v>2002</v>
      </c>
      <c r="B777" s="1" t="s">
        <v>99</v>
      </c>
      <c r="C777" t="s">
        <v>52</v>
      </c>
      <c r="D777">
        <v>3</v>
      </c>
      <c r="E777">
        <v>78</v>
      </c>
      <c r="F777">
        <v>0.03</v>
      </c>
      <c r="G777">
        <f t="shared" si="12"/>
        <v>3.3333333333333333E-2</v>
      </c>
      <c r="H777">
        <f>G777*(26.79/38.29)</f>
        <v>2.3322016192217288E-2</v>
      </c>
    </row>
    <row r="778" spans="1:8" x14ac:dyDescent="0.25">
      <c r="A778" s="1">
        <v>2002</v>
      </c>
      <c r="B778" s="1" t="s">
        <v>99</v>
      </c>
      <c r="C778" t="s">
        <v>52</v>
      </c>
      <c r="D778">
        <v>3</v>
      </c>
      <c r="E778">
        <v>78</v>
      </c>
      <c r="F778">
        <v>0.01</v>
      </c>
      <c r="G778">
        <f t="shared" si="12"/>
        <v>1.1111111111111112E-2</v>
      </c>
      <c r="H778">
        <f>G778*(26.79/38.29)</f>
        <v>7.7740053974057624E-3</v>
      </c>
    </row>
    <row r="779" spans="1:8" x14ac:dyDescent="0.25">
      <c r="A779" s="1">
        <v>2002</v>
      </c>
      <c r="B779" s="1" t="s">
        <v>99</v>
      </c>
      <c r="C779" t="s">
        <v>52</v>
      </c>
      <c r="D779">
        <v>3</v>
      </c>
      <c r="E779">
        <v>78</v>
      </c>
      <c r="F779">
        <v>0.01</v>
      </c>
      <c r="G779">
        <f t="shared" si="12"/>
        <v>1.1111111111111112E-2</v>
      </c>
      <c r="H779">
        <f>G779*(26.79/38.29)</f>
        <v>7.7740053974057624E-3</v>
      </c>
    </row>
    <row r="780" spans="1:8" x14ac:dyDescent="0.25">
      <c r="A780" s="1">
        <v>2002</v>
      </c>
      <c r="B780" s="1" t="s">
        <v>99</v>
      </c>
      <c r="C780" t="s">
        <v>52</v>
      </c>
      <c r="D780">
        <v>3</v>
      </c>
      <c r="E780">
        <v>78</v>
      </c>
      <c r="F780">
        <v>0.01</v>
      </c>
      <c r="G780">
        <f t="shared" si="12"/>
        <v>1.1111111111111112E-2</v>
      </c>
      <c r="H780">
        <f>G780*(26.79/38.29)</f>
        <v>7.7740053974057624E-3</v>
      </c>
    </row>
    <row r="781" spans="1:8" x14ac:dyDescent="0.25">
      <c r="A781" s="1">
        <v>2002</v>
      </c>
      <c r="B781" s="1" t="s">
        <v>99</v>
      </c>
      <c r="C781" t="s">
        <v>52</v>
      </c>
      <c r="D781">
        <v>3</v>
      </c>
      <c r="E781">
        <v>78</v>
      </c>
      <c r="F781">
        <v>0.03</v>
      </c>
      <c r="G781">
        <f t="shared" si="12"/>
        <v>3.3333333333333333E-2</v>
      </c>
      <c r="H781">
        <f>G781*(26.79/38.29)</f>
        <v>2.3322016192217288E-2</v>
      </c>
    </row>
    <row r="782" spans="1:8" x14ac:dyDescent="0.25">
      <c r="A782" s="1">
        <v>2002</v>
      </c>
      <c r="B782" s="1" t="s">
        <v>99</v>
      </c>
      <c r="C782" t="s">
        <v>52</v>
      </c>
      <c r="D782">
        <v>3</v>
      </c>
      <c r="E782">
        <v>78</v>
      </c>
      <c r="F782">
        <v>0.02</v>
      </c>
      <c r="G782">
        <f t="shared" si="12"/>
        <v>2.2222222222222223E-2</v>
      </c>
      <c r="H782">
        <f>G782*(26.79/38.29)</f>
        <v>1.5548010794811525E-2</v>
      </c>
    </row>
    <row r="783" spans="1:8" x14ac:dyDescent="0.25">
      <c r="A783" s="1">
        <v>2002</v>
      </c>
      <c r="B783" s="1" t="s">
        <v>99</v>
      </c>
      <c r="C783" t="s">
        <v>52</v>
      </c>
      <c r="D783">
        <v>3</v>
      </c>
      <c r="E783">
        <v>78</v>
      </c>
      <c r="F783">
        <v>0.01</v>
      </c>
      <c r="G783">
        <f t="shared" si="12"/>
        <v>1.1111111111111112E-2</v>
      </c>
      <c r="H783">
        <f>G783*(26.79/38.29)</f>
        <v>7.7740053974057624E-3</v>
      </c>
    </row>
    <row r="784" spans="1:8" x14ac:dyDescent="0.25">
      <c r="A784" s="1">
        <v>2002</v>
      </c>
      <c r="B784" s="1" t="s">
        <v>99</v>
      </c>
      <c r="C784" t="s">
        <v>52</v>
      </c>
      <c r="D784">
        <v>3</v>
      </c>
      <c r="E784">
        <v>78</v>
      </c>
      <c r="F784">
        <v>0.01</v>
      </c>
      <c r="G784">
        <f t="shared" si="12"/>
        <v>1.1111111111111112E-2</v>
      </c>
      <c r="H784">
        <f>G784*(26.79/38.29)</f>
        <v>7.7740053974057624E-3</v>
      </c>
    </row>
    <row r="785" spans="1:8" x14ac:dyDescent="0.25">
      <c r="A785" s="1">
        <v>2002</v>
      </c>
      <c r="B785" s="1" t="s">
        <v>99</v>
      </c>
      <c r="C785" t="s">
        <v>52</v>
      </c>
      <c r="D785">
        <v>3</v>
      </c>
      <c r="E785">
        <v>78</v>
      </c>
      <c r="F785">
        <v>0.02</v>
      </c>
      <c r="G785">
        <f t="shared" si="12"/>
        <v>2.2222222222222223E-2</v>
      </c>
      <c r="H785">
        <f>G785*(26.79/38.29)</f>
        <v>1.5548010794811525E-2</v>
      </c>
    </row>
    <row r="786" spans="1:8" x14ac:dyDescent="0.25">
      <c r="A786" s="1">
        <v>2002</v>
      </c>
      <c r="B786" s="1" t="s">
        <v>99</v>
      </c>
      <c r="C786" t="s">
        <v>52</v>
      </c>
      <c r="D786">
        <v>3</v>
      </c>
      <c r="E786">
        <v>78</v>
      </c>
      <c r="F786">
        <v>0.01</v>
      </c>
      <c r="G786">
        <f t="shared" si="12"/>
        <v>1.1111111111111112E-2</v>
      </c>
      <c r="H786">
        <f>G786*(26.79/38.29)</f>
        <v>7.7740053974057624E-3</v>
      </c>
    </row>
    <row r="787" spans="1:8" x14ac:dyDescent="0.25">
      <c r="A787" s="1">
        <v>2002</v>
      </c>
      <c r="B787" s="1" t="s">
        <v>99</v>
      </c>
      <c r="C787" t="s">
        <v>52</v>
      </c>
      <c r="D787">
        <v>3</v>
      </c>
      <c r="E787">
        <v>78</v>
      </c>
      <c r="F787">
        <v>0.02</v>
      </c>
      <c r="G787">
        <f t="shared" ref="G787:G850" si="13">(F787/0.01)/90</f>
        <v>2.2222222222222223E-2</v>
      </c>
      <c r="H787">
        <f>G787*(26.79/38.29)</f>
        <v>1.5548010794811525E-2</v>
      </c>
    </row>
    <row r="788" spans="1:8" x14ac:dyDescent="0.25">
      <c r="A788" s="1">
        <v>2002</v>
      </c>
      <c r="B788" s="1" t="s">
        <v>99</v>
      </c>
      <c r="C788" t="s">
        <v>52</v>
      </c>
      <c r="D788">
        <v>3</v>
      </c>
      <c r="E788">
        <v>78</v>
      </c>
      <c r="F788">
        <v>0.01</v>
      </c>
      <c r="G788">
        <f t="shared" si="13"/>
        <v>1.1111111111111112E-2</v>
      </c>
      <c r="H788">
        <f>G788*(26.79/38.29)</f>
        <v>7.7740053974057624E-3</v>
      </c>
    </row>
    <row r="789" spans="1:8" x14ac:dyDescent="0.25">
      <c r="A789" s="1">
        <v>2002</v>
      </c>
      <c r="B789" s="1" t="s">
        <v>99</v>
      </c>
      <c r="C789" t="s">
        <v>52</v>
      </c>
      <c r="D789">
        <v>3</v>
      </c>
      <c r="E789">
        <v>78</v>
      </c>
      <c r="F789">
        <v>0.01</v>
      </c>
      <c r="G789">
        <f t="shared" si="13"/>
        <v>1.1111111111111112E-2</v>
      </c>
      <c r="H789">
        <f>G789*(26.79/38.29)</f>
        <v>7.7740053974057624E-3</v>
      </c>
    </row>
    <row r="790" spans="1:8" x14ac:dyDescent="0.25">
      <c r="A790" s="1">
        <v>2002</v>
      </c>
      <c r="B790" s="1" t="s">
        <v>99</v>
      </c>
      <c r="C790" t="s">
        <v>52</v>
      </c>
      <c r="D790">
        <v>3</v>
      </c>
      <c r="E790">
        <v>78</v>
      </c>
      <c r="F790">
        <v>0.01</v>
      </c>
      <c r="G790">
        <f t="shared" si="13"/>
        <v>1.1111111111111112E-2</v>
      </c>
      <c r="H790">
        <f>G790*(26.79/38.29)</f>
        <v>7.7740053974057624E-3</v>
      </c>
    </row>
    <row r="791" spans="1:8" x14ac:dyDescent="0.25">
      <c r="A791" s="1">
        <v>2002</v>
      </c>
      <c r="B791" s="1" t="s">
        <v>99</v>
      </c>
      <c r="C791" t="s">
        <v>52</v>
      </c>
      <c r="D791">
        <v>3</v>
      </c>
      <c r="E791">
        <v>78</v>
      </c>
      <c r="F791">
        <v>0.01</v>
      </c>
      <c r="G791">
        <f t="shared" si="13"/>
        <v>1.1111111111111112E-2</v>
      </c>
      <c r="H791">
        <f>G791*(26.79/38.29)</f>
        <v>7.7740053974057624E-3</v>
      </c>
    </row>
    <row r="792" spans="1:8" x14ac:dyDescent="0.25">
      <c r="A792" s="1">
        <v>2002</v>
      </c>
      <c r="B792" s="1" t="s">
        <v>99</v>
      </c>
      <c r="C792" t="s">
        <v>52</v>
      </c>
      <c r="D792">
        <v>3</v>
      </c>
      <c r="E792">
        <v>78</v>
      </c>
      <c r="F792">
        <v>0.01</v>
      </c>
      <c r="G792">
        <f t="shared" si="13"/>
        <v>1.1111111111111112E-2</v>
      </c>
      <c r="H792">
        <f>G792*(26.79/38.29)</f>
        <v>7.7740053974057624E-3</v>
      </c>
    </row>
    <row r="793" spans="1:8" x14ac:dyDescent="0.25">
      <c r="A793" s="1">
        <v>2002</v>
      </c>
      <c r="B793" s="1" t="s">
        <v>99</v>
      </c>
      <c r="C793" t="s">
        <v>52</v>
      </c>
      <c r="D793">
        <v>3</v>
      </c>
      <c r="E793">
        <v>78</v>
      </c>
      <c r="F793">
        <v>0.03</v>
      </c>
      <c r="G793">
        <f t="shared" si="13"/>
        <v>3.3333333333333333E-2</v>
      </c>
      <c r="H793">
        <f>G793*(26.79/38.29)</f>
        <v>2.3322016192217288E-2</v>
      </c>
    </row>
    <row r="794" spans="1:8" x14ac:dyDescent="0.25">
      <c r="A794" s="1">
        <v>2002</v>
      </c>
      <c r="B794" s="1" t="s">
        <v>99</v>
      </c>
      <c r="C794" t="s">
        <v>52</v>
      </c>
      <c r="D794">
        <v>3</v>
      </c>
      <c r="E794">
        <v>78</v>
      </c>
      <c r="F794">
        <v>0.03</v>
      </c>
      <c r="G794">
        <f t="shared" si="13"/>
        <v>3.3333333333333333E-2</v>
      </c>
      <c r="H794">
        <f>G794*(26.79/38.29)</f>
        <v>2.3322016192217288E-2</v>
      </c>
    </row>
    <row r="795" spans="1:8" x14ac:dyDescent="0.25">
      <c r="A795" s="1">
        <v>2002</v>
      </c>
      <c r="B795" s="1" t="s">
        <v>99</v>
      </c>
      <c r="C795" t="s">
        <v>52</v>
      </c>
      <c r="D795">
        <v>3</v>
      </c>
      <c r="E795">
        <v>79</v>
      </c>
      <c r="F795">
        <v>0.03</v>
      </c>
      <c r="G795">
        <f t="shared" si="13"/>
        <v>3.3333333333333333E-2</v>
      </c>
      <c r="H795">
        <f>G795*(26.79/38.29)</f>
        <v>2.3322016192217288E-2</v>
      </c>
    </row>
    <row r="796" spans="1:8" x14ac:dyDescent="0.25">
      <c r="A796" s="1">
        <v>2002</v>
      </c>
      <c r="B796" s="1" t="s">
        <v>99</v>
      </c>
      <c r="C796" t="s">
        <v>52</v>
      </c>
      <c r="D796">
        <v>3</v>
      </c>
      <c r="E796">
        <v>79</v>
      </c>
      <c r="F796">
        <v>0.01</v>
      </c>
      <c r="G796">
        <f t="shared" si="13"/>
        <v>1.1111111111111112E-2</v>
      </c>
      <c r="H796">
        <f>G796*(26.79/38.29)</f>
        <v>7.7740053974057624E-3</v>
      </c>
    </row>
    <row r="797" spans="1:8" x14ac:dyDescent="0.25">
      <c r="A797" s="1">
        <v>2002</v>
      </c>
      <c r="B797" s="1" t="s">
        <v>99</v>
      </c>
      <c r="C797" t="s">
        <v>52</v>
      </c>
      <c r="D797">
        <v>3</v>
      </c>
      <c r="E797">
        <v>79</v>
      </c>
      <c r="F797">
        <v>0.01</v>
      </c>
      <c r="G797">
        <f t="shared" si="13"/>
        <v>1.1111111111111112E-2</v>
      </c>
      <c r="H797">
        <f>G797*(26.79/38.29)</f>
        <v>7.7740053974057624E-3</v>
      </c>
    </row>
    <row r="798" spans="1:8" x14ac:dyDescent="0.25">
      <c r="A798" s="1">
        <v>2002</v>
      </c>
      <c r="B798" s="1" t="s">
        <v>99</v>
      </c>
      <c r="C798" t="s">
        <v>52</v>
      </c>
      <c r="D798">
        <v>3</v>
      </c>
      <c r="E798">
        <v>79</v>
      </c>
      <c r="F798">
        <v>0.01</v>
      </c>
      <c r="G798">
        <f t="shared" si="13"/>
        <v>1.1111111111111112E-2</v>
      </c>
      <c r="H798">
        <f>G798*(26.79/38.29)</f>
        <v>7.7740053974057624E-3</v>
      </c>
    </row>
    <row r="799" spans="1:8" x14ac:dyDescent="0.25">
      <c r="A799" s="1">
        <v>2002</v>
      </c>
      <c r="B799" s="1" t="s">
        <v>99</v>
      </c>
      <c r="C799" t="s">
        <v>52</v>
      </c>
      <c r="D799">
        <v>3</v>
      </c>
      <c r="E799">
        <v>79</v>
      </c>
      <c r="F799">
        <v>0.01</v>
      </c>
      <c r="G799">
        <f t="shared" si="13"/>
        <v>1.1111111111111112E-2</v>
      </c>
      <c r="H799">
        <f>G799*(26.79/38.29)</f>
        <v>7.7740053974057624E-3</v>
      </c>
    </row>
    <row r="800" spans="1:8" x14ac:dyDescent="0.25">
      <c r="A800" s="1">
        <v>2002</v>
      </c>
      <c r="B800" s="1" t="s">
        <v>99</v>
      </c>
      <c r="C800" t="s">
        <v>52</v>
      </c>
      <c r="D800">
        <v>3</v>
      </c>
      <c r="E800">
        <v>79</v>
      </c>
      <c r="F800">
        <v>0.03</v>
      </c>
      <c r="G800">
        <f t="shared" si="13"/>
        <v>3.3333333333333333E-2</v>
      </c>
      <c r="H800">
        <f>G800*(26.79/38.29)</f>
        <v>2.3322016192217288E-2</v>
      </c>
    </row>
    <row r="801" spans="1:8" x14ac:dyDescent="0.25">
      <c r="A801" s="1">
        <v>2002</v>
      </c>
      <c r="B801" s="1" t="s">
        <v>99</v>
      </c>
      <c r="C801" t="s">
        <v>52</v>
      </c>
      <c r="D801">
        <v>3</v>
      </c>
      <c r="E801">
        <v>79</v>
      </c>
      <c r="F801">
        <v>0.01</v>
      </c>
      <c r="G801">
        <f t="shared" si="13"/>
        <v>1.1111111111111112E-2</v>
      </c>
      <c r="H801">
        <f>G801*(26.79/38.29)</f>
        <v>7.7740053974057624E-3</v>
      </c>
    </row>
    <row r="802" spans="1:8" x14ac:dyDescent="0.25">
      <c r="A802" s="1">
        <v>2002</v>
      </c>
      <c r="B802" s="1" t="s">
        <v>99</v>
      </c>
      <c r="C802" t="s">
        <v>52</v>
      </c>
      <c r="D802">
        <v>3</v>
      </c>
      <c r="E802">
        <v>79</v>
      </c>
      <c r="F802">
        <v>0.02</v>
      </c>
      <c r="G802">
        <f t="shared" si="13"/>
        <v>2.2222222222222223E-2</v>
      </c>
      <c r="H802">
        <f>G802*(26.79/38.29)</f>
        <v>1.5548010794811525E-2</v>
      </c>
    </row>
    <row r="803" spans="1:8" x14ac:dyDescent="0.25">
      <c r="A803" s="1">
        <v>2002</v>
      </c>
      <c r="B803" s="1" t="s">
        <v>99</v>
      </c>
      <c r="C803" t="s">
        <v>52</v>
      </c>
      <c r="D803">
        <v>3</v>
      </c>
      <c r="E803">
        <v>85</v>
      </c>
      <c r="F803">
        <v>0.01</v>
      </c>
      <c r="G803">
        <f t="shared" si="13"/>
        <v>1.1111111111111112E-2</v>
      </c>
      <c r="H803">
        <f>G803*(26.79/38.29)</f>
        <v>7.7740053974057624E-3</v>
      </c>
    </row>
    <row r="804" spans="1:8" x14ac:dyDescent="0.25">
      <c r="A804" s="1">
        <v>2002</v>
      </c>
      <c r="B804" s="1" t="s">
        <v>99</v>
      </c>
      <c r="C804" t="s">
        <v>52</v>
      </c>
      <c r="D804">
        <v>3</v>
      </c>
      <c r="E804">
        <v>85</v>
      </c>
      <c r="F804">
        <v>0.01</v>
      </c>
      <c r="G804">
        <f t="shared" si="13"/>
        <v>1.1111111111111112E-2</v>
      </c>
      <c r="H804">
        <f>G804*(26.79/38.29)</f>
        <v>7.7740053974057624E-3</v>
      </c>
    </row>
    <row r="805" spans="1:8" x14ac:dyDescent="0.25">
      <c r="A805" s="1">
        <v>2002</v>
      </c>
      <c r="B805" s="1" t="s">
        <v>99</v>
      </c>
      <c r="C805" t="s">
        <v>52</v>
      </c>
      <c r="D805">
        <v>4</v>
      </c>
      <c r="E805">
        <v>28</v>
      </c>
      <c r="F805">
        <v>0.01</v>
      </c>
      <c r="G805">
        <f t="shared" si="13"/>
        <v>1.1111111111111112E-2</v>
      </c>
      <c r="H805">
        <f>G805*(26.79/38.29)</f>
        <v>7.7740053974057624E-3</v>
      </c>
    </row>
    <row r="806" spans="1:8" x14ac:dyDescent="0.25">
      <c r="A806" s="1">
        <v>2002</v>
      </c>
      <c r="B806" s="1" t="s">
        <v>99</v>
      </c>
      <c r="C806" t="s">
        <v>52</v>
      </c>
      <c r="D806">
        <v>4</v>
      </c>
      <c r="E806">
        <v>28</v>
      </c>
      <c r="F806">
        <v>0.02</v>
      </c>
      <c r="G806">
        <f t="shared" si="13"/>
        <v>2.2222222222222223E-2</v>
      </c>
      <c r="H806">
        <f>G806*(26.79/38.29)</f>
        <v>1.5548010794811525E-2</v>
      </c>
    </row>
    <row r="807" spans="1:8" x14ac:dyDescent="0.25">
      <c r="A807" s="1">
        <v>2002</v>
      </c>
      <c r="B807" s="1" t="s">
        <v>99</v>
      </c>
      <c r="C807" t="s">
        <v>52</v>
      </c>
      <c r="D807">
        <v>4</v>
      </c>
      <c r="E807">
        <v>32</v>
      </c>
      <c r="F807">
        <v>0.03</v>
      </c>
      <c r="G807">
        <f t="shared" si="13"/>
        <v>3.3333333333333333E-2</v>
      </c>
      <c r="H807">
        <f>G807*(26.79/38.29)</f>
        <v>2.3322016192217288E-2</v>
      </c>
    </row>
    <row r="808" spans="1:8" x14ac:dyDescent="0.25">
      <c r="A808" s="1">
        <v>2002</v>
      </c>
      <c r="B808" s="1" t="s">
        <v>99</v>
      </c>
      <c r="C808" t="s">
        <v>52</v>
      </c>
      <c r="D808">
        <v>4</v>
      </c>
      <c r="E808">
        <v>32</v>
      </c>
      <c r="F808">
        <v>0.02</v>
      </c>
      <c r="G808">
        <f t="shared" si="13"/>
        <v>2.2222222222222223E-2</v>
      </c>
      <c r="H808">
        <f>G808*(26.79/38.29)</f>
        <v>1.5548010794811525E-2</v>
      </c>
    </row>
    <row r="809" spans="1:8" x14ac:dyDescent="0.25">
      <c r="A809" s="1">
        <v>2002</v>
      </c>
      <c r="B809" s="1" t="s">
        <v>99</v>
      </c>
      <c r="C809" t="s">
        <v>52</v>
      </c>
      <c r="D809">
        <v>4</v>
      </c>
      <c r="E809">
        <v>32</v>
      </c>
      <c r="F809">
        <v>0.01</v>
      </c>
      <c r="G809">
        <f t="shared" si="13"/>
        <v>1.1111111111111112E-2</v>
      </c>
      <c r="H809">
        <f>G809*(26.79/38.29)</f>
        <v>7.7740053974057624E-3</v>
      </c>
    </row>
    <row r="810" spans="1:8" x14ac:dyDescent="0.25">
      <c r="A810" s="1">
        <v>2002</v>
      </c>
      <c r="B810" s="1" t="s">
        <v>99</v>
      </c>
      <c r="C810" t="s">
        <v>52</v>
      </c>
      <c r="D810">
        <v>4</v>
      </c>
      <c r="E810">
        <v>32</v>
      </c>
      <c r="F810">
        <v>0.01</v>
      </c>
      <c r="G810">
        <f t="shared" si="13"/>
        <v>1.1111111111111112E-2</v>
      </c>
      <c r="H810">
        <f>G810*(26.79/38.29)</f>
        <v>7.7740053974057624E-3</v>
      </c>
    </row>
    <row r="811" spans="1:8" x14ac:dyDescent="0.25">
      <c r="A811" s="1">
        <v>2002</v>
      </c>
      <c r="B811" s="1" t="s">
        <v>99</v>
      </c>
      <c r="C811" t="s">
        <v>52</v>
      </c>
      <c r="D811">
        <v>4</v>
      </c>
      <c r="E811">
        <v>32</v>
      </c>
      <c r="F811">
        <v>0.02</v>
      </c>
      <c r="G811">
        <f t="shared" si="13"/>
        <v>2.2222222222222223E-2</v>
      </c>
      <c r="H811">
        <f>G811*(26.79/38.29)</f>
        <v>1.5548010794811525E-2</v>
      </c>
    </row>
    <row r="812" spans="1:8" x14ac:dyDescent="0.25">
      <c r="A812" s="1">
        <v>2002</v>
      </c>
      <c r="B812" s="1" t="s">
        <v>99</v>
      </c>
      <c r="C812" t="s">
        <v>52</v>
      </c>
      <c r="D812">
        <v>4</v>
      </c>
      <c r="E812">
        <v>32</v>
      </c>
      <c r="F812">
        <v>0.01</v>
      </c>
      <c r="G812">
        <f t="shared" si="13"/>
        <v>1.1111111111111112E-2</v>
      </c>
      <c r="H812">
        <f>G812*(26.79/38.29)</f>
        <v>7.7740053974057624E-3</v>
      </c>
    </row>
    <row r="813" spans="1:8" x14ac:dyDescent="0.25">
      <c r="A813" s="1">
        <v>2002</v>
      </c>
      <c r="B813" s="1" t="s">
        <v>99</v>
      </c>
      <c r="C813" t="s">
        <v>52</v>
      </c>
      <c r="D813">
        <v>4</v>
      </c>
      <c r="E813">
        <v>32</v>
      </c>
      <c r="F813">
        <v>0.02</v>
      </c>
      <c r="G813">
        <f t="shared" si="13"/>
        <v>2.2222222222222223E-2</v>
      </c>
      <c r="H813">
        <f>G813*(26.79/38.29)</f>
        <v>1.5548010794811525E-2</v>
      </c>
    </row>
    <row r="814" spans="1:8" x14ac:dyDescent="0.25">
      <c r="A814" s="1">
        <v>2002</v>
      </c>
      <c r="B814" s="1" t="s">
        <v>99</v>
      </c>
      <c r="C814" t="s">
        <v>52</v>
      </c>
      <c r="D814">
        <v>4</v>
      </c>
      <c r="E814">
        <v>32</v>
      </c>
      <c r="F814">
        <v>0.02</v>
      </c>
      <c r="G814">
        <f t="shared" si="13"/>
        <v>2.2222222222222223E-2</v>
      </c>
      <c r="H814">
        <f>G814*(26.79/38.29)</f>
        <v>1.5548010794811525E-2</v>
      </c>
    </row>
    <row r="815" spans="1:8" x14ac:dyDescent="0.25">
      <c r="A815" s="1">
        <v>2002</v>
      </c>
      <c r="B815" s="1" t="s">
        <v>99</v>
      </c>
      <c r="C815" t="s">
        <v>52</v>
      </c>
      <c r="D815">
        <v>4</v>
      </c>
      <c r="E815">
        <v>32</v>
      </c>
      <c r="F815">
        <v>0.01</v>
      </c>
      <c r="G815">
        <f t="shared" si="13"/>
        <v>1.1111111111111112E-2</v>
      </c>
      <c r="H815">
        <f>G815*(26.79/38.29)</f>
        <v>7.7740053974057624E-3</v>
      </c>
    </row>
    <row r="816" spans="1:8" x14ac:dyDescent="0.25">
      <c r="A816" s="1">
        <v>2002</v>
      </c>
      <c r="B816" s="1" t="s">
        <v>99</v>
      </c>
      <c r="C816" t="s">
        <v>52</v>
      </c>
      <c r="D816">
        <v>4</v>
      </c>
      <c r="E816">
        <v>32</v>
      </c>
      <c r="F816">
        <v>0.01</v>
      </c>
      <c r="G816">
        <f t="shared" si="13"/>
        <v>1.1111111111111112E-2</v>
      </c>
      <c r="H816">
        <f>G816*(26.79/38.29)</f>
        <v>7.7740053974057624E-3</v>
      </c>
    </row>
    <row r="817" spans="1:8" x14ac:dyDescent="0.25">
      <c r="A817" s="1">
        <v>2002</v>
      </c>
      <c r="B817" s="1" t="s">
        <v>99</v>
      </c>
      <c r="C817" t="s">
        <v>52</v>
      </c>
      <c r="D817">
        <v>4</v>
      </c>
      <c r="E817">
        <v>54</v>
      </c>
      <c r="F817">
        <v>0.02</v>
      </c>
      <c r="G817">
        <f t="shared" si="13"/>
        <v>2.2222222222222223E-2</v>
      </c>
      <c r="H817">
        <f>G817*(26.79/38.29)</f>
        <v>1.5548010794811525E-2</v>
      </c>
    </row>
    <row r="818" spans="1:8" x14ac:dyDescent="0.25">
      <c r="A818" s="1">
        <v>2002</v>
      </c>
      <c r="B818" s="1" t="s">
        <v>99</v>
      </c>
      <c r="C818" t="s">
        <v>52</v>
      </c>
      <c r="D818">
        <v>4</v>
      </c>
      <c r="E818">
        <v>54</v>
      </c>
      <c r="F818">
        <v>0.02</v>
      </c>
      <c r="G818">
        <f t="shared" si="13"/>
        <v>2.2222222222222223E-2</v>
      </c>
      <c r="H818">
        <f>G818*(26.79/38.29)</f>
        <v>1.5548010794811525E-2</v>
      </c>
    </row>
    <row r="819" spans="1:8" x14ac:dyDescent="0.25">
      <c r="A819" s="1">
        <v>2002</v>
      </c>
      <c r="B819" s="1" t="s">
        <v>99</v>
      </c>
      <c r="C819" t="s">
        <v>52</v>
      </c>
      <c r="D819">
        <v>4</v>
      </c>
      <c r="E819">
        <v>54</v>
      </c>
      <c r="F819">
        <v>0.02</v>
      </c>
      <c r="G819">
        <f t="shared" si="13"/>
        <v>2.2222222222222223E-2</v>
      </c>
      <c r="H819">
        <f>G819*(26.79/38.29)</f>
        <v>1.5548010794811525E-2</v>
      </c>
    </row>
    <row r="820" spans="1:8" x14ac:dyDescent="0.25">
      <c r="A820" s="1">
        <v>2002</v>
      </c>
      <c r="B820" s="1" t="s">
        <v>99</v>
      </c>
      <c r="C820" t="s">
        <v>52</v>
      </c>
      <c r="D820">
        <v>4</v>
      </c>
      <c r="E820">
        <v>54</v>
      </c>
      <c r="F820">
        <v>0.01</v>
      </c>
      <c r="G820">
        <f t="shared" si="13"/>
        <v>1.1111111111111112E-2</v>
      </c>
      <c r="H820">
        <f>G820*(26.79/38.29)</f>
        <v>7.7740053974057624E-3</v>
      </c>
    </row>
    <row r="821" spans="1:8" x14ac:dyDescent="0.25">
      <c r="A821" s="1">
        <v>2002</v>
      </c>
      <c r="B821" s="1" t="s">
        <v>99</v>
      </c>
      <c r="C821" t="s">
        <v>52</v>
      </c>
      <c r="D821">
        <v>4</v>
      </c>
      <c r="E821">
        <v>54</v>
      </c>
      <c r="F821">
        <v>0.02</v>
      </c>
      <c r="G821">
        <f t="shared" si="13"/>
        <v>2.2222222222222223E-2</v>
      </c>
      <c r="H821">
        <f>G821*(26.79/38.29)</f>
        <v>1.5548010794811525E-2</v>
      </c>
    </row>
    <row r="822" spans="1:8" x14ac:dyDescent="0.25">
      <c r="A822" s="1">
        <v>2002</v>
      </c>
      <c r="B822" s="1" t="s">
        <v>99</v>
      </c>
      <c r="C822" t="s">
        <v>52</v>
      </c>
      <c r="D822">
        <v>4</v>
      </c>
      <c r="E822">
        <v>54</v>
      </c>
      <c r="F822">
        <v>0.01</v>
      </c>
      <c r="G822">
        <f t="shared" si="13"/>
        <v>1.1111111111111112E-2</v>
      </c>
      <c r="H822">
        <f>G822*(26.79/38.29)</f>
        <v>7.7740053974057624E-3</v>
      </c>
    </row>
    <row r="823" spans="1:8" x14ac:dyDescent="0.25">
      <c r="A823" s="1">
        <v>2002</v>
      </c>
      <c r="B823" s="1" t="s">
        <v>99</v>
      </c>
      <c r="C823" t="s">
        <v>52</v>
      </c>
      <c r="D823">
        <v>4</v>
      </c>
      <c r="E823">
        <v>54</v>
      </c>
      <c r="F823">
        <v>0.01</v>
      </c>
      <c r="G823">
        <f t="shared" si="13"/>
        <v>1.1111111111111112E-2</v>
      </c>
      <c r="H823">
        <f>G823*(26.79/38.29)</f>
        <v>7.7740053974057624E-3</v>
      </c>
    </row>
    <row r="824" spans="1:8" x14ac:dyDescent="0.25">
      <c r="A824" s="1">
        <v>2002</v>
      </c>
      <c r="B824" s="1" t="s">
        <v>99</v>
      </c>
      <c r="C824" t="s">
        <v>52</v>
      </c>
      <c r="D824">
        <v>4</v>
      </c>
      <c r="E824">
        <v>54</v>
      </c>
      <c r="F824">
        <v>0.01</v>
      </c>
      <c r="G824">
        <f t="shared" si="13"/>
        <v>1.1111111111111112E-2</v>
      </c>
      <c r="H824">
        <f>G824*(26.79/38.29)</f>
        <v>7.7740053974057624E-3</v>
      </c>
    </row>
    <row r="825" spans="1:8" x14ac:dyDescent="0.25">
      <c r="A825" s="1">
        <v>2002</v>
      </c>
      <c r="B825" s="1" t="s">
        <v>99</v>
      </c>
      <c r="C825" t="s">
        <v>52</v>
      </c>
      <c r="D825">
        <v>4</v>
      </c>
      <c r="E825">
        <v>54</v>
      </c>
      <c r="F825">
        <v>0.01</v>
      </c>
      <c r="G825">
        <f t="shared" si="13"/>
        <v>1.1111111111111112E-2</v>
      </c>
      <c r="H825">
        <f>G825*(26.79/38.29)</f>
        <v>7.7740053974057624E-3</v>
      </c>
    </row>
    <row r="826" spans="1:8" x14ac:dyDescent="0.25">
      <c r="A826" s="1">
        <v>2002</v>
      </c>
      <c r="B826" s="1" t="s">
        <v>99</v>
      </c>
      <c r="C826" t="s">
        <v>52</v>
      </c>
      <c r="D826">
        <v>4</v>
      </c>
      <c r="E826">
        <v>54</v>
      </c>
      <c r="F826">
        <v>0.01</v>
      </c>
      <c r="G826">
        <f t="shared" si="13"/>
        <v>1.1111111111111112E-2</v>
      </c>
      <c r="H826">
        <f>G826*(26.79/38.29)</f>
        <v>7.7740053974057624E-3</v>
      </c>
    </row>
    <row r="827" spans="1:8" x14ac:dyDescent="0.25">
      <c r="A827" s="1">
        <v>2002</v>
      </c>
      <c r="B827" s="1" t="s">
        <v>99</v>
      </c>
      <c r="C827" t="s">
        <v>52</v>
      </c>
      <c r="D827">
        <v>4</v>
      </c>
      <c r="E827">
        <v>54</v>
      </c>
      <c r="F827">
        <v>0.01</v>
      </c>
      <c r="G827">
        <f t="shared" si="13"/>
        <v>1.1111111111111112E-2</v>
      </c>
      <c r="H827">
        <f>G827*(26.79/38.29)</f>
        <v>7.7740053974057624E-3</v>
      </c>
    </row>
    <row r="828" spans="1:8" x14ac:dyDescent="0.25">
      <c r="A828" s="1">
        <v>2002</v>
      </c>
      <c r="B828" s="1" t="s">
        <v>99</v>
      </c>
      <c r="C828" t="s">
        <v>52</v>
      </c>
      <c r="D828">
        <v>4</v>
      </c>
      <c r="E828">
        <v>54</v>
      </c>
      <c r="F828">
        <v>0.02</v>
      </c>
      <c r="G828">
        <f t="shared" si="13"/>
        <v>2.2222222222222223E-2</v>
      </c>
      <c r="H828">
        <f>G828*(26.79/38.29)</f>
        <v>1.5548010794811525E-2</v>
      </c>
    </row>
    <row r="829" spans="1:8" x14ac:dyDescent="0.25">
      <c r="A829" s="1">
        <v>2002</v>
      </c>
      <c r="B829" s="1" t="s">
        <v>99</v>
      </c>
      <c r="C829" t="s">
        <v>52</v>
      </c>
      <c r="D829">
        <v>4</v>
      </c>
      <c r="E829">
        <v>54</v>
      </c>
      <c r="F829">
        <v>0.03</v>
      </c>
      <c r="G829">
        <f t="shared" si="13"/>
        <v>3.3333333333333333E-2</v>
      </c>
      <c r="H829">
        <f>G829*(26.79/38.29)</f>
        <v>2.3322016192217288E-2</v>
      </c>
    </row>
    <row r="830" spans="1:8" x14ac:dyDescent="0.25">
      <c r="A830" s="1">
        <v>2002</v>
      </c>
      <c r="B830" s="1" t="s">
        <v>99</v>
      </c>
      <c r="C830" t="s">
        <v>52</v>
      </c>
      <c r="D830">
        <v>4</v>
      </c>
      <c r="E830">
        <v>54</v>
      </c>
      <c r="F830">
        <v>0.01</v>
      </c>
      <c r="G830">
        <f t="shared" si="13"/>
        <v>1.1111111111111112E-2</v>
      </c>
      <c r="H830">
        <f>G830*(26.79/38.29)</f>
        <v>7.7740053974057624E-3</v>
      </c>
    </row>
    <row r="831" spans="1:8" x14ac:dyDescent="0.25">
      <c r="A831" s="1">
        <v>2002</v>
      </c>
      <c r="B831" s="1" t="s">
        <v>99</v>
      </c>
      <c r="C831" t="s">
        <v>52</v>
      </c>
      <c r="D831">
        <v>4</v>
      </c>
      <c r="E831">
        <v>56</v>
      </c>
      <c r="F831">
        <v>0.02</v>
      </c>
      <c r="G831">
        <f t="shared" si="13"/>
        <v>2.2222222222222223E-2</v>
      </c>
      <c r="H831">
        <f>G831*(26.79/38.29)</f>
        <v>1.5548010794811525E-2</v>
      </c>
    </row>
    <row r="832" spans="1:8" x14ac:dyDescent="0.25">
      <c r="A832" s="1">
        <v>2002</v>
      </c>
      <c r="B832" s="1" t="s">
        <v>99</v>
      </c>
      <c r="C832" t="s">
        <v>52</v>
      </c>
      <c r="D832">
        <v>4</v>
      </c>
      <c r="E832">
        <v>63</v>
      </c>
      <c r="F832">
        <v>0.03</v>
      </c>
      <c r="G832">
        <f t="shared" si="13"/>
        <v>3.3333333333333333E-2</v>
      </c>
      <c r="H832">
        <f>G832*(26.79/38.29)</f>
        <v>2.3322016192217288E-2</v>
      </c>
    </row>
    <row r="833" spans="1:8" x14ac:dyDescent="0.25">
      <c r="A833" s="1">
        <v>2002</v>
      </c>
      <c r="B833" s="1" t="s">
        <v>99</v>
      </c>
      <c r="C833" t="s">
        <v>52</v>
      </c>
      <c r="D833">
        <v>4</v>
      </c>
      <c r="E833">
        <v>63</v>
      </c>
      <c r="F833">
        <v>0.01</v>
      </c>
      <c r="G833">
        <f t="shared" si="13"/>
        <v>1.1111111111111112E-2</v>
      </c>
      <c r="H833">
        <f>G833*(26.79/38.29)</f>
        <v>7.7740053974057624E-3</v>
      </c>
    </row>
    <row r="834" spans="1:8" x14ac:dyDescent="0.25">
      <c r="A834" s="1">
        <v>2002</v>
      </c>
      <c r="B834" s="1" t="s">
        <v>99</v>
      </c>
      <c r="C834" t="s">
        <v>52</v>
      </c>
      <c r="D834">
        <v>4</v>
      </c>
      <c r="E834">
        <v>76</v>
      </c>
      <c r="F834">
        <v>0.01</v>
      </c>
      <c r="G834">
        <f t="shared" si="13"/>
        <v>1.1111111111111112E-2</v>
      </c>
      <c r="H834">
        <f>G834*(26.79/38.29)</f>
        <v>7.7740053974057624E-3</v>
      </c>
    </row>
    <row r="835" spans="1:8" x14ac:dyDescent="0.25">
      <c r="A835" s="1">
        <v>2002</v>
      </c>
      <c r="B835" s="1" t="s">
        <v>99</v>
      </c>
      <c r="C835" t="s">
        <v>52</v>
      </c>
      <c r="D835">
        <v>4</v>
      </c>
      <c r="E835">
        <v>76</v>
      </c>
      <c r="F835">
        <v>0.01</v>
      </c>
      <c r="G835">
        <f t="shared" si="13"/>
        <v>1.1111111111111112E-2</v>
      </c>
      <c r="H835">
        <f>G835*(26.79/38.29)</f>
        <v>7.7740053974057624E-3</v>
      </c>
    </row>
    <row r="836" spans="1:8" x14ac:dyDescent="0.25">
      <c r="A836" s="1">
        <v>2002</v>
      </c>
      <c r="B836" s="1" t="s">
        <v>99</v>
      </c>
      <c r="C836" t="s">
        <v>52</v>
      </c>
      <c r="D836">
        <v>4</v>
      </c>
      <c r="E836">
        <v>76</v>
      </c>
      <c r="F836">
        <v>0.01</v>
      </c>
      <c r="G836">
        <f t="shared" si="13"/>
        <v>1.1111111111111112E-2</v>
      </c>
      <c r="H836">
        <f>G836*(26.79/38.29)</f>
        <v>7.7740053974057624E-3</v>
      </c>
    </row>
    <row r="837" spans="1:8" x14ac:dyDescent="0.25">
      <c r="A837" s="1">
        <v>2002</v>
      </c>
      <c r="B837" s="1" t="s">
        <v>99</v>
      </c>
      <c r="C837" t="s">
        <v>52</v>
      </c>
      <c r="D837">
        <v>4</v>
      </c>
      <c r="E837">
        <v>78</v>
      </c>
      <c r="F837">
        <v>0.02</v>
      </c>
      <c r="G837">
        <f t="shared" si="13"/>
        <v>2.2222222222222223E-2</v>
      </c>
      <c r="H837">
        <f>G837*(26.79/38.29)</f>
        <v>1.5548010794811525E-2</v>
      </c>
    </row>
    <row r="838" spans="1:8" x14ac:dyDescent="0.25">
      <c r="A838" s="1">
        <v>2002</v>
      </c>
      <c r="B838" s="1" t="s">
        <v>99</v>
      </c>
      <c r="C838" t="s">
        <v>52</v>
      </c>
      <c r="D838">
        <v>4</v>
      </c>
      <c r="E838">
        <v>78</v>
      </c>
      <c r="F838">
        <v>0.01</v>
      </c>
      <c r="G838">
        <f t="shared" si="13"/>
        <v>1.1111111111111112E-2</v>
      </c>
      <c r="H838">
        <f>G838*(26.79/38.29)</f>
        <v>7.7740053974057624E-3</v>
      </c>
    </row>
    <row r="839" spans="1:8" x14ac:dyDescent="0.25">
      <c r="A839" s="1">
        <v>2002</v>
      </c>
      <c r="B839" s="1" t="s">
        <v>99</v>
      </c>
      <c r="C839" t="s">
        <v>52</v>
      </c>
      <c r="D839">
        <v>4</v>
      </c>
      <c r="E839">
        <v>78</v>
      </c>
      <c r="F839">
        <v>0.01</v>
      </c>
      <c r="G839">
        <f t="shared" si="13"/>
        <v>1.1111111111111112E-2</v>
      </c>
      <c r="H839">
        <f>G839*(26.79/38.29)</f>
        <v>7.7740053974057624E-3</v>
      </c>
    </row>
    <row r="840" spans="1:8" x14ac:dyDescent="0.25">
      <c r="A840" s="1">
        <v>2002</v>
      </c>
      <c r="B840" s="1" t="s">
        <v>99</v>
      </c>
      <c r="C840" t="s">
        <v>52</v>
      </c>
      <c r="D840">
        <v>4</v>
      </c>
      <c r="E840">
        <v>78</v>
      </c>
      <c r="F840">
        <v>0.01</v>
      </c>
      <c r="G840">
        <f t="shared" si="13"/>
        <v>1.1111111111111112E-2</v>
      </c>
      <c r="H840">
        <f>G840*(26.79/38.29)</f>
        <v>7.7740053974057624E-3</v>
      </c>
    </row>
    <row r="841" spans="1:8" x14ac:dyDescent="0.25">
      <c r="A841" s="1">
        <v>2002</v>
      </c>
      <c r="B841" s="1" t="s">
        <v>99</v>
      </c>
      <c r="C841" t="s">
        <v>52</v>
      </c>
      <c r="D841">
        <v>4</v>
      </c>
      <c r="E841">
        <v>78</v>
      </c>
      <c r="F841">
        <v>0.01</v>
      </c>
      <c r="G841">
        <f t="shared" si="13"/>
        <v>1.1111111111111112E-2</v>
      </c>
      <c r="H841">
        <f>G841*(26.79/38.29)</f>
        <v>7.7740053974057624E-3</v>
      </c>
    </row>
    <row r="842" spans="1:8" x14ac:dyDescent="0.25">
      <c r="A842" s="1">
        <v>2002</v>
      </c>
      <c r="B842" s="1" t="s">
        <v>99</v>
      </c>
      <c r="C842" t="s">
        <v>52</v>
      </c>
      <c r="D842">
        <v>4</v>
      </c>
      <c r="E842">
        <v>78</v>
      </c>
      <c r="F842">
        <v>0.03</v>
      </c>
      <c r="G842">
        <f t="shared" si="13"/>
        <v>3.3333333333333333E-2</v>
      </c>
      <c r="H842">
        <f>G842*(26.79/38.29)</f>
        <v>2.3322016192217288E-2</v>
      </c>
    </row>
    <row r="843" spans="1:8" x14ac:dyDescent="0.25">
      <c r="A843" s="1">
        <v>2002</v>
      </c>
      <c r="B843" s="1" t="s">
        <v>99</v>
      </c>
      <c r="C843" t="s">
        <v>52</v>
      </c>
      <c r="D843">
        <v>4</v>
      </c>
      <c r="E843">
        <v>78</v>
      </c>
      <c r="F843">
        <v>0.01</v>
      </c>
      <c r="G843">
        <f t="shared" si="13"/>
        <v>1.1111111111111112E-2</v>
      </c>
      <c r="H843">
        <f>G843*(26.79/38.29)</f>
        <v>7.7740053974057624E-3</v>
      </c>
    </row>
    <row r="844" spans="1:8" x14ac:dyDescent="0.25">
      <c r="A844" s="1">
        <v>2002</v>
      </c>
      <c r="B844" s="1" t="s">
        <v>99</v>
      </c>
      <c r="C844" t="s">
        <v>52</v>
      </c>
      <c r="D844">
        <v>4</v>
      </c>
      <c r="E844">
        <v>78</v>
      </c>
      <c r="F844">
        <v>0.01</v>
      </c>
      <c r="G844">
        <f t="shared" si="13"/>
        <v>1.1111111111111112E-2</v>
      </c>
      <c r="H844">
        <f>G844*(26.79/38.29)</f>
        <v>7.7740053974057624E-3</v>
      </c>
    </row>
    <row r="845" spans="1:8" x14ac:dyDescent="0.25">
      <c r="A845" s="1">
        <v>2002</v>
      </c>
      <c r="B845" s="1" t="s">
        <v>99</v>
      </c>
      <c r="C845" t="s">
        <v>52</v>
      </c>
      <c r="D845">
        <v>4</v>
      </c>
      <c r="E845">
        <v>78</v>
      </c>
      <c r="F845">
        <v>0.01</v>
      </c>
      <c r="G845">
        <f t="shared" si="13"/>
        <v>1.1111111111111112E-2</v>
      </c>
      <c r="H845">
        <f>G845*(26.79/38.29)</f>
        <v>7.7740053974057624E-3</v>
      </c>
    </row>
    <row r="846" spans="1:8" x14ac:dyDescent="0.25">
      <c r="A846" s="1">
        <v>2002</v>
      </c>
      <c r="B846" s="1" t="s">
        <v>99</v>
      </c>
      <c r="C846" t="s">
        <v>52</v>
      </c>
      <c r="D846">
        <v>4</v>
      </c>
      <c r="E846">
        <v>78</v>
      </c>
      <c r="F846">
        <v>0.01</v>
      </c>
      <c r="G846">
        <f t="shared" si="13"/>
        <v>1.1111111111111112E-2</v>
      </c>
      <c r="H846">
        <f>G846*(26.79/38.29)</f>
        <v>7.7740053974057624E-3</v>
      </c>
    </row>
    <row r="847" spans="1:8" x14ac:dyDescent="0.25">
      <c r="A847" s="1">
        <v>2002</v>
      </c>
      <c r="B847" s="1" t="s">
        <v>99</v>
      </c>
      <c r="C847" t="s">
        <v>52</v>
      </c>
      <c r="D847">
        <v>4</v>
      </c>
      <c r="E847">
        <v>78</v>
      </c>
      <c r="F847">
        <v>0.01</v>
      </c>
      <c r="G847">
        <f t="shared" si="13"/>
        <v>1.1111111111111112E-2</v>
      </c>
      <c r="H847">
        <f>G847*(26.79/38.29)</f>
        <v>7.7740053974057624E-3</v>
      </c>
    </row>
    <row r="848" spans="1:8" x14ac:dyDescent="0.25">
      <c r="A848" s="1">
        <v>2002</v>
      </c>
      <c r="B848" s="1" t="s">
        <v>99</v>
      </c>
      <c r="C848" t="s">
        <v>52</v>
      </c>
      <c r="D848">
        <v>4</v>
      </c>
      <c r="E848">
        <v>78</v>
      </c>
      <c r="F848">
        <v>0.01</v>
      </c>
      <c r="G848">
        <f t="shared" si="13"/>
        <v>1.1111111111111112E-2</v>
      </c>
      <c r="H848">
        <f>G848*(26.79/38.29)</f>
        <v>7.7740053974057624E-3</v>
      </c>
    </row>
    <row r="849" spans="1:8" x14ac:dyDescent="0.25">
      <c r="A849" s="1">
        <v>2002</v>
      </c>
      <c r="B849" s="1" t="s">
        <v>99</v>
      </c>
      <c r="C849" t="s">
        <v>52</v>
      </c>
      <c r="D849">
        <v>4</v>
      </c>
      <c r="E849">
        <v>79</v>
      </c>
      <c r="F849">
        <v>0.01</v>
      </c>
      <c r="G849">
        <f t="shared" si="13"/>
        <v>1.1111111111111112E-2</v>
      </c>
      <c r="H849">
        <f>G849*(26.79/38.29)</f>
        <v>7.7740053974057624E-3</v>
      </c>
    </row>
    <row r="850" spans="1:8" x14ac:dyDescent="0.25">
      <c r="A850" s="1">
        <v>2002</v>
      </c>
      <c r="B850" s="1" t="s">
        <v>99</v>
      </c>
      <c r="C850" t="s">
        <v>52</v>
      </c>
      <c r="D850">
        <v>4</v>
      </c>
      <c r="E850">
        <v>79</v>
      </c>
      <c r="F850">
        <v>0.01</v>
      </c>
      <c r="G850">
        <f t="shared" si="13"/>
        <v>1.1111111111111112E-2</v>
      </c>
      <c r="H850">
        <f>G850*(26.79/38.29)</f>
        <v>7.7740053974057624E-3</v>
      </c>
    </row>
    <row r="851" spans="1:8" x14ac:dyDescent="0.25">
      <c r="A851" s="1">
        <v>2002</v>
      </c>
      <c r="B851" s="1" t="s">
        <v>99</v>
      </c>
      <c r="C851" t="s">
        <v>52</v>
      </c>
      <c r="D851">
        <v>4</v>
      </c>
      <c r="E851">
        <v>79</v>
      </c>
      <c r="F851">
        <v>0.01</v>
      </c>
      <c r="G851">
        <f t="shared" ref="G851:G914" si="14">(F851/0.01)/90</f>
        <v>1.1111111111111112E-2</v>
      </c>
      <c r="H851">
        <f>G851*(26.79/38.29)</f>
        <v>7.7740053974057624E-3</v>
      </c>
    </row>
    <row r="852" spans="1:8" x14ac:dyDescent="0.25">
      <c r="A852" s="1">
        <v>2002</v>
      </c>
      <c r="B852" s="1" t="s">
        <v>99</v>
      </c>
      <c r="C852" t="s">
        <v>52</v>
      </c>
      <c r="D852">
        <v>4</v>
      </c>
      <c r="E852">
        <v>79</v>
      </c>
      <c r="F852">
        <v>0.01</v>
      </c>
      <c r="G852">
        <f t="shared" si="14"/>
        <v>1.1111111111111112E-2</v>
      </c>
      <c r="H852">
        <f>G852*(26.79/38.29)</f>
        <v>7.7740053974057624E-3</v>
      </c>
    </row>
    <row r="853" spans="1:8" x14ac:dyDescent="0.25">
      <c r="A853" s="1">
        <v>2002</v>
      </c>
      <c r="B853" s="1" t="s">
        <v>99</v>
      </c>
      <c r="C853" t="s">
        <v>52</v>
      </c>
      <c r="D853">
        <v>4</v>
      </c>
      <c r="E853">
        <v>79</v>
      </c>
      <c r="F853">
        <v>0.01</v>
      </c>
      <c r="G853">
        <f t="shared" si="14"/>
        <v>1.1111111111111112E-2</v>
      </c>
      <c r="H853">
        <f>G853*(26.79/38.29)</f>
        <v>7.7740053974057624E-3</v>
      </c>
    </row>
    <row r="854" spans="1:8" x14ac:dyDescent="0.25">
      <c r="A854" s="1">
        <v>2002</v>
      </c>
      <c r="B854" s="1" t="s">
        <v>99</v>
      </c>
      <c r="C854" t="s">
        <v>52</v>
      </c>
      <c r="D854">
        <v>4</v>
      </c>
      <c r="E854">
        <v>79</v>
      </c>
      <c r="F854">
        <v>0.01</v>
      </c>
      <c r="G854">
        <f t="shared" si="14"/>
        <v>1.1111111111111112E-2</v>
      </c>
      <c r="H854">
        <f>G854*(26.79/38.29)</f>
        <v>7.7740053974057624E-3</v>
      </c>
    </row>
    <row r="855" spans="1:8" x14ac:dyDescent="0.25">
      <c r="A855" s="1">
        <v>2002</v>
      </c>
      <c r="B855" s="1" t="s">
        <v>99</v>
      </c>
      <c r="C855" t="s">
        <v>52</v>
      </c>
      <c r="D855">
        <v>4</v>
      </c>
      <c r="E855">
        <v>79</v>
      </c>
      <c r="F855">
        <v>0.01</v>
      </c>
      <c r="G855">
        <f t="shared" si="14"/>
        <v>1.1111111111111112E-2</v>
      </c>
      <c r="H855">
        <f>G855*(26.79/38.29)</f>
        <v>7.7740053974057624E-3</v>
      </c>
    </row>
    <row r="856" spans="1:8" x14ac:dyDescent="0.25">
      <c r="A856" s="1">
        <v>2002</v>
      </c>
      <c r="B856" s="1" t="s">
        <v>99</v>
      </c>
      <c r="C856" t="s">
        <v>52</v>
      </c>
      <c r="D856">
        <v>4</v>
      </c>
      <c r="E856">
        <v>85</v>
      </c>
      <c r="F856">
        <v>0.01</v>
      </c>
      <c r="G856">
        <f t="shared" si="14"/>
        <v>1.1111111111111112E-2</v>
      </c>
      <c r="H856">
        <f>G856*(26.79/38.29)</f>
        <v>7.7740053974057624E-3</v>
      </c>
    </row>
    <row r="857" spans="1:8" x14ac:dyDescent="0.25">
      <c r="A857" s="1">
        <v>2002</v>
      </c>
      <c r="B857" s="1" t="s">
        <v>99</v>
      </c>
      <c r="C857" t="s">
        <v>52</v>
      </c>
      <c r="D857">
        <v>4</v>
      </c>
      <c r="E857">
        <v>85</v>
      </c>
      <c r="F857">
        <v>0.01</v>
      </c>
      <c r="G857">
        <f t="shared" si="14"/>
        <v>1.1111111111111112E-2</v>
      </c>
      <c r="H857">
        <f>G857*(26.79/38.29)</f>
        <v>7.7740053974057624E-3</v>
      </c>
    </row>
    <row r="858" spans="1:8" x14ac:dyDescent="0.25">
      <c r="A858" s="1">
        <v>2002</v>
      </c>
      <c r="B858" s="1" t="s">
        <v>99</v>
      </c>
      <c r="C858" t="s">
        <v>52</v>
      </c>
      <c r="D858">
        <v>4</v>
      </c>
      <c r="E858">
        <v>85</v>
      </c>
      <c r="F858">
        <v>0.02</v>
      </c>
      <c r="G858">
        <f t="shared" si="14"/>
        <v>2.2222222222222223E-2</v>
      </c>
      <c r="H858">
        <f>G858*(26.79/38.29)</f>
        <v>1.5548010794811525E-2</v>
      </c>
    </row>
    <row r="859" spans="1:8" x14ac:dyDescent="0.25">
      <c r="A859" s="1">
        <v>2002</v>
      </c>
      <c r="B859" s="1" t="s">
        <v>99</v>
      </c>
      <c r="C859" t="s">
        <v>52</v>
      </c>
      <c r="D859">
        <v>5</v>
      </c>
      <c r="E859">
        <v>32</v>
      </c>
      <c r="F859">
        <v>0.02</v>
      </c>
      <c r="G859">
        <f t="shared" si="14"/>
        <v>2.2222222222222223E-2</v>
      </c>
      <c r="H859">
        <f>G859*(26.79/38.29)</f>
        <v>1.5548010794811525E-2</v>
      </c>
    </row>
    <row r="860" spans="1:8" x14ac:dyDescent="0.25">
      <c r="A860" s="1">
        <v>2002</v>
      </c>
      <c r="B860" s="1" t="s">
        <v>99</v>
      </c>
      <c r="C860" t="s">
        <v>52</v>
      </c>
      <c r="D860">
        <v>5</v>
      </c>
      <c r="E860">
        <v>32</v>
      </c>
      <c r="F860">
        <v>0.01</v>
      </c>
      <c r="G860">
        <f t="shared" si="14"/>
        <v>1.1111111111111112E-2</v>
      </c>
      <c r="H860">
        <f>G860*(26.79/38.29)</f>
        <v>7.7740053974057624E-3</v>
      </c>
    </row>
    <row r="861" spans="1:8" x14ac:dyDescent="0.25">
      <c r="A861" s="1">
        <v>2002</v>
      </c>
      <c r="B861" s="1" t="s">
        <v>99</v>
      </c>
      <c r="C861" t="s">
        <v>52</v>
      </c>
      <c r="D861">
        <v>5</v>
      </c>
      <c r="E861">
        <v>32</v>
      </c>
      <c r="F861">
        <v>0.01</v>
      </c>
      <c r="G861">
        <f t="shared" si="14"/>
        <v>1.1111111111111112E-2</v>
      </c>
      <c r="H861">
        <f>G861*(26.79/38.29)</f>
        <v>7.7740053974057624E-3</v>
      </c>
    </row>
    <row r="862" spans="1:8" x14ac:dyDescent="0.25">
      <c r="A862" s="1">
        <v>2002</v>
      </c>
      <c r="B862" s="1" t="s">
        <v>99</v>
      </c>
      <c r="C862" t="s">
        <v>52</v>
      </c>
      <c r="D862">
        <v>5</v>
      </c>
      <c r="E862">
        <v>32</v>
      </c>
      <c r="F862">
        <v>0.03</v>
      </c>
      <c r="G862">
        <f t="shared" si="14"/>
        <v>3.3333333333333333E-2</v>
      </c>
      <c r="H862">
        <f>G862*(26.79/38.29)</f>
        <v>2.3322016192217288E-2</v>
      </c>
    </row>
    <row r="863" spans="1:8" x14ac:dyDescent="0.25">
      <c r="A863" s="1">
        <v>2002</v>
      </c>
      <c r="B863" s="1" t="s">
        <v>99</v>
      </c>
      <c r="C863" t="s">
        <v>52</v>
      </c>
      <c r="D863">
        <v>5</v>
      </c>
      <c r="E863">
        <v>32</v>
      </c>
      <c r="F863">
        <v>0.01</v>
      </c>
      <c r="G863">
        <f t="shared" si="14"/>
        <v>1.1111111111111112E-2</v>
      </c>
      <c r="H863">
        <f>G863*(26.79/38.29)</f>
        <v>7.7740053974057624E-3</v>
      </c>
    </row>
    <row r="864" spans="1:8" x14ac:dyDescent="0.25">
      <c r="A864" s="1">
        <v>2002</v>
      </c>
      <c r="B864" s="1" t="s">
        <v>99</v>
      </c>
      <c r="C864" t="s">
        <v>52</v>
      </c>
      <c r="D864">
        <v>5</v>
      </c>
      <c r="E864">
        <v>32</v>
      </c>
      <c r="F864">
        <v>0.01</v>
      </c>
      <c r="G864">
        <f t="shared" si="14"/>
        <v>1.1111111111111112E-2</v>
      </c>
      <c r="H864">
        <f>G864*(26.79/38.29)</f>
        <v>7.7740053974057624E-3</v>
      </c>
    </row>
    <row r="865" spans="1:8" x14ac:dyDescent="0.25">
      <c r="A865" s="1">
        <v>2002</v>
      </c>
      <c r="B865" s="1" t="s">
        <v>99</v>
      </c>
      <c r="C865" t="s">
        <v>52</v>
      </c>
      <c r="D865">
        <v>5</v>
      </c>
      <c r="E865">
        <v>32</v>
      </c>
      <c r="F865">
        <v>0.01</v>
      </c>
      <c r="G865">
        <f t="shared" si="14"/>
        <v>1.1111111111111112E-2</v>
      </c>
      <c r="H865">
        <f>G865*(26.79/38.29)</f>
        <v>7.7740053974057624E-3</v>
      </c>
    </row>
    <row r="866" spans="1:8" x14ac:dyDescent="0.25">
      <c r="A866" s="1">
        <v>2002</v>
      </c>
      <c r="B866" s="1" t="s">
        <v>99</v>
      </c>
      <c r="C866" t="s">
        <v>52</v>
      </c>
      <c r="D866">
        <v>5</v>
      </c>
      <c r="E866">
        <v>32</v>
      </c>
      <c r="F866">
        <v>0.02</v>
      </c>
      <c r="G866">
        <f t="shared" si="14"/>
        <v>2.2222222222222223E-2</v>
      </c>
      <c r="H866">
        <f>G866*(26.79/38.29)</f>
        <v>1.5548010794811525E-2</v>
      </c>
    </row>
    <row r="867" spans="1:8" x14ac:dyDescent="0.25">
      <c r="A867" s="1">
        <v>2002</v>
      </c>
      <c r="B867" s="1" t="s">
        <v>99</v>
      </c>
      <c r="C867" t="s">
        <v>52</v>
      </c>
      <c r="D867">
        <v>5</v>
      </c>
      <c r="E867">
        <v>32</v>
      </c>
      <c r="F867">
        <v>0.01</v>
      </c>
      <c r="G867">
        <f t="shared" si="14"/>
        <v>1.1111111111111112E-2</v>
      </c>
      <c r="H867">
        <f>G867*(26.79/38.29)</f>
        <v>7.7740053974057624E-3</v>
      </c>
    </row>
    <row r="868" spans="1:8" x14ac:dyDescent="0.25">
      <c r="A868" s="1">
        <v>2002</v>
      </c>
      <c r="B868" s="1" t="s">
        <v>99</v>
      </c>
      <c r="C868" t="s">
        <v>52</v>
      </c>
      <c r="D868">
        <v>5</v>
      </c>
      <c r="E868">
        <v>32</v>
      </c>
      <c r="F868">
        <v>0.03</v>
      </c>
      <c r="G868">
        <f t="shared" si="14"/>
        <v>3.3333333333333333E-2</v>
      </c>
      <c r="H868">
        <f>G868*(26.79/38.29)</f>
        <v>2.3322016192217288E-2</v>
      </c>
    </row>
    <row r="869" spans="1:8" x14ac:dyDescent="0.25">
      <c r="A869" s="1">
        <v>2002</v>
      </c>
      <c r="B869" s="1" t="s">
        <v>99</v>
      </c>
      <c r="C869" t="s">
        <v>52</v>
      </c>
      <c r="D869">
        <v>5</v>
      </c>
      <c r="E869">
        <v>32</v>
      </c>
      <c r="F869">
        <v>0.02</v>
      </c>
      <c r="G869">
        <f t="shared" si="14"/>
        <v>2.2222222222222223E-2</v>
      </c>
      <c r="H869">
        <f>G869*(26.79/38.29)</f>
        <v>1.5548010794811525E-2</v>
      </c>
    </row>
    <row r="870" spans="1:8" x14ac:dyDescent="0.25">
      <c r="A870" s="1">
        <v>2002</v>
      </c>
      <c r="B870" s="1" t="s">
        <v>99</v>
      </c>
      <c r="C870" t="s">
        <v>52</v>
      </c>
      <c r="D870">
        <v>5</v>
      </c>
      <c r="E870">
        <v>32</v>
      </c>
      <c r="F870">
        <v>0.02</v>
      </c>
      <c r="G870">
        <f t="shared" si="14"/>
        <v>2.2222222222222223E-2</v>
      </c>
      <c r="H870">
        <f>G870*(26.79/38.29)</f>
        <v>1.5548010794811525E-2</v>
      </c>
    </row>
    <row r="871" spans="1:8" x14ac:dyDescent="0.25">
      <c r="A871" s="1">
        <v>2002</v>
      </c>
      <c r="B871" s="1" t="s">
        <v>99</v>
      </c>
      <c r="C871" t="s">
        <v>52</v>
      </c>
      <c r="D871">
        <v>5</v>
      </c>
      <c r="E871">
        <v>32</v>
      </c>
      <c r="F871">
        <v>0.03</v>
      </c>
      <c r="G871">
        <f t="shared" si="14"/>
        <v>3.3333333333333333E-2</v>
      </c>
      <c r="H871">
        <f>G871*(26.79/38.29)</f>
        <v>2.3322016192217288E-2</v>
      </c>
    </row>
    <row r="872" spans="1:8" x14ac:dyDescent="0.25">
      <c r="A872" s="1">
        <v>2002</v>
      </c>
      <c r="B872" s="1" t="s">
        <v>99</v>
      </c>
      <c r="C872" t="s">
        <v>52</v>
      </c>
      <c r="D872">
        <v>5</v>
      </c>
      <c r="E872">
        <v>54</v>
      </c>
      <c r="F872">
        <v>0.01</v>
      </c>
      <c r="G872">
        <f t="shared" si="14"/>
        <v>1.1111111111111112E-2</v>
      </c>
      <c r="H872">
        <f>G872*(26.79/38.29)</f>
        <v>7.7740053974057624E-3</v>
      </c>
    </row>
    <row r="873" spans="1:8" x14ac:dyDescent="0.25">
      <c r="A873" s="1">
        <v>2002</v>
      </c>
      <c r="B873" s="1" t="s">
        <v>99</v>
      </c>
      <c r="C873" t="s">
        <v>52</v>
      </c>
      <c r="D873">
        <v>5</v>
      </c>
      <c r="E873">
        <v>54</v>
      </c>
      <c r="F873">
        <v>0.01</v>
      </c>
      <c r="G873">
        <f t="shared" si="14"/>
        <v>1.1111111111111112E-2</v>
      </c>
      <c r="H873">
        <f>G873*(26.79/38.29)</f>
        <v>7.7740053974057624E-3</v>
      </c>
    </row>
    <row r="874" spans="1:8" x14ac:dyDescent="0.25">
      <c r="A874" s="1">
        <v>2002</v>
      </c>
      <c r="B874" s="1" t="s">
        <v>99</v>
      </c>
      <c r="C874" t="s">
        <v>52</v>
      </c>
      <c r="D874">
        <v>5</v>
      </c>
      <c r="E874">
        <v>58</v>
      </c>
      <c r="F874">
        <v>0.01</v>
      </c>
      <c r="G874">
        <f t="shared" si="14"/>
        <v>1.1111111111111112E-2</v>
      </c>
      <c r="H874">
        <f>G874*(26.79/38.29)</f>
        <v>7.7740053974057624E-3</v>
      </c>
    </row>
    <row r="875" spans="1:8" x14ac:dyDescent="0.25">
      <c r="A875" s="1">
        <v>2002</v>
      </c>
      <c r="B875" s="1" t="s">
        <v>99</v>
      </c>
      <c r="C875" t="s">
        <v>52</v>
      </c>
      <c r="D875">
        <v>5</v>
      </c>
      <c r="E875">
        <v>63</v>
      </c>
      <c r="F875">
        <v>0.01</v>
      </c>
      <c r="G875">
        <f t="shared" si="14"/>
        <v>1.1111111111111112E-2</v>
      </c>
      <c r="H875">
        <f>G875*(26.79/38.29)</f>
        <v>7.7740053974057624E-3</v>
      </c>
    </row>
    <row r="876" spans="1:8" x14ac:dyDescent="0.25">
      <c r="A876" s="1">
        <v>2002</v>
      </c>
      <c r="B876" s="1" t="s">
        <v>99</v>
      </c>
      <c r="C876" t="s">
        <v>52</v>
      </c>
      <c r="D876">
        <v>5</v>
      </c>
      <c r="E876">
        <v>63</v>
      </c>
      <c r="F876">
        <v>0.01</v>
      </c>
      <c r="G876">
        <f t="shared" si="14"/>
        <v>1.1111111111111112E-2</v>
      </c>
      <c r="H876">
        <f>G876*(26.79/38.29)</f>
        <v>7.7740053974057624E-3</v>
      </c>
    </row>
    <row r="877" spans="1:8" x14ac:dyDescent="0.25">
      <c r="A877" s="1">
        <v>2002</v>
      </c>
      <c r="B877" s="1" t="s">
        <v>99</v>
      </c>
      <c r="C877" t="s">
        <v>52</v>
      </c>
      <c r="D877">
        <v>5</v>
      </c>
      <c r="E877">
        <v>63</v>
      </c>
      <c r="F877">
        <v>0.01</v>
      </c>
      <c r="G877">
        <f t="shared" si="14"/>
        <v>1.1111111111111112E-2</v>
      </c>
      <c r="H877">
        <f>G877*(26.79/38.29)</f>
        <v>7.7740053974057624E-3</v>
      </c>
    </row>
    <row r="878" spans="1:8" x14ac:dyDescent="0.25">
      <c r="A878" s="1">
        <v>2002</v>
      </c>
      <c r="B878" s="1" t="s">
        <v>99</v>
      </c>
      <c r="C878" t="s">
        <v>52</v>
      </c>
      <c r="D878">
        <v>5</v>
      </c>
      <c r="E878">
        <v>63</v>
      </c>
      <c r="F878">
        <v>0.01</v>
      </c>
      <c r="G878">
        <f t="shared" si="14"/>
        <v>1.1111111111111112E-2</v>
      </c>
      <c r="H878">
        <f>G878*(26.79/38.29)</f>
        <v>7.7740053974057624E-3</v>
      </c>
    </row>
    <row r="879" spans="1:8" x14ac:dyDescent="0.25">
      <c r="A879" s="1">
        <v>2002</v>
      </c>
      <c r="B879" s="1" t="s">
        <v>99</v>
      </c>
      <c r="C879" t="s">
        <v>52</v>
      </c>
      <c r="D879">
        <v>5</v>
      </c>
      <c r="E879">
        <v>76</v>
      </c>
      <c r="F879">
        <v>0.01</v>
      </c>
      <c r="G879">
        <f t="shared" si="14"/>
        <v>1.1111111111111112E-2</v>
      </c>
      <c r="H879">
        <f>G879*(26.79/38.29)</f>
        <v>7.7740053974057624E-3</v>
      </c>
    </row>
    <row r="880" spans="1:8" x14ac:dyDescent="0.25">
      <c r="A880" s="1">
        <v>2002</v>
      </c>
      <c r="B880" s="1" t="s">
        <v>99</v>
      </c>
      <c r="C880" t="s">
        <v>52</v>
      </c>
      <c r="D880">
        <v>5</v>
      </c>
      <c r="E880">
        <v>76</v>
      </c>
      <c r="F880">
        <v>0.01</v>
      </c>
      <c r="G880">
        <f t="shared" si="14"/>
        <v>1.1111111111111112E-2</v>
      </c>
      <c r="H880">
        <f>G880*(26.79/38.29)</f>
        <v>7.7740053974057624E-3</v>
      </c>
    </row>
    <row r="881" spans="1:8" x14ac:dyDescent="0.25">
      <c r="A881" s="1">
        <v>2002</v>
      </c>
      <c r="B881" s="1" t="s">
        <v>99</v>
      </c>
      <c r="C881" t="s">
        <v>52</v>
      </c>
      <c r="D881">
        <v>5</v>
      </c>
      <c r="E881">
        <v>78</v>
      </c>
      <c r="F881">
        <v>0.02</v>
      </c>
      <c r="G881">
        <f t="shared" si="14"/>
        <v>2.2222222222222223E-2</v>
      </c>
      <c r="H881">
        <f>G881*(26.79/38.29)</f>
        <v>1.5548010794811525E-2</v>
      </c>
    </row>
    <row r="882" spans="1:8" x14ac:dyDescent="0.25">
      <c r="A882" s="1">
        <v>2002</v>
      </c>
      <c r="B882" s="1" t="s">
        <v>99</v>
      </c>
      <c r="C882" t="s">
        <v>52</v>
      </c>
      <c r="D882">
        <v>5</v>
      </c>
      <c r="E882">
        <v>78</v>
      </c>
      <c r="F882">
        <v>0.02</v>
      </c>
      <c r="G882">
        <f t="shared" si="14"/>
        <v>2.2222222222222223E-2</v>
      </c>
      <c r="H882">
        <f>G882*(26.79/38.29)</f>
        <v>1.5548010794811525E-2</v>
      </c>
    </row>
    <row r="883" spans="1:8" x14ac:dyDescent="0.25">
      <c r="A883" s="1">
        <v>2002</v>
      </c>
      <c r="B883" s="1" t="s">
        <v>99</v>
      </c>
      <c r="C883" t="s">
        <v>52</v>
      </c>
      <c r="D883">
        <v>5</v>
      </c>
      <c r="E883">
        <v>78</v>
      </c>
      <c r="F883">
        <v>0.01</v>
      </c>
      <c r="G883">
        <f t="shared" si="14"/>
        <v>1.1111111111111112E-2</v>
      </c>
      <c r="H883">
        <f>G883*(26.79/38.29)</f>
        <v>7.7740053974057624E-3</v>
      </c>
    </row>
    <row r="884" spans="1:8" x14ac:dyDescent="0.25">
      <c r="A884" s="1">
        <v>2002</v>
      </c>
      <c r="B884" s="1" t="s">
        <v>99</v>
      </c>
      <c r="C884" t="s">
        <v>52</v>
      </c>
      <c r="D884">
        <v>5</v>
      </c>
      <c r="E884">
        <v>78</v>
      </c>
      <c r="F884">
        <v>0.01</v>
      </c>
      <c r="G884">
        <f t="shared" si="14"/>
        <v>1.1111111111111112E-2</v>
      </c>
      <c r="H884">
        <f>G884*(26.79/38.29)</f>
        <v>7.7740053974057624E-3</v>
      </c>
    </row>
    <row r="885" spans="1:8" x14ac:dyDescent="0.25">
      <c r="A885" s="1">
        <v>2002</v>
      </c>
      <c r="B885" s="1" t="s">
        <v>99</v>
      </c>
      <c r="C885" t="s">
        <v>52</v>
      </c>
      <c r="D885">
        <v>5</v>
      </c>
      <c r="E885">
        <v>78</v>
      </c>
      <c r="F885">
        <v>0.02</v>
      </c>
      <c r="G885">
        <f t="shared" si="14"/>
        <v>2.2222222222222223E-2</v>
      </c>
      <c r="H885">
        <f>G885*(26.79/38.29)</f>
        <v>1.5548010794811525E-2</v>
      </c>
    </row>
    <row r="886" spans="1:8" x14ac:dyDescent="0.25">
      <c r="A886" s="1">
        <v>2002</v>
      </c>
      <c r="B886" s="1" t="s">
        <v>99</v>
      </c>
      <c r="C886" t="s">
        <v>52</v>
      </c>
      <c r="D886">
        <v>5</v>
      </c>
      <c r="E886">
        <v>78</v>
      </c>
      <c r="F886">
        <v>0.02</v>
      </c>
      <c r="G886">
        <f t="shared" si="14"/>
        <v>2.2222222222222223E-2</v>
      </c>
      <c r="H886">
        <f>G886*(26.79/38.29)</f>
        <v>1.5548010794811525E-2</v>
      </c>
    </row>
    <row r="887" spans="1:8" x14ac:dyDescent="0.25">
      <c r="A887" s="1">
        <v>2002</v>
      </c>
      <c r="B887" s="1" t="s">
        <v>99</v>
      </c>
      <c r="C887" t="s">
        <v>52</v>
      </c>
      <c r="D887">
        <v>5</v>
      </c>
      <c r="E887">
        <v>78</v>
      </c>
      <c r="F887">
        <v>0.01</v>
      </c>
      <c r="G887">
        <f t="shared" si="14"/>
        <v>1.1111111111111112E-2</v>
      </c>
      <c r="H887">
        <f>G887*(26.79/38.29)</f>
        <v>7.7740053974057624E-3</v>
      </c>
    </row>
    <row r="888" spans="1:8" x14ac:dyDescent="0.25">
      <c r="A888" s="1">
        <v>2002</v>
      </c>
      <c r="B888" s="1" t="s">
        <v>99</v>
      </c>
      <c r="C888" t="s">
        <v>52</v>
      </c>
      <c r="D888">
        <v>5</v>
      </c>
      <c r="E888">
        <v>78</v>
      </c>
      <c r="F888">
        <v>0.01</v>
      </c>
      <c r="G888">
        <f t="shared" si="14"/>
        <v>1.1111111111111112E-2</v>
      </c>
      <c r="H888">
        <f>G888*(26.79/38.29)</f>
        <v>7.7740053974057624E-3</v>
      </c>
    </row>
    <row r="889" spans="1:8" x14ac:dyDescent="0.25">
      <c r="A889" s="1">
        <v>2002</v>
      </c>
      <c r="B889" s="1" t="s">
        <v>99</v>
      </c>
      <c r="C889" t="s">
        <v>52</v>
      </c>
      <c r="D889">
        <v>5</v>
      </c>
      <c r="E889">
        <v>78</v>
      </c>
      <c r="F889">
        <v>0.01</v>
      </c>
      <c r="G889">
        <f t="shared" si="14"/>
        <v>1.1111111111111112E-2</v>
      </c>
      <c r="H889">
        <f>G889*(26.79/38.29)</f>
        <v>7.7740053974057624E-3</v>
      </c>
    </row>
    <row r="890" spans="1:8" x14ac:dyDescent="0.25">
      <c r="A890" s="1">
        <v>2002</v>
      </c>
      <c r="B890" s="1" t="s">
        <v>99</v>
      </c>
      <c r="C890" t="s">
        <v>52</v>
      </c>
      <c r="D890">
        <v>5</v>
      </c>
      <c r="E890">
        <v>78</v>
      </c>
      <c r="F890">
        <v>0.01</v>
      </c>
      <c r="G890">
        <f t="shared" si="14"/>
        <v>1.1111111111111112E-2</v>
      </c>
      <c r="H890">
        <f>G890*(26.79/38.29)</f>
        <v>7.7740053974057624E-3</v>
      </c>
    </row>
    <row r="891" spans="1:8" x14ac:dyDescent="0.25">
      <c r="A891" s="1">
        <v>2002</v>
      </c>
      <c r="B891" s="1" t="s">
        <v>99</v>
      </c>
      <c r="C891" t="s">
        <v>52</v>
      </c>
      <c r="D891">
        <v>5</v>
      </c>
      <c r="E891">
        <v>78</v>
      </c>
      <c r="F891">
        <v>0.01</v>
      </c>
      <c r="G891">
        <f t="shared" si="14"/>
        <v>1.1111111111111112E-2</v>
      </c>
      <c r="H891">
        <f>G891*(26.79/38.29)</f>
        <v>7.7740053974057624E-3</v>
      </c>
    </row>
    <row r="892" spans="1:8" x14ac:dyDescent="0.25">
      <c r="A892" s="1">
        <v>2002</v>
      </c>
      <c r="B892" s="1" t="s">
        <v>99</v>
      </c>
      <c r="C892" t="s">
        <v>52</v>
      </c>
      <c r="D892">
        <v>5</v>
      </c>
      <c r="E892">
        <v>78</v>
      </c>
      <c r="F892">
        <v>0.01</v>
      </c>
      <c r="G892">
        <f t="shared" si="14"/>
        <v>1.1111111111111112E-2</v>
      </c>
      <c r="H892">
        <f>G892*(26.79/38.29)</f>
        <v>7.7740053974057624E-3</v>
      </c>
    </row>
    <row r="893" spans="1:8" x14ac:dyDescent="0.25">
      <c r="A893" s="1">
        <v>2002</v>
      </c>
      <c r="B893" s="1" t="s">
        <v>99</v>
      </c>
      <c r="C893" t="s">
        <v>52</v>
      </c>
      <c r="D893">
        <v>5</v>
      </c>
      <c r="E893">
        <v>78</v>
      </c>
      <c r="F893">
        <v>0.01</v>
      </c>
      <c r="G893">
        <f t="shared" si="14"/>
        <v>1.1111111111111112E-2</v>
      </c>
      <c r="H893">
        <f>G893*(26.79/38.29)</f>
        <v>7.7740053974057624E-3</v>
      </c>
    </row>
    <row r="894" spans="1:8" x14ac:dyDescent="0.25">
      <c r="A894" s="1">
        <v>2002</v>
      </c>
      <c r="B894" s="1" t="s">
        <v>99</v>
      </c>
      <c r="C894" t="s">
        <v>52</v>
      </c>
      <c r="D894">
        <v>5</v>
      </c>
      <c r="E894">
        <v>78</v>
      </c>
      <c r="F894">
        <v>0.01</v>
      </c>
      <c r="G894">
        <f t="shared" si="14"/>
        <v>1.1111111111111112E-2</v>
      </c>
      <c r="H894">
        <f>G894*(26.79/38.29)</f>
        <v>7.7740053974057624E-3</v>
      </c>
    </row>
    <row r="895" spans="1:8" x14ac:dyDescent="0.25">
      <c r="A895" s="1">
        <v>2002</v>
      </c>
      <c r="B895" s="1" t="s">
        <v>99</v>
      </c>
      <c r="C895" t="s">
        <v>52</v>
      </c>
      <c r="D895">
        <v>5</v>
      </c>
      <c r="E895">
        <v>78</v>
      </c>
      <c r="F895">
        <v>0.01</v>
      </c>
      <c r="G895">
        <f t="shared" si="14"/>
        <v>1.1111111111111112E-2</v>
      </c>
      <c r="H895">
        <f>G895*(26.79/38.29)</f>
        <v>7.7740053974057624E-3</v>
      </c>
    </row>
    <row r="896" spans="1:8" x14ac:dyDescent="0.25">
      <c r="A896" s="1">
        <v>2002</v>
      </c>
      <c r="B896" s="1" t="s">
        <v>99</v>
      </c>
      <c r="C896" t="s">
        <v>52</v>
      </c>
      <c r="D896">
        <v>5</v>
      </c>
      <c r="E896">
        <v>79</v>
      </c>
      <c r="F896">
        <v>0.02</v>
      </c>
      <c r="G896">
        <f t="shared" si="14"/>
        <v>2.2222222222222223E-2</v>
      </c>
      <c r="H896">
        <f>G896*(26.79/38.29)</f>
        <v>1.5548010794811525E-2</v>
      </c>
    </row>
    <row r="897" spans="1:8" x14ac:dyDescent="0.25">
      <c r="A897" s="1">
        <v>2002</v>
      </c>
      <c r="B897" s="1" t="s">
        <v>99</v>
      </c>
      <c r="C897" t="s">
        <v>52</v>
      </c>
      <c r="D897">
        <v>5</v>
      </c>
      <c r="E897">
        <v>79</v>
      </c>
      <c r="F897">
        <v>0.02</v>
      </c>
      <c r="G897">
        <f t="shared" si="14"/>
        <v>2.2222222222222223E-2</v>
      </c>
      <c r="H897">
        <f>G897*(26.79/38.29)</f>
        <v>1.5548010794811525E-2</v>
      </c>
    </row>
    <row r="898" spans="1:8" x14ac:dyDescent="0.25">
      <c r="A898" s="1">
        <v>2002</v>
      </c>
      <c r="B898" s="1" t="s">
        <v>99</v>
      </c>
      <c r="C898" t="s">
        <v>52</v>
      </c>
      <c r="D898">
        <v>5</v>
      </c>
      <c r="E898">
        <v>79</v>
      </c>
      <c r="F898">
        <v>0.01</v>
      </c>
      <c r="G898">
        <f t="shared" si="14"/>
        <v>1.1111111111111112E-2</v>
      </c>
      <c r="H898">
        <f>G898*(26.79/38.29)</f>
        <v>7.7740053974057624E-3</v>
      </c>
    </row>
    <row r="899" spans="1:8" x14ac:dyDescent="0.25">
      <c r="A899" s="1">
        <v>2008</v>
      </c>
      <c r="B899" s="1" t="s">
        <v>99</v>
      </c>
      <c r="C899" t="s">
        <v>52</v>
      </c>
      <c r="D899">
        <v>1</v>
      </c>
      <c r="E899">
        <v>29</v>
      </c>
      <c r="F899">
        <v>0.01</v>
      </c>
      <c r="G899">
        <f t="shared" si="14"/>
        <v>1.1111111111111112E-2</v>
      </c>
      <c r="H899">
        <f>G899*(26.79/38.29)</f>
        <v>7.7740053974057624E-3</v>
      </c>
    </row>
    <row r="900" spans="1:8" x14ac:dyDescent="0.25">
      <c r="A900" s="1">
        <v>2008</v>
      </c>
      <c r="B900" s="1" t="s">
        <v>99</v>
      </c>
      <c r="C900" t="s">
        <v>52</v>
      </c>
      <c r="D900">
        <v>1</v>
      </c>
      <c r="E900">
        <v>32</v>
      </c>
      <c r="F900">
        <v>0.02</v>
      </c>
      <c r="G900">
        <f t="shared" si="14"/>
        <v>2.2222222222222223E-2</v>
      </c>
      <c r="H900">
        <f>G900*(26.79/38.29)</f>
        <v>1.5548010794811525E-2</v>
      </c>
    </row>
    <row r="901" spans="1:8" x14ac:dyDescent="0.25">
      <c r="A901" s="1">
        <v>2008</v>
      </c>
      <c r="B901" s="1" t="s">
        <v>99</v>
      </c>
      <c r="C901" t="s">
        <v>52</v>
      </c>
      <c r="D901">
        <v>1</v>
      </c>
      <c r="E901">
        <v>32</v>
      </c>
      <c r="F901">
        <v>0.01</v>
      </c>
      <c r="G901">
        <f t="shared" si="14"/>
        <v>1.1111111111111112E-2</v>
      </c>
      <c r="H901">
        <f>G901*(26.79/38.29)</f>
        <v>7.7740053974057624E-3</v>
      </c>
    </row>
    <row r="902" spans="1:8" x14ac:dyDescent="0.25">
      <c r="A902" s="1">
        <v>2008</v>
      </c>
      <c r="B902" s="1" t="s">
        <v>99</v>
      </c>
      <c r="C902" t="s">
        <v>52</v>
      </c>
      <c r="D902">
        <v>1</v>
      </c>
      <c r="E902">
        <v>32</v>
      </c>
      <c r="F902">
        <v>0.03</v>
      </c>
      <c r="G902">
        <f t="shared" si="14"/>
        <v>3.3333333333333333E-2</v>
      </c>
      <c r="H902">
        <f>G902*(26.79/38.29)</f>
        <v>2.3322016192217288E-2</v>
      </c>
    </row>
    <row r="903" spans="1:8" x14ac:dyDescent="0.25">
      <c r="A903" s="1">
        <v>2008</v>
      </c>
      <c r="B903" s="1" t="s">
        <v>99</v>
      </c>
      <c r="C903" t="s">
        <v>52</v>
      </c>
      <c r="D903">
        <v>1</v>
      </c>
      <c r="E903">
        <v>32</v>
      </c>
      <c r="F903">
        <v>0.01</v>
      </c>
      <c r="G903">
        <f t="shared" si="14"/>
        <v>1.1111111111111112E-2</v>
      </c>
      <c r="H903">
        <f>G903*(26.79/38.29)</f>
        <v>7.7740053974057624E-3</v>
      </c>
    </row>
    <row r="904" spans="1:8" x14ac:dyDescent="0.25">
      <c r="A904" s="1">
        <v>2008</v>
      </c>
      <c r="B904" s="1" t="s">
        <v>99</v>
      </c>
      <c r="C904" t="s">
        <v>52</v>
      </c>
      <c r="D904">
        <v>1</v>
      </c>
      <c r="E904">
        <v>32</v>
      </c>
      <c r="F904">
        <v>0.01</v>
      </c>
      <c r="G904">
        <f t="shared" si="14"/>
        <v>1.1111111111111112E-2</v>
      </c>
      <c r="H904">
        <f>G904*(26.79/38.29)</f>
        <v>7.7740053974057624E-3</v>
      </c>
    </row>
    <row r="905" spans="1:8" x14ac:dyDescent="0.25">
      <c r="A905" s="1">
        <v>2008</v>
      </c>
      <c r="B905" s="1" t="s">
        <v>99</v>
      </c>
      <c r="C905" t="s">
        <v>52</v>
      </c>
      <c r="D905">
        <v>1</v>
      </c>
      <c r="E905">
        <v>32</v>
      </c>
      <c r="F905">
        <v>0.01</v>
      </c>
      <c r="G905">
        <f t="shared" si="14"/>
        <v>1.1111111111111112E-2</v>
      </c>
      <c r="H905">
        <f>G905*(26.79/38.29)</f>
        <v>7.7740053974057624E-3</v>
      </c>
    </row>
    <row r="906" spans="1:8" x14ac:dyDescent="0.25">
      <c r="A906" s="1">
        <v>2008</v>
      </c>
      <c r="B906" s="1" t="s">
        <v>99</v>
      </c>
      <c r="C906" t="s">
        <v>52</v>
      </c>
      <c r="D906">
        <v>1</v>
      </c>
      <c r="E906">
        <v>32</v>
      </c>
      <c r="F906">
        <v>0.01</v>
      </c>
      <c r="G906">
        <f t="shared" si="14"/>
        <v>1.1111111111111112E-2</v>
      </c>
      <c r="H906">
        <f>G906*(26.79/38.29)</f>
        <v>7.7740053974057624E-3</v>
      </c>
    </row>
    <row r="907" spans="1:8" x14ac:dyDescent="0.25">
      <c r="A907" s="1">
        <v>2008</v>
      </c>
      <c r="B907" s="1" t="s">
        <v>99</v>
      </c>
      <c r="C907" t="s">
        <v>52</v>
      </c>
      <c r="D907">
        <v>1</v>
      </c>
      <c r="E907">
        <v>32</v>
      </c>
      <c r="F907">
        <v>0.01</v>
      </c>
      <c r="G907">
        <f t="shared" si="14"/>
        <v>1.1111111111111112E-2</v>
      </c>
      <c r="H907">
        <f>G907*(26.79/38.29)</f>
        <v>7.7740053974057624E-3</v>
      </c>
    </row>
    <row r="908" spans="1:8" x14ac:dyDescent="0.25">
      <c r="A908" s="1">
        <v>2008</v>
      </c>
      <c r="B908" s="1" t="s">
        <v>99</v>
      </c>
      <c r="C908" t="s">
        <v>52</v>
      </c>
      <c r="D908">
        <v>1</v>
      </c>
      <c r="E908">
        <v>76</v>
      </c>
      <c r="F908">
        <v>0.01</v>
      </c>
      <c r="G908">
        <f t="shared" si="14"/>
        <v>1.1111111111111112E-2</v>
      </c>
      <c r="H908">
        <f>G908*(26.79/38.29)</f>
        <v>7.7740053974057624E-3</v>
      </c>
    </row>
    <row r="909" spans="1:8" x14ac:dyDescent="0.25">
      <c r="A909" s="1">
        <v>2008</v>
      </c>
      <c r="B909" s="1" t="s">
        <v>99</v>
      </c>
      <c r="C909" t="s">
        <v>52</v>
      </c>
      <c r="D909">
        <v>1</v>
      </c>
      <c r="E909">
        <v>78</v>
      </c>
      <c r="F909">
        <v>0.02</v>
      </c>
      <c r="G909">
        <f t="shared" si="14"/>
        <v>2.2222222222222223E-2</v>
      </c>
      <c r="H909">
        <f>G909*(26.79/38.29)</f>
        <v>1.5548010794811525E-2</v>
      </c>
    </row>
    <row r="910" spans="1:8" x14ac:dyDescent="0.25">
      <c r="A910" s="1">
        <v>2008</v>
      </c>
      <c r="B910" s="1" t="s">
        <v>99</v>
      </c>
      <c r="C910" t="s">
        <v>52</v>
      </c>
      <c r="D910">
        <v>1</v>
      </c>
      <c r="E910">
        <v>78</v>
      </c>
      <c r="F910">
        <v>0.01</v>
      </c>
      <c r="G910">
        <f t="shared" si="14"/>
        <v>1.1111111111111112E-2</v>
      </c>
      <c r="H910">
        <f>G910*(26.79/38.29)</f>
        <v>7.7740053974057624E-3</v>
      </c>
    </row>
    <row r="911" spans="1:8" x14ac:dyDescent="0.25">
      <c r="A911" s="1">
        <v>2008</v>
      </c>
      <c r="B911" s="1" t="s">
        <v>99</v>
      </c>
      <c r="C911" t="s">
        <v>52</v>
      </c>
      <c r="D911">
        <v>1</v>
      </c>
      <c r="E911">
        <v>78</v>
      </c>
      <c r="F911">
        <v>0.02</v>
      </c>
      <c r="G911">
        <f t="shared" si="14"/>
        <v>2.2222222222222223E-2</v>
      </c>
      <c r="H911">
        <f>G911*(26.79/38.29)</f>
        <v>1.5548010794811525E-2</v>
      </c>
    </row>
    <row r="912" spans="1:8" x14ac:dyDescent="0.25">
      <c r="A912" s="1">
        <v>2008</v>
      </c>
      <c r="B912" s="1" t="s">
        <v>99</v>
      </c>
      <c r="C912" t="s">
        <v>52</v>
      </c>
      <c r="D912">
        <v>1</v>
      </c>
      <c r="E912">
        <v>78</v>
      </c>
      <c r="F912">
        <v>0.02</v>
      </c>
      <c r="G912">
        <f t="shared" si="14"/>
        <v>2.2222222222222223E-2</v>
      </c>
      <c r="H912">
        <f>G912*(26.79/38.29)</f>
        <v>1.5548010794811525E-2</v>
      </c>
    </row>
    <row r="913" spans="1:8" x14ac:dyDescent="0.25">
      <c r="A913" s="1">
        <v>2008</v>
      </c>
      <c r="B913" s="1" t="s">
        <v>99</v>
      </c>
      <c r="C913" t="s">
        <v>52</v>
      </c>
      <c r="D913">
        <v>1</v>
      </c>
      <c r="E913">
        <v>78</v>
      </c>
      <c r="F913">
        <v>0.02</v>
      </c>
      <c r="G913">
        <f t="shared" si="14"/>
        <v>2.2222222222222223E-2</v>
      </c>
      <c r="H913">
        <f>G913*(26.79/38.29)</f>
        <v>1.5548010794811525E-2</v>
      </c>
    </row>
    <row r="914" spans="1:8" x14ac:dyDescent="0.25">
      <c r="A914" s="1">
        <v>2008</v>
      </c>
      <c r="B914" s="1" t="s">
        <v>99</v>
      </c>
      <c r="C914" t="s">
        <v>52</v>
      </c>
      <c r="D914">
        <v>1</v>
      </c>
      <c r="E914">
        <v>78</v>
      </c>
      <c r="F914">
        <v>0.01</v>
      </c>
      <c r="G914">
        <f t="shared" si="14"/>
        <v>1.1111111111111112E-2</v>
      </c>
      <c r="H914">
        <f>G914*(26.79/38.29)</f>
        <v>7.7740053974057624E-3</v>
      </c>
    </row>
    <row r="915" spans="1:8" x14ac:dyDescent="0.25">
      <c r="A915" s="1">
        <v>2008</v>
      </c>
      <c r="B915" s="1" t="s">
        <v>99</v>
      </c>
      <c r="C915" t="s">
        <v>52</v>
      </c>
      <c r="D915">
        <v>1</v>
      </c>
      <c r="E915">
        <v>78</v>
      </c>
      <c r="F915">
        <v>0.02</v>
      </c>
      <c r="G915">
        <f t="shared" ref="G915:G978" si="15">(F915/0.01)/90</f>
        <v>2.2222222222222223E-2</v>
      </c>
      <c r="H915">
        <f>G915*(26.79/38.29)</f>
        <v>1.5548010794811525E-2</v>
      </c>
    </row>
    <row r="916" spans="1:8" x14ac:dyDescent="0.25">
      <c r="A916" s="1">
        <v>2008</v>
      </c>
      <c r="B916" s="1" t="s">
        <v>99</v>
      </c>
      <c r="C916" t="s">
        <v>52</v>
      </c>
      <c r="D916">
        <v>1</v>
      </c>
      <c r="E916">
        <v>78</v>
      </c>
      <c r="F916">
        <v>0.02</v>
      </c>
      <c r="G916">
        <f t="shared" si="15"/>
        <v>2.2222222222222223E-2</v>
      </c>
      <c r="H916">
        <f>G916*(26.79/38.29)</f>
        <v>1.5548010794811525E-2</v>
      </c>
    </row>
    <row r="917" spans="1:8" x14ac:dyDescent="0.25">
      <c r="A917" s="1">
        <v>2008</v>
      </c>
      <c r="B917" s="1" t="s">
        <v>99</v>
      </c>
      <c r="C917" t="s">
        <v>52</v>
      </c>
      <c r="D917">
        <v>1</v>
      </c>
      <c r="E917">
        <v>78</v>
      </c>
      <c r="F917">
        <v>0.02</v>
      </c>
      <c r="G917">
        <f t="shared" si="15"/>
        <v>2.2222222222222223E-2</v>
      </c>
      <c r="H917">
        <f>G917*(26.79/38.29)</f>
        <v>1.5548010794811525E-2</v>
      </c>
    </row>
    <row r="918" spans="1:8" x14ac:dyDescent="0.25">
      <c r="A918" s="1">
        <v>2008</v>
      </c>
      <c r="B918" s="1" t="s">
        <v>99</v>
      </c>
      <c r="C918" t="s">
        <v>52</v>
      </c>
      <c r="D918">
        <v>1</v>
      </c>
      <c r="E918">
        <v>78</v>
      </c>
      <c r="F918">
        <v>0.01</v>
      </c>
      <c r="G918">
        <f t="shared" si="15"/>
        <v>1.1111111111111112E-2</v>
      </c>
      <c r="H918">
        <f>G918*(26.79/38.29)</f>
        <v>7.7740053974057624E-3</v>
      </c>
    </row>
    <row r="919" spans="1:8" x14ac:dyDescent="0.25">
      <c r="A919" s="1">
        <v>2008</v>
      </c>
      <c r="B919" s="1" t="s">
        <v>99</v>
      </c>
      <c r="C919" t="s">
        <v>52</v>
      </c>
      <c r="D919">
        <v>1</v>
      </c>
      <c r="E919">
        <v>78</v>
      </c>
      <c r="F919">
        <v>0.03</v>
      </c>
      <c r="G919">
        <f t="shared" si="15"/>
        <v>3.3333333333333333E-2</v>
      </c>
      <c r="H919">
        <f>G919*(26.79/38.29)</f>
        <v>2.3322016192217288E-2</v>
      </c>
    </row>
    <row r="920" spans="1:8" x14ac:dyDescent="0.25">
      <c r="A920" s="1">
        <v>2008</v>
      </c>
      <c r="B920" s="1" t="s">
        <v>99</v>
      </c>
      <c r="C920" t="s">
        <v>52</v>
      </c>
      <c r="D920">
        <v>1</v>
      </c>
      <c r="E920">
        <v>78</v>
      </c>
      <c r="F920">
        <v>0.03</v>
      </c>
      <c r="G920">
        <f t="shared" si="15"/>
        <v>3.3333333333333333E-2</v>
      </c>
      <c r="H920">
        <f>G920*(26.79/38.29)</f>
        <v>2.3322016192217288E-2</v>
      </c>
    </row>
    <row r="921" spans="1:8" x14ac:dyDescent="0.25">
      <c r="A921" s="1">
        <v>2008</v>
      </c>
      <c r="B921" s="1" t="s">
        <v>99</v>
      </c>
      <c r="C921" t="s">
        <v>52</v>
      </c>
      <c r="D921">
        <v>1</v>
      </c>
      <c r="E921">
        <v>78</v>
      </c>
      <c r="F921">
        <v>0.02</v>
      </c>
      <c r="G921">
        <f t="shared" si="15"/>
        <v>2.2222222222222223E-2</v>
      </c>
      <c r="H921">
        <f>G921*(26.79/38.29)</f>
        <v>1.5548010794811525E-2</v>
      </c>
    </row>
    <row r="922" spans="1:8" x14ac:dyDescent="0.25">
      <c r="A922" s="1">
        <v>2008</v>
      </c>
      <c r="B922" s="1" t="s">
        <v>99</v>
      </c>
      <c r="C922" t="s">
        <v>52</v>
      </c>
      <c r="D922">
        <v>1</v>
      </c>
      <c r="E922">
        <v>78</v>
      </c>
      <c r="F922">
        <v>0.01</v>
      </c>
      <c r="G922">
        <f t="shared" si="15"/>
        <v>1.1111111111111112E-2</v>
      </c>
      <c r="H922">
        <f>G922*(26.79/38.29)</f>
        <v>7.7740053974057624E-3</v>
      </c>
    </row>
    <row r="923" spans="1:8" x14ac:dyDescent="0.25">
      <c r="A923" s="1">
        <v>2008</v>
      </c>
      <c r="B923" s="1" t="s">
        <v>99</v>
      </c>
      <c r="C923" t="s">
        <v>52</v>
      </c>
      <c r="D923">
        <v>1</v>
      </c>
      <c r="E923">
        <v>78</v>
      </c>
      <c r="F923">
        <v>0.01</v>
      </c>
      <c r="G923">
        <f t="shared" si="15"/>
        <v>1.1111111111111112E-2</v>
      </c>
      <c r="H923">
        <f>G923*(26.79/38.29)</f>
        <v>7.7740053974057624E-3</v>
      </c>
    </row>
    <row r="924" spans="1:8" x14ac:dyDescent="0.25">
      <c r="A924" s="1">
        <v>2008</v>
      </c>
      <c r="B924" s="1" t="s">
        <v>99</v>
      </c>
      <c r="C924" t="s">
        <v>52</v>
      </c>
      <c r="D924">
        <v>2</v>
      </c>
      <c r="E924">
        <v>29</v>
      </c>
      <c r="F924">
        <v>0.01</v>
      </c>
      <c r="G924">
        <f t="shared" si="15"/>
        <v>1.1111111111111112E-2</v>
      </c>
      <c r="H924">
        <f>G924*(26.79/38.29)</f>
        <v>7.7740053974057624E-3</v>
      </c>
    </row>
    <row r="925" spans="1:8" x14ac:dyDescent="0.25">
      <c r="A925" s="1">
        <v>2008</v>
      </c>
      <c r="B925" s="1" t="s">
        <v>99</v>
      </c>
      <c r="C925" t="s">
        <v>52</v>
      </c>
      <c r="D925">
        <v>2</v>
      </c>
      <c r="E925">
        <v>29</v>
      </c>
      <c r="F925">
        <v>0.01</v>
      </c>
      <c r="G925">
        <f t="shared" si="15"/>
        <v>1.1111111111111112E-2</v>
      </c>
      <c r="H925">
        <f>G925*(26.79/38.29)</f>
        <v>7.7740053974057624E-3</v>
      </c>
    </row>
    <row r="926" spans="1:8" x14ac:dyDescent="0.25">
      <c r="A926" s="1">
        <v>2008</v>
      </c>
      <c r="B926" s="1" t="s">
        <v>99</v>
      </c>
      <c r="C926" t="s">
        <v>52</v>
      </c>
      <c r="D926">
        <v>2</v>
      </c>
      <c r="E926">
        <v>29</v>
      </c>
      <c r="F926">
        <v>0.01</v>
      </c>
      <c r="G926">
        <f t="shared" si="15"/>
        <v>1.1111111111111112E-2</v>
      </c>
      <c r="H926">
        <f>G926*(26.79/38.29)</f>
        <v>7.7740053974057624E-3</v>
      </c>
    </row>
    <row r="927" spans="1:8" x14ac:dyDescent="0.25">
      <c r="A927" s="1">
        <v>2008</v>
      </c>
      <c r="B927" s="1" t="s">
        <v>99</v>
      </c>
      <c r="C927" t="s">
        <v>52</v>
      </c>
      <c r="D927">
        <v>2</v>
      </c>
      <c r="E927">
        <v>29</v>
      </c>
      <c r="F927">
        <v>0.01</v>
      </c>
      <c r="G927">
        <f t="shared" si="15"/>
        <v>1.1111111111111112E-2</v>
      </c>
      <c r="H927">
        <f>G927*(26.79/38.29)</f>
        <v>7.7740053974057624E-3</v>
      </c>
    </row>
    <row r="928" spans="1:8" x14ac:dyDescent="0.25">
      <c r="A928" s="1">
        <v>2008</v>
      </c>
      <c r="B928" s="1" t="s">
        <v>99</v>
      </c>
      <c r="C928" t="s">
        <v>52</v>
      </c>
      <c r="D928">
        <v>2</v>
      </c>
      <c r="E928">
        <v>32</v>
      </c>
      <c r="F928">
        <v>0.03</v>
      </c>
      <c r="G928">
        <f t="shared" si="15"/>
        <v>3.3333333333333333E-2</v>
      </c>
      <c r="H928">
        <f>G928*(26.79/38.29)</f>
        <v>2.3322016192217288E-2</v>
      </c>
    </row>
    <row r="929" spans="1:8" x14ac:dyDescent="0.25">
      <c r="A929" s="1">
        <v>2008</v>
      </c>
      <c r="B929" s="1" t="s">
        <v>99</v>
      </c>
      <c r="C929" t="s">
        <v>52</v>
      </c>
      <c r="D929">
        <v>2</v>
      </c>
      <c r="E929">
        <v>32</v>
      </c>
      <c r="F929">
        <v>0.03</v>
      </c>
      <c r="G929">
        <f t="shared" si="15"/>
        <v>3.3333333333333333E-2</v>
      </c>
      <c r="H929">
        <f>G929*(26.79/38.29)</f>
        <v>2.3322016192217288E-2</v>
      </c>
    </row>
    <row r="930" spans="1:8" x14ac:dyDescent="0.25">
      <c r="A930" s="1">
        <v>2008</v>
      </c>
      <c r="B930" s="1" t="s">
        <v>99</v>
      </c>
      <c r="C930" t="s">
        <v>52</v>
      </c>
      <c r="D930">
        <v>2</v>
      </c>
      <c r="E930">
        <v>32</v>
      </c>
      <c r="F930">
        <v>0.01</v>
      </c>
      <c r="G930">
        <f t="shared" si="15"/>
        <v>1.1111111111111112E-2</v>
      </c>
      <c r="H930">
        <f>G930*(26.79/38.29)</f>
        <v>7.7740053974057624E-3</v>
      </c>
    </row>
    <row r="931" spans="1:8" x14ac:dyDescent="0.25">
      <c r="A931" s="1">
        <v>2008</v>
      </c>
      <c r="B931" s="1" t="s">
        <v>99</v>
      </c>
      <c r="C931" t="s">
        <v>52</v>
      </c>
      <c r="D931">
        <v>2</v>
      </c>
      <c r="E931">
        <v>32</v>
      </c>
      <c r="F931">
        <v>0.01</v>
      </c>
      <c r="G931">
        <f t="shared" si="15"/>
        <v>1.1111111111111112E-2</v>
      </c>
      <c r="H931">
        <f>G931*(26.79/38.29)</f>
        <v>7.7740053974057624E-3</v>
      </c>
    </row>
    <row r="932" spans="1:8" x14ac:dyDescent="0.25">
      <c r="A932" s="1">
        <v>2008</v>
      </c>
      <c r="B932" s="1" t="s">
        <v>99</v>
      </c>
      <c r="C932" t="s">
        <v>52</v>
      </c>
      <c r="D932">
        <v>2</v>
      </c>
      <c r="E932">
        <v>32</v>
      </c>
      <c r="F932">
        <v>0.02</v>
      </c>
      <c r="G932">
        <f t="shared" si="15"/>
        <v>2.2222222222222223E-2</v>
      </c>
      <c r="H932">
        <f>G932*(26.79/38.29)</f>
        <v>1.5548010794811525E-2</v>
      </c>
    </row>
    <row r="933" spans="1:8" x14ac:dyDescent="0.25">
      <c r="A933" s="1">
        <v>2008</v>
      </c>
      <c r="B933" s="1" t="s">
        <v>99</v>
      </c>
      <c r="C933" t="s">
        <v>52</v>
      </c>
      <c r="D933">
        <v>2</v>
      </c>
      <c r="E933">
        <v>32</v>
      </c>
      <c r="F933">
        <v>0.02</v>
      </c>
      <c r="G933">
        <f t="shared" si="15"/>
        <v>2.2222222222222223E-2</v>
      </c>
      <c r="H933">
        <f>G933*(26.79/38.29)</f>
        <v>1.5548010794811525E-2</v>
      </c>
    </row>
    <row r="934" spans="1:8" x14ac:dyDescent="0.25">
      <c r="A934" s="1">
        <v>2008</v>
      </c>
      <c r="B934" s="1" t="s">
        <v>99</v>
      </c>
      <c r="C934" t="s">
        <v>52</v>
      </c>
      <c r="D934">
        <v>2</v>
      </c>
      <c r="E934">
        <v>32</v>
      </c>
      <c r="F934">
        <v>0.02</v>
      </c>
      <c r="G934">
        <f t="shared" si="15"/>
        <v>2.2222222222222223E-2</v>
      </c>
      <c r="H934">
        <f>G934*(26.79/38.29)</f>
        <v>1.5548010794811525E-2</v>
      </c>
    </row>
    <row r="935" spans="1:8" x14ac:dyDescent="0.25">
      <c r="A935" s="1">
        <v>2008</v>
      </c>
      <c r="B935" s="1" t="s">
        <v>99</v>
      </c>
      <c r="C935" t="s">
        <v>52</v>
      </c>
      <c r="D935">
        <v>2</v>
      </c>
      <c r="E935">
        <v>32</v>
      </c>
      <c r="F935">
        <v>0.01</v>
      </c>
      <c r="G935">
        <f t="shared" si="15"/>
        <v>1.1111111111111112E-2</v>
      </c>
      <c r="H935">
        <f>G935*(26.79/38.29)</f>
        <v>7.7740053974057624E-3</v>
      </c>
    </row>
    <row r="936" spans="1:8" x14ac:dyDescent="0.25">
      <c r="A936" s="1">
        <v>2008</v>
      </c>
      <c r="B936" s="1" t="s">
        <v>99</v>
      </c>
      <c r="C936" t="s">
        <v>52</v>
      </c>
      <c r="D936">
        <v>2</v>
      </c>
      <c r="E936">
        <v>54</v>
      </c>
      <c r="F936">
        <v>0.01</v>
      </c>
      <c r="G936">
        <f t="shared" si="15"/>
        <v>1.1111111111111112E-2</v>
      </c>
      <c r="H936">
        <f>G936*(26.79/38.29)</f>
        <v>7.7740053974057624E-3</v>
      </c>
    </row>
    <row r="937" spans="1:8" x14ac:dyDescent="0.25">
      <c r="A937" s="1">
        <v>2008</v>
      </c>
      <c r="B937" s="1" t="s">
        <v>99</v>
      </c>
      <c r="C937" t="s">
        <v>52</v>
      </c>
      <c r="D937">
        <v>2</v>
      </c>
      <c r="E937">
        <v>63</v>
      </c>
      <c r="F937">
        <v>0.02</v>
      </c>
      <c r="G937">
        <f t="shared" si="15"/>
        <v>2.2222222222222223E-2</v>
      </c>
      <c r="H937">
        <f>G937*(26.79/38.29)</f>
        <v>1.5548010794811525E-2</v>
      </c>
    </row>
    <row r="938" spans="1:8" x14ac:dyDescent="0.25">
      <c r="A938" s="1">
        <v>2008</v>
      </c>
      <c r="B938" s="1" t="s">
        <v>99</v>
      </c>
      <c r="C938" t="s">
        <v>52</v>
      </c>
      <c r="D938">
        <v>2</v>
      </c>
      <c r="E938">
        <v>63</v>
      </c>
      <c r="F938">
        <v>0.03</v>
      </c>
      <c r="G938">
        <f t="shared" si="15"/>
        <v>3.3333333333333333E-2</v>
      </c>
      <c r="H938">
        <f>G938*(26.79/38.29)</f>
        <v>2.3322016192217288E-2</v>
      </c>
    </row>
    <row r="939" spans="1:8" x14ac:dyDescent="0.25">
      <c r="A939" s="1">
        <v>2008</v>
      </c>
      <c r="B939" s="1" t="s">
        <v>99</v>
      </c>
      <c r="C939" t="s">
        <v>52</v>
      </c>
      <c r="D939">
        <v>2</v>
      </c>
      <c r="E939">
        <v>66</v>
      </c>
      <c r="F939">
        <v>0.01</v>
      </c>
      <c r="G939">
        <f t="shared" si="15"/>
        <v>1.1111111111111112E-2</v>
      </c>
      <c r="H939">
        <f>G939*(26.79/38.29)</f>
        <v>7.7740053974057624E-3</v>
      </c>
    </row>
    <row r="940" spans="1:8" x14ac:dyDescent="0.25">
      <c r="A940" s="1">
        <v>2008</v>
      </c>
      <c r="B940" s="1" t="s">
        <v>99</v>
      </c>
      <c r="C940" t="s">
        <v>52</v>
      </c>
      <c r="D940">
        <v>2</v>
      </c>
      <c r="E940">
        <v>76</v>
      </c>
      <c r="F940">
        <v>0.02</v>
      </c>
      <c r="G940">
        <f t="shared" si="15"/>
        <v>2.2222222222222223E-2</v>
      </c>
      <c r="H940">
        <f>G940*(26.79/38.29)</f>
        <v>1.5548010794811525E-2</v>
      </c>
    </row>
    <row r="941" spans="1:8" x14ac:dyDescent="0.25">
      <c r="A941" s="1">
        <v>2008</v>
      </c>
      <c r="B941" s="1" t="s">
        <v>99</v>
      </c>
      <c r="C941" t="s">
        <v>52</v>
      </c>
      <c r="D941">
        <v>2</v>
      </c>
      <c r="E941">
        <v>76</v>
      </c>
      <c r="F941">
        <v>0.03</v>
      </c>
      <c r="G941">
        <f t="shared" si="15"/>
        <v>3.3333333333333333E-2</v>
      </c>
      <c r="H941">
        <f>G941*(26.79/38.29)</f>
        <v>2.3322016192217288E-2</v>
      </c>
    </row>
    <row r="942" spans="1:8" x14ac:dyDescent="0.25">
      <c r="A942" s="1">
        <v>2008</v>
      </c>
      <c r="B942" s="1" t="s">
        <v>99</v>
      </c>
      <c r="C942" t="s">
        <v>52</v>
      </c>
      <c r="D942">
        <v>2</v>
      </c>
      <c r="E942">
        <v>76</v>
      </c>
      <c r="F942">
        <v>0.01</v>
      </c>
      <c r="G942">
        <f t="shared" si="15"/>
        <v>1.1111111111111112E-2</v>
      </c>
      <c r="H942">
        <f>G942*(26.79/38.29)</f>
        <v>7.7740053974057624E-3</v>
      </c>
    </row>
    <row r="943" spans="1:8" x14ac:dyDescent="0.25">
      <c r="A943" s="1">
        <v>2008</v>
      </c>
      <c r="B943" s="1" t="s">
        <v>99</v>
      </c>
      <c r="C943" t="s">
        <v>52</v>
      </c>
      <c r="D943">
        <v>2</v>
      </c>
      <c r="E943">
        <v>76</v>
      </c>
      <c r="F943">
        <v>0.01</v>
      </c>
      <c r="G943">
        <f t="shared" si="15"/>
        <v>1.1111111111111112E-2</v>
      </c>
      <c r="H943">
        <f>G943*(26.79/38.29)</f>
        <v>7.7740053974057624E-3</v>
      </c>
    </row>
    <row r="944" spans="1:8" x14ac:dyDescent="0.25">
      <c r="A944" s="1">
        <v>2008</v>
      </c>
      <c r="B944" s="1" t="s">
        <v>99</v>
      </c>
      <c r="C944" t="s">
        <v>52</v>
      </c>
      <c r="D944">
        <v>2</v>
      </c>
      <c r="E944">
        <v>76</v>
      </c>
      <c r="F944">
        <v>0.03</v>
      </c>
      <c r="G944">
        <f t="shared" si="15"/>
        <v>3.3333333333333333E-2</v>
      </c>
      <c r="H944">
        <f>G944*(26.79/38.29)</f>
        <v>2.3322016192217288E-2</v>
      </c>
    </row>
    <row r="945" spans="1:8" x14ac:dyDescent="0.25">
      <c r="A945" s="1">
        <v>2008</v>
      </c>
      <c r="B945" s="1" t="s">
        <v>99</v>
      </c>
      <c r="C945" t="s">
        <v>52</v>
      </c>
      <c r="D945">
        <v>2</v>
      </c>
      <c r="E945">
        <v>76</v>
      </c>
      <c r="F945">
        <v>0.01</v>
      </c>
      <c r="G945">
        <f t="shared" si="15"/>
        <v>1.1111111111111112E-2</v>
      </c>
      <c r="H945">
        <f>G945*(26.79/38.29)</f>
        <v>7.7740053974057624E-3</v>
      </c>
    </row>
    <row r="946" spans="1:8" x14ac:dyDescent="0.25">
      <c r="A946" s="1">
        <v>2008</v>
      </c>
      <c r="B946" s="1" t="s">
        <v>99</v>
      </c>
      <c r="C946" t="s">
        <v>52</v>
      </c>
      <c r="D946">
        <v>2</v>
      </c>
      <c r="E946">
        <v>76</v>
      </c>
      <c r="F946">
        <v>0.01</v>
      </c>
      <c r="G946">
        <f t="shared" si="15"/>
        <v>1.1111111111111112E-2</v>
      </c>
      <c r="H946">
        <f>G946*(26.79/38.29)</f>
        <v>7.7740053974057624E-3</v>
      </c>
    </row>
    <row r="947" spans="1:8" x14ac:dyDescent="0.25">
      <c r="A947" s="1">
        <v>2008</v>
      </c>
      <c r="B947" s="1" t="s">
        <v>99</v>
      </c>
      <c r="C947" t="s">
        <v>52</v>
      </c>
      <c r="D947">
        <v>2</v>
      </c>
      <c r="E947">
        <v>78</v>
      </c>
      <c r="F947">
        <v>0.01</v>
      </c>
      <c r="G947">
        <f t="shared" si="15"/>
        <v>1.1111111111111112E-2</v>
      </c>
      <c r="H947">
        <f>G947*(26.79/38.29)</f>
        <v>7.7740053974057624E-3</v>
      </c>
    </row>
    <row r="948" spans="1:8" x14ac:dyDescent="0.25">
      <c r="A948" s="1">
        <v>2008</v>
      </c>
      <c r="B948" s="1" t="s">
        <v>99</v>
      </c>
      <c r="C948" t="s">
        <v>52</v>
      </c>
      <c r="D948">
        <v>2</v>
      </c>
      <c r="E948">
        <v>78</v>
      </c>
      <c r="F948">
        <v>0.01</v>
      </c>
      <c r="G948">
        <f t="shared" si="15"/>
        <v>1.1111111111111112E-2</v>
      </c>
      <c r="H948">
        <f>G948*(26.79/38.29)</f>
        <v>7.7740053974057624E-3</v>
      </c>
    </row>
    <row r="949" spans="1:8" x14ac:dyDescent="0.25">
      <c r="A949" s="1">
        <v>2008</v>
      </c>
      <c r="B949" s="1" t="s">
        <v>99</v>
      </c>
      <c r="C949" t="s">
        <v>52</v>
      </c>
      <c r="D949">
        <v>2</v>
      </c>
      <c r="E949">
        <v>78</v>
      </c>
      <c r="F949">
        <v>0.01</v>
      </c>
      <c r="G949">
        <f t="shared" si="15"/>
        <v>1.1111111111111112E-2</v>
      </c>
      <c r="H949">
        <f>G949*(26.79/38.29)</f>
        <v>7.7740053974057624E-3</v>
      </c>
    </row>
    <row r="950" spans="1:8" x14ac:dyDescent="0.25">
      <c r="A950" s="1">
        <v>2008</v>
      </c>
      <c r="B950" s="1" t="s">
        <v>99</v>
      </c>
      <c r="C950" t="s">
        <v>52</v>
      </c>
      <c r="D950">
        <v>2</v>
      </c>
      <c r="E950">
        <v>78</v>
      </c>
      <c r="F950">
        <v>0.01</v>
      </c>
      <c r="G950">
        <f t="shared" si="15"/>
        <v>1.1111111111111112E-2</v>
      </c>
      <c r="H950">
        <f>G950*(26.79/38.29)</f>
        <v>7.7740053974057624E-3</v>
      </c>
    </row>
    <row r="951" spans="1:8" x14ac:dyDescent="0.25">
      <c r="A951" s="1">
        <v>2008</v>
      </c>
      <c r="B951" s="1" t="s">
        <v>99</v>
      </c>
      <c r="C951" t="s">
        <v>52</v>
      </c>
      <c r="D951">
        <v>2</v>
      </c>
      <c r="E951">
        <v>78</v>
      </c>
      <c r="F951">
        <v>0.01</v>
      </c>
      <c r="G951">
        <f t="shared" si="15"/>
        <v>1.1111111111111112E-2</v>
      </c>
      <c r="H951">
        <f>G951*(26.79/38.29)</f>
        <v>7.7740053974057624E-3</v>
      </c>
    </row>
    <row r="952" spans="1:8" x14ac:dyDescent="0.25">
      <c r="A952" s="1">
        <v>2008</v>
      </c>
      <c r="B952" s="1" t="s">
        <v>99</v>
      </c>
      <c r="C952" t="s">
        <v>52</v>
      </c>
      <c r="D952">
        <v>2</v>
      </c>
      <c r="E952">
        <v>78</v>
      </c>
      <c r="F952">
        <v>0.01</v>
      </c>
      <c r="G952">
        <f t="shared" si="15"/>
        <v>1.1111111111111112E-2</v>
      </c>
      <c r="H952">
        <f>G952*(26.79/38.29)</f>
        <v>7.7740053974057624E-3</v>
      </c>
    </row>
    <row r="953" spans="1:8" x14ac:dyDescent="0.25">
      <c r="A953" s="1">
        <v>2008</v>
      </c>
      <c r="B953" s="1" t="s">
        <v>99</v>
      </c>
      <c r="C953" t="s">
        <v>52</v>
      </c>
      <c r="D953">
        <v>2</v>
      </c>
      <c r="E953">
        <v>78</v>
      </c>
      <c r="F953">
        <v>0.01</v>
      </c>
      <c r="G953">
        <f t="shared" si="15"/>
        <v>1.1111111111111112E-2</v>
      </c>
      <c r="H953">
        <f>G953*(26.79/38.29)</f>
        <v>7.7740053974057624E-3</v>
      </c>
    </row>
    <row r="954" spans="1:8" x14ac:dyDescent="0.25">
      <c r="A954" s="1">
        <v>2008</v>
      </c>
      <c r="B954" s="1" t="s">
        <v>99</v>
      </c>
      <c r="C954" t="s">
        <v>52</v>
      </c>
      <c r="D954">
        <v>2</v>
      </c>
      <c r="E954">
        <v>78</v>
      </c>
      <c r="F954">
        <v>0.01</v>
      </c>
      <c r="G954">
        <f t="shared" si="15"/>
        <v>1.1111111111111112E-2</v>
      </c>
      <c r="H954">
        <f>G954*(26.79/38.29)</f>
        <v>7.7740053974057624E-3</v>
      </c>
    </row>
    <row r="955" spans="1:8" x14ac:dyDescent="0.25">
      <c r="A955" s="1">
        <v>2008</v>
      </c>
      <c r="B955" s="1" t="s">
        <v>99</v>
      </c>
      <c r="C955" t="s">
        <v>52</v>
      </c>
      <c r="D955">
        <v>2</v>
      </c>
      <c r="E955">
        <v>78</v>
      </c>
      <c r="F955">
        <v>0.02</v>
      </c>
      <c r="G955">
        <f t="shared" si="15"/>
        <v>2.2222222222222223E-2</v>
      </c>
      <c r="H955">
        <f>G955*(26.79/38.29)</f>
        <v>1.5548010794811525E-2</v>
      </c>
    </row>
    <row r="956" spans="1:8" x14ac:dyDescent="0.25">
      <c r="A956" s="1">
        <v>2008</v>
      </c>
      <c r="B956" s="1" t="s">
        <v>99</v>
      </c>
      <c r="C956" t="s">
        <v>52</v>
      </c>
      <c r="D956">
        <v>2</v>
      </c>
      <c r="E956">
        <v>78</v>
      </c>
      <c r="F956">
        <v>0.02</v>
      </c>
      <c r="G956">
        <f t="shared" si="15"/>
        <v>2.2222222222222223E-2</v>
      </c>
      <c r="H956">
        <f>G956*(26.79/38.29)</f>
        <v>1.5548010794811525E-2</v>
      </c>
    </row>
    <row r="957" spans="1:8" x14ac:dyDescent="0.25">
      <c r="A957" s="1">
        <v>2008</v>
      </c>
      <c r="B957" s="1" t="s">
        <v>99</v>
      </c>
      <c r="C957" t="s">
        <v>52</v>
      </c>
      <c r="D957">
        <v>2</v>
      </c>
      <c r="E957">
        <v>78</v>
      </c>
      <c r="F957">
        <v>0.02</v>
      </c>
      <c r="G957">
        <f t="shared" si="15"/>
        <v>2.2222222222222223E-2</v>
      </c>
      <c r="H957">
        <f>G957*(26.79/38.29)</f>
        <v>1.5548010794811525E-2</v>
      </c>
    </row>
    <row r="958" spans="1:8" x14ac:dyDescent="0.25">
      <c r="A958" s="1">
        <v>2008</v>
      </c>
      <c r="B958" s="1" t="s">
        <v>99</v>
      </c>
      <c r="C958" t="s">
        <v>52</v>
      </c>
      <c r="D958">
        <v>2</v>
      </c>
      <c r="E958">
        <v>78</v>
      </c>
      <c r="F958">
        <v>0.02</v>
      </c>
      <c r="G958">
        <f t="shared" si="15"/>
        <v>2.2222222222222223E-2</v>
      </c>
      <c r="H958">
        <f>G958*(26.79/38.29)</f>
        <v>1.5548010794811525E-2</v>
      </c>
    </row>
    <row r="959" spans="1:8" x14ac:dyDescent="0.25">
      <c r="A959" s="1">
        <v>2008</v>
      </c>
      <c r="B959" s="1" t="s">
        <v>99</v>
      </c>
      <c r="C959" t="s">
        <v>52</v>
      </c>
      <c r="D959">
        <v>2</v>
      </c>
      <c r="E959">
        <v>78</v>
      </c>
      <c r="F959">
        <v>0.01</v>
      </c>
      <c r="G959">
        <f t="shared" si="15"/>
        <v>1.1111111111111112E-2</v>
      </c>
      <c r="H959">
        <f>G959*(26.79/38.29)</f>
        <v>7.7740053974057624E-3</v>
      </c>
    </row>
    <row r="960" spans="1:8" x14ac:dyDescent="0.25">
      <c r="A960" s="1">
        <v>2008</v>
      </c>
      <c r="B960" s="1" t="s">
        <v>99</v>
      </c>
      <c r="C960" t="s">
        <v>52</v>
      </c>
      <c r="D960">
        <v>2</v>
      </c>
      <c r="E960">
        <v>78</v>
      </c>
      <c r="F960">
        <v>0.01</v>
      </c>
      <c r="G960">
        <f t="shared" si="15"/>
        <v>1.1111111111111112E-2</v>
      </c>
      <c r="H960">
        <f>G960*(26.79/38.29)</f>
        <v>7.7740053974057624E-3</v>
      </c>
    </row>
    <row r="961" spans="1:8" x14ac:dyDescent="0.25">
      <c r="A961" s="1">
        <v>2008</v>
      </c>
      <c r="B961" s="1" t="s">
        <v>99</v>
      </c>
      <c r="C961" t="s">
        <v>52</v>
      </c>
      <c r="D961">
        <v>2</v>
      </c>
      <c r="E961">
        <v>78</v>
      </c>
      <c r="F961">
        <v>0.03</v>
      </c>
      <c r="G961">
        <f t="shared" si="15"/>
        <v>3.3333333333333333E-2</v>
      </c>
      <c r="H961">
        <f>G961*(26.79/38.29)</f>
        <v>2.3322016192217288E-2</v>
      </c>
    </row>
    <row r="962" spans="1:8" x14ac:dyDescent="0.25">
      <c r="A962" s="1">
        <v>2008</v>
      </c>
      <c r="B962" s="1" t="s">
        <v>99</v>
      </c>
      <c r="C962" t="s">
        <v>52</v>
      </c>
      <c r="D962">
        <v>2</v>
      </c>
      <c r="E962">
        <v>78</v>
      </c>
      <c r="F962">
        <v>0.01</v>
      </c>
      <c r="G962">
        <f t="shared" si="15"/>
        <v>1.1111111111111112E-2</v>
      </c>
      <c r="H962">
        <f>G962*(26.79/38.29)</f>
        <v>7.7740053974057624E-3</v>
      </c>
    </row>
    <row r="963" spans="1:8" x14ac:dyDescent="0.25">
      <c r="A963" s="1">
        <v>2008</v>
      </c>
      <c r="B963" s="1" t="s">
        <v>99</v>
      </c>
      <c r="C963" t="s">
        <v>52</v>
      </c>
      <c r="D963">
        <v>2</v>
      </c>
      <c r="E963">
        <v>78</v>
      </c>
      <c r="F963">
        <v>0.01</v>
      </c>
      <c r="G963">
        <f t="shared" si="15"/>
        <v>1.1111111111111112E-2</v>
      </c>
      <c r="H963">
        <f>G963*(26.79/38.29)</f>
        <v>7.7740053974057624E-3</v>
      </c>
    </row>
    <row r="964" spans="1:8" x14ac:dyDescent="0.25">
      <c r="A964" s="1">
        <v>2008</v>
      </c>
      <c r="B964" s="1" t="s">
        <v>99</v>
      </c>
      <c r="C964" t="s">
        <v>52</v>
      </c>
      <c r="D964">
        <v>2</v>
      </c>
      <c r="E964">
        <v>78</v>
      </c>
      <c r="F964">
        <v>0.02</v>
      </c>
      <c r="G964">
        <f t="shared" si="15"/>
        <v>2.2222222222222223E-2</v>
      </c>
      <c r="H964">
        <f>G964*(26.79/38.29)</f>
        <v>1.5548010794811525E-2</v>
      </c>
    </row>
    <row r="965" spans="1:8" x14ac:dyDescent="0.25">
      <c r="A965" s="1">
        <v>2008</v>
      </c>
      <c r="B965" s="1" t="s">
        <v>99</v>
      </c>
      <c r="C965" t="s">
        <v>52</v>
      </c>
      <c r="D965">
        <v>2</v>
      </c>
      <c r="E965">
        <v>78</v>
      </c>
      <c r="F965">
        <v>0.01</v>
      </c>
      <c r="G965">
        <f t="shared" si="15"/>
        <v>1.1111111111111112E-2</v>
      </c>
      <c r="H965">
        <f>G965*(26.79/38.29)</f>
        <v>7.7740053974057624E-3</v>
      </c>
    </row>
    <row r="966" spans="1:8" x14ac:dyDescent="0.25">
      <c r="A966" s="1">
        <v>2008</v>
      </c>
      <c r="B966" s="1" t="s">
        <v>99</v>
      </c>
      <c r="C966" t="s">
        <v>52</v>
      </c>
      <c r="D966">
        <v>2</v>
      </c>
      <c r="E966">
        <v>78</v>
      </c>
      <c r="F966">
        <v>0.01</v>
      </c>
      <c r="G966">
        <f t="shared" si="15"/>
        <v>1.1111111111111112E-2</v>
      </c>
      <c r="H966">
        <f>G966*(26.79/38.29)</f>
        <v>7.7740053974057624E-3</v>
      </c>
    </row>
    <row r="967" spans="1:8" x14ac:dyDescent="0.25">
      <c r="A967" s="1">
        <v>2008</v>
      </c>
      <c r="B967" s="1" t="s">
        <v>99</v>
      </c>
      <c r="C967" t="s">
        <v>52</v>
      </c>
      <c r="D967">
        <v>2</v>
      </c>
      <c r="E967">
        <v>79</v>
      </c>
      <c r="F967">
        <v>0.02</v>
      </c>
      <c r="G967">
        <f t="shared" si="15"/>
        <v>2.2222222222222223E-2</v>
      </c>
      <c r="H967">
        <f>G967*(26.79/38.29)</f>
        <v>1.5548010794811525E-2</v>
      </c>
    </row>
    <row r="968" spans="1:8" x14ac:dyDescent="0.25">
      <c r="A968" s="1">
        <v>2008</v>
      </c>
      <c r="B968" s="1" t="s">
        <v>99</v>
      </c>
      <c r="C968" t="s">
        <v>52</v>
      </c>
      <c r="D968">
        <v>2</v>
      </c>
      <c r="E968">
        <v>79</v>
      </c>
      <c r="F968">
        <v>0.03</v>
      </c>
      <c r="G968">
        <f t="shared" si="15"/>
        <v>3.3333333333333333E-2</v>
      </c>
      <c r="H968">
        <f>G968*(26.79/38.29)</f>
        <v>2.3322016192217288E-2</v>
      </c>
    </row>
    <row r="969" spans="1:8" x14ac:dyDescent="0.25">
      <c r="A969" s="1">
        <v>2008</v>
      </c>
      <c r="B969" s="1" t="s">
        <v>99</v>
      </c>
      <c r="C969" t="s">
        <v>52</v>
      </c>
      <c r="D969">
        <v>2</v>
      </c>
      <c r="E969">
        <v>79</v>
      </c>
      <c r="F969">
        <v>0.01</v>
      </c>
      <c r="G969">
        <f t="shared" si="15"/>
        <v>1.1111111111111112E-2</v>
      </c>
      <c r="H969">
        <f>G969*(26.79/38.29)</f>
        <v>7.7740053974057624E-3</v>
      </c>
    </row>
    <row r="970" spans="1:8" x14ac:dyDescent="0.25">
      <c r="A970" s="1">
        <v>2008</v>
      </c>
      <c r="B970" s="1" t="s">
        <v>99</v>
      </c>
      <c r="C970" t="s">
        <v>52</v>
      </c>
      <c r="D970">
        <v>2</v>
      </c>
      <c r="E970">
        <v>79</v>
      </c>
      <c r="F970">
        <v>0.01</v>
      </c>
      <c r="G970">
        <f t="shared" si="15"/>
        <v>1.1111111111111112E-2</v>
      </c>
      <c r="H970">
        <f>G970*(26.79/38.29)</f>
        <v>7.7740053974057624E-3</v>
      </c>
    </row>
    <row r="971" spans="1:8" x14ac:dyDescent="0.25">
      <c r="A971" s="1">
        <v>2008</v>
      </c>
      <c r="B971" s="1" t="s">
        <v>99</v>
      </c>
      <c r="C971" t="s">
        <v>52</v>
      </c>
      <c r="D971">
        <v>2</v>
      </c>
      <c r="E971">
        <v>85</v>
      </c>
      <c r="F971">
        <v>0.01</v>
      </c>
      <c r="G971">
        <f t="shared" si="15"/>
        <v>1.1111111111111112E-2</v>
      </c>
      <c r="H971">
        <f>G971*(26.79/38.29)</f>
        <v>7.7740053974057624E-3</v>
      </c>
    </row>
    <row r="972" spans="1:8" x14ac:dyDescent="0.25">
      <c r="A972" s="1">
        <v>2008</v>
      </c>
      <c r="B972" s="1" t="s">
        <v>99</v>
      </c>
      <c r="C972" t="s">
        <v>52</v>
      </c>
      <c r="D972">
        <v>2</v>
      </c>
      <c r="E972">
        <v>85</v>
      </c>
      <c r="F972">
        <v>0.01</v>
      </c>
      <c r="G972">
        <f t="shared" si="15"/>
        <v>1.1111111111111112E-2</v>
      </c>
      <c r="H972">
        <f>G972*(26.79/38.29)</f>
        <v>7.7740053974057624E-3</v>
      </c>
    </row>
    <row r="973" spans="1:8" x14ac:dyDescent="0.25">
      <c r="A973" s="1">
        <v>2008</v>
      </c>
      <c r="B973" s="1" t="s">
        <v>99</v>
      </c>
      <c r="C973" t="s">
        <v>52</v>
      </c>
      <c r="D973">
        <v>3</v>
      </c>
      <c r="E973">
        <v>29</v>
      </c>
      <c r="F973">
        <v>0.02</v>
      </c>
      <c r="G973">
        <f t="shared" si="15"/>
        <v>2.2222222222222223E-2</v>
      </c>
      <c r="H973">
        <f>G973*(26.79/38.29)</f>
        <v>1.5548010794811525E-2</v>
      </c>
    </row>
    <row r="974" spans="1:8" x14ac:dyDescent="0.25">
      <c r="A974" s="1">
        <v>2008</v>
      </c>
      <c r="B974" s="1" t="s">
        <v>99</v>
      </c>
      <c r="C974" t="s">
        <v>52</v>
      </c>
      <c r="D974">
        <v>3</v>
      </c>
      <c r="E974">
        <v>32</v>
      </c>
      <c r="F974">
        <v>0.02</v>
      </c>
      <c r="G974">
        <f t="shared" si="15"/>
        <v>2.2222222222222223E-2</v>
      </c>
      <c r="H974">
        <f>G974*(26.79/38.29)</f>
        <v>1.5548010794811525E-2</v>
      </c>
    </row>
    <row r="975" spans="1:8" x14ac:dyDescent="0.25">
      <c r="A975" s="1">
        <v>2008</v>
      </c>
      <c r="B975" s="1" t="s">
        <v>99</v>
      </c>
      <c r="C975" t="s">
        <v>52</v>
      </c>
      <c r="D975">
        <v>3</v>
      </c>
      <c r="E975">
        <v>32</v>
      </c>
      <c r="F975">
        <v>0.01</v>
      </c>
      <c r="G975">
        <f t="shared" si="15"/>
        <v>1.1111111111111112E-2</v>
      </c>
      <c r="H975">
        <f>G975*(26.79/38.29)</f>
        <v>7.7740053974057624E-3</v>
      </c>
    </row>
    <row r="976" spans="1:8" x14ac:dyDescent="0.25">
      <c r="A976" s="1">
        <v>2008</v>
      </c>
      <c r="B976" s="1" t="s">
        <v>99</v>
      </c>
      <c r="C976" t="s">
        <v>52</v>
      </c>
      <c r="D976">
        <v>3</v>
      </c>
      <c r="E976">
        <v>32</v>
      </c>
      <c r="F976">
        <v>0.02</v>
      </c>
      <c r="G976">
        <f t="shared" si="15"/>
        <v>2.2222222222222223E-2</v>
      </c>
      <c r="H976">
        <f>G976*(26.79/38.29)</f>
        <v>1.5548010794811525E-2</v>
      </c>
    </row>
    <row r="977" spans="1:8" x14ac:dyDescent="0.25">
      <c r="A977" s="1">
        <v>2008</v>
      </c>
      <c r="B977" s="1" t="s">
        <v>99</v>
      </c>
      <c r="C977" t="s">
        <v>52</v>
      </c>
      <c r="D977">
        <v>3</v>
      </c>
      <c r="E977">
        <v>32</v>
      </c>
      <c r="F977">
        <v>0.02</v>
      </c>
      <c r="G977">
        <f t="shared" si="15"/>
        <v>2.2222222222222223E-2</v>
      </c>
      <c r="H977">
        <f>G977*(26.79/38.29)</f>
        <v>1.5548010794811525E-2</v>
      </c>
    </row>
    <row r="978" spans="1:8" x14ac:dyDescent="0.25">
      <c r="A978" s="1">
        <v>2008</v>
      </c>
      <c r="B978" s="1" t="s">
        <v>99</v>
      </c>
      <c r="C978" t="s">
        <v>52</v>
      </c>
      <c r="D978">
        <v>3</v>
      </c>
      <c r="E978">
        <v>32</v>
      </c>
      <c r="F978">
        <v>0.01</v>
      </c>
      <c r="G978">
        <f t="shared" si="15"/>
        <v>1.1111111111111112E-2</v>
      </c>
      <c r="H978">
        <f>G978*(26.79/38.29)</f>
        <v>7.7740053974057624E-3</v>
      </c>
    </row>
    <row r="979" spans="1:8" x14ac:dyDescent="0.25">
      <c r="A979" s="1">
        <v>2008</v>
      </c>
      <c r="B979" s="1" t="s">
        <v>99</v>
      </c>
      <c r="C979" t="s">
        <v>52</v>
      </c>
      <c r="D979">
        <v>3</v>
      </c>
      <c r="E979">
        <v>32</v>
      </c>
      <c r="F979">
        <v>0.01</v>
      </c>
      <c r="G979">
        <f t="shared" ref="G979:G1042" si="16">(F979/0.01)/90</f>
        <v>1.1111111111111112E-2</v>
      </c>
      <c r="H979">
        <f>G979*(26.79/38.29)</f>
        <v>7.7740053974057624E-3</v>
      </c>
    </row>
    <row r="980" spans="1:8" x14ac:dyDescent="0.25">
      <c r="A980" s="1">
        <v>2008</v>
      </c>
      <c r="B980" s="1" t="s">
        <v>99</v>
      </c>
      <c r="C980" t="s">
        <v>52</v>
      </c>
      <c r="D980">
        <v>3</v>
      </c>
      <c r="E980">
        <v>54</v>
      </c>
      <c r="F980">
        <v>0.01</v>
      </c>
      <c r="G980">
        <f t="shared" si="16"/>
        <v>1.1111111111111112E-2</v>
      </c>
      <c r="H980">
        <f>G980*(26.79/38.29)</f>
        <v>7.7740053974057624E-3</v>
      </c>
    </row>
    <row r="981" spans="1:8" x14ac:dyDescent="0.25">
      <c r="A981" s="1">
        <v>2008</v>
      </c>
      <c r="B981" s="1" t="s">
        <v>99</v>
      </c>
      <c r="C981" t="s">
        <v>52</v>
      </c>
      <c r="D981">
        <v>3</v>
      </c>
      <c r="E981">
        <v>56</v>
      </c>
      <c r="F981">
        <v>0.03</v>
      </c>
      <c r="G981">
        <f t="shared" si="16"/>
        <v>3.3333333333333333E-2</v>
      </c>
      <c r="H981">
        <f>G981*(26.79/38.29)</f>
        <v>2.3322016192217288E-2</v>
      </c>
    </row>
    <row r="982" spans="1:8" x14ac:dyDescent="0.25">
      <c r="A982" s="1">
        <v>2008</v>
      </c>
      <c r="B982" s="1" t="s">
        <v>99</v>
      </c>
      <c r="C982" t="s">
        <v>52</v>
      </c>
      <c r="D982">
        <v>3</v>
      </c>
      <c r="E982">
        <v>58</v>
      </c>
      <c r="F982">
        <v>0.01</v>
      </c>
      <c r="G982">
        <f t="shared" si="16"/>
        <v>1.1111111111111112E-2</v>
      </c>
      <c r="H982">
        <f>G982*(26.79/38.29)</f>
        <v>7.7740053974057624E-3</v>
      </c>
    </row>
    <row r="983" spans="1:8" x14ac:dyDescent="0.25">
      <c r="A983" s="1">
        <v>2008</v>
      </c>
      <c r="B983" s="1" t="s">
        <v>99</v>
      </c>
      <c r="C983" t="s">
        <v>52</v>
      </c>
      <c r="D983">
        <v>3</v>
      </c>
      <c r="E983">
        <v>66</v>
      </c>
      <c r="F983">
        <v>0.02</v>
      </c>
      <c r="G983">
        <f t="shared" si="16"/>
        <v>2.2222222222222223E-2</v>
      </c>
      <c r="H983">
        <f>G983*(26.79/38.29)</f>
        <v>1.5548010794811525E-2</v>
      </c>
    </row>
    <row r="984" spans="1:8" x14ac:dyDescent="0.25">
      <c r="A984" s="1">
        <v>2008</v>
      </c>
      <c r="B984" s="1" t="s">
        <v>99</v>
      </c>
      <c r="C984" t="s">
        <v>52</v>
      </c>
      <c r="D984">
        <v>3</v>
      </c>
      <c r="E984">
        <v>76</v>
      </c>
      <c r="F984">
        <v>0.01</v>
      </c>
      <c r="G984">
        <f t="shared" si="16"/>
        <v>1.1111111111111112E-2</v>
      </c>
      <c r="H984">
        <f>G984*(26.79/38.29)</f>
        <v>7.7740053974057624E-3</v>
      </c>
    </row>
    <row r="985" spans="1:8" x14ac:dyDescent="0.25">
      <c r="A985" s="1">
        <v>2008</v>
      </c>
      <c r="B985" s="1" t="s">
        <v>99</v>
      </c>
      <c r="C985" t="s">
        <v>52</v>
      </c>
      <c r="D985">
        <v>3</v>
      </c>
      <c r="E985">
        <v>76</v>
      </c>
      <c r="F985">
        <v>0.02</v>
      </c>
      <c r="G985">
        <f t="shared" si="16"/>
        <v>2.2222222222222223E-2</v>
      </c>
      <c r="H985">
        <f>G985*(26.79/38.29)</f>
        <v>1.5548010794811525E-2</v>
      </c>
    </row>
    <row r="986" spans="1:8" x14ac:dyDescent="0.25">
      <c r="A986" s="1">
        <v>2008</v>
      </c>
      <c r="B986" s="1" t="s">
        <v>99</v>
      </c>
      <c r="C986" t="s">
        <v>52</v>
      </c>
      <c r="D986">
        <v>3</v>
      </c>
      <c r="E986">
        <v>76</v>
      </c>
      <c r="F986">
        <v>0.01</v>
      </c>
      <c r="G986">
        <f t="shared" si="16"/>
        <v>1.1111111111111112E-2</v>
      </c>
      <c r="H986">
        <f>G986*(26.79/38.29)</f>
        <v>7.7740053974057624E-3</v>
      </c>
    </row>
    <row r="987" spans="1:8" x14ac:dyDescent="0.25">
      <c r="A987" s="1">
        <v>2008</v>
      </c>
      <c r="B987" s="1" t="s">
        <v>99</v>
      </c>
      <c r="C987" t="s">
        <v>52</v>
      </c>
      <c r="D987">
        <v>3</v>
      </c>
      <c r="E987">
        <v>76</v>
      </c>
      <c r="F987">
        <v>0.03</v>
      </c>
      <c r="G987">
        <f t="shared" si="16"/>
        <v>3.3333333333333333E-2</v>
      </c>
      <c r="H987">
        <f>G987*(26.79/38.29)</f>
        <v>2.3322016192217288E-2</v>
      </c>
    </row>
    <row r="988" spans="1:8" x14ac:dyDescent="0.25">
      <c r="A988" s="1">
        <v>2008</v>
      </c>
      <c r="B988" s="1" t="s">
        <v>99</v>
      </c>
      <c r="C988" t="s">
        <v>52</v>
      </c>
      <c r="D988">
        <v>3</v>
      </c>
      <c r="E988">
        <v>76</v>
      </c>
      <c r="F988">
        <v>0.03</v>
      </c>
      <c r="G988">
        <f t="shared" si="16"/>
        <v>3.3333333333333333E-2</v>
      </c>
      <c r="H988">
        <f>G988*(26.79/38.29)</f>
        <v>2.3322016192217288E-2</v>
      </c>
    </row>
    <row r="989" spans="1:8" x14ac:dyDescent="0.25">
      <c r="A989" s="1">
        <v>2008</v>
      </c>
      <c r="B989" s="1" t="s">
        <v>99</v>
      </c>
      <c r="C989" t="s">
        <v>52</v>
      </c>
      <c r="D989">
        <v>3</v>
      </c>
      <c r="E989">
        <v>76</v>
      </c>
      <c r="F989">
        <v>0.01</v>
      </c>
      <c r="G989">
        <f t="shared" si="16"/>
        <v>1.1111111111111112E-2</v>
      </c>
      <c r="H989">
        <f>G989*(26.79/38.29)</f>
        <v>7.7740053974057624E-3</v>
      </c>
    </row>
    <row r="990" spans="1:8" x14ac:dyDescent="0.25">
      <c r="A990" s="1">
        <v>2008</v>
      </c>
      <c r="B990" s="1" t="s">
        <v>99</v>
      </c>
      <c r="C990" t="s">
        <v>52</v>
      </c>
      <c r="D990">
        <v>3</v>
      </c>
      <c r="E990">
        <v>76</v>
      </c>
      <c r="F990">
        <v>0.03</v>
      </c>
      <c r="G990">
        <f t="shared" si="16"/>
        <v>3.3333333333333333E-2</v>
      </c>
      <c r="H990">
        <f>G990*(26.79/38.29)</f>
        <v>2.3322016192217288E-2</v>
      </c>
    </row>
    <row r="991" spans="1:8" x14ac:dyDescent="0.25">
      <c r="A991" s="1">
        <v>2008</v>
      </c>
      <c r="B991" s="1" t="s">
        <v>99</v>
      </c>
      <c r="C991" t="s">
        <v>52</v>
      </c>
      <c r="D991">
        <v>3</v>
      </c>
      <c r="E991">
        <v>76</v>
      </c>
      <c r="F991">
        <v>0.01</v>
      </c>
      <c r="G991">
        <f t="shared" si="16"/>
        <v>1.1111111111111112E-2</v>
      </c>
      <c r="H991">
        <f>G991*(26.79/38.29)</f>
        <v>7.7740053974057624E-3</v>
      </c>
    </row>
    <row r="992" spans="1:8" x14ac:dyDescent="0.25">
      <c r="A992" s="1">
        <v>2008</v>
      </c>
      <c r="B992" s="1" t="s">
        <v>99</v>
      </c>
      <c r="C992" t="s">
        <v>52</v>
      </c>
      <c r="D992">
        <v>3</v>
      </c>
      <c r="E992">
        <v>76</v>
      </c>
      <c r="F992">
        <v>0.03</v>
      </c>
      <c r="G992">
        <f t="shared" si="16"/>
        <v>3.3333333333333333E-2</v>
      </c>
      <c r="H992">
        <f>G992*(26.79/38.29)</f>
        <v>2.3322016192217288E-2</v>
      </c>
    </row>
    <row r="993" spans="1:8" x14ac:dyDescent="0.25">
      <c r="A993" s="1">
        <v>2008</v>
      </c>
      <c r="B993" s="1" t="s">
        <v>99</v>
      </c>
      <c r="C993" t="s">
        <v>52</v>
      </c>
      <c r="D993">
        <v>3</v>
      </c>
      <c r="E993">
        <v>76</v>
      </c>
      <c r="F993">
        <v>0.01</v>
      </c>
      <c r="G993">
        <f t="shared" si="16"/>
        <v>1.1111111111111112E-2</v>
      </c>
      <c r="H993">
        <f>G993*(26.79/38.29)</f>
        <v>7.7740053974057624E-3</v>
      </c>
    </row>
    <row r="994" spans="1:8" x14ac:dyDescent="0.25">
      <c r="A994" s="1">
        <v>2008</v>
      </c>
      <c r="B994" s="1" t="s">
        <v>99</v>
      </c>
      <c r="C994" t="s">
        <v>52</v>
      </c>
      <c r="D994">
        <v>3</v>
      </c>
      <c r="E994">
        <v>76</v>
      </c>
      <c r="F994">
        <v>0.01</v>
      </c>
      <c r="G994">
        <f t="shared" si="16"/>
        <v>1.1111111111111112E-2</v>
      </c>
      <c r="H994">
        <f>G994*(26.79/38.29)</f>
        <v>7.7740053974057624E-3</v>
      </c>
    </row>
    <row r="995" spans="1:8" x14ac:dyDescent="0.25">
      <c r="A995" s="1">
        <v>2008</v>
      </c>
      <c r="B995" s="1" t="s">
        <v>99</v>
      </c>
      <c r="C995" t="s">
        <v>52</v>
      </c>
      <c r="D995">
        <v>3</v>
      </c>
      <c r="E995">
        <v>78</v>
      </c>
      <c r="F995">
        <v>0.01</v>
      </c>
      <c r="G995">
        <f t="shared" si="16"/>
        <v>1.1111111111111112E-2</v>
      </c>
      <c r="H995">
        <f>G995*(26.79/38.29)</f>
        <v>7.7740053974057624E-3</v>
      </c>
    </row>
    <row r="996" spans="1:8" x14ac:dyDescent="0.25">
      <c r="A996" s="1">
        <v>2008</v>
      </c>
      <c r="B996" s="1" t="s">
        <v>99</v>
      </c>
      <c r="C996" t="s">
        <v>52</v>
      </c>
      <c r="D996">
        <v>3</v>
      </c>
      <c r="E996">
        <v>78</v>
      </c>
      <c r="F996">
        <v>0.01</v>
      </c>
      <c r="G996">
        <f t="shared" si="16"/>
        <v>1.1111111111111112E-2</v>
      </c>
      <c r="H996">
        <f>G996*(26.79/38.29)</f>
        <v>7.7740053974057624E-3</v>
      </c>
    </row>
    <row r="997" spans="1:8" x14ac:dyDescent="0.25">
      <c r="A997" s="1">
        <v>2008</v>
      </c>
      <c r="B997" s="1" t="s">
        <v>99</v>
      </c>
      <c r="C997" t="s">
        <v>52</v>
      </c>
      <c r="D997">
        <v>3</v>
      </c>
      <c r="E997">
        <v>78</v>
      </c>
      <c r="F997">
        <v>0.01</v>
      </c>
      <c r="G997">
        <f t="shared" si="16"/>
        <v>1.1111111111111112E-2</v>
      </c>
      <c r="H997">
        <f>G997*(26.79/38.29)</f>
        <v>7.7740053974057624E-3</v>
      </c>
    </row>
    <row r="998" spans="1:8" x14ac:dyDescent="0.25">
      <c r="A998" s="1">
        <v>2008</v>
      </c>
      <c r="B998" s="1" t="s">
        <v>99</v>
      </c>
      <c r="C998" t="s">
        <v>52</v>
      </c>
      <c r="D998">
        <v>3</v>
      </c>
      <c r="E998">
        <v>78</v>
      </c>
      <c r="F998">
        <v>0.02</v>
      </c>
      <c r="G998">
        <f t="shared" si="16"/>
        <v>2.2222222222222223E-2</v>
      </c>
      <c r="H998">
        <f>G998*(26.79/38.29)</f>
        <v>1.5548010794811525E-2</v>
      </c>
    </row>
    <row r="999" spans="1:8" x14ac:dyDescent="0.25">
      <c r="A999" s="1">
        <v>2008</v>
      </c>
      <c r="B999" s="1" t="s">
        <v>99</v>
      </c>
      <c r="C999" t="s">
        <v>52</v>
      </c>
      <c r="D999">
        <v>3</v>
      </c>
      <c r="E999">
        <v>78</v>
      </c>
      <c r="F999">
        <v>0.03</v>
      </c>
      <c r="G999">
        <f t="shared" si="16"/>
        <v>3.3333333333333333E-2</v>
      </c>
      <c r="H999">
        <f>G999*(26.79/38.29)</f>
        <v>2.3322016192217288E-2</v>
      </c>
    </row>
    <row r="1000" spans="1:8" x14ac:dyDescent="0.25">
      <c r="A1000" s="1">
        <v>2008</v>
      </c>
      <c r="B1000" s="1" t="s">
        <v>99</v>
      </c>
      <c r="C1000" t="s">
        <v>52</v>
      </c>
      <c r="D1000">
        <v>3</v>
      </c>
      <c r="E1000">
        <v>78</v>
      </c>
      <c r="F1000">
        <v>0.01</v>
      </c>
      <c r="G1000">
        <f t="shared" si="16"/>
        <v>1.1111111111111112E-2</v>
      </c>
      <c r="H1000">
        <f>G1000*(26.79/38.29)</f>
        <v>7.7740053974057624E-3</v>
      </c>
    </row>
    <row r="1001" spans="1:8" x14ac:dyDescent="0.25">
      <c r="A1001" s="1">
        <v>2008</v>
      </c>
      <c r="B1001" s="1" t="s">
        <v>99</v>
      </c>
      <c r="C1001" t="s">
        <v>52</v>
      </c>
      <c r="D1001">
        <v>3</v>
      </c>
      <c r="E1001">
        <v>78</v>
      </c>
      <c r="F1001">
        <v>0.01</v>
      </c>
      <c r="G1001">
        <f t="shared" si="16"/>
        <v>1.1111111111111112E-2</v>
      </c>
      <c r="H1001">
        <f>G1001*(26.79/38.29)</f>
        <v>7.7740053974057624E-3</v>
      </c>
    </row>
    <row r="1002" spans="1:8" x14ac:dyDescent="0.25">
      <c r="A1002" s="1">
        <v>2008</v>
      </c>
      <c r="B1002" s="1" t="s">
        <v>99</v>
      </c>
      <c r="C1002" t="s">
        <v>52</v>
      </c>
      <c r="D1002">
        <v>3</v>
      </c>
      <c r="E1002">
        <v>78</v>
      </c>
      <c r="F1002">
        <v>0.02</v>
      </c>
      <c r="G1002">
        <f t="shared" si="16"/>
        <v>2.2222222222222223E-2</v>
      </c>
      <c r="H1002">
        <f>G1002*(26.79/38.29)</f>
        <v>1.5548010794811525E-2</v>
      </c>
    </row>
    <row r="1003" spans="1:8" x14ac:dyDescent="0.25">
      <c r="A1003" s="1">
        <v>2008</v>
      </c>
      <c r="B1003" s="1" t="s">
        <v>99</v>
      </c>
      <c r="C1003" t="s">
        <v>52</v>
      </c>
      <c r="D1003">
        <v>3</v>
      </c>
      <c r="E1003">
        <v>79</v>
      </c>
      <c r="F1003">
        <v>0.02</v>
      </c>
      <c r="G1003">
        <f t="shared" si="16"/>
        <v>2.2222222222222223E-2</v>
      </c>
      <c r="H1003">
        <f>G1003*(26.79/38.29)</f>
        <v>1.5548010794811525E-2</v>
      </c>
    </row>
    <row r="1004" spans="1:8" x14ac:dyDescent="0.25">
      <c r="A1004" s="1">
        <v>2008</v>
      </c>
      <c r="B1004" s="1" t="s">
        <v>99</v>
      </c>
      <c r="C1004" t="s">
        <v>52</v>
      </c>
      <c r="D1004">
        <v>3</v>
      </c>
      <c r="E1004">
        <v>79</v>
      </c>
      <c r="F1004">
        <v>0.01</v>
      </c>
      <c r="G1004">
        <f t="shared" si="16"/>
        <v>1.1111111111111112E-2</v>
      </c>
      <c r="H1004">
        <f>G1004*(26.79/38.29)</f>
        <v>7.7740053974057624E-3</v>
      </c>
    </row>
    <row r="1005" spans="1:8" x14ac:dyDescent="0.25">
      <c r="A1005" s="1">
        <v>2008</v>
      </c>
      <c r="B1005" s="1" t="s">
        <v>99</v>
      </c>
      <c r="C1005" t="s">
        <v>52</v>
      </c>
      <c r="D1005">
        <v>3</v>
      </c>
      <c r="E1005">
        <v>79</v>
      </c>
      <c r="F1005">
        <v>0.02</v>
      </c>
      <c r="G1005">
        <f t="shared" si="16"/>
        <v>2.2222222222222223E-2</v>
      </c>
      <c r="H1005">
        <f>G1005*(26.79/38.29)</f>
        <v>1.5548010794811525E-2</v>
      </c>
    </row>
    <row r="1006" spans="1:8" x14ac:dyDescent="0.25">
      <c r="A1006" s="1">
        <v>2008</v>
      </c>
      <c r="B1006" s="1" t="s">
        <v>99</v>
      </c>
      <c r="C1006" t="s">
        <v>52</v>
      </c>
      <c r="D1006">
        <v>3</v>
      </c>
      <c r="E1006">
        <v>85</v>
      </c>
      <c r="F1006">
        <v>0.01</v>
      </c>
      <c r="G1006">
        <f t="shared" si="16"/>
        <v>1.1111111111111112E-2</v>
      </c>
      <c r="H1006">
        <f>G1006*(26.79/38.29)</f>
        <v>7.7740053974057624E-3</v>
      </c>
    </row>
    <row r="1007" spans="1:8" x14ac:dyDescent="0.25">
      <c r="A1007" s="1">
        <v>2008</v>
      </c>
      <c r="B1007" s="1" t="s">
        <v>99</v>
      </c>
      <c r="C1007" t="s">
        <v>52</v>
      </c>
      <c r="D1007">
        <v>4</v>
      </c>
      <c r="E1007">
        <v>28</v>
      </c>
      <c r="F1007">
        <v>0.02</v>
      </c>
      <c r="G1007">
        <f t="shared" si="16"/>
        <v>2.2222222222222223E-2</v>
      </c>
      <c r="H1007">
        <f>G1007*(26.79/38.29)</f>
        <v>1.5548010794811525E-2</v>
      </c>
    </row>
    <row r="1008" spans="1:8" x14ac:dyDescent="0.25">
      <c r="A1008" s="1">
        <v>2008</v>
      </c>
      <c r="B1008" s="1" t="s">
        <v>99</v>
      </c>
      <c r="C1008" t="s">
        <v>52</v>
      </c>
      <c r="D1008">
        <v>4</v>
      </c>
      <c r="E1008">
        <v>28</v>
      </c>
      <c r="F1008">
        <v>0.02</v>
      </c>
      <c r="G1008">
        <f t="shared" si="16"/>
        <v>2.2222222222222223E-2</v>
      </c>
      <c r="H1008">
        <f>G1008*(26.79/38.29)</f>
        <v>1.5548010794811525E-2</v>
      </c>
    </row>
    <row r="1009" spans="1:8" x14ac:dyDescent="0.25">
      <c r="A1009" s="1">
        <v>2008</v>
      </c>
      <c r="B1009" s="1" t="s">
        <v>99</v>
      </c>
      <c r="C1009" t="s">
        <v>52</v>
      </c>
      <c r="D1009">
        <v>4</v>
      </c>
      <c r="E1009">
        <v>32</v>
      </c>
      <c r="F1009">
        <v>0.01</v>
      </c>
      <c r="G1009">
        <f t="shared" si="16"/>
        <v>1.1111111111111112E-2</v>
      </c>
      <c r="H1009">
        <f>G1009*(26.79/38.29)</f>
        <v>7.7740053974057624E-3</v>
      </c>
    </row>
    <row r="1010" spans="1:8" x14ac:dyDescent="0.25">
      <c r="A1010" s="1">
        <v>2008</v>
      </c>
      <c r="B1010" s="1" t="s">
        <v>99</v>
      </c>
      <c r="C1010" t="s">
        <v>52</v>
      </c>
      <c r="D1010">
        <v>4</v>
      </c>
      <c r="E1010">
        <v>32</v>
      </c>
      <c r="F1010">
        <v>0.02</v>
      </c>
      <c r="G1010">
        <f t="shared" si="16"/>
        <v>2.2222222222222223E-2</v>
      </c>
      <c r="H1010">
        <f>G1010*(26.79/38.29)</f>
        <v>1.5548010794811525E-2</v>
      </c>
    </row>
    <row r="1011" spans="1:8" x14ac:dyDescent="0.25">
      <c r="A1011" s="1">
        <v>2008</v>
      </c>
      <c r="B1011" s="1" t="s">
        <v>99</v>
      </c>
      <c r="C1011" t="s">
        <v>52</v>
      </c>
      <c r="D1011">
        <v>4</v>
      </c>
      <c r="E1011">
        <v>32</v>
      </c>
      <c r="F1011">
        <v>0.02</v>
      </c>
      <c r="G1011">
        <f t="shared" si="16"/>
        <v>2.2222222222222223E-2</v>
      </c>
      <c r="H1011">
        <f>G1011*(26.79/38.29)</f>
        <v>1.5548010794811525E-2</v>
      </c>
    </row>
    <row r="1012" spans="1:8" x14ac:dyDescent="0.25">
      <c r="A1012" s="1">
        <v>2008</v>
      </c>
      <c r="B1012" s="1" t="s">
        <v>99</v>
      </c>
      <c r="C1012" t="s">
        <v>52</v>
      </c>
      <c r="D1012">
        <v>4</v>
      </c>
      <c r="E1012">
        <v>32</v>
      </c>
      <c r="F1012">
        <v>0.01</v>
      </c>
      <c r="G1012">
        <f t="shared" si="16"/>
        <v>1.1111111111111112E-2</v>
      </c>
      <c r="H1012">
        <f>G1012*(26.79/38.29)</f>
        <v>7.7740053974057624E-3</v>
      </c>
    </row>
    <row r="1013" spans="1:8" x14ac:dyDescent="0.25">
      <c r="A1013" s="1">
        <v>2008</v>
      </c>
      <c r="B1013" s="1" t="s">
        <v>99</v>
      </c>
      <c r="C1013" t="s">
        <v>52</v>
      </c>
      <c r="D1013">
        <v>4</v>
      </c>
      <c r="E1013">
        <v>32</v>
      </c>
      <c r="F1013">
        <v>0.02</v>
      </c>
      <c r="G1013">
        <f t="shared" si="16"/>
        <v>2.2222222222222223E-2</v>
      </c>
      <c r="H1013">
        <f>G1013*(26.79/38.29)</f>
        <v>1.5548010794811525E-2</v>
      </c>
    </row>
    <row r="1014" spans="1:8" x14ac:dyDescent="0.25">
      <c r="A1014" s="1">
        <v>2008</v>
      </c>
      <c r="B1014" s="1" t="s">
        <v>99</v>
      </c>
      <c r="C1014" t="s">
        <v>52</v>
      </c>
      <c r="D1014">
        <v>4</v>
      </c>
      <c r="E1014">
        <v>32</v>
      </c>
      <c r="F1014">
        <v>0.01</v>
      </c>
      <c r="G1014">
        <f t="shared" si="16"/>
        <v>1.1111111111111112E-2</v>
      </c>
      <c r="H1014">
        <f>G1014*(26.79/38.29)</f>
        <v>7.7740053974057624E-3</v>
      </c>
    </row>
    <row r="1015" spans="1:8" x14ac:dyDescent="0.25">
      <c r="A1015" s="1">
        <v>2008</v>
      </c>
      <c r="B1015" s="1" t="s">
        <v>99</v>
      </c>
      <c r="C1015" t="s">
        <v>52</v>
      </c>
      <c r="D1015">
        <v>4</v>
      </c>
      <c r="E1015">
        <v>32</v>
      </c>
      <c r="F1015">
        <v>0.03</v>
      </c>
      <c r="G1015">
        <f t="shared" si="16"/>
        <v>3.3333333333333333E-2</v>
      </c>
      <c r="H1015">
        <f>G1015*(26.79/38.29)</f>
        <v>2.3322016192217288E-2</v>
      </c>
    </row>
    <row r="1016" spans="1:8" x14ac:dyDescent="0.25">
      <c r="A1016" s="1">
        <v>2008</v>
      </c>
      <c r="B1016" s="1" t="s">
        <v>99</v>
      </c>
      <c r="C1016" t="s">
        <v>52</v>
      </c>
      <c r="D1016">
        <v>4</v>
      </c>
      <c r="E1016">
        <v>32</v>
      </c>
      <c r="F1016">
        <v>0.01</v>
      </c>
      <c r="G1016">
        <f t="shared" si="16"/>
        <v>1.1111111111111112E-2</v>
      </c>
      <c r="H1016">
        <f>G1016*(26.79/38.29)</f>
        <v>7.7740053974057624E-3</v>
      </c>
    </row>
    <row r="1017" spans="1:8" x14ac:dyDescent="0.25">
      <c r="A1017" s="1">
        <v>2008</v>
      </c>
      <c r="B1017" s="1" t="s">
        <v>99</v>
      </c>
      <c r="C1017" t="s">
        <v>52</v>
      </c>
      <c r="D1017">
        <v>4</v>
      </c>
      <c r="E1017">
        <v>32</v>
      </c>
      <c r="F1017">
        <v>0.01</v>
      </c>
      <c r="G1017">
        <f t="shared" si="16"/>
        <v>1.1111111111111112E-2</v>
      </c>
      <c r="H1017">
        <f>G1017*(26.79/38.29)</f>
        <v>7.7740053974057624E-3</v>
      </c>
    </row>
    <row r="1018" spans="1:8" x14ac:dyDescent="0.25">
      <c r="A1018" s="1">
        <v>2008</v>
      </c>
      <c r="B1018" s="1" t="s">
        <v>99</v>
      </c>
      <c r="C1018" t="s">
        <v>52</v>
      </c>
      <c r="D1018">
        <v>4</v>
      </c>
      <c r="E1018">
        <v>32</v>
      </c>
      <c r="F1018">
        <v>0.01</v>
      </c>
      <c r="G1018">
        <f t="shared" si="16"/>
        <v>1.1111111111111112E-2</v>
      </c>
      <c r="H1018">
        <f>G1018*(26.79/38.29)</f>
        <v>7.7740053974057624E-3</v>
      </c>
    </row>
    <row r="1019" spans="1:8" x14ac:dyDescent="0.25">
      <c r="A1019" s="1">
        <v>2008</v>
      </c>
      <c r="B1019" s="1" t="s">
        <v>99</v>
      </c>
      <c r="C1019" t="s">
        <v>52</v>
      </c>
      <c r="D1019">
        <v>4</v>
      </c>
      <c r="E1019">
        <v>32</v>
      </c>
      <c r="F1019">
        <v>0.02</v>
      </c>
      <c r="G1019">
        <f t="shared" si="16"/>
        <v>2.2222222222222223E-2</v>
      </c>
      <c r="H1019">
        <f>G1019*(26.79/38.29)</f>
        <v>1.5548010794811525E-2</v>
      </c>
    </row>
    <row r="1020" spans="1:8" x14ac:dyDescent="0.25">
      <c r="A1020" s="1">
        <v>2008</v>
      </c>
      <c r="B1020" s="1" t="s">
        <v>99</v>
      </c>
      <c r="C1020" t="s">
        <v>52</v>
      </c>
      <c r="D1020">
        <v>4</v>
      </c>
      <c r="E1020">
        <v>53</v>
      </c>
      <c r="F1020">
        <v>0.01</v>
      </c>
      <c r="G1020">
        <f t="shared" si="16"/>
        <v>1.1111111111111112E-2</v>
      </c>
      <c r="H1020">
        <f>G1020*(26.79/38.29)</f>
        <v>7.7740053974057624E-3</v>
      </c>
    </row>
    <row r="1021" spans="1:8" x14ac:dyDescent="0.25">
      <c r="A1021" s="1">
        <v>2008</v>
      </c>
      <c r="B1021" s="1" t="s">
        <v>99</v>
      </c>
      <c r="C1021" t="s">
        <v>52</v>
      </c>
      <c r="D1021">
        <v>4</v>
      </c>
      <c r="E1021">
        <v>54</v>
      </c>
      <c r="F1021">
        <v>0.02</v>
      </c>
      <c r="G1021">
        <f t="shared" si="16"/>
        <v>2.2222222222222223E-2</v>
      </c>
      <c r="H1021">
        <f>G1021*(26.79/38.29)</f>
        <v>1.5548010794811525E-2</v>
      </c>
    </row>
    <row r="1022" spans="1:8" x14ac:dyDescent="0.25">
      <c r="A1022" s="1">
        <v>2008</v>
      </c>
      <c r="B1022" s="1" t="s">
        <v>99</v>
      </c>
      <c r="C1022" t="s">
        <v>52</v>
      </c>
      <c r="D1022">
        <v>4</v>
      </c>
      <c r="E1022">
        <v>54</v>
      </c>
      <c r="F1022">
        <v>0.03</v>
      </c>
      <c r="G1022">
        <f t="shared" si="16"/>
        <v>3.3333333333333333E-2</v>
      </c>
      <c r="H1022">
        <f>G1022*(26.79/38.29)</f>
        <v>2.3322016192217288E-2</v>
      </c>
    </row>
    <row r="1023" spans="1:8" x14ac:dyDescent="0.25">
      <c r="A1023" s="1">
        <v>2008</v>
      </c>
      <c r="B1023" s="1" t="s">
        <v>99</v>
      </c>
      <c r="C1023" t="s">
        <v>52</v>
      </c>
      <c r="D1023">
        <v>4</v>
      </c>
      <c r="E1023">
        <v>54</v>
      </c>
      <c r="F1023">
        <v>0.01</v>
      </c>
      <c r="G1023">
        <f t="shared" si="16"/>
        <v>1.1111111111111112E-2</v>
      </c>
      <c r="H1023">
        <f>G1023*(26.79/38.29)</f>
        <v>7.7740053974057624E-3</v>
      </c>
    </row>
    <row r="1024" spans="1:8" x14ac:dyDescent="0.25">
      <c r="A1024" s="1">
        <v>2008</v>
      </c>
      <c r="B1024" s="1" t="s">
        <v>99</v>
      </c>
      <c r="C1024" t="s">
        <v>52</v>
      </c>
      <c r="D1024">
        <v>4</v>
      </c>
      <c r="E1024">
        <v>54</v>
      </c>
      <c r="F1024">
        <v>0.01</v>
      </c>
      <c r="G1024">
        <f t="shared" si="16"/>
        <v>1.1111111111111112E-2</v>
      </c>
      <c r="H1024">
        <f>G1024*(26.79/38.29)</f>
        <v>7.7740053974057624E-3</v>
      </c>
    </row>
    <row r="1025" spans="1:8" x14ac:dyDescent="0.25">
      <c r="A1025" s="1">
        <v>2008</v>
      </c>
      <c r="B1025" s="1" t="s">
        <v>99</v>
      </c>
      <c r="C1025" t="s">
        <v>52</v>
      </c>
      <c r="D1025">
        <v>4</v>
      </c>
      <c r="E1025">
        <v>54</v>
      </c>
      <c r="F1025">
        <v>0.01</v>
      </c>
      <c r="G1025">
        <f t="shared" si="16"/>
        <v>1.1111111111111112E-2</v>
      </c>
      <c r="H1025">
        <f>G1025*(26.79/38.29)</f>
        <v>7.7740053974057624E-3</v>
      </c>
    </row>
    <row r="1026" spans="1:8" x14ac:dyDescent="0.25">
      <c r="A1026" s="1">
        <v>2008</v>
      </c>
      <c r="B1026" s="1" t="s">
        <v>99</v>
      </c>
      <c r="C1026" t="s">
        <v>52</v>
      </c>
      <c r="D1026">
        <v>4</v>
      </c>
      <c r="E1026">
        <v>54</v>
      </c>
      <c r="F1026">
        <v>0.01</v>
      </c>
      <c r="G1026">
        <f t="shared" si="16"/>
        <v>1.1111111111111112E-2</v>
      </c>
      <c r="H1026">
        <f>G1026*(26.79/38.29)</f>
        <v>7.7740053974057624E-3</v>
      </c>
    </row>
    <row r="1027" spans="1:8" x14ac:dyDescent="0.25">
      <c r="A1027" s="1">
        <v>2008</v>
      </c>
      <c r="B1027" s="1" t="s">
        <v>99</v>
      </c>
      <c r="C1027" t="s">
        <v>52</v>
      </c>
      <c r="D1027">
        <v>4</v>
      </c>
      <c r="E1027">
        <v>54</v>
      </c>
      <c r="F1027">
        <v>0.01</v>
      </c>
      <c r="G1027">
        <f t="shared" si="16"/>
        <v>1.1111111111111112E-2</v>
      </c>
      <c r="H1027">
        <f>G1027*(26.79/38.29)</f>
        <v>7.7740053974057624E-3</v>
      </c>
    </row>
    <row r="1028" spans="1:8" x14ac:dyDescent="0.25">
      <c r="A1028" s="1">
        <v>2008</v>
      </c>
      <c r="B1028" s="1" t="s">
        <v>99</v>
      </c>
      <c r="C1028" t="s">
        <v>52</v>
      </c>
      <c r="D1028">
        <v>4</v>
      </c>
      <c r="E1028">
        <v>54</v>
      </c>
      <c r="F1028">
        <v>0.02</v>
      </c>
      <c r="G1028">
        <f t="shared" si="16"/>
        <v>2.2222222222222223E-2</v>
      </c>
      <c r="H1028">
        <f>G1028*(26.79/38.29)</f>
        <v>1.5548010794811525E-2</v>
      </c>
    </row>
    <row r="1029" spans="1:8" x14ac:dyDescent="0.25">
      <c r="A1029" s="1">
        <v>2008</v>
      </c>
      <c r="B1029" s="1" t="s">
        <v>99</v>
      </c>
      <c r="C1029" t="s">
        <v>52</v>
      </c>
      <c r="D1029">
        <v>4</v>
      </c>
      <c r="E1029">
        <v>54</v>
      </c>
      <c r="F1029">
        <v>0.01</v>
      </c>
      <c r="G1029">
        <f t="shared" si="16"/>
        <v>1.1111111111111112E-2</v>
      </c>
      <c r="H1029">
        <f>G1029*(26.79/38.29)</f>
        <v>7.7740053974057624E-3</v>
      </c>
    </row>
    <row r="1030" spans="1:8" x14ac:dyDescent="0.25">
      <c r="A1030" s="1">
        <v>2008</v>
      </c>
      <c r="B1030" s="1" t="s">
        <v>99</v>
      </c>
      <c r="C1030" t="s">
        <v>52</v>
      </c>
      <c r="D1030">
        <v>4</v>
      </c>
      <c r="E1030">
        <v>54</v>
      </c>
      <c r="F1030">
        <v>0.02</v>
      </c>
      <c r="G1030">
        <f t="shared" si="16"/>
        <v>2.2222222222222223E-2</v>
      </c>
      <c r="H1030">
        <f>G1030*(26.79/38.29)</f>
        <v>1.5548010794811525E-2</v>
      </c>
    </row>
    <row r="1031" spans="1:8" x14ac:dyDescent="0.25">
      <c r="A1031" s="1">
        <v>2008</v>
      </c>
      <c r="B1031" s="1" t="s">
        <v>99</v>
      </c>
      <c r="C1031" t="s">
        <v>52</v>
      </c>
      <c r="D1031">
        <v>4</v>
      </c>
      <c r="E1031">
        <v>54</v>
      </c>
      <c r="F1031">
        <v>0.01</v>
      </c>
      <c r="G1031">
        <f t="shared" si="16"/>
        <v>1.1111111111111112E-2</v>
      </c>
      <c r="H1031">
        <f>G1031*(26.79/38.29)</f>
        <v>7.7740053974057624E-3</v>
      </c>
    </row>
    <row r="1032" spans="1:8" x14ac:dyDescent="0.25">
      <c r="A1032" s="1">
        <v>2008</v>
      </c>
      <c r="B1032" s="1" t="s">
        <v>99</v>
      </c>
      <c r="C1032" t="s">
        <v>52</v>
      </c>
      <c r="D1032">
        <v>4</v>
      </c>
      <c r="E1032">
        <v>56</v>
      </c>
      <c r="F1032">
        <v>0.03</v>
      </c>
      <c r="G1032">
        <f t="shared" si="16"/>
        <v>3.3333333333333333E-2</v>
      </c>
      <c r="H1032">
        <f>G1032*(26.79/38.29)</f>
        <v>2.3322016192217288E-2</v>
      </c>
    </row>
    <row r="1033" spans="1:8" x14ac:dyDescent="0.25">
      <c r="A1033" s="1">
        <v>2008</v>
      </c>
      <c r="B1033" s="1" t="s">
        <v>99</v>
      </c>
      <c r="C1033" t="s">
        <v>52</v>
      </c>
      <c r="D1033">
        <v>4</v>
      </c>
      <c r="E1033">
        <v>63</v>
      </c>
      <c r="F1033">
        <v>0.03</v>
      </c>
      <c r="G1033">
        <f t="shared" si="16"/>
        <v>3.3333333333333333E-2</v>
      </c>
      <c r="H1033">
        <f>G1033*(26.79/38.29)</f>
        <v>2.3322016192217288E-2</v>
      </c>
    </row>
    <row r="1034" spans="1:8" x14ac:dyDescent="0.25">
      <c r="A1034" s="1">
        <v>2008</v>
      </c>
      <c r="B1034" s="1" t="s">
        <v>99</v>
      </c>
      <c r="C1034" t="s">
        <v>52</v>
      </c>
      <c r="D1034">
        <v>4</v>
      </c>
      <c r="E1034">
        <v>76</v>
      </c>
      <c r="F1034">
        <v>0.01</v>
      </c>
      <c r="G1034">
        <f t="shared" si="16"/>
        <v>1.1111111111111112E-2</v>
      </c>
      <c r="H1034">
        <f>G1034*(26.79/38.29)</f>
        <v>7.7740053974057624E-3</v>
      </c>
    </row>
    <row r="1035" spans="1:8" x14ac:dyDescent="0.25">
      <c r="A1035" s="1">
        <v>2008</v>
      </c>
      <c r="B1035" s="1" t="s">
        <v>99</v>
      </c>
      <c r="C1035" t="s">
        <v>52</v>
      </c>
      <c r="D1035">
        <v>4</v>
      </c>
      <c r="E1035">
        <v>76</v>
      </c>
      <c r="F1035">
        <v>0.02</v>
      </c>
      <c r="G1035">
        <f t="shared" si="16"/>
        <v>2.2222222222222223E-2</v>
      </c>
      <c r="H1035">
        <f>G1035*(26.79/38.29)</f>
        <v>1.5548010794811525E-2</v>
      </c>
    </row>
    <row r="1036" spans="1:8" x14ac:dyDescent="0.25">
      <c r="A1036" s="1">
        <v>2008</v>
      </c>
      <c r="B1036" s="1" t="s">
        <v>99</v>
      </c>
      <c r="C1036" t="s">
        <v>52</v>
      </c>
      <c r="D1036">
        <v>4</v>
      </c>
      <c r="E1036">
        <v>78</v>
      </c>
      <c r="F1036">
        <v>0.05</v>
      </c>
      <c r="G1036">
        <f t="shared" si="16"/>
        <v>5.5555555555555552E-2</v>
      </c>
      <c r="H1036">
        <f>G1036*(26.79/38.29)</f>
        <v>3.8870026987028808E-2</v>
      </c>
    </row>
    <row r="1037" spans="1:8" x14ac:dyDescent="0.25">
      <c r="A1037" s="1">
        <v>2008</v>
      </c>
      <c r="B1037" s="1" t="s">
        <v>99</v>
      </c>
      <c r="C1037" t="s">
        <v>52</v>
      </c>
      <c r="D1037">
        <v>4</v>
      </c>
      <c r="E1037">
        <v>78</v>
      </c>
      <c r="F1037">
        <v>0.02</v>
      </c>
      <c r="G1037">
        <f t="shared" si="16"/>
        <v>2.2222222222222223E-2</v>
      </c>
      <c r="H1037">
        <f>G1037*(26.79/38.29)</f>
        <v>1.5548010794811525E-2</v>
      </c>
    </row>
    <row r="1038" spans="1:8" x14ac:dyDescent="0.25">
      <c r="A1038" s="1">
        <v>2008</v>
      </c>
      <c r="B1038" s="1" t="s">
        <v>99</v>
      </c>
      <c r="C1038" t="s">
        <v>52</v>
      </c>
      <c r="D1038">
        <v>4</v>
      </c>
      <c r="E1038">
        <v>78</v>
      </c>
      <c r="F1038">
        <v>0.01</v>
      </c>
      <c r="G1038">
        <f t="shared" si="16"/>
        <v>1.1111111111111112E-2</v>
      </c>
      <c r="H1038">
        <f>G1038*(26.79/38.29)</f>
        <v>7.7740053974057624E-3</v>
      </c>
    </row>
    <row r="1039" spans="1:8" x14ac:dyDescent="0.25">
      <c r="A1039" s="1">
        <v>2008</v>
      </c>
      <c r="B1039" s="1" t="s">
        <v>99</v>
      </c>
      <c r="C1039" t="s">
        <v>52</v>
      </c>
      <c r="D1039">
        <v>4</v>
      </c>
      <c r="E1039">
        <v>78</v>
      </c>
      <c r="F1039">
        <v>0.01</v>
      </c>
      <c r="G1039">
        <f t="shared" si="16"/>
        <v>1.1111111111111112E-2</v>
      </c>
      <c r="H1039">
        <f>G1039*(26.79/38.29)</f>
        <v>7.7740053974057624E-3</v>
      </c>
    </row>
    <row r="1040" spans="1:8" x14ac:dyDescent="0.25">
      <c r="A1040" s="1">
        <v>2008</v>
      </c>
      <c r="B1040" s="1" t="s">
        <v>99</v>
      </c>
      <c r="C1040" t="s">
        <v>52</v>
      </c>
      <c r="D1040">
        <v>4</v>
      </c>
      <c r="E1040">
        <v>78</v>
      </c>
      <c r="F1040">
        <v>0.01</v>
      </c>
      <c r="G1040">
        <f t="shared" si="16"/>
        <v>1.1111111111111112E-2</v>
      </c>
      <c r="H1040">
        <f>G1040*(26.79/38.29)</f>
        <v>7.7740053974057624E-3</v>
      </c>
    </row>
    <row r="1041" spans="1:8" x14ac:dyDescent="0.25">
      <c r="A1041" s="1">
        <v>2008</v>
      </c>
      <c r="B1041" s="1" t="s">
        <v>99</v>
      </c>
      <c r="C1041" t="s">
        <v>52</v>
      </c>
      <c r="D1041">
        <v>4</v>
      </c>
      <c r="E1041">
        <v>78</v>
      </c>
      <c r="F1041">
        <v>0.01</v>
      </c>
      <c r="G1041">
        <f t="shared" si="16"/>
        <v>1.1111111111111112E-2</v>
      </c>
      <c r="H1041">
        <f>G1041*(26.79/38.29)</f>
        <v>7.7740053974057624E-3</v>
      </c>
    </row>
    <row r="1042" spans="1:8" x14ac:dyDescent="0.25">
      <c r="A1042" s="1">
        <v>2008</v>
      </c>
      <c r="B1042" s="1" t="s">
        <v>99</v>
      </c>
      <c r="C1042" t="s">
        <v>52</v>
      </c>
      <c r="D1042">
        <v>4</v>
      </c>
      <c r="E1042">
        <v>78</v>
      </c>
      <c r="F1042">
        <v>0.02</v>
      </c>
      <c r="G1042">
        <f t="shared" si="16"/>
        <v>2.2222222222222223E-2</v>
      </c>
      <c r="H1042">
        <f>G1042*(26.79/38.29)</f>
        <v>1.5548010794811525E-2</v>
      </c>
    </row>
    <row r="1043" spans="1:8" x14ac:dyDescent="0.25">
      <c r="A1043" s="1">
        <v>2008</v>
      </c>
      <c r="B1043" s="1" t="s">
        <v>99</v>
      </c>
      <c r="C1043" t="s">
        <v>52</v>
      </c>
      <c r="D1043">
        <v>4</v>
      </c>
      <c r="E1043">
        <v>78</v>
      </c>
      <c r="F1043">
        <v>0.01</v>
      </c>
      <c r="G1043">
        <f t="shared" ref="G1043:G1083" si="17">(F1043/0.01)/90</f>
        <v>1.1111111111111112E-2</v>
      </c>
      <c r="H1043">
        <f>G1043*(26.79/38.29)</f>
        <v>7.7740053974057624E-3</v>
      </c>
    </row>
    <row r="1044" spans="1:8" x14ac:dyDescent="0.25">
      <c r="A1044" s="1">
        <v>2008</v>
      </c>
      <c r="B1044" s="1" t="s">
        <v>99</v>
      </c>
      <c r="C1044" t="s">
        <v>52</v>
      </c>
      <c r="D1044">
        <v>4</v>
      </c>
      <c r="E1044">
        <v>78</v>
      </c>
      <c r="F1044">
        <v>0.01</v>
      </c>
      <c r="G1044">
        <f t="shared" si="17"/>
        <v>1.1111111111111112E-2</v>
      </c>
      <c r="H1044">
        <f>G1044*(26.79/38.29)</f>
        <v>7.7740053974057624E-3</v>
      </c>
    </row>
    <row r="1045" spans="1:8" x14ac:dyDescent="0.25">
      <c r="A1045" s="1">
        <v>2008</v>
      </c>
      <c r="B1045" s="1" t="s">
        <v>99</v>
      </c>
      <c r="C1045" t="s">
        <v>52</v>
      </c>
      <c r="D1045">
        <v>4</v>
      </c>
      <c r="E1045">
        <v>78</v>
      </c>
      <c r="F1045">
        <v>0.01</v>
      </c>
      <c r="G1045">
        <f t="shared" si="17"/>
        <v>1.1111111111111112E-2</v>
      </c>
      <c r="H1045">
        <f>G1045*(26.79/38.29)</f>
        <v>7.7740053974057624E-3</v>
      </c>
    </row>
    <row r="1046" spans="1:8" x14ac:dyDescent="0.25">
      <c r="A1046" s="1">
        <v>2008</v>
      </c>
      <c r="B1046" s="1" t="s">
        <v>99</v>
      </c>
      <c r="C1046" t="s">
        <v>52</v>
      </c>
      <c r="D1046">
        <v>4</v>
      </c>
      <c r="E1046">
        <v>78</v>
      </c>
      <c r="F1046">
        <v>0.01</v>
      </c>
      <c r="G1046">
        <f t="shared" si="17"/>
        <v>1.1111111111111112E-2</v>
      </c>
      <c r="H1046">
        <f>G1046*(26.79/38.29)</f>
        <v>7.7740053974057624E-3</v>
      </c>
    </row>
    <row r="1047" spans="1:8" x14ac:dyDescent="0.25">
      <c r="A1047" s="1">
        <v>2008</v>
      </c>
      <c r="B1047" s="1" t="s">
        <v>99</v>
      </c>
      <c r="C1047" t="s">
        <v>52</v>
      </c>
      <c r="D1047">
        <v>4</v>
      </c>
      <c r="E1047">
        <v>78</v>
      </c>
      <c r="F1047">
        <v>0.01</v>
      </c>
      <c r="G1047">
        <f t="shared" si="17"/>
        <v>1.1111111111111112E-2</v>
      </c>
      <c r="H1047">
        <f>G1047*(26.79/38.29)</f>
        <v>7.7740053974057624E-3</v>
      </c>
    </row>
    <row r="1048" spans="1:8" x14ac:dyDescent="0.25">
      <c r="A1048" s="1">
        <v>2008</v>
      </c>
      <c r="B1048" s="1" t="s">
        <v>99</v>
      </c>
      <c r="C1048" t="s">
        <v>52</v>
      </c>
      <c r="D1048">
        <v>4</v>
      </c>
      <c r="E1048">
        <v>79</v>
      </c>
      <c r="F1048">
        <v>0.01</v>
      </c>
      <c r="G1048">
        <f t="shared" si="17"/>
        <v>1.1111111111111112E-2</v>
      </c>
      <c r="H1048">
        <f>G1048*(26.79/38.29)</f>
        <v>7.7740053974057624E-3</v>
      </c>
    </row>
    <row r="1049" spans="1:8" x14ac:dyDescent="0.25">
      <c r="A1049" s="1">
        <v>2008</v>
      </c>
      <c r="B1049" s="1" t="s">
        <v>99</v>
      </c>
      <c r="C1049" t="s">
        <v>52</v>
      </c>
      <c r="D1049">
        <v>4</v>
      </c>
      <c r="E1049">
        <v>79</v>
      </c>
      <c r="F1049">
        <v>0.01</v>
      </c>
      <c r="G1049">
        <f t="shared" si="17"/>
        <v>1.1111111111111112E-2</v>
      </c>
      <c r="H1049">
        <f>G1049*(26.79/38.29)</f>
        <v>7.7740053974057624E-3</v>
      </c>
    </row>
    <row r="1050" spans="1:8" x14ac:dyDescent="0.25">
      <c r="A1050" s="1">
        <v>2008</v>
      </c>
      <c r="B1050" s="1" t="s">
        <v>99</v>
      </c>
      <c r="C1050" t="s">
        <v>52</v>
      </c>
      <c r="D1050">
        <v>4</v>
      </c>
      <c r="E1050">
        <v>79</v>
      </c>
      <c r="F1050">
        <v>0.02</v>
      </c>
      <c r="G1050">
        <f t="shared" si="17"/>
        <v>2.2222222222222223E-2</v>
      </c>
      <c r="H1050">
        <f>G1050*(26.79/38.29)</f>
        <v>1.5548010794811525E-2</v>
      </c>
    </row>
    <row r="1051" spans="1:8" x14ac:dyDescent="0.25">
      <c r="A1051" s="1">
        <v>2008</v>
      </c>
      <c r="B1051" s="1" t="s">
        <v>99</v>
      </c>
      <c r="C1051" t="s">
        <v>52</v>
      </c>
      <c r="D1051">
        <v>4</v>
      </c>
      <c r="E1051">
        <v>79</v>
      </c>
      <c r="F1051">
        <v>0.02</v>
      </c>
      <c r="G1051">
        <f t="shared" si="17"/>
        <v>2.2222222222222223E-2</v>
      </c>
      <c r="H1051">
        <f>G1051*(26.79/38.29)</f>
        <v>1.5548010794811525E-2</v>
      </c>
    </row>
    <row r="1052" spans="1:8" x14ac:dyDescent="0.25">
      <c r="A1052" s="1">
        <v>2008</v>
      </c>
      <c r="B1052" s="1" t="s">
        <v>99</v>
      </c>
      <c r="C1052" t="s">
        <v>52</v>
      </c>
      <c r="D1052">
        <v>4</v>
      </c>
      <c r="E1052">
        <v>79</v>
      </c>
      <c r="F1052">
        <v>0.02</v>
      </c>
      <c r="G1052">
        <f t="shared" si="17"/>
        <v>2.2222222222222223E-2</v>
      </c>
      <c r="H1052">
        <f>G1052*(26.79/38.29)</f>
        <v>1.5548010794811525E-2</v>
      </c>
    </row>
    <row r="1053" spans="1:8" x14ac:dyDescent="0.25">
      <c r="A1053" s="1">
        <v>2008</v>
      </c>
      <c r="B1053" s="1" t="s">
        <v>99</v>
      </c>
      <c r="C1053" t="s">
        <v>52</v>
      </c>
      <c r="D1053">
        <v>4</v>
      </c>
      <c r="E1053">
        <v>85</v>
      </c>
      <c r="F1053">
        <v>0.01</v>
      </c>
      <c r="G1053">
        <f t="shared" si="17"/>
        <v>1.1111111111111112E-2</v>
      </c>
      <c r="H1053">
        <f>G1053*(26.79/38.29)</f>
        <v>7.7740053974057624E-3</v>
      </c>
    </row>
    <row r="1054" spans="1:8" x14ac:dyDescent="0.25">
      <c r="A1054" s="1">
        <v>2008</v>
      </c>
      <c r="B1054" s="1" t="s">
        <v>99</v>
      </c>
      <c r="C1054" t="s">
        <v>52</v>
      </c>
      <c r="D1054">
        <v>4</v>
      </c>
      <c r="E1054">
        <v>85</v>
      </c>
      <c r="F1054">
        <v>0.03</v>
      </c>
      <c r="G1054">
        <f t="shared" si="17"/>
        <v>3.3333333333333333E-2</v>
      </c>
      <c r="H1054">
        <f>G1054*(26.79/38.29)</f>
        <v>2.3322016192217288E-2</v>
      </c>
    </row>
    <row r="1055" spans="1:8" x14ac:dyDescent="0.25">
      <c r="A1055" s="1">
        <v>2008</v>
      </c>
      <c r="B1055" s="1" t="s">
        <v>99</v>
      </c>
      <c r="C1055" t="s">
        <v>52</v>
      </c>
      <c r="D1055">
        <v>5</v>
      </c>
      <c r="E1055">
        <v>32</v>
      </c>
      <c r="F1055">
        <v>0.03</v>
      </c>
      <c r="G1055">
        <f t="shared" si="17"/>
        <v>3.3333333333333333E-2</v>
      </c>
      <c r="H1055">
        <f>G1055*(26.79/38.29)</f>
        <v>2.3322016192217288E-2</v>
      </c>
    </row>
    <row r="1056" spans="1:8" x14ac:dyDescent="0.25">
      <c r="A1056" s="1">
        <v>2008</v>
      </c>
      <c r="B1056" s="1" t="s">
        <v>99</v>
      </c>
      <c r="C1056" t="s">
        <v>52</v>
      </c>
      <c r="D1056">
        <v>5</v>
      </c>
      <c r="E1056">
        <v>32</v>
      </c>
      <c r="F1056">
        <v>0.02</v>
      </c>
      <c r="G1056">
        <f t="shared" si="17"/>
        <v>2.2222222222222223E-2</v>
      </c>
      <c r="H1056">
        <f>G1056*(26.79/38.29)</f>
        <v>1.5548010794811525E-2</v>
      </c>
    </row>
    <row r="1057" spans="1:8" x14ac:dyDescent="0.25">
      <c r="A1057" s="1">
        <v>2008</v>
      </c>
      <c r="B1057" s="1" t="s">
        <v>99</v>
      </c>
      <c r="C1057" t="s">
        <v>52</v>
      </c>
      <c r="D1057">
        <v>5</v>
      </c>
      <c r="E1057">
        <v>32</v>
      </c>
      <c r="F1057">
        <v>0.01</v>
      </c>
      <c r="G1057">
        <f t="shared" si="17"/>
        <v>1.1111111111111112E-2</v>
      </c>
      <c r="H1057">
        <f>G1057*(26.79/38.29)</f>
        <v>7.7740053974057624E-3</v>
      </c>
    </row>
    <row r="1058" spans="1:8" x14ac:dyDescent="0.25">
      <c r="A1058" s="1">
        <v>2008</v>
      </c>
      <c r="B1058" s="1" t="s">
        <v>99</v>
      </c>
      <c r="C1058" t="s">
        <v>52</v>
      </c>
      <c r="D1058">
        <v>5</v>
      </c>
      <c r="E1058">
        <v>32</v>
      </c>
      <c r="F1058">
        <v>0.01</v>
      </c>
      <c r="G1058">
        <f t="shared" si="17"/>
        <v>1.1111111111111112E-2</v>
      </c>
      <c r="H1058">
        <f>G1058*(26.79/38.29)</f>
        <v>7.7740053974057624E-3</v>
      </c>
    </row>
    <row r="1059" spans="1:8" x14ac:dyDescent="0.25">
      <c r="A1059" s="1">
        <v>2008</v>
      </c>
      <c r="B1059" s="1" t="s">
        <v>99</v>
      </c>
      <c r="C1059" t="s">
        <v>52</v>
      </c>
      <c r="D1059">
        <v>5</v>
      </c>
      <c r="E1059">
        <v>32</v>
      </c>
      <c r="F1059">
        <v>0.02</v>
      </c>
      <c r="G1059">
        <f t="shared" si="17"/>
        <v>2.2222222222222223E-2</v>
      </c>
      <c r="H1059">
        <f>G1059*(26.79/38.29)</f>
        <v>1.5548010794811525E-2</v>
      </c>
    </row>
    <row r="1060" spans="1:8" x14ac:dyDescent="0.25">
      <c r="A1060" s="1">
        <v>2008</v>
      </c>
      <c r="B1060" s="1" t="s">
        <v>99</v>
      </c>
      <c r="C1060" t="s">
        <v>52</v>
      </c>
      <c r="D1060">
        <v>5</v>
      </c>
      <c r="E1060">
        <v>32</v>
      </c>
      <c r="F1060">
        <v>0.02</v>
      </c>
      <c r="G1060">
        <f t="shared" si="17"/>
        <v>2.2222222222222223E-2</v>
      </c>
      <c r="H1060">
        <f>G1060*(26.79/38.29)</f>
        <v>1.5548010794811525E-2</v>
      </c>
    </row>
    <row r="1061" spans="1:8" x14ac:dyDescent="0.25">
      <c r="A1061" s="1">
        <v>2008</v>
      </c>
      <c r="B1061" s="1" t="s">
        <v>99</v>
      </c>
      <c r="C1061" t="s">
        <v>52</v>
      </c>
      <c r="D1061">
        <v>5</v>
      </c>
      <c r="E1061">
        <v>32</v>
      </c>
      <c r="F1061">
        <v>0.01</v>
      </c>
      <c r="G1061">
        <f t="shared" si="17"/>
        <v>1.1111111111111112E-2</v>
      </c>
      <c r="H1061">
        <f>G1061*(26.79/38.29)</f>
        <v>7.7740053974057624E-3</v>
      </c>
    </row>
    <row r="1062" spans="1:8" x14ac:dyDescent="0.25">
      <c r="A1062" s="1">
        <v>2008</v>
      </c>
      <c r="B1062" s="1" t="s">
        <v>99</v>
      </c>
      <c r="C1062" t="s">
        <v>52</v>
      </c>
      <c r="D1062">
        <v>5</v>
      </c>
      <c r="E1062">
        <v>32</v>
      </c>
      <c r="F1062">
        <v>0.03</v>
      </c>
      <c r="G1062">
        <f t="shared" si="17"/>
        <v>3.3333333333333333E-2</v>
      </c>
      <c r="H1062">
        <f>G1062*(26.79/38.29)</f>
        <v>2.3322016192217288E-2</v>
      </c>
    </row>
    <row r="1063" spans="1:8" x14ac:dyDescent="0.25">
      <c r="A1063" s="1">
        <v>2008</v>
      </c>
      <c r="B1063" s="1" t="s">
        <v>99</v>
      </c>
      <c r="C1063" t="s">
        <v>52</v>
      </c>
      <c r="D1063">
        <v>5</v>
      </c>
      <c r="E1063">
        <v>32</v>
      </c>
      <c r="F1063">
        <v>0.01</v>
      </c>
      <c r="G1063">
        <f t="shared" si="17"/>
        <v>1.1111111111111112E-2</v>
      </c>
      <c r="H1063">
        <f>G1063*(26.79/38.29)</f>
        <v>7.7740053974057624E-3</v>
      </c>
    </row>
    <row r="1064" spans="1:8" x14ac:dyDescent="0.25">
      <c r="A1064" s="1">
        <v>2008</v>
      </c>
      <c r="B1064" s="1" t="s">
        <v>99</v>
      </c>
      <c r="C1064" t="s">
        <v>52</v>
      </c>
      <c r="D1064">
        <v>5</v>
      </c>
      <c r="E1064">
        <v>32</v>
      </c>
      <c r="F1064">
        <v>0.01</v>
      </c>
      <c r="G1064">
        <f t="shared" si="17"/>
        <v>1.1111111111111112E-2</v>
      </c>
      <c r="H1064">
        <f>G1064*(26.79/38.29)</f>
        <v>7.7740053974057624E-3</v>
      </c>
    </row>
    <row r="1065" spans="1:8" x14ac:dyDescent="0.25">
      <c r="A1065" s="1">
        <v>2008</v>
      </c>
      <c r="B1065" s="1" t="s">
        <v>99</v>
      </c>
      <c r="C1065" t="s">
        <v>52</v>
      </c>
      <c r="D1065">
        <v>5</v>
      </c>
      <c r="E1065">
        <v>32</v>
      </c>
      <c r="F1065">
        <v>0.01</v>
      </c>
      <c r="G1065">
        <f t="shared" si="17"/>
        <v>1.1111111111111112E-2</v>
      </c>
      <c r="H1065">
        <f>G1065*(26.79/38.29)</f>
        <v>7.7740053974057624E-3</v>
      </c>
    </row>
    <row r="1066" spans="1:8" x14ac:dyDescent="0.25">
      <c r="A1066" s="1">
        <v>2008</v>
      </c>
      <c r="B1066" s="1" t="s">
        <v>99</v>
      </c>
      <c r="C1066" t="s">
        <v>52</v>
      </c>
      <c r="D1066">
        <v>5</v>
      </c>
      <c r="E1066">
        <v>32</v>
      </c>
      <c r="F1066">
        <v>0.02</v>
      </c>
      <c r="G1066">
        <f t="shared" si="17"/>
        <v>2.2222222222222223E-2</v>
      </c>
      <c r="H1066">
        <f>G1066*(26.79/38.29)</f>
        <v>1.5548010794811525E-2</v>
      </c>
    </row>
    <row r="1067" spans="1:8" x14ac:dyDescent="0.25">
      <c r="A1067" s="1">
        <v>2008</v>
      </c>
      <c r="B1067" s="1" t="s">
        <v>99</v>
      </c>
      <c r="C1067" t="s">
        <v>52</v>
      </c>
      <c r="D1067">
        <v>5</v>
      </c>
      <c r="E1067">
        <v>54</v>
      </c>
      <c r="F1067">
        <v>0.03</v>
      </c>
      <c r="G1067">
        <f t="shared" si="17"/>
        <v>3.3333333333333333E-2</v>
      </c>
      <c r="H1067">
        <f>G1067*(26.79/38.29)</f>
        <v>2.3322016192217288E-2</v>
      </c>
    </row>
    <row r="1068" spans="1:8" x14ac:dyDescent="0.25">
      <c r="A1068" s="1">
        <v>2008</v>
      </c>
      <c r="B1068" s="1" t="s">
        <v>99</v>
      </c>
      <c r="C1068" t="s">
        <v>52</v>
      </c>
      <c r="D1068">
        <v>5</v>
      </c>
      <c r="E1068">
        <v>54</v>
      </c>
      <c r="F1068">
        <v>0.03</v>
      </c>
      <c r="G1068">
        <f t="shared" si="17"/>
        <v>3.3333333333333333E-2</v>
      </c>
      <c r="H1068">
        <f>G1068*(26.79/38.29)</f>
        <v>2.3322016192217288E-2</v>
      </c>
    </row>
    <row r="1069" spans="1:8" x14ac:dyDescent="0.25">
      <c r="A1069" s="1">
        <v>2008</v>
      </c>
      <c r="B1069" s="1" t="s">
        <v>99</v>
      </c>
      <c r="C1069" t="s">
        <v>52</v>
      </c>
      <c r="D1069">
        <v>5</v>
      </c>
      <c r="E1069">
        <v>63</v>
      </c>
      <c r="F1069">
        <v>0.01</v>
      </c>
      <c r="G1069">
        <f t="shared" si="17"/>
        <v>1.1111111111111112E-2</v>
      </c>
      <c r="H1069">
        <f>G1069*(26.79/38.29)</f>
        <v>7.7740053974057624E-3</v>
      </c>
    </row>
    <row r="1070" spans="1:8" x14ac:dyDescent="0.25">
      <c r="A1070" s="1">
        <v>2008</v>
      </c>
      <c r="B1070" s="1" t="s">
        <v>99</v>
      </c>
      <c r="C1070" t="s">
        <v>52</v>
      </c>
      <c r="D1070">
        <v>5</v>
      </c>
      <c r="E1070">
        <v>63</v>
      </c>
      <c r="F1070">
        <v>0.01</v>
      </c>
      <c r="G1070">
        <f t="shared" si="17"/>
        <v>1.1111111111111112E-2</v>
      </c>
      <c r="H1070">
        <f>G1070*(26.79/38.29)</f>
        <v>7.7740053974057624E-3</v>
      </c>
    </row>
    <row r="1071" spans="1:8" x14ac:dyDescent="0.25">
      <c r="A1071" s="1">
        <v>2008</v>
      </c>
      <c r="B1071" s="1" t="s">
        <v>99</v>
      </c>
      <c r="C1071" t="s">
        <v>52</v>
      </c>
      <c r="D1071">
        <v>5</v>
      </c>
      <c r="E1071">
        <v>63</v>
      </c>
      <c r="F1071">
        <v>0.01</v>
      </c>
      <c r="G1071">
        <f t="shared" si="17"/>
        <v>1.1111111111111112E-2</v>
      </c>
      <c r="H1071">
        <f>G1071*(26.79/38.29)</f>
        <v>7.7740053974057624E-3</v>
      </c>
    </row>
    <row r="1072" spans="1:8" x14ac:dyDescent="0.25">
      <c r="A1072" s="1">
        <v>2008</v>
      </c>
      <c r="B1072" s="1" t="s">
        <v>99</v>
      </c>
      <c r="C1072" t="s">
        <v>52</v>
      </c>
      <c r="D1072">
        <v>5</v>
      </c>
      <c r="E1072">
        <v>63</v>
      </c>
      <c r="F1072">
        <v>0.02</v>
      </c>
      <c r="G1072">
        <f t="shared" si="17"/>
        <v>2.2222222222222223E-2</v>
      </c>
      <c r="H1072">
        <f>G1072*(26.79/38.29)</f>
        <v>1.5548010794811525E-2</v>
      </c>
    </row>
    <row r="1073" spans="1:8" x14ac:dyDescent="0.25">
      <c r="A1073" s="1">
        <v>2008</v>
      </c>
      <c r="B1073" s="1" t="s">
        <v>99</v>
      </c>
      <c r="C1073" t="s">
        <v>52</v>
      </c>
      <c r="D1073">
        <v>5</v>
      </c>
      <c r="E1073">
        <v>76</v>
      </c>
      <c r="F1073">
        <v>0.02</v>
      </c>
      <c r="G1073">
        <f t="shared" si="17"/>
        <v>2.2222222222222223E-2</v>
      </c>
      <c r="H1073">
        <f>G1073*(26.79/38.29)</f>
        <v>1.5548010794811525E-2</v>
      </c>
    </row>
    <row r="1074" spans="1:8" x14ac:dyDescent="0.25">
      <c r="A1074" s="1">
        <v>2008</v>
      </c>
      <c r="B1074" s="1" t="s">
        <v>99</v>
      </c>
      <c r="C1074" t="s">
        <v>52</v>
      </c>
      <c r="D1074">
        <v>5</v>
      </c>
      <c r="E1074">
        <v>76</v>
      </c>
      <c r="F1074">
        <v>0.03</v>
      </c>
      <c r="G1074">
        <f t="shared" si="17"/>
        <v>3.3333333333333333E-2</v>
      </c>
      <c r="H1074">
        <f>G1074*(26.79/38.29)</f>
        <v>2.3322016192217288E-2</v>
      </c>
    </row>
    <row r="1075" spans="1:8" x14ac:dyDescent="0.25">
      <c r="A1075" s="1">
        <v>2008</v>
      </c>
      <c r="B1075" s="1" t="s">
        <v>99</v>
      </c>
      <c r="C1075" t="s">
        <v>52</v>
      </c>
      <c r="D1075">
        <v>5</v>
      </c>
      <c r="E1075">
        <v>78</v>
      </c>
      <c r="F1075">
        <v>0.02</v>
      </c>
      <c r="G1075">
        <f t="shared" si="17"/>
        <v>2.2222222222222223E-2</v>
      </c>
      <c r="H1075">
        <f>G1075*(26.79/38.29)</f>
        <v>1.5548010794811525E-2</v>
      </c>
    </row>
    <row r="1076" spans="1:8" x14ac:dyDescent="0.25">
      <c r="A1076" s="1">
        <v>2008</v>
      </c>
      <c r="B1076" s="1" t="s">
        <v>99</v>
      </c>
      <c r="C1076" t="s">
        <v>52</v>
      </c>
      <c r="D1076">
        <v>5</v>
      </c>
      <c r="E1076">
        <v>78</v>
      </c>
      <c r="F1076">
        <v>0.01</v>
      </c>
      <c r="G1076">
        <f t="shared" si="17"/>
        <v>1.1111111111111112E-2</v>
      </c>
      <c r="H1076">
        <f>G1076*(26.79/38.29)</f>
        <v>7.7740053974057624E-3</v>
      </c>
    </row>
    <row r="1077" spans="1:8" x14ac:dyDescent="0.25">
      <c r="A1077" s="1">
        <v>2008</v>
      </c>
      <c r="B1077" s="1" t="s">
        <v>99</v>
      </c>
      <c r="C1077" t="s">
        <v>52</v>
      </c>
      <c r="D1077">
        <v>5</v>
      </c>
      <c r="E1077">
        <v>78</v>
      </c>
      <c r="F1077">
        <v>0.02</v>
      </c>
      <c r="G1077">
        <f t="shared" si="17"/>
        <v>2.2222222222222223E-2</v>
      </c>
      <c r="H1077">
        <f>G1077*(26.79/38.29)</f>
        <v>1.5548010794811525E-2</v>
      </c>
    </row>
    <row r="1078" spans="1:8" x14ac:dyDescent="0.25">
      <c r="A1078" s="1">
        <v>2008</v>
      </c>
      <c r="B1078" s="1" t="s">
        <v>99</v>
      </c>
      <c r="C1078" t="s">
        <v>52</v>
      </c>
      <c r="D1078">
        <v>5</v>
      </c>
      <c r="E1078">
        <v>78</v>
      </c>
      <c r="F1078">
        <v>0.01</v>
      </c>
      <c r="G1078">
        <f t="shared" si="17"/>
        <v>1.1111111111111112E-2</v>
      </c>
      <c r="H1078">
        <f>G1078*(26.79/38.29)</f>
        <v>7.7740053974057624E-3</v>
      </c>
    </row>
    <row r="1079" spans="1:8" x14ac:dyDescent="0.25">
      <c r="A1079" s="1">
        <v>2008</v>
      </c>
      <c r="B1079" s="1" t="s">
        <v>99</v>
      </c>
      <c r="C1079" t="s">
        <v>52</v>
      </c>
      <c r="D1079">
        <v>5</v>
      </c>
      <c r="E1079">
        <v>78</v>
      </c>
      <c r="F1079">
        <v>0.01</v>
      </c>
      <c r="G1079">
        <f t="shared" si="17"/>
        <v>1.1111111111111112E-2</v>
      </c>
      <c r="H1079">
        <f>G1079*(26.79/38.29)</f>
        <v>7.7740053974057624E-3</v>
      </c>
    </row>
    <row r="1080" spans="1:8" x14ac:dyDescent="0.25">
      <c r="A1080" s="1">
        <v>2008</v>
      </c>
      <c r="B1080" s="1" t="s">
        <v>99</v>
      </c>
      <c r="C1080" t="s">
        <v>52</v>
      </c>
      <c r="D1080">
        <v>5</v>
      </c>
      <c r="E1080">
        <v>78</v>
      </c>
      <c r="F1080">
        <v>0.01</v>
      </c>
      <c r="G1080">
        <f t="shared" si="17"/>
        <v>1.1111111111111112E-2</v>
      </c>
      <c r="H1080">
        <f>G1080*(26.79/38.29)</f>
        <v>7.7740053974057624E-3</v>
      </c>
    </row>
    <row r="1081" spans="1:8" x14ac:dyDescent="0.25">
      <c r="A1081" s="1">
        <v>2008</v>
      </c>
      <c r="B1081" s="1" t="s">
        <v>99</v>
      </c>
      <c r="C1081" t="s">
        <v>52</v>
      </c>
      <c r="D1081">
        <v>5</v>
      </c>
      <c r="E1081">
        <v>78</v>
      </c>
      <c r="F1081">
        <v>0.01</v>
      </c>
      <c r="G1081">
        <f t="shared" si="17"/>
        <v>1.1111111111111112E-2</v>
      </c>
      <c r="H1081">
        <f>G1081*(26.79/38.29)</f>
        <v>7.7740053974057624E-3</v>
      </c>
    </row>
    <row r="1082" spans="1:8" x14ac:dyDescent="0.25">
      <c r="A1082" s="1">
        <v>2008</v>
      </c>
      <c r="B1082" s="1" t="s">
        <v>99</v>
      </c>
      <c r="C1082" t="s">
        <v>52</v>
      </c>
      <c r="D1082">
        <v>5</v>
      </c>
      <c r="E1082">
        <v>78</v>
      </c>
      <c r="F1082">
        <v>0.01</v>
      </c>
      <c r="G1082">
        <f t="shared" si="17"/>
        <v>1.1111111111111112E-2</v>
      </c>
      <c r="H1082">
        <f>G1082*(26.79/38.29)</f>
        <v>7.7740053974057624E-3</v>
      </c>
    </row>
    <row r="1083" spans="1:8" x14ac:dyDescent="0.25">
      <c r="A1083" s="1">
        <v>2008</v>
      </c>
      <c r="B1083" s="1" t="s">
        <v>99</v>
      </c>
      <c r="C1083" t="s">
        <v>52</v>
      </c>
      <c r="D1083">
        <v>5</v>
      </c>
      <c r="E1083">
        <v>79</v>
      </c>
      <c r="F1083">
        <v>0.01</v>
      </c>
      <c r="G1083">
        <f t="shared" si="17"/>
        <v>1.1111111111111112E-2</v>
      </c>
      <c r="H1083">
        <f>G1083*(26.79/38.29)</f>
        <v>7.7740053974057624E-3</v>
      </c>
    </row>
    <row r="1084" spans="1:8" x14ac:dyDescent="0.25">
      <c r="A1084" s="1">
        <v>1993</v>
      </c>
      <c r="B1084" s="1" t="s">
        <v>99</v>
      </c>
      <c r="C1084" t="s">
        <v>51</v>
      </c>
      <c r="D1084">
        <v>1</v>
      </c>
      <c r="E1084">
        <v>32</v>
      </c>
      <c r="F1084">
        <v>0.04</v>
      </c>
      <c r="G1084">
        <f>(F1084/0.6)/5</f>
        <v>1.3333333333333332E-2</v>
      </c>
      <c r="H1084">
        <f>G1084*(26.79/38.29)</f>
        <v>9.3288064768869139E-3</v>
      </c>
    </row>
    <row r="1085" spans="1:8" x14ac:dyDescent="0.25">
      <c r="A1085" s="1">
        <v>1993</v>
      </c>
      <c r="B1085" s="1" t="s">
        <v>99</v>
      </c>
      <c r="C1085" t="s">
        <v>51</v>
      </c>
      <c r="D1085">
        <v>1</v>
      </c>
      <c r="E1085">
        <v>32</v>
      </c>
      <c r="F1085">
        <v>0.08</v>
      </c>
      <c r="G1085">
        <f t="shared" ref="G1085:G1148" si="18">(F1085/0.6)/5</f>
        <v>2.6666666666666665E-2</v>
      </c>
      <c r="H1085">
        <f>G1085*(26.79/38.29)</f>
        <v>1.8657612953773828E-2</v>
      </c>
    </row>
    <row r="1086" spans="1:8" x14ac:dyDescent="0.25">
      <c r="A1086" s="1">
        <v>1993</v>
      </c>
      <c r="B1086" s="1" t="s">
        <v>99</v>
      </c>
      <c r="C1086" t="s">
        <v>51</v>
      </c>
      <c r="D1086">
        <v>1</v>
      </c>
      <c r="E1086">
        <v>32</v>
      </c>
      <c r="F1086">
        <v>0.04</v>
      </c>
      <c r="G1086">
        <f t="shared" si="18"/>
        <v>1.3333333333333332E-2</v>
      </c>
      <c r="H1086">
        <f>G1086*(26.79/38.29)</f>
        <v>9.3288064768869139E-3</v>
      </c>
    </row>
    <row r="1087" spans="1:8" x14ac:dyDescent="0.25">
      <c r="A1087" s="1">
        <v>1993</v>
      </c>
      <c r="B1087" s="1" t="s">
        <v>99</v>
      </c>
      <c r="C1087" t="s">
        <v>51</v>
      </c>
      <c r="D1087">
        <v>1</v>
      </c>
      <c r="E1087">
        <v>32</v>
      </c>
      <c r="F1087">
        <v>0.11</v>
      </c>
      <c r="G1087">
        <f t="shared" si="18"/>
        <v>3.6666666666666667E-2</v>
      </c>
      <c r="H1087">
        <f>G1087*(26.79/38.29)</f>
        <v>2.5654217811439017E-2</v>
      </c>
    </row>
    <row r="1088" spans="1:8" x14ac:dyDescent="0.25">
      <c r="A1088" s="1">
        <v>1993</v>
      </c>
      <c r="B1088" s="1" t="s">
        <v>99</v>
      </c>
      <c r="C1088" t="s">
        <v>51</v>
      </c>
      <c r="D1088">
        <v>1</v>
      </c>
      <c r="E1088">
        <v>32</v>
      </c>
      <c r="F1088">
        <v>0.05</v>
      </c>
      <c r="G1088">
        <f t="shared" si="18"/>
        <v>1.666666666666667E-2</v>
      </c>
      <c r="H1088">
        <f>G1088*(26.79/38.29)</f>
        <v>1.1661008096108646E-2</v>
      </c>
    </row>
    <row r="1089" spans="1:8" x14ac:dyDescent="0.25">
      <c r="A1089" s="1">
        <v>1993</v>
      </c>
      <c r="B1089" s="1" t="s">
        <v>99</v>
      </c>
      <c r="C1089" t="s">
        <v>51</v>
      </c>
      <c r="D1089">
        <v>1</v>
      </c>
      <c r="E1089">
        <v>32</v>
      </c>
      <c r="F1089">
        <v>0.06</v>
      </c>
      <c r="G1089">
        <f t="shared" si="18"/>
        <v>0.02</v>
      </c>
      <c r="H1089">
        <f>G1089*(26.79/38.29)</f>
        <v>1.3993209715330373E-2</v>
      </c>
    </row>
    <row r="1090" spans="1:8" x14ac:dyDescent="0.25">
      <c r="A1090" s="1">
        <v>1993</v>
      </c>
      <c r="B1090" s="1" t="s">
        <v>99</v>
      </c>
      <c r="C1090" t="s">
        <v>51</v>
      </c>
      <c r="D1090">
        <v>1</v>
      </c>
      <c r="E1090">
        <v>32</v>
      </c>
      <c r="F1090">
        <v>0.2</v>
      </c>
      <c r="G1090">
        <f t="shared" si="18"/>
        <v>6.666666666666668E-2</v>
      </c>
      <c r="H1090">
        <f>G1090*(26.79/38.29)</f>
        <v>4.6644032384434583E-2</v>
      </c>
    </row>
    <row r="1091" spans="1:8" x14ac:dyDescent="0.25">
      <c r="A1091" s="1">
        <v>1993</v>
      </c>
      <c r="B1091" s="1" t="s">
        <v>99</v>
      </c>
      <c r="C1091" t="s">
        <v>51</v>
      </c>
      <c r="D1091">
        <v>1</v>
      </c>
      <c r="E1091">
        <v>32</v>
      </c>
      <c r="F1091">
        <v>0.18</v>
      </c>
      <c r="G1091">
        <f t="shared" si="18"/>
        <v>0.06</v>
      </c>
      <c r="H1091">
        <f>G1091*(26.79/38.29)</f>
        <v>4.1979629145991113E-2</v>
      </c>
    </row>
    <row r="1092" spans="1:8" x14ac:dyDescent="0.25">
      <c r="A1092" s="1">
        <v>1993</v>
      </c>
      <c r="B1092" s="1" t="s">
        <v>99</v>
      </c>
      <c r="C1092" t="s">
        <v>51</v>
      </c>
      <c r="D1092">
        <v>1</v>
      </c>
      <c r="E1092">
        <v>32</v>
      </c>
      <c r="F1092">
        <v>0.03</v>
      </c>
      <c r="G1092">
        <f t="shared" si="18"/>
        <v>0.01</v>
      </c>
      <c r="H1092">
        <f>G1092*(26.79/38.29)</f>
        <v>6.9966048576651863E-3</v>
      </c>
    </row>
    <row r="1093" spans="1:8" x14ac:dyDescent="0.25">
      <c r="A1093" s="1">
        <v>1993</v>
      </c>
      <c r="B1093" s="1" t="s">
        <v>99</v>
      </c>
      <c r="C1093" t="s">
        <v>51</v>
      </c>
      <c r="D1093">
        <v>1</v>
      </c>
      <c r="E1093">
        <v>32</v>
      </c>
      <c r="F1093">
        <v>0.06</v>
      </c>
      <c r="G1093">
        <f t="shared" si="18"/>
        <v>0.02</v>
      </c>
      <c r="H1093">
        <f>G1093*(26.79/38.29)</f>
        <v>1.3993209715330373E-2</v>
      </c>
    </row>
    <row r="1094" spans="1:8" x14ac:dyDescent="0.25">
      <c r="A1094" s="1">
        <v>1993</v>
      </c>
      <c r="B1094" s="1" t="s">
        <v>99</v>
      </c>
      <c r="C1094" t="s">
        <v>51</v>
      </c>
      <c r="D1094">
        <v>1</v>
      </c>
      <c r="E1094">
        <v>32</v>
      </c>
      <c r="F1094">
        <v>7.0000000000000007E-2</v>
      </c>
      <c r="G1094">
        <f t="shared" si="18"/>
        <v>2.3333333333333338E-2</v>
      </c>
      <c r="H1094">
        <f>G1094*(26.79/38.29)</f>
        <v>1.6325411334552103E-2</v>
      </c>
    </row>
    <row r="1095" spans="1:8" x14ac:dyDescent="0.25">
      <c r="A1095" s="1">
        <v>1993</v>
      </c>
      <c r="B1095" s="1" t="s">
        <v>99</v>
      </c>
      <c r="C1095" t="s">
        <v>51</v>
      </c>
      <c r="D1095">
        <v>1</v>
      </c>
      <c r="E1095">
        <v>32</v>
      </c>
      <c r="F1095">
        <v>0.13</v>
      </c>
      <c r="G1095">
        <f t="shared" si="18"/>
        <v>4.3333333333333335E-2</v>
      </c>
      <c r="H1095">
        <f>G1095*(26.79/38.29)</f>
        <v>3.0318621049882474E-2</v>
      </c>
    </row>
    <row r="1096" spans="1:8" x14ac:dyDescent="0.25">
      <c r="A1096" s="1">
        <v>1993</v>
      </c>
      <c r="B1096" s="1" t="s">
        <v>99</v>
      </c>
      <c r="C1096" t="s">
        <v>51</v>
      </c>
      <c r="D1096">
        <v>1</v>
      </c>
      <c r="E1096">
        <v>32</v>
      </c>
      <c r="F1096">
        <v>0.05</v>
      </c>
      <c r="G1096">
        <f t="shared" si="18"/>
        <v>1.666666666666667E-2</v>
      </c>
      <c r="H1096">
        <f>G1096*(26.79/38.29)</f>
        <v>1.1661008096108646E-2</v>
      </c>
    </row>
    <row r="1097" spans="1:8" x14ac:dyDescent="0.25">
      <c r="A1097" s="1">
        <v>1993</v>
      </c>
      <c r="B1097" s="1" t="s">
        <v>99</v>
      </c>
      <c r="C1097" t="s">
        <v>51</v>
      </c>
      <c r="D1097">
        <v>1</v>
      </c>
      <c r="E1097">
        <v>32</v>
      </c>
      <c r="F1097">
        <v>0.06</v>
      </c>
      <c r="G1097">
        <f t="shared" si="18"/>
        <v>0.02</v>
      </c>
      <c r="H1097">
        <f>G1097*(26.79/38.29)</f>
        <v>1.3993209715330373E-2</v>
      </c>
    </row>
    <row r="1098" spans="1:8" x14ac:dyDescent="0.25">
      <c r="A1098" s="1">
        <v>1993</v>
      </c>
      <c r="B1098" s="1" t="s">
        <v>99</v>
      </c>
      <c r="C1098" t="s">
        <v>51</v>
      </c>
      <c r="D1098">
        <v>1</v>
      </c>
      <c r="E1098">
        <v>32</v>
      </c>
      <c r="F1098">
        <v>0.13</v>
      </c>
      <c r="G1098">
        <f t="shared" si="18"/>
        <v>4.3333333333333335E-2</v>
      </c>
      <c r="H1098">
        <f>G1098*(26.79/38.29)</f>
        <v>3.0318621049882474E-2</v>
      </c>
    </row>
    <row r="1099" spans="1:8" x14ac:dyDescent="0.25">
      <c r="A1099" s="1">
        <v>1993</v>
      </c>
      <c r="B1099" s="1" t="s">
        <v>99</v>
      </c>
      <c r="C1099" t="s">
        <v>51</v>
      </c>
      <c r="D1099">
        <v>1</v>
      </c>
      <c r="E1099">
        <v>32</v>
      </c>
      <c r="F1099">
        <v>0.19</v>
      </c>
      <c r="G1099">
        <f t="shared" si="18"/>
        <v>6.3333333333333339E-2</v>
      </c>
      <c r="H1099">
        <f>G1099*(26.79/38.29)</f>
        <v>4.4311830765212848E-2</v>
      </c>
    </row>
    <row r="1100" spans="1:8" x14ac:dyDescent="0.25">
      <c r="A1100" s="1">
        <v>1993</v>
      </c>
      <c r="B1100" s="1" t="s">
        <v>99</v>
      </c>
      <c r="C1100" t="s">
        <v>51</v>
      </c>
      <c r="D1100">
        <v>1</v>
      </c>
      <c r="E1100">
        <v>32</v>
      </c>
      <c r="F1100">
        <v>0.16</v>
      </c>
      <c r="G1100">
        <f t="shared" si="18"/>
        <v>5.333333333333333E-2</v>
      </c>
      <c r="H1100">
        <f>G1100*(26.79/38.29)</f>
        <v>3.7315225907547656E-2</v>
      </c>
    </row>
    <row r="1101" spans="1:8" x14ac:dyDescent="0.25">
      <c r="A1101" s="1">
        <v>1993</v>
      </c>
      <c r="B1101" s="1" t="s">
        <v>99</v>
      </c>
      <c r="C1101" t="s">
        <v>51</v>
      </c>
      <c r="D1101">
        <v>1</v>
      </c>
      <c r="E1101">
        <v>32</v>
      </c>
      <c r="F1101">
        <v>0.25</v>
      </c>
      <c r="G1101">
        <f t="shared" si="18"/>
        <v>8.3333333333333343E-2</v>
      </c>
      <c r="H1101">
        <f>G1101*(26.79/38.29)</f>
        <v>5.8305040480543226E-2</v>
      </c>
    </row>
    <row r="1102" spans="1:8" x14ac:dyDescent="0.25">
      <c r="A1102" s="1">
        <v>1993</v>
      </c>
      <c r="B1102" s="1" t="s">
        <v>99</v>
      </c>
      <c r="C1102" t="s">
        <v>51</v>
      </c>
      <c r="D1102">
        <v>1</v>
      </c>
      <c r="E1102">
        <v>32</v>
      </c>
      <c r="F1102">
        <v>7.0000000000000007E-2</v>
      </c>
      <c r="G1102">
        <f t="shared" si="18"/>
        <v>2.3333333333333338E-2</v>
      </c>
      <c r="H1102">
        <f>G1102*(26.79/38.29)</f>
        <v>1.6325411334552103E-2</v>
      </c>
    </row>
    <row r="1103" spans="1:8" x14ac:dyDescent="0.25">
      <c r="A1103" s="1">
        <v>1993</v>
      </c>
      <c r="B1103" s="1" t="s">
        <v>99</v>
      </c>
      <c r="C1103" t="s">
        <v>51</v>
      </c>
      <c r="D1103">
        <v>1</v>
      </c>
      <c r="E1103">
        <v>32</v>
      </c>
      <c r="F1103">
        <v>0.37</v>
      </c>
      <c r="G1103">
        <f t="shared" si="18"/>
        <v>0.12333333333333334</v>
      </c>
      <c r="H1103">
        <f>G1103*(26.79/38.29)</f>
        <v>8.629145991120396E-2</v>
      </c>
    </row>
    <row r="1104" spans="1:8" x14ac:dyDescent="0.25">
      <c r="A1104" s="1">
        <v>1993</v>
      </c>
      <c r="B1104" s="1" t="s">
        <v>99</v>
      </c>
      <c r="C1104" t="s">
        <v>51</v>
      </c>
      <c r="D1104">
        <v>1</v>
      </c>
      <c r="E1104">
        <v>32</v>
      </c>
      <c r="F1104">
        <v>0.06</v>
      </c>
      <c r="G1104">
        <f t="shared" si="18"/>
        <v>0.02</v>
      </c>
      <c r="H1104">
        <f>G1104*(26.79/38.29)</f>
        <v>1.3993209715330373E-2</v>
      </c>
    </row>
    <row r="1105" spans="1:8" x14ac:dyDescent="0.25">
      <c r="A1105" s="1">
        <v>1993</v>
      </c>
      <c r="B1105" s="1" t="s">
        <v>99</v>
      </c>
      <c r="C1105" t="s">
        <v>51</v>
      </c>
      <c r="D1105">
        <v>1</v>
      </c>
      <c r="E1105">
        <v>32</v>
      </c>
      <c r="F1105">
        <v>0.13</v>
      </c>
      <c r="G1105">
        <f t="shared" si="18"/>
        <v>4.3333333333333335E-2</v>
      </c>
      <c r="H1105">
        <f>G1105*(26.79/38.29)</f>
        <v>3.0318621049882474E-2</v>
      </c>
    </row>
    <row r="1106" spans="1:8" x14ac:dyDescent="0.25">
      <c r="A1106" s="1">
        <v>1993</v>
      </c>
      <c r="B1106" s="1" t="s">
        <v>99</v>
      </c>
      <c r="C1106" t="s">
        <v>51</v>
      </c>
      <c r="D1106">
        <v>1</v>
      </c>
      <c r="E1106">
        <v>34</v>
      </c>
      <c r="F1106">
        <v>0.65</v>
      </c>
      <c r="G1106">
        <f t="shared" si="18"/>
        <v>0.2166666666666667</v>
      </c>
      <c r="H1106">
        <f>G1106*(26.79/38.29)</f>
        <v>0.15159310524941239</v>
      </c>
    </row>
    <row r="1107" spans="1:8" x14ac:dyDescent="0.25">
      <c r="A1107" s="1">
        <v>1993</v>
      </c>
      <c r="B1107" s="1" t="s">
        <v>99</v>
      </c>
      <c r="C1107" t="s">
        <v>51</v>
      </c>
      <c r="D1107">
        <v>1</v>
      </c>
      <c r="E1107">
        <v>34</v>
      </c>
      <c r="F1107">
        <v>0.2</v>
      </c>
      <c r="G1107">
        <f t="shared" si="18"/>
        <v>6.666666666666668E-2</v>
      </c>
      <c r="H1107">
        <f>G1107*(26.79/38.29)</f>
        <v>4.6644032384434583E-2</v>
      </c>
    </row>
    <row r="1108" spans="1:8" x14ac:dyDescent="0.25">
      <c r="A1108" s="1">
        <v>1993</v>
      </c>
      <c r="B1108" s="1" t="s">
        <v>99</v>
      </c>
      <c r="C1108" t="s">
        <v>51</v>
      </c>
      <c r="D1108">
        <v>1</v>
      </c>
      <c r="E1108">
        <v>38</v>
      </c>
      <c r="F1108">
        <v>1.1499999999999999</v>
      </c>
      <c r="G1108">
        <f t="shared" si="18"/>
        <v>0.3833333333333333</v>
      </c>
      <c r="H1108">
        <f>G1108*(26.79/38.29)</f>
        <v>0.26820318621049877</v>
      </c>
    </row>
    <row r="1109" spans="1:8" x14ac:dyDescent="0.25">
      <c r="A1109" s="1">
        <v>1993</v>
      </c>
      <c r="B1109" s="1" t="s">
        <v>99</v>
      </c>
      <c r="C1109" t="s">
        <v>51</v>
      </c>
      <c r="D1109">
        <v>1</v>
      </c>
      <c r="E1109">
        <v>38</v>
      </c>
      <c r="F1109">
        <v>1.48</v>
      </c>
      <c r="G1109">
        <f t="shared" si="18"/>
        <v>0.49333333333333335</v>
      </c>
      <c r="H1109">
        <f>G1109*(26.79/38.29)</f>
        <v>0.34516583964481584</v>
      </c>
    </row>
    <row r="1110" spans="1:8" x14ac:dyDescent="0.25">
      <c r="A1110" s="1">
        <v>1993</v>
      </c>
      <c r="B1110" s="1" t="s">
        <v>99</v>
      </c>
      <c r="C1110" t="s">
        <v>51</v>
      </c>
      <c r="D1110">
        <v>1</v>
      </c>
      <c r="E1110">
        <v>38</v>
      </c>
      <c r="F1110">
        <v>1.69</v>
      </c>
      <c r="G1110">
        <f t="shared" si="18"/>
        <v>0.56333333333333335</v>
      </c>
      <c r="H1110">
        <f>G1110*(26.79/38.29)</f>
        <v>0.39414207364847215</v>
      </c>
    </row>
    <row r="1111" spans="1:8" x14ac:dyDescent="0.25">
      <c r="A1111" s="1">
        <v>1993</v>
      </c>
      <c r="B1111" s="1" t="s">
        <v>99</v>
      </c>
      <c r="C1111" t="s">
        <v>51</v>
      </c>
      <c r="D1111">
        <v>1</v>
      </c>
      <c r="E1111">
        <v>38</v>
      </c>
      <c r="F1111">
        <v>0.67</v>
      </c>
      <c r="G1111">
        <f t="shared" si="18"/>
        <v>0.22333333333333333</v>
      </c>
      <c r="H1111">
        <f>G1111*(26.79/38.29)</f>
        <v>0.15625750848785583</v>
      </c>
    </row>
    <row r="1112" spans="1:8" x14ac:dyDescent="0.25">
      <c r="A1112" s="1">
        <v>1993</v>
      </c>
      <c r="B1112" s="1" t="s">
        <v>99</v>
      </c>
      <c r="C1112" t="s">
        <v>51</v>
      </c>
      <c r="D1112">
        <v>1</v>
      </c>
      <c r="E1112">
        <v>40</v>
      </c>
      <c r="F1112">
        <v>1.02</v>
      </c>
      <c r="G1112">
        <f t="shared" si="18"/>
        <v>0.34</v>
      </c>
      <c r="H1112">
        <f>G1112*(26.79/38.29)</f>
        <v>0.23788456516061635</v>
      </c>
    </row>
    <row r="1113" spans="1:8" x14ac:dyDescent="0.25">
      <c r="A1113" s="1">
        <v>1993</v>
      </c>
      <c r="B1113" s="1" t="s">
        <v>99</v>
      </c>
      <c r="C1113" t="s">
        <v>51</v>
      </c>
      <c r="D1113">
        <v>1</v>
      </c>
      <c r="E1113">
        <v>40</v>
      </c>
      <c r="F1113">
        <v>1.69</v>
      </c>
      <c r="G1113">
        <f t="shared" si="18"/>
        <v>0.56333333333333335</v>
      </c>
      <c r="H1113">
        <f>G1113*(26.79/38.29)</f>
        <v>0.39414207364847215</v>
      </c>
    </row>
    <row r="1114" spans="1:8" x14ac:dyDescent="0.25">
      <c r="A1114" s="1">
        <v>1993</v>
      </c>
      <c r="B1114" s="1" t="s">
        <v>99</v>
      </c>
      <c r="C1114" t="s">
        <v>51</v>
      </c>
      <c r="D1114">
        <v>1</v>
      </c>
      <c r="E1114">
        <v>40</v>
      </c>
      <c r="F1114">
        <v>1.1200000000000001</v>
      </c>
      <c r="G1114">
        <f t="shared" si="18"/>
        <v>0.37333333333333341</v>
      </c>
      <c r="H1114">
        <f>G1114*(26.79/38.29)</f>
        <v>0.26120658135283364</v>
      </c>
    </row>
    <row r="1115" spans="1:8" x14ac:dyDescent="0.25">
      <c r="A1115" s="1">
        <v>1993</v>
      </c>
      <c r="B1115" s="1" t="s">
        <v>99</v>
      </c>
      <c r="C1115" t="s">
        <v>51</v>
      </c>
      <c r="D1115">
        <v>1</v>
      </c>
      <c r="E1115">
        <v>40</v>
      </c>
      <c r="F1115">
        <v>1.52</v>
      </c>
      <c r="G1115">
        <f t="shared" si="18"/>
        <v>0.50666666666666671</v>
      </c>
      <c r="H1115">
        <f>G1115*(26.79/38.29)</f>
        <v>0.35449464612170278</v>
      </c>
    </row>
    <row r="1116" spans="1:8" x14ac:dyDescent="0.25">
      <c r="A1116" s="1">
        <v>1993</v>
      </c>
      <c r="B1116" s="1" t="s">
        <v>99</v>
      </c>
      <c r="C1116" t="s">
        <v>51</v>
      </c>
      <c r="D1116">
        <v>1</v>
      </c>
      <c r="E1116">
        <v>40</v>
      </c>
      <c r="F1116">
        <v>0.77</v>
      </c>
      <c r="G1116">
        <f t="shared" si="18"/>
        <v>0.25666666666666671</v>
      </c>
      <c r="H1116">
        <f>G1116*(26.79/38.29)</f>
        <v>0.17957952468007315</v>
      </c>
    </row>
    <row r="1117" spans="1:8" x14ac:dyDescent="0.25">
      <c r="A1117" s="1">
        <v>1993</v>
      </c>
      <c r="B1117" s="1" t="s">
        <v>99</v>
      </c>
      <c r="C1117" t="s">
        <v>51</v>
      </c>
      <c r="D1117">
        <v>1</v>
      </c>
      <c r="E1117">
        <v>40</v>
      </c>
      <c r="F1117">
        <v>1.69</v>
      </c>
      <c r="G1117">
        <f t="shared" si="18"/>
        <v>0.56333333333333335</v>
      </c>
      <c r="H1117">
        <f>G1117*(26.79/38.29)</f>
        <v>0.39414207364847215</v>
      </c>
    </row>
    <row r="1118" spans="1:8" x14ac:dyDescent="0.25">
      <c r="A1118" s="1">
        <v>1993</v>
      </c>
      <c r="B1118" s="1" t="s">
        <v>99</v>
      </c>
      <c r="C1118" t="s">
        <v>51</v>
      </c>
      <c r="D1118">
        <v>1</v>
      </c>
      <c r="E1118">
        <v>40</v>
      </c>
      <c r="F1118">
        <v>0.4</v>
      </c>
      <c r="G1118">
        <f t="shared" si="18"/>
        <v>0.13333333333333336</v>
      </c>
      <c r="H1118">
        <f>G1118*(26.79/38.29)</f>
        <v>9.3288064768869167E-2</v>
      </c>
    </row>
    <row r="1119" spans="1:8" x14ac:dyDescent="0.25">
      <c r="A1119" s="1">
        <v>1993</v>
      </c>
      <c r="B1119" s="1" t="s">
        <v>99</v>
      </c>
      <c r="C1119" t="s">
        <v>51</v>
      </c>
      <c r="D1119">
        <v>1</v>
      </c>
      <c r="E1119">
        <v>40</v>
      </c>
      <c r="F1119">
        <v>0.44</v>
      </c>
      <c r="G1119">
        <f t="shared" si="18"/>
        <v>0.14666666666666667</v>
      </c>
      <c r="H1119">
        <f>G1119*(26.79/38.29)</f>
        <v>0.10261687124575607</v>
      </c>
    </row>
    <row r="1120" spans="1:8" x14ac:dyDescent="0.25">
      <c r="A1120" s="1">
        <v>1993</v>
      </c>
      <c r="B1120" s="1" t="s">
        <v>99</v>
      </c>
      <c r="C1120" t="s">
        <v>51</v>
      </c>
      <c r="D1120">
        <v>1</v>
      </c>
      <c r="E1120">
        <v>40</v>
      </c>
      <c r="F1120">
        <v>1.41</v>
      </c>
      <c r="G1120">
        <f t="shared" si="18"/>
        <v>0.47000000000000003</v>
      </c>
      <c r="H1120">
        <f>G1120*(26.79/38.29)</f>
        <v>0.32884042831026378</v>
      </c>
    </row>
    <row r="1121" spans="1:8" x14ac:dyDescent="0.25">
      <c r="A1121" s="1">
        <v>1993</v>
      </c>
      <c r="B1121" s="1" t="s">
        <v>99</v>
      </c>
      <c r="C1121" t="s">
        <v>51</v>
      </c>
      <c r="D1121">
        <v>1</v>
      </c>
      <c r="E1121">
        <v>53</v>
      </c>
      <c r="F1121">
        <v>1.47</v>
      </c>
      <c r="G1121">
        <f t="shared" si="18"/>
        <v>0.49000000000000005</v>
      </c>
      <c r="H1121">
        <f>G1121*(26.79/38.29)</f>
        <v>0.34283363802559413</v>
      </c>
    </row>
    <row r="1122" spans="1:8" x14ac:dyDescent="0.25">
      <c r="A1122" s="1">
        <v>1993</v>
      </c>
      <c r="B1122" s="1" t="s">
        <v>99</v>
      </c>
      <c r="C1122" t="s">
        <v>51</v>
      </c>
      <c r="D1122">
        <v>1</v>
      </c>
      <c r="E1122">
        <v>53</v>
      </c>
      <c r="F1122">
        <v>0.46</v>
      </c>
      <c r="G1122">
        <f t="shared" si="18"/>
        <v>0.15333333333333335</v>
      </c>
      <c r="H1122">
        <f>G1122*(26.79/38.29)</f>
        <v>0.10728127448419954</v>
      </c>
    </row>
    <row r="1123" spans="1:8" x14ac:dyDescent="0.25">
      <c r="A1123" s="1">
        <v>1993</v>
      </c>
      <c r="B1123" s="1" t="s">
        <v>99</v>
      </c>
      <c r="C1123" t="s">
        <v>51</v>
      </c>
      <c r="D1123">
        <v>1</v>
      </c>
      <c r="E1123">
        <v>56</v>
      </c>
      <c r="F1123">
        <v>7.0000000000000007E-2</v>
      </c>
      <c r="G1123">
        <f t="shared" si="18"/>
        <v>2.3333333333333338E-2</v>
      </c>
      <c r="H1123">
        <f>G1123*(26.79/38.29)</f>
        <v>1.6325411334552103E-2</v>
      </c>
    </row>
    <row r="1124" spans="1:8" x14ac:dyDescent="0.25">
      <c r="A1124" s="1">
        <v>1993</v>
      </c>
      <c r="B1124" s="1" t="s">
        <v>99</v>
      </c>
      <c r="C1124" t="s">
        <v>51</v>
      </c>
      <c r="D1124">
        <v>1</v>
      </c>
      <c r="E1124">
        <v>56</v>
      </c>
      <c r="F1124">
        <v>0.77</v>
      </c>
      <c r="G1124">
        <f t="shared" si="18"/>
        <v>0.25666666666666671</v>
      </c>
      <c r="H1124">
        <f>G1124*(26.79/38.29)</f>
        <v>0.17957952468007315</v>
      </c>
    </row>
    <row r="1125" spans="1:8" x14ac:dyDescent="0.25">
      <c r="A1125" s="1">
        <v>1993</v>
      </c>
      <c r="B1125" s="1" t="s">
        <v>99</v>
      </c>
      <c r="C1125" t="s">
        <v>51</v>
      </c>
      <c r="D1125">
        <v>1</v>
      </c>
      <c r="E1125">
        <v>63</v>
      </c>
      <c r="F1125">
        <v>0.1</v>
      </c>
      <c r="G1125">
        <f t="shared" si="18"/>
        <v>3.333333333333334E-2</v>
      </c>
      <c r="H1125">
        <f>G1125*(26.79/38.29)</f>
        <v>2.3322016192217292E-2</v>
      </c>
    </row>
    <row r="1126" spans="1:8" x14ac:dyDescent="0.25">
      <c r="A1126" s="1">
        <v>1993</v>
      </c>
      <c r="B1126" s="1" t="s">
        <v>99</v>
      </c>
      <c r="C1126" t="s">
        <v>51</v>
      </c>
      <c r="D1126">
        <v>1</v>
      </c>
      <c r="E1126">
        <v>63</v>
      </c>
      <c r="F1126">
        <v>0.04</v>
      </c>
      <c r="G1126">
        <f t="shared" si="18"/>
        <v>1.3333333333333332E-2</v>
      </c>
      <c r="H1126">
        <f>G1126*(26.79/38.29)</f>
        <v>9.3288064768869139E-3</v>
      </c>
    </row>
    <row r="1127" spans="1:8" x14ac:dyDescent="0.25">
      <c r="A1127" s="1">
        <v>1993</v>
      </c>
      <c r="B1127" s="1" t="s">
        <v>99</v>
      </c>
      <c r="C1127" t="s">
        <v>51</v>
      </c>
      <c r="D1127">
        <v>1</v>
      </c>
      <c r="E1127">
        <v>63</v>
      </c>
      <c r="F1127">
        <v>0.09</v>
      </c>
      <c r="G1127">
        <f t="shared" si="18"/>
        <v>0.03</v>
      </c>
      <c r="H1127">
        <f>G1127*(26.79/38.29)</f>
        <v>2.0989814572995556E-2</v>
      </c>
    </row>
    <row r="1128" spans="1:8" x14ac:dyDescent="0.25">
      <c r="A1128" s="1">
        <v>1993</v>
      </c>
      <c r="B1128" s="1" t="s">
        <v>99</v>
      </c>
      <c r="C1128" t="s">
        <v>51</v>
      </c>
      <c r="D1128">
        <v>1</v>
      </c>
      <c r="E1128">
        <v>66</v>
      </c>
      <c r="F1128">
        <v>1.56</v>
      </c>
      <c r="G1128">
        <f t="shared" si="18"/>
        <v>0.52</v>
      </c>
      <c r="H1128">
        <f>G1128*(26.79/38.29)</f>
        <v>0.36382345259858972</v>
      </c>
    </row>
    <row r="1129" spans="1:8" x14ac:dyDescent="0.25">
      <c r="A1129" s="1">
        <v>1993</v>
      </c>
      <c r="B1129" s="1" t="s">
        <v>99</v>
      </c>
      <c r="C1129" t="s">
        <v>51</v>
      </c>
      <c r="D1129">
        <v>1</v>
      </c>
      <c r="E1129">
        <v>66</v>
      </c>
      <c r="F1129">
        <v>1.5</v>
      </c>
      <c r="G1129">
        <f t="shared" si="18"/>
        <v>0.5</v>
      </c>
      <c r="H1129">
        <f>G1129*(26.79/38.29)</f>
        <v>0.34983024288325931</v>
      </c>
    </row>
    <row r="1130" spans="1:8" x14ac:dyDescent="0.25">
      <c r="A1130" s="1">
        <v>1993</v>
      </c>
      <c r="B1130" s="1" t="s">
        <v>99</v>
      </c>
      <c r="C1130" t="s">
        <v>51</v>
      </c>
      <c r="D1130">
        <v>1</v>
      </c>
      <c r="E1130">
        <v>66</v>
      </c>
      <c r="F1130">
        <v>0.17</v>
      </c>
      <c r="G1130">
        <f t="shared" si="18"/>
        <v>5.6666666666666678E-2</v>
      </c>
      <c r="H1130">
        <f>G1130*(26.79/38.29)</f>
        <v>3.9647427526769398E-2</v>
      </c>
    </row>
    <row r="1131" spans="1:8" x14ac:dyDescent="0.25">
      <c r="A1131" s="1">
        <v>1993</v>
      </c>
      <c r="B1131" s="1" t="s">
        <v>99</v>
      </c>
      <c r="C1131" t="s">
        <v>51</v>
      </c>
      <c r="D1131">
        <v>1</v>
      </c>
      <c r="E1131">
        <v>66</v>
      </c>
      <c r="F1131">
        <v>0.03</v>
      </c>
      <c r="G1131">
        <f t="shared" si="18"/>
        <v>0.01</v>
      </c>
      <c r="H1131">
        <f>G1131*(26.79/38.29)</f>
        <v>6.9966048576651863E-3</v>
      </c>
    </row>
    <row r="1132" spans="1:8" x14ac:dyDescent="0.25">
      <c r="A1132" s="1">
        <v>1993</v>
      </c>
      <c r="B1132" s="1" t="s">
        <v>99</v>
      </c>
      <c r="C1132" t="s">
        <v>51</v>
      </c>
      <c r="D1132">
        <v>1</v>
      </c>
      <c r="E1132">
        <v>66</v>
      </c>
      <c r="F1132">
        <v>7.0000000000000007E-2</v>
      </c>
      <c r="G1132">
        <f t="shared" si="18"/>
        <v>2.3333333333333338E-2</v>
      </c>
      <c r="H1132">
        <f>G1132*(26.79/38.29)</f>
        <v>1.6325411334552103E-2</v>
      </c>
    </row>
    <row r="1133" spans="1:8" x14ac:dyDescent="0.25">
      <c r="A1133" s="1">
        <v>1993</v>
      </c>
      <c r="B1133" s="1" t="s">
        <v>99</v>
      </c>
      <c r="C1133" t="s">
        <v>51</v>
      </c>
      <c r="D1133">
        <v>1</v>
      </c>
      <c r="E1133">
        <v>66</v>
      </c>
      <c r="F1133">
        <v>7.0000000000000007E-2</v>
      </c>
      <c r="G1133">
        <f t="shared" si="18"/>
        <v>2.3333333333333338E-2</v>
      </c>
      <c r="H1133">
        <f>G1133*(26.79/38.29)</f>
        <v>1.6325411334552103E-2</v>
      </c>
    </row>
    <row r="1134" spans="1:8" x14ac:dyDescent="0.25">
      <c r="A1134" s="1">
        <v>1993</v>
      </c>
      <c r="B1134" s="1" t="s">
        <v>99</v>
      </c>
      <c r="C1134" t="s">
        <v>51</v>
      </c>
      <c r="D1134">
        <v>1</v>
      </c>
      <c r="E1134">
        <v>76</v>
      </c>
      <c r="F1134">
        <v>0.57999999999999996</v>
      </c>
      <c r="G1134">
        <f t="shared" si="18"/>
        <v>0.19333333333333333</v>
      </c>
      <c r="H1134">
        <f>G1134*(26.79/38.29)</f>
        <v>0.13526769391486027</v>
      </c>
    </row>
    <row r="1135" spans="1:8" x14ac:dyDescent="0.25">
      <c r="A1135" s="1">
        <v>1993</v>
      </c>
      <c r="B1135" s="1" t="s">
        <v>99</v>
      </c>
      <c r="C1135" t="s">
        <v>51</v>
      </c>
      <c r="D1135">
        <v>1</v>
      </c>
      <c r="E1135">
        <v>76</v>
      </c>
      <c r="F1135">
        <v>0.41</v>
      </c>
      <c r="G1135">
        <f t="shared" si="18"/>
        <v>0.13666666666666666</v>
      </c>
      <c r="H1135">
        <f>G1135*(26.79/38.29)</f>
        <v>9.5620266388090874E-2</v>
      </c>
    </row>
    <row r="1136" spans="1:8" x14ac:dyDescent="0.25">
      <c r="A1136" s="1">
        <v>1993</v>
      </c>
      <c r="B1136" s="1" t="s">
        <v>99</v>
      </c>
      <c r="C1136" t="s">
        <v>51</v>
      </c>
      <c r="D1136">
        <v>1</v>
      </c>
      <c r="E1136">
        <v>76</v>
      </c>
      <c r="F1136">
        <v>0.72</v>
      </c>
      <c r="G1136">
        <f t="shared" si="18"/>
        <v>0.24</v>
      </c>
      <c r="H1136">
        <f>G1136*(26.79/38.29)</f>
        <v>0.16791851658396445</v>
      </c>
    </row>
    <row r="1137" spans="1:8" x14ac:dyDescent="0.25">
      <c r="A1137" s="1">
        <v>1993</v>
      </c>
      <c r="B1137" s="1" t="s">
        <v>99</v>
      </c>
      <c r="C1137" t="s">
        <v>51</v>
      </c>
      <c r="D1137">
        <v>1</v>
      </c>
      <c r="E1137">
        <v>76</v>
      </c>
      <c r="F1137">
        <v>0.19</v>
      </c>
      <c r="G1137">
        <f t="shared" si="18"/>
        <v>6.3333333333333339E-2</v>
      </c>
      <c r="H1137">
        <f>G1137*(26.79/38.29)</f>
        <v>4.4311830765212848E-2</v>
      </c>
    </row>
    <row r="1138" spans="1:8" x14ac:dyDescent="0.25">
      <c r="A1138" s="1">
        <v>1993</v>
      </c>
      <c r="B1138" s="1" t="s">
        <v>99</v>
      </c>
      <c r="C1138" t="s">
        <v>51</v>
      </c>
      <c r="D1138">
        <v>1</v>
      </c>
      <c r="E1138">
        <v>76</v>
      </c>
      <c r="F1138">
        <v>0.06</v>
      </c>
      <c r="G1138">
        <f t="shared" si="18"/>
        <v>0.02</v>
      </c>
      <c r="H1138">
        <f>G1138*(26.79/38.29)</f>
        <v>1.3993209715330373E-2</v>
      </c>
    </row>
    <row r="1139" spans="1:8" x14ac:dyDescent="0.25">
      <c r="A1139" s="1">
        <v>1993</v>
      </c>
      <c r="B1139" s="1" t="s">
        <v>99</v>
      </c>
      <c r="C1139" t="s">
        <v>51</v>
      </c>
      <c r="D1139">
        <v>1</v>
      </c>
      <c r="E1139">
        <v>76</v>
      </c>
      <c r="F1139">
        <v>0.41</v>
      </c>
      <c r="G1139">
        <f t="shared" si="18"/>
        <v>0.13666666666666666</v>
      </c>
      <c r="H1139">
        <f>G1139*(26.79/38.29)</f>
        <v>9.5620266388090874E-2</v>
      </c>
    </row>
    <row r="1140" spans="1:8" x14ac:dyDescent="0.25">
      <c r="A1140" s="1">
        <v>1993</v>
      </c>
      <c r="B1140" s="1" t="s">
        <v>99</v>
      </c>
      <c r="C1140" t="s">
        <v>51</v>
      </c>
      <c r="D1140">
        <v>1</v>
      </c>
      <c r="E1140">
        <v>76</v>
      </c>
      <c r="F1140">
        <v>0.13</v>
      </c>
      <c r="G1140">
        <f t="shared" si="18"/>
        <v>4.3333333333333335E-2</v>
      </c>
      <c r="H1140">
        <f>G1140*(26.79/38.29)</f>
        <v>3.0318621049882474E-2</v>
      </c>
    </row>
    <row r="1141" spans="1:8" x14ac:dyDescent="0.25">
      <c r="A1141" s="1">
        <v>1993</v>
      </c>
      <c r="B1141" s="1" t="s">
        <v>99</v>
      </c>
      <c r="C1141" t="s">
        <v>51</v>
      </c>
      <c r="D1141">
        <v>1</v>
      </c>
      <c r="E1141">
        <v>76</v>
      </c>
      <c r="F1141">
        <v>0.46</v>
      </c>
      <c r="G1141">
        <f t="shared" si="18"/>
        <v>0.15333333333333335</v>
      </c>
      <c r="H1141">
        <f>G1141*(26.79/38.29)</f>
        <v>0.10728127448419954</v>
      </c>
    </row>
    <row r="1142" spans="1:8" x14ac:dyDescent="0.25">
      <c r="A1142" s="1">
        <v>1993</v>
      </c>
      <c r="B1142" s="1" t="s">
        <v>99</v>
      </c>
      <c r="C1142" t="s">
        <v>51</v>
      </c>
      <c r="D1142">
        <v>1</v>
      </c>
      <c r="E1142">
        <v>76</v>
      </c>
      <c r="F1142">
        <v>0.11</v>
      </c>
      <c r="G1142">
        <f t="shared" si="18"/>
        <v>3.6666666666666667E-2</v>
      </c>
      <c r="H1142">
        <f>G1142*(26.79/38.29)</f>
        <v>2.5654217811439017E-2</v>
      </c>
    </row>
    <row r="1143" spans="1:8" x14ac:dyDescent="0.25">
      <c r="A1143" s="1">
        <v>1993</v>
      </c>
      <c r="B1143" s="1" t="s">
        <v>99</v>
      </c>
      <c r="C1143" t="s">
        <v>51</v>
      </c>
      <c r="D1143">
        <v>1</v>
      </c>
      <c r="E1143">
        <v>76</v>
      </c>
      <c r="F1143">
        <v>0.56999999999999995</v>
      </c>
      <c r="G1143">
        <f t="shared" si="18"/>
        <v>0.19</v>
      </c>
      <c r="H1143">
        <f>G1143*(26.79/38.29)</f>
        <v>0.13293549229563853</v>
      </c>
    </row>
    <row r="1144" spans="1:8" x14ac:dyDescent="0.25">
      <c r="A1144" s="1">
        <v>1993</v>
      </c>
      <c r="B1144" s="1" t="s">
        <v>99</v>
      </c>
      <c r="C1144" t="s">
        <v>51</v>
      </c>
      <c r="D1144">
        <v>1</v>
      </c>
      <c r="E1144">
        <v>76</v>
      </c>
      <c r="F1144">
        <v>0.18</v>
      </c>
      <c r="G1144">
        <f t="shared" si="18"/>
        <v>0.06</v>
      </c>
      <c r="H1144">
        <f>G1144*(26.79/38.29)</f>
        <v>4.1979629145991113E-2</v>
      </c>
    </row>
    <row r="1145" spans="1:8" x14ac:dyDescent="0.25">
      <c r="A1145" s="1">
        <v>1993</v>
      </c>
      <c r="B1145" s="1" t="s">
        <v>99</v>
      </c>
      <c r="C1145" t="s">
        <v>51</v>
      </c>
      <c r="D1145">
        <v>1</v>
      </c>
      <c r="E1145">
        <v>76</v>
      </c>
      <c r="F1145">
        <v>0.06</v>
      </c>
      <c r="G1145">
        <f t="shared" si="18"/>
        <v>0.02</v>
      </c>
      <c r="H1145">
        <f>G1145*(26.79/38.29)</f>
        <v>1.3993209715330373E-2</v>
      </c>
    </row>
    <row r="1146" spans="1:8" x14ac:dyDescent="0.25">
      <c r="A1146" s="1">
        <v>1993</v>
      </c>
      <c r="B1146" s="1" t="s">
        <v>99</v>
      </c>
      <c r="C1146" t="s">
        <v>51</v>
      </c>
      <c r="D1146">
        <v>1</v>
      </c>
      <c r="E1146">
        <v>76</v>
      </c>
      <c r="F1146">
        <v>0.37</v>
      </c>
      <c r="G1146">
        <f t="shared" si="18"/>
        <v>0.12333333333333334</v>
      </c>
      <c r="H1146">
        <f>G1146*(26.79/38.29)</f>
        <v>8.629145991120396E-2</v>
      </c>
    </row>
    <row r="1147" spans="1:8" x14ac:dyDescent="0.25">
      <c r="A1147" s="1">
        <v>1993</v>
      </c>
      <c r="B1147" s="1" t="s">
        <v>99</v>
      </c>
      <c r="C1147" t="s">
        <v>51</v>
      </c>
      <c r="D1147">
        <v>1</v>
      </c>
      <c r="E1147">
        <v>76</v>
      </c>
      <c r="F1147">
        <v>0.67</v>
      </c>
      <c r="G1147">
        <f t="shared" si="18"/>
        <v>0.22333333333333333</v>
      </c>
      <c r="H1147">
        <f>G1147*(26.79/38.29)</f>
        <v>0.15625750848785583</v>
      </c>
    </row>
    <row r="1148" spans="1:8" x14ac:dyDescent="0.25">
      <c r="A1148" s="1">
        <v>1993</v>
      </c>
      <c r="B1148" s="1" t="s">
        <v>99</v>
      </c>
      <c r="C1148" t="s">
        <v>51</v>
      </c>
      <c r="D1148">
        <v>1</v>
      </c>
      <c r="E1148">
        <v>76</v>
      </c>
      <c r="F1148">
        <v>0.05</v>
      </c>
      <c r="G1148">
        <f t="shared" si="18"/>
        <v>1.666666666666667E-2</v>
      </c>
      <c r="H1148">
        <f>G1148*(26.79/38.29)</f>
        <v>1.1661008096108646E-2</v>
      </c>
    </row>
    <row r="1149" spans="1:8" x14ac:dyDescent="0.25">
      <c r="A1149" s="1">
        <v>1993</v>
      </c>
      <c r="B1149" s="1" t="s">
        <v>99</v>
      </c>
      <c r="C1149" t="s">
        <v>51</v>
      </c>
      <c r="D1149">
        <v>1</v>
      </c>
      <c r="E1149">
        <v>76</v>
      </c>
      <c r="F1149">
        <v>0.31</v>
      </c>
      <c r="G1149">
        <f t="shared" ref="G1149:G1212" si="19">(F1149/0.6)/5</f>
        <v>0.10333333333333335</v>
      </c>
      <c r="H1149">
        <f>G1149*(26.79/38.29)</f>
        <v>7.2298250195873603E-2</v>
      </c>
    </row>
    <row r="1150" spans="1:8" x14ac:dyDescent="0.25">
      <c r="A1150" s="1">
        <v>1993</v>
      </c>
      <c r="B1150" s="1" t="s">
        <v>99</v>
      </c>
      <c r="C1150" t="s">
        <v>51</v>
      </c>
      <c r="D1150">
        <v>1</v>
      </c>
      <c r="E1150">
        <v>76</v>
      </c>
      <c r="F1150">
        <v>0.21</v>
      </c>
      <c r="G1150">
        <f t="shared" si="19"/>
        <v>6.9999999999999993E-2</v>
      </c>
      <c r="H1150">
        <f>G1150*(26.79/38.29)</f>
        <v>4.8976234003656298E-2</v>
      </c>
    </row>
    <row r="1151" spans="1:8" x14ac:dyDescent="0.25">
      <c r="A1151" s="1">
        <v>1993</v>
      </c>
      <c r="B1151" s="1" t="s">
        <v>99</v>
      </c>
      <c r="C1151" t="s">
        <v>51</v>
      </c>
      <c r="D1151">
        <v>1</v>
      </c>
      <c r="E1151">
        <v>76</v>
      </c>
      <c r="F1151">
        <v>7.0000000000000007E-2</v>
      </c>
      <c r="G1151">
        <f t="shared" si="19"/>
        <v>2.3333333333333338E-2</v>
      </c>
      <c r="H1151">
        <f>G1151*(26.79/38.29)</f>
        <v>1.6325411334552103E-2</v>
      </c>
    </row>
    <row r="1152" spans="1:8" x14ac:dyDescent="0.25">
      <c r="A1152" s="1">
        <v>1993</v>
      </c>
      <c r="B1152" s="1" t="s">
        <v>99</v>
      </c>
      <c r="C1152" t="s">
        <v>51</v>
      </c>
      <c r="D1152">
        <v>1</v>
      </c>
      <c r="E1152">
        <v>76</v>
      </c>
      <c r="F1152">
        <v>0.22</v>
      </c>
      <c r="G1152">
        <f t="shared" si="19"/>
        <v>7.3333333333333334E-2</v>
      </c>
      <c r="H1152">
        <f>G1152*(26.79/38.29)</f>
        <v>5.1308435622878033E-2</v>
      </c>
    </row>
    <row r="1153" spans="1:8" x14ac:dyDescent="0.25">
      <c r="A1153" s="1">
        <v>1993</v>
      </c>
      <c r="B1153" s="1" t="s">
        <v>99</v>
      </c>
      <c r="C1153" t="s">
        <v>51</v>
      </c>
      <c r="D1153">
        <v>1</v>
      </c>
      <c r="E1153">
        <v>76</v>
      </c>
      <c r="F1153">
        <v>0.03</v>
      </c>
      <c r="G1153">
        <f t="shared" si="19"/>
        <v>0.01</v>
      </c>
      <c r="H1153">
        <f>G1153*(26.79/38.29)</f>
        <v>6.9966048576651863E-3</v>
      </c>
    </row>
    <row r="1154" spans="1:8" x14ac:dyDescent="0.25">
      <c r="A1154" s="1">
        <v>1993</v>
      </c>
      <c r="B1154" s="1" t="s">
        <v>99</v>
      </c>
      <c r="C1154" t="s">
        <v>51</v>
      </c>
      <c r="D1154">
        <v>1</v>
      </c>
      <c r="E1154">
        <v>76</v>
      </c>
      <c r="F1154">
        <v>0.12</v>
      </c>
      <c r="G1154">
        <f t="shared" si="19"/>
        <v>0.04</v>
      </c>
      <c r="H1154">
        <f>G1154*(26.79/38.29)</f>
        <v>2.7986419430660745E-2</v>
      </c>
    </row>
    <row r="1155" spans="1:8" x14ac:dyDescent="0.25">
      <c r="A1155" s="1">
        <v>1993</v>
      </c>
      <c r="B1155" s="1" t="s">
        <v>99</v>
      </c>
      <c r="C1155" t="s">
        <v>51</v>
      </c>
      <c r="D1155">
        <v>1</v>
      </c>
      <c r="E1155">
        <v>76</v>
      </c>
      <c r="F1155">
        <v>0.15</v>
      </c>
      <c r="G1155">
        <f t="shared" si="19"/>
        <v>0.05</v>
      </c>
      <c r="H1155">
        <f>G1155*(26.79/38.29)</f>
        <v>3.4983024288325934E-2</v>
      </c>
    </row>
    <row r="1156" spans="1:8" x14ac:dyDescent="0.25">
      <c r="A1156" s="1">
        <v>1993</v>
      </c>
      <c r="B1156" s="1" t="s">
        <v>99</v>
      </c>
      <c r="C1156" t="s">
        <v>51</v>
      </c>
      <c r="D1156">
        <v>1</v>
      </c>
      <c r="E1156">
        <v>76</v>
      </c>
      <c r="F1156">
        <v>0.08</v>
      </c>
      <c r="G1156">
        <f t="shared" si="19"/>
        <v>2.6666666666666665E-2</v>
      </c>
      <c r="H1156">
        <f>G1156*(26.79/38.29)</f>
        <v>1.8657612953773828E-2</v>
      </c>
    </row>
    <row r="1157" spans="1:8" x14ac:dyDescent="0.25">
      <c r="A1157" s="1">
        <v>1993</v>
      </c>
      <c r="B1157" s="1" t="s">
        <v>99</v>
      </c>
      <c r="C1157" t="s">
        <v>51</v>
      </c>
      <c r="D1157">
        <v>1</v>
      </c>
      <c r="E1157">
        <v>76</v>
      </c>
      <c r="F1157">
        <v>0.35</v>
      </c>
      <c r="G1157">
        <f t="shared" si="19"/>
        <v>0.11666666666666667</v>
      </c>
      <c r="H1157">
        <f>G1157*(26.79/38.29)</f>
        <v>8.1627056672760503E-2</v>
      </c>
    </row>
    <row r="1158" spans="1:8" x14ac:dyDescent="0.25">
      <c r="A1158" s="1">
        <v>1993</v>
      </c>
      <c r="B1158" s="1" t="s">
        <v>99</v>
      </c>
      <c r="C1158" t="s">
        <v>51</v>
      </c>
      <c r="D1158">
        <v>1</v>
      </c>
      <c r="E1158">
        <v>76</v>
      </c>
      <c r="F1158">
        <v>0.09</v>
      </c>
      <c r="G1158">
        <f t="shared" si="19"/>
        <v>0.03</v>
      </c>
      <c r="H1158">
        <f>G1158*(26.79/38.29)</f>
        <v>2.0989814572995556E-2</v>
      </c>
    </row>
    <row r="1159" spans="1:8" x14ac:dyDescent="0.25">
      <c r="A1159" s="1">
        <v>1993</v>
      </c>
      <c r="B1159" s="1" t="s">
        <v>99</v>
      </c>
      <c r="C1159" t="s">
        <v>51</v>
      </c>
      <c r="D1159">
        <v>1</v>
      </c>
      <c r="E1159">
        <v>76</v>
      </c>
      <c r="F1159">
        <v>0.32</v>
      </c>
      <c r="G1159">
        <f t="shared" si="19"/>
        <v>0.10666666666666666</v>
      </c>
      <c r="H1159">
        <f>G1159*(26.79/38.29)</f>
        <v>7.4630451815095311E-2</v>
      </c>
    </row>
    <row r="1160" spans="1:8" x14ac:dyDescent="0.25">
      <c r="A1160" s="1">
        <v>1993</v>
      </c>
      <c r="B1160" s="1" t="s">
        <v>99</v>
      </c>
      <c r="C1160" t="s">
        <v>51</v>
      </c>
      <c r="D1160">
        <v>1</v>
      </c>
      <c r="E1160">
        <v>76</v>
      </c>
      <c r="F1160">
        <v>0.09</v>
      </c>
      <c r="G1160">
        <f t="shared" si="19"/>
        <v>0.03</v>
      </c>
      <c r="H1160">
        <f>G1160*(26.79/38.29)</f>
        <v>2.0989814572995556E-2</v>
      </c>
    </row>
    <row r="1161" spans="1:8" x14ac:dyDescent="0.25">
      <c r="A1161" s="1">
        <v>1993</v>
      </c>
      <c r="B1161" s="1" t="s">
        <v>99</v>
      </c>
      <c r="C1161" t="s">
        <v>51</v>
      </c>
      <c r="D1161">
        <v>1</v>
      </c>
      <c r="E1161">
        <v>76</v>
      </c>
      <c r="F1161">
        <v>0.04</v>
      </c>
      <c r="G1161">
        <f t="shared" si="19"/>
        <v>1.3333333333333332E-2</v>
      </c>
      <c r="H1161">
        <f>G1161*(26.79/38.29)</f>
        <v>9.3288064768869139E-3</v>
      </c>
    </row>
    <row r="1162" spans="1:8" x14ac:dyDescent="0.25">
      <c r="A1162" s="1">
        <v>1993</v>
      </c>
      <c r="B1162" s="1" t="s">
        <v>99</v>
      </c>
      <c r="C1162" t="s">
        <v>51</v>
      </c>
      <c r="D1162">
        <v>1</v>
      </c>
      <c r="E1162">
        <v>76</v>
      </c>
      <c r="F1162">
        <v>0.12</v>
      </c>
      <c r="G1162">
        <f t="shared" si="19"/>
        <v>0.04</v>
      </c>
      <c r="H1162">
        <f>G1162*(26.79/38.29)</f>
        <v>2.7986419430660745E-2</v>
      </c>
    </row>
    <row r="1163" spans="1:8" x14ac:dyDescent="0.25">
      <c r="A1163" s="1">
        <v>1993</v>
      </c>
      <c r="B1163" s="1" t="s">
        <v>99</v>
      </c>
      <c r="C1163" t="s">
        <v>51</v>
      </c>
      <c r="D1163">
        <v>1</v>
      </c>
      <c r="E1163">
        <v>76</v>
      </c>
      <c r="F1163">
        <v>0.32</v>
      </c>
      <c r="G1163">
        <f t="shared" si="19"/>
        <v>0.10666666666666666</v>
      </c>
      <c r="H1163">
        <f>G1163*(26.79/38.29)</f>
        <v>7.4630451815095311E-2</v>
      </c>
    </row>
    <row r="1164" spans="1:8" x14ac:dyDescent="0.25">
      <c r="A1164" s="1">
        <v>1993</v>
      </c>
      <c r="B1164" s="1" t="s">
        <v>99</v>
      </c>
      <c r="C1164" t="s">
        <v>51</v>
      </c>
      <c r="D1164">
        <v>1</v>
      </c>
      <c r="E1164">
        <v>76</v>
      </c>
      <c r="F1164">
        <v>1.08</v>
      </c>
      <c r="G1164">
        <f t="shared" si="19"/>
        <v>0.36000000000000004</v>
      </c>
      <c r="H1164">
        <f>G1164*(26.79/38.29)</f>
        <v>0.25187777487594676</v>
      </c>
    </row>
    <row r="1165" spans="1:8" x14ac:dyDescent="0.25">
      <c r="A1165" s="1">
        <v>1993</v>
      </c>
      <c r="B1165" s="1" t="s">
        <v>99</v>
      </c>
      <c r="C1165" t="s">
        <v>51</v>
      </c>
      <c r="D1165">
        <v>1</v>
      </c>
      <c r="E1165">
        <v>76</v>
      </c>
      <c r="F1165">
        <v>0.08</v>
      </c>
      <c r="G1165">
        <f t="shared" si="19"/>
        <v>2.6666666666666665E-2</v>
      </c>
      <c r="H1165">
        <f>G1165*(26.79/38.29)</f>
        <v>1.8657612953773828E-2</v>
      </c>
    </row>
    <row r="1166" spans="1:8" x14ac:dyDescent="0.25">
      <c r="A1166" s="1">
        <v>1993</v>
      </c>
      <c r="B1166" s="1" t="s">
        <v>99</v>
      </c>
      <c r="C1166" t="s">
        <v>51</v>
      </c>
      <c r="D1166">
        <v>1</v>
      </c>
      <c r="E1166">
        <v>76</v>
      </c>
      <c r="F1166">
        <v>0.04</v>
      </c>
      <c r="G1166">
        <f t="shared" si="19"/>
        <v>1.3333333333333332E-2</v>
      </c>
      <c r="H1166">
        <f>G1166*(26.79/38.29)</f>
        <v>9.3288064768869139E-3</v>
      </c>
    </row>
    <row r="1167" spans="1:8" x14ac:dyDescent="0.25">
      <c r="A1167" s="1">
        <v>1993</v>
      </c>
      <c r="B1167" s="1" t="s">
        <v>99</v>
      </c>
      <c r="C1167" t="s">
        <v>51</v>
      </c>
      <c r="D1167">
        <v>1</v>
      </c>
      <c r="E1167">
        <v>76</v>
      </c>
      <c r="F1167">
        <v>0.09</v>
      </c>
      <c r="G1167">
        <f t="shared" si="19"/>
        <v>0.03</v>
      </c>
      <c r="H1167">
        <f>G1167*(26.79/38.29)</f>
        <v>2.0989814572995556E-2</v>
      </c>
    </row>
    <row r="1168" spans="1:8" x14ac:dyDescent="0.25">
      <c r="A1168" s="1">
        <v>1993</v>
      </c>
      <c r="B1168" s="1" t="s">
        <v>99</v>
      </c>
      <c r="C1168" t="s">
        <v>51</v>
      </c>
      <c r="D1168">
        <v>1</v>
      </c>
      <c r="E1168">
        <v>76</v>
      </c>
      <c r="F1168">
        <v>0.13</v>
      </c>
      <c r="G1168">
        <f t="shared" si="19"/>
        <v>4.3333333333333335E-2</v>
      </c>
      <c r="H1168">
        <f>G1168*(26.79/38.29)</f>
        <v>3.0318621049882474E-2</v>
      </c>
    </row>
    <row r="1169" spans="1:8" x14ac:dyDescent="0.25">
      <c r="A1169" s="1">
        <v>1993</v>
      </c>
      <c r="B1169" s="1" t="s">
        <v>99</v>
      </c>
      <c r="C1169" t="s">
        <v>51</v>
      </c>
      <c r="D1169">
        <v>1</v>
      </c>
      <c r="E1169">
        <v>76</v>
      </c>
      <c r="F1169">
        <v>0.08</v>
      </c>
      <c r="G1169">
        <f t="shared" si="19"/>
        <v>2.6666666666666665E-2</v>
      </c>
      <c r="H1169">
        <f>G1169*(26.79/38.29)</f>
        <v>1.8657612953773828E-2</v>
      </c>
    </row>
    <row r="1170" spans="1:8" x14ac:dyDescent="0.25">
      <c r="A1170" s="1">
        <v>1993</v>
      </c>
      <c r="B1170" s="1" t="s">
        <v>99</v>
      </c>
      <c r="C1170" t="s">
        <v>51</v>
      </c>
      <c r="D1170">
        <v>1</v>
      </c>
      <c r="E1170">
        <v>78</v>
      </c>
      <c r="F1170">
        <v>0.05</v>
      </c>
      <c r="G1170">
        <f t="shared" si="19"/>
        <v>1.666666666666667E-2</v>
      </c>
      <c r="H1170">
        <f>G1170*(26.79/38.29)</f>
        <v>1.1661008096108646E-2</v>
      </c>
    </row>
    <row r="1171" spans="1:8" x14ac:dyDescent="0.25">
      <c r="A1171" s="1">
        <v>1993</v>
      </c>
      <c r="B1171" s="1" t="s">
        <v>99</v>
      </c>
      <c r="C1171" t="s">
        <v>51</v>
      </c>
      <c r="D1171">
        <v>1</v>
      </c>
      <c r="E1171">
        <v>78</v>
      </c>
      <c r="F1171">
        <v>0.03</v>
      </c>
      <c r="G1171">
        <f t="shared" si="19"/>
        <v>0.01</v>
      </c>
      <c r="H1171">
        <f>G1171*(26.79/38.29)</f>
        <v>6.9966048576651863E-3</v>
      </c>
    </row>
    <row r="1172" spans="1:8" x14ac:dyDescent="0.25">
      <c r="A1172" s="1">
        <v>1993</v>
      </c>
      <c r="B1172" s="1" t="s">
        <v>99</v>
      </c>
      <c r="C1172" t="s">
        <v>51</v>
      </c>
      <c r="D1172">
        <v>1</v>
      </c>
      <c r="E1172">
        <v>78</v>
      </c>
      <c r="F1172">
        <v>0.04</v>
      </c>
      <c r="G1172">
        <f t="shared" si="19"/>
        <v>1.3333333333333332E-2</v>
      </c>
      <c r="H1172">
        <f>G1172*(26.79/38.29)</f>
        <v>9.3288064768869139E-3</v>
      </c>
    </row>
    <row r="1173" spans="1:8" x14ac:dyDescent="0.25">
      <c r="A1173" s="1">
        <v>1993</v>
      </c>
      <c r="B1173" s="1" t="s">
        <v>99</v>
      </c>
      <c r="C1173" t="s">
        <v>51</v>
      </c>
      <c r="D1173">
        <v>1</v>
      </c>
      <c r="E1173">
        <v>78</v>
      </c>
      <c r="F1173">
        <v>0.03</v>
      </c>
      <c r="G1173">
        <f t="shared" si="19"/>
        <v>0.01</v>
      </c>
      <c r="H1173">
        <f>G1173*(26.79/38.29)</f>
        <v>6.9966048576651863E-3</v>
      </c>
    </row>
    <row r="1174" spans="1:8" x14ac:dyDescent="0.25">
      <c r="A1174" s="1">
        <v>1993</v>
      </c>
      <c r="B1174" s="1" t="s">
        <v>99</v>
      </c>
      <c r="C1174" t="s">
        <v>51</v>
      </c>
      <c r="D1174">
        <v>1</v>
      </c>
      <c r="E1174">
        <v>79</v>
      </c>
      <c r="F1174">
        <v>0.35</v>
      </c>
      <c r="G1174">
        <f t="shared" si="19"/>
        <v>0.11666666666666667</v>
      </c>
      <c r="H1174">
        <f>G1174*(26.79/38.29)</f>
        <v>8.1627056672760503E-2</v>
      </c>
    </row>
    <row r="1175" spans="1:8" x14ac:dyDescent="0.25">
      <c r="A1175" s="1">
        <v>1993</v>
      </c>
      <c r="B1175" s="1" t="s">
        <v>99</v>
      </c>
      <c r="C1175" t="s">
        <v>51</v>
      </c>
      <c r="D1175">
        <v>1</v>
      </c>
      <c r="E1175">
        <v>79</v>
      </c>
      <c r="F1175">
        <v>0.11</v>
      </c>
      <c r="G1175">
        <f t="shared" si="19"/>
        <v>3.6666666666666667E-2</v>
      </c>
      <c r="H1175">
        <f>G1175*(26.79/38.29)</f>
        <v>2.5654217811439017E-2</v>
      </c>
    </row>
    <row r="1176" spans="1:8" x14ac:dyDescent="0.25">
      <c r="A1176" s="1">
        <v>1993</v>
      </c>
      <c r="B1176" s="1" t="s">
        <v>99</v>
      </c>
      <c r="C1176" t="s">
        <v>51</v>
      </c>
      <c r="D1176">
        <v>1</v>
      </c>
      <c r="E1176">
        <v>79</v>
      </c>
      <c r="F1176">
        <v>7.0000000000000007E-2</v>
      </c>
      <c r="G1176">
        <f t="shared" si="19"/>
        <v>2.3333333333333338E-2</v>
      </c>
      <c r="H1176">
        <f>G1176*(26.79/38.29)</f>
        <v>1.6325411334552103E-2</v>
      </c>
    </row>
    <row r="1177" spans="1:8" x14ac:dyDescent="0.25">
      <c r="A1177" s="1">
        <v>1993</v>
      </c>
      <c r="B1177" s="1" t="s">
        <v>99</v>
      </c>
      <c r="C1177" t="s">
        <v>51</v>
      </c>
      <c r="D1177">
        <v>1</v>
      </c>
      <c r="E1177">
        <v>79</v>
      </c>
      <c r="F1177">
        <v>0.39</v>
      </c>
      <c r="G1177">
        <f t="shared" si="19"/>
        <v>0.13</v>
      </c>
      <c r="H1177">
        <f>G1177*(26.79/38.29)</f>
        <v>9.0955863149647431E-2</v>
      </c>
    </row>
    <row r="1178" spans="1:8" x14ac:dyDescent="0.25">
      <c r="A1178" s="1">
        <v>1993</v>
      </c>
      <c r="B1178" s="1" t="s">
        <v>99</v>
      </c>
      <c r="C1178" t="s">
        <v>51</v>
      </c>
      <c r="D1178">
        <v>1</v>
      </c>
      <c r="E1178">
        <v>79</v>
      </c>
      <c r="F1178">
        <v>0.13</v>
      </c>
      <c r="G1178">
        <f t="shared" si="19"/>
        <v>4.3333333333333335E-2</v>
      </c>
      <c r="H1178">
        <f>G1178*(26.79/38.29)</f>
        <v>3.0318621049882474E-2</v>
      </c>
    </row>
    <row r="1179" spans="1:8" x14ac:dyDescent="0.25">
      <c r="A1179" s="1">
        <v>1993</v>
      </c>
      <c r="B1179" s="1" t="s">
        <v>99</v>
      </c>
      <c r="C1179" t="s">
        <v>51</v>
      </c>
      <c r="D1179">
        <v>1</v>
      </c>
      <c r="E1179">
        <v>79</v>
      </c>
      <c r="F1179">
        <v>0.89</v>
      </c>
      <c r="G1179">
        <f t="shared" si="19"/>
        <v>0.29666666666666669</v>
      </c>
      <c r="H1179">
        <f>G1179*(26.79/38.29)</f>
        <v>0.20756594411073387</v>
      </c>
    </row>
    <row r="1180" spans="1:8" x14ac:dyDescent="0.25">
      <c r="A1180" s="1">
        <v>1993</v>
      </c>
      <c r="B1180" s="1" t="s">
        <v>99</v>
      </c>
      <c r="C1180" t="s">
        <v>51</v>
      </c>
      <c r="D1180">
        <v>1</v>
      </c>
      <c r="E1180">
        <v>79</v>
      </c>
      <c r="F1180">
        <v>0.68</v>
      </c>
      <c r="G1180">
        <f t="shared" si="19"/>
        <v>0.22666666666666671</v>
      </c>
      <c r="H1180">
        <f>G1180*(26.79/38.29)</f>
        <v>0.15858971010707759</v>
      </c>
    </row>
    <row r="1181" spans="1:8" x14ac:dyDescent="0.25">
      <c r="A1181" s="1">
        <v>1993</v>
      </c>
      <c r="B1181" s="1" t="s">
        <v>99</v>
      </c>
      <c r="C1181" t="s">
        <v>51</v>
      </c>
      <c r="D1181">
        <v>1</v>
      </c>
      <c r="E1181">
        <v>79</v>
      </c>
      <c r="F1181">
        <v>0.05</v>
      </c>
      <c r="G1181">
        <f t="shared" si="19"/>
        <v>1.666666666666667E-2</v>
      </c>
      <c r="H1181">
        <f>G1181*(26.79/38.29)</f>
        <v>1.1661008096108646E-2</v>
      </c>
    </row>
    <row r="1182" spans="1:8" x14ac:dyDescent="0.25">
      <c r="A1182" s="1">
        <v>1993</v>
      </c>
      <c r="B1182" s="1" t="s">
        <v>99</v>
      </c>
      <c r="C1182" t="s">
        <v>51</v>
      </c>
      <c r="D1182">
        <v>1</v>
      </c>
      <c r="E1182">
        <v>79</v>
      </c>
      <c r="F1182">
        <v>0.08</v>
      </c>
      <c r="G1182">
        <f t="shared" si="19"/>
        <v>2.6666666666666665E-2</v>
      </c>
      <c r="H1182">
        <f>G1182*(26.79/38.29)</f>
        <v>1.8657612953773828E-2</v>
      </c>
    </row>
    <row r="1183" spans="1:8" x14ac:dyDescent="0.25">
      <c r="A1183" s="1">
        <v>1993</v>
      </c>
      <c r="B1183" s="1" t="s">
        <v>99</v>
      </c>
      <c r="C1183" t="s">
        <v>51</v>
      </c>
      <c r="D1183">
        <v>1</v>
      </c>
      <c r="E1183">
        <v>79</v>
      </c>
      <c r="F1183">
        <v>0.12</v>
      </c>
      <c r="G1183">
        <f t="shared" si="19"/>
        <v>0.04</v>
      </c>
      <c r="H1183">
        <f>G1183*(26.79/38.29)</f>
        <v>2.7986419430660745E-2</v>
      </c>
    </row>
    <row r="1184" spans="1:8" x14ac:dyDescent="0.25">
      <c r="A1184" s="1">
        <v>1993</v>
      </c>
      <c r="B1184" s="1" t="s">
        <v>99</v>
      </c>
      <c r="C1184" t="s">
        <v>51</v>
      </c>
      <c r="D1184">
        <v>1</v>
      </c>
      <c r="E1184">
        <v>79</v>
      </c>
      <c r="F1184">
        <v>0.16</v>
      </c>
      <c r="G1184">
        <f t="shared" si="19"/>
        <v>5.333333333333333E-2</v>
      </c>
      <c r="H1184">
        <f>G1184*(26.79/38.29)</f>
        <v>3.7315225907547656E-2</v>
      </c>
    </row>
    <row r="1185" spans="1:8" x14ac:dyDescent="0.25">
      <c r="A1185" s="1">
        <v>1993</v>
      </c>
      <c r="B1185" s="1" t="s">
        <v>99</v>
      </c>
      <c r="C1185" t="s">
        <v>51</v>
      </c>
      <c r="D1185">
        <v>1</v>
      </c>
      <c r="E1185">
        <v>79</v>
      </c>
      <c r="F1185">
        <v>0.08</v>
      </c>
      <c r="G1185">
        <f t="shared" si="19"/>
        <v>2.6666666666666665E-2</v>
      </c>
      <c r="H1185">
        <f>G1185*(26.79/38.29)</f>
        <v>1.8657612953773828E-2</v>
      </c>
    </row>
    <row r="1186" spans="1:8" x14ac:dyDescent="0.25">
      <c r="A1186" s="1">
        <v>1993</v>
      </c>
      <c r="B1186" s="1" t="s">
        <v>99</v>
      </c>
      <c r="C1186" t="s">
        <v>51</v>
      </c>
      <c r="D1186">
        <v>1</v>
      </c>
      <c r="E1186">
        <v>79</v>
      </c>
      <c r="F1186">
        <v>0.7</v>
      </c>
      <c r="G1186">
        <f t="shared" si="19"/>
        <v>0.23333333333333334</v>
      </c>
      <c r="H1186">
        <f>G1186*(26.79/38.29)</f>
        <v>0.16325411334552101</v>
      </c>
    </row>
    <row r="1187" spans="1:8" x14ac:dyDescent="0.25">
      <c r="A1187" s="1">
        <v>1993</v>
      </c>
      <c r="B1187" s="1" t="s">
        <v>99</v>
      </c>
      <c r="C1187" t="s">
        <v>51</v>
      </c>
      <c r="D1187">
        <v>1</v>
      </c>
      <c r="E1187">
        <v>79</v>
      </c>
      <c r="F1187">
        <v>0.65</v>
      </c>
      <c r="G1187">
        <f t="shared" si="19"/>
        <v>0.2166666666666667</v>
      </c>
      <c r="H1187">
        <f>G1187*(26.79/38.29)</f>
        <v>0.15159310524941239</v>
      </c>
    </row>
    <row r="1188" spans="1:8" x14ac:dyDescent="0.25">
      <c r="A1188" s="1">
        <v>1993</v>
      </c>
      <c r="B1188" s="1" t="s">
        <v>99</v>
      </c>
      <c r="C1188" t="s">
        <v>51</v>
      </c>
      <c r="D1188">
        <v>1</v>
      </c>
      <c r="E1188">
        <v>79</v>
      </c>
      <c r="F1188">
        <v>0.11</v>
      </c>
      <c r="G1188">
        <f t="shared" si="19"/>
        <v>3.6666666666666667E-2</v>
      </c>
      <c r="H1188">
        <f>G1188*(26.79/38.29)</f>
        <v>2.5654217811439017E-2</v>
      </c>
    </row>
    <row r="1189" spans="1:8" x14ac:dyDescent="0.25">
      <c r="A1189" s="1">
        <v>1993</v>
      </c>
      <c r="B1189" s="1" t="s">
        <v>99</v>
      </c>
      <c r="C1189" t="s">
        <v>51</v>
      </c>
      <c r="D1189">
        <v>1</v>
      </c>
      <c r="E1189">
        <v>79</v>
      </c>
      <c r="F1189">
        <v>1.19</v>
      </c>
      <c r="G1189">
        <f t="shared" si="19"/>
        <v>0.39666666666666667</v>
      </c>
      <c r="H1189">
        <f>G1189*(26.79/38.29)</f>
        <v>0.27753199268738571</v>
      </c>
    </row>
    <row r="1190" spans="1:8" x14ac:dyDescent="0.25">
      <c r="A1190" s="1">
        <v>1993</v>
      </c>
      <c r="B1190" s="1" t="s">
        <v>99</v>
      </c>
      <c r="C1190" t="s">
        <v>51</v>
      </c>
      <c r="D1190">
        <v>1</v>
      </c>
      <c r="E1190">
        <v>79</v>
      </c>
      <c r="F1190">
        <v>0.21</v>
      </c>
      <c r="G1190">
        <f t="shared" si="19"/>
        <v>6.9999999999999993E-2</v>
      </c>
      <c r="H1190">
        <f>G1190*(26.79/38.29)</f>
        <v>4.8976234003656298E-2</v>
      </c>
    </row>
    <row r="1191" spans="1:8" x14ac:dyDescent="0.25">
      <c r="A1191" s="1">
        <v>1993</v>
      </c>
      <c r="B1191" s="1" t="s">
        <v>99</v>
      </c>
      <c r="C1191" t="s">
        <v>51</v>
      </c>
      <c r="D1191">
        <v>1</v>
      </c>
      <c r="E1191">
        <v>79</v>
      </c>
      <c r="F1191">
        <v>0.65</v>
      </c>
      <c r="G1191">
        <f t="shared" si="19"/>
        <v>0.2166666666666667</v>
      </c>
      <c r="H1191">
        <f>G1191*(26.79/38.29)</f>
        <v>0.15159310524941239</v>
      </c>
    </row>
    <row r="1192" spans="1:8" x14ac:dyDescent="0.25">
      <c r="A1192" s="1">
        <v>1993</v>
      </c>
      <c r="B1192" s="1" t="s">
        <v>99</v>
      </c>
      <c r="C1192" t="s">
        <v>51</v>
      </c>
      <c r="D1192">
        <v>1</v>
      </c>
      <c r="E1192">
        <v>79</v>
      </c>
      <c r="F1192">
        <v>0.56000000000000005</v>
      </c>
      <c r="G1192">
        <f t="shared" si="19"/>
        <v>0.1866666666666667</v>
      </c>
      <c r="H1192">
        <f>G1192*(26.79/38.29)</f>
        <v>0.13060329067641682</v>
      </c>
    </row>
    <row r="1193" spans="1:8" x14ac:dyDescent="0.25">
      <c r="A1193" s="1">
        <v>1993</v>
      </c>
      <c r="B1193" s="1" t="s">
        <v>99</v>
      </c>
      <c r="C1193" t="s">
        <v>51</v>
      </c>
      <c r="D1193">
        <v>1</v>
      </c>
      <c r="E1193">
        <v>79</v>
      </c>
      <c r="F1193">
        <v>0.14000000000000001</v>
      </c>
      <c r="G1193">
        <f t="shared" si="19"/>
        <v>4.6666666666666676E-2</v>
      </c>
      <c r="H1193">
        <f>G1193*(26.79/38.29)</f>
        <v>3.2650822669104206E-2</v>
      </c>
    </row>
    <row r="1194" spans="1:8" x14ac:dyDescent="0.25">
      <c r="A1194" s="1">
        <v>1993</v>
      </c>
      <c r="B1194" s="1" t="s">
        <v>99</v>
      </c>
      <c r="C1194" t="s">
        <v>51</v>
      </c>
      <c r="D1194">
        <v>1</v>
      </c>
      <c r="E1194">
        <v>79</v>
      </c>
      <c r="F1194">
        <v>0.95</v>
      </c>
      <c r="G1194">
        <f t="shared" si="19"/>
        <v>0.31666666666666665</v>
      </c>
      <c r="H1194">
        <f>G1194*(26.79/38.29)</f>
        <v>0.22155915382606423</v>
      </c>
    </row>
    <row r="1195" spans="1:8" x14ac:dyDescent="0.25">
      <c r="A1195" s="1">
        <v>1993</v>
      </c>
      <c r="B1195" s="1" t="s">
        <v>99</v>
      </c>
      <c r="C1195" t="s">
        <v>51</v>
      </c>
      <c r="D1195">
        <v>1</v>
      </c>
      <c r="E1195">
        <v>79</v>
      </c>
      <c r="F1195">
        <v>0.75</v>
      </c>
      <c r="G1195">
        <f t="shared" si="19"/>
        <v>0.25</v>
      </c>
      <c r="H1195">
        <f>G1195*(26.79/38.29)</f>
        <v>0.17491512144162966</v>
      </c>
    </row>
    <row r="1196" spans="1:8" x14ac:dyDescent="0.25">
      <c r="A1196" s="1">
        <v>1993</v>
      </c>
      <c r="B1196" s="1" t="s">
        <v>99</v>
      </c>
      <c r="C1196" t="s">
        <v>51</v>
      </c>
      <c r="D1196">
        <v>1</v>
      </c>
      <c r="E1196">
        <v>79</v>
      </c>
      <c r="F1196">
        <v>0.16</v>
      </c>
      <c r="G1196">
        <f t="shared" si="19"/>
        <v>5.333333333333333E-2</v>
      </c>
      <c r="H1196">
        <f>G1196*(26.79/38.29)</f>
        <v>3.7315225907547656E-2</v>
      </c>
    </row>
    <row r="1197" spans="1:8" x14ac:dyDescent="0.25">
      <c r="A1197" s="1">
        <v>1993</v>
      </c>
      <c r="B1197" s="1" t="s">
        <v>99</v>
      </c>
      <c r="C1197" t="s">
        <v>51</v>
      </c>
      <c r="D1197">
        <v>1</v>
      </c>
      <c r="E1197">
        <v>91</v>
      </c>
      <c r="F1197">
        <v>0.15</v>
      </c>
      <c r="G1197">
        <f t="shared" si="19"/>
        <v>0.05</v>
      </c>
      <c r="H1197">
        <f>G1197*(26.79/38.29)</f>
        <v>3.4983024288325934E-2</v>
      </c>
    </row>
    <row r="1198" spans="1:8" x14ac:dyDescent="0.25">
      <c r="A1198" s="1">
        <v>1993</v>
      </c>
      <c r="B1198" s="1" t="s">
        <v>99</v>
      </c>
      <c r="C1198" t="s">
        <v>51</v>
      </c>
      <c r="D1198">
        <v>1</v>
      </c>
      <c r="E1198">
        <v>91</v>
      </c>
      <c r="F1198">
        <v>0.43</v>
      </c>
      <c r="G1198">
        <f t="shared" si="19"/>
        <v>0.14333333333333334</v>
      </c>
      <c r="H1198">
        <f>G1198*(26.79/38.29)</f>
        <v>0.10028466962653435</v>
      </c>
    </row>
    <row r="1199" spans="1:8" x14ac:dyDescent="0.25">
      <c r="A1199" s="1">
        <v>1993</v>
      </c>
      <c r="B1199" s="1" t="s">
        <v>99</v>
      </c>
      <c r="C1199" t="s">
        <v>51</v>
      </c>
      <c r="D1199">
        <v>1</v>
      </c>
      <c r="E1199">
        <v>91</v>
      </c>
      <c r="F1199">
        <v>0.41</v>
      </c>
      <c r="G1199">
        <f t="shared" si="19"/>
        <v>0.13666666666666666</v>
      </c>
      <c r="H1199">
        <f>G1199*(26.79/38.29)</f>
        <v>9.5620266388090874E-2</v>
      </c>
    </row>
    <row r="1200" spans="1:8" x14ac:dyDescent="0.25">
      <c r="A1200" s="1">
        <v>1993</v>
      </c>
      <c r="B1200" s="1" t="s">
        <v>99</v>
      </c>
      <c r="C1200" t="s">
        <v>51</v>
      </c>
      <c r="D1200">
        <v>1</v>
      </c>
      <c r="E1200">
        <v>91</v>
      </c>
      <c r="F1200">
        <v>0.18</v>
      </c>
      <c r="G1200">
        <f t="shared" si="19"/>
        <v>0.06</v>
      </c>
      <c r="H1200">
        <f>G1200*(26.79/38.29)</f>
        <v>4.1979629145991113E-2</v>
      </c>
    </row>
    <row r="1201" spans="1:8" x14ac:dyDescent="0.25">
      <c r="A1201" s="1">
        <v>1993</v>
      </c>
      <c r="B1201" s="1" t="s">
        <v>99</v>
      </c>
      <c r="C1201" t="s">
        <v>51</v>
      </c>
      <c r="D1201">
        <v>1</v>
      </c>
      <c r="E1201">
        <v>91</v>
      </c>
      <c r="F1201">
        <v>0.21</v>
      </c>
      <c r="G1201">
        <f t="shared" si="19"/>
        <v>6.9999999999999993E-2</v>
      </c>
      <c r="H1201">
        <f>G1201*(26.79/38.29)</f>
        <v>4.8976234003656298E-2</v>
      </c>
    </row>
    <row r="1202" spans="1:8" x14ac:dyDescent="0.25">
      <c r="A1202" s="1">
        <v>1993</v>
      </c>
      <c r="B1202" s="1" t="s">
        <v>99</v>
      </c>
      <c r="C1202" t="s">
        <v>51</v>
      </c>
      <c r="D1202">
        <v>1</v>
      </c>
      <c r="E1202">
        <v>91</v>
      </c>
      <c r="F1202">
        <v>1.1599999999999999</v>
      </c>
      <c r="G1202">
        <f t="shared" si="19"/>
        <v>0.38666666666666666</v>
      </c>
      <c r="H1202">
        <f>G1202*(26.79/38.29)</f>
        <v>0.27053538782972053</v>
      </c>
    </row>
    <row r="1203" spans="1:8" x14ac:dyDescent="0.25">
      <c r="A1203" s="1">
        <v>1993</v>
      </c>
      <c r="B1203" s="1" t="s">
        <v>99</v>
      </c>
      <c r="C1203" t="s">
        <v>51</v>
      </c>
      <c r="D1203">
        <v>1</v>
      </c>
      <c r="E1203">
        <v>91</v>
      </c>
      <c r="F1203">
        <v>0.11</v>
      </c>
      <c r="G1203">
        <f t="shared" si="19"/>
        <v>3.6666666666666667E-2</v>
      </c>
      <c r="H1203">
        <f>G1203*(26.79/38.29)</f>
        <v>2.5654217811439017E-2</v>
      </c>
    </row>
    <row r="1204" spans="1:8" x14ac:dyDescent="0.25">
      <c r="A1204" s="1">
        <v>1993</v>
      </c>
      <c r="B1204" s="1" t="s">
        <v>99</v>
      </c>
      <c r="C1204" t="s">
        <v>51</v>
      </c>
      <c r="D1204">
        <v>2</v>
      </c>
      <c r="E1204">
        <v>29</v>
      </c>
      <c r="F1204">
        <v>0.6</v>
      </c>
      <c r="G1204">
        <f t="shared" si="19"/>
        <v>0.2</v>
      </c>
      <c r="H1204">
        <f>G1204*(26.79/38.29)</f>
        <v>0.13993209715330374</v>
      </c>
    </row>
    <row r="1205" spans="1:8" x14ac:dyDescent="0.25">
      <c r="A1205" s="1">
        <v>1993</v>
      </c>
      <c r="B1205" s="1" t="s">
        <v>99</v>
      </c>
      <c r="C1205" t="s">
        <v>51</v>
      </c>
      <c r="D1205">
        <v>2</v>
      </c>
      <c r="E1205">
        <v>29</v>
      </c>
      <c r="F1205">
        <v>0.65</v>
      </c>
      <c r="G1205">
        <f t="shared" si="19"/>
        <v>0.2166666666666667</v>
      </c>
      <c r="H1205">
        <f>G1205*(26.79/38.29)</f>
        <v>0.15159310524941239</v>
      </c>
    </row>
    <row r="1206" spans="1:8" x14ac:dyDescent="0.25">
      <c r="A1206" s="1">
        <v>1993</v>
      </c>
      <c r="B1206" s="1" t="s">
        <v>99</v>
      </c>
      <c r="C1206" t="s">
        <v>51</v>
      </c>
      <c r="D1206">
        <v>2</v>
      </c>
      <c r="E1206">
        <v>29</v>
      </c>
      <c r="F1206">
        <v>0.06</v>
      </c>
      <c r="G1206">
        <f t="shared" si="19"/>
        <v>0.02</v>
      </c>
      <c r="H1206">
        <f>G1206*(26.79/38.29)</f>
        <v>1.3993209715330373E-2</v>
      </c>
    </row>
    <row r="1207" spans="1:8" x14ac:dyDescent="0.25">
      <c r="A1207" s="1">
        <v>1993</v>
      </c>
      <c r="B1207" s="1" t="s">
        <v>99</v>
      </c>
      <c r="C1207" t="s">
        <v>51</v>
      </c>
      <c r="D1207">
        <v>2</v>
      </c>
      <c r="E1207">
        <v>32</v>
      </c>
      <c r="F1207">
        <v>0.04</v>
      </c>
      <c r="G1207">
        <f t="shared" si="19"/>
        <v>1.3333333333333332E-2</v>
      </c>
      <c r="H1207">
        <f>G1207*(26.79/38.29)</f>
        <v>9.3288064768869139E-3</v>
      </c>
    </row>
    <row r="1208" spans="1:8" x14ac:dyDescent="0.25">
      <c r="A1208" s="1">
        <v>1993</v>
      </c>
      <c r="B1208" s="1" t="s">
        <v>99</v>
      </c>
      <c r="C1208" t="s">
        <v>51</v>
      </c>
      <c r="D1208">
        <v>2</v>
      </c>
      <c r="E1208">
        <v>32</v>
      </c>
      <c r="F1208">
        <v>0.04</v>
      </c>
      <c r="G1208">
        <f t="shared" si="19"/>
        <v>1.3333333333333332E-2</v>
      </c>
      <c r="H1208">
        <f>G1208*(26.79/38.29)</f>
        <v>9.3288064768869139E-3</v>
      </c>
    </row>
    <row r="1209" spans="1:8" x14ac:dyDescent="0.25">
      <c r="A1209" s="1">
        <v>1993</v>
      </c>
      <c r="B1209" s="1" t="s">
        <v>99</v>
      </c>
      <c r="C1209" t="s">
        <v>51</v>
      </c>
      <c r="D1209">
        <v>2</v>
      </c>
      <c r="E1209">
        <v>32</v>
      </c>
      <c r="F1209">
        <v>0.14000000000000001</v>
      </c>
      <c r="G1209">
        <f t="shared" si="19"/>
        <v>4.6666666666666676E-2</v>
      </c>
      <c r="H1209">
        <f>G1209*(26.79/38.29)</f>
        <v>3.2650822669104206E-2</v>
      </c>
    </row>
    <row r="1210" spans="1:8" x14ac:dyDescent="0.25">
      <c r="A1210" s="1">
        <v>1993</v>
      </c>
      <c r="B1210" s="1" t="s">
        <v>99</v>
      </c>
      <c r="C1210" t="s">
        <v>51</v>
      </c>
      <c r="D1210">
        <v>2</v>
      </c>
      <c r="E1210">
        <v>32</v>
      </c>
      <c r="F1210">
        <v>0.04</v>
      </c>
      <c r="G1210">
        <f t="shared" si="19"/>
        <v>1.3333333333333332E-2</v>
      </c>
      <c r="H1210">
        <f>G1210*(26.79/38.29)</f>
        <v>9.3288064768869139E-3</v>
      </c>
    </row>
    <row r="1211" spans="1:8" x14ac:dyDescent="0.25">
      <c r="A1211" s="1">
        <v>1993</v>
      </c>
      <c r="B1211" s="1" t="s">
        <v>99</v>
      </c>
      <c r="C1211" t="s">
        <v>51</v>
      </c>
      <c r="D1211">
        <v>2</v>
      </c>
      <c r="E1211">
        <v>32</v>
      </c>
      <c r="F1211">
        <v>0.14000000000000001</v>
      </c>
      <c r="G1211">
        <f t="shared" si="19"/>
        <v>4.6666666666666676E-2</v>
      </c>
      <c r="H1211">
        <f>G1211*(26.79/38.29)</f>
        <v>3.2650822669104206E-2</v>
      </c>
    </row>
    <row r="1212" spans="1:8" x14ac:dyDescent="0.25">
      <c r="A1212" s="1">
        <v>1993</v>
      </c>
      <c r="B1212" s="1" t="s">
        <v>99</v>
      </c>
      <c r="C1212" t="s">
        <v>51</v>
      </c>
      <c r="D1212">
        <v>2</v>
      </c>
      <c r="E1212">
        <v>32</v>
      </c>
      <c r="F1212">
        <v>0.15</v>
      </c>
      <c r="G1212">
        <f t="shared" si="19"/>
        <v>0.05</v>
      </c>
      <c r="H1212">
        <f>G1212*(26.79/38.29)</f>
        <v>3.4983024288325934E-2</v>
      </c>
    </row>
    <row r="1213" spans="1:8" x14ac:dyDescent="0.25">
      <c r="A1213" s="1">
        <v>1993</v>
      </c>
      <c r="B1213" s="1" t="s">
        <v>99</v>
      </c>
      <c r="C1213" t="s">
        <v>51</v>
      </c>
      <c r="D1213">
        <v>2</v>
      </c>
      <c r="E1213">
        <v>32</v>
      </c>
      <c r="F1213">
        <v>0.14000000000000001</v>
      </c>
      <c r="G1213">
        <f t="shared" ref="G1213:G1276" si="20">(F1213/0.6)/5</f>
        <v>4.6666666666666676E-2</v>
      </c>
      <c r="H1213">
        <f>G1213*(26.79/38.29)</f>
        <v>3.2650822669104206E-2</v>
      </c>
    </row>
    <row r="1214" spans="1:8" x14ac:dyDescent="0.25">
      <c r="A1214" s="1">
        <v>1993</v>
      </c>
      <c r="B1214" s="1" t="s">
        <v>99</v>
      </c>
      <c r="C1214" t="s">
        <v>51</v>
      </c>
      <c r="D1214">
        <v>2</v>
      </c>
      <c r="E1214">
        <v>32</v>
      </c>
      <c r="F1214">
        <v>0.14000000000000001</v>
      </c>
      <c r="G1214">
        <f t="shared" si="20"/>
        <v>4.6666666666666676E-2</v>
      </c>
      <c r="H1214">
        <f>G1214*(26.79/38.29)</f>
        <v>3.2650822669104206E-2</v>
      </c>
    </row>
    <row r="1215" spans="1:8" x14ac:dyDescent="0.25">
      <c r="A1215" s="1">
        <v>1993</v>
      </c>
      <c r="B1215" s="1" t="s">
        <v>99</v>
      </c>
      <c r="C1215" t="s">
        <v>51</v>
      </c>
      <c r="D1215">
        <v>2</v>
      </c>
      <c r="E1215">
        <v>32</v>
      </c>
      <c r="F1215">
        <v>0.04</v>
      </c>
      <c r="G1215">
        <f t="shared" si="20"/>
        <v>1.3333333333333332E-2</v>
      </c>
      <c r="H1215">
        <f>G1215*(26.79/38.29)</f>
        <v>9.3288064768869139E-3</v>
      </c>
    </row>
    <row r="1216" spans="1:8" x14ac:dyDescent="0.25">
      <c r="A1216" s="1">
        <v>1993</v>
      </c>
      <c r="B1216" s="1" t="s">
        <v>99</v>
      </c>
      <c r="C1216" t="s">
        <v>51</v>
      </c>
      <c r="D1216">
        <v>2</v>
      </c>
      <c r="E1216">
        <v>32</v>
      </c>
      <c r="F1216">
        <v>0.04</v>
      </c>
      <c r="G1216">
        <f t="shared" si="20"/>
        <v>1.3333333333333332E-2</v>
      </c>
      <c r="H1216">
        <f>G1216*(26.79/38.29)</f>
        <v>9.3288064768869139E-3</v>
      </c>
    </row>
    <row r="1217" spans="1:8" x14ac:dyDescent="0.25">
      <c r="A1217" s="1">
        <v>1993</v>
      </c>
      <c r="B1217" s="1" t="s">
        <v>99</v>
      </c>
      <c r="C1217" t="s">
        <v>51</v>
      </c>
      <c r="D1217">
        <v>2</v>
      </c>
      <c r="E1217">
        <v>32</v>
      </c>
      <c r="F1217">
        <v>0.09</v>
      </c>
      <c r="G1217">
        <f t="shared" si="20"/>
        <v>0.03</v>
      </c>
      <c r="H1217">
        <f>G1217*(26.79/38.29)</f>
        <v>2.0989814572995556E-2</v>
      </c>
    </row>
    <row r="1218" spans="1:8" x14ac:dyDescent="0.25">
      <c r="A1218" s="1">
        <v>1993</v>
      </c>
      <c r="B1218" s="1" t="s">
        <v>99</v>
      </c>
      <c r="C1218" t="s">
        <v>51</v>
      </c>
      <c r="D1218">
        <v>2</v>
      </c>
      <c r="E1218">
        <v>32</v>
      </c>
      <c r="F1218">
        <v>0.15</v>
      </c>
      <c r="G1218">
        <f t="shared" si="20"/>
        <v>0.05</v>
      </c>
      <c r="H1218">
        <f>G1218*(26.79/38.29)</f>
        <v>3.4983024288325934E-2</v>
      </c>
    </row>
    <row r="1219" spans="1:8" x14ac:dyDescent="0.25">
      <c r="A1219" s="1">
        <v>1993</v>
      </c>
      <c r="B1219" s="1" t="s">
        <v>99</v>
      </c>
      <c r="C1219" t="s">
        <v>51</v>
      </c>
      <c r="D1219">
        <v>2</v>
      </c>
      <c r="E1219">
        <v>32</v>
      </c>
      <c r="F1219">
        <v>0.14000000000000001</v>
      </c>
      <c r="G1219">
        <f t="shared" si="20"/>
        <v>4.6666666666666676E-2</v>
      </c>
      <c r="H1219">
        <f>G1219*(26.79/38.29)</f>
        <v>3.2650822669104206E-2</v>
      </c>
    </row>
    <row r="1220" spans="1:8" x14ac:dyDescent="0.25">
      <c r="A1220" s="1">
        <v>1993</v>
      </c>
      <c r="B1220" s="1" t="s">
        <v>99</v>
      </c>
      <c r="C1220" t="s">
        <v>51</v>
      </c>
      <c r="D1220">
        <v>2</v>
      </c>
      <c r="E1220">
        <v>32</v>
      </c>
      <c r="F1220">
        <v>0.15</v>
      </c>
      <c r="G1220">
        <f t="shared" si="20"/>
        <v>0.05</v>
      </c>
      <c r="H1220">
        <f>G1220*(26.79/38.29)</f>
        <v>3.4983024288325934E-2</v>
      </c>
    </row>
    <row r="1221" spans="1:8" x14ac:dyDescent="0.25">
      <c r="A1221" s="1">
        <v>1993</v>
      </c>
      <c r="B1221" s="1" t="s">
        <v>99</v>
      </c>
      <c r="C1221" t="s">
        <v>51</v>
      </c>
      <c r="D1221">
        <v>2</v>
      </c>
      <c r="E1221">
        <v>32</v>
      </c>
      <c r="F1221">
        <v>0.04</v>
      </c>
      <c r="G1221">
        <f t="shared" si="20"/>
        <v>1.3333333333333332E-2</v>
      </c>
      <c r="H1221">
        <f>G1221*(26.79/38.29)</f>
        <v>9.3288064768869139E-3</v>
      </c>
    </row>
    <row r="1222" spans="1:8" x14ac:dyDescent="0.25">
      <c r="A1222" s="1">
        <v>1993</v>
      </c>
      <c r="B1222" s="1" t="s">
        <v>99</v>
      </c>
      <c r="C1222" t="s">
        <v>51</v>
      </c>
      <c r="D1222">
        <v>2</v>
      </c>
      <c r="E1222">
        <v>32</v>
      </c>
      <c r="F1222">
        <v>0.05</v>
      </c>
      <c r="G1222">
        <f t="shared" si="20"/>
        <v>1.666666666666667E-2</v>
      </c>
      <c r="H1222">
        <f>G1222*(26.79/38.29)</f>
        <v>1.1661008096108646E-2</v>
      </c>
    </row>
    <row r="1223" spans="1:8" x14ac:dyDescent="0.25">
      <c r="A1223" s="1">
        <v>1993</v>
      </c>
      <c r="B1223" s="1" t="s">
        <v>99</v>
      </c>
      <c r="C1223" t="s">
        <v>51</v>
      </c>
      <c r="D1223">
        <v>2</v>
      </c>
      <c r="E1223">
        <v>32</v>
      </c>
      <c r="F1223">
        <v>0.09</v>
      </c>
      <c r="G1223">
        <f t="shared" si="20"/>
        <v>0.03</v>
      </c>
      <c r="H1223">
        <f>G1223*(26.79/38.29)</f>
        <v>2.0989814572995556E-2</v>
      </c>
    </row>
    <row r="1224" spans="1:8" x14ac:dyDescent="0.25">
      <c r="A1224" s="1">
        <v>1993</v>
      </c>
      <c r="B1224" s="1" t="s">
        <v>99</v>
      </c>
      <c r="C1224" t="s">
        <v>51</v>
      </c>
      <c r="D1224">
        <v>2</v>
      </c>
      <c r="E1224">
        <v>32</v>
      </c>
      <c r="F1224">
        <v>0.04</v>
      </c>
      <c r="G1224">
        <f t="shared" si="20"/>
        <v>1.3333333333333332E-2</v>
      </c>
      <c r="H1224">
        <f>G1224*(26.79/38.29)</f>
        <v>9.3288064768869139E-3</v>
      </c>
    </row>
    <row r="1225" spans="1:8" x14ac:dyDescent="0.25">
      <c r="A1225" s="1">
        <v>1993</v>
      </c>
      <c r="B1225" s="1" t="s">
        <v>99</v>
      </c>
      <c r="C1225" t="s">
        <v>51</v>
      </c>
      <c r="D1225">
        <v>2</v>
      </c>
      <c r="E1225">
        <v>32</v>
      </c>
      <c r="F1225">
        <v>0.05</v>
      </c>
      <c r="G1225">
        <f t="shared" si="20"/>
        <v>1.666666666666667E-2</v>
      </c>
      <c r="H1225">
        <f>G1225*(26.79/38.29)</f>
        <v>1.1661008096108646E-2</v>
      </c>
    </row>
    <row r="1226" spans="1:8" x14ac:dyDescent="0.25">
      <c r="A1226" s="1">
        <v>1993</v>
      </c>
      <c r="B1226" s="1" t="s">
        <v>99</v>
      </c>
      <c r="C1226" t="s">
        <v>51</v>
      </c>
      <c r="D1226">
        <v>2</v>
      </c>
      <c r="E1226">
        <v>34</v>
      </c>
      <c r="F1226">
        <v>0.71</v>
      </c>
      <c r="G1226">
        <f t="shared" si="20"/>
        <v>0.23666666666666666</v>
      </c>
      <c r="H1226">
        <f>G1226*(26.79/38.29)</f>
        <v>0.16558631496474274</v>
      </c>
    </row>
    <row r="1227" spans="1:8" x14ac:dyDescent="0.25">
      <c r="A1227" s="1">
        <v>1993</v>
      </c>
      <c r="B1227" s="1" t="s">
        <v>99</v>
      </c>
      <c r="C1227" t="s">
        <v>51</v>
      </c>
      <c r="D1227">
        <v>2</v>
      </c>
      <c r="E1227">
        <v>34</v>
      </c>
      <c r="F1227">
        <v>0.22</v>
      </c>
      <c r="G1227">
        <f t="shared" si="20"/>
        <v>7.3333333333333334E-2</v>
      </c>
      <c r="H1227">
        <f>G1227*(26.79/38.29)</f>
        <v>5.1308435622878033E-2</v>
      </c>
    </row>
    <row r="1228" spans="1:8" x14ac:dyDescent="0.25">
      <c r="A1228" s="1">
        <v>1993</v>
      </c>
      <c r="B1228" s="1" t="s">
        <v>99</v>
      </c>
      <c r="C1228" t="s">
        <v>51</v>
      </c>
      <c r="D1228">
        <v>2</v>
      </c>
      <c r="E1228">
        <v>34</v>
      </c>
      <c r="F1228">
        <v>0.42</v>
      </c>
      <c r="G1228">
        <f t="shared" si="20"/>
        <v>0.13999999999999999</v>
      </c>
      <c r="H1228">
        <f>G1228*(26.79/38.29)</f>
        <v>9.7952468007312596E-2</v>
      </c>
    </row>
    <row r="1229" spans="1:8" x14ac:dyDescent="0.25">
      <c r="A1229" s="1">
        <v>1993</v>
      </c>
      <c r="B1229" s="1" t="s">
        <v>99</v>
      </c>
      <c r="C1229" t="s">
        <v>51</v>
      </c>
      <c r="D1229">
        <v>2</v>
      </c>
      <c r="E1229">
        <v>38</v>
      </c>
      <c r="F1229">
        <v>0.72</v>
      </c>
      <c r="G1229">
        <f t="shared" si="20"/>
        <v>0.24</v>
      </c>
      <c r="H1229">
        <f>G1229*(26.79/38.29)</f>
        <v>0.16791851658396445</v>
      </c>
    </row>
    <row r="1230" spans="1:8" x14ac:dyDescent="0.25">
      <c r="A1230" s="1">
        <v>1993</v>
      </c>
      <c r="B1230" s="1" t="s">
        <v>99</v>
      </c>
      <c r="C1230" t="s">
        <v>51</v>
      </c>
      <c r="D1230">
        <v>2</v>
      </c>
      <c r="E1230">
        <v>38</v>
      </c>
      <c r="F1230">
        <v>0.55000000000000004</v>
      </c>
      <c r="G1230">
        <f t="shared" si="20"/>
        <v>0.18333333333333335</v>
      </c>
      <c r="H1230">
        <f>G1230*(26.79/38.29)</f>
        <v>0.12827108905719509</v>
      </c>
    </row>
    <row r="1231" spans="1:8" x14ac:dyDescent="0.25">
      <c r="A1231" s="1">
        <v>1993</v>
      </c>
      <c r="B1231" s="1" t="s">
        <v>99</v>
      </c>
      <c r="C1231" t="s">
        <v>51</v>
      </c>
      <c r="D1231">
        <v>2</v>
      </c>
      <c r="E1231">
        <v>38</v>
      </c>
      <c r="F1231">
        <v>1.34</v>
      </c>
      <c r="G1231">
        <f t="shared" si="20"/>
        <v>0.44666666666666666</v>
      </c>
      <c r="H1231">
        <f>G1231*(26.79/38.29)</f>
        <v>0.31251501697571166</v>
      </c>
    </row>
    <row r="1232" spans="1:8" x14ac:dyDescent="0.25">
      <c r="A1232" s="1">
        <v>1993</v>
      </c>
      <c r="B1232" s="1" t="s">
        <v>99</v>
      </c>
      <c r="C1232" t="s">
        <v>51</v>
      </c>
      <c r="D1232">
        <v>2</v>
      </c>
      <c r="E1232">
        <v>38</v>
      </c>
      <c r="F1232">
        <v>0.76</v>
      </c>
      <c r="G1232">
        <f t="shared" si="20"/>
        <v>0.25333333333333335</v>
      </c>
      <c r="H1232">
        <f>G1232*(26.79/38.29)</f>
        <v>0.17724732306085139</v>
      </c>
    </row>
    <row r="1233" spans="1:8" x14ac:dyDescent="0.25">
      <c r="A1233" s="1">
        <v>1993</v>
      </c>
      <c r="B1233" s="1" t="s">
        <v>99</v>
      </c>
      <c r="C1233" t="s">
        <v>51</v>
      </c>
      <c r="D1233">
        <v>2</v>
      </c>
      <c r="E1233">
        <v>38</v>
      </c>
      <c r="F1233">
        <v>0.95</v>
      </c>
      <c r="G1233">
        <f t="shared" si="20"/>
        <v>0.31666666666666665</v>
      </c>
      <c r="H1233">
        <f>G1233*(26.79/38.29)</f>
        <v>0.22155915382606423</v>
      </c>
    </row>
    <row r="1234" spans="1:8" x14ac:dyDescent="0.25">
      <c r="A1234" s="1">
        <v>1993</v>
      </c>
      <c r="B1234" s="1" t="s">
        <v>99</v>
      </c>
      <c r="C1234" t="s">
        <v>51</v>
      </c>
      <c r="D1234">
        <v>2</v>
      </c>
      <c r="E1234">
        <v>38</v>
      </c>
      <c r="F1234">
        <v>1.33</v>
      </c>
      <c r="G1234">
        <f t="shared" si="20"/>
        <v>0.44333333333333336</v>
      </c>
      <c r="H1234">
        <f>G1234*(26.79/38.29)</f>
        <v>0.31018281535648995</v>
      </c>
    </row>
    <row r="1235" spans="1:8" x14ac:dyDescent="0.25">
      <c r="A1235" s="1">
        <v>1993</v>
      </c>
      <c r="B1235" s="1" t="s">
        <v>99</v>
      </c>
      <c r="C1235" t="s">
        <v>51</v>
      </c>
      <c r="D1235">
        <v>2</v>
      </c>
      <c r="E1235">
        <v>38</v>
      </c>
      <c r="F1235">
        <v>0.65</v>
      </c>
      <c r="G1235">
        <f t="shared" si="20"/>
        <v>0.2166666666666667</v>
      </c>
      <c r="H1235">
        <f>G1235*(26.79/38.29)</f>
        <v>0.15159310524941239</v>
      </c>
    </row>
    <row r="1236" spans="1:8" x14ac:dyDescent="0.25">
      <c r="A1236" s="1">
        <v>1993</v>
      </c>
      <c r="B1236" s="1" t="s">
        <v>99</v>
      </c>
      <c r="C1236" t="s">
        <v>51</v>
      </c>
      <c r="D1236">
        <v>2</v>
      </c>
      <c r="E1236">
        <v>38</v>
      </c>
      <c r="F1236">
        <v>0.6</v>
      </c>
      <c r="G1236">
        <f t="shared" si="20"/>
        <v>0.2</v>
      </c>
      <c r="H1236">
        <f>G1236*(26.79/38.29)</f>
        <v>0.13993209715330374</v>
      </c>
    </row>
    <row r="1237" spans="1:8" x14ac:dyDescent="0.25">
      <c r="A1237" s="1">
        <v>1993</v>
      </c>
      <c r="B1237" s="1" t="s">
        <v>99</v>
      </c>
      <c r="C1237" t="s">
        <v>51</v>
      </c>
      <c r="D1237">
        <v>2</v>
      </c>
      <c r="E1237">
        <v>38</v>
      </c>
      <c r="F1237">
        <v>0.92</v>
      </c>
      <c r="G1237">
        <f t="shared" si="20"/>
        <v>0.3066666666666667</v>
      </c>
      <c r="H1237">
        <f>G1237*(26.79/38.29)</f>
        <v>0.21456254896839907</v>
      </c>
    </row>
    <row r="1238" spans="1:8" x14ac:dyDescent="0.25">
      <c r="A1238" s="1">
        <v>1993</v>
      </c>
      <c r="B1238" s="1" t="s">
        <v>99</v>
      </c>
      <c r="C1238" t="s">
        <v>51</v>
      </c>
      <c r="D1238">
        <v>2</v>
      </c>
      <c r="E1238">
        <v>38</v>
      </c>
      <c r="F1238">
        <v>1.04</v>
      </c>
      <c r="G1238">
        <f t="shared" si="20"/>
        <v>0.34666666666666668</v>
      </c>
      <c r="H1238">
        <f>G1238*(26.79/38.29)</f>
        <v>0.24254896839905979</v>
      </c>
    </row>
    <row r="1239" spans="1:8" x14ac:dyDescent="0.25">
      <c r="A1239" s="1">
        <v>1993</v>
      </c>
      <c r="B1239" s="1" t="s">
        <v>99</v>
      </c>
      <c r="C1239" t="s">
        <v>51</v>
      </c>
      <c r="D1239">
        <v>2</v>
      </c>
      <c r="E1239">
        <v>38</v>
      </c>
      <c r="F1239">
        <v>0.73</v>
      </c>
      <c r="G1239">
        <f t="shared" si="20"/>
        <v>0.24333333333333335</v>
      </c>
      <c r="H1239">
        <f>G1239*(26.79/38.29)</f>
        <v>0.17025071820318621</v>
      </c>
    </row>
    <row r="1240" spans="1:8" x14ac:dyDescent="0.25">
      <c r="A1240" s="1">
        <v>1993</v>
      </c>
      <c r="B1240" s="1" t="s">
        <v>99</v>
      </c>
      <c r="C1240" t="s">
        <v>51</v>
      </c>
      <c r="D1240">
        <v>2</v>
      </c>
      <c r="E1240">
        <v>38</v>
      </c>
      <c r="F1240">
        <v>1.07</v>
      </c>
      <c r="G1240">
        <f t="shared" si="20"/>
        <v>0.35666666666666669</v>
      </c>
      <c r="H1240">
        <f>G1240*(26.79/38.29)</f>
        <v>0.249545573256725</v>
      </c>
    </row>
    <row r="1241" spans="1:8" x14ac:dyDescent="0.25">
      <c r="A1241" s="1">
        <v>1993</v>
      </c>
      <c r="B1241" s="1" t="s">
        <v>99</v>
      </c>
      <c r="C1241" t="s">
        <v>51</v>
      </c>
      <c r="D1241">
        <v>2</v>
      </c>
      <c r="E1241">
        <v>38</v>
      </c>
      <c r="F1241">
        <v>0.49</v>
      </c>
      <c r="G1241">
        <f t="shared" si="20"/>
        <v>0.16333333333333333</v>
      </c>
      <c r="H1241">
        <f>G1241*(26.79/38.29)</f>
        <v>0.1142778793418647</v>
      </c>
    </row>
    <row r="1242" spans="1:8" x14ac:dyDescent="0.25">
      <c r="A1242" s="1">
        <v>1993</v>
      </c>
      <c r="B1242" s="1" t="s">
        <v>99</v>
      </c>
      <c r="C1242" t="s">
        <v>51</v>
      </c>
      <c r="D1242">
        <v>2</v>
      </c>
      <c r="E1242">
        <v>38</v>
      </c>
      <c r="F1242">
        <v>1.05</v>
      </c>
      <c r="G1242">
        <f t="shared" si="20"/>
        <v>0.35000000000000003</v>
      </c>
      <c r="H1242">
        <f>G1242*(26.79/38.29)</f>
        <v>0.24488117001828155</v>
      </c>
    </row>
    <row r="1243" spans="1:8" x14ac:dyDescent="0.25">
      <c r="A1243" s="1">
        <v>1993</v>
      </c>
      <c r="B1243" s="1" t="s">
        <v>99</v>
      </c>
      <c r="C1243" t="s">
        <v>51</v>
      </c>
      <c r="D1243">
        <v>2</v>
      </c>
      <c r="E1243">
        <v>40</v>
      </c>
      <c r="F1243">
        <v>0.94</v>
      </c>
      <c r="G1243">
        <f t="shared" si="20"/>
        <v>0.31333333333333335</v>
      </c>
      <c r="H1243">
        <f>G1243*(26.79/38.29)</f>
        <v>0.21922695220684252</v>
      </c>
    </row>
    <row r="1244" spans="1:8" x14ac:dyDescent="0.25">
      <c r="A1244" s="1">
        <v>1993</v>
      </c>
      <c r="B1244" s="1" t="s">
        <v>99</v>
      </c>
      <c r="C1244" t="s">
        <v>51</v>
      </c>
      <c r="D1244">
        <v>2</v>
      </c>
      <c r="E1244">
        <v>40</v>
      </c>
      <c r="F1244">
        <v>0.2</v>
      </c>
      <c r="G1244">
        <f t="shared" si="20"/>
        <v>6.666666666666668E-2</v>
      </c>
      <c r="H1244">
        <f>G1244*(26.79/38.29)</f>
        <v>4.6644032384434583E-2</v>
      </c>
    </row>
    <row r="1245" spans="1:8" x14ac:dyDescent="0.25">
      <c r="A1245" s="1">
        <v>1993</v>
      </c>
      <c r="B1245" s="1" t="s">
        <v>99</v>
      </c>
      <c r="C1245" t="s">
        <v>51</v>
      </c>
      <c r="D1245">
        <v>2</v>
      </c>
      <c r="E1245">
        <v>40</v>
      </c>
      <c r="F1245">
        <v>0.75</v>
      </c>
      <c r="G1245">
        <f t="shared" si="20"/>
        <v>0.25</v>
      </c>
      <c r="H1245">
        <f>G1245*(26.79/38.29)</f>
        <v>0.17491512144162966</v>
      </c>
    </row>
    <row r="1246" spans="1:8" x14ac:dyDescent="0.25">
      <c r="A1246" s="1">
        <v>1993</v>
      </c>
      <c r="B1246" s="1" t="s">
        <v>99</v>
      </c>
      <c r="C1246" t="s">
        <v>51</v>
      </c>
      <c r="D1246">
        <v>2</v>
      </c>
      <c r="E1246">
        <v>40</v>
      </c>
      <c r="F1246">
        <v>1.04</v>
      </c>
      <c r="G1246">
        <f t="shared" si="20"/>
        <v>0.34666666666666668</v>
      </c>
      <c r="H1246">
        <f>G1246*(26.79/38.29)</f>
        <v>0.24254896839905979</v>
      </c>
    </row>
    <row r="1247" spans="1:8" x14ac:dyDescent="0.25">
      <c r="A1247" s="1">
        <v>1993</v>
      </c>
      <c r="B1247" s="1" t="s">
        <v>99</v>
      </c>
      <c r="C1247" t="s">
        <v>51</v>
      </c>
      <c r="D1247">
        <v>2</v>
      </c>
      <c r="E1247">
        <v>40</v>
      </c>
      <c r="F1247">
        <v>1.61</v>
      </c>
      <c r="G1247">
        <f t="shared" si="20"/>
        <v>0.53666666666666674</v>
      </c>
      <c r="H1247">
        <f>G1247*(26.79/38.29)</f>
        <v>0.37548446069469837</v>
      </c>
    </row>
    <row r="1248" spans="1:8" x14ac:dyDescent="0.25">
      <c r="A1248" s="1">
        <v>1993</v>
      </c>
      <c r="B1248" s="1" t="s">
        <v>99</v>
      </c>
      <c r="C1248" t="s">
        <v>51</v>
      </c>
      <c r="D1248">
        <v>2</v>
      </c>
      <c r="E1248">
        <v>40</v>
      </c>
      <c r="F1248">
        <v>0.31</v>
      </c>
      <c r="G1248">
        <f t="shared" si="20"/>
        <v>0.10333333333333335</v>
      </c>
      <c r="H1248">
        <f>G1248*(26.79/38.29)</f>
        <v>7.2298250195873603E-2</v>
      </c>
    </row>
    <row r="1249" spans="1:8" x14ac:dyDescent="0.25">
      <c r="A1249" s="1">
        <v>1993</v>
      </c>
      <c r="B1249" s="1" t="s">
        <v>99</v>
      </c>
      <c r="C1249" t="s">
        <v>51</v>
      </c>
      <c r="D1249">
        <v>2</v>
      </c>
      <c r="E1249">
        <v>40</v>
      </c>
      <c r="F1249">
        <v>0.96</v>
      </c>
      <c r="G1249">
        <f t="shared" si="20"/>
        <v>0.32</v>
      </c>
      <c r="H1249">
        <f>G1249*(26.79/38.29)</f>
        <v>0.22389135544528596</v>
      </c>
    </row>
    <row r="1250" spans="1:8" x14ac:dyDescent="0.25">
      <c r="A1250" s="1">
        <v>1993</v>
      </c>
      <c r="B1250" s="1" t="s">
        <v>99</v>
      </c>
      <c r="C1250" t="s">
        <v>51</v>
      </c>
      <c r="D1250">
        <v>2</v>
      </c>
      <c r="E1250">
        <v>40</v>
      </c>
      <c r="F1250">
        <v>1.18</v>
      </c>
      <c r="G1250">
        <f t="shared" si="20"/>
        <v>0.39333333333333331</v>
      </c>
      <c r="H1250">
        <f>G1250*(26.79/38.29)</f>
        <v>0.275199791068164</v>
      </c>
    </row>
    <row r="1251" spans="1:8" x14ac:dyDescent="0.25">
      <c r="A1251" s="1">
        <v>1993</v>
      </c>
      <c r="B1251" s="1" t="s">
        <v>99</v>
      </c>
      <c r="C1251" t="s">
        <v>51</v>
      </c>
      <c r="D1251">
        <v>2</v>
      </c>
      <c r="E1251">
        <v>40</v>
      </c>
      <c r="F1251">
        <v>1.19</v>
      </c>
      <c r="G1251">
        <f t="shared" si="20"/>
        <v>0.39666666666666667</v>
      </c>
      <c r="H1251">
        <f>G1251*(26.79/38.29)</f>
        <v>0.27753199268738571</v>
      </c>
    </row>
    <row r="1252" spans="1:8" x14ac:dyDescent="0.25">
      <c r="A1252" s="1">
        <v>1993</v>
      </c>
      <c r="B1252" s="1" t="s">
        <v>99</v>
      </c>
      <c r="C1252" t="s">
        <v>51</v>
      </c>
      <c r="D1252">
        <v>2</v>
      </c>
      <c r="E1252">
        <v>40</v>
      </c>
      <c r="F1252">
        <v>0.89</v>
      </c>
      <c r="G1252">
        <f t="shared" si="20"/>
        <v>0.29666666666666669</v>
      </c>
      <c r="H1252">
        <f>G1252*(26.79/38.29)</f>
        <v>0.20756594411073387</v>
      </c>
    </row>
    <row r="1253" spans="1:8" x14ac:dyDescent="0.25">
      <c r="A1253" s="1">
        <v>1993</v>
      </c>
      <c r="B1253" s="1" t="s">
        <v>99</v>
      </c>
      <c r="C1253" t="s">
        <v>51</v>
      </c>
      <c r="D1253">
        <v>2</v>
      </c>
      <c r="E1253">
        <v>40</v>
      </c>
      <c r="F1253">
        <v>1.48</v>
      </c>
      <c r="G1253">
        <f t="shared" si="20"/>
        <v>0.49333333333333335</v>
      </c>
      <c r="H1253">
        <f>G1253*(26.79/38.29)</f>
        <v>0.34516583964481584</v>
      </c>
    </row>
    <row r="1254" spans="1:8" x14ac:dyDescent="0.25">
      <c r="A1254" s="1">
        <v>1993</v>
      </c>
      <c r="B1254" s="1" t="s">
        <v>99</v>
      </c>
      <c r="C1254" t="s">
        <v>51</v>
      </c>
      <c r="D1254">
        <v>2</v>
      </c>
      <c r="E1254">
        <v>40</v>
      </c>
      <c r="F1254">
        <v>0.95</v>
      </c>
      <c r="G1254">
        <f t="shared" si="20"/>
        <v>0.31666666666666665</v>
      </c>
      <c r="H1254">
        <f>G1254*(26.79/38.29)</f>
        <v>0.22155915382606423</v>
      </c>
    </row>
    <row r="1255" spans="1:8" x14ac:dyDescent="0.25">
      <c r="A1255" s="1">
        <v>1993</v>
      </c>
      <c r="B1255" s="1" t="s">
        <v>99</v>
      </c>
      <c r="C1255" t="s">
        <v>51</v>
      </c>
      <c r="D1255">
        <v>2</v>
      </c>
      <c r="E1255">
        <v>40</v>
      </c>
      <c r="F1255">
        <v>0.77</v>
      </c>
      <c r="G1255">
        <f t="shared" si="20"/>
        <v>0.25666666666666671</v>
      </c>
      <c r="H1255">
        <f>G1255*(26.79/38.29)</f>
        <v>0.17957952468007315</v>
      </c>
    </row>
    <row r="1256" spans="1:8" x14ac:dyDescent="0.25">
      <c r="A1256" s="1">
        <v>1993</v>
      </c>
      <c r="B1256" s="1" t="s">
        <v>99</v>
      </c>
      <c r="C1256" t="s">
        <v>51</v>
      </c>
      <c r="D1256">
        <v>2</v>
      </c>
      <c r="E1256">
        <v>40</v>
      </c>
      <c r="F1256">
        <v>0.72</v>
      </c>
      <c r="G1256">
        <f t="shared" si="20"/>
        <v>0.24</v>
      </c>
      <c r="H1256">
        <f>G1256*(26.79/38.29)</f>
        <v>0.16791851658396445</v>
      </c>
    </row>
    <row r="1257" spans="1:8" x14ac:dyDescent="0.25">
      <c r="A1257" s="1">
        <v>1993</v>
      </c>
      <c r="B1257" s="1" t="s">
        <v>99</v>
      </c>
      <c r="C1257" t="s">
        <v>51</v>
      </c>
      <c r="D1257">
        <v>2</v>
      </c>
      <c r="E1257">
        <v>40</v>
      </c>
      <c r="F1257">
        <v>0.44</v>
      </c>
      <c r="G1257">
        <f t="shared" si="20"/>
        <v>0.14666666666666667</v>
      </c>
      <c r="H1257">
        <f>G1257*(26.79/38.29)</f>
        <v>0.10261687124575607</v>
      </c>
    </row>
    <row r="1258" spans="1:8" x14ac:dyDescent="0.25">
      <c r="A1258" s="1">
        <v>1993</v>
      </c>
      <c r="B1258" s="1" t="s">
        <v>99</v>
      </c>
      <c r="C1258" t="s">
        <v>51</v>
      </c>
      <c r="D1258">
        <v>2</v>
      </c>
      <c r="E1258">
        <v>40</v>
      </c>
      <c r="F1258">
        <v>1.59</v>
      </c>
      <c r="G1258">
        <f t="shared" si="20"/>
        <v>0.53</v>
      </c>
      <c r="H1258">
        <f>G1258*(26.79/38.29)</f>
        <v>0.3708200574562549</v>
      </c>
    </row>
    <row r="1259" spans="1:8" x14ac:dyDescent="0.25">
      <c r="A1259" s="1">
        <v>1993</v>
      </c>
      <c r="B1259" s="1" t="s">
        <v>99</v>
      </c>
      <c r="C1259" t="s">
        <v>51</v>
      </c>
      <c r="D1259">
        <v>2</v>
      </c>
      <c r="E1259">
        <v>40</v>
      </c>
      <c r="F1259">
        <v>0.32</v>
      </c>
      <c r="G1259">
        <f t="shared" si="20"/>
        <v>0.10666666666666666</v>
      </c>
      <c r="H1259">
        <f>G1259*(26.79/38.29)</f>
        <v>7.4630451815095311E-2</v>
      </c>
    </row>
    <row r="1260" spans="1:8" x14ac:dyDescent="0.25">
      <c r="A1260" s="1">
        <v>1993</v>
      </c>
      <c r="B1260" s="1" t="s">
        <v>99</v>
      </c>
      <c r="C1260" t="s">
        <v>51</v>
      </c>
      <c r="D1260">
        <v>2</v>
      </c>
      <c r="E1260">
        <v>53</v>
      </c>
      <c r="F1260">
        <v>0.45</v>
      </c>
      <c r="G1260">
        <f t="shared" si="20"/>
        <v>0.15</v>
      </c>
      <c r="H1260">
        <f>G1260*(26.79/38.29)</f>
        <v>0.10494907286497779</v>
      </c>
    </row>
    <row r="1261" spans="1:8" x14ac:dyDescent="0.25">
      <c r="A1261" s="1">
        <v>1993</v>
      </c>
      <c r="B1261" s="1" t="s">
        <v>99</v>
      </c>
      <c r="C1261" t="s">
        <v>51</v>
      </c>
      <c r="D1261">
        <v>2</v>
      </c>
      <c r="E1261">
        <v>54</v>
      </c>
      <c r="F1261">
        <v>0.09</v>
      </c>
      <c r="G1261">
        <f t="shared" si="20"/>
        <v>0.03</v>
      </c>
      <c r="H1261">
        <f>G1261*(26.79/38.29)</f>
        <v>2.0989814572995556E-2</v>
      </c>
    </row>
    <row r="1262" spans="1:8" x14ac:dyDescent="0.25">
      <c r="A1262" s="1">
        <v>1993</v>
      </c>
      <c r="B1262" s="1" t="s">
        <v>99</v>
      </c>
      <c r="C1262" t="s">
        <v>51</v>
      </c>
      <c r="D1262">
        <v>2</v>
      </c>
      <c r="E1262">
        <v>56</v>
      </c>
      <c r="F1262">
        <v>0.48</v>
      </c>
      <c r="G1262">
        <f t="shared" si="20"/>
        <v>0.16</v>
      </c>
      <c r="H1262">
        <f>G1262*(26.79/38.29)</f>
        <v>0.11194567772264298</v>
      </c>
    </row>
    <row r="1263" spans="1:8" x14ac:dyDescent="0.25">
      <c r="A1263" s="1">
        <v>1993</v>
      </c>
      <c r="B1263" s="1" t="s">
        <v>99</v>
      </c>
      <c r="C1263" t="s">
        <v>51</v>
      </c>
      <c r="D1263">
        <v>2</v>
      </c>
      <c r="E1263">
        <v>56</v>
      </c>
      <c r="F1263">
        <v>1.26</v>
      </c>
      <c r="G1263">
        <f t="shared" si="20"/>
        <v>0.42000000000000004</v>
      </c>
      <c r="H1263">
        <f>G1263*(26.79/38.29)</f>
        <v>0.29385740402193783</v>
      </c>
    </row>
    <row r="1264" spans="1:8" x14ac:dyDescent="0.25">
      <c r="A1264" s="1">
        <v>1993</v>
      </c>
      <c r="B1264" s="1" t="s">
        <v>99</v>
      </c>
      <c r="C1264" t="s">
        <v>51</v>
      </c>
      <c r="D1264">
        <v>2</v>
      </c>
      <c r="E1264">
        <v>58</v>
      </c>
      <c r="F1264">
        <v>7.0000000000000007E-2</v>
      </c>
      <c r="G1264">
        <f t="shared" si="20"/>
        <v>2.3333333333333338E-2</v>
      </c>
      <c r="H1264">
        <f>G1264*(26.79/38.29)</f>
        <v>1.6325411334552103E-2</v>
      </c>
    </row>
    <row r="1265" spans="1:8" x14ac:dyDescent="0.25">
      <c r="A1265" s="1">
        <v>1993</v>
      </c>
      <c r="B1265" s="1" t="s">
        <v>99</v>
      </c>
      <c r="C1265" t="s">
        <v>51</v>
      </c>
      <c r="D1265">
        <v>2</v>
      </c>
      <c r="E1265">
        <v>63</v>
      </c>
      <c r="F1265">
        <v>7.0000000000000007E-2</v>
      </c>
      <c r="G1265">
        <f t="shared" si="20"/>
        <v>2.3333333333333338E-2</v>
      </c>
      <c r="H1265">
        <f>G1265*(26.79/38.29)</f>
        <v>1.6325411334552103E-2</v>
      </c>
    </row>
    <row r="1266" spans="1:8" x14ac:dyDescent="0.25">
      <c r="A1266" s="1">
        <v>1993</v>
      </c>
      <c r="B1266" s="1" t="s">
        <v>99</v>
      </c>
      <c r="C1266" t="s">
        <v>51</v>
      </c>
      <c r="D1266">
        <v>2</v>
      </c>
      <c r="E1266">
        <v>63</v>
      </c>
      <c r="F1266">
        <v>0.13</v>
      </c>
      <c r="G1266">
        <f t="shared" si="20"/>
        <v>4.3333333333333335E-2</v>
      </c>
      <c r="H1266">
        <f>G1266*(26.79/38.29)</f>
        <v>3.0318621049882474E-2</v>
      </c>
    </row>
    <row r="1267" spans="1:8" x14ac:dyDescent="0.25">
      <c r="A1267" s="1">
        <v>1993</v>
      </c>
      <c r="B1267" s="1" t="s">
        <v>99</v>
      </c>
      <c r="C1267" t="s">
        <v>51</v>
      </c>
      <c r="D1267">
        <v>2</v>
      </c>
      <c r="E1267">
        <v>63</v>
      </c>
      <c r="F1267">
        <v>0.04</v>
      </c>
      <c r="G1267">
        <f t="shared" si="20"/>
        <v>1.3333333333333332E-2</v>
      </c>
      <c r="H1267">
        <f>G1267*(26.79/38.29)</f>
        <v>9.3288064768869139E-3</v>
      </c>
    </row>
    <row r="1268" spans="1:8" x14ac:dyDescent="0.25">
      <c r="A1268" s="1">
        <v>1993</v>
      </c>
      <c r="B1268" s="1" t="s">
        <v>99</v>
      </c>
      <c r="C1268" t="s">
        <v>51</v>
      </c>
      <c r="D1268">
        <v>2</v>
      </c>
      <c r="E1268">
        <v>63</v>
      </c>
      <c r="F1268">
        <v>0.04</v>
      </c>
      <c r="G1268">
        <f t="shared" si="20"/>
        <v>1.3333333333333332E-2</v>
      </c>
      <c r="H1268">
        <f>G1268*(26.79/38.29)</f>
        <v>9.3288064768869139E-3</v>
      </c>
    </row>
    <row r="1269" spans="1:8" x14ac:dyDescent="0.25">
      <c r="A1269" s="1">
        <v>1993</v>
      </c>
      <c r="B1269" s="1" t="s">
        <v>99</v>
      </c>
      <c r="C1269" t="s">
        <v>51</v>
      </c>
      <c r="D1269">
        <v>2</v>
      </c>
      <c r="E1269">
        <v>63</v>
      </c>
      <c r="F1269">
        <v>0.08</v>
      </c>
      <c r="G1269">
        <f t="shared" si="20"/>
        <v>2.6666666666666665E-2</v>
      </c>
      <c r="H1269">
        <f>G1269*(26.79/38.29)</f>
        <v>1.8657612953773828E-2</v>
      </c>
    </row>
    <row r="1270" spans="1:8" x14ac:dyDescent="0.25">
      <c r="A1270" s="1">
        <v>1993</v>
      </c>
      <c r="B1270" s="1" t="s">
        <v>99</v>
      </c>
      <c r="C1270" t="s">
        <v>51</v>
      </c>
      <c r="D1270">
        <v>2</v>
      </c>
      <c r="E1270">
        <v>63</v>
      </c>
      <c r="F1270">
        <v>0.06</v>
      </c>
      <c r="G1270">
        <f t="shared" si="20"/>
        <v>0.02</v>
      </c>
      <c r="H1270">
        <f>G1270*(26.79/38.29)</f>
        <v>1.3993209715330373E-2</v>
      </c>
    </row>
    <row r="1271" spans="1:8" x14ac:dyDescent="0.25">
      <c r="A1271" s="1">
        <v>1993</v>
      </c>
      <c r="B1271" s="1" t="s">
        <v>99</v>
      </c>
      <c r="C1271" t="s">
        <v>51</v>
      </c>
      <c r="D1271">
        <v>2</v>
      </c>
      <c r="E1271">
        <v>63</v>
      </c>
      <c r="F1271">
        <v>0.11</v>
      </c>
      <c r="G1271">
        <f t="shared" si="20"/>
        <v>3.6666666666666667E-2</v>
      </c>
      <c r="H1271">
        <f>G1271*(26.79/38.29)</f>
        <v>2.5654217811439017E-2</v>
      </c>
    </row>
    <row r="1272" spans="1:8" x14ac:dyDescent="0.25">
      <c r="A1272" s="1">
        <v>1993</v>
      </c>
      <c r="B1272" s="1" t="s">
        <v>99</v>
      </c>
      <c r="C1272" t="s">
        <v>51</v>
      </c>
      <c r="D1272">
        <v>2</v>
      </c>
      <c r="E1272">
        <v>63</v>
      </c>
      <c r="F1272">
        <v>0.13</v>
      </c>
      <c r="G1272">
        <f t="shared" si="20"/>
        <v>4.3333333333333335E-2</v>
      </c>
      <c r="H1272">
        <f>G1272*(26.79/38.29)</f>
        <v>3.0318621049882474E-2</v>
      </c>
    </row>
    <row r="1273" spans="1:8" x14ac:dyDescent="0.25">
      <c r="A1273" s="1">
        <v>1993</v>
      </c>
      <c r="B1273" s="1" t="s">
        <v>99</v>
      </c>
      <c r="C1273" t="s">
        <v>51</v>
      </c>
      <c r="D1273">
        <v>2</v>
      </c>
      <c r="E1273">
        <v>63</v>
      </c>
      <c r="F1273">
        <v>7.0000000000000007E-2</v>
      </c>
      <c r="G1273">
        <f t="shared" si="20"/>
        <v>2.3333333333333338E-2</v>
      </c>
      <c r="H1273">
        <f>G1273*(26.79/38.29)</f>
        <v>1.6325411334552103E-2</v>
      </c>
    </row>
    <row r="1274" spans="1:8" x14ac:dyDescent="0.25">
      <c r="A1274" s="1">
        <v>1993</v>
      </c>
      <c r="B1274" s="1" t="s">
        <v>99</v>
      </c>
      <c r="C1274" t="s">
        <v>51</v>
      </c>
      <c r="D1274">
        <v>2</v>
      </c>
      <c r="E1274">
        <v>71</v>
      </c>
      <c r="F1274">
        <v>0.1</v>
      </c>
      <c r="G1274">
        <f t="shared" si="20"/>
        <v>3.333333333333334E-2</v>
      </c>
      <c r="H1274">
        <f>G1274*(26.79/38.29)</f>
        <v>2.3322016192217292E-2</v>
      </c>
    </row>
    <row r="1275" spans="1:8" x14ac:dyDescent="0.25">
      <c r="A1275" s="1">
        <v>1993</v>
      </c>
      <c r="B1275" s="1" t="s">
        <v>99</v>
      </c>
      <c r="C1275" t="s">
        <v>51</v>
      </c>
      <c r="D1275">
        <v>2</v>
      </c>
      <c r="E1275">
        <v>76</v>
      </c>
      <c r="F1275">
        <v>0.13</v>
      </c>
      <c r="G1275">
        <f t="shared" si="20"/>
        <v>4.3333333333333335E-2</v>
      </c>
      <c r="H1275">
        <f>G1275*(26.79/38.29)</f>
        <v>3.0318621049882474E-2</v>
      </c>
    </row>
    <row r="1276" spans="1:8" x14ac:dyDescent="0.25">
      <c r="A1276" s="1">
        <v>1993</v>
      </c>
      <c r="B1276" s="1" t="s">
        <v>99</v>
      </c>
      <c r="C1276" t="s">
        <v>51</v>
      </c>
      <c r="D1276">
        <v>2</v>
      </c>
      <c r="E1276">
        <v>76</v>
      </c>
      <c r="F1276">
        <v>0.11</v>
      </c>
      <c r="G1276">
        <f t="shared" si="20"/>
        <v>3.6666666666666667E-2</v>
      </c>
      <c r="H1276">
        <f>G1276*(26.79/38.29)</f>
        <v>2.5654217811439017E-2</v>
      </c>
    </row>
    <row r="1277" spans="1:8" x14ac:dyDescent="0.25">
      <c r="A1277" s="1">
        <v>1993</v>
      </c>
      <c r="B1277" s="1" t="s">
        <v>99</v>
      </c>
      <c r="C1277" t="s">
        <v>51</v>
      </c>
      <c r="D1277">
        <v>2</v>
      </c>
      <c r="E1277">
        <v>76</v>
      </c>
      <c r="F1277">
        <v>0.04</v>
      </c>
      <c r="G1277">
        <f t="shared" ref="G1277:G1340" si="21">(F1277/0.6)/5</f>
        <v>1.3333333333333332E-2</v>
      </c>
      <c r="H1277">
        <f>G1277*(26.79/38.29)</f>
        <v>9.3288064768869139E-3</v>
      </c>
    </row>
    <row r="1278" spans="1:8" x14ac:dyDescent="0.25">
      <c r="A1278" s="1">
        <v>1993</v>
      </c>
      <c r="B1278" s="1" t="s">
        <v>99</v>
      </c>
      <c r="C1278" t="s">
        <v>51</v>
      </c>
      <c r="D1278">
        <v>2</v>
      </c>
      <c r="E1278">
        <v>76</v>
      </c>
      <c r="F1278">
        <v>0.05</v>
      </c>
      <c r="G1278">
        <f t="shared" si="21"/>
        <v>1.666666666666667E-2</v>
      </c>
      <c r="H1278">
        <f>G1278*(26.79/38.29)</f>
        <v>1.1661008096108646E-2</v>
      </c>
    </row>
    <row r="1279" spans="1:8" x14ac:dyDescent="0.25">
      <c r="A1279" s="1">
        <v>1993</v>
      </c>
      <c r="B1279" s="1" t="s">
        <v>99</v>
      </c>
      <c r="C1279" t="s">
        <v>51</v>
      </c>
      <c r="D1279">
        <v>2</v>
      </c>
      <c r="E1279">
        <v>76</v>
      </c>
      <c r="F1279">
        <v>0.08</v>
      </c>
      <c r="G1279">
        <f t="shared" si="21"/>
        <v>2.6666666666666665E-2</v>
      </c>
      <c r="H1279">
        <f>G1279*(26.79/38.29)</f>
        <v>1.8657612953773828E-2</v>
      </c>
    </row>
    <row r="1280" spans="1:8" x14ac:dyDescent="0.25">
      <c r="A1280" s="1">
        <v>1993</v>
      </c>
      <c r="B1280" s="1" t="s">
        <v>99</v>
      </c>
      <c r="C1280" t="s">
        <v>51</v>
      </c>
      <c r="D1280">
        <v>2</v>
      </c>
      <c r="E1280">
        <v>76</v>
      </c>
      <c r="F1280">
        <v>0.04</v>
      </c>
      <c r="G1280">
        <f t="shared" si="21"/>
        <v>1.3333333333333332E-2</v>
      </c>
      <c r="H1280">
        <f>G1280*(26.79/38.29)</f>
        <v>9.3288064768869139E-3</v>
      </c>
    </row>
    <row r="1281" spans="1:8" x14ac:dyDescent="0.25">
      <c r="A1281" s="1">
        <v>1993</v>
      </c>
      <c r="B1281" s="1" t="s">
        <v>99</v>
      </c>
      <c r="C1281" t="s">
        <v>51</v>
      </c>
      <c r="D1281">
        <v>2</v>
      </c>
      <c r="E1281">
        <v>76</v>
      </c>
      <c r="F1281">
        <v>7.0000000000000007E-2</v>
      </c>
      <c r="G1281">
        <f t="shared" si="21"/>
        <v>2.3333333333333338E-2</v>
      </c>
      <c r="H1281">
        <f>G1281*(26.79/38.29)</f>
        <v>1.6325411334552103E-2</v>
      </c>
    </row>
    <row r="1282" spans="1:8" x14ac:dyDescent="0.25">
      <c r="A1282" s="1">
        <v>1993</v>
      </c>
      <c r="B1282" s="1" t="s">
        <v>99</v>
      </c>
      <c r="C1282" t="s">
        <v>51</v>
      </c>
      <c r="D1282">
        <v>2</v>
      </c>
      <c r="E1282">
        <v>78</v>
      </c>
      <c r="F1282">
        <v>0.04</v>
      </c>
      <c r="G1282">
        <f t="shared" si="21"/>
        <v>1.3333333333333332E-2</v>
      </c>
      <c r="H1282">
        <f>G1282*(26.79/38.29)</f>
        <v>9.3288064768869139E-3</v>
      </c>
    </row>
    <row r="1283" spans="1:8" x14ac:dyDescent="0.25">
      <c r="A1283" s="1">
        <v>1993</v>
      </c>
      <c r="B1283" s="1" t="s">
        <v>99</v>
      </c>
      <c r="C1283" t="s">
        <v>51</v>
      </c>
      <c r="D1283">
        <v>2</v>
      </c>
      <c r="E1283">
        <v>78</v>
      </c>
      <c r="F1283">
        <v>0.04</v>
      </c>
      <c r="G1283">
        <f t="shared" si="21"/>
        <v>1.3333333333333332E-2</v>
      </c>
      <c r="H1283">
        <f>G1283*(26.79/38.29)</f>
        <v>9.3288064768869139E-3</v>
      </c>
    </row>
    <row r="1284" spans="1:8" x14ac:dyDescent="0.25">
      <c r="A1284" s="1">
        <v>1993</v>
      </c>
      <c r="B1284" s="1" t="s">
        <v>99</v>
      </c>
      <c r="C1284" t="s">
        <v>51</v>
      </c>
      <c r="D1284">
        <v>2</v>
      </c>
      <c r="E1284">
        <v>79</v>
      </c>
      <c r="F1284">
        <v>0.62</v>
      </c>
      <c r="G1284">
        <f t="shared" si="21"/>
        <v>0.20666666666666669</v>
      </c>
      <c r="H1284">
        <f>G1284*(26.79/38.29)</f>
        <v>0.14459650039174721</v>
      </c>
    </row>
    <row r="1285" spans="1:8" x14ac:dyDescent="0.25">
      <c r="A1285" s="1">
        <v>1993</v>
      </c>
      <c r="B1285" s="1" t="s">
        <v>99</v>
      </c>
      <c r="C1285" t="s">
        <v>51</v>
      </c>
      <c r="D1285">
        <v>2</v>
      </c>
      <c r="E1285">
        <v>79</v>
      </c>
      <c r="F1285">
        <v>7.0000000000000007E-2</v>
      </c>
      <c r="G1285">
        <f t="shared" si="21"/>
        <v>2.3333333333333338E-2</v>
      </c>
      <c r="H1285">
        <f>G1285*(26.79/38.29)</f>
        <v>1.6325411334552103E-2</v>
      </c>
    </row>
    <row r="1286" spans="1:8" x14ac:dyDescent="0.25">
      <c r="A1286" s="1">
        <v>1993</v>
      </c>
      <c r="B1286" s="1" t="s">
        <v>99</v>
      </c>
      <c r="C1286" t="s">
        <v>51</v>
      </c>
      <c r="D1286">
        <v>2</v>
      </c>
      <c r="E1286">
        <v>79</v>
      </c>
      <c r="F1286">
        <v>0.77</v>
      </c>
      <c r="G1286">
        <f t="shared" si="21"/>
        <v>0.25666666666666671</v>
      </c>
      <c r="H1286">
        <f>G1286*(26.79/38.29)</f>
        <v>0.17957952468007315</v>
      </c>
    </row>
    <row r="1287" spans="1:8" x14ac:dyDescent="0.25">
      <c r="A1287" s="1">
        <v>1993</v>
      </c>
      <c r="B1287" s="1" t="s">
        <v>99</v>
      </c>
      <c r="C1287" t="s">
        <v>51</v>
      </c>
      <c r="D1287">
        <v>2</v>
      </c>
      <c r="E1287">
        <v>79</v>
      </c>
      <c r="F1287">
        <v>0.06</v>
      </c>
      <c r="G1287">
        <f t="shared" si="21"/>
        <v>0.02</v>
      </c>
      <c r="H1287">
        <f>G1287*(26.79/38.29)</f>
        <v>1.3993209715330373E-2</v>
      </c>
    </row>
    <row r="1288" spans="1:8" x14ac:dyDescent="0.25">
      <c r="A1288" s="1">
        <v>1993</v>
      </c>
      <c r="B1288" s="1" t="s">
        <v>99</v>
      </c>
      <c r="C1288" t="s">
        <v>51</v>
      </c>
      <c r="D1288">
        <v>2</v>
      </c>
      <c r="E1288">
        <v>79</v>
      </c>
      <c r="F1288">
        <v>0.47</v>
      </c>
      <c r="G1288">
        <f t="shared" si="21"/>
        <v>0.15666666666666668</v>
      </c>
      <c r="H1288">
        <f>G1288*(26.79/38.29)</f>
        <v>0.10961347610342126</v>
      </c>
    </row>
    <row r="1289" spans="1:8" x14ac:dyDescent="0.25">
      <c r="A1289" s="1">
        <v>1993</v>
      </c>
      <c r="B1289" s="1" t="s">
        <v>99</v>
      </c>
      <c r="C1289" t="s">
        <v>51</v>
      </c>
      <c r="D1289">
        <v>2</v>
      </c>
      <c r="E1289">
        <v>79</v>
      </c>
      <c r="F1289">
        <v>1.1599999999999999</v>
      </c>
      <c r="G1289">
        <f t="shared" si="21"/>
        <v>0.38666666666666666</v>
      </c>
      <c r="H1289">
        <f>G1289*(26.79/38.29)</f>
        <v>0.27053538782972053</v>
      </c>
    </row>
    <row r="1290" spans="1:8" x14ac:dyDescent="0.25">
      <c r="A1290" s="1">
        <v>1993</v>
      </c>
      <c r="B1290" s="1" t="s">
        <v>99</v>
      </c>
      <c r="C1290" t="s">
        <v>51</v>
      </c>
      <c r="D1290">
        <v>2</v>
      </c>
      <c r="E1290">
        <v>79</v>
      </c>
      <c r="F1290">
        <v>0.08</v>
      </c>
      <c r="G1290">
        <f t="shared" si="21"/>
        <v>2.6666666666666665E-2</v>
      </c>
      <c r="H1290">
        <f>G1290*(26.79/38.29)</f>
        <v>1.8657612953773828E-2</v>
      </c>
    </row>
    <row r="1291" spans="1:8" x14ac:dyDescent="0.25">
      <c r="A1291" s="1">
        <v>1993</v>
      </c>
      <c r="B1291" s="1" t="s">
        <v>99</v>
      </c>
      <c r="C1291" t="s">
        <v>51</v>
      </c>
      <c r="D1291">
        <v>2</v>
      </c>
      <c r="E1291">
        <v>79</v>
      </c>
      <c r="F1291">
        <v>0.03</v>
      </c>
      <c r="G1291">
        <f t="shared" si="21"/>
        <v>0.01</v>
      </c>
      <c r="H1291">
        <f>G1291*(26.79/38.29)</f>
        <v>6.9966048576651863E-3</v>
      </c>
    </row>
    <row r="1292" spans="1:8" x14ac:dyDescent="0.25">
      <c r="A1292" s="1">
        <v>1993</v>
      </c>
      <c r="B1292" s="1" t="s">
        <v>99</v>
      </c>
      <c r="C1292" t="s">
        <v>51</v>
      </c>
      <c r="D1292">
        <v>2</v>
      </c>
      <c r="E1292">
        <v>79</v>
      </c>
      <c r="F1292">
        <v>0.32</v>
      </c>
      <c r="G1292">
        <f t="shared" si="21"/>
        <v>0.10666666666666666</v>
      </c>
      <c r="H1292">
        <f>G1292*(26.79/38.29)</f>
        <v>7.4630451815095311E-2</v>
      </c>
    </row>
    <row r="1293" spans="1:8" x14ac:dyDescent="0.25">
      <c r="A1293" s="1">
        <v>1993</v>
      </c>
      <c r="B1293" s="1" t="s">
        <v>99</v>
      </c>
      <c r="C1293" t="s">
        <v>51</v>
      </c>
      <c r="D1293">
        <v>2</v>
      </c>
      <c r="E1293">
        <v>79</v>
      </c>
      <c r="F1293">
        <v>0.5</v>
      </c>
      <c r="G1293">
        <f t="shared" si="21"/>
        <v>0.16666666666666669</v>
      </c>
      <c r="H1293">
        <f>G1293*(26.79/38.29)</f>
        <v>0.11661008096108645</v>
      </c>
    </row>
    <row r="1294" spans="1:8" x14ac:dyDescent="0.25">
      <c r="A1294" s="1">
        <v>1993</v>
      </c>
      <c r="B1294" s="1" t="s">
        <v>99</v>
      </c>
      <c r="C1294" t="s">
        <v>51</v>
      </c>
      <c r="D1294">
        <v>2</v>
      </c>
      <c r="E1294">
        <v>79</v>
      </c>
      <c r="F1294">
        <v>0.27</v>
      </c>
      <c r="G1294">
        <f t="shared" si="21"/>
        <v>9.0000000000000011E-2</v>
      </c>
      <c r="H1294">
        <f>G1294*(26.79/38.29)</f>
        <v>6.296944371898669E-2</v>
      </c>
    </row>
    <row r="1295" spans="1:8" x14ac:dyDescent="0.25">
      <c r="A1295" s="1">
        <v>1993</v>
      </c>
      <c r="B1295" s="1" t="s">
        <v>99</v>
      </c>
      <c r="C1295" t="s">
        <v>51</v>
      </c>
      <c r="D1295">
        <v>2</v>
      </c>
      <c r="E1295">
        <v>79</v>
      </c>
      <c r="F1295">
        <v>7.0000000000000007E-2</v>
      </c>
      <c r="G1295">
        <f t="shared" si="21"/>
        <v>2.3333333333333338E-2</v>
      </c>
      <c r="H1295">
        <f>G1295*(26.79/38.29)</f>
        <v>1.6325411334552103E-2</v>
      </c>
    </row>
    <row r="1296" spans="1:8" x14ac:dyDescent="0.25">
      <c r="A1296" s="1">
        <v>1993</v>
      </c>
      <c r="B1296" s="1" t="s">
        <v>99</v>
      </c>
      <c r="C1296" t="s">
        <v>51</v>
      </c>
      <c r="D1296">
        <v>2</v>
      </c>
      <c r="E1296">
        <v>79</v>
      </c>
      <c r="F1296">
        <v>0.18</v>
      </c>
      <c r="G1296">
        <f t="shared" si="21"/>
        <v>0.06</v>
      </c>
      <c r="H1296">
        <f>G1296*(26.79/38.29)</f>
        <v>4.1979629145991113E-2</v>
      </c>
    </row>
    <row r="1297" spans="1:8" x14ac:dyDescent="0.25">
      <c r="A1297" s="1">
        <v>1993</v>
      </c>
      <c r="B1297" s="1" t="s">
        <v>99</v>
      </c>
      <c r="C1297" t="s">
        <v>51</v>
      </c>
      <c r="D1297">
        <v>2</v>
      </c>
      <c r="E1297">
        <v>79</v>
      </c>
      <c r="F1297">
        <v>0.17</v>
      </c>
      <c r="G1297">
        <f t="shared" si="21"/>
        <v>5.6666666666666678E-2</v>
      </c>
      <c r="H1297">
        <f>G1297*(26.79/38.29)</f>
        <v>3.9647427526769398E-2</v>
      </c>
    </row>
    <row r="1298" spans="1:8" x14ac:dyDescent="0.25">
      <c r="A1298" s="1">
        <v>1993</v>
      </c>
      <c r="B1298" s="1" t="s">
        <v>99</v>
      </c>
      <c r="C1298" t="s">
        <v>51</v>
      </c>
      <c r="D1298">
        <v>2</v>
      </c>
      <c r="E1298">
        <v>79</v>
      </c>
      <c r="F1298">
        <v>0.79</v>
      </c>
      <c r="G1298">
        <f t="shared" si="21"/>
        <v>0.26333333333333336</v>
      </c>
      <c r="H1298">
        <f>G1298*(26.79/38.29)</f>
        <v>0.1842439279185166</v>
      </c>
    </row>
    <row r="1299" spans="1:8" x14ac:dyDescent="0.25">
      <c r="A1299" s="1">
        <v>1993</v>
      </c>
      <c r="B1299" s="1" t="s">
        <v>99</v>
      </c>
      <c r="C1299" t="s">
        <v>51</v>
      </c>
      <c r="D1299">
        <v>2</v>
      </c>
      <c r="E1299">
        <v>79</v>
      </c>
      <c r="F1299">
        <v>0.05</v>
      </c>
      <c r="G1299">
        <f t="shared" si="21"/>
        <v>1.666666666666667E-2</v>
      </c>
      <c r="H1299">
        <f>G1299*(26.79/38.29)</f>
        <v>1.1661008096108646E-2</v>
      </c>
    </row>
    <row r="1300" spans="1:8" x14ac:dyDescent="0.25">
      <c r="A1300" s="1">
        <v>1993</v>
      </c>
      <c r="B1300" s="1" t="s">
        <v>99</v>
      </c>
      <c r="C1300" t="s">
        <v>51</v>
      </c>
      <c r="D1300">
        <v>2</v>
      </c>
      <c r="E1300">
        <v>79</v>
      </c>
      <c r="F1300">
        <v>0.53</v>
      </c>
      <c r="G1300">
        <f t="shared" si="21"/>
        <v>0.17666666666666669</v>
      </c>
      <c r="H1300">
        <f>G1300*(26.79/38.29)</f>
        <v>0.12360668581875164</v>
      </c>
    </row>
    <row r="1301" spans="1:8" x14ac:dyDescent="0.25">
      <c r="A1301" s="1">
        <v>1993</v>
      </c>
      <c r="B1301" s="1" t="s">
        <v>99</v>
      </c>
      <c r="C1301" t="s">
        <v>51</v>
      </c>
      <c r="D1301">
        <v>2</v>
      </c>
      <c r="E1301">
        <v>79</v>
      </c>
      <c r="F1301">
        <v>0.28000000000000003</v>
      </c>
      <c r="G1301">
        <f t="shared" si="21"/>
        <v>9.3333333333333351E-2</v>
      </c>
      <c r="H1301">
        <f>G1301*(26.79/38.29)</f>
        <v>6.5301645338208411E-2</v>
      </c>
    </row>
    <row r="1302" spans="1:8" x14ac:dyDescent="0.25">
      <c r="A1302" s="1">
        <v>1993</v>
      </c>
      <c r="B1302" s="1" t="s">
        <v>99</v>
      </c>
      <c r="C1302" t="s">
        <v>51</v>
      </c>
      <c r="D1302">
        <v>2</v>
      </c>
      <c r="E1302">
        <v>79</v>
      </c>
      <c r="F1302">
        <v>0.42</v>
      </c>
      <c r="G1302">
        <f t="shared" si="21"/>
        <v>0.13999999999999999</v>
      </c>
      <c r="H1302">
        <f>G1302*(26.79/38.29)</f>
        <v>9.7952468007312596E-2</v>
      </c>
    </row>
    <row r="1303" spans="1:8" x14ac:dyDescent="0.25">
      <c r="A1303" s="1">
        <v>1993</v>
      </c>
      <c r="B1303" s="1" t="s">
        <v>99</v>
      </c>
      <c r="C1303" t="s">
        <v>51</v>
      </c>
      <c r="D1303">
        <v>2</v>
      </c>
      <c r="E1303">
        <v>79</v>
      </c>
      <c r="F1303">
        <v>0.08</v>
      </c>
      <c r="G1303">
        <f t="shared" si="21"/>
        <v>2.6666666666666665E-2</v>
      </c>
      <c r="H1303">
        <f>G1303*(26.79/38.29)</f>
        <v>1.8657612953773828E-2</v>
      </c>
    </row>
    <row r="1304" spans="1:8" x14ac:dyDescent="0.25">
      <c r="A1304" s="1">
        <v>1993</v>
      </c>
      <c r="B1304" s="1" t="s">
        <v>99</v>
      </c>
      <c r="C1304" t="s">
        <v>51</v>
      </c>
      <c r="D1304">
        <v>2</v>
      </c>
      <c r="E1304">
        <v>79</v>
      </c>
      <c r="F1304">
        <v>0.34</v>
      </c>
      <c r="G1304">
        <f t="shared" si="21"/>
        <v>0.11333333333333336</v>
      </c>
      <c r="H1304">
        <f>G1304*(26.79/38.29)</f>
        <v>7.9294855053538796E-2</v>
      </c>
    </row>
    <row r="1305" spans="1:8" x14ac:dyDescent="0.25">
      <c r="A1305" s="1">
        <v>1993</v>
      </c>
      <c r="B1305" s="1" t="s">
        <v>99</v>
      </c>
      <c r="C1305" t="s">
        <v>51</v>
      </c>
      <c r="D1305">
        <v>2</v>
      </c>
      <c r="E1305">
        <v>79</v>
      </c>
      <c r="F1305">
        <v>0.52</v>
      </c>
      <c r="G1305">
        <f t="shared" si="21"/>
        <v>0.17333333333333334</v>
      </c>
      <c r="H1305">
        <f>G1305*(26.79/38.29)</f>
        <v>0.12127448419952989</v>
      </c>
    </row>
    <row r="1306" spans="1:8" x14ac:dyDescent="0.25">
      <c r="A1306" s="1">
        <v>1993</v>
      </c>
      <c r="B1306" s="1" t="s">
        <v>99</v>
      </c>
      <c r="C1306" t="s">
        <v>51</v>
      </c>
      <c r="D1306">
        <v>2</v>
      </c>
      <c r="E1306">
        <v>79</v>
      </c>
      <c r="F1306">
        <v>0.7</v>
      </c>
      <c r="G1306">
        <f t="shared" si="21"/>
        <v>0.23333333333333334</v>
      </c>
      <c r="H1306">
        <f>G1306*(26.79/38.29)</f>
        <v>0.16325411334552101</v>
      </c>
    </row>
    <row r="1307" spans="1:8" x14ac:dyDescent="0.25">
      <c r="A1307" s="1">
        <v>1993</v>
      </c>
      <c r="B1307" s="1" t="s">
        <v>99</v>
      </c>
      <c r="C1307" t="s">
        <v>51</v>
      </c>
      <c r="D1307">
        <v>2</v>
      </c>
      <c r="E1307">
        <v>79</v>
      </c>
      <c r="F1307">
        <v>0.4</v>
      </c>
      <c r="G1307">
        <f t="shared" si="21"/>
        <v>0.13333333333333336</v>
      </c>
      <c r="H1307">
        <f>G1307*(26.79/38.29)</f>
        <v>9.3288064768869167E-2</v>
      </c>
    </row>
    <row r="1308" spans="1:8" x14ac:dyDescent="0.25">
      <c r="A1308" s="1">
        <v>1993</v>
      </c>
      <c r="B1308" s="1" t="s">
        <v>99</v>
      </c>
      <c r="C1308" t="s">
        <v>51</v>
      </c>
      <c r="D1308">
        <v>2</v>
      </c>
      <c r="E1308">
        <v>79</v>
      </c>
      <c r="F1308">
        <v>0.44</v>
      </c>
      <c r="G1308">
        <f t="shared" si="21"/>
        <v>0.14666666666666667</v>
      </c>
      <c r="H1308">
        <f>G1308*(26.79/38.29)</f>
        <v>0.10261687124575607</v>
      </c>
    </row>
    <row r="1309" spans="1:8" x14ac:dyDescent="0.25">
      <c r="A1309" s="1">
        <v>1993</v>
      </c>
      <c r="B1309" s="1" t="s">
        <v>99</v>
      </c>
      <c r="C1309" t="s">
        <v>51</v>
      </c>
      <c r="D1309">
        <v>2</v>
      </c>
      <c r="E1309">
        <v>79</v>
      </c>
      <c r="F1309">
        <v>0.04</v>
      </c>
      <c r="G1309">
        <f t="shared" si="21"/>
        <v>1.3333333333333332E-2</v>
      </c>
      <c r="H1309">
        <f>G1309*(26.79/38.29)</f>
        <v>9.3288064768869139E-3</v>
      </c>
    </row>
    <row r="1310" spans="1:8" x14ac:dyDescent="0.25">
      <c r="A1310" s="1">
        <v>1993</v>
      </c>
      <c r="B1310" s="1" t="s">
        <v>99</v>
      </c>
      <c r="C1310" t="s">
        <v>51</v>
      </c>
      <c r="D1310">
        <v>2</v>
      </c>
      <c r="E1310">
        <v>79</v>
      </c>
      <c r="F1310">
        <v>0.61</v>
      </c>
      <c r="G1310">
        <f t="shared" si="21"/>
        <v>0.20333333333333331</v>
      </c>
      <c r="H1310">
        <f>G1310*(26.79/38.29)</f>
        <v>0.14226429877252544</v>
      </c>
    </row>
    <row r="1311" spans="1:8" x14ac:dyDescent="0.25">
      <c r="A1311" s="1">
        <v>1993</v>
      </c>
      <c r="B1311" s="1" t="s">
        <v>99</v>
      </c>
      <c r="C1311" t="s">
        <v>51</v>
      </c>
      <c r="D1311">
        <v>2</v>
      </c>
      <c r="E1311">
        <v>79</v>
      </c>
      <c r="F1311">
        <v>0.2</v>
      </c>
      <c r="G1311">
        <f t="shared" si="21"/>
        <v>6.666666666666668E-2</v>
      </c>
      <c r="H1311">
        <f>G1311*(26.79/38.29)</f>
        <v>4.6644032384434583E-2</v>
      </c>
    </row>
    <row r="1312" spans="1:8" x14ac:dyDescent="0.25">
      <c r="A1312" s="1">
        <v>1993</v>
      </c>
      <c r="B1312" s="1" t="s">
        <v>99</v>
      </c>
      <c r="C1312" t="s">
        <v>51</v>
      </c>
      <c r="D1312">
        <v>2</v>
      </c>
      <c r="E1312">
        <v>79</v>
      </c>
      <c r="F1312">
        <v>0.26</v>
      </c>
      <c r="G1312">
        <f t="shared" si="21"/>
        <v>8.666666666666667E-2</v>
      </c>
      <c r="H1312">
        <f>G1312*(26.79/38.29)</f>
        <v>6.0637242099764947E-2</v>
      </c>
    </row>
    <row r="1313" spans="1:8" x14ac:dyDescent="0.25">
      <c r="A1313" s="1">
        <v>1993</v>
      </c>
      <c r="B1313" s="1" t="s">
        <v>99</v>
      </c>
      <c r="C1313" t="s">
        <v>51</v>
      </c>
      <c r="D1313">
        <v>2</v>
      </c>
      <c r="E1313">
        <v>79</v>
      </c>
      <c r="F1313">
        <v>0.66</v>
      </c>
      <c r="G1313">
        <f t="shared" si="21"/>
        <v>0.22000000000000003</v>
      </c>
      <c r="H1313">
        <f>G1313*(26.79/38.29)</f>
        <v>0.15392530686863412</v>
      </c>
    </row>
    <row r="1314" spans="1:8" x14ac:dyDescent="0.25">
      <c r="A1314" s="1">
        <v>1993</v>
      </c>
      <c r="B1314" s="1" t="s">
        <v>99</v>
      </c>
      <c r="C1314" t="s">
        <v>51</v>
      </c>
      <c r="D1314">
        <v>2</v>
      </c>
      <c r="E1314">
        <v>79</v>
      </c>
      <c r="F1314">
        <v>0.06</v>
      </c>
      <c r="G1314">
        <f t="shared" si="21"/>
        <v>0.02</v>
      </c>
      <c r="H1314">
        <f>G1314*(26.79/38.29)</f>
        <v>1.3993209715330373E-2</v>
      </c>
    </row>
    <row r="1315" spans="1:8" x14ac:dyDescent="0.25">
      <c r="A1315" s="1">
        <v>1993</v>
      </c>
      <c r="B1315" s="1" t="s">
        <v>99</v>
      </c>
      <c r="C1315" t="s">
        <v>51</v>
      </c>
      <c r="D1315">
        <v>2</v>
      </c>
      <c r="E1315">
        <v>79</v>
      </c>
      <c r="F1315">
        <v>0.57999999999999996</v>
      </c>
      <c r="G1315">
        <f t="shared" si="21"/>
        <v>0.19333333333333333</v>
      </c>
      <c r="H1315">
        <f>G1315*(26.79/38.29)</f>
        <v>0.13526769391486027</v>
      </c>
    </row>
    <row r="1316" spans="1:8" x14ac:dyDescent="0.25">
      <c r="A1316" s="1">
        <v>1993</v>
      </c>
      <c r="B1316" s="1" t="s">
        <v>99</v>
      </c>
      <c r="C1316" t="s">
        <v>51</v>
      </c>
      <c r="D1316">
        <v>2</v>
      </c>
      <c r="E1316">
        <v>79</v>
      </c>
      <c r="F1316">
        <v>0.1</v>
      </c>
      <c r="G1316">
        <f t="shared" si="21"/>
        <v>3.333333333333334E-2</v>
      </c>
      <c r="H1316">
        <f>G1316*(26.79/38.29)</f>
        <v>2.3322016192217292E-2</v>
      </c>
    </row>
    <row r="1317" spans="1:8" x14ac:dyDescent="0.25">
      <c r="A1317" s="1">
        <v>1993</v>
      </c>
      <c r="B1317" s="1" t="s">
        <v>99</v>
      </c>
      <c r="C1317" t="s">
        <v>51</v>
      </c>
      <c r="D1317">
        <v>2</v>
      </c>
      <c r="E1317">
        <v>79</v>
      </c>
      <c r="F1317">
        <v>0.6</v>
      </c>
      <c r="G1317">
        <f t="shared" si="21"/>
        <v>0.2</v>
      </c>
      <c r="H1317">
        <f>G1317*(26.79/38.29)</f>
        <v>0.13993209715330374</v>
      </c>
    </row>
    <row r="1318" spans="1:8" x14ac:dyDescent="0.25">
      <c r="A1318" s="1">
        <v>1993</v>
      </c>
      <c r="B1318" s="1" t="s">
        <v>99</v>
      </c>
      <c r="C1318" t="s">
        <v>51</v>
      </c>
      <c r="D1318">
        <v>2</v>
      </c>
      <c r="E1318">
        <v>79</v>
      </c>
      <c r="F1318">
        <v>0.75</v>
      </c>
      <c r="G1318">
        <f t="shared" si="21"/>
        <v>0.25</v>
      </c>
      <c r="H1318">
        <f>G1318*(26.79/38.29)</f>
        <v>0.17491512144162966</v>
      </c>
    </row>
    <row r="1319" spans="1:8" x14ac:dyDescent="0.25">
      <c r="A1319" s="1">
        <v>1993</v>
      </c>
      <c r="B1319" s="1" t="s">
        <v>99</v>
      </c>
      <c r="C1319" t="s">
        <v>51</v>
      </c>
      <c r="D1319">
        <v>2</v>
      </c>
      <c r="E1319">
        <v>79</v>
      </c>
      <c r="F1319">
        <v>0.06</v>
      </c>
      <c r="G1319">
        <f t="shared" si="21"/>
        <v>0.02</v>
      </c>
      <c r="H1319">
        <f>G1319*(26.79/38.29)</f>
        <v>1.3993209715330373E-2</v>
      </c>
    </row>
    <row r="1320" spans="1:8" x14ac:dyDescent="0.25">
      <c r="A1320" s="1">
        <v>1993</v>
      </c>
      <c r="B1320" s="1" t="s">
        <v>99</v>
      </c>
      <c r="C1320" t="s">
        <v>51</v>
      </c>
      <c r="D1320">
        <v>2</v>
      </c>
      <c r="E1320">
        <v>79</v>
      </c>
      <c r="F1320">
        <v>0.06</v>
      </c>
      <c r="G1320">
        <f t="shared" si="21"/>
        <v>0.02</v>
      </c>
      <c r="H1320">
        <f>G1320*(26.79/38.29)</f>
        <v>1.3993209715330373E-2</v>
      </c>
    </row>
    <row r="1321" spans="1:8" x14ac:dyDescent="0.25">
      <c r="A1321" s="1">
        <v>1993</v>
      </c>
      <c r="B1321" s="1" t="s">
        <v>99</v>
      </c>
      <c r="C1321" t="s">
        <v>51</v>
      </c>
      <c r="D1321">
        <v>2</v>
      </c>
      <c r="E1321">
        <v>79</v>
      </c>
      <c r="F1321">
        <v>0.05</v>
      </c>
      <c r="G1321">
        <f t="shared" si="21"/>
        <v>1.666666666666667E-2</v>
      </c>
      <c r="H1321">
        <f>G1321*(26.79/38.29)</f>
        <v>1.1661008096108646E-2</v>
      </c>
    </row>
    <row r="1322" spans="1:8" x14ac:dyDescent="0.25">
      <c r="A1322" s="1">
        <v>1993</v>
      </c>
      <c r="B1322" s="1" t="s">
        <v>99</v>
      </c>
      <c r="C1322" t="s">
        <v>51</v>
      </c>
      <c r="D1322">
        <v>2</v>
      </c>
      <c r="E1322">
        <v>79</v>
      </c>
      <c r="F1322">
        <v>0.05</v>
      </c>
      <c r="G1322">
        <f t="shared" si="21"/>
        <v>1.666666666666667E-2</v>
      </c>
      <c r="H1322">
        <f>G1322*(26.79/38.29)</f>
        <v>1.1661008096108646E-2</v>
      </c>
    </row>
    <row r="1323" spans="1:8" x14ac:dyDescent="0.25">
      <c r="A1323" s="1">
        <v>1993</v>
      </c>
      <c r="B1323" s="1" t="s">
        <v>99</v>
      </c>
      <c r="C1323" t="s">
        <v>51</v>
      </c>
      <c r="D1323">
        <v>2</v>
      </c>
      <c r="E1323">
        <v>79</v>
      </c>
      <c r="F1323">
        <v>0.7</v>
      </c>
      <c r="G1323">
        <f t="shared" si="21"/>
        <v>0.23333333333333334</v>
      </c>
      <c r="H1323">
        <f>G1323*(26.79/38.29)</f>
        <v>0.16325411334552101</v>
      </c>
    </row>
    <row r="1324" spans="1:8" x14ac:dyDescent="0.25">
      <c r="A1324" s="1">
        <v>1993</v>
      </c>
      <c r="B1324" s="1" t="s">
        <v>99</v>
      </c>
      <c r="C1324" t="s">
        <v>51</v>
      </c>
      <c r="D1324">
        <v>2</v>
      </c>
      <c r="E1324">
        <v>79</v>
      </c>
      <c r="F1324">
        <v>0.56000000000000005</v>
      </c>
      <c r="G1324">
        <f t="shared" si="21"/>
        <v>0.1866666666666667</v>
      </c>
      <c r="H1324">
        <f>G1324*(26.79/38.29)</f>
        <v>0.13060329067641682</v>
      </c>
    </row>
    <row r="1325" spans="1:8" x14ac:dyDescent="0.25">
      <c r="A1325" s="1">
        <v>1993</v>
      </c>
      <c r="B1325" s="1" t="s">
        <v>99</v>
      </c>
      <c r="C1325" t="s">
        <v>51</v>
      </c>
      <c r="D1325">
        <v>2</v>
      </c>
      <c r="E1325">
        <v>79</v>
      </c>
      <c r="F1325">
        <v>0.21</v>
      </c>
      <c r="G1325">
        <f t="shared" si="21"/>
        <v>6.9999999999999993E-2</v>
      </c>
      <c r="H1325">
        <f>G1325*(26.79/38.29)</f>
        <v>4.8976234003656298E-2</v>
      </c>
    </row>
    <row r="1326" spans="1:8" x14ac:dyDescent="0.25">
      <c r="A1326" s="1">
        <v>1993</v>
      </c>
      <c r="B1326" s="1" t="s">
        <v>99</v>
      </c>
      <c r="C1326" t="s">
        <v>51</v>
      </c>
      <c r="D1326">
        <v>2</v>
      </c>
      <c r="E1326">
        <v>79</v>
      </c>
      <c r="F1326">
        <v>0.39</v>
      </c>
      <c r="G1326">
        <f t="shared" si="21"/>
        <v>0.13</v>
      </c>
      <c r="H1326">
        <f>G1326*(26.79/38.29)</f>
        <v>9.0955863149647431E-2</v>
      </c>
    </row>
    <row r="1327" spans="1:8" x14ac:dyDescent="0.25">
      <c r="A1327" s="1">
        <v>1993</v>
      </c>
      <c r="B1327" s="1" t="s">
        <v>99</v>
      </c>
      <c r="C1327" t="s">
        <v>51</v>
      </c>
      <c r="D1327">
        <v>2</v>
      </c>
      <c r="E1327">
        <v>79</v>
      </c>
      <c r="F1327">
        <v>0.45</v>
      </c>
      <c r="G1327">
        <f t="shared" si="21"/>
        <v>0.15</v>
      </c>
      <c r="H1327">
        <f>G1327*(26.79/38.29)</f>
        <v>0.10494907286497779</v>
      </c>
    </row>
    <row r="1328" spans="1:8" x14ac:dyDescent="0.25">
      <c r="A1328" s="1">
        <v>1993</v>
      </c>
      <c r="B1328" s="1" t="s">
        <v>99</v>
      </c>
      <c r="C1328" t="s">
        <v>51</v>
      </c>
      <c r="D1328">
        <v>2</v>
      </c>
      <c r="E1328">
        <v>79</v>
      </c>
      <c r="F1328">
        <v>0.06</v>
      </c>
      <c r="G1328">
        <f t="shared" si="21"/>
        <v>0.02</v>
      </c>
      <c r="H1328">
        <f>G1328*(26.79/38.29)</f>
        <v>1.3993209715330373E-2</v>
      </c>
    </row>
    <row r="1329" spans="1:8" x14ac:dyDescent="0.25">
      <c r="A1329" s="1">
        <v>1993</v>
      </c>
      <c r="B1329" s="1" t="s">
        <v>99</v>
      </c>
      <c r="C1329" t="s">
        <v>51</v>
      </c>
      <c r="D1329">
        <v>2</v>
      </c>
      <c r="E1329">
        <v>79</v>
      </c>
      <c r="F1329">
        <v>0.35</v>
      </c>
      <c r="G1329">
        <f t="shared" si="21"/>
        <v>0.11666666666666667</v>
      </c>
      <c r="H1329">
        <f>G1329*(26.79/38.29)</f>
        <v>8.1627056672760503E-2</v>
      </c>
    </row>
    <row r="1330" spans="1:8" x14ac:dyDescent="0.25">
      <c r="A1330" s="1">
        <v>1993</v>
      </c>
      <c r="B1330" s="1" t="s">
        <v>99</v>
      </c>
      <c r="C1330" t="s">
        <v>51</v>
      </c>
      <c r="D1330">
        <v>2</v>
      </c>
      <c r="E1330">
        <v>79</v>
      </c>
      <c r="F1330">
        <v>0.99</v>
      </c>
      <c r="G1330">
        <f t="shared" si="21"/>
        <v>0.33</v>
      </c>
      <c r="H1330">
        <f>G1330*(26.79/38.29)</f>
        <v>0.23088796030295117</v>
      </c>
    </row>
    <row r="1331" spans="1:8" x14ac:dyDescent="0.25">
      <c r="A1331" s="1">
        <v>1993</v>
      </c>
      <c r="B1331" s="1" t="s">
        <v>99</v>
      </c>
      <c r="C1331" t="s">
        <v>51</v>
      </c>
      <c r="D1331">
        <v>2</v>
      </c>
      <c r="E1331">
        <v>79</v>
      </c>
      <c r="F1331">
        <v>1.24</v>
      </c>
      <c r="G1331">
        <f t="shared" si="21"/>
        <v>0.41333333333333339</v>
      </c>
      <c r="H1331">
        <f>G1331*(26.79/38.29)</f>
        <v>0.28919300078349441</v>
      </c>
    </row>
    <row r="1332" spans="1:8" x14ac:dyDescent="0.25">
      <c r="A1332" s="1">
        <v>1993</v>
      </c>
      <c r="B1332" s="1" t="s">
        <v>99</v>
      </c>
      <c r="C1332" t="s">
        <v>51</v>
      </c>
      <c r="D1332">
        <v>2</v>
      </c>
      <c r="E1332">
        <v>79</v>
      </c>
      <c r="F1332">
        <v>0.05</v>
      </c>
      <c r="G1332">
        <f t="shared" si="21"/>
        <v>1.666666666666667E-2</v>
      </c>
      <c r="H1332">
        <f>G1332*(26.79/38.29)</f>
        <v>1.1661008096108646E-2</v>
      </c>
    </row>
    <row r="1333" spans="1:8" x14ac:dyDescent="0.25">
      <c r="A1333" s="1">
        <v>1993</v>
      </c>
      <c r="B1333" s="1" t="s">
        <v>99</v>
      </c>
      <c r="C1333" t="s">
        <v>51</v>
      </c>
      <c r="D1333">
        <v>2</v>
      </c>
      <c r="E1333">
        <v>79</v>
      </c>
      <c r="F1333">
        <v>0.21</v>
      </c>
      <c r="G1333">
        <f t="shared" si="21"/>
        <v>6.9999999999999993E-2</v>
      </c>
      <c r="H1333">
        <f>G1333*(26.79/38.29)</f>
        <v>4.8976234003656298E-2</v>
      </c>
    </row>
    <row r="1334" spans="1:8" x14ac:dyDescent="0.25">
      <c r="A1334" s="1">
        <v>1993</v>
      </c>
      <c r="B1334" s="1" t="s">
        <v>99</v>
      </c>
      <c r="C1334" t="s">
        <v>51</v>
      </c>
      <c r="D1334">
        <v>2</v>
      </c>
      <c r="E1334">
        <v>79</v>
      </c>
      <c r="F1334">
        <v>0.04</v>
      </c>
      <c r="G1334">
        <f t="shared" si="21"/>
        <v>1.3333333333333332E-2</v>
      </c>
      <c r="H1334">
        <f>G1334*(26.79/38.29)</f>
        <v>9.3288064768869139E-3</v>
      </c>
    </row>
    <row r="1335" spans="1:8" x14ac:dyDescent="0.25">
      <c r="A1335" s="1">
        <v>1993</v>
      </c>
      <c r="B1335" s="1" t="s">
        <v>99</v>
      </c>
      <c r="C1335" t="s">
        <v>51</v>
      </c>
      <c r="D1335">
        <v>2</v>
      </c>
      <c r="E1335">
        <v>79</v>
      </c>
      <c r="F1335">
        <v>0.98</v>
      </c>
      <c r="G1335">
        <f t="shared" si="21"/>
        <v>0.32666666666666666</v>
      </c>
      <c r="H1335">
        <f>G1335*(26.79/38.29)</f>
        <v>0.2285557586837294</v>
      </c>
    </row>
    <row r="1336" spans="1:8" x14ac:dyDescent="0.25">
      <c r="A1336" s="1">
        <v>1993</v>
      </c>
      <c r="B1336" s="1" t="s">
        <v>99</v>
      </c>
      <c r="C1336" t="s">
        <v>51</v>
      </c>
      <c r="D1336">
        <v>2</v>
      </c>
      <c r="E1336">
        <v>79</v>
      </c>
      <c r="F1336">
        <v>0.7</v>
      </c>
      <c r="G1336">
        <f t="shared" si="21"/>
        <v>0.23333333333333334</v>
      </c>
      <c r="H1336">
        <f>G1336*(26.79/38.29)</f>
        <v>0.16325411334552101</v>
      </c>
    </row>
    <row r="1337" spans="1:8" x14ac:dyDescent="0.25">
      <c r="A1337" s="1">
        <v>1993</v>
      </c>
      <c r="B1337" s="1" t="s">
        <v>99</v>
      </c>
      <c r="C1337" t="s">
        <v>51</v>
      </c>
      <c r="D1337">
        <v>2</v>
      </c>
      <c r="E1337">
        <v>79</v>
      </c>
      <c r="F1337">
        <v>0.12</v>
      </c>
      <c r="G1337">
        <f t="shared" si="21"/>
        <v>0.04</v>
      </c>
      <c r="H1337">
        <f>G1337*(26.79/38.29)</f>
        <v>2.7986419430660745E-2</v>
      </c>
    </row>
    <row r="1338" spans="1:8" x14ac:dyDescent="0.25">
      <c r="A1338" s="1">
        <v>1993</v>
      </c>
      <c r="B1338" s="1" t="s">
        <v>99</v>
      </c>
      <c r="C1338" t="s">
        <v>51</v>
      </c>
      <c r="D1338">
        <v>2</v>
      </c>
      <c r="E1338">
        <v>79</v>
      </c>
      <c r="F1338">
        <v>0.42</v>
      </c>
      <c r="G1338">
        <f t="shared" si="21"/>
        <v>0.13999999999999999</v>
      </c>
      <c r="H1338">
        <f>G1338*(26.79/38.29)</f>
        <v>9.7952468007312596E-2</v>
      </c>
    </row>
    <row r="1339" spans="1:8" x14ac:dyDescent="0.25">
      <c r="A1339" s="1">
        <v>1993</v>
      </c>
      <c r="B1339" s="1" t="s">
        <v>99</v>
      </c>
      <c r="C1339" t="s">
        <v>51</v>
      </c>
      <c r="D1339">
        <v>2</v>
      </c>
      <c r="E1339">
        <v>79</v>
      </c>
      <c r="F1339">
        <v>0.04</v>
      </c>
      <c r="G1339">
        <f t="shared" si="21"/>
        <v>1.3333333333333332E-2</v>
      </c>
      <c r="H1339">
        <f>G1339*(26.79/38.29)</f>
        <v>9.3288064768869139E-3</v>
      </c>
    </row>
    <row r="1340" spans="1:8" x14ac:dyDescent="0.25">
      <c r="A1340" s="1">
        <v>1993</v>
      </c>
      <c r="B1340" s="1" t="s">
        <v>99</v>
      </c>
      <c r="C1340" t="s">
        <v>51</v>
      </c>
      <c r="D1340">
        <v>2</v>
      </c>
      <c r="E1340">
        <v>79</v>
      </c>
      <c r="F1340">
        <v>0.09</v>
      </c>
      <c r="G1340">
        <f t="shared" si="21"/>
        <v>0.03</v>
      </c>
      <c r="H1340">
        <f>G1340*(26.79/38.29)</f>
        <v>2.0989814572995556E-2</v>
      </c>
    </row>
    <row r="1341" spans="1:8" x14ac:dyDescent="0.25">
      <c r="A1341" s="1">
        <v>1993</v>
      </c>
      <c r="B1341" s="1" t="s">
        <v>99</v>
      </c>
      <c r="C1341" t="s">
        <v>51</v>
      </c>
      <c r="D1341">
        <v>2</v>
      </c>
      <c r="E1341">
        <v>79</v>
      </c>
      <c r="F1341">
        <v>0.28000000000000003</v>
      </c>
      <c r="G1341">
        <f t="shared" ref="G1341:G1404" si="22">(F1341/0.6)/5</f>
        <v>9.3333333333333351E-2</v>
      </c>
      <c r="H1341">
        <f>G1341*(26.79/38.29)</f>
        <v>6.5301645338208411E-2</v>
      </c>
    </row>
    <row r="1342" spans="1:8" x14ac:dyDescent="0.25">
      <c r="A1342" s="1">
        <v>1993</v>
      </c>
      <c r="B1342" s="1" t="s">
        <v>99</v>
      </c>
      <c r="C1342" t="s">
        <v>51</v>
      </c>
      <c r="D1342">
        <v>2</v>
      </c>
      <c r="E1342">
        <v>79</v>
      </c>
      <c r="F1342">
        <v>0.13</v>
      </c>
      <c r="G1342">
        <f t="shared" si="22"/>
        <v>4.3333333333333335E-2</v>
      </c>
      <c r="H1342">
        <f>G1342*(26.79/38.29)</f>
        <v>3.0318621049882474E-2</v>
      </c>
    </row>
    <row r="1343" spans="1:8" x14ac:dyDescent="0.25">
      <c r="A1343" s="1">
        <v>1993</v>
      </c>
      <c r="B1343" s="1" t="s">
        <v>99</v>
      </c>
      <c r="C1343" t="s">
        <v>51</v>
      </c>
      <c r="D1343">
        <v>2</v>
      </c>
      <c r="E1343">
        <v>79</v>
      </c>
      <c r="F1343">
        <v>0.22</v>
      </c>
      <c r="G1343">
        <f t="shared" si="22"/>
        <v>7.3333333333333334E-2</v>
      </c>
      <c r="H1343">
        <f>G1343*(26.79/38.29)</f>
        <v>5.1308435622878033E-2</v>
      </c>
    </row>
    <row r="1344" spans="1:8" x14ac:dyDescent="0.25">
      <c r="A1344" s="1">
        <v>1993</v>
      </c>
      <c r="B1344" s="1" t="s">
        <v>99</v>
      </c>
      <c r="C1344" t="s">
        <v>51</v>
      </c>
      <c r="D1344">
        <v>2</v>
      </c>
      <c r="E1344">
        <v>79</v>
      </c>
      <c r="F1344">
        <v>1.1299999999999999</v>
      </c>
      <c r="G1344">
        <f t="shared" si="22"/>
        <v>0.37666666666666665</v>
      </c>
      <c r="H1344">
        <f>G1344*(26.79/38.29)</f>
        <v>0.26353878297205535</v>
      </c>
    </row>
    <row r="1345" spans="1:8" x14ac:dyDescent="0.25">
      <c r="A1345" s="1">
        <v>1993</v>
      </c>
      <c r="B1345" s="1" t="s">
        <v>99</v>
      </c>
      <c r="C1345" t="s">
        <v>51</v>
      </c>
      <c r="D1345">
        <v>2</v>
      </c>
      <c r="E1345">
        <v>79</v>
      </c>
      <c r="F1345">
        <v>0.11</v>
      </c>
      <c r="G1345">
        <f t="shared" si="22"/>
        <v>3.6666666666666667E-2</v>
      </c>
      <c r="H1345">
        <f>G1345*(26.79/38.29)</f>
        <v>2.5654217811439017E-2</v>
      </c>
    </row>
    <row r="1346" spans="1:8" x14ac:dyDescent="0.25">
      <c r="A1346" s="1">
        <v>1993</v>
      </c>
      <c r="B1346" s="1" t="s">
        <v>99</v>
      </c>
      <c r="C1346" t="s">
        <v>51</v>
      </c>
      <c r="D1346">
        <v>2</v>
      </c>
      <c r="E1346">
        <v>79</v>
      </c>
      <c r="F1346">
        <v>0.26</v>
      </c>
      <c r="G1346">
        <f t="shared" si="22"/>
        <v>8.666666666666667E-2</v>
      </c>
      <c r="H1346">
        <f>G1346*(26.79/38.29)</f>
        <v>6.0637242099764947E-2</v>
      </c>
    </row>
    <row r="1347" spans="1:8" x14ac:dyDescent="0.25">
      <c r="A1347" s="1">
        <v>1993</v>
      </c>
      <c r="B1347" s="1" t="s">
        <v>99</v>
      </c>
      <c r="C1347" t="s">
        <v>51</v>
      </c>
      <c r="D1347">
        <v>2</v>
      </c>
      <c r="E1347">
        <v>79</v>
      </c>
      <c r="F1347">
        <v>0.05</v>
      </c>
      <c r="G1347">
        <f t="shared" si="22"/>
        <v>1.666666666666667E-2</v>
      </c>
      <c r="H1347">
        <f>G1347*(26.79/38.29)</f>
        <v>1.1661008096108646E-2</v>
      </c>
    </row>
    <row r="1348" spans="1:8" x14ac:dyDescent="0.25">
      <c r="A1348" s="1">
        <v>1993</v>
      </c>
      <c r="B1348" s="1" t="s">
        <v>99</v>
      </c>
      <c r="C1348" t="s">
        <v>51</v>
      </c>
      <c r="D1348">
        <v>2</v>
      </c>
      <c r="E1348">
        <v>85</v>
      </c>
      <c r="F1348">
        <v>0.12</v>
      </c>
      <c r="G1348">
        <f t="shared" si="22"/>
        <v>0.04</v>
      </c>
      <c r="H1348">
        <f>G1348*(26.79/38.29)</f>
        <v>2.7986419430660745E-2</v>
      </c>
    </row>
    <row r="1349" spans="1:8" x14ac:dyDescent="0.25">
      <c r="A1349" s="1">
        <v>1993</v>
      </c>
      <c r="B1349" s="1" t="s">
        <v>99</v>
      </c>
      <c r="C1349" t="s">
        <v>51</v>
      </c>
      <c r="D1349">
        <v>2</v>
      </c>
      <c r="E1349">
        <v>85</v>
      </c>
      <c r="F1349">
        <v>0.04</v>
      </c>
      <c r="G1349">
        <f t="shared" si="22"/>
        <v>1.3333333333333332E-2</v>
      </c>
      <c r="H1349">
        <f>G1349*(26.79/38.29)</f>
        <v>9.3288064768869139E-3</v>
      </c>
    </row>
    <row r="1350" spans="1:8" x14ac:dyDescent="0.25">
      <c r="A1350" s="1">
        <v>1993</v>
      </c>
      <c r="B1350" s="1" t="s">
        <v>99</v>
      </c>
      <c r="C1350" t="s">
        <v>51</v>
      </c>
      <c r="D1350">
        <v>2</v>
      </c>
      <c r="E1350">
        <v>85</v>
      </c>
      <c r="F1350">
        <v>0.09</v>
      </c>
      <c r="G1350">
        <f t="shared" si="22"/>
        <v>0.03</v>
      </c>
      <c r="H1350">
        <f>G1350*(26.79/38.29)</f>
        <v>2.0989814572995556E-2</v>
      </c>
    </row>
    <row r="1351" spans="1:8" x14ac:dyDescent="0.25">
      <c r="A1351" s="1">
        <v>1993</v>
      </c>
      <c r="B1351" s="1" t="s">
        <v>99</v>
      </c>
      <c r="C1351" t="s">
        <v>51</v>
      </c>
      <c r="D1351">
        <v>3</v>
      </c>
      <c r="E1351">
        <v>21</v>
      </c>
      <c r="F1351">
        <v>0.04</v>
      </c>
      <c r="G1351">
        <f t="shared" si="22"/>
        <v>1.3333333333333332E-2</v>
      </c>
      <c r="H1351">
        <f>G1351*(26.79/38.29)</f>
        <v>9.3288064768869139E-3</v>
      </c>
    </row>
    <row r="1352" spans="1:8" x14ac:dyDescent="0.25">
      <c r="A1352" s="1">
        <v>1993</v>
      </c>
      <c r="B1352" s="1" t="s">
        <v>99</v>
      </c>
      <c r="C1352" t="s">
        <v>51</v>
      </c>
      <c r="D1352">
        <v>3</v>
      </c>
      <c r="E1352">
        <v>21</v>
      </c>
      <c r="F1352">
        <v>1.36</v>
      </c>
      <c r="G1352">
        <f t="shared" si="22"/>
        <v>0.45333333333333342</v>
      </c>
      <c r="H1352">
        <f>G1352*(26.79/38.29)</f>
        <v>0.31717942021415518</v>
      </c>
    </row>
    <row r="1353" spans="1:8" x14ac:dyDescent="0.25">
      <c r="A1353" s="1">
        <v>1993</v>
      </c>
      <c r="B1353" s="1" t="s">
        <v>99</v>
      </c>
      <c r="C1353" t="s">
        <v>51</v>
      </c>
      <c r="D1353">
        <v>3</v>
      </c>
      <c r="E1353">
        <v>21</v>
      </c>
      <c r="F1353">
        <v>0.62</v>
      </c>
      <c r="G1353">
        <f t="shared" si="22"/>
        <v>0.20666666666666669</v>
      </c>
      <c r="H1353">
        <f>G1353*(26.79/38.29)</f>
        <v>0.14459650039174721</v>
      </c>
    </row>
    <row r="1354" spans="1:8" x14ac:dyDescent="0.25">
      <c r="A1354" s="1">
        <v>1993</v>
      </c>
      <c r="B1354" s="1" t="s">
        <v>99</v>
      </c>
      <c r="C1354" t="s">
        <v>51</v>
      </c>
      <c r="D1354">
        <v>3</v>
      </c>
      <c r="E1354">
        <v>25</v>
      </c>
      <c r="F1354">
        <v>0.05</v>
      </c>
      <c r="G1354">
        <f t="shared" si="22"/>
        <v>1.666666666666667E-2</v>
      </c>
      <c r="H1354">
        <f>G1354*(26.79/38.29)</f>
        <v>1.1661008096108646E-2</v>
      </c>
    </row>
    <row r="1355" spans="1:8" x14ac:dyDescent="0.25">
      <c r="A1355" s="1">
        <v>1993</v>
      </c>
      <c r="B1355" s="1" t="s">
        <v>99</v>
      </c>
      <c r="C1355" t="s">
        <v>51</v>
      </c>
      <c r="D1355">
        <v>3</v>
      </c>
      <c r="E1355">
        <v>28</v>
      </c>
      <c r="F1355">
        <v>0.05</v>
      </c>
      <c r="G1355">
        <f t="shared" si="22"/>
        <v>1.666666666666667E-2</v>
      </c>
      <c r="H1355">
        <f>G1355*(26.79/38.29)</f>
        <v>1.1661008096108646E-2</v>
      </c>
    </row>
    <row r="1356" spans="1:8" x14ac:dyDescent="0.25">
      <c r="A1356" s="1">
        <v>1993</v>
      </c>
      <c r="B1356" s="1" t="s">
        <v>99</v>
      </c>
      <c r="C1356" t="s">
        <v>51</v>
      </c>
      <c r="D1356">
        <v>3</v>
      </c>
      <c r="E1356">
        <v>29</v>
      </c>
      <c r="F1356">
        <v>0.84</v>
      </c>
      <c r="G1356">
        <f t="shared" si="22"/>
        <v>0.27999999999999997</v>
      </c>
      <c r="H1356">
        <f>G1356*(26.79/38.29)</f>
        <v>0.19590493601462519</v>
      </c>
    </row>
    <row r="1357" spans="1:8" x14ac:dyDescent="0.25">
      <c r="A1357" s="1">
        <v>1993</v>
      </c>
      <c r="B1357" s="1" t="s">
        <v>99</v>
      </c>
      <c r="C1357" t="s">
        <v>51</v>
      </c>
      <c r="D1357">
        <v>3</v>
      </c>
      <c r="E1357">
        <v>29</v>
      </c>
      <c r="F1357">
        <v>0.05</v>
      </c>
      <c r="G1357">
        <f t="shared" si="22"/>
        <v>1.666666666666667E-2</v>
      </c>
      <c r="H1357">
        <f>G1357*(26.79/38.29)</f>
        <v>1.1661008096108646E-2</v>
      </c>
    </row>
    <row r="1358" spans="1:8" x14ac:dyDescent="0.25">
      <c r="A1358" s="1">
        <v>1993</v>
      </c>
      <c r="B1358" s="1" t="s">
        <v>99</v>
      </c>
      <c r="C1358" t="s">
        <v>51</v>
      </c>
      <c r="D1358">
        <v>3</v>
      </c>
      <c r="E1358">
        <v>29</v>
      </c>
      <c r="F1358">
        <v>0.05</v>
      </c>
      <c r="G1358">
        <f t="shared" si="22"/>
        <v>1.666666666666667E-2</v>
      </c>
      <c r="H1358">
        <f>G1358*(26.79/38.29)</f>
        <v>1.1661008096108646E-2</v>
      </c>
    </row>
    <row r="1359" spans="1:8" x14ac:dyDescent="0.25">
      <c r="A1359" s="1">
        <v>1993</v>
      </c>
      <c r="B1359" s="1" t="s">
        <v>99</v>
      </c>
      <c r="C1359" t="s">
        <v>51</v>
      </c>
      <c r="D1359">
        <v>3</v>
      </c>
      <c r="E1359">
        <v>29</v>
      </c>
      <c r="F1359">
        <v>0.03</v>
      </c>
      <c r="G1359">
        <f t="shared" si="22"/>
        <v>0.01</v>
      </c>
      <c r="H1359">
        <f>G1359*(26.79/38.29)</f>
        <v>6.9966048576651863E-3</v>
      </c>
    </row>
    <row r="1360" spans="1:8" x14ac:dyDescent="0.25">
      <c r="A1360" s="1">
        <v>1993</v>
      </c>
      <c r="B1360" s="1" t="s">
        <v>99</v>
      </c>
      <c r="C1360" t="s">
        <v>51</v>
      </c>
      <c r="D1360">
        <v>3</v>
      </c>
      <c r="E1360">
        <v>29</v>
      </c>
      <c r="F1360">
        <v>0.18</v>
      </c>
      <c r="G1360">
        <f t="shared" si="22"/>
        <v>0.06</v>
      </c>
      <c r="H1360">
        <f>G1360*(26.79/38.29)</f>
        <v>4.1979629145991113E-2</v>
      </c>
    </row>
    <row r="1361" spans="1:8" x14ac:dyDescent="0.25">
      <c r="A1361" s="1">
        <v>1993</v>
      </c>
      <c r="B1361" s="1" t="s">
        <v>99</v>
      </c>
      <c r="C1361" t="s">
        <v>51</v>
      </c>
      <c r="D1361">
        <v>3</v>
      </c>
      <c r="E1361">
        <v>29</v>
      </c>
      <c r="F1361">
        <v>0.05</v>
      </c>
      <c r="G1361">
        <f t="shared" si="22"/>
        <v>1.666666666666667E-2</v>
      </c>
      <c r="H1361">
        <f>G1361*(26.79/38.29)</f>
        <v>1.1661008096108646E-2</v>
      </c>
    </row>
    <row r="1362" spans="1:8" x14ac:dyDescent="0.25">
      <c r="A1362" s="1">
        <v>1993</v>
      </c>
      <c r="B1362" s="1" t="s">
        <v>99</v>
      </c>
      <c r="C1362" t="s">
        <v>51</v>
      </c>
      <c r="D1362">
        <v>3</v>
      </c>
      <c r="E1362">
        <v>29</v>
      </c>
      <c r="F1362">
        <v>0.13</v>
      </c>
      <c r="G1362">
        <f t="shared" si="22"/>
        <v>4.3333333333333335E-2</v>
      </c>
      <c r="H1362">
        <f>G1362*(26.79/38.29)</f>
        <v>3.0318621049882474E-2</v>
      </c>
    </row>
    <row r="1363" spans="1:8" x14ac:dyDescent="0.25">
      <c r="A1363" s="1">
        <v>1993</v>
      </c>
      <c r="B1363" s="1" t="s">
        <v>99</v>
      </c>
      <c r="C1363" t="s">
        <v>51</v>
      </c>
      <c r="D1363">
        <v>3</v>
      </c>
      <c r="E1363">
        <v>29</v>
      </c>
      <c r="F1363">
        <v>0.4</v>
      </c>
      <c r="G1363">
        <f t="shared" si="22"/>
        <v>0.13333333333333336</v>
      </c>
      <c r="H1363">
        <f>G1363*(26.79/38.29)</f>
        <v>9.3288064768869167E-2</v>
      </c>
    </row>
    <row r="1364" spans="1:8" x14ac:dyDescent="0.25">
      <c r="A1364" s="1">
        <v>1993</v>
      </c>
      <c r="B1364" s="1" t="s">
        <v>99</v>
      </c>
      <c r="C1364" t="s">
        <v>51</v>
      </c>
      <c r="D1364">
        <v>3</v>
      </c>
      <c r="E1364">
        <v>29</v>
      </c>
      <c r="F1364">
        <v>0.64</v>
      </c>
      <c r="G1364">
        <f t="shared" si="22"/>
        <v>0.21333333333333332</v>
      </c>
      <c r="H1364">
        <f>G1364*(26.79/38.29)</f>
        <v>0.14926090363019062</v>
      </c>
    </row>
    <row r="1365" spans="1:8" x14ac:dyDescent="0.25">
      <c r="A1365" s="1">
        <v>1993</v>
      </c>
      <c r="B1365" s="1" t="s">
        <v>99</v>
      </c>
      <c r="C1365" t="s">
        <v>51</v>
      </c>
      <c r="D1365">
        <v>3</v>
      </c>
      <c r="E1365">
        <v>29</v>
      </c>
      <c r="F1365">
        <v>0.38</v>
      </c>
      <c r="G1365">
        <f t="shared" si="22"/>
        <v>0.12666666666666668</v>
      </c>
      <c r="H1365">
        <f>G1365*(26.79/38.29)</f>
        <v>8.8623661530425696E-2</v>
      </c>
    </row>
    <row r="1366" spans="1:8" x14ac:dyDescent="0.25">
      <c r="A1366" s="1">
        <v>1993</v>
      </c>
      <c r="B1366" s="1" t="s">
        <v>99</v>
      </c>
      <c r="C1366" t="s">
        <v>51</v>
      </c>
      <c r="D1366">
        <v>3</v>
      </c>
      <c r="E1366">
        <v>29</v>
      </c>
      <c r="F1366">
        <v>0.12</v>
      </c>
      <c r="G1366">
        <f t="shared" si="22"/>
        <v>0.04</v>
      </c>
      <c r="H1366">
        <f>G1366*(26.79/38.29)</f>
        <v>2.7986419430660745E-2</v>
      </c>
    </row>
    <row r="1367" spans="1:8" x14ac:dyDescent="0.25">
      <c r="A1367" s="1">
        <v>1993</v>
      </c>
      <c r="B1367" s="1" t="s">
        <v>99</v>
      </c>
      <c r="C1367" t="s">
        <v>51</v>
      </c>
      <c r="D1367">
        <v>3</v>
      </c>
      <c r="E1367">
        <v>29</v>
      </c>
      <c r="F1367">
        <v>0.44</v>
      </c>
      <c r="G1367">
        <f t="shared" si="22"/>
        <v>0.14666666666666667</v>
      </c>
      <c r="H1367">
        <f>G1367*(26.79/38.29)</f>
        <v>0.10261687124575607</v>
      </c>
    </row>
    <row r="1368" spans="1:8" x14ac:dyDescent="0.25">
      <c r="A1368" s="1">
        <v>1993</v>
      </c>
      <c r="B1368" s="1" t="s">
        <v>99</v>
      </c>
      <c r="C1368" t="s">
        <v>51</v>
      </c>
      <c r="D1368">
        <v>3</v>
      </c>
      <c r="E1368">
        <v>29</v>
      </c>
      <c r="F1368">
        <v>0.2</v>
      </c>
      <c r="G1368">
        <f t="shared" si="22"/>
        <v>6.666666666666668E-2</v>
      </c>
      <c r="H1368">
        <f>G1368*(26.79/38.29)</f>
        <v>4.6644032384434583E-2</v>
      </c>
    </row>
    <row r="1369" spans="1:8" x14ac:dyDescent="0.25">
      <c r="A1369" s="1">
        <v>1993</v>
      </c>
      <c r="B1369" s="1" t="s">
        <v>99</v>
      </c>
      <c r="C1369" t="s">
        <v>51</v>
      </c>
      <c r="D1369">
        <v>3</v>
      </c>
      <c r="E1369">
        <v>32</v>
      </c>
      <c r="F1369">
        <v>0.55000000000000004</v>
      </c>
      <c r="G1369">
        <f t="shared" si="22"/>
        <v>0.18333333333333335</v>
      </c>
      <c r="H1369">
        <f>G1369*(26.79/38.29)</f>
        <v>0.12827108905719509</v>
      </c>
    </row>
    <row r="1370" spans="1:8" x14ac:dyDescent="0.25">
      <c r="A1370" s="1">
        <v>1993</v>
      </c>
      <c r="B1370" s="1" t="s">
        <v>99</v>
      </c>
      <c r="C1370" t="s">
        <v>51</v>
      </c>
      <c r="D1370">
        <v>3</v>
      </c>
      <c r="E1370">
        <v>32</v>
      </c>
      <c r="F1370">
        <v>0.38</v>
      </c>
      <c r="G1370">
        <f t="shared" si="22"/>
        <v>0.12666666666666668</v>
      </c>
      <c r="H1370">
        <f>G1370*(26.79/38.29)</f>
        <v>8.8623661530425696E-2</v>
      </c>
    </row>
    <row r="1371" spans="1:8" x14ac:dyDescent="0.25">
      <c r="A1371" s="1">
        <v>1993</v>
      </c>
      <c r="B1371" s="1" t="s">
        <v>99</v>
      </c>
      <c r="C1371" t="s">
        <v>51</v>
      </c>
      <c r="D1371">
        <v>3</v>
      </c>
      <c r="E1371">
        <v>32</v>
      </c>
      <c r="F1371">
        <v>0.09</v>
      </c>
      <c r="G1371">
        <f t="shared" si="22"/>
        <v>0.03</v>
      </c>
      <c r="H1371">
        <f>G1371*(26.79/38.29)</f>
        <v>2.0989814572995556E-2</v>
      </c>
    </row>
    <row r="1372" spans="1:8" x14ac:dyDescent="0.25">
      <c r="A1372" s="1">
        <v>1993</v>
      </c>
      <c r="B1372" s="1" t="s">
        <v>99</v>
      </c>
      <c r="C1372" t="s">
        <v>51</v>
      </c>
      <c r="D1372">
        <v>3</v>
      </c>
      <c r="E1372">
        <v>32</v>
      </c>
      <c r="F1372">
        <v>0.33</v>
      </c>
      <c r="G1372">
        <f t="shared" si="22"/>
        <v>0.11000000000000001</v>
      </c>
      <c r="H1372">
        <f>G1372*(26.79/38.29)</f>
        <v>7.696265343431706E-2</v>
      </c>
    </row>
    <row r="1373" spans="1:8" x14ac:dyDescent="0.25">
      <c r="A1373" s="1">
        <v>1993</v>
      </c>
      <c r="B1373" s="1" t="s">
        <v>99</v>
      </c>
      <c r="C1373" t="s">
        <v>51</v>
      </c>
      <c r="D1373">
        <v>3</v>
      </c>
      <c r="E1373">
        <v>32</v>
      </c>
      <c r="F1373">
        <v>0.24</v>
      </c>
      <c r="G1373">
        <f t="shared" si="22"/>
        <v>0.08</v>
      </c>
      <c r="H1373">
        <f>G1373*(26.79/38.29)</f>
        <v>5.597283886132149E-2</v>
      </c>
    </row>
    <row r="1374" spans="1:8" x14ac:dyDescent="0.25">
      <c r="A1374" s="1">
        <v>1993</v>
      </c>
      <c r="B1374" s="1" t="s">
        <v>99</v>
      </c>
      <c r="C1374" t="s">
        <v>51</v>
      </c>
      <c r="D1374">
        <v>3</v>
      </c>
      <c r="E1374">
        <v>32</v>
      </c>
      <c r="F1374">
        <v>0.08</v>
      </c>
      <c r="G1374">
        <f t="shared" si="22"/>
        <v>2.6666666666666665E-2</v>
      </c>
      <c r="H1374">
        <f>G1374*(26.79/38.29)</f>
        <v>1.8657612953773828E-2</v>
      </c>
    </row>
    <row r="1375" spans="1:8" x14ac:dyDescent="0.25">
      <c r="A1375" s="1">
        <v>1993</v>
      </c>
      <c r="B1375" s="1" t="s">
        <v>99</v>
      </c>
      <c r="C1375" t="s">
        <v>51</v>
      </c>
      <c r="D1375">
        <v>3</v>
      </c>
      <c r="E1375">
        <v>32</v>
      </c>
      <c r="F1375">
        <v>0.47</v>
      </c>
      <c r="G1375">
        <f t="shared" si="22"/>
        <v>0.15666666666666668</v>
      </c>
      <c r="H1375">
        <f>G1375*(26.79/38.29)</f>
        <v>0.10961347610342126</v>
      </c>
    </row>
    <row r="1376" spans="1:8" x14ac:dyDescent="0.25">
      <c r="A1376" s="1">
        <v>1993</v>
      </c>
      <c r="B1376" s="1" t="s">
        <v>99</v>
      </c>
      <c r="C1376" t="s">
        <v>51</v>
      </c>
      <c r="D1376">
        <v>3</v>
      </c>
      <c r="E1376">
        <v>32</v>
      </c>
      <c r="F1376">
        <v>0.12</v>
      </c>
      <c r="G1376">
        <f t="shared" si="22"/>
        <v>0.04</v>
      </c>
      <c r="H1376">
        <f>G1376*(26.79/38.29)</f>
        <v>2.7986419430660745E-2</v>
      </c>
    </row>
    <row r="1377" spans="1:8" x14ac:dyDescent="0.25">
      <c r="A1377" s="1">
        <v>1993</v>
      </c>
      <c r="B1377" s="1" t="s">
        <v>99</v>
      </c>
      <c r="C1377" t="s">
        <v>51</v>
      </c>
      <c r="D1377">
        <v>3</v>
      </c>
      <c r="E1377">
        <v>32</v>
      </c>
      <c r="F1377">
        <v>0.27</v>
      </c>
      <c r="G1377">
        <f t="shared" si="22"/>
        <v>9.0000000000000011E-2</v>
      </c>
      <c r="H1377">
        <f>G1377*(26.79/38.29)</f>
        <v>6.296944371898669E-2</v>
      </c>
    </row>
    <row r="1378" spans="1:8" x14ac:dyDescent="0.25">
      <c r="A1378" s="1">
        <v>1993</v>
      </c>
      <c r="B1378" s="1" t="s">
        <v>99</v>
      </c>
      <c r="C1378" t="s">
        <v>51</v>
      </c>
      <c r="D1378">
        <v>3</v>
      </c>
      <c r="E1378">
        <v>32</v>
      </c>
      <c r="F1378">
        <v>0.44</v>
      </c>
      <c r="G1378">
        <f t="shared" si="22"/>
        <v>0.14666666666666667</v>
      </c>
      <c r="H1378">
        <f>G1378*(26.79/38.29)</f>
        <v>0.10261687124575607</v>
      </c>
    </row>
    <row r="1379" spans="1:8" x14ac:dyDescent="0.25">
      <c r="A1379" s="1">
        <v>1993</v>
      </c>
      <c r="B1379" s="1" t="s">
        <v>99</v>
      </c>
      <c r="C1379" t="s">
        <v>51</v>
      </c>
      <c r="D1379">
        <v>3</v>
      </c>
      <c r="E1379">
        <v>32</v>
      </c>
      <c r="F1379">
        <v>0.12</v>
      </c>
      <c r="G1379">
        <f t="shared" si="22"/>
        <v>0.04</v>
      </c>
      <c r="H1379">
        <f>G1379*(26.79/38.29)</f>
        <v>2.7986419430660745E-2</v>
      </c>
    </row>
    <row r="1380" spans="1:8" x14ac:dyDescent="0.25">
      <c r="A1380" s="1">
        <v>1993</v>
      </c>
      <c r="B1380" s="1" t="s">
        <v>99</v>
      </c>
      <c r="C1380" t="s">
        <v>51</v>
      </c>
      <c r="D1380">
        <v>3</v>
      </c>
      <c r="E1380">
        <v>32</v>
      </c>
      <c r="F1380">
        <v>0.03</v>
      </c>
      <c r="G1380">
        <f t="shared" si="22"/>
        <v>0.01</v>
      </c>
      <c r="H1380">
        <f>G1380*(26.79/38.29)</f>
        <v>6.9966048576651863E-3</v>
      </c>
    </row>
    <row r="1381" spans="1:8" x14ac:dyDescent="0.25">
      <c r="A1381" s="1">
        <v>1993</v>
      </c>
      <c r="B1381" s="1" t="s">
        <v>99</v>
      </c>
      <c r="C1381" t="s">
        <v>51</v>
      </c>
      <c r="D1381">
        <v>3</v>
      </c>
      <c r="E1381">
        <v>32</v>
      </c>
      <c r="F1381">
        <v>0.22</v>
      </c>
      <c r="G1381">
        <f t="shared" si="22"/>
        <v>7.3333333333333334E-2</v>
      </c>
      <c r="H1381">
        <f>G1381*(26.79/38.29)</f>
        <v>5.1308435622878033E-2</v>
      </c>
    </row>
    <row r="1382" spans="1:8" x14ac:dyDescent="0.25">
      <c r="A1382" s="1">
        <v>1993</v>
      </c>
      <c r="B1382" s="1" t="s">
        <v>99</v>
      </c>
      <c r="C1382" t="s">
        <v>51</v>
      </c>
      <c r="D1382">
        <v>3</v>
      </c>
      <c r="E1382">
        <v>32</v>
      </c>
      <c r="F1382">
        <v>0.05</v>
      </c>
      <c r="G1382">
        <f t="shared" si="22"/>
        <v>1.666666666666667E-2</v>
      </c>
      <c r="H1382">
        <f>G1382*(26.79/38.29)</f>
        <v>1.1661008096108646E-2</v>
      </c>
    </row>
    <row r="1383" spans="1:8" x14ac:dyDescent="0.25">
      <c r="A1383" s="1">
        <v>1993</v>
      </c>
      <c r="B1383" s="1" t="s">
        <v>99</v>
      </c>
      <c r="C1383" t="s">
        <v>51</v>
      </c>
      <c r="D1383">
        <v>3</v>
      </c>
      <c r="E1383">
        <v>32</v>
      </c>
      <c r="F1383">
        <v>0.11</v>
      </c>
      <c r="G1383">
        <f t="shared" si="22"/>
        <v>3.6666666666666667E-2</v>
      </c>
      <c r="H1383">
        <f>G1383*(26.79/38.29)</f>
        <v>2.5654217811439017E-2</v>
      </c>
    </row>
    <row r="1384" spans="1:8" x14ac:dyDescent="0.25">
      <c r="A1384" s="1">
        <v>1993</v>
      </c>
      <c r="B1384" s="1" t="s">
        <v>99</v>
      </c>
      <c r="C1384" t="s">
        <v>51</v>
      </c>
      <c r="D1384">
        <v>3</v>
      </c>
      <c r="E1384">
        <v>32</v>
      </c>
      <c r="F1384">
        <v>0.7</v>
      </c>
      <c r="G1384">
        <f t="shared" si="22"/>
        <v>0.23333333333333334</v>
      </c>
      <c r="H1384">
        <f>G1384*(26.79/38.29)</f>
        <v>0.16325411334552101</v>
      </c>
    </row>
    <row r="1385" spans="1:8" x14ac:dyDescent="0.25">
      <c r="A1385" s="1">
        <v>1993</v>
      </c>
      <c r="B1385" s="1" t="s">
        <v>99</v>
      </c>
      <c r="C1385" t="s">
        <v>51</v>
      </c>
      <c r="D1385">
        <v>3</v>
      </c>
      <c r="E1385">
        <v>32</v>
      </c>
      <c r="F1385">
        <v>0.12</v>
      </c>
      <c r="G1385">
        <f t="shared" si="22"/>
        <v>0.04</v>
      </c>
      <c r="H1385">
        <f>G1385*(26.79/38.29)</f>
        <v>2.7986419430660745E-2</v>
      </c>
    </row>
    <row r="1386" spans="1:8" x14ac:dyDescent="0.25">
      <c r="A1386" s="1">
        <v>1993</v>
      </c>
      <c r="B1386" s="1" t="s">
        <v>99</v>
      </c>
      <c r="C1386" t="s">
        <v>51</v>
      </c>
      <c r="D1386">
        <v>3</v>
      </c>
      <c r="E1386">
        <v>32</v>
      </c>
      <c r="F1386">
        <v>0.2</v>
      </c>
      <c r="G1386">
        <f t="shared" si="22"/>
        <v>6.666666666666668E-2</v>
      </c>
      <c r="H1386">
        <f>G1386*(26.79/38.29)</f>
        <v>4.6644032384434583E-2</v>
      </c>
    </row>
    <row r="1387" spans="1:8" x14ac:dyDescent="0.25">
      <c r="A1387" s="1">
        <v>1993</v>
      </c>
      <c r="B1387" s="1" t="s">
        <v>99</v>
      </c>
      <c r="C1387" t="s">
        <v>51</v>
      </c>
      <c r="D1387">
        <v>3</v>
      </c>
      <c r="E1387">
        <v>32</v>
      </c>
      <c r="F1387">
        <v>0.18</v>
      </c>
      <c r="G1387">
        <f t="shared" si="22"/>
        <v>0.06</v>
      </c>
      <c r="H1387">
        <f>G1387*(26.79/38.29)</f>
        <v>4.1979629145991113E-2</v>
      </c>
    </row>
    <row r="1388" spans="1:8" x14ac:dyDescent="0.25">
      <c r="A1388" s="1">
        <v>1993</v>
      </c>
      <c r="B1388" s="1" t="s">
        <v>99</v>
      </c>
      <c r="C1388" t="s">
        <v>51</v>
      </c>
      <c r="D1388">
        <v>3</v>
      </c>
      <c r="E1388">
        <v>32</v>
      </c>
      <c r="F1388">
        <v>0.16</v>
      </c>
      <c r="G1388">
        <f t="shared" si="22"/>
        <v>5.333333333333333E-2</v>
      </c>
      <c r="H1388">
        <f>G1388*(26.79/38.29)</f>
        <v>3.7315225907547656E-2</v>
      </c>
    </row>
    <row r="1389" spans="1:8" x14ac:dyDescent="0.25">
      <c r="A1389" s="1">
        <v>1993</v>
      </c>
      <c r="B1389" s="1" t="s">
        <v>99</v>
      </c>
      <c r="C1389" t="s">
        <v>51</v>
      </c>
      <c r="D1389">
        <v>3</v>
      </c>
      <c r="E1389">
        <v>34</v>
      </c>
      <c r="F1389">
        <v>0.28000000000000003</v>
      </c>
      <c r="G1389">
        <f t="shared" si="22"/>
        <v>9.3333333333333351E-2</v>
      </c>
      <c r="H1389">
        <f>G1389*(26.79/38.29)</f>
        <v>6.5301645338208411E-2</v>
      </c>
    </row>
    <row r="1390" spans="1:8" x14ac:dyDescent="0.25">
      <c r="A1390" s="1">
        <v>1993</v>
      </c>
      <c r="B1390" s="1" t="s">
        <v>99</v>
      </c>
      <c r="C1390" t="s">
        <v>51</v>
      </c>
      <c r="D1390">
        <v>3</v>
      </c>
      <c r="E1390">
        <v>34</v>
      </c>
      <c r="F1390">
        <v>0.25</v>
      </c>
      <c r="G1390">
        <f t="shared" si="22"/>
        <v>8.3333333333333343E-2</v>
      </c>
      <c r="H1390">
        <f>G1390*(26.79/38.29)</f>
        <v>5.8305040480543226E-2</v>
      </c>
    </row>
    <row r="1391" spans="1:8" x14ac:dyDescent="0.25">
      <c r="A1391" s="1">
        <v>1993</v>
      </c>
      <c r="B1391" s="1" t="s">
        <v>99</v>
      </c>
      <c r="C1391" t="s">
        <v>51</v>
      </c>
      <c r="D1391">
        <v>3</v>
      </c>
      <c r="E1391">
        <v>34</v>
      </c>
      <c r="F1391">
        <v>0.49</v>
      </c>
      <c r="G1391">
        <f t="shared" si="22"/>
        <v>0.16333333333333333</v>
      </c>
      <c r="H1391">
        <f>G1391*(26.79/38.29)</f>
        <v>0.1142778793418647</v>
      </c>
    </row>
    <row r="1392" spans="1:8" x14ac:dyDescent="0.25">
      <c r="A1392" s="1">
        <v>1993</v>
      </c>
      <c r="B1392" s="1" t="s">
        <v>99</v>
      </c>
      <c r="C1392" t="s">
        <v>51</v>
      </c>
      <c r="D1392">
        <v>3</v>
      </c>
      <c r="E1392">
        <v>38</v>
      </c>
      <c r="F1392">
        <v>0.22</v>
      </c>
      <c r="G1392">
        <f t="shared" si="22"/>
        <v>7.3333333333333334E-2</v>
      </c>
      <c r="H1392">
        <f>G1392*(26.79/38.29)</f>
        <v>5.1308435622878033E-2</v>
      </c>
    </row>
    <row r="1393" spans="1:8" x14ac:dyDescent="0.25">
      <c r="A1393" s="1">
        <v>1993</v>
      </c>
      <c r="B1393" s="1" t="s">
        <v>99</v>
      </c>
      <c r="C1393" t="s">
        <v>51</v>
      </c>
      <c r="D1393">
        <v>3</v>
      </c>
      <c r="E1393">
        <v>38</v>
      </c>
      <c r="F1393">
        <v>0.32</v>
      </c>
      <c r="G1393">
        <f t="shared" si="22"/>
        <v>0.10666666666666666</v>
      </c>
      <c r="H1393">
        <f>G1393*(26.79/38.29)</f>
        <v>7.4630451815095311E-2</v>
      </c>
    </row>
    <row r="1394" spans="1:8" x14ac:dyDescent="0.25">
      <c r="A1394" s="1">
        <v>1993</v>
      </c>
      <c r="B1394" s="1" t="s">
        <v>99</v>
      </c>
      <c r="C1394" t="s">
        <v>51</v>
      </c>
      <c r="D1394">
        <v>3</v>
      </c>
      <c r="E1394">
        <v>38</v>
      </c>
      <c r="F1394">
        <v>0.43</v>
      </c>
      <c r="G1394">
        <f t="shared" si="22"/>
        <v>0.14333333333333334</v>
      </c>
      <c r="H1394">
        <f>G1394*(26.79/38.29)</f>
        <v>0.10028466962653435</v>
      </c>
    </row>
    <row r="1395" spans="1:8" x14ac:dyDescent="0.25">
      <c r="A1395" s="1">
        <v>1993</v>
      </c>
      <c r="B1395" s="1" t="s">
        <v>99</v>
      </c>
      <c r="C1395" t="s">
        <v>51</v>
      </c>
      <c r="D1395">
        <v>3</v>
      </c>
      <c r="E1395">
        <v>38</v>
      </c>
      <c r="F1395">
        <v>1.21</v>
      </c>
      <c r="G1395">
        <f t="shared" si="22"/>
        <v>0.40333333333333332</v>
      </c>
      <c r="H1395">
        <f>G1395*(26.79/38.29)</f>
        <v>0.28219639592582918</v>
      </c>
    </row>
    <row r="1396" spans="1:8" x14ac:dyDescent="0.25">
      <c r="A1396" s="1">
        <v>1993</v>
      </c>
      <c r="B1396" s="1" t="s">
        <v>99</v>
      </c>
      <c r="C1396" t="s">
        <v>51</v>
      </c>
      <c r="D1396">
        <v>3</v>
      </c>
      <c r="E1396">
        <v>38</v>
      </c>
      <c r="F1396">
        <v>0.56999999999999995</v>
      </c>
      <c r="G1396">
        <f t="shared" si="22"/>
        <v>0.19</v>
      </c>
      <c r="H1396">
        <f>G1396*(26.79/38.29)</f>
        <v>0.13293549229563853</v>
      </c>
    </row>
    <row r="1397" spans="1:8" x14ac:dyDescent="0.25">
      <c r="A1397" s="1">
        <v>1993</v>
      </c>
      <c r="B1397" s="1" t="s">
        <v>99</v>
      </c>
      <c r="C1397" t="s">
        <v>51</v>
      </c>
      <c r="D1397">
        <v>3</v>
      </c>
      <c r="E1397">
        <v>38</v>
      </c>
      <c r="F1397">
        <v>1.69</v>
      </c>
      <c r="G1397">
        <f t="shared" si="22"/>
        <v>0.56333333333333335</v>
      </c>
      <c r="H1397">
        <f>G1397*(26.79/38.29)</f>
        <v>0.39414207364847215</v>
      </c>
    </row>
    <row r="1398" spans="1:8" x14ac:dyDescent="0.25">
      <c r="A1398" s="1">
        <v>1993</v>
      </c>
      <c r="B1398" s="1" t="s">
        <v>99</v>
      </c>
      <c r="C1398" t="s">
        <v>51</v>
      </c>
      <c r="D1398">
        <v>3</v>
      </c>
      <c r="E1398">
        <v>38</v>
      </c>
      <c r="F1398">
        <v>0.99</v>
      </c>
      <c r="G1398">
        <f t="shared" si="22"/>
        <v>0.33</v>
      </c>
      <c r="H1398">
        <f>G1398*(26.79/38.29)</f>
        <v>0.23088796030295117</v>
      </c>
    </row>
    <row r="1399" spans="1:8" x14ac:dyDescent="0.25">
      <c r="A1399" s="1">
        <v>1993</v>
      </c>
      <c r="B1399" s="1" t="s">
        <v>99</v>
      </c>
      <c r="C1399" t="s">
        <v>51</v>
      </c>
      <c r="D1399">
        <v>3</v>
      </c>
      <c r="E1399">
        <v>38</v>
      </c>
      <c r="F1399">
        <v>0.6</v>
      </c>
      <c r="G1399">
        <f t="shared" si="22"/>
        <v>0.2</v>
      </c>
      <c r="H1399">
        <f>G1399*(26.79/38.29)</f>
        <v>0.13993209715330374</v>
      </c>
    </row>
    <row r="1400" spans="1:8" x14ac:dyDescent="0.25">
      <c r="A1400" s="1">
        <v>1993</v>
      </c>
      <c r="B1400" s="1" t="s">
        <v>99</v>
      </c>
      <c r="C1400" t="s">
        <v>51</v>
      </c>
      <c r="D1400">
        <v>3</v>
      </c>
      <c r="E1400">
        <v>40</v>
      </c>
      <c r="F1400">
        <v>0.26</v>
      </c>
      <c r="G1400">
        <f t="shared" si="22"/>
        <v>8.666666666666667E-2</v>
      </c>
      <c r="H1400">
        <f>G1400*(26.79/38.29)</f>
        <v>6.0637242099764947E-2</v>
      </c>
    </row>
    <row r="1401" spans="1:8" x14ac:dyDescent="0.25">
      <c r="A1401" s="1">
        <v>1993</v>
      </c>
      <c r="B1401" s="1" t="s">
        <v>99</v>
      </c>
      <c r="C1401" t="s">
        <v>51</v>
      </c>
      <c r="D1401">
        <v>3</v>
      </c>
      <c r="E1401">
        <v>40</v>
      </c>
      <c r="F1401">
        <v>0.1</v>
      </c>
      <c r="G1401">
        <f t="shared" si="22"/>
        <v>3.333333333333334E-2</v>
      </c>
      <c r="H1401">
        <f>G1401*(26.79/38.29)</f>
        <v>2.3322016192217292E-2</v>
      </c>
    </row>
    <row r="1402" spans="1:8" x14ac:dyDescent="0.25">
      <c r="A1402" s="1">
        <v>1993</v>
      </c>
      <c r="B1402" s="1" t="s">
        <v>99</v>
      </c>
      <c r="C1402" t="s">
        <v>51</v>
      </c>
      <c r="D1402">
        <v>3</v>
      </c>
      <c r="E1402">
        <v>40</v>
      </c>
      <c r="F1402">
        <v>0.85</v>
      </c>
      <c r="G1402">
        <f t="shared" si="22"/>
        <v>0.28333333333333333</v>
      </c>
      <c r="H1402">
        <f>G1402*(26.79/38.29)</f>
        <v>0.19823713763384693</v>
      </c>
    </row>
    <row r="1403" spans="1:8" x14ac:dyDescent="0.25">
      <c r="A1403" s="1">
        <v>1993</v>
      </c>
      <c r="B1403" s="1" t="s">
        <v>99</v>
      </c>
      <c r="C1403" t="s">
        <v>51</v>
      </c>
      <c r="D1403">
        <v>3</v>
      </c>
      <c r="E1403">
        <v>40</v>
      </c>
      <c r="F1403">
        <v>1.08</v>
      </c>
      <c r="G1403">
        <f t="shared" si="22"/>
        <v>0.36000000000000004</v>
      </c>
      <c r="H1403">
        <f>G1403*(26.79/38.29)</f>
        <v>0.25187777487594676</v>
      </c>
    </row>
    <row r="1404" spans="1:8" x14ac:dyDescent="0.25">
      <c r="A1404" s="1">
        <v>1993</v>
      </c>
      <c r="B1404" s="1" t="s">
        <v>99</v>
      </c>
      <c r="C1404" t="s">
        <v>51</v>
      </c>
      <c r="D1404">
        <v>3</v>
      </c>
      <c r="E1404">
        <v>40</v>
      </c>
      <c r="F1404">
        <v>0.79</v>
      </c>
      <c r="G1404">
        <f t="shared" si="22"/>
        <v>0.26333333333333336</v>
      </c>
      <c r="H1404">
        <f>G1404*(26.79/38.29)</f>
        <v>0.1842439279185166</v>
      </c>
    </row>
    <row r="1405" spans="1:8" x14ac:dyDescent="0.25">
      <c r="A1405" s="1">
        <v>1993</v>
      </c>
      <c r="B1405" s="1" t="s">
        <v>99</v>
      </c>
      <c r="C1405" t="s">
        <v>51</v>
      </c>
      <c r="D1405">
        <v>3</v>
      </c>
      <c r="E1405">
        <v>40</v>
      </c>
      <c r="F1405">
        <v>0.92</v>
      </c>
      <c r="G1405">
        <f t="shared" ref="G1405:G1468" si="23">(F1405/0.6)/5</f>
        <v>0.3066666666666667</v>
      </c>
      <c r="H1405">
        <f>G1405*(26.79/38.29)</f>
        <v>0.21456254896839907</v>
      </c>
    </row>
    <row r="1406" spans="1:8" x14ac:dyDescent="0.25">
      <c r="A1406" s="1">
        <v>1993</v>
      </c>
      <c r="B1406" s="1" t="s">
        <v>99</v>
      </c>
      <c r="C1406" t="s">
        <v>51</v>
      </c>
      <c r="D1406">
        <v>3</v>
      </c>
      <c r="E1406">
        <v>40</v>
      </c>
      <c r="F1406">
        <v>1.41</v>
      </c>
      <c r="G1406">
        <f t="shared" si="23"/>
        <v>0.47000000000000003</v>
      </c>
      <c r="H1406">
        <f>G1406*(26.79/38.29)</f>
        <v>0.32884042831026378</v>
      </c>
    </row>
    <row r="1407" spans="1:8" x14ac:dyDescent="0.25">
      <c r="A1407" s="1">
        <v>1993</v>
      </c>
      <c r="B1407" s="1" t="s">
        <v>99</v>
      </c>
      <c r="C1407" t="s">
        <v>51</v>
      </c>
      <c r="D1407">
        <v>3</v>
      </c>
      <c r="E1407">
        <v>40</v>
      </c>
      <c r="F1407">
        <v>0.91</v>
      </c>
      <c r="G1407">
        <f t="shared" si="23"/>
        <v>0.30333333333333334</v>
      </c>
      <c r="H1407">
        <f>G1407*(26.79/38.29)</f>
        <v>0.21223034734917731</v>
      </c>
    </row>
    <row r="1408" spans="1:8" x14ac:dyDescent="0.25">
      <c r="A1408" s="1">
        <v>1993</v>
      </c>
      <c r="B1408" s="1" t="s">
        <v>99</v>
      </c>
      <c r="C1408" t="s">
        <v>51</v>
      </c>
      <c r="D1408">
        <v>3</v>
      </c>
      <c r="E1408">
        <v>40</v>
      </c>
      <c r="F1408">
        <v>0.89</v>
      </c>
      <c r="G1408">
        <f t="shared" si="23"/>
        <v>0.29666666666666669</v>
      </c>
      <c r="H1408">
        <f>G1408*(26.79/38.29)</f>
        <v>0.20756594411073387</v>
      </c>
    </row>
    <row r="1409" spans="1:8" x14ac:dyDescent="0.25">
      <c r="A1409" s="1">
        <v>1993</v>
      </c>
      <c r="B1409" s="1" t="s">
        <v>99</v>
      </c>
      <c r="C1409" t="s">
        <v>51</v>
      </c>
      <c r="D1409">
        <v>3</v>
      </c>
      <c r="E1409">
        <v>40</v>
      </c>
      <c r="F1409">
        <v>0.11</v>
      </c>
      <c r="G1409">
        <f t="shared" si="23"/>
        <v>3.6666666666666667E-2</v>
      </c>
      <c r="H1409">
        <f>G1409*(26.79/38.29)</f>
        <v>2.5654217811439017E-2</v>
      </c>
    </row>
    <row r="1410" spans="1:8" x14ac:dyDescent="0.25">
      <c r="A1410" s="1">
        <v>1993</v>
      </c>
      <c r="B1410" s="1" t="s">
        <v>99</v>
      </c>
      <c r="C1410" t="s">
        <v>51</v>
      </c>
      <c r="D1410">
        <v>3</v>
      </c>
      <c r="E1410">
        <v>47</v>
      </c>
      <c r="F1410">
        <v>0.53</v>
      </c>
      <c r="G1410">
        <f t="shared" si="23"/>
        <v>0.17666666666666669</v>
      </c>
      <c r="H1410">
        <f>G1410*(26.79/38.29)</f>
        <v>0.12360668581875164</v>
      </c>
    </row>
    <row r="1411" spans="1:8" x14ac:dyDescent="0.25">
      <c r="A1411" s="1">
        <v>1993</v>
      </c>
      <c r="B1411" s="1" t="s">
        <v>99</v>
      </c>
      <c r="C1411" t="s">
        <v>51</v>
      </c>
      <c r="D1411">
        <v>3</v>
      </c>
      <c r="E1411">
        <v>53</v>
      </c>
      <c r="F1411">
        <v>1.1499999999999999</v>
      </c>
      <c r="G1411">
        <f t="shared" si="23"/>
        <v>0.3833333333333333</v>
      </c>
      <c r="H1411">
        <f>G1411*(26.79/38.29)</f>
        <v>0.26820318621049877</v>
      </c>
    </row>
    <row r="1412" spans="1:8" x14ac:dyDescent="0.25">
      <c r="A1412" s="1">
        <v>1993</v>
      </c>
      <c r="B1412" s="1" t="s">
        <v>99</v>
      </c>
      <c r="C1412" t="s">
        <v>51</v>
      </c>
      <c r="D1412">
        <v>3</v>
      </c>
      <c r="E1412">
        <v>53</v>
      </c>
      <c r="F1412">
        <v>0.11</v>
      </c>
      <c r="G1412">
        <f t="shared" si="23"/>
        <v>3.6666666666666667E-2</v>
      </c>
      <c r="H1412">
        <f>G1412*(26.79/38.29)</f>
        <v>2.5654217811439017E-2</v>
      </c>
    </row>
    <row r="1413" spans="1:8" x14ac:dyDescent="0.25">
      <c r="A1413" s="1">
        <v>1993</v>
      </c>
      <c r="B1413" s="1" t="s">
        <v>99</v>
      </c>
      <c r="C1413" t="s">
        <v>51</v>
      </c>
      <c r="D1413">
        <v>3</v>
      </c>
      <c r="E1413">
        <v>53</v>
      </c>
      <c r="F1413">
        <v>0.15</v>
      </c>
      <c r="G1413">
        <f t="shared" si="23"/>
        <v>0.05</v>
      </c>
      <c r="H1413">
        <f>G1413*(26.79/38.29)</f>
        <v>3.4983024288325934E-2</v>
      </c>
    </row>
    <row r="1414" spans="1:8" x14ac:dyDescent="0.25">
      <c r="A1414" s="1">
        <v>1993</v>
      </c>
      <c r="B1414" s="1" t="s">
        <v>99</v>
      </c>
      <c r="C1414" t="s">
        <v>51</v>
      </c>
      <c r="D1414">
        <v>3</v>
      </c>
      <c r="E1414">
        <v>53</v>
      </c>
      <c r="F1414">
        <v>0.06</v>
      </c>
      <c r="G1414">
        <f t="shared" si="23"/>
        <v>0.02</v>
      </c>
      <c r="H1414">
        <f>G1414*(26.79/38.29)</f>
        <v>1.3993209715330373E-2</v>
      </c>
    </row>
    <row r="1415" spans="1:8" x14ac:dyDescent="0.25">
      <c r="A1415" s="1">
        <v>1993</v>
      </c>
      <c r="B1415" s="1" t="s">
        <v>99</v>
      </c>
      <c r="C1415" t="s">
        <v>51</v>
      </c>
      <c r="D1415">
        <v>3</v>
      </c>
      <c r="E1415">
        <v>53</v>
      </c>
      <c r="F1415">
        <v>0.06</v>
      </c>
      <c r="G1415">
        <f t="shared" si="23"/>
        <v>0.02</v>
      </c>
      <c r="H1415">
        <f>G1415*(26.79/38.29)</f>
        <v>1.3993209715330373E-2</v>
      </c>
    </row>
    <row r="1416" spans="1:8" x14ac:dyDescent="0.25">
      <c r="A1416" s="1">
        <v>1993</v>
      </c>
      <c r="B1416" s="1" t="s">
        <v>99</v>
      </c>
      <c r="C1416" t="s">
        <v>51</v>
      </c>
      <c r="D1416">
        <v>3</v>
      </c>
      <c r="E1416">
        <v>53</v>
      </c>
      <c r="F1416">
        <v>0.06</v>
      </c>
      <c r="G1416">
        <f t="shared" si="23"/>
        <v>0.02</v>
      </c>
      <c r="H1416">
        <f>G1416*(26.79/38.29)</f>
        <v>1.3993209715330373E-2</v>
      </c>
    </row>
    <row r="1417" spans="1:8" x14ac:dyDescent="0.25">
      <c r="A1417" s="1">
        <v>1993</v>
      </c>
      <c r="B1417" s="1" t="s">
        <v>99</v>
      </c>
      <c r="C1417" t="s">
        <v>51</v>
      </c>
      <c r="D1417">
        <v>3</v>
      </c>
      <c r="E1417">
        <v>53</v>
      </c>
      <c r="F1417">
        <v>0.18</v>
      </c>
      <c r="G1417">
        <f t="shared" si="23"/>
        <v>0.06</v>
      </c>
      <c r="H1417">
        <f>G1417*(26.79/38.29)</f>
        <v>4.1979629145991113E-2</v>
      </c>
    </row>
    <row r="1418" spans="1:8" x14ac:dyDescent="0.25">
      <c r="A1418" s="1">
        <v>1993</v>
      </c>
      <c r="B1418" s="1" t="s">
        <v>99</v>
      </c>
      <c r="C1418" t="s">
        <v>51</v>
      </c>
      <c r="D1418">
        <v>3</v>
      </c>
      <c r="E1418">
        <v>54</v>
      </c>
      <c r="F1418">
        <v>0.05</v>
      </c>
      <c r="G1418">
        <f t="shared" si="23"/>
        <v>1.666666666666667E-2</v>
      </c>
      <c r="H1418">
        <f>G1418*(26.79/38.29)</f>
        <v>1.1661008096108646E-2</v>
      </c>
    </row>
    <row r="1419" spans="1:8" x14ac:dyDescent="0.25">
      <c r="A1419" s="1">
        <v>1993</v>
      </c>
      <c r="B1419" s="1" t="s">
        <v>99</v>
      </c>
      <c r="C1419" t="s">
        <v>51</v>
      </c>
      <c r="D1419">
        <v>3</v>
      </c>
      <c r="E1419">
        <v>54</v>
      </c>
      <c r="F1419">
        <v>0.25</v>
      </c>
      <c r="G1419">
        <f t="shared" si="23"/>
        <v>8.3333333333333343E-2</v>
      </c>
      <c r="H1419">
        <f>G1419*(26.79/38.29)</f>
        <v>5.8305040480543226E-2</v>
      </c>
    </row>
    <row r="1420" spans="1:8" x14ac:dyDescent="0.25">
      <c r="A1420" s="1">
        <v>1993</v>
      </c>
      <c r="B1420" s="1" t="s">
        <v>99</v>
      </c>
      <c r="C1420" t="s">
        <v>51</v>
      </c>
      <c r="D1420">
        <v>3</v>
      </c>
      <c r="E1420">
        <v>54</v>
      </c>
      <c r="F1420">
        <v>0.03</v>
      </c>
      <c r="G1420">
        <f t="shared" si="23"/>
        <v>0.01</v>
      </c>
      <c r="H1420">
        <f>G1420*(26.79/38.29)</f>
        <v>6.9966048576651863E-3</v>
      </c>
    </row>
    <row r="1421" spans="1:8" x14ac:dyDescent="0.25">
      <c r="A1421" s="1">
        <v>1993</v>
      </c>
      <c r="B1421" s="1" t="s">
        <v>99</v>
      </c>
      <c r="C1421" t="s">
        <v>51</v>
      </c>
      <c r="D1421">
        <v>3</v>
      </c>
      <c r="E1421">
        <v>54</v>
      </c>
      <c r="F1421">
        <v>0.19</v>
      </c>
      <c r="G1421">
        <f t="shared" si="23"/>
        <v>6.3333333333333339E-2</v>
      </c>
      <c r="H1421">
        <f>G1421*(26.79/38.29)</f>
        <v>4.4311830765212848E-2</v>
      </c>
    </row>
    <row r="1422" spans="1:8" x14ac:dyDescent="0.25">
      <c r="A1422" s="1">
        <v>1993</v>
      </c>
      <c r="B1422" s="1" t="s">
        <v>99</v>
      </c>
      <c r="C1422" t="s">
        <v>51</v>
      </c>
      <c r="D1422">
        <v>3</v>
      </c>
      <c r="E1422">
        <v>54</v>
      </c>
      <c r="F1422">
        <v>0.14000000000000001</v>
      </c>
      <c r="G1422">
        <f t="shared" si="23"/>
        <v>4.6666666666666676E-2</v>
      </c>
      <c r="H1422">
        <f>G1422*(26.79/38.29)</f>
        <v>3.2650822669104206E-2</v>
      </c>
    </row>
    <row r="1423" spans="1:8" x14ac:dyDescent="0.25">
      <c r="A1423" s="1">
        <v>1993</v>
      </c>
      <c r="B1423" s="1" t="s">
        <v>99</v>
      </c>
      <c r="C1423" t="s">
        <v>51</v>
      </c>
      <c r="D1423">
        <v>3</v>
      </c>
      <c r="E1423">
        <v>54</v>
      </c>
      <c r="F1423">
        <v>0.64</v>
      </c>
      <c r="G1423">
        <f t="shared" si="23"/>
        <v>0.21333333333333332</v>
      </c>
      <c r="H1423">
        <f>G1423*(26.79/38.29)</f>
        <v>0.14926090363019062</v>
      </c>
    </row>
    <row r="1424" spans="1:8" x14ac:dyDescent="0.25">
      <c r="A1424" s="1">
        <v>1993</v>
      </c>
      <c r="B1424" s="1" t="s">
        <v>99</v>
      </c>
      <c r="C1424" t="s">
        <v>51</v>
      </c>
      <c r="D1424">
        <v>3</v>
      </c>
      <c r="E1424">
        <v>54</v>
      </c>
      <c r="F1424">
        <v>0.13</v>
      </c>
      <c r="G1424">
        <f t="shared" si="23"/>
        <v>4.3333333333333335E-2</v>
      </c>
      <c r="H1424">
        <f>G1424*(26.79/38.29)</f>
        <v>3.0318621049882474E-2</v>
      </c>
    </row>
    <row r="1425" spans="1:8" x14ac:dyDescent="0.25">
      <c r="A1425" s="1">
        <v>1993</v>
      </c>
      <c r="B1425" s="1" t="s">
        <v>99</v>
      </c>
      <c r="C1425" t="s">
        <v>51</v>
      </c>
      <c r="D1425">
        <v>3</v>
      </c>
      <c r="E1425">
        <v>54</v>
      </c>
      <c r="F1425">
        <v>0.4</v>
      </c>
      <c r="G1425">
        <f t="shared" si="23"/>
        <v>0.13333333333333336</v>
      </c>
      <c r="H1425">
        <f>G1425*(26.79/38.29)</f>
        <v>9.3288064768869167E-2</v>
      </c>
    </row>
    <row r="1426" spans="1:8" x14ac:dyDescent="0.25">
      <c r="A1426" s="1">
        <v>1993</v>
      </c>
      <c r="B1426" s="1" t="s">
        <v>99</v>
      </c>
      <c r="C1426" t="s">
        <v>51</v>
      </c>
      <c r="D1426">
        <v>3</v>
      </c>
      <c r="E1426">
        <v>54</v>
      </c>
      <c r="F1426">
        <v>0.15</v>
      </c>
      <c r="G1426">
        <f t="shared" si="23"/>
        <v>0.05</v>
      </c>
      <c r="H1426">
        <f>G1426*(26.79/38.29)</f>
        <v>3.4983024288325934E-2</v>
      </c>
    </row>
    <row r="1427" spans="1:8" x14ac:dyDescent="0.25">
      <c r="A1427" s="1">
        <v>1993</v>
      </c>
      <c r="B1427" s="1" t="s">
        <v>99</v>
      </c>
      <c r="C1427" t="s">
        <v>51</v>
      </c>
      <c r="D1427">
        <v>3</v>
      </c>
      <c r="E1427">
        <v>56</v>
      </c>
      <c r="F1427">
        <v>1.29</v>
      </c>
      <c r="G1427">
        <f t="shared" si="23"/>
        <v>0.43000000000000005</v>
      </c>
      <c r="H1427">
        <f>G1427*(26.79/38.29)</f>
        <v>0.30085400887960306</v>
      </c>
    </row>
    <row r="1428" spans="1:8" x14ac:dyDescent="0.25">
      <c r="A1428" s="1">
        <v>1993</v>
      </c>
      <c r="B1428" s="1" t="s">
        <v>99</v>
      </c>
      <c r="C1428" t="s">
        <v>51</v>
      </c>
      <c r="D1428">
        <v>3</v>
      </c>
      <c r="E1428">
        <v>56</v>
      </c>
      <c r="F1428">
        <v>0.1</v>
      </c>
      <c r="G1428">
        <f t="shared" si="23"/>
        <v>3.333333333333334E-2</v>
      </c>
      <c r="H1428">
        <f>G1428*(26.79/38.29)</f>
        <v>2.3322016192217292E-2</v>
      </c>
    </row>
    <row r="1429" spans="1:8" x14ac:dyDescent="0.25">
      <c r="A1429" s="1">
        <v>1993</v>
      </c>
      <c r="B1429" s="1" t="s">
        <v>99</v>
      </c>
      <c r="C1429" t="s">
        <v>51</v>
      </c>
      <c r="D1429">
        <v>3</v>
      </c>
      <c r="E1429">
        <v>56</v>
      </c>
      <c r="F1429">
        <v>0.28000000000000003</v>
      </c>
      <c r="G1429">
        <f t="shared" si="23"/>
        <v>9.3333333333333351E-2</v>
      </c>
      <c r="H1429">
        <f>G1429*(26.79/38.29)</f>
        <v>6.5301645338208411E-2</v>
      </c>
    </row>
    <row r="1430" spans="1:8" x14ac:dyDescent="0.25">
      <c r="A1430" s="1">
        <v>1993</v>
      </c>
      <c r="B1430" s="1" t="s">
        <v>99</v>
      </c>
      <c r="C1430" t="s">
        <v>51</v>
      </c>
      <c r="D1430">
        <v>3</v>
      </c>
      <c r="E1430">
        <v>56</v>
      </c>
      <c r="F1430">
        <v>0.05</v>
      </c>
      <c r="G1430">
        <f t="shared" si="23"/>
        <v>1.666666666666667E-2</v>
      </c>
      <c r="H1430">
        <f>G1430*(26.79/38.29)</f>
        <v>1.1661008096108646E-2</v>
      </c>
    </row>
    <row r="1431" spans="1:8" x14ac:dyDescent="0.25">
      <c r="A1431" s="1">
        <v>1993</v>
      </c>
      <c r="B1431" s="1" t="s">
        <v>99</v>
      </c>
      <c r="C1431" t="s">
        <v>51</v>
      </c>
      <c r="D1431">
        <v>3</v>
      </c>
      <c r="E1431">
        <v>56</v>
      </c>
      <c r="F1431">
        <v>0.68</v>
      </c>
      <c r="G1431">
        <f t="shared" si="23"/>
        <v>0.22666666666666671</v>
      </c>
      <c r="H1431">
        <f>G1431*(26.79/38.29)</f>
        <v>0.15858971010707759</v>
      </c>
    </row>
    <row r="1432" spans="1:8" x14ac:dyDescent="0.25">
      <c r="A1432" s="1">
        <v>1993</v>
      </c>
      <c r="B1432" s="1" t="s">
        <v>99</v>
      </c>
      <c r="C1432" t="s">
        <v>51</v>
      </c>
      <c r="D1432">
        <v>3</v>
      </c>
      <c r="E1432">
        <v>56</v>
      </c>
      <c r="F1432">
        <v>0.06</v>
      </c>
      <c r="G1432">
        <f t="shared" si="23"/>
        <v>0.02</v>
      </c>
      <c r="H1432">
        <f>G1432*(26.79/38.29)</f>
        <v>1.3993209715330373E-2</v>
      </c>
    </row>
    <row r="1433" spans="1:8" x14ac:dyDescent="0.25">
      <c r="A1433" s="1">
        <v>1993</v>
      </c>
      <c r="B1433" s="1" t="s">
        <v>99</v>
      </c>
      <c r="C1433" t="s">
        <v>51</v>
      </c>
      <c r="D1433">
        <v>3</v>
      </c>
      <c r="E1433">
        <v>56</v>
      </c>
      <c r="F1433">
        <v>0.41</v>
      </c>
      <c r="G1433">
        <f t="shared" si="23"/>
        <v>0.13666666666666666</v>
      </c>
      <c r="H1433">
        <f>G1433*(26.79/38.29)</f>
        <v>9.5620266388090874E-2</v>
      </c>
    </row>
    <row r="1434" spans="1:8" x14ac:dyDescent="0.25">
      <c r="A1434" s="1">
        <v>1993</v>
      </c>
      <c r="B1434" s="1" t="s">
        <v>99</v>
      </c>
      <c r="C1434" t="s">
        <v>51</v>
      </c>
      <c r="D1434">
        <v>3</v>
      </c>
      <c r="E1434">
        <v>58</v>
      </c>
      <c r="F1434">
        <v>0.11</v>
      </c>
      <c r="G1434">
        <f t="shared" si="23"/>
        <v>3.6666666666666667E-2</v>
      </c>
      <c r="H1434">
        <f>G1434*(26.79/38.29)</f>
        <v>2.5654217811439017E-2</v>
      </c>
    </row>
    <row r="1435" spans="1:8" x14ac:dyDescent="0.25">
      <c r="A1435" s="1">
        <v>1993</v>
      </c>
      <c r="B1435" s="1" t="s">
        <v>99</v>
      </c>
      <c r="C1435" t="s">
        <v>51</v>
      </c>
      <c r="D1435">
        <v>3</v>
      </c>
      <c r="E1435">
        <v>58</v>
      </c>
      <c r="F1435">
        <v>0.13</v>
      </c>
      <c r="G1435">
        <f t="shared" si="23"/>
        <v>4.3333333333333335E-2</v>
      </c>
      <c r="H1435">
        <f>G1435*(26.79/38.29)</f>
        <v>3.0318621049882474E-2</v>
      </c>
    </row>
    <row r="1436" spans="1:8" x14ac:dyDescent="0.25">
      <c r="A1436" s="1">
        <v>1993</v>
      </c>
      <c r="B1436" s="1" t="s">
        <v>99</v>
      </c>
      <c r="C1436" t="s">
        <v>51</v>
      </c>
      <c r="D1436">
        <v>3</v>
      </c>
      <c r="E1436">
        <v>58</v>
      </c>
      <c r="F1436">
        <v>0.64</v>
      </c>
      <c r="G1436">
        <f t="shared" si="23"/>
        <v>0.21333333333333332</v>
      </c>
      <c r="H1436">
        <f>G1436*(26.79/38.29)</f>
        <v>0.14926090363019062</v>
      </c>
    </row>
    <row r="1437" spans="1:8" x14ac:dyDescent="0.25">
      <c r="A1437" s="1">
        <v>1993</v>
      </c>
      <c r="B1437" s="1" t="s">
        <v>99</v>
      </c>
      <c r="C1437" t="s">
        <v>51</v>
      </c>
      <c r="D1437">
        <v>3</v>
      </c>
      <c r="E1437">
        <v>58</v>
      </c>
      <c r="F1437">
        <v>0.4</v>
      </c>
      <c r="G1437">
        <f t="shared" si="23"/>
        <v>0.13333333333333336</v>
      </c>
      <c r="H1437">
        <f>G1437*(26.79/38.29)</f>
        <v>9.3288064768869167E-2</v>
      </c>
    </row>
    <row r="1438" spans="1:8" x14ac:dyDescent="0.25">
      <c r="A1438" s="1">
        <v>1993</v>
      </c>
      <c r="B1438" s="1" t="s">
        <v>99</v>
      </c>
      <c r="C1438" t="s">
        <v>51</v>
      </c>
      <c r="D1438">
        <v>3</v>
      </c>
      <c r="E1438">
        <v>58</v>
      </c>
      <c r="F1438">
        <v>0.48</v>
      </c>
      <c r="G1438">
        <f t="shared" si="23"/>
        <v>0.16</v>
      </c>
      <c r="H1438">
        <f>G1438*(26.79/38.29)</f>
        <v>0.11194567772264298</v>
      </c>
    </row>
    <row r="1439" spans="1:8" x14ac:dyDescent="0.25">
      <c r="A1439" s="1">
        <v>1993</v>
      </c>
      <c r="B1439" s="1" t="s">
        <v>99</v>
      </c>
      <c r="C1439" t="s">
        <v>51</v>
      </c>
      <c r="D1439">
        <v>3</v>
      </c>
      <c r="E1439">
        <v>58</v>
      </c>
      <c r="F1439">
        <v>0.49</v>
      </c>
      <c r="G1439">
        <f t="shared" si="23"/>
        <v>0.16333333333333333</v>
      </c>
      <c r="H1439">
        <f>G1439*(26.79/38.29)</f>
        <v>0.1142778793418647</v>
      </c>
    </row>
    <row r="1440" spans="1:8" x14ac:dyDescent="0.25">
      <c r="A1440" s="1">
        <v>1993</v>
      </c>
      <c r="B1440" s="1" t="s">
        <v>99</v>
      </c>
      <c r="C1440" t="s">
        <v>51</v>
      </c>
      <c r="D1440">
        <v>3</v>
      </c>
      <c r="E1440">
        <v>63</v>
      </c>
      <c r="F1440">
        <v>0.14000000000000001</v>
      </c>
      <c r="G1440">
        <f t="shared" si="23"/>
        <v>4.6666666666666676E-2</v>
      </c>
      <c r="H1440">
        <f>G1440*(26.79/38.29)</f>
        <v>3.2650822669104206E-2</v>
      </c>
    </row>
    <row r="1441" spans="1:8" x14ac:dyDescent="0.25">
      <c r="A1441" s="1">
        <v>1993</v>
      </c>
      <c r="B1441" s="1" t="s">
        <v>99</v>
      </c>
      <c r="C1441" t="s">
        <v>51</v>
      </c>
      <c r="D1441">
        <v>3</v>
      </c>
      <c r="E1441">
        <v>63</v>
      </c>
      <c r="F1441">
        <v>0.03</v>
      </c>
      <c r="G1441">
        <f t="shared" si="23"/>
        <v>0.01</v>
      </c>
      <c r="H1441">
        <f>G1441*(26.79/38.29)</f>
        <v>6.9966048576651863E-3</v>
      </c>
    </row>
    <row r="1442" spans="1:8" x14ac:dyDescent="0.25">
      <c r="A1442" s="1">
        <v>1993</v>
      </c>
      <c r="B1442" s="1" t="s">
        <v>99</v>
      </c>
      <c r="C1442" t="s">
        <v>51</v>
      </c>
      <c r="D1442">
        <v>3</v>
      </c>
      <c r="E1442">
        <v>63</v>
      </c>
      <c r="F1442">
        <v>0.04</v>
      </c>
      <c r="G1442">
        <f t="shared" si="23"/>
        <v>1.3333333333333332E-2</v>
      </c>
      <c r="H1442">
        <f>G1442*(26.79/38.29)</f>
        <v>9.3288064768869139E-3</v>
      </c>
    </row>
    <row r="1443" spans="1:8" x14ac:dyDescent="0.25">
      <c r="A1443" s="1">
        <v>1993</v>
      </c>
      <c r="B1443" s="1" t="s">
        <v>99</v>
      </c>
      <c r="C1443" t="s">
        <v>51</v>
      </c>
      <c r="D1443">
        <v>3</v>
      </c>
      <c r="E1443">
        <v>63</v>
      </c>
      <c r="F1443">
        <v>0.14000000000000001</v>
      </c>
      <c r="G1443">
        <f t="shared" si="23"/>
        <v>4.6666666666666676E-2</v>
      </c>
      <c r="H1443">
        <f>G1443*(26.79/38.29)</f>
        <v>3.2650822669104206E-2</v>
      </c>
    </row>
    <row r="1444" spans="1:8" x14ac:dyDescent="0.25">
      <c r="A1444" s="1">
        <v>1993</v>
      </c>
      <c r="B1444" s="1" t="s">
        <v>99</v>
      </c>
      <c r="C1444" t="s">
        <v>51</v>
      </c>
      <c r="D1444">
        <v>3</v>
      </c>
      <c r="E1444">
        <v>63</v>
      </c>
      <c r="F1444">
        <v>0.04</v>
      </c>
      <c r="G1444">
        <f t="shared" si="23"/>
        <v>1.3333333333333332E-2</v>
      </c>
      <c r="H1444">
        <f>G1444*(26.79/38.29)</f>
        <v>9.3288064768869139E-3</v>
      </c>
    </row>
    <row r="1445" spans="1:8" x14ac:dyDescent="0.25">
      <c r="A1445" s="1">
        <v>1993</v>
      </c>
      <c r="B1445" s="1" t="s">
        <v>99</v>
      </c>
      <c r="C1445" t="s">
        <v>51</v>
      </c>
      <c r="D1445">
        <v>3</v>
      </c>
      <c r="E1445">
        <v>63</v>
      </c>
      <c r="F1445">
        <v>7.0000000000000007E-2</v>
      </c>
      <c r="G1445">
        <f t="shared" si="23"/>
        <v>2.3333333333333338E-2</v>
      </c>
      <c r="H1445">
        <f>G1445*(26.79/38.29)</f>
        <v>1.6325411334552103E-2</v>
      </c>
    </row>
    <row r="1446" spans="1:8" x14ac:dyDescent="0.25">
      <c r="A1446" s="1">
        <v>1993</v>
      </c>
      <c r="B1446" s="1" t="s">
        <v>99</v>
      </c>
      <c r="C1446" t="s">
        <v>51</v>
      </c>
      <c r="D1446">
        <v>3</v>
      </c>
      <c r="E1446">
        <v>63</v>
      </c>
      <c r="F1446">
        <v>0.24</v>
      </c>
      <c r="G1446">
        <f t="shared" si="23"/>
        <v>0.08</v>
      </c>
      <c r="H1446">
        <f>G1446*(26.79/38.29)</f>
        <v>5.597283886132149E-2</v>
      </c>
    </row>
    <row r="1447" spans="1:8" x14ac:dyDescent="0.25">
      <c r="A1447" s="1">
        <v>1993</v>
      </c>
      <c r="B1447" s="1" t="s">
        <v>99</v>
      </c>
      <c r="C1447" t="s">
        <v>51</v>
      </c>
      <c r="D1447">
        <v>3</v>
      </c>
      <c r="E1447">
        <v>63</v>
      </c>
      <c r="F1447">
        <v>0.06</v>
      </c>
      <c r="G1447">
        <f t="shared" si="23"/>
        <v>0.02</v>
      </c>
      <c r="H1447">
        <f>G1447*(26.79/38.29)</f>
        <v>1.3993209715330373E-2</v>
      </c>
    </row>
    <row r="1448" spans="1:8" x14ac:dyDescent="0.25">
      <c r="A1448" s="1">
        <v>1993</v>
      </c>
      <c r="B1448" s="1" t="s">
        <v>99</v>
      </c>
      <c r="C1448" t="s">
        <v>51</v>
      </c>
      <c r="D1448">
        <v>3</v>
      </c>
      <c r="E1448">
        <v>63</v>
      </c>
      <c r="F1448">
        <v>0.06</v>
      </c>
      <c r="G1448">
        <f t="shared" si="23"/>
        <v>0.02</v>
      </c>
      <c r="H1448">
        <f>G1448*(26.79/38.29)</f>
        <v>1.3993209715330373E-2</v>
      </c>
    </row>
    <row r="1449" spans="1:8" x14ac:dyDescent="0.25">
      <c r="A1449" s="1">
        <v>1993</v>
      </c>
      <c r="B1449" s="1" t="s">
        <v>99</v>
      </c>
      <c r="C1449" t="s">
        <v>51</v>
      </c>
      <c r="D1449">
        <v>3</v>
      </c>
      <c r="E1449">
        <v>63</v>
      </c>
      <c r="F1449">
        <v>0.03</v>
      </c>
      <c r="G1449">
        <f t="shared" si="23"/>
        <v>0.01</v>
      </c>
      <c r="H1449">
        <f>G1449*(26.79/38.29)</f>
        <v>6.9966048576651863E-3</v>
      </c>
    </row>
    <row r="1450" spans="1:8" x14ac:dyDescent="0.25">
      <c r="A1450" s="1">
        <v>1993</v>
      </c>
      <c r="B1450" s="1" t="s">
        <v>99</v>
      </c>
      <c r="C1450" t="s">
        <v>51</v>
      </c>
      <c r="D1450">
        <v>3</v>
      </c>
      <c r="E1450">
        <v>63</v>
      </c>
      <c r="F1450">
        <v>0.25</v>
      </c>
      <c r="G1450">
        <f t="shared" si="23"/>
        <v>8.3333333333333343E-2</v>
      </c>
      <c r="H1450">
        <f>G1450*(26.79/38.29)</f>
        <v>5.8305040480543226E-2</v>
      </c>
    </row>
    <row r="1451" spans="1:8" x14ac:dyDescent="0.25">
      <c r="A1451" s="1">
        <v>1993</v>
      </c>
      <c r="B1451" s="1" t="s">
        <v>99</v>
      </c>
      <c r="C1451" t="s">
        <v>51</v>
      </c>
      <c r="D1451">
        <v>3</v>
      </c>
      <c r="E1451">
        <v>63</v>
      </c>
      <c r="F1451">
        <v>0.16</v>
      </c>
      <c r="G1451">
        <f t="shared" si="23"/>
        <v>5.333333333333333E-2</v>
      </c>
      <c r="H1451">
        <f>G1451*(26.79/38.29)</f>
        <v>3.7315225907547656E-2</v>
      </c>
    </row>
    <row r="1452" spans="1:8" x14ac:dyDescent="0.25">
      <c r="A1452" s="1">
        <v>1993</v>
      </c>
      <c r="B1452" s="1" t="s">
        <v>99</v>
      </c>
      <c r="C1452" t="s">
        <v>51</v>
      </c>
      <c r="D1452">
        <v>3</v>
      </c>
      <c r="E1452">
        <v>71</v>
      </c>
      <c r="F1452">
        <v>0.91</v>
      </c>
      <c r="G1452">
        <f t="shared" si="23"/>
        <v>0.30333333333333334</v>
      </c>
      <c r="H1452">
        <f>G1452*(26.79/38.29)</f>
        <v>0.21223034734917731</v>
      </c>
    </row>
    <row r="1453" spans="1:8" x14ac:dyDescent="0.25">
      <c r="A1453" s="1">
        <v>1993</v>
      </c>
      <c r="B1453" s="1" t="s">
        <v>99</v>
      </c>
      <c r="C1453" t="s">
        <v>51</v>
      </c>
      <c r="D1453">
        <v>3</v>
      </c>
      <c r="E1453">
        <v>71</v>
      </c>
      <c r="F1453">
        <v>0.18</v>
      </c>
      <c r="G1453">
        <f t="shared" si="23"/>
        <v>0.06</v>
      </c>
      <c r="H1453">
        <f>G1453*(26.79/38.29)</f>
        <v>4.1979629145991113E-2</v>
      </c>
    </row>
    <row r="1454" spans="1:8" x14ac:dyDescent="0.25">
      <c r="A1454" s="1">
        <v>1993</v>
      </c>
      <c r="B1454" s="1" t="s">
        <v>99</v>
      </c>
      <c r="C1454" t="s">
        <v>51</v>
      </c>
      <c r="D1454">
        <v>3</v>
      </c>
      <c r="E1454">
        <v>71</v>
      </c>
      <c r="F1454">
        <v>0.15</v>
      </c>
      <c r="G1454">
        <f t="shared" si="23"/>
        <v>0.05</v>
      </c>
      <c r="H1454">
        <f>G1454*(26.79/38.29)</f>
        <v>3.4983024288325934E-2</v>
      </c>
    </row>
    <row r="1455" spans="1:8" x14ac:dyDescent="0.25">
      <c r="A1455" s="1">
        <v>1993</v>
      </c>
      <c r="B1455" s="1" t="s">
        <v>99</v>
      </c>
      <c r="C1455" t="s">
        <v>51</v>
      </c>
      <c r="D1455">
        <v>3</v>
      </c>
      <c r="E1455">
        <v>71</v>
      </c>
      <c r="F1455">
        <v>0.16</v>
      </c>
      <c r="G1455">
        <f t="shared" si="23"/>
        <v>5.333333333333333E-2</v>
      </c>
      <c r="H1455">
        <f>G1455*(26.79/38.29)</f>
        <v>3.7315225907547656E-2</v>
      </c>
    </row>
    <row r="1456" spans="1:8" x14ac:dyDescent="0.25">
      <c r="A1456" s="1">
        <v>1993</v>
      </c>
      <c r="B1456" s="1" t="s">
        <v>99</v>
      </c>
      <c r="C1456" t="s">
        <v>51</v>
      </c>
      <c r="D1456">
        <v>3</v>
      </c>
      <c r="E1456">
        <v>71</v>
      </c>
      <c r="F1456">
        <v>0.24</v>
      </c>
      <c r="G1456">
        <f t="shared" si="23"/>
        <v>0.08</v>
      </c>
      <c r="H1456">
        <f>G1456*(26.79/38.29)</f>
        <v>5.597283886132149E-2</v>
      </c>
    </row>
    <row r="1457" spans="1:8" x14ac:dyDescent="0.25">
      <c r="A1457" s="1">
        <v>1993</v>
      </c>
      <c r="B1457" s="1" t="s">
        <v>99</v>
      </c>
      <c r="C1457" t="s">
        <v>51</v>
      </c>
      <c r="D1457">
        <v>3</v>
      </c>
      <c r="E1457">
        <v>71</v>
      </c>
      <c r="F1457">
        <v>0.15</v>
      </c>
      <c r="G1457">
        <f t="shared" si="23"/>
        <v>0.05</v>
      </c>
      <c r="H1457">
        <f>G1457*(26.79/38.29)</f>
        <v>3.4983024288325934E-2</v>
      </c>
    </row>
    <row r="1458" spans="1:8" x14ac:dyDescent="0.25">
      <c r="A1458" s="1">
        <v>1993</v>
      </c>
      <c r="B1458" s="1" t="s">
        <v>99</v>
      </c>
      <c r="C1458" t="s">
        <v>51</v>
      </c>
      <c r="D1458">
        <v>3</v>
      </c>
      <c r="E1458">
        <v>71</v>
      </c>
      <c r="F1458">
        <v>0.19</v>
      </c>
      <c r="G1458">
        <f t="shared" si="23"/>
        <v>6.3333333333333339E-2</v>
      </c>
      <c r="H1458">
        <f>G1458*(26.79/38.29)</f>
        <v>4.4311830765212848E-2</v>
      </c>
    </row>
    <row r="1459" spans="1:8" x14ac:dyDescent="0.25">
      <c r="A1459" s="1">
        <v>1993</v>
      </c>
      <c r="B1459" s="1" t="s">
        <v>99</v>
      </c>
      <c r="C1459" t="s">
        <v>51</v>
      </c>
      <c r="D1459">
        <v>3</v>
      </c>
      <c r="E1459">
        <v>76</v>
      </c>
      <c r="F1459">
        <v>0.1</v>
      </c>
      <c r="G1459">
        <f t="shared" si="23"/>
        <v>3.333333333333334E-2</v>
      </c>
      <c r="H1459">
        <f>G1459*(26.79/38.29)</f>
        <v>2.3322016192217292E-2</v>
      </c>
    </row>
    <row r="1460" spans="1:8" x14ac:dyDescent="0.25">
      <c r="A1460" s="1">
        <v>1993</v>
      </c>
      <c r="B1460" s="1" t="s">
        <v>99</v>
      </c>
      <c r="C1460" t="s">
        <v>51</v>
      </c>
      <c r="D1460">
        <v>3</v>
      </c>
      <c r="E1460">
        <v>76</v>
      </c>
      <c r="F1460">
        <v>0.06</v>
      </c>
      <c r="G1460">
        <f t="shared" si="23"/>
        <v>0.02</v>
      </c>
      <c r="H1460">
        <f>G1460*(26.79/38.29)</f>
        <v>1.3993209715330373E-2</v>
      </c>
    </row>
    <row r="1461" spans="1:8" x14ac:dyDescent="0.25">
      <c r="A1461" s="1">
        <v>1993</v>
      </c>
      <c r="B1461" s="1" t="s">
        <v>99</v>
      </c>
      <c r="C1461" t="s">
        <v>51</v>
      </c>
      <c r="D1461">
        <v>3</v>
      </c>
      <c r="E1461">
        <v>76</v>
      </c>
      <c r="F1461">
        <v>7.0000000000000007E-2</v>
      </c>
      <c r="G1461">
        <f t="shared" si="23"/>
        <v>2.3333333333333338E-2</v>
      </c>
      <c r="H1461">
        <f>G1461*(26.79/38.29)</f>
        <v>1.6325411334552103E-2</v>
      </c>
    </row>
    <row r="1462" spans="1:8" x14ac:dyDescent="0.25">
      <c r="A1462" s="1">
        <v>1993</v>
      </c>
      <c r="B1462" s="1" t="s">
        <v>99</v>
      </c>
      <c r="C1462" t="s">
        <v>51</v>
      </c>
      <c r="D1462">
        <v>3</v>
      </c>
      <c r="E1462">
        <v>76</v>
      </c>
      <c r="F1462">
        <v>0.11</v>
      </c>
      <c r="G1462">
        <f t="shared" si="23"/>
        <v>3.6666666666666667E-2</v>
      </c>
      <c r="H1462">
        <f>G1462*(26.79/38.29)</f>
        <v>2.5654217811439017E-2</v>
      </c>
    </row>
    <row r="1463" spans="1:8" x14ac:dyDescent="0.25">
      <c r="A1463" s="1">
        <v>1993</v>
      </c>
      <c r="B1463" s="1" t="s">
        <v>99</v>
      </c>
      <c r="C1463" t="s">
        <v>51</v>
      </c>
      <c r="D1463">
        <v>3</v>
      </c>
      <c r="E1463">
        <v>76</v>
      </c>
      <c r="F1463">
        <v>0.08</v>
      </c>
      <c r="G1463">
        <f t="shared" si="23"/>
        <v>2.6666666666666665E-2</v>
      </c>
      <c r="H1463">
        <f>G1463*(26.79/38.29)</f>
        <v>1.8657612953773828E-2</v>
      </c>
    </row>
    <row r="1464" spans="1:8" x14ac:dyDescent="0.25">
      <c r="A1464" s="1">
        <v>1993</v>
      </c>
      <c r="B1464" s="1" t="s">
        <v>99</v>
      </c>
      <c r="C1464" t="s">
        <v>51</v>
      </c>
      <c r="D1464">
        <v>3</v>
      </c>
      <c r="E1464">
        <v>76</v>
      </c>
      <c r="F1464">
        <v>0.05</v>
      </c>
      <c r="G1464">
        <f t="shared" si="23"/>
        <v>1.666666666666667E-2</v>
      </c>
      <c r="H1464">
        <f>G1464*(26.79/38.29)</f>
        <v>1.1661008096108646E-2</v>
      </c>
    </row>
    <row r="1465" spans="1:8" x14ac:dyDescent="0.25">
      <c r="A1465" s="1">
        <v>1993</v>
      </c>
      <c r="B1465" s="1" t="s">
        <v>99</v>
      </c>
      <c r="C1465" t="s">
        <v>51</v>
      </c>
      <c r="D1465">
        <v>3</v>
      </c>
      <c r="E1465">
        <v>76</v>
      </c>
      <c r="F1465">
        <v>0.03</v>
      </c>
      <c r="G1465">
        <f t="shared" si="23"/>
        <v>0.01</v>
      </c>
      <c r="H1465">
        <f>G1465*(26.79/38.29)</f>
        <v>6.9966048576651863E-3</v>
      </c>
    </row>
    <row r="1466" spans="1:8" x14ac:dyDescent="0.25">
      <c r="A1466" s="1">
        <v>1993</v>
      </c>
      <c r="B1466" s="1" t="s">
        <v>99</v>
      </c>
      <c r="C1466" t="s">
        <v>51</v>
      </c>
      <c r="D1466">
        <v>3</v>
      </c>
      <c r="E1466">
        <v>76</v>
      </c>
      <c r="F1466">
        <v>0.04</v>
      </c>
      <c r="G1466">
        <f t="shared" si="23"/>
        <v>1.3333333333333332E-2</v>
      </c>
      <c r="H1466">
        <f>G1466*(26.79/38.29)</f>
        <v>9.3288064768869139E-3</v>
      </c>
    </row>
    <row r="1467" spans="1:8" x14ac:dyDescent="0.25">
      <c r="A1467" s="1">
        <v>1993</v>
      </c>
      <c r="B1467" s="1" t="s">
        <v>99</v>
      </c>
      <c r="C1467" t="s">
        <v>51</v>
      </c>
      <c r="D1467">
        <v>3</v>
      </c>
      <c r="E1467">
        <v>76</v>
      </c>
      <c r="F1467">
        <v>0.04</v>
      </c>
      <c r="G1467">
        <f t="shared" si="23"/>
        <v>1.3333333333333332E-2</v>
      </c>
      <c r="H1467">
        <f>G1467*(26.79/38.29)</f>
        <v>9.3288064768869139E-3</v>
      </c>
    </row>
    <row r="1468" spans="1:8" x14ac:dyDescent="0.25">
      <c r="A1468" s="1">
        <v>1993</v>
      </c>
      <c r="B1468" s="1" t="s">
        <v>99</v>
      </c>
      <c r="C1468" t="s">
        <v>51</v>
      </c>
      <c r="D1468">
        <v>3</v>
      </c>
      <c r="E1468">
        <v>76</v>
      </c>
      <c r="F1468">
        <v>0.04</v>
      </c>
      <c r="G1468">
        <f t="shared" si="23"/>
        <v>1.3333333333333332E-2</v>
      </c>
      <c r="H1468">
        <f>G1468*(26.79/38.29)</f>
        <v>9.3288064768869139E-3</v>
      </c>
    </row>
    <row r="1469" spans="1:8" x14ac:dyDescent="0.25">
      <c r="A1469" s="1">
        <v>1993</v>
      </c>
      <c r="B1469" s="1" t="s">
        <v>99</v>
      </c>
      <c r="C1469" t="s">
        <v>51</v>
      </c>
      <c r="D1469">
        <v>3</v>
      </c>
      <c r="E1469">
        <v>76</v>
      </c>
      <c r="F1469">
        <v>0.04</v>
      </c>
      <c r="G1469">
        <f t="shared" ref="G1469:G1532" si="24">(F1469/0.6)/5</f>
        <v>1.3333333333333332E-2</v>
      </c>
      <c r="H1469">
        <f>G1469*(26.79/38.29)</f>
        <v>9.3288064768869139E-3</v>
      </c>
    </row>
    <row r="1470" spans="1:8" x14ac:dyDescent="0.25">
      <c r="A1470" s="1">
        <v>1993</v>
      </c>
      <c r="B1470" s="1" t="s">
        <v>99</v>
      </c>
      <c r="C1470" t="s">
        <v>51</v>
      </c>
      <c r="D1470">
        <v>3</v>
      </c>
      <c r="E1470">
        <v>76</v>
      </c>
      <c r="F1470">
        <v>0.05</v>
      </c>
      <c r="G1470">
        <f t="shared" si="24"/>
        <v>1.666666666666667E-2</v>
      </c>
      <c r="H1470">
        <f>G1470*(26.79/38.29)</f>
        <v>1.1661008096108646E-2</v>
      </c>
    </row>
    <row r="1471" spans="1:8" x14ac:dyDescent="0.25">
      <c r="A1471" s="1">
        <v>1993</v>
      </c>
      <c r="B1471" s="1" t="s">
        <v>99</v>
      </c>
      <c r="C1471" t="s">
        <v>51</v>
      </c>
      <c r="D1471">
        <v>3</v>
      </c>
      <c r="E1471">
        <v>76</v>
      </c>
      <c r="F1471">
        <v>0.22</v>
      </c>
      <c r="G1471">
        <f t="shared" si="24"/>
        <v>7.3333333333333334E-2</v>
      </c>
      <c r="H1471">
        <f>G1471*(26.79/38.29)</f>
        <v>5.1308435622878033E-2</v>
      </c>
    </row>
    <row r="1472" spans="1:8" x14ac:dyDescent="0.25">
      <c r="A1472" s="1">
        <v>1993</v>
      </c>
      <c r="B1472" s="1" t="s">
        <v>99</v>
      </c>
      <c r="C1472" t="s">
        <v>51</v>
      </c>
      <c r="D1472">
        <v>3</v>
      </c>
      <c r="E1472">
        <v>76</v>
      </c>
      <c r="F1472">
        <v>0.06</v>
      </c>
      <c r="G1472">
        <f t="shared" si="24"/>
        <v>0.02</v>
      </c>
      <c r="H1472">
        <f>G1472*(26.79/38.29)</f>
        <v>1.3993209715330373E-2</v>
      </c>
    </row>
    <row r="1473" spans="1:8" x14ac:dyDescent="0.25">
      <c r="A1473" s="1">
        <v>1993</v>
      </c>
      <c r="B1473" s="1" t="s">
        <v>99</v>
      </c>
      <c r="C1473" t="s">
        <v>51</v>
      </c>
      <c r="D1473">
        <v>3</v>
      </c>
      <c r="E1473">
        <v>76</v>
      </c>
      <c r="F1473">
        <v>7.0000000000000007E-2</v>
      </c>
      <c r="G1473">
        <f t="shared" si="24"/>
        <v>2.3333333333333338E-2</v>
      </c>
      <c r="H1473">
        <f>G1473*(26.79/38.29)</f>
        <v>1.6325411334552103E-2</v>
      </c>
    </row>
    <row r="1474" spans="1:8" x14ac:dyDescent="0.25">
      <c r="A1474" s="1">
        <v>1993</v>
      </c>
      <c r="B1474" s="1" t="s">
        <v>99</v>
      </c>
      <c r="C1474" t="s">
        <v>51</v>
      </c>
      <c r="D1474">
        <v>3</v>
      </c>
      <c r="E1474">
        <v>78</v>
      </c>
      <c r="F1474">
        <v>0.03</v>
      </c>
      <c r="G1474">
        <f t="shared" si="24"/>
        <v>0.01</v>
      </c>
      <c r="H1474">
        <f>G1474*(26.79/38.29)</f>
        <v>6.9966048576651863E-3</v>
      </c>
    </row>
    <row r="1475" spans="1:8" x14ac:dyDescent="0.25">
      <c r="A1475" s="1">
        <v>1993</v>
      </c>
      <c r="B1475" s="1" t="s">
        <v>99</v>
      </c>
      <c r="C1475" t="s">
        <v>51</v>
      </c>
      <c r="D1475">
        <v>3</v>
      </c>
      <c r="E1475">
        <v>78</v>
      </c>
      <c r="F1475">
        <v>0.05</v>
      </c>
      <c r="G1475">
        <f t="shared" si="24"/>
        <v>1.666666666666667E-2</v>
      </c>
      <c r="H1475">
        <f>G1475*(26.79/38.29)</f>
        <v>1.1661008096108646E-2</v>
      </c>
    </row>
    <row r="1476" spans="1:8" x14ac:dyDescent="0.25">
      <c r="A1476" s="1">
        <v>1993</v>
      </c>
      <c r="B1476" s="1" t="s">
        <v>99</v>
      </c>
      <c r="C1476" t="s">
        <v>51</v>
      </c>
      <c r="D1476">
        <v>3</v>
      </c>
      <c r="E1476">
        <v>78</v>
      </c>
      <c r="F1476">
        <v>0.04</v>
      </c>
      <c r="G1476">
        <f t="shared" si="24"/>
        <v>1.3333333333333332E-2</v>
      </c>
      <c r="H1476">
        <f>G1476*(26.79/38.29)</f>
        <v>9.3288064768869139E-3</v>
      </c>
    </row>
    <row r="1477" spans="1:8" x14ac:dyDescent="0.25">
      <c r="A1477" s="1">
        <v>1993</v>
      </c>
      <c r="B1477" s="1" t="s">
        <v>99</v>
      </c>
      <c r="C1477" t="s">
        <v>51</v>
      </c>
      <c r="D1477">
        <v>3</v>
      </c>
      <c r="E1477">
        <v>78</v>
      </c>
      <c r="F1477">
        <v>0.04</v>
      </c>
      <c r="G1477">
        <f t="shared" si="24"/>
        <v>1.3333333333333332E-2</v>
      </c>
      <c r="H1477">
        <f>G1477*(26.79/38.29)</f>
        <v>9.3288064768869139E-3</v>
      </c>
    </row>
    <row r="1478" spans="1:8" x14ac:dyDescent="0.25">
      <c r="A1478" s="1">
        <v>1993</v>
      </c>
      <c r="B1478" s="1" t="s">
        <v>99</v>
      </c>
      <c r="C1478" t="s">
        <v>51</v>
      </c>
      <c r="D1478">
        <v>3</v>
      </c>
      <c r="E1478">
        <v>79</v>
      </c>
      <c r="F1478">
        <v>0.16</v>
      </c>
      <c r="G1478">
        <f t="shared" si="24"/>
        <v>5.333333333333333E-2</v>
      </c>
      <c r="H1478">
        <f>G1478*(26.79/38.29)</f>
        <v>3.7315225907547656E-2</v>
      </c>
    </row>
    <row r="1479" spans="1:8" x14ac:dyDescent="0.25">
      <c r="A1479" s="1">
        <v>1993</v>
      </c>
      <c r="B1479" s="1" t="s">
        <v>99</v>
      </c>
      <c r="C1479" t="s">
        <v>51</v>
      </c>
      <c r="D1479">
        <v>3</v>
      </c>
      <c r="E1479">
        <v>79</v>
      </c>
      <c r="F1479">
        <v>0.1</v>
      </c>
      <c r="G1479">
        <f t="shared" si="24"/>
        <v>3.333333333333334E-2</v>
      </c>
      <c r="H1479">
        <f>G1479*(26.79/38.29)</f>
        <v>2.3322016192217292E-2</v>
      </c>
    </row>
    <row r="1480" spans="1:8" x14ac:dyDescent="0.25">
      <c r="A1480" s="1">
        <v>1993</v>
      </c>
      <c r="B1480" s="1" t="s">
        <v>99</v>
      </c>
      <c r="C1480" t="s">
        <v>51</v>
      </c>
      <c r="D1480">
        <v>3</v>
      </c>
      <c r="E1480">
        <v>79</v>
      </c>
      <c r="F1480">
        <v>1.1599999999999999</v>
      </c>
      <c r="G1480">
        <f t="shared" si="24"/>
        <v>0.38666666666666666</v>
      </c>
      <c r="H1480">
        <f>G1480*(26.79/38.29)</f>
        <v>0.27053538782972053</v>
      </c>
    </row>
    <row r="1481" spans="1:8" x14ac:dyDescent="0.25">
      <c r="A1481" s="1">
        <v>1993</v>
      </c>
      <c r="B1481" s="1" t="s">
        <v>99</v>
      </c>
      <c r="C1481" t="s">
        <v>51</v>
      </c>
      <c r="D1481">
        <v>3</v>
      </c>
      <c r="E1481">
        <v>79</v>
      </c>
      <c r="F1481">
        <v>1.56</v>
      </c>
      <c r="G1481">
        <f t="shared" si="24"/>
        <v>0.52</v>
      </c>
      <c r="H1481">
        <f>G1481*(26.79/38.29)</f>
        <v>0.36382345259858972</v>
      </c>
    </row>
    <row r="1482" spans="1:8" x14ac:dyDescent="0.25">
      <c r="A1482" s="1">
        <v>1993</v>
      </c>
      <c r="B1482" s="1" t="s">
        <v>99</v>
      </c>
      <c r="C1482" t="s">
        <v>51</v>
      </c>
      <c r="D1482">
        <v>3</v>
      </c>
      <c r="E1482">
        <v>79</v>
      </c>
      <c r="F1482">
        <v>0.05</v>
      </c>
      <c r="G1482">
        <f t="shared" si="24"/>
        <v>1.666666666666667E-2</v>
      </c>
      <c r="H1482">
        <f>G1482*(26.79/38.29)</f>
        <v>1.1661008096108646E-2</v>
      </c>
    </row>
    <row r="1483" spans="1:8" x14ac:dyDescent="0.25">
      <c r="A1483" s="1">
        <v>1993</v>
      </c>
      <c r="B1483" s="1" t="s">
        <v>99</v>
      </c>
      <c r="C1483" t="s">
        <v>51</v>
      </c>
      <c r="D1483">
        <v>3</v>
      </c>
      <c r="E1483">
        <v>79</v>
      </c>
      <c r="F1483">
        <v>0.45</v>
      </c>
      <c r="G1483">
        <f t="shared" si="24"/>
        <v>0.15</v>
      </c>
      <c r="H1483">
        <f>G1483*(26.79/38.29)</f>
        <v>0.10494907286497779</v>
      </c>
    </row>
    <row r="1484" spans="1:8" x14ac:dyDescent="0.25">
      <c r="A1484" s="1">
        <v>1993</v>
      </c>
      <c r="B1484" s="1" t="s">
        <v>99</v>
      </c>
      <c r="C1484" t="s">
        <v>51</v>
      </c>
      <c r="D1484">
        <v>3</v>
      </c>
      <c r="E1484">
        <v>79</v>
      </c>
      <c r="F1484">
        <v>7.0000000000000007E-2</v>
      </c>
      <c r="G1484">
        <f t="shared" si="24"/>
        <v>2.3333333333333338E-2</v>
      </c>
      <c r="H1484">
        <f>G1484*(26.79/38.29)</f>
        <v>1.6325411334552103E-2</v>
      </c>
    </row>
    <row r="1485" spans="1:8" x14ac:dyDescent="0.25">
      <c r="A1485" s="1">
        <v>1993</v>
      </c>
      <c r="B1485" s="1" t="s">
        <v>99</v>
      </c>
      <c r="C1485" t="s">
        <v>51</v>
      </c>
      <c r="D1485">
        <v>3</v>
      </c>
      <c r="E1485">
        <v>79</v>
      </c>
      <c r="F1485">
        <v>0.03</v>
      </c>
      <c r="G1485">
        <f t="shared" si="24"/>
        <v>0.01</v>
      </c>
      <c r="H1485">
        <f>G1485*(26.79/38.29)</f>
        <v>6.9966048576651863E-3</v>
      </c>
    </row>
    <row r="1486" spans="1:8" x14ac:dyDescent="0.25">
      <c r="A1486" s="1">
        <v>1993</v>
      </c>
      <c r="B1486" s="1" t="s">
        <v>99</v>
      </c>
      <c r="C1486" t="s">
        <v>51</v>
      </c>
      <c r="D1486">
        <v>3</v>
      </c>
      <c r="E1486">
        <v>79</v>
      </c>
      <c r="F1486">
        <v>0.08</v>
      </c>
      <c r="G1486">
        <f t="shared" si="24"/>
        <v>2.6666666666666665E-2</v>
      </c>
      <c r="H1486">
        <f>G1486*(26.79/38.29)</f>
        <v>1.8657612953773828E-2</v>
      </c>
    </row>
    <row r="1487" spans="1:8" x14ac:dyDescent="0.25">
      <c r="A1487" s="1">
        <v>1993</v>
      </c>
      <c r="B1487" s="1" t="s">
        <v>99</v>
      </c>
      <c r="C1487" t="s">
        <v>51</v>
      </c>
      <c r="D1487">
        <v>3</v>
      </c>
      <c r="E1487">
        <v>79</v>
      </c>
      <c r="F1487">
        <v>0.41</v>
      </c>
      <c r="G1487">
        <f t="shared" si="24"/>
        <v>0.13666666666666666</v>
      </c>
      <c r="H1487">
        <f>G1487*(26.79/38.29)</f>
        <v>9.5620266388090874E-2</v>
      </c>
    </row>
    <row r="1488" spans="1:8" x14ac:dyDescent="0.25">
      <c r="A1488" s="1">
        <v>1993</v>
      </c>
      <c r="B1488" s="1" t="s">
        <v>99</v>
      </c>
      <c r="C1488" t="s">
        <v>51</v>
      </c>
      <c r="D1488">
        <v>3</v>
      </c>
      <c r="E1488">
        <v>79</v>
      </c>
      <c r="F1488">
        <v>7.0000000000000007E-2</v>
      </c>
      <c r="G1488">
        <f t="shared" si="24"/>
        <v>2.3333333333333338E-2</v>
      </c>
      <c r="H1488">
        <f>G1488*(26.79/38.29)</f>
        <v>1.6325411334552103E-2</v>
      </c>
    </row>
    <row r="1489" spans="1:8" x14ac:dyDescent="0.25">
      <c r="A1489" s="1">
        <v>1993</v>
      </c>
      <c r="B1489" s="1" t="s">
        <v>99</v>
      </c>
      <c r="C1489" t="s">
        <v>51</v>
      </c>
      <c r="D1489">
        <v>3</v>
      </c>
      <c r="E1489">
        <v>79</v>
      </c>
      <c r="F1489">
        <v>0.27</v>
      </c>
      <c r="G1489">
        <f t="shared" si="24"/>
        <v>9.0000000000000011E-2</v>
      </c>
      <c r="H1489">
        <f>G1489*(26.79/38.29)</f>
        <v>6.296944371898669E-2</v>
      </c>
    </row>
    <row r="1490" spans="1:8" x14ac:dyDescent="0.25">
      <c r="A1490" s="1">
        <v>1993</v>
      </c>
      <c r="B1490" s="1" t="s">
        <v>99</v>
      </c>
      <c r="C1490" t="s">
        <v>51</v>
      </c>
      <c r="D1490">
        <v>3</v>
      </c>
      <c r="E1490">
        <v>79</v>
      </c>
      <c r="F1490">
        <v>0.06</v>
      </c>
      <c r="G1490">
        <f t="shared" si="24"/>
        <v>0.02</v>
      </c>
      <c r="H1490">
        <f>G1490*(26.79/38.29)</f>
        <v>1.3993209715330373E-2</v>
      </c>
    </row>
    <row r="1491" spans="1:8" x14ac:dyDescent="0.25">
      <c r="A1491" s="1">
        <v>1993</v>
      </c>
      <c r="B1491" s="1" t="s">
        <v>99</v>
      </c>
      <c r="C1491" t="s">
        <v>51</v>
      </c>
      <c r="D1491">
        <v>3</v>
      </c>
      <c r="E1491">
        <v>79</v>
      </c>
      <c r="F1491">
        <v>0.49</v>
      </c>
      <c r="G1491">
        <f t="shared" si="24"/>
        <v>0.16333333333333333</v>
      </c>
      <c r="H1491">
        <f>G1491*(26.79/38.29)</f>
        <v>0.1142778793418647</v>
      </c>
    </row>
    <row r="1492" spans="1:8" x14ac:dyDescent="0.25">
      <c r="A1492" s="1">
        <v>1993</v>
      </c>
      <c r="B1492" s="1" t="s">
        <v>99</v>
      </c>
      <c r="C1492" t="s">
        <v>51</v>
      </c>
      <c r="D1492">
        <v>3</v>
      </c>
      <c r="E1492">
        <v>79</v>
      </c>
      <c r="F1492">
        <v>0.19</v>
      </c>
      <c r="G1492">
        <f t="shared" si="24"/>
        <v>6.3333333333333339E-2</v>
      </c>
      <c r="H1492">
        <f>G1492*(26.79/38.29)</f>
        <v>4.4311830765212848E-2</v>
      </c>
    </row>
    <row r="1493" spans="1:8" x14ac:dyDescent="0.25">
      <c r="A1493" s="1">
        <v>1993</v>
      </c>
      <c r="B1493" s="1" t="s">
        <v>99</v>
      </c>
      <c r="C1493" t="s">
        <v>51</v>
      </c>
      <c r="D1493">
        <v>3</v>
      </c>
      <c r="E1493">
        <v>79</v>
      </c>
      <c r="F1493">
        <v>0.04</v>
      </c>
      <c r="G1493">
        <f t="shared" si="24"/>
        <v>1.3333333333333332E-2</v>
      </c>
      <c r="H1493">
        <f>G1493*(26.79/38.29)</f>
        <v>9.3288064768869139E-3</v>
      </c>
    </row>
    <row r="1494" spans="1:8" x14ac:dyDescent="0.25">
      <c r="A1494" s="1">
        <v>1993</v>
      </c>
      <c r="B1494" s="1" t="s">
        <v>99</v>
      </c>
      <c r="C1494" t="s">
        <v>51</v>
      </c>
      <c r="D1494">
        <v>3</v>
      </c>
      <c r="E1494">
        <v>79</v>
      </c>
      <c r="F1494">
        <v>0.09</v>
      </c>
      <c r="G1494">
        <f t="shared" si="24"/>
        <v>0.03</v>
      </c>
      <c r="H1494">
        <f>G1494*(26.79/38.29)</f>
        <v>2.0989814572995556E-2</v>
      </c>
    </row>
    <row r="1495" spans="1:8" x14ac:dyDescent="0.25">
      <c r="A1495" s="1">
        <v>1993</v>
      </c>
      <c r="B1495" s="1" t="s">
        <v>99</v>
      </c>
      <c r="C1495" t="s">
        <v>51</v>
      </c>
      <c r="D1495">
        <v>3</v>
      </c>
      <c r="E1495">
        <v>79</v>
      </c>
      <c r="F1495">
        <v>0.12</v>
      </c>
      <c r="G1495">
        <f t="shared" si="24"/>
        <v>0.04</v>
      </c>
      <c r="H1495">
        <f>G1495*(26.79/38.29)</f>
        <v>2.7986419430660745E-2</v>
      </c>
    </row>
    <row r="1496" spans="1:8" x14ac:dyDescent="0.25">
      <c r="A1496" s="1">
        <v>1993</v>
      </c>
      <c r="B1496" s="1" t="s">
        <v>99</v>
      </c>
      <c r="C1496" t="s">
        <v>51</v>
      </c>
      <c r="D1496">
        <v>3</v>
      </c>
      <c r="E1496">
        <v>79</v>
      </c>
      <c r="F1496">
        <v>0.09</v>
      </c>
      <c r="G1496">
        <f t="shared" si="24"/>
        <v>0.03</v>
      </c>
      <c r="H1496">
        <f>G1496*(26.79/38.29)</f>
        <v>2.0989814572995556E-2</v>
      </c>
    </row>
    <row r="1497" spans="1:8" x14ac:dyDescent="0.25">
      <c r="A1497" s="1">
        <v>1993</v>
      </c>
      <c r="B1497" s="1" t="s">
        <v>99</v>
      </c>
      <c r="C1497" t="s">
        <v>51</v>
      </c>
      <c r="D1497">
        <v>3</v>
      </c>
      <c r="E1497">
        <v>79</v>
      </c>
      <c r="F1497">
        <v>0.47</v>
      </c>
      <c r="G1497">
        <f t="shared" si="24"/>
        <v>0.15666666666666668</v>
      </c>
      <c r="H1497">
        <f>G1497*(26.79/38.29)</f>
        <v>0.10961347610342126</v>
      </c>
    </row>
    <row r="1498" spans="1:8" x14ac:dyDescent="0.25">
      <c r="A1498" s="1">
        <v>1993</v>
      </c>
      <c r="B1498" s="1" t="s">
        <v>99</v>
      </c>
      <c r="C1498" t="s">
        <v>51</v>
      </c>
      <c r="D1498">
        <v>3</v>
      </c>
      <c r="E1498">
        <v>79</v>
      </c>
      <c r="F1498">
        <v>0.38</v>
      </c>
      <c r="G1498">
        <f t="shared" si="24"/>
        <v>0.12666666666666668</v>
      </c>
      <c r="H1498">
        <f>G1498*(26.79/38.29)</f>
        <v>8.8623661530425696E-2</v>
      </c>
    </row>
    <row r="1499" spans="1:8" x14ac:dyDescent="0.25">
      <c r="A1499" s="1">
        <v>1993</v>
      </c>
      <c r="B1499" s="1" t="s">
        <v>99</v>
      </c>
      <c r="C1499" t="s">
        <v>51</v>
      </c>
      <c r="D1499">
        <v>3</v>
      </c>
      <c r="E1499">
        <v>79</v>
      </c>
      <c r="F1499">
        <v>0.1</v>
      </c>
      <c r="G1499">
        <f t="shared" si="24"/>
        <v>3.333333333333334E-2</v>
      </c>
      <c r="H1499">
        <f>G1499*(26.79/38.29)</f>
        <v>2.3322016192217292E-2</v>
      </c>
    </row>
    <row r="1500" spans="1:8" x14ac:dyDescent="0.25">
      <c r="A1500" s="1">
        <v>1993</v>
      </c>
      <c r="B1500" s="1" t="s">
        <v>99</v>
      </c>
      <c r="C1500" t="s">
        <v>51</v>
      </c>
      <c r="D1500">
        <v>3</v>
      </c>
      <c r="E1500">
        <v>79</v>
      </c>
      <c r="F1500">
        <v>0.44</v>
      </c>
      <c r="G1500">
        <f t="shared" si="24"/>
        <v>0.14666666666666667</v>
      </c>
      <c r="H1500">
        <f>G1500*(26.79/38.29)</f>
        <v>0.10261687124575607</v>
      </c>
    </row>
    <row r="1501" spans="1:8" x14ac:dyDescent="0.25">
      <c r="A1501" s="1">
        <v>1993</v>
      </c>
      <c r="B1501" s="1" t="s">
        <v>99</v>
      </c>
      <c r="C1501" t="s">
        <v>51</v>
      </c>
      <c r="D1501">
        <v>3</v>
      </c>
      <c r="E1501">
        <v>79</v>
      </c>
      <c r="F1501">
        <v>0.13</v>
      </c>
      <c r="G1501">
        <f t="shared" si="24"/>
        <v>4.3333333333333335E-2</v>
      </c>
      <c r="H1501">
        <f>G1501*(26.79/38.29)</f>
        <v>3.0318621049882474E-2</v>
      </c>
    </row>
    <row r="1502" spans="1:8" x14ac:dyDescent="0.25">
      <c r="A1502" s="1">
        <v>1993</v>
      </c>
      <c r="B1502" s="1" t="s">
        <v>99</v>
      </c>
      <c r="C1502" t="s">
        <v>51</v>
      </c>
      <c r="D1502">
        <v>3</v>
      </c>
      <c r="E1502">
        <v>79</v>
      </c>
      <c r="F1502">
        <v>0.19</v>
      </c>
      <c r="G1502">
        <f t="shared" si="24"/>
        <v>6.3333333333333339E-2</v>
      </c>
      <c r="H1502">
        <f>G1502*(26.79/38.29)</f>
        <v>4.4311830765212848E-2</v>
      </c>
    </row>
    <row r="1503" spans="1:8" x14ac:dyDescent="0.25">
      <c r="A1503" s="1">
        <v>1993</v>
      </c>
      <c r="B1503" s="1" t="s">
        <v>99</v>
      </c>
      <c r="C1503" t="s">
        <v>51</v>
      </c>
      <c r="D1503">
        <v>3</v>
      </c>
      <c r="E1503">
        <v>79</v>
      </c>
      <c r="F1503">
        <v>0.92</v>
      </c>
      <c r="G1503">
        <f t="shared" si="24"/>
        <v>0.3066666666666667</v>
      </c>
      <c r="H1503">
        <f>G1503*(26.79/38.29)</f>
        <v>0.21456254896839907</v>
      </c>
    </row>
    <row r="1504" spans="1:8" x14ac:dyDescent="0.25">
      <c r="A1504" s="1">
        <v>1993</v>
      </c>
      <c r="B1504" s="1" t="s">
        <v>99</v>
      </c>
      <c r="C1504" t="s">
        <v>51</v>
      </c>
      <c r="D1504">
        <v>3</v>
      </c>
      <c r="E1504">
        <v>79</v>
      </c>
      <c r="F1504">
        <v>0.2</v>
      </c>
      <c r="G1504">
        <f t="shared" si="24"/>
        <v>6.666666666666668E-2</v>
      </c>
      <c r="H1504">
        <f>G1504*(26.79/38.29)</f>
        <v>4.6644032384434583E-2</v>
      </c>
    </row>
    <row r="1505" spans="1:8" x14ac:dyDescent="0.25">
      <c r="A1505" s="1">
        <v>1993</v>
      </c>
      <c r="B1505" s="1" t="s">
        <v>99</v>
      </c>
      <c r="C1505" t="s">
        <v>51</v>
      </c>
      <c r="D1505">
        <v>3</v>
      </c>
      <c r="E1505">
        <v>79</v>
      </c>
      <c r="F1505">
        <v>0.13</v>
      </c>
      <c r="G1505">
        <f t="shared" si="24"/>
        <v>4.3333333333333335E-2</v>
      </c>
      <c r="H1505">
        <f>G1505*(26.79/38.29)</f>
        <v>3.0318621049882474E-2</v>
      </c>
    </row>
    <row r="1506" spans="1:8" x14ac:dyDescent="0.25">
      <c r="A1506" s="1">
        <v>1993</v>
      </c>
      <c r="B1506" s="1" t="s">
        <v>99</v>
      </c>
      <c r="C1506" t="s">
        <v>51</v>
      </c>
      <c r="D1506">
        <v>3</v>
      </c>
      <c r="E1506">
        <v>79</v>
      </c>
      <c r="F1506">
        <v>0.4</v>
      </c>
      <c r="G1506">
        <f t="shared" si="24"/>
        <v>0.13333333333333336</v>
      </c>
      <c r="H1506">
        <f>G1506*(26.79/38.29)</f>
        <v>9.3288064768869167E-2</v>
      </c>
    </row>
    <row r="1507" spans="1:8" x14ac:dyDescent="0.25">
      <c r="A1507" s="1">
        <v>1993</v>
      </c>
      <c r="B1507" s="1" t="s">
        <v>99</v>
      </c>
      <c r="C1507" t="s">
        <v>51</v>
      </c>
      <c r="D1507">
        <v>3</v>
      </c>
      <c r="E1507">
        <v>79</v>
      </c>
      <c r="F1507">
        <v>0.51</v>
      </c>
      <c r="G1507">
        <f t="shared" si="24"/>
        <v>0.17</v>
      </c>
      <c r="H1507">
        <f>G1507*(26.79/38.29)</f>
        <v>0.11894228258030817</v>
      </c>
    </row>
    <row r="1508" spans="1:8" x14ac:dyDescent="0.25">
      <c r="A1508" s="1">
        <v>1993</v>
      </c>
      <c r="B1508" s="1" t="s">
        <v>99</v>
      </c>
      <c r="C1508" t="s">
        <v>51</v>
      </c>
      <c r="D1508">
        <v>3</v>
      </c>
      <c r="E1508">
        <v>79</v>
      </c>
      <c r="F1508">
        <v>1.71</v>
      </c>
      <c r="G1508">
        <f t="shared" si="24"/>
        <v>0.57000000000000006</v>
      </c>
      <c r="H1508">
        <f>G1508*(26.79/38.29)</f>
        <v>0.39880647688691567</v>
      </c>
    </row>
    <row r="1509" spans="1:8" x14ac:dyDescent="0.25">
      <c r="A1509" s="1">
        <v>1993</v>
      </c>
      <c r="B1509" s="1" t="s">
        <v>99</v>
      </c>
      <c r="C1509" t="s">
        <v>51</v>
      </c>
      <c r="D1509">
        <v>3</v>
      </c>
      <c r="E1509">
        <v>79</v>
      </c>
      <c r="F1509">
        <v>0.05</v>
      </c>
      <c r="G1509">
        <f t="shared" si="24"/>
        <v>1.666666666666667E-2</v>
      </c>
      <c r="H1509">
        <f>G1509*(26.79/38.29)</f>
        <v>1.1661008096108646E-2</v>
      </c>
    </row>
    <row r="1510" spans="1:8" x14ac:dyDescent="0.25">
      <c r="A1510" s="1">
        <v>1993</v>
      </c>
      <c r="B1510" s="1" t="s">
        <v>99</v>
      </c>
      <c r="C1510" t="s">
        <v>51</v>
      </c>
      <c r="D1510">
        <v>3</v>
      </c>
      <c r="E1510">
        <v>79</v>
      </c>
      <c r="F1510">
        <v>0.09</v>
      </c>
      <c r="G1510">
        <f t="shared" si="24"/>
        <v>0.03</v>
      </c>
      <c r="H1510">
        <f>G1510*(26.79/38.29)</f>
        <v>2.0989814572995556E-2</v>
      </c>
    </row>
    <row r="1511" spans="1:8" x14ac:dyDescent="0.25">
      <c r="A1511" s="1">
        <v>1993</v>
      </c>
      <c r="B1511" s="1" t="s">
        <v>99</v>
      </c>
      <c r="C1511" t="s">
        <v>51</v>
      </c>
      <c r="D1511">
        <v>3</v>
      </c>
      <c r="E1511">
        <v>79</v>
      </c>
      <c r="F1511">
        <v>0.22</v>
      </c>
      <c r="G1511">
        <f t="shared" si="24"/>
        <v>7.3333333333333334E-2</v>
      </c>
      <c r="H1511">
        <f>G1511*(26.79/38.29)</f>
        <v>5.1308435622878033E-2</v>
      </c>
    </row>
    <row r="1512" spans="1:8" x14ac:dyDescent="0.25">
      <c r="A1512" s="1">
        <v>1993</v>
      </c>
      <c r="B1512" s="1" t="s">
        <v>99</v>
      </c>
      <c r="C1512" t="s">
        <v>51</v>
      </c>
      <c r="D1512">
        <v>3</v>
      </c>
      <c r="E1512">
        <v>79</v>
      </c>
      <c r="F1512">
        <v>0.24</v>
      </c>
      <c r="G1512">
        <f t="shared" si="24"/>
        <v>0.08</v>
      </c>
      <c r="H1512">
        <f>G1512*(26.79/38.29)</f>
        <v>5.597283886132149E-2</v>
      </c>
    </row>
    <row r="1513" spans="1:8" x14ac:dyDescent="0.25">
      <c r="A1513" s="1">
        <v>1993</v>
      </c>
      <c r="B1513" s="1" t="s">
        <v>99</v>
      </c>
      <c r="C1513" t="s">
        <v>51</v>
      </c>
      <c r="D1513">
        <v>3</v>
      </c>
      <c r="E1513">
        <v>79</v>
      </c>
      <c r="F1513">
        <v>0.52</v>
      </c>
      <c r="G1513">
        <f t="shared" si="24"/>
        <v>0.17333333333333334</v>
      </c>
      <c r="H1513">
        <f>G1513*(26.79/38.29)</f>
        <v>0.12127448419952989</v>
      </c>
    </row>
    <row r="1514" spans="1:8" x14ac:dyDescent="0.25">
      <c r="A1514" s="1">
        <v>1993</v>
      </c>
      <c r="B1514" s="1" t="s">
        <v>99</v>
      </c>
      <c r="C1514" t="s">
        <v>51</v>
      </c>
      <c r="D1514">
        <v>3</v>
      </c>
      <c r="E1514">
        <v>84</v>
      </c>
      <c r="F1514">
        <v>7.0000000000000007E-2</v>
      </c>
      <c r="G1514">
        <f t="shared" si="24"/>
        <v>2.3333333333333338E-2</v>
      </c>
      <c r="H1514">
        <f>G1514*(26.79/38.29)</f>
        <v>1.6325411334552103E-2</v>
      </c>
    </row>
    <row r="1515" spans="1:8" x14ac:dyDescent="0.25">
      <c r="A1515" s="1">
        <v>1993</v>
      </c>
      <c r="B1515" s="1" t="s">
        <v>99</v>
      </c>
      <c r="C1515" t="s">
        <v>51</v>
      </c>
      <c r="D1515">
        <v>3</v>
      </c>
      <c r="E1515">
        <v>88</v>
      </c>
      <c r="F1515">
        <v>0.64</v>
      </c>
      <c r="G1515">
        <f t="shared" si="24"/>
        <v>0.21333333333333332</v>
      </c>
      <c r="H1515">
        <f>G1515*(26.79/38.29)</f>
        <v>0.14926090363019062</v>
      </c>
    </row>
    <row r="1516" spans="1:8" x14ac:dyDescent="0.25">
      <c r="A1516" s="1">
        <v>1993</v>
      </c>
      <c r="B1516" s="1" t="s">
        <v>99</v>
      </c>
      <c r="C1516" t="s">
        <v>51</v>
      </c>
      <c r="D1516">
        <v>3</v>
      </c>
      <c r="E1516">
        <v>88</v>
      </c>
      <c r="F1516">
        <v>7.0000000000000007E-2</v>
      </c>
      <c r="G1516">
        <f t="shared" si="24"/>
        <v>2.3333333333333338E-2</v>
      </c>
      <c r="H1516">
        <f>G1516*(26.79/38.29)</f>
        <v>1.6325411334552103E-2</v>
      </c>
    </row>
    <row r="1517" spans="1:8" x14ac:dyDescent="0.25">
      <c r="A1517" s="1">
        <v>1993</v>
      </c>
      <c r="B1517" s="1" t="s">
        <v>99</v>
      </c>
      <c r="C1517" t="s">
        <v>51</v>
      </c>
      <c r="D1517">
        <v>3</v>
      </c>
      <c r="E1517">
        <v>88</v>
      </c>
      <c r="F1517">
        <v>0.13</v>
      </c>
      <c r="G1517">
        <f t="shared" si="24"/>
        <v>4.3333333333333335E-2</v>
      </c>
      <c r="H1517">
        <f>G1517*(26.79/38.29)</f>
        <v>3.0318621049882474E-2</v>
      </c>
    </row>
    <row r="1518" spans="1:8" x14ac:dyDescent="0.25">
      <c r="A1518" s="1">
        <v>1993</v>
      </c>
      <c r="B1518" s="1" t="s">
        <v>99</v>
      </c>
      <c r="C1518" t="s">
        <v>51</v>
      </c>
      <c r="D1518">
        <v>3</v>
      </c>
      <c r="E1518">
        <v>91</v>
      </c>
      <c r="F1518">
        <v>0.17</v>
      </c>
      <c r="G1518">
        <f t="shared" si="24"/>
        <v>5.6666666666666678E-2</v>
      </c>
      <c r="H1518">
        <f>G1518*(26.79/38.29)</f>
        <v>3.9647427526769398E-2</v>
      </c>
    </row>
    <row r="1519" spans="1:8" x14ac:dyDescent="0.25">
      <c r="A1519" s="1">
        <v>1993</v>
      </c>
      <c r="B1519" s="1" t="s">
        <v>99</v>
      </c>
      <c r="C1519" t="s">
        <v>51</v>
      </c>
      <c r="D1519">
        <v>4</v>
      </c>
      <c r="E1519">
        <v>21</v>
      </c>
      <c r="F1519">
        <v>1.54</v>
      </c>
      <c r="G1519">
        <f t="shared" si="24"/>
        <v>0.51333333333333342</v>
      </c>
      <c r="H1519">
        <f>G1519*(26.79/38.29)</f>
        <v>0.35915904936014631</v>
      </c>
    </row>
    <row r="1520" spans="1:8" x14ac:dyDescent="0.25">
      <c r="A1520" s="1">
        <v>1993</v>
      </c>
      <c r="B1520" s="1" t="s">
        <v>99</v>
      </c>
      <c r="C1520" t="s">
        <v>51</v>
      </c>
      <c r="D1520">
        <v>4</v>
      </c>
      <c r="E1520">
        <v>21</v>
      </c>
      <c r="F1520">
        <v>1.24</v>
      </c>
      <c r="G1520">
        <f t="shared" si="24"/>
        <v>0.41333333333333339</v>
      </c>
      <c r="H1520">
        <f>G1520*(26.79/38.29)</f>
        <v>0.28919300078349441</v>
      </c>
    </row>
    <row r="1521" spans="1:8" x14ac:dyDescent="0.25">
      <c r="A1521" s="1">
        <v>1993</v>
      </c>
      <c r="B1521" s="1" t="s">
        <v>99</v>
      </c>
      <c r="C1521" t="s">
        <v>51</v>
      </c>
      <c r="D1521">
        <v>4</v>
      </c>
      <c r="E1521">
        <v>25</v>
      </c>
      <c r="F1521">
        <v>0.04</v>
      </c>
      <c r="G1521">
        <f t="shared" si="24"/>
        <v>1.3333333333333332E-2</v>
      </c>
      <c r="H1521">
        <f>G1521*(26.79/38.29)</f>
        <v>9.3288064768869139E-3</v>
      </c>
    </row>
    <row r="1522" spans="1:8" x14ac:dyDescent="0.25">
      <c r="A1522" s="1">
        <v>1993</v>
      </c>
      <c r="B1522" s="1" t="s">
        <v>99</v>
      </c>
      <c r="C1522" t="s">
        <v>51</v>
      </c>
      <c r="D1522">
        <v>4</v>
      </c>
      <c r="E1522">
        <v>29</v>
      </c>
      <c r="F1522">
        <v>0.15</v>
      </c>
      <c r="G1522">
        <f t="shared" si="24"/>
        <v>0.05</v>
      </c>
      <c r="H1522">
        <f>G1522*(26.79/38.29)</f>
        <v>3.4983024288325934E-2</v>
      </c>
    </row>
    <row r="1523" spans="1:8" x14ac:dyDescent="0.25">
      <c r="A1523" s="1">
        <v>1993</v>
      </c>
      <c r="B1523" s="1" t="s">
        <v>99</v>
      </c>
      <c r="C1523" t="s">
        <v>51</v>
      </c>
      <c r="D1523">
        <v>4</v>
      </c>
      <c r="E1523">
        <v>29</v>
      </c>
      <c r="F1523">
        <v>0.6</v>
      </c>
      <c r="G1523">
        <f t="shared" si="24"/>
        <v>0.2</v>
      </c>
      <c r="H1523">
        <f>G1523*(26.79/38.29)</f>
        <v>0.13993209715330374</v>
      </c>
    </row>
    <row r="1524" spans="1:8" x14ac:dyDescent="0.25">
      <c r="A1524" s="1">
        <v>1993</v>
      </c>
      <c r="B1524" s="1" t="s">
        <v>99</v>
      </c>
      <c r="C1524" t="s">
        <v>51</v>
      </c>
      <c r="D1524">
        <v>4</v>
      </c>
      <c r="E1524">
        <v>29</v>
      </c>
      <c r="F1524">
        <v>0.7</v>
      </c>
      <c r="G1524">
        <f t="shared" si="24"/>
        <v>0.23333333333333334</v>
      </c>
      <c r="H1524">
        <f>G1524*(26.79/38.29)</f>
        <v>0.16325411334552101</v>
      </c>
    </row>
    <row r="1525" spans="1:8" x14ac:dyDescent="0.25">
      <c r="A1525" s="1">
        <v>1993</v>
      </c>
      <c r="B1525" s="1" t="s">
        <v>99</v>
      </c>
      <c r="C1525" t="s">
        <v>51</v>
      </c>
      <c r="D1525">
        <v>4</v>
      </c>
      <c r="E1525">
        <v>29</v>
      </c>
      <c r="F1525">
        <v>0.16</v>
      </c>
      <c r="G1525">
        <f t="shared" si="24"/>
        <v>5.333333333333333E-2</v>
      </c>
      <c r="H1525">
        <f>G1525*(26.79/38.29)</f>
        <v>3.7315225907547656E-2</v>
      </c>
    </row>
    <row r="1526" spans="1:8" x14ac:dyDescent="0.25">
      <c r="A1526" s="1">
        <v>1993</v>
      </c>
      <c r="B1526" s="1" t="s">
        <v>99</v>
      </c>
      <c r="C1526" t="s">
        <v>51</v>
      </c>
      <c r="D1526">
        <v>4</v>
      </c>
      <c r="E1526">
        <v>29</v>
      </c>
      <c r="F1526">
        <v>0.08</v>
      </c>
      <c r="G1526">
        <f t="shared" si="24"/>
        <v>2.6666666666666665E-2</v>
      </c>
      <c r="H1526">
        <f>G1526*(26.79/38.29)</f>
        <v>1.8657612953773828E-2</v>
      </c>
    </row>
    <row r="1527" spans="1:8" x14ac:dyDescent="0.25">
      <c r="A1527" s="1">
        <v>1993</v>
      </c>
      <c r="B1527" s="1" t="s">
        <v>99</v>
      </c>
      <c r="C1527" t="s">
        <v>51</v>
      </c>
      <c r="D1527">
        <v>4</v>
      </c>
      <c r="E1527">
        <v>29</v>
      </c>
      <c r="F1527">
        <v>0.25</v>
      </c>
      <c r="G1527">
        <f t="shared" si="24"/>
        <v>8.3333333333333343E-2</v>
      </c>
      <c r="H1527">
        <f>G1527*(26.79/38.29)</f>
        <v>5.8305040480543226E-2</v>
      </c>
    </row>
    <row r="1528" spans="1:8" x14ac:dyDescent="0.25">
      <c r="A1528" s="1">
        <v>1993</v>
      </c>
      <c r="B1528" s="1" t="s">
        <v>99</v>
      </c>
      <c r="C1528" t="s">
        <v>51</v>
      </c>
      <c r="D1528">
        <v>4</v>
      </c>
      <c r="E1528">
        <v>29</v>
      </c>
      <c r="F1528">
        <v>0.2</v>
      </c>
      <c r="G1528">
        <f t="shared" si="24"/>
        <v>6.666666666666668E-2</v>
      </c>
      <c r="H1528">
        <f>G1528*(26.79/38.29)</f>
        <v>4.6644032384434583E-2</v>
      </c>
    </row>
    <row r="1529" spans="1:8" x14ac:dyDescent="0.25">
      <c r="A1529" s="1">
        <v>1993</v>
      </c>
      <c r="B1529" s="1" t="s">
        <v>99</v>
      </c>
      <c r="C1529" t="s">
        <v>51</v>
      </c>
      <c r="D1529">
        <v>4</v>
      </c>
      <c r="E1529">
        <v>29</v>
      </c>
      <c r="F1529">
        <v>0.81</v>
      </c>
      <c r="G1529">
        <f t="shared" si="24"/>
        <v>0.27</v>
      </c>
      <c r="H1529">
        <f>G1529*(26.79/38.29)</f>
        <v>0.18890833115696004</v>
      </c>
    </row>
    <row r="1530" spans="1:8" x14ac:dyDescent="0.25">
      <c r="A1530" s="1">
        <v>1993</v>
      </c>
      <c r="B1530" s="1" t="s">
        <v>99</v>
      </c>
      <c r="C1530" t="s">
        <v>51</v>
      </c>
      <c r="D1530">
        <v>4</v>
      </c>
      <c r="E1530">
        <v>29</v>
      </c>
      <c r="F1530">
        <v>0.51</v>
      </c>
      <c r="G1530">
        <f t="shared" si="24"/>
        <v>0.17</v>
      </c>
      <c r="H1530">
        <f>G1530*(26.79/38.29)</f>
        <v>0.11894228258030817</v>
      </c>
    </row>
    <row r="1531" spans="1:8" x14ac:dyDescent="0.25">
      <c r="A1531" s="1">
        <v>1993</v>
      </c>
      <c r="B1531" s="1" t="s">
        <v>99</v>
      </c>
      <c r="C1531" t="s">
        <v>51</v>
      </c>
      <c r="D1531">
        <v>4</v>
      </c>
      <c r="E1531">
        <v>29</v>
      </c>
      <c r="F1531">
        <v>0.1</v>
      </c>
      <c r="G1531">
        <f t="shared" si="24"/>
        <v>3.333333333333334E-2</v>
      </c>
      <c r="H1531">
        <f>G1531*(26.79/38.29)</f>
        <v>2.3322016192217292E-2</v>
      </c>
    </row>
    <row r="1532" spans="1:8" x14ac:dyDescent="0.25">
      <c r="A1532" s="1">
        <v>1993</v>
      </c>
      <c r="B1532" s="1" t="s">
        <v>99</v>
      </c>
      <c r="C1532" t="s">
        <v>51</v>
      </c>
      <c r="D1532">
        <v>4</v>
      </c>
      <c r="E1532">
        <v>29</v>
      </c>
      <c r="F1532">
        <v>0.32</v>
      </c>
      <c r="G1532">
        <f t="shared" si="24"/>
        <v>0.10666666666666666</v>
      </c>
      <c r="H1532">
        <f>G1532*(26.79/38.29)</f>
        <v>7.4630451815095311E-2</v>
      </c>
    </row>
    <row r="1533" spans="1:8" x14ac:dyDescent="0.25">
      <c r="A1533" s="1">
        <v>1993</v>
      </c>
      <c r="B1533" s="1" t="s">
        <v>99</v>
      </c>
      <c r="C1533" t="s">
        <v>51</v>
      </c>
      <c r="D1533">
        <v>4</v>
      </c>
      <c r="E1533">
        <v>29</v>
      </c>
      <c r="F1533">
        <v>0.11</v>
      </c>
      <c r="G1533">
        <f t="shared" ref="G1533:G1596" si="25">(F1533/0.6)/5</f>
        <v>3.6666666666666667E-2</v>
      </c>
      <c r="H1533">
        <f>G1533*(26.79/38.29)</f>
        <v>2.5654217811439017E-2</v>
      </c>
    </row>
    <row r="1534" spans="1:8" x14ac:dyDescent="0.25">
      <c r="A1534" s="1">
        <v>1993</v>
      </c>
      <c r="B1534" s="1" t="s">
        <v>99</v>
      </c>
      <c r="C1534" t="s">
        <v>51</v>
      </c>
      <c r="D1534">
        <v>4</v>
      </c>
      <c r="E1534">
        <v>32</v>
      </c>
      <c r="F1534">
        <v>7.0000000000000007E-2</v>
      </c>
      <c r="G1534">
        <f t="shared" si="25"/>
        <v>2.3333333333333338E-2</v>
      </c>
      <c r="H1534">
        <f>G1534*(26.79/38.29)</f>
        <v>1.6325411334552103E-2</v>
      </c>
    </row>
    <row r="1535" spans="1:8" x14ac:dyDescent="0.25">
      <c r="A1535" s="1">
        <v>1993</v>
      </c>
      <c r="B1535" s="1" t="s">
        <v>99</v>
      </c>
      <c r="C1535" t="s">
        <v>51</v>
      </c>
      <c r="D1535">
        <v>4</v>
      </c>
      <c r="E1535">
        <v>32</v>
      </c>
      <c r="F1535">
        <v>7.0000000000000007E-2</v>
      </c>
      <c r="G1535">
        <f t="shared" si="25"/>
        <v>2.3333333333333338E-2</v>
      </c>
      <c r="H1535">
        <f>G1535*(26.79/38.29)</f>
        <v>1.6325411334552103E-2</v>
      </c>
    </row>
    <row r="1536" spans="1:8" x14ac:dyDescent="0.25">
      <c r="A1536" s="1">
        <v>1993</v>
      </c>
      <c r="B1536" s="1" t="s">
        <v>99</v>
      </c>
      <c r="C1536" t="s">
        <v>51</v>
      </c>
      <c r="D1536">
        <v>4</v>
      </c>
      <c r="E1536">
        <v>32</v>
      </c>
      <c r="F1536">
        <v>0.06</v>
      </c>
      <c r="G1536">
        <f t="shared" si="25"/>
        <v>0.02</v>
      </c>
      <c r="H1536">
        <f>G1536*(26.79/38.29)</f>
        <v>1.3993209715330373E-2</v>
      </c>
    </row>
    <row r="1537" spans="1:8" x14ac:dyDescent="0.25">
      <c r="A1537" s="1">
        <v>1993</v>
      </c>
      <c r="B1537" s="1" t="s">
        <v>99</v>
      </c>
      <c r="C1537" t="s">
        <v>51</v>
      </c>
      <c r="D1537">
        <v>4</v>
      </c>
      <c r="E1537">
        <v>32</v>
      </c>
      <c r="F1537">
        <v>0.05</v>
      </c>
      <c r="G1537">
        <f t="shared" si="25"/>
        <v>1.666666666666667E-2</v>
      </c>
      <c r="H1537">
        <f>G1537*(26.79/38.29)</f>
        <v>1.1661008096108646E-2</v>
      </c>
    </row>
    <row r="1538" spans="1:8" x14ac:dyDescent="0.25">
      <c r="A1538" s="1">
        <v>1993</v>
      </c>
      <c r="B1538" s="1" t="s">
        <v>99</v>
      </c>
      <c r="C1538" t="s">
        <v>51</v>
      </c>
      <c r="D1538">
        <v>4</v>
      </c>
      <c r="E1538">
        <v>32</v>
      </c>
      <c r="F1538">
        <v>0.06</v>
      </c>
      <c r="G1538">
        <f t="shared" si="25"/>
        <v>0.02</v>
      </c>
      <c r="H1538">
        <f>G1538*(26.79/38.29)</f>
        <v>1.3993209715330373E-2</v>
      </c>
    </row>
    <row r="1539" spans="1:8" x14ac:dyDescent="0.25">
      <c r="A1539" s="1">
        <v>1993</v>
      </c>
      <c r="B1539" s="1" t="s">
        <v>99</v>
      </c>
      <c r="C1539" t="s">
        <v>51</v>
      </c>
      <c r="D1539">
        <v>4</v>
      </c>
      <c r="E1539">
        <v>32</v>
      </c>
      <c r="F1539">
        <v>0.04</v>
      </c>
      <c r="G1539">
        <f t="shared" si="25"/>
        <v>1.3333333333333332E-2</v>
      </c>
      <c r="H1539">
        <f>G1539*(26.79/38.29)</f>
        <v>9.3288064768869139E-3</v>
      </c>
    </row>
    <row r="1540" spans="1:8" x14ac:dyDescent="0.25">
      <c r="A1540" s="1">
        <v>1993</v>
      </c>
      <c r="B1540" s="1" t="s">
        <v>99</v>
      </c>
      <c r="C1540" t="s">
        <v>51</v>
      </c>
      <c r="D1540">
        <v>4</v>
      </c>
      <c r="E1540">
        <v>32</v>
      </c>
      <c r="F1540">
        <v>0.28999999999999998</v>
      </c>
      <c r="G1540">
        <f t="shared" si="25"/>
        <v>9.6666666666666665E-2</v>
      </c>
      <c r="H1540">
        <f>G1540*(26.79/38.29)</f>
        <v>6.7633846957430133E-2</v>
      </c>
    </row>
    <row r="1541" spans="1:8" x14ac:dyDescent="0.25">
      <c r="A1541" s="1">
        <v>1993</v>
      </c>
      <c r="B1541" s="1" t="s">
        <v>99</v>
      </c>
      <c r="C1541" t="s">
        <v>51</v>
      </c>
      <c r="D1541">
        <v>4</v>
      </c>
      <c r="E1541">
        <v>32</v>
      </c>
      <c r="F1541">
        <v>0.06</v>
      </c>
      <c r="G1541">
        <f t="shared" si="25"/>
        <v>0.02</v>
      </c>
      <c r="H1541">
        <f>G1541*(26.79/38.29)</f>
        <v>1.3993209715330373E-2</v>
      </c>
    </row>
    <row r="1542" spans="1:8" x14ac:dyDescent="0.25">
      <c r="A1542" s="1">
        <v>1993</v>
      </c>
      <c r="B1542" s="1" t="s">
        <v>99</v>
      </c>
      <c r="C1542" t="s">
        <v>51</v>
      </c>
      <c r="D1542">
        <v>4</v>
      </c>
      <c r="E1542">
        <v>32</v>
      </c>
      <c r="F1542">
        <v>0.09</v>
      </c>
      <c r="G1542">
        <f t="shared" si="25"/>
        <v>0.03</v>
      </c>
      <c r="H1542">
        <f>G1542*(26.79/38.29)</f>
        <v>2.0989814572995556E-2</v>
      </c>
    </row>
    <row r="1543" spans="1:8" x14ac:dyDescent="0.25">
      <c r="A1543" s="1">
        <v>1993</v>
      </c>
      <c r="B1543" s="1" t="s">
        <v>99</v>
      </c>
      <c r="C1543" t="s">
        <v>51</v>
      </c>
      <c r="D1543">
        <v>4</v>
      </c>
      <c r="E1543">
        <v>32</v>
      </c>
      <c r="F1543">
        <v>7.0000000000000007E-2</v>
      </c>
      <c r="G1543">
        <f t="shared" si="25"/>
        <v>2.3333333333333338E-2</v>
      </c>
      <c r="H1543">
        <f>G1543*(26.79/38.29)</f>
        <v>1.6325411334552103E-2</v>
      </c>
    </row>
    <row r="1544" spans="1:8" x14ac:dyDescent="0.25">
      <c r="A1544" s="1">
        <v>1993</v>
      </c>
      <c r="B1544" s="1" t="s">
        <v>99</v>
      </c>
      <c r="C1544" t="s">
        <v>51</v>
      </c>
      <c r="D1544">
        <v>4</v>
      </c>
      <c r="E1544">
        <v>32</v>
      </c>
      <c r="F1544">
        <v>0.04</v>
      </c>
      <c r="G1544">
        <f t="shared" si="25"/>
        <v>1.3333333333333332E-2</v>
      </c>
      <c r="H1544">
        <f>G1544*(26.79/38.29)</f>
        <v>9.3288064768869139E-3</v>
      </c>
    </row>
    <row r="1545" spans="1:8" x14ac:dyDescent="0.25">
      <c r="A1545" s="1">
        <v>1993</v>
      </c>
      <c r="B1545" s="1" t="s">
        <v>99</v>
      </c>
      <c r="C1545" t="s">
        <v>51</v>
      </c>
      <c r="D1545">
        <v>4</v>
      </c>
      <c r="E1545">
        <v>32</v>
      </c>
      <c r="F1545">
        <v>0.06</v>
      </c>
      <c r="G1545">
        <f t="shared" si="25"/>
        <v>0.02</v>
      </c>
      <c r="H1545">
        <f>G1545*(26.79/38.29)</f>
        <v>1.3993209715330373E-2</v>
      </c>
    </row>
    <row r="1546" spans="1:8" x14ac:dyDescent="0.25">
      <c r="A1546" s="1">
        <v>1993</v>
      </c>
      <c r="B1546" s="1" t="s">
        <v>99</v>
      </c>
      <c r="C1546" t="s">
        <v>51</v>
      </c>
      <c r="D1546">
        <v>4</v>
      </c>
      <c r="E1546">
        <v>32</v>
      </c>
      <c r="F1546">
        <v>7.0000000000000007E-2</v>
      </c>
      <c r="G1546">
        <f t="shared" si="25"/>
        <v>2.3333333333333338E-2</v>
      </c>
      <c r="H1546">
        <f>G1546*(26.79/38.29)</f>
        <v>1.6325411334552103E-2</v>
      </c>
    </row>
    <row r="1547" spans="1:8" x14ac:dyDescent="0.25">
      <c r="A1547" s="1">
        <v>1993</v>
      </c>
      <c r="B1547" s="1" t="s">
        <v>99</v>
      </c>
      <c r="C1547" t="s">
        <v>51</v>
      </c>
      <c r="D1547">
        <v>4</v>
      </c>
      <c r="E1547">
        <v>32</v>
      </c>
      <c r="F1547">
        <v>0.05</v>
      </c>
      <c r="G1547">
        <f t="shared" si="25"/>
        <v>1.666666666666667E-2</v>
      </c>
      <c r="H1547">
        <f>G1547*(26.79/38.29)</f>
        <v>1.1661008096108646E-2</v>
      </c>
    </row>
    <row r="1548" spans="1:8" x14ac:dyDescent="0.25">
      <c r="A1548" s="1">
        <v>1993</v>
      </c>
      <c r="B1548" s="1" t="s">
        <v>99</v>
      </c>
      <c r="C1548" t="s">
        <v>51</v>
      </c>
      <c r="D1548">
        <v>4</v>
      </c>
      <c r="E1548">
        <v>32</v>
      </c>
      <c r="F1548">
        <v>0.15</v>
      </c>
      <c r="G1548">
        <f t="shared" si="25"/>
        <v>0.05</v>
      </c>
      <c r="H1548">
        <f>G1548*(26.79/38.29)</f>
        <v>3.4983024288325934E-2</v>
      </c>
    </row>
    <row r="1549" spans="1:8" x14ac:dyDescent="0.25">
      <c r="A1549" s="1">
        <v>1993</v>
      </c>
      <c r="B1549" s="1" t="s">
        <v>99</v>
      </c>
      <c r="C1549" t="s">
        <v>51</v>
      </c>
      <c r="D1549">
        <v>4</v>
      </c>
      <c r="E1549">
        <v>32</v>
      </c>
      <c r="F1549">
        <v>1.1200000000000001</v>
      </c>
      <c r="G1549">
        <f t="shared" si="25"/>
        <v>0.37333333333333341</v>
      </c>
      <c r="H1549">
        <f>G1549*(26.79/38.29)</f>
        <v>0.26120658135283364</v>
      </c>
    </row>
    <row r="1550" spans="1:8" x14ac:dyDescent="0.25">
      <c r="A1550" s="1">
        <v>1993</v>
      </c>
      <c r="B1550" s="1" t="s">
        <v>99</v>
      </c>
      <c r="C1550" t="s">
        <v>51</v>
      </c>
      <c r="D1550">
        <v>4</v>
      </c>
      <c r="E1550">
        <v>32</v>
      </c>
      <c r="F1550">
        <v>0.04</v>
      </c>
      <c r="G1550">
        <f t="shared" si="25"/>
        <v>1.3333333333333332E-2</v>
      </c>
      <c r="H1550">
        <f>G1550*(26.79/38.29)</f>
        <v>9.3288064768869139E-3</v>
      </c>
    </row>
    <row r="1551" spans="1:8" x14ac:dyDescent="0.25">
      <c r="A1551" s="1">
        <v>1993</v>
      </c>
      <c r="B1551" s="1" t="s">
        <v>99</v>
      </c>
      <c r="C1551" t="s">
        <v>51</v>
      </c>
      <c r="D1551">
        <v>4</v>
      </c>
      <c r="E1551">
        <v>32</v>
      </c>
      <c r="F1551">
        <v>0.14000000000000001</v>
      </c>
      <c r="G1551">
        <f t="shared" si="25"/>
        <v>4.6666666666666676E-2</v>
      </c>
      <c r="H1551">
        <f>G1551*(26.79/38.29)</f>
        <v>3.2650822669104206E-2</v>
      </c>
    </row>
    <row r="1552" spans="1:8" x14ac:dyDescent="0.25">
      <c r="A1552" s="1">
        <v>1993</v>
      </c>
      <c r="B1552" s="1" t="s">
        <v>99</v>
      </c>
      <c r="C1552" t="s">
        <v>51</v>
      </c>
      <c r="D1552">
        <v>4</v>
      </c>
      <c r="E1552">
        <v>32</v>
      </c>
      <c r="F1552">
        <v>0.08</v>
      </c>
      <c r="G1552">
        <f t="shared" si="25"/>
        <v>2.6666666666666665E-2</v>
      </c>
      <c r="H1552">
        <f>G1552*(26.79/38.29)</f>
        <v>1.8657612953773828E-2</v>
      </c>
    </row>
    <row r="1553" spans="1:8" x14ac:dyDescent="0.25">
      <c r="A1553" s="1">
        <v>1993</v>
      </c>
      <c r="B1553" s="1" t="s">
        <v>99</v>
      </c>
      <c r="C1553" t="s">
        <v>51</v>
      </c>
      <c r="D1553">
        <v>4</v>
      </c>
      <c r="E1553">
        <v>32</v>
      </c>
      <c r="F1553">
        <v>0.04</v>
      </c>
      <c r="G1553">
        <f t="shared" si="25"/>
        <v>1.3333333333333332E-2</v>
      </c>
      <c r="H1553">
        <f>G1553*(26.79/38.29)</f>
        <v>9.3288064768869139E-3</v>
      </c>
    </row>
    <row r="1554" spans="1:8" x14ac:dyDescent="0.25">
      <c r="A1554" s="1">
        <v>1993</v>
      </c>
      <c r="B1554" s="1" t="s">
        <v>99</v>
      </c>
      <c r="C1554" t="s">
        <v>51</v>
      </c>
      <c r="D1554">
        <v>4</v>
      </c>
      <c r="E1554">
        <v>32</v>
      </c>
      <c r="F1554">
        <v>0.1</v>
      </c>
      <c r="G1554">
        <f t="shared" si="25"/>
        <v>3.333333333333334E-2</v>
      </c>
      <c r="H1554">
        <f>G1554*(26.79/38.29)</f>
        <v>2.3322016192217292E-2</v>
      </c>
    </row>
    <row r="1555" spans="1:8" x14ac:dyDescent="0.25">
      <c r="A1555" s="1">
        <v>1993</v>
      </c>
      <c r="B1555" s="1" t="s">
        <v>99</v>
      </c>
      <c r="C1555" t="s">
        <v>51</v>
      </c>
      <c r="D1555">
        <v>4</v>
      </c>
      <c r="E1555">
        <v>34</v>
      </c>
      <c r="F1555">
        <v>0.65</v>
      </c>
      <c r="G1555">
        <f t="shared" si="25"/>
        <v>0.2166666666666667</v>
      </c>
      <c r="H1555">
        <f>G1555*(26.79/38.29)</f>
        <v>0.15159310524941239</v>
      </c>
    </row>
    <row r="1556" spans="1:8" x14ac:dyDescent="0.25">
      <c r="A1556" s="1">
        <v>1993</v>
      </c>
      <c r="B1556" s="1" t="s">
        <v>99</v>
      </c>
      <c r="C1556" t="s">
        <v>51</v>
      </c>
      <c r="D1556">
        <v>4</v>
      </c>
      <c r="E1556">
        <v>34</v>
      </c>
      <c r="F1556">
        <v>0.08</v>
      </c>
      <c r="G1556">
        <f t="shared" si="25"/>
        <v>2.6666666666666665E-2</v>
      </c>
      <c r="H1556">
        <f>G1556*(26.79/38.29)</f>
        <v>1.8657612953773828E-2</v>
      </c>
    </row>
    <row r="1557" spans="1:8" x14ac:dyDescent="0.25">
      <c r="A1557" s="1">
        <v>1993</v>
      </c>
      <c r="B1557" s="1" t="s">
        <v>99</v>
      </c>
      <c r="C1557" t="s">
        <v>51</v>
      </c>
      <c r="D1557">
        <v>4</v>
      </c>
      <c r="E1557">
        <v>34</v>
      </c>
      <c r="F1557">
        <v>0.48</v>
      </c>
      <c r="G1557">
        <f t="shared" si="25"/>
        <v>0.16</v>
      </c>
      <c r="H1557">
        <f>G1557*(26.79/38.29)</f>
        <v>0.11194567772264298</v>
      </c>
    </row>
    <row r="1558" spans="1:8" x14ac:dyDescent="0.25">
      <c r="A1558" s="1">
        <v>1993</v>
      </c>
      <c r="B1558" s="1" t="s">
        <v>99</v>
      </c>
      <c r="C1558" t="s">
        <v>51</v>
      </c>
      <c r="D1558">
        <v>4</v>
      </c>
      <c r="E1558">
        <v>38</v>
      </c>
      <c r="F1558">
        <v>0.43</v>
      </c>
      <c r="G1558">
        <f t="shared" si="25"/>
        <v>0.14333333333333334</v>
      </c>
      <c r="H1558">
        <f>G1558*(26.79/38.29)</f>
        <v>0.10028466962653435</v>
      </c>
    </row>
    <row r="1559" spans="1:8" x14ac:dyDescent="0.25">
      <c r="A1559" s="1">
        <v>1993</v>
      </c>
      <c r="B1559" s="1" t="s">
        <v>99</v>
      </c>
      <c r="C1559" t="s">
        <v>51</v>
      </c>
      <c r="D1559">
        <v>4</v>
      </c>
      <c r="E1559">
        <v>38</v>
      </c>
      <c r="F1559">
        <v>1.61</v>
      </c>
      <c r="G1559">
        <f t="shared" si="25"/>
        <v>0.53666666666666674</v>
      </c>
      <c r="H1559">
        <f>G1559*(26.79/38.29)</f>
        <v>0.37548446069469837</v>
      </c>
    </row>
    <row r="1560" spans="1:8" x14ac:dyDescent="0.25">
      <c r="A1560" s="1">
        <v>1993</v>
      </c>
      <c r="B1560" s="1" t="s">
        <v>99</v>
      </c>
      <c r="C1560" t="s">
        <v>51</v>
      </c>
      <c r="D1560">
        <v>4</v>
      </c>
      <c r="E1560">
        <v>38</v>
      </c>
      <c r="F1560">
        <v>1.23</v>
      </c>
      <c r="G1560">
        <f t="shared" si="25"/>
        <v>0.41000000000000003</v>
      </c>
      <c r="H1560">
        <f>G1560*(26.79/38.29)</f>
        <v>0.28686079916427265</v>
      </c>
    </row>
    <row r="1561" spans="1:8" x14ac:dyDescent="0.25">
      <c r="A1561" s="1">
        <v>1993</v>
      </c>
      <c r="B1561" s="1" t="s">
        <v>99</v>
      </c>
      <c r="C1561" t="s">
        <v>51</v>
      </c>
      <c r="D1561">
        <v>4</v>
      </c>
      <c r="E1561">
        <v>38</v>
      </c>
      <c r="F1561">
        <v>0.24</v>
      </c>
      <c r="G1561">
        <f t="shared" si="25"/>
        <v>0.08</v>
      </c>
      <c r="H1561">
        <f>G1561*(26.79/38.29)</f>
        <v>5.597283886132149E-2</v>
      </c>
    </row>
    <row r="1562" spans="1:8" x14ac:dyDescent="0.25">
      <c r="A1562" s="1">
        <v>1993</v>
      </c>
      <c r="B1562" s="1" t="s">
        <v>99</v>
      </c>
      <c r="C1562" t="s">
        <v>51</v>
      </c>
      <c r="D1562">
        <v>4</v>
      </c>
      <c r="E1562">
        <v>38</v>
      </c>
      <c r="F1562">
        <v>1.4</v>
      </c>
      <c r="G1562">
        <f t="shared" si="25"/>
        <v>0.46666666666666667</v>
      </c>
      <c r="H1562">
        <f>G1562*(26.79/38.29)</f>
        <v>0.32650822669104201</v>
      </c>
    </row>
    <row r="1563" spans="1:8" x14ac:dyDescent="0.25">
      <c r="A1563" s="1">
        <v>1993</v>
      </c>
      <c r="B1563" s="1" t="s">
        <v>99</v>
      </c>
      <c r="C1563" t="s">
        <v>51</v>
      </c>
      <c r="D1563">
        <v>4</v>
      </c>
      <c r="E1563">
        <v>38</v>
      </c>
      <c r="F1563">
        <v>0.35</v>
      </c>
      <c r="G1563">
        <f t="shared" si="25"/>
        <v>0.11666666666666667</v>
      </c>
      <c r="H1563">
        <f>G1563*(26.79/38.29)</f>
        <v>8.1627056672760503E-2</v>
      </c>
    </row>
    <row r="1564" spans="1:8" x14ac:dyDescent="0.25">
      <c r="A1564" s="1">
        <v>1993</v>
      </c>
      <c r="B1564" s="1" t="s">
        <v>99</v>
      </c>
      <c r="C1564" t="s">
        <v>51</v>
      </c>
      <c r="D1564">
        <v>4</v>
      </c>
      <c r="E1564">
        <v>38</v>
      </c>
      <c r="F1564">
        <v>1.02</v>
      </c>
      <c r="G1564">
        <f t="shared" si="25"/>
        <v>0.34</v>
      </c>
      <c r="H1564">
        <f>G1564*(26.79/38.29)</f>
        <v>0.23788456516061635</v>
      </c>
    </row>
    <row r="1565" spans="1:8" x14ac:dyDescent="0.25">
      <c r="A1565" s="1">
        <v>1993</v>
      </c>
      <c r="B1565" s="1" t="s">
        <v>99</v>
      </c>
      <c r="C1565" t="s">
        <v>51</v>
      </c>
      <c r="D1565">
        <v>4</v>
      </c>
      <c r="E1565">
        <v>38</v>
      </c>
      <c r="F1565">
        <v>0.39</v>
      </c>
      <c r="G1565">
        <f t="shared" si="25"/>
        <v>0.13</v>
      </c>
      <c r="H1565">
        <f>G1565*(26.79/38.29)</f>
        <v>9.0955863149647431E-2</v>
      </c>
    </row>
    <row r="1566" spans="1:8" x14ac:dyDescent="0.25">
      <c r="A1566" s="1">
        <v>1993</v>
      </c>
      <c r="B1566" s="1" t="s">
        <v>99</v>
      </c>
      <c r="C1566" t="s">
        <v>51</v>
      </c>
      <c r="D1566">
        <v>4</v>
      </c>
      <c r="E1566">
        <v>38</v>
      </c>
      <c r="F1566">
        <v>0.46</v>
      </c>
      <c r="G1566">
        <f t="shared" si="25"/>
        <v>0.15333333333333335</v>
      </c>
      <c r="H1566">
        <f>G1566*(26.79/38.29)</f>
        <v>0.10728127448419954</v>
      </c>
    </row>
    <row r="1567" spans="1:8" x14ac:dyDescent="0.25">
      <c r="A1567" s="1">
        <v>1993</v>
      </c>
      <c r="B1567" s="1" t="s">
        <v>99</v>
      </c>
      <c r="C1567" t="s">
        <v>51</v>
      </c>
      <c r="D1567">
        <v>4</v>
      </c>
      <c r="E1567">
        <v>38</v>
      </c>
      <c r="F1567">
        <v>0.96</v>
      </c>
      <c r="G1567">
        <f t="shared" si="25"/>
        <v>0.32</v>
      </c>
      <c r="H1567">
        <f>G1567*(26.79/38.29)</f>
        <v>0.22389135544528596</v>
      </c>
    </row>
    <row r="1568" spans="1:8" x14ac:dyDescent="0.25">
      <c r="A1568" s="1">
        <v>1993</v>
      </c>
      <c r="B1568" s="1" t="s">
        <v>99</v>
      </c>
      <c r="C1568" t="s">
        <v>51</v>
      </c>
      <c r="D1568">
        <v>4</v>
      </c>
      <c r="E1568">
        <v>38</v>
      </c>
      <c r="F1568">
        <v>0.75</v>
      </c>
      <c r="G1568">
        <f t="shared" si="25"/>
        <v>0.25</v>
      </c>
      <c r="H1568">
        <f>G1568*(26.79/38.29)</f>
        <v>0.17491512144162966</v>
      </c>
    </row>
    <row r="1569" spans="1:8" x14ac:dyDescent="0.25">
      <c r="A1569" s="1">
        <v>1993</v>
      </c>
      <c r="B1569" s="1" t="s">
        <v>99</v>
      </c>
      <c r="C1569" t="s">
        <v>51</v>
      </c>
      <c r="D1569">
        <v>4</v>
      </c>
      <c r="E1569">
        <v>40</v>
      </c>
      <c r="F1569">
        <v>1.1299999999999999</v>
      </c>
      <c r="G1569">
        <f t="shared" si="25"/>
        <v>0.37666666666666665</v>
      </c>
      <c r="H1569">
        <f>G1569*(26.79/38.29)</f>
        <v>0.26353878297205535</v>
      </c>
    </row>
    <row r="1570" spans="1:8" x14ac:dyDescent="0.25">
      <c r="A1570" s="1">
        <v>1993</v>
      </c>
      <c r="B1570" s="1" t="s">
        <v>99</v>
      </c>
      <c r="C1570" t="s">
        <v>51</v>
      </c>
      <c r="D1570">
        <v>4</v>
      </c>
      <c r="E1570">
        <v>40</v>
      </c>
      <c r="F1570">
        <v>1.19</v>
      </c>
      <c r="G1570">
        <f t="shared" si="25"/>
        <v>0.39666666666666667</v>
      </c>
      <c r="H1570">
        <f>G1570*(26.79/38.29)</f>
        <v>0.27753199268738571</v>
      </c>
    </row>
    <row r="1571" spans="1:8" x14ac:dyDescent="0.25">
      <c r="A1571" s="1">
        <v>1993</v>
      </c>
      <c r="B1571" s="1" t="s">
        <v>99</v>
      </c>
      <c r="C1571" t="s">
        <v>51</v>
      </c>
      <c r="D1571">
        <v>4</v>
      </c>
      <c r="E1571">
        <v>40</v>
      </c>
      <c r="F1571">
        <v>0.62</v>
      </c>
      <c r="G1571">
        <f t="shared" si="25"/>
        <v>0.20666666666666669</v>
      </c>
      <c r="H1571">
        <f>G1571*(26.79/38.29)</f>
        <v>0.14459650039174721</v>
      </c>
    </row>
    <row r="1572" spans="1:8" x14ac:dyDescent="0.25">
      <c r="A1572" s="1">
        <v>1993</v>
      </c>
      <c r="B1572" s="1" t="s">
        <v>99</v>
      </c>
      <c r="C1572" t="s">
        <v>51</v>
      </c>
      <c r="D1572">
        <v>4</v>
      </c>
      <c r="E1572">
        <v>40</v>
      </c>
      <c r="F1572">
        <v>1.31</v>
      </c>
      <c r="G1572">
        <f t="shared" si="25"/>
        <v>0.4366666666666667</v>
      </c>
      <c r="H1572">
        <f>G1572*(26.79/38.29)</f>
        <v>0.30551841211804648</v>
      </c>
    </row>
    <row r="1573" spans="1:8" x14ac:dyDescent="0.25">
      <c r="A1573" s="1">
        <v>1993</v>
      </c>
      <c r="B1573" s="1" t="s">
        <v>99</v>
      </c>
      <c r="C1573" t="s">
        <v>51</v>
      </c>
      <c r="D1573">
        <v>4</v>
      </c>
      <c r="E1573">
        <v>40</v>
      </c>
      <c r="F1573">
        <v>0.76</v>
      </c>
      <c r="G1573">
        <f t="shared" si="25"/>
        <v>0.25333333333333335</v>
      </c>
      <c r="H1573">
        <f>G1573*(26.79/38.29)</f>
        <v>0.17724732306085139</v>
      </c>
    </row>
    <row r="1574" spans="1:8" x14ac:dyDescent="0.25">
      <c r="A1574" s="1">
        <v>1993</v>
      </c>
      <c r="B1574" s="1" t="s">
        <v>99</v>
      </c>
      <c r="C1574" t="s">
        <v>51</v>
      </c>
      <c r="D1574">
        <v>4</v>
      </c>
      <c r="E1574">
        <v>40</v>
      </c>
      <c r="F1574">
        <v>0.67</v>
      </c>
      <c r="G1574">
        <f t="shared" si="25"/>
        <v>0.22333333333333333</v>
      </c>
      <c r="H1574">
        <f>G1574*(26.79/38.29)</f>
        <v>0.15625750848785583</v>
      </c>
    </row>
    <row r="1575" spans="1:8" x14ac:dyDescent="0.25">
      <c r="A1575" s="1">
        <v>1993</v>
      </c>
      <c r="B1575" s="1" t="s">
        <v>99</v>
      </c>
      <c r="C1575" t="s">
        <v>51</v>
      </c>
      <c r="D1575">
        <v>4</v>
      </c>
      <c r="E1575">
        <v>40</v>
      </c>
      <c r="F1575">
        <v>1.05</v>
      </c>
      <c r="G1575">
        <f t="shared" si="25"/>
        <v>0.35000000000000003</v>
      </c>
      <c r="H1575">
        <f>G1575*(26.79/38.29)</f>
        <v>0.24488117001828155</v>
      </c>
    </row>
    <row r="1576" spans="1:8" x14ac:dyDescent="0.25">
      <c r="A1576" s="1">
        <v>1993</v>
      </c>
      <c r="B1576" s="1" t="s">
        <v>99</v>
      </c>
      <c r="C1576" t="s">
        <v>51</v>
      </c>
      <c r="D1576">
        <v>4</v>
      </c>
      <c r="E1576">
        <v>40</v>
      </c>
      <c r="F1576">
        <v>0.71</v>
      </c>
      <c r="G1576">
        <f t="shared" si="25"/>
        <v>0.23666666666666666</v>
      </c>
      <c r="H1576">
        <f>G1576*(26.79/38.29)</f>
        <v>0.16558631496474274</v>
      </c>
    </row>
    <row r="1577" spans="1:8" x14ac:dyDescent="0.25">
      <c r="A1577" s="1">
        <v>1993</v>
      </c>
      <c r="B1577" s="1" t="s">
        <v>99</v>
      </c>
      <c r="C1577" t="s">
        <v>51</v>
      </c>
      <c r="D1577">
        <v>4</v>
      </c>
      <c r="E1577">
        <v>40</v>
      </c>
      <c r="F1577">
        <v>0.79</v>
      </c>
      <c r="G1577">
        <f t="shared" si="25"/>
        <v>0.26333333333333336</v>
      </c>
      <c r="H1577">
        <f>G1577*(26.79/38.29)</f>
        <v>0.1842439279185166</v>
      </c>
    </row>
    <row r="1578" spans="1:8" x14ac:dyDescent="0.25">
      <c r="A1578" s="1">
        <v>1993</v>
      </c>
      <c r="B1578" s="1" t="s">
        <v>99</v>
      </c>
      <c r="C1578" t="s">
        <v>51</v>
      </c>
      <c r="D1578">
        <v>4</v>
      </c>
      <c r="E1578">
        <v>40</v>
      </c>
      <c r="F1578">
        <v>0.88</v>
      </c>
      <c r="G1578">
        <f t="shared" si="25"/>
        <v>0.29333333333333333</v>
      </c>
      <c r="H1578">
        <f>G1578*(26.79/38.29)</f>
        <v>0.20523374249151213</v>
      </c>
    </row>
    <row r="1579" spans="1:8" x14ac:dyDescent="0.25">
      <c r="A1579" s="1">
        <v>1993</v>
      </c>
      <c r="B1579" s="1" t="s">
        <v>99</v>
      </c>
      <c r="C1579" t="s">
        <v>51</v>
      </c>
      <c r="D1579">
        <v>4</v>
      </c>
      <c r="E1579">
        <v>40</v>
      </c>
      <c r="F1579">
        <v>0.39</v>
      </c>
      <c r="G1579">
        <f t="shared" si="25"/>
        <v>0.13</v>
      </c>
      <c r="H1579">
        <f>G1579*(26.79/38.29)</f>
        <v>9.0955863149647431E-2</v>
      </c>
    </row>
    <row r="1580" spans="1:8" x14ac:dyDescent="0.25">
      <c r="A1580" s="1">
        <v>1993</v>
      </c>
      <c r="B1580" s="1" t="s">
        <v>99</v>
      </c>
      <c r="C1580" t="s">
        <v>51</v>
      </c>
      <c r="D1580">
        <v>4</v>
      </c>
      <c r="E1580">
        <v>40</v>
      </c>
      <c r="F1580">
        <v>1.19</v>
      </c>
      <c r="G1580">
        <f t="shared" si="25"/>
        <v>0.39666666666666667</v>
      </c>
      <c r="H1580">
        <f>G1580*(26.79/38.29)</f>
        <v>0.27753199268738571</v>
      </c>
    </row>
    <row r="1581" spans="1:8" x14ac:dyDescent="0.25">
      <c r="A1581" s="1">
        <v>1993</v>
      </c>
      <c r="B1581" s="1" t="s">
        <v>99</v>
      </c>
      <c r="C1581" t="s">
        <v>51</v>
      </c>
      <c r="D1581">
        <v>4</v>
      </c>
      <c r="E1581">
        <v>40</v>
      </c>
      <c r="F1581">
        <v>0.91</v>
      </c>
      <c r="G1581">
        <f t="shared" si="25"/>
        <v>0.30333333333333334</v>
      </c>
      <c r="H1581">
        <f>G1581*(26.79/38.29)</f>
        <v>0.21223034734917731</v>
      </c>
    </row>
    <row r="1582" spans="1:8" x14ac:dyDescent="0.25">
      <c r="A1582" s="1">
        <v>1993</v>
      </c>
      <c r="B1582" s="1" t="s">
        <v>99</v>
      </c>
      <c r="C1582" t="s">
        <v>51</v>
      </c>
      <c r="D1582">
        <v>4</v>
      </c>
      <c r="E1582">
        <v>40</v>
      </c>
      <c r="F1582">
        <v>1.63</v>
      </c>
      <c r="G1582">
        <f t="shared" si="25"/>
        <v>0.54333333333333333</v>
      </c>
      <c r="H1582">
        <f>G1582*(26.79/38.29)</f>
        <v>0.38014886393314179</v>
      </c>
    </row>
    <row r="1583" spans="1:8" x14ac:dyDescent="0.25">
      <c r="A1583" s="1">
        <v>1993</v>
      </c>
      <c r="B1583" s="1" t="s">
        <v>99</v>
      </c>
      <c r="C1583" t="s">
        <v>51</v>
      </c>
      <c r="D1583">
        <v>4</v>
      </c>
      <c r="E1583">
        <v>53</v>
      </c>
      <c r="F1583">
        <v>7.0000000000000007E-2</v>
      </c>
      <c r="G1583">
        <f t="shared" si="25"/>
        <v>2.3333333333333338E-2</v>
      </c>
      <c r="H1583">
        <f>G1583*(26.79/38.29)</f>
        <v>1.6325411334552103E-2</v>
      </c>
    </row>
    <row r="1584" spans="1:8" x14ac:dyDescent="0.25">
      <c r="A1584" s="1">
        <v>1993</v>
      </c>
      <c r="B1584" s="1" t="s">
        <v>99</v>
      </c>
      <c r="C1584" t="s">
        <v>51</v>
      </c>
      <c r="D1584">
        <v>4</v>
      </c>
      <c r="E1584">
        <v>53</v>
      </c>
      <c r="F1584">
        <v>0.03</v>
      </c>
      <c r="G1584">
        <f t="shared" si="25"/>
        <v>0.01</v>
      </c>
      <c r="H1584">
        <f>G1584*(26.79/38.29)</f>
        <v>6.9966048576651863E-3</v>
      </c>
    </row>
    <row r="1585" spans="1:8" x14ac:dyDescent="0.25">
      <c r="A1585" s="1">
        <v>1993</v>
      </c>
      <c r="B1585" s="1" t="s">
        <v>99</v>
      </c>
      <c r="C1585" t="s">
        <v>51</v>
      </c>
      <c r="D1585">
        <v>4</v>
      </c>
      <c r="E1585">
        <v>53</v>
      </c>
      <c r="F1585">
        <v>0.19</v>
      </c>
      <c r="G1585">
        <f t="shared" si="25"/>
        <v>6.3333333333333339E-2</v>
      </c>
      <c r="H1585">
        <f>G1585*(26.79/38.29)</f>
        <v>4.4311830765212848E-2</v>
      </c>
    </row>
    <row r="1586" spans="1:8" x14ac:dyDescent="0.25">
      <c r="A1586" s="1">
        <v>1993</v>
      </c>
      <c r="B1586" s="1" t="s">
        <v>99</v>
      </c>
      <c r="C1586" t="s">
        <v>51</v>
      </c>
      <c r="D1586">
        <v>4</v>
      </c>
      <c r="E1586">
        <v>53</v>
      </c>
      <c r="F1586">
        <v>0.09</v>
      </c>
      <c r="G1586">
        <f t="shared" si="25"/>
        <v>0.03</v>
      </c>
      <c r="H1586">
        <f>G1586*(26.79/38.29)</f>
        <v>2.0989814572995556E-2</v>
      </c>
    </row>
    <row r="1587" spans="1:8" x14ac:dyDescent="0.25">
      <c r="A1587" s="1">
        <v>1993</v>
      </c>
      <c r="B1587" s="1" t="s">
        <v>99</v>
      </c>
      <c r="C1587" t="s">
        <v>51</v>
      </c>
      <c r="D1587">
        <v>4</v>
      </c>
      <c r="E1587">
        <v>53</v>
      </c>
      <c r="F1587">
        <v>7.0000000000000007E-2</v>
      </c>
      <c r="G1587">
        <f t="shared" si="25"/>
        <v>2.3333333333333338E-2</v>
      </c>
      <c r="H1587">
        <f>G1587*(26.79/38.29)</f>
        <v>1.6325411334552103E-2</v>
      </c>
    </row>
    <row r="1588" spans="1:8" x14ac:dyDescent="0.25">
      <c r="A1588" s="1">
        <v>1993</v>
      </c>
      <c r="B1588" s="1" t="s">
        <v>99</v>
      </c>
      <c r="C1588" t="s">
        <v>51</v>
      </c>
      <c r="D1588">
        <v>4</v>
      </c>
      <c r="E1588">
        <v>53</v>
      </c>
      <c r="F1588">
        <v>0.26</v>
      </c>
      <c r="G1588">
        <f t="shared" si="25"/>
        <v>8.666666666666667E-2</v>
      </c>
      <c r="H1588">
        <f>G1588*(26.79/38.29)</f>
        <v>6.0637242099764947E-2</v>
      </c>
    </row>
    <row r="1589" spans="1:8" x14ac:dyDescent="0.25">
      <c r="A1589" s="1">
        <v>1993</v>
      </c>
      <c r="B1589" s="1" t="s">
        <v>99</v>
      </c>
      <c r="C1589" t="s">
        <v>51</v>
      </c>
      <c r="D1589">
        <v>4</v>
      </c>
      <c r="E1589">
        <v>53</v>
      </c>
      <c r="F1589">
        <v>7.0000000000000007E-2</v>
      </c>
      <c r="G1589">
        <f t="shared" si="25"/>
        <v>2.3333333333333338E-2</v>
      </c>
      <c r="H1589">
        <f>G1589*(26.79/38.29)</f>
        <v>1.6325411334552103E-2</v>
      </c>
    </row>
    <row r="1590" spans="1:8" x14ac:dyDescent="0.25">
      <c r="A1590" s="1">
        <v>1993</v>
      </c>
      <c r="B1590" s="1" t="s">
        <v>99</v>
      </c>
      <c r="C1590" t="s">
        <v>51</v>
      </c>
      <c r="D1590">
        <v>4</v>
      </c>
      <c r="E1590">
        <v>53</v>
      </c>
      <c r="F1590">
        <v>0.1</v>
      </c>
      <c r="G1590">
        <f t="shared" si="25"/>
        <v>3.333333333333334E-2</v>
      </c>
      <c r="H1590">
        <f>G1590*(26.79/38.29)</f>
        <v>2.3322016192217292E-2</v>
      </c>
    </row>
    <row r="1591" spans="1:8" x14ac:dyDescent="0.25">
      <c r="A1591" s="1">
        <v>1993</v>
      </c>
      <c r="B1591" s="1" t="s">
        <v>99</v>
      </c>
      <c r="C1591" t="s">
        <v>51</v>
      </c>
      <c r="D1591">
        <v>4</v>
      </c>
      <c r="E1591">
        <v>53</v>
      </c>
      <c r="F1591">
        <v>0.05</v>
      </c>
      <c r="G1591">
        <f t="shared" si="25"/>
        <v>1.666666666666667E-2</v>
      </c>
      <c r="H1591">
        <f>G1591*(26.79/38.29)</f>
        <v>1.1661008096108646E-2</v>
      </c>
    </row>
    <row r="1592" spans="1:8" x14ac:dyDescent="0.25">
      <c r="A1592" s="1">
        <v>1993</v>
      </c>
      <c r="B1592" s="1" t="s">
        <v>99</v>
      </c>
      <c r="C1592" t="s">
        <v>51</v>
      </c>
      <c r="D1592">
        <v>4</v>
      </c>
      <c r="E1592">
        <v>53</v>
      </c>
      <c r="F1592">
        <v>0.08</v>
      </c>
      <c r="G1592">
        <f t="shared" si="25"/>
        <v>2.6666666666666665E-2</v>
      </c>
      <c r="H1592">
        <f>G1592*(26.79/38.29)</f>
        <v>1.8657612953773828E-2</v>
      </c>
    </row>
    <row r="1593" spans="1:8" x14ac:dyDescent="0.25">
      <c r="A1593" s="1">
        <v>1993</v>
      </c>
      <c r="B1593" s="1" t="s">
        <v>99</v>
      </c>
      <c r="C1593" t="s">
        <v>51</v>
      </c>
      <c r="D1593">
        <v>4</v>
      </c>
      <c r="E1593">
        <v>53</v>
      </c>
      <c r="F1593">
        <v>0.61</v>
      </c>
      <c r="G1593">
        <f t="shared" si="25"/>
        <v>0.20333333333333331</v>
      </c>
      <c r="H1593">
        <f>G1593*(26.79/38.29)</f>
        <v>0.14226429877252544</v>
      </c>
    </row>
    <row r="1594" spans="1:8" x14ac:dyDescent="0.25">
      <c r="A1594" s="1">
        <v>1993</v>
      </c>
      <c r="B1594" s="1" t="s">
        <v>99</v>
      </c>
      <c r="C1594" t="s">
        <v>51</v>
      </c>
      <c r="D1594">
        <v>4</v>
      </c>
      <c r="E1594">
        <v>54</v>
      </c>
      <c r="F1594">
        <v>0.04</v>
      </c>
      <c r="G1594">
        <f t="shared" si="25"/>
        <v>1.3333333333333332E-2</v>
      </c>
      <c r="H1594">
        <f>G1594*(26.79/38.29)</f>
        <v>9.3288064768869139E-3</v>
      </c>
    </row>
    <row r="1595" spans="1:8" x14ac:dyDescent="0.25">
      <c r="A1595" s="1">
        <v>1993</v>
      </c>
      <c r="B1595" s="1" t="s">
        <v>99</v>
      </c>
      <c r="C1595" t="s">
        <v>51</v>
      </c>
      <c r="D1595">
        <v>4</v>
      </c>
      <c r="E1595">
        <v>54</v>
      </c>
      <c r="F1595">
        <v>0.09</v>
      </c>
      <c r="G1595">
        <f t="shared" si="25"/>
        <v>0.03</v>
      </c>
      <c r="H1595">
        <f>G1595*(26.79/38.29)</f>
        <v>2.0989814572995556E-2</v>
      </c>
    </row>
    <row r="1596" spans="1:8" x14ac:dyDescent="0.25">
      <c r="A1596" s="1">
        <v>1993</v>
      </c>
      <c r="B1596" s="1" t="s">
        <v>99</v>
      </c>
      <c r="C1596" t="s">
        <v>51</v>
      </c>
      <c r="D1596">
        <v>4</v>
      </c>
      <c r="E1596">
        <v>54</v>
      </c>
      <c r="F1596">
        <v>1.05</v>
      </c>
      <c r="G1596">
        <f t="shared" si="25"/>
        <v>0.35000000000000003</v>
      </c>
      <c r="H1596">
        <f>G1596*(26.79/38.29)</f>
        <v>0.24488117001828155</v>
      </c>
    </row>
    <row r="1597" spans="1:8" x14ac:dyDescent="0.25">
      <c r="A1597" s="1">
        <v>1993</v>
      </c>
      <c r="B1597" s="1" t="s">
        <v>99</v>
      </c>
      <c r="C1597" t="s">
        <v>51</v>
      </c>
      <c r="D1597">
        <v>4</v>
      </c>
      <c r="E1597">
        <v>54</v>
      </c>
      <c r="F1597">
        <v>0.22</v>
      </c>
      <c r="G1597">
        <f t="shared" ref="G1597:G1660" si="26">(F1597/0.6)/5</f>
        <v>7.3333333333333334E-2</v>
      </c>
      <c r="H1597">
        <f>G1597*(26.79/38.29)</f>
        <v>5.1308435622878033E-2</v>
      </c>
    </row>
    <row r="1598" spans="1:8" x14ac:dyDescent="0.25">
      <c r="A1598" s="1">
        <v>1993</v>
      </c>
      <c r="B1598" s="1" t="s">
        <v>99</v>
      </c>
      <c r="C1598" t="s">
        <v>51</v>
      </c>
      <c r="D1598">
        <v>4</v>
      </c>
      <c r="E1598">
        <v>54</v>
      </c>
      <c r="F1598">
        <v>0.13</v>
      </c>
      <c r="G1598">
        <f t="shared" si="26"/>
        <v>4.3333333333333335E-2</v>
      </c>
      <c r="H1598">
        <f>G1598*(26.79/38.29)</f>
        <v>3.0318621049882474E-2</v>
      </c>
    </row>
    <row r="1599" spans="1:8" x14ac:dyDescent="0.25">
      <c r="A1599" s="1">
        <v>1993</v>
      </c>
      <c r="B1599" s="1" t="s">
        <v>99</v>
      </c>
      <c r="C1599" t="s">
        <v>51</v>
      </c>
      <c r="D1599">
        <v>4</v>
      </c>
      <c r="E1599">
        <v>54</v>
      </c>
      <c r="F1599">
        <v>0.59</v>
      </c>
      <c r="G1599">
        <f t="shared" si="26"/>
        <v>0.19666666666666666</v>
      </c>
      <c r="H1599">
        <f>G1599*(26.79/38.29)</f>
        <v>0.137599895534082</v>
      </c>
    </row>
    <row r="1600" spans="1:8" x14ac:dyDescent="0.25">
      <c r="A1600" s="1">
        <v>1993</v>
      </c>
      <c r="B1600" s="1" t="s">
        <v>99</v>
      </c>
      <c r="C1600" t="s">
        <v>51</v>
      </c>
      <c r="D1600">
        <v>4</v>
      </c>
      <c r="E1600">
        <v>54</v>
      </c>
      <c r="F1600">
        <v>0.13</v>
      </c>
      <c r="G1600">
        <f t="shared" si="26"/>
        <v>4.3333333333333335E-2</v>
      </c>
      <c r="H1600">
        <f>G1600*(26.79/38.29)</f>
        <v>3.0318621049882474E-2</v>
      </c>
    </row>
    <row r="1601" spans="1:8" x14ac:dyDescent="0.25">
      <c r="A1601" s="1">
        <v>1993</v>
      </c>
      <c r="B1601" s="1" t="s">
        <v>99</v>
      </c>
      <c r="C1601" t="s">
        <v>51</v>
      </c>
      <c r="D1601">
        <v>4</v>
      </c>
      <c r="E1601">
        <v>54</v>
      </c>
      <c r="F1601">
        <v>0.05</v>
      </c>
      <c r="G1601">
        <f t="shared" si="26"/>
        <v>1.666666666666667E-2</v>
      </c>
      <c r="H1601">
        <f>G1601*(26.79/38.29)</f>
        <v>1.1661008096108646E-2</v>
      </c>
    </row>
    <row r="1602" spans="1:8" x14ac:dyDescent="0.25">
      <c r="A1602" s="1">
        <v>1993</v>
      </c>
      <c r="B1602" s="1" t="s">
        <v>99</v>
      </c>
      <c r="C1602" t="s">
        <v>51</v>
      </c>
      <c r="D1602">
        <v>4</v>
      </c>
      <c r="E1602">
        <v>54</v>
      </c>
      <c r="F1602">
        <v>0.12</v>
      </c>
      <c r="G1602">
        <f t="shared" si="26"/>
        <v>0.04</v>
      </c>
      <c r="H1602">
        <f>G1602*(26.79/38.29)</f>
        <v>2.7986419430660745E-2</v>
      </c>
    </row>
    <row r="1603" spans="1:8" x14ac:dyDescent="0.25">
      <c r="A1603" s="1">
        <v>1993</v>
      </c>
      <c r="B1603" s="1" t="s">
        <v>99</v>
      </c>
      <c r="C1603" t="s">
        <v>51</v>
      </c>
      <c r="D1603">
        <v>4</v>
      </c>
      <c r="E1603">
        <v>54</v>
      </c>
      <c r="F1603">
        <v>0.76</v>
      </c>
      <c r="G1603">
        <f t="shared" si="26"/>
        <v>0.25333333333333335</v>
      </c>
      <c r="H1603">
        <f>G1603*(26.79/38.29)</f>
        <v>0.17724732306085139</v>
      </c>
    </row>
    <row r="1604" spans="1:8" x14ac:dyDescent="0.25">
      <c r="A1604" s="1">
        <v>1993</v>
      </c>
      <c r="B1604" s="1" t="s">
        <v>99</v>
      </c>
      <c r="C1604" t="s">
        <v>51</v>
      </c>
      <c r="D1604">
        <v>4</v>
      </c>
      <c r="E1604">
        <v>54</v>
      </c>
      <c r="F1604">
        <v>0.25</v>
      </c>
      <c r="G1604">
        <f t="shared" si="26"/>
        <v>8.3333333333333343E-2</v>
      </c>
      <c r="H1604">
        <f>G1604*(26.79/38.29)</f>
        <v>5.8305040480543226E-2</v>
      </c>
    </row>
    <row r="1605" spans="1:8" x14ac:dyDescent="0.25">
      <c r="A1605" s="1">
        <v>1993</v>
      </c>
      <c r="B1605" s="1" t="s">
        <v>99</v>
      </c>
      <c r="C1605" t="s">
        <v>51</v>
      </c>
      <c r="D1605">
        <v>4</v>
      </c>
      <c r="E1605">
        <v>54</v>
      </c>
      <c r="F1605">
        <v>0.24</v>
      </c>
      <c r="G1605">
        <f t="shared" si="26"/>
        <v>0.08</v>
      </c>
      <c r="H1605">
        <f>G1605*(26.79/38.29)</f>
        <v>5.597283886132149E-2</v>
      </c>
    </row>
    <row r="1606" spans="1:8" x14ac:dyDescent="0.25">
      <c r="A1606" s="1">
        <v>1993</v>
      </c>
      <c r="B1606" s="1" t="s">
        <v>99</v>
      </c>
      <c r="C1606" t="s">
        <v>51</v>
      </c>
      <c r="D1606">
        <v>4</v>
      </c>
      <c r="E1606">
        <v>54</v>
      </c>
      <c r="F1606">
        <v>0.24</v>
      </c>
      <c r="G1606">
        <f t="shared" si="26"/>
        <v>0.08</v>
      </c>
      <c r="H1606">
        <f>G1606*(26.79/38.29)</f>
        <v>5.597283886132149E-2</v>
      </c>
    </row>
    <row r="1607" spans="1:8" x14ac:dyDescent="0.25">
      <c r="A1607" s="1">
        <v>1993</v>
      </c>
      <c r="B1607" s="1" t="s">
        <v>99</v>
      </c>
      <c r="C1607" t="s">
        <v>51</v>
      </c>
      <c r="D1607">
        <v>4</v>
      </c>
      <c r="E1607">
        <v>54</v>
      </c>
      <c r="F1607">
        <v>0.09</v>
      </c>
      <c r="G1607">
        <f t="shared" si="26"/>
        <v>0.03</v>
      </c>
      <c r="H1607">
        <f>G1607*(26.79/38.29)</f>
        <v>2.0989814572995556E-2</v>
      </c>
    </row>
    <row r="1608" spans="1:8" x14ac:dyDescent="0.25">
      <c r="A1608" s="1">
        <v>1993</v>
      </c>
      <c r="B1608" s="1" t="s">
        <v>99</v>
      </c>
      <c r="C1608" t="s">
        <v>51</v>
      </c>
      <c r="D1608">
        <v>4</v>
      </c>
      <c r="E1608">
        <v>54</v>
      </c>
      <c r="F1608">
        <v>0.16</v>
      </c>
      <c r="G1608">
        <f t="shared" si="26"/>
        <v>5.333333333333333E-2</v>
      </c>
      <c r="H1608">
        <f>G1608*(26.79/38.29)</f>
        <v>3.7315225907547656E-2</v>
      </c>
    </row>
    <row r="1609" spans="1:8" x14ac:dyDescent="0.25">
      <c r="A1609" s="1">
        <v>1993</v>
      </c>
      <c r="B1609" s="1" t="s">
        <v>99</v>
      </c>
      <c r="C1609" t="s">
        <v>51</v>
      </c>
      <c r="D1609">
        <v>4</v>
      </c>
      <c r="E1609">
        <v>54</v>
      </c>
      <c r="F1609">
        <v>0.68</v>
      </c>
      <c r="G1609">
        <f t="shared" si="26"/>
        <v>0.22666666666666671</v>
      </c>
      <c r="H1609">
        <f>G1609*(26.79/38.29)</f>
        <v>0.15858971010707759</v>
      </c>
    </row>
    <row r="1610" spans="1:8" x14ac:dyDescent="0.25">
      <c r="A1610" s="1">
        <v>1993</v>
      </c>
      <c r="B1610" s="1" t="s">
        <v>99</v>
      </c>
      <c r="C1610" t="s">
        <v>51</v>
      </c>
      <c r="D1610">
        <v>4</v>
      </c>
      <c r="E1610">
        <v>54</v>
      </c>
      <c r="F1610">
        <v>0.46</v>
      </c>
      <c r="G1610">
        <f t="shared" si="26"/>
        <v>0.15333333333333335</v>
      </c>
      <c r="H1610">
        <f>G1610*(26.79/38.29)</f>
        <v>0.10728127448419954</v>
      </c>
    </row>
    <row r="1611" spans="1:8" x14ac:dyDescent="0.25">
      <c r="A1611" s="1">
        <v>1993</v>
      </c>
      <c r="B1611" s="1" t="s">
        <v>99</v>
      </c>
      <c r="C1611" t="s">
        <v>51</v>
      </c>
      <c r="D1611">
        <v>4</v>
      </c>
      <c r="E1611">
        <v>54</v>
      </c>
      <c r="F1611">
        <v>0.32</v>
      </c>
      <c r="G1611">
        <f t="shared" si="26"/>
        <v>0.10666666666666666</v>
      </c>
      <c r="H1611">
        <f>G1611*(26.79/38.29)</f>
        <v>7.4630451815095311E-2</v>
      </c>
    </row>
    <row r="1612" spans="1:8" x14ac:dyDescent="0.25">
      <c r="A1612" s="1">
        <v>1993</v>
      </c>
      <c r="B1612" s="1" t="s">
        <v>99</v>
      </c>
      <c r="C1612" t="s">
        <v>51</v>
      </c>
      <c r="D1612">
        <v>4</v>
      </c>
      <c r="E1612">
        <v>54</v>
      </c>
      <c r="F1612">
        <v>0.96</v>
      </c>
      <c r="G1612">
        <f t="shared" si="26"/>
        <v>0.32</v>
      </c>
      <c r="H1612">
        <f>G1612*(26.79/38.29)</f>
        <v>0.22389135544528596</v>
      </c>
    </row>
    <row r="1613" spans="1:8" x14ac:dyDescent="0.25">
      <c r="A1613" s="1">
        <v>1993</v>
      </c>
      <c r="B1613" s="1" t="s">
        <v>99</v>
      </c>
      <c r="C1613" t="s">
        <v>51</v>
      </c>
      <c r="D1613">
        <v>4</v>
      </c>
      <c r="E1613">
        <v>54</v>
      </c>
      <c r="F1613">
        <v>0.1</v>
      </c>
      <c r="G1613">
        <f t="shared" si="26"/>
        <v>3.333333333333334E-2</v>
      </c>
      <c r="H1613">
        <f>G1613*(26.79/38.29)</f>
        <v>2.3322016192217292E-2</v>
      </c>
    </row>
    <row r="1614" spans="1:8" x14ac:dyDescent="0.25">
      <c r="A1614" s="1">
        <v>1993</v>
      </c>
      <c r="B1614" s="1" t="s">
        <v>99</v>
      </c>
      <c r="C1614" t="s">
        <v>51</v>
      </c>
      <c r="D1614">
        <v>4</v>
      </c>
      <c r="E1614">
        <v>54</v>
      </c>
      <c r="F1614">
        <v>0.52</v>
      </c>
      <c r="G1614">
        <f t="shared" si="26"/>
        <v>0.17333333333333334</v>
      </c>
      <c r="H1614">
        <f>G1614*(26.79/38.29)</f>
        <v>0.12127448419952989</v>
      </c>
    </row>
    <row r="1615" spans="1:8" x14ac:dyDescent="0.25">
      <c r="A1615" s="1">
        <v>1993</v>
      </c>
      <c r="B1615" s="1" t="s">
        <v>99</v>
      </c>
      <c r="C1615" t="s">
        <v>51</v>
      </c>
      <c r="D1615">
        <v>4</v>
      </c>
      <c r="E1615">
        <v>54</v>
      </c>
      <c r="F1615">
        <v>0.05</v>
      </c>
      <c r="G1615">
        <f t="shared" si="26"/>
        <v>1.666666666666667E-2</v>
      </c>
      <c r="H1615">
        <f>G1615*(26.79/38.29)</f>
        <v>1.1661008096108646E-2</v>
      </c>
    </row>
    <row r="1616" spans="1:8" x14ac:dyDescent="0.25">
      <c r="A1616" s="1">
        <v>1993</v>
      </c>
      <c r="B1616" s="1" t="s">
        <v>99</v>
      </c>
      <c r="C1616" t="s">
        <v>51</v>
      </c>
      <c r="D1616">
        <v>4</v>
      </c>
      <c r="E1616">
        <v>54</v>
      </c>
      <c r="F1616">
        <v>0.11</v>
      </c>
      <c r="G1616">
        <f t="shared" si="26"/>
        <v>3.6666666666666667E-2</v>
      </c>
      <c r="H1616">
        <f>G1616*(26.79/38.29)</f>
        <v>2.5654217811439017E-2</v>
      </c>
    </row>
    <row r="1617" spans="1:8" x14ac:dyDescent="0.25">
      <c r="A1617" s="1">
        <v>1993</v>
      </c>
      <c r="B1617" s="1" t="s">
        <v>99</v>
      </c>
      <c r="C1617" t="s">
        <v>51</v>
      </c>
      <c r="D1617">
        <v>4</v>
      </c>
      <c r="E1617">
        <v>54</v>
      </c>
      <c r="F1617">
        <v>0.15</v>
      </c>
      <c r="G1617">
        <f t="shared" si="26"/>
        <v>0.05</v>
      </c>
      <c r="H1617">
        <f>G1617*(26.79/38.29)</f>
        <v>3.4983024288325934E-2</v>
      </c>
    </row>
    <row r="1618" spans="1:8" x14ac:dyDescent="0.25">
      <c r="A1618" s="1">
        <v>1993</v>
      </c>
      <c r="B1618" s="1" t="s">
        <v>99</v>
      </c>
      <c r="C1618" t="s">
        <v>51</v>
      </c>
      <c r="D1618">
        <v>4</v>
      </c>
      <c r="E1618">
        <v>54</v>
      </c>
      <c r="F1618">
        <v>0.04</v>
      </c>
      <c r="G1618">
        <f t="shared" si="26"/>
        <v>1.3333333333333332E-2</v>
      </c>
      <c r="H1618">
        <f>G1618*(26.79/38.29)</f>
        <v>9.3288064768869139E-3</v>
      </c>
    </row>
    <row r="1619" spans="1:8" x14ac:dyDescent="0.25">
      <c r="A1619" s="1">
        <v>1993</v>
      </c>
      <c r="B1619" s="1" t="s">
        <v>99</v>
      </c>
      <c r="C1619" t="s">
        <v>51</v>
      </c>
      <c r="D1619">
        <v>4</v>
      </c>
      <c r="E1619">
        <v>54</v>
      </c>
      <c r="F1619">
        <v>0.05</v>
      </c>
      <c r="G1619">
        <f t="shared" si="26"/>
        <v>1.666666666666667E-2</v>
      </c>
      <c r="H1619">
        <f>G1619*(26.79/38.29)</f>
        <v>1.1661008096108646E-2</v>
      </c>
    </row>
    <row r="1620" spans="1:8" x14ac:dyDescent="0.25">
      <c r="A1620" s="1">
        <v>1993</v>
      </c>
      <c r="B1620" s="1" t="s">
        <v>99</v>
      </c>
      <c r="C1620" t="s">
        <v>51</v>
      </c>
      <c r="D1620">
        <v>4</v>
      </c>
      <c r="E1620">
        <v>54</v>
      </c>
      <c r="F1620">
        <v>0.2</v>
      </c>
      <c r="G1620">
        <f t="shared" si="26"/>
        <v>6.666666666666668E-2</v>
      </c>
      <c r="H1620">
        <f>G1620*(26.79/38.29)</f>
        <v>4.6644032384434583E-2</v>
      </c>
    </row>
    <row r="1621" spans="1:8" x14ac:dyDescent="0.25">
      <c r="A1621" s="1">
        <v>1993</v>
      </c>
      <c r="B1621" s="1" t="s">
        <v>99</v>
      </c>
      <c r="C1621" t="s">
        <v>51</v>
      </c>
      <c r="D1621">
        <v>4</v>
      </c>
      <c r="E1621">
        <v>54</v>
      </c>
      <c r="F1621">
        <v>0.22</v>
      </c>
      <c r="G1621">
        <f t="shared" si="26"/>
        <v>7.3333333333333334E-2</v>
      </c>
      <c r="H1621">
        <f>G1621*(26.79/38.29)</f>
        <v>5.1308435622878033E-2</v>
      </c>
    </row>
    <row r="1622" spans="1:8" x14ac:dyDescent="0.25">
      <c r="A1622" s="1">
        <v>1993</v>
      </c>
      <c r="B1622" s="1" t="s">
        <v>99</v>
      </c>
      <c r="C1622" t="s">
        <v>51</v>
      </c>
      <c r="D1622">
        <v>4</v>
      </c>
      <c r="E1622">
        <v>54</v>
      </c>
      <c r="F1622">
        <v>0.05</v>
      </c>
      <c r="G1622">
        <f t="shared" si="26"/>
        <v>1.666666666666667E-2</v>
      </c>
      <c r="H1622">
        <f>G1622*(26.79/38.29)</f>
        <v>1.1661008096108646E-2</v>
      </c>
    </row>
    <row r="1623" spans="1:8" x14ac:dyDescent="0.25">
      <c r="A1623" s="1">
        <v>1993</v>
      </c>
      <c r="B1623" s="1" t="s">
        <v>99</v>
      </c>
      <c r="C1623" t="s">
        <v>51</v>
      </c>
      <c r="D1623">
        <v>4</v>
      </c>
      <c r="E1623">
        <v>54</v>
      </c>
      <c r="F1623">
        <v>7.0000000000000007E-2</v>
      </c>
      <c r="G1623">
        <f t="shared" si="26"/>
        <v>2.3333333333333338E-2</v>
      </c>
      <c r="H1623">
        <f>G1623*(26.79/38.29)</f>
        <v>1.6325411334552103E-2</v>
      </c>
    </row>
    <row r="1624" spans="1:8" x14ac:dyDescent="0.25">
      <c r="A1624" s="1">
        <v>1993</v>
      </c>
      <c r="B1624" s="1" t="s">
        <v>99</v>
      </c>
      <c r="C1624" t="s">
        <v>51</v>
      </c>
      <c r="D1624">
        <v>4</v>
      </c>
      <c r="E1624">
        <v>54</v>
      </c>
      <c r="F1624">
        <v>0.04</v>
      </c>
      <c r="G1624">
        <f t="shared" si="26"/>
        <v>1.3333333333333332E-2</v>
      </c>
      <c r="H1624">
        <f>G1624*(26.79/38.29)</f>
        <v>9.3288064768869139E-3</v>
      </c>
    </row>
    <row r="1625" spans="1:8" x14ac:dyDescent="0.25">
      <c r="A1625" s="1">
        <v>1993</v>
      </c>
      <c r="B1625" s="1" t="s">
        <v>99</v>
      </c>
      <c r="C1625" t="s">
        <v>51</v>
      </c>
      <c r="D1625">
        <v>4</v>
      </c>
      <c r="E1625">
        <v>54</v>
      </c>
      <c r="F1625">
        <v>0.53</v>
      </c>
      <c r="G1625">
        <f t="shared" si="26"/>
        <v>0.17666666666666669</v>
      </c>
      <c r="H1625">
        <f>G1625*(26.79/38.29)</f>
        <v>0.12360668581875164</v>
      </c>
    </row>
    <row r="1626" spans="1:8" x14ac:dyDescent="0.25">
      <c r="A1626" s="1">
        <v>1993</v>
      </c>
      <c r="B1626" s="1" t="s">
        <v>99</v>
      </c>
      <c r="C1626" t="s">
        <v>51</v>
      </c>
      <c r="D1626">
        <v>4</v>
      </c>
      <c r="E1626">
        <v>54</v>
      </c>
      <c r="F1626">
        <v>0.04</v>
      </c>
      <c r="G1626">
        <f t="shared" si="26"/>
        <v>1.3333333333333332E-2</v>
      </c>
      <c r="H1626">
        <f>G1626*(26.79/38.29)</f>
        <v>9.3288064768869139E-3</v>
      </c>
    </row>
    <row r="1627" spans="1:8" x14ac:dyDescent="0.25">
      <c r="A1627" s="1">
        <v>1993</v>
      </c>
      <c r="B1627" s="1" t="s">
        <v>99</v>
      </c>
      <c r="C1627" t="s">
        <v>51</v>
      </c>
      <c r="D1627">
        <v>4</v>
      </c>
      <c r="E1627">
        <v>54</v>
      </c>
      <c r="F1627">
        <v>0.76</v>
      </c>
      <c r="G1627">
        <f t="shared" si="26"/>
        <v>0.25333333333333335</v>
      </c>
      <c r="H1627">
        <f>G1627*(26.79/38.29)</f>
        <v>0.17724732306085139</v>
      </c>
    </row>
    <row r="1628" spans="1:8" x14ac:dyDescent="0.25">
      <c r="A1628" s="1">
        <v>1993</v>
      </c>
      <c r="B1628" s="1" t="s">
        <v>99</v>
      </c>
      <c r="C1628" t="s">
        <v>51</v>
      </c>
      <c r="D1628">
        <v>4</v>
      </c>
      <c r="E1628">
        <v>54</v>
      </c>
      <c r="F1628">
        <v>0.12</v>
      </c>
      <c r="G1628">
        <f t="shared" si="26"/>
        <v>0.04</v>
      </c>
      <c r="H1628">
        <f>G1628*(26.79/38.29)</f>
        <v>2.7986419430660745E-2</v>
      </c>
    </row>
    <row r="1629" spans="1:8" x14ac:dyDescent="0.25">
      <c r="A1629" s="1">
        <v>1993</v>
      </c>
      <c r="B1629" s="1" t="s">
        <v>99</v>
      </c>
      <c r="C1629" t="s">
        <v>51</v>
      </c>
      <c r="D1629">
        <v>4</v>
      </c>
      <c r="E1629">
        <v>54</v>
      </c>
      <c r="F1629">
        <v>0.05</v>
      </c>
      <c r="G1629">
        <f t="shared" si="26"/>
        <v>1.666666666666667E-2</v>
      </c>
      <c r="H1629">
        <f>G1629*(26.79/38.29)</f>
        <v>1.1661008096108646E-2</v>
      </c>
    </row>
    <row r="1630" spans="1:8" x14ac:dyDescent="0.25">
      <c r="A1630" s="1">
        <v>1993</v>
      </c>
      <c r="B1630" s="1" t="s">
        <v>99</v>
      </c>
      <c r="C1630" t="s">
        <v>51</v>
      </c>
      <c r="D1630">
        <v>4</v>
      </c>
      <c r="E1630">
        <v>54</v>
      </c>
      <c r="F1630">
        <v>0.08</v>
      </c>
      <c r="G1630">
        <f t="shared" si="26"/>
        <v>2.6666666666666665E-2</v>
      </c>
      <c r="H1630">
        <f>G1630*(26.79/38.29)</f>
        <v>1.8657612953773828E-2</v>
      </c>
    </row>
    <row r="1631" spans="1:8" x14ac:dyDescent="0.25">
      <c r="A1631" s="1">
        <v>1993</v>
      </c>
      <c r="B1631" s="1" t="s">
        <v>99</v>
      </c>
      <c r="C1631" t="s">
        <v>51</v>
      </c>
      <c r="D1631">
        <v>4</v>
      </c>
      <c r="E1631">
        <v>54</v>
      </c>
      <c r="F1631">
        <v>0.04</v>
      </c>
      <c r="G1631">
        <f t="shared" si="26"/>
        <v>1.3333333333333332E-2</v>
      </c>
      <c r="H1631">
        <f>G1631*(26.79/38.29)</f>
        <v>9.3288064768869139E-3</v>
      </c>
    </row>
    <row r="1632" spans="1:8" x14ac:dyDescent="0.25">
      <c r="A1632" s="1">
        <v>1993</v>
      </c>
      <c r="B1632" s="1" t="s">
        <v>99</v>
      </c>
      <c r="C1632" t="s">
        <v>51</v>
      </c>
      <c r="D1632">
        <v>4</v>
      </c>
      <c r="E1632">
        <v>54</v>
      </c>
      <c r="F1632">
        <v>0.06</v>
      </c>
      <c r="G1632">
        <f t="shared" si="26"/>
        <v>0.02</v>
      </c>
      <c r="H1632">
        <f>G1632*(26.79/38.29)</f>
        <v>1.3993209715330373E-2</v>
      </c>
    </row>
    <row r="1633" spans="1:8" x14ac:dyDescent="0.25">
      <c r="A1633" s="1">
        <v>1993</v>
      </c>
      <c r="B1633" s="1" t="s">
        <v>99</v>
      </c>
      <c r="C1633" t="s">
        <v>51</v>
      </c>
      <c r="D1633">
        <v>4</v>
      </c>
      <c r="E1633">
        <v>54</v>
      </c>
      <c r="F1633">
        <v>0.06</v>
      </c>
      <c r="G1633">
        <f t="shared" si="26"/>
        <v>0.02</v>
      </c>
      <c r="H1633">
        <f>G1633*(26.79/38.29)</f>
        <v>1.3993209715330373E-2</v>
      </c>
    </row>
    <row r="1634" spans="1:8" x14ac:dyDescent="0.25">
      <c r="A1634" s="1">
        <v>1993</v>
      </c>
      <c r="B1634" s="1" t="s">
        <v>99</v>
      </c>
      <c r="C1634" t="s">
        <v>51</v>
      </c>
      <c r="D1634">
        <v>4</v>
      </c>
      <c r="E1634">
        <v>54</v>
      </c>
      <c r="F1634">
        <v>0.26</v>
      </c>
      <c r="G1634">
        <f t="shared" si="26"/>
        <v>8.666666666666667E-2</v>
      </c>
      <c r="H1634">
        <f>G1634*(26.79/38.29)</f>
        <v>6.0637242099764947E-2</v>
      </c>
    </row>
    <row r="1635" spans="1:8" x14ac:dyDescent="0.25">
      <c r="A1635" s="1">
        <v>1993</v>
      </c>
      <c r="B1635" s="1" t="s">
        <v>99</v>
      </c>
      <c r="C1635" t="s">
        <v>51</v>
      </c>
      <c r="D1635">
        <v>4</v>
      </c>
      <c r="E1635">
        <v>54</v>
      </c>
      <c r="F1635">
        <v>0.13</v>
      </c>
      <c r="G1635">
        <f t="shared" si="26"/>
        <v>4.3333333333333335E-2</v>
      </c>
      <c r="H1635">
        <f>G1635*(26.79/38.29)</f>
        <v>3.0318621049882474E-2</v>
      </c>
    </row>
    <row r="1636" spans="1:8" x14ac:dyDescent="0.25">
      <c r="A1636" s="1">
        <v>1993</v>
      </c>
      <c r="B1636" s="1" t="s">
        <v>99</v>
      </c>
      <c r="C1636" t="s">
        <v>51</v>
      </c>
      <c r="D1636">
        <v>4</v>
      </c>
      <c r="E1636">
        <v>54</v>
      </c>
      <c r="F1636">
        <v>0.1</v>
      </c>
      <c r="G1636">
        <f t="shared" si="26"/>
        <v>3.333333333333334E-2</v>
      </c>
      <c r="H1636">
        <f>G1636*(26.79/38.29)</f>
        <v>2.3322016192217292E-2</v>
      </c>
    </row>
    <row r="1637" spans="1:8" x14ac:dyDescent="0.25">
      <c r="A1637" s="1">
        <v>1993</v>
      </c>
      <c r="B1637" s="1" t="s">
        <v>99</v>
      </c>
      <c r="C1637" t="s">
        <v>51</v>
      </c>
      <c r="D1637">
        <v>4</v>
      </c>
      <c r="E1637">
        <v>54</v>
      </c>
      <c r="F1637">
        <v>0.04</v>
      </c>
      <c r="G1637">
        <f t="shared" si="26"/>
        <v>1.3333333333333332E-2</v>
      </c>
      <c r="H1637">
        <f>G1637*(26.79/38.29)</f>
        <v>9.3288064768869139E-3</v>
      </c>
    </row>
    <row r="1638" spans="1:8" x14ac:dyDescent="0.25">
      <c r="A1638" s="1">
        <v>1993</v>
      </c>
      <c r="B1638" s="1" t="s">
        <v>99</v>
      </c>
      <c r="C1638" t="s">
        <v>51</v>
      </c>
      <c r="D1638">
        <v>4</v>
      </c>
      <c r="E1638">
        <v>54</v>
      </c>
      <c r="F1638">
        <v>7.0000000000000007E-2</v>
      </c>
      <c r="G1638">
        <f t="shared" si="26"/>
        <v>2.3333333333333338E-2</v>
      </c>
      <c r="H1638">
        <f>G1638*(26.79/38.29)</f>
        <v>1.6325411334552103E-2</v>
      </c>
    </row>
    <row r="1639" spans="1:8" x14ac:dyDescent="0.25">
      <c r="A1639" s="1">
        <v>1993</v>
      </c>
      <c r="B1639" s="1" t="s">
        <v>99</v>
      </c>
      <c r="C1639" t="s">
        <v>51</v>
      </c>
      <c r="D1639">
        <v>4</v>
      </c>
      <c r="E1639">
        <v>54</v>
      </c>
      <c r="F1639">
        <v>0.05</v>
      </c>
      <c r="G1639">
        <f t="shared" si="26"/>
        <v>1.666666666666667E-2</v>
      </c>
      <c r="H1639">
        <f>G1639*(26.79/38.29)</f>
        <v>1.1661008096108646E-2</v>
      </c>
    </row>
    <row r="1640" spans="1:8" x14ac:dyDescent="0.25">
      <c r="A1640" s="1">
        <v>1993</v>
      </c>
      <c r="B1640" s="1" t="s">
        <v>99</v>
      </c>
      <c r="C1640" t="s">
        <v>51</v>
      </c>
      <c r="D1640">
        <v>4</v>
      </c>
      <c r="E1640">
        <v>54</v>
      </c>
      <c r="F1640">
        <v>0.41</v>
      </c>
      <c r="G1640">
        <f t="shared" si="26"/>
        <v>0.13666666666666666</v>
      </c>
      <c r="H1640">
        <f>G1640*(26.79/38.29)</f>
        <v>9.5620266388090874E-2</v>
      </c>
    </row>
    <row r="1641" spans="1:8" x14ac:dyDescent="0.25">
      <c r="A1641" s="1">
        <v>1993</v>
      </c>
      <c r="B1641" s="1" t="s">
        <v>99</v>
      </c>
      <c r="C1641" t="s">
        <v>51</v>
      </c>
      <c r="D1641">
        <v>4</v>
      </c>
      <c r="E1641">
        <v>54</v>
      </c>
      <c r="F1641">
        <v>0.16</v>
      </c>
      <c r="G1641">
        <f t="shared" si="26"/>
        <v>5.333333333333333E-2</v>
      </c>
      <c r="H1641">
        <f>G1641*(26.79/38.29)</f>
        <v>3.7315225907547656E-2</v>
      </c>
    </row>
    <row r="1642" spans="1:8" x14ac:dyDescent="0.25">
      <c r="A1642" s="1">
        <v>1993</v>
      </c>
      <c r="B1642" s="1" t="s">
        <v>99</v>
      </c>
      <c r="C1642" t="s">
        <v>51</v>
      </c>
      <c r="D1642">
        <v>4</v>
      </c>
      <c r="E1642">
        <v>54</v>
      </c>
      <c r="F1642">
        <v>0.8</v>
      </c>
      <c r="G1642">
        <f t="shared" si="26"/>
        <v>0.26666666666666672</v>
      </c>
      <c r="H1642">
        <f>G1642*(26.79/38.29)</f>
        <v>0.18657612953773833</v>
      </c>
    </row>
    <row r="1643" spans="1:8" x14ac:dyDescent="0.25">
      <c r="A1643" s="1">
        <v>1993</v>
      </c>
      <c r="B1643" s="1" t="s">
        <v>99</v>
      </c>
      <c r="C1643" t="s">
        <v>51</v>
      </c>
      <c r="D1643">
        <v>4</v>
      </c>
      <c r="E1643">
        <v>54</v>
      </c>
      <c r="F1643">
        <v>0.1</v>
      </c>
      <c r="G1643">
        <f t="shared" si="26"/>
        <v>3.333333333333334E-2</v>
      </c>
      <c r="H1643">
        <f>G1643*(26.79/38.29)</f>
        <v>2.3322016192217292E-2</v>
      </c>
    </row>
    <row r="1644" spans="1:8" x14ac:dyDescent="0.25">
      <c r="A1644" s="1">
        <v>1993</v>
      </c>
      <c r="B1644" s="1" t="s">
        <v>99</v>
      </c>
      <c r="C1644" t="s">
        <v>51</v>
      </c>
      <c r="D1644">
        <v>4</v>
      </c>
      <c r="E1644">
        <v>54</v>
      </c>
      <c r="F1644">
        <v>0.66</v>
      </c>
      <c r="G1644">
        <f t="shared" si="26"/>
        <v>0.22000000000000003</v>
      </c>
      <c r="H1644">
        <f>G1644*(26.79/38.29)</f>
        <v>0.15392530686863412</v>
      </c>
    </row>
    <row r="1645" spans="1:8" x14ac:dyDescent="0.25">
      <c r="A1645" s="1">
        <v>1993</v>
      </c>
      <c r="B1645" s="1" t="s">
        <v>99</v>
      </c>
      <c r="C1645" t="s">
        <v>51</v>
      </c>
      <c r="D1645">
        <v>4</v>
      </c>
      <c r="E1645">
        <v>54</v>
      </c>
      <c r="F1645">
        <v>0.76</v>
      </c>
      <c r="G1645">
        <f t="shared" si="26"/>
        <v>0.25333333333333335</v>
      </c>
      <c r="H1645">
        <f>G1645*(26.79/38.29)</f>
        <v>0.17724732306085139</v>
      </c>
    </row>
    <row r="1646" spans="1:8" x14ac:dyDescent="0.25">
      <c r="A1646" s="1">
        <v>1993</v>
      </c>
      <c r="B1646" s="1" t="s">
        <v>99</v>
      </c>
      <c r="C1646" t="s">
        <v>51</v>
      </c>
      <c r="D1646">
        <v>4</v>
      </c>
      <c r="E1646">
        <v>54</v>
      </c>
      <c r="F1646">
        <v>0.05</v>
      </c>
      <c r="G1646">
        <f t="shared" si="26"/>
        <v>1.666666666666667E-2</v>
      </c>
      <c r="H1646">
        <f>G1646*(26.79/38.29)</f>
        <v>1.1661008096108646E-2</v>
      </c>
    </row>
    <row r="1647" spans="1:8" x14ac:dyDescent="0.25">
      <c r="A1647" s="1">
        <v>1993</v>
      </c>
      <c r="B1647" s="1" t="s">
        <v>99</v>
      </c>
      <c r="C1647" t="s">
        <v>51</v>
      </c>
      <c r="D1647">
        <v>4</v>
      </c>
      <c r="E1647">
        <v>54</v>
      </c>
      <c r="F1647">
        <v>0.05</v>
      </c>
      <c r="G1647">
        <f t="shared" si="26"/>
        <v>1.666666666666667E-2</v>
      </c>
      <c r="H1647">
        <f>G1647*(26.79/38.29)</f>
        <v>1.1661008096108646E-2</v>
      </c>
    </row>
    <row r="1648" spans="1:8" x14ac:dyDescent="0.25">
      <c r="A1648" s="1">
        <v>1993</v>
      </c>
      <c r="B1648" s="1" t="s">
        <v>99</v>
      </c>
      <c r="C1648" t="s">
        <v>51</v>
      </c>
      <c r="D1648">
        <v>4</v>
      </c>
      <c r="E1648">
        <v>54</v>
      </c>
      <c r="F1648">
        <v>0.06</v>
      </c>
      <c r="G1648">
        <f t="shared" si="26"/>
        <v>0.02</v>
      </c>
      <c r="H1648">
        <f>G1648*(26.79/38.29)</f>
        <v>1.3993209715330373E-2</v>
      </c>
    </row>
    <row r="1649" spans="1:8" x14ac:dyDescent="0.25">
      <c r="A1649" s="1">
        <v>1993</v>
      </c>
      <c r="B1649" s="1" t="s">
        <v>99</v>
      </c>
      <c r="C1649" t="s">
        <v>51</v>
      </c>
      <c r="D1649">
        <v>4</v>
      </c>
      <c r="E1649">
        <v>54</v>
      </c>
      <c r="F1649">
        <v>0.33</v>
      </c>
      <c r="G1649">
        <f t="shared" si="26"/>
        <v>0.11000000000000001</v>
      </c>
      <c r="H1649">
        <f>G1649*(26.79/38.29)</f>
        <v>7.696265343431706E-2</v>
      </c>
    </row>
    <row r="1650" spans="1:8" x14ac:dyDescent="0.25">
      <c r="A1650" s="1">
        <v>1993</v>
      </c>
      <c r="B1650" s="1" t="s">
        <v>99</v>
      </c>
      <c r="C1650" t="s">
        <v>51</v>
      </c>
      <c r="D1650">
        <v>4</v>
      </c>
      <c r="E1650">
        <v>54</v>
      </c>
      <c r="F1650">
        <v>0.05</v>
      </c>
      <c r="G1650">
        <f t="shared" si="26"/>
        <v>1.666666666666667E-2</v>
      </c>
      <c r="H1650">
        <f>G1650*(26.79/38.29)</f>
        <v>1.1661008096108646E-2</v>
      </c>
    </row>
    <row r="1651" spans="1:8" x14ac:dyDescent="0.25">
      <c r="A1651" s="1">
        <v>1993</v>
      </c>
      <c r="B1651" s="1" t="s">
        <v>99</v>
      </c>
      <c r="C1651" t="s">
        <v>51</v>
      </c>
      <c r="D1651">
        <v>4</v>
      </c>
      <c r="E1651">
        <v>54</v>
      </c>
      <c r="F1651">
        <v>0.55000000000000004</v>
      </c>
      <c r="G1651">
        <f t="shared" si="26"/>
        <v>0.18333333333333335</v>
      </c>
      <c r="H1651">
        <f>G1651*(26.79/38.29)</f>
        <v>0.12827108905719509</v>
      </c>
    </row>
    <row r="1652" spans="1:8" x14ac:dyDescent="0.25">
      <c r="A1652" s="1">
        <v>1993</v>
      </c>
      <c r="B1652" s="1" t="s">
        <v>99</v>
      </c>
      <c r="C1652" t="s">
        <v>51</v>
      </c>
      <c r="D1652">
        <v>4</v>
      </c>
      <c r="E1652">
        <v>54</v>
      </c>
      <c r="F1652">
        <v>0.09</v>
      </c>
      <c r="G1652">
        <f t="shared" si="26"/>
        <v>0.03</v>
      </c>
      <c r="H1652">
        <f>G1652*(26.79/38.29)</f>
        <v>2.0989814572995556E-2</v>
      </c>
    </row>
    <row r="1653" spans="1:8" x14ac:dyDescent="0.25">
      <c r="A1653" s="1">
        <v>1993</v>
      </c>
      <c r="B1653" s="1" t="s">
        <v>99</v>
      </c>
      <c r="C1653" t="s">
        <v>51</v>
      </c>
      <c r="D1653">
        <v>4</v>
      </c>
      <c r="E1653">
        <v>54</v>
      </c>
      <c r="F1653">
        <v>0.04</v>
      </c>
      <c r="G1653">
        <f t="shared" si="26"/>
        <v>1.3333333333333332E-2</v>
      </c>
      <c r="H1653">
        <f>G1653*(26.79/38.29)</f>
        <v>9.3288064768869139E-3</v>
      </c>
    </row>
    <row r="1654" spans="1:8" x14ac:dyDescent="0.25">
      <c r="A1654" s="1">
        <v>1993</v>
      </c>
      <c r="B1654" s="1" t="s">
        <v>99</v>
      </c>
      <c r="C1654" t="s">
        <v>51</v>
      </c>
      <c r="D1654">
        <v>4</v>
      </c>
      <c r="E1654">
        <v>54</v>
      </c>
      <c r="F1654">
        <v>1.01</v>
      </c>
      <c r="G1654">
        <f t="shared" si="26"/>
        <v>0.33666666666666667</v>
      </c>
      <c r="H1654">
        <f>G1654*(26.79/38.29)</f>
        <v>0.23555236354139461</v>
      </c>
    </row>
    <row r="1655" spans="1:8" x14ac:dyDescent="0.25">
      <c r="A1655" s="1">
        <v>1993</v>
      </c>
      <c r="B1655" s="1" t="s">
        <v>99</v>
      </c>
      <c r="C1655" t="s">
        <v>51</v>
      </c>
      <c r="D1655">
        <v>4</v>
      </c>
      <c r="E1655">
        <v>54</v>
      </c>
      <c r="F1655">
        <v>0.68</v>
      </c>
      <c r="G1655">
        <f t="shared" si="26"/>
        <v>0.22666666666666671</v>
      </c>
      <c r="H1655">
        <f>G1655*(26.79/38.29)</f>
        <v>0.15858971010707759</v>
      </c>
    </row>
    <row r="1656" spans="1:8" x14ac:dyDescent="0.25">
      <c r="A1656" s="1">
        <v>1993</v>
      </c>
      <c r="B1656" s="1" t="s">
        <v>99</v>
      </c>
      <c r="C1656" t="s">
        <v>51</v>
      </c>
      <c r="D1656">
        <v>4</v>
      </c>
      <c r="E1656">
        <v>54</v>
      </c>
      <c r="F1656">
        <v>0.41</v>
      </c>
      <c r="G1656">
        <f t="shared" si="26"/>
        <v>0.13666666666666666</v>
      </c>
      <c r="H1656">
        <f>G1656*(26.79/38.29)</f>
        <v>9.5620266388090874E-2</v>
      </c>
    </row>
    <row r="1657" spans="1:8" x14ac:dyDescent="0.25">
      <c r="A1657" s="1">
        <v>1993</v>
      </c>
      <c r="B1657" s="1" t="s">
        <v>99</v>
      </c>
      <c r="C1657" t="s">
        <v>51</v>
      </c>
      <c r="D1657">
        <v>4</v>
      </c>
      <c r="E1657">
        <v>54</v>
      </c>
      <c r="F1657">
        <v>7.0000000000000007E-2</v>
      </c>
      <c r="G1657">
        <f t="shared" si="26"/>
        <v>2.3333333333333338E-2</v>
      </c>
      <c r="H1657">
        <f>G1657*(26.79/38.29)</f>
        <v>1.6325411334552103E-2</v>
      </c>
    </row>
    <row r="1658" spans="1:8" x14ac:dyDescent="0.25">
      <c r="A1658" s="1">
        <v>1993</v>
      </c>
      <c r="B1658" s="1" t="s">
        <v>99</v>
      </c>
      <c r="C1658" t="s">
        <v>51</v>
      </c>
      <c r="D1658">
        <v>4</v>
      </c>
      <c r="E1658">
        <v>56</v>
      </c>
      <c r="F1658">
        <v>1.45</v>
      </c>
      <c r="G1658">
        <f t="shared" si="26"/>
        <v>0.48333333333333328</v>
      </c>
      <c r="H1658">
        <f>G1658*(26.79/38.29)</f>
        <v>0.33816923478715061</v>
      </c>
    </row>
    <row r="1659" spans="1:8" x14ac:dyDescent="0.25">
      <c r="A1659" s="1">
        <v>1993</v>
      </c>
      <c r="B1659" s="1" t="s">
        <v>99</v>
      </c>
      <c r="C1659" t="s">
        <v>51</v>
      </c>
      <c r="D1659">
        <v>4</v>
      </c>
      <c r="E1659">
        <v>63</v>
      </c>
      <c r="F1659">
        <v>0.06</v>
      </c>
      <c r="G1659">
        <f t="shared" si="26"/>
        <v>0.02</v>
      </c>
      <c r="H1659">
        <f>G1659*(26.79/38.29)</f>
        <v>1.3993209715330373E-2</v>
      </c>
    </row>
    <row r="1660" spans="1:8" x14ac:dyDescent="0.25">
      <c r="A1660" s="1">
        <v>1993</v>
      </c>
      <c r="B1660" s="1" t="s">
        <v>99</v>
      </c>
      <c r="C1660" t="s">
        <v>51</v>
      </c>
      <c r="D1660">
        <v>4</v>
      </c>
      <c r="E1660">
        <v>63</v>
      </c>
      <c r="F1660">
        <v>0.12</v>
      </c>
      <c r="G1660">
        <f t="shared" si="26"/>
        <v>0.04</v>
      </c>
      <c r="H1660">
        <f>G1660*(26.79/38.29)</f>
        <v>2.7986419430660745E-2</v>
      </c>
    </row>
    <row r="1661" spans="1:8" x14ac:dyDescent="0.25">
      <c r="A1661" s="1">
        <v>1993</v>
      </c>
      <c r="B1661" s="1" t="s">
        <v>99</v>
      </c>
      <c r="C1661" t="s">
        <v>51</v>
      </c>
      <c r="D1661">
        <v>4</v>
      </c>
      <c r="E1661">
        <v>63</v>
      </c>
      <c r="F1661">
        <v>0.03</v>
      </c>
      <c r="G1661">
        <f t="shared" ref="G1661:G1724" si="27">(F1661/0.6)/5</f>
        <v>0.01</v>
      </c>
      <c r="H1661">
        <f>G1661*(26.79/38.29)</f>
        <v>6.9966048576651863E-3</v>
      </c>
    </row>
    <row r="1662" spans="1:8" x14ac:dyDescent="0.25">
      <c r="A1662" s="1">
        <v>1993</v>
      </c>
      <c r="B1662" s="1" t="s">
        <v>99</v>
      </c>
      <c r="C1662" t="s">
        <v>51</v>
      </c>
      <c r="D1662">
        <v>4</v>
      </c>
      <c r="E1662">
        <v>63</v>
      </c>
      <c r="F1662">
        <v>0.05</v>
      </c>
      <c r="G1662">
        <f t="shared" si="27"/>
        <v>1.666666666666667E-2</v>
      </c>
      <c r="H1662">
        <f>G1662*(26.79/38.29)</f>
        <v>1.1661008096108646E-2</v>
      </c>
    </row>
    <row r="1663" spans="1:8" x14ac:dyDescent="0.25">
      <c r="A1663" s="1">
        <v>1993</v>
      </c>
      <c r="B1663" s="1" t="s">
        <v>99</v>
      </c>
      <c r="C1663" t="s">
        <v>51</v>
      </c>
      <c r="D1663">
        <v>4</v>
      </c>
      <c r="E1663">
        <v>63</v>
      </c>
      <c r="F1663">
        <v>0.06</v>
      </c>
      <c r="G1663">
        <f t="shared" si="27"/>
        <v>0.02</v>
      </c>
      <c r="H1663">
        <f>G1663*(26.79/38.29)</f>
        <v>1.3993209715330373E-2</v>
      </c>
    </row>
    <row r="1664" spans="1:8" x14ac:dyDescent="0.25">
      <c r="A1664" s="1">
        <v>1993</v>
      </c>
      <c r="B1664" s="1" t="s">
        <v>99</v>
      </c>
      <c r="C1664" t="s">
        <v>51</v>
      </c>
      <c r="D1664">
        <v>4</v>
      </c>
      <c r="E1664">
        <v>63</v>
      </c>
      <c r="F1664">
        <v>0.1</v>
      </c>
      <c r="G1664">
        <f t="shared" si="27"/>
        <v>3.333333333333334E-2</v>
      </c>
      <c r="H1664">
        <f>G1664*(26.79/38.29)</f>
        <v>2.3322016192217292E-2</v>
      </c>
    </row>
    <row r="1665" spans="1:8" x14ac:dyDescent="0.25">
      <c r="A1665" s="1">
        <v>1993</v>
      </c>
      <c r="B1665" s="1" t="s">
        <v>99</v>
      </c>
      <c r="C1665" t="s">
        <v>51</v>
      </c>
      <c r="D1665">
        <v>4</v>
      </c>
      <c r="E1665">
        <v>63</v>
      </c>
      <c r="F1665">
        <v>0.15</v>
      </c>
      <c r="G1665">
        <f t="shared" si="27"/>
        <v>0.05</v>
      </c>
      <c r="H1665">
        <f>G1665*(26.79/38.29)</f>
        <v>3.4983024288325934E-2</v>
      </c>
    </row>
    <row r="1666" spans="1:8" x14ac:dyDescent="0.25">
      <c r="A1666" s="1">
        <v>1993</v>
      </c>
      <c r="B1666" s="1" t="s">
        <v>99</v>
      </c>
      <c r="C1666" t="s">
        <v>51</v>
      </c>
      <c r="D1666">
        <v>4</v>
      </c>
      <c r="E1666">
        <v>63</v>
      </c>
      <c r="F1666">
        <v>0.03</v>
      </c>
      <c r="G1666">
        <f t="shared" si="27"/>
        <v>0.01</v>
      </c>
      <c r="H1666">
        <f>G1666*(26.79/38.29)</f>
        <v>6.9966048576651863E-3</v>
      </c>
    </row>
    <row r="1667" spans="1:8" x14ac:dyDescent="0.25">
      <c r="A1667" s="1">
        <v>1993</v>
      </c>
      <c r="B1667" s="1" t="s">
        <v>99</v>
      </c>
      <c r="C1667" t="s">
        <v>51</v>
      </c>
      <c r="D1667">
        <v>4</v>
      </c>
      <c r="E1667">
        <v>71</v>
      </c>
      <c r="F1667">
        <v>0.09</v>
      </c>
      <c r="G1667">
        <f t="shared" si="27"/>
        <v>0.03</v>
      </c>
      <c r="H1667">
        <f>G1667*(26.79/38.29)</f>
        <v>2.0989814572995556E-2</v>
      </c>
    </row>
    <row r="1668" spans="1:8" x14ac:dyDescent="0.25">
      <c r="A1668" s="1">
        <v>1993</v>
      </c>
      <c r="B1668" s="1" t="s">
        <v>99</v>
      </c>
      <c r="C1668" t="s">
        <v>51</v>
      </c>
      <c r="D1668">
        <v>4</v>
      </c>
      <c r="E1668">
        <v>76</v>
      </c>
      <c r="F1668">
        <v>0.12</v>
      </c>
      <c r="G1668">
        <f t="shared" si="27"/>
        <v>0.04</v>
      </c>
      <c r="H1668">
        <f>G1668*(26.79/38.29)</f>
        <v>2.7986419430660745E-2</v>
      </c>
    </row>
    <row r="1669" spans="1:8" x14ac:dyDescent="0.25">
      <c r="A1669" s="1">
        <v>1993</v>
      </c>
      <c r="B1669" s="1" t="s">
        <v>99</v>
      </c>
      <c r="C1669" t="s">
        <v>51</v>
      </c>
      <c r="D1669">
        <v>4</v>
      </c>
      <c r="E1669">
        <v>76</v>
      </c>
      <c r="F1669">
        <v>0.06</v>
      </c>
      <c r="G1669">
        <f t="shared" si="27"/>
        <v>0.02</v>
      </c>
      <c r="H1669">
        <f>G1669*(26.79/38.29)</f>
        <v>1.3993209715330373E-2</v>
      </c>
    </row>
    <row r="1670" spans="1:8" x14ac:dyDescent="0.25">
      <c r="A1670" s="1">
        <v>1993</v>
      </c>
      <c r="B1670" s="1" t="s">
        <v>99</v>
      </c>
      <c r="C1670" t="s">
        <v>51</v>
      </c>
      <c r="D1670">
        <v>4</v>
      </c>
      <c r="E1670">
        <v>76</v>
      </c>
      <c r="F1670">
        <v>0.1</v>
      </c>
      <c r="G1670">
        <f t="shared" si="27"/>
        <v>3.333333333333334E-2</v>
      </c>
      <c r="H1670">
        <f>G1670*(26.79/38.29)</f>
        <v>2.3322016192217292E-2</v>
      </c>
    </row>
    <row r="1671" spans="1:8" x14ac:dyDescent="0.25">
      <c r="A1671" s="1">
        <v>1993</v>
      </c>
      <c r="B1671" s="1" t="s">
        <v>99</v>
      </c>
      <c r="C1671" t="s">
        <v>51</v>
      </c>
      <c r="D1671">
        <v>4</v>
      </c>
      <c r="E1671">
        <v>76</v>
      </c>
      <c r="F1671">
        <v>1.02</v>
      </c>
      <c r="G1671">
        <f t="shared" si="27"/>
        <v>0.34</v>
      </c>
      <c r="H1671">
        <f>G1671*(26.79/38.29)</f>
        <v>0.23788456516061635</v>
      </c>
    </row>
    <row r="1672" spans="1:8" x14ac:dyDescent="0.25">
      <c r="A1672" s="1">
        <v>1993</v>
      </c>
      <c r="B1672" s="1" t="s">
        <v>99</v>
      </c>
      <c r="C1672" t="s">
        <v>51</v>
      </c>
      <c r="D1672">
        <v>4</v>
      </c>
      <c r="E1672">
        <v>76</v>
      </c>
      <c r="F1672">
        <v>0.13</v>
      </c>
      <c r="G1672">
        <f t="shared" si="27"/>
        <v>4.3333333333333335E-2</v>
      </c>
      <c r="H1672">
        <f>G1672*(26.79/38.29)</f>
        <v>3.0318621049882474E-2</v>
      </c>
    </row>
    <row r="1673" spans="1:8" x14ac:dyDescent="0.25">
      <c r="A1673" s="1">
        <v>1993</v>
      </c>
      <c r="B1673" s="1" t="s">
        <v>99</v>
      </c>
      <c r="C1673" t="s">
        <v>51</v>
      </c>
      <c r="D1673">
        <v>4</v>
      </c>
      <c r="E1673">
        <v>76</v>
      </c>
      <c r="F1673">
        <v>0.14000000000000001</v>
      </c>
      <c r="G1673">
        <f t="shared" si="27"/>
        <v>4.6666666666666676E-2</v>
      </c>
      <c r="H1673">
        <f>G1673*(26.79/38.29)</f>
        <v>3.2650822669104206E-2</v>
      </c>
    </row>
    <row r="1674" spans="1:8" x14ac:dyDescent="0.25">
      <c r="A1674" s="1">
        <v>1993</v>
      </c>
      <c r="B1674" s="1" t="s">
        <v>99</v>
      </c>
      <c r="C1674" t="s">
        <v>51</v>
      </c>
      <c r="D1674">
        <v>4</v>
      </c>
      <c r="E1674">
        <v>76</v>
      </c>
      <c r="F1674">
        <v>0.27</v>
      </c>
      <c r="G1674">
        <f t="shared" si="27"/>
        <v>9.0000000000000011E-2</v>
      </c>
      <c r="H1674">
        <f>G1674*(26.79/38.29)</f>
        <v>6.296944371898669E-2</v>
      </c>
    </row>
    <row r="1675" spans="1:8" x14ac:dyDescent="0.25">
      <c r="A1675" s="1">
        <v>1993</v>
      </c>
      <c r="B1675" s="1" t="s">
        <v>99</v>
      </c>
      <c r="C1675" t="s">
        <v>51</v>
      </c>
      <c r="D1675">
        <v>4</v>
      </c>
      <c r="E1675">
        <v>76</v>
      </c>
      <c r="F1675">
        <v>0.71</v>
      </c>
      <c r="G1675">
        <f t="shared" si="27"/>
        <v>0.23666666666666666</v>
      </c>
      <c r="H1675">
        <f>G1675*(26.79/38.29)</f>
        <v>0.16558631496474274</v>
      </c>
    </row>
    <row r="1676" spans="1:8" x14ac:dyDescent="0.25">
      <c r="A1676" s="1">
        <v>1993</v>
      </c>
      <c r="B1676" s="1" t="s">
        <v>99</v>
      </c>
      <c r="C1676" t="s">
        <v>51</v>
      </c>
      <c r="D1676">
        <v>4</v>
      </c>
      <c r="E1676">
        <v>76</v>
      </c>
      <c r="F1676">
        <v>0.05</v>
      </c>
      <c r="G1676">
        <f t="shared" si="27"/>
        <v>1.666666666666667E-2</v>
      </c>
      <c r="H1676">
        <f>G1676*(26.79/38.29)</f>
        <v>1.1661008096108646E-2</v>
      </c>
    </row>
    <row r="1677" spans="1:8" x14ac:dyDescent="0.25">
      <c r="A1677" s="1">
        <v>1993</v>
      </c>
      <c r="B1677" s="1" t="s">
        <v>99</v>
      </c>
      <c r="C1677" t="s">
        <v>51</v>
      </c>
      <c r="D1677">
        <v>4</v>
      </c>
      <c r="E1677">
        <v>78</v>
      </c>
      <c r="F1677">
        <v>0.06</v>
      </c>
      <c r="G1677">
        <f t="shared" si="27"/>
        <v>0.02</v>
      </c>
      <c r="H1677">
        <f>G1677*(26.79/38.29)</f>
        <v>1.3993209715330373E-2</v>
      </c>
    </row>
    <row r="1678" spans="1:8" x14ac:dyDescent="0.25">
      <c r="A1678" s="1">
        <v>1993</v>
      </c>
      <c r="B1678" s="1" t="s">
        <v>99</v>
      </c>
      <c r="C1678" t="s">
        <v>51</v>
      </c>
      <c r="D1678">
        <v>4</v>
      </c>
      <c r="E1678">
        <v>79</v>
      </c>
      <c r="F1678">
        <v>0.57999999999999996</v>
      </c>
      <c r="G1678">
        <f t="shared" si="27"/>
        <v>0.19333333333333333</v>
      </c>
      <c r="H1678">
        <f>G1678*(26.79/38.29)</f>
        <v>0.13526769391486027</v>
      </c>
    </row>
    <row r="1679" spans="1:8" x14ac:dyDescent="0.25">
      <c r="A1679" s="1">
        <v>1993</v>
      </c>
      <c r="B1679" s="1" t="s">
        <v>99</v>
      </c>
      <c r="C1679" t="s">
        <v>51</v>
      </c>
      <c r="D1679">
        <v>4</v>
      </c>
      <c r="E1679">
        <v>79</v>
      </c>
      <c r="F1679">
        <v>0.09</v>
      </c>
      <c r="G1679">
        <f t="shared" si="27"/>
        <v>0.03</v>
      </c>
      <c r="H1679">
        <f>G1679*(26.79/38.29)</f>
        <v>2.0989814572995556E-2</v>
      </c>
    </row>
    <row r="1680" spans="1:8" x14ac:dyDescent="0.25">
      <c r="A1680" s="1">
        <v>1993</v>
      </c>
      <c r="B1680" s="1" t="s">
        <v>99</v>
      </c>
      <c r="C1680" t="s">
        <v>51</v>
      </c>
      <c r="D1680">
        <v>4</v>
      </c>
      <c r="E1680">
        <v>79</v>
      </c>
      <c r="F1680">
        <v>0.18</v>
      </c>
      <c r="G1680">
        <f t="shared" si="27"/>
        <v>0.06</v>
      </c>
      <c r="H1680">
        <f>G1680*(26.79/38.29)</f>
        <v>4.1979629145991113E-2</v>
      </c>
    </row>
    <row r="1681" spans="1:8" x14ac:dyDescent="0.25">
      <c r="A1681" s="1">
        <v>1993</v>
      </c>
      <c r="B1681" s="1" t="s">
        <v>99</v>
      </c>
      <c r="C1681" t="s">
        <v>51</v>
      </c>
      <c r="D1681">
        <v>4</v>
      </c>
      <c r="E1681">
        <v>79</v>
      </c>
      <c r="F1681">
        <v>0.2</v>
      </c>
      <c r="G1681">
        <f t="shared" si="27"/>
        <v>6.666666666666668E-2</v>
      </c>
      <c r="H1681">
        <f>G1681*(26.79/38.29)</f>
        <v>4.6644032384434583E-2</v>
      </c>
    </row>
    <row r="1682" spans="1:8" x14ac:dyDescent="0.25">
      <c r="A1682" s="1">
        <v>1993</v>
      </c>
      <c r="B1682" s="1" t="s">
        <v>99</v>
      </c>
      <c r="C1682" t="s">
        <v>51</v>
      </c>
      <c r="D1682">
        <v>4</v>
      </c>
      <c r="E1682">
        <v>79</v>
      </c>
      <c r="F1682">
        <v>0.11</v>
      </c>
      <c r="G1682">
        <f t="shared" si="27"/>
        <v>3.6666666666666667E-2</v>
      </c>
      <c r="H1682">
        <f>G1682*(26.79/38.29)</f>
        <v>2.5654217811439017E-2</v>
      </c>
    </row>
    <row r="1683" spans="1:8" x14ac:dyDescent="0.25">
      <c r="A1683" s="1">
        <v>1993</v>
      </c>
      <c r="B1683" s="1" t="s">
        <v>99</v>
      </c>
      <c r="C1683" t="s">
        <v>51</v>
      </c>
      <c r="D1683">
        <v>4</v>
      </c>
      <c r="E1683">
        <v>79</v>
      </c>
      <c r="F1683">
        <v>0.04</v>
      </c>
      <c r="G1683">
        <f t="shared" si="27"/>
        <v>1.3333333333333332E-2</v>
      </c>
      <c r="H1683">
        <f>G1683*(26.79/38.29)</f>
        <v>9.3288064768869139E-3</v>
      </c>
    </row>
    <row r="1684" spans="1:8" x14ac:dyDescent="0.25">
      <c r="A1684" s="1">
        <v>1993</v>
      </c>
      <c r="B1684" s="1" t="s">
        <v>99</v>
      </c>
      <c r="C1684" t="s">
        <v>51</v>
      </c>
      <c r="D1684">
        <v>4</v>
      </c>
      <c r="E1684">
        <v>79</v>
      </c>
      <c r="F1684">
        <v>0.42</v>
      </c>
      <c r="G1684">
        <f t="shared" si="27"/>
        <v>0.13999999999999999</v>
      </c>
      <c r="H1684">
        <f>G1684*(26.79/38.29)</f>
        <v>9.7952468007312596E-2</v>
      </c>
    </row>
    <row r="1685" spans="1:8" x14ac:dyDescent="0.25">
      <c r="A1685" s="1">
        <v>1993</v>
      </c>
      <c r="B1685" s="1" t="s">
        <v>99</v>
      </c>
      <c r="C1685" t="s">
        <v>51</v>
      </c>
      <c r="D1685">
        <v>4</v>
      </c>
      <c r="E1685">
        <v>79</v>
      </c>
      <c r="F1685">
        <v>0.49</v>
      </c>
      <c r="G1685">
        <f t="shared" si="27"/>
        <v>0.16333333333333333</v>
      </c>
      <c r="H1685">
        <f>G1685*(26.79/38.29)</f>
        <v>0.1142778793418647</v>
      </c>
    </row>
    <row r="1686" spans="1:8" x14ac:dyDescent="0.25">
      <c r="A1686" s="1">
        <v>1993</v>
      </c>
      <c r="B1686" s="1" t="s">
        <v>99</v>
      </c>
      <c r="C1686" t="s">
        <v>51</v>
      </c>
      <c r="D1686">
        <v>4</v>
      </c>
      <c r="E1686">
        <v>79</v>
      </c>
      <c r="F1686">
        <v>1.56</v>
      </c>
      <c r="G1686">
        <f t="shared" si="27"/>
        <v>0.52</v>
      </c>
      <c r="H1686">
        <f>G1686*(26.79/38.29)</f>
        <v>0.36382345259858972</v>
      </c>
    </row>
    <row r="1687" spans="1:8" x14ac:dyDescent="0.25">
      <c r="A1687" s="1">
        <v>1993</v>
      </c>
      <c r="B1687" s="1" t="s">
        <v>99</v>
      </c>
      <c r="C1687" t="s">
        <v>51</v>
      </c>
      <c r="D1687">
        <v>4</v>
      </c>
      <c r="E1687">
        <v>79</v>
      </c>
      <c r="F1687">
        <v>0.27</v>
      </c>
      <c r="G1687">
        <f t="shared" si="27"/>
        <v>9.0000000000000011E-2</v>
      </c>
      <c r="H1687">
        <f>G1687*(26.79/38.29)</f>
        <v>6.296944371898669E-2</v>
      </c>
    </row>
    <row r="1688" spans="1:8" x14ac:dyDescent="0.25">
      <c r="A1688" s="1">
        <v>1993</v>
      </c>
      <c r="B1688" s="1" t="s">
        <v>99</v>
      </c>
      <c r="C1688" t="s">
        <v>51</v>
      </c>
      <c r="D1688">
        <v>4</v>
      </c>
      <c r="E1688">
        <v>79</v>
      </c>
      <c r="F1688">
        <v>7.0000000000000007E-2</v>
      </c>
      <c r="G1688">
        <f t="shared" si="27"/>
        <v>2.3333333333333338E-2</v>
      </c>
      <c r="H1688">
        <f>G1688*(26.79/38.29)</f>
        <v>1.6325411334552103E-2</v>
      </c>
    </row>
    <row r="1689" spans="1:8" x14ac:dyDescent="0.25">
      <c r="A1689" s="1">
        <v>1993</v>
      </c>
      <c r="B1689" s="1" t="s">
        <v>99</v>
      </c>
      <c r="C1689" t="s">
        <v>51</v>
      </c>
      <c r="D1689">
        <v>4</v>
      </c>
      <c r="E1689">
        <v>79</v>
      </c>
      <c r="F1689">
        <v>0.12</v>
      </c>
      <c r="G1689">
        <f t="shared" si="27"/>
        <v>0.04</v>
      </c>
      <c r="H1689">
        <f>G1689*(26.79/38.29)</f>
        <v>2.7986419430660745E-2</v>
      </c>
    </row>
    <row r="1690" spans="1:8" x14ac:dyDescent="0.25">
      <c r="A1690" s="1">
        <v>1993</v>
      </c>
      <c r="B1690" s="1" t="s">
        <v>99</v>
      </c>
      <c r="C1690" t="s">
        <v>51</v>
      </c>
      <c r="D1690">
        <v>4</v>
      </c>
      <c r="E1690">
        <v>79</v>
      </c>
      <c r="F1690">
        <v>0.13</v>
      </c>
      <c r="G1690">
        <f t="shared" si="27"/>
        <v>4.3333333333333335E-2</v>
      </c>
      <c r="H1690">
        <f>G1690*(26.79/38.29)</f>
        <v>3.0318621049882474E-2</v>
      </c>
    </row>
    <row r="1691" spans="1:8" x14ac:dyDescent="0.25">
      <c r="A1691" s="1">
        <v>1993</v>
      </c>
      <c r="B1691" s="1" t="s">
        <v>99</v>
      </c>
      <c r="C1691" t="s">
        <v>51</v>
      </c>
      <c r="D1691">
        <v>4</v>
      </c>
      <c r="E1691">
        <v>79</v>
      </c>
      <c r="F1691">
        <v>0.08</v>
      </c>
      <c r="G1691">
        <f t="shared" si="27"/>
        <v>2.6666666666666665E-2</v>
      </c>
      <c r="H1691">
        <f>G1691*(26.79/38.29)</f>
        <v>1.8657612953773828E-2</v>
      </c>
    </row>
    <row r="1692" spans="1:8" x14ac:dyDescent="0.25">
      <c r="A1692" s="1">
        <v>1993</v>
      </c>
      <c r="B1692" s="1" t="s">
        <v>99</v>
      </c>
      <c r="C1692" t="s">
        <v>51</v>
      </c>
      <c r="D1692">
        <v>4</v>
      </c>
      <c r="E1692">
        <v>79</v>
      </c>
      <c r="F1692">
        <v>0.03</v>
      </c>
      <c r="G1692">
        <f t="shared" si="27"/>
        <v>0.01</v>
      </c>
      <c r="H1692">
        <f>G1692*(26.79/38.29)</f>
        <v>6.9966048576651863E-3</v>
      </c>
    </row>
    <row r="1693" spans="1:8" x14ac:dyDescent="0.25">
      <c r="A1693" s="1">
        <v>1993</v>
      </c>
      <c r="B1693" s="1" t="s">
        <v>99</v>
      </c>
      <c r="C1693" t="s">
        <v>51</v>
      </c>
      <c r="D1693">
        <v>4</v>
      </c>
      <c r="E1693">
        <v>79</v>
      </c>
      <c r="F1693">
        <v>0.77</v>
      </c>
      <c r="G1693">
        <f t="shared" si="27"/>
        <v>0.25666666666666671</v>
      </c>
      <c r="H1693">
        <f>G1693*(26.79/38.29)</f>
        <v>0.17957952468007315</v>
      </c>
    </row>
    <row r="1694" spans="1:8" x14ac:dyDescent="0.25">
      <c r="A1694" s="1">
        <v>1993</v>
      </c>
      <c r="B1694" s="1" t="s">
        <v>99</v>
      </c>
      <c r="C1694" t="s">
        <v>51</v>
      </c>
      <c r="D1694">
        <v>4</v>
      </c>
      <c r="E1694">
        <v>79</v>
      </c>
      <c r="F1694">
        <v>0.12</v>
      </c>
      <c r="G1694">
        <f t="shared" si="27"/>
        <v>0.04</v>
      </c>
      <c r="H1694">
        <f>G1694*(26.79/38.29)</f>
        <v>2.7986419430660745E-2</v>
      </c>
    </row>
    <row r="1695" spans="1:8" x14ac:dyDescent="0.25">
      <c r="A1695" s="1">
        <v>1993</v>
      </c>
      <c r="B1695" s="1" t="s">
        <v>99</v>
      </c>
      <c r="C1695" t="s">
        <v>51</v>
      </c>
      <c r="D1695">
        <v>4</v>
      </c>
      <c r="E1695">
        <v>79</v>
      </c>
      <c r="F1695">
        <v>0.67</v>
      </c>
      <c r="G1695">
        <f t="shared" si="27"/>
        <v>0.22333333333333333</v>
      </c>
      <c r="H1695">
        <f>G1695*(26.79/38.29)</f>
        <v>0.15625750848785583</v>
      </c>
    </row>
    <row r="1696" spans="1:8" x14ac:dyDescent="0.25">
      <c r="A1696" s="1">
        <v>1993</v>
      </c>
      <c r="B1696" s="1" t="s">
        <v>99</v>
      </c>
      <c r="C1696" t="s">
        <v>51</v>
      </c>
      <c r="D1696">
        <v>4</v>
      </c>
      <c r="E1696">
        <v>79</v>
      </c>
      <c r="F1696">
        <v>0.12</v>
      </c>
      <c r="G1696">
        <f t="shared" si="27"/>
        <v>0.04</v>
      </c>
      <c r="H1696">
        <f>G1696*(26.79/38.29)</f>
        <v>2.7986419430660745E-2</v>
      </c>
    </row>
    <row r="1697" spans="1:8" x14ac:dyDescent="0.25">
      <c r="A1697" s="1">
        <v>1993</v>
      </c>
      <c r="B1697" s="1" t="s">
        <v>99</v>
      </c>
      <c r="C1697" t="s">
        <v>51</v>
      </c>
      <c r="D1697">
        <v>4</v>
      </c>
      <c r="E1697">
        <v>79</v>
      </c>
      <c r="F1697">
        <v>7.0000000000000007E-2</v>
      </c>
      <c r="G1697">
        <f t="shared" si="27"/>
        <v>2.3333333333333338E-2</v>
      </c>
      <c r="H1697">
        <f>G1697*(26.79/38.29)</f>
        <v>1.6325411334552103E-2</v>
      </c>
    </row>
    <row r="1698" spans="1:8" x14ac:dyDescent="0.25">
      <c r="A1698" s="1">
        <v>1993</v>
      </c>
      <c r="B1698" s="1" t="s">
        <v>99</v>
      </c>
      <c r="C1698" t="s">
        <v>51</v>
      </c>
      <c r="D1698">
        <v>4</v>
      </c>
      <c r="E1698">
        <v>85</v>
      </c>
      <c r="F1698">
        <v>0.04</v>
      </c>
      <c r="G1698">
        <f t="shared" si="27"/>
        <v>1.3333333333333332E-2</v>
      </c>
      <c r="H1698">
        <f>G1698*(26.79/38.29)</f>
        <v>9.3288064768869139E-3</v>
      </c>
    </row>
    <row r="1699" spans="1:8" x14ac:dyDescent="0.25">
      <c r="A1699" s="1">
        <v>1993</v>
      </c>
      <c r="B1699" s="1" t="s">
        <v>99</v>
      </c>
      <c r="C1699" t="s">
        <v>51</v>
      </c>
      <c r="D1699">
        <v>4</v>
      </c>
      <c r="E1699">
        <v>85</v>
      </c>
      <c r="F1699">
        <v>0.61</v>
      </c>
      <c r="G1699">
        <f t="shared" si="27"/>
        <v>0.20333333333333331</v>
      </c>
      <c r="H1699">
        <f>G1699*(26.79/38.29)</f>
        <v>0.14226429877252544</v>
      </c>
    </row>
    <row r="1700" spans="1:8" x14ac:dyDescent="0.25">
      <c r="A1700" s="1">
        <v>1993</v>
      </c>
      <c r="B1700" s="1" t="s">
        <v>99</v>
      </c>
      <c r="C1700" t="s">
        <v>51</v>
      </c>
      <c r="D1700">
        <v>4</v>
      </c>
      <c r="E1700">
        <v>85</v>
      </c>
      <c r="F1700">
        <v>1.5</v>
      </c>
      <c r="G1700">
        <f t="shared" si="27"/>
        <v>0.5</v>
      </c>
      <c r="H1700">
        <f>G1700*(26.79/38.29)</f>
        <v>0.34983024288325931</v>
      </c>
    </row>
    <row r="1701" spans="1:8" x14ac:dyDescent="0.25">
      <c r="A1701" s="1">
        <v>1993</v>
      </c>
      <c r="B1701" s="1" t="s">
        <v>99</v>
      </c>
      <c r="C1701" t="s">
        <v>51</v>
      </c>
      <c r="D1701">
        <v>4</v>
      </c>
      <c r="E1701">
        <v>85</v>
      </c>
      <c r="F1701">
        <v>1.08</v>
      </c>
      <c r="G1701">
        <f t="shared" si="27"/>
        <v>0.36000000000000004</v>
      </c>
      <c r="H1701">
        <f>G1701*(26.79/38.29)</f>
        <v>0.25187777487594676</v>
      </c>
    </row>
    <row r="1702" spans="1:8" x14ac:dyDescent="0.25">
      <c r="A1702" s="1">
        <v>1993</v>
      </c>
      <c r="B1702" s="1" t="s">
        <v>99</v>
      </c>
      <c r="C1702" t="s">
        <v>51</v>
      </c>
      <c r="D1702">
        <v>5</v>
      </c>
      <c r="E1702">
        <v>21</v>
      </c>
      <c r="F1702">
        <v>0.31</v>
      </c>
      <c r="G1702">
        <f t="shared" si="27"/>
        <v>0.10333333333333335</v>
      </c>
      <c r="H1702">
        <f>G1702*(26.79/38.29)</f>
        <v>7.2298250195873603E-2</v>
      </c>
    </row>
    <row r="1703" spans="1:8" x14ac:dyDescent="0.25">
      <c r="A1703" s="1">
        <v>1993</v>
      </c>
      <c r="B1703" s="1" t="s">
        <v>99</v>
      </c>
      <c r="C1703" t="s">
        <v>51</v>
      </c>
      <c r="D1703">
        <v>5</v>
      </c>
      <c r="E1703">
        <v>29</v>
      </c>
      <c r="F1703">
        <v>0.05</v>
      </c>
      <c r="G1703">
        <f t="shared" si="27"/>
        <v>1.666666666666667E-2</v>
      </c>
      <c r="H1703">
        <f>G1703*(26.79/38.29)</f>
        <v>1.1661008096108646E-2</v>
      </c>
    </row>
    <row r="1704" spans="1:8" x14ac:dyDescent="0.25">
      <c r="A1704" s="1">
        <v>1993</v>
      </c>
      <c r="B1704" s="1" t="s">
        <v>99</v>
      </c>
      <c r="C1704" t="s">
        <v>51</v>
      </c>
      <c r="D1704">
        <v>5</v>
      </c>
      <c r="E1704">
        <v>29</v>
      </c>
      <c r="F1704">
        <v>0.1</v>
      </c>
      <c r="G1704">
        <f t="shared" si="27"/>
        <v>3.333333333333334E-2</v>
      </c>
      <c r="H1704">
        <f>G1704*(26.79/38.29)</f>
        <v>2.3322016192217292E-2</v>
      </c>
    </row>
    <row r="1705" spans="1:8" x14ac:dyDescent="0.25">
      <c r="A1705" s="1">
        <v>1993</v>
      </c>
      <c r="B1705" s="1" t="s">
        <v>99</v>
      </c>
      <c r="C1705" t="s">
        <v>51</v>
      </c>
      <c r="D1705">
        <v>5</v>
      </c>
      <c r="E1705">
        <v>29</v>
      </c>
      <c r="F1705">
        <v>0.05</v>
      </c>
      <c r="G1705">
        <f t="shared" si="27"/>
        <v>1.666666666666667E-2</v>
      </c>
      <c r="H1705">
        <f>G1705*(26.79/38.29)</f>
        <v>1.1661008096108646E-2</v>
      </c>
    </row>
    <row r="1706" spans="1:8" x14ac:dyDescent="0.25">
      <c r="A1706" s="1">
        <v>1993</v>
      </c>
      <c r="B1706" s="1" t="s">
        <v>99</v>
      </c>
      <c r="C1706" t="s">
        <v>51</v>
      </c>
      <c r="D1706">
        <v>5</v>
      </c>
      <c r="E1706">
        <v>29</v>
      </c>
      <c r="F1706">
        <v>0.09</v>
      </c>
      <c r="G1706">
        <f t="shared" si="27"/>
        <v>0.03</v>
      </c>
      <c r="H1706">
        <f>G1706*(26.79/38.29)</f>
        <v>2.0989814572995556E-2</v>
      </c>
    </row>
    <row r="1707" spans="1:8" x14ac:dyDescent="0.25">
      <c r="A1707" s="1">
        <v>1993</v>
      </c>
      <c r="B1707" s="1" t="s">
        <v>99</v>
      </c>
      <c r="C1707" t="s">
        <v>51</v>
      </c>
      <c r="D1707">
        <v>5</v>
      </c>
      <c r="E1707">
        <v>29</v>
      </c>
      <c r="F1707">
        <v>0.13</v>
      </c>
      <c r="G1707">
        <f t="shared" si="27"/>
        <v>4.3333333333333335E-2</v>
      </c>
      <c r="H1707">
        <f>G1707*(26.79/38.29)</f>
        <v>3.0318621049882474E-2</v>
      </c>
    </row>
    <row r="1708" spans="1:8" x14ac:dyDescent="0.25">
      <c r="A1708" s="1">
        <v>1993</v>
      </c>
      <c r="B1708" s="1" t="s">
        <v>99</v>
      </c>
      <c r="C1708" t="s">
        <v>51</v>
      </c>
      <c r="D1708">
        <v>5</v>
      </c>
      <c r="E1708">
        <v>29</v>
      </c>
      <c r="F1708">
        <v>7.0000000000000007E-2</v>
      </c>
      <c r="G1708">
        <f t="shared" si="27"/>
        <v>2.3333333333333338E-2</v>
      </c>
      <c r="H1708">
        <f>G1708*(26.79/38.29)</f>
        <v>1.6325411334552103E-2</v>
      </c>
    </row>
    <row r="1709" spans="1:8" x14ac:dyDescent="0.25">
      <c r="A1709" s="1">
        <v>1993</v>
      </c>
      <c r="B1709" s="1" t="s">
        <v>99</v>
      </c>
      <c r="C1709" t="s">
        <v>51</v>
      </c>
      <c r="D1709">
        <v>5</v>
      </c>
      <c r="E1709">
        <v>29</v>
      </c>
      <c r="F1709">
        <v>0.76</v>
      </c>
      <c r="G1709">
        <f t="shared" si="27"/>
        <v>0.25333333333333335</v>
      </c>
      <c r="H1709">
        <f>G1709*(26.79/38.29)</f>
        <v>0.17724732306085139</v>
      </c>
    </row>
    <row r="1710" spans="1:8" x14ac:dyDescent="0.25">
      <c r="A1710" s="1">
        <v>1993</v>
      </c>
      <c r="B1710" s="1" t="s">
        <v>99</v>
      </c>
      <c r="C1710" t="s">
        <v>51</v>
      </c>
      <c r="D1710">
        <v>5</v>
      </c>
      <c r="E1710">
        <v>32</v>
      </c>
      <c r="F1710">
        <v>0.05</v>
      </c>
      <c r="G1710">
        <f t="shared" si="27"/>
        <v>1.666666666666667E-2</v>
      </c>
      <c r="H1710">
        <f>G1710*(26.79/38.29)</f>
        <v>1.1661008096108646E-2</v>
      </c>
    </row>
    <row r="1711" spans="1:8" x14ac:dyDescent="0.25">
      <c r="A1711" s="1">
        <v>1993</v>
      </c>
      <c r="B1711" s="1" t="s">
        <v>99</v>
      </c>
      <c r="C1711" t="s">
        <v>51</v>
      </c>
      <c r="D1711">
        <v>5</v>
      </c>
      <c r="E1711">
        <v>32</v>
      </c>
      <c r="F1711">
        <v>0.05</v>
      </c>
      <c r="G1711">
        <f t="shared" si="27"/>
        <v>1.666666666666667E-2</v>
      </c>
      <c r="H1711">
        <f>G1711*(26.79/38.29)</f>
        <v>1.1661008096108646E-2</v>
      </c>
    </row>
    <row r="1712" spans="1:8" x14ac:dyDescent="0.25">
      <c r="A1712" s="1">
        <v>1993</v>
      </c>
      <c r="B1712" s="1" t="s">
        <v>99</v>
      </c>
      <c r="C1712" t="s">
        <v>51</v>
      </c>
      <c r="D1712">
        <v>5</v>
      </c>
      <c r="E1712">
        <v>32</v>
      </c>
      <c r="F1712">
        <v>0.04</v>
      </c>
      <c r="G1712">
        <f t="shared" si="27"/>
        <v>1.3333333333333332E-2</v>
      </c>
      <c r="H1712">
        <f>G1712*(26.79/38.29)</f>
        <v>9.3288064768869139E-3</v>
      </c>
    </row>
    <row r="1713" spans="1:8" x14ac:dyDescent="0.25">
      <c r="A1713" s="1">
        <v>1993</v>
      </c>
      <c r="B1713" s="1" t="s">
        <v>99</v>
      </c>
      <c r="C1713" t="s">
        <v>51</v>
      </c>
      <c r="D1713">
        <v>5</v>
      </c>
      <c r="E1713">
        <v>32</v>
      </c>
      <c r="F1713">
        <v>0.09</v>
      </c>
      <c r="G1713">
        <f t="shared" si="27"/>
        <v>0.03</v>
      </c>
      <c r="H1713">
        <f>G1713*(26.79/38.29)</f>
        <v>2.0989814572995556E-2</v>
      </c>
    </row>
    <row r="1714" spans="1:8" x14ac:dyDescent="0.25">
      <c r="A1714" s="1">
        <v>1993</v>
      </c>
      <c r="B1714" s="1" t="s">
        <v>99</v>
      </c>
      <c r="C1714" t="s">
        <v>51</v>
      </c>
      <c r="D1714">
        <v>5</v>
      </c>
      <c r="E1714">
        <v>32</v>
      </c>
      <c r="F1714">
        <v>0.04</v>
      </c>
      <c r="G1714">
        <f t="shared" si="27"/>
        <v>1.3333333333333332E-2</v>
      </c>
      <c r="H1714">
        <f>G1714*(26.79/38.29)</f>
        <v>9.3288064768869139E-3</v>
      </c>
    </row>
    <row r="1715" spans="1:8" x14ac:dyDescent="0.25">
      <c r="A1715" s="1">
        <v>1993</v>
      </c>
      <c r="B1715" s="1" t="s">
        <v>99</v>
      </c>
      <c r="C1715" t="s">
        <v>51</v>
      </c>
      <c r="D1715">
        <v>5</v>
      </c>
      <c r="E1715">
        <v>32</v>
      </c>
      <c r="F1715">
        <v>0.05</v>
      </c>
      <c r="G1715">
        <f t="shared" si="27"/>
        <v>1.666666666666667E-2</v>
      </c>
      <c r="H1715">
        <f>G1715*(26.79/38.29)</f>
        <v>1.1661008096108646E-2</v>
      </c>
    </row>
    <row r="1716" spans="1:8" x14ac:dyDescent="0.25">
      <c r="A1716" s="1">
        <v>1993</v>
      </c>
      <c r="B1716" s="1" t="s">
        <v>99</v>
      </c>
      <c r="C1716" t="s">
        <v>51</v>
      </c>
      <c r="D1716">
        <v>5</v>
      </c>
      <c r="E1716">
        <v>32</v>
      </c>
      <c r="F1716">
        <v>0.11</v>
      </c>
      <c r="G1716">
        <f t="shared" si="27"/>
        <v>3.6666666666666667E-2</v>
      </c>
      <c r="H1716">
        <f>G1716*(26.79/38.29)</f>
        <v>2.5654217811439017E-2</v>
      </c>
    </row>
    <row r="1717" spans="1:8" x14ac:dyDescent="0.25">
      <c r="A1717" s="1">
        <v>1993</v>
      </c>
      <c r="B1717" s="1" t="s">
        <v>99</v>
      </c>
      <c r="C1717" t="s">
        <v>51</v>
      </c>
      <c r="D1717">
        <v>5</v>
      </c>
      <c r="E1717">
        <v>32</v>
      </c>
      <c r="F1717">
        <v>0.04</v>
      </c>
      <c r="G1717">
        <f t="shared" si="27"/>
        <v>1.3333333333333332E-2</v>
      </c>
      <c r="H1717">
        <f>G1717*(26.79/38.29)</f>
        <v>9.3288064768869139E-3</v>
      </c>
    </row>
    <row r="1718" spans="1:8" x14ac:dyDescent="0.25">
      <c r="A1718" s="1">
        <v>1993</v>
      </c>
      <c r="B1718" s="1" t="s">
        <v>99</v>
      </c>
      <c r="C1718" t="s">
        <v>51</v>
      </c>
      <c r="D1718">
        <v>5</v>
      </c>
      <c r="E1718">
        <v>32</v>
      </c>
      <c r="F1718">
        <v>0.11</v>
      </c>
      <c r="G1718">
        <f t="shared" si="27"/>
        <v>3.6666666666666667E-2</v>
      </c>
      <c r="H1718">
        <f>G1718*(26.79/38.29)</f>
        <v>2.5654217811439017E-2</v>
      </c>
    </row>
    <row r="1719" spans="1:8" x14ac:dyDescent="0.25">
      <c r="A1719" s="1">
        <v>1993</v>
      </c>
      <c r="B1719" s="1" t="s">
        <v>99</v>
      </c>
      <c r="C1719" t="s">
        <v>51</v>
      </c>
      <c r="D1719">
        <v>5</v>
      </c>
      <c r="E1719">
        <v>32</v>
      </c>
      <c r="F1719">
        <v>0.04</v>
      </c>
      <c r="G1719">
        <f t="shared" si="27"/>
        <v>1.3333333333333332E-2</v>
      </c>
      <c r="H1719">
        <f>G1719*(26.79/38.29)</f>
        <v>9.3288064768869139E-3</v>
      </c>
    </row>
    <row r="1720" spans="1:8" x14ac:dyDescent="0.25">
      <c r="A1720" s="1">
        <v>1993</v>
      </c>
      <c r="B1720" s="1" t="s">
        <v>99</v>
      </c>
      <c r="C1720" t="s">
        <v>51</v>
      </c>
      <c r="D1720">
        <v>5</v>
      </c>
      <c r="E1720">
        <v>32</v>
      </c>
      <c r="F1720">
        <v>0.06</v>
      </c>
      <c r="G1720">
        <f t="shared" si="27"/>
        <v>0.02</v>
      </c>
      <c r="H1720">
        <f>G1720*(26.79/38.29)</f>
        <v>1.3993209715330373E-2</v>
      </c>
    </row>
    <row r="1721" spans="1:8" x14ac:dyDescent="0.25">
      <c r="A1721" s="1">
        <v>1993</v>
      </c>
      <c r="B1721" s="1" t="s">
        <v>99</v>
      </c>
      <c r="C1721" t="s">
        <v>51</v>
      </c>
      <c r="D1721">
        <v>5</v>
      </c>
      <c r="E1721">
        <v>32</v>
      </c>
      <c r="F1721">
        <v>0.04</v>
      </c>
      <c r="G1721">
        <f t="shared" si="27"/>
        <v>1.3333333333333332E-2</v>
      </c>
      <c r="H1721">
        <f>G1721*(26.79/38.29)</f>
        <v>9.3288064768869139E-3</v>
      </c>
    </row>
    <row r="1722" spans="1:8" x14ac:dyDescent="0.25">
      <c r="A1722" s="1">
        <v>1993</v>
      </c>
      <c r="B1722" s="1" t="s">
        <v>99</v>
      </c>
      <c r="C1722" t="s">
        <v>51</v>
      </c>
      <c r="D1722">
        <v>5</v>
      </c>
      <c r="E1722">
        <v>32</v>
      </c>
      <c r="F1722">
        <v>0.04</v>
      </c>
      <c r="G1722">
        <f t="shared" si="27"/>
        <v>1.3333333333333332E-2</v>
      </c>
      <c r="H1722">
        <f>G1722*(26.79/38.29)</f>
        <v>9.3288064768869139E-3</v>
      </c>
    </row>
    <row r="1723" spans="1:8" x14ac:dyDescent="0.25">
      <c r="A1723" s="1">
        <v>1993</v>
      </c>
      <c r="B1723" s="1" t="s">
        <v>99</v>
      </c>
      <c r="C1723" t="s">
        <v>51</v>
      </c>
      <c r="D1723">
        <v>5</v>
      </c>
      <c r="E1723">
        <v>32</v>
      </c>
      <c r="F1723">
        <v>0.04</v>
      </c>
      <c r="G1723">
        <f t="shared" si="27"/>
        <v>1.3333333333333332E-2</v>
      </c>
      <c r="H1723">
        <f>G1723*(26.79/38.29)</f>
        <v>9.3288064768869139E-3</v>
      </c>
    </row>
    <row r="1724" spans="1:8" x14ac:dyDescent="0.25">
      <c r="A1724" s="1">
        <v>1993</v>
      </c>
      <c r="B1724" s="1" t="s">
        <v>99</v>
      </c>
      <c r="C1724" t="s">
        <v>51</v>
      </c>
      <c r="D1724">
        <v>5</v>
      </c>
      <c r="E1724">
        <v>32</v>
      </c>
      <c r="F1724">
        <v>0.04</v>
      </c>
      <c r="G1724">
        <f t="shared" si="27"/>
        <v>1.3333333333333332E-2</v>
      </c>
      <c r="H1724">
        <f>G1724*(26.79/38.29)</f>
        <v>9.3288064768869139E-3</v>
      </c>
    </row>
    <row r="1725" spans="1:8" x14ac:dyDescent="0.25">
      <c r="A1725" s="1">
        <v>1993</v>
      </c>
      <c r="B1725" s="1" t="s">
        <v>99</v>
      </c>
      <c r="C1725" t="s">
        <v>51</v>
      </c>
      <c r="D1725">
        <v>5</v>
      </c>
      <c r="E1725">
        <v>32</v>
      </c>
      <c r="F1725">
        <v>0.13</v>
      </c>
      <c r="G1725">
        <f t="shared" ref="G1725:G1788" si="28">(F1725/0.6)/5</f>
        <v>4.3333333333333335E-2</v>
      </c>
      <c r="H1725">
        <f>G1725*(26.79/38.29)</f>
        <v>3.0318621049882474E-2</v>
      </c>
    </row>
    <row r="1726" spans="1:8" x14ac:dyDescent="0.25">
      <c r="A1726" s="1">
        <v>1993</v>
      </c>
      <c r="B1726" s="1" t="s">
        <v>99</v>
      </c>
      <c r="C1726" t="s">
        <v>51</v>
      </c>
      <c r="D1726">
        <v>5</v>
      </c>
      <c r="E1726">
        <v>32</v>
      </c>
      <c r="F1726">
        <v>0.11</v>
      </c>
      <c r="G1726">
        <f t="shared" si="28"/>
        <v>3.6666666666666667E-2</v>
      </c>
      <c r="H1726">
        <f>G1726*(26.79/38.29)</f>
        <v>2.5654217811439017E-2</v>
      </c>
    </row>
    <row r="1727" spans="1:8" x14ac:dyDescent="0.25">
      <c r="A1727" s="1">
        <v>1993</v>
      </c>
      <c r="B1727" s="1" t="s">
        <v>99</v>
      </c>
      <c r="C1727" t="s">
        <v>51</v>
      </c>
      <c r="D1727">
        <v>5</v>
      </c>
      <c r="E1727">
        <v>32</v>
      </c>
      <c r="F1727">
        <v>0.38</v>
      </c>
      <c r="G1727">
        <f t="shared" si="28"/>
        <v>0.12666666666666668</v>
      </c>
      <c r="H1727">
        <f>G1727*(26.79/38.29)</f>
        <v>8.8623661530425696E-2</v>
      </c>
    </row>
    <row r="1728" spans="1:8" x14ac:dyDescent="0.25">
      <c r="A1728" s="1">
        <v>1993</v>
      </c>
      <c r="B1728" s="1" t="s">
        <v>99</v>
      </c>
      <c r="C1728" t="s">
        <v>51</v>
      </c>
      <c r="D1728">
        <v>5</v>
      </c>
      <c r="E1728">
        <v>32</v>
      </c>
      <c r="F1728">
        <v>0.06</v>
      </c>
      <c r="G1728">
        <f t="shared" si="28"/>
        <v>0.02</v>
      </c>
      <c r="H1728">
        <f>G1728*(26.79/38.29)</f>
        <v>1.3993209715330373E-2</v>
      </c>
    </row>
    <row r="1729" spans="1:8" x14ac:dyDescent="0.25">
      <c r="A1729" s="1">
        <v>1993</v>
      </c>
      <c r="B1729" s="1" t="s">
        <v>99</v>
      </c>
      <c r="C1729" t="s">
        <v>51</v>
      </c>
      <c r="D1729">
        <v>5</v>
      </c>
      <c r="E1729">
        <v>32</v>
      </c>
      <c r="F1729">
        <v>0.04</v>
      </c>
      <c r="G1729">
        <f t="shared" si="28"/>
        <v>1.3333333333333332E-2</v>
      </c>
      <c r="H1729">
        <f>G1729*(26.79/38.29)</f>
        <v>9.3288064768869139E-3</v>
      </c>
    </row>
    <row r="1730" spans="1:8" x14ac:dyDescent="0.25">
      <c r="A1730" s="1">
        <v>1993</v>
      </c>
      <c r="B1730" s="1" t="s">
        <v>99</v>
      </c>
      <c r="C1730" t="s">
        <v>51</v>
      </c>
      <c r="D1730">
        <v>5</v>
      </c>
      <c r="E1730">
        <v>32</v>
      </c>
      <c r="F1730">
        <v>0.27</v>
      </c>
      <c r="G1730">
        <f t="shared" si="28"/>
        <v>9.0000000000000011E-2</v>
      </c>
      <c r="H1730">
        <f>G1730*(26.79/38.29)</f>
        <v>6.296944371898669E-2</v>
      </c>
    </row>
    <row r="1731" spans="1:8" x14ac:dyDescent="0.25">
      <c r="A1731" s="1">
        <v>1993</v>
      </c>
      <c r="B1731" s="1" t="s">
        <v>99</v>
      </c>
      <c r="C1731" t="s">
        <v>51</v>
      </c>
      <c r="D1731">
        <v>5</v>
      </c>
      <c r="E1731">
        <v>32</v>
      </c>
      <c r="F1731">
        <v>0.05</v>
      </c>
      <c r="G1731">
        <f t="shared" si="28"/>
        <v>1.666666666666667E-2</v>
      </c>
      <c r="H1731">
        <f>G1731*(26.79/38.29)</f>
        <v>1.1661008096108646E-2</v>
      </c>
    </row>
    <row r="1732" spans="1:8" x14ac:dyDescent="0.25">
      <c r="A1732" s="1">
        <v>1993</v>
      </c>
      <c r="B1732" s="1" t="s">
        <v>99</v>
      </c>
      <c r="C1732" t="s">
        <v>51</v>
      </c>
      <c r="D1732">
        <v>5</v>
      </c>
      <c r="E1732">
        <v>32</v>
      </c>
      <c r="F1732">
        <v>0.04</v>
      </c>
      <c r="G1732">
        <f t="shared" si="28"/>
        <v>1.3333333333333332E-2</v>
      </c>
      <c r="H1732">
        <f>G1732*(26.79/38.29)</f>
        <v>9.3288064768869139E-3</v>
      </c>
    </row>
    <row r="1733" spans="1:8" x14ac:dyDescent="0.25">
      <c r="A1733" s="1">
        <v>1993</v>
      </c>
      <c r="B1733" s="1" t="s">
        <v>99</v>
      </c>
      <c r="C1733" t="s">
        <v>51</v>
      </c>
      <c r="D1733">
        <v>5</v>
      </c>
      <c r="E1733">
        <v>32</v>
      </c>
      <c r="F1733">
        <v>0.35</v>
      </c>
      <c r="G1733">
        <f t="shared" si="28"/>
        <v>0.11666666666666667</v>
      </c>
      <c r="H1733">
        <f>G1733*(26.79/38.29)</f>
        <v>8.1627056672760503E-2</v>
      </c>
    </row>
    <row r="1734" spans="1:8" x14ac:dyDescent="0.25">
      <c r="A1734" s="1">
        <v>1993</v>
      </c>
      <c r="B1734" s="1" t="s">
        <v>99</v>
      </c>
      <c r="C1734" t="s">
        <v>51</v>
      </c>
      <c r="D1734">
        <v>5</v>
      </c>
      <c r="E1734">
        <v>32</v>
      </c>
      <c r="F1734">
        <v>0.16</v>
      </c>
      <c r="G1734">
        <f t="shared" si="28"/>
        <v>5.333333333333333E-2</v>
      </c>
      <c r="H1734">
        <f>G1734*(26.79/38.29)</f>
        <v>3.7315225907547656E-2</v>
      </c>
    </row>
    <row r="1735" spans="1:8" x14ac:dyDescent="0.25">
      <c r="A1735" s="1">
        <v>1993</v>
      </c>
      <c r="B1735" s="1" t="s">
        <v>99</v>
      </c>
      <c r="C1735" t="s">
        <v>51</v>
      </c>
      <c r="D1735">
        <v>5</v>
      </c>
      <c r="E1735">
        <v>32</v>
      </c>
      <c r="F1735">
        <v>0.16</v>
      </c>
      <c r="G1735">
        <f t="shared" si="28"/>
        <v>5.333333333333333E-2</v>
      </c>
      <c r="H1735">
        <f>G1735*(26.79/38.29)</f>
        <v>3.7315225907547656E-2</v>
      </c>
    </row>
    <row r="1736" spans="1:8" x14ac:dyDescent="0.25">
      <c r="A1736" s="1">
        <v>1993</v>
      </c>
      <c r="B1736" s="1" t="s">
        <v>99</v>
      </c>
      <c r="C1736" t="s">
        <v>51</v>
      </c>
      <c r="D1736">
        <v>5</v>
      </c>
      <c r="E1736">
        <v>32</v>
      </c>
      <c r="F1736">
        <v>0.06</v>
      </c>
      <c r="G1736">
        <f t="shared" si="28"/>
        <v>0.02</v>
      </c>
      <c r="H1736">
        <f>G1736*(26.79/38.29)</f>
        <v>1.3993209715330373E-2</v>
      </c>
    </row>
    <row r="1737" spans="1:8" x14ac:dyDescent="0.25">
      <c r="A1737" s="1">
        <v>1993</v>
      </c>
      <c r="B1737" s="1" t="s">
        <v>99</v>
      </c>
      <c r="C1737" t="s">
        <v>51</v>
      </c>
      <c r="D1737">
        <v>5</v>
      </c>
      <c r="E1737">
        <v>32</v>
      </c>
      <c r="F1737">
        <v>0.05</v>
      </c>
      <c r="G1737">
        <f t="shared" si="28"/>
        <v>1.666666666666667E-2</v>
      </c>
      <c r="H1737">
        <f>G1737*(26.79/38.29)</f>
        <v>1.1661008096108646E-2</v>
      </c>
    </row>
    <row r="1738" spans="1:8" x14ac:dyDescent="0.25">
      <c r="A1738" s="1">
        <v>1993</v>
      </c>
      <c r="B1738" s="1" t="s">
        <v>99</v>
      </c>
      <c r="C1738" t="s">
        <v>51</v>
      </c>
      <c r="D1738">
        <v>5</v>
      </c>
      <c r="E1738">
        <v>34</v>
      </c>
      <c r="F1738">
        <v>0.09</v>
      </c>
      <c r="G1738">
        <f t="shared" si="28"/>
        <v>0.03</v>
      </c>
      <c r="H1738">
        <f>G1738*(26.79/38.29)</f>
        <v>2.0989814572995556E-2</v>
      </c>
    </row>
    <row r="1739" spans="1:8" x14ac:dyDescent="0.25">
      <c r="A1739" s="1">
        <v>1993</v>
      </c>
      <c r="B1739" s="1" t="s">
        <v>99</v>
      </c>
      <c r="C1739" t="s">
        <v>51</v>
      </c>
      <c r="D1739">
        <v>5</v>
      </c>
      <c r="E1739">
        <v>34</v>
      </c>
      <c r="F1739">
        <v>0.23</v>
      </c>
      <c r="G1739">
        <f t="shared" si="28"/>
        <v>7.6666666666666675E-2</v>
      </c>
      <c r="H1739">
        <f>G1739*(26.79/38.29)</f>
        <v>5.3640637242099769E-2</v>
      </c>
    </row>
    <row r="1740" spans="1:8" x14ac:dyDescent="0.25">
      <c r="A1740" s="1">
        <v>1993</v>
      </c>
      <c r="B1740" s="1" t="s">
        <v>99</v>
      </c>
      <c r="C1740" t="s">
        <v>51</v>
      </c>
      <c r="D1740">
        <v>5</v>
      </c>
      <c r="E1740">
        <v>34</v>
      </c>
      <c r="F1740">
        <v>0.56000000000000005</v>
      </c>
      <c r="G1740">
        <f t="shared" si="28"/>
        <v>0.1866666666666667</v>
      </c>
      <c r="H1740">
        <f>G1740*(26.79/38.29)</f>
        <v>0.13060329067641682</v>
      </c>
    </row>
    <row r="1741" spans="1:8" x14ac:dyDescent="0.25">
      <c r="A1741" s="1">
        <v>1993</v>
      </c>
      <c r="B1741" s="1" t="s">
        <v>99</v>
      </c>
      <c r="C1741" t="s">
        <v>51</v>
      </c>
      <c r="D1741">
        <v>5</v>
      </c>
      <c r="E1741">
        <v>34</v>
      </c>
      <c r="F1741">
        <v>0.15</v>
      </c>
      <c r="G1741">
        <f t="shared" si="28"/>
        <v>0.05</v>
      </c>
      <c r="H1741">
        <f>G1741*(26.79/38.29)</f>
        <v>3.4983024288325934E-2</v>
      </c>
    </row>
    <row r="1742" spans="1:8" x14ac:dyDescent="0.25">
      <c r="A1742" s="1">
        <v>1993</v>
      </c>
      <c r="B1742" s="1" t="s">
        <v>99</v>
      </c>
      <c r="C1742" t="s">
        <v>51</v>
      </c>
      <c r="D1742">
        <v>5</v>
      </c>
      <c r="E1742">
        <v>34</v>
      </c>
      <c r="F1742">
        <v>0.38</v>
      </c>
      <c r="G1742">
        <f t="shared" si="28"/>
        <v>0.12666666666666668</v>
      </c>
      <c r="H1742">
        <f>G1742*(26.79/38.29)</f>
        <v>8.8623661530425696E-2</v>
      </c>
    </row>
    <row r="1743" spans="1:8" x14ac:dyDescent="0.25">
      <c r="A1743" s="1">
        <v>1993</v>
      </c>
      <c r="B1743" s="1" t="s">
        <v>99</v>
      </c>
      <c r="C1743" t="s">
        <v>51</v>
      </c>
      <c r="D1743">
        <v>5</v>
      </c>
      <c r="E1743">
        <v>34</v>
      </c>
      <c r="F1743">
        <v>0.27</v>
      </c>
      <c r="G1743">
        <f t="shared" si="28"/>
        <v>9.0000000000000011E-2</v>
      </c>
      <c r="H1743">
        <f>G1743*(26.79/38.29)</f>
        <v>6.296944371898669E-2</v>
      </c>
    </row>
    <row r="1744" spans="1:8" x14ac:dyDescent="0.25">
      <c r="A1744" s="1">
        <v>1993</v>
      </c>
      <c r="B1744" s="1" t="s">
        <v>99</v>
      </c>
      <c r="C1744" t="s">
        <v>51</v>
      </c>
      <c r="D1744">
        <v>5</v>
      </c>
      <c r="E1744">
        <v>34</v>
      </c>
      <c r="F1744">
        <v>0.1</v>
      </c>
      <c r="G1744">
        <f t="shared" si="28"/>
        <v>3.333333333333334E-2</v>
      </c>
      <c r="H1744">
        <f>G1744*(26.79/38.29)</f>
        <v>2.3322016192217292E-2</v>
      </c>
    </row>
    <row r="1745" spans="1:8" x14ac:dyDescent="0.25">
      <c r="A1745" s="1">
        <v>1993</v>
      </c>
      <c r="B1745" s="1" t="s">
        <v>99</v>
      </c>
      <c r="C1745" t="s">
        <v>51</v>
      </c>
      <c r="D1745">
        <v>5</v>
      </c>
      <c r="E1745">
        <v>38</v>
      </c>
      <c r="F1745">
        <v>0.56000000000000005</v>
      </c>
      <c r="G1745">
        <f t="shared" si="28"/>
        <v>0.1866666666666667</v>
      </c>
      <c r="H1745">
        <f>G1745*(26.79/38.29)</f>
        <v>0.13060329067641682</v>
      </c>
    </row>
    <row r="1746" spans="1:8" x14ac:dyDescent="0.25">
      <c r="A1746" s="1">
        <v>1993</v>
      </c>
      <c r="B1746" s="1" t="s">
        <v>99</v>
      </c>
      <c r="C1746" t="s">
        <v>51</v>
      </c>
      <c r="D1746">
        <v>5</v>
      </c>
      <c r="E1746">
        <v>38</v>
      </c>
      <c r="F1746">
        <v>0.1</v>
      </c>
      <c r="G1746">
        <f t="shared" si="28"/>
        <v>3.333333333333334E-2</v>
      </c>
      <c r="H1746">
        <f>G1746*(26.79/38.29)</f>
        <v>2.3322016192217292E-2</v>
      </c>
    </row>
    <row r="1747" spans="1:8" x14ac:dyDescent="0.25">
      <c r="A1747" s="1">
        <v>1993</v>
      </c>
      <c r="B1747" s="1" t="s">
        <v>99</v>
      </c>
      <c r="C1747" t="s">
        <v>51</v>
      </c>
      <c r="D1747">
        <v>5</v>
      </c>
      <c r="E1747">
        <v>38</v>
      </c>
      <c r="F1747">
        <v>0.67</v>
      </c>
      <c r="G1747">
        <f t="shared" si="28"/>
        <v>0.22333333333333333</v>
      </c>
      <c r="H1747">
        <f>G1747*(26.79/38.29)</f>
        <v>0.15625750848785583</v>
      </c>
    </row>
    <row r="1748" spans="1:8" x14ac:dyDescent="0.25">
      <c r="A1748" s="1">
        <v>1993</v>
      </c>
      <c r="B1748" s="1" t="s">
        <v>99</v>
      </c>
      <c r="C1748" t="s">
        <v>51</v>
      </c>
      <c r="D1748">
        <v>5</v>
      </c>
      <c r="E1748">
        <v>38</v>
      </c>
      <c r="F1748">
        <v>0.15</v>
      </c>
      <c r="G1748">
        <f t="shared" si="28"/>
        <v>0.05</v>
      </c>
      <c r="H1748">
        <f>G1748*(26.79/38.29)</f>
        <v>3.4983024288325934E-2</v>
      </c>
    </row>
    <row r="1749" spans="1:8" x14ac:dyDescent="0.25">
      <c r="A1749" s="1">
        <v>1993</v>
      </c>
      <c r="B1749" s="1" t="s">
        <v>99</v>
      </c>
      <c r="C1749" t="s">
        <v>51</v>
      </c>
      <c r="D1749">
        <v>5</v>
      </c>
      <c r="E1749">
        <v>38</v>
      </c>
      <c r="F1749">
        <v>0.81</v>
      </c>
      <c r="G1749">
        <f t="shared" si="28"/>
        <v>0.27</v>
      </c>
      <c r="H1749">
        <f>G1749*(26.79/38.29)</f>
        <v>0.18890833115696004</v>
      </c>
    </row>
    <row r="1750" spans="1:8" x14ac:dyDescent="0.25">
      <c r="A1750" s="1">
        <v>1993</v>
      </c>
      <c r="B1750" s="1" t="s">
        <v>99</v>
      </c>
      <c r="C1750" t="s">
        <v>51</v>
      </c>
      <c r="D1750">
        <v>5</v>
      </c>
      <c r="E1750">
        <v>38</v>
      </c>
      <c r="F1750">
        <v>0.22</v>
      </c>
      <c r="G1750">
        <f t="shared" si="28"/>
        <v>7.3333333333333334E-2</v>
      </c>
      <c r="H1750">
        <f>G1750*(26.79/38.29)</f>
        <v>5.1308435622878033E-2</v>
      </c>
    </row>
    <row r="1751" spans="1:8" x14ac:dyDescent="0.25">
      <c r="A1751" s="1">
        <v>1993</v>
      </c>
      <c r="B1751" s="1" t="s">
        <v>99</v>
      </c>
      <c r="C1751" t="s">
        <v>51</v>
      </c>
      <c r="D1751">
        <v>5</v>
      </c>
      <c r="E1751">
        <v>38</v>
      </c>
      <c r="F1751">
        <v>0.12</v>
      </c>
      <c r="G1751">
        <f t="shared" si="28"/>
        <v>0.04</v>
      </c>
      <c r="H1751">
        <f>G1751*(26.79/38.29)</f>
        <v>2.7986419430660745E-2</v>
      </c>
    </row>
    <row r="1752" spans="1:8" x14ac:dyDescent="0.25">
      <c r="A1752" s="1">
        <v>1993</v>
      </c>
      <c r="B1752" s="1" t="s">
        <v>99</v>
      </c>
      <c r="C1752" t="s">
        <v>51</v>
      </c>
      <c r="D1752">
        <v>5</v>
      </c>
      <c r="E1752">
        <v>38</v>
      </c>
      <c r="F1752">
        <v>1.73</v>
      </c>
      <c r="G1752">
        <f t="shared" si="28"/>
        <v>0.57666666666666666</v>
      </c>
      <c r="H1752">
        <f>G1752*(26.79/38.29)</f>
        <v>0.40347088012535909</v>
      </c>
    </row>
    <row r="1753" spans="1:8" x14ac:dyDescent="0.25">
      <c r="A1753" s="1">
        <v>1993</v>
      </c>
      <c r="B1753" s="1" t="s">
        <v>99</v>
      </c>
      <c r="C1753" t="s">
        <v>51</v>
      </c>
      <c r="D1753">
        <v>5</v>
      </c>
      <c r="E1753">
        <v>38</v>
      </c>
      <c r="F1753">
        <v>0.43</v>
      </c>
      <c r="G1753">
        <f t="shared" si="28"/>
        <v>0.14333333333333334</v>
      </c>
      <c r="H1753">
        <f>G1753*(26.79/38.29)</f>
        <v>0.10028466962653435</v>
      </c>
    </row>
    <row r="1754" spans="1:8" x14ac:dyDescent="0.25">
      <c r="A1754" s="1">
        <v>1993</v>
      </c>
      <c r="B1754" s="1" t="s">
        <v>99</v>
      </c>
      <c r="C1754" t="s">
        <v>51</v>
      </c>
      <c r="D1754">
        <v>5</v>
      </c>
      <c r="E1754">
        <v>38</v>
      </c>
      <c r="F1754">
        <v>0.55000000000000004</v>
      </c>
      <c r="G1754">
        <f t="shared" si="28"/>
        <v>0.18333333333333335</v>
      </c>
      <c r="H1754">
        <f>G1754*(26.79/38.29)</f>
        <v>0.12827108905719509</v>
      </c>
    </row>
    <row r="1755" spans="1:8" x14ac:dyDescent="0.25">
      <c r="A1755" s="1">
        <v>1993</v>
      </c>
      <c r="B1755" s="1" t="s">
        <v>99</v>
      </c>
      <c r="C1755" t="s">
        <v>51</v>
      </c>
      <c r="D1755">
        <v>5</v>
      </c>
      <c r="E1755">
        <v>38</v>
      </c>
      <c r="F1755">
        <v>0.49</v>
      </c>
      <c r="G1755">
        <f t="shared" si="28"/>
        <v>0.16333333333333333</v>
      </c>
      <c r="H1755">
        <f>G1755*(26.79/38.29)</f>
        <v>0.1142778793418647</v>
      </c>
    </row>
    <row r="1756" spans="1:8" x14ac:dyDescent="0.25">
      <c r="A1756" s="1">
        <v>1993</v>
      </c>
      <c r="B1756" s="1" t="s">
        <v>99</v>
      </c>
      <c r="C1756" t="s">
        <v>51</v>
      </c>
      <c r="D1756">
        <v>5</v>
      </c>
      <c r="E1756">
        <v>38</v>
      </c>
      <c r="F1756">
        <v>0.12</v>
      </c>
      <c r="G1756">
        <f t="shared" si="28"/>
        <v>0.04</v>
      </c>
      <c r="H1756">
        <f>G1756*(26.79/38.29)</f>
        <v>2.7986419430660745E-2</v>
      </c>
    </row>
    <row r="1757" spans="1:8" x14ac:dyDescent="0.25">
      <c r="A1757" s="1">
        <v>1993</v>
      </c>
      <c r="B1757" s="1" t="s">
        <v>99</v>
      </c>
      <c r="C1757" t="s">
        <v>51</v>
      </c>
      <c r="D1757">
        <v>5</v>
      </c>
      <c r="E1757">
        <v>38</v>
      </c>
      <c r="F1757">
        <v>0.19</v>
      </c>
      <c r="G1757">
        <f t="shared" si="28"/>
        <v>6.3333333333333339E-2</v>
      </c>
      <c r="H1757">
        <f>G1757*(26.79/38.29)</f>
        <v>4.4311830765212848E-2</v>
      </c>
    </row>
    <row r="1758" spans="1:8" x14ac:dyDescent="0.25">
      <c r="A1758" s="1">
        <v>1993</v>
      </c>
      <c r="B1758" s="1" t="s">
        <v>99</v>
      </c>
      <c r="C1758" t="s">
        <v>51</v>
      </c>
      <c r="D1758">
        <v>5</v>
      </c>
      <c r="E1758">
        <v>38</v>
      </c>
      <c r="F1758">
        <v>0.46</v>
      </c>
      <c r="G1758">
        <f t="shared" si="28"/>
        <v>0.15333333333333335</v>
      </c>
      <c r="H1758">
        <f>G1758*(26.79/38.29)</f>
        <v>0.10728127448419954</v>
      </c>
    </row>
    <row r="1759" spans="1:8" x14ac:dyDescent="0.25">
      <c r="A1759" s="1">
        <v>1993</v>
      </c>
      <c r="B1759" s="1" t="s">
        <v>99</v>
      </c>
      <c r="C1759" t="s">
        <v>51</v>
      </c>
      <c r="D1759">
        <v>5</v>
      </c>
      <c r="E1759">
        <v>38</v>
      </c>
      <c r="F1759">
        <v>0.13</v>
      </c>
      <c r="G1759">
        <f t="shared" si="28"/>
        <v>4.3333333333333335E-2</v>
      </c>
      <c r="H1759">
        <f>G1759*(26.79/38.29)</f>
        <v>3.0318621049882474E-2</v>
      </c>
    </row>
    <row r="1760" spans="1:8" x14ac:dyDescent="0.25">
      <c r="A1760" s="1">
        <v>1993</v>
      </c>
      <c r="B1760" s="1" t="s">
        <v>99</v>
      </c>
      <c r="C1760" t="s">
        <v>51</v>
      </c>
      <c r="D1760">
        <v>5</v>
      </c>
      <c r="E1760">
        <v>38</v>
      </c>
      <c r="F1760">
        <v>0.48</v>
      </c>
      <c r="G1760">
        <f t="shared" si="28"/>
        <v>0.16</v>
      </c>
      <c r="H1760">
        <f>G1760*(26.79/38.29)</f>
        <v>0.11194567772264298</v>
      </c>
    </row>
    <row r="1761" spans="1:8" x14ac:dyDescent="0.25">
      <c r="A1761" s="1">
        <v>1993</v>
      </c>
      <c r="B1761" s="1" t="s">
        <v>99</v>
      </c>
      <c r="C1761" t="s">
        <v>51</v>
      </c>
      <c r="D1761">
        <v>5</v>
      </c>
      <c r="E1761">
        <v>38</v>
      </c>
      <c r="F1761">
        <v>0.04</v>
      </c>
      <c r="G1761">
        <f t="shared" si="28"/>
        <v>1.3333333333333332E-2</v>
      </c>
      <c r="H1761">
        <f>G1761*(26.79/38.29)</f>
        <v>9.3288064768869139E-3</v>
      </c>
    </row>
    <row r="1762" spans="1:8" x14ac:dyDescent="0.25">
      <c r="A1762" s="1">
        <v>1993</v>
      </c>
      <c r="B1762" s="1" t="s">
        <v>99</v>
      </c>
      <c r="C1762" t="s">
        <v>51</v>
      </c>
      <c r="D1762">
        <v>5</v>
      </c>
      <c r="E1762">
        <v>38</v>
      </c>
      <c r="F1762">
        <v>0.39</v>
      </c>
      <c r="G1762">
        <f t="shared" si="28"/>
        <v>0.13</v>
      </c>
      <c r="H1762">
        <f>G1762*(26.79/38.29)</f>
        <v>9.0955863149647431E-2</v>
      </c>
    </row>
    <row r="1763" spans="1:8" x14ac:dyDescent="0.25">
      <c r="A1763" s="1">
        <v>1993</v>
      </c>
      <c r="B1763" s="1" t="s">
        <v>99</v>
      </c>
      <c r="C1763" t="s">
        <v>51</v>
      </c>
      <c r="D1763">
        <v>5</v>
      </c>
      <c r="E1763">
        <v>38</v>
      </c>
      <c r="F1763">
        <v>0.24</v>
      </c>
      <c r="G1763">
        <f t="shared" si="28"/>
        <v>0.08</v>
      </c>
      <c r="H1763">
        <f>G1763*(26.79/38.29)</f>
        <v>5.597283886132149E-2</v>
      </c>
    </row>
    <row r="1764" spans="1:8" x14ac:dyDescent="0.25">
      <c r="A1764" s="1">
        <v>1993</v>
      </c>
      <c r="B1764" s="1" t="s">
        <v>99</v>
      </c>
      <c r="C1764" t="s">
        <v>51</v>
      </c>
      <c r="D1764">
        <v>5</v>
      </c>
      <c r="E1764">
        <v>38</v>
      </c>
      <c r="F1764">
        <v>1.26</v>
      </c>
      <c r="G1764">
        <f t="shared" si="28"/>
        <v>0.42000000000000004</v>
      </c>
      <c r="H1764">
        <f>G1764*(26.79/38.29)</f>
        <v>0.29385740402193783</v>
      </c>
    </row>
    <row r="1765" spans="1:8" x14ac:dyDescent="0.25">
      <c r="A1765" s="1">
        <v>1993</v>
      </c>
      <c r="B1765" s="1" t="s">
        <v>99</v>
      </c>
      <c r="C1765" t="s">
        <v>51</v>
      </c>
      <c r="D1765">
        <v>5</v>
      </c>
      <c r="E1765">
        <v>38</v>
      </c>
      <c r="F1765">
        <v>0.65</v>
      </c>
      <c r="G1765">
        <f t="shared" si="28"/>
        <v>0.2166666666666667</v>
      </c>
      <c r="H1765">
        <f>G1765*(26.79/38.29)</f>
        <v>0.15159310524941239</v>
      </c>
    </row>
    <row r="1766" spans="1:8" x14ac:dyDescent="0.25">
      <c r="A1766" s="1">
        <v>1993</v>
      </c>
      <c r="B1766" s="1" t="s">
        <v>99</v>
      </c>
      <c r="C1766" t="s">
        <v>51</v>
      </c>
      <c r="D1766">
        <v>5</v>
      </c>
      <c r="E1766">
        <v>38</v>
      </c>
      <c r="F1766">
        <v>0.94</v>
      </c>
      <c r="G1766">
        <f t="shared" si="28"/>
        <v>0.31333333333333335</v>
      </c>
      <c r="H1766">
        <f>G1766*(26.79/38.29)</f>
        <v>0.21922695220684252</v>
      </c>
    </row>
    <row r="1767" spans="1:8" x14ac:dyDescent="0.25">
      <c r="A1767" s="1">
        <v>1993</v>
      </c>
      <c r="B1767" s="1" t="s">
        <v>99</v>
      </c>
      <c r="C1767" t="s">
        <v>51</v>
      </c>
      <c r="D1767">
        <v>5</v>
      </c>
      <c r="E1767">
        <v>38</v>
      </c>
      <c r="F1767">
        <v>0.68</v>
      </c>
      <c r="G1767">
        <f t="shared" si="28"/>
        <v>0.22666666666666671</v>
      </c>
      <c r="H1767">
        <f>G1767*(26.79/38.29)</f>
        <v>0.15858971010707759</v>
      </c>
    </row>
    <row r="1768" spans="1:8" x14ac:dyDescent="0.25">
      <c r="A1768" s="1">
        <v>1993</v>
      </c>
      <c r="B1768" s="1" t="s">
        <v>99</v>
      </c>
      <c r="C1768" t="s">
        <v>51</v>
      </c>
      <c r="D1768">
        <v>5</v>
      </c>
      <c r="E1768">
        <v>38</v>
      </c>
      <c r="F1768">
        <v>0.13</v>
      </c>
      <c r="G1768">
        <f t="shared" si="28"/>
        <v>4.3333333333333335E-2</v>
      </c>
      <c r="H1768">
        <f>G1768*(26.79/38.29)</f>
        <v>3.0318621049882474E-2</v>
      </c>
    </row>
    <row r="1769" spans="1:8" x14ac:dyDescent="0.25">
      <c r="A1769" s="1">
        <v>1993</v>
      </c>
      <c r="B1769" s="1" t="s">
        <v>99</v>
      </c>
      <c r="C1769" t="s">
        <v>51</v>
      </c>
      <c r="D1769">
        <v>5</v>
      </c>
      <c r="E1769">
        <v>38</v>
      </c>
      <c r="F1769">
        <v>1.02</v>
      </c>
      <c r="G1769">
        <f t="shared" si="28"/>
        <v>0.34</v>
      </c>
      <c r="H1769">
        <f>G1769*(26.79/38.29)</f>
        <v>0.23788456516061635</v>
      </c>
    </row>
    <row r="1770" spans="1:8" x14ac:dyDescent="0.25">
      <c r="A1770" s="1">
        <v>1993</v>
      </c>
      <c r="B1770" s="1" t="s">
        <v>99</v>
      </c>
      <c r="C1770" t="s">
        <v>51</v>
      </c>
      <c r="D1770">
        <v>5</v>
      </c>
      <c r="E1770">
        <v>38</v>
      </c>
      <c r="F1770">
        <v>1.05</v>
      </c>
      <c r="G1770">
        <f t="shared" si="28"/>
        <v>0.35000000000000003</v>
      </c>
      <c r="H1770">
        <f>G1770*(26.79/38.29)</f>
        <v>0.24488117001828155</v>
      </c>
    </row>
    <row r="1771" spans="1:8" x14ac:dyDescent="0.25">
      <c r="A1771" s="1">
        <v>1993</v>
      </c>
      <c r="B1771" s="1" t="s">
        <v>99</v>
      </c>
      <c r="C1771" t="s">
        <v>51</v>
      </c>
      <c r="D1771">
        <v>5</v>
      </c>
      <c r="E1771">
        <v>38</v>
      </c>
      <c r="F1771">
        <v>0.06</v>
      </c>
      <c r="G1771">
        <f t="shared" si="28"/>
        <v>0.02</v>
      </c>
      <c r="H1771">
        <f>G1771*(26.79/38.29)</f>
        <v>1.3993209715330373E-2</v>
      </c>
    </row>
    <row r="1772" spans="1:8" x14ac:dyDescent="0.25">
      <c r="A1772" s="1">
        <v>1993</v>
      </c>
      <c r="B1772" s="1" t="s">
        <v>99</v>
      </c>
      <c r="C1772" t="s">
        <v>51</v>
      </c>
      <c r="D1772">
        <v>5</v>
      </c>
      <c r="E1772">
        <v>38</v>
      </c>
      <c r="F1772">
        <v>0.42</v>
      </c>
      <c r="G1772">
        <f t="shared" si="28"/>
        <v>0.13999999999999999</v>
      </c>
      <c r="H1772">
        <f>G1772*(26.79/38.29)</f>
        <v>9.7952468007312596E-2</v>
      </c>
    </row>
    <row r="1773" spans="1:8" x14ac:dyDescent="0.25">
      <c r="A1773" s="1">
        <v>1993</v>
      </c>
      <c r="B1773" s="1" t="s">
        <v>99</v>
      </c>
      <c r="C1773" t="s">
        <v>51</v>
      </c>
      <c r="D1773">
        <v>5</v>
      </c>
      <c r="E1773">
        <v>38</v>
      </c>
      <c r="F1773">
        <v>1.23</v>
      </c>
      <c r="G1773">
        <f t="shared" si="28"/>
        <v>0.41000000000000003</v>
      </c>
      <c r="H1773">
        <f>G1773*(26.79/38.29)</f>
        <v>0.28686079916427265</v>
      </c>
    </row>
    <row r="1774" spans="1:8" x14ac:dyDescent="0.25">
      <c r="A1774" s="1">
        <v>1993</v>
      </c>
      <c r="B1774" s="1" t="s">
        <v>99</v>
      </c>
      <c r="C1774" t="s">
        <v>51</v>
      </c>
      <c r="D1774">
        <v>5</v>
      </c>
      <c r="E1774">
        <v>38</v>
      </c>
      <c r="F1774">
        <v>0.24</v>
      </c>
      <c r="G1774">
        <f t="shared" si="28"/>
        <v>0.08</v>
      </c>
      <c r="H1774">
        <f>G1774*(26.79/38.29)</f>
        <v>5.597283886132149E-2</v>
      </c>
    </row>
    <row r="1775" spans="1:8" x14ac:dyDescent="0.25">
      <c r="A1775" s="1">
        <v>1993</v>
      </c>
      <c r="B1775" s="1" t="s">
        <v>99</v>
      </c>
      <c r="C1775" t="s">
        <v>51</v>
      </c>
      <c r="D1775">
        <v>5</v>
      </c>
      <c r="E1775">
        <v>38</v>
      </c>
      <c r="F1775">
        <v>0.46</v>
      </c>
      <c r="G1775">
        <f t="shared" si="28"/>
        <v>0.15333333333333335</v>
      </c>
      <c r="H1775">
        <f>G1775*(26.79/38.29)</f>
        <v>0.10728127448419954</v>
      </c>
    </row>
    <row r="1776" spans="1:8" x14ac:dyDescent="0.25">
      <c r="A1776" s="1">
        <v>1993</v>
      </c>
      <c r="B1776" s="1" t="s">
        <v>99</v>
      </c>
      <c r="C1776" t="s">
        <v>51</v>
      </c>
      <c r="D1776">
        <v>5</v>
      </c>
      <c r="E1776">
        <v>38</v>
      </c>
      <c r="F1776">
        <v>0.75</v>
      </c>
      <c r="G1776">
        <f t="shared" si="28"/>
        <v>0.25</v>
      </c>
      <c r="H1776">
        <f>G1776*(26.79/38.29)</f>
        <v>0.17491512144162966</v>
      </c>
    </row>
    <row r="1777" spans="1:8" x14ac:dyDescent="0.25">
      <c r="A1777" s="1">
        <v>1993</v>
      </c>
      <c r="B1777" s="1" t="s">
        <v>99</v>
      </c>
      <c r="C1777" t="s">
        <v>51</v>
      </c>
      <c r="D1777">
        <v>5</v>
      </c>
      <c r="E1777">
        <v>38</v>
      </c>
      <c r="F1777">
        <v>0.27</v>
      </c>
      <c r="G1777">
        <f t="shared" si="28"/>
        <v>9.0000000000000011E-2</v>
      </c>
      <c r="H1777">
        <f>G1777*(26.79/38.29)</f>
        <v>6.296944371898669E-2</v>
      </c>
    </row>
    <row r="1778" spans="1:8" x14ac:dyDescent="0.25">
      <c r="A1778" s="1">
        <v>1993</v>
      </c>
      <c r="B1778" s="1" t="s">
        <v>99</v>
      </c>
      <c r="C1778" t="s">
        <v>51</v>
      </c>
      <c r="D1778">
        <v>5</v>
      </c>
      <c r="E1778">
        <v>38</v>
      </c>
      <c r="F1778">
        <v>0.16</v>
      </c>
      <c r="G1778">
        <f t="shared" si="28"/>
        <v>5.333333333333333E-2</v>
      </c>
      <c r="H1778">
        <f>G1778*(26.79/38.29)</f>
        <v>3.7315225907547656E-2</v>
      </c>
    </row>
    <row r="1779" spans="1:8" x14ac:dyDescent="0.25">
      <c r="A1779" s="1">
        <v>1993</v>
      </c>
      <c r="B1779" s="1" t="s">
        <v>99</v>
      </c>
      <c r="C1779" t="s">
        <v>51</v>
      </c>
      <c r="D1779">
        <v>5</v>
      </c>
      <c r="E1779">
        <v>38</v>
      </c>
      <c r="F1779">
        <v>1.05</v>
      </c>
      <c r="G1779">
        <f t="shared" si="28"/>
        <v>0.35000000000000003</v>
      </c>
      <c r="H1779">
        <f>G1779*(26.79/38.29)</f>
        <v>0.24488117001828155</v>
      </c>
    </row>
    <row r="1780" spans="1:8" x14ac:dyDescent="0.25">
      <c r="A1780" s="1">
        <v>1993</v>
      </c>
      <c r="B1780" s="1" t="s">
        <v>99</v>
      </c>
      <c r="C1780" t="s">
        <v>51</v>
      </c>
      <c r="D1780">
        <v>5</v>
      </c>
      <c r="E1780">
        <v>38</v>
      </c>
      <c r="F1780">
        <v>0.6</v>
      </c>
      <c r="G1780">
        <f t="shared" si="28"/>
        <v>0.2</v>
      </c>
      <c r="H1780">
        <f>G1780*(26.79/38.29)</f>
        <v>0.13993209715330374</v>
      </c>
    </row>
    <row r="1781" spans="1:8" x14ac:dyDescent="0.25">
      <c r="A1781" s="1">
        <v>1993</v>
      </c>
      <c r="B1781" s="1" t="s">
        <v>99</v>
      </c>
      <c r="C1781" t="s">
        <v>51</v>
      </c>
      <c r="D1781">
        <v>5</v>
      </c>
      <c r="E1781">
        <v>38</v>
      </c>
      <c r="F1781">
        <v>0.7</v>
      </c>
      <c r="G1781">
        <f t="shared" si="28"/>
        <v>0.23333333333333334</v>
      </c>
      <c r="H1781">
        <f>G1781*(26.79/38.29)</f>
        <v>0.16325411334552101</v>
      </c>
    </row>
    <row r="1782" spans="1:8" x14ac:dyDescent="0.25">
      <c r="A1782" s="1">
        <v>1993</v>
      </c>
      <c r="B1782" s="1" t="s">
        <v>99</v>
      </c>
      <c r="C1782" t="s">
        <v>51</v>
      </c>
      <c r="D1782">
        <v>5</v>
      </c>
      <c r="E1782">
        <v>38</v>
      </c>
      <c r="F1782">
        <v>1.21</v>
      </c>
      <c r="G1782">
        <f t="shared" si="28"/>
        <v>0.40333333333333332</v>
      </c>
      <c r="H1782">
        <f>G1782*(26.79/38.29)</f>
        <v>0.28219639592582918</v>
      </c>
    </row>
    <row r="1783" spans="1:8" x14ac:dyDescent="0.25">
      <c r="A1783" s="1">
        <v>1993</v>
      </c>
      <c r="B1783" s="1" t="s">
        <v>99</v>
      </c>
      <c r="C1783" t="s">
        <v>51</v>
      </c>
      <c r="D1783">
        <v>5</v>
      </c>
      <c r="E1783">
        <v>38</v>
      </c>
      <c r="F1783">
        <v>1.38</v>
      </c>
      <c r="G1783">
        <f t="shared" si="28"/>
        <v>0.45999999999999996</v>
      </c>
      <c r="H1783">
        <f>G1783*(26.79/38.29)</f>
        <v>0.32184382345259854</v>
      </c>
    </row>
    <row r="1784" spans="1:8" x14ac:dyDescent="0.25">
      <c r="A1784" s="1">
        <v>1993</v>
      </c>
      <c r="B1784" s="1" t="s">
        <v>99</v>
      </c>
      <c r="C1784" t="s">
        <v>51</v>
      </c>
      <c r="D1784">
        <v>5</v>
      </c>
      <c r="E1784">
        <v>38</v>
      </c>
      <c r="F1784">
        <v>0.85</v>
      </c>
      <c r="G1784">
        <f t="shared" si="28"/>
        <v>0.28333333333333333</v>
      </c>
      <c r="H1784">
        <f>G1784*(26.79/38.29)</f>
        <v>0.19823713763384693</v>
      </c>
    </row>
    <row r="1785" spans="1:8" x14ac:dyDescent="0.25">
      <c r="A1785" s="1">
        <v>1993</v>
      </c>
      <c r="B1785" s="1" t="s">
        <v>99</v>
      </c>
      <c r="C1785" t="s">
        <v>51</v>
      </c>
      <c r="D1785">
        <v>5</v>
      </c>
      <c r="E1785">
        <v>38</v>
      </c>
      <c r="F1785">
        <v>0.77</v>
      </c>
      <c r="G1785">
        <f t="shared" si="28"/>
        <v>0.25666666666666671</v>
      </c>
      <c r="H1785">
        <f>G1785*(26.79/38.29)</f>
        <v>0.17957952468007315</v>
      </c>
    </row>
    <row r="1786" spans="1:8" x14ac:dyDescent="0.25">
      <c r="A1786" s="1">
        <v>1993</v>
      </c>
      <c r="B1786" s="1" t="s">
        <v>99</v>
      </c>
      <c r="C1786" t="s">
        <v>51</v>
      </c>
      <c r="D1786">
        <v>5</v>
      </c>
      <c r="E1786">
        <v>38</v>
      </c>
      <c r="F1786">
        <v>0.52</v>
      </c>
      <c r="G1786">
        <f t="shared" si="28"/>
        <v>0.17333333333333334</v>
      </c>
      <c r="H1786">
        <f>G1786*(26.79/38.29)</f>
        <v>0.12127448419952989</v>
      </c>
    </row>
    <row r="1787" spans="1:8" x14ac:dyDescent="0.25">
      <c r="A1787" s="1">
        <v>1993</v>
      </c>
      <c r="B1787" s="1" t="s">
        <v>99</v>
      </c>
      <c r="C1787" t="s">
        <v>51</v>
      </c>
      <c r="D1787">
        <v>5</v>
      </c>
      <c r="E1787">
        <v>38</v>
      </c>
      <c r="F1787">
        <v>0.45</v>
      </c>
      <c r="G1787">
        <f t="shared" si="28"/>
        <v>0.15</v>
      </c>
      <c r="H1787">
        <f>G1787*(26.79/38.29)</f>
        <v>0.10494907286497779</v>
      </c>
    </row>
    <row r="1788" spans="1:8" x14ac:dyDescent="0.25">
      <c r="A1788" s="1">
        <v>1993</v>
      </c>
      <c r="B1788" s="1" t="s">
        <v>99</v>
      </c>
      <c r="C1788" t="s">
        <v>51</v>
      </c>
      <c r="D1788">
        <v>5</v>
      </c>
      <c r="E1788">
        <v>40</v>
      </c>
      <c r="F1788">
        <v>0.2</v>
      </c>
      <c r="G1788">
        <f t="shared" si="28"/>
        <v>6.666666666666668E-2</v>
      </c>
      <c r="H1788">
        <f>G1788*(26.79/38.29)</f>
        <v>4.6644032384434583E-2</v>
      </c>
    </row>
    <row r="1789" spans="1:8" x14ac:dyDescent="0.25">
      <c r="A1789" s="1">
        <v>1993</v>
      </c>
      <c r="B1789" s="1" t="s">
        <v>99</v>
      </c>
      <c r="C1789" t="s">
        <v>51</v>
      </c>
      <c r="D1789">
        <v>5</v>
      </c>
      <c r="E1789">
        <v>40</v>
      </c>
      <c r="F1789">
        <v>0.41</v>
      </c>
      <c r="G1789">
        <f t="shared" ref="G1789:G1852" si="29">(F1789/0.6)/5</f>
        <v>0.13666666666666666</v>
      </c>
      <c r="H1789">
        <f>G1789*(26.79/38.29)</f>
        <v>9.5620266388090874E-2</v>
      </c>
    </row>
    <row r="1790" spans="1:8" x14ac:dyDescent="0.25">
      <c r="A1790" s="1">
        <v>1993</v>
      </c>
      <c r="B1790" s="1" t="s">
        <v>99</v>
      </c>
      <c r="C1790" t="s">
        <v>51</v>
      </c>
      <c r="D1790">
        <v>5</v>
      </c>
      <c r="E1790">
        <v>40</v>
      </c>
      <c r="F1790">
        <v>1.38</v>
      </c>
      <c r="G1790">
        <f t="shared" si="29"/>
        <v>0.45999999999999996</v>
      </c>
      <c r="H1790">
        <f>G1790*(26.79/38.29)</f>
        <v>0.32184382345259854</v>
      </c>
    </row>
    <row r="1791" spans="1:8" x14ac:dyDescent="0.25">
      <c r="A1791" s="1">
        <v>1993</v>
      </c>
      <c r="B1791" s="1" t="s">
        <v>99</v>
      </c>
      <c r="C1791" t="s">
        <v>51</v>
      </c>
      <c r="D1791">
        <v>5</v>
      </c>
      <c r="E1791">
        <v>40</v>
      </c>
      <c r="F1791">
        <v>1.36</v>
      </c>
      <c r="G1791">
        <f t="shared" si="29"/>
        <v>0.45333333333333342</v>
      </c>
      <c r="H1791">
        <f>G1791*(26.79/38.29)</f>
        <v>0.31717942021415518</v>
      </c>
    </row>
    <row r="1792" spans="1:8" x14ac:dyDescent="0.25">
      <c r="A1792" s="1">
        <v>1993</v>
      </c>
      <c r="B1792" s="1" t="s">
        <v>99</v>
      </c>
      <c r="C1792" t="s">
        <v>51</v>
      </c>
      <c r="D1792">
        <v>5</v>
      </c>
      <c r="E1792">
        <v>40</v>
      </c>
      <c r="F1792">
        <v>1.58</v>
      </c>
      <c r="G1792">
        <f t="shared" si="29"/>
        <v>0.52666666666666673</v>
      </c>
      <c r="H1792">
        <f>G1792*(26.79/38.29)</f>
        <v>0.3684878558370332</v>
      </c>
    </row>
    <row r="1793" spans="1:8" x14ac:dyDescent="0.25">
      <c r="A1793" s="1">
        <v>1993</v>
      </c>
      <c r="B1793" s="1" t="s">
        <v>99</v>
      </c>
      <c r="C1793" t="s">
        <v>51</v>
      </c>
      <c r="D1793">
        <v>5</v>
      </c>
      <c r="E1793">
        <v>40</v>
      </c>
      <c r="F1793">
        <v>1.75</v>
      </c>
      <c r="G1793">
        <f t="shared" si="29"/>
        <v>0.58333333333333337</v>
      </c>
      <c r="H1793">
        <f>G1793*(26.79/38.29)</f>
        <v>0.40813528336380256</v>
      </c>
    </row>
    <row r="1794" spans="1:8" x14ac:dyDescent="0.25">
      <c r="A1794" s="1">
        <v>1993</v>
      </c>
      <c r="B1794" s="1" t="s">
        <v>99</v>
      </c>
      <c r="C1794" t="s">
        <v>51</v>
      </c>
      <c r="D1794">
        <v>5</v>
      </c>
      <c r="E1794">
        <v>40</v>
      </c>
      <c r="F1794">
        <v>1.52</v>
      </c>
      <c r="G1794">
        <f t="shared" si="29"/>
        <v>0.50666666666666671</v>
      </c>
      <c r="H1794">
        <f>G1794*(26.79/38.29)</f>
        <v>0.35449464612170278</v>
      </c>
    </row>
    <row r="1795" spans="1:8" x14ac:dyDescent="0.25">
      <c r="A1795" s="1">
        <v>1993</v>
      </c>
      <c r="B1795" s="1" t="s">
        <v>99</v>
      </c>
      <c r="C1795" t="s">
        <v>51</v>
      </c>
      <c r="D1795">
        <v>5</v>
      </c>
      <c r="E1795">
        <v>40</v>
      </c>
      <c r="F1795">
        <v>1.48</v>
      </c>
      <c r="G1795">
        <f t="shared" si="29"/>
        <v>0.49333333333333335</v>
      </c>
      <c r="H1795">
        <f>G1795*(26.79/38.29)</f>
        <v>0.34516583964481584</v>
      </c>
    </row>
    <row r="1796" spans="1:8" x14ac:dyDescent="0.25">
      <c r="A1796" s="1">
        <v>1993</v>
      </c>
      <c r="B1796" s="1" t="s">
        <v>99</v>
      </c>
      <c r="C1796" t="s">
        <v>51</v>
      </c>
      <c r="D1796">
        <v>5</v>
      </c>
      <c r="E1796">
        <v>40</v>
      </c>
      <c r="F1796">
        <v>0.98</v>
      </c>
      <c r="G1796">
        <f t="shared" si="29"/>
        <v>0.32666666666666666</v>
      </c>
      <c r="H1796">
        <f>G1796*(26.79/38.29)</f>
        <v>0.2285557586837294</v>
      </c>
    </row>
    <row r="1797" spans="1:8" x14ac:dyDescent="0.25">
      <c r="A1797" s="1">
        <v>1993</v>
      </c>
      <c r="B1797" s="1" t="s">
        <v>99</v>
      </c>
      <c r="C1797" t="s">
        <v>51</v>
      </c>
      <c r="D1797">
        <v>5</v>
      </c>
      <c r="E1797">
        <v>47</v>
      </c>
      <c r="F1797">
        <v>1.23</v>
      </c>
      <c r="G1797">
        <f t="shared" si="29"/>
        <v>0.41000000000000003</v>
      </c>
      <c r="H1797">
        <f>G1797*(26.79/38.29)</f>
        <v>0.28686079916427265</v>
      </c>
    </row>
    <row r="1798" spans="1:8" x14ac:dyDescent="0.25">
      <c r="A1798" s="1">
        <v>1993</v>
      </c>
      <c r="B1798" s="1" t="s">
        <v>99</v>
      </c>
      <c r="C1798" t="s">
        <v>51</v>
      </c>
      <c r="D1798">
        <v>5</v>
      </c>
      <c r="E1798">
        <v>47</v>
      </c>
      <c r="F1798">
        <v>0.57999999999999996</v>
      </c>
      <c r="G1798">
        <f t="shared" si="29"/>
        <v>0.19333333333333333</v>
      </c>
      <c r="H1798">
        <f>G1798*(26.79/38.29)</f>
        <v>0.13526769391486027</v>
      </c>
    </row>
    <row r="1799" spans="1:8" x14ac:dyDescent="0.25">
      <c r="A1799" s="1">
        <v>1993</v>
      </c>
      <c r="B1799" s="1" t="s">
        <v>99</v>
      </c>
      <c r="C1799" t="s">
        <v>51</v>
      </c>
      <c r="D1799">
        <v>5</v>
      </c>
      <c r="E1799">
        <v>53</v>
      </c>
      <c r="F1799">
        <v>7.0000000000000007E-2</v>
      </c>
      <c r="G1799">
        <f t="shared" si="29"/>
        <v>2.3333333333333338E-2</v>
      </c>
      <c r="H1799">
        <f>G1799*(26.79/38.29)</f>
        <v>1.6325411334552103E-2</v>
      </c>
    </row>
    <row r="1800" spans="1:8" x14ac:dyDescent="0.25">
      <c r="A1800" s="1">
        <v>1993</v>
      </c>
      <c r="B1800" s="1" t="s">
        <v>99</v>
      </c>
      <c r="C1800" t="s">
        <v>51</v>
      </c>
      <c r="D1800">
        <v>5</v>
      </c>
      <c r="E1800">
        <v>53</v>
      </c>
      <c r="F1800">
        <v>0.12</v>
      </c>
      <c r="G1800">
        <f t="shared" si="29"/>
        <v>0.04</v>
      </c>
      <c r="H1800">
        <f>G1800*(26.79/38.29)</f>
        <v>2.7986419430660745E-2</v>
      </c>
    </row>
    <row r="1801" spans="1:8" x14ac:dyDescent="0.25">
      <c r="A1801" s="1">
        <v>1993</v>
      </c>
      <c r="B1801" s="1" t="s">
        <v>99</v>
      </c>
      <c r="C1801" t="s">
        <v>51</v>
      </c>
      <c r="D1801">
        <v>5</v>
      </c>
      <c r="E1801">
        <v>53</v>
      </c>
      <c r="F1801">
        <v>7.0000000000000007E-2</v>
      </c>
      <c r="G1801">
        <f t="shared" si="29"/>
        <v>2.3333333333333338E-2</v>
      </c>
      <c r="H1801">
        <f>G1801*(26.79/38.29)</f>
        <v>1.6325411334552103E-2</v>
      </c>
    </row>
    <row r="1802" spans="1:8" x14ac:dyDescent="0.25">
      <c r="A1802" s="1">
        <v>1993</v>
      </c>
      <c r="B1802" s="1" t="s">
        <v>99</v>
      </c>
      <c r="C1802" t="s">
        <v>51</v>
      </c>
      <c r="D1802">
        <v>5</v>
      </c>
      <c r="E1802">
        <v>53</v>
      </c>
      <c r="F1802">
        <v>0.12</v>
      </c>
      <c r="G1802">
        <f t="shared" si="29"/>
        <v>0.04</v>
      </c>
      <c r="H1802">
        <f>G1802*(26.79/38.29)</f>
        <v>2.7986419430660745E-2</v>
      </c>
    </row>
    <row r="1803" spans="1:8" x14ac:dyDescent="0.25">
      <c r="A1803" s="1">
        <v>1993</v>
      </c>
      <c r="B1803" s="1" t="s">
        <v>99</v>
      </c>
      <c r="C1803" t="s">
        <v>51</v>
      </c>
      <c r="D1803">
        <v>5</v>
      </c>
      <c r="E1803">
        <v>53</v>
      </c>
      <c r="F1803">
        <v>0.05</v>
      </c>
      <c r="G1803">
        <f t="shared" si="29"/>
        <v>1.666666666666667E-2</v>
      </c>
      <c r="H1803">
        <f>G1803*(26.79/38.29)</f>
        <v>1.1661008096108646E-2</v>
      </c>
    </row>
    <row r="1804" spans="1:8" x14ac:dyDescent="0.25">
      <c r="A1804" s="1">
        <v>1993</v>
      </c>
      <c r="B1804" s="1" t="s">
        <v>99</v>
      </c>
      <c r="C1804" t="s">
        <v>51</v>
      </c>
      <c r="D1804">
        <v>5</v>
      </c>
      <c r="E1804">
        <v>53</v>
      </c>
      <c r="F1804">
        <v>0.94</v>
      </c>
      <c r="G1804">
        <f t="shared" si="29"/>
        <v>0.31333333333333335</v>
      </c>
      <c r="H1804">
        <f>G1804*(26.79/38.29)</f>
        <v>0.21922695220684252</v>
      </c>
    </row>
    <row r="1805" spans="1:8" x14ac:dyDescent="0.25">
      <c r="A1805" s="1">
        <v>1993</v>
      </c>
      <c r="B1805" s="1" t="s">
        <v>99</v>
      </c>
      <c r="C1805" t="s">
        <v>51</v>
      </c>
      <c r="D1805">
        <v>5</v>
      </c>
      <c r="E1805">
        <v>53</v>
      </c>
      <c r="F1805">
        <v>0.04</v>
      </c>
      <c r="G1805">
        <f t="shared" si="29"/>
        <v>1.3333333333333332E-2</v>
      </c>
      <c r="H1805">
        <f>G1805*(26.79/38.29)</f>
        <v>9.3288064768869139E-3</v>
      </c>
    </row>
    <row r="1806" spans="1:8" x14ac:dyDescent="0.25">
      <c r="A1806" s="1">
        <v>1993</v>
      </c>
      <c r="B1806" s="1" t="s">
        <v>99</v>
      </c>
      <c r="C1806" t="s">
        <v>51</v>
      </c>
      <c r="D1806">
        <v>5</v>
      </c>
      <c r="E1806">
        <v>54</v>
      </c>
      <c r="F1806">
        <v>0.05</v>
      </c>
      <c r="G1806">
        <f t="shared" si="29"/>
        <v>1.666666666666667E-2</v>
      </c>
      <c r="H1806">
        <f>G1806*(26.79/38.29)</f>
        <v>1.1661008096108646E-2</v>
      </c>
    </row>
    <row r="1807" spans="1:8" x14ac:dyDescent="0.25">
      <c r="A1807" s="1">
        <v>1993</v>
      </c>
      <c r="B1807" s="1" t="s">
        <v>99</v>
      </c>
      <c r="C1807" t="s">
        <v>51</v>
      </c>
      <c r="D1807">
        <v>5</v>
      </c>
      <c r="E1807">
        <v>54</v>
      </c>
      <c r="F1807">
        <v>0.04</v>
      </c>
      <c r="G1807">
        <f t="shared" si="29"/>
        <v>1.3333333333333332E-2</v>
      </c>
      <c r="H1807">
        <f>G1807*(26.79/38.29)</f>
        <v>9.3288064768869139E-3</v>
      </c>
    </row>
    <row r="1808" spans="1:8" x14ac:dyDescent="0.25">
      <c r="A1808" s="1">
        <v>1993</v>
      </c>
      <c r="B1808" s="1" t="s">
        <v>99</v>
      </c>
      <c r="C1808" t="s">
        <v>51</v>
      </c>
      <c r="D1808">
        <v>5</v>
      </c>
      <c r="E1808">
        <v>54</v>
      </c>
      <c r="F1808">
        <v>0.25</v>
      </c>
      <c r="G1808">
        <f t="shared" si="29"/>
        <v>8.3333333333333343E-2</v>
      </c>
      <c r="H1808">
        <f>G1808*(26.79/38.29)</f>
        <v>5.8305040480543226E-2</v>
      </c>
    </row>
    <row r="1809" spans="1:8" x14ac:dyDescent="0.25">
      <c r="A1809" s="1">
        <v>1993</v>
      </c>
      <c r="B1809" s="1" t="s">
        <v>99</v>
      </c>
      <c r="C1809" t="s">
        <v>51</v>
      </c>
      <c r="D1809">
        <v>5</v>
      </c>
      <c r="E1809">
        <v>54</v>
      </c>
      <c r="F1809">
        <v>7.0000000000000007E-2</v>
      </c>
      <c r="G1809">
        <f t="shared" si="29"/>
        <v>2.3333333333333338E-2</v>
      </c>
      <c r="H1809">
        <f>G1809*(26.79/38.29)</f>
        <v>1.6325411334552103E-2</v>
      </c>
    </row>
    <row r="1810" spans="1:8" x14ac:dyDescent="0.25">
      <c r="A1810" s="1">
        <v>1993</v>
      </c>
      <c r="B1810" s="1" t="s">
        <v>99</v>
      </c>
      <c r="C1810" t="s">
        <v>51</v>
      </c>
      <c r="D1810">
        <v>5</v>
      </c>
      <c r="E1810">
        <v>56</v>
      </c>
      <c r="F1810">
        <v>0.81</v>
      </c>
      <c r="G1810">
        <f t="shared" si="29"/>
        <v>0.27</v>
      </c>
      <c r="H1810">
        <f>G1810*(26.79/38.29)</f>
        <v>0.18890833115696004</v>
      </c>
    </row>
    <row r="1811" spans="1:8" x14ac:dyDescent="0.25">
      <c r="A1811" s="1">
        <v>1993</v>
      </c>
      <c r="B1811" s="1" t="s">
        <v>99</v>
      </c>
      <c r="C1811" t="s">
        <v>51</v>
      </c>
      <c r="D1811">
        <v>5</v>
      </c>
      <c r="E1811">
        <v>56</v>
      </c>
      <c r="F1811">
        <v>0.03</v>
      </c>
      <c r="G1811">
        <f t="shared" si="29"/>
        <v>0.01</v>
      </c>
      <c r="H1811">
        <f>G1811*(26.79/38.29)</f>
        <v>6.9966048576651863E-3</v>
      </c>
    </row>
    <row r="1812" spans="1:8" x14ac:dyDescent="0.25">
      <c r="A1812" s="1">
        <v>1993</v>
      </c>
      <c r="B1812" s="1" t="s">
        <v>99</v>
      </c>
      <c r="C1812" t="s">
        <v>51</v>
      </c>
      <c r="D1812">
        <v>5</v>
      </c>
      <c r="E1812">
        <v>58</v>
      </c>
      <c r="F1812">
        <v>0.09</v>
      </c>
      <c r="G1812">
        <f t="shared" si="29"/>
        <v>0.03</v>
      </c>
      <c r="H1812">
        <f>G1812*(26.79/38.29)</f>
        <v>2.0989814572995556E-2</v>
      </c>
    </row>
    <row r="1813" spans="1:8" x14ac:dyDescent="0.25">
      <c r="A1813" s="1">
        <v>1993</v>
      </c>
      <c r="B1813" s="1" t="s">
        <v>99</v>
      </c>
      <c r="C1813" t="s">
        <v>51</v>
      </c>
      <c r="D1813">
        <v>5</v>
      </c>
      <c r="E1813">
        <v>63</v>
      </c>
      <c r="F1813">
        <v>0.04</v>
      </c>
      <c r="G1813">
        <f t="shared" si="29"/>
        <v>1.3333333333333332E-2</v>
      </c>
      <c r="H1813">
        <f>G1813*(26.79/38.29)</f>
        <v>9.3288064768869139E-3</v>
      </c>
    </row>
    <row r="1814" spans="1:8" x14ac:dyDescent="0.25">
      <c r="A1814" s="1">
        <v>1993</v>
      </c>
      <c r="B1814" s="1" t="s">
        <v>99</v>
      </c>
      <c r="C1814" t="s">
        <v>51</v>
      </c>
      <c r="D1814">
        <v>5</v>
      </c>
      <c r="E1814">
        <v>63</v>
      </c>
      <c r="F1814">
        <v>0.06</v>
      </c>
      <c r="G1814">
        <f t="shared" si="29"/>
        <v>0.02</v>
      </c>
      <c r="H1814">
        <f>G1814*(26.79/38.29)</f>
        <v>1.3993209715330373E-2</v>
      </c>
    </row>
    <row r="1815" spans="1:8" x14ac:dyDescent="0.25">
      <c r="A1815" s="1">
        <v>1993</v>
      </c>
      <c r="B1815" s="1" t="s">
        <v>99</v>
      </c>
      <c r="C1815" t="s">
        <v>51</v>
      </c>
      <c r="D1815">
        <v>5</v>
      </c>
      <c r="E1815">
        <v>63</v>
      </c>
      <c r="F1815">
        <v>0.03</v>
      </c>
      <c r="G1815">
        <f t="shared" si="29"/>
        <v>0.01</v>
      </c>
      <c r="H1815">
        <f>G1815*(26.79/38.29)</f>
        <v>6.9966048576651863E-3</v>
      </c>
    </row>
    <row r="1816" spans="1:8" x14ac:dyDescent="0.25">
      <c r="A1816" s="1">
        <v>1993</v>
      </c>
      <c r="B1816" s="1" t="s">
        <v>99</v>
      </c>
      <c r="C1816" t="s">
        <v>51</v>
      </c>
      <c r="D1816">
        <v>5</v>
      </c>
      <c r="E1816">
        <v>63</v>
      </c>
      <c r="F1816">
        <v>0.17</v>
      </c>
      <c r="G1816">
        <f t="shared" si="29"/>
        <v>5.6666666666666678E-2</v>
      </c>
      <c r="H1816">
        <f>G1816*(26.79/38.29)</f>
        <v>3.9647427526769398E-2</v>
      </c>
    </row>
    <row r="1817" spans="1:8" x14ac:dyDescent="0.25">
      <c r="A1817" s="1">
        <v>1993</v>
      </c>
      <c r="B1817" s="1" t="s">
        <v>99</v>
      </c>
      <c r="C1817" t="s">
        <v>51</v>
      </c>
      <c r="D1817">
        <v>5</v>
      </c>
      <c r="E1817">
        <v>63</v>
      </c>
      <c r="F1817">
        <v>0.05</v>
      </c>
      <c r="G1817">
        <f t="shared" si="29"/>
        <v>1.666666666666667E-2</v>
      </c>
      <c r="H1817">
        <f>G1817*(26.79/38.29)</f>
        <v>1.1661008096108646E-2</v>
      </c>
    </row>
    <row r="1818" spans="1:8" x14ac:dyDescent="0.25">
      <c r="A1818" s="1">
        <v>1993</v>
      </c>
      <c r="B1818" s="1" t="s">
        <v>99</v>
      </c>
      <c r="C1818" t="s">
        <v>51</v>
      </c>
      <c r="D1818">
        <v>5</v>
      </c>
      <c r="E1818">
        <v>71</v>
      </c>
      <c r="F1818">
        <v>0.09</v>
      </c>
      <c r="G1818">
        <f t="shared" si="29"/>
        <v>0.03</v>
      </c>
      <c r="H1818">
        <f>G1818*(26.79/38.29)</f>
        <v>2.0989814572995556E-2</v>
      </c>
    </row>
    <row r="1819" spans="1:8" x14ac:dyDescent="0.25">
      <c r="A1819" s="1">
        <v>1993</v>
      </c>
      <c r="B1819" s="1" t="s">
        <v>99</v>
      </c>
      <c r="C1819" t="s">
        <v>51</v>
      </c>
      <c r="D1819">
        <v>5</v>
      </c>
      <c r="E1819">
        <v>78</v>
      </c>
      <c r="F1819">
        <v>0.08</v>
      </c>
      <c r="G1819">
        <f t="shared" si="29"/>
        <v>2.6666666666666665E-2</v>
      </c>
      <c r="H1819">
        <f>G1819*(26.79/38.29)</f>
        <v>1.8657612953773828E-2</v>
      </c>
    </row>
    <row r="1820" spans="1:8" x14ac:dyDescent="0.25">
      <c r="A1820" s="1">
        <v>1993</v>
      </c>
      <c r="B1820" s="1" t="s">
        <v>99</v>
      </c>
      <c r="C1820" t="s">
        <v>51</v>
      </c>
      <c r="D1820">
        <v>5</v>
      </c>
      <c r="E1820">
        <v>79</v>
      </c>
      <c r="F1820">
        <v>0.18</v>
      </c>
      <c r="G1820">
        <f t="shared" si="29"/>
        <v>0.06</v>
      </c>
      <c r="H1820">
        <f>G1820*(26.79/38.29)</f>
        <v>4.1979629145991113E-2</v>
      </c>
    </row>
    <row r="1821" spans="1:8" x14ac:dyDescent="0.25">
      <c r="A1821" s="1">
        <v>1993</v>
      </c>
      <c r="B1821" s="1" t="s">
        <v>99</v>
      </c>
      <c r="C1821" t="s">
        <v>51</v>
      </c>
      <c r="D1821">
        <v>5</v>
      </c>
      <c r="E1821">
        <v>79</v>
      </c>
      <c r="F1821">
        <v>0.08</v>
      </c>
      <c r="G1821">
        <f t="shared" si="29"/>
        <v>2.6666666666666665E-2</v>
      </c>
      <c r="H1821">
        <f>G1821*(26.79/38.29)</f>
        <v>1.8657612953773828E-2</v>
      </c>
    </row>
    <row r="1822" spans="1:8" x14ac:dyDescent="0.25">
      <c r="A1822" s="1">
        <v>1993</v>
      </c>
      <c r="B1822" s="1" t="s">
        <v>99</v>
      </c>
      <c r="C1822" t="s">
        <v>51</v>
      </c>
      <c r="D1822">
        <v>5</v>
      </c>
      <c r="E1822">
        <v>79</v>
      </c>
      <c r="F1822">
        <v>0.09</v>
      </c>
      <c r="G1822">
        <f t="shared" si="29"/>
        <v>0.03</v>
      </c>
      <c r="H1822">
        <f>G1822*(26.79/38.29)</f>
        <v>2.0989814572995556E-2</v>
      </c>
    </row>
    <row r="1823" spans="1:8" x14ac:dyDescent="0.25">
      <c r="A1823" s="1">
        <v>1993</v>
      </c>
      <c r="B1823" s="1" t="s">
        <v>99</v>
      </c>
      <c r="C1823" t="s">
        <v>51</v>
      </c>
      <c r="D1823">
        <v>5</v>
      </c>
      <c r="E1823">
        <v>79</v>
      </c>
      <c r="F1823">
        <v>0.05</v>
      </c>
      <c r="G1823">
        <f t="shared" si="29"/>
        <v>1.666666666666667E-2</v>
      </c>
      <c r="H1823">
        <f>G1823*(26.79/38.29)</f>
        <v>1.1661008096108646E-2</v>
      </c>
    </row>
    <row r="1824" spans="1:8" x14ac:dyDescent="0.25">
      <c r="A1824" s="1">
        <v>1993</v>
      </c>
      <c r="B1824" s="1" t="s">
        <v>99</v>
      </c>
      <c r="C1824" t="s">
        <v>51</v>
      </c>
      <c r="D1824">
        <v>5</v>
      </c>
      <c r="E1824">
        <v>79</v>
      </c>
      <c r="F1824">
        <v>0.41</v>
      </c>
      <c r="G1824">
        <f t="shared" si="29"/>
        <v>0.13666666666666666</v>
      </c>
      <c r="H1824">
        <f>G1824*(26.79/38.29)</f>
        <v>9.5620266388090874E-2</v>
      </c>
    </row>
    <row r="1825" spans="1:8" x14ac:dyDescent="0.25">
      <c r="A1825" s="1">
        <v>1993</v>
      </c>
      <c r="B1825" s="1" t="s">
        <v>99</v>
      </c>
      <c r="C1825" t="s">
        <v>51</v>
      </c>
      <c r="D1825">
        <v>5</v>
      </c>
      <c r="E1825">
        <v>79</v>
      </c>
      <c r="F1825">
        <v>0.89</v>
      </c>
      <c r="G1825">
        <f t="shared" si="29"/>
        <v>0.29666666666666669</v>
      </c>
      <c r="H1825">
        <f>G1825*(26.79/38.29)</f>
        <v>0.20756594411073387</v>
      </c>
    </row>
    <row r="1826" spans="1:8" x14ac:dyDescent="0.25">
      <c r="A1826" s="1">
        <v>1993</v>
      </c>
      <c r="B1826" s="1" t="s">
        <v>99</v>
      </c>
      <c r="C1826" t="s">
        <v>51</v>
      </c>
      <c r="D1826">
        <v>5</v>
      </c>
      <c r="E1826">
        <v>79</v>
      </c>
      <c r="F1826">
        <v>0.84</v>
      </c>
      <c r="G1826">
        <f t="shared" si="29"/>
        <v>0.27999999999999997</v>
      </c>
      <c r="H1826">
        <f>G1826*(26.79/38.29)</f>
        <v>0.19590493601462519</v>
      </c>
    </row>
    <row r="1827" spans="1:8" x14ac:dyDescent="0.25">
      <c r="A1827" s="1">
        <v>1993</v>
      </c>
      <c r="B1827" s="1" t="s">
        <v>99</v>
      </c>
      <c r="C1827" t="s">
        <v>51</v>
      </c>
      <c r="D1827">
        <v>5</v>
      </c>
      <c r="E1827">
        <v>79</v>
      </c>
      <c r="F1827">
        <v>0.8</v>
      </c>
      <c r="G1827">
        <f t="shared" si="29"/>
        <v>0.26666666666666672</v>
      </c>
      <c r="H1827">
        <f>G1827*(26.79/38.29)</f>
        <v>0.18657612953773833</v>
      </c>
    </row>
    <row r="1828" spans="1:8" x14ac:dyDescent="0.25">
      <c r="A1828" s="1">
        <v>1993</v>
      </c>
      <c r="B1828" s="1" t="s">
        <v>99</v>
      </c>
      <c r="C1828" t="s">
        <v>51</v>
      </c>
      <c r="D1828">
        <v>5</v>
      </c>
      <c r="E1828">
        <v>79</v>
      </c>
      <c r="F1828">
        <v>7.0000000000000007E-2</v>
      </c>
      <c r="G1828">
        <f t="shared" si="29"/>
        <v>2.3333333333333338E-2</v>
      </c>
      <c r="H1828">
        <f>G1828*(26.79/38.29)</f>
        <v>1.6325411334552103E-2</v>
      </c>
    </row>
    <row r="1829" spans="1:8" x14ac:dyDescent="0.25">
      <c r="A1829" s="1">
        <v>1993</v>
      </c>
      <c r="B1829" s="1" t="s">
        <v>99</v>
      </c>
      <c r="C1829" t="s">
        <v>51</v>
      </c>
      <c r="D1829">
        <v>5</v>
      </c>
      <c r="E1829">
        <v>79</v>
      </c>
      <c r="F1829">
        <v>0.21</v>
      </c>
      <c r="G1829">
        <f t="shared" si="29"/>
        <v>6.9999999999999993E-2</v>
      </c>
      <c r="H1829">
        <f>G1829*(26.79/38.29)</f>
        <v>4.8976234003656298E-2</v>
      </c>
    </row>
    <row r="1830" spans="1:8" x14ac:dyDescent="0.25">
      <c r="A1830" s="1">
        <v>1993</v>
      </c>
      <c r="B1830" s="1" t="s">
        <v>99</v>
      </c>
      <c r="C1830" t="s">
        <v>51</v>
      </c>
      <c r="D1830">
        <v>5</v>
      </c>
      <c r="E1830">
        <v>79</v>
      </c>
      <c r="F1830">
        <v>0.09</v>
      </c>
      <c r="G1830">
        <f t="shared" si="29"/>
        <v>0.03</v>
      </c>
      <c r="H1830">
        <f>G1830*(26.79/38.29)</f>
        <v>2.0989814572995556E-2</v>
      </c>
    </row>
    <row r="1831" spans="1:8" x14ac:dyDescent="0.25">
      <c r="A1831" s="1">
        <v>1993</v>
      </c>
      <c r="B1831" s="1" t="s">
        <v>99</v>
      </c>
      <c r="C1831" t="s">
        <v>51</v>
      </c>
      <c r="D1831">
        <v>5</v>
      </c>
      <c r="E1831">
        <v>79</v>
      </c>
      <c r="F1831">
        <v>0.73</v>
      </c>
      <c r="G1831">
        <f t="shared" si="29"/>
        <v>0.24333333333333335</v>
      </c>
      <c r="H1831">
        <f>G1831*(26.79/38.29)</f>
        <v>0.17025071820318621</v>
      </c>
    </row>
    <row r="1832" spans="1:8" x14ac:dyDescent="0.25">
      <c r="A1832" s="1">
        <v>1993</v>
      </c>
      <c r="B1832" s="1" t="s">
        <v>99</v>
      </c>
      <c r="C1832" t="s">
        <v>51</v>
      </c>
      <c r="D1832">
        <v>5</v>
      </c>
      <c r="E1832">
        <v>79</v>
      </c>
      <c r="F1832">
        <v>0.22</v>
      </c>
      <c r="G1832">
        <f t="shared" si="29"/>
        <v>7.3333333333333334E-2</v>
      </c>
      <c r="H1832">
        <f>G1832*(26.79/38.29)</f>
        <v>5.1308435622878033E-2</v>
      </c>
    </row>
    <row r="1833" spans="1:8" x14ac:dyDescent="0.25">
      <c r="A1833" s="1">
        <v>1993</v>
      </c>
      <c r="B1833" s="1" t="s">
        <v>99</v>
      </c>
      <c r="C1833" t="s">
        <v>51</v>
      </c>
      <c r="D1833">
        <v>5</v>
      </c>
      <c r="E1833">
        <v>79</v>
      </c>
      <c r="F1833">
        <v>0.06</v>
      </c>
      <c r="G1833">
        <f t="shared" si="29"/>
        <v>0.02</v>
      </c>
      <c r="H1833">
        <f>G1833*(26.79/38.29)</f>
        <v>1.3993209715330373E-2</v>
      </c>
    </row>
    <row r="1834" spans="1:8" x14ac:dyDescent="0.25">
      <c r="A1834" s="1">
        <v>1993</v>
      </c>
      <c r="B1834" s="1" t="s">
        <v>99</v>
      </c>
      <c r="C1834" t="s">
        <v>51</v>
      </c>
      <c r="D1834">
        <v>5</v>
      </c>
      <c r="E1834">
        <v>79</v>
      </c>
      <c r="F1834">
        <v>0.11</v>
      </c>
      <c r="G1834">
        <f t="shared" si="29"/>
        <v>3.6666666666666667E-2</v>
      </c>
      <c r="H1834">
        <f>G1834*(26.79/38.29)</f>
        <v>2.5654217811439017E-2</v>
      </c>
    </row>
    <row r="1835" spans="1:8" x14ac:dyDescent="0.25">
      <c r="A1835" s="1">
        <v>1993</v>
      </c>
      <c r="B1835" s="1" t="s">
        <v>99</v>
      </c>
      <c r="C1835" t="s">
        <v>51</v>
      </c>
      <c r="D1835">
        <v>5</v>
      </c>
      <c r="E1835">
        <v>79</v>
      </c>
      <c r="F1835">
        <v>0.09</v>
      </c>
      <c r="G1835">
        <f t="shared" si="29"/>
        <v>0.03</v>
      </c>
      <c r="H1835">
        <f>G1835*(26.79/38.29)</f>
        <v>2.0989814572995556E-2</v>
      </c>
    </row>
    <row r="1836" spans="1:8" x14ac:dyDescent="0.25">
      <c r="A1836" s="1">
        <v>1993</v>
      </c>
      <c r="B1836" s="1" t="s">
        <v>99</v>
      </c>
      <c r="C1836" t="s">
        <v>51</v>
      </c>
      <c r="D1836">
        <v>5</v>
      </c>
      <c r="E1836">
        <v>79</v>
      </c>
      <c r="F1836">
        <v>0.13</v>
      </c>
      <c r="G1836">
        <f t="shared" si="29"/>
        <v>4.3333333333333335E-2</v>
      </c>
      <c r="H1836">
        <f>G1836*(26.79/38.29)</f>
        <v>3.0318621049882474E-2</v>
      </c>
    </row>
    <row r="1837" spans="1:8" x14ac:dyDescent="0.25">
      <c r="A1837" s="1">
        <v>1993</v>
      </c>
      <c r="B1837" s="1" t="s">
        <v>99</v>
      </c>
      <c r="C1837" t="s">
        <v>51</v>
      </c>
      <c r="D1837">
        <v>5</v>
      </c>
      <c r="E1837">
        <v>79</v>
      </c>
      <c r="F1837">
        <v>0.05</v>
      </c>
      <c r="G1837">
        <f t="shared" si="29"/>
        <v>1.666666666666667E-2</v>
      </c>
      <c r="H1837">
        <f>G1837*(26.79/38.29)</f>
        <v>1.1661008096108646E-2</v>
      </c>
    </row>
    <row r="1838" spans="1:8" x14ac:dyDescent="0.25">
      <c r="A1838" s="1">
        <v>1993</v>
      </c>
      <c r="B1838" s="1" t="s">
        <v>99</v>
      </c>
      <c r="C1838" t="s">
        <v>51</v>
      </c>
      <c r="D1838">
        <v>5</v>
      </c>
      <c r="E1838">
        <v>79</v>
      </c>
      <c r="F1838">
        <v>0.15</v>
      </c>
      <c r="G1838">
        <f t="shared" si="29"/>
        <v>0.05</v>
      </c>
      <c r="H1838">
        <f>G1838*(26.79/38.29)</f>
        <v>3.4983024288325934E-2</v>
      </c>
    </row>
    <row r="1839" spans="1:8" x14ac:dyDescent="0.25">
      <c r="A1839" s="1">
        <v>1993</v>
      </c>
      <c r="B1839" s="1" t="s">
        <v>99</v>
      </c>
      <c r="C1839" t="s">
        <v>51</v>
      </c>
      <c r="D1839">
        <v>5</v>
      </c>
      <c r="E1839">
        <v>79</v>
      </c>
      <c r="F1839">
        <v>0.03</v>
      </c>
      <c r="G1839">
        <f t="shared" si="29"/>
        <v>0.01</v>
      </c>
      <c r="H1839">
        <f>G1839*(26.79/38.29)</f>
        <v>6.9966048576651863E-3</v>
      </c>
    </row>
    <row r="1840" spans="1:8" x14ac:dyDescent="0.25">
      <c r="A1840" s="1">
        <v>1993</v>
      </c>
      <c r="B1840" s="1" t="s">
        <v>99</v>
      </c>
      <c r="C1840" t="s">
        <v>51</v>
      </c>
      <c r="D1840">
        <v>5</v>
      </c>
      <c r="E1840">
        <v>79</v>
      </c>
      <c r="F1840">
        <v>0.06</v>
      </c>
      <c r="G1840">
        <f t="shared" si="29"/>
        <v>0.02</v>
      </c>
      <c r="H1840">
        <f>G1840*(26.79/38.29)</f>
        <v>1.3993209715330373E-2</v>
      </c>
    </row>
    <row r="1841" spans="1:8" x14ac:dyDescent="0.25">
      <c r="A1841" s="1">
        <v>1993</v>
      </c>
      <c r="B1841" s="1" t="s">
        <v>99</v>
      </c>
      <c r="C1841" t="s">
        <v>51</v>
      </c>
      <c r="D1841">
        <v>5</v>
      </c>
      <c r="E1841">
        <v>79</v>
      </c>
      <c r="F1841">
        <v>0.06</v>
      </c>
      <c r="G1841">
        <f t="shared" si="29"/>
        <v>0.02</v>
      </c>
      <c r="H1841">
        <f>G1841*(26.79/38.29)</f>
        <v>1.3993209715330373E-2</v>
      </c>
    </row>
    <row r="1842" spans="1:8" x14ac:dyDescent="0.25">
      <c r="A1842" s="1">
        <v>1993</v>
      </c>
      <c r="B1842" s="1" t="s">
        <v>99</v>
      </c>
      <c r="C1842" t="s">
        <v>51</v>
      </c>
      <c r="D1842">
        <v>5</v>
      </c>
      <c r="E1842">
        <v>79</v>
      </c>
      <c r="F1842">
        <v>0.05</v>
      </c>
      <c r="G1842">
        <f t="shared" si="29"/>
        <v>1.666666666666667E-2</v>
      </c>
      <c r="H1842">
        <f>G1842*(26.79/38.29)</f>
        <v>1.1661008096108646E-2</v>
      </c>
    </row>
    <row r="1843" spans="1:8" x14ac:dyDescent="0.25">
      <c r="A1843" s="1">
        <v>1993</v>
      </c>
      <c r="B1843" s="1" t="s">
        <v>99</v>
      </c>
      <c r="C1843" t="s">
        <v>51</v>
      </c>
      <c r="D1843">
        <v>5</v>
      </c>
      <c r="E1843">
        <v>79</v>
      </c>
      <c r="F1843">
        <v>0.04</v>
      </c>
      <c r="G1843">
        <f t="shared" si="29"/>
        <v>1.3333333333333332E-2</v>
      </c>
      <c r="H1843">
        <f>G1843*(26.79/38.29)</f>
        <v>9.3288064768869139E-3</v>
      </c>
    </row>
    <row r="1844" spans="1:8" x14ac:dyDescent="0.25">
      <c r="A1844" s="1">
        <v>1993</v>
      </c>
      <c r="B1844" s="1" t="s">
        <v>99</v>
      </c>
      <c r="C1844" t="s">
        <v>51</v>
      </c>
      <c r="D1844">
        <v>5</v>
      </c>
      <c r="E1844">
        <v>79</v>
      </c>
      <c r="F1844">
        <v>0.05</v>
      </c>
      <c r="G1844">
        <f t="shared" si="29"/>
        <v>1.666666666666667E-2</v>
      </c>
      <c r="H1844">
        <f>G1844*(26.79/38.29)</f>
        <v>1.1661008096108646E-2</v>
      </c>
    </row>
    <row r="1845" spans="1:8" x14ac:dyDescent="0.25">
      <c r="A1845" s="1">
        <v>1993</v>
      </c>
      <c r="B1845" s="1" t="s">
        <v>99</v>
      </c>
      <c r="C1845" t="s">
        <v>51</v>
      </c>
      <c r="D1845">
        <v>5</v>
      </c>
      <c r="E1845">
        <v>79</v>
      </c>
      <c r="F1845">
        <v>0.05</v>
      </c>
      <c r="G1845">
        <f t="shared" si="29"/>
        <v>1.666666666666667E-2</v>
      </c>
      <c r="H1845">
        <f>G1845*(26.79/38.29)</f>
        <v>1.1661008096108646E-2</v>
      </c>
    </row>
    <row r="1846" spans="1:8" x14ac:dyDescent="0.25">
      <c r="A1846" s="1">
        <v>1993</v>
      </c>
      <c r="B1846" s="1" t="s">
        <v>99</v>
      </c>
      <c r="C1846" t="s">
        <v>51</v>
      </c>
      <c r="D1846">
        <v>5</v>
      </c>
      <c r="E1846">
        <v>79</v>
      </c>
      <c r="F1846">
        <v>0.34</v>
      </c>
      <c r="G1846">
        <f t="shared" si="29"/>
        <v>0.11333333333333336</v>
      </c>
      <c r="H1846">
        <f>G1846*(26.79/38.29)</f>
        <v>7.9294855053538796E-2</v>
      </c>
    </row>
    <row r="1847" spans="1:8" x14ac:dyDescent="0.25">
      <c r="A1847" s="1">
        <v>1993</v>
      </c>
      <c r="B1847" s="1" t="s">
        <v>99</v>
      </c>
      <c r="C1847" t="s">
        <v>51</v>
      </c>
      <c r="D1847">
        <v>5</v>
      </c>
      <c r="E1847">
        <v>79</v>
      </c>
      <c r="F1847">
        <v>0.28999999999999998</v>
      </c>
      <c r="G1847">
        <f t="shared" si="29"/>
        <v>9.6666666666666665E-2</v>
      </c>
      <c r="H1847">
        <f>G1847*(26.79/38.29)</f>
        <v>6.7633846957430133E-2</v>
      </c>
    </row>
    <row r="1848" spans="1:8" x14ac:dyDescent="0.25">
      <c r="A1848" s="1">
        <v>1993</v>
      </c>
      <c r="B1848" s="1" t="s">
        <v>99</v>
      </c>
      <c r="C1848" t="s">
        <v>51</v>
      </c>
      <c r="D1848">
        <v>5</v>
      </c>
      <c r="E1848">
        <v>79</v>
      </c>
      <c r="F1848">
        <v>0.06</v>
      </c>
      <c r="G1848">
        <f t="shared" si="29"/>
        <v>0.02</v>
      </c>
      <c r="H1848">
        <f>G1848*(26.79/38.29)</f>
        <v>1.3993209715330373E-2</v>
      </c>
    </row>
    <row r="1849" spans="1:8" x14ac:dyDescent="0.25">
      <c r="A1849" s="1">
        <v>1993</v>
      </c>
      <c r="B1849" s="1" t="s">
        <v>99</v>
      </c>
      <c r="C1849" t="s">
        <v>51</v>
      </c>
      <c r="D1849">
        <v>5</v>
      </c>
      <c r="E1849">
        <v>79</v>
      </c>
      <c r="F1849">
        <v>0.13</v>
      </c>
      <c r="G1849">
        <f t="shared" si="29"/>
        <v>4.3333333333333335E-2</v>
      </c>
      <c r="H1849">
        <f>G1849*(26.79/38.29)</f>
        <v>3.0318621049882474E-2</v>
      </c>
    </row>
    <row r="1850" spans="1:8" x14ac:dyDescent="0.25">
      <c r="A1850" s="1">
        <v>1993</v>
      </c>
      <c r="B1850" s="1" t="s">
        <v>99</v>
      </c>
      <c r="C1850" t="s">
        <v>51</v>
      </c>
      <c r="D1850">
        <v>5</v>
      </c>
      <c r="E1850">
        <v>79</v>
      </c>
      <c r="F1850">
        <v>0.1</v>
      </c>
      <c r="G1850">
        <f t="shared" si="29"/>
        <v>3.333333333333334E-2</v>
      </c>
      <c r="H1850">
        <f>G1850*(26.79/38.29)</f>
        <v>2.3322016192217292E-2</v>
      </c>
    </row>
    <row r="1851" spans="1:8" x14ac:dyDescent="0.25">
      <c r="A1851" s="1">
        <v>1993</v>
      </c>
      <c r="B1851" s="1" t="s">
        <v>99</v>
      </c>
      <c r="C1851" t="s">
        <v>51</v>
      </c>
      <c r="D1851">
        <v>5</v>
      </c>
      <c r="E1851">
        <v>79</v>
      </c>
      <c r="F1851">
        <v>0.08</v>
      </c>
      <c r="G1851">
        <f t="shared" si="29"/>
        <v>2.6666666666666665E-2</v>
      </c>
      <c r="H1851">
        <f>G1851*(26.79/38.29)</f>
        <v>1.8657612953773828E-2</v>
      </c>
    </row>
    <row r="1852" spans="1:8" x14ac:dyDescent="0.25">
      <c r="A1852" s="1">
        <v>1993</v>
      </c>
      <c r="B1852" s="1" t="s">
        <v>99</v>
      </c>
      <c r="C1852" t="s">
        <v>51</v>
      </c>
      <c r="D1852">
        <v>5</v>
      </c>
      <c r="E1852">
        <v>79</v>
      </c>
      <c r="F1852">
        <v>0.21</v>
      </c>
      <c r="G1852">
        <f t="shared" si="29"/>
        <v>6.9999999999999993E-2</v>
      </c>
      <c r="H1852">
        <f>G1852*(26.79/38.29)</f>
        <v>4.8976234003656298E-2</v>
      </c>
    </row>
    <row r="1853" spans="1:8" x14ac:dyDescent="0.25">
      <c r="A1853" s="1">
        <v>1993</v>
      </c>
      <c r="B1853" s="1" t="s">
        <v>99</v>
      </c>
      <c r="C1853" t="s">
        <v>51</v>
      </c>
      <c r="D1853">
        <v>5</v>
      </c>
      <c r="E1853">
        <v>79</v>
      </c>
      <c r="F1853">
        <v>0.6</v>
      </c>
      <c r="G1853">
        <f t="shared" ref="G1853:G1897" si="30">(F1853/0.6)/5</f>
        <v>0.2</v>
      </c>
      <c r="H1853">
        <f>G1853*(26.79/38.29)</f>
        <v>0.13993209715330374</v>
      </c>
    </row>
    <row r="1854" spans="1:8" x14ac:dyDescent="0.25">
      <c r="A1854" s="1">
        <v>1993</v>
      </c>
      <c r="B1854" s="1" t="s">
        <v>99</v>
      </c>
      <c r="C1854" t="s">
        <v>51</v>
      </c>
      <c r="D1854">
        <v>5</v>
      </c>
      <c r="E1854">
        <v>79</v>
      </c>
      <c r="F1854">
        <v>0.05</v>
      </c>
      <c r="G1854">
        <f t="shared" si="30"/>
        <v>1.666666666666667E-2</v>
      </c>
      <c r="H1854">
        <f>G1854*(26.79/38.29)</f>
        <v>1.1661008096108646E-2</v>
      </c>
    </row>
    <row r="1855" spans="1:8" x14ac:dyDescent="0.25">
      <c r="A1855" s="1">
        <v>1993</v>
      </c>
      <c r="B1855" s="1" t="s">
        <v>99</v>
      </c>
      <c r="C1855" t="s">
        <v>51</v>
      </c>
      <c r="D1855">
        <v>5</v>
      </c>
      <c r="E1855">
        <v>79</v>
      </c>
      <c r="F1855">
        <v>0.3</v>
      </c>
      <c r="G1855">
        <f t="shared" si="30"/>
        <v>0.1</v>
      </c>
      <c r="H1855">
        <f>G1855*(26.79/38.29)</f>
        <v>6.9966048576651868E-2</v>
      </c>
    </row>
    <row r="1856" spans="1:8" x14ac:dyDescent="0.25">
      <c r="A1856" s="1">
        <v>1993</v>
      </c>
      <c r="B1856" s="1" t="s">
        <v>99</v>
      </c>
      <c r="C1856" t="s">
        <v>51</v>
      </c>
      <c r="D1856">
        <v>5</v>
      </c>
      <c r="E1856">
        <v>79</v>
      </c>
      <c r="F1856">
        <v>0.1</v>
      </c>
      <c r="G1856">
        <f t="shared" si="30"/>
        <v>3.333333333333334E-2</v>
      </c>
      <c r="H1856">
        <f>G1856*(26.79/38.29)</f>
        <v>2.3322016192217292E-2</v>
      </c>
    </row>
    <row r="1857" spans="1:8" x14ac:dyDescent="0.25">
      <c r="A1857" s="1">
        <v>1993</v>
      </c>
      <c r="B1857" s="1" t="s">
        <v>99</v>
      </c>
      <c r="C1857" t="s">
        <v>51</v>
      </c>
      <c r="D1857">
        <v>5</v>
      </c>
      <c r="E1857">
        <v>79</v>
      </c>
      <c r="F1857">
        <v>0.05</v>
      </c>
      <c r="G1857">
        <f t="shared" si="30"/>
        <v>1.666666666666667E-2</v>
      </c>
      <c r="H1857">
        <f>G1857*(26.79/38.29)</f>
        <v>1.1661008096108646E-2</v>
      </c>
    </row>
    <row r="1858" spans="1:8" x14ac:dyDescent="0.25">
      <c r="A1858" s="1">
        <v>1993</v>
      </c>
      <c r="B1858" s="1" t="s">
        <v>99</v>
      </c>
      <c r="C1858" t="s">
        <v>51</v>
      </c>
      <c r="D1858">
        <v>5</v>
      </c>
      <c r="E1858">
        <v>79</v>
      </c>
      <c r="F1858">
        <v>0.32</v>
      </c>
      <c r="G1858">
        <f t="shared" si="30"/>
        <v>0.10666666666666666</v>
      </c>
      <c r="H1858">
        <f>G1858*(26.79/38.29)</f>
        <v>7.4630451815095311E-2</v>
      </c>
    </row>
    <row r="1859" spans="1:8" x14ac:dyDescent="0.25">
      <c r="A1859" s="1">
        <v>1993</v>
      </c>
      <c r="B1859" s="1" t="s">
        <v>99</v>
      </c>
      <c r="C1859" t="s">
        <v>51</v>
      </c>
      <c r="D1859">
        <v>5</v>
      </c>
      <c r="E1859">
        <v>79</v>
      </c>
      <c r="F1859">
        <v>0.04</v>
      </c>
      <c r="G1859">
        <f t="shared" si="30"/>
        <v>1.3333333333333332E-2</v>
      </c>
      <c r="H1859">
        <f>G1859*(26.79/38.29)</f>
        <v>9.3288064768869139E-3</v>
      </c>
    </row>
    <row r="1860" spans="1:8" x14ac:dyDescent="0.25">
      <c r="A1860" s="1">
        <v>1993</v>
      </c>
      <c r="B1860" s="1" t="s">
        <v>99</v>
      </c>
      <c r="C1860" t="s">
        <v>51</v>
      </c>
      <c r="D1860">
        <v>5</v>
      </c>
      <c r="E1860">
        <v>79</v>
      </c>
      <c r="F1860">
        <v>0.85</v>
      </c>
      <c r="G1860">
        <f t="shared" si="30"/>
        <v>0.28333333333333333</v>
      </c>
      <c r="H1860">
        <f>G1860*(26.79/38.29)</f>
        <v>0.19823713763384693</v>
      </c>
    </row>
    <row r="1861" spans="1:8" x14ac:dyDescent="0.25">
      <c r="A1861" s="1">
        <v>1993</v>
      </c>
      <c r="B1861" s="1" t="s">
        <v>99</v>
      </c>
      <c r="C1861" t="s">
        <v>51</v>
      </c>
      <c r="D1861">
        <v>5</v>
      </c>
      <c r="E1861">
        <v>79</v>
      </c>
      <c r="F1861">
        <v>0.03</v>
      </c>
      <c r="G1861">
        <f t="shared" si="30"/>
        <v>0.01</v>
      </c>
      <c r="H1861">
        <f>G1861*(26.79/38.29)</f>
        <v>6.9966048576651863E-3</v>
      </c>
    </row>
    <row r="1862" spans="1:8" x14ac:dyDescent="0.25">
      <c r="A1862" s="1">
        <v>1993</v>
      </c>
      <c r="B1862" s="1" t="s">
        <v>99</v>
      </c>
      <c r="C1862" t="s">
        <v>51</v>
      </c>
      <c r="D1862">
        <v>5</v>
      </c>
      <c r="E1862">
        <v>79</v>
      </c>
      <c r="F1862">
        <v>0.16</v>
      </c>
      <c r="G1862">
        <f t="shared" si="30"/>
        <v>5.333333333333333E-2</v>
      </c>
      <c r="H1862">
        <f>G1862*(26.79/38.29)</f>
        <v>3.7315225907547656E-2</v>
      </c>
    </row>
    <row r="1863" spans="1:8" x14ac:dyDescent="0.25">
      <c r="A1863" s="1">
        <v>1993</v>
      </c>
      <c r="B1863" s="1" t="s">
        <v>99</v>
      </c>
      <c r="C1863" t="s">
        <v>51</v>
      </c>
      <c r="D1863">
        <v>5</v>
      </c>
      <c r="E1863">
        <v>79</v>
      </c>
      <c r="F1863">
        <v>0.08</v>
      </c>
      <c r="G1863">
        <f t="shared" si="30"/>
        <v>2.6666666666666665E-2</v>
      </c>
      <c r="H1863">
        <f>G1863*(26.79/38.29)</f>
        <v>1.8657612953773828E-2</v>
      </c>
    </row>
    <row r="1864" spans="1:8" x14ac:dyDescent="0.25">
      <c r="A1864" s="1">
        <v>1993</v>
      </c>
      <c r="B1864" s="1" t="s">
        <v>99</v>
      </c>
      <c r="C1864" t="s">
        <v>51</v>
      </c>
      <c r="D1864">
        <v>5</v>
      </c>
      <c r="E1864">
        <v>79</v>
      </c>
      <c r="F1864">
        <v>0.62</v>
      </c>
      <c r="G1864">
        <f t="shared" si="30"/>
        <v>0.20666666666666669</v>
      </c>
      <c r="H1864">
        <f>G1864*(26.79/38.29)</f>
        <v>0.14459650039174721</v>
      </c>
    </row>
    <row r="1865" spans="1:8" x14ac:dyDescent="0.25">
      <c r="A1865" s="1">
        <v>1993</v>
      </c>
      <c r="B1865" s="1" t="s">
        <v>99</v>
      </c>
      <c r="C1865" t="s">
        <v>51</v>
      </c>
      <c r="D1865">
        <v>5</v>
      </c>
      <c r="E1865">
        <v>79</v>
      </c>
      <c r="F1865">
        <v>0.27</v>
      </c>
      <c r="G1865">
        <f t="shared" si="30"/>
        <v>9.0000000000000011E-2</v>
      </c>
      <c r="H1865">
        <f>G1865*(26.79/38.29)</f>
        <v>6.296944371898669E-2</v>
      </c>
    </row>
    <row r="1866" spans="1:8" x14ac:dyDescent="0.25">
      <c r="A1866" s="1">
        <v>1993</v>
      </c>
      <c r="B1866" s="1" t="s">
        <v>99</v>
      </c>
      <c r="C1866" t="s">
        <v>51</v>
      </c>
      <c r="D1866">
        <v>5</v>
      </c>
      <c r="E1866">
        <v>79</v>
      </c>
      <c r="F1866">
        <v>1.71</v>
      </c>
      <c r="G1866">
        <f t="shared" si="30"/>
        <v>0.57000000000000006</v>
      </c>
      <c r="H1866">
        <f>G1866*(26.79/38.29)</f>
        <v>0.39880647688691567</v>
      </c>
    </row>
    <row r="1867" spans="1:8" x14ac:dyDescent="0.25">
      <c r="A1867" s="1">
        <v>1993</v>
      </c>
      <c r="B1867" s="1" t="s">
        <v>99</v>
      </c>
      <c r="C1867" t="s">
        <v>51</v>
      </c>
      <c r="D1867">
        <v>5</v>
      </c>
      <c r="E1867">
        <v>79</v>
      </c>
      <c r="F1867">
        <v>0.06</v>
      </c>
      <c r="G1867">
        <f t="shared" si="30"/>
        <v>0.02</v>
      </c>
      <c r="H1867">
        <f>G1867*(26.79/38.29)</f>
        <v>1.3993209715330373E-2</v>
      </c>
    </row>
    <row r="1868" spans="1:8" x14ac:dyDescent="0.25">
      <c r="A1868" s="1">
        <v>1993</v>
      </c>
      <c r="B1868" s="1" t="s">
        <v>99</v>
      </c>
      <c r="C1868" t="s">
        <v>51</v>
      </c>
      <c r="D1868">
        <v>5</v>
      </c>
      <c r="E1868">
        <v>79</v>
      </c>
      <c r="F1868">
        <v>0.09</v>
      </c>
      <c r="G1868">
        <f t="shared" si="30"/>
        <v>0.03</v>
      </c>
      <c r="H1868">
        <f>G1868*(26.79/38.29)</f>
        <v>2.0989814572995556E-2</v>
      </c>
    </row>
    <row r="1869" spans="1:8" x14ac:dyDescent="0.25">
      <c r="A1869" s="1">
        <v>1993</v>
      </c>
      <c r="B1869" s="1" t="s">
        <v>99</v>
      </c>
      <c r="C1869" t="s">
        <v>51</v>
      </c>
      <c r="D1869">
        <v>5</v>
      </c>
      <c r="E1869">
        <v>79</v>
      </c>
      <c r="F1869">
        <v>1.07</v>
      </c>
      <c r="G1869">
        <f t="shared" si="30"/>
        <v>0.35666666666666669</v>
      </c>
      <c r="H1869">
        <f>G1869*(26.79/38.29)</f>
        <v>0.249545573256725</v>
      </c>
    </row>
    <row r="1870" spans="1:8" x14ac:dyDescent="0.25">
      <c r="A1870" s="1">
        <v>1993</v>
      </c>
      <c r="B1870" s="1" t="s">
        <v>99</v>
      </c>
      <c r="C1870" t="s">
        <v>51</v>
      </c>
      <c r="D1870">
        <v>5</v>
      </c>
      <c r="E1870">
        <v>79</v>
      </c>
      <c r="F1870">
        <v>0.15</v>
      </c>
      <c r="G1870">
        <f t="shared" si="30"/>
        <v>0.05</v>
      </c>
      <c r="H1870">
        <f>G1870*(26.79/38.29)</f>
        <v>3.4983024288325934E-2</v>
      </c>
    </row>
    <row r="1871" spans="1:8" x14ac:dyDescent="0.25">
      <c r="A1871" s="1">
        <v>1993</v>
      </c>
      <c r="B1871" s="1" t="s">
        <v>99</v>
      </c>
      <c r="C1871" t="s">
        <v>51</v>
      </c>
      <c r="D1871">
        <v>5</v>
      </c>
      <c r="E1871">
        <v>79</v>
      </c>
      <c r="F1871">
        <v>0.05</v>
      </c>
      <c r="G1871">
        <f t="shared" si="30"/>
        <v>1.666666666666667E-2</v>
      </c>
      <c r="H1871">
        <f>G1871*(26.79/38.29)</f>
        <v>1.1661008096108646E-2</v>
      </c>
    </row>
    <row r="1872" spans="1:8" x14ac:dyDescent="0.25">
      <c r="A1872" s="1">
        <v>1993</v>
      </c>
      <c r="B1872" s="1" t="s">
        <v>99</v>
      </c>
      <c r="C1872" t="s">
        <v>51</v>
      </c>
      <c r="D1872">
        <v>5</v>
      </c>
      <c r="E1872">
        <v>79</v>
      </c>
      <c r="F1872">
        <v>0.15</v>
      </c>
      <c r="G1872">
        <f t="shared" si="30"/>
        <v>0.05</v>
      </c>
      <c r="H1872">
        <f>G1872*(26.79/38.29)</f>
        <v>3.4983024288325934E-2</v>
      </c>
    </row>
    <row r="1873" spans="1:8" x14ac:dyDescent="0.25">
      <c r="A1873" s="1">
        <v>1993</v>
      </c>
      <c r="B1873" s="1" t="s">
        <v>99</v>
      </c>
      <c r="C1873" t="s">
        <v>51</v>
      </c>
      <c r="D1873">
        <v>5</v>
      </c>
      <c r="E1873">
        <v>79</v>
      </c>
      <c r="F1873">
        <v>0.45</v>
      </c>
      <c r="G1873">
        <f t="shared" si="30"/>
        <v>0.15</v>
      </c>
      <c r="H1873">
        <f>G1873*(26.79/38.29)</f>
        <v>0.10494907286497779</v>
      </c>
    </row>
    <row r="1874" spans="1:8" x14ac:dyDescent="0.25">
      <c r="A1874" s="1">
        <v>1993</v>
      </c>
      <c r="B1874" s="1" t="s">
        <v>99</v>
      </c>
      <c r="C1874" t="s">
        <v>51</v>
      </c>
      <c r="D1874">
        <v>5</v>
      </c>
      <c r="E1874">
        <v>79</v>
      </c>
      <c r="F1874">
        <v>0.1</v>
      </c>
      <c r="G1874">
        <f t="shared" si="30"/>
        <v>3.333333333333334E-2</v>
      </c>
      <c r="H1874">
        <f>G1874*(26.79/38.29)</f>
        <v>2.3322016192217292E-2</v>
      </c>
    </row>
    <row r="1875" spans="1:8" x14ac:dyDescent="0.25">
      <c r="A1875" s="1">
        <v>1993</v>
      </c>
      <c r="B1875" s="1" t="s">
        <v>99</v>
      </c>
      <c r="C1875" t="s">
        <v>51</v>
      </c>
      <c r="D1875">
        <v>5</v>
      </c>
      <c r="E1875">
        <v>79</v>
      </c>
      <c r="F1875">
        <v>0.16</v>
      </c>
      <c r="G1875">
        <f t="shared" si="30"/>
        <v>5.333333333333333E-2</v>
      </c>
      <c r="H1875">
        <f>G1875*(26.79/38.29)</f>
        <v>3.7315225907547656E-2</v>
      </c>
    </row>
    <row r="1876" spans="1:8" x14ac:dyDescent="0.25">
      <c r="A1876" s="1">
        <v>1993</v>
      </c>
      <c r="B1876" s="1" t="s">
        <v>99</v>
      </c>
      <c r="C1876" t="s">
        <v>51</v>
      </c>
      <c r="D1876">
        <v>5</v>
      </c>
      <c r="E1876">
        <v>79</v>
      </c>
      <c r="F1876">
        <v>0.34</v>
      </c>
      <c r="G1876">
        <f t="shared" si="30"/>
        <v>0.11333333333333336</v>
      </c>
      <c r="H1876">
        <f>G1876*(26.79/38.29)</f>
        <v>7.9294855053538796E-2</v>
      </c>
    </row>
    <row r="1877" spans="1:8" x14ac:dyDescent="0.25">
      <c r="A1877" s="1">
        <v>1993</v>
      </c>
      <c r="B1877" s="1" t="s">
        <v>99</v>
      </c>
      <c r="C1877" t="s">
        <v>51</v>
      </c>
      <c r="D1877">
        <v>5</v>
      </c>
      <c r="E1877">
        <v>79</v>
      </c>
      <c r="F1877">
        <v>0.52</v>
      </c>
      <c r="G1877">
        <f t="shared" si="30"/>
        <v>0.17333333333333334</v>
      </c>
      <c r="H1877">
        <f>G1877*(26.79/38.29)</f>
        <v>0.12127448419952989</v>
      </c>
    </row>
    <row r="1878" spans="1:8" x14ac:dyDescent="0.25">
      <c r="A1878" s="1">
        <v>1993</v>
      </c>
      <c r="B1878" s="1" t="s">
        <v>99</v>
      </c>
      <c r="C1878" t="s">
        <v>51</v>
      </c>
      <c r="D1878">
        <v>5</v>
      </c>
      <c r="E1878">
        <v>79</v>
      </c>
      <c r="F1878">
        <v>0.91</v>
      </c>
      <c r="G1878">
        <f t="shared" si="30"/>
        <v>0.30333333333333334</v>
      </c>
      <c r="H1878">
        <f>G1878*(26.79/38.29)</f>
        <v>0.21223034734917731</v>
      </c>
    </row>
    <row r="1879" spans="1:8" x14ac:dyDescent="0.25">
      <c r="A1879" s="1">
        <v>1993</v>
      </c>
      <c r="B1879" s="1" t="s">
        <v>99</v>
      </c>
      <c r="C1879" t="s">
        <v>51</v>
      </c>
      <c r="D1879">
        <v>5</v>
      </c>
      <c r="E1879">
        <v>79</v>
      </c>
      <c r="F1879">
        <v>0.06</v>
      </c>
      <c r="G1879">
        <f t="shared" si="30"/>
        <v>0.02</v>
      </c>
      <c r="H1879">
        <f>G1879*(26.79/38.29)</f>
        <v>1.3993209715330373E-2</v>
      </c>
    </row>
    <row r="1880" spans="1:8" x14ac:dyDescent="0.25">
      <c r="A1880" s="1">
        <v>1993</v>
      </c>
      <c r="B1880" s="1" t="s">
        <v>99</v>
      </c>
      <c r="C1880" t="s">
        <v>51</v>
      </c>
      <c r="D1880">
        <v>5</v>
      </c>
      <c r="E1880">
        <v>79</v>
      </c>
      <c r="F1880">
        <v>0.05</v>
      </c>
      <c r="G1880">
        <f t="shared" si="30"/>
        <v>1.666666666666667E-2</v>
      </c>
      <c r="H1880">
        <f>G1880*(26.79/38.29)</f>
        <v>1.1661008096108646E-2</v>
      </c>
    </row>
    <row r="1881" spans="1:8" x14ac:dyDescent="0.25">
      <c r="A1881" s="1">
        <v>1993</v>
      </c>
      <c r="B1881" s="1" t="s">
        <v>99</v>
      </c>
      <c r="C1881" t="s">
        <v>51</v>
      </c>
      <c r="D1881">
        <v>5</v>
      </c>
      <c r="E1881">
        <v>79</v>
      </c>
      <c r="F1881">
        <v>0.26</v>
      </c>
      <c r="G1881">
        <f t="shared" si="30"/>
        <v>8.666666666666667E-2</v>
      </c>
      <c r="H1881">
        <f>G1881*(26.79/38.29)</f>
        <v>6.0637242099764947E-2</v>
      </c>
    </row>
    <row r="1882" spans="1:8" x14ac:dyDescent="0.25">
      <c r="A1882" s="1">
        <v>1993</v>
      </c>
      <c r="B1882" s="1" t="s">
        <v>99</v>
      </c>
      <c r="C1882" t="s">
        <v>51</v>
      </c>
      <c r="D1882">
        <v>5</v>
      </c>
      <c r="E1882">
        <v>79</v>
      </c>
      <c r="F1882">
        <v>0.16</v>
      </c>
      <c r="G1882">
        <f t="shared" si="30"/>
        <v>5.333333333333333E-2</v>
      </c>
      <c r="H1882">
        <f>G1882*(26.79/38.29)</f>
        <v>3.7315225907547656E-2</v>
      </c>
    </row>
    <row r="1883" spans="1:8" x14ac:dyDescent="0.25">
      <c r="A1883" s="1">
        <v>1993</v>
      </c>
      <c r="B1883" s="1" t="s">
        <v>99</v>
      </c>
      <c r="C1883" t="s">
        <v>51</v>
      </c>
      <c r="D1883">
        <v>5</v>
      </c>
      <c r="E1883">
        <v>79</v>
      </c>
      <c r="F1883">
        <v>0.12</v>
      </c>
      <c r="G1883">
        <f t="shared" si="30"/>
        <v>0.04</v>
      </c>
      <c r="H1883">
        <f>G1883*(26.79/38.29)</f>
        <v>2.7986419430660745E-2</v>
      </c>
    </row>
    <row r="1884" spans="1:8" x14ac:dyDescent="0.25">
      <c r="A1884" s="1">
        <v>1993</v>
      </c>
      <c r="B1884" s="1" t="s">
        <v>99</v>
      </c>
      <c r="C1884" t="s">
        <v>51</v>
      </c>
      <c r="D1884">
        <v>5</v>
      </c>
      <c r="E1884">
        <v>79</v>
      </c>
      <c r="F1884">
        <v>0.2</v>
      </c>
      <c r="G1884">
        <f t="shared" si="30"/>
        <v>6.666666666666668E-2</v>
      </c>
      <c r="H1884">
        <f>G1884*(26.79/38.29)</f>
        <v>4.6644032384434583E-2</v>
      </c>
    </row>
    <row r="1885" spans="1:8" x14ac:dyDescent="0.25">
      <c r="A1885" s="1">
        <v>1993</v>
      </c>
      <c r="B1885" s="1" t="s">
        <v>99</v>
      </c>
      <c r="C1885" t="s">
        <v>51</v>
      </c>
      <c r="D1885">
        <v>5</v>
      </c>
      <c r="E1885">
        <v>79</v>
      </c>
      <c r="F1885">
        <v>0.19</v>
      </c>
      <c r="G1885">
        <f t="shared" si="30"/>
        <v>6.3333333333333339E-2</v>
      </c>
      <c r="H1885">
        <f>G1885*(26.79/38.29)</f>
        <v>4.4311830765212848E-2</v>
      </c>
    </row>
    <row r="1886" spans="1:8" x14ac:dyDescent="0.25">
      <c r="A1886" s="1">
        <v>1993</v>
      </c>
      <c r="B1886" s="1" t="s">
        <v>99</v>
      </c>
      <c r="C1886" t="s">
        <v>51</v>
      </c>
      <c r="D1886">
        <v>5</v>
      </c>
      <c r="E1886">
        <v>79</v>
      </c>
      <c r="F1886">
        <v>0.09</v>
      </c>
      <c r="G1886">
        <f t="shared" si="30"/>
        <v>0.03</v>
      </c>
      <c r="H1886">
        <f>G1886*(26.79/38.29)</f>
        <v>2.0989814572995556E-2</v>
      </c>
    </row>
    <row r="1887" spans="1:8" x14ac:dyDescent="0.25">
      <c r="A1887" s="1">
        <v>1993</v>
      </c>
      <c r="B1887" s="1" t="s">
        <v>99</v>
      </c>
      <c r="C1887" t="s">
        <v>51</v>
      </c>
      <c r="D1887">
        <v>5</v>
      </c>
      <c r="E1887">
        <v>85</v>
      </c>
      <c r="F1887">
        <v>0.35</v>
      </c>
      <c r="G1887">
        <f t="shared" si="30"/>
        <v>0.11666666666666667</v>
      </c>
      <c r="H1887">
        <f>G1887*(26.79/38.29)</f>
        <v>8.1627056672760503E-2</v>
      </c>
    </row>
    <row r="1888" spans="1:8" x14ac:dyDescent="0.25">
      <c r="A1888" s="1">
        <v>1993</v>
      </c>
      <c r="B1888" s="1" t="s">
        <v>99</v>
      </c>
      <c r="C1888" t="s">
        <v>51</v>
      </c>
      <c r="D1888">
        <v>5</v>
      </c>
      <c r="E1888">
        <v>85</v>
      </c>
      <c r="F1888">
        <v>0.72</v>
      </c>
      <c r="G1888">
        <f t="shared" si="30"/>
        <v>0.24</v>
      </c>
      <c r="H1888">
        <f>G1888*(26.79/38.29)</f>
        <v>0.16791851658396445</v>
      </c>
    </row>
    <row r="1889" spans="1:8" x14ac:dyDescent="0.25">
      <c r="A1889" s="1">
        <v>1993</v>
      </c>
      <c r="B1889" s="1" t="s">
        <v>99</v>
      </c>
      <c r="C1889" t="s">
        <v>51</v>
      </c>
      <c r="D1889">
        <v>5</v>
      </c>
      <c r="E1889">
        <v>85</v>
      </c>
      <c r="F1889">
        <v>1.43</v>
      </c>
      <c r="G1889">
        <f t="shared" si="30"/>
        <v>0.47666666666666668</v>
      </c>
      <c r="H1889">
        <f>G1889*(26.79/38.29)</f>
        <v>0.33350483154870725</v>
      </c>
    </row>
    <row r="1890" spans="1:8" x14ac:dyDescent="0.25">
      <c r="A1890" s="1">
        <v>1993</v>
      </c>
      <c r="B1890" s="1" t="s">
        <v>99</v>
      </c>
      <c r="C1890" t="s">
        <v>51</v>
      </c>
      <c r="D1890">
        <v>5</v>
      </c>
      <c r="E1890">
        <v>85</v>
      </c>
      <c r="F1890">
        <v>0.66</v>
      </c>
      <c r="G1890">
        <f t="shared" si="30"/>
        <v>0.22000000000000003</v>
      </c>
      <c r="H1890">
        <f>G1890*(26.79/38.29)</f>
        <v>0.15392530686863412</v>
      </c>
    </row>
    <row r="1891" spans="1:8" x14ac:dyDescent="0.25">
      <c r="A1891" s="1">
        <v>1993</v>
      </c>
      <c r="B1891" s="1" t="s">
        <v>99</v>
      </c>
      <c r="C1891" t="s">
        <v>51</v>
      </c>
      <c r="D1891">
        <v>5</v>
      </c>
      <c r="E1891">
        <v>85</v>
      </c>
      <c r="F1891">
        <v>0.22</v>
      </c>
      <c r="G1891">
        <f t="shared" si="30"/>
        <v>7.3333333333333334E-2</v>
      </c>
      <c r="H1891">
        <f>G1891*(26.79/38.29)</f>
        <v>5.1308435622878033E-2</v>
      </c>
    </row>
    <row r="1892" spans="1:8" x14ac:dyDescent="0.25">
      <c r="A1892" s="1">
        <v>1993</v>
      </c>
      <c r="B1892" s="1" t="s">
        <v>99</v>
      </c>
      <c r="C1892" t="s">
        <v>51</v>
      </c>
      <c r="D1892">
        <v>5</v>
      </c>
      <c r="E1892">
        <v>85</v>
      </c>
      <c r="F1892">
        <v>1.1599999999999999</v>
      </c>
      <c r="G1892">
        <f t="shared" si="30"/>
        <v>0.38666666666666666</v>
      </c>
      <c r="H1892">
        <f>G1892*(26.79/38.29)</f>
        <v>0.27053538782972053</v>
      </c>
    </row>
    <row r="1893" spans="1:8" x14ac:dyDescent="0.25">
      <c r="A1893" s="1">
        <v>1993</v>
      </c>
      <c r="B1893" s="1" t="s">
        <v>99</v>
      </c>
      <c r="C1893" t="s">
        <v>51</v>
      </c>
      <c r="D1893">
        <v>5</v>
      </c>
      <c r="E1893">
        <v>85</v>
      </c>
      <c r="F1893">
        <v>1.28</v>
      </c>
      <c r="G1893">
        <f t="shared" si="30"/>
        <v>0.42666666666666664</v>
      </c>
      <c r="H1893">
        <f>G1893*(26.79/38.29)</f>
        <v>0.29852180726038124</v>
      </c>
    </row>
    <row r="1894" spans="1:8" x14ac:dyDescent="0.25">
      <c r="A1894" s="1">
        <v>1993</v>
      </c>
      <c r="B1894" s="1" t="s">
        <v>99</v>
      </c>
      <c r="C1894" t="s">
        <v>51</v>
      </c>
      <c r="D1894">
        <v>5</v>
      </c>
      <c r="E1894">
        <v>85</v>
      </c>
      <c r="F1894">
        <v>1.54</v>
      </c>
      <c r="G1894">
        <f t="shared" si="30"/>
        <v>0.51333333333333342</v>
      </c>
      <c r="H1894">
        <f>G1894*(26.79/38.29)</f>
        <v>0.35915904936014631</v>
      </c>
    </row>
    <row r="1895" spans="1:8" x14ac:dyDescent="0.25">
      <c r="A1895" s="1">
        <v>1993</v>
      </c>
      <c r="B1895" s="1" t="s">
        <v>99</v>
      </c>
      <c r="C1895" t="s">
        <v>51</v>
      </c>
      <c r="D1895">
        <v>5</v>
      </c>
      <c r="E1895">
        <v>88</v>
      </c>
      <c r="F1895">
        <v>0.1</v>
      </c>
      <c r="G1895">
        <f t="shared" si="30"/>
        <v>3.333333333333334E-2</v>
      </c>
      <c r="H1895">
        <f>G1895*(26.79/38.29)</f>
        <v>2.3322016192217292E-2</v>
      </c>
    </row>
    <row r="1896" spans="1:8" x14ac:dyDescent="0.25">
      <c r="A1896" s="1">
        <v>1993</v>
      </c>
      <c r="B1896" s="1" t="s">
        <v>99</v>
      </c>
      <c r="C1896" t="s">
        <v>51</v>
      </c>
      <c r="D1896">
        <v>5</v>
      </c>
      <c r="E1896">
        <v>88</v>
      </c>
      <c r="F1896">
        <v>0.56999999999999995</v>
      </c>
      <c r="G1896">
        <f t="shared" si="30"/>
        <v>0.19</v>
      </c>
      <c r="H1896">
        <f>G1896*(26.79/38.29)</f>
        <v>0.13293549229563853</v>
      </c>
    </row>
    <row r="1897" spans="1:8" x14ac:dyDescent="0.25">
      <c r="A1897" s="1">
        <v>1993</v>
      </c>
      <c r="B1897" s="1" t="s">
        <v>99</v>
      </c>
      <c r="C1897" t="s">
        <v>51</v>
      </c>
      <c r="D1897">
        <v>5</v>
      </c>
      <c r="E1897">
        <v>88</v>
      </c>
      <c r="F1897">
        <v>0.21</v>
      </c>
      <c r="G1897">
        <f t="shared" si="30"/>
        <v>6.9999999999999993E-2</v>
      </c>
      <c r="H1897">
        <f>G1897*(26.79/38.29)</f>
        <v>4.8976234003656298E-2</v>
      </c>
    </row>
    <row r="1898" spans="1:8" x14ac:dyDescent="0.25">
      <c r="A1898" s="1">
        <v>1997</v>
      </c>
      <c r="B1898" s="1" t="s">
        <v>99</v>
      </c>
      <c r="C1898" t="s">
        <v>51</v>
      </c>
      <c r="D1898">
        <v>1</v>
      </c>
      <c r="E1898">
        <v>32</v>
      </c>
      <c r="F1898">
        <v>0.05</v>
      </c>
      <c r="G1898">
        <f>(F1898/0.6)/5</f>
        <v>1.666666666666667E-2</v>
      </c>
      <c r="H1898">
        <f>G1898*(26.79/38.29)</f>
        <v>1.1661008096108646E-2</v>
      </c>
    </row>
    <row r="1899" spans="1:8" x14ac:dyDescent="0.25">
      <c r="A1899" s="1">
        <v>1997</v>
      </c>
      <c r="B1899" s="1" t="s">
        <v>99</v>
      </c>
      <c r="C1899" t="s">
        <v>51</v>
      </c>
      <c r="D1899">
        <v>1</v>
      </c>
      <c r="E1899">
        <v>32</v>
      </c>
      <c r="F1899">
        <v>0.15</v>
      </c>
      <c r="G1899">
        <f>(F1899/0.6)/5</f>
        <v>0.05</v>
      </c>
      <c r="H1899">
        <f>G1899*(26.79/38.29)</f>
        <v>3.4983024288325934E-2</v>
      </c>
    </row>
    <row r="1900" spans="1:8" x14ac:dyDescent="0.25">
      <c r="A1900" s="1">
        <v>1997</v>
      </c>
      <c r="B1900" s="1" t="s">
        <v>99</v>
      </c>
      <c r="C1900" t="s">
        <v>51</v>
      </c>
      <c r="D1900">
        <v>1</v>
      </c>
      <c r="E1900">
        <v>32</v>
      </c>
      <c r="F1900">
        <v>0.05</v>
      </c>
      <c r="G1900">
        <f>(F1900/0.6)/5</f>
        <v>1.666666666666667E-2</v>
      </c>
      <c r="H1900">
        <f>G1900*(26.79/38.29)</f>
        <v>1.1661008096108646E-2</v>
      </c>
    </row>
    <row r="1901" spans="1:8" x14ac:dyDescent="0.25">
      <c r="A1901" s="1">
        <v>1997</v>
      </c>
      <c r="B1901" s="1" t="s">
        <v>99</v>
      </c>
      <c r="C1901" t="s">
        <v>51</v>
      </c>
      <c r="D1901">
        <v>1</v>
      </c>
      <c r="E1901">
        <v>32</v>
      </c>
      <c r="F1901">
        <v>0.04</v>
      </c>
      <c r="G1901">
        <f>(F1901/0.6)/5</f>
        <v>1.3333333333333332E-2</v>
      </c>
      <c r="H1901">
        <f>G1901*(26.79/38.29)</f>
        <v>9.3288064768869139E-3</v>
      </c>
    </row>
    <row r="1902" spans="1:8" x14ac:dyDescent="0.25">
      <c r="A1902" s="1">
        <v>1997</v>
      </c>
      <c r="B1902" s="1" t="s">
        <v>99</v>
      </c>
      <c r="C1902" t="s">
        <v>51</v>
      </c>
      <c r="D1902">
        <v>1</v>
      </c>
      <c r="E1902">
        <v>32</v>
      </c>
      <c r="F1902">
        <v>0.13</v>
      </c>
      <c r="G1902">
        <f>(F1902/0.6)/5</f>
        <v>4.3333333333333335E-2</v>
      </c>
      <c r="H1902">
        <f>G1902*(26.79/38.29)</f>
        <v>3.0318621049882474E-2</v>
      </c>
    </row>
    <row r="1903" spans="1:8" x14ac:dyDescent="0.25">
      <c r="A1903" s="1">
        <v>1997</v>
      </c>
      <c r="B1903" s="1" t="s">
        <v>99</v>
      </c>
      <c r="C1903" t="s">
        <v>51</v>
      </c>
      <c r="D1903">
        <v>1</v>
      </c>
      <c r="E1903">
        <v>32</v>
      </c>
      <c r="F1903">
        <v>7.0000000000000007E-2</v>
      </c>
      <c r="G1903">
        <f>(F1903/0.6)/5</f>
        <v>2.3333333333333338E-2</v>
      </c>
      <c r="H1903">
        <f>G1903*(26.79/38.29)</f>
        <v>1.6325411334552103E-2</v>
      </c>
    </row>
    <row r="1904" spans="1:8" x14ac:dyDescent="0.25">
      <c r="A1904" s="1">
        <v>1997</v>
      </c>
      <c r="B1904" s="1" t="s">
        <v>99</v>
      </c>
      <c r="C1904" t="s">
        <v>51</v>
      </c>
      <c r="D1904">
        <v>1</v>
      </c>
      <c r="E1904">
        <v>32</v>
      </c>
      <c r="F1904">
        <v>0.08</v>
      </c>
      <c r="G1904">
        <f>(F1904/0.6)/5</f>
        <v>2.6666666666666665E-2</v>
      </c>
      <c r="H1904">
        <f>G1904*(26.79/38.29)</f>
        <v>1.8657612953773828E-2</v>
      </c>
    </row>
    <row r="1905" spans="1:8" x14ac:dyDescent="0.25">
      <c r="A1905" s="1">
        <v>1997</v>
      </c>
      <c r="B1905" s="1" t="s">
        <v>99</v>
      </c>
      <c r="C1905" t="s">
        <v>51</v>
      </c>
      <c r="D1905">
        <v>1</v>
      </c>
      <c r="E1905">
        <v>32</v>
      </c>
      <c r="F1905">
        <v>0.04</v>
      </c>
      <c r="G1905">
        <f>(F1905/0.6)/5</f>
        <v>1.3333333333333332E-2</v>
      </c>
      <c r="H1905">
        <f>G1905*(26.79/38.29)</f>
        <v>9.3288064768869139E-3</v>
      </c>
    </row>
    <row r="1906" spans="1:8" x14ac:dyDescent="0.25">
      <c r="A1906" s="1">
        <v>1997</v>
      </c>
      <c r="B1906" s="1" t="s">
        <v>99</v>
      </c>
      <c r="C1906" t="s">
        <v>51</v>
      </c>
      <c r="D1906">
        <v>1</v>
      </c>
      <c r="E1906">
        <v>32</v>
      </c>
      <c r="F1906">
        <v>0.27</v>
      </c>
      <c r="G1906">
        <f>(F1906/0.6)/5</f>
        <v>9.0000000000000011E-2</v>
      </c>
      <c r="H1906">
        <f>G1906*(26.79/38.29)</f>
        <v>6.296944371898669E-2</v>
      </c>
    </row>
    <row r="1907" spans="1:8" x14ac:dyDescent="0.25">
      <c r="A1907" s="1">
        <v>1997</v>
      </c>
      <c r="B1907" s="1" t="s">
        <v>99</v>
      </c>
      <c r="C1907" t="s">
        <v>51</v>
      </c>
      <c r="D1907">
        <v>1</v>
      </c>
      <c r="E1907">
        <v>32</v>
      </c>
      <c r="F1907">
        <v>0.25</v>
      </c>
      <c r="G1907">
        <f>(F1907/0.6)/5</f>
        <v>8.3333333333333343E-2</v>
      </c>
      <c r="H1907">
        <f>G1907*(26.79/38.29)</f>
        <v>5.8305040480543226E-2</v>
      </c>
    </row>
    <row r="1908" spans="1:8" x14ac:dyDescent="0.25">
      <c r="A1908" s="1">
        <v>1997</v>
      </c>
      <c r="B1908" s="1" t="s">
        <v>99</v>
      </c>
      <c r="C1908" t="s">
        <v>51</v>
      </c>
      <c r="D1908">
        <v>1</v>
      </c>
      <c r="E1908">
        <v>32</v>
      </c>
      <c r="F1908">
        <v>0.03</v>
      </c>
      <c r="G1908">
        <f>(F1908/0.6)/5</f>
        <v>0.01</v>
      </c>
      <c r="H1908">
        <f>G1908*(26.79/38.29)</f>
        <v>6.9966048576651863E-3</v>
      </c>
    </row>
    <row r="1909" spans="1:8" x14ac:dyDescent="0.25">
      <c r="A1909" s="1">
        <v>1997</v>
      </c>
      <c r="B1909" s="1" t="s">
        <v>99</v>
      </c>
      <c r="C1909" t="s">
        <v>51</v>
      </c>
      <c r="D1909">
        <v>1</v>
      </c>
      <c r="E1909">
        <v>32</v>
      </c>
      <c r="F1909">
        <v>7.0000000000000007E-2</v>
      </c>
      <c r="G1909">
        <f>(F1909/0.6)/5</f>
        <v>2.3333333333333338E-2</v>
      </c>
      <c r="H1909">
        <f>G1909*(26.79/38.29)</f>
        <v>1.6325411334552103E-2</v>
      </c>
    </row>
    <row r="1910" spans="1:8" x14ac:dyDescent="0.25">
      <c r="A1910" s="1">
        <v>1997</v>
      </c>
      <c r="B1910" s="1" t="s">
        <v>99</v>
      </c>
      <c r="C1910" t="s">
        <v>51</v>
      </c>
      <c r="D1910">
        <v>1</v>
      </c>
      <c r="E1910">
        <v>32</v>
      </c>
      <c r="F1910">
        <v>0.1</v>
      </c>
      <c r="G1910">
        <f>(F1910/0.6)/5</f>
        <v>3.333333333333334E-2</v>
      </c>
      <c r="H1910">
        <f>G1910*(26.79/38.29)</f>
        <v>2.3322016192217292E-2</v>
      </c>
    </row>
    <row r="1911" spans="1:8" x14ac:dyDescent="0.25">
      <c r="A1911" s="1">
        <v>1997</v>
      </c>
      <c r="B1911" s="1" t="s">
        <v>99</v>
      </c>
      <c r="C1911" t="s">
        <v>51</v>
      </c>
      <c r="D1911">
        <v>1</v>
      </c>
      <c r="E1911">
        <v>32</v>
      </c>
      <c r="F1911">
        <v>0.18</v>
      </c>
      <c r="G1911">
        <f>(F1911/0.6)/5</f>
        <v>0.06</v>
      </c>
      <c r="H1911">
        <f>G1911*(26.79/38.29)</f>
        <v>4.1979629145991113E-2</v>
      </c>
    </row>
    <row r="1912" spans="1:8" x14ac:dyDescent="0.25">
      <c r="A1912" s="1">
        <v>1997</v>
      </c>
      <c r="B1912" s="1" t="s">
        <v>99</v>
      </c>
      <c r="C1912" t="s">
        <v>51</v>
      </c>
      <c r="D1912">
        <v>1</v>
      </c>
      <c r="E1912">
        <v>32</v>
      </c>
      <c r="F1912">
        <v>0.08</v>
      </c>
      <c r="G1912">
        <f>(F1912/0.6)/5</f>
        <v>2.6666666666666665E-2</v>
      </c>
      <c r="H1912">
        <f>G1912*(26.79/38.29)</f>
        <v>1.8657612953773828E-2</v>
      </c>
    </row>
    <row r="1913" spans="1:8" x14ac:dyDescent="0.25">
      <c r="A1913" s="1">
        <v>1997</v>
      </c>
      <c r="B1913" s="1" t="s">
        <v>99</v>
      </c>
      <c r="C1913" t="s">
        <v>51</v>
      </c>
      <c r="D1913">
        <v>1</v>
      </c>
      <c r="E1913">
        <v>32</v>
      </c>
      <c r="F1913">
        <v>0.08</v>
      </c>
      <c r="G1913">
        <f>(F1913/0.6)/5</f>
        <v>2.6666666666666665E-2</v>
      </c>
      <c r="H1913">
        <f>G1913*(26.79/38.29)</f>
        <v>1.8657612953773828E-2</v>
      </c>
    </row>
    <row r="1914" spans="1:8" x14ac:dyDescent="0.25">
      <c r="A1914" s="1">
        <v>1997</v>
      </c>
      <c r="B1914" s="1" t="s">
        <v>99</v>
      </c>
      <c r="C1914" t="s">
        <v>51</v>
      </c>
      <c r="D1914">
        <v>1</v>
      </c>
      <c r="E1914">
        <v>32</v>
      </c>
      <c r="F1914">
        <v>0.19</v>
      </c>
      <c r="G1914">
        <f>(F1914/0.6)/5</f>
        <v>6.3333333333333339E-2</v>
      </c>
      <c r="H1914">
        <f>G1914*(26.79/38.29)</f>
        <v>4.4311830765212848E-2</v>
      </c>
    </row>
    <row r="1915" spans="1:8" x14ac:dyDescent="0.25">
      <c r="A1915" s="1">
        <v>1997</v>
      </c>
      <c r="B1915" s="1" t="s">
        <v>99</v>
      </c>
      <c r="C1915" t="s">
        <v>51</v>
      </c>
      <c r="D1915">
        <v>1</v>
      </c>
      <c r="E1915">
        <v>32</v>
      </c>
      <c r="F1915">
        <v>0.25</v>
      </c>
      <c r="G1915">
        <f>(F1915/0.6)/5</f>
        <v>8.3333333333333343E-2</v>
      </c>
      <c r="H1915">
        <f>G1915*(26.79/38.29)</f>
        <v>5.8305040480543226E-2</v>
      </c>
    </row>
    <row r="1916" spans="1:8" x14ac:dyDescent="0.25">
      <c r="A1916" s="1">
        <v>1997</v>
      </c>
      <c r="B1916" s="1" t="s">
        <v>99</v>
      </c>
      <c r="C1916" t="s">
        <v>51</v>
      </c>
      <c r="D1916">
        <v>1</v>
      </c>
      <c r="E1916">
        <v>32</v>
      </c>
      <c r="F1916">
        <v>0.21</v>
      </c>
      <c r="G1916">
        <f>(F1916/0.6)/5</f>
        <v>6.9999999999999993E-2</v>
      </c>
      <c r="H1916">
        <f>G1916*(26.79/38.29)</f>
        <v>4.8976234003656298E-2</v>
      </c>
    </row>
    <row r="1917" spans="1:8" x14ac:dyDescent="0.25">
      <c r="A1917" s="1">
        <v>1997</v>
      </c>
      <c r="B1917" s="1" t="s">
        <v>99</v>
      </c>
      <c r="C1917" t="s">
        <v>51</v>
      </c>
      <c r="D1917">
        <v>1</v>
      </c>
      <c r="E1917">
        <v>32</v>
      </c>
      <c r="F1917">
        <v>0.34</v>
      </c>
      <c r="G1917">
        <f>(F1917/0.6)/5</f>
        <v>0.11333333333333336</v>
      </c>
      <c r="H1917">
        <f>G1917*(26.79/38.29)</f>
        <v>7.9294855053538796E-2</v>
      </c>
    </row>
    <row r="1918" spans="1:8" x14ac:dyDescent="0.25">
      <c r="A1918" s="1">
        <v>1997</v>
      </c>
      <c r="B1918" s="1" t="s">
        <v>99</v>
      </c>
      <c r="C1918" t="s">
        <v>51</v>
      </c>
      <c r="D1918">
        <v>1</v>
      </c>
      <c r="E1918">
        <v>32</v>
      </c>
      <c r="F1918">
        <v>0.1</v>
      </c>
      <c r="G1918">
        <f>(F1918/0.6)/5</f>
        <v>3.333333333333334E-2</v>
      </c>
      <c r="H1918">
        <f>G1918*(26.79/38.29)</f>
        <v>2.3322016192217292E-2</v>
      </c>
    </row>
    <row r="1919" spans="1:8" x14ac:dyDescent="0.25">
      <c r="A1919" s="1">
        <v>1997</v>
      </c>
      <c r="B1919" s="1" t="s">
        <v>99</v>
      </c>
      <c r="C1919" t="s">
        <v>51</v>
      </c>
      <c r="D1919">
        <v>1</v>
      </c>
      <c r="E1919">
        <v>32</v>
      </c>
      <c r="F1919">
        <v>0.03</v>
      </c>
      <c r="G1919">
        <f>(F1919/0.6)/5</f>
        <v>0.01</v>
      </c>
      <c r="H1919">
        <f>G1919*(26.79/38.29)</f>
        <v>6.9966048576651863E-3</v>
      </c>
    </row>
    <row r="1920" spans="1:8" x14ac:dyDescent="0.25">
      <c r="A1920" s="1">
        <v>1997</v>
      </c>
      <c r="B1920" s="1" t="s">
        <v>99</v>
      </c>
      <c r="C1920" t="s">
        <v>51</v>
      </c>
      <c r="D1920">
        <v>1</v>
      </c>
      <c r="E1920">
        <v>32</v>
      </c>
      <c r="F1920">
        <v>0.48</v>
      </c>
      <c r="G1920">
        <f>(F1920/0.6)/5</f>
        <v>0.16</v>
      </c>
      <c r="H1920">
        <f>G1920*(26.79/38.29)</f>
        <v>0.11194567772264298</v>
      </c>
    </row>
    <row r="1921" spans="1:8" x14ac:dyDescent="0.25">
      <c r="A1921" s="1">
        <v>1997</v>
      </c>
      <c r="B1921" s="1" t="s">
        <v>99</v>
      </c>
      <c r="C1921" t="s">
        <v>51</v>
      </c>
      <c r="D1921">
        <v>1</v>
      </c>
      <c r="E1921">
        <v>32</v>
      </c>
      <c r="F1921">
        <v>7.0000000000000007E-2</v>
      </c>
      <c r="G1921">
        <f>(F1921/0.6)/5</f>
        <v>2.3333333333333338E-2</v>
      </c>
      <c r="H1921">
        <f>G1921*(26.79/38.29)</f>
        <v>1.6325411334552103E-2</v>
      </c>
    </row>
    <row r="1922" spans="1:8" x14ac:dyDescent="0.25">
      <c r="A1922" s="1">
        <v>1997</v>
      </c>
      <c r="B1922" s="1" t="s">
        <v>99</v>
      </c>
      <c r="C1922" t="s">
        <v>51</v>
      </c>
      <c r="D1922">
        <v>1</v>
      </c>
      <c r="E1922">
        <v>32</v>
      </c>
      <c r="F1922">
        <v>0.14000000000000001</v>
      </c>
      <c r="G1922">
        <f>(F1922/0.6)/5</f>
        <v>4.6666666666666676E-2</v>
      </c>
      <c r="H1922">
        <f>G1922*(26.79/38.29)</f>
        <v>3.2650822669104206E-2</v>
      </c>
    </row>
    <row r="1923" spans="1:8" x14ac:dyDescent="0.25">
      <c r="A1923" s="1">
        <v>1997</v>
      </c>
      <c r="B1923" s="1" t="s">
        <v>99</v>
      </c>
      <c r="C1923" t="s">
        <v>51</v>
      </c>
      <c r="D1923">
        <v>1</v>
      </c>
      <c r="E1923">
        <v>32</v>
      </c>
      <c r="F1923">
        <v>7.0000000000000007E-2</v>
      </c>
      <c r="G1923">
        <f>(F1923/0.6)/5</f>
        <v>2.3333333333333338E-2</v>
      </c>
      <c r="H1923">
        <f>G1923*(26.79/38.29)</f>
        <v>1.6325411334552103E-2</v>
      </c>
    </row>
    <row r="1924" spans="1:8" x14ac:dyDescent="0.25">
      <c r="A1924" s="1">
        <v>1997</v>
      </c>
      <c r="B1924" s="1" t="s">
        <v>99</v>
      </c>
      <c r="C1924" t="s">
        <v>51</v>
      </c>
      <c r="D1924">
        <v>1</v>
      </c>
      <c r="E1924">
        <v>34</v>
      </c>
      <c r="F1924">
        <v>0.72</v>
      </c>
      <c r="G1924">
        <f>(F1924/0.6)/5</f>
        <v>0.24</v>
      </c>
      <c r="H1924">
        <f>G1924*(26.79/38.29)</f>
        <v>0.16791851658396445</v>
      </c>
    </row>
    <row r="1925" spans="1:8" x14ac:dyDescent="0.25">
      <c r="A1925" s="1">
        <v>1997</v>
      </c>
      <c r="B1925" s="1" t="s">
        <v>99</v>
      </c>
      <c r="C1925" t="s">
        <v>51</v>
      </c>
      <c r="D1925">
        <v>1</v>
      </c>
      <c r="E1925">
        <v>34</v>
      </c>
      <c r="F1925">
        <v>0.25</v>
      </c>
      <c r="G1925">
        <f>(F1925/0.6)/5</f>
        <v>8.3333333333333343E-2</v>
      </c>
      <c r="H1925">
        <f>G1925*(26.79/38.29)</f>
        <v>5.8305040480543226E-2</v>
      </c>
    </row>
    <row r="1926" spans="1:8" x14ac:dyDescent="0.25">
      <c r="A1926" s="1">
        <v>1997</v>
      </c>
      <c r="B1926" s="1" t="s">
        <v>99</v>
      </c>
      <c r="C1926" t="s">
        <v>51</v>
      </c>
      <c r="D1926">
        <v>1</v>
      </c>
      <c r="E1926">
        <v>38</v>
      </c>
      <c r="F1926">
        <v>1.34</v>
      </c>
      <c r="G1926">
        <f>(F1926/0.6)/5</f>
        <v>0.44666666666666666</v>
      </c>
      <c r="H1926">
        <f>G1926*(26.79/38.29)</f>
        <v>0.31251501697571166</v>
      </c>
    </row>
    <row r="1927" spans="1:8" x14ac:dyDescent="0.25">
      <c r="A1927" s="1">
        <v>1997</v>
      </c>
      <c r="B1927" s="1" t="s">
        <v>99</v>
      </c>
      <c r="C1927" t="s">
        <v>51</v>
      </c>
      <c r="D1927">
        <v>1</v>
      </c>
      <c r="E1927">
        <v>38</v>
      </c>
      <c r="F1927">
        <v>1.61</v>
      </c>
      <c r="G1927">
        <f>(F1927/0.6)/5</f>
        <v>0.53666666666666674</v>
      </c>
      <c r="H1927">
        <f>G1927*(26.79/38.29)</f>
        <v>0.37548446069469837</v>
      </c>
    </row>
    <row r="1928" spans="1:8" x14ac:dyDescent="0.25">
      <c r="A1928" s="1">
        <v>1997</v>
      </c>
      <c r="B1928" s="1" t="s">
        <v>99</v>
      </c>
      <c r="C1928" t="s">
        <v>51</v>
      </c>
      <c r="D1928">
        <v>1</v>
      </c>
      <c r="E1928">
        <v>38</v>
      </c>
      <c r="F1928">
        <v>1.85</v>
      </c>
      <c r="G1928">
        <f>(F1928/0.6)/5</f>
        <v>0.6166666666666667</v>
      </c>
      <c r="H1928">
        <f>G1928*(26.79/38.29)</f>
        <v>0.43145729955601986</v>
      </c>
    </row>
    <row r="1929" spans="1:8" x14ac:dyDescent="0.25">
      <c r="A1929" s="1">
        <v>1997</v>
      </c>
      <c r="B1929" s="1" t="s">
        <v>99</v>
      </c>
      <c r="C1929" t="s">
        <v>51</v>
      </c>
      <c r="D1929">
        <v>1</v>
      </c>
      <c r="E1929">
        <v>38</v>
      </c>
      <c r="F1929">
        <v>0.72</v>
      </c>
      <c r="G1929">
        <f>(F1929/0.6)/5</f>
        <v>0.24</v>
      </c>
      <c r="H1929">
        <f>G1929*(26.79/38.29)</f>
        <v>0.16791851658396445</v>
      </c>
    </row>
    <row r="1930" spans="1:8" x14ac:dyDescent="0.25">
      <c r="A1930" s="1">
        <v>1997</v>
      </c>
      <c r="B1930" s="1" t="s">
        <v>99</v>
      </c>
      <c r="C1930" t="s">
        <v>51</v>
      </c>
      <c r="D1930">
        <v>1</v>
      </c>
      <c r="E1930">
        <v>40</v>
      </c>
      <c r="F1930">
        <v>1.29</v>
      </c>
      <c r="G1930">
        <f>(F1930/0.6)/5</f>
        <v>0.43000000000000005</v>
      </c>
      <c r="H1930">
        <f>G1930*(26.79/38.29)</f>
        <v>0.30085400887960306</v>
      </c>
    </row>
    <row r="1931" spans="1:8" x14ac:dyDescent="0.25">
      <c r="A1931" s="1">
        <v>1997</v>
      </c>
      <c r="B1931" s="1" t="s">
        <v>99</v>
      </c>
      <c r="C1931" t="s">
        <v>51</v>
      </c>
      <c r="D1931">
        <v>1</v>
      </c>
      <c r="E1931">
        <v>40</v>
      </c>
      <c r="F1931">
        <v>1.95</v>
      </c>
      <c r="G1931">
        <f>(F1931/0.6)/5</f>
        <v>0.65</v>
      </c>
      <c r="H1931">
        <f>G1931*(26.79/38.29)</f>
        <v>0.4547793157482371</v>
      </c>
    </row>
    <row r="1932" spans="1:8" x14ac:dyDescent="0.25">
      <c r="A1932" s="1">
        <v>1997</v>
      </c>
      <c r="B1932" s="1" t="s">
        <v>99</v>
      </c>
      <c r="C1932" t="s">
        <v>51</v>
      </c>
      <c r="D1932">
        <v>1</v>
      </c>
      <c r="E1932">
        <v>40</v>
      </c>
      <c r="F1932">
        <v>1.28</v>
      </c>
      <c r="G1932">
        <f>(F1932/0.6)/5</f>
        <v>0.42666666666666664</v>
      </c>
      <c r="H1932">
        <f>G1932*(26.79/38.29)</f>
        <v>0.29852180726038124</v>
      </c>
    </row>
    <row r="1933" spans="1:8" x14ac:dyDescent="0.25">
      <c r="A1933" s="1">
        <v>1997</v>
      </c>
      <c r="B1933" s="1" t="s">
        <v>99</v>
      </c>
      <c r="C1933" t="s">
        <v>51</v>
      </c>
      <c r="D1933">
        <v>1</v>
      </c>
      <c r="E1933">
        <v>40</v>
      </c>
      <c r="F1933">
        <v>1.89</v>
      </c>
      <c r="G1933">
        <f>(F1933/0.6)/5</f>
        <v>0.63</v>
      </c>
      <c r="H1933">
        <f>G1933*(26.79/38.29)</f>
        <v>0.44078610603290674</v>
      </c>
    </row>
    <row r="1934" spans="1:8" x14ac:dyDescent="0.25">
      <c r="A1934" s="1">
        <v>1997</v>
      </c>
      <c r="B1934" s="1" t="s">
        <v>99</v>
      </c>
      <c r="C1934" t="s">
        <v>51</v>
      </c>
      <c r="D1934">
        <v>1</v>
      </c>
      <c r="E1934">
        <v>40</v>
      </c>
      <c r="F1934">
        <v>0.98</v>
      </c>
      <c r="G1934">
        <f>(F1934/0.6)/5</f>
        <v>0.32666666666666666</v>
      </c>
      <c r="H1934">
        <f>G1934*(26.79/38.29)</f>
        <v>0.2285557586837294</v>
      </c>
    </row>
    <row r="1935" spans="1:8" x14ac:dyDescent="0.25">
      <c r="A1935" s="1">
        <v>1997</v>
      </c>
      <c r="B1935" s="1" t="s">
        <v>99</v>
      </c>
      <c r="C1935" t="s">
        <v>51</v>
      </c>
      <c r="D1935">
        <v>1</v>
      </c>
      <c r="E1935">
        <v>40</v>
      </c>
      <c r="F1935">
        <v>2.0499999999999998</v>
      </c>
      <c r="G1935">
        <f>(F1935/0.6)/5</f>
        <v>0.68333333333333335</v>
      </c>
      <c r="H1935">
        <f>G1935*(26.79/38.29)</f>
        <v>0.4781013319404544</v>
      </c>
    </row>
    <row r="1936" spans="1:8" x14ac:dyDescent="0.25">
      <c r="A1936" s="1">
        <v>1997</v>
      </c>
      <c r="B1936" s="1" t="s">
        <v>99</v>
      </c>
      <c r="C1936" t="s">
        <v>51</v>
      </c>
      <c r="D1936">
        <v>1</v>
      </c>
      <c r="E1936">
        <v>40</v>
      </c>
      <c r="F1936">
        <v>0.5</v>
      </c>
      <c r="G1936">
        <f>(F1936/0.6)/5</f>
        <v>0.16666666666666669</v>
      </c>
      <c r="H1936">
        <f>G1936*(26.79/38.29)</f>
        <v>0.11661008096108645</v>
      </c>
    </row>
    <row r="1937" spans="1:8" x14ac:dyDescent="0.25">
      <c r="A1937" s="1">
        <v>1997</v>
      </c>
      <c r="B1937" s="1" t="s">
        <v>99</v>
      </c>
      <c r="C1937" t="s">
        <v>51</v>
      </c>
      <c r="D1937">
        <v>1</v>
      </c>
      <c r="E1937">
        <v>40</v>
      </c>
      <c r="F1937">
        <v>0.52</v>
      </c>
      <c r="G1937">
        <f>(F1937/0.6)/5</f>
        <v>0.17333333333333334</v>
      </c>
      <c r="H1937">
        <f>G1937*(26.79/38.29)</f>
        <v>0.12127448419952989</v>
      </c>
    </row>
    <row r="1938" spans="1:8" x14ac:dyDescent="0.25">
      <c r="A1938" s="1">
        <v>1997</v>
      </c>
      <c r="B1938" s="1" t="s">
        <v>99</v>
      </c>
      <c r="C1938" t="s">
        <v>51</v>
      </c>
      <c r="D1938">
        <v>1</v>
      </c>
      <c r="E1938">
        <v>40</v>
      </c>
      <c r="F1938">
        <v>1.87</v>
      </c>
      <c r="G1938">
        <f>(F1938/0.6)/5</f>
        <v>0.62333333333333341</v>
      </c>
      <c r="H1938">
        <f>G1938*(26.79/38.29)</f>
        <v>0.43612170279446333</v>
      </c>
    </row>
    <row r="1939" spans="1:8" x14ac:dyDescent="0.25">
      <c r="A1939" s="1">
        <v>1997</v>
      </c>
      <c r="B1939" s="1" t="s">
        <v>99</v>
      </c>
      <c r="C1939" t="s">
        <v>51</v>
      </c>
      <c r="D1939">
        <v>1</v>
      </c>
      <c r="E1939">
        <v>53</v>
      </c>
      <c r="F1939">
        <v>1.69</v>
      </c>
      <c r="G1939">
        <f>(F1939/0.6)/5</f>
        <v>0.56333333333333335</v>
      </c>
      <c r="H1939">
        <f>G1939*(26.79/38.29)</f>
        <v>0.39414207364847215</v>
      </c>
    </row>
    <row r="1940" spans="1:8" x14ac:dyDescent="0.25">
      <c r="A1940" s="1">
        <v>1997</v>
      </c>
      <c r="B1940" s="1" t="s">
        <v>99</v>
      </c>
      <c r="C1940" t="s">
        <v>51</v>
      </c>
      <c r="D1940">
        <v>1</v>
      </c>
      <c r="E1940">
        <v>53</v>
      </c>
      <c r="F1940">
        <v>0.53</v>
      </c>
      <c r="G1940">
        <f>(F1940/0.6)/5</f>
        <v>0.17666666666666669</v>
      </c>
      <c r="H1940">
        <f>G1940*(26.79/38.29)</f>
        <v>0.12360668581875164</v>
      </c>
    </row>
    <row r="1941" spans="1:8" x14ac:dyDescent="0.25">
      <c r="A1941" s="1">
        <v>1997</v>
      </c>
      <c r="B1941" s="1" t="s">
        <v>99</v>
      </c>
      <c r="C1941" t="s">
        <v>51</v>
      </c>
      <c r="D1941">
        <v>1</v>
      </c>
      <c r="E1941">
        <v>56</v>
      </c>
      <c r="F1941">
        <v>0.23</v>
      </c>
      <c r="G1941">
        <f>(F1941/0.6)/5</f>
        <v>7.6666666666666675E-2</v>
      </c>
      <c r="H1941">
        <f>G1941*(26.79/38.29)</f>
        <v>5.3640637242099769E-2</v>
      </c>
    </row>
    <row r="1942" spans="1:8" x14ac:dyDescent="0.25">
      <c r="A1942" s="1">
        <v>1997</v>
      </c>
      <c r="B1942" s="1" t="s">
        <v>99</v>
      </c>
      <c r="C1942" t="s">
        <v>51</v>
      </c>
      <c r="D1942">
        <v>1</v>
      </c>
      <c r="E1942">
        <v>56</v>
      </c>
      <c r="F1942">
        <v>0.95</v>
      </c>
      <c r="G1942">
        <f>(F1942/0.6)/5</f>
        <v>0.31666666666666665</v>
      </c>
      <c r="H1942">
        <f>G1942*(26.79/38.29)</f>
        <v>0.22155915382606423</v>
      </c>
    </row>
    <row r="1943" spans="1:8" x14ac:dyDescent="0.25">
      <c r="A1943" s="1">
        <v>1997</v>
      </c>
      <c r="B1943" s="1" t="s">
        <v>99</v>
      </c>
      <c r="C1943" t="s">
        <v>51</v>
      </c>
      <c r="D1943">
        <v>1</v>
      </c>
      <c r="E1943">
        <v>63</v>
      </c>
      <c r="F1943">
        <v>0.11</v>
      </c>
      <c r="G1943">
        <f>(F1943/0.6)/5</f>
        <v>3.6666666666666667E-2</v>
      </c>
      <c r="H1943">
        <f>G1943*(26.79/38.29)</f>
        <v>2.5654217811439017E-2</v>
      </c>
    </row>
    <row r="1944" spans="1:8" x14ac:dyDescent="0.25">
      <c r="A1944" s="1">
        <v>1997</v>
      </c>
      <c r="B1944" s="1" t="s">
        <v>99</v>
      </c>
      <c r="C1944" t="s">
        <v>51</v>
      </c>
      <c r="D1944">
        <v>1</v>
      </c>
      <c r="E1944">
        <v>63</v>
      </c>
      <c r="F1944">
        <v>0.05</v>
      </c>
      <c r="G1944">
        <f>(F1944/0.6)/5</f>
        <v>1.666666666666667E-2</v>
      </c>
      <c r="H1944">
        <f>G1944*(26.79/38.29)</f>
        <v>1.1661008096108646E-2</v>
      </c>
    </row>
    <row r="1945" spans="1:8" x14ac:dyDescent="0.25">
      <c r="A1945" s="1">
        <v>1997</v>
      </c>
      <c r="B1945" s="1" t="s">
        <v>99</v>
      </c>
      <c r="C1945" t="s">
        <v>51</v>
      </c>
      <c r="D1945">
        <v>1</v>
      </c>
      <c r="E1945">
        <v>63</v>
      </c>
      <c r="F1945">
        <v>0.11</v>
      </c>
      <c r="G1945">
        <f>(F1945/0.6)/5</f>
        <v>3.6666666666666667E-2</v>
      </c>
      <c r="H1945">
        <f>G1945*(26.79/38.29)</f>
        <v>2.5654217811439017E-2</v>
      </c>
    </row>
    <row r="1946" spans="1:8" x14ac:dyDescent="0.25">
      <c r="A1946" s="1">
        <v>1997</v>
      </c>
      <c r="B1946" s="1" t="s">
        <v>99</v>
      </c>
      <c r="C1946" t="s">
        <v>51</v>
      </c>
      <c r="D1946">
        <v>1</v>
      </c>
      <c r="E1946">
        <v>63</v>
      </c>
      <c r="F1946">
        <v>0.04</v>
      </c>
      <c r="G1946">
        <f>(F1946/0.6)/5</f>
        <v>1.3333333333333332E-2</v>
      </c>
      <c r="H1946">
        <f>G1946*(26.79/38.29)</f>
        <v>9.3288064768869139E-3</v>
      </c>
    </row>
    <row r="1947" spans="1:8" x14ac:dyDescent="0.25">
      <c r="A1947" s="1">
        <v>1997</v>
      </c>
      <c r="B1947" s="1" t="s">
        <v>99</v>
      </c>
      <c r="C1947" t="s">
        <v>51</v>
      </c>
      <c r="D1947">
        <v>1</v>
      </c>
      <c r="E1947">
        <v>66</v>
      </c>
      <c r="F1947">
        <v>1.81</v>
      </c>
      <c r="G1947">
        <f>(F1947/0.6)/5</f>
        <v>0.60333333333333339</v>
      </c>
      <c r="H1947">
        <f>G1947*(26.79/38.29)</f>
        <v>0.42212849307913292</v>
      </c>
    </row>
    <row r="1948" spans="1:8" x14ac:dyDescent="0.25">
      <c r="A1948" s="1">
        <v>1997</v>
      </c>
      <c r="B1948" s="1" t="s">
        <v>99</v>
      </c>
      <c r="C1948" t="s">
        <v>51</v>
      </c>
      <c r="D1948">
        <v>1</v>
      </c>
      <c r="E1948">
        <v>66</v>
      </c>
      <c r="F1948">
        <v>1.81</v>
      </c>
      <c r="G1948">
        <f>(F1948/0.6)/5</f>
        <v>0.60333333333333339</v>
      </c>
      <c r="H1948">
        <f>G1948*(26.79/38.29)</f>
        <v>0.42212849307913292</v>
      </c>
    </row>
    <row r="1949" spans="1:8" x14ac:dyDescent="0.25">
      <c r="A1949" s="1">
        <v>1997</v>
      </c>
      <c r="B1949" s="1" t="s">
        <v>99</v>
      </c>
      <c r="C1949" t="s">
        <v>51</v>
      </c>
      <c r="D1949">
        <v>1</v>
      </c>
      <c r="E1949">
        <v>66</v>
      </c>
      <c r="F1949">
        <v>0.28000000000000003</v>
      </c>
      <c r="G1949">
        <f>(F1949/0.6)/5</f>
        <v>9.3333333333333351E-2</v>
      </c>
      <c r="H1949">
        <f>G1949*(26.79/38.29)</f>
        <v>6.5301645338208411E-2</v>
      </c>
    </row>
    <row r="1950" spans="1:8" x14ac:dyDescent="0.25">
      <c r="A1950" s="1">
        <v>1997</v>
      </c>
      <c r="B1950" s="1" t="s">
        <v>99</v>
      </c>
      <c r="C1950" t="s">
        <v>51</v>
      </c>
      <c r="D1950">
        <v>1</v>
      </c>
      <c r="E1950">
        <v>66</v>
      </c>
      <c r="F1950">
        <v>0.03</v>
      </c>
      <c r="G1950">
        <f>(F1950/0.6)/5</f>
        <v>0.01</v>
      </c>
      <c r="H1950">
        <f>G1950*(26.79/38.29)</f>
        <v>6.9966048576651863E-3</v>
      </c>
    </row>
    <row r="1951" spans="1:8" x14ac:dyDescent="0.25">
      <c r="A1951" s="1">
        <v>1997</v>
      </c>
      <c r="B1951" s="1" t="s">
        <v>99</v>
      </c>
      <c r="C1951" t="s">
        <v>51</v>
      </c>
      <c r="D1951">
        <v>1</v>
      </c>
      <c r="E1951">
        <v>66</v>
      </c>
      <c r="F1951">
        <v>7.0000000000000007E-2</v>
      </c>
      <c r="G1951">
        <f>(F1951/0.6)/5</f>
        <v>2.3333333333333338E-2</v>
      </c>
      <c r="H1951">
        <f>G1951*(26.79/38.29)</f>
        <v>1.6325411334552103E-2</v>
      </c>
    </row>
    <row r="1952" spans="1:8" x14ac:dyDescent="0.25">
      <c r="A1952" s="1">
        <v>1997</v>
      </c>
      <c r="B1952" s="1" t="s">
        <v>99</v>
      </c>
      <c r="C1952" t="s">
        <v>51</v>
      </c>
      <c r="D1952">
        <v>1</v>
      </c>
      <c r="E1952">
        <v>66</v>
      </c>
      <c r="F1952">
        <v>0.12</v>
      </c>
      <c r="G1952">
        <f>(F1952/0.6)/5</f>
        <v>0.04</v>
      </c>
      <c r="H1952">
        <f>G1952*(26.79/38.29)</f>
        <v>2.7986419430660745E-2</v>
      </c>
    </row>
    <row r="1953" spans="1:8" x14ac:dyDescent="0.25">
      <c r="A1953" s="1">
        <v>1997</v>
      </c>
      <c r="B1953" s="1" t="s">
        <v>99</v>
      </c>
      <c r="C1953" t="s">
        <v>51</v>
      </c>
      <c r="D1953">
        <v>1</v>
      </c>
      <c r="E1953">
        <v>76</v>
      </c>
      <c r="F1953">
        <v>0.7</v>
      </c>
      <c r="G1953">
        <f>(F1953/0.6)/5</f>
        <v>0.23333333333333334</v>
      </c>
      <c r="H1953">
        <f>G1953*(26.79/38.29)</f>
        <v>0.16325411334552101</v>
      </c>
    </row>
    <row r="1954" spans="1:8" x14ac:dyDescent="0.25">
      <c r="A1954" s="1">
        <v>1997</v>
      </c>
      <c r="B1954" s="1" t="s">
        <v>99</v>
      </c>
      <c r="C1954" t="s">
        <v>51</v>
      </c>
      <c r="D1954">
        <v>1</v>
      </c>
      <c r="E1954">
        <v>76</v>
      </c>
      <c r="F1954">
        <v>0.48</v>
      </c>
      <c r="G1954">
        <f>(F1954/0.6)/5</f>
        <v>0.16</v>
      </c>
      <c r="H1954">
        <f>G1954*(26.79/38.29)</f>
        <v>0.11194567772264298</v>
      </c>
    </row>
    <row r="1955" spans="1:8" x14ac:dyDescent="0.25">
      <c r="A1955" s="1">
        <v>1997</v>
      </c>
      <c r="B1955" s="1" t="s">
        <v>99</v>
      </c>
      <c r="C1955" t="s">
        <v>51</v>
      </c>
      <c r="D1955">
        <v>1</v>
      </c>
      <c r="E1955">
        <v>76</v>
      </c>
      <c r="F1955">
        <v>0.95</v>
      </c>
      <c r="G1955">
        <f>(F1955/0.6)/5</f>
        <v>0.31666666666666665</v>
      </c>
      <c r="H1955">
        <f>G1955*(26.79/38.29)</f>
        <v>0.22155915382606423</v>
      </c>
    </row>
    <row r="1956" spans="1:8" x14ac:dyDescent="0.25">
      <c r="A1956" s="1">
        <v>1997</v>
      </c>
      <c r="B1956" s="1" t="s">
        <v>99</v>
      </c>
      <c r="C1956" t="s">
        <v>51</v>
      </c>
      <c r="D1956">
        <v>1</v>
      </c>
      <c r="E1956">
        <v>76</v>
      </c>
      <c r="F1956">
        <v>0.26</v>
      </c>
      <c r="G1956">
        <f>(F1956/0.6)/5</f>
        <v>8.666666666666667E-2</v>
      </c>
      <c r="H1956">
        <f>G1956*(26.79/38.29)</f>
        <v>6.0637242099764947E-2</v>
      </c>
    </row>
    <row r="1957" spans="1:8" x14ac:dyDescent="0.25">
      <c r="A1957" s="1">
        <v>1997</v>
      </c>
      <c r="B1957" s="1" t="s">
        <v>99</v>
      </c>
      <c r="C1957" t="s">
        <v>51</v>
      </c>
      <c r="D1957">
        <v>1</v>
      </c>
      <c r="E1957">
        <v>76</v>
      </c>
      <c r="F1957">
        <v>0.09</v>
      </c>
      <c r="G1957">
        <f>(F1957/0.6)/5</f>
        <v>0.03</v>
      </c>
      <c r="H1957">
        <f>G1957*(26.79/38.29)</f>
        <v>2.0989814572995556E-2</v>
      </c>
    </row>
    <row r="1958" spans="1:8" x14ac:dyDescent="0.25">
      <c r="A1958" s="1">
        <v>1997</v>
      </c>
      <c r="B1958" s="1" t="s">
        <v>99</v>
      </c>
      <c r="C1958" t="s">
        <v>51</v>
      </c>
      <c r="D1958">
        <v>1</v>
      </c>
      <c r="E1958">
        <v>76</v>
      </c>
      <c r="F1958">
        <v>0.5</v>
      </c>
      <c r="G1958">
        <f>(F1958/0.6)/5</f>
        <v>0.16666666666666669</v>
      </c>
      <c r="H1958">
        <f>G1958*(26.79/38.29)</f>
        <v>0.11661008096108645</v>
      </c>
    </row>
    <row r="1959" spans="1:8" x14ac:dyDescent="0.25">
      <c r="A1959" s="1">
        <v>1997</v>
      </c>
      <c r="B1959" s="1" t="s">
        <v>99</v>
      </c>
      <c r="C1959" t="s">
        <v>51</v>
      </c>
      <c r="D1959">
        <v>1</v>
      </c>
      <c r="E1959">
        <v>76</v>
      </c>
      <c r="F1959">
        <v>0.15</v>
      </c>
      <c r="G1959">
        <f>(F1959/0.6)/5</f>
        <v>0.05</v>
      </c>
      <c r="H1959">
        <f>G1959*(26.79/38.29)</f>
        <v>3.4983024288325934E-2</v>
      </c>
    </row>
    <row r="1960" spans="1:8" x14ac:dyDescent="0.25">
      <c r="A1960" s="1">
        <v>1997</v>
      </c>
      <c r="B1960" s="1" t="s">
        <v>99</v>
      </c>
      <c r="C1960" t="s">
        <v>51</v>
      </c>
      <c r="D1960">
        <v>1</v>
      </c>
      <c r="E1960">
        <v>76</v>
      </c>
      <c r="F1960">
        <v>0.49</v>
      </c>
      <c r="G1960">
        <f>(F1960/0.6)/5</f>
        <v>0.16333333333333333</v>
      </c>
      <c r="H1960">
        <f>G1960*(26.79/38.29)</f>
        <v>0.1142778793418647</v>
      </c>
    </row>
    <row r="1961" spans="1:8" x14ac:dyDescent="0.25">
      <c r="A1961" s="1">
        <v>1997</v>
      </c>
      <c r="B1961" s="1" t="s">
        <v>99</v>
      </c>
      <c r="C1961" t="s">
        <v>51</v>
      </c>
      <c r="D1961">
        <v>1</v>
      </c>
      <c r="E1961">
        <v>76</v>
      </c>
      <c r="F1961">
        <v>0.13</v>
      </c>
      <c r="G1961">
        <f>(F1961/0.6)/5</f>
        <v>4.3333333333333335E-2</v>
      </c>
      <c r="H1961">
        <f>G1961*(26.79/38.29)</f>
        <v>3.0318621049882474E-2</v>
      </c>
    </row>
    <row r="1962" spans="1:8" x14ac:dyDescent="0.25">
      <c r="A1962" s="1">
        <v>1997</v>
      </c>
      <c r="B1962" s="1" t="s">
        <v>99</v>
      </c>
      <c r="C1962" t="s">
        <v>51</v>
      </c>
      <c r="D1962">
        <v>1</v>
      </c>
      <c r="E1962">
        <v>76</v>
      </c>
      <c r="F1962">
        <v>0.64</v>
      </c>
      <c r="G1962">
        <f>(F1962/0.6)/5</f>
        <v>0.21333333333333332</v>
      </c>
      <c r="H1962">
        <f>G1962*(26.79/38.29)</f>
        <v>0.14926090363019062</v>
      </c>
    </row>
    <row r="1963" spans="1:8" x14ac:dyDescent="0.25">
      <c r="A1963" s="1">
        <v>1997</v>
      </c>
      <c r="B1963" s="1" t="s">
        <v>99</v>
      </c>
      <c r="C1963" t="s">
        <v>51</v>
      </c>
      <c r="D1963">
        <v>1</v>
      </c>
      <c r="E1963">
        <v>76</v>
      </c>
      <c r="F1963">
        <v>0.22</v>
      </c>
      <c r="G1963">
        <f>(F1963/0.6)/5</f>
        <v>7.3333333333333334E-2</v>
      </c>
      <c r="H1963">
        <f>G1963*(26.79/38.29)</f>
        <v>5.1308435622878033E-2</v>
      </c>
    </row>
    <row r="1964" spans="1:8" x14ac:dyDescent="0.25">
      <c r="A1964" s="1">
        <v>1997</v>
      </c>
      <c r="B1964" s="1" t="s">
        <v>99</v>
      </c>
      <c r="C1964" t="s">
        <v>51</v>
      </c>
      <c r="D1964">
        <v>1</v>
      </c>
      <c r="E1964">
        <v>76</v>
      </c>
      <c r="F1964">
        <v>7.0000000000000007E-2</v>
      </c>
      <c r="G1964">
        <f>(F1964/0.6)/5</f>
        <v>2.3333333333333338E-2</v>
      </c>
      <c r="H1964">
        <f>G1964*(26.79/38.29)</f>
        <v>1.6325411334552103E-2</v>
      </c>
    </row>
    <row r="1965" spans="1:8" x14ac:dyDescent="0.25">
      <c r="A1965" s="1">
        <v>1997</v>
      </c>
      <c r="B1965" s="1" t="s">
        <v>99</v>
      </c>
      <c r="C1965" t="s">
        <v>51</v>
      </c>
      <c r="D1965">
        <v>1</v>
      </c>
      <c r="E1965">
        <v>76</v>
      </c>
      <c r="F1965">
        <v>0.41</v>
      </c>
      <c r="G1965">
        <f>(F1965/0.6)/5</f>
        <v>0.13666666666666666</v>
      </c>
      <c r="H1965">
        <f>G1965*(26.79/38.29)</f>
        <v>9.5620266388090874E-2</v>
      </c>
    </row>
    <row r="1966" spans="1:8" x14ac:dyDescent="0.25">
      <c r="A1966" s="1">
        <v>1997</v>
      </c>
      <c r="B1966" s="1" t="s">
        <v>99</v>
      </c>
      <c r="C1966" t="s">
        <v>51</v>
      </c>
      <c r="D1966">
        <v>1</v>
      </c>
      <c r="E1966">
        <v>76</v>
      </c>
      <c r="F1966">
        <v>0.72</v>
      </c>
      <c r="G1966">
        <f>(F1966/0.6)/5</f>
        <v>0.24</v>
      </c>
      <c r="H1966">
        <f>G1966*(26.79/38.29)</f>
        <v>0.16791851658396445</v>
      </c>
    </row>
    <row r="1967" spans="1:8" x14ac:dyDescent="0.25">
      <c r="A1967" s="1">
        <v>1997</v>
      </c>
      <c r="B1967" s="1" t="s">
        <v>99</v>
      </c>
      <c r="C1967" t="s">
        <v>51</v>
      </c>
      <c r="D1967">
        <v>1</v>
      </c>
      <c r="E1967">
        <v>76</v>
      </c>
      <c r="F1967">
        <v>0.06</v>
      </c>
      <c r="G1967">
        <f>(F1967/0.6)/5</f>
        <v>0.02</v>
      </c>
      <c r="H1967">
        <f>G1967*(26.79/38.29)</f>
        <v>1.3993209715330373E-2</v>
      </c>
    </row>
    <row r="1968" spans="1:8" x14ac:dyDescent="0.25">
      <c r="A1968" s="1">
        <v>1997</v>
      </c>
      <c r="B1968" s="1" t="s">
        <v>99</v>
      </c>
      <c r="C1968" t="s">
        <v>51</v>
      </c>
      <c r="D1968">
        <v>1</v>
      </c>
      <c r="E1968">
        <v>76</v>
      </c>
      <c r="F1968">
        <v>0.37</v>
      </c>
      <c r="G1968">
        <f>(F1968/0.6)/5</f>
        <v>0.12333333333333334</v>
      </c>
      <c r="H1968">
        <f>G1968*(26.79/38.29)</f>
        <v>8.629145991120396E-2</v>
      </c>
    </row>
    <row r="1969" spans="1:8" x14ac:dyDescent="0.25">
      <c r="A1969" s="1">
        <v>1997</v>
      </c>
      <c r="B1969" s="1" t="s">
        <v>99</v>
      </c>
      <c r="C1969" t="s">
        <v>51</v>
      </c>
      <c r="D1969">
        <v>1</v>
      </c>
      <c r="E1969">
        <v>76</v>
      </c>
      <c r="F1969">
        <v>0.28000000000000003</v>
      </c>
      <c r="G1969">
        <f>(F1969/0.6)/5</f>
        <v>9.3333333333333351E-2</v>
      </c>
      <c r="H1969">
        <f>G1969*(26.79/38.29)</f>
        <v>6.5301645338208411E-2</v>
      </c>
    </row>
    <row r="1970" spans="1:8" x14ac:dyDescent="0.25">
      <c r="A1970" s="1">
        <v>1997</v>
      </c>
      <c r="B1970" s="1" t="s">
        <v>99</v>
      </c>
      <c r="C1970" t="s">
        <v>51</v>
      </c>
      <c r="D1970">
        <v>1</v>
      </c>
      <c r="E1970">
        <v>76</v>
      </c>
      <c r="F1970">
        <v>0.08</v>
      </c>
      <c r="G1970">
        <f>(F1970/0.6)/5</f>
        <v>2.6666666666666665E-2</v>
      </c>
      <c r="H1970">
        <f>G1970*(26.79/38.29)</f>
        <v>1.8657612953773828E-2</v>
      </c>
    </row>
    <row r="1971" spans="1:8" x14ac:dyDescent="0.25">
      <c r="A1971" s="1">
        <v>1997</v>
      </c>
      <c r="B1971" s="1" t="s">
        <v>99</v>
      </c>
      <c r="C1971" t="s">
        <v>51</v>
      </c>
      <c r="D1971">
        <v>1</v>
      </c>
      <c r="E1971">
        <v>76</v>
      </c>
      <c r="F1971">
        <v>0.27</v>
      </c>
      <c r="G1971">
        <f>(F1971/0.6)/5</f>
        <v>9.0000000000000011E-2</v>
      </c>
      <c r="H1971">
        <f>G1971*(26.79/38.29)</f>
        <v>6.296944371898669E-2</v>
      </c>
    </row>
    <row r="1972" spans="1:8" x14ac:dyDescent="0.25">
      <c r="A1972" s="1">
        <v>1997</v>
      </c>
      <c r="B1972" s="1" t="s">
        <v>99</v>
      </c>
      <c r="C1972" t="s">
        <v>51</v>
      </c>
      <c r="D1972">
        <v>1</v>
      </c>
      <c r="E1972">
        <v>76</v>
      </c>
      <c r="F1972">
        <v>0.04</v>
      </c>
      <c r="G1972">
        <f>(F1972/0.6)/5</f>
        <v>1.3333333333333332E-2</v>
      </c>
      <c r="H1972">
        <f>G1972*(26.79/38.29)</f>
        <v>9.3288064768869139E-3</v>
      </c>
    </row>
    <row r="1973" spans="1:8" x14ac:dyDescent="0.25">
      <c r="A1973" s="1">
        <v>1997</v>
      </c>
      <c r="B1973" s="1" t="s">
        <v>99</v>
      </c>
      <c r="C1973" t="s">
        <v>51</v>
      </c>
      <c r="D1973">
        <v>1</v>
      </c>
      <c r="E1973">
        <v>76</v>
      </c>
      <c r="F1973">
        <v>0.16</v>
      </c>
      <c r="G1973">
        <f>(F1973/0.6)/5</f>
        <v>5.333333333333333E-2</v>
      </c>
      <c r="H1973">
        <f>G1973*(26.79/38.29)</f>
        <v>3.7315225907547656E-2</v>
      </c>
    </row>
    <row r="1974" spans="1:8" x14ac:dyDescent="0.25">
      <c r="A1974" s="1">
        <v>1997</v>
      </c>
      <c r="B1974" s="1" t="s">
        <v>99</v>
      </c>
      <c r="C1974" t="s">
        <v>51</v>
      </c>
      <c r="D1974">
        <v>1</v>
      </c>
      <c r="E1974">
        <v>76</v>
      </c>
      <c r="F1974">
        <v>0.18</v>
      </c>
      <c r="G1974">
        <f>(F1974/0.6)/5</f>
        <v>0.06</v>
      </c>
      <c r="H1974">
        <f>G1974*(26.79/38.29)</f>
        <v>4.1979629145991113E-2</v>
      </c>
    </row>
    <row r="1975" spans="1:8" x14ac:dyDescent="0.25">
      <c r="A1975" s="1">
        <v>1997</v>
      </c>
      <c r="B1975" s="1" t="s">
        <v>99</v>
      </c>
      <c r="C1975" t="s">
        <v>51</v>
      </c>
      <c r="D1975">
        <v>1</v>
      </c>
      <c r="E1975">
        <v>76</v>
      </c>
      <c r="F1975">
        <v>0.15</v>
      </c>
      <c r="G1975">
        <f>(F1975/0.6)/5</f>
        <v>0.05</v>
      </c>
      <c r="H1975">
        <f>G1975*(26.79/38.29)</f>
        <v>3.4983024288325934E-2</v>
      </c>
    </row>
    <row r="1976" spans="1:8" x14ac:dyDescent="0.25">
      <c r="A1976" s="1">
        <v>1997</v>
      </c>
      <c r="B1976" s="1" t="s">
        <v>99</v>
      </c>
      <c r="C1976" t="s">
        <v>51</v>
      </c>
      <c r="D1976">
        <v>1</v>
      </c>
      <c r="E1976">
        <v>76</v>
      </c>
      <c r="F1976">
        <v>0.4</v>
      </c>
      <c r="G1976">
        <f>(F1976/0.6)/5</f>
        <v>0.13333333333333336</v>
      </c>
      <c r="H1976">
        <f>G1976*(26.79/38.29)</f>
        <v>9.3288064768869167E-2</v>
      </c>
    </row>
    <row r="1977" spans="1:8" x14ac:dyDescent="0.25">
      <c r="A1977" s="1">
        <v>1997</v>
      </c>
      <c r="B1977" s="1" t="s">
        <v>99</v>
      </c>
      <c r="C1977" t="s">
        <v>51</v>
      </c>
      <c r="D1977">
        <v>1</v>
      </c>
      <c r="E1977">
        <v>76</v>
      </c>
      <c r="F1977">
        <v>0.1</v>
      </c>
      <c r="G1977">
        <f>(F1977/0.6)/5</f>
        <v>3.333333333333334E-2</v>
      </c>
      <c r="H1977">
        <f>G1977*(26.79/38.29)</f>
        <v>2.3322016192217292E-2</v>
      </c>
    </row>
    <row r="1978" spans="1:8" x14ac:dyDescent="0.25">
      <c r="A1978" s="1">
        <v>1997</v>
      </c>
      <c r="B1978" s="1" t="s">
        <v>99</v>
      </c>
      <c r="C1978" t="s">
        <v>51</v>
      </c>
      <c r="D1978">
        <v>1</v>
      </c>
      <c r="E1978">
        <v>76</v>
      </c>
      <c r="F1978">
        <v>0.4</v>
      </c>
      <c r="G1978">
        <f>(F1978/0.6)/5</f>
        <v>0.13333333333333336</v>
      </c>
      <c r="H1978">
        <f>G1978*(26.79/38.29)</f>
        <v>9.3288064768869167E-2</v>
      </c>
    </row>
    <row r="1979" spans="1:8" x14ac:dyDescent="0.25">
      <c r="A1979" s="1">
        <v>1997</v>
      </c>
      <c r="B1979" s="1" t="s">
        <v>99</v>
      </c>
      <c r="C1979" t="s">
        <v>51</v>
      </c>
      <c r="D1979">
        <v>1</v>
      </c>
      <c r="E1979">
        <v>76</v>
      </c>
      <c r="F1979">
        <v>0.11</v>
      </c>
      <c r="G1979">
        <f>(F1979/0.6)/5</f>
        <v>3.6666666666666667E-2</v>
      </c>
      <c r="H1979">
        <f>G1979*(26.79/38.29)</f>
        <v>2.5654217811439017E-2</v>
      </c>
    </row>
    <row r="1980" spans="1:8" x14ac:dyDescent="0.25">
      <c r="A1980" s="1">
        <v>1997</v>
      </c>
      <c r="B1980" s="1" t="s">
        <v>99</v>
      </c>
      <c r="C1980" t="s">
        <v>51</v>
      </c>
      <c r="D1980">
        <v>1</v>
      </c>
      <c r="E1980">
        <v>76</v>
      </c>
      <c r="F1980">
        <v>0.04</v>
      </c>
      <c r="G1980">
        <f>(F1980/0.6)/5</f>
        <v>1.3333333333333332E-2</v>
      </c>
      <c r="H1980">
        <f>G1980*(26.79/38.29)</f>
        <v>9.3288064768869139E-3</v>
      </c>
    </row>
    <row r="1981" spans="1:8" x14ac:dyDescent="0.25">
      <c r="A1981" s="1">
        <v>1997</v>
      </c>
      <c r="B1981" s="1" t="s">
        <v>99</v>
      </c>
      <c r="C1981" t="s">
        <v>51</v>
      </c>
      <c r="D1981">
        <v>1</v>
      </c>
      <c r="E1981">
        <v>76</v>
      </c>
      <c r="F1981">
        <v>0.14000000000000001</v>
      </c>
      <c r="G1981">
        <f>(F1981/0.6)/5</f>
        <v>4.6666666666666676E-2</v>
      </c>
      <c r="H1981">
        <f>G1981*(26.79/38.29)</f>
        <v>3.2650822669104206E-2</v>
      </c>
    </row>
    <row r="1982" spans="1:8" x14ac:dyDescent="0.25">
      <c r="A1982" s="1">
        <v>1997</v>
      </c>
      <c r="B1982" s="1" t="s">
        <v>99</v>
      </c>
      <c r="C1982" t="s">
        <v>51</v>
      </c>
      <c r="D1982">
        <v>1</v>
      </c>
      <c r="E1982">
        <v>76</v>
      </c>
      <c r="F1982">
        <v>0.36</v>
      </c>
      <c r="G1982">
        <f>(F1982/0.6)/5</f>
        <v>0.12</v>
      </c>
      <c r="H1982">
        <f>G1982*(26.79/38.29)</f>
        <v>8.3959258291982225E-2</v>
      </c>
    </row>
    <row r="1983" spans="1:8" x14ac:dyDescent="0.25">
      <c r="A1983" s="1">
        <v>1997</v>
      </c>
      <c r="B1983" s="1" t="s">
        <v>99</v>
      </c>
      <c r="C1983" t="s">
        <v>51</v>
      </c>
      <c r="D1983">
        <v>1</v>
      </c>
      <c r="E1983">
        <v>76</v>
      </c>
      <c r="F1983">
        <v>1.1299999999999999</v>
      </c>
      <c r="G1983">
        <f>(F1983/0.6)/5</f>
        <v>0.37666666666666665</v>
      </c>
      <c r="H1983">
        <f>G1983*(26.79/38.29)</f>
        <v>0.26353878297205535</v>
      </c>
    </row>
    <row r="1984" spans="1:8" x14ac:dyDescent="0.25">
      <c r="A1984" s="1">
        <v>1997</v>
      </c>
      <c r="B1984" s="1" t="s">
        <v>99</v>
      </c>
      <c r="C1984" t="s">
        <v>51</v>
      </c>
      <c r="D1984">
        <v>1</v>
      </c>
      <c r="E1984">
        <v>76</v>
      </c>
      <c r="F1984">
        <v>0.11</v>
      </c>
      <c r="G1984">
        <f>(F1984/0.6)/5</f>
        <v>3.6666666666666667E-2</v>
      </c>
      <c r="H1984">
        <f>G1984*(26.79/38.29)</f>
        <v>2.5654217811439017E-2</v>
      </c>
    </row>
    <row r="1985" spans="1:8" x14ac:dyDescent="0.25">
      <c r="A1985" s="1">
        <v>1997</v>
      </c>
      <c r="B1985" s="1" t="s">
        <v>99</v>
      </c>
      <c r="C1985" t="s">
        <v>51</v>
      </c>
      <c r="D1985">
        <v>1</v>
      </c>
      <c r="E1985">
        <v>76</v>
      </c>
      <c r="F1985">
        <v>0.05</v>
      </c>
      <c r="G1985">
        <f>(F1985/0.6)/5</f>
        <v>1.666666666666667E-2</v>
      </c>
      <c r="H1985">
        <f>G1985*(26.79/38.29)</f>
        <v>1.1661008096108646E-2</v>
      </c>
    </row>
    <row r="1986" spans="1:8" x14ac:dyDescent="0.25">
      <c r="A1986" s="1">
        <v>1997</v>
      </c>
      <c r="B1986" s="1" t="s">
        <v>99</v>
      </c>
      <c r="C1986" t="s">
        <v>51</v>
      </c>
      <c r="D1986">
        <v>1</v>
      </c>
      <c r="E1986">
        <v>76</v>
      </c>
      <c r="F1986">
        <v>0.1</v>
      </c>
      <c r="G1986">
        <f>(F1986/0.6)/5</f>
        <v>3.333333333333334E-2</v>
      </c>
      <c r="H1986">
        <f>G1986*(26.79/38.29)</f>
        <v>2.3322016192217292E-2</v>
      </c>
    </row>
    <row r="1987" spans="1:8" x14ac:dyDescent="0.25">
      <c r="A1987" s="1">
        <v>1997</v>
      </c>
      <c r="B1987" s="1" t="s">
        <v>99</v>
      </c>
      <c r="C1987" t="s">
        <v>51</v>
      </c>
      <c r="D1987">
        <v>1</v>
      </c>
      <c r="E1987">
        <v>76</v>
      </c>
      <c r="F1987">
        <v>0.13</v>
      </c>
      <c r="G1987">
        <f>(F1987/0.6)/5</f>
        <v>4.3333333333333335E-2</v>
      </c>
      <c r="H1987">
        <f>G1987*(26.79/38.29)</f>
        <v>3.0318621049882474E-2</v>
      </c>
    </row>
    <row r="1988" spans="1:8" x14ac:dyDescent="0.25">
      <c r="A1988" s="1">
        <v>1997</v>
      </c>
      <c r="B1988" s="1" t="s">
        <v>99</v>
      </c>
      <c r="C1988" t="s">
        <v>51</v>
      </c>
      <c r="D1988">
        <v>1</v>
      </c>
      <c r="E1988">
        <v>76</v>
      </c>
      <c r="F1988">
        <v>0.1</v>
      </c>
      <c r="G1988">
        <f>(F1988/0.6)/5</f>
        <v>3.333333333333334E-2</v>
      </c>
      <c r="H1988">
        <f>G1988*(26.79/38.29)</f>
        <v>2.3322016192217292E-2</v>
      </c>
    </row>
    <row r="1989" spans="1:8" x14ac:dyDescent="0.25">
      <c r="A1989" s="1">
        <v>1997</v>
      </c>
      <c r="B1989" s="1" t="s">
        <v>99</v>
      </c>
      <c r="C1989" t="s">
        <v>51</v>
      </c>
      <c r="D1989">
        <v>1</v>
      </c>
      <c r="E1989">
        <v>78</v>
      </c>
      <c r="F1989">
        <v>0.06</v>
      </c>
      <c r="G1989">
        <f>(F1989/0.6)/5</f>
        <v>0.02</v>
      </c>
      <c r="H1989">
        <f>G1989*(26.79/38.29)</f>
        <v>1.3993209715330373E-2</v>
      </c>
    </row>
    <row r="1990" spans="1:8" x14ac:dyDescent="0.25">
      <c r="A1990" s="1">
        <v>1997</v>
      </c>
      <c r="B1990" s="1" t="s">
        <v>99</v>
      </c>
      <c r="C1990" t="s">
        <v>51</v>
      </c>
      <c r="D1990">
        <v>1</v>
      </c>
      <c r="E1990">
        <v>78</v>
      </c>
      <c r="F1990">
        <v>0.04</v>
      </c>
      <c r="G1990">
        <f>(F1990/0.6)/5</f>
        <v>1.3333333333333332E-2</v>
      </c>
      <c r="H1990">
        <f>G1990*(26.79/38.29)</f>
        <v>9.3288064768869139E-3</v>
      </c>
    </row>
    <row r="1991" spans="1:8" x14ac:dyDescent="0.25">
      <c r="A1991" s="1">
        <v>1997</v>
      </c>
      <c r="B1991" s="1" t="s">
        <v>99</v>
      </c>
      <c r="C1991" t="s">
        <v>51</v>
      </c>
      <c r="D1991">
        <v>1</v>
      </c>
      <c r="E1991">
        <v>78</v>
      </c>
      <c r="F1991">
        <v>0.04</v>
      </c>
      <c r="G1991">
        <f>(F1991/0.6)/5</f>
        <v>1.3333333333333332E-2</v>
      </c>
      <c r="H1991">
        <f>G1991*(26.79/38.29)</f>
        <v>9.3288064768869139E-3</v>
      </c>
    </row>
    <row r="1992" spans="1:8" x14ac:dyDescent="0.25">
      <c r="A1992" s="1">
        <v>1997</v>
      </c>
      <c r="B1992" s="1" t="s">
        <v>99</v>
      </c>
      <c r="C1992" t="s">
        <v>51</v>
      </c>
      <c r="D1992">
        <v>1</v>
      </c>
      <c r="E1992">
        <v>78</v>
      </c>
      <c r="F1992">
        <v>0.08</v>
      </c>
      <c r="G1992">
        <f>(F1992/0.6)/5</f>
        <v>2.6666666666666665E-2</v>
      </c>
      <c r="H1992">
        <f>G1992*(26.79/38.29)</f>
        <v>1.8657612953773828E-2</v>
      </c>
    </row>
    <row r="1993" spans="1:8" x14ac:dyDescent="0.25">
      <c r="A1993" s="1">
        <v>1997</v>
      </c>
      <c r="B1993" s="1" t="s">
        <v>99</v>
      </c>
      <c r="C1993" t="s">
        <v>51</v>
      </c>
      <c r="D1993">
        <v>1</v>
      </c>
      <c r="E1993">
        <v>78</v>
      </c>
      <c r="F1993">
        <v>0.04</v>
      </c>
      <c r="G1993">
        <f>(F1993/0.6)/5</f>
        <v>1.3333333333333332E-2</v>
      </c>
      <c r="H1993">
        <f>G1993*(26.79/38.29)</f>
        <v>9.3288064768869139E-3</v>
      </c>
    </row>
    <row r="1994" spans="1:8" x14ac:dyDescent="0.25">
      <c r="A1994" s="1">
        <v>1997</v>
      </c>
      <c r="B1994" s="1" t="s">
        <v>99</v>
      </c>
      <c r="C1994" t="s">
        <v>51</v>
      </c>
      <c r="D1994">
        <v>1</v>
      </c>
      <c r="E1994">
        <v>78</v>
      </c>
      <c r="F1994">
        <v>0.05</v>
      </c>
      <c r="G1994">
        <f>(F1994/0.6)/5</f>
        <v>1.666666666666667E-2</v>
      </c>
      <c r="H1994">
        <f>G1994*(26.79/38.29)</f>
        <v>1.1661008096108646E-2</v>
      </c>
    </row>
    <row r="1995" spans="1:8" x14ac:dyDescent="0.25">
      <c r="A1995" s="1">
        <v>1997</v>
      </c>
      <c r="B1995" s="1" t="s">
        <v>99</v>
      </c>
      <c r="C1995" t="s">
        <v>51</v>
      </c>
      <c r="D1995">
        <v>1</v>
      </c>
      <c r="E1995">
        <v>78</v>
      </c>
      <c r="F1995">
        <v>0.04</v>
      </c>
      <c r="G1995">
        <f>(F1995/0.6)/5</f>
        <v>1.3333333333333332E-2</v>
      </c>
      <c r="H1995">
        <f>G1995*(26.79/38.29)</f>
        <v>9.3288064768869139E-3</v>
      </c>
    </row>
    <row r="1996" spans="1:8" x14ac:dyDescent="0.25">
      <c r="A1996" s="1">
        <v>1997</v>
      </c>
      <c r="B1996" s="1" t="s">
        <v>99</v>
      </c>
      <c r="C1996" t="s">
        <v>51</v>
      </c>
      <c r="D1996">
        <v>1</v>
      </c>
      <c r="E1996">
        <v>78</v>
      </c>
      <c r="F1996">
        <v>0.05</v>
      </c>
      <c r="G1996">
        <f>(F1996/0.6)/5</f>
        <v>1.666666666666667E-2</v>
      </c>
      <c r="H1996">
        <f>G1996*(26.79/38.29)</f>
        <v>1.1661008096108646E-2</v>
      </c>
    </row>
    <row r="1997" spans="1:8" x14ac:dyDescent="0.25">
      <c r="A1997" s="1">
        <v>1997</v>
      </c>
      <c r="B1997" s="1" t="s">
        <v>99</v>
      </c>
      <c r="C1997" t="s">
        <v>51</v>
      </c>
      <c r="D1997">
        <v>1</v>
      </c>
      <c r="E1997">
        <v>78</v>
      </c>
      <c r="F1997">
        <v>0.06</v>
      </c>
      <c r="G1997">
        <f>(F1997/0.6)/5</f>
        <v>0.02</v>
      </c>
      <c r="H1997">
        <f>G1997*(26.79/38.29)</f>
        <v>1.3993209715330373E-2</v>
      </c>
    </row>
    <row r="1998" spans="1:8" x14ac:dyDescent="0.25">
      <c r="A1998" s="1">
        <v>1997</v>
      </c>
      <c r="B1998" s="1" t="s">
        <v>99</v>
      </c>
      <c r="C1998" t="s">
        <v>51</v>
      </c>
      <c r="D1998">
        <v>1</v>
      </c>
      <c r="E1998">
        <v>78</v>
      </c>
      <c r="F1998">
        <v>0.04</v>
      </c>
      <c r="G1998">
        <f>(F1998/0.6)/5</f>
        <v>1.3333333333333332E-2</v>
      </c>
      <c r="H1998">
        <f>G1998*(26.79/38.29)</f>
        <v>9.3288064768869139E-3</v>
      </c>
    </row>
    <row r="1999" spans="1:8" x14ac:dyDescent="0.25">
      <c r="A1999" s="1">
        <v>1997</v>
      </c>
      <c r="B1999" s="1" t="s">
        <v>99</v>
      </c>
      <c r="C1999" t="s">
        <v>51</v>
      </c>
      <c r="D1999">
        <v>1</v>
      </c>
      <c r="E1999">
        <v>78</v>
      </c>
      <c r="F1999">
        <v>0.03</v>
      </c>
      <c r="G1999">
        <f>(F1999/0.6)/5</f>
        <v>0.01</v>
      </c>
      <c r="H1999">
        <f>G1999*(26.79/38.29)</f>
        <v>6.9966048576651863E-3</v>
      </c>
    </row>
    <row r="2000" spans="1:8" x14ac:dyDescent="0.25">
      <c r="A2000" s="1">
        <v>1997</v>
      </c>
      <c r="B2000" s="1" t="s">
        <v>99</v>
      </c>
      <c r="C2000" t="s">
        <v>51</v>
      </c>
      <c r="D2000">
        <v>1</v>
      </c>
      <c r="E2000">
        <v>78</v>
      </c>
      <c r="F2000">
        <v>0.05</v>
      </c>
      <c r="G2000">
        <f>(F2000/0.6)/5</f>
        <v>1.666666666666667E-2</v>
      </c>
      <c r="H2000">
        <f>G2000*(26.79/38.29)</f>
        <v>1.1661008096108646E-2</v>
      </c>
    </row>
    <row r="2001" spans="1:8" x14ac:dyDescent="0.25">
      <c r="A2001" s="1">
        <v>1997</v>
      </c>
      <c r="B2001" s="1" t="s">
        <v>99</v>
      </c>
      <c r="C2001" t="s">
        <v>51</v>
      </c>
      <c r="D2001">
        <v>1</v>
      </c>
      <c r="E2001">
        <v>78</v>
      </c>
      <c r="F2001">
        <v>0.03</v>
      </c>
      <c r="G2001">
        <f>(F2001/0.6)/5</f>
        <v>0.01</v>
      </c>
      <c r="H2001">
        <f>G2001*(26.79/38.29)</f>
        <v>6.9966048576651863E-3</v>
      </c>
    </row>
    <row r="2002" spans="1:8" x14ac:dyDescent="0.25">
      <c r="A2002" s="1">
        <v>1997</v>
      </c>
      <c r="B2002" s="1" t="s">
        <v>99</v>
      </c>
      <c r="C2002" t="s">
        <v>51</v>
      </c>
      <c r="D2002">
        <v>1</v>
      </c>
      <c r="E2002">
        <v>78</v>
      </c>
      <c r="F2002">
        <v>0.04</v>
      </c>
      <c r="G2002">
        <f>(F2002/0.6)/5</f>
        <v>1.3333333333333332E-2</v>
      </c>
      <c r="H2002">
        <f>G2002*(26.79/38.29)</f>
        <v>9.3288064768869139E-3</v>
      </c>
    </row>
    <row r="2003" spans="1:8" x14ac:dyDescent="0.25">
      <c r="A2003" s="1">
        <v>1997</v>
      </c>
      <c r="B2003" s="1" t="s">
        <v>99</v>
      </c>
      <c r="C2003" t="s">
        <v>51</v>
      </c>
      <c r="D2003">
        <v>1</v>
      </c>
      <c r="E2003">
        <v>78</v>
      </c>
      <c r="F2003">
        <v>0.03</v>
      </c>
      <c r="G2003">
        <f>(F2003/0.6)/5</f>
        <v>0.01</v>
      </c>
      <c r="H2003">
        <f>G2003*(26.79/38.29)</f>
        <v>6.9966048576651863E-3</v>
      </c>
    </row>
    <row r="2004" spans="1:8" x14ac:dyDescent="0.25">
      <c r="A2004" s="1">
        <v>1997</v>
      </c>
      <c r="B2004" s="1" t="s">
        <v>99</v>
      </c>
      <c r="C2004" t="s">
        <v>51</v>
      </c>
      <c r="D2004">
        <v>1</v>
      </c>
      <c r="E2004">
        <v>79</v>
      </c>
      <c r="F2004">
        <v>0.45</v>
      </c>
      <c r="G2004">
        <f>(F2004/0.6)/5</f>
        <v>0.15</v>
      </c>
      <c r="H2004">
        <f>G2004*(26.79/38.29)</f>
        <v>0.10494907286497779</v>
      </c>
    </row>
    <row r="2005" spans="1:8" x14ac:dyDescent="0.25">
      <c r="A2005" s="1">
        <v>1997</v>
      </c>
      <c r="B2005" s="1" t="s">
        <v>99</v>
      </c>
      <c r="C2005" t="s">
        <v>51</v>
      </c>
      <c r="D2005">
        <v>1</v>
      </c>
      <c r="E2005">
        <v>79</v>
      </c>
      <c r="F2005">
        <v>0.14000000000000001</v>
      </c>
      <c r="G2005">
        <f>(F2005/0.6)/5</f>
        <v>4.6666666666666676E-2</v>
      </c>
      <c r="H2005">
        <f>G2005*(26.79/38.29)</f>
        <v>3.2650822669104206E-2</v>
      </c>
    </row>
    <row r="2006" spans="1:8" x14ac:dyDescent="0.25">
      <c r="A2006" s="1">
        <v>1997</v>
      </c>
      <c r="B2006" s="1" t="s">
        <v>99</v>
      </c>
      <c r="C2006" t="s">
        <v>51</v>
      </c>
      <c r="D2006">
        <v>1</v>
      </c>
      <c r="E2006">
        <v>79</v>
      </c>
      <c r="F2006">
        <v>0.1</v>
      </c>
      <c r="G2006">
        <f>(F2006/0.6)/5</f>
        <v>3.333333333333334E-2</v>
      </c>
      <c r="H2006">
        <f>G2006*(26.79/38.29)</f>
        <v>2.3322016192217292E-2</v>
      </c>
    </row>
    <row r="2007" spans="1:8" x14ac:dyDescent="0.25">
      <c r="A2007" s="1">
        <v>1997</v>
      </c>
      <c r="B2007" s="1" t="s">
        <v>99</v>
      </c>
      <c r="C2007" t="s">
        <v>51</v>
      </c>
      <c r="D2007">
        <v>1</v>
      </c>
      <c r="E2007">
        <v>79</v>
      </c>
      <c r="F2007">
        <v>0.43</v>
      </c>
      <c r="G2007">
        <f>(F2007/0.6)/5</f>
        <v>0.14333333333333334</v>
      </c>
      <c r="H2007">
        <f>G2007*(26.79/38.29)</f>
        <v>0.10028466962653435</v>
      </c>
    </row>
    <row r="2008" spans="1:8" x14ac:dyDescent="0.25">
      <c r="A2008" s="1">
        <v>1997</v>
      </c>
      <c r="B2008" s="1" t="s">
        <v>99</v>
      </c>
      <c r="C2008" t="s">
        <v>51</v>
      </c>
      <c r="D2008">
        <v>1</v>
      </c>
      <c r="E2008">
        <v>79</v>
      </c>
      <c r="F2008">
        <v>0.15</v>
      </c>
      <c r="G2008">
        <f>(F2008/0.6)/5</f>
        <v>0.05</v>
      </c>
      <c r="H2008">
        <f>G2008*(26.79/38.29)</f>
        <v>3.4983024288325934E-2</v>
      </c>
    </row>
    <row r="2009" spans="1:8" x14ac:dyDescent="0.25">
      <c r="A2009" s="1">
        <v>1997</v>
      </c>
      <c r="B2009" s="1" t="s">
        <v>99</v>
      </c>
      <c r="C2009" t="s">
        <v>51</v>
      </c>
      <c r="D2009">
        <v>1</v>
      </c>
      <c r="E2009">
        <v>79</v>
      </c>
      <c r="F2009">
        <v>0.95</v>
      </c>
      <c r="G2009">
        <f>(F2009/0.6)/5</f>
        <v>0.31666666666666665</v>
      </c>
      <c r="H2009">
        <f>G2009*(26.79/38.29)</f>
        <v>0.22155915382606423</v>
      </c>
    </row>
    <row r="2010" spans="1:8" x14ac:dyDescent="0.25">
      <c r="A2010" s="1">
        <v>1997</v>
      </c>
      <c r="B2010" s="1" t="s">
        <v>99</v>
      </c>
      <c r="C2010" t="s">
        <v>51</v>
      </c>
      <c r="D2010">
        <v>1</v>
      </c>
      <c r="E2010">
        <v>79</v>
      </c>
      <c r="F2010">
        <v>0.87</v>
      </c>
      <c r="G2010">
        <f>(F2010/0.6)/5</f>
        <v>0.28999999999999998</v>
      </c>
      <c r="H2010">
        <f>G2010*(26.79/38.29)</f>
        <v>0.2029015408722904</v>
      </c>
    </row>
    <row r="2011" spans="1:8" x14ac:dyDescent="0.25">
      <c r="A2011" s="1">
        <v>1997</v>
      </c>
      <c r="B2011" s="1" t="s">
        <v>99</v>
      </c>
      <c r="C2011" t="s">
        <v>51</v>
      </c>
      <c r="D2011">
        <v>1</v>
      </c>
      <c r="E2011">
        <v>79</v>
      </c>
      <c r="F2011">
        <v>0.05</v>
      </c>
      <c r="G2011">
        <f>(F2011/0.6)/5</f>
        <v>1.666666666666667E-2</v>
      </c>
      <c r="H2011">
        <f>G2011*(26.79/38.29)</f>
        <v>1.1661008096108646E-2</v>
      </c>
    </row>
    <row r="2012" spans="1:8" x14ac:dyDescent="0.25">
      <c r="A2012" s="1">
        <v>1997</v>
      </c>
      <c r="B2012" s="1" t="s">
        <v>99</v>
      </c>
      <c r="C2012" t="s">
        <v>51</v>
      </c>
      <c r="D2012">
        <v>1</v>
      </c>
      <c r="E2012">
        <v>79</v>
      </c>
      <c r="F2012">
        <v>0.1</v>
      </c>
      <c r="G2012">
        <f>(F2012/0.6)/5</f>
        <v>3.333333333333334E-2</v>
      </c>
      <c r="H2012">
        <f>G2012*(26.79/38.29)</f>
        <v>2.3322016192217292E-2</v>
      </c>
    </row>
    <row r="2013" spans="1:8" x14ac:dyDescent="0.25">
      <c r="A2013" s="1">
        <v>1997</v>
      </c>
      <c r="B2013" s="1" t="s">
        <v>99</v>
      </c>
      <c r="C2013" t="s">
        <v>51</v>
      </c>
      <c r="D2013">
        <v>1</v>
      </c>
      <c r="E2013">
        <v>79</v>
      </c>
      <c r="F2013">
        <v>0.18</v>
      </c>
      <c r="G2013">
        <f>(F2013/0.6)/5</f>
        <v>0.06</v>
      </c>
      <c r="H2013">
        <f>G2013*(26.79/38.29)</f>
        <v>4.1979629145991113E-2</v>
      </c>
    </row>
    <row r="2014" spans="1:8" x14ac:dyDescent="0.25">
      <c r="A2014" s="1">
        <v>1997</v>
      </c>
      <c r="B2014" s="1" t="s">
        <v>99</v>
      </c>
      <c r="C2014" t="s">
        <v>51</v>
      </c>
      <c r="D2014">
        <v>1</v>
      </c>
      <c r="E2014">
        <v>79</v>
      </c>
      <c r="F2014">
        <v>0.21</v>
      </c>
      <c r="G2014">
        <f>(F2014/0.6)/5</f>
        <v>6.9999999999999993E-2</v>
      </c>
      <c r="H2014">
        <f>G2014*(26.79/38.29)</f>
        <v>4.8976234003656298E-2</v>
      </c>
    </row>
    <row r="2015" spans="1:8" x14ac:dyDescent="0.25">
      <c r="A2015" s="1">
        <v>1997</v>
      </c>
      <c r="B2015" s="1" t="s">
        <v>99</v>
      </c>
      <c r="C2015" t="s">
        <v>51</v>
      </c>
      <c r="D2015">
        <v>1</v>
      </c>
      <c r="E2015">
        <v>79</v>
      </c>
      <c r="F2015">
        <v>0.11</v>
      </c>
      <c r="G2015">
        <f>(F2015/0.6)/5</f>
        <v>3.6666666666666667E-2</v>
      </c>
      <c r="H2015">
        <f>G2015*(26.79/38.29)</f>
        <v>2.5654217811439017E-2</v>
      </c>
    </row>
    <row r="2016" spans="1:8" x14ac:dyDescent="0.25">
      <c r="A2016" s="1">
        <v>1997</v>
      </c>
      <c r="B2016" s="1" t="s">
        <v>99</v>
      </c>
      <c r="C2016" t="s">
        <v>51</v>
      </c>
      <c r="D2016">
        <v>1</v>
      </c>
      <c r="E2016">
        <v>79</v>
      </c>
      <c r="F2016">
        <v>0.88</v>
      </c>
      <c r="G2016">
        <f>(F2016/0.6)/5</f>
        <v>0.29333333333333333</v>
      </c>
      <c r="H2016">
        <f>G2016*(26.79/38.29)</f>
        <v>0.20523374249151213</v>
      </c>
    </row>
    <row r="2017" spans="1:8" x14ac:dyDescent="0.25">
      <c r="A2017" s="1">
        <v>1997</v>
      </c>
      <c r="B2017" s="1" t="s">
        <v>99</v>
      </c>
      <c r="C2017" t="s">
        <v>51</v>
      </c>
      <c r="D2017">
        <v>1</v>
      </c>
      <c r="E2017">
        <v>79</v>
      </c>
      <c r="F2017">
        <v>0.65</v>
      </c>
      <c r="G2017">
        <f>(F2017/0.6)/5</f>
        <v>0.2166666666666667</v>
      </c>
      <c r="H2017">
        <f>G2017*(26.79/38.29)</f>
        <v>0.15159310524941239</v>
      </c>
    </row>
    <row r="2018" spans="1:8" x14ac:dyDescent="0.25">
      <c r="A2018" s="1">
        <v>1997</v>
      </c>
      <c r="B2018" s="1" t="s">
        <v>99</v>
      </c>
      <c r="C2018" t="s">
        <v>51</v>
      </c>
      <c r="D2018">
        <v>1</v>
      </c>
      <c r="E2018">
        <v>79</v>
      </c>
      <c r="F2018">
        <v>0.14000000000000001</v>
      </c>
      <c r="G2018">
        <f>(F2018/0.6)/5</f>
        <v>4.6666666666666676E-2</v>
      </c>
      <c r="H2018">
        <f>G2018*(26.79/38.29)</f>
        <v>3.2650822669104206E-2</v>
      </c>
    </row>
    <row r="2019" spans="1:8" x14ac:dyDescent="0.25">
      <c r="A2019" s="1">
        <v>1997</v>
      </c>
      <c r="B2019" s="1" t="s">
        <v>99</v>
      </c>
      <c r="C2019" t="s">
        <v>51</v>
      </c>
      <c r="D2019">
        <v>1</v>
      </c>
      <c r="E2019">
        <v>79</v>
      </c>
      <c r="F2019">
        <v>1.47</v>
      </c>
      <c r="G2019">
        <f>(F2019/0.6)/5</f>
        <v>0.49000000000000005</v>
      </c>
      <c r="H2019">
        <f>G2019*(26.79/38.29)</f>
        <v>0.34283363802559413</v>
      </c>
    </row>
    <row r="2020" spans="1:8" x14ac:dyDescent="0.25">
      <c r="A2020" s="1">
        <v>1997</v>
      </c>
      <c r="B2020" s="1" t="s">
        <v>99</v>
      </c>
      <c r="C2020" t="s">
        <v>51</v>
      </c>
      <c r="D2020">
        <v>1</v>
      </c>
      <c r="E2020">
        <v>79</v>
      </c>
      <c r="F2020">
        <v>0.27</v>
      </c>
      <c r="G2020">
        <f>(F2020/0.6)/5</f>
        <v>9.0000000000000011E-2</v>
      </c>
      <c r="H2020">
        <f>G2020*(26.79/38.29)</f>
        <v>6.296944371898669E-2</v>
      </c>
    </row>
    <row r="2021" spans="1:8" x14ac:dyDescent="0.25">
      <c r="A2021" s="1">
        <v>1997</v>
      </c>
      <c r="B2021" s="1" t="s">
        <v>99</v>
      </c>
      <c r="C2021" t="s">
        <v>51</v>
      </c>
      <c r="D2021">
        <v>1</v>
      </c>
      <c r="E2021">
        <v>79</v>
      </c>
      <c r="F2021">
        <v>0.71</v>
      </c>
      <c r="G2021">
        <f>(F2021/0.6)/5</f>
        <v>0.23666666666666666</v>
      </c>
      <c r="H2021">
        <f>G2021*(26.79/38.29)</f>
        <v>0.16558631496474274</v>
      </c>
    </row>
    <row r="2022" spans="1:8" x14ac:dyDescent="0.25">
      <c r="A2022" s="1">
        <v>1997</v>
      </c>
      <c r="B2022" s="1" t="s">
        <v>99</v>
      </c>
      <c r="C2022" t="s">
        <v>51</v>
      </c>
      <c r="D2022">
        <v>1</v>
      </c>
      <c r="E2022">
        <v>79</v>
      </c>
      <c r="F2022">
        <v>0.72</v>
      </c>
      <c r="G2022">
        <f>(F2022/0.6)/5</f>
        <v>0.24</v>
      </c>
      <c r="H2022">
        <f>G2022*(26.79/38.29)</f>
        <v>0.16791851658396445</v>
      </c>
    </row>
    <row r="2023" spans="1:8" x14ac:dyDescent="0.25">
      <c r="A2023" s="1">
        <v>1997</v>
      </c>
      <c r="B2023" s="1" t="s">
        <v>99</v>
      </c>
      <c r="C2023" t="s">
        <v>51</v>
      </c>
      <c r="D2023">
        <v>1</v>
      </c>
      <c r="E2023">
        <v>79</v>
      </c>
      <c r="F2023">
        <v>0.17</v>
      </c>
      <c r="G2023">
        <f>(F2023/0.6)/5</f>
        <v>5.6666666666666678E-2</v>
      </c>
      <c r="H2023">
        <f>G2023*(26.79/38.29)</f>
        <v>3.9647427526769398E-2</v>
      </c>
    </row>
    <row r="2024" spans="1:8" x14ac:dyDescent="0.25">
      <c r="A2024" s="1">
        <v>1997</v>
      </c>
      <c r="B2024" s="1" t="s">
        <v>99</v>
      </c>
      <c r="C2024" t="s">
        <v>51</v>
      </c>
      <c r="D2024">
        <v>1</v>
      </c>
      <c r="E2024">
        <v>79</v>
      </c>
      <c r="F2024">
        <v>1.18</v>
      </c>
      <c r="G2024">
        <f>(F2024/0.6)/5</f>
        <v>0.39333333333333331</v>
      </c>
      <c r="H2024">
        <f>G2024*(26.79/38.29)</f>
        <v>0.275199791068164</v>
      </c>
    </row>
    <row r="2025" spans="1:8" x14ac:dyDescent="0.25">
      <c r="A2025" s="1">
        <v>1997</v>
      </c>
      <c r="B2025" s="1" t="s">
        <v>99</v>
      </c>
      <c r="C2025" t="s">
        <v>51</v>
      </c>
      <c r="D2025">
        <v>1</v>
      </c>
      <c r="E2025">
        <v>79</v>
      </c>
      <c r="F2025">
        <v>0.88</v>
      </c>
      <c r="G2025">
        <f>(F2025/0.6)/5</f>
        <v>0.29333333333333333</v>
      </c>
      <c r="H2025">
        <f>G2025*(26.79/38.29)</f>
        <v>0.20523374249151213</v>
      </c>
    </row>
    <row r="2026" spans="1:8" x14ac:dyDescent="0.25">
      <c r="A2026" s="1">
        <v>1997</v>
      </c>
      <c r="B2026" s="1" t="s">
        <v>99</v>
      </c>
      <c r="C2026" t="s">
        <v>51</v>
      </c>
      <c r="D2026">
        <v>1</v>
      </c>
      <c r="E2026">
        <v>79</v>
      </c>
      <c r="F2026">
        <v>0.28000000000000003</v>
      </c>
      <c r="G2026">
        <f>(F2026/0.6)/5</f>
        <v>9.3333333333333351E-2</v>
      </c>
      <c r="H2026">
        <f>G2026*(26.79/38.29)</f>
        <v>6.5301645338208411E-2</v>
      </c>
    </row>
    <row r="2027" spans="1:8" x14ac:dyDescent="0.25">
      <c r="A2027" s="1">
        <v>1997</v>
      </c>
      <c r="B2027" s="1" t="s">
        <v>99</v>
      </c>
      <c r="C2027" t="s">
        <v>51</v>
      </c>
      <c r="D2027">
        <v>1</v>
      </c>
      <c r="E2027">
        <v>86</v>
      </c>
      <c r="F2027">
        <v>0.04</v>
      </c>
      <c r="G2027">
        <f>(F2027/0.6)/5</f>
        <v>1.3333333333333332E-2</v>
      </c>
      <c r="H2027">
        <f>G2027*(26.79/38.29)</f>
        <v>9.3288064768869139E-3</v>
      </c>
    </row>
    <row r="2028" spans="1:8" x14ac:dyDescent="0.25">
      <c r="A2028" s="1">
        <v>1997</v>
      </c>
      <c r="B2028" s="1" t="s">
        <v>99</v>
      </c>
      <c r="C2028" t="s">
        <v>51</v>
      </c>
      <c r="D2028">
        <v>1</v>
      </c>
      <c r="E2028">
        <v>91</v>
      </c>
      <c r="F2028">
        <v>0.2</v>
      </c>
      <c r="G2028">
        <f>(F2028/0.6)/5</f>
        <v>6.666666666666668E-2</v>
      </c>
      <c r="H2028">
        <f>G2028*(26.79/38.29)</f>
        <v>4.6644032384434583E-2</v>
      </c>
    </row>
    <row r="2029" spans="1:8" x14ac:dyDescent="0.25">
      <c r="A2029" s="1">
        <v>1997</v>
      </c>
      <c r="B2029" s="1" t="s">
        <v>99</v>
      </c>
      <c r="C2029" t="s">
        <v>51</v>
      </c>
      <c r="D2029">
        <v>1</v>
      </c>
      <c r="E2029">
        <v>91</v>
      </c>
      <c r="F2029">
        <v>0.45</v>
      </c>
      <c r="G2029">
        <f>(F2029/0.6)/5</f>
        <v>0.15</v>
      </c>
      <c r="H2029">
        <f>G2029*(26.79/38.29)</f>
        <v>0.10494907286497779</v>
      </c>
    </row>
    <row r="2030" spans="1:8" x14ac:dyDescent="0.25">
      <c r="A2030" s="1">
        <v>1997</v>
      </c>
      <c r="B2030" s="1" t="s">
        <v>99</v>
      </c>
      <c r="C2030" t="s">
        <v>51</v>
      </c>
      <c r="D2030">
        <v>1</v>
      </c>
      <c r="E2030">
        <v>91</v>
      </c>
      <c r="F2030">
        <v>0.45</v>
      </c>
      <c r="G2030">
        <f>(F2030/0.6)/5</f>
        <v>0.15</v>
      </c>
      <c r="H2030">
        <f>G2030*(26.79/38.29)</f>
        <v>0.10494907286497779</v>
      </c>
    </row>
    <row r="2031" spans="1:8" x14ac:dyDescent="0.25">
      <c r="A2031" s="1">
        <v>1997</v>
      </c>
      <c r="B2031" s="1" t="s">
        <v>99</v>
      </c>
      <c r="C2031" t="s">
        <v>51</v>
      </c>
      <c r="D2031">
        <v>1</v>
      </c>
      <c r="E2031">
        <v>91</v>
      </c>
      <c r="F2031">
        <v>0.18</v>
      </c>
      <c r="G2031">
        <f>(F2031/0.6)/5</f>
        <v>0.06</v>
      </c>
      <c r="H2031">
        <f>G2031*(26.79/38.29)</f>
        <v>4.1979629145991113E-2</v>
      </c>
    </row>
    <row r="2032" spans="1:8" x14ac:dyDescent="0.25">
      <c r="A2032" s="1">
        <v>1997</v>
      </c>
      <c r="B2032" s="1" t="s">
        <v>99</v>
      </c>
      <c r="C2032" t="s">
        <v>51</v>
      </c>
      <c r="D2032">
        <v>1</v>
      </c>
      <c r="E2032">
        <v>91</v>
      </c>
      <c r="F2032">
        <v>0.22</v>
      </c>
      <c r="G2032">
        <f>(F2032/0.6)/5</f>
        <v>7.3333333333333334E-2</v>
      </c>
      <c r="H2032">
        <f>G2032*(26.79/38.29)</f>
        <v>5.1308435622878033E-2</v>
      </c>
    </row>
    <row r="2033" spans="1:8" x14ac:dyDescent="0.25">
      <c r="A2033" s="1">
        <v>1997</v>
      </c>
      <c r="B2033" s="1" t="s">
        <v>99</v>
      </c>
      <c r="C2033" t="s">
        <v>51</v>
      </c>
      <c r="D2033">
        <v>1</v>
      </c>
      <c r="E2033">
        <v>91</v>
      </c>
      <c r="F2033">
        <v>1.28</v>
      </c>
      <c r="G2033">
        <f>(F2033/0.6)/5</f>
        <v>0.42666666666666664</v>
      </c>
      <c r="H2033">
        <f>G2033*(26.79/38.29)</f>
        <v>0.29852180726038124</v>
      </c>
    </row>
    <row r="2034" spans="1:8" x14ac:dyDescent="0.25">
      <c r="A2034" s="1">
        <v>1997</v>
      </c>
      <c r="B2034" s="1" t="s">
        <v>99</v>
      </c>
      <c r="C2034" t="s">
        <v>51</v>
      </c>
      <c r="D2034">
        <v>1</v>
      </c>
      <c r="E2034">
        <v>91</v>
      </c>
      <c r="F2034">
        <v>0.11</v>
      </c>
      <c r="G2034">
        <f>(F2034/0.6)/5</f>
        <v>3.6666666666666667E-2</v>
      </c>
      <c r="H2034">
        <f>G2034*(26.79/38.29)</f>
        <v>2.5654217811439017E-2</v>
      </c>
    </row>
    <row r="2035" spans="1:8" x14ac:dyDescent="0.25">
      <c r="A2035" s="1">
        <v>1997</v>
      </c>
      <c r="B2035" s="1" t="s">
        <v>99</v>
      </c>
      <c r="C2035" t="s">
        <v>51</v>
      </c>
      <c r="D2035">
        <v>2</v>
      </c>
      <c r="E2035">
        <v>21</v>
      </c>
      <c r="F2035">
        <v>0.04</v>
      </c>
      <c r="G2035">
        <f>(F2035/0.6)/5</f>
        <v>1.3333333333333332E-2</v>
      </c>
      <c r="H2035">
        <f>G2035*(26.79/38.29)</f>
        <v>9.3288064768869139E-3</v>
      </c>
    </row>
    <row r="2036" spans="1:8" x14ac:dyDescent="0.25">
      <c r="A2036" s="1">
        <v>1997</v>
      </c>
      <c r="B2036" s="1" t="s">
        <v>99</v>
      </c>
      <c r="C2036" t="s">
        <v>51</v>
      </c>
      <c r="D2036">
        <v>2</v>
      </c>
      <c r="E2036">
        <v>29</v>
      </c>
      <c r="F2036">
        <v>0.67</v>
      </c>
      <c r="G2036">
        <f>(F2036/0.6)/5</f>
        <v>0.22333333333333333</v>
      </c>
      <c r="H2036">
        <f>G2036*(26.79/38.29)</f>
        <v>0.15625750848785583</v>
      </c>
    </row>
    <row r="2037" spans="1:8" x14ac:dyDescent="0.25">
      <c r="A2037" s="1">
        <v>1997</v>
      </c>
      <c r="B2037" s="1" t="s">
        <v>99</v>
      </c>
      <c r="C2037" t="s">
        <v>51</v>
      </c>
      <c r="D2037">
        <v>2</v>
      </c>
      <c r="E2037">
        <v>29</v>
      </c>
      <c r="F2037">
        <v>0.81</v>
      </c>
      <c r="G2037">
        <f>(F2037/0.6)/5</f>
        <v>0.27</v>
      </c>
      <c r="H2037">
        <f>G2037*(26.79/38.29)</f>
        <v>0.18890833115696004</v>
      </c>
    </row>
    <row r="2038" spans="1:8" x14ac:dyDescent="0.25">
      <c r="A2038" s="1">
        <v>1997</v>
      </c>
      <c r="B2038" s="1" t="s">
        <v>99</v>
      </c>
      <c r="C2038" t="s">
        <v>51</v>
      </c>
      <c r="D2038">
        <v>2</v>
      </c>
      <c r="E2038">
        <v>29</v>
      </c>
      <c r="F2038">
        <v>0.12</v>
      </c>
      <c r="G2038">
        <f>(F2038/0.6)/5</f>
        <v>0.04</v>
      </c>
      <c r="H2038">
        <f>G2038*(26.79/38.29)</f>
        <v>2.7986419430660745E-2</v>
      </c>
    </row>
    <row r="2039" spans="1:8" x14ac:dyDescent="0.25">
      <c r="A2039" s="1">
        <v>1997</v>
      </c>
      <c r="B2039" s="1" t="s">
        <v>99</v>
      </c>
      <c r="C2039" t="s">
        <v>51</v>
      </c>
      <c r="D2039">
        <v>2</v>
      </c>
      <c r="E2039">
        <v>29</v>
      </c>
      <c r="F2039">
        <v>0.03</v>
      </c>
      <c r="G2039">
        <f>(F2039/0.6)/5</f>
        <v>0.01</v>
      </c>
      <c r="H2039">
        <f>G2039*(26.79/38.29)</f>
        <v>6.9966048576651863E-3</v>
      </c>
    </row>
    <row r="2040" spans="1:8" x14ac:dyDescent="0.25">
      <c r="A2040" s="1">
        <v>1997</v>
      </c>
      <c r="B2040" s="1" t="s">
        <v>99</v>
      </c>
      <c r="C2040" t="s">
        <v>51</v>
      </c>
      <c r="D2040">
        <v>2</v>
      </c>
      <c r="E2040">
        <v>29</v>
      </c>
      <c r="F2040">
        <v>0.04</v>
      </c>
      <c r="G2040">
        <f>(F2040/0.6)/5</f>
        <v>1.3333333333333332E-2</v>
      </c>
      <c r="H2040">
        <f>G2040*(26.79/38.29)</f>
        <v>9.3288064768869139E-3</v>
      </c>
    </row>
    <row r="2041" spans="1:8" x14ac:dyDescent="0.25">
      <c r="A2041" s="1">
        <v>1997</v>
      </c>
      <c r="B2041" s="1" t="s">
        <v>99</v>
      </c>
      <c r="C2041" t="s">
        <v>51</v>
      </c>
      <c r="D2041">
        <v>2</v>
      </c>
      <c r="E2041">
        <v>29</v>
      </c>
      <c r="F2041">
        <v>0.04</v>
      </c>
      <c r="G2041">
        <f>(F2041/0.6)/5</f>
        <v>1.3333333333333332E-2</v>
      </c>
      <c r="H2041">
        <f>G2041*(26.79/38.29)</f>
        <v>9.3288064768869139E-3</v>
      </c>
    </row>
    <row r="2042" spans="1:8" x14ac:dyDescent="0.25">
      <c r="A2042" s="1">
        <v>1997</v>
      </c>
      <c r="B2042" s="1" t="s">
        <v>99</v>
      </c>
      <c r="C2042" t="s">
        <v>51</v>
      </c>
      <c r="D2042">
        <v>2</v>
      </c>
      <c r="E2042">
        <v>32</v>
      </c>
      <c r="F2042">
        <v>0.04</v>
      </c>
      <c r="G2042">
        <f>(F2042/0.6)/5</f>
        <v>1.3333333333333332E-2</v>
      </c>
      <c r="H2042">
        <f>G2042*(26.79/38.29)</f>
        <v>9.3288064768869139E-3</v>
      </c>
    </row>
    <row r="2043" spans="1:8" x14ac:dyDescent="0.25">
      <c r="A2043" s="1">
        <v>1997</v>
      </c>
      <c r="B2043" s="1" t="s">
        <v>99</v>
      </c>
      <c r="C2043" t="s">
        <v>51</v>
      </c>
      <c r="D2043">
        <v>2</v>
      </c>
      <c r="E2043">
        <v>32</v>
      </c>
      <c r="F2043">
        <v>0.04</v>
      </c>
      <c r="G2043">
        <f>(F2043/0.6)/5</f>
        <v>1.3333333333333332E-2</v>
      </c>
      <c r="H2043">
        <f>G2043*(26.79/38.29)</f>
        <v>9.3288064768869139E-3</v>
      </c>
    </row>
    <row r="2044" spans="1:8" x14ac:dyDescent="0.25">
      <c r="A2044" s="1">
        <v>1997</v>
      </c>
      <c r="B2044" s="1" t="s">
        <v>99</v>
      </c>
      <c r="C2044" t="s">
        <v>51</v>
      </c>
      <c r="D2044">
        <v>2</v>
      </c>
      <c r="E2044">
        <v>32</v>
      </c>
      <c r="F2044">
        <v>0.03</v>
      </c>
      <c r="G2044">
        <f>(F2044/0.6)/5</f>
        <v>0.01</v>
      </c>
      <c r="H2044">
        <f>G2044*(26.79/38.29)</f>
        <v>6.9966048576651863E-3</v>
      </c>
    </row>
    <row r="2045" spans="1:8" x14ac:dyDescent="0.25">
      <c r="A2045" s="1">
        <v>1997</v>
      </c>
      <c r="B2045" s="1" t="s">
        <v>99</v>
      </c>
      <c r="C2045" t="s">
        <v>51</v>
      </c>
      <c r="D2045">
        <v>2</v>
      </c>
      <c r="E2045">
        <v>32</v>
      </c>
      <c r="F2045">
        <v>0.16</v>
      </c>
      <c r="G2045">
        <f>(F2045/0.6)/5</f>
        <v>5.333333333333333E-2</v>
      </c>
      <c r="H2045">
        <f>G2045*(26.79/38.29)</f>
        <v>3.7315225907547656E-2</v>
      </c>
    </row>
    <row r="2046" spans="1:8" x14ac:dyDescent="0.25">
      <c r="A2046" s="1">
        <v>1997</v>
      </c>
      <c r="B2046" s="1" t="s">
        <v>99</v>
      </c>
      <c r="C2046" t="s">
        <v>51</v>
      </c>
      <c r="D2046">
        <v>2</v>
      </c>
      <c r="E2046">
        <v>32</v>
      </c>
      <c r="F2046">
        <v>0.04</v>
      </c>
      <c r="G2046">
        <f>(F2046/0.6)/5</f>
        <v>1.3333333333333332E-2</v>
      </c>
      <c r="H2046">
        <f>G2046*(26.79/38.29)</f>
        <v>9.3288064768869139E-3</v>
      </c>
    </row>
    <row r="2047" spans="1:8" x14ac:dyDescent="0.25">
      <c r="A2047" s="1">
        <v>1997</v>
      </c>
      <c r="B2047" s="1" t="s">
        <v>99</v>
      </c>
      <c r="C2047" t="s">
        <v>51</v>
      </c>
      <c r="D2047">
        <v>2</v>
      </c>
      <c r="E2047">
        <v>32</v>
      </c>
      <c r="F2047">
        <v>0.15</v>
      </c>
      <c r="G2047">
        <f>(F2047/0.6)/5</f>
        <v>0.05</v>
      </c>
      <c r="H2047">
        <f>G2047*(26.79/38.29)</f>
        <v>3.4983024288325934E-2</v>
      </c>
    </row>
    <row r="2048" spans="1:8" x14ac:dyDescent="0.25">
      <c r="A2048" s="1">
        <v>1997</v>
      </c>
      <c r="B2048" s="1" t="s">
        <v>99</v>
      </c>
      <c r="C2048" t="s">
        <v>51</v>
      </c>
      <c r="D2048">
        <v>2</v>
      </c>
      <c r="E2048">
        <v>32</v>
      </c>
      <c r="F2048">
        <v>0.17</v>
      </c>
      <c r="G2048">
        <f>(F2048/0.6)/5</f>
        <v>5.6666666666666678E-2</v>
      </c>
      <c r="H2048">
        <f>G2048*(26.79/38.29)</f>
        <v>3.9647427526769398E-2</v>
      </c>
    </row>
    <row r="2049" spans="1:8" x14ac:dyDescent="0.25">
      <c r="A2049" s="1">
        <v>1997</v>
      </c>
      <c r="B2049" s="1" t="s">
        <v>99</v>
      </c>
      <c r="C2049" t="s">
        <v>51</v>
      </c>
      <c r="D2049">
        <v>2</v>
      </c>
      <c r="E2049">
        <v>32</v>
      </c>
      <c r="F2049">
        <v>0.16</v>
      </c>
      <c r="G2049">
        <f>(F2049/0.6)/5</f>
        <v>5.333333333333333E-2</v>
      </c>
      <c r="H2049">
        <f>G2049*(26.79/38.29)</f>
        <v>3.7315225907547656E-2</v>
      </c>
    </row>
    <row r="2050" spans="1:8" x14ac:dyDescent="0.25">
      <c r="A2050" s="1">
        <v>1997</v>
      </c>
      <c r="B2050" s="1" t="s">
        <v>99</v>
      </c>
      <c r="C2050" t="s">
        <v>51</v>
      </c>
      <c r="D2050">
        <v>2</v>
      </c>
      <c r="E2050">
        <v>32</v>
      </c>
      <c r="F2050">
        <v>0.15</v>
      </c>
      <c r="G2050">
        <f>(F2050/0.6)/5</f>
        <v>0.05</v>
      </c>
      <c r="H2050">
        <f>G2050*(26.79/38.29)</f>
        <v>3.4983024288325934E-2</v>
      </c>
    </row>
    <row r="2051" spans="1:8" x14ac:dyDescent="0.25">
      <c r="A2051" s="1">
        <v>1997</v>
      </c>
      <c r="B2051" s="1" t="s">
        <v>99</v>
      </c>
      <c r="C2051" t="s">
        <v>51</v>
      </c>
      <c r="D2051">
        <v>2</v>
      </c>
      <c r="E2051">
        <v>32</v>
      </c>
      <c r="F2051">
        <v>0.04</v>
      </c>
      <c r="G2051">
        <f>(F2051/0.6)/5</f>
        <v>1.3333333333333332E-2</v>
      </c>
      <c r="H2051">
        <f>G2051*(26.79/38.29)</f>
        <v>9.3288064768869139E-3</v>
      </c>
    </row>
    <row r="2052" spans="1:8" x14ac:dyDescent="0.25">
      <c r="A2052" s="1">
        <v>1997</v>
      </c>
      <c r="B2052" s="1" t="s">
        <v>99</v>
      </c>
      <c r="C2052" t="s">
        <v>51</v>
      </c>
      <c r="D2052">
        <v>2</v>
      </c>
      <c r="E2052">
        <v>32</v>
      </c>
      <c r="F2052">
        <v>0.05</v>
      </c>
      <c r="G2052">
        <f>(F2052/0.6)/5</f>
        <v>1.666666666666667E-2</v>
      </c>
      <c r="H2052">
        <f>G2052*(26.79/38.29)</f>
        <v>1.1661008096108646E-2</v>
      </c>
    </row>
    <row r="2053" spans="1:8" x14ac:dyDescent="0.25">
      <c r="A2053" s="1">
        <v>1997</v>
      </c>
      <c r="B2053" s="1" t="s">
        <v>99</v>
      </c>
      <c r="C2053" t="s">
        <v>51</v>
      </c>
      <c r="D2053">
        <v>2</v>
      </c>
      <c r="E2053">
        <v>32</v>
      </c>
      <c r="F2053">
        <v>0.11</v>
      </c>
      <c r="G2053">
        <f>(F2053/0.6)/5</f>
        <v>3.6666666666666667E-2</v>
      </c>
      <c r="H2053">
        <f>G2053*(26.79/38.29)</f>
        <v>2.5654217811439017E-2</v>
      </c>
    </row>
    <row r="2054" spans="1:8" x14ac:dyDescent="0.25">
      <c r="A2054" s="1">
        <v>1997</v>
      </c>
      <c r="B2054" s="1" t="s">
        <v>99</v>
      </c>
      <c r="C2054" t="s">
        <v>51</v>
      </c>
      <c r="D2054">
        <v>2</v>
      </c>
      <c r="E2054">
        <v>32</v>
      </c>
      <c r="F2054">
        <v>0.2</v>
      </c>
      <c r="G2054">
        <f>(F2054/0.6)/5</f>
        <v>6.666666666666668E-2</v>
      </c>
      <c r="H2054">
        <f>G2054*(26.79/38.29)</f>
        <v>4.6644032384434583E-2</v>
      </c>
    </row>
    <row r="2055" spans="1:8" x14ac:dyDescent="0.25">
      <c r="A2055" s="1">
        <v>1997</v>
      </c>
      <c r="B2055" s="1" t="s">
        <v>99</v>
      </c>
      <c r="C2055" t="s">
        <v>51</v>
      </c>
      <c r="D2055">
        <v>2</v>
      </c>
      <c r="E2055">
        <v>32</v>
      </c>
      <c r="F2055">
        <v>0.2</v>
      </c>
      <c r="G2055">
        <f>(F2055/0.6)/5</f>
        <v>6.666666666666668E-2</v>
      </c>
      <c r="H2055">
        <f>G2055*(26.79/38.29)</f>
        <v>4.6644032384434583E-2</v>
      </c>
    </row>
    <row r="2056" spans="1:8" x14ac:dyDescent="0.25">
      <c r="A2056" s="1">
        <v>1997</v>
      </c>
      <c r="B2056" s="1" t="s">
        <v>99</v>
      </c>
      <c r="C2056" t="s">
        <v>51</v>
      </c>
      <c r="D2056">
        <v>2</v>
      </c>
      <c r="E2056">
        <v>32</v>
      </c>
      <c r="F2056">
        <v>0.2</v>
      </c>
      <c r="G2056">
        <f>(F2056/0.6)/5</f>
        <v>6.666666666666668E-2</v>
      </c>
      <c r="H2056">
        <f>G2056*(26.79/38.29)</f>
        <v>4.6644032384434583E-2</v>
      </c>
    </row>
    <row r="2057" spans="1:8" x14ac:dyDescent="0.25">
      <c r="A2057" s="1">
        <v>1997</v>
      </c>
      <c r="B2057" s="1" t="s">
        <v>99</v>
      </c>
      <c r="C2057" t="s">
        <v>51</v>
      </c>
      <c r="D2057">
        <v>2</v>
      </c>
      <c r="E2057">
        <v>32</v>
      </c>
      <c r="F2057">
        <v>0.05</v>
      </c>
      <c r="G2057">
        <f>(F2057/0.6)/5</f>
        <v>1.666666666666667E-2</v>
      </c>
      <c r="H2057">
        <f>G2057*(26.79/38.29)</f>
        <v>1.1661008096108646E-2</v>
      </c>
    </row>
    <row r="2058" spans="1:8" x14ac:dyDescent="0.25">
      <c r="A2058" s="1">
        <v>1997</v>
      </c>
      <c r="B2058" s="1" t="s">
        <v>99</v>
      </c>
      <c r="C2058" t="s">
        <v>51</v>
      </c>
      <c r="D2058">
        <v>2</v>
      </c>
      <c r="E2058">
        <v>32</v>
      </c>
      <c r="F2058">
        <v>0.06</v>
      </c>
      <c r="G2058">
        <f>(F2058/0.6)/5</f>
        <v>0.02</v>
      </c>
      <c r="H2058">
        <f>G2058*(26.79/38.29)</f>
        <v>1.3993209715330373E-2</v>
      </c>
    </row>
    <row r="2059" spans="1:8" x14ac:dyDescent="0.25">
      <c r="A2059" s="1">
        <v>1997</v>
      </c>
      <c r="B2059" s="1" t="s">
        <v>99</v>
      </c>
      <c r="C2059" t="s">
        <v>51</v>
      </c>
      <c r="D2059">
        <v>2</v>
      </c>
      <c r="E2059">
        <v>32</v>
      </c>
      <c r="F2059">
        <v>0.04</v>
      </c>
      <c r="G2059">
        <f>(F2059/0.6)/5</f>
        <v>1.3333333333333332E-2</v>
      </c>
      <c r="H2059">
        <f>G2059*(26.79/38.29)</f>
        <v>9.3288064768869139E-3</v>
      </c>
    </row>
    <row r="2060" spans="1:8" x14ac:dyDescent="0.25">
      <c r="A2060" s="1">
        <v>1997</v>
      </c>
      <c r="B2060" s="1" t="s">
        <v>99</v>
      </c>
      <c r="C2060" t="s">
        <v>51</v>
      </c>
      <c r="D2060">
        <v>2</v>
      </c>
      <c r="E2060">
        <v>32</v>
      </c>
      <c r="F2060">
        <v>0.13</v>
      </c>
      <c r="G2060">
        <f>(F2060/0.6)/5</f>
        <v>4.3333333333333335E-2</v>
      </c>
      <c r="H2060">
        <f>G2060*(26.79/38.29)</f>
        <v>3.0318621049882474E-2</v>
      </c>
    </row>
    <row r="2061" spans="1:8" x14ac:dyDescent="0.25">
      <c r="A2061" s="1">
        <v>1997</v>
      </c>
      <c r="B2061" s="1" t="s">
        <v>99</v>
      </c>
      <c r="C2061" t="s">
        <v>51</v>
      </c>
      <c r="D2061">
        <v>2</v>
      </c>
      <c r="E2061">
        <v>32</v>
      </c>
      <c r="F2061">
        <v>0.05</v>
      </c>
      <c r="G2061">
        <f>(F2061/0.6)/5</f>
        <v>1.666666666666667E-2</v>
      </c>
      <c r="H2061">
        <f>G2061*(26.79/38.29)</f>
        <v>1.1661008096108646E-2</v>
      </c>
    </row>
    <row r="2062" spans="1:8" x14ac:dyDescent="0.25">
      <c r="A2062" s="1">
        <v>1997</v>
      </c>
      <c r="B2062" s="1" t="s">
        <v>99</v>
      </c>
      <c r="C2062" t="s">
        <v>51</v>
      </c>
      <c r="D2062">
        <v>2</v>
      </c>
      <c r="E2062">
        <v>32</v>
      </c>
      <c r="F2062">
        <v>0.05</v>
      </c>
      <c r="G2062">
        <f>(F2062/0.6)/5</f>
        <v>1.666666666666667E-2</v>
      </c>
      <c r="H2062">
        <f>G2062*(26.79/38.29)</f>
        <v>1.1661008096108646E-2</v>
      </c>
    </row>
    <row r="2063" spans="1:8" x14ac:dyDescent="0.25">
      <c r="A2063" s="1">
        <v>1997</v>
      </c>
      <c r="B2063" s="1" t="s">
        <v>99</v>
      </c>
      <c r="C2063" t="s">
        <v>51</v>
      </c>
      <c r="D2063">
        <v>2</v>
      </c>
      <c r="E2063">
        <v>34</v>
      </c>
      <c r="F2063">
        <v>0.81</v>
      </c>
      <c r="G2063">
        <f>(F2063/0.6)/5</f>
        <v>0.27</v>
      </c>
      <c r="H2063">
        <f>G2063*(26.79/38.29)</f>
        <v>0.18890833115696004</v>
      </c>
    </row>
    <row r="2064" spans="1:8" x14ac:dyDescent="0.25">
      <c r="A2064" s="1">
        <v>1997</v>
      </c>
      <c r="B2064" s="1" t="s">
        <v>99</v>
      </c>
      <c r="C2064" t="s">
        <v>51</v>
      </c>
      <c r="D2064">
        <v>2</v>
      </c>
      <c r="E2064">
        <v>34</v>
      </c>
      <c r="F2064">
        <v>0.26</v>
      </c>
      <c r="G2064">
        <f>(F2064/0.6)/5</f>
        <v>8.666666666666667E-2</v>
      </c>
      <c r="H2064">
        <f>G2064*(26.79/38.29)</f>
        <v>6.0637242099764947E-2</v>
      </c>
    </row>
    <row r="2065" spans="1:8" x14ac:dyDescent="0.25">
      <c r="A2065" s="1">
        <v>1997</v>
      </c>
      <c r="B2065" s="1" t="s">
        <v>99</v>
      </c>
      <c r="C2065" t="s">
        <v>51</v>
      </c>
      <c r="D2065">
        <v>2</v>
      </c>
      <c r="E2065">
        <v>34</v>
      </c>
      <c r="F2065">
        <v>0.5</v>
      </c>
      <c r="G2065">
        <f>(F2065/0.6)/5</f>
        <v>0.16666666666666669</v>
      </c>
      <c r="H2065">
        <f>G2065*(26.79/38.29)</f>
        <v>0.11661008096108645</v>
      </c>
    </row>
    <row r="2066" spans="1:8" x14ac:dyDescent="0.25">
      <c r="A2066" s="1">
        <v>1997</v>
      </c>
      <c r="B2066" s="1" t="s">
        <v>99</v>
      </c>
      <c r="C2066" t="s">
        <v>51</v>
      </c>
      <c r="D2066">
        <v>2</v>
      </c>
      <c r="E2066">
        <v>38</v>
      </c>
      <c r="F2066">
        <v>0.79</v>
      </c>
      <c r="G2066">
        <f>(F2066/0.6)/5</f>
        <v>0.26333333333333336</v>
      </c>
      <c r="H2066">
        <f>G2066*(26.79/38.29)</f>
        <v>0.1842439279185166</v>
      </c>
    </row>
    <row r="2067" spans="1:8" x14ac:dyDescent="0.25">
      <c r="A2067" s="1">
        <v>1997</v>
      </c>
      <c r="B2067" s="1" t="s">
        <v>99</v>
      </c>
      <c r="C2067" t="s">
        <v>51</v>
      </c>
      <c r="D2067">
        <v>2</v>
      </c>
      <c r="E2067">
        <v>38</v>
      </c>
      <c r="F2067">
        <v>0.61</v>
      </c>
      <c r="G2067">
        <f>(F2067/0.6)/5</f>
        <v>0.20333333333333331</v>
      </c>
      <c r="H2067">
        <f>G2067*(26.79/38.29)</f>
        <v>0.14226429877252544</v>
      </c>
    </row>
    <row r="2068" spans="1:8" x14ac:dyDescent="0.25">
      <c r="A2068" s="1">
        <v>1997</v>
      </c>
      <c r="B2068" s="1" t="s">
        <v>99</v>
      </c>
      <c r="C2068" t="s">
        <v>51</v>
      </c>
      <c r="D2068">
        <v>2</v>
      </c>
      <c r="E2068">
        <v>38</v>
      </c>
      <c r="F2068">
        <v>1.4</v>
      </c>
      <c r="G2068">
        <f>(F2068/0.6)/5</f>
        <v>0.46666666666666667</v>
      </c>
      <c r="H2068">
        <f>G2068*(26.79/38.29)</f>
        <v>0.32650822669104201</v>
      </c>
    </row>
    <row r="2069" spans="1:8" x14ac:dyDescent="0.25">
      <c r="A2069" s="1">
        <v>1997</v>
      </c>
      <c r="B2069" s="1" t="s">
        <v>99</v>
      </c>
      <c r="C2069" t="s">
        <v>51</v>
      </c>
      <c r="D2069">
        <v>2</v>
      </c>
      <c r="E2069">
        <v>38</v>
      </c>
      <c r="F2069">
        <v>0.81</v>
      </c>
      <c r="G2069">
        <f>(F2069/0.6)/5</f>
        <v>0.27</v>
      </c>
      <c r="H2069">
        <f>G2069*(26.79/38.29)</f>
        <v>0.18890833115696004</v>
      </c>
    </row>
    <row r="2070" spans="1:8" x14ac:dyDescent="0.25">
      <c r="A2070" s="1">
        <v>1997</v>
      </c>
      <c r="B2070" s="1" t="s">
        <v>99</v>
      </c>
      <c r="C2070" t="s">
        <v>51</v>
      </c>
      <c r="D2070">
        <v>2</v>
      </c>
      <c r="E2070">
        <v>38</v>
      </c>
      <c r="F2070">
        <v>1.01</v>
      </c>
      <c r="G2070">
        <f>(F2070/0.6)/5</f>
        <v>0.33666666666666667</v>
      </c>
      <c r="H2070">
        <f>G2070*(26.79/38.29)</f>
        <v>0.23555236354139461</v>
      </c>
    </row>
    <row r="2071" spans="1:8" x14ac:dyDescent="0.25">
      <c r="A2071" s="1">
        <v>1997</v>
      </c>
      <c r="B2071" s="1" t="s">
        <v>99</v>
      </c>
      <c r="C2071" t="s">
        <v>51</v>
      </c>
      <c r="D2071">
        <v>2</v>
      </c>
      <c r="E2071">
        <v>38</v>
      </c>
      <c r="F2071">
        <v>1.4</v>
      </c>
      <c r="G2071">
        <f>(F2071/0.6)/5</f>
        <v>0.46666666666666667</v>
      </c>
      <c r="H2071">
        <f>G2071*(26.79/38.29)</f>
        <v>0.32650822669104201</v>
      </c>
    </row>
    <row r="2072" spans="1:8" x14ac:dyDescent="0.25">
      <c r="A2072" s="1">
        <v>1997</v>
      </c>
      <c r="B2072" s="1" t="s">
        <v>99</v>
      </c>
      <c r="C2072" t="s">
        <v>51</v>
      </c>
      <c r="D2072">
        <v>2</v>
      </c>
      <c r="E2072">
        <v>38</v>
      </c>
      <c r="F2072">
        <v>0.7</v>
      </c>
      <c r="G2072">
        <f>(F2072/0.6)/5</f>
        <v>0.23333333333333334</v>
      </c>
      <c r="H2072">
        <f>G2072*(26.79/38.29)</f>
        <v>0.16325411334552101</v>
      </c>
    </row>
    <row r="2073" spans="1:8" x14ac:dyDescent="0.25">
      <c r="A2073" s="1">
        <v>1997</v>
      </c>
      <c r="B2073" s="1" t="s">
        <v>99</v>
      </c>
      <c r="C2073" t="s">
        <v>51</v>
      </c>
      <c r="D2073">
        <v>2</v>
      </c>
      <c r="E2073">
        <v>38</v>
      </c>
      <c r="F2073">
        <v>0.66</v>
      </c>
      <c r="G2073">
        <f>(F2073/0.6)/5</f>
        <v>0.22000000000000003</v>
      </c>
      <c r="H2073">
        <f>G2073*(26.79/38.29)</f>
        <v>0.15392530686863412</v>
      </c>
    </row>
    <row r="2074" spans="1:8" x14ac:dyDescent="0.25">
      <c r="A2074" s="1">
        <v>1997</v>
      </c>
      <c r="B2074" s="1" t="s">
        <v>99</v>
      </c>
      <c r="C2074" t="s">
        <v>51</v>
      </c>
      <c r="D2074">
        <v>2</v>
      </c>
      <c r="E2074">
        <v>38</v>
      </c>
      <c r="F2074">
        <v>1.01</v>
      </c>
      <c r="G2074">
        <f>(F2074/0.6)/5</f>
        <v>0.33666666666666667</v>
      </c>
      <c r="H2074">
        <f>G2074*(26.79/38.29)</f>
        <v>0.23555236354139461</v>
      </c>
    </row>
    <row r="2075" spans="1:8" x14ac:dyDescent="0.25">
      <c r="A2075" s="1">
        <v>1997</v>
      </c>
      <c r="B2075" s="1" t="s">
        <v>99</v>
      </c>
      <c r="C2075" t="s">
        <v>51</v>
      </c>
      <c r="D2075">
        <v>2</v>
      </c>
      <c r="E2075">
        <v>38</v>
      </c>
      <c r="F2075">
        <v>1.1599999999999999</v>
      </c>
      <c r="G2075">
        <f>(F2075/0.6)/5</f>
        <v>0.38666666666666666</v>
      </c>
      <c r="H2075">
        <f>G2075*(26.79/38.29)</f>
        <v>0.27053538782972053</v>
      </c>
    </row>
    <row r="2076" spans="1:8" x14ac:dyDescent="0.25">
      <c r="A2076" s="1">
        <v>1997</v>
      </c>
      <c r="B2076" s="1" t="s">
        <v>99</v>
      </c>
      <c r="C2076" t="s">
        <v>51</v>
      </c>
      <c r="D2076">
        <v>2</v>
      </c>
      <c r="E2076">
        <v>38</v>
      </c>
      <c r="F2076">
        <v>0.83</v>
      </c>
      <c r="G2076">
        <f>(F2076/0.6)/5</f>
        <v>0.27666666666666667</v>
      </c>
      <c r="H2076">
        <f>G2076*(26.79/38.29)</f>
        <v>0.19357273439540348</v>
      </c>
    </row>
    <row r="2077" spans="1:8" x14ac:dyDescent="0.25">
      <c r="A2077" s="1">
        <v>1997</v>
      </c>
      <c r="B2077" s="1" t="s">
        <v>99</v>
      </c>
      <c r="C2077" t="s">
        <v>51</v>
      </c>
      <c r="D2077">
        <v>2</v>
      </c>
      <c r="E2077">
        <v>38</v>
      </c>
      <c r="F2077">
        <v>1.1599999999999999</v>
      </c>
      <c r="G2077">
        <f>(F2077/0.6)/5</f>
        <v>0.38666666666666666</v>
      </c>
      <c r="H2077">
        <f>G2077*(26.79/38.29)</f>
        <v>0.27053538782972053</v>
      </c>
    </row>
    <row r="2078" spans="1:8" x14ac:dyDescent="0.25">
      <c r="A2078" s="1">
        <v>1997</v>
      </c>
      <c r="B2078" s="1" t="s">
        <v>99</v>
      </c>
      <c r="C2078" t="s">
        <v>51</v>
      </c>
      <c r="D2078">
        <v>2</v>
      </c>
      <c r="E2078">
        <v>38</v>
      </c>
      <c r="F2078">
        <v>0.59</v>
      </c>
      <c r="G2078">
        <f>(F2078/0.6)/5</f>
        <v>0.19666666666666666</v>
      </c>
      <c r="H2078">
        <f>G2078*(26.79/38.29)</f>
        <v>0.137599895534082</v>
      </c>
    </row>
    <row r="2079" spans="1:8" x14ac:dyDescent="0.25">
      <c r="A2079" s="1">
        <v>1997</v>
      </c>
      <c r="B2079" s="1" t="s">
        <v>99</v>
      </c>
      <c r="C2079" t="s">
        <v>51</v>
      </c>
      <c r="D2079">
        <v>2</v>
      </c>
      <c r="E2079">
        <v>38</v>
      </c>
      <c r="F2079">
        <v>1.1599999999999999</v>
      </c>
      <c r="G2079">
        <f>(F2079/0.6)/5</f>
        <v>0.38666666666666666</v>
      </c>
      <c r="H2079">
        <f>G2079*(26.79/38.29)</f>
        <v>0.27053538782972053</v>
      </c>
    </row>
    <row r="2080" spans="1:8" x14ac:dyDescent="0.25">
      <c r="A2080" s="1">
        <v>1997</v>
      </c>
      <c r="B2080" s="1" t="s">
        <v>99</v>
      </c>
      <c r="C2080" t="s">
        <v>51</v>
      </c>
      <c r="D2080">
        <v>2</v>
      </c>
      <c r="E2080">
        <v>40</v>
      </c>
      <c r="F2080">
        <v>1.1200000000000001</v>
      </c>
      <c r="G2080">
        <f>(F2080/0.6)/5</f>
        <v>0.37333333333333341</v>
      </c>
      <c r="H2080">
        <f>G2080*(26.79/38.29)</f>
        <v>0.26120658135283364</v>
      </c>
    </row>
    <row r="2081" spans="1:8" x14ac:dyDescent="0.25">
      <c r="A2081" s="1">
        <v>1997</v>
      </c>
      <c r="B2081" s="1" t="s">
        <v>99</v>
      </c>
      <c r="C2081" t="s">
        <v>51</v>
      </c>
      <c r="D2081">
        <v>2</v>
      </c>
      <c r="E2081">
        <v>40</v>
      </c>
      <c r="F2081">
        <v>0.24</v>
      </c>
      <c r="G2081">
        <f>(F2081/0.6)/5</f>
        <v>0.08</v>
      </c>
      <c r="H2081">
        <f>G2081*(26.79/38.29)</f>
        <v>5.597283886132149E-2</v>
      </c>
    </row>
    <row r="2082" spans="1:8" x14ac:dyDescent="0.25">
      <c r="A2082" s="1">
        <v>1997</v>
      </c>
      <c r="B2082" s="1" t="s">
        <v>99</v>
      </c>
      <c r="C2082" t="s">
        <v>51</v>
      </c>
      <c r="D2082">
        <v>2</v>
      </c>
      <c r="E2082">
        <v>40</v>
      </c>
      <c r="F2082">
        <v>0.85</v>
      </c>
      <c r="G2082">
        <f>(F2082/0.6)/5</f>
        <v>0.28333333333333333</v>
      </c>
      <c r="H2082">
        <f>G2082*(26.79/38.29)</f>
        <v>0.19823713763384693</v>
      </c>
    </row>
    <row r="2083" spans="1:8" x14ac:dyDescent="0.25">
      <c r="A2083" s="1">
        <v>1997</v>
      </c>
      <c r="B2083" s="1" t="s">
        <v>99</v>
      </c>
      <c r="C2083" t="s">
        <v>51</v>
      </c>
      <c r="D2083">
        <v>2</v>
      </c>
      <c r="E2083">
        <v>40</v>
      </c>
      <c r="F2083">
        <v>1.1599999999999999</v>
      </c>
      <c r="G2083">
        <f>(F2083/0.6)/5</f>
        <v>0.38666666666666666</v>
      </c>
      <c r="H2083">
        <f>G2083*(26.79/38.29)</f>
        <v>0.27053538782972053</v>
      </c>
    </row>
    <row r="2084" spans="1:8" x14ac:dyDescent="0.25">
      <c r="A2084" s="1">
        <v>1997</v>
      </c>
      <c r="B2084" s="1" t="s">
        <v>99</v>
      </c>
      <c r="C2084" t="s">
        <v>51</v>
      </c>
      <c r="D2084">
        <v>2</v>
      </c>
      <c r="E2084">
        <v>40</v>
      </c>
      <c r="F2084">
        <v>1.83</v>
      </c>
      <c r="G2084">
        <f>(F2084/0.6)/5</f>
        <v>0.6100000000000001</v>
      </c>
      <c r="H2084">
        <f>G2084*(26.79/38.29)</f>
        <v>0.42679289631757644</v>
      </c>
    </row>
    <row r="2085" spans="1:8" x14ac:dyDescent="0.25">
      <c r="A2085" s="1">
        <v>1997</v>
      </c>
      <c r="B2085" s="1" t="s">
        <v>99</v>
      </c>
      <c r="C2085" t="s">
        <v>51</v>
      </c>
      <c r="D2085">
        <v>2</v>
      </c>
      <c r="E2085">
        <v>40</v>
      </c>
      <c r="F2085">
        <v>0.35</v>
      </c>
      <c r="G2085">
        <f>(F2085/0.6)/5</f>
        <v>0.11666666666666667</v>
      </c>
      <c r="H2085">
        <f>G2085*(26.79/38.29)</f>
        <v>8.1627056672760503E-2</v>
      </c>
    </row>
    <row r="2086" spans="1:8" x14ac:dyDescent="0.25">
      <c r="A2086" s="1">
        <v>1997</v>
      </c>
      <c r="B2086" s="1" t="s">
        <v>99</v>
      </c>
      <c r="C2086" t="s">
        <v>51</v>
      </c>
      <c r="D2086">
        <v>2</v>
      </c>
      <c r="E2086">
        <v>40</v>
      </c>
      <c r="F2086">
        <v>1.1599999999999999</v>
      </c>
      <c r="G2086">
        <f>(F2086/0.6)/5</f>
        <v>0.38666666666666666</v>
      </c>
      <c r="H2086">
        <f>G2086*(26.79/38.29)</f>
        <v>0.27053538782972053</v>
      </c>
    </row>
    <row r="2087" spans="1:8" x14ac:dyDescent="0.25">
      <c r="A2087" s="1">
        <v>1997</v>
      </c>
      <c r="B2087" s="1" t="s">
        <v>99</v>
      </c>
      <c r="C2087" t="s">
        <v>51</v>
      </c>
      <c r="D2087">
        <v>2</v>
      </c>
      <c r="E2087">
        <v>40</v>
      </c>
      <c r="F2087">
        <v>1.43</v>
      </c>
      <c r="G2087">
        <f>(F2087/0.6)/5</f>
        <v>0.47666666666666668</v>
      </c>
      <c r="H2087">
        <f>G2087*(26.79/38.29)</f>
        <v>0.33350483154870725</v>
      </c>
    </row>
    <row r="2088" spans="1:8" x14ac:dyDescent="0.25">
      <c r="A2088" s="1">
        <v>1997</v>
      </c>
      <c r="B2088" s="1" t="s">
        <v>99</v>
      </c>
      <c r="C2088" t="s">
        <v>51</v>
      </c>
      <c r="D2088">
        <v>2</v>
      </c>
      <c r="E2088">
        <v>40</v>
      </c>
      <c r="F2088">
        <v>1.58</v>
      </c>
      <c r="G2088">
        <f>(F2088/0.6)/5</f>
        <v>0.52666666666666673</v>
      </c>
      <c r="H2088">
        <f>G2088*(26.79/38.29)</f>
        <v>0.3684878558370332</v>
      </c>
    </row>
    <row r="2089" spans="1:8" x14ac:dyDescent="0.25">
      <c r="A2089" s="1">
        <v>1997</v>
      </c>
      <c r="B2089" s="1" t="s">
        <v>99</v>
      </c>
      <c r="C2089" t="s">
        <v>51</v>
      </c>
      <c r="D2089">
        <v>2</v>
      </c>
      <c r="E2089">
        <v>40</v>
      </c>
      <c r="F2089">
        <v>1.1299999999999999</v>
      </c>
      <c r="G2089">
        <f>(F2089/0.6)/5</f>
        <v>0.37666666666666665</v>
      </c>
      <c r="H2089">
        <f>G2089*(26.79/38.29)</f>
        <v>0.26353878297205535</v>
      </c>
    </row>
    <row r="2090" spans="1:8" x14ac:dyDescent="0.25">
      <c r="A2090" s="1">
        <v>1997</v>
      </c>
      <c r="B2090" s="1" t="s">
        <v>99</v>
      </c>
      <c r="C2090" t="s">
        <v>51</v>
      </c>
      <c r="D2090">
        <v>2</v>
      </c>
      <c r="E2090">
        <v>40</v>
      </c>
      <c r="F2090">
        <v>1.56</v>
      </c>
      <c r="G2090">
        <f>(F2090/0.6)/5</f>
        <v>0.52</v>
      </c>
      <c r="H2090">
        <f>G2090*(26.79/38.29)</f>
        <v>0.36382345259858972</v>
      </c>
    </row>
    <row r="2091" spans="1:8" x14ac:dyDescent="0.25">
      <c r="A2091" s="1">
        <v>1997</v>
      </c>
      <c r="B2091" s="1" t="s">
        <v>99</v>
      </c>
      <c r="C2091" t="s">
        <v>51</v>
      </c>
      <c r="D2091">
        <v>2</v>
      </c>
      <c r="E2091">
        <v>40</v>
      </c>
      <c r="F2091">
        <v>1.1299999999999999</v>
      </c>
      <c r="G2091">
        <f>(F2091/0.6)/5</f>
        <v>0.37666666666666665</v>
      </c>
      <c r="H2091">
        <f>G2091*(26.79/38.29)</f>
        <v>0.26353878297205535</v>
      </c>
    </row>
    <row r="2092" spans="1:8" x14ac:dyDescent="0.25">
      <c r="A2092" s="1">
        <v>1997</v>
      </c>
      <c r="B2092" s="1" t="s">
        <v>99</v>
      </c>
      <c r="C2092" t="s">
        <v>51</v>
      </c>
      <c r="D2092">
        <v>2</v>
      </c>
      <c r="E2092">
        <v>40</v>
      </c>
      <c r="F2092">
        <v>0.96</v>
      </c>
      <c r="G2092">
        <f>(F2092/0.6)/5</f>
        <v>0.32</v>
      </c>
      <c r="H2092">
        <f>G2092*(26.79/38.29)</f>
        <v>0.22389135544528596</v>
      </c>
    </row>
    <row r="2093" spans="1:8" x14ac:dyDescent="0.25">
      <c r="A2093" s="1">
        <v>1997</v>
      </c>
      <c r="B2093" s="1" t="s">
        <v>99</v>
      </c>
      <c r="C2093" t="s">
        <v>51</v>
      </c>
      <c r="D2093">
        <v>2</v>
      </c>
      <c r="E2093">
        <v>40</v>
      </c>
      <c r="F2093">
        <v>0.91</v>
      </c>
      <c r="G2093">
        <f>(F2093/0.6)/5</f>
        <v>0.30333333333333334</v>
      </c>
      <c r="H2093">
        <f>G2093*(26.79/38.29)</f>
        <v>0.21223034734917731</v>
      </c>
    </row>
    <row r="2094" spans="1:8" x14ac:dyDescent="0.25">
      <c r="A2094" s="1">
        <v>1997</v>
      </c>
      <c r="B2094" s="1" t="s">
        <v>99</v>
      </c>
      <c r="C2094" t="s">
        <v>51</v>
      </c>
      <c r="D2094">
        <v>2</v>
      </c>
      <c r="E2094">
        <v>40</v>
      </c>
      <c r="F2094">
        <v>0.48</v>
      </c>
      <c r="G2094">
        <f>(F2094/0.6)/5</f>
        <v>0.16</v>
      </c>
      <c r="H2094">
        <f>G2094*(26.79/38.29)</f>
        <v>0.11194567772264298</v>
      </c>
    </row>
    <row r="2095" spans="1:8" x14ac:dyDescent="0.25">
      <c r="A2095" s="1">
        <v>1997</v>
      </c>
      <c r="B2095" s="1" t="s">
        <v>99</v>
      </c>
      <c r="C2095" t="s">
        <v>51</v>
      </c>
      <c r="D2095">
        <v>2</v>
      </c>
      <c r="E2095">
        <v>40</v>
      </c>
      <c r="F2095">
        <v>1.85</v>
      </c>
      <c r="G2095">
        <f>(F2095/0.6)/5</f>
        <v>0.6166666666666667</v>
      </c>
      <c r="H2095">
        <f>G2095*(26.79/38.29)</f>
        <v>0.43145729955601986</v>
      </c>
    </row>
    <row r="2096" spans="1:8" x14ac:dyDescent="0.25">
      <c r="A2096" s="1">
        <v>1997</v>
      </c>
      <c r="B2096" s="1" t="s">
        <v>99</v>
      </c>
      <c r="C2096" t="s">
        <v>51</v>
      </c>
      <c r="D2096">
        <v>2</v>
      </c>
      <c r="E2096">
        <v>40</v>
      </c>
      <c r="F2096">
        <v>0.49</v>
      </c>
      <c r="G2096">
        <f>(F2096/0.6)/5</f>
        <v>0.16333333333333333</v>
      </c>
      <c r="H2096">
        <f>G2096*(26.79/38.29)</f>
        <v>0.1142778793418647</v>
      </c>
    </row>
    <row r="2097" spans="1:8" x14ac:dyDescent="0.25">
      <c r="A2097" s="1">
        <v>1997</v>
      </c>
      <c r="B2097" s="1" t="s">
        <v>99</v>
      </c>
      <c r="C2097" t="s">
        <v>51</v>
      </c>
      <c r="D2097">
        <v>2</v>
      </c>
      <c r="E2097">
        <v>53</v>
      </c>
      <c r="F2097">
        <v>0.53</v>
      </c>
      <c r="G2097">
        <f>(F2097/0.6)/5</f>
        <v>0.17666666666666669</v>
      </c>
      <c r="H2097">
        <f>G2097*(26.79/38.29)</f>
        <v>0.12360668581875164</v>
      </c>
    </row>
    <row r="2098" spans="1:8" x14ac:dyDescent="0.25">
      <c r="A2098" s="1">
        <v>1997</v>
      </c>
      <c r="B2098" s="1" t="s">
        <v>99</v>
      </c>
      <c r="C2098" t="s">
        <v>51</v>
      </c>
      <c r="D2098">
        <v>2</v>
      </c>
      <c r="E2098">
        <v>54</v>
      </c>
      <c r="F2098">
        <v>0.11</v>
      </c>
      <c r="G2098">
        <f>(F2098/0.6)/5</f>
        <v>3.6666666666666667E-2</v>
      </c>
      <c r="H2098">
        <f>G2098*(26.79/38.29)</f>
        <v>2.5654217811439017E-2</v>
      </c>
    </row>
    <row r="2099" spans="1:8" x14ac:dyDescent="0.25">
      <c r="A2099" s="1">
        <v>1997</v>
      </c>
      <c r="B2099" s="1" t="s">
        <v>99</v>
      </c>
      <c r="C2099" t="s">
        <v>51</v>
      </c>
      <c r="D2099">
        <v>2</v>
      </c>
      <c r="E2099">
        <v>56</v>
      </c>
      <c r="F2099">
        <v>0.52</v>
      </c>
      <c r="G2099">
        <f>(F2099/0.6)/5</f>
        <v>0.17333333333333334</v>
      </c>
      <c r="H2099">
        <f>G2099*(26.79/38.29)</f>
        <v>0.12127448419952989</v>
      </c>
    </row>
    <row r="2100" spans="1:8" x14ac:dyDescent="0.25">
      <c r="A2100" s="1">
        <v>1997</v>
      </c>
      <c r="B2100" s="1" t="s">
        <v>99</v>
      </c>
      <c r="C2100" t="s">
        <v>51</v>
      </c>
      <c r="D2100">
        <v>2</v>
      </c>
      <c r="E2100">
        <v>56</v>
      </c>
      <c r="F2100">
        <v>1.38</v>
      </c>
      <c r="G2100">
        <f>(F2100/0.6)/5</f>
        <v>0.45999999999999996</v>
      </c>
      <c r="H2100">
        <f>G2100*(26.79/38.29)</f>
        <v>0.32184382345259854</v>
      </c>
    </row>
    <row r="2101" spans="1:8" x14ac:dyDescent="0.25">
      <c r="A2101" s="1">
        <v>1997</v>
      </c>
      <c r="B2101" s="1" t="s">
        <v>99</v>
      </c>
      <c r="C2101" t="s">
        <v>51</v>
      </c>
      <c r="D2101">
        <v>2</v>
      </c>
      <c r="E2101">
        <v>63</v>
      </c>
      <c r="F2101">
        <v>7.0000000000000007E-2</v>
      </c>
      <c r="G2101">
        <f>(F2101/0.6)/5</f>
        <v>2.3333333333333338E-2</v>
      </c>
      <c r="H2101">
        <f>G2101*(26.79/38.29)</f>
        <v>1.6325411334552103E-2</v>
      </c>
    </row>
    <row r="2102" spans="1:8" x14ac:dyDescent="0.25">
      <c r="A2102" s="1">
        <v>1997</v>
      </c>
      <c r="B2102" s="1" t="s">
        <v>99</v>
      </c>
      <c r="C2102" t="s">
        <v>51</v>
      </c>
      <c r="D2102">
        <v>2</v>
      </c>
      <c r="E2102">
        <v>63</v>
      </c>
      <c r="F2102">
        <v>0.16</v>
      </c>
      <c r="G2102">
        <f>(F2102/0.6)/5</f>
        <v>5.333333333333333E-2</v>
      </c>
      <c r="H2102">
        <f>G2102*(26.79/38.29)</f>
        <v>3.7315225907547656E-2</v>
      </c>
    </row>
    <row r="2103" spans="1:8" x14ac:dyDescent="0.25">
      <c r="A2103" s="1">
        <v>1997</v>
      </c>
      <c r="B2103" s="1" t="s">
        <v>99</v>
      </c>
      <c r="C2103" t="s">
        <v>51</v>
      </c>
      <c r="D2103">
        <v>2</v>
      </c>
      <c r="E2103">
        <v>63</v>
      </c>
      <c r="F2103">
        <v>0.05</v>
      </c>
      <c r="G2103">
        <f>(F2103/0.6)/5</f>
        <v>1.666666666666667E-2</v>
      </c>
      <c r="H2103">
        <f>G2103*(26.79/38.29)</f>
        <v>1.1661008096108646E-2</v>
      </c>
    </row>
    <row r="2104" spans="1:8" x14ac:dyDescent="0.25">
      <c r="A2104" s="1">
        <v>1997</v>
      </c>
      <c r="B2104" s="1" t="s">
        <v>99</v>
      </c>
      <c r="C2104" t="s">
        <v>51</v>
      </c>
      <c r="D2104">
        <v>2</v>
      </c>
      <c r="E2104">
        <v>63</v>
      </c>
      <c r="F2104">
        <v>0.04</v>
      </c>
      <c r="G2104">
        <f>(F2104/0.6)/5</f>
        <v>1.3333333333333332E-2</v>
      </c>
      <c r="H2104">
        <f>G2104*(26.79/38.29)</f>
        <v>9.3288064768869139E-3</v>
      </c>
    </row>
    <row r="2105" spans="1:8" x14ac:dyDescent="0.25">
      <c r="A2105" s="1">
        <v>1997</v>
      </c>
      <c r="B2105" s="1" t="s">
        <v>99</v>
      </c>
      <c r="C2105" t="s">
        <v>51</v>
      </c>
      <c r="D2105">
        <v>2</v>
      </c>
      <c r="E2105">
        <v>63</v>
      </c>
      <c r="F2105">
        <v>0.08</v>
      </c>
      <c r="G2105">
        <f>(F2105/0.6)/5</f>
        <v>2.6666666666666665E-2</v>
      </c>
      <c r="H2105">
        <f>G2105*(26.79/38.29)</f>
        <v>1.8657612953773828E-2</v>
      </c>
    </row>
    <row r="2106" spans="1:8" x14ac:dyDescent="0.25">
      <c r="A2106" s="1">
        <v>1997</v>
      </c>
      <c r="B2106" s="1" t="s">
        <v>99</v>
      </c>
      <c r="C2106" t="s">
        <v>51</v>
      </c>
      <c r="D2106">
        <v>2</v>
      </c>
      <c r="E2106">
        <v>63</v>
      </c>
      <c r="F2106">
        <v>0.08</v>
      </c>
      <c r="G2106">
        <f>(F2106/0.6)/5</f>
        <v>2.6666666666666665E-2</v>
      </c>
      <c r="H2106">
        <f>G2106*(26.79/38.29)</f>
        <v>1.8657612953773828E-2</v>
      </c>
    </row>
    <row r="2107" spans="1:8" x14ac:dyDescent="0.25">
      <c r="A2107" s="1">
        <v>1997</v>
      </c>
      <c r="B2107" s="1" t="s">
        <v>99</v>
      </c>
      <c r="C2107" t="s">
        <v>51</v>
      </c>
      <c r="D2107">
        <v>2</v>
      </c>
      <c r="E2107">
        <v>63</v>
      </c>
      <c r="F2107">
        <v>0.13</v>
      </c>
      <c r="G2107">
        <f>(F2107/0.6)/5</f>
        <v>4.3333333333333335E-2</v>
      </c>
      <c r="H2107">
        <f>G2107*(26.79/38.29)</f>
        <v>3.0318621049882474E-2</v>
      </c>
    </row>
    <row r="2108" spans="1:8" x14ac:dyDescent="0.25">
      <c r="A2108" s="1">
        <v>1997</v>
      </c>
      <c r="B2108" s="1" t="s">
        <v>99</v>
      </c>
      <c r="C2108" t="s">
        <v>51</v>
      </c>
      <c r="D2108">
        <v>2</v>
      </c>
      <c r="E2108">
        <v>63</v>
      </c>
      <c r="F2108">
        <v>0.04</v>
      </c>
      <c r="G2108">
        <f>(F2108/0.6)/5</f>
        <v>1.3333333333333332E-2</v>
      </c>
      <c r="H2108">
        <f>G2108*(26.79/38.29)</f>
        <v>9.3288064768869139E-3</v>
      </c>
    </row>
    <row r="2109" spans="1:8" x14ac:dyDescent="0.25">
      <c r="A2109" s="1">
        <v>1997</v>
      </c>
      <c r="B2109" s="1" t="s">
        <v>99</v>
      </c>
      <c r="C2109" t="s">
        <v>51</v>
      </c>
      <c r="D2109">
        <v>2</v>
      </c>
      <c r="E2109">
        <v>71</v>
      </c>
      <c r="F2109">
        <v>0.12</v>
      </c>
      <c r="G2109">
        <f>(F2109/0.6)/5</f>
        <v>0.04</v>
      </c>
      <c r="H2109">
        <f>G2109*(26.79/38.29)</f>
        <v>2.7986419430660745E-2</v>
      </c>
    </row>
    <row r="2110" spans="1:8" x14ac:dyDescent="0.25">
      <c r="A2110" s="1">
        <v>1997</v>
      </c>
      <c r="B2110" s="1" t="s">
        <v>99</v>
      </c>
      <c r="C2110" t="s">
        <v>51</v>
      </c>
      <c r="D2110">
        <v>2</v>
      </c>
      <c r="E2110">
        <v>76</v>
      </c>
      <c r="F2110">
        <v>0.04</v>
      </c>
      <c r="G2110">
        <f>(F2110/0.6)/5</f>
        <v>1.3333333333333332E-2</v>
      </c>
      <c r="H2110">
        <f>G2110*(26.79/38.29)</f>
        <v>9.3288064768869139E-3</v>
      </c>
    </row>
    <row r="2111" spans="1:8" x14ac:dyDescent="0.25">
      <c r="A2111" s="1">
        <v>1997</v>
      </c>
      <c r="B2111" s="1" t="s">
        <v>99</v>
      </c>
      <c r="C2111" t="s">
        <v>51</v>
      </c>
      <c r="D2111">
        <v>2</v>
      </c>
      <c r="E2111">
        <v>76</v>
      </c>
      <c r="F2111">
        <v>0.14000000000000001</v>
      </c>
      <c r="G2111">
        <f>(F2111/0.6)/5</f>
        <v>4.6666666666666676E-2</v>
      </c>
      <c r="H2111">
        <f>G2111*(26.79/38.29)</f>
        <v>3.2650822669104206E-2</v>
      </c>
    </row>
    <row r="2112" spans="1:8" x14ac:dyDescent="0.25">
      <c r="A2112" s="1">
        <v>1997</v>
      </c>
      <c r="B2112" s="1" t="s">
        <v>99</v>
      </c>
      <c r="C2112" t="s">
        <v>51</v>
      </c>
      <c r="D2112">
        <v>2</v>
      </c>
      <c r="E2112">
        <v>76</v>
      </c>
      <c r="F2112">
        <v>0.13</v>
      </c>
      <c r="G2112">
        <f>(F2112/0.6)/5</f>
        <v>4.3333333333333335E-2</v>
      </c>
      <c r="H2112">
        <f>G2112*(26.79/38.29)</f>
        <v>3.0318621049882474E-2</v>
      </c>
    </row>
    <row r="2113" spans="1:8" x14ac:dyDescent="0.25">
      <c r="A2113" s="1">
        <v>1997</v>
      </c>
      <c r="B2113" s="1" t="s">
        <v>99</v>
      </c>
      <c r="C2113" t="s">
        <v>51</v>
      </c>
      <c r="D2113">
        <v>2</v>
      </c>
      <c r="E2113">
        <v>76</v>
      </c>
      <c r="F2113">
        <v>0.04</v>
      </c>
      <c r="G2113">
        <f>(F2113/0.6)/5</f>
        <v>1.3333333333333332E-2</v>
      </c>
      <c r="H2113">
        <f>G2113*(26.79/38.29)</f>
        <v>9.3288064768869139E-3</v>
      </c>
    </row>
    <row r="2114" spans="1:8" x14ac:dyDescent="0.25">
      <c r="A2114" s="1">
        <v>1997</v>
      </c>
      <c r="B2114" s="1" t="s">
        <v>99</v>
      </c>
      <c r="C2114" t="s">
        <v>51</v>
      </c>
      <c r="D2114">
        <v>2</v>
      </c>
      <c r="E2114">
        <v>76</v>
      </c>
      <c r="F2114">
        <v>0.04</v>
      </c>
      <c r="G2114">
        <f>(F2114/0.6)/5</f>
        <v>1.3333333333333332E-2</v>
      </c>
      <c r="H2114">
        <f>G2114*(26.79/38.29)</f>
        <v>9.3288064768869139E-3</v>
      </c>
    </row>
    <row r="2115" spans="1:8" x14ac:dyDescent="0.25">
      <c r="A2115" s="1">
        <v>1997</v>
      </c>
      <c r="B2115" s="1" t="s">
        <v>99</v>
      </c>
      <c r="C2115" t="s">
        <v>51</v>
      </c>
      <c r="D2115">
        <v>2</v>
      </c>
      <c r="E2115">
        <v>76</v>
      </c>
      <c r="F2115">
        <v>0.06</v>
      </c>
      <c r="G2115">
        <f>(F2115/0.6)/5</f>
        <v>0.02</v>
      </c>
      <c r="H2115">
        <f>G2115*(26.79/38.29)</f>
        <v>1.3993209715330373E-2</v>
      </c>
    </row>
    <row r="2116" spans="1:8" x14ac:dyDescent="0.25">
      <c r="A2116" s="1">
        <v>1997</v>
      </c>
      <c r="B2116" s="1" t="s">
        <v>99</v>
      </c>
      <c r="C2116" t="s">
        <v>51</v>
      </c>
      <c r="D2116">
        <v>2</v>
      </c>
      <c r="E2116">
        <v>76</v>
      </c>
      <c r="F2116">
        <v>0.1</v>
      </c>
      <c r="G2116">
        <f>(F2116/0.6)/5</f>
        <v>3.333333333333334E-2</v>
      </c>
      <c r="H2116">
        <f>G2116*(26.79/38.29)</f>
        <v>2.3322016192217292E-2</v>
      </c>
    </row>
    <row r="2117" spans="1:8" x14ac:dyDescent="0.25">
      <c r="A2117" s="1">
        <v>1997</v>
      </c>
      <c r="B2117" s="1" t="s">
        <v>99</v>
      </c>
      <c r="C2117" t="s">
        <v>51</v>
      </c>
      <c r="D2117">
        <v>2</v>
      </c>
      <c r="E2117">
        <v>76</v>
      </c>
      <c r="F2117">
        <v>0.05</v>
      </c>
      <c r="G2117">
        <f>(F2117/0.6)/5</f>
        <v>1.666666666666667E-2</v>
      </c>
      <c r="H2117">
        <f>G2117*(26.79/38.29)</f>
        <v>1.1661008096108646E-2</v>
      </c>
    </row>
    <row r="2118" spans="1:8" x14ac:dyDescent="0.25">
      <c r="A2118" s="1">
        <v>1997</v>
      </c>
      <c r="B2118" s="1" t="s">
        <v>99</v>
      </c>
      <c r="C2118" t="s">
        <v>51</v>
      </c>
      <c r="D2118">
        <v>2</v>
      </c>
      <c r="E2118">
        <v>76</v>
      </c>
      <c r="F2118">
        <v>0.08</v>
      </c>
      <c r="G2118">
        <f>(F2118/0.6)/5</f>
        <v>2.6666666666666665E-2</v>
      </c>
      <c r="H2118">
        <f>G2118*(26.79/38.29)</f>
        <v>1.8657612953773828E-2</v>
      </c>
    </row>
    <row r="2119" spans="1:8" x14ac:dyDescent="0.25">
      <c r="A2119" s="1">
        <v>1997</v>
      </c>
      <c r="B2119" s="1" t="s">
        <v>99</v>
      </c>
      <c r="C2119" t="s">
        <v>51</v>
      </c>
      <c r="D2119">
        <v>2</v>
      </c>
      <c r="E2119">
        <v>78</v>
      </c>
      <c r="F2119">
        <v>0.03</v>
      </c>
      <c r="G2119">
        <f>(F2119/0.6)/5</f>
        <v>0.01</v>
      </c>
      <c r="H2119">
        <f>G2119*(26.79/38.29)</f>
        <v>6.9966048576651863E-3</v>
      </c>
    </row>
    <row r="2120" spans="1:8" x14ac:dyDescent="0.25">
      <c r="A2120" s="1">
        <v>1997</v>
      </c>
      <c r="B2120" s="1" t="s">
        <v>99</v>
      </c>
      <c r="C2120" t="s">
        <v>51</v>
      </c>
      <c r="D2120">
        <v>2</v>
      </c>
      <c r="E2120">
        <v>78</v>
      </c>
      <c r="F2120">
        <v>0.05</v>
      </c>
      <c r="G2120">
        <f>(F2120/0.6)/5</f>
        <v>1.666666666666667E-2</v>
      </c>
      <c r="H2120">
        <f>G2120*(26.79/38.29)</f>
        <v>1.1661008096108646E-2</v>
      </c>
    </row>
    <row r="2121" spans="1:8" x14ac:dyDescent="0.25">
      <c r="A2121" s="1">
        <v>1997</v>
      </c>
      <c r="B2121" s="1" t="s">
        <v>99</v>
      </c>
      <c r="C2121" t="s">
        <v>51</v>
      </c>
      <c r="D2121">
        <v>2</v>
      </c>
      <c r="E2121">
        <v>78</v>
      </c>
      <c r="F2121">
        <v>7.0000000000000007E-2</v>
      </c>
      <c r="G2121">
        <f>(F2121/0.6)/5</f>
        <v>2.3333333333333338E-2</v>
      </c>
      <c r="H2121">
        <f>G2121*(26.79/38.29)</f>
        <v>1.6325411334552103E-2</v>
      </c>
    </row>
    <row r="2122" spans="1:8" x14ac:dyDescent="0.25">
      <c r="A2122" s="1">
        <v>1997</v>
      </c>
      <c r="B2122" s="1" t="s">
        <v>99</v>
      </c>
      <c r="C2122" t="s">
        <v>51</v>
      </c>
      <c r="D2122">
        <v>2</v>
      </c>
      <c r="E2122">
        <v>78</v>
      </c>
      <c r="F2122">
        <v>0.04</v>
      </c>
      <c r="G2122">
        <f>(F2122/0.6)/5</f>
        <v>1.3333333333333332E-2</v>
      </c>
      <c r="H2122">
        <f>G2122*(26.79/38.29)</f>
        <v>9.3288064768869139E-3</v>
      </c>
    </row>
    <row r="2123" spans="1:8" x14ac:dyDescent="0.25">
      <c r="A2123" s="1">
        <v>1997</v>
      </c>
      <c r="B2123" s="1" t="s">
        <v>99</v>
      </c>
      <c r="C2123" t="s">
        <v>51</v>
      </c>
      <c r="D2123">
        <v>2</v>
      </c>
      <c r="E2123">
        <v>79</v>
      </c>
      <c r="F2123">
        <v>0.73</v>
      </c>
      <c r="G2123">
        <f>(F2123/0.6)/5</f>
        <v>0.24333333333333335</v>
      </c>
      <c r="H2123">
        <f>G2123*(26.79/38.29)</f>
        <v>0.17025071820318621</v>
      </c>
    </row>
    <row r="2124" spans="1:8" x14ac:dyDescent="0.25">
      <c r="A2124" s="1">
        <v>1997</v>
      </c>
      <c r="B2124" s="1" t="s">
        <v>99</v>
      </c>
      <c r="C2124" t="s">
        <v>51</v>
      </c>
      <c r="D2124">
        <v>2</v>
      </c>
      <c r="E2124">
        <v>79</v>
      </c>
      <c r="F2124">
        <v>7.0000000000000007E-2</v>
      </c>
      <c r="G2124">
        <f>(F2124/0.6)/5</f>
        <v>2.3333333333333338E-2</v>
      </c>
      <c r="H2124">
        <f>G2124*(26.79/38.29)</f>
        <v>1.6325411334552103E-2</v>
      </c>
    </row>
    <row r="2125" spans="1:8" x14ac:dyDescent="0.25">
      <c r="A2125" s="1">
        <v>1997</v>
      </c>
      <c r="B2125" s="1" t="s">
        <v>99</v>
      </c>
      <c r="C2125" t="s">
        <v>51</v>
      </c>
      <c r="D2125">
        <v>2</v>
      </c>
      <c r="E2125">
        <v>79</v>
      </c>
      <c r="F2125">
        <v>0.94</v>
      </c>
      <c r="G2125">
        <f>(F2125/0.6)/5</f>
        <v>0.31333333333333335</v>
      </c>
      <c r="H2125">
        <f>G2125*(26.79/38.29)</f>
        <v>0.21922695220684252</v>
      </c>
    </row>
    <row r="2126" spans="1:8" x14ac:dyDescent="0.25">
      <c r="A2126" s="1">
        <v>1997</v>
      </c>
      <c r="B2126" s="1" t="s">
        <v>99</v>
      </c>
      <c r="C2126" t="s">
        <v>51</v>
      </c>
      <c r="D2126">
        <v>2</v>
      </c>
      <c r="E2126">
        <v>79</v>
      </c>
      <c r="F2126">
        <v>7.0000000000000007E-2</v>
      </c>
      <c r="G2126">
        <f>(F2126/0.6)/5</f>
        <v>2.3333333333333338E-2</v>
      </c>
      <c r="H2126">
        <f>G2126*(26.79/38.29)</f>
        <v>1.6325411334552103E-2</v>
      </c>
    </row>
    <row r="2127" spans="1:8" x14ac:dyDescent="0.25">
      <c r="A2127" s="1">
        <v>1997</v>
      </c>
      <c r="B2127" s="1" t="s">
        <v>99</v>
      </c>
      <c r="C2127" t="s">
        <v>51</v>
      </c>
      <c r="D2127">
        <v>2</v>
      </c>
      <c r="E2127">
        <v>79</v>
      </c>
      <c r="F2127">
        <v>0.55000000000000004</v>
      </c>
      <c r="G2127">
        <f>(F2127/0.6)/5</f>
        <v>0.18333333333333335</v>
      </c>
      <c r="H2127">
        <f>G2127*(26.79/38.29)</f>
        <v>0.12827108905719509</v>
      </c>
    </row>
    <row r="2128" spans="1:8" x14ac:dyDescent="0.25">
      <c r="A2128" s="1">
        <v>1997</v>
      </c>
      <c r="B2128" s="1" t="s">
        <v>99</v>
      </c>
      <c r="C2128" t="s">
        <v>51</v>
      </c>
      <c r="D2128">
        <v>2</v>
      </c>
      <c r="E2128">
        <v>79</v>
      </c>
      <c r="F2128">
        <v>1.33</v>
      </c>
      <c r="G2128">
        <f>(F2128/0.6)/5</f>
        <v>0.44333333333333336</v>
      </c>
      <c r="H2128">
        <f>G2128*(26.79/38.29)</f>
        <v>0.31018281535648995</v>
      </c>
    </row>
    <row r="2129" spans="1:8" x14ac:dyDescent="0.25">
      <c r="A2129" s="1">
        <v>1997</v>
      </c>
      <c r="B2129" s="1" t="s">
        <v>99</v>
      </c>
      <c r="C2129" t="s">
        <v>51</v>
      </c>
      <c r="D2129">
        <v>2</v>
      </c>
      <c r="E2129">
        <v>79</v>
      </c>
      <c r="F2129">
        <v>0.08</v>
      </c>
      <c r="G2129">
        <f>(F2129/0.6)/5</f>
        <v>2.6666666666666665E-2</v>
      </c>
      <c r="H2129">
        <f>G2129*(26.79/38.29)</f>
        <v>1.8657612953773828E-2</v>
      </c>
    </row>
    <row r="2130" spans="1:8" x14ac:dyDescent="0.25">
      <c r="A2130" s="1">
        <v>1997</v>
      </c>
      <c r="B2130" s="1" t="s">
        <v>99</v>
      </c>
      <c r="C2130" t="s">
        <v>51</v>
      </c>
      <c r="D2130">
        <v>2</v>
      </c>
      <c r="E2130">
        <v>79</v>
      </c>
      <c r="F2130">
        <v>0.03</v>
      </c>
      <c r="G2130">
        <f>(F2130/0.6)/5</f>
        <v>0.01</v>
      </c>
      <c r="H2130">
        <f>G2130*(26.79/38.29)</f>
        <v>6.9966048576651863E-3</v>
      </c>
    </row>
    <row r="2131" spans="1:8" x14ac:dyDescent="0.25">
      <c r="A2131" s="1">
        <v>1997</v>
      </c>
      <c r="B2131" s="1" t="s">
        <v>99</v>
      </c>
      <c r="C2131" t="s">
        <v>51</v>
      </c>
      <c r="D2131">
        <v>2</v>
      </c>
      <c r="E2131">
        <v>79</v>
      </c>
      <c r="F2131">
        <v>0.4</v>
      </c>
      <c r="G2131">
        <f>(F2131/0.6)/5</f>
        <v>0.13333333333333336</v>
      </c>
      <c r="H2131">
        <f>G2131*(26.79/38.29)</f>
        <v>9.3288064768869167E-2</v>
      </c>
    </row>
    <row r="2132" spans="1:8" x14ac:dyDescent="0.25">
      <c r="A2132" s="1">
        <v>1997</v>
      </c>
      <c r="B2132" s="1" t="s">
        <v>99</v>
      </c>
      <c r="C2132" t="s">
        <v>51</v>
      </c>
      <c r="D2132">
        <v>2</v>
      </c>
      <c r="E2132">
        <v>79</v>
      </c>
      <c r="F2132">
        <v>0.62</v>
      </c>
      <c r="G2132">
        <f>(F2132/0.6)/5</f>
        <v>0.20666666666666669</v>
      </c>
      <c r="H2132">
        <f>G2132*(26.79/38.29)</f>
        <v>0.14459650039174721</v>
      </c>
    </row>
    <row r="2133" spans="1:8" x14ac:dyDescent="0.25">
      <c r="A2133" s="1">
        <v>1997</v>
      </c>
      <c r="B2133" s="1" t="s">
        <v>99</v>
      </c>
      <c r="C2133" t="s">
        <v>51</v>
      </c>
      <c r="D2133">
        <v>2</v>
      </c>
      <c r="E2133">
        <v>79</v>
      </c>
      <c r="F2133">
        <v>0.31</v>
      </c>
      <c r="G2133">
        <f>(F2133/0.6)/5</f>
        <v>0.10333333333333335</v>
      </c>
      <c r="H2133">
        <f>G2133*(26.79/38.29)</f>
        <v>7.2298250195873603E-2</v>
      </c>
    </row>
    <row r="2134" spans="1:8" x14ac:dyDescent="0.25">
      <c r="A2134" s="1">
        <v>1997</v>
      </c>
      <c r="B2134" s="1" t="s">
        <v>99</v>
      </c>
      <c r="C2134" t="s">
        <v>51</v>
      </c>
      <c r="D2134">
        <v>2</v>
      </c>
      <c r="E2134">
        <v>79</v>
      </c>
      <c r="F2134">
        <v>0.08</v>
      </c>
      <c r="G2134">
        <f>(F2134/0.6)/5</f>
        <v>2.6666666666666665E-2</v>
      </c>
      <c r="H2134">
        <f>G2134*(26.79/38.29)</f>
        <v>1.8657612953773828E-2</v>
      </c>
    </row>
    <row r="2135" spans="1:8" x14ac:dyDescent="0.25">
      <c r="A2135" s="1">
        <v>1997</v>
      </c>
      <c r="B2135" s="1" t="s">
        <v>99</v>
      </c>
      <c r="C2135" t="s">
        <v>51</v>
      </c>
      <c r="D2135">
        <v>2</v>
      </c>
      <c r="E2135">
        <v>79</v>
      </c>
      <c r="F2135">
        <v>0.22</v>
      </c>
      <c r="G2135">
        <f>(F2135/0.6)/5</f>
        <v>7.3333333333333334E-2</v>
      </c>
      <c r="H2135">
        <f>G2135*(26.79/38.29)</f>
        <v>5.1308435622878033E-2</v>
      </c>
    </row>
    <row r="2136" spans="1:8" x14ac:dyDescent="0.25">
      <c r="A2136" s="1">
        <v>1997</v>
      </c>
      <c r="B2136" s="1" t="s">
        <v>99</v>
      </c>
      <c r="C2136" t="s">
        <v>51</v>
      </c>
      <c r="D2136">
        <v>2</v>
      </c>
      <c r="E2136">
        <v>79</v>
      </c>
      <c r="F2136">
        <v>0.22</v>
      </c>
      <c r="G2136">
        <f>(F2136/0.6)/5</f>
        <v>7.3333333333333334E-2</v>
      </c>
      <c r="H2136">
        <f>G2136*(26.79/38.29)</f>
        <v>5.1308435622878033E-2</v>
      </c>
    </row>
    <row r="2137" spans="1:8" x14ac:dyDescent="0.25">
      <c r="A2137" s="1">
        <v>1997</v>
      </c>
      <c r="B2137" s="1" t="s">
        <v>99</v>
      </c>
      <c r="C2137" t="s">
        <v>51</v>
      </c>
      <c r="D2137">
        <v>2</v>
      </c>
      <c r="E2137">
        <v>79</v>
      </c>
      <c r="F2137">
        <v>0.84</v>
      </c>
      <c r="G2137">
        <f>(F2137/0.6)/5</f>
        <v>0.27999999999999997</v>
      </c>
      <c r="H2137">
        <f>G2137*(26.79/38.29)</f>
        <v>0.19590493601462519</v>
      </c>
    </row>
    <row r="2138" spans="1:8" x14ac:dyDescent="0.25">
      <c r="A2138" s="1">
        <v>1997</v>
      </c>
      <c r="B2138" s="1" t="s">
        <v>99</v>
      </c>
      <c r="C2138" t="s">
        <v>51</v>
      </c>
      <c r="D2138">
        <v>2</v>
      </c>
      <c r="E2138">
        <v>79</v>
      </c>
      <c r="F2138">
        <v>0.06</v>
      </c>
      <c r="G2138">
        <f>(F2138/0.6)/5</f>
        <v>0.02</v>
      </c>
      <c r="H2138">
        <f>G2138*(26.79/38.29)</f>
        <v>1.3993209715330373E-2</v>
      </c>
    </row>
    <row r="2139" spans="1:8" x14ac:dyDescent="0.25">
      <c r="A2139" s="1">
        <v>1997</v>
      </c>
      <c r="B2139" s="1" t="s">
        <v>99</v>
      </c>
      <c r="C2139" t="s">
        <v>51</v>
      </c>
      <c r="D2139">
        <v>2</v>
      </c>
      <c r="E2139">
        <v>79</v>
      </c>
      <c r="F2139">
        <v>0.65</v>
      </c>
      <c r="G2139">
        <f>(F2139/0.6)/5</f>
        <v>0.2166666666666667</v>
      </c>
      <c r="H2139">
        <f>G2139*(26.79/38.29)</f>
        <v>0.15159310524941239</v>
      </c>
    </row>
    <row r="2140" spans="1:8" x14ac:dyDescent="0.25">
      <c r="A2140" s="1">
        <v>1997</v>
      </c>
      <c r="B2140" s="1" t="s">
        <v>99</v>
      </c>
      <c r="C2140" t="s">
        <v>51</v>
      </c>
      <c r="D2140">
        <v>2</v>
      </c>
      <c r="E2140">
        <v>79</v>
      </c>
      <c r="F2140">
        <v>0.32</v>
      </c>
      <c r="G2140">
        <f>(F2140/0.6)/5</f>
        <v>0.10666666666666666</v>
      </c>
      <c r="H2140">
        <f>G2140*(26.79/38.29)</f>
        <v>7.4630451815095311E-2</v>
      </c>
    </row>
    <row r="2141" spans="1:8" x14ac:dyDescent="0.25">
      <c r="A2141" s="1">
        <v>1997</v>
      </c>
      <c r="B2141" s="1" t="s">
        <v>99</v>
      </c>
      <c r="C2141" t="s">
        <v>51</v>
      </c>
      <c r="D2141">
        <v>2</v>
      </c>
      <c r="E2141">
        <v>79</v>
      </c>
      <c r="F2141">
        <v>0.5</v>
      </c>
      <c r="G2141">
        <f>(F2141/0.6)/5</f>
        <v>0.16666666666666669</v>
      </c>
      <c r="H2141">
        <f>G2141*(26.79/38.29)</f>
        <v>0.11661008096108645</v>
      </c>
    </row>
    <row r="2142" spans="1:8" x14ac:dyDescent="0.25">
      <c r="A2142" s="1">
        <v>1997</v>
      </c>
      <c r="B2142" s="1" t="s">
        <v>99</v>
      </c>
      <c r="C2142" t="s">
        <v>51</v>
      </c>
      <c r="D2142">
        <v>2</v>
      </c>
      <c r="E2142">
        <v>79</v>
      </c>
      <c r="F2142">
        <v>0.08</v>
      </c>
      <c r="G2142">
        <f>(F2142/0.6)/5</f>
        <v>2.6666666666666665E-2</v>
      </c>
      <c r="H2142">
        <f>G2142*(26.79/38.29)</f>
        <v>1.8657612953773828E-2</v>
      </c>
    </row>
    <row r="2143" spans="1:8" x14ac:dyDescent="0.25">
      <c r="A2143" s="1">
        <v>1997</v>
      </c>
      <c r="B2143" s="1" t="s">
        <v>99</v>
      </c>
      <c r="C2143" t="s">
        <v>51</v>
      </c>
      <c r="D2143">
        <v>2</v>
      </c>
      <c r="E2143">
        <v>79</v>
      </c>
      <c r="F2143">
        <v>0.38</v>
      </c>
      <c r="G2143">
        <f>(F2143/0.6)/5</f>
        <v>0.12666666666666668</v>
      </c>
      <c r="H2143">
        <f>G2143*(26.79/38.29)</f>
        <v>8.8623661530425696E-2</v>
      </c>
    </row>
    <row r="2144" spans="1:8" x14ac:dyDescent="0.25">
      <c r="A2144" s="1">
        <v>1997</v>
      </c>
      <c r="B2144" s="1" t="s">
        <v>99</v>
      </c>
      <c r="C2144" t="s">
        <v>51</v>
      </c>
      <c r="D2144">
        <v>2</v>
      </c>
      <c r="E2144">
        <v>79</v>
      </c>
      <c r="F2144">
        <v>0.6</v>
      </c>
      <c r="G2144">
        <f>(F2144/0.6)/5</f>
        <v>0.2</v>
      </c>
      <c r="H2144">
        <f>G2144*(26.79/38.29)</f>
        <v>0.13993209715330374</v>
      </c>
    </row>
    <row r="2145" spans="1:8" x14ac:dyDescent="0.25">
      <c r="A2145" s="1">
        <v>1997</v>
      </c>
      <c r="B2145" s="1" t="s">
        <v>99</v>
      </c>
      <c r="C2145" t="s">
        <v>51</v>
      </c>
      <c r="D2145">
        <v>2</v>
      </c>
      <c r="E2145">
        <v>79</v>
      </c>
      <c r="F2145">
        <v>0.77</v>
      </c>
      <c r="G2145">
        <f>(F2145/0.6)/5</f>
        <v>0.25666666666666671</v>
      </c>
      <c r="H2145">
        <f>G2145*(26.79/38.29)</f>
        <v>0.17957952468007315</v>
      </c>
    </row>
    <row r="2146" spans="1:8" x14ac:dyDescent="0.25">
      <c r="A2146" s="1">
        <v>1997</v>
      </c>
      <c r="B2146" s="1" t="s">
        <v>99</v>
      </c>
      <c r="C2146" t="s">
        <v>51</v>
      </c>
      <c r="D2146">
        <v>2</v>
      </c>
      <c r="E2146">
        <v>79</v>
      </c>
      <c r="F2146">
        <v>0.46</v>
      </c>
      <c r="G2146">
        <f>(F2146/0.6)/5</f>
        <v>0.15333333333333335</v>
      </c>
      <c r="H2146">
        <f>G2146*(26.79/38.29)</f>
        <v>0.10728127448419954</v>
      </c>
    </row>
    <row r="2147" spans="1:8" x14ac:dyDescent="0.25">
      <c r="A2147" s="1">
        <v>1997</v>
      </c>
      <c r="B2147" s="1" t="s">
        <v>99</v>
      </c>
      <c r="C2147" t="s">
        <v>51</v>
      </c>
      <c r="D2147">
        <v>2</v>
      </c>
      <c r="E2147">
        <v>79</v>
      </c>
      <c r="F2147">
        <v>0.55000000000000004</v>
      </c>
      <c r="G2147">
        <f>(F2147/0.6)/5</f>
        <v>0.18333333333333335</v>
      </c>
      <c r="H2147">
        <f>G2147*(26.79/38.29)</f>
        <v>0.12827108905719509</v>
      </c>
    </row>
    <row r="2148" spans="1:8" x14ac:dyDescent="0.25">
      <c r="A2148" s="1">
        <v>1997</v>
      </c>
      <c r="B2148" s="1" t="s">
        <v>99</v>
      </c>
      <c r="C2148" t="s">
        <v>51</v>
      </c>
      <c r="D2148">
        <v>2</v>
      </c>
      <c r="E2148">
        <v>79</v>
      </c>
      <c r="F2148">
        <v>0.04</v>
      </c>
      <c r="G2148">
        <f>(F2148/0.6)/5</f>
        <v>1.3333333333333332E-2</v>
      </c>
      <c r="H2148">
        <f>G2148*(26.79/38.29)</f>
        <v>9.3288064768869139E-3</v>
      </c>
    </row>
    <row r="2149" spans="1:8" x14ac:dyDescent="0.25">
      <c r="A2149" s="1">
        <v>1997</v>
      </c>
      <c r="B2149" s="1" t="s">
        <v>99</v>
      </c>
      <c r="C2149" t="s">
        <v>51</v>
      </c>
      <c r="D2149">
        <v>2</v>
      </c>
      <c r="E2149">
        <v>79</v>
      </c>
      <c r="F2149">
        <v>0.68</v>
      </c>
      <c r="G2149">
        <f>(F2149/0.6)/5</f>
        <v>0.22666666666666671</v>
      </c>
      <c r="H2149">
        <f>G2149*(26.79/38.29)</f>
        <v>0.15858971010707759</v>
      </c>
    </row>
    <row r="2150" spans="1:8" x14ac:dyDescent="0.25">
      <c r="A2150" s="1">
        <v>1997</v>
      </c>
      <c r="B2150" s="1" t="s">
        <v>99</v>
      </c>
      <c r="C2150" t="s">
        <v>51</v>
      </c>
      <c r="D2150">
        <v>2</v>
      </c>
      <c r="E2150">
        <v>79</v>
      </c>
      <c r="F2150">
        <v>0.24</v>
      </c>
      <c r="G2150">
        <f>(F2150/0.6)/5</f>
        <v>0.08</v>
      </c>
      <c r="H2150">
        <f>G2150*(26.79/38.29)</f>
        <v>5.597283886132149E-2</v>
      </c>
    </row>
    <row r="2151" spans="1:8" x14ac:dyDescent="0.25">
      <c r="A2151" s="1">
        <v>1997</v>
      </c>
      <c r="B2151" s="1" t="s">
        <v>99</v>
      </c>
      <c r="C2151" t="s">
        <v>51</v>
      </c>
      <c r="D2151">
        <v>2</v>
      </c>
      <c r="E2151">
        <v>79</v>
      </c>
      <c r="F2151">
        <v>0.3</v>
      </c>
      <c r="G2151">
        <f>(F2151/0.6)/5</f>
        <v>0.1</v>
      </c>
      <c r="H2151">
        <f>G2151*(26.79/38.29)</f>
        <v>6.9966048576651868E-2</v>
      </c>
    </row>
    <row r="2152" spans="1:8" x14ac:dyDescent="0.25">
      <c r="A2152" s="1">
        <v>1997</v>
      </c>
      <c r="B2152" s="1" t="s">
        <v>99</v>
      </c>
      <c r="C2152" t="s">
        <v>51</v>
      </c>
      <c r="D2152">
        <v>2</v>
      </c>
      <c r="E2152">
        <v>79</v>
      </c>
      <c r="F2152">
        <v>0.84</v>
      </c>
      <c r="G2152">
        <f>(F2152/0.6)/5</f>
        <v>0.27999999999999997</v>
      </c>
      <c r="H2152">
        <f>G2152*(26.79/38.29)</f>
        <v>0.19590493601462519</v>
      </c>
    </row>
    <row r="2153" spans="1:8" x14ac:dyDescent="0.25">
      <c r="A2153" s="1">
        <v>1997</v>
      </c>
      <c r="B2153" s="1" t="s">
        <v>99</v>
      </c>
      <c r="C2153" t="s">
        <v>51</v>
      </c>
      <c r="D2153">
        <v>2</v>
      </c>
      <c r="E2153">
        <v>79</v>
      </c>
      <c r="F2153">
        <v>7.0000000000000007E-2</v>
      </c>
      <c r="G2153">
        <f>(F2153/0.6)/5</f>
        <v>2.3333333333333338E-2</v>
      </c>
      <c r="H2153">
        <f>G2153*(26.79/38.29)</f>
        <v>1.6325411334552103E-2</v>
      </c>
    </row>
    <row r="2154" spans="1:8" x14ac:dyDescent="0.25">
      <c r="A2154" s="1">
        <v>1997</v>
      </c>
      <c r="B2154" s="1" t="s">
        <v>99</v>
      </c>
      <c r="C2154" t="s">
        <v>51</v>
      </c>
      <c r="D2154">
        <v>2</v>
      </c>
      <c r="E2154">
        <v>79</v>
      </c>
      <c r="F2154">
        <v>0.73</v>
      </c>
      <c r="G2154">
        <f>(F2154/0.6)/5</f>
        <v>0.24333333333333335</v>
      </c>
      <c r="H2154">
        <f>G2154*(26.79/38.29)</f>
        <v>0.17025071820318621</v>
      </c>
    </row>
    <row r="2155" spans="1:8" x14ac:dyDescent="0.25">
      <c r="A2155" s="1">
        <v>1997</v>
      </c>
      <c r="B2155" s="1" t="s">
        <v>99</v>
      </c>
      <c r="C2155" t="s">
        <v>51</v>
      </c>
      <c r="D2155">
        <v>2</v>
      </c>
      <c r="E2155">
        <v>79</v>
      </c>
      <c r="F2155">
        <v>0.13</v>
      </c>
      <c r="G2155">
        <f>(F2155/0.6)/5</f>
        <v>4.3333333333333335E-2</v>
      </c>
      <c r="H2155">
        <f>G2155*(26.79/38.29)</f>
        <v>3.0318621049882474E-2</v>
      </c>
    </row>
    <row r="2156" spans="1:8" x14ac:dyDescent="0.25">
      <c r="A2156" s="1">
        <v>1997</v>
      </c>
      <c r="B2156" s="1" t="s">
        <v>99</v>
      </c>
      <c r="C2156" t="s">
        <v>51</v>
      </c>
      <c r="D2156">
        <v>2</v>
      </c>
      <c r="E2156">
        <v>79</v>
      </c>
      <c r="F2156">
        <v>0.72</v>
      </c>
      <c r="G2156">
        <f>(F2156/0.6)/5</f>
        <v>0.24</v>
      </c>
      <c r="H2156">
        <f>G2156*(26.79/38.29)</f>
        <v>0.16791851658396445</v>
      </c>
    </row>
    <row r="2157" spans="1:8" x14ac:dyDescent="0.25">
      <c r="A2157" s="1">
        <v>1997</v>
      </c>
      <c r="B2157" s="1" t="s">
        <v>99</v>
      </c>
      <c r="C2157" t="s">
        <v>51</v>
      </c>
      <c r="D2157">
        <v>2</v>
      </c>
      <c r="E2157">
        <v>79</v>
      </c>
      <c r="F2157">
        <v>0.83</v>
      </c>
      <c r="G2157">
        <f>(F2157/0.6)/5</f>
        <v>0.27666666666666667</v>
      </c>
      <c r="H2157">
        <f>G2157*(26.79/38.29)</f>
        <v>0.19357273439540348</v>
      </c>
    </row>
    <row r="2158" spans="1:8" x14ac:dyDescent="0.25">
      <c r="A2158" s="1">
        <v>1997</v>
      </c>
      <c r="B2158" s="1" t="s">
        <v>99</v>
      </c>
      <c r="C2158" t="s">
        <v>51</v>
      </c>
      <c r="D2158">
        <v>2</v>
      </c>
      <c r="E2158">
        <v>79</v>
      </c>
      <c r="F2158">
        <v>0.06</v>
      </c>
      <c r="G2158">
        <f>(F2158/0.6)/5</f>
        <v>0.02</v>
      </c>
      <c r="H2158">
        <f>G2158*(26.79/38.29)</f>
        <v>1.3993209715330373E-2</v>
      </c>
    </row>
    <row r="2159" spans="1:8" x14ac:dyDescent="0.25">
      <c r="A2159" s="1">
        <v>1997</v>
      </c>
      <c r="B2159" s="1" t="s">
        <v>99</v>
      </c>
      <c r="C2159" t="s">
        <v>51</v>
      </c>
      <c r="D2159">
        <v>2</v>
      </c>
      <c r="E2159">
        <v>79</v>
      </c>
      <c r="F2159">
        <v>7.0000000000000007E-2</v>
      </c>
      <c r="G2159">
        <f>(F2159/0.6)/5</f>
        <v>2.3333333333333338E-2</v>
      </c>
      <c r="H2159">
        <f>G2159*(26.79/38.29)</f>
        <v>1.6325411334552103E-2</v>
      </c>
    </row>
    <row r="2160" spans="1:8" x14ac:dyDescent="0.25">
      <c r="A2160" s="1">
        <v>1997</v>
      </c>
      <c r="B2160" s="1" t="s">
        <v>99</v>
      </c>
      <c r="C2160" t="s">
        <v>51</v>
      </c>
      <c r="D2160">
        <v>2</v>
      </c>
      <c r="E2160">
        <v>79</v>
      </c>
      <c r="F2160">
        <v>0.05</v>
      </c>
      <c r="G2160">
        <f>(F2160/0.6)/5</f>
        <v>1.666666666666667E-2</v>
      </c>
      <c r="H2160">
        <f>G2160*(26.79/38.29)</f>
        <v>1.1661008096108646E-2</v>
      </c>
    </row>
    <row r="2161" spans="1:8" x14ac:dyDescent="0.25">
      <c r="A2161" s="1">
        <v>1997</v>
      </c>
      <c r="B2161" s="1" t="s">
        <v>99</v>
      </c>
      <c r="C2161" t="s">
        <v>51</v>
      </c>
      <c r="D2161">
        <v>2</v>
      </c>
      <c r="E2161">
        <v>79</v>
      </c>
      <c r="F2161">
        <v>0.06</v>
      </c>
      <c r="G2161">
        <f>(F2161/0.6)/5</f>
        <v>0.02</v>
      </c>
      <c r="H2161">
        <f>G2161*(26.79/38.29)</f>
        <v>1.3993209715330373E-2</v>
      </c>
    </row>
    <row r="2162" spans="1:8" x14ac:dyDescent="0.25">
      <c r="A2162" s="1">
        <v>1997</v>
      </c>
      <c r="B2162" s="1" t="s">
        <v>99</v>
      </c>
      <c r="C2162" t="s">
        <v>51</v>
      </c>
      <c r="D2162">
        <v>2</v>
      </c>
      <c r="E2162">
        <v>79</v>
      </c>
      <c r="F2162">
        <v>0.88</v>
      </c>
      <c r="G2162">
        <f>(F2162/0.6)/5</f>
        <v>0.29333333333333333</v>
      </c>
      <c r="H2162">
        <f>G2162*(26.79/38.29)</f>
        <v>0.20523374249151213</v>
      </c>
    </row>
    <row r="2163" spans="1:8" x14ac:dyDescent="0.25">
      <c r="A2163" s="1">
        <v>1997</v>
      </c>
      <c r="B2163" s="1" t="s">
        <v>99</v>
      </c>
      <c r="C2163" t="s">
        <v>51</v>
      </c>
      <c r="D2163">
        <v>2</v>
      </c>
      <c r="E2163">
        <v>79</v>
      </c>
      <c r="F2163">
        <v>0.62</v>
      </c>
      <c r="G2163">
        <f>(F2163/0.6)/5</f>
        <v>0.20666666666666669</v>
      </c>
      <c r="H2163">
        <f>G2163*(26.79/38.29)</f>
        <v>0.14459650039174721</v>
      </c>
    </row>
    <row r="2164" spans="1:8" x14ac:dyDescent="0.25">
      <c r="A2164" s="1">
        <v>1997</v>
      </c>
      <c r="B2164" s="1" t="s">
        <v>99</v>
      </c>
      <c r="C2164" t="s">
        <v>51</v>
      </c>
      <c r="D2164">
        <v>2</v>
      </c>
      <c r="E2164">
        <v>79</v>
      </c>
      <c r="F2164">
        <v>0.23</v>
      </c>
      <c r="G2164">
        <f>(F2164/0.6)/5</f>
        <v>7.6666666666666675E-2</v>
      </c>
      <c r="H2164">
        <f>G2164*(26.79/38.29)</f>
        <v>5.3640637242099769E-2</v>
      </c>
    </row>
    <row r="2165" spans="1:8" x14ac:dyDescent="0.25">
      <c r="A2165" s="1">
        <v>1997</v>
      </c>
      <c r="B2165" s="1" t="s">
        <v>99</v>
      </c>
      <c r="C2165" t="s">
        <v>51</v>
      </c>
      <c r="D2165">
        <v>2</v>
      </c>
      <c r="E2165">
        <v>79</v>
      </c>
      <c r="F2165">
        <v>0.46</v>
      </c>
      <c r="G2165">
        <f>(F2165/0.6)/5</f>
        <v>0.15333333333333335</v>
      </c>
      <c r="H2165">
        <f>G2165*(26.79/38.29)</f>
        <v>0.10728127448419954</v>
      </c>
    </row>
    <row r="2166" spans="1:8" x14ac:dyDescent="0.25">
      <c r="A2166" s="1">
        <v>1997</v>
      </c>
      <c r="B2166" s="1" t="s">
        <v>99</v>
      </c>
      <c r="C2166" t="s">
        <v>51</v>
      </c>
      <c r="D2166">
        <v>2</v>
      </c>
      <c r="E2166">
        <v>79</v>
      </c>
      <c r="F2166">
        <v>0.56000000000000005</v>
      </c>
      <c r="G2166">
        <f>(F2166/0.6)/5</f>
        <v>0.1866666666666667</v>
      </c>
      <c r="H2166">
        <f>G2166*(26.79/38.29)</f>
        <v>0.13060329067641682</v>
      </c>
    </row>
    <row r="2167" spans="1:8" x14ac:dyDescent="0.25">
      <c r="A2167" s="1">
        <v>1997</v>
      </c>
      <c r="B2167" s="1" t="s">
        <v>99</v>
      </c>
      <c r="C2167" t="s">
        <v>51</v>
      </c>
      <c r="D2167">
        <v>2</v>
      </c>
      <c r="E2167">
        <v>79</v>
      </c>
      <c r="F2167">
        <v>0.06</v>
      </c>
      <c r="G2167">
        <f>(F2167/0.6)/5</f>
        <v>0.02</v>
      </c>
      <c r="H2167">
        <f>G2167*(26.79/38.29)</f>
        <v>1.3993209715330373E-2</v>
      </c>
    </row>
    <row r="2168" spans="1:8" x14ac:dyDescent="0.25">
      <c r="A2168" s="1">
        <v>1997</v>
      </c>
      <c r="B2168" s="1" t="s">
        <v>99</v>
      </c>
      <c r="C2168" t="s">
        <v>51</v>
      </c>
      <c r="D2168">
        <v>2</v>
      </c>
      <c r="E2168">
        <v>79</v>
      </c>
      <c r="F2168">
        <v>0.45</v>
      </c>
      <c r="G2168">
        <f>(F2168/0.6)/5</f>
        <v>0.15</v>
      </c>
      <c r="H2168">
        <f>G2168*(26.79/38.29)</f>
        <v>0.10494907286497779</v>
      </c>
    </row>
    <row r="2169" spans="1:8" x14ac:dyDescent="0.25">
      <c r="A2169" s="1">
        <v>1997</v>
      </c>
      <c r="B2169" s="1" t="s">
        <v>99</v>
      </c>
      <c r="C2169" t="s">
        <v>51</v>
      </c>
      <c r="D2169">
        <v>2</v>
      </c>
      <c r="E2169">
        <v>79</v>
      </c>
      <c r="F2169">
        <v>1.1499999999999999</v>
      </c>
      <c r="G2169">
        <f>(F2169/0.6)/5</f>
        <v>0.3833333333333333</v>
      </c>
      <c r="H2169">
        <f>G2169*(26.79/38.29)</f>
        <v>0.26820318621049877</v>
      </c>
    </row>
    <row r="2170" spans="1:8" x14ac:dyDescent="0.25">
      <c r="A2170" s="1">
        <v>1997</v>
      </c>
      <c r="B2170" s="1" t="s">
        <v>99</v>
      </c>
      <c r="C2170" t="s">
        <v>51</v>
      </c>
      <c r="D2170">
        <v>2</v>
      </c>
      <c r="E2170">
        <v>79</v>
      </c>
      <c r="F2170">
        <v>1.43</v>
      </c>
      <c r="G2170">
        <f>(F2170/0.6)/5</f>
        <v>0.47666666666666668</v>
      </c>
      <c r="H2170">
        <f>G2170*(26.79/38.29)</f>
        <v>0.33350483154870725</v>
      </c>
    </row>
    <row r="2171" spans="1:8" x14ac:dyDescent="0.25">
      <c r="A2171" s="1">
        <v>1997</v>
      </c>
      <c r="B2171" s="1" t="s">
        <v>99</v>
      </c>
      <c r="C2171" t="s">
        <v>51</v>
      </c>
      <c r="D2171">
        <v>2</v>
      </c>
      <c r="E2171">
        <v>79</v>
      </c>
      <c r="F2171">
        <v>0.06</v>
      </c>
      <c r="G2171">
        <f>(F2171/0.6)/5</f>
        <v>0.02</v>
      </c>
      <c r="H2171">
        <f>G2171*(26.79/38.29)</f>
        <v>1.3993209715330373E-2</v>
      </c>
    </row>
    <row r="2172" spans="1:8" x14ac:dyDescent="0.25">
      <c r="A2172" s="1">
        <v>1997</v>
      </c>
      <c r="B2172" s="1" t="s">
        <v>99</v>
      </c>
      <c r="C2172" t="s">
        <v>51</v>
      </c>
      <c r="D2172">
        <v>2</v>
      </c>
      <c r="E2172">
        <v>79</v>
      </c>
      <c r="F2172">
        <v>0.27</v>
      </c>
      <c r="G2172">
        <f>(F2172/0.6)/5</f>
        <v>9.0000000000000011E-2</v>
      </c>
      <c r="H2172">
        <f>G2172*(26.79/38.29)</f>
        <v>6.296944371898669E-2</v>
      </c>
    </row>
    <row r="2173" spans="1:8" x14ac:dyDescent="0.25">
      <c r="A2173" s="1">
        <v>1997</v>
      </c>
      <c r="B2173" s="1" t="s">
        <v>99</v>
      </c>
      <c r="C2173" t="s">
        <v>51</v>
      </c>
      <c r="D2173">
        <v>2</v>
      </c>
      <c r="E2173">
        <v>79</v>
      </c>
      <c r="F2173">
        <v>0.04</v>
      </c>
      <c r="G2173">
        <f>(F2173/0.6)/5</f>
        <v>1.3333333333333332E-2</v>
      </c>
      <c r="H2173">
        <f>G2173*(26.79/38.29)</f>
        <v>9.3288064768869139E-3</v>
      </c>
    </row>
    <row r="2174" spans="1:8" x14ac:dyDescent="0.25">
      <c r="A2174" s="1">
        <v>1997</v>
      </c>
      <c r="B2174" s="1" t="s">
        <v>99</v>
      </c>
      <c r="C2174" t="s">
        <v>51</v>
      </c>
      <c r="D2174">
        <v>2</v>
      </c>
      <c r="E2174">
        <v>79</v>
      </c>
      <c r="F2174">
        <v>1.1200000000000001</v>
      </c>
      <c r="G2174">
        <f>(F2174/0.6)/5</f>
        <v>0.37333333333333341</v>
      </c>
      <c r="H2174">
        <f>G2174*(26.79/38.29)</f>
        <v>0.26120658135283364</v>
      </c>
    </row>
    <row r="2175" spans="1:8" x14ac:dyDescent="0.25">
      <c r="A2175" s="1">
        <v>1997</v>
      </c>
      <c r="B2175" s="1" t="s">
        <v>99</v>
      </c>
      <c r="C2175" t="s">
        <v>51</v>
      </c>
      <c r="D2175">
        <v>2</v>
      </c>
      <c r="E2175">
        <v>79</v>
      </c>
      <c r="F2175">
        <v>0.85</v>
      </c>
      <c r="G2175">
        <f>(F2175/0.6)/5</f>
        <v>0.28333333333333333</v>
      </c>
      <c r="H2175">
        <f>G2175*(26.79/38.29)</f>
        <v>0.19823713763384693</v>
      </c>
    </row>
    <row r="2176" spans="1:8" x14ac:dyDescent="0.25">
      <c r="A2176" s="1">
        <v>1997</v>
      </c>
      <c r="B2176" s="1" t="s">
        <v>99</v>
      </c>
      <c r="C2176" t="s">
        <v>51</v>
      </c>
      <c r="D2176">
        <v>2</v>
      </c>
      <c r="E2176">
        <v>79</v>
      </c>
      <c r="F2176">
        <v>0.04</v>
      </c>
      <c r="G2176">
        <f>(F2176/0.6)/5</f>
        <v>1.3333333333333332E-2</v>
      </c>
      <c r="H2176">
        <f>G2176*(26.79/38.29)</f>
        <v>9.3288064768869139E-3</v>
      </c>
    </row>
    <row r="2177" spans="1:8" x14ac:dyDescent="0.25">
      <c r="A2177" s="1">
        <v>1997</v>
      </c>
      <c r="B2177" s="1" t="s">
        <v>99</v>
      </c>
      <c r="C2177" t="s">
        <v>51</v>
      </c>
      <c r="D2177">
        <v>2</v>
      </c>
      <c r="E2177">
        <v>79</v>
      </c>
      <c r="F2177">
        <v>0.15</v>
      </c>
      <c r="G2177">
        <f>(F2177/0.6)/5</f>
        <v>0.05</v>
      </c>
      <c r="H2177">
        <f>G2177*(26.79/38.29)</f>
        <v>3.4983024288325934E-2</v>
      </c>
    </row>
    <row r="2178" spans="1:8" x14ac:dyDescent="0.25">
      <c r="A2178" s="1">
        <v>1997</v>
      </c>
      <c r="B2178" s="1" t="s">
        <v>99</v>
      </c>
      <c r="C2178" t="s">
        <v>51</v>
      </c>
      <c r="D2178">
        <v>2</v>
      </c>
      <c r="E2178">
        <v>79</v>
      </c>
      <c r="F2178">
        <v>0.51</v>
      </c>
      <c r="G2178">
        <f>(F2178/0.6)/5</f>
        <v>0.17</v>
      </c>
      <c r="H2178">
        <f>G2178*(26.79/38.29)</f>
        <v>0.11894228258030817</v>
      </c>
    </row>
    <row r="2179" spans="1:8" x14ac:dyDescent="0.25">
      <c r="A2179" s="1">
        <v>1997</v>
      </c>
      <c r="B2179" s="1" t="s">
        <v>99</v>
      </c>
      <c r="C2179" t="s">
        <v>51</v>
      </c>
      <c r="D2179">
        <v>2</v>
      </c>
      <c r="E2179">
        <v>79</v>
      </c>
      <c r="F2179">
        <v>0.05</v>
      </c>
      <c r="G2179">
        <f>(F2179/0.6)/5</f>
        <v>1.666666666666667E-2</v>
      </c>
      <c r="H2179">
        <f>G2179*(26.79/38.29)</f>
        <v>1.1661008096108646E-2</v>
      </c>
    </row>
    <row r="2180" spans="1:8" x14ac:dyDescent="0.25">
      <c r="A2180" s="1">
        <v>1997</v>
      </c>
      <c r="B2180" s="1" t="s">
        <v>99</v>
      </c>
      <c r="C2180" t="s">
        <v>51</v>
      </c>
      <c r="D2180">
        <v>2</v>
      </c>
      <c r="E2180">
        <v>79</v>
      </c>
      <c r="F2180">
        <v>0.11</v>
      </c>
      <c r="G2180">
        <f>(F2180/0.6)/5</f>
        <v>3.6666666666666667E-2</v>
      </c>
      <c r="H2180">
        <f>G2180*(26.79/38.29)</f>
        <v>2.5654217811439017E-2</v>
      </c>
    </row>
    <row r="2181" spans="1:8" x14ac:dyDescent="0.25">
      <c r="A2181" s="1">
        <v>1997</v>
      </c>
      <c r="B2181" s="1" t="s">
        <v>99</v>
      </c>
      <c r="C2181" t="s">
        <v>51</v>
      </c>
      <c r="D2181">
        <v>2</v>
      </c>
      <c r="E2181">
        <v>79</v>
      </c>
      <c r="F2181">
        <v>0.38</v>
      </c>
      <c r="G2181">
        <f>(F2181/0.6)/5</f>
        <v>0.12666666666666668</v>
      </c>
      <c r="H2181">
        <f>G2181*(26.79/38.29)</f>
        <v>8.8623661530425696E-2</v>
      </c>
    </row>
    <row r="2182" spans="1:8" x14ac:dyDescent="0.25">
      <c r="A2182" s="1">
        <v>1997</v>
      </c>
      <c r="B2182" s="1" t="s">
        <v>99</v>
      </c>
      <c r="C2182" t="s">
        <v>51</v>
      </c>
      <c r="D2182">
        <v>2</v>
      </c>
      <c r="E2182">
        <v>79</v>
      </c>
      <c r="F2182">
        <v>0.18</v>
      </c>
      <c r="G2182">
        <f>(F2182/0.6)/5</f>
        <v>0.06</v>
      </c>
      <c r="H2182">
        <f>G2182*(26.79/38.29)</f>
        <v>4.1979629145991113E-2</v>
      </c>
    </row>
    <row r="2183" spans="1:8" x14ac:dyDescent="0.25">
      <c r="A2183" s="1">
        <v>1997</v>
      </c>
      <c r="B2183" s="1" t="s">
        <v>99</v>
      </c>
      <c r="C2183" t="s">
        <v>51</v>
      </c>
      <c r="D2183">
        <v>2</v>
      </c>
      <c r="E2183">
        <v>79</v>
      </c>
      <c r="F2183">
        <v>0.27</v>
      </c>
      <c r="G2183">
        <f>(F2183/0.6)/5</f>
        <v>9.0000000000000011E-2</v>
      </c>
      <c r="H2183">
        <f>G2183*(26.79/38.29)</f>
        <v>6.296944371898669E-2</v>
      </c>
    </row>
    <row r="2184" spans="1:8" x14ac:dyDescent="0.25">
      <c r="A2184" s="1">
        <v>1997</v>
      </c>
      <c r="B2184" s="1" t="s">
        <v>99</v>
      </c>
      <c r="C2184" t="s">
        <v>51</v>
      </c>
      <c r="D2184">
        <v>2</v>
      </c>
      <c r="E2184">
        <v>79</v>
      </c>
      <c r="F2184">
        <v>1.36</v>
      </c>
      <c r="G2184">
        <f>(F2184/0.6)/5</f>
        <v>0.45333333333333342</v>
      </c>
      <c r="H2184">
        <f>G2184*(26.79/38.29)</f>
        <v>0.31717942021415518</v>
      </c>
    </row>
    <row r="2185" spans="1:8" x14ac:dyDescent="0.25">
      <c r="A2185" s="1">
        <v>1997</v>
      </c>
      <c r="B2185" s="1" t="s">
        <v>99</v>
      </c>
      <c r="C2185" t="s">
        <v>51</v>
      </c>
      <c r="D2185">
        <v>2</v>
      </c>
      <c r="E2185">
        <v>79</v>
      </c>
      <c r="F2185">
        <v>0.13</v>
      </c>
      <c r="G2185">
        <f>(F2185/0.6)/5</f>
        <v>4.3333333333333335E-2</v>
      </c>
      <c r="H2185">
        <f>G2185*(26.79/38.29)</f>
        <v>3.0318621049882474E-2</v>
      </c>
    </row>
    <row r="2186" spans="1:8" x14ac:dyDescent="0.25">
      <c r="A2186" s="1">
        <v>1997</v>
      </c>
      <c r="B2186" s="1" t="s">
        <v>99</v>
      </c>
      <c r="C2186" t="s">
        <v>51</v>
      </c>
      <c r="D2186">
        <v>2</v>
      </c>
      <c r="E2186">
        <v>79</v>
      </c>
      <c r="F2186">
        <v>0.32</v>
      </c>
      <c r="G2186">
        <f>(F2186/0.6)/5</f>
        <v>0.10666666666666666</v>
      </c>
      <c r="H2186">
        <f>G2186*(26.79/38.29)</f>
        <v>7.4630451815095311E-2</v>
      </c>
    </row>
    <row r="2187" spans="1:8" x14ac:dyDescent="0.25">
      <c r="A2187" s="1">
        <v>1997</v>
      </c>
      <c r="B2187" s="1" t="s">
        <v>99</v>
      </c>
      <c r="C2187" t="s">
        <v>51</v>
      </c>
      <c r="D2187">
        <v>2</v>
      </c>
      <c r="E2187">
        <v>79</v>
      </c>
      <c r="F2187">
        <v>0.08</v>
      </c>
      <c r="G2187">
        <f>(F2187/0.6)/5</f>
        <v>2.6666666666666665E-2</v>
      </c>
      <c r="H2187">
        <f>G2187*(26.79/38.29)</f>
        <v>1.8657612953773828E-2</v>
      </c>
    </row>
    <row r="2188" spans="1:8" x14ac:dyDescent="0.25">
      <c r="A2188" s="1">
        <v>1997</v>
      </c>
      <c r="B2188" s="1" t="s">
        <v>99</v>
      </c>
      <c r="C2188" t="s">
        <v>51</v>
      </c>
      <c r="D2188">
        <v>2</v>
      </c>
      <c r="E2188">
        <v>85</v>
      </c>
      <c r="F2188">
        <v>0.04</v>
      </c>
      <c r="G2188">
        <f>(F2188/0.6)/5</f>
        <v>1.3333333333333332E-2</v>
      </c>
      <c r="H2188">
        <f>G2188*(26.79/38.29)</f>
        <v>9.3288064768869139E-3</v>
      </c>
    </row>
    <row r="2189" spans="1:8" x14ac:dyDescent="0.25">
      <c r="A2189" s="1">
        <v>1997</v>
      </c>
      <c r="B2189" s="1" t="s">
        <v>99</v>
      </c>
      <c r="C2189" t="s">
        <v>51</v>
      </c>
      <c r="D2189">
        <v>2</v>
      </c>
      <c r="E2189">
        <v>85</v>
      </c>
      <c r="F2189">
        <v>0.15</v>
      </c>
      <c r="G2189">
        <f>(F2189/0.6)/5</f>
        <v>0.05</v>
      </c>
      <c r="H2189">
        <f>G2189*(26.79/38.29)</f>
        <v>3.4983024288325934E-2</v>
      </c>
    </row>
    <row r="2190" spans="1:8" x14ac:dyDescent="0.25">
      <c r="A2190" s="1">
        <v>1997</v>
      </c>
      <c r="B2190" s="1" t="s">
        <v>99</v>
      </c>
      <c r="C2190" t="s">
        <v>51</v>
      </c>
      <c r="D2190">
        <v>2</v>
      </c>
      <c r="E2190">
        <v>85</v>
      </c>
      <c r="F2190">
        <v>0.05</v>
      </c>
      <c r="G2190">
        <f>(F2190/0.6)/5</f>
        <v>1.666666666666667E-2</v>
      </c>
      <c r="H2190">
        <f>G2190*(26.79/38.29)</f>
        <v>1.1661008096108646E-2</v>
      </c>
    </row>
    <row r="2191" spans="1:8" x14ac:dyDescent="0.25">
      <c r="A2191" s="1">
        <v>1997</v>
      </c>
      <c r="B2191" s="1" t="s">
        <v>99</v>
      </c>
      <c r="C2191" t="s">
        <v>51</v>
      </c>
      <c r="D2191">
        <v>2</v>
      </c>
      <c r="E2191">
        <v>85</v>
      </c>
      <c r="F2191">
        <v>0.1</v>
      </c>
      <c r="G2191">
        <f>(F2191/0.6)/5</f>
        <v>3.333333333333334E-2</v>
      </c>
      <c r="H2191">
        <f>G2191*(26.79/38.29)</f>
        <v>2.3322016192217292E-2</v>
      </c>
    </row>
    <row r="2192" spans="1:8" x14ac:dyDescent="0.25">
      <c r="A2192" s="1">
        <v>1997</v>
      </c>
      <c r="B2192" s="1" t="s">
        <v>99</v>
      </c>
      <c r="C2192" t="s">
        <v>51</v>
      </c>
      <c r="D2192">
        <v>3</v>
      </c>
      <c r="E2192">
        <v>21</v>
      </c>
      <c r="F2192">
        <v>0.05</v>
      </c>
      <c r="G2192">
        <f>(F2192/0.6)/5</f>
        <v>1.666666666666667E-2</v>
      </c>
      <c r="H2192">
        <f>G2192*(26.79/38.29)</f>
        <v>1.1661008096108646E-2</v>
      </c>
    </row>
    <row r="2193" spans="1:8" x14ac:dyDescent="0.25">
      <c r="A2193" s="1">
        <v>1997</v>
      </c>
      <c r="B2193" s="1" t="s">
        <v>99</v>
      </c>
      <c r="C2193" t="s">
        <v>51</v>
      </c>
      <c r="D2193">
        <v>3</v>
      </c>
      <c r="E2193">
        <v>21</v>
      </c>
      <c r="F2193">
        <v>1.38</v>
      </c>
      <c r="G2193">
        <f>(F2193/0.6)/5</f>
        <v>0.45999999999999996</v>
      </c>
      <c r="H2193">
        <f>G2193*(26.79/38.29)</f>
        <v>0.32184382345259854</v>
      </c>
    </row>
    <row r="2194" spans="1:8" x14ac:dyDescent="0.25">
      <c r="A2194" s="1">
        <v>1997</v>
      </c>
      <c r="B2194" s="1" t="s">
        <v>99</v>
      </c>
      <c r="C2194" t="s">
        <v>51</v>
      </c>
      <c r="D2194">
        <v>3</v>
      </c>
      <c r="E2194">
        <v>21</v>
      </c>
      <c r="F2194">
        <v>0.71</v>
      </c>
      <c r="G2194">
        <f>(F2194/0.6)/5</f>
        <v>0.23666666666666666</v>
      </c>
      <c r="H2194">
        <f>G2194*(26.79/38.29)</f>
        <v>0.16558631496474274</v>
      </c>
    </row>
    <row r="2195" spans="1:8" x14ac:dyDescent="0.25">
      <c r="A2195" s="1">
        <v>1997</v>
      </c>
      <c r="B2195" s="1" t="s">
        <v>99</v>
      </c>
      <c r="C2195" t="s">
        <v>51</v>
      </c>
      <c r="D2195">
        <v>3</v>
      </c>
      <c r="E2195">
        <v>25</v>
      </c>
      <c r="F2195">
        <v>0.05</v>
      </c>
      <c r="G2195">
        <f>(F2195/0.6)/5</f>
        <v>1.666666666666667E-2</v>
      </c>
      <c r="H2195">
        <f>G2195*(26.79/38.29)</f>
        <v>1.1661008096108646E-2</v>
      </c>
    </row>
    <row r="2196" spans="1:8" x14ac:dyDescent="0.25">
      <c r="A2196" s="1">
        <v>1997</v>
      </c>
      <c r="B2196" s="1" t="s">
        <v>99</v>
      </c>
      <c r="C2196" t="s">
        <v>51</v>
      </c>
      <c r="D2196">
        <v>3</v>
      </c>
      <c r="E2196">
        <v>28</v>
      </c>
      <c r="F2196">
        <v>7.0000000000000007E-2</v>
      </c>
      <c r="G2196">
        <f>(F2196/0.6)/5</f>
        <v>2.3333333333333338E-2</v>
      </c>
      <c r="H2196">
        <f>G2196*(26.79/38.29)</f>
        <v>1.6325411334552103E-2</v>
      </c>
    </row>
    <row r="2197" spans="1:8" x14ac:dyDescent="0.25">
      <c r="A2197" s="1">
        <v>1997</v>
      </c>
      <c r="B2197" s="1" t="s">
        <v>99</v>
      </c>
      <c r="C2197" t="s">
        <v>51</v>
      </c>
      <c r="D2197">
        <v>3</v>
      </c>
      <c r="E2197">
        <v>29</v>
      </c>
      <c r="F2197">
        <v>0.96</v>
      </c>
      <c r="G2197">
        <f>(F2197/0.6)/5</f>
        <v>0.32</v>
      </c>
      <c r="H2197">
        <f>G2197*(26.79/38.29)</f>
        <v>0.22389135544528596</v>
      </c>
    </row>
    <row r="2198" spans="1:8" x14ac:dyDescent="0.25">
      <c r="A2198" s="1">
        <v>1997</v>
      </c>
      <c r="B2198" s="1" t="s">
        <v>99</v>
      </c>
      <c r="C2198" t="s">
        <v>51</v>
      </c>
      <c r="D2198">
        <v>3</v>
      </c>
      <c r="E2198">
        <v>29</v>
      </c>
      <c r="F2198">
        <v>7.0000000000000007E-2</v>
      </c>
      <c r="G2198">
        <f>(F2198/0.6)/5</f>
        <v>2.3333333333333338E-2</v>
      </c>
      <c r="H2198">
        <f>G2198*(26.79/38.29)</f>
        <v>1.6325411334552103E-2</v>
      </c>
    </row>
    <row r="2199" spans="1:8" x14ac:dyDescent="0.25">
      <c r="A2199" s="1">
        <v>1997</v>
      </c>
      <c r="B2199" s="1" t="s">
        <v>99</v>
      </c>
      <c r="C2199" t="s">
        <v>51</v>
      </c>
      <c r="D2199">
        <v>3</v>
      </c>
      <c r="E2199">
        <v>29</v>
      </c>
      <c r="F2199">
        <v>0.08</v>
      </c>
      <c r="G2199">
        <f>(F2199/0.6)/5</f>
        <v>2.6666666666666665E-2</v>
      </c>
      <c r="H2199">
        <f>G2199*(26.79/38.29)</f>
        <v>1.8657612953773828E-2</v>
      </c>
    </row>
    <row r="2200" spans="1:8" x14ac:dyDescent="0.25">
      <c r="A2200" s="1">
        <v>1997</v>
      </c>
      <c r="B2200" s="1" t="s">
        <v>99</v>
      </c>
      <c r="C2200" t="s">
        <v>51</v>
      </c>
      <c r="D2200">
        <v>3</v>
      </c>
      <c r="E2200">
        <v>29</v>
      </c>
      <c r="F2200">
        <v>0.05</v>
      </c>
      <c r="G2200">
        <f>(F2200/0.6)/5</f>
        <v>1.666666666666667E-2</v>
      </c>
      <c r="H2200">
        <f>G2200*(26.79/38.29)</f>
        <v>1.1661008096108646E-2</v>
      </c>
    </row>
    <row r="2201" spans="1:8" x14ac:dyDescent="0.25">
      <c r="A2201" s="1">
        <v>1997</v>
      </c>
      <c r="B2201" s="1" t="s">
        <v>99</v>
      </c>
      <c r="C2201" t="s">
        <v>51</v>
      </c>
      <c r="D2201">
        <v>3</v>
      </c>
      <c r="E2201">
        <v>29</v>
      </c>
      <c r="F2201">
        <v>0.22</v>
      </c>
      <c r="G2201">
        <f>(F2201/0.6)/5</f>
        <v>7.3333333333333334E-2</v>
      </c>
      <c r="H2201">
        <f>G2201*(26.79/38.29)</f>
        <v>5.1308435622878033E-2</v>
      </c>
    </row>
    <row r="2202" spans="1:8" x14ac:dyDescent="0.25">
      <c r="A2202" s="1">
        <v>1997</v>
      </c>
      <c r="B2202" s="1" t="s">
        <v>99</v>
      </c>
      <c r="C2202" t="s">
        <v>51</v>
      </c>
      <c r="D2202">
        <v>3</v>
      </c>
      <c r="E2202">
        <v>29</v>
      </c>
      <c r="F2202">
        <v>0.06</v>
      </c>
      <c r="G2202">
        <f>(F2202/0.6)/5</f>
        <v>0.02</v>
      </c>
      <c r="H2202">
        <f>G2202*(26.79/38.29)</f>
        <v>1.3993209715330373E-2</v>
      </c>
    </row>
    <row r="2203" spans="1:8" x14ac:dyDescent="0.25">
      <c r="A2203" s="1">
        <v>1997</v>
      </c>
      <c r="B2203" s="1" t="s">
        <v>99</v>
      </c>
      <c r="C2203" t="s">
        <v>51</v>
      </c>
      <c r="D2203">
        <v>3</v>
      </c>
      <c r="E2203">
        <v>29</v>
      </c>
      <c r="F2203">
        <v>0.18</v>
      </c>
      <c r="G2203">
        <f>(F2203/0.6)/5</f>
        <v>0.06</v>
      </c>
      <c r="H2203">
        <f>G2203*(26.79/38.29)</f>
        <v>4.1979629145991113E-2</v>
      </c>
    </row>
    <row r="2204" spans="1:8" x14ac:dyDescent="0.25">
      <c r="A2204" s="1">
        <v>1997</v>
      </c>
      <c r="B2204" s="1" t="s">
        <v>99</v>
      </c>
      <c r="C2204" t="s">
        <v>51</v>
      </c>
      <c r="D2204">
        <v>3</v>
      </c>
      <c r="E2204">
        <v>29</v>
      </c>
      <c r="F2204">
        <v>0.45</v>
      </c>
      <c r="G2204">
        <f>(F2204/0.6)/5</f>
        <v>0.15</v>
      </c>
      <c r="H2204">
        <f>G2204*(26.79/38.29)</f>
        <v>0.10494907286497779</v>
      </c>
    </row>
    <row r="2205" spans="1:8" x14ac:dyDescent="0.25">
      <c r="A2205" s="1">
        <v>1997</v>
      </c>
      <c r="B2205" s="1" t="s">
        <v>99</v>
      </c>
      <c r="C2205" t="s">
        <v>51</v>
      </c>
      <c r="D2205">
        <v>3</v>
      </c>
      <c r="E2205">
        <v>29</v>
      </c>
      <c r="F2205">
        <v>0.72</v>
      </c>
      <c r="G2205">
        <f>(F2205/0.6)/5</f>
        <v>0.24</v>
      </c>
      <c r="H2205">
        <f>G2205*(26.79/38.29)</f>
        <v>0.16791851658396445</v>
      </c>
    </row>
    <row r="2206" spans="1:8" x14ac:dyDescent="0.25">
      <c r="A2206" s="1">
        <v>1997</v>
      </c>
      <c r="B2206" s="1" t="s">
        <v>99</v>
      </c>
      <c r="C2206" t="s">
        <v>51</v>
      </c>
      <c r="D2206">
        <v>3</v>
      </c>
      <c r="E2206">
        <v>29</v>
      </c>
      <c r="F2206">
        <v>0.47</v>
      </c>
      <c r="G2206">
        <f>(F2206/0.6)/5</f>
        <v>0.15666666666666668</v>
      </c>
      <c r="H2206">
        <f>G2206*(26.79/38.29)</f>
        <v>0.10961347610342126</v>
      </c>
    </row>
    <row r="2207" spans="1:8" x14ac:dyDescent="0.25">
      <c r="A2207" s="1">
        <v>1997</v>
      </c>
      <c r="B2207" s="1" t="s">
        <v>99</v>
      </c>
      <c r="C2207" t="s">
        <v>51</v>
      </c>
      <c r="D2207">
        <v>3</v>
      </c>
      <c r="E2207">
        <v>29</v>
      </c>
      <c r="F2207">
        <v>0.14000000000000001</v>
      </c>
      <c r="G2207">
        <f>(F2207/0.6)/5</f>
        <v>4.6666666666666676E-2</v>
      </c>
      <c r="H2207">
        <f>G2207*(26.79/38.29)</f>
        <v>3.2650822669104206E-2</v>
      </c>
    </row>
    <row r="2208" spans="1:8" x14ac:dyDescent="0.25">
      <c r="A2208" s="1">
        <v>1997</v>
      </c>
      <c r="B2208" s="1" t="s">
        <v>99</v>
      </c>
      <c r="C2208" t="s">
        <v>51</v>
      </c>
      <c r="D2208">
        <v>3</v>
      </c>
      <c r="E2208">
        <v>29</v>
      </c>
      <c r="F2208">
        <v>0.5</v>
      </c>
      <c r="G2208">
        <f>(F2208/0.6)/5</f>
        <v>0.16666666666666669</v>
      </c>
      <c r="H2208">
        <f>G2208*(26.79/38.29)</f>
        <v>0.11661008096108645</v>
      </c>
    </row>
    <row r="2209" spans="1:8" x14ac:dyDescent="0.25">
      <c r="A2209" s="1">
        <v>1997</v>
      </c>
      <c r="B2209" s="1" t="s">
        <v>99</v>
      </c>
      <c r="C2209" t="s">
        <v>51</v>
      </c>
      <c r="D2209">
        <v>3</v>
      </c>
      <c r="E2209">
        <v>29</v>
      </c>
      <c r="F2209">
        <v>0.22</v>
      </c>
      <c r="G2209">
        <f>(F2209/0.6)/5</f>
        <v>7.3333333333333334E-2</v>
      </c>
      <c r="H2209">
        <f>G2209*(26.79/38.29)</f>
        <v>5.1308435622878033E-2</v>
      </c>
    </row>
    <row r="2210" spans="1:8" x14ac:dyDescent="0.25">
      <c r="A2210" s="1">
        <v>1997</v>
      </c>
      <c r="B2210" s="1" t="s">
        <v>99</v>
      </c>
      <c r="C2210" t="s">
        <v>51</v>
      </c>
      <c r="D2210">
        <v>3</v>
      </c>
      <c r="E2210">
        <v>32</v>
      </c>
      <c r="F2210">
        <v>0.04</v>
      </c>
      <c r="G2210">
        <f>(F2210/0.6)/5</f>
        <v>1.3333333333333332E-2</v>
      </c>
      <c r="H2210">
        <f>G2210*(26.79/38.29)</f>
        <v>9.3288064768869139E-3</v>
      </c>
    </row>
    <row r="2211" spans="1:8" x14ac:dyDescent="0.25">
      <c r="A2211" s="1">
        <v>1997</v>
      </c>
      <c r="B2211" s="1" t="s">
        <v>99</v>
      </c>
      <c r="C2211" t="s">
        <v>51</v>
      </c>
      <c r="D2211">
        <v>3</v>
      </c>
      <c r="E2211">
        <v>32</v>
      </c>
      <c r="F2211">
        <v>0.64</v>
      </c>
      <c r="G2211">
        <f>(F2211/0.6)/5</f>
        <v>0.21333333333333332</v>
      </c>
      <c r="H2211">
        <f>G2211*(26.79/38.29)</f>
        <v>0.14926090363019062</v>
      </c>
    </row>
    <row r="2212" spans="1:8" x14ac:dyDescent="0.25">
      <c r="A2212" s="1">
        <v>1997</v>
      </c>
      <c r="B2212" s="1" t="s">
        <v>99</v>
      </c>
      <c r="C2212" t="s">
        <v>51</v>
      </c>
      <c r="D2212">
        <v>3</v>
      </c>
      <c r="E2212">
        <v>32</v>
      </c>
      <c r="F2212">
        <v>0.44</v>
      </c>
      <c r="G2212">
        <f>(F2212/0.6)/5</f>
        <v>0.14666666666666667</v>
      </c>
      <c r="H2212">
        <f>G2212*(26.79/38.29)</f>
        <v>0.10261687124575607</v>
      </c>
    </row>
    <row r="2213" spans="1:8" x14ac:dyDescent="0.25">
      <c r="A2213" s="1">
        <v>1997</v>
      </c>
      <c r="B2213" s="1" t="s">
        <v>99</v>
      </c>
      <c r="C2213" t="s">
        <v>51</v>
      </c>
      <c r="D2213">
        <v>3</v>
      </c>
      <c r="E2213">
        <v>32</v>
      </c>
      <c r="F2213">
        <v>0.11</v>
      </c>
      <c r="G2213">
        <f>(F2213/0.6)/5</f>
        <v>3.6666666666666667E-2</v>
      </c>
      <c r="H2213">
        <f>G2213*(26.79/38.29)</f>
        <v>2.5654217811439017E-2</v>
      </c>
    </row>
    <row r="2214" spans="1:8" x14ac:dyDescent="0.25">
      <c r="A2214" s="1">
        <v>1997</v>
      </c>
      <c r="B2214" s="1" t="s">
        <v>99</v>
      </c>
      <c r="C2214" t="s">
        <v>51</v>
      </c>
      <c r="D2214">
        <v>3</v>
      </c>
      <c r="E2214">
        <v>32</v>
      </c>
      <c r="F2214">
        <v>0.38</v>
      </c>
      <c r="G2214">
        <f>(F2214/0.6)/5</f>
        <v>0.12666666666666668</v>
      </c>
      <c r="H2214">
        <f>G2214*(26.79/38.29)</f>
        <v>8.8623661530425696E-2</v>
      </c>
    </row>
    <row r="2215" spans="1:8" x14ac:dyDescent="0.25">
      <c r="A2215" s="1">
        <v>1997</v>
      </c>
      <c r="B2215" s="1" t="s">
        <v>99</v>
      </c>
      <c r="C2215" t="s">
        <v>51</v>
      </c>
      <c r="D2215">
        <v>3</v>
      </c>
      <c r="E2215">
        <v>32</v>
      </c>
      <c r="F2215">
        <v>0.27</v>
      </c>
      <c r="G2215">
        <f>(F2215/0.6)/5</f>
        <v>9.0000000000000011E-2</v>
      </c>
      <c r="H2215">
        <f>G2215*(26.79/38.29)</f>
        <v>6.296944371898669E-2</v>
      </c>
    </row>
    <row r="2216" spans="1:8" x14ac:dyDescent="0.25">
      <c r="A2216" s="1">
        <v>1997</v>
      </c>
      <c r="B2216" s="1" t="s">
        <v>99</v>
      </c>
      <c r="C2216" t="s">
        <v>51</v>
      </c>
      <c r="D2216">
        <v>3</v>
      </c>
      <c r="E2216">
        <v>32</v>
      </c>
      <c r="F2216">
        <v>0.1</v>
      </c>
      <c r="G2216">
        <f>(F2216/0.6)/5</f>
        <v>3.333333333333334E-2</v>
      </c>
      <c r="H2216">
        <f>G2216*(26.79/38.29)</f>
        <v>2.3322016192217292E-2</v>
      </c>
    </row>
    <row r="2217" spans="1:8" x14ac:dyDescent="0.25">
      <c r="A2217" s="1">
        <v>1997</v>
      </c>
      <c r="B2217" s="1" t="s">
        <v>99</v>
      </c>
      <c r="C2217" t="s">
        <v>51</v>
      </c>
      <c r="D2217">
        <v>3</v>
      </c>
      <c r="E2217">
        <v>32</v>
      </c>
      <c r="F2217">
        <v>0.53</v>
      </c>
      <c r="G2217">
        <f>(F2217/0.6)/5</f>
        <v>0.17666666666666669</v>
      </c>
      <c r="H2217">
        <f>G2217*(26.79/38.29)</f>
        <v>0.12360668581875164</v>
      </c>
    </row>
    <row r="2218" spans="1:8" x14ac:dyDescent="0.25">
      <c r="A2218" s="1">
        <v>1997</v>
      </c>
      <c r="B2218" s="1" t="s">
        <v>99</v>
      </c>
      <c r="C2218" t="s">
        <v>51</v>
      </c>
      <c r="D2218">
        <v>3</v>
      </c>
      <c r="E2218">
        <v>32</v>
      </c>
      <c r="F2218">
        <v>0.15</v>
      </c>
      <c r="G2218">
        <f>(F2218/0.6)/5</f>
        <v>0.05</v>
      </c>
      <c r="H2218">
        <f>G2218*(26.79/38.29)</f>
        <v>3.4983024288325934E-2</v>
      </c>
    </row>
    <row r="2219" spans="1:8" x14ac:dyDescent="0.25">
      <c r="A2219" s="1">
        <v>1997</v>
      </c>
      <c r="B2219" s="1" t="s">
        <v>99</v>
      </c>
      <c r="C2219" t="s">
        <v>51</v>
      </c>
      <c r="D2219">
        <v>3</v>
      </c>
      <c r="E2219">
        <v>32</v>
      </c>
      <c r="F2219">
        <v>0.3</v>
      </c>
      <c r="G2219">
        <f>(F2219/0.6)/5</f>
        <v>0.1</v>
      </c>
      <c r="H2219">
        <f>G2219*(26.79/38.29)</f>
        <v>6.9966048576651868E-2</v>
      </c>
    </row>
    <row r="2220" spans="1:8" x14ac:dyDescent="0.25">
      <c r="A2220" s="1">
        <v>1997</v>
      </c>
      <c r="B2220" s="1" t="s">
        <v>99</v>
      </c>
      <c r="C2220" t="s">
        <v>51</v>
      </c>
      <c r="D2220">
        <v>3</v>
      </c>
      <c r="E2220">
        <v>32</v>
      </c>
      <c r="F2220">
        <v>0.48</v>
      </c>
      <c r="G2220">
        <f>(F2220/0.6)/5</f>
        <v>0.16</v>
      </c>
      <c r="H2220">
        <f>G2220*(26.79/38.29)</f>
        <v>0.11194567772264298</v>
      </c>
    </row>
    <row r="2221" spans="1:8" x14ac:dyDescent="0.25">
      <c r="A2221" s="1">
        <v>1997</v>
      </c>
      <c r="B2221" s="1" t="s">
        <v>99</v>
      </c>
      <c r="C2221" t="s">
        <v>51</v>
      </c>
      <c r="D2221">
        <v>3</v>
      </c>
      <c r="E2221">
        <v>32</v>
      </c>
      <c r="F2221">
        <v>0.04</v>
      </c>
      <c r="G2221">
        <f>(F2221/0.6)/5</f>
        <v>1.3333333333333332E-2</v>
      </c>
      <c r="H2221">
        <f>G2221*(26.79/38.29)</f>
        <v>9.3288064768869139E-3</v>
      </c>
    </row>
    <row r="2222" spans="1:8" x14ac:dyDescent="0.25">
      <c r="A2222" s="1">
        <v>1997</v>
      </c>
      <c r="B2222" s="1" t="s">
        <v>99</v>
      </c>
      <c r="C2222" t="s">
        <v>51</v>
      </c>
      <c r="D2222">
        <v>3</v>
      </c>
      <c r="E2222">
        <v>32</v>
      </c>
      <c r="F2222">
        <v>0.16</v>
      </c>
      <c r="G2222">
        <f>(F2222/0.6)/5</f>
        <v>5.333333333333333E-2</v>
      </c>
      <c r="H2222">
        <f>G2222*(26.79/38.29)</f>
        <v>3.7315225907547656E-2</v>
      </c>
    </row>
    <row r="2223" spans="1:8" x14ac:dyDescent="0.25">
      <c r="A2223" s="1">
        <v>1997</v>
      </c>
      <c r="B2223" s="1" t="s">
        <v>99</v>
      </c>
      <c r="C2223" t="s">
        <v>51</v>
      </c>
      <c r="D2223">
        <v>3</v>
      </c>
      <c r="E2223">
        <v>32</v>
      </c>
      <c r="F2223">
        <v>0.03</v>
      </c>
      <c r="G2223">
        <f>(F2223/0.6)/5</f>
        <v>0.01</v>
      </c>
      <c r="H2223">
        <f>G2223*(26.79/38.29)</f>
        <v>6.9966048576651863E-3</v>
      </c>
    </row>
    <row r="2224" spans="1:8" x14ac:dyDescent="0.25">
      <c r="A2224" s="1">
        <v>1997</v>
      </c>
      <c r="B2224" s="1" t="s">
        <v>99</v>
      </c>
      <c r="C2224" t="s">
        <v>51</v>
      </c>
      <c r="D2224">
        <v>3</v>
      </c>
      <c r="E2224">
        <v>32</v>
      </c>
      <c r="F2224">
        <v>0.25</v>
      </c>
      <c r="G2224">
        <f>(F2224/0.6)/5</f>
        <v>8.3333333333333343E-2</v>
      </c>
      <c r="H2224">
        <f>G2224*(26.79/38.29)</f>
        <v>5.8305040480543226E-2</v>
      </c>
    </row>
    <row r="2225" spans="1:8" x14ac:dyDescent="0.25">
      <c r="A2225" s="1">
        <v>1997</v>
      </c>
      <c r="B2225" s="1" t="s">
        <v>99</v>
      </c>
      <c r="C2225" t="s">
        <v>51</v>
      </c>
      <c r="D2225">
        <v>3</v>
      </c>
      <c r="E2225">
        <v>32</v>
      </c>
      <c r="F2225">
        <v>0.05</v>
      </c>
      <c r="G2225">
        <f>(F2225/0.6)/5</f>
        <v>1.666666666666667E-2</v>
      </c>
      <c r="H2225">
        <f>G2225*(26.79/38.29)</f>
        <v>1.1661008096108646E-2</v>
      </c>
    </row>
    <row r="2226" spans="1:8" x14ac:dyDescent="0.25">
      <c r="A2226" s="1">
        <v>1997</v>
      </c>
      <c r="B2226" s="1" t="s">
        <v>99</v>
      </c>
      <c r="C2226" t="s">
        <v>51</v>
      </c>
      <c r="D2226">
        <v>3</v>
      </c>
      <c r="E2226">
        <v>32</v>
      </c>
      <c r="F2226">
        <v>0.11</v>
      </c>
      <c r="G2226">
        <f>(F2226/0.6)/5</f>
        <v>3.6666666666666667E-2</v>
      </c>
      <c r="H2226">
        <f>G2226*(26.79/38.29)</f>
        <v>2.5654217811439017E-2</v>
      </c>
    </row>
    <row r="2227" spans="1:8" x14ac:dyDescent="0.25">
      <c r="A2227" s="1">
        <v>1997</v>
      </c>
      <c r="B2227" s="1" t="s">
        <v>99</v>
      </c>
      <c r="C2227" t="s">
        <v>51</v>
      </c>
      <c r="D2227">
        <v>3</v>
      </c>
      <c r="E2227">
        <v>32</v>
      </c>
      <c r="F2227">
        <v>0.75</v>
      </c>
      <c r="G2227">
        <f>(F2227/0.6)/5</f>
        <v>0.25</v>
      </c>
      <c r="H2227">
        <f>G2227*(26.79/38.29)</f>
        <v>0.17491512144162966</v>
      </c>
    </row>
    <row r="2228" spans="1:8" x14ac:dyDescent="0.25">
      <c r="A2228" s="1">
        <v>1997</v>
      </c>
      <c r="B2228" s="1" t="s">
        <v>99</v>
      </c>
      <c r="C2228" t="s">
        <v>51</v>
      </c>
      <c r="D2228">
        <v>3</v>
      </c>
      <c r="E2228">
        <v>32</v>
      </c>
      <c r="F2228">
        <v>0.12</v>
      </c>
      <c r="G2228">
        <f>(F2228/0.6)/5</f>
        <v>0.04</v>
      </c>
      <c r="H2228">
        <f>G2228*(26.79/38.29)</f>
        <v>2.7986419430660745E-2</v>
      </c>
    </row>
    <row r="2229" spans="1:8" x14ac:dyDescent="0.25">
      <c r="A2229" s="1">
        <v>1997</v>
      </c>
      <c r="B2229" s="1" t="s">
        <v>99</v>
      </c>
      <c r="C2229" t="s">
        <v>51</v>
      </c>
      <c r="D2229">
        <v>3</v>
      </c>
      <c r="E2229">
        <v>32</v>
      </c>
      <c r="F2229">
        <v>0.22</v>
      </c>
      <c r="G2229">
        <f>(F2229/0.6)/5</f>
        <v>7.3333333333333334E-2</v>
      </c>
      <c r="H2229">
        <f>G2229*(26.79/38.29)</f>
        <v>5.1308435622878033E-2</v>
      </c>
    </row>
    <row r="2230" spans="1:8" x14ac:dyDescent="0.25">
      <c r="A2230" s="1">
        <v>1997</v>
      </c>
      <c r="B2230" s="1" t="s">
        <v>99</v>
      </c>
      <c r="C2230" t="s">
        <v>51</v>
      </c>
      <c r="D2230">
        <v>3</v>
      </c>
      <c r="E2230">
        <v>32</v>
      </c>
      <c r="F2230">
        <v>0.19</v>
      </c>
      <c r="G2230">
        <f>(F2230/0.6)/5</f>
        <v>6.3333333333333339E-2</v>
      </c>
      <c r="H2230">
        <f>G2230*(26.79/38.29)</f>
        <v>4.4311830765212848E-2</v>
      </c>
    </row>
    <row r="2231" spans="1:8" x14ac:dyDescent="0.25">
      <c r="A2231" s="1">
        <v>1997</v>
      </c>
      <c r="B2231" s="1" t="s">
        <v>99</v>
      </c>
      <c r="C2231" t="s">
        <v>51</v>
      </c>
      <c r="D2231">
        <v>3</v>
      </c>
      <c r="E2231">
        <v>32</v>
      </c>
      <c r="F2231">
        <v>0.22</v>
      </c>
      <c r="G2231">
        <f>(F2231/0.6)/5</f>
        <v>7.3333333333333334E-2</v>
      </c>
      <c r="H2231">
        <f>G2231*(26.79/38.29)</f>
        <v>5.1308435622878033E-2</v>
      </c>
    </row>
    <row r="2232" spans="1:8" x14ac:dyDescent="0.25">
      <c r="A2232" s="1">
        <v>1997</v>
      </c>
      <c r="B2232" s="1" t="s">
        <v>99</v>
      </c>
      <c r="C2232" t="s">
        <v>51</v>
      </c>
      <c r="D2232">
        <v>3</v>
      </c>
      <c r="E2232">
        <v>34</v>
      </c>
      <c r="F2232">
        <v>0.34</v>
      </c>
      <c r="G2232">
        <f>(F2232/0.6)/5</f>
        <v>0.11333333333333336</v>
      </c>
      <c r="H2232">
        <f>G2232*(26.79/38.29)</f>
        <v>7.9294855053538796E-2</v>
      </c>
    </row>
    <row r="2233" spans="1:8" x14ac:dyDescent="0.25">
      <c r="A2233" s="1">
        <v>1997</v>
      </c>
      <c r="B2233" s="1" t="s">
        <v>99</v>
      </c>
      <c r="C2233" t="s">
        <v>51</v>
      </c>
      <c r="D2233">
        <v>3</v>
      </c>
      <c r="E2233">
        <v>34</v>
      </c>
      <c r="F2233">
        <v>0.31</v>
      </c>
      <c r="G2233">
        <f>(F2233/0.6)/5</f>
        <v>0.10333333333333335</v>
      </c>
      <c r="H2233">
        <f>G2233*(26.79/38.29)</f>
        <v>7.2298250195873603E-2</v>
      </c>
    </row>
    <row r="2234" spans="1:8" x14ac:dyDescent="0.25">
      <c r="A2234" s="1">
        <v>1997</v>
      </c>
      <c r="B2234" s="1" t="s">
        <v>99</v>
      </c>
      <c r="C2234" t="s">
        <v>51</v>
      </c>
      <c r="D2234">
        <v>3</v>
      </c>
      <c r="E2234">
        <v>34</v>
      </c>
      <c r="F2234">
        <v>0.65</v>
      </c>
      <c r="G2234">
        <f>(F2234/0.6)/5</f>
        <v>0.2166666666666667</v>
      </c>
      <c r="H2234">
        <f>G2234*(26.79/38.29)</f>
        <v>0.15159310524941239</v>
      </c>
    </row>
    <row r="2235" spans="1:8" x14ac:dyDescent="0.25">
      <c r="A2235" s="1">
        <v>1997</v>
      </c>
      <c r="B2235" s="1" t="s">
        <v>99</v>
      </c>
      <c r="C2235" t="s">
        <v>51</v>
      </c>
      <c r="D2235">
        <v>3</v>
      </c>
      <c r="E2235">
        <v>38</v>
      </c>
      <c r="F2235">
        <v>0.24</v>
      </c>
      <c r="G2235">
        <f>(F2235/0.6)/5</f>
        <v>0.08</v>
      </c>
      <c r="H2235">
        <f>G2235*(26.79/38.29)</f>
        <v>5.597283886132149E-2</v>
      </c>
    </row>
    <row r="2236" spans="1:8" x14ac:dyDescent="0.25">
      <c r="A2236" s="1">
        <v>1997</v>
      </c>
      <c r="B2236" s="1" t="s">
        <v>99</v>
      </c>
      <c r="C2236" t="s">
        <v>51</v>
      </c>
      <c r="D2236">
        <v>3</v>
      </c>
      <c r="E2236">
        <v>38</v>
      </c>
      <c r="F2236">
        <v>0.37</v>
      </c>
      <c r="G2236">
        <f>(F2236/0.6)/5</f>
        <v>0.12333333333333334</v>
      </c>
      <c r="H2236">
        <f>G2236*(26.79/38.29)</f>
        <v>8.629145991120396E-2</v>
      </c>
    </row>
    <row r="2237" spans="1:8" x14ac:dyDescent="0.25">
      <c r="A2237" s="1">
        <v>1997</v>
      </c>
      <c r="B2237" s="1" t="s">
        <v>99</v>
      </c>
      <c r="C2237" t="s">
        <v>51</v>
      </c>
      <c r="D2237">
        <v>3</v>
      </c>
      <c r="E2237">
        <v>38</v>
      </c>
      <c r="F2237">
        <v>0.49</v>
      </c>
      <c r="G2237">
        <f>(F2237/0.6)/5</f>
        <v>0.16333333333333333</v>
      </c>
      <c r="H2237">
        <f>G2237*(26.79/38.29)</f>
        <v>0.1142778793418647</v>
      </c>
    </row>
    <row r="2238" spans="1:8" x14ac:dyDescent="0.25">
      <c r="A2238" s="1">
        <v>1997</v>
      </c>
      <c r="B2238" s="1" t="s">
        <v>99</v>
      </c>
      <c r="C2238" t="s">
        <v>51</v>
      </c>
      <c r="D2238">
        <v>3</v>
      </c>
      <c r="E2238">
        <v>38</v>
      </c>
      <c r="F2238">
        <v>1.29</v>
      </c>
      <c r="G2238">
        <f>(F2238/0.6)/5</f>
        <v>0.43000000000000005</v>
      </c>
      <c r="H2238">
        <f>G2238*(26.79/38.29)</f>
        <v>0.30085400887960306</v>
      </c>
    </row>
    <row r="2239" spans="1:8" x14ac:dyDescent="0.25">
      <c r="A2239" s="1">
        <v>1997</v>
      </c>
      <c r="B2239" s="1" t="s">
        <v>99</v>
      </c>
      <c r="C2239" t="s">
        <v>51</v>
      </c>
      <c r="D2239">
        <v>3</v>
      </c>
      <c r="E2239">
        <v>38</v>
      </c>
      <c r="F2239">
        <v>0.62</v>
      </c>
      <c r="G2239">
        <f>(F2239/0.6)/5</f>
        <v>0.20666666666666669</v>
      </c>
      <c r="H2239">
        <f>G2239*(26.79/38.29)</f>
        <v>0.14459650039174721</v>
      </c>
    </row>
    <row r="2240" spans="1:8" x14ac:dyDescent="0.25">
      <c r="A2240" s="1">
        <v>1997</v>
      </c>
      <c r="B2240" s="1" t="s">
        <v>99</v>
      </c>
      <c r="C2240" t="s">
        <v>51</v>
      </c>
      <c r="D2240">
        <v>3</v>
      </c>
      <c r="E2240">
        <v>38</v>
      </c>
      <c r="F2240">
        <v>1.83</v>
      </c>
      <c r="G2240">
        <f>(F2240/0.6)/5</f>
        <v>0.6100000000000001</v>
      </c>
      <c r="H2240">
        <f>G2240*(26.79/38.29)</f>
        <v>0.42679289631757644</v>
      </c>
    </row>
    <row r="2241" spans="1:8" x14ac:dyDescent="0.25">
      <c r="A2241" s="1">
        <v>1997</v>
      </c>
      <c r="B2241" s="1" t="s">
        <v>99</v>
      </c>
      <c r="C2241" t="s">
        <v>51</v>
      </c>
      <c r="D2241">
        <v>3</v>
      </c>
      <c r="E2241">
        <v>38</v>
      </c>
      <c r="F2241">
        <v>1.07</v>
      </c>
      <c r="G2241">
        <f>(F2241/0.6)/5</f>
        <v>0.35666666666666669</v>
      </c>
      <c r="H2241">
        <f>G2241*(26.79/38.29)</f>
        <v>0.249545573256725</v>
      </c>
    </row>
    <row r="2242" spans="1:8" x14ac:dyDescent="0.25">
      <c r="A2242" s="1">
        <v>1997</v>
      </c>
      <c r="B2242" s="1" t="s">
        <v>99</v>
      </c>
      <c r="C2242" t="s">
        <v>51</v>
      </c>
      <c r="D2242">
        <v>3</v>
      </c>
      <c r="E2242">
        <v>38</v>
      </c>
      <c r="F2242">
        <v>0.68</v>
      </c>
      <c r="G2242">
        <f>(F2242/0.6)/5</f>
        <v>0.22666666666666671</v>
      </c>
      <c r="H2242">
        <f>G2242*(26.79/38.29)</f>
        <v>0.15858971010707759</v>
      </c>
    </row>
    <row r="2243" spans="1:8" x14ac:dyDescent="0.25">
      <c r="A2243" s="1">
        <v>1997</v>
      </c>
      <c r="B2243" s="1" t="s">
        <v>99</v>
      </c>
      <c r="C2243" t="s">
        <v>51</v>
      </c>
      <c r="D2243">
        <v>3</v>
      </c>
      <c r="E2243">
        <v>40</v>
      </c>
      <c r="F2243">
        <v>0.38</v>
      </c>
      <c r="G2243">
        <f>(F2243/0.6)/5</f>
        <v>0.12666666666666668</v>
      </c>
      <c r="H2243">
        <f>G2243*(26.79/38.29)</f>
        <v>8.8623661530425696E-2</v>
      </c>
    </row>
    <row r="2244" spans="1:8" x14ac:dyDescent="0.25">
      <c r="A2244" s="1">
        <v>1997</v>
      </c>
      <c r="B2244" s="1" t="s">
        <v>99</v>
      </c>
      <c r="C2244" t="s">
        <v>51</v>
      </c>
      <c r="D2244">
        <v>3</v>
      </c>
      <c r="E2244">
        <v>40</v>
      </c>
      <c r="F2244">
        <v>0.1</v>
      </c>
      <c r="G2244">
        <f>(F2244/0.6)/5</f>
        <v>3.333333333333334E-2</v>
      </c>
      <c r="H2244">
        <f>G2244*(26.79/38.29)</f>
        <v>2.3322016192217292E-2</v>
      </c>
    </row>
    <row r="2245" spans="1:8" x14ac:dyDescent="0.25">
      <c r="A2245" s="1">
        <v>1997</v>
      </c>
      <c r="B2245" s="1" t="s">
        <v>99</v>
      </c>
      <c r="C2245" t="s">
        <v>51</v>
      </c>
      <c r="D2245">
        <v>3</v>
      </c>
      <c r="E2245">
        <v>40</v>
      </c>
      <c r="F2245">
        <v>1.04</v>
      </c>
      <c r="G2245">
        <f>(F2245/0.6)/5</f>
        <v>0.34666666666666668</v>
      </c>
      <c r="H2245">
        <f>G2245*(26.79/38.29)</f>
        <v>0.24254896839905979</v>
      </c>
    </row>
    <row r="2246" spans="1:8" x14ac:dyDescent="0.25">
      <c r="A2246" s="1">
        <v>1997</v>
      </c>
      <c r="B2246" s="1" t="s">
        <v>99</v>
      </c>
      <c r="C2246" t="s">
        <v>51</v>
      </c>
      <c r="D2246">
        <v>3</v>
      </c>
      <c r="E2246">
        <v>40</v>
      </c>
      <c r="F2246">
        <v>1.38</v>
      </c>
      <c r="G2246">
        <f>(F2246/0.6)/5</f>
        <v>0.45999999999999996</v>
      </c>
      <c r="H2246">
        <f>G2246*(26.79/38.29)</f>
        <v>0.32184382345259854</v>
      </c>
    </row>
    <row r="2247" spans="1:8" x14ac:dyDescent="0.25">
      <c r="A2247" s="1">
        <v>1997</v>
      </c>
      <c r="B2247" s="1" t="s">
        <v>99</v>
      </c>
      <c r="C2247" t="s">
        <v>51</v>
      </c>
      <c r="D2247">
        <v>3</v>
      </c>
      <c r="E2247">
        <v>40</v>
      </c>
      <c r="F2247">
        <v>0.96</v>
      </c>
      <c r="G2247">
        <f>(F2247/0.6)/5</f>
        <v>0.32</v>
      </c>
      <c r="H2247">
        <f>G2247*(26.79/38.29)</f>
        <v>0.22389135544528596</v>
      </c>
    </row>
    <row r="2248" spans="1:8" x14ac:dyDescent="0.25">
      <c r="A2248" s="1">
        <v>1997</v>
      </c>
      <c r="B2248" s="1" t="s">
        <v>99</v>
      </c>
      <c r="C2248" t="s">
        <v>51</v>
      </c>
      <c r="D2248">
        <v>3</v>
      </c>
      <c r="E2248">
        <v>40</v>
      </c>
      <c r="F2248">
        <v>1.23</v>
      </c>
      <c r="G2248">
        <f>(F2248/0.6)/5</f>
        <v>0.41000000000000003</v>
      </c>
      <c r="H2248">
        <f>G2248*(26.79/38.29)</f>
        <v>0.28686079916427265</v>
      </c>
    </row>
    <row r="2249" spans="1:8" x14ac:dyDescent="0.25">
      <c r="A2249" s="1">
        <v>1997</v>
      </c>
      <c r="B2249" s="1" t="s">
        <v>99</v>
      </c>
      <c r="C2249" t="s">
        <v>51</v>
      </c>
      <c r="D2249">
        <v>3</v>
      </c>
      <c r="E2249">
        <v>40</v>
      </c>
      <c r="F2249">
        <v>1.85</v>
      </c>
      <c r="G2249">
        <f>(F2249/0.6)/5</f>
        <v>0.6166666666666667</v>
      </c>
      <c r="H2249">
        <f>G2249*(26.79/38.29)</f>
        <v>0.43145729955601986</v>
      </c>
    </row>
    <row r="2250" spans="1:8" x14ac:dyDescent="0.25">
      <c r="A2250" s="1">
        <v>1997</v>
      </c>
      <c r="B2250" s="1" t="s">
        <v>99</v>
      </c>
      <c r="C2250" t="s">
        <v>51</v>
      </c>
      <c r="D2250">
        <v>3</v>
      </c>
      <c r="E2250">
        <v>40</v>
      </c>
      <c r="F2250">
        <v>1.1499999999999999</v>
      </c>
      <c r="G2250">
        <f>(F2250/0.6)/5</f>
        <v>0.3833333333333333</v>
      </c>
      <c r="H2250">
        <f>G2250*(26.79/38.29)</f>
        <v>0.26820318621049877</v>
      </c>
    </row>
    <row r="2251" spans="1:8" x14ac:dyDescent="0.25">
      <c r="A2251" s="1">
        <v>1997</v>
      </c>
      <c r="B2251" s="1" t="s">
        <v>99</v>
      </c>
      <c r="C2251" t="s">
        <v>51</v>
      </c>
      <c r="D2251">
        <v>3</v>
      </c>
      <c r="E2251">
        <v>40</v>
      </c>
      <c r="F2251">
        <v>1.1299999999999999</v>
      </c>
      <c r="G2251">
        <f>(F2251/0.6)/5</f>
        <v>0.37666666666666665</v>
      </c>
      <c r="H2251">
        <f>G2251*(26.79/38.29)</f>
        <v>0.26353878297205535</v>
      </c>
    </row>
    <row r="2252" spans="1:8" x14ac:dyDescent="0.25">
      <c r="A2252" s="1">
        <v>1997</v>
      </c>
      <c r="B2252" s="1" t="s">
        <v>99</v>
      </c>
      <c r="C2252" t="s">
        <v>51</v>
      </c>
      <c r="D2252">
        <v>3</v>
      </c>
      <c r="E2252">
        <v>40</v>
      </c>
      <c r="F2252">
        <v>0.17</v>
      </c>
      <c r="G2252">
        <f>(F2252/0.6)/5</f>
        <v>5.6666666666666678E-2</v>
      </c>
      <c r="H2252">
        <f>G2252*(26.79/38.29)</f>
        <v>3.9647427526769398E-2</v>
      </c>
    </row>
    <row r="2253" spans="1:8" x14ac:dyDescent="0.25">
      <c r="A2253" s="1">
        <v>1997</v>
      </c>
      <c r="B2253" s="1" t="s">
        <v>99</v>
      </c>
      <c r="C2253" t="s">
        <v>51</v>
      </c>
      <c r="D2253">
        <v>3</v>
      </c>
      <c r="E2253">
        <v>47</v>
      </c>
      <c r="F2253">
        <v>0.62</v>
      </c>
      <c r="G2253">
        <f>(F2253/0.6)/5</f>
        <v>0.20666666666666669</v>
      </c>
      <c r="H2253">
        <f>G2253*(26.79/38.29)</f>
        <v>0.14459650039174721</v>
      </c>
    </row>
    <row r="2254" spans="1:8" x14ac:dyDescent="0.25">
      <c r="A2254" s="1">
        <v>1997</v>
      </c>
      <c r="B2254" s="1" t="s">
        <v>99</v>
      </c>
      <c r="C2254" t="s">
        <v>51</v>
      </c>
      <c r="D2254">
        <v>3</v>
      </c>
      <c r="E2254">
        <v>53</v>
      </c>
      <c r="F2254">
        <v>1.36</v>
      </c>
      <c r="G2254">
        <f>(F2254/0.6)/5</f>
        <v>0.45333333333333342</v>
      </c>
      <c r="H2254">
        <f>G2254*(26.79/38.29)</f>
        <v>0.31717942021415518</v>
      </c>
    </row>
    <row r="2255" spans="1:8" x14ac:dyDescent="0.25">
      <c r="A2255" s="1">
        <v>1997</v>
      </c>
      <c r="B2255" s="1" t="s">
        <v>99</v>
      </c>
      <c r="C2255" t="s">
        <v>51</v>
      </c>
      <c r="D2255">
        <v>3</v>
      </c>
      <c r="E2255">
        <v>53</v>
      </c>
      <c r="F2255">
        <v>0.13</v>
      </c>
      <c r="G2255">
        <f>(F2255/0.6)/5</f>
        <v>4.3333333333333335E-2</v>
      </c>
      <c r="H2255">
        <f>G2255*(26.79/38.29)</f>
        <v>3.0318621049882474E-2</v>
      </c>
    </row>
    <row r="2256" spans="1:8" x14ac:dyDescent="0.25">
      <c r="A2256" s="1">
        <v>1997</v>
      </c>
      <c r="B2256" s="1" t="s">
        <v>99</v>
      </c>
      <c r="C2256" t="s">
        <v>51</v>
      </c>
      <c r="D2256">
        <v>3</v>
      </c>
      <c r="E2256">
        <v>53</v>
      </c>
      <c r="F2256">
        <v>0.23</v>
      </c>
      <c r="G2256">
        <f>(F2256/0.6)/5</f>
        <v>7.6666666666666675E-2</v>
      </c>
      <c r="H2256">
        <f>G2256*(26.79/38.29)</f>
        <v>5.3640637242099769E-2</v>
      </c>
    </row>
    <row r="2257" spans="1:8" x14ac:dyDescent="0.25">
      <c r="A2257" s="1">
        <v>1997</v>
      </c>
      <c r="B2257" s="1" t="s">
        <v>99</v>
      </c>
      <c r="C2257" t="s">
        <v>51</v>
      </c>
      <c r="D2257">
        <v>3</v>
      </c>
      <c r="E2257">
        <v>53</v>
      </c>
      <c r="F2257">
        <v>7.0000000000000007E-2</v>
      </c>
      <c r="G2257">
        <f>(F2257/0.6)/5</f>
        <v>2.3333333333333338E-2</v>
      </c>
      <c r="H2257">
        <f>G2257*(26.79/38.29)</f>
        <v>1.6325411334552103E-2</v>
      </c>
    </row>
    <row r="2258" spans="1:8" x14ac:dyDescent="0.25">
      <c r="A2258" s="1">
        <v>1997</v>
      </c>
      <c r="B2258" s="1" t="s">
        <v>99</v>
      </c>
      <c r="C2258" t="s">
        <v>51</v>
      </c>
      <c r="D2258">
        <v>3</v>
      </c>
      <c r="E2258">
        <v>53</v>
      </c>
      <c r="F2258">
        <v>0.06</v>
      </c>
      <c r="G2258">
        <f>(F2258/0.6)/5</f>
        <v>0.02</v>
      </c>
      <c r="H2258">
        <f>G2258*(26.79/38.29)</f>
        <v>1.3993209715330373E-2</v>
      </c>
    </row>
    <row r="2259" spans="1:8" x14ac:dyDescent="0.25">
      <c r="A2259" s="1">
        <v>1997</v>
      </c>
      <c r="B2259" s="1" t="s">
        <v>99</v>
      </c>
      <c r="C2259" t="s">
        <v>51</v>
      </c>
      <c r="D2259">
        <v>3</v>
      </c>
      <c r="E2259">
        <v>53</v>
      </c>
      <c r="F2259">
        <v>7.0000000000000007E-2</v>
      </c>
      <c r="G2259">
        <f>(F2259/0.6)/5</f>
        <v>2.3333333333333338E-2</v>
      </c>
      <c r="H2259">
        <f>G2259*(26.79/38.29)</f>
        <v>1.6325411334552103E-2</v>
      </c>
    </row>
    <row r="2260" spans="1:8" x14ac:dyDescent="0.25">
      <c r="A2260" s="1">
        <v>1997</v>
      </c>
      <c r="B2260" s="1" t="s">
        <v>99</v>
      </c>
      <c r="C2260" t="s">
        <v>51</v>
      </c>
      <c r="D2260">
        <v>3</v>
      </c>
      <c r="E2260">
        <v>53</v>
      </c>
      <c r="F2260">
        <v>0.28000000000000003</v>
      </c>
      <c r="G2260">
        <f>(F2260/0.6)/5</f>
        <v>9.3333333333333351E-2</v>
      </c>
      <c r="H2260">
        <f>G2260*(26.79/38.29)</f>
        <v>6.5301645338208411E-2</v>
      </c>
    </row>
    <row r="2261" spans="1:8" x14ac:dyDescent="0.25">
      <c r="A2261" s="1">
        <v>1997</v>
      </c>
      <c r="B2261" s="1" t="s">
        <v>99</v>
      </c>
      <c r="C2261" t="s">
        <v>51</v>
      </c>
      <c r="D2261">
        <v>3</v>
      </c>
      <c r="E2261">
        <v>54</v>
      </c>
      <c r="F2261">
        <v>0.04</v>
      </c>
      <c r="G2261">
        <f>(F2261/0.6)/5</f>
        <v>1.3333333333333332E-2</v>
      </c>
      <c r="H2261">
        <f>G2261*(26.79/38.29)</f>
        <v>9.3288064768869139E-3</v>
      </c>
    </row>
    <row r="2262" spans="1:8" x14ac:dyDescent="0.25">
      <c r="A2262" s="1">
        <v>1997</v>
      </c>
      <c r="B2262" s="1" t="s">
        <v>99</v>
      </c>
      <c r="C2262" t="s">
        <v>51</v>
      </c>
      <c r="D2262">
        <v>3</v>
      </c>
      <c r="E2262">
        <v>54</v>
      </c>
      <c r="F2262">
        <v>0.37</v>
      </c>
      <c r="G2262">
        <f>(F2262/0.6)/5</f>
        <v>0.12333333333333334</v>
      </c>
      <c r="H2262">
        <f>G2262*(26.79/38.29)</f>
        <v>8.629145991120396E-2</v>
      </c>
    </row>
    <row r="2263" spans="1:8" x14ac:dyDescent="0.25">
      <c r="A2263" s="1">
        <v>1997</v>
      </c>
      <c r="B2263" s="1" t="s">
        <v>99</v>
      </c>
      <c r="C2263" t="s">
        <v>51</v>
      </c>
      <c r="D2263">
        <v>3</v>
      </c>
      <c r="E2263">
        <v>54</v>
      </c>
      <c r="F2263">
        <v>0.22</v>
      </c>
      <c r="G2263">
        <f>(F2263/0.6)/5</f>
        <v>7.3333333333333334E-2</v>
      </c>
      <c r="H2263">
        <f>G2263*(26.79/38.29)</f>
        <v>5.1308435622878033E-2</v>
      </c>
    </row>
    <row r="2264" spans="1:8" x14ac:dyDescent="0.25">
      <c r="A2264" s="1">
        <v>1997</v>
      </c>
      <c r="B2264" s="1" t="s">
        <v>99</v>
      </c>
      <c r="C2264" t="s">
        <v>51</v>
      </c>
      <c r="D2264">
        <v>3</v>
      </c>
      <c r="E2264">
        <v>54</v>
      </c>
      <c r="F2264">
        <v>0.18</v>
      </c>
      <c r="G2264">
        <f>(F2264/0.6)/5</f>
        <v>0.06</v>
      </c>
      <c r="H2264">
        <f>G2264*(26.79/38.29)</f>
        <v>4.1979629145991113E-2</v>
      </c>
    </row>
    <row r="2265" spans="1:8" x14ac:dyDescent="0.25">
      <c r="A2265" s="1">
        <v>1997</v>
      </c>
      <c r="B2265" s="1" t="s">
        <v>99</v>
      </c>
      <c r="C2265" t="s">
        <v>51</v>
      </c>
      <c r="D2265">
        <v>3</v>
      </c>
      <c r="E2265">
        <v>54</v>
      </c>
      <c r="F2265">
        <v>0.65</v>
      </c>
      <c r="G2265">
        <f>(F2265/0.6)/5</f>
        <v>0.2166666666666667</v>
      </c>
      <c r="H2265">
        <f>G2265*(26.79/38.29)</f>
        <v>0.15159310524941239</v>
      </c>
    </row>
    <row r="2266" spans="1:8" x14ac:dyDescent="0.25">
      <c r="A2266" s="1">
        <v>1997</v>
      </c>
      <c r="B2266" s="1" t="s">
        <v>99</v>
      </c>
      <c r="C2266" t="s">
        <v>51</v>
      </c>
      <c r="D2266">
        <v>3</v>
      </c>
      <c r="E2266">
        <v>54</v>
      </c>
      <c r="F2266">
        <v>0.15</v>
      </c>
      <c r="G2266">
        <f>(F2266/0.6)/5</f>
        <v>0.05</v>
      </c>
      <c r="H2266">
        <f>G2266*(26.79/38.29)</f>
        <v>3.4983024288325934E-2</v>
      </c>
    </row>
    <row r="2267" spans="1:8" x14ac:dyDescent="0.25">
      <c r="A2267" s="1">
        <v>1997</v>
      </c>
      <c r="B2267" s="1" t="s">
        <v>99</v>
      </c>
      <c r="C2267" t="s">
        <v>51</v>
      </c>
      <c r="D2267">
        <v>3</v>
      </c>
      <c r="E2267">
        <v>54</v>
      </c>
      <c r="F2267">
        <v>0.52</v>
      </c>
      <c r="G2267">
        <f>(F2267/0.6)/5</f>
        <v>0.17333333333333334</v>
      </c>
      <c r="H2267">
        <f>G2267*(26.79/38.29)</f>
        <v>0.12127448419952989</v>
      </c>
    </row>
    <row r="2268" spans="1:8" x14ac:dyDescent="0.25">
      <c r="A2268" s="1">
        <v>1997</v>
      </c>
      <c r="B2268" s="1" t="s">
        <v>99</v>
      </c>
      <c r="C2268" t="s">
        <v>51</v>
      </c>
      <c r="D2268">
        <v>3</v>
      </c>
      <c r="E2268">
        <v>54</v>
      </c>
      <c r="F2268">
        <v>0.21</v>
      </c>
      <c r="G2268">
        <f>(F2268/0.6)/5</f>
        <v>6.9999999999999993E-2</v>
      </c>
      <c r="H2268">
        <f>G2268*(26.79/38.29)</f>
        <v>4.8976234003656298E-2</v>
      </c>
    </row>
    <row r="2269" spans="1:8" x14ac:dyDescent="0.25">
      <c r="A2269" s="1">
        <v>1997</v>
      </c>
      <c r="B2269" s="1" t="s">
        <v>99</v>
      </c>
      <c r="C2269" t="s">
        <v>51</v>
      </c>
      <c r="D2269">
        <v>3</v>
      </c>
      <c r="E2269">
        <v>56</v>
      </c>
      <c r="F2269">
        <v>1.41</v>
      </c>
      <c r="G2269">
        <f>(F2269/0.6)/5</f>
        <v>0.47000000000000003</v>
      </c>
      <c r="H2269">
        <f>G2269*(26.79/38.29)</f>
        <v>0.32884042831026378</v>
      </c>
    </row>
    <row r="2270" spans="1:8" x14ac:dyDescent="0.25">
      <c r="A2270" s="1">
        <v>1997</v>
      </c>
      <c r="B2270" s="1" t="s">
        <v>99</v>
      </c>
      <c r="C2270" t="s">
        <v>51</v>
      </c>
      <c r="D2270">
        <v>3</v>
      </c>
      <c r="E2270">
        <v>56</v>
      </c>
      <c r="F2270">
        <v>0.14000000000000001</v>
      </c>
      <c r="G2270">
        <f>(F2270/0.6)/5</f>
        <v>4.6666666666666676E-2</v>
      </c>
      <c r="H2270">
        <f>G2270*(26.79/38.29)</f>
        <v>3.2650822669104206E-2</v>
      </c>
    </row>
    <row r="2271" spans="1:8" x14ac:dyDescent="0.25">
      <c r="A2271" s="1">
        <v>1997</v>
      </c>
      <c r="B2271" s="1" t="s">
        <v>99</v>
      </c>
      <c r="C2271" t="s">
        <v>51</v>
      </c>
      <c r="D2271">
        <v>3</v>
      </c>
      <c r="E2271">
        <v>56</v>
      </c>
      <c r="F2271">
        <v>0.49</v>
      </c>
      <c r="G2271">
        <f>(F2271/0.6)/5</f>
        <v>0.16333333333333333</v>
      </c>
      <c r="H2271">
        <f>G2271*(26.79/38.29)</f>
        <v>0.1142778793418647</v>
      </c>
    </row>
    <row r="2272" spans="1:8" x14ac:dyDescent="0.25">
      <c r="A2272" s="1">
        <v>1997</v>
      </c>
      <c r="B2272" s="1" t="s">
        <v>99</v>
      </c>
      <c r="C2272" t="s">
        <v>51</v>
      </c>
      <c r="D2272">
        <v>3</v>
      </c>
      <c r="E2272">
        <v>56</v>
      </c>
      <c r="F2272">
        <v>0.06</v>
      </c>
      <c r="G2272">
        <f>(F2272/0.6)/5</f>
        <v>0.02</v>
      </c>
      <c r="H2272">
        <f>G2272*(26.79/38.29)</f>
        <v>1.3993209715330373E-2</v>
      </c>
    </row>
    <row r="2273" spans="1:8" x14ac:dyDescent="0.25">
      <c r="A2273" s="1">
        <v>1997</v>
      </c>
      <c r="B2273" s="1" t="s">
        <v>99</v>
      </c>
      <c r="C2273" t="s">
        <v>51</v>
      </c>
      <c r="D2273">
        <v>3</v>
      </c>
      <c r="E2273">
        <v>56</v>
      </c>
      <c r="F2273">
        <v>0.91</v>
      </c>
      <c r="G2273">
        <f>(F2273/0.6)/5</f>
        <v>0.30333333333333334</v>
      </c>
      <c r="H2273">
        <f>G2273*(26.79/38.29)</f>
        <v>0.21223034734917731</v>
      </c>
    </row>
    <row r="2274" spans="1:8" x14ac:dyDescent="0.25">
      <c r="A2274" s="1">
        <v>1997</v>
      </c>
      <c r="B2274" s="1" t="s">
        <v>99</v>
      </c>
      <c r="C2274" t="s">
        <v>51</v>
      </c>
      <c r="D2274">
        <v>3</v>
      </c>
      <c r="E2274">
        <v>56</v>
      </c>
      <c r="F2274">
        <v>0.04</v>
      </c>
      <c r="G2274">
        <f>(F2274/0.6)/5</f>
        <v>1.3333333333333332E-2</v>
      </c>
      <c r="H2274">
        <f>G2274*(26.79/38.29)</f>
        <v>9.3288064768869139E-3</v>
      </c>
    </row>
    <row r="2275" spans="1:8" x14ac:dyDescent="0.25">
      <c r="A2275" s="1">
        <v>1997</v>
      </c>
      <c r="B2275" s="1" t="s">
        <v>99</v>
      </c>
      <c r="C2275" t="s">
        <v>51</v>
      </c>
      <c r="D2275">
        <v>3</v>
      </c>
      <c r="E2275">
        <v>56</v>
      </c>
      <c r="F2275">
        <v>0.05</v>
      </c>
      <c r="G2275">
        <f>(F2275/0.6)/5</f>
        <v>1.666666666666667E-2</v>
      </c>
      <c r="H2275">
        <f>G2275*(26.79/38.29)</f>
        <v>1.1661008096108646E-2</v>
      </c>
    </row>
    <row r="2276" spans="1:8" x14ac:dyDescent="0.25">
      <c r="A2276" s="1">
        <v>1997</v>
      </c>
      <c r="B2276" s="1" t="s">
        <v>99</v>
      </c>
      <c r="C2276" t="s">
        <v>51</v>
      </c>
      <c r="D2276">
        <v>3</v>
      </c>
      <c r="E2276">
        <v>56</v>
      </c>
      <c r="F2276">
        <v>0.04</v>
      </c>
      <c r="G2276">
        <f>(F2276/0.6)/5</f>
        <v>1.3333333333333332E-2</v>
      </c>
      <c r="H2276">
        <f>G2276*(26.79/38.29)</f>
        <v>9.3288064768869139E-3</v>
      </c>
    </row>
    <row r="2277" spans="1:8" x14ac:dyDescent="0.25">
      <c r="A2277" s="1">
        <v>1997</v>
      </c>
      <c r="B2277" s="1" t="s">
        <v>99</v>
      </c>
      <c r="C2277" t="s">
        <v>51</v>
      </c>
      <c r="D2277">
        <v>3</v>
      </c>
      <c r="E2277">
        <v>56</v>
      </c>
      <c r="F2277">
        <v>0.13</v>
      </c>
      <c r="G2277">
        <f>(F2277/0.6)/5</f>
        <v>4.3333333333333335E-2</v>
      </c>
      <c r="H2277">
        <f>G2277*(26.79/38.29)</f>
        <v>3.0318621049882474E-2</v>
      </c>
    </row>
    <row r="2278" spans="1:8" x14ac:dyDescent="0.25">
      <c r="A2278" s="1">
        <v>1997</v>
      </c>
      <c r="B2278" s="1" t="s">
        <v>99</v>
      </c>
      <c r="C2278" t="s">
        <v>51</v>
      </c>
      <c r="D2278">
        <v>3</v>
      </c>
      <c r="E2278">
        <v>56</v>
      </c>
      <c r="F2278">
        <v>0.43</v>
      </c>
      <c r="G2278">
        <f>(F2278/0.6)/5</f>
        <v>0.14333333333333334</v>
      </c>
      <c r="H2278">
        <f>G2278*(26.79/38.29)</f>
        <v>0.10028466962653435</v>
      </c>
    </row>
    <row r="2279" spans="1:8" x14ac:dyDescent="0.25">
      <c r="A2279" s="1">
        <v>1997</v>
      </c>
      <c r="B2279" s="1" t="s">
        <v>99</v>
      </c>
      <c r="C2279" t="s">
        <v>51</v>
      </c>
      <c r="D2279">
        <v>3</v>
      </c>
      <c r="E2279">
        <v>58</v>
      </c>
      <c r="F2279">
        <v>0.13</v>
      </c>
      <c r="G2279">
        <f>(F2279/0.6)/5</f>
        <v>4.3333333333333335E-2</v>
      </c>
      <c r="H2279">
        <f>G2279*(26.79/38.29)</f>
        <v>3.0318621049882474E-2</v>
      </c>
    </row>
    <row r="2280" spans="1:8" x14ac:dyDescent="0.25">
      <c r="A2280" s="1">
        <v>1997</v>
      </c>
      <c r="B2280" s="1" t="s">
        <v>99</v>
      </c>
      <c r="C2280" t="s">
        <v>51</v>
      </c>
      <c r="D2280">
        <v>3</v>
      </c>
      <c r="E2280">
        <v>58</v>
      </c>
      <c r="F2280">
        <v>0.17</v>
      </c>
      <c r="G2280">
        <f>(F2280/0.6)/5</f>
        <v>5.6666666666666678E-2</v>
      </c>
      <c r="H2280">
        <f>G2280*(26.79/38.29)</f>
        <v>3.9647427526769398E-2</v>
      </c>
    </row>
    <row r="2281" spans="1:8" x14ac:dyDescent="0.25">
      <c r="A2281" s="1">
        <v>1997</v>
      </c>
      <c r="B2281" s="1" t="s">
        <v>99</v>
      </c>
      <c r="C2281" t="s">
        <v>51</v>
      </c>
      <c r="D2281">
        <v>3</v>
      </c>
      <c r="E2281">
        <v>58</v>
      </c>
      <c r="F2281">
        <v>0.72</v>
      </c>
      <c r="G2281">
        <f>(F2281/0.6)/5</f>
        <v>0.24</v>
      </c>
      <c r="H2281">
        <f>G2281*(26.79/38.29)</f>
        <v>0.16791851658396445</v>
      </c>
    </row>
    <row r="2282" spans="1:8" x14ac:dyDescent="0.25">
      <c r="A2282" s="1">
        <v>1997</v>
      </c>
      <c r="B2282" s="1" t="s">
        <v>99</v>
      </c>
      <c r="C2282" t="s">
        <v>51</v>
      </c>
      <c r="D2282">
        <v>3</v>
      </c>
      <c r="E2282">
        <v>58</v>
      </c>
      <c r="F2282">
        <v>0.43</v>
      </c>
      <c r="G2282">
        <f>(F2282/0.6)/5</f>
        <v>0.14333333333333334</v>
      </c>
      <c r="H2282">
        <f>G2282*(26.79/38.29)</f>
        <v>0.10028466962653435</v>
      </c>
    </row>
    <row r="2283" spans="1:8" x14ac:dyDescent="0.25">
      <c r="A2283" s="1">
        <v>1997</v>
      </c>
      <c r="B2283" s="1" t="s">
        <v>99</v>
      </c>
      <c r="C2283" t="s">
        <v>51</v>
      </c>
      <c r="D2283">
        <v>3</v>
      </c>
      <c r="E2283">
        <v>58</v>
      </c>
      <c r="F2283">
        <v>0.51</v>
      </c>
      <c r="G2283">
        <f>(F2283/0.6)/5</f>
        <v>0.17</v>
      </c>
      <c r="H2283">
        <f>G2283*(26.79/38.29)</f>
        <v>0.11894228258030817</v>
      </c>
    </row>
    <row r="2284" spans="1:8" x14ac:dyDescent="0.25">
      <c r="A2284" s="1">
        <v>1997</v>
      </c>
      <c r="B2284" s="1" t="s">
        <v>99</v>
      </c>
      <c r="C2284" t="s">
        <v>51</v>
      </c>
      <c r="D2284">
        <v>3</v>
      </c>
      <c r="E2284">
        <v>58</v>
      </c>
      <c r="F2284">
        <v>0.53</v>
      </c>
      <c r="G2284">
        <f>(F2284/0.6)/5</f>
        <v>0.17666666666666669</v>
      </c>
      <c r="H2284">
        <f>G2284*(26.79/38.29)</f>
        <v>0.12360668581875164</v>
      </c>
    </row>
    <row r="2285" spans="1:8" x14ac:dyDescent="0.25">
      <c r="A2285" s="1">
        <v>1997</v>
      </c>
      <c r="B2285" s="1" t="s">
        <v>99</v>
      </c>
      <c r="C2285" t="s">
        <v>51</v>
      </c>
      <c r="D2285">
        <v>3</v>
      </c>
      <c r="E2285">
        <v>58</v>
      </c>
      <c r="F2285">
        <v>0.03</v>
      </c>
      <c r="G2285">
        <f>(F2285/0.6)/5</f>
        <v>0.01</v>
      </c>
      <c r="H2285">
        <f>G2285*(26.79/38.29)</f>
        <v>6.9966048576651863E-3</v>
      </c>
    </row>
    <row r="2286" spans="1:8" x14ac:dyDescent="0.25">
      <c r="A2286" s="1">
        <v>1997</v>
      </c>
      <c r="B2286" s="1" t="s">
        <v>99</v>
      </c>
      <c r="C2286" t="s">
        <v>51</v>
      </c>
      <c r="D2286">
        <v>3</v>
      </c>
      <c r="E2286">
        <v>63</v>
      </c>
      <c r="F2286">
        <v>0.15</v>
      </c>
      <c r="G2286">
        <f>(F2286/0.6)/5</f>
        <v>0.05</v>
      </c>
      <c r="H2286">
        <f>G2286*(26.79/38.29)</f>
        <v>3.4983024288325934E-2</v>
      </c>
    </row>
    <row r="2287" spans="1:8" x14ac:dyDescent="0.25">
      <c r="A2287" s="1">
        <v>1997</v>
      </c>
      <c r="B2287" s="1" t="s">
        <v>99</v>
      </c>
      <c r="C2287" t="s">
        <v>51</v>
      </c>
      <c r="D2287">
        <v>3</v>
      </c>
      <c r="E2287">
        <v>63</v>
      </c>
      <c r="F2287">
        <v>0.03</v>
      </c>
      <c r="G2287">
        <f>(F2287/0.6)/5</f>
        <v>0.01</v>
      </c>
      <c r="H2287">
        <f>G2287*(26.79/38.29)</f>
        <v>6.9966048576651863E-3</v>
      </c>
    </row>
    <row r="2288" spans="1:8" x14ac:dyDescent="0.25">
      <c r="A2288" s="1">
        <v>1997</v>
      </c>
      <c r="B2288" s="1" t="s">
        <v>99</v>
      </c>
      <c r="C2288" t="s">
        <v>51</v>
      </c>
      <c r="D2288">
        <v>3</v>
      </c>
      <c r="E2288">
        <v>63</v>
      </c>
      <c r="F2288">
        <v>0.04</v>
      </c>
      <c r="G2288">
        <f>(F2288/0.6)/5</f>
        <v>1.3333333333333332E-2</v>
      </c>
      <c r="H2288">
        <f>G2288*(26.79/38.29)</f>
        <v>9.3288064768869139E-3</v>
      </c>
    </row>
    <row r="2289" spans="1:8" x14ac:dyDescent="0.25">
      <c r="A2289" s="1">
        <v>1997</v>
      </c>
      <c r="B2289" s="1" t="s">
        <v>99</v>
      </c>
      <c r="C2289" t="s">
        <v>51</v>
      </c>
      <c r="D2289">
        <v>3</v>
      </c>
      <c r="E2289">
        <v>63</v>
      </c>
      <c r="F2289">
        <v>0.05</v>
      </c>
      <c r="G2289">
        <f>(F2289/0.6)/5</f>
        <v>1.666666666666667E-2</v>
      </c>
      <c r="H2289">
        <f>G2289*(26.79/38.29)</f>
        <v>1.1661008096108646E-2</v>
      </c>
    </row>
    <row r="2290" spans="1:8" x14ac:dyDescent="0.25">
      <c r="A2290" s="1">
        <v>1997</v>
      </c>
      <c r="B2290" s="1" t="s">
        <v>99</v>
      </c>
      <c r="C2290" t="s">
        <v>51</v>
      </c>
      <c r="D2290">
        <v>3</v>
      </c>
      <c r="E2290">
        <v>63</v>
      </c>
      <c r="F2290">
        <v>0.16</v>
      </c>
      <c r="G2290">
        <f>(F2290/0.6)/5</f>
        <v>5.333333333333333E-2</v>
      </c>
      <c r="H2290">
        <f>G2290*(26.79/38.29)</f>
        <v>3.7315225907547656E-2</v>
      </c>
    </row>
    <row r="2291" spans="1:8" x14ac:dyDescent="0.25">
      <c r="A2291" s="1">
        <v>1997</v>
      </c>
      <c r="B2291" s="1" t="s">
        <v>99</v>
      </c>
      <c r="C2291" t="s">
        <v>51</v>
      </c>
      <c r="D2291">
        <v>3</v>
      </c>
      <c r="E2291">
        <v>63</v>
      </c>
      <c r="F2291">
        <v>0.05</v>
      </c>
      <c r="G2291">
        <f>(F2291/0.6)/5</f>
        <v>1.666666666666667E-2</v>
      </c>
      <c r="H2291">
        <f>G2291*(26.79/38.29)</f>
        <v>1.1661008096108646E-2</v>
      </c>
    </row>
    <row r="2292" spans="1:8" x14ac:dyDescent="0.25">
      <c r="A2292" s="1">
        <v>1997</v>
      </c>
      <c r="B2292" s="1" t="s">
        <v>99</v>
      </c>
      <c r="C2292" t="s">
        <v>51</v>
      </c>
      <c r="D2292">
        <v>3</v>
      </c>
      <c r="E2292">
        <v>63</v>
      </c>
      <c r="F2292">
        <v>7.0000000000000007E-2</v>
      </c>
      <c r="G2292">
        <f>(F2292/0.6)/5</f>
        <v>2.3333333333333338E-2</v>
      </c>
      <c r="H2292">
        <f>G2292*(26.79/38.29)</f>
        <v>1.6325411334552103E-2</v>
      </c>
    </row>
    <row r="2293" spans="1:8" x14ac:dyDescent="0.25">
      <c r="A2293" s="1">
        <v>1997</v>
      </c>
      <c r="B2293" s="1" t="s">
        <v>99</v>
      </c>
      <c r="C2293" t="s">
        <v>51</v>
      </c>
      <c r="D2293">
        <v>3</v>
      </c>
      <c r="E2293">
        <v>63</v>
      </c>
      <c r="F2293">
        <v>0.26</v>
      </c>
      <c r="G2293">
        <f>(F2293/0.6)/5</f>
        <v>8.666666666666667E-2</v>
      </c>
      <c r="H2293">
        <f>G2293*(26.79/38.29)</f>
        <v>6.0637242099764947E-2</v>
      </c>
    </row>
    <row r="2294" spans="1:8" x14ac:dyDescent="0.25">
      <c r="A2294" s="1">
        <v>1997</v>
      </c>
      <c r="B2294" s="1" t="s">
        <v>99</v>
      </c>
      <c r="C2294" t="s">
        <v>51</v>
      </c>
      <c r="D2294">
        <v>3</v>
      </c>
      <c r="E2294">
        <v>63</v>
      </c>
      <c r="F2294">
        <v>0.06</v>
      </c>
      <c r="G2294">
        <f>(F2294/0.6)/5</f>
        <v>0.02</v>
      </c>
      <c r="H2294">
        <f>G2294*(26.79/38.29)</f>
        <v>1.3993209715330373E-2</v>
      </c>
    </row>
    <row r="2295" spans="1:8" x14ac:dyDescent="0.25">
      <c r="A2295" s="1">
        <v>1997</v>
      </c>
      <c r="B2295" s="1" t="s">
        <v>99</v>
      </c>
      <c r="C2295" t="s">
        <v>51</v>
      </c>
      <c r="D2295">
        <v>3</v>
      </c>
      <c r="E2295">
        <v>63</v>
      </c>
      <c r="F2295">
        <v>7.0000000000000007E-2</v>
      </c>
      <c r="G2295">
        <f>(F2295/0.6)/5</f>
        <v>2.3333333333333338E-2</v>
      </c>
      <c r="H2295">
        <f>G2295*(26.79/38.29)</f>
        <v>1.6325411334552103E-2</v>
      </c>
    </row>
    <row r="2296" spans="1:8" x14ac:dyDescent="0.25">
      <c r="A2296" s="1">
        <v>1997</v>
      </c>
      <c r="B2296" s="1" t="s">
        <v>99</v>
      </c>
      <c r="C2296" t="s">
        <v>51</v>
      </c>
      <c r="D2296">
        <v>3</v>
      </c>
      <c r="E2296">
        <v>63</v>
      </c>
      <c r="F2296">
        <v>0.26</v>
      </c>
      <c r="G2296">
        <f>(F2296/0.6)/5</f>
        <v>8.666666666666667E-2</v>
      </c>
      <c r="H2296">
        <f>G2296*(26.79/38.29)</f>
        <v>6.0637242099764947E-2</v>
      </c>
    </row>
    <row r="2297" spans="1:8" x14ac:dyDescent="0.25">
      <c r="A2297" s="1">
        <v>1997</v>
      </c>
      <c r="B2297" s="1" t="s">
        <v>99</v>
      </c>
      <c r="C2297" t="s">
        <v>51</v>
      </c>
      <c r="D2297">
        <v>3</v>
      </c>
      <c r="E2297">
        <v>63</v>
      </c>
      <c r="F2297">
        <v>0.2</v>
      </c>
      <c r="G2297">
        <f>(F2297/0.6)/5</f>
        <v>6.666666666666668E-2</v>
      </c>
      <c r="H2297">
        <f>G2297*(26.79/38.29)</f>
        <v>4.6644032384434583E-2</v>
      </c>
    </row>
    <row r="2298" spans="1:8" x14ac:dyDescent="0.25">
      <c r="A2298" s="1">
        <v>1997</v>
      </c>
      <c r="B2298" s="1" t="s">
        <v>99</v>
      </c>
      <c r="C2298" t="s">
        <v>51</v>
      </c>
      <c r="D2298">
        <v>3</v>
      </c>
      <c r="E2298">
        <v>71</v>
      </c>
      <c r="F2298">
        <v>0.91</v>
      </c>
      <c r="G2298">
        <f>(F2298/0.6)/5</f>
        <v>0.30333333333333334</v>
      </c>
      <c r="H2298">
        <f>G2298*(26.79/38.29)</f>
        <v>0.21223034734917731</v>
      </c>
    </row>
    <row r="2299" spans="1:8" x14ac:dyDescent="0.25">
      <c r="A2299" s="1">
        <v>1997</v>
      </c>
      <c r="B2299" s="1" t="s">
        <v>99</v>
      </c>
      <c r="C2299" t="s">
        <v>51</v>
      </c>
      <c r="D2299">
        <v>3</v>
      </c>
      <c r="E2299">
        <v>71</v>
      </c>
      <c r="F2299">
        <v>0.2</v>
      </c>
      <c r="G2299">
        <f>(F2299/0.6)/5</f>
        <v>6.666666666666668E-2</v>
      </c>
      <c r="H2299">
        <f>G2299*(26.79/38.29)</f>
        <v>4.6644032384434583E-2</v>
      </c>
    </row>
    <row r="2300" spans="1:8" x14ac:dyDescent="0.25">
      <c r="A2300" s="1">
        <v>1997</v>
      </c>
      <c r="B2300" s="1" t="s">
        <v>99</v>
      </c>
      <c r="C2300" t="s">
        <v>51</v>
      </c>
      <c r="D2300">
        <v>3</v>
      </c>
      <c r="E2300">
        <v>71</v>
      </c>
      <c r="F2300">
        <v>0.15</v>
      </c>
      <c r="G2300">
        <f>(F2300/0.6)/5</f>
        <v>0.05</v>
      </c>
      <c r="H2300">
        <f>G2300*(26.79/38.29)</f>
        <v>3.4983024288325934E-2</v>
      </c>
    </row>
    <row r="2301" spans="1:8" x14ac:dyDescent="0.25">
      <c r="A2301" s="1">
        <v>1997</v>
      </c>
      <c r="B2301" s="1" t="s">
        <v>99</v>
      </c>
      <c r="C2301" t="s">
        <v>51</v>
      </c>
      <c r="D2301">
        <v>3</v>
      </c>
      <c r="E2301">
        <v>71</v>
      </c>
      <c r="F2301">
        <v>0.17</v>
      </c>
      <c r="G2301">
        <f>(F2301/0.6)/5</f>
        <v>5.6666666666666678E-2</v>
      </c>
      <c r="H2301">
        <f>G2301*(26.79/38.29)</f>
        <v>3.9647427526769398E-2</v>
      </c>
    </row>
    <row r="2302" spans="1:8" x14ac:dyDescent="0.25">
      <c r="A2302" s="1">
        <v>1997</v>
      </c>
      <c r="B2302" s="1" t="s">
        <v>99</v>
      </c>
      <c r="C2302" t="s">
        <v>51</v>
      </c>
      <c r="D2302">
        <v>3</v>
      </c>
      <c r="E2302">
        <v>71</v>
      </c>
      <c r="F2302">
        <v>0.27</v>
      </c>
      <c r="G2302">
        <f>(F2302/0.6)/5</f>
        <v>9.0000000000000011E-2</v>
      </c>
      <c r="H2302">
        <f>G2302*(26.79/38.29)</f>
        <v>6.296944371898669E-2</v>
      </c>
    </row>
    <row r="2303" spans="1:8" x14ac:dyDescent="0.25">
      <c r="A2303" s="1">
        <v>1997</v>
      </c>
      <c r="B2303" s="1" t="s">
        <v>99</v>
      </c>
      <c r="C2303" t="s">
        <v>51</v>
      </c>
      <c r="D2303">
        <v>3</v>
      </c>
      <c r="E2303">
        <v>71</v>
      </c>
      <c r="F2303">
        <v>0.19</v>
      </c>
      <c r="G2303">
        <f>(F2303/0.6)/5</f>
        <v>6.3333333333333339E-2</v>
      </c>
      <c r="H2303">
        <f>G2303*(26.79/38.29)</f>
        <v>4.4311830765212848E-2</v>
      </c>
    </row>
    <row r="2304" spans="1:8" x14ac:dyDescent="0.25">
      <c r="A2304" s="1">
        <v>1997</v>
      </c>
      <c r="B2304" s="1" t="s">
        <v>99</v>
      </c>
      <c r="C2304" t="s">
        <v>51</v>
      </c>
      <c r="D2304">
        <v>3</v>
      </c>
      <c r="E2304">
        <v>71</v>
      </c>
      <c r="F2304">
        <v>0.23</v>
      </c>
      <c r="G2304">
        <f>(F2304/0.6)/5</f>
        <v>7.6666666666666675E-2</v>
      </c>
      <c r="H2304">
        <f>G2304*(26.79/38.29)</f>
        <v>5.3640637242099769E-2</v>
      </c>
    </row>
    <row r="2305" spans="1:8" x14ac:dyDescent="0.25">
      <c r="A2305" s="1">
        <v>1997</v>
      </c>
      <c r="B2305" s="1" t="s">
        <v>99</v>
      </c>
      <c r="C2305" t="s">
        <v>51</v>
      </c>
      <c r="D2305">
        <v>3</v>
      </c>
      <c r="E2305">
        <v>76</v>
      </c>
      <c r="F2305">
        <v>0.11</v>
      </c>
      <c r="G2305">
        <f>(F2305/0.6)/5</f>
        <v>3.6666666666666667E-2</v>
      </c>
      <c r="H2305">
        <f>G2305*(26.79/38.29)</f>
        <v>2.5654217811439017E-2</v>
      </c>
    </row>
    <row r="2306" spans="1:8" x14ac:dyDescent="0.25">
      <c r="A2306" s="1">
        <v>1997</v>
      </c>
      <c r="B2306" s="1" t="s">
        <v>99</v>
      </c>
      <c r="C2306" t="s">
        <v>51</v>
      </c>
      <c r="D2306">
        <v>3</v>
      </c>
      <c r="E2306">
        <v>76</v>
      </c>
      <c r="F2306">
        <v>0.06</v>
      </c>
      <c r="G2306">
        <f>(F2306/0.6)/5</f>
        <v>0.02</v>
      </c>
      <c r="H2306">
        <f>G2306*(26.79/38.29)</f>
        <v>1.3993209715330373E-2</v>
      </c>
    </row>
    <row r="2307" spans="1:8" x14ac:dyDescent="0.25">
      <c r="A2307" s="1">
        <v>1997</v>
      </c>
      <c r="B2307" s="1" t="s">
        <v>99</v>
      </c>
      <c r="C2307" t="s">
        <v>51</v>
      </c>
      <c r="D2307">
        <v>3</v>
      </c>
      <c r="E2307">
        <v>76</v>
      </c>
      <c r="F2307">
        <v>7.0000000000000007E-2</v>
      </c>
      <c r="G2307">
        <f>(F2307/0.6)/5</f>
        <v>2.3333333333333338E-2</v>
      </c>
      <c r="H2307">
        <f>G2307*(26.79/38.29)</f>
        <v>1.6325411334552103E-2</v>
      </c>
    </row>
    <row r="2308" spans="1:8" x14ac:dyDescent="0.25">
      <c r="A2308" s="1">
        <v>1997</v>
      </c>
      <c r="B2308" s="1" t="s">
        <v>99</v>
      </c>
      <c r="C2308" t="s">
        <v>51</v>
      </c>
      <c r="D2308">
        <v>3</v>
      </c>
      <c r="E2308">
        <v>76</v>
      </c>
      <c r="F2308">
        <v>0.04</v>
      </c>
      <c r="G2308">
        <f>(F2308/0.6)/5</f>
        <v>1.3333333333333332E-2</v>
      </c>
      <c r="H2308">
        <f>G2308*(26.79/38.29)</f>
        <v>9.3288064768869139E-3</v>
      </c>
    </row>
    <row r="2309" spans="1:8" x14ac:dyDescent="0.25">
      <c r="A2309" s="1">
        <v>1997</v>
      </c>
      <c r="B2309" s="1" t="s">
        <v>99</v>
      </c>
      <c r="C2309" t="s">
        <v>51</v>
      </c>
      <c r="D2309">
        <v>3</v>
      </c>
      <c r="E2309">
        <v>76</v>
      </c>
      <c r="F2309">
        <v>0.13</v>
      </c>
      <c r="G2309">
        <f>(F2309/0.6)/5</f>
        <v>4.3333333333333335E-2</v>
      </c>
      <c r="H2309">
        <f>G2309*(26.79/38.29)</f>
        <v>3.0318621049882474E-2</v>
      </c>
    </row>
    <row r="2310" spans="1:8" x14ac:dyDescent="0.25">
      <c r="A2310" s="1">
        <v>1997</v>
      </c>
      <c r="B2310" s="1" t="s">
        <v>99</v>
      </c>
      <c r="C2310" t="s">
        <v>51</v>
      </c>
      <c r="D2310">
        <v>3</v>
      </c>
      <c r="E2310">
        <v>76</v>
      </c>
      <c r="F2310">
        <v>0.09</v>
      </c>
      <c r="G2310">
        <f>(F2310/0.6)/5</f>
        <v>0.03</v>
      </c>
      <c r="H2310">
        <f>G2310*(26.79/38.29)</f>
        <v>2.0989814572995556E-2</v>
      </c>
    </row>
    <row r="2311" spans="1:8" x14ac:dyDescent="0.25">
      <c r="A2311" s="1">
        <v>1997</v>
      </c>
      <c r="B2311" s="1" t="s">
        <v>99</v>
      </c>
      <c r="C2311" t="s">
        <v>51</v>
      </c>
      <c r="D2311">
        <v>3</v>
      </c>
      <c r="E2311">
        <v>76</v>
      </c>
      <c r="F2311">
        <v>0.11</v>
      </c>
      <c r="G2311">
        <f>(F2311/0.6)/5</f>
        <v>3.6666666666666667E-2</v>
      </c>
      <c r="H2311">
        <f>G2311*(26.79/38.29)</f>
        <v>2.5654217811439017E-2</v>
      </c>
    </row>
    <row r="2312" spans="1:8" x14ac:dyDescent="0.25">
      <c r="A2312" s="1">
        <v>1997</v>
      </c>
      <c r="B2312" s="1" t="s">
        <v>99</v>
      </c>
      <c r="C2312" t="s">
        <v>51</v>
      </c>
      <c r="D2312">
        <v>3</v>
      </c>
      <c r="E2312">
        <v>76</v>
      </c>
      <c r="F2312">
        <v>0.04</v>
      </c>
      <c r="G2312">
        <f>(F2312/0.6)/5</f>
        <v>1.3333333333333332E-2</v>
      </c>
      <c r="H2312">
        <f>G2312*(26.79/38.29)</f>
        <v>9.3288064768869139E-3</v>
      </c>
    </row>
    <row r="2313" spans="1:8" x14ac:dyDescent="0.25">
      <c r="A2313" s="1">
        <v>1997</v>
      </c>
      <c r="B2313" s="1" t="s">
        <v>99</v>
      </c>
      <c r="C2313" t="s">
        <v>51</v>
      </c>
      <c r="D2313">
        <v>3</v>
      </c>
      <c r="E2313">
        <v>76</v>
      </c>
      <c r="F2313">
        <v>0.04</v>
      </c>
      <c r="G2313">
        <f>(F2313/0.6)/5</f>
        <v>1.3333333333333332E-2</v>
      </c>
      <c r="H2313">
        <f>G2313*(26.79/38.29)</f>
        <v>9.3288064768869139E-3</v>
      </c>
    </row>
    <row r="2314" spans="1:8" x14ac:dyDescent="0.25">
      <c r="A2314" s="1">
        <v>1997</v>
      </c>
      <c r="B2314" s="1" t="s">
        <v>99</v>
      </c>
      <c r="C2314" t="s">
        <v>51</v>
      </c>
      <c r="D2314">
        <v>3</v>
      </c>
      <c r="E2314">
        <v>76</v>
      </c>
      <c r="F2314">
        <v>0.04</v>
      </c>
      <c r="G2314">
        <f>(F2314/0.6)/5</f>
        <v>1.3333333333333332E-2</v>
      </c>
      <c r="H2314">
        <f>G2314*(26.79/38.29)</f>
        <v>9.3288064768869139E-3</v>
      </c>
    </row>
    <row r="2315" spans="1:8" x14ac:dyDescent="0.25">
      <c r="A2315" s="1">
        <v>1997</v>
      </c>
      <c r="B2315" s="1" t="s">
        <v>99</v>
      </c>
      <c r="C2315" t="s">
        <v>51</v>
      </c>
      <c r="D2315">
        <v>3</v>
      </c>
      <c r="E2315">
        <v>76</v>
      </c>
      <c r="F2315">
        <v>0.03</v>
      </c>
      <c r="G2315">
        <f>(F2315/0.6)/5</f>
        <v>0.01</v>
      </c>
      <c r="H2315">
        <f>G2315*(26.79/38.29)</f>
        <v>6.9966048576651863E-3</v>
      </c>
    </row>
    <row r="2316" spans="1:8" x14ac:dyDescent="0.25">
      <c r="A2316" s="1">
        <v>1997</v>
      </c>
      <c r="B2316" s="1" t="s">
        <v>99</v>
      </c>
      <c r="C2316" t="s">
        <v>51</v>
      </c>
      <c r="D2316">
        <v>3</v>
      </c>
      <c r="E2316">
        <v>76</v>
      </c>
      <c r="F2316">
        <v>0.05</v>
      </c>
      <c r="G2316">
        <f>(F2316/0.6)/5</f>
        <v>1.666666666666667E-2</v>
      </c>
      <c r="H2316">
        <f>G2316*(26.79/38.29)</f>
        <v>1.1661008096108646E-2</v>
      </c>
    </row>
    <row r="2317" spans="1:8" x14ac:dyDescent="0.25">
      <c r="A2317" s="1">
        <v>1997</v>
      </c>
      <c r="B2317" s="1" t="s">
        <v>99</v>
      </c>
      <c r="C2317" t="s">
        <v>51</v>
      </c>
      <c r="D2317">
        <v>3</v>
      </c>
      <c r="E2317">
        <v>76</v>
      </c>
      <c r="F2317">
        <v>0.05</v>
      </c>
      <c r="G2317">
        <f>(F2317/0.6)/5</f>
        <v>1.666666666666667E-2</v>
      </c>
      <c r="H2317">
        <f>G2317*(26.79/38.29)</f>
        <v>1.1661008096108646E-2</v>
      </c>
    </row>
    <row r="2318" spans="1:8" x14ac:dyDescent="0.25">
      <c r="A2318" s="1">
        <v>1997</v>
      </c>
      <c r="B2318" s="1" t="s">
        <v>99</v>
      </c>
      <c r="C2318" t="s">
        <v>51</v>
      </c>
      <c r="D2318">
        <v>3</v>
      </c>
      <c r="E2318">
        <v>76</v>
      </c>
      <c r="F2318">
        <v>0.05</v>
      </c>
      <c r="G2318">
        <f>(F2318/0.6)/5</f>
        <v>1.666666666666667E-2</v>
      </c>
      <c r="H2318">
        <f>G2318*(26.79/38.29)</f>
        <v>1.1661008096108646E-2</v>
      </c>
    </row>
    <row r="2319" spans="1:8" x14ac:dyDescent="0.25">
      <c r="A2319" s="1">
        <v>1997</v>
      </c>
      <c r="B2319" s="1" t="s">
        <v>99</v>
      </c>
      <c r="C2319" t="s">
        <v>51</v>
      </c>
      <c r="D2319">
        <v>3</v>
      </c>
      <c r="E2319">
        <v>76</v>
      </c>
      <c r="F2319">
        <v>0.06</v>
      </c>
      <c r="G2319">
        <f>(F2319/0.6)/5</f>
        <v>0.02</v>
      </c>
      <c r="H2319">
        <f>G2319*(26.79/38.29)</f>
        <v>1.3993209715330373E-2</v>
      </c>
    </row>
    <row r="2320" spans="1:8" x14ac:dyDescent="0.25">
      <c r="A2320" s="1">
        <v>1997</v>
      </c>
      <c r="B2320" s="1" t="s">
        <v>99</v>
      </c>
      <c r="C2320" t="s">
        <v>51</v>
      </c>
      <c r="D2320">
        <v>3</v>
      </c>
      <c r="E2320">
        <v>76</v>
      </c>
      <c r="F2320">
        <v>0.25</v>
      </c>
      <c r="G2320">
        <f>(F2320/0.6)/5</f>
        <v>8.3333333333333343E-2</v>
      </c>
      <c r="H2320">
        <f>G2320*(26.79/38.29)</f>
        <v>5.8305040480543226E-2</v>
      </c>
    </row>
    <row r="2321" spans="1:8" x14ac:dyDescent="0.25">
      <c r="A2321" s="1">
        <v>1997</v>
      </c>
      <c r="B2321" s="1" t="s">
        <v>99</v>
      </c>
      <c r="C2321" t="s">
        <v>51</v>
      </c>
      <c r="D2321">
        <v>3</v>
      </c>
      <c r="E2321">
        <v>76</v>
      </c>
      <c r="F2321">
        <v>7.0000000000000007E-2</v>
      </c>
      <c r="G2321">
        <f>(F2321/0.6)/5</f>
        <v>2.3333333333333338E-2</v>
      </c>
      <c r="H2321">
        <f>G2321*(26.79/38.29)</f>
        <v>1.6325411334552103E-2</v>
      </c>
    </row>
    <row r="2322" spans="1:8" x14ac:dyDescent="0.25">
      <c r="A2322" s="1">
        <v>1997</v>
      </c>
      <c r="B2322" s="1" t="s">
        <v>99</v>
      </c>
      <c r="C2322" t="s">
        <v>51</v>
      </c>
      <c r="D2322">
        <v>3</v>
      </c>
      <c r="E2322">
        <v>76</v>
      </c>
      <c r="F2322">
        <v>0.09</v>
      </c>
      <c r="G2322">
        <f>(F2322/0.6)/5</f>
        <v>0.03</v>
      </c>
      <c r="H2322">
        <f>G2322*(26.79/38.29)</f>
        <v>2.0989814572995556E-2</v>
      </c>
    </row>
    <row r="2323" spans="1:8" x14ac:dyDescent="0.25">
      <c r="A2323" s="1">
        <v>1997</v>
      </c>
      <c r="B2323" s="1" t="s">
        <v>99</v>
      </c>
      <c r="C2323" t="s">
        <v>51</v>
      </c>
      <c r="D2323">
        <v>3</v>
      </c>
      <c r="E2323">
        <v>78</v>
      </c>
      <c r="F2323">
        <v>0.05</v>
      </c>
      <c r="G2323">
        <f>(F2323/0.6)/5</f>
        <v>1.666666666666667E-2</v>
      </c>
      <c r="H2323">
        <f>G2323*(26.79/38.29)</f>
        <v>1.1661008096108646E-2</v>
      </c>
    </row>
    <row r="2324" spans="1:8" x14ac:dyDescent="0.25">
      <c r="A2324" s="1">
        <v>1997</v>
      </c>
      <c r="B2324" s="1" t="s">
        <v>99</v>
      </c>
      <c r="C2324" t="s">
        <v>51</v>
      </c>
      <c r="D2324">
        <v>3</v>
      </c>
      <c r="E2324">
        <v>78</v>
      </c>
      <c r="F2324">
        <v>0.03</v>
      </c>
      <c r="G2324">
        <f>(F2324/0.6)/5</f>
        <v>0.01</v>
      </c>
      <c r="H2324">
        <f>G2324*(26.79/38.29)</f>
        <v>6.9966048576651863E-3</v>
      </c>
    </row>
    <row r="2325" spans="1:8" x14ac:dyDescent="0.25">
      <c r="A2325" s="1">
        <v>1997</v>
      </c>
      <c r="B2325" s="1" t="s">
        <v>99</v>
      </c>
      <c r="C2325" t="s">
        <v>51</v>
      </c>
      <c r="D2325">
        <v>3</v>
      </c>
      <c r="E2325">
        <v>78</v>
      </c>
      <c r="F2325">
        <v>7.0000000000000007E-2</v>
      </c>
      <c r="G2325">
        <f>(F2325/0.6)/5</f>
        <v>2.3333333333333338E-2</v>
      </c>
      <c r="H2325">
        <f>G2325*(26.79/38.29)</f>
        <v>1.6325411334552103E-2</v>
      </c>
    </row>
    <row r="2326" spans="1:8" x14ac:dyDescent="0.25">
      <c r="A2326" s="1">
        <v>1997</v>
      </c>
      <c r="B2326" s="1" t="s">
        <v>99</v>
      </c>
      <c r="C2326" t="s">
        <v>51</v>
      </c>
      <c r="D2326">
        <v>3</v>
      </c>
      <c r="E2326">
        <v>78</v>
      </c>
      <c r="F2326">
        <v>0.04</v>
      </c>
      <c r="G2326">
        <f>(F2326/0.6)/5</f>
        <v>1.3333333333333332E-2</v>
      </c>
      <c r="H2326">
        <f>G2326*(26.79/38.29)</f>
        <v>9.3288064768869139E-3</v>
      </c>
    </row>
    <row r="2327" spans="1:8" x14ac:dyDescent="0.25">
      <c r="A2327" s="1">
        <v>1997</v>
      </c>
      <c r="B2327" s="1" t="s">
        <v>99</v>
      </c>
      <c r="C2327" t="s">
        <v>51</v>
      </c>
      <c r="D2327">
        <v>3</v>
      </c>
      <c r="E2327">
        <v>78</v>
      </c>
      <c r="F2327">
        <v>0.05</v>
      </c>
      <c r="G2327">
        <f>(F2327/0.6)/5</f>
        <v>1.666666666666667E-2</v>
      </c>
      <c r="H2327">
        <f>G2327*(26.79/38.29)</f>
        <v>1.1661008096108646E-2</v>
      </c>
    </row>
    <row r="2328" spans="1:8" x14ac:dyDescent="0.25">
      <c r="A2328" s="1">
        <v>1997</v>
      </c>
      <c r="B2328" s="1" t="s">
        <v>99</v>
      </c>
      <c r="C2328" t="s">
        <v>51</v>
      </c>
      <c r="D2328">
        <v>3</v>
      </c>
      <c r="E2328">
        <v>78</v>
      </c>
      <c r="F2328">
        <v>0.04</v>
      </c>
      <c r="G2328">
        <f>(F2328/0.6)/5</f>
        <v>1.3333333333333332E-2</v>
      </c>
      <c r="H2328">
        <f>G2328*(26.79/38.29)</f>
        <v>9.3288064768869139E-3</v>
      </c>
    </row>
    <row r="2329" spans="1:8" x14ac:dyDescent="0.25">
      <c r="A2329" s="1">
        <v>1997</v>
      </c>
      <c r="B2329" s="1" t="s">
        <v>99</v>
      </c>
      <c r="C2329" t="s">
        <v>51</v>
      </c>
      <c r="D2329">
        <v>3</v>
      </c>
      <c r="E2329">
        <v>78</v>
      </c>
      <c r="F2329">
        <v>0.04</v>
      </c>
      <c r="G2329">
        <f>(F2329/0.6)/5</f>
        <v>1.3333333333333332E-2</v>
      </c>
      <c r="H2329">
        <f>G2329*(26.79/38.29)</f>
        <v>9.3288064768869139E-3</v>
      </c>
    </row>
    <row r="2330" spans="1:8" x14ac:dyDescent="0.25">
      <c r="A2330" s="1">
        <v>1997</v>
      </c>
      <c r="B2330" s="1" t="s">
        <v>99</v>
      </c>
      <c r="C2330" t="s">
        <v>51</v>
      </c>
      <c r="D2330">
        <v>3</v>
      </c>
      <c r="E2330">
        <v>79</v>
      </c>
      <c r="F2330">
        <v>0.21</v>
      </c>
      <c r="G2330">
        <f>(F2330/0.6)/5</f>
        <v>6.9999999999999993E-2</v>
      </c>
      <c r="H2330">
        <f>G2330*(26.79/38.29)</f>
        <v>4.8976234003656298E-2</v>
      </c>
    </row>
    <row r="2331" spans="1:8" x14ac:dyDescent="0.25">
      <c r="A2331" s="1">
        <v>1997</v>
      </c>
      <c r="B2331" s="1" t="s">
        <v>99</v>
      </c>
      <c r="C2331" t="s">
        <v>51</v>
      </c>
      <c r="D2331">
        <v>3</v>
      </c>
      <c r="E2331">
        <v>79</v>
      </c>
      <c r="F2331">
        <v>0.1</v>
      </c>
      <c r="G2331">
        <f>(F2331/0.6)/5</f>
        <v>3.333333333333334E-2</v>
      </c>
      <c r="H2331">
        <f>G2331*(26.79/38.29)</f>
        <v>2.3322016192217292E-2</v>
      </c>
    </row>
    <row r="2332" spans="1:8" x14ac:dyDescent="0.25">
      <c r="A2332" s="1">
        <v>1997</v>
      </c>
      <c r="B2332" s="1" t="s">
        <v>99</v>
      </c>
      <c r="C2332" t="s">
        <v>51</v>
      </c>
      <c r="D2332">
        <v>3</v>
      </c>
      <c r="E2332">
        <v>79</v>
      </c>
      <c r="F2332">
        <v>1.31</v>
      </c>
      <c r="G2332">
        <f>(F2332/0.6)/5</f>
        <v>0.4366666666666667</v>
      </c>
      <c r="H2332">
        <f>G2332*(26.79/38.29)</f>
        <v>0.30551841211804648</v>
      </c>
    </row>
    <row r="2333" spans="1:8" x14ac:dyDescent="0.25">
      <c r="A2333" s="1">
        <v>1997</v>
      </c>
      <c r="B2333" s="1" t="s">
        <v>99</v>
      </c>
      <c r="C2333" t="s">
        <v>51</v>
      </c>
      <c r="D2333">
        <v>3</v>
      </c>
      <c r="E2333">
        <v>79</v>
      </c>
      <c r="F2333">
        <v>1.69</v>
      </c>
      <c r="G2333">
        <f>(F2333/0.6)/5</f>
        <v>0.56333333333333335</v>
      </c>
      <c r="H2333">
        <f>G2333*(26.79/38.29)</f>
        <v>0.39414207364847215</v>
      </c>
    </row>
    <row r="2334" spans="1:8" x14ac:dyDescent="0.25">
      <c r="A2334" s="1">
        <v>1997</v>
      </c>
      <c r="B2334" s="1" t="s">
        <v>99</v>
      </c>
      <c r="C2334" t="s">
        <v>51</v>
      </c>
      <c r="D2334">
        <v>3</v>
      </c>
      <c r="E2334">
        <v>79</v>
      </c>
      <c r="F2334">
        <v>0.05</v>
      </c>
      <c r="G2334">
        <f>(F2334/0.6)/5</f>
        <v>1.666666666666667E-2</v>
      </c>
      <c r="H2334">
        <f>G2334*(26.79/38.29)</f>
        <v>1.1661008096108646E-2</v>
      </c>
    </row>
    <row r="2335" spans="1:8" x14ac:dyDescent="0.25">
      <c r="A2335" s="1">
        <v>1997</v>
      </c>
      <c r="B2335" s="1" t="s">
        <v>99</v>
      </c>
      <c r="C2335" t="s">
        <v>51</v>
      </c>
      <c r="D2335">
        <v>3</v>
      </c>
      <c r="E2335">
        <v>79</v>
      </c>
      <c r="F2335">
        <v>0.57999999999999996</v>
      </c>
      <c r="G2335">
        <f>(F2335/0.6)/5</f>
        <v>0.19333333333333333</v>
      </c>
      <c r="H2335">
        <f>G2335*(26.79/38.29)</f>
        <v>0.13526769391486027</v>
      </c>
    </row>
    <row r="2336" spans="1:8" x14ac:dyDescent="0.25">
      <c r="A2336" s="1">
        <v>1997</v>
      </c>
      <c r="B2336" s="1" t="s">
        <v>99</v>
      </c>
      <c r="C2336" t="s">
        <v>51</v>
      </c>
      <c r="D2336">
        <v>3</v>
      </c>
      <c r="E2336">
        <v>79</v>
      </c>
      <c r="F2336">
        <v>0.09</v>
      </c>
      <c r="G2336">
        <f>(F2336/0.6)/5</f>
        <v>0.03</v>
      </c>
      <c r="H2336">
        <f>G2336*(26.79/38.29)</f>
        <v>2.0989814572995556E-2</v>
      </c>
    </row>
    <row r="2337" spans="1:8" x14ac:dyDescent="0.25">
      <c r="A2337" s="1">
        <v>1997</v>
      </c>
      <c r="B2337" s="1" t="s">
        <v>99</v>
      </c>
      <c r="C2337" t="s">
        <v>51</v>
      </c>
      <c r="D2337">
        <v>3</v>
      </c>
      <c r="E2337">
        <v>79</v>
      </c>
      <c r="F2337">
        <v>0.04</v>
      </c>
      <c r="G2337">
        <f>(F2337/0.6)/5</f>
        <v>1.3333333333333332E-2</v>
      </c>
      <c r="H2337">
        <f>G2337*(26.79/38.29)</f>
        <v>9.3288064768869139E-3</v>
      </c>
    </row>
    <row r="2338" spans="1:8" x14ac:dyDescent="0.25">
      <c r="A2338" s="1">
        <v>1997</v>
      </c>
      <c r="B2338" s="1" t="s">
        <v>99</v>
      </c>
      <c r="C2338" t="s">
        <v>51</v>
      </c>
      <c r="D2338">
        <v>3</v>
      </c>
      <c r="E2338">
        <v>79</v>
      </c>
      <c r="F2338">
        <v>0.13</v>
      </c>
      <c r="G2338">
        <f>(F2338/0.6)/5</f>
        <v>4.3333333333333335E-2</v>
      </c>
      <c r="H2338">
        <f>G2338*(26.79/38.29)</f>
        <v>3.0318621049882474E-2</v>
      </c>
    </row>
    <row r="2339" spans="1:8" x14ac:dyDescent="0.25">
      <c r="A2339" s="1">
        <v>1997</v>
      </c>
      <c r="B2339" s="1" t="s">
        <v>99</v>
      </c>
      <c r="C2339" t="s">
        <v>51</v>
      </c>
      <c r="D2339">
        <v>3</v>
      </c>
      <c r="E2339">
        <v>79</v>
      </c>
      <c r="F2339">
        <v>0.53</v>
      </c>
      <c r="G2339">
        <f>(F2339/0.6)/5</f>
        <v>0.17666666666666669</v>
      </c>
      <c r="H2339">
        <f>G2339*(26.79/38.29)</f>
        <v>0.12360668581875164</v>
      </c>
    </row>
    <row r="2340" spans="1:8" x14ac:dyDescent="0.25">
      <c r="A2340" s="1">
        <v>1997</v>
      </c>
      <c r="B2340" s="1" t="s">
        <v>99</v>
      </c>
      <c r="C2340" t="s">
        <v>51</v>
      </c>
      <c r="D2340">
        <v>3</v>
      </c>
      <c r="E2340">
        <v>79</v>
      </c>
      <c r="F2340">
        <v>0.08</v>
      </c>
      <c r="G2340">
        <f>(F2340/0.6)/5</f>
        <v>2.6666666666666665E-2</v>
      </c>
      <c r="H2340">
        <f>G2340*(26.79/38.29)</f>
        <v>1.8657612953773828E-2</v>
      </c>
    </row>
    <row r="2341" spans="1:8" x14ac:dyDescent="0.25">
      <c r="A2341" s="1">
        <v>1997</v>
      </c>
      <c r="B2341" s="1" t="s">
        <v>99</v>
      </c>
      <c r="C2341" t="s">
        <v>51</v>
      </c>
      <c r="D2341">
        <v>3</v>
      </c>
      <c r="E2341">
        <v>79</v>
      </c>
      <c r="F2341">
        <v>0.38</v>
      </c>
      <c r="G2341">
        <f>(F2341/0.6)/5</f>
        <v>0.12666666666666668</v>
      </c>
      <c r="H2341">
        <f>G2341*(26.79/38.29)</f>
        <v>8.8623661530425696E-2</v>
      </c>
    </row>
    <row r="2342" spans="1:8" x14ac:dyDescent="0.25">
      <c r="A2342" s="1">
        <v>1997</v>
      </c>
      <c r="B2342" s="1" t="s">
        <v>99</v>
      </c>
      <c r="C2342" t="s">
        <v>51</v>
      </c>
      <c r="D2342">
        <v>3</v>
      </c>
      <c r="E2342">
        <v>79</v>
      </c>
      <c r="F2342">
        <v>0.04</v>
      </c>
      <c r="G2342">
        <f>(F2342/0.6)/5</f>
        <v>1.3333333333333332E-2</v>
      </c>
      <c r="H2342">
        <f>G2342*(26.79/38.29)</f>
        <v>9.3288064768869139E-3</v>
      </c>
    </row>
    <row r="2343" spans="1:8" x14ac:dyDescent="0.25">
      <c r="A2343" s="1">
        <v>1997</v>
      </c>
      <c r="B2343" s="1" t="s">
        <v>99</v>
      </c>
      <c r="C2343" t="s">
        <v>51</v>
      </c>
      <c r="D2343">
        <v>3</v>
      </c>
      <c r="E2343">
        <v>79</v>
      </c>
      <c r="F2343">
        <v>7.0000000000000007E-2</v>
      </c>
      <c r="G2343">
        <f>(F2343/0.6)/5</f>
        <v>2.3333333333333338E-2</v>
      </c>
      <c r="H2343">
        <f>G2343*(26.79/38.29)</f>
        <v>1.6325411334552103E-2</v>
      </c>
    </row>
    <row r="2344" spans="1:8" x14ac:dyDescent="0.25">
      <c r="A2344" s="1">
        <v>1997</v>
      </c>
      <c r="B2344" s="1" t="s">
        <v>99</v>
      </c>
      <c r="C2344" t="s">
        <v>51</v>
      </c>
      <c r="D2344">
        <v>3</v>
      </c>
      <c r="E2344">
        <v>79</v>
      </c>
      <c r="F2344">
        <v>0.56999999999999995</v>
      </c>
      <c r="G2344">
        <f>(F2344/0.6)/5</f>
        <v>0.19</v>
      </c>
      <c r="H2344">
        <f>G2344*(26.79/38.29)</f>
        <v>0.13293549229563853</v>
      </c>
    </row>
    <row r="2345" spans="1:8" x14ac:dyDescent="0.25">
      <c r="A2345" s="1">
        <v>1997</v>
      </c>
      <c r="B2345" s="1" t="s">
        <v>99</v>
      </c>
      <c r="C2345" t="s">
        <v>51</v>
      </c>
      <c r="D2345">
        <v>3</v>
      </c>
      <c r="E2345">
        <v>79</v>
      </c>
      <c r="F2345">
        <v>0.22</v>
      </c>
      <c r="G2345">
        <f>(F2345/0.6)/5</f>
        <v>7.3333333333333334E-2</v>
      </c>
      <c r="H2345">
        <f>G2345*(26.79/38.29)</f>
        <v>5.1308435622878033E-2</v>
      </c>
    </row>
    <row r="2346" spans="1:8" x14ac:dyDescent="0.25">
      <c r="A2346" s="1">
        <v>1997</v>
      </c>
      <c r="B2346" s="1" t="s">
        <v>99</v>
      </c>
      <c r="C2346" t="s">
        <v>51</v>
      </c>
      <c r="D2346">
        <v>3</v>
      </c>
      <c r="E2346">
        <v>79</v>
      </c>
      <c r="F2346">
        <v>0.04</v>
      </c>
      <c r="G2346">
        <f>(F2346/0.6)/5</f>
        <v>1.3333333333333332E-2</v>
      </c>
      <c r="H2346">
        <f>G2346*(26.79/38.29)</f>
        <v>9.3288064768869139E-3</v>
      </c>
    </row>
    <row r="2347" spans="1:8" x14ac:dyDescent="0.25">
      <c r="A2347" s="1">
        <v>1997</v>
      </c>
      <c r="B2347" s="1" t="s">
        <v>99</v>
      </c>
      <c r="C2347" t="s">
        <v>51</v>
      </c>
      <c r="D2347">
        <v>3</v>
      </c>
      <c r="E2347">
        <v>79</v>
      </c>
      <c r="F2347">
        <v>0.14000000000000001</v>
      </c>
      <c r="G2347">
        <f>(F2347/0.6)/5</f>
        <v>4.6666666666666676E-2</v>
      </c>
      <c r="H2347">
        <f>G2347*(26.79/38.29)</f>
        <v>3.2650822669104206E-2</v>
      </c>
    </row>
    <row r="2348" spans="1:8" x14ac:dyDescent="0.25">
      <c r="A2348" s="1">
        <v>1997</v>
      </c>
      <c r="B2348" s="1" t="s">
        <v>99</v>
      </c>
      <c r="C2348" t="s">
        <v>51</v>
      </c>
      <c r="D2348">
        <v>3</v>
      </c>
      <c r="E2348">
        <v>79</v>
      </c>
      <c r="F2348">
        <v>0.18</v>
      </c>
      <c r="G2348">
        <f>(F2348/0.6)/5</f>
        <v>0.06</v>
      </c>
      <c r="H2348">
        <f>G2348*(26.79/38.29)</f>
        <v>4.1979629145991113E-2</v>
      </c>
    </row>
    <row r="2349" spans="1:8" x14ac:dyDescent="0.25">
      <c r="A2349" s="1">
        <v>1997</v>
      </c>
      <c r="B2349" s="1" t="s">
        <v>99</v>
      </c>
      <c r="C2349" t="s">
        <v>51</v>
      </c>
      <c r="D2349">
        <v>3</v>
      </c>
      <c r="E2349">
        <v>79</v>
      </c>
      <c r="F2349">
        <v>0.13</v>
      </c>
      <c r="G2349">
        <f>(F2349/0.6)/5</f>
        <v>4.3333333333333335E-2</v>
      </c>
      <c r="H2349">
        <f>G2349*(26.79/38.29)</f>
        <v>3.0318621049882474E-2</v>
      </c>
    </row>
    <row r="2350" spans="1:8" x14ac:dyDescent="0.25">
      <c r="A2350" s="1">
        <v>1997</v>
      </c>
      <c r="B2350" s="1" t="s">
        <v>99</v>
      </c>
      <c r="C2350" t="s">
        <v>51</v>
      </c>
      <c r="D2350">
        <v>3</v>
      </c>
      <c r="E2350">
        <v>79</v>
      </c>
      <c r="F2350">
        <v>0.03</v>
      </c>
      <c r="G2350">
        <f>(F2350/0.6)/5</f>
        <v>0.01</v>
      </c>
      <c r="H2350">
        <f>G2350*(26.79/38.29)</f>
        <v>6.9966048576651863E-3</v>
      </c>
    </row>
    <row r="2351" spans="1:8" x14ac:dyDescent="0.25">
      <c r="A2351" s="1">
        <v>1997</v>
      </c>
      <c r="B2351" s="1" t="s">
        <v>99</v>
      </c>
      <c r="C2351" t="s">
        <v>51</v>
      </c>
      <c r="D2351">
        <v>3</v>
      </c>
      <c r="E2351">
        <v>79</v>
      </c>
      <c r="F2351">
        <v>0.57999999999999996</v>
      </c>
      <c r="G2351">
        <f>(F2351/0.6)/5</f>
        <v>0.19333333333333333</v>
      </c>
      <c r="H2351">
        <f>G2351*(26.79/38.29)</f>
        <v>0.13526769391486027</v>
      </c>
    </row>
    <row r="2352" spans="1:8" x14ac:dyDescent="0.25">
      <c r="A2352" s="1">
        <v>1997</v>
      </c>
      <c r="B2352" s="1" t="s">
        <v>99</v>
      </c>
      <c r="C2352" t="s">
        <v>51</v>
      </c>
      <c r="D2352">
        <v>3</v>
      </c>
      <c r="E2352">
        <v>79</v>
      </c>
      <c r="F2352">
        <v>0.48</v>
      </c>
      <c r="G2352">
        <f>(F2352/0.6)/5</f>
        <v>0.16</v>
      </c>
      <c r="H2352">
        <f>G2352*(26.79/38.29)</f>
        <v>0.11194567772264298</v>
      </c>
    </row>
    <row r="2353" spans="1:8" x14ac:dyDescent="0.25">
      <c r="A2353" s="1">
        <v>1997</v>
      </c>
      <c r="B2353" s="1" t="s">
        <v>99</v>
      </c>
      <c r="C2353" t="s">
        <v>51</v>
      </c>
      <c r="D2353">
        <v>3</v>
      </c>
      <c r="E2353">
        <v>79</v>
      </c>
      <c r="F2353">
        <v>0.11</v>
      </c>
      <c r="G2353">
        <f>(F2353/0.6)/5</f>
        <v>3.6666666666666667E-2</v>
      </c>
      <c r="H2353">
        <f>G2353*(26.79/38.29)</f>
        <v>2.5654217811439017E-2</v>
      </c>
    </row>
    <row r="2354" spans="1:8" x14ac:dyDescent="0.25">
      <c r="A2354" s="1">
        <v>1997</v>
      </c>
      <c r="B2354" s="1" t="s">
        <v>99</v>
      </c>
      <c r="C2354" t="s">
        <v>51</v>
      </c>
      <c r="D2354">
        <v>3</v>
      </c>
      <c r="E2354">
        <v>79</v>
      </c>
      <c r="F2354">
        <v>0.46</v>
      </c>
      <c r="G2354">
        <f>(F2354/0.6)/5</f>
        <v>0.15333333333333335</v>
      </c>
      <c r="H2354">
        <f>G2354*(26.79/38.29)</f>
        <v>0.10728127448419954</v>
      </c>
    </row>
    <row r="2355" spans="1:8" x14ac:dyDescent="0.25">
      <c r="A2355" s="1">
        <v>1997</v>
      </c>
      <c r="B2355" s="1" t="s">
        <v>99</v>
      </c>
      <c r="C2355" t="s">
        <v>51</v>
      </c>
      <c r="D2355">
        <v>3</v>
      </c>
      <c r="E2355">
        <v>79</v>
      </c>
      <c r="F2355">
        <v>0.15</v>
      </c>
      <c r="G2355">
        <f>(F2355/0.6)/5</f>
        <v>0.05</v>
      </c>
      <c r="H2355">
        <f>G2355*(26.79/38.29)</f>
        <v>3.4983024288325934E-2</v>
      </c>
    </row>
    <row r="2356" spans="1:8" x14ac:dyDescent="0.25">
      <c r="A2356" s="1">
        <v>1997</v>
      </c>
      <c r="B2356" s="1" t="s">
        <v>99</v>
      </c>
      <c r="C2356" t="s">
        <v>51</v>
      </c>
      <c r="D2356">
        <v>3</v>
      </c>
      <c r="E2356">
        <v>79</v>
      </c>
      <c r="F2356">
        <v>0.2</v>
      </c>
      <c r="G2356">
        <f>(F2356/0.6)/5</f>
        <v>6.666666666666668E-2</v>
      </c>
      <c r="H2356">
        <f>G2356*(26.79/38.29)</f>
        <v>4.6644032384434583E-2</v>
      </c>
    </row>
    <row r="2357" spans="1:8" x14ac:dyDescent="0.25">
      <c r="A2357" s="1">
        <v>1997</v>
      </c>
      <c r="B2357" s="1" t="s">
        <v>99</v>
      </c>
      <c r="C2357" t="s">
        <v>51</v>
      </c>
      <c r="D2357">
        <v>3</v>
      </c>
      <c r="E2357">
        <v>79</v>
      </c>
      <c r="F2357">
        <v>1.07</v>
      </c>
      <c r="G2357">
        <f>(F2357/0.6)/5</f>
        <v>0.35666666666666669</v>
      </c>
      <c r="H2357">
        <f>G2357*(26.79/38.29)</f>
        <v>0.249545573256725</v>
      </c>
    </row>
    <row r="2358" spans="1:8" x14ac:dyDescent="0.25">
      <c r="A2358" s="1">
        <v>1997</v>
      </c>
      <c r="B2358" s="1" t="s">
        <v>99</v>
      </c>
      <c r="C2358" t="s">
        <v>51</v>
      </c>
      <c r="D2358">
        <v>3</v>
      </c>
      <c r="E2358">
        <v>79</v>
      </c>
      <c r="F2358">
        <v>0.24</v>
      </c>
      <c r="G2358">
        <f>(F2358/0.6)/5</f>
        <v>0.08</v>
      </c>
      <c r="H2358">
        <f>G2358*(26.79/38.29)</f>
        <v>5.597283886132149E-2</v>
      </c>
    </row>
    <row r="2359" spans="1:8" x14ac:dyDescent="0.25">
      <c r="A2359" s="1">
        <v>1997</v>
      </c>
      <c r="B2359" s="1" t="s">
        <v>99</v>
      </c>
      <c r="C2359" t="s">
        <v>51</v>
      </c>
      <c r="D2359">
        <v>3</v>
      </c>
      <c r="E2359">
        <v>79</v>
      </c>
      <c r="F2359">
        <v>0.13</v>
      </c>
      <c r="G2359">
        <f>(F2359/0.6)/5</f>
        <v>4.3333333333333335E-2</v>
      </c>
      <c r="H2359">
        <f>G2359*(26.79/38.29)</f>
        <v>3.0318621049882474E-2</v>
      </c>
    </row>
    <row r="2360" spans="1:8" x14ac:dyDescent="0.25">
      <c r="A2360" s="1">
        <v>1997</v>
      </c>
      <c r="B2360" s="1" t="s">
        <v>99</v>
      </c>
      <c r="C2360" t="s">
        <v>51</v>
      </c>
      <c r="D2360">
        <v>3</v>
      </c>
      <c r="E2360">
        <v>79</v>
      </c>
      <c r="F2360">
        <v>0.52</v>
      </c>
      <c r="G2360">
        <f>(F2360/0.6)/5</f>
        <v>0.17333333333333334</v>
      </c>
      <c r="H2360">
        <f>G2360*(26.79/38.29)</f>
        <v>0.12127448419952989</v>
      </c>
    </row>
    <row r="2361" spans="1:8" x14ac:dyDescent="0.25">
      <c r="A2361" s="1">
        <v>1997</v>
      </c>
      <c r="B2361" s="1" t="s">
        <v>99</v>
      </c>
      <c r="C2361" t="s">
        <v>51</v>
      </c>
      <c r="D2361">
        <v>3</v>
      </c>
      <c r="E2361">
        <v>79</v>
      </c>
      <c r="F2361">
        <v>0.04</v>
      </c>
      <c r="G2361">
        <f>(F2361/0.6)/5</f>
        <v>1.3333333333333332E-2</v>
      </c>
      <c r="H2361">
        <f>G2361*(26.79/38.29)</f>
        <v>9.3288064768869139E-3</v>
      </c>
    </row>
    <row r="2362" spans="1:8" x14ac:dyDescent="0.25">
      <c r="A2362" s="1">
        <v>1997</v>
      </c>
      <c r="B2362" s="1" t="s">
        <v>99</v>
      </c>
      <c r="C2362" t="s">
        <v>51</v>
      </c>
      <c r="D2362">
        <v>3</v>
      </c>
      <c r="E2362">
        <v>79</v>
      </c>
      <c r="F2362">
        <v>0.62</v>
      </c>
      <c r="G2362">
        <f>(F2362/0.6)/5</f>
        <v>0.20666666666666669</v>
      </c>
      <c r="H2362">
        <f>G2362*(26.79/38.29)</f>
        <v>0.14459650039174721</v>
      </c>
    </row>
    <row r="2363" spans="1:8" x14ac:dyDescent="0.25">
      <c r="A2363" s="1">
        <v>1997</v>
      </c>
      <c r="B2363" s="1" t="s">
        <v>99</v>
      </c>
      <c r="C2363" t="s">
        <v>51</v>
      </c>
      <c r="D2363">
        <v>3</v>
      </c>
      <c r="E2363">
        <v>79</v>
      </c>
      <c r="F2363">
        <v>1.97</v>
      </c>
      <c r="G2363">
        <f>(F2363/0.6)/5</f>
        <v>0.65666666666666662</v>
      </c>
      <c r="H2363">
        <f>G2363*(26.79/38.29)</f>
        <v>0.45944371898668052</v>
      </c>
    </row>
    <row r="2364" spans="1:8" x14ac:dyDescent="0.25">
      <c r="A2364" s="1">
        <v>1997</v>
      </c>
      <c r="B2364" s="1" t="s">
        <v>99</v>
      </c>
      <c r="C2364" t="s">
        <v>51</v>
      </c>
      <c r="D2364">
        <v>3</v>
      </c>
      <c r="E2364">
        <v>79</v>
      </c>
      <c r="F2364">
        <v>0.05</v>
      </c>
      <c r="G2364">
        <f>(F2364/0.6)/5</f>
        <v>1.666666666666667E-2</v>
      </c>
      <c r="H2364">
        <f>G2364*(26.79/38.29)</f>
        <v>1.1661008096108646E-2</v>
      </c>
    </row>
    <row r="2365" spans="1:8" x14ac:dyDescent="0.25">
      <c r="A2365" s="1">
        <v>1997</v>
      </c>
      <c r="B2365" s="1" t="s">
        <v>99</v>
      </c>
      <c r="C2365" t="s">
        <v>51</v>
      </c>
      <c r="D2365">
        <v>3</v>
      </c>
      <c r="E2365">
        <v>79</v>
      </c>
      <c r="F2365">
        <v>0.1</v>
      </c>
      <c r="G2365">
        <f>(F2365/0.6)/5</f>
        <v>3.333333333333334E-2</v>
      </c>
      <c r="H2365">
        <f>G2365*(26.79/38.29)</f>
        <v>2.3322016192217292E-2</v>
      </c>
    </row>
    <row r="2366" spans="1:8" x14ac:dyDescent="0.25">
      <c r="A2366" s="1">
        <v>1997</v>
      </c>
      <c r="B2366" s="1" t="s">
        <v>99</v>
      </c>
      <c r="C2366" t="s">
        <v>51</v>
      </c>
      <c r="D2366">
        <v>3</v>
      </c>
      <c r="E2366">
        <v>79</v>
      </c>
      <c r="F2366">
        <v>0.35</v>
      </c>
      <c r="G2366">
        <f>(F2366/0.6)/5</f>
        <v>0.11666666666666667</v>
      </c>
      <c r="H2366">
        <f>G2366*(26.79/38.29)</f>
        <v>8.1627056672760503E-2</v>
      </c>
    </row>
    <row r="2367" spans="1:8" x14ac:dyDescent="0.25">
      <c r="A2367" s="1">
        <v>1997</v>
      </c>
      <c r="B2367" s="1" t="s">
        <v>99</v>
      </c>
      <c r="C2367" t="s">
        <v>51</v>
      </c>
      <c r="D2367">
        <v>3</v>
      </c>
      <c r="E2367">
        <v>79</v>
      </c>
      <c r="F2367">
        <v>0.3</v>
      </c>
      <c r="G2367">
        <f>(F2367/0.6)/5</f>
        <v>0.1</v>
      </c>
      <c r="H2367">
        <f>G2367*(26.79/38.29)</f>
        <v>6.9966048576651868E-2</v>
      </c>
    </row>
    <row r="2368" spans="1:8" x14ac:dyDescent="0.25">
      <c r="A2368" s="1">
        <v>1997</v>
      </c>
      <c r="B2368" s="1" t="s">
        <v>99</v>
      </c>
      <c r="C2368" t="s">
        <v>51</v>
      </c>
      <c r="D2368">
        <v>3</v>
      </c>
      <c r="E2368">
        <v>79</v>
      </c>
      <c r="F2368">
        <v>0.62</v>
      </c>
      <c r="G2368">
        <f>(F2368/0.6)/5</f>
        <v>0.20666666666666669</v>
      </c>
      <c r="H2368">
        <f>G2368*(26.79/38.29)</f>
        <v>0.14459650039174721</v>
      </c>
    </row>
    <row r="2369" spans="1:8" x14ac:dyDescent="0.25">
      <c r="A2369" s="1">
        <v>1997</v>
      </c>
      <c r="B2369" s="1" t="s">
        <v>99</v>
      </c>
      <c r="C2369" t="s">
        <v>51</v>
      </c>
      <c r="D2369">
        <v>3</v>
      </c>
      <c r="E2369">
        <v>84</v>
      </c>
      <c r="F2369">
        <v>0.08</v>
      </c>
      <c r="G2369">
        <f>(F2369/0.6)/5</f>
        <v>2.6666666666666665E-2</v>
      </c>
      <c r="H2369">
        <f>G2369*(26.79/38.29)</f>
        <v>1.8657612953773828E-2</v>
      </c>
    </row>
    <row r="2370" spans="1:8" x14ac:dyDescent="0.25">
      <c r="A2370" s="1">
        <v>1997</v>
      </c>
      <c r="B2370" s="1" t="s">
        <v>99</v>
      </c>
      <c r="C2370" t="s">
        <v>51</v>
      </c>
      <c r="D2370">
        <v>3</v>
      </c>
      <c r="E2370">
        <v>88</v>
      </c>
      <c r="F2370">
        <v>0.73</v>
      </c>
      <c r="G2370">
        <f>(F2370/0.6)/5</f>
        <v>0.24333333333333335</v>
      </c>
      <c r="H2370">
        <f>G2370*(26.79/38.29)</f>
        <v>0.17025071820318621</v>
      </c>
    </row>
    <row r="2371" spans="1:8" x14ac:dyDescent="0.25">
      <c r="A2371" s="1">
        <v>1997</v>
      </c>
      <c r="B2371" s="1" t="s">
        <v>99</v>
      </c>
      <c r="C2371" t="s">
        <v>51</v>
      </c>
      <c r="D2371">
        <v>3</v>
      </c>
      <c r="E2371">
        <v>88</v>
      </c>
      <c r="F2371">
        <v>0.08</v>
      </c>
      <c r="G2371">
        <f>(F2371/0.6)/5</f>
        <v>2.6666666666666665E-2</v>
      </c>
      <c r="H2371">
        <f>G2371*(26.79/38.29)</f>
        <v>1.8657612953773828E-2</v>
      </c>
    </row>
    <row r="2372" spans="1:8" x14ac:dyDescent="0.25">
      <c r="A2372" s="1">
        <v>1997</v>
      </c>
      <c r="B2372" s="1" t="s">
        <v>99</v>
      </c>
      <c r="C2372" t="s">
        <v>51</v>
      </c>
      <c r="D2372">
        <v>3</v>
      </c>
      <c r="E2372">
        <v>88</v>
      </c>
      <c r="F2372">
        <v>0.13</v>
      </c>
      <c r="G2372">
        <f>(F2372/0.6)/5</f>
        <v>4.3333333333333335E-2</v>
      </c>
      <c r="H2372">
        <f>G2372*(26.79/38.29)</f>
        <v>3.0318621049882474E-2</v>
      </c>
    </row>
    <row r="2373" spans="1:8" x14ac:dyDescent="0.25">
      <c r="A2373" s="1">
        <v>1997</v>
      </c>
      <c r="B2373" s="1" t="s">
        <v>99</v>
      </c>
      <c r="C2373" t="s">
        <v>51</v>
      </c>
      <c r="D2373">
        <v>3</v>
      </c>
      <c r="E2373">
        <v>91</v>
      </c>
      <c r="F2373">
        <v>0.18</v>
      </c>
      <c r="G2373">
        <f>(F2373/0.6)/5</f>
        <v>0.06</v>
      </c>
      <c r="H2373">
        <f>G2373*(26.79/38.29)</f>
        <v>4.1979629145991113E-2</v>
      </c>
    </row>
    <row r="2374" spans="1:8" x14ac:dyDescent="0.25">
      <c r="A2374" s="1">
        <v>1997</v>
      </c>
      <c r="B2374" s="1" t="s">
        <v>99</v>
      </c>
      <c r="C2374" t="s">
        <v>51</v>
      </c>
      <c r="D2374">
        <v>4</v>
      </c>
      <c r="E2374">
        <v>21</v>
      </c>
      <c r="F2374">
        <v>1.56</v>
      </c>
      <c r="G2374">
        <f>(F2374/0.6)/5</f>
        <v>0.52</v>
      </c>
      <c r="H2374">
        <f>G2374*(26.79/38.29)</f>
        <v>0.36382345259858972</v>
      </c>
    </row>
    <row r="2375" spans="1:8" x14ac:dyDescent="0.25">
      <c r="A2375" s="1">
        <v>1997</v>
      </c>
      <c r="B2375" s="1" t="s">
        <v>99</v>
      </c>
      <c r="C2375" t="s">
        <v>51</v>
      </c>
      <c r="D2375">
        <v>4</v>
      </c>
      <c r="E2375">
        <v>21</v>
      </c>
      <c r="F2375">
        <v>1.29</v>
      </c>
      <c r="G2375">
        <f>(F2375/0.6)/5</f>
        <v>0.43000000000000005</v>
      </c>
      <c r="H2375">
        <f>G2375*(26.79/38.29)</f>
        <v>0.30085400887960306</v>
      </c>
    </row>
    <row r="2376" spans="1:8" x14ac:dyDescent="0.25">
      <c r="A2376" s="1">
        <v>1997</v>
      </c>
      <c r="B2376" s="1" t="s">
        <v>99</v>
      </c>
      <c r="C2376" t="s">
        <v>51</v>
      </c>
      <c r="D2376">
        <v>4</v>
      </c>
      <c r="E2376">
        <v>29</v>
      </c>
      <c r="F2376">
        <v>0.16</v>
      </c>
      <c r="G2376">
        <f>(F2376/0.6)/5</f>
        <v>5.333333333333333E-2</v>
      </c>
      <c r="H2376">
        <f>G2376*(26.79/38.29)</f>
        <v>3.7315225907547656E-2</v>
      </c>
    </row>
    <row r="2377" spans="1:8" x14ac:dyDescent="0.25">
      <c r="A2377" s="1">
        <v>1997</v>
      </c>
      <c r="B2377" s="1" t="s">
        <v>99</v>
      </c>
      <c r="C2377" t="s">
        <v>51</v>
      </c>
      <c r="D2377">
        <v>4</v>
      </c>
      <c r="E2377">
        <v>29</v>
      </c>
      <c r="F2377">
        <v>0.7</v>
      </c>
      <c r="G2377">
        <f>(F2377/0.6)/5</f>
        <v>0.23333333333333334</v>
      </c>
      <c r="H2377">
        <f>G2377*(26.79/38.29)</f>
        <v>0.16325411334552101</v>
      </c>
    </row>
    <row r="2378" spans="1:8" x14ac:dyDescent="0.25">
      <c r="A2378" s="1">
        <v>1997</v>
      </c>
      <c r="B2378" s="1" t="s">
        <v>99</v>
      </c>
      <c r="C2378" t="s">
        <v>51</v>
      </c>
      <c r="D2378">
        <v>4</v>
      </c>
      <c r="E2378">
        <v>29</v>
      </c>
      <c r="F2378">
        <v>0.8</v>
      </c>
      <c r="G2378">
        <f>(F2378/0.6)/5</f>
        <v>0.26666666666666672</v>
      </c>
      <c r="H2378">
        <f>G2378*(26.79/38.29)</f>
        <v>0.18657612953773833</v>
      </c>
    </row>
    <row r="2379" spans="1:8" x14ac:dyDescent="0.25">
      <c r="A2379" s="1">
        <v>1997</v>
      </c>
      <c r="B2379" s="1" t="s">
        <v>99</v>
      </c>
      <c r="C2379" t="s">
        <v>51</v>
      </c>
      <c r="D2379">
        <v>4</v>
      </c>
      <c r="E2379">
        <v>29</v>
      </c>
      <c r="F2379">
        <v>0.18</v>
      </c>
      <c r="G2379">
        <f>(F2379/0.6)/5</f>
        <v>0.06</v>
      </c>
      <c r="H2379">
        <f>G2379*(26.79/38.29)</f>
        <v>4.1979629145991113E-2</v>
      </c>
    </row>
    <row r="2380" spans="1:8" x14ac:dyDescent="0.25">
      <c r="A2380" s="1">
        <v>1997</v>
      </c>
      <c r="B2380" s="1" t="s">
        <v>99</v>
      </c>
      <c r="C2380" t="s">
        <v>51</v>
      </c>
      <c r="D2380">
        <v>4</v>
      </c>
      <c r="E2380">
        <v>29</v>
      </c>
      <c r="F2380">
        <v>0.1</v>
      </c>
      <c r="G2380">
        <f>(F2380/0.6)/5</f>
        <v>3.333333333333334E-2</v>
      </c>
      <c r="H2380">
        <f>G2380*(26.79/38.29)</f>
        <v>2.3322016192217292E-2</v>
      </c>
    </row>
    <row r="2381" spans="1:8" x14ac:dyDescent="0.25">
      <c r="A2381" s="1">
        <v>1997</v>
      </c>
      <c r="B2381" s="1" t="s">
        <v>99</v>
      </c>
      <c r="C2381" t="s">
        <v>51</v>
      </c>
      <c r="D2381">
        <v>4</v>
      </c>
      <c r="E2381">
        <v>29</v>
      </c>
      <c r="F2381">
        <v>0.27</v>
      </c>
      <c r="G2381">
        <f>(F2381/0.6)/5</f>
        <v>9.0000000000000011E-2</v>
      </c>
      <c r="H2381">
        <f>G2381*(26.79/38.29)</f>
        <v>6.296944371898669E-2</v>
      </c>
    </row>
    <row r="2382" spans="1:8" x14ac:dyDescent="0.25">
      <c r="A2382" s="1">
        <v>1997</v>
      </c>
      <c r="B2382" s="1" t="s">
        <v>99</v>
      </c>
      <c r="C2382" t="s">
        <v>51</v>
      </c>
      <c r="D2382">
        <v>4</v>
      </c>
      <c r="E2382">
        <v>29</v>
      </c>
      <c r="F2382">
        <v>0.22</v>
      </c>
      <c r="G2382">
        <f>(F2382/0.6)/5</f>
        <v>7.3333333333333334E-2</v>
      </c>
      <c r="H2382">
        <f>G2382*(26.79/38.29)</f>
        <v>5.1308435622878033E-2</v>
      </c>
    </row>
    <row r="2383" spans="1:8" x14ac:dyDescent="0.25">
      <c r="A2383" s="1">
        <v>1997</v>
      </c>
      <c r="B2383" s="1" t="s">
        <v>99</v>
      </c>
      <c r="C2383" t="s">
        <v>51</v>
      </c>
      <c r="D2383">
        <v>4</v>
      </c>
      <c r="E2383">
        <v>29</v>
      </c>
      <c r="F2383">
        <v>0.89</v>
      </c>
      <c r="G2383">
        <f>(F2383/0.6)/5</f>
        <v>0.29666666666666669</v>
      </c>
      <c r="H2383">
        <f>G2383*(26.79/38.29)</f>
        <v>0.20756594411073387</v>
      </c>
    </row>
    <row r="2384" spans="1:8" x14ac:dyDescent="0.25">
      <c r="A2384" s="1">
        <v>1997</v>
      </c>
      <c r="B2384" s="1" t="s">
        <v>99</v>
      </c>
      <c r="C2384" t="s">
        <v>51</v>
      </c>
      <c r="D2384">
        <v>4</v>
      </c>
      <c r="E2384">
        <v>29</v>
      </c>
      <c r="F2384">
        <v>0.57999999999999996</v>
      </c>
      <c r="G2384">
        <f>(F2384/0.6)/5</f>
        <v>0.19333333333333333</v>
      </c>
      <c r="H2384">
        <f>G2384*(26.79/38.29)</f>
        <v>0.13526769391486027</v>
      </c>
    </row>
    <row r="2385" spans="1:8" x14ac:dyDescent="0.25">
      <c r="A2385" s="1">
        <v>1997</v>
      </c>
      <c r="B2385" s="1" t="s">
        <v>99</v>
      </c>
      <c r="C2385" t="s">
        <v>51</v>
      </c>
      <c r="D2385">
        <v>4</v>
      </c>
      <c r="E2385">
        <v>29</v>
      </c>
      <c r="F2385">
        <v>0.1</v>
      </c>
      <c r="G2385">
        <f>(F2385/0.6)/5</f>
        <v>3.333333333333334E-2</v>
      </c>
      <c r="H2385">
        <f>G2385*(26.79/38.29)</f>
        <v>2.3322016192217292E-2</v>
      </c>
    </row>
    <row r="2386" spans="1:8" x14ac:dyDescent="0.25">
      <c r="A2386" s="1">
        <v>1997</v>
      </c>
      <c r="B2386" s="1" t="s">
        <v>99</v>
      </c>
      <c r="C2386" t="s">
        <v>51</v>
      </c>
      <c r="D2386">
        <v>4</v>
      </c>
      <c r="E2386">
        <v>29</v>
      </c>
      <c r="F2386">
        <v>0.38</v>
      </c>
      <c r="G2386">
        <f>(F2386/0.6)/5</f>
        <v>0.12666666666666668</v>
      </c>
      <c r="H2386">
        <f>G2386*(26.79/38.29)</f>
        <v>8.8623661530425696E-2</v>
      </c>
    </row>
    <row r="2387" spans="1:8" x14ac:dyDescent="0.25">
      <c r="A2387" s="1">
        <v>1997</v>
      </c>
      <c r="B2387" s="1" t="s">
        <v>99</v>
      </c>
      <c r="C2387" t="s">
        <v>51</v>
      </c>
      <c r="D2387">
        <v>4</v>
      </c>
      <c r="E2387">
        <v>29</v>
      </c>
      <c r="F2387">
        <v>0.14000000000000001</v>
      </c>
      <c r="G2387">
        <f>(F2387/0.6)/5</f>
        <v>4.6666666666666676E-2</v>
      </c>
      <c r="H2387">
        <f>G2387*(26.79/38.29)</f>
        <v>3.2650822669104206E-2</v>
      </c>
    </row>
    <row r="2388" spans="1:8" x14ac:dyDescent="0.25">
      <c r="A2388" s="1">
        <v>1997</v>
      </c>
      <c r="B2388" s="1" t="s">
        <v>99</v>
      </c>
      <c r="C2388" t="s">
        <v>51</v>
      </c>
      <c r="D2388">
        <v>4</v>
      </c>
      <c r="E2388">
        <v>29</v>
      </c>
      <c r="F2388">
        <v>0.03</v>
      </c>
      <c r="G2388">
        <f>(F2388/0.6)/5</f>
        <v>0.01</v>
      </c>
      <c r="H2388">
        <f>G2388*(26.79/38.29)</f>
        <v>6.9966048576651863E-3</v>
      </c>
    </row>
    <row r="2389" spans="1:8" x14ac:dyDescent="0.25">
      <c r="A2389" s="1">
        <v>1997</v>
      </c>
      <c r="B2389" s="1" t="s">
        <v>99</v>
      </c>
      <c r="C2389" t="s">
        <v>51</v>
      </c>
      <c r="D2389">
        <v>4</v>
      </c>
      <c r="E2389">
        <v>32</v>
      </c>
      <c r="F2389">
        <v>0.09</v>
      </c>
      <c r="G2389">
        <f>(F2389/0.6)/5</f>
        <v>0.03</v>
      </c>
      <c r="H2389">
        <f>G2389*(26.79/38.29)</f>
        <v>2.0989814572995556E-2</v>
      </c>
    </row>
    <row r="2390" spans="1:8" x14ac:dyDescent="0.25">
      <c r="A2390" s="1">
        <v>1997</v>
      </c>
      <c r="B2390" s="1" t="s">
        <v>99</v>
      </c>
      <c r="C2390" t="s">
        <v>51</v>
      </c>
      <c r="D2390">
        <v>4</v>
      </c>
      <c r="E2390">
        <v>32</v>
      </c>
      <c r="F2390">
        <v>7.0000000000000007E-2</v>
      </c>
      <c r="G2390">
        <f>(F2390/0.6)/5</f>
        <v>2.3333333333333338E-2</v>
      </c>
      <c r="H2390">
        <f>G2390*(26.79/38.29)</f>
        <v>1.6325411334552103E-2</v>
      </c>
    </row>
    <row r="2391" spans="1:8" x14ac:dyDescent="0.25">
      <c r="A2391" s="1">
        <v>1997</v>
      </c>
      <c r="B2391" s="1" t="s">
        <v>99</v>
      </c>
      <c r="C2391" t="s">
        <v>51</v>
      </c>
      <c r="D2391">
        <v>4</v>
      </c>
      <c r="E2391">
        <v>32</v>
      </c>
      <c r="F2391">
        <v>0.06</v>
      </c>
      <c r="G2391">
        <f>(F2391/0.6)/5</f>
        <v>0.02</v>
      </c>
      <c r="H2391">
        <f>G2391*(26.79/38.29)</f>
        <v>1.3993209715330373E-2</v>
      </c>
    </row>
    <row r="2392" spans="1:8" x14ac:dyDescent="0.25">
      <c r="A2392" s="1">
        <v>1997</v>
      </c>
      <c r="B2392" s="1" t="s">
        <v>99</v>
      </c>
      <c r="C2392" t="s">
        <v>51</v>
      </c>
      <c r="D2392">
        <v>4</v>
      </c>
      <c r="E2392">
        <v>32</v>
      </c>
      <c r="F2392">
        <v>0.06</v>
      </c>
      <c r="G2392">
        <f>(F2392/0.6)/5</f>
        <v>0.02</v>
      </c>
      <c r="H2392">
        <f>G2392*(26.79/38.29)</f>
        <v>1.3993209715330373E-2</v>
      </c>
    </row>
    <row r="2393" spans="1:8" x14ac:dyDescent="0.25">
      <c r="A2393" s="1">
        <v>1997</v>
      </c>
      <c r="B2393" s="1" t="s">
        <v>99</v>
      </c>
      <c r="C2393" t="s">
        <v>51</v>
      </c>
      <c r="D2393">
        <v>4</v>
      </c>
      <c r="E2393">
        <v>32</v>
      </c>
      <c r="F2393">
        <v>0.08</v>
      </c>
      <c r="G2393">
        <f>(F2393/0.6)/5</f>
        <v>2.6666666666666665E-2</v>
      </c>
      <c r="H2393">
        <f>G2393*(26.79/38.29)</f>
        <v>1.8657612953773828E-2</v>
      </c>
    </row>
    <row r="2394" spans="1:8" x14ac:dyDescent="0.25">
      <c r="A2394" s="1">
        <v>1997</v>
      </c>
      <c r="B2394" s="1" t="s">
        <v>99</v>
      </c>
      <c r="C2394" t="s">
        <v>51</v>
      </c>
      <c r="D2394">
        <v>4</v>
      </c>
      <c r="E2394">
        <v>32</v>
      </c>
      <c r="F2394">
        <v>0.04</v>
      </c>
      <c r="G2394">
        <f>(F2394/0.6)/5</f>
        <v>1.3333333333333332E-2</v>
      </c>
      <c r="H2394">
        <f>G2394*(26.79/38.29)</f>
        <v>9.3288064768869139E-3</v>
      </c>
    </row>
    <row r="2395" spans="1:8" x14ac:dyDescent="0.25">
      <c r="A2395" s="1">
        <v>1997</v>
      </c>
      <c r="B2395" s="1" t="s">
        <v>99</v>
      </c>
      <c r="C2395" t="s">
        <v>51</v>
      </c>
      <c r="D2395">
        <v>4</v>
      </c>
      <c r="E2395">
        <v>32</v>
      </c>
      <c r="F2395">
        <v>0.31</v>
      </c>
      <c r="G2395">
        <f>(F2395/0.6)/5</f>
        <v>0.10333333333333335</v>
      </c>
      <c r="H2395">
        <f>G2395*(26.79/38.29)</f>
        <v>7.2298250195873603E-2</v>
      </c>
    </row>
    <row r="2396" spans="1:8" x14ac:dyDescent="0.25">
      <c r="A2396" s="1">
        <v>1997</v>
      </c>
      <c r="B2396" s="1" t="s">
        <v>99</v>
      </c>
      <c r="C2396" t="s">
        <v>51</v>
      </c>
      <c r="D2396">
        <v>4</v>
      </c>
      <c r="E2396">
        <v>32</v>
      </c>
      <c r="F2396">
        <v>0.06</v>
      </c>
      <c r="G2396">
        <f>(F2396/0.6)/5</f>
        <v>0.02</v>
      </c>
      <c r="H2396">
        <f>G2396*(26.79/38.29)</f>
        <v>1.3993209715330373E-2</v>
      </c>
    </row>
    <row r="2397" spans="1:8" x14ac:dyDescent="0.25">
      <c r="A2397" s="1">
        <v>1997</v>
      </c>
      <c r="B2397" s="1" t="s">
        <v>99</v>
      </c>
      <c r="C2397" t="s">
        <v>51</v>
      </c>
      <c r="D2397">
        <v>4</v>
      </c>
      <c r="E2397">
        <v>32</v>
      </c>
      <c r="F2397">
        <v>0.09</v>
      </c>
      <c r="G2397">
        <f>(F2397/0.6)/5</f>
        <v>0.03</v>
      </c>
      <c r="H2397">
        <f>G2397*(26.79/38.29)</f>
        <v>2.0989814572995556E-2</v>
      </c>
    </row>
    <row r="2398" spans="1:8" x14ac:dyDescent="0.25">
      <c r="A2398" s="1">
        <v>1997</v>
      </c>
      <c r="B2398" s="1" t="s">
        <v>99</v>
      </c>
      <c r="C2398" t="s">
        <v>51</v>
      </c>
      <c r="D2398">
        <v>4</v>
      </c>
      <c r="E2398">
        <v>32</v>
      </c>
      <c r="F2398">
        <v>7.0000000000000007E-2</v>
      </c>
      <c r="G2398">
        <f>(F2398/0.6)/5</f>
        <v>2.3333333333333338E-2</v>
      </c>
      <c r="H2398">
        <f>G2398*(26.79/38.29)</f>
        <v>1.6325411334552103E-2</v>
      </c>
    </row>
    <row r="2399" spans="1:8" x14ac:dyDescent="0.25">
      <c r="A2399" s="1">
        <v>1997</v>
      </c>
      <c r="B2399" s="1" t="s">
        <v>99</v>
      </c>
      <c r="C2399" t="s">
        <v>51</v>
      </c>
      <c r="D2399">
        <v>4</v>
      </c>
      <c r="E2399">
        <v>32</v>
      </c>
      <c r="F2399">
        <v>0.04</v>
      </c>
      <c r="G2399">
        <f>(F2399/0.6)/5</f>
        <v>1.3333333333333332E-2</v>
      </c>
      <c r="H2399">
        <f>G2399*(26.79/38.29)</f>
        <v>9.3288064768869139E-3</v>
      </c>
    </row>
    <row r="2400" spans="1:8" x14ac:dyDescent="0.25">
      <c r="A2400" s="1">
        <v>1997</v>
      </c>
      <c r="B2400" s="1" t="s">
        <v>99</v>
      </c>
      <c r="C2400" t="s">
        <v>51</v>
      </c>
      <c r="D2400">
        <v>4</v>
      </c>
      <c r="E2400">
        <v>32</v>
      </c>
      <c r="F2400">
        <v>0.04</v>
      </c>
      <c r="G2400">
        <f>(F2400/0.6)/5</f>
        <v>1.3333333333333332E-2</v>
      </c>
      <c r="H2400">
        <f>G2400*(26.79/38.29)</f>
        <v>9.3288064768869139E-3</v>
      </c>
    </row>
    <row r="2401" spans="1:8" x14ac:dyDescent="0.25">
      <c r="A2401" s="1">
        <v>1997</v>
      </c>
      <c r="B2401" s="1" t="s">
        <v>99</v>
      </c>
      <c r="C2401" t="s">
        <v>51</v>
      </c>
      <c r="D2401">
        <v>4</v>
      </c>
      <c r="E2401">
        <v>32</v>
      </c>
      <c r="F2401">
        <v>0.06</v>
      </c>
      <c r="G2401">
        <f>(F2401/0.6)/5</f>
        <v>0.02</v>
      </c>
      <c r="H2401">
        <f>G2401*(26.79/38.29)</f>
        <v>1.3993209715330373E-2</v>
      </c>
    </row>
    <row r="2402" spans="1:8" x14ac:dyDescent="0.25">
      <c r="A2402" s="1">
        <v>1997</v>
      </c>
      <c r="B2402" s="1" t="s">
        <v>99</v>
      </c>
      <c r="C2402" t="s">
        <v>51</v>
      </c>
      <c r="D2402">
        <v>4</v>
      </c>
      <c r="E2402">
        <v>32</v>
      </c>
      <c r="F2402">
        <v>0.08</v>
      </c>
      <c r="G2402">
        <f>(F2402/0.6)/5</f>
        <v>2.6666666666666665E-2</v>
      </c>
      <c r="H2402">
        <f>G2402*(26.79/38.29)</f>
        <v>1.8657612953773828E-2</v>
      </c>
    </row>
    <row r="2403" spans="1:8" x14ac:dyDescent="0.25">
      <c r="A2403" s="1">
        <v>1997</v>
      </c>
      <c r="B2403" s="1" t="s">
        <v>99</v>
      </c>
      <c r="C2403" t="s">
        <v>51</v>
      </c>
      <c r="D2403">
        <v>4</v>
      </c>
      <c r="E2403">
        <v>32</v>
      </c>
      <c r="F2403">
        <v>0.05</v>
      </c>
      <c r="G2403">
        <f>(F2403/0.6)/5</f>
        <v>1.666666666666667E-2</v>
      </c>
      <c r="H2403">
        <f>G2403*(26.79/38.29)</f>
        <v>1.1661008096108646E-2</v>
      </c>
    </row>
    <row r="2404" spans="1:8" x14ac:dyDescent="0.25">
      <c r="A2404" s="1">
        <v>1997</v>
      </c>
      <c r="B2404" s="1" t="s">
        <v>99</v>
      </c>
      <c r="C2404" t="s">
        <v>51</v>
      </c>
      <c r="D2404">
        <v>4</v>
      </c>
      <c r="E2404">
        <v>32</v>
      </c>
      <c r="F2404">
        <v>0.17</v>
      </c>
      <c r="G2404">
        <f>(F2404/0.6)/5</f>
        <v>5.6666666666666678E-2</v>
      </c>
      <c r="H2404">
        <f>G2404*(26.79/38.29)</f>
        <v>3.9647427526769398E-2</v>
      </c>
    </row>
    <row r="2405" spans="1:8" x14ac:dyDescent="0.25">
      <c r="A2405" s="1">
        <v>1997</v>
      </c>
      <c r="B2405" s="1" t="s">
        <v>99</v>
      </c>
      <c r="C2405" t="s">
        <v>51</v>
      </c>
      <c r="D2405">
        <v>4</v>
      </c>
      <c r="E2405">
        <v>32</v>
      </c>
      <c r="F2405">
        <v>1.1200000000000001</v>
      </c>
      <c r="G2405">
        <f>(F2405/0.6)/5</f>
        <v>0.37333333333333341</v>
      </c>
      <c r="H2405">
        <f>G2405*(26.79/38.29)</f>
        <v>0.26120658135283364</v>
      </c>
    </row>
    <row r="2406" spans="1:8" x14ac:dyDescent="0.25">
      <c r="A2406" s="1">
        <v>1997</v>
      </c>
      <c r="B2406" s="1" t="s">
        <v>99</v>
      </c>
      <c r="C2406" t="s">
        <v>51</v>
      </c>
      <c r="D2406">
        <v>4</v>
      </c>
      <c r="E2406">
        <v>32</v>
      </c>
      <c r="F2406">
        <v>0.04</v>
      </c>
      <c r="G2406">
        <f>(F2406/0.6)/5</f>
        <v>1.3333333333333332E-2</v>
      </c>
      <c r="H2406">
        <f>G2406*(26.79/38.29)</f>
        <v>9.3288064768869139E-3</v>
      </c>
    </row>
    <row r="2407" spans="1:8" x14ac:dyDescent="0.25">
      <c r="A2407" s="1">
        <v>1997</v>
      </c>
      <c r="B2407" s="1" t="s">
        <v>99</v>
      </c>
      <c r="C2407" t="s">
        <v>51</v>
      </c>
      <c r="D2407">
        <v>4</v>
      </c>
      <c r="E2407">
        <v>32</v>
      </c>
      <c r="F2407">
        <v>0.04</v>
      </c>
      <c r="G2407">
        <f>(F2407/0.6)/5</f>
        <v>1.3333333333333332E-2</v>
      </c>
      <c r="H2407">
        <f>G2407*(26.79/38.29)</f>
        <v>9.3288064768869139E-3</v>
      </c>
    </row>
    <row r="2408" spans="1:8" x14ac:dyDescent="0.25">
      <c r="A2408" s="1">
        <v>1997</v>
      </c>
      <c r="B2408" s="1" t="s">
        <v>99</v>
      </c>
      <c r="C2408" t="s">
        <v>51</v>
      </c>
      <c r="D2408">
        <v>4</v>
      </c>
      <c r="E2408">
        <v>32</v>
      </c>
      <c r="F2408">
        <v>0.16</v>
      </c>
      <c r="G2408">
        <f>(F2408/0.6)/5</f>
        <v>5.333333333333333E-2</v>
      </c>
      <c r="H2408">
        <f>G2408*(26.79/38.29)</f>
        <v>3.7315225907547656E-2</v>
      </c>
    </row>
    <row r="2409" spans="1:8" x14ac:dyDescent="0.25">
      <c r="A2409" s="1">
        <v>1997</v>
      </c>
      <c r="B2409" s="1" t="s">
        <v>99</v>
      </c>
      <c r="C2409" t="s">
        <v>51</v>
      </c>
      <c r="D2409">
        <v>4</v>
      </c>
      <c r="E2409">
        <v>32</v>
      </c>
      <c r="F2409">
        <v>0.09</v>
      </c>
      <c r="G2409">
        <f>(F2409/0.6)/5</f>
        <v>0.03</v>
      </c>
      <c r="H2409">
        <f>G2409*(26.79/38.29)</f>
        <v>2.0989814572995556E-2</v>
      </c>
    </row>
    <row r="2410" spans="1:8" x14ac:dyDescent="0.25">
      <c r="A2410" s="1">
        <v>1997</v>
      </c>
      <c r="B2410" s="1" t="s">
        <v>99</v>
      </c>
      <c r="C2410" t="s">
        <v>51</v>
      </c>
      <c r="D2410">
        <v>4</v>
      </c>
      <c r="E2410">
        <v>32</v>
      </c>
      <c r="F2410">
        <v>0.04</v>
      </c>
      <c r="G2410">
        <f>(F2410/0.6)/5</f>
        <v>1.3333333333333332E-2</v>
      </c>
      <c r="H2410">
        <f>G2410*(26.79/38.29)</f>
        <v>9.3288064768869139E-3</v>
      </c>
    </row>
    <row r="2411" spans="1:8" x14ac:dyDescent="0.25">
      <c r="A2411" s="1">
        <v>1997</v>
      </c>
      <c r="B2411" s="1" t="s">
        <v>99</v>
      </c>
      <c r="C2411" t="s">
        <v>51</v>
      </c>
      <c r="D2411">
        <v>4</v>
      </c>
      <c r="E2411">
        <v>32</v>
      </c>
      <c r="F2411">
        <v>0.11</v>
      </c>
      <c r="G2411">
        <f>(F2411/0.6)/5</f>
        <v>3.6666666666666667E-2</v>
      </c>
      <c r="H2411">
        <f>G2411*(26.79/38.29)</f>
        <v>2.5654217811439017E-2</v>
      </c>
    </row>
    <row r="2412" spans="1:8" x14ac:dyDescent="0.25">
      <c r="A2412" s="1">
        <v>1997</v>
      </c>
      <c r="B2412" s="1" t="s">
        <v>99</v>
      </c>
      <c r="C2412" t="s">
        <v>51</v>
      </c>
      <c r="D2412">
        <v>4</v>
      </c>
      <c r="E2412">
        <v>34</v>
      </c>
      <c r="F2412">
        <v>0.67</v>
      </c>
      <c r="G2412">
        <f>(F2412/0.6)/5</f>
        <v>0.22333333333333333</v>
      </c>
      <c r="H2412">
        <f>G2412*(26.79/38.29)</f>
        <v>0.15625750848785583</v>
      </c>
    </row>
    <row r="2413" spans="1:8" x14ac:dyDescent="0.25">
      <c r="A2413" s="1">
        <v>1997</v>
      </c>
      <c r="B2413" s="1" t="s">
        <v>99</v>
      </c>
      <c r="C2413" t="s">
        <v>51</v>
      </c>
      <c r="D2413">
        <v>4</v>
      </c>
      <c r="E2413">
        <v>34</v>
      </c>
      <c r="F2413">
        <v>0.46</v>
      </c>
      <c r="G2413">
        <f>(F2413/0.6)/5</f>
        <v>0.15333333333333335</v>
      </c>
      <c r="H2413">
        <f>G2413*(26.79/38.29)</f>
        <v>0.10728127448419954</v>
      </c>
    </row>
    <row r="2414" spans="1:8" x14ac:dyDescent="0.25">
      <c r="A2414" s="1">
        <v>1997</v>
      </c>
      <c r="B2414" s="1" t="s">
        <v>99</v>
      </c>
      <c r="C2414" t="s">
        <v>51</v>
      </c>
      <c r="D2414">
        <v>4</v>
      </c>
      <c r="E2414">
        <v>38</v>
      </c>
      <c r="F2414">
        <v>0.47</v>
      </c>
      <c r="G2414">
        <f>(F2414/0.6)/5</f>
        <v>0.15666666666666668</v>
      </c>
      <c r="H2414">
        <f>G2414*(26.79/38.29)</f>
        <v>0.10961347610342126</v>
      </c>
    </row>
    <row r="2415" spans="1:8" x14ac:dyDescent="0.25">
      <c r="A2415" s="1">
        <v>1997</v>
      </c>
      <c r="B2415" s="1" t="s">
        <v>99</v>
      </c>
      <c r="C2415" t="s">
        <v>51</v>
      </c>
      <c r="D2415">
        <v>4</v>
      </c>
      <c r="E2415">
        <v>38</v>
      </c>
      <c r="F2415">
        <v>1.75</v>
      </c>
      <c r="G2415">
        <f>(F2415/0.6)/5</f>
        <v>0.58333333333333337</v>
      </c>
      <c r="H2415">
        <f>G2415*(26.79/38.29)</f>
        <v>0.40813528336380256</v>
      </c>
    </row>
    <row r="2416" spans="1:8" x14ac:dyDescent="0.25">
      <c r="A2416" s="1">
        <v>1997</v>
      </c>
      <c r="B2416" s="1" t="s">
        <v>99</v>
      </c>
      <c r="C2416" t="s">
        <v>51</v>
      </c>
      <c r="D2416">
        <v>4</v>
      </c>
      <c r="E2416">
        <v>38</v>
      </c>
      <c r="F2416">
        <v>1.31</v>
      </c>
      <c r="G2416">
        <f>(F2416/0.6)/5</f>
        <v>0.4366666666666667</v>
      </c>
      <c r="H2416">
        <f>G2416*(26.79/38.29)</f>
        <v>0.30551841211804648</v>
      </c>
    </row>
    <row r="2417" spans="1:8" x14ac:dyDescent="0.25">
      <c r="A2417" s="1">
        <v>1997</v>
      </c>
      <c r="B2417" s="1" t="s">
        <v>99</v>
      </c>
      <c r="C2417" t="s">
        <v>51</v>
      </c>
      <c r="D2417">
        <v>4</v>
      </c>
      <c r="E2417">
        <v>38</v>
      </c>
      <c r="F2417">
        <v>0.27</v>
      </c>
      <c r="G2417">
        <f>(F2417/0.6)/5</f>
        <v>9.0000000000000011E-2</v>
      </c>
      <c r="H2417">
        <f>G2417*(26.79/38.29)</f>
        <v>6.296944371898669E-2</v>
      </c>
    </row>
    <row r="2418" spans="1:8" x14ac:dyDescent="0.25">
      <c r="A2418" s="1">
        <v>1997</v>
      </c>
      <c r="B2418" s="1" t="s">
        <v>99</v>
      </c>
      <c r="C2418" t="s">
        <v>51</v>
      </c>
      <c r="D2418">
        <v>4</v>
      </c>
      <c r="E2418">
        <v>38</v>
      </c>
      <c r="F2418">
        <v>1.41</v>
      </c>
      <c r="G2418">
        <f>(F2418/0.6)/5</f>
        <v>0.47000000000000003</v>
      </c>
      <c r="H2418">
        <f>G2418*(26.79/38.29)</f>
        <v>0.32884042831026378</v>
      </c>
    </row>
    <row r="2419" spans="1:8" x14ac:dyDescent="0.25">
      <c r="A2419" s="1">
        <v>1997</v>
      </c>
      <c r="B2419" s="1" t="s">
        <v>99</v>
      </c>
      <c r="C2419" t="s">
        <v>51</v>
      </c>
      <c r="D2419">
        <v>4</v>
      </c>
      <c r="E2419">
        <v>38</v>
      </c>
      <c r="F2419">
        <v>0.37</v>
      </c>
      <c r="G2419">
        <f>(F2419/0.6)/5</f>
        <v>0.12333333333333334</v>
      </c>
      <c r="H2419">
        <f>G2419*(26.79/38.29)</f>
        <v>8.629145991120396E-2</v>
      </c>
    </row>
    <row r="2420" spans="1:8" x14ac:dyDescent="0.25">
      <c r="A2420" s="1">
        <v>1997</v>
      </c>
      <c r="B2420" s="1" t="s">
        <v>99</v>
      </c>
      <c r="C2420" t="s">
        <v>51</v>
      </c>
      <c r="D2420">
        <v>4</v>
      </c>
      <c r="E2420">
        <v>38</v>
      </c>
      <c r="F2420">
        <v>1.1299999999999999</v>
      </c>
      <c r="G2420">
        <f>(F2420/0.6)/5</f>
        <v>0.37666666666666665</v>
      </c>
      <c r="H2420">
        <f>G2420*(26.79/38.29)</f>
        <v>0.26353878297205535</v>
      </c>
    </row>
    <row r="2421" spans="1:8" x14ac:dyDescent="0.25">
      <c r="A2421" s="1">
        <v>1997</v>
      </c>
      <c r="B2421" s="1" t="s">
        <v>99</v>
      </c>
      <c r="C2421" t="s">
        <v>51</v>
      </c>
      <c r="D2421">
        <v>4</v>
      </c>
      <c r="E2421">
        <v>38</v>
      </c>
      <c r="F2421">
        <v>0.4</v>
      </c>
      <c r="G2421">
        <f>(F2421/0.6)/5</f>
        <v>0.13333333333333336</v>
      </c>
      <c r="H2421">
        <f>G2421*(26.79/38.29)</f>
        <v>9.3288064768869167E-2</v>
      </c>
    </row>
    <row r="2422" spans="1:8" x14ac:dyDescent="0.25">
      <c r="A2422" s="1">
        <v>1997</v>
      </c>
      <c r="B2422" s="1" t="s">
        <v>99</v>
      </c>
      <c r="C2422" t="s">
        <v>51</v>
      </c>
      <c r="D2422">
        <v>4</v>
      </c>
      <c r="E2422">
        <v>38</v>
      </c>
      <c r="F2422">
        <v>0.47</v>
      </c>
      <c r="G2422">
        <f>(F2422/0.6)/5</f>
        <v>0.15666666666666668</v>
      </c>
      <c r="H2422">
        <f>G2422*(26.79/38.29)</f>
        <v>0.10961347610342126</v>
      </c>
    </row>
    <row r="2423" spans="1:8" x14ac:dyDescent="0.25">
      <c r="A2423" s="1">
        <v>1997</v>
      </c>
      <c r="B2423" s="1" t="s">
        <v>99</v>
      </c>
      <c r="C2423" t="s">
        <v>51</v>
      </c>
      <c r="D2423">
        <v>4</v>
      </c>
      <c r="E2423">
        <v>38</v>
      </c>
      <c r="F2423">
        <v>1.07</v>
      </c>
      <c r="G2423">
        <f>(F2423/0.6)/5</f>
        <v>0.35666666666666669</v>
      </c>
      <c r="H2423">
        <f>G2423*(26.79/38.29)</f>
        <v>0.249545573256725</v>
      </c>
    </row>
    <row r="2424" spans="1:8" x14ac:dyDescent="0.25">
      <c r="A2424" s="1">
        <v>1997</v>
      </c>
      <c r="B2424" s="1" t="s">
        <v>99</v>
      </c>
      <c r="C2424" t="s">
        <v>51</v>
      </c>
      <c r="D2424">
        <v>4</v>
      </c>
      <c r="E2424">
        <v>38</v>
      </c>
      <c r="F2424">
        <v>0.84</v>
      </c>
      <c r="G2424">
        <f>(F2424/0.6)/5</f>
        <v>0.27999999999999997</v>
      </c>
      <c r="H2424">
        <f>G2424*(26.79/38.29)</f>
        <v>0.19590493601462519</v>
      </c>
    </row>
    <row r="2425" spans="1:8" x14ac:dyDescent="0.25">
      <c r="A2425" s="1">
        <v>1997</v>
      </c>
      <c r="B2425" s="1" t="s">
        <v>99</v>
      </c>
      <c r="C2425" t="s">
        <v>51</v>
      </c>
      <c r="D2425">
        <v>4</v>
      </c>
      <c r="E2425">
        <v>40</v>
      </c>
      <c r="F2425">
        <v>1.28</v>
      </c>
      <c r="G2425">
        <f>(F2425/0.6)/5</f>
        <v>0.42666666666666664</v>
      </c>
      <c r="H2425">
        <f>G2425*(26.79/38.29)</f>
        <v>0.29852180726038124</v>
      </c>
    </row>
    <row r="2426" spans="1:8" x14ac:dyDescent="0.25">
      <c r="A2426" s="1">
        <v>1997</v>
      </c>
      <c r="B2426" s="1" t="s">
        <v>99</v>
      </c>
      <c r="C2426" t="s">
        <v>51</v>
      </c>
      <c r="D2426">
        <v>4</v>
      </c>
      <c r="E2426">
        <v>40</v>
      </c>
      <c r="F2426">
        <v>1.38</v>
      </c>
      <c r="G2426">
        <f>(F2426/0.6)/5</f>
        <v>0.45999999999999996</v>
      </c>
      <c r="H2426">
        <f>G2426*(26.79/38.29)</f>
        <v>0.32184382345259854</v>
      </c>
    </row>
    <row r="2427" spans="1:8" x14ac:dyDescent="0.25">
      <c r="A2427" s="1">
        <v>1997</v>
      </c>
      <c r="B2427" s="1" t="s">
        <v>99</v>
      </c>
      <c r="C2427" t="s">
        <v>51</v>
      </c>
      <c r="D2427">
        <v>4</v>
      </c>
      <c r="E2427">
        <v>40</v>
      </c>
      <c r="F2427">
        <v>0.75</v>
      </c>
      <c r="G2427">
        <f>(F2427/0.6)/5</f>
        <v>0.25</v>
      </c>
      <c r="H2427">
        <f>G2427*(26.79/38.29)</f>
        <v>0.17491512144162966</v>
      </c>
    </row>
    <row r="2428" spans="1:8" x14ac:dyDescent="0.25">
      <c r="A2428" s="1">
        <v>1997</v>
      </c>
      <c r="B2428" s="1" t="s">
        <v>99</v>
      </c>
      <c r="C2428" t="s">
        <v>51</v>
      </c>
      <c r="D2428">
        <v>4</v>
      </c>
      <c r="E2428">
        <v>40</v>
      </c>
      <c r="F2428">
        <v>1.63</v>
      </c>
      <c r="G2428">
        <f>(F2428/0.6)/5</f>
        <v>0.54333333333333333</v>
      </c>
      <c r="H2428">
        <f>G2428*(26.79/38.29)</f>
        <v>0.38014886393314179</v>
      </c>
    </row>
    <row r="2429" spans="1:8" x14ac:dyDescent="0.25">
      <c r="A2429" s="1">
        <v>1997</v>
      </c>
      <c r="B2429" s="1" t="s">
        <v>99</v>
      </c>
      <c r="C2429" t="s">
        <v>51</v>
      </c>
      <c r="D2429">
        <v>4</v>
      </c>
      <c r="E2429">
        <v>40</v>
      </c>
      <c r="F2429">
        <v>0.83</v>
      </c>
      <c r="G2429">
        <f>(F2429/0.6)/5</f>
        <v>0.27666666666666667</v>
      </c>
      <c r="H2429">
        <f>G2429*(26.79/38.29)</f>
        <v>0.19357273439540348</v>
      </c>
    </row>
    <row r="2430" spans="1:8" x14ac:dyDescent="0.25">
      <c r="A2430" s="1">
        <v>1997</v>
      </c>
      <c r="B2430" s="1" t="s">
        <v>99</v>
      </c>
      <c r="C2430" t="s">
        <v>51</v>
      </c>
      <c r="D2430">
        <v>4</v>
      </c>
      <c r="E2430">
        <v>40</v>
      </c>
      <c r="F2430">
        <v>0.8</v>
      </c>
      <c r="G2430">
        <f>(F2430/0.6)/5</f>
        <v>0.26666666666666672</v>
      </c>
      <c r="H2430">
        <f>G2430*(26.79/38.29)</f>
        <v>0.18657612953773833</v>
      </c>
    </row>
    <row r="2431" spans="1:8" x14ac:dyDescent="0.25">
      <c r="A2431" s="1">
        <v>1997</v>
      </c>
      <c r="B2431" s="1" t="s">
        <v>99</v>
      </c>
      <c r="C2431" t="s">
        <v>51</v>
      </c>
      <c r="D2431">
        <v>4</v>
      </c>
      <c r="E2431">
        <v>40</v>
      </c>
      <c r="F2431">
        <v>1.21</v>
      </c>
      <c r="G2431">
        <f>(F2431/0.6)/5</f>
        <v>0.40333333333333332</v>
      </c>
      <c r="H2431">
        <f>G2431*(26.79/38.29)</f>
        <v>0.28219639592582918</v>
      </c>
    </row>
    <row r="2432" spans="1:8" x14ac:dyDescent="0.25">
      <c r="A2432" s="1">
        <v>1997</v>
      </c>
      <c r="B2432" s="1" t="s">
        <v>99</v>
      </c>
      <c r="C2432" t="s">
        <v>51</v>
      </c>
      <c r="D2432">
        <v>4</v>
      </c>
      <c r="E2432">
        <v>40</v>
      </c>
      <c r="F2432">
        <v>0.87</v>
      </c>
      <c r="G2432">
        <f>(F2432/0.6)/5</f>
        <v>0.28999999999999998</v>
      </c>
      <c r="H2432">
        <f>G2432*(26.79/38.29)</f>
        <v>0.2029015408722904</v>
      </c>
    </row>
    <row r="2433" spans="1:8" x14ac:dyDescent="0.25">
      <c r="A2433" s="1">
        <v>1997</v>
      </c>
      <c r="B2433" s="1" t="s">
        <v>99</v>
      </c>
      <c r="C2433" t="s">
        <v>51</v>
      </c>
      <c r="D2433">
        <v>4</v>
      </c>
      <c r="E2433">
        <v>40</v>
      </c>
      <c r="F2433">
        <v>0.88</v>
      </c>
      <c r="G2433">
        <f>(F2433/0.6)/5</f>
        <v>0.29333333333333333</v>
      </c>
      <c r="H2433">
        <f>G2433*(26.79/38.29)</f>
        <v>0.20523374249151213</v>
      </c>
    </row>
    <row r="2434" spans="1:8" x14ac:dyDescent="0.25">
      <c r="A2434" s="1">
        <v>1997</v>
      </c>
      <c r="B2434" s="1" t="s">
        <v>99</v>
      </c>
      <c r="C2434" t="s">
        <v>51</v>
      </c>
      <c r="D2434">
        <v>4</v>
      </c>
      <c r="E2434">
        <v>40</v>
      </c>
      <c r="F2434">
        <v>1.02</v>
      </c>
      <c r="G2434">
        <f>(F2434/0.6)/5</f>
        <v>0.34</v>
      </c>
      <c r="H2434">
        <f>G2434*(26.79/38.29)</f>
        <v>0.23788456516061635</v>
      </c>
    </row>
    <row r="2435" spans="1:8" x14ac:dyDescent="0.25">
      <c r="A2435" s="1">
        <v>1997</v>
      </c>
      <c r="B2435" s="1" t="s">
        <v>99</v>
      </c>
      <c r="C2435" t="s">
        <v>51</v>
      </c>
      <c r="D2435">
        <v>4</v>
      </c>
      <c r="E2435">
        <v>40</v>
      </c>
      <c r="F2435">
        <v>0.42</v>
      </c>
      <c r="G2435">
        <f>(F2435/0.6)/5</f>
        <v>0.13999999999999999</v>
      </c>
      <c r="H2435">
        <f>G2435*(26.79/38.29)</f>
        <v>9.7952468007312596E-2</v>
      </c>
    </row>
    <row r="2436" spans="1:8" x14ac:dyDescent="0.25">
      <c r="A2436" s="1">
        <v>1997</v>
      </c>
      <c r="B2436" s="1" t="s">
        <v>99</v>
      </c>
      <c r="C2436" t="s">
        <v>51</v>
      </c>
      <c r="D2436">
        <v>4</v>
      </c>
      <c r="E2436">
        <v>40</v>
      </c>
      <c r="F2436">
        <v>1.36</v>
      </c>
      <c r="G2436">
        <f>(F2436/0.6)/5</f>
        <v>0.45333333333333342</v>
      </c>
      <c r="H2436">
        <f>G2436*(26.79/38.29)</f>
        <v>0.31717942021415518</v>
      </c>
    </row>
    <row r="2437" spans="1:8" x14ac:dyDescent="0.25">
      <c r="A2437" s="1">
        <v>1997</v>
      </c>
      <c r="B2437" s="1" t="s">
        <v>99</v>
      </c>
      <c r="C2437" t="s">
        <v>51</v>
      </c>
      <c r="D2437">
        <v>4</v>
      </c>
      <c r="E2437">
        <v>40</v>
      </c>
      <c r="F2437">
        <v>1.04</v>
      </c>
      <c r="G2437">
        <f>(F2437/0.6)/5</f>
        <v>0.34666666666666668</v>
      </c>
      <c r="H2437">
        <f>G2437*(26.79/38.29)</f>
        <v>0.24254896839905979</v>
      </c>
    </row>
    <row r="2438" spans="1:8" x14ac:dyDescent="0.25">
      <c r="A2438" s="1">
        <v>1997</v>
      </c>
      <c r="B2438" s="1" t="s">
        <v>99</v>
      </c>
      <c r="C2438" t="s">
        <v>51</v>
      </c>
      <c r="D2438">
        <v>4</v>
      </c>
      <c r="E2438">
        <v>40</v>
      </c>
      <c r="F2438">
        <v>1.93</v>
      </c>
      <c r="G2438">
        <f>(F2438/0.6)/5</f>
        <v>0.64333333333333331</v>
      </c>
      <c r="H2438">
        <f>G2438*(26.79/38.29)</f>
        <v>0.45011491250979363</v>
      </c>
    </row>
    <row r="2439" spans="1:8" x14ac:dyDescent="0.25">
      <c r="A2439" s="1">
        <v>1997</v>
      </c>
      <c r="B2439" s="1" t="s">
        <v>99</v>
      </c>
      <c r="C2439" t="s">
        <v>51</v>
      </c>
      <c r="D2439">
        <v>4</v>
      </c>
      <c r="E2439">
        <v>53</v>
      </c>
      <c r="F2439">
        <v>0.1</v>
      </c>
      <c r="G2439">
        <f>(F2439/0.6)/5</f>
        <v>3.333333333333334E-2</v>
      </c>
      <c r="H2439">
        <f>G2439*(26.79/38.29)</f>
        <v>2.3322016192217292E-2</v>
      </c>
    </row>
    <row r="2440" spans="1:8" x14ac:dyDescent="0.25">
      <c r="A2440" s="1">
        <v>1997</v>
      </c>
      <c r="B2440" s="1" t="s">
        <v>99</v>
      </c>
      <c r="C2440" t="s">
        <v>51</v>
      </c>
      <c r="D2440">
        <v>4</v>
      </c>
      <c r="E2440">
        <v>53</v>
      </c>
      <c r="F2440">
        <v>0.04</v>
      </c>
      <c r="G2440">
        <f>(F2440/0.6)/5</f>
        <v>1.3333333333333332E-2</v>
      </c>
      <c r="H2440">
        <f>G2440*(26.79/38.29)</f>
        <v>9.3288064768869139E-3</v>
      </c>
    </row>
    <row r="2441" spans="1:8" x14ac:dyDescent="0.25">
      <c r="A2441" s="1">
        <v>1997</v>
      </c>
      <c r="B2441" s="1" t="s">
        <v>99</v>
      </c>
      <c r="C2441" t="s">
        <v>51</v>
      </c>
      <c r="D2441">
        <v>4</v>
      </c>
      <c r="E2441">
        <v>53</v>
      </c>
      <c r="F2441">
        <v>0.22</v>
      </c>
      <c r="G2441">
        <f>(F2441/0.6)/5</f>
        <v>7.3333333333333334E-2</v>
      </c>
      <c r="H2441">
        <f>G2441*(26.79/38.29)</f>
        <v>5.1308435622878033E-2</v>
      </c>
    </row>
    <row r="2442" spans="1:8" x14ac:dyDescent="0.25">
      <c r="A2442" s="1">
        <v>1997</v>
      </c>
      <c r="B2442" s="1" t="s">
        <v>99</v>
      </c>
      <c r="C2442" t="s">
        <v>51</v>
      </c>
      <c r="D2442">
        <v>4</v>
      </c>
      <c r="E2442">
        <v>53</v>
      </c>
      <c r="F2442">
        <v>0.09</v>
      </c>
      <c r="G2442">
        <f>(F2442/0.6)/5</f>
        <v>0.03</v>
      </c>
      <c r="H2442">
        <f>G2442*(26.79/38.29)</f>
        <v>2.0989814572995556E-2</v>
      </c>
    </row>
    <row r="2443" spans="1:8" x14ac:dyDescent="0.25">
      <c r="A2443" s="1">
        <v>1997</v>
      </c>
      <c r="B2443" s="1" t="s">
        <v>99</v>
      </c>
      <c r="C2443" t="s">
        <v>51</v>
      </c>
      <c r="D2443">
        <v>4</v>
      </c>
      <c r="E2443">
        <v>53</v>
      </c>
      <c r="F2443">
        <v>0.28000000000000003</v>
      </c>
      <c r="G2443">
        <f>(F2443/0.6)/5</f>
        <v>9.3333333333333351E-2</v>
      </c>
      <c r="H2443">
        <f>G2443*(26.79/38.29)</f>
        <v>6.5301645338208411E-2</v>
      </c>
    </row>
    <row r="2444" spans="1:8" x14ac:dyDescent="0.25">
      <c r="A2444" s="1">
        <v>1997</v>
      </c>
      <c r="B2444" s="1" t="s">
        <v>99</v>
      </c>
      <c r="C2444" t="s">
        <v>51</v>
      </c>
      <c r="D2444">
        <v>4</v>
      </c>
      <c r="E2444">
        <v>53</v>
      </c>
      <c r="F2444">
        <v>0.08</v>
      </c>
      <c r="G2444">
        <f>(F2444/0.6)/5</f>
        <v>2.6666666666666665E-2</v>
      </c>
      <c r="H2444">
        <f>G2444*(26.79/38.29)</f>
        <v>1.8657612953773828E-2</v>
      </c>
    </row>
    <row r="2445" spans="1:8" x14ac:dyDescent="0.25">
      <c r="A2445" s="1">
        <v>1997</v>
      </c>
      <c r="B2445" s="1" t="s">
        <v>99</v>
      </c>
      <c r="C2445" t="s">
        <v>51</v>
      </c>
      <c r="D2445">
        <v>4</v>
      </c>
      <c r="E2445">
        <v>53</v>
      </c>
      <c r="F2445">
        <v>0.1</v>
      </c>
      <c r="G2445">
        <f>(F2445/0.6)/5</f>
        <v>3.333333333333334E-2</v>
      </c>
      <c r="H2445">
        <f>G2445*(26.79/38.29)</f>
        <v>2.3322016192217292E-2</v>
      </c>
    </row>
    <row r="2446" spans="1:8" x14ac:dyDescent="0.25">
      <c r="A2446" s="1">
        <v>1997</v>
      </c>
      <c r="B2446" s="1" t="s">
        <v>99</v>
      </c>
      <c r="C2446" t="s">
        <v>51</v>
      </c>
      <c r="D2446">
        <v>4</v>
      </c>
      <c r="E2446">
        <v>53</v>
      </c>
      <c r="F2446">
        <v>0.05</v>
      </c>
      <c r="G2446">
        <f>(F2446/0.6)/5</f>
        <v>1.666666666666667E-2</v>
      </c>
      <c r="H2446">
        <f>G2446*(26.79/38.29)</f>
        <v>1.1661008096108646E-2</v>
      </c>
    </row>
    <row r="2447" spans="1:8" x14ac:dyDescent="0.25">
      <c r="A2447" s="1">
        <v>1997</v>
      </c>
      <c r="B2447" s="1" t="s">
        <v>99</v>
      </c>
      <c r="C2447" t="s">
        <v>51</v>
      </c>
      <c r="D2447">
        <v>4</v>
      </c>
      <c r="E2447">
        <v>53</v>
      </c>
      <c r="F2447">
        <v>0.08</v>
      </c>
      <c r="G2447">
        <f>(F2447/0.6)/5</f>
        <v>2.6666666666666665E-2</v>
      </c>
      <c r="H2447">
        <f>G2447*(26.79/38.29)</f>
        <v>1.8657612953773828E-2</v>
      </c>
    </row>
    <row r="2448" spans="1:8" x14ac:dyDescent="0.25">
      <c r="A2448" s="1">
        <v>1997</v>
      </c>
      <c r="B2448" s="1" t="s">
        <v>99</v>
      </c>
      <c r="C2448" t="s">
        <v>51</v>
      </c>
      <c r="D2448">
        <v>4</v>
      </c>
      <c r="E2448">
        <v>53</v>
      </c>
      <c r="F2448">
        <v>0.72</v>
      </c>
      <c r="G2448">
        <f>(F2448/0.6)/5</f>
        <v>0.24</v>
      </c>
      <c r="H2448">
        <f>G2448*(26.79/38.29)</f>
        <v>0.16791851658396445</v>
      </c>
    </row>
    <row r="2449" spans="1:8" x14ac:dyDescent="0.25">
      <c r="A2449" s="1">
        <v>1997</v>
      </c>
      <c r="B2449" s="1" t="s">
        <v>99</v>
      </c>
      <c r="C2449" t="s">
        <v>51</v>
      </c>
      <c r="D2449">
        <v>4</v>
      </c>
      <c r="E2449">
        <v>54</v>
      </c>
      <c r="F2449">
        <v>0.05</v>
      </c>
      <c r="G2449">
        <f>(F2449/0.6)/5</f>
        <v>1.666666666666667E-2</v>
      </c>
      <c r="H2449">
        <f>G2449*(26.79/38.29)</f>
        <v>1.1661008096108646E-2</v>
      </c>
    </row>
    <row r="2450" spans="1:8" x14ac:dyDescent="0.25">
      <c r="A2450" s="1">
        <v>1997</v>
      </c>
      <c r="B2450" s="1" t="s">
        <v>99</v>
      </c>
      <c r="C2450" t="s">
        <v>51</v>
      </c>
      <c r="D2450">
        <v>4</v>
      </c>
      <c r="E2450">
        <v>54</v>
      </c>
      <c r="F2450">
        <v>0.26</v>
      </c>
      <c r="G2450">
        <f>(F2450/0.6)/5</f>
        <v>8.666666666666667E-2</v>
      </c>
      <c r="H2450">
        <f>G2450*(26.79/38.29)</f>
        <v>6.0637242099764947E-2</v>
      </c>
    </row>
    <row r="2451" spans="1:8" x14ac:dyDescent="0.25">
      <c r="A2451" s="1">
        <v>1997</v>
      </c>
      <c r="B2451" s="1" t="s">
        <v>99</v>
      </c>
      <c r="C2451" t="s">
        <v>51</v>
      </c>
      <c r="D2451">
        <v>4</v>
      </c>
      <c r="E2451">
        <v>54</v>
      </c>
      <c r="F2451">
        <v>0.16</v>
      </c>
      <c r="G2451">
        <f>(F2451/0.6)/5</f>
        <v>5.333333333333333E-2</v>
      </c>
      <c r="H2451">
        <f>G2451*(26.79/38.29)</f>
        <v>3.7315225907547656E-2</v>
      </c>
    </row>
    <row r="2452" spans="1:8" x14ac:dyDescent="0.25">
      <c r="A2452" s="1">
        <v>1997</v>
      </c>
      <c r="B2452" s="1" t="s">
        <v>99</v>
      </c>
      <c r="C2452" t="s">
        <v>51</v>
      </c>
      <c r="D2452">
        <v>4</v>
      </c>
      <c r="E2452">
        <v>54</v>
      </c>
      <c r="F2452">
        <v>0.68</v>
      </c>
      <c r="G2452">
        <f>(F2452/0.6)/5</f>
        <v>0.22666666666666671</v>
      </c>
      <c r="H2452">
        <f>G2452*(26.79/38.29)</f>
        <v>0.15858971010707759</v>
      </c>
    </row>
    <row r="2453" spans="1:8" x14ac:dyDescent="0.25">
      <c r="A2453" s="1">
        <v>1997</v>
      </c>
      <c r="B2453" s="1" t="s">
        <v>99</v>
      </c>
      <c r="C2453" t="s">
        <v>51</v>
      </c>
      <c r="D2453">
        <v>4</v>
      </c>
      <c r="E2453">
        <v>54</v>
      </c>
      <c r="F2453">
        <v>0.14000000000000001</v>
      </c>
      <c r="G2453">
        <f>(F2453/0.6)/5</f>
        <v>4.6666666666666676E-2</v>
      </c>
      <c r="H2453">
        <f>G2453*(26.79/38.29)</f>
        <v>3.2650822669104206E-2</v>
      </c>
    </row>
    <row r="2454" spans="1:8" x14ac:dyDescent="0.25">
      <c r="A2454" s="1">
        <v>1997</v>
      </c>
      <c r="B2454" s="1" t="s">
        <v>99</v>
      </c>
      <c r="C2454" t="s">
        <v>51</v>
      </c>
      <c r="D2454">
        <v>4</v>
      </c>
      <c r="E2454">
        <v>54</v>
      </c>
      <c r="F2454">
        <v>0.05</v>
      </c>
      <c r="G2454">
        <f>(F2454/0.6)/5</f>
        <v>1.666666666666667E-2</v>
      </c>
      <c r="H2454">
        <f>G2454*(26.79/38.29)</f>
        <v>1.1661008096108646E-2</v>
      </c>
    </row>
    <row r="2455" spans="1:8" x14ac:dyDescent="0.25">
      <c r="A2455" s="1">
        <v>1997</v>
      </c>
      <c r="B2455" s="1" t="s">
        <v>99</v>
      </c>
      <c r="C2455" t="s">
        <v>51</v>
      </c>
      <c r="D2455">
        <v>4</v>
      </c>
      <c r="E2455">
        <v>54</v>
      </c>
      <c r="F2455">
        <v>0.14000000000000001</v>
      </c>
      <c r="G2455">
        <f>(F2455/0.6)/5</f>
        <v>4.6666666666666676E-2</v>
      </c>
      <c r="H2455">
        <f>G2455*(26.79/38.29)</f>
        <v>3.2650822669104206E-2</v>
      </c>
    </row>
    <row r="2456" spans="1:8" x14ac:dyDescent="0.25">
      <c r="A2456" s="1">
        <v>1997</v>
      </c>
      <c r="B2456" s="1" t="s">
        <v>99</v>
      </c>
      <c r="C2456" t="s">
        <v>51</v>
      </c>
      <c r="D2456">
        <v>4</v>
      </c>
      <c r="E2456">
        <v>54</v>
      </c>
      <c r="F2456">
        <v>0.87</v>
      </c>
      <c r="G2456">
        <f>(F2456/0.6)/5</f>
        <v>0.28999999999999998</v>
      </c>
      <c r="H2456">
        <f>G2456*(26.79/38.29)</f>
        <v>0.2029015408722904</v>
      </c>
    </row>
    <row r="2457" spans="1:8" x14ac:dyDescent="0.25">
      <c r="A2457" s="1">
        <v>1997</v>
      </c>
      <c r="B2457" s="1" t="s">
        <v>99</v>
      </c>
      <c r="C2457" t="s">
        <v>51</v>
      </c>
      <c r="D2457">
        <v>4</v>
      </c>
      <c r="E2457">
        <v>54</v>
      </c>
      <c r="F2457">
        <v>0.27</v>
      </c>
      <c r="G2457">
        <f>(F2457/0.6)/5</f>
        <v>9.0000000000000011E-2</v>
      </c>
      <c r="H2457">
        <f>G2457*(26.79/38.29)</f>
        <v>6.296944371898669E-2</v>
      </c>
    </row>
    <row r="2458" spans="1:8" x14ac:dyDescent="0.25">
      <c r="A2458" s="1">
        <v>1997</v>
      </c>
      <c r="B2458" s="1" t="s">
        <v>99</v>
      </c>
      <c r="C2458" t="s">
        <v>51</v>
      </c>
      <c r="D2458">
        <v>4</v>
      </c>
      <c r="E2458">
        <v>54</v>
      </c>
      <c r="F2458">
        <v>0.04</v>
      </c>
      <c r="G2458">
        <f>(F2458/0.6)/5</f>
        <v>1.3333333333333332E-2</v>
      </c>
      <c r="H2458">
        <f>G2458*(26.79/38.29)</f>
        <v>9.3288064768869139E-3</v>
      </c>
    </row>
    <row r="2459" spans="1:8" x14ac:dyDescent="0.25">
      <c r="A2459" s="1">
        <v>1997</v>
      </c>
      <c r="B2459" s="1" t="s">
        <v>99</v>
      </c>
      <c r="C2459" t="s">
        <v>51</v>
      </c>
      <c r="D2459">
        <v>4</v>
      </c>
      <c r="E2459">
        <v>54</v>
      </c>
      <c r="F2459">
        <v>0.25</v>
      </c>
      <c r="G2459">
        <f>(F2459/0.6)/5</f>
        <v>8.3333333333333343E-2</v>
      </c>
      <c r="H2459">
        <f>G2459*(26.79/38.29)</f>
        <v>5.8305040480543226E-2</v>
      </c>
    </row>
    <row r="2460" spans="1:8" x14ac:dyDescent="0.25">
      <c r="A2460" s="1">
        <v>1997</v>
      </c>
      <c r="B2460" s="1" t="s">
        <v>99</v>
      </c>
      <c r="C2460" t="s">
        <v>51</v>
      </c>
      <c r="D2460">
        <v>4</v>
      </c>
      <c r="E2460">
        <v>54</v>
      </c>
      <c r="F2460">
        <v>0.26</v>
      </c>
      <c r="G2460">
        <f>(F2460/0.6)/5</f>
        <v>8.666666666666667E-2</v>
      </c>
      <c r="H2460">
        <f>G2460*(26.79/38.29)</f>
        <v>6.0637242099764947E-2</v>
      </c>
    </row>
    <row r="2461" spans="1:8" x14ac:dyDescent="0.25">
      <c r="A2461" s="1">
        <v>1997</v>
      </c>
      <c r="B2461" s="1" t="s">
        <v>99</v>
      </c>
      <c r="C2461" t="s">
        <v>51</v>
      </c>
      <c r="D2461">
        <v>4</v>
      </c>
      <c r="E2461">
        <v>54</v>
      </c>
      <c r="F2461">
        <v>0.09</v>
      </c>
      <c r="G2461">
        <f>(F2461/0.6)/5</f>
        <v>0.03</v>
      </c>
      <c r="H2461">
        <f>G2461*(26.79/38.29)</f>
        <v>2.0989814572995556E-2</v>
      </c>
    </row>
    <row r="2462" spans="1:8" x14ac:dyDescent="0.25">
      <c r="A2462" s="1">
        <v>1997</v>
      </c>
      <c r="B2462" s="1" t="s">
        <v>99</v>
      </c>
      <c r="C2462" t="s">
        <v>51</v>
      </c>
      <c r="D2462">
        <v>4</v>
      </c>
      <c r="E2462">
        <v>54</v>
      </c>
      <c r="F2462">
        <v>0.22</v>
      </c>
      <c r="G2462">
        <f>(F2462/0.6)/5</f>
        <v>7.3333333333333334E-2</v>
      </c>
      <c r="H2462">
        <f>G2462*(26.79/38.29)</f>
        <v>5.1308435622878033E-2</v>
      </c>
    </row>
    <row r="2463" spans="1:8" x14ac:dyDescent="0.25">
      <c r="A2463" s="1">
        <v>1997</v>
      </c>
      <c r="B2463" s="1" t="s">
        <v>99</v>
      </c>
      <c r="C2463" t="s">
        <v>51</v>
      </c>
      <c r="D2463">
        <v>4</v>
      </c>
      <c r="E2463">
        <v>54</v>
      </c>
      <c r="F2463">
        <v>0.83</v>
      </c>
      <c r="G2463">
        <f>(F2463/0.6)/5</f>
        <v>0.27666666666666667</v>
      </c>
      <c r="H2463">
        <f>G2463*(26.79/38.29)</f>
        <v>0.19357273439540348</v>
      </c>
    </row>
    <row r="2464" spans="1:8" x14ac:dyDescent="0.25">
      <c r="A2464" s="1">
        <v>1997</v>
      </c>
      <c r="B2464" s="1" t="s">
        <v>99</v>
      </c>
      <c r="C2464" t="s">
        <v>51</v>
      </c>
      <c r="D2464">
        <v>4</v>
      </c>
      <c r="E2464">
        <v>54</v>
      </c>
      <c r="F2464">
        <v>0.04</v>
      </c>
      <c r="G2464">
        <f>(F2464/0.6)/5</f>
        <v>1.3333333333333332E-2</v>
      </c>
      <c r="H2464">
        <f>G2464*(26.79/38.29)</f>
        <v>9.3288064768869139E-3</v>
      </c>
    </row>
    <row r="2465" spans="1:8" x14ac:dyDescent="0.25">
      <c r="A2465" s="1">
        <v>1997</v>
      </c>
      <c r="B2465" s="1" t="s">
        <v>99</v>
      </c>
      <c r="C2465" t="s">
        <v>51</v>
      </c>
      <c r="D2465">
        <v>4</v>
      </c>
      <c r="E2465">
        <v>54</v>
      </c>
      <c r="F2465">
        <v>0.5</v>
      </c>
      <c r="G2465">
        <f>(F2465/0.6)/5</f>
        <v>0.16666666666666669</v>
      </c>
      <c r="H2465">
        <f>G2465*(26.79/38.29)</f>
        <v>0.11661008096108645</v>
      </c>
    </row>
    <row r="2466" spans="1:8" x14ac:dyDescent="0.25">
      <c r="A2466" s="1">
        <v>1997</v>
      </c>
      <c r="B2466" s="1" t="s">
        <v>99</v>
      </c>
      <c r="C2466" t="s">
        <v>51</v>
      </c>
      <c r="D2466">
        <v>4</v>
      </c>
      <c r="E2466">
        <v>54</v>
      </c>
      <c r="F2466">
        <v>0.42</v>
      </c>
      <c r="G2466">
        <f>(F2466/0.6)/5</f>
        <v>0.13999999999999999</v>
      </c>
      <c r="H2466">
        <f>G2466*(26.79/38.29)</f>
        <v>9.7952468007312596E-2</v>
      </c>
    </row>
    <row r="2467" spans="1:8" x14ac:dyDescent="0.25">
      <c r="A2467" s="1">
        <v>1997</v>
      </c>
      <c r="B2467" s="1" t="s">
        <v>99</v>
      </c>
      <c r="C2467" t="s">
        <v>51</v>
      </c>
      <c r="D2467">
        <v>4</v>
      </c>
      <c r="E2467">
        <v>54</v>
      </c>
      <c r="F2467">
        <v>1.1000000000000001</v>
      </c>
      <c r="G2467">
        <f>(F2467/0.6)/5</f>
        <v>0.3666666666666667</v>
      </c>
      <c r="H2467">
        <f>G2467*(26.79/38.29)</f>
        <v>0.25654217811439017</v>
      </c>
    </row>
    <row r="2468" spans="1:8" x14ac:dyDescent="0.25">
      <c r="A2468" s="1">
        <v>1997</v>
      </c>
      <c r="B2468" s="1" t="s">
        <v>99</v>
      </c>
      <c r="C2468" t="s">
        <v>51</v>
      </c>
      <c r="D2468">
        <v>4</v>
      </c>
      <c r="E2468">
        <v>54</v>
      </c>
      <c r="F2468">
        <v>0.12</v>
      </c>
      <c r="G2468">
        <f>(F2468/0.6)/5</f>
        <v>0.04</v>
      </c>
      <c r="H2468">
        <f>G2468*(26.79/38.29)</f>
        <v>2.7986419430660745E-2</v>
      </c>
    </row>
    <row r="2469" spans="1:8" x14ac:dyDescent="0.25">
      <c r="A2469" s="1">
        <v>1997</v>
      </c>
      <c r="B2469" s="1" t="s">
        <v>99</v>
      </c>
      <c r="C2469" t="s">
        <v>51</v>
      </c>
      <c r="D2469">
        <v>4</v>
      </c>
      <c r="E2469">
        <v>54</v>
      </c>
      <c r="F2469">
        <v>0.56000000000000005</v>
      </c>
      <c r="G2469">
        <f>(F2469/0.6)/5</f>
        <v>0.1866666666666667</v>
      </c>
      <c r="H2469">
        <f>G2469*(26.79/38.29)</f>
        <v>0.13060329067641682</v>
      </c>
    </row>
    <row r="2470" spans="1:8" x14ac:dyDescent="0.25">
      <c r="A2470" s="1">
        <v>1997</v>
      </c>
      <c r="B2470" s="1" t="s">
        <v>99</v>
      </c>
      <c r="C2470" t="s">
        <v>51</v>
      </c>
      <c r="D2470">
        <v>4</v>
      </c>
      <c r="E2470">
        <v>54</v>
      </c>
      <c r="F2470">
        <v>0.06</v>
      </c>
      <c r="G2470">
        <f>(F2470/0.6)/5</f>
        <v>0.02</v>
      </c>
      <c r="H2470">
        <f>G2470*(26.79/38.29)</f>
        <v>1.3993209715330373E-2</v>
      </c>
    </row>
    <row r="2471" spans="1:8" x14ac:dyDescent="0.25">
      <c r="A2471" s="1">
        <v>1997</v>
      </c>
      <c r="B2471" s="1" t="s">
        <v>99</v>
      </c>
      <c r="C2471" t="s">
        <v>51</v>
      </c>
      <c r="D2471">
        <v>4</v>
      </c>
      <c r="E2471">
        <v>54</v>
      </c>
      <c r="F2471">
        <v>0.12</v>
      </c>
      <c r="G2471">
        <f>(F2471/0.6)/5</f>
        <v>0.04</v>
      </c>
      <c r="H2471">
        <f>G2471*(26.79/38.29)</f>
        <v>2.7986419430660745E-2</v>
      </c>
    </row>
    <row r="2472" spans="1:8" x14ac:dyDescent="0.25">
      <c r="A2472" s="1">
        <v>1997</v>
      </c>
      <c r="B2472" s="1" t="s">
        <v>99</v>
      </c>
      <c r="C2472" t="s">
        <v>51</v>
      </c>
      <c r="D2472">
        <v>4</v>
      </c>
      <c r="E2472">
        <v>54</v>
      </c>
      <c r="F2472">
        <v>0.15</v>
      </c>
      <c r="G2472">
        <f>(F2472/0.6)/5</f>
        <v>0.05</v>
      </c>
      <c r="H2472">
        <f>G2472*(26.79/38.29)</f>
        <v>3.4983024288325934E-2</v>
      </c>
    </row>
    <row r="2473" spans="1:8" x14ac:dyDescent="0.25">
      <c r="A2473" s="1">
        <v>1997</v>
      </c>
      <c r="B2473" s="1" t="s">
        <v>99</v>
      </c>
      <c r="C2473" t="s">
        <v>51</v>
      </c>
      <c r="D2473">
        <v>4</v>
      </c>
      <c r="E2473">
        <v>54</v>
      </c>
      <c r="F2473">
        <v>0.04</v>
      </c>
      <c r="G2473">
        <f>(F2473/0.6)/5</f>
        <v>1.3333333333333332E-2</v>
      </c>
      <c r="H2473">
        <f>G2473*(26.79/38.29)</f>
        <v>9.3288064768869139E-3</v>
      </c>
    </row>
    <row r="2474" spans="1:8" x14ac:dyDescent="0.25">
      <c r="A2474" s="1">
        <v>1997</v>
      </c>
      <c r="B2474" s="1" t="s">
        <v>99</v>
      </c>
      <c r="C2474" t="s">
        <v>51</v>
      </c>
      <c r="D2474">
        <v>4</v>
      </c>
      <c r="E2474">
        <v>54</v>
      </c>
      <c r="F2474">
        <v>0.06</v>
      </c>
      <c r="G2474">
        <f>(F2474/0.6)/5</f>
        <v>0.02</v>
      </c>
      <c r="H2474">
        <f>G2474*(26.79/38.29)</f>
        <v>1.3993209715330373E-2</v>
      </c>
    </row>
    <row r="2475" spans="1:8" x14ac:dyDescent="0.25">
      <c r="A2475" s="1">
        <v>1997</v>
      </c>
      <c r="B2475" s="1" t="s">
        <v>99</v>
      </c>
      <c r="C2475" t="s">
        <v>51</v>
      </c>
      <c r="D2475">
        <v>4</v>
      </c>
      <c r="E2475">
        <v>54</v>
      </c>
      <c r="F2475">
        <v>0.24</v>
      </c>
      <c r="G2475">
        <f>(F2475/0.6)/5</f>
        <v>0.08</v>
      </c>
      <c r="H2475">
        <f>G2475*(26.79/38.29)</f>
        <v>5.597283886132149E-2</v>
      </c>
    </row>
    <row r="2476" spans="1:8" x14ac:dyDescent="0.25">
      <c r="A2476" s="1">
        <v>1997</v>
      </c>
      <c r="B2476" s="1" t="s">
        <v>99</v>
      </c>
      <c r="C2476" t="s">
        <v>51</v>
      </c>
      <c r="D2476">
        <v>4</v>
      </c>
      <c r="E2476">
        <v>54</v>
      </c>
      <c r="F2476">
        <v>0.26</v>
      </c>
      <c r="G2476">
        <f>(F2476/0.6)/5</f>
        <v>8.666666666666667E-2</v>
      </c>
      <c r="H2476">
        <f>G2476*(26.79/38.29)</f>
        <v>6.0637242099764947E-2</v>
      </c>
    </row>
    <row r="2477" spans="1:8" x14ac:dyDescent="0.25">
      <c r="A2477" s="1">
        <v>1997</v>
      </c>
      <c r="B2477" s="1" t="s">
        <v>99</v>
      </c>
      <c r="C2477" t="s">
        <v>51</v>
      </c>
      <c r="D2477">
        <v>4</v>
      </c>
      <c r="E2477">
        <v>54</v>
      </c>
      <c r="F2477">
        <v>0.06</v>
      </c>
      <c r="G2477">
        <f>(F2477/0.6)/5</f>
        <v>0.02</v>
      </c>
      <c r="H2477">
        <f>G2477*(26.79/38.29)</f>
        <v>1.3993209715330373E-2</v>
      </c>
    </row>
    <row r="2478" spans="1:8" x14ac:dyDescent="0.25">
      <c r="A2478" s="1">
        <v>1997</v>
      </c>
      <c r="B2478" s="1" t="s">
        <v>99</v>
      </c>
      <c r="C2478" t="s">
        <v>51</v>
      </c>
      <c r="D2478">
        <v>4</v>
      </c>
      <c r="E2478">
        <v>54</v>
      </c>
      <c r="F2478">
        <v>0.08</v>
      </c>
      <c r="G2478">
        <f>(F2478/0.6)/5</f>
        <v>2.6666666666666665E-2</v>
      </c>
      <c r="H2478">
        <f>G2478*(26.79/38.29)</f>
        <v>1.8657612953773828E-2</v>
      </c>
    </row>
    <row r="2479" spans="1:8" x14ac:dyDescent="0.25">
      <c r="A2479" s="1">
        <v>1997</v>
      </c>
      <c r="B2479" s="1" t="s">
        <v>99</v>
      </c>
      <c r="C2479" t="s">
        <v>51</v>
      </c>
      <c r="D2479">
        <v>4</v>
      </c>
      <c r="E2479">
        <v>54</v>
      </c>
      <c r="F2479">
        <v>0.04</v>
      </c>
      <c r="G2479">
        <f>(F2479/0.6)/5</f>
        <v>1.3333333333333332E-2</v>
      </c>
      <c r="H2479">
        <f>G2479*(26.79/38.29)</f>
        <v>9.3288064768869139E-3</v>
      </c>
    </row>
    <row r="2480" spans="1:8" x14ac:dyDescent="0.25">
      <c r="A2480" s="1">
        <v>1997</v>
      </c>
      <c r="B2480" s="1" t="s">
        <v>99</v>
      </c>
      <c r="C2480" t="s">
        <v>51</v>
      </c>
      <c r="D2480">
        <v>4</v>
      </c>
      <c r="E2480">
        <v>54</v>
      </c>
      <c r="F2480">
        <v>0.55000000000000004</v>
      </c>
      <c r="G2480">
        <f>(F2480/0.6)/5</f>
        <v>0.18333333333333335</v>
      </c>
      <c r="H2480">
        <f>G2480*(26.79/38.29)</f>
        <v>0.12827108905719509</v>
      </c>
    </row>
    <row r="2481" spans="1:8" x14ac:dyDescent="0.25">
      <c r="A2481" s="1">
        <v>1997</v>
      </c>
      <c r="B2481" s="1" t="s">
        <v>99</v>
      </c>
      <c r="C2481" t="s">
        <v>51</v>
      </c>
      <c r="D2481">
        <v>4</v>
      </c>
      <c r="E2481">
        <v>54</v>
      </c>
      <c r="F2481">
        <v>0.05</v>
      </c>
      <c r="G2481">
        <f>(F2481/0.6)/5</f>
        <v>1.666666666666667E-2</v>
      </c>
      <c r="H2481">
        <f>G2481*(26.79/38.29)</f>
        <v>1.1661008096108646E-2</v>
      </c>
    </row>
    <row r="2482" spans="1:8" x14ac:dyDescent="0.25">
      <c r="A2482" s="1">
        <v>1997</v>
      </c>
      <c r="B2482" s="1" t="s">
        <v>99</v>
      </c>
      <c r="C2482" t="s">
        <v>51</v>
      </c>
      <c r="D2482">
        <v>4</v>
      </c>
      <c r="E2482">
        <v>54</v>
      </c>
      <c r="F2482">
        <v>0.83</v>
      </c>
      <c r="G2482">
        <f>(F2482/0.6)/5</f>
        <v>0.27666666666666667</v>
      </c>
      <c r="H2482">
        <f>G2482*(26.79/38.29)</f>
        <v>0.19357273439540348</v>
      </c>
    </row>
    <row r="2483" spans="1:8" x14ac:dyDescent="0.25">
      <c r="A2483" s="1">
        <v>1997</v>
      </c>
      <c r="B2483" s="1" t="s">
        <v>99</v>
      </c>
      <c r="C2483" t="s">
        <v>51</v>
      </c>
      <c r="D2483">
        <v>4</v>
      </c>
      <c r="E2483">
        <v>54</v>
      </c>
      <c r="F2483">
        <v>0.12</v>
      </c>
      <c r="G2483">
        <f>(F2483/0.6)/5</f>
        <v>0.04</v>
      </c>
      <c r="H2483">
        <f>G2483*(26.79/38.29)</f>
        <v>2.7986419430660745E-2</v>
      </c>
    </row>
    <row r="2484" spans="1:8" x14ac:dyDescent="0.25">
      <c r="A2484" s="1">
        <v>1997</v>
      </c>
      <c r="B2484" s="1" t="s">
        <v>99</v>
      </c>
      <c r="C2484" t="s">
        <v>51</v>
      </c>
      <c r="D2484">
        <v>4</v>
      </c>
      <c r="E2484">
        <v>54</v>
      </c>
      <c r="F2484">
        <v>0.05</v>
      </c>
      <c r="G2484">
        <f>(F2484/0.6)/5</f>
        <v>1.666666666666667E-2</v>
      </c>
      <c r="H2484">
        <f>G2484*(26.79/38.29)</f>
        <v>1.1661008096108646E-2</v>
      </c>
    </row>
    <row r="2485" spans="1:8" x14ac:dyDescent="0.25">
      <c r="A2485" s="1">
        <v>1997</v>
      </c>
      <c r="B2485" s="1" t="s">
        <v>99</v>
      </c>
      <c r="C2485" t="s">
        <v>51</v>
      </c>
      <c r="D2485">
        <v>4</v>
      </c>
      <c r="E2485">
        <v>54</v>
      </c>
      <c r="F2485">
        <v>0.09</v>
      </c>
      <c r="G2485">
        <f>(F2485/0.6)/5</f>
        <v>0.03</v>
      </c>
      <c r="H2485">
        <f>G2485*(26.79/38.29)</f>
        <v>2.0989814572995556E-2</v>
      </c>
    </row>
    <row r="2486" spans="1:8" x14ac:dyDescent="0.25">
      <c r="A2486" s="1">
        <v>1997</v>
      </c>
      <c r="B2486" s="1" t="s">
        <v>99</v>
      </c>
      <c r="C2486" t="s">
        <v>51</v>
      </c>
      <c r="D2486">
        <v>4</v>
      </c>
      <c r="E2486">
        <v>54</v>
      </c>
      <c r="F2486">
        <v>0.04</v>
      </c>
      <c r="G2486">
        <f>(F2486/0.6)/5</f>
        <v>1.3333333333333332E-2</v>
      </c>
      <c r="H2486">
        <f>G2486*(26.79/38.29)</f>
        <v>9.3288064768869139E-3</v>
      </c>
    </row>
    <row r="2487" spans="1:8" x14ac:dyDescent="0.25">
      <c r="A2487" s="1">
        <v>1997</v>
      </c>
      <c r="B2487" s="1" t="s">
        <v>99</v>
      </c>
      <c r="C2487" t="s">
        <v>51</v>
      </c>
      <c r="D2487">
        <v>4</v>
      </c>
      <c r="E2487">
        <v>54</v>
      </c>
      <c r="F2487">
        <v>7.0000000000000007E-2</v>
      </c>
      <c r="G2487">
        <f>(F2487/0.6)/5</f>
        <v>2.3333333333333338E-2</v>
      </c>
      <c r="H2487">
        <f>G2487*(26.79/38.29)</f>
        <v>1.6325411334552103E-2</v>
      </c>
    </row>
    <row r="2488" spans="1:8" x14ac:dyDescent="0.25">
      <c r="A2488" s="1">
        <v>1997</v>
      </c>
      <c r="B2488" s="1" t="s">
        <v>99</v>
      </c>
      <c r="C2488" t="s">
        <v>51</v>
      </c>
      <c r="D2488">
        <v>4</v>
      </c>
      <c r="E2488">
        <v>54</v>
      </c>
      <c r="F2488">
        <v>0.08</v>
      </c>
      <c r="G2488">
        <f>(F2488/0.6)/5</f>
        <v>2.6666666666666665E-2</v>
      </c>
      <c r="H2488">
        <f>G2488*(26.79/38.29)</f>
        <v>1.8657612953773828E-2</v>
      </c>
    </row>
    <row r="2489" spans="1:8" x14ac:dyDescent="0.25">
      <c r="A2489" s="1">
        <v>1997</v>
      </c>
      <c r="B2489" s="1" t="s">
        <v>99</v>
      </c>
      <c r="C2489" t="s">
        <v>51</v>
      </c>
      <c r="D2489">
        <v>4</v>
      </c>
      <c r="E2489">
        <v>54</v>
      </c>
      <c r="F2489">
        <v>0.36</v>
      </c>
      <c r="G2489">
        <f>(F2489/0.6)/5</f>
        <v>0.12</v>
      </c>
      <c r="H2489">
        <f>G2489*(26.79/38.29)</f>
        <v>8.3959258291982225E-2</v>
      </c>
    </row>
    <row r="2490" spans="1:8" x14ac:dyDescent="0.25">
      <c r="A2490" s="1">
        <v>1997</v>
      </c>
      <c r="B2490" s="1" t="s">
        <v>99</v>
      </c>
      <c r="C2490" t="s">
        <v>51</v>
      </c>
      <c r="D2490">
        <v>4</v>
      </c>
      <c r="E2490">
        <v>54</v>
      </c>
      <c r="F2490">
        <v>0.14000000000000001</v>
      </c>
      <c r="G2490">
        <f>(F2490/0.6)/5</f>
        <v>4.6666666666666676E-2</v>
      </c>
      <c r="H2490">
        <f>G2490*(26.79/38.29)</f>
        <v>3.2650822669104206E-2</v>
      </c>
    </row>
    <row r="2491" spans="1:8" x14ac:dyDescent="0.25">
      <c r="A2491" s="1">
        <v>1997</v>
      </c>
      <c r="B2491" s="1" t="s">
        <v>99</v>
      </c>
      <c r="C2491" t="s">
        <v>51</v>
      </c>
      <c r="D2491">
        <v>4</v>
      </c>
      <c r="E2491">
        <v>54</v>
      </c>
      <c r="F2491">
        <v>0.13</v>
      </c>
      <c r="G2491">
        <f>(F2491/0.6)/5</f>
        <v>4.3333333333333335E-2</v>
      </c>
      <c r="H2491">
        <f>G2491*(26.79/38.29)</f>
        <v>3.0318621049882474E-2</v>
      </c>
    </row>
    <row r="2492" spans="1:8" x14ac:dyDescent="0.25">
      <c r="A2492" s="1">
        <v>1997</v>
      </c>
      <c r="B2492" s="1" t="s">
        <v>99</v>
      </c>
      <c r="C2492" t="s">
        <v>51</v>
      </c>
      <c r="D2492">
        <v>4</v>
      </c>
      <c r="E2492">
        <v>54</v>
      </c>
      <c r="F2492">
        <v>0.05</v>
      </c>
      <c r="G2492">
        <f>(F2492/0.6)/5</f>
        <v>1.666666666666667E-2</v>
      </c>
      <c r="H2492">
        <f>G2492*(26.79/38.29)</f>
        <v>1.1661008096108646E-2</v>
      </c>
    </row>
    <row r="2493" spans="1:8" x14ac:dyDescent="0.25">
      <c r="A2493" s="1">
        <v>1997</v>
      </c>
      <c r="B2493" s="1" t="s">
        <v>99</v>
      </c>
      <c r="C2493" t="s">
        <v>51</v>
      </c>
      <c r="D2493">
        <v>4</v>
      </c>
      <c r="E2493">
        <v>54</v>
      </c>
      <c r="F2493">
        <v>0.04</v>
      </c>
      <c r="G2493">
        <f>(F2493/0.6)/5</f>
        <v>1.3333333333333332E-2</v>
      </c>
      <c r="H2493">
        <f>G2493*(26.79/38.29)</f>
        <v>9.3288064768869139E-3</v>
      </c>
    </row>
    <row r="2494" spans="1:8" x14ac:dyDescent="0.25">
      <c r="A2494" s="1">
        <v>1997</v>
      </c>
      <c r="B2494" s="1" t="s">
        <v>99</v>
      </c>
      <c r="C2494" t="s">
        <v>51</v>
      </c>
      <c r="D2494">
        <v>4</v>
      </c>
      <c r="E2494">
        <v>54</v>
      </c>
      <c r="F2494">
        <v>0.11</v>
      </c>
      <c r="G2494">
        <f>(F2494/0.6)/5</f>
        <v>3.6666666666666667E-2</v>
      </c>
      <c r="H2494">
        <f>G2494*(26.79/38.29)</f>
        <v>2.5654217811439017E-2</v>
      </c>
    </row>
    <row r="2495" spans="1:8" x14ac:dyDescent="0.25">
      <c r="A2495" s="1">
        <v>1997</v>
      </c>
      <c r="B2495" s="1" t="s">
        <v>99</v>
      </c>
      <c r="C2495" t="s">
        <v>51</v>
      </c>
      <c r="D2495">
        <v>4</v>
      </c>
      <c r="E2495">
        <v>54</v>
      </c>
      <c r="F2495">
        <v>0.06</v>
      </c>
      <c r="G2495">
        <f>(F2495/0.6)/5</f>
        <v>0.02</v>
      </c>
      <c r="H2495">
        <f>G2495*(26.79/38.29)</f>
        <v>1.3993209715330373E-2</v>
      </c>
    </row>
    <row r="2496" spans="1:8" x14ac:dyDescent="0.25">
      <c r="A2496" s="1">
        <v>1997</v>
      </c>
      <c r="B2496" s="1" t="s">
        <v>99</v>
      </c>
      <c r="C2496" t="s">
        <v>51</v>
      </c>
      <c r="D2496">
        <v>4</v>
      </c>
      <c r="E2496">
        <v>54</v>
      </c>
      <c r="F2496">
        <v>0.51</v>
      </c>
      <c r="G2496">
        <f>(F2496/0.6)/5</f>
        <v>0.17</v>
      </c>
      <c r="H2496">
        <f>G2496*(26.79/38.29)</f>
        <v>0.11894228258030817</v>
      </c>
    </row>
    <row r="2497" spans="1:8" x14ac:dyDescent="0.25">
      <c r="A2497" s="1">
        <v>1997</v>
      </c>
      <c r="B2497" s="1" t="s">
        <v>99</v>
      </c>
      <c r="C2497" t="s">
        <v>51</v>
      </c>
      <c r="D2497">
        <v>4</v>
      </c>
      <c r="E2497">
        <v>54</v>
      </c>
      <c r="F2497">
        <v>0.17</v>
      </c>
      <c r="G2497">
        <f>(F2497/0.6)/5</f>
        <v>5.6666666666666678E-2</v>
      </c>
      <c r="H2497">
        <f>G2497*(26.79/38.29)</f>
        <v>3.9647427526769398E-2</v>
      </c>
    </row>
    <row r="2498" spans="1:8" x14ac:dyDescent="0.25">
      <c r="A2498" s="1">
        <v>1997</v>
      </c>
      <c r="B2498" s="1" t="s">
        <v>99</v>
      </c>
      <c r="C2498" t="s">
        <v>51</v>
      </c>
      <c r="D2498">
        <v>4</v>
      </c>
      <c r="E2498">
        <v>54</v>
      </c>
      <c r="F2498">
        <v>0.91</v>
      </c>
      <c r="G2498">
        <f>(F2498/0.6)/5</f>
        <v>0.30333333333333334</v>
      </c>
      <c r="H2498">
        <f>G2498*(26.79/38.29)</f>
        <v>0.21223034734917731</v>
      </c>
    </row>
    <row r="2499" spans="1:8" x14ac:dyDescent="0.25">
      <c r="A2499" s="1">
        <v>1997</v>
      </c>
      <c r="B2499" s="1" t="s">
        <v>99</v>
      </c>
      <c r="C2499" t="s">
        <v>51</v>
      </c>
      <c r="D2499">
        <v>4</v>
      </c>
      <c r="E2499">
        <v>54</v>
      </c>
      <c r="F2499">
        <v>0.1</v>
      </c>
      <c r="G2499">
        <f>(F2499/0.6)/5</f>
        <v>3.333333333333334E-2</v>
      </c>
      <c r="H2499">
        <f>G2499*(26.79/38.29)</f>
        <v>2.3322016192217292E-2</v>
      </c>
    </row>
    <row r="2500" spans="1:8" x14ac:dyDescent="0.25">
      <c r="A2500" s="1">
        <v>1997</v>
      </c>
      <c r="B2500" s="1" t="s">
        <v>99</v>
      </c>
      <c r="C2500" t="s">
        <v>51</v>
      </c>
      <c r="D2500">
        <v>4</v>
      </c>
      <c r="E2500">
        <v>54</v>
      </c>
      <c r="F2500">
        <v>0.68</v>
      </c>
      <c r="G2500">
        <f>(F2500/0.6)/5</f>
        <v>0.22666666666666671</v>
      </c>
      <c r="H2500">
        <f>G2500*(26.79/38.29)</f>
        <v>0.15858971010707759</v>
      </c>
    </row>
    <row r="2501" spans="1:8" x14ac:dyDescent="0.25">
      <c r="A2501" s="1">
        <v>1997</v>
      </c>
      <c r="B2501" s="1" t="s">
        <v>99</v>
      </c>
      <c r="C2501" t="s">
        <v>51</v>
      </c>
      <c r="D2501">
        <v>4</v>
      </c>
      <c r="E2501">
        <v>54</v>
      </c>
      <c r="F2501">
        <v>0.88</v>
      </c>
      <c r="G2501">
        <f>(F2501/0.6)/5</f>
        <v>0.29333333333333333</v>
      </c>
      <c r="H2501">
        <f>G2501*(26.79/38.29)</f>
        <v>0.20523374249151213</v>
      </c>
    </row>
    <row r="2502" spans="1:8" x14ac:dyDescent="0.25">
      <c r="A2502" s="1">
        <v>1997</v>
      </c>
      <c r="B2502" s="1" t="s">
        <v>99</v>
      </c>
      <c r="C2502" t="s">
        <v>51</v>
      </c>
      <c r="D2502">
        <v>4</v>
      </c>
      <c r="E2502">
        <v>54</v>
      </c>
      <c r="F2502">
        <v>0.06</v>
      </c>
      <c r="G2502">
        <f>(F2502/0.6)/5</f>
        <v>0.02</v>
      </c>
      <c r="H2502">
        <f>G2502*(26.79/38.29)</f>
        <v>1.3993209715330373E-2</v>
      </c>
    </row>
    <row r="2503" spans="1:8" x14ac:dyDescent="0.25">
      <c r="A2503" s="1">
        <v>1997</v>
      </c>
      <c r="B2503" s="1" t="s">
        <v>99</v>
      </c>
      <c r="C2503" t="s">
        <v>51</v>
      </c>
      <c r="D2503">
        <v>4</v>
      </c>
      <c r="E2503">
        <v>54</v>
      </c>
      <c r="F2503">
        <v>0.05</v>
      </c>
      <c r="G2503">
        <f>(F2503/0.6)/5</f>
        <v>1.666666666666667E-2</v>
      </c>
      <c r="H2503">
        <f>G2503*(26.79/38.29)</f>
        <v>1.1661008096108646E-2</v>
      </c>
    </row>
    <row r="2504" spans="1:8" x14ac:dyDescent="0.25">
      <c r="A2504" s="1">
        <v>1997</v>
      </c>
      <c r="B2504" s="1" t="s">
        <v>99</v>
      </c>
      <c r="C2504" t="s">
        <v>51</v>
      </c>
      <c r="D2504">
        <v>4</v>
      </c>
      <c r="E2504">
        <v>54</v>
      </c>
      <c r="F2504">
        <v>7.0000000000000007E-2</v>
      </c>
      <c r="G2504">
        <f>(F2504/0.6)/5</f>
        <v>2.3333333333333338E-2</v>
      </c>
      <c r="H2504">
        <f>G2504*(26.79/38.29)</f>
        <v>1.6325411334552103E-2</v>
      </c>
    </row>
    <row r="2505" spans="1:8" x14ac:dyDescent="0.25">
      <c r="A2505" s="1">
        <v>1997</v>
      </c>
      <c r="B2505" s="1" t="s">
        <v>99</v>
      </c>
      <c r="C2505" t="s">
        <v>51</v>
      </c>
      <c r="D2505">
        <v>4</v>
      </c>
      <c r="E2505">
        <v>54</v>
      </c>
      <c r="F2505">
        <v>0.42</v>
      </c>
      <c r="G2505">
        <f>(F2505/0.6)/5</f>
        <v>0.13999999999999999</v>
      </c>
      <c r="H2505">
        <f>G2505*(26.79/38.29)</f>
        <v>9.7952468007312596E-2</v>
      </c>
    </row>
    <row r="2506" spans="1:8" x14ac:dyDescent="0.25">
      <c r="A2506" s="1">
        <v>1997</v>
      </c>
      <c r="B2506" s="1" t="s">
        <v>99</v>
      </c>
      <c r="C2506" t="s">
        <v>51</v>
      </c>
      <c r="D2506">
        <v>4</v>
      </c>
      <c r="E2506">
        <v>54</v>
      </c>
      <c r="F2506">
        <v>7.0000000000000007E-2</v>
      </c>
      <c r="G2506">
        <f>(F2506/0.6)/5</f>
        <v>2.3333333333333338E-2</v>
      </c>
      <c r="H2506">
        <f>G2506*(26.79/38.29)</f>
        <v>1.6325411334552103E-2</v>
      </c>
    </row>
    <row r="2507" spans="1:8" x14ac:dyDescent="0.25">
      <c r="A2507" s="1">
        <v>1997</v>
      </c>
      <c r="B2507" s="1" t="s">
        <v>99</v>
      </c>
      <c r="C2507" t="s">
        <v>51</v>
      </c>
      <c r="D2507">
        <v>4</v>
      </c>
      <c r="E2507">
        <v>54</v>
      </c>
      <c r="F2507">
        <v>0.59</v>
      </c>
      <c r="G2507">
        <f>(F2507/0.6)/5</f>
        <v>0.19666666666666666</v>
      </c>
      <c r="H2507">
        <f>G2507*(26.79/38.29)</f>
        <v>0.137599895534082</v>
      </c>
    </row>
    <row r="2508" spans="1:8" x14ac:dyDescent="0.25">
      <c r="A2508" s="1">
        <v>1997</v>
      </c>
      <c r="B2508" s="1" t="s">
        <v>99</v>
      </c>
      <c r="C2508" t="s">
        <v>51</v>
      </c>
      <c r="D2508">
        <v>4</v>
      </c>
      <c r="E2508">
        <v>54</v>
      </c>
      <c r="F2508">
        <v>0.12</v>
      </c>
      <c r="G2508">
        <f>(F2508/0.6)/5</f>
        <v>0.04</v>
      </c>
      <c r="H2508">
        <f>G2508*(26.79/38.29)</f>
        <v>2.7986419430660745E-2</v>
      </c>
    </row>
    <row r="2509" spans="1:8" x14ac:dyDescent="0.25">
      <c r="A2509" s="1">
        <v>1997</v>
      </c>
      <c r="B2509" s="1" t="s">
        <v>99</v>
      </c>
      <c r="C2509" t="s">
        <v>51</v>
      </c>
      <c r="D2509">
        <v>4</v>
      </c>
      <c r="E2509">
        <v>54</v>
      </c>
      <c r="F2509">
        <v>0.04</v>
      </c>
      <c r="G2509">
        <f>(F2509/0.6)/5</f>
        <v>1.3333333333333332E-2</v>
      </c>
      <c r="H2509">
        <f>G2509*(26.79/38.29)</f>
        <v>9.3288064768869139E-3</v>
      </c>
    </row>
    <row r="2510" spans="1:8" x14ac:dyDescent="0.25">
      <c r="A2510" s="1">
        <v>1997</v>
      </c>
      <c r="B2510" s="1" t="s">
        <v>99</v>
      </c>
      <c r="C2510" t="s">
        <v>51</v>
      </c>
      <c r="D2510">
        <v>4</v>
      </c>
      <c r="E2510">
        <v>54</v>
      </c>
      <c r="F2510">
        <v>1.1299999999999999</v>
      </c>
      <c r="G2510">
        <f>(F2510/0.6)/5</f>
        <v>0.37666666666666665</v>
      </c>
      <c r="H2510">
        <f>G2510*(26.79/38.29)</f>
        <v>0.26353878297205535</v>
      </c>
    </row>
    <row r="2511" spans="1:8" x14ac:dyDescent="0.25">
      <c r="A2511" s="1">
        <v>1997</v>
      </c>
      <c r="B2511" s="1" t="s">
        <v>99</v>
      </c>
      <c r="C2511" t="s">
        <v>51</v>
      </c>
      <c r="D2511">
        <v>4</v>
      </c>
      <c r="E2511">
        <v>54</v>
      </c>
      <c r="F2511">
        <v>0.75</v>
      </c>
      <c r="G2511">
        <f>(F2511/0.6)/5</f>
        <v>0.25</v>
      </c>
      <c r="H2511">
        <f>G2511*(26.79/38.29)</f>
        <v>0.17491512144162966</v>
      </c>
    </row>
    <row r="2512" spans="1:8" x14ac:dyDescent="0.25">
      <c r="A2512" s="1">
        <v>1997</v>
      </c>
      <c r="B2512" s="1" t="s">
        <v>99</v>
      </c>
      <c r="C2512" t="s">
        <v>51</v>
      </c>
      <c r="D2512">
        <v>4</v>
      </c>
      <c r="E2512">
        <v>54</v>
      </c>
      <c r="F2512">
        <v>0.45</v>
      </c>
      <c r="G2512">
        <f>(F2512/0.6)/5</f>
        <v>0.15</v>
      </c>
      <c r="H2512">
        <f>G2512*(26.79/38.29)</f>
        <v>0.10494907286497779</v>
      </c>
    </row>
    <row r="2513" spans="1:8" x14ac:dyDescent="0.25">
      <c r="A2513" s="1">
        <v>1997</v>
      </c>
      <c r="B2513" s="1" t="s">
        <v>99</v>
      </c>
      <c r="C2513" t="s">
        <v>51</v>
      </c>
      <c r="D2513">
        <v>4</v>
      </c>
      <c r="E2513">
        <v>54</v>
      </c>
      <c r="F2513">
        <v>0.04</v>
      </c>
      <c r="G2513">
        <f>(F2513/0.6)/5</f>
        <v>1.3333333333333332E-2</v>
      </c>
      <c r="H2513">
        <f>G2513*(26.79/38.29)</f>
        <v>9.3288064768869139E-3</v>
      </c>
    </row>
    <row r="2514" spans="1:8" x14ac:dyDescent="0.25">
      <c r="A2514" s="1">
        <v>1997</v>
      </c>
      <c r="B2514" s="1" t="s">
        <v>99</v>
      </c>
      <c r="C2514" t="s">
        <v>51</v>
      </c>
      <c r="D2514">
        <v>4</v>
      </c>
      <c r="E2514">
        <v>54</v>
      </c>
      <c r="F2514">
        <v>0.08</v>
      </c>
      <c r="G2514">
        <f>(F2514/0.6)/5</f>
        <v>2.6666666666666665E-2</v>
      </c>
      <c r="H2514">
        <f>G2514*(26.79/38.29)</f>
        <v>1.8657612953773828E-2</v>
      </c>
    </row>
    <row r="2515" spans="1:8" x14ac:dyDescent="0.25">
      <c r="A2515" s="1">
        <v>1997</v>
      </c>
      <c r="B2515" s="1" t="s">
        <v>99</v>
      </c>
      <c r="C2515" t="s">
        <v>51</v>
      </c>
      <c r="D2515">
        <v>4</v>
      </c>
      <c r="E2515">
        <v>56</v>
      </c>
      <c r="F2515">
        <v>1.61</v>
      </c>
      <c r="G2515">
        <f>(F2515/0.6)/5</f>
        <v>0.53666666666666674</v>
      </c>
      <c r="H2515">
        <f>G2515*(26.79/38.29)</f>
        <v>0.37548446069469837</v>
      </c>
    </row>
    <row r="2516" spans="1:8" x14ac:dyDescent="0.25">
      <c r="A2516" s="1">
        <v>1997</v>
      </c>
      <c r="B2516" s="1" t="s">
        <v>99</v>
      </c>
      <c r="C2516" t="s">
        <v>51</v>
      </c>
      <c r="D2516">
        <v>4</v>
      </c>
      <c r="E2516">
        <v>63</v>
      </c>
      <c r="F2516">
        <v>0.06</v>
      </c>
      <c r="G2516">
        <f>(F2516/0.6)/5</f>
        <v>0.02</v>
      </c>
      <c r="H2516">
        <f>G2516*(26.79/38.29)</f>
        <v>1.3993209715330373E-2</v>
      </c>
    </row>
    <row r="2517" spans="1:8" x14ac:dyDescent="0.25">
      <c r="A2517" s="1">
        <v>1997</v>
      </c>
      <c r="B2517" s="1" t="s">
        <v>99</v>
      </c>
      <c r="C2517" t="s">
        <v>51</v>
      </c>
      <c r="D2517">
        <v>4</v>
      </c>
      <c r="E2517">
        <v>63</v>
      </c>
      <c r="F2517">
        <v>0.13</v>
      </c>
      <c r="G2517">
        <f>(F2517/0.6)/5</f>
        <v>4.3333333333333335E-2</v>
      </c>
      <c r="H2517">
        <f>G2517*(26.79/38.29)</f>
        <v>3.0318621049882474E-2</v>
      </c>
    </row>
    <row r="2518" spans="1:8" x14ac:dyDescent="0.25">
      <c r="A2518" s="1">
        <v>1997</v>
      </c>
      <c r="B2518" s="1" t="s">
        <v>99</v>
      </c>
      <c r="C2518" t="s">
        <v>51</v>
      </c>
      <c r="D2518">
        <v>4</v>
      </c>
      <c r="E2518">
        <v>63</v>
      </c>
      <c r="F2518">
        <v>0.04</v>
      </c>
      <c r="G2518">
        <f>(F2518/0.6)/5</f>
        <v>1.3333333333333332E-2</v>
      </c>
      <c r="H2518">
        <f>G2518*(26.79/38.29)</f>
        <v>9.3288064768869139E-3</v>
      </c>
    </row>
    <row r="2519" spans="1:8" x14ac:dyDescent="0.25">
      <c r="A2519" s="1">
        <v>1997</v>
      </c>
      <c r="B2519" s="1" t="s">
        <v>99</v>
      </c>
      <c r="C2519" t="s">
        <v>51</v>
      </c>
      <c r="D2519">
        <v>4</v>
      </c>
      <c r="E2519">
        <v>63</v>
      </c>
      <c r="F2519">
        <v>0.03</v>
      </c>
      <c r="G2519">
        <f>(F2519/0.6)/5</f>
        <v>0.01</v>
      </c>
      <c r="H2519">
        <f>G2519*(26.79/38.29)</f>
        <v>6.9966048576651863E-3</v>
      </c>
    </row>
    <row r="2520" spans="1:8" x14ac:dyDescent="0.25">
      <c r="A2520" s="1">
        <v>1997</v>
      </c>
      <c r="B2520" s="1" t="s">
        <v>99</v>
      </c>
      <c r="C2520" t="s">
        <v>51</v>
      </c>
      <c r="D2520">
        <v>4</v>
      </c>
      <c r="E2520">
        <v>63</v>
      </c>
      <c r="F2520">
        <v>0.05</v>
      </c>
      <c r="G2520">
        <f>(F2520/0.6)/5</f>
        <v>1.666666666666667E-2</v>
      </c>
      <c r="H2520">
        <f>G2520*(26.79/38.29)</f>
        <v>1.1661008096108646E-2</v>
      </c>
    </row>
    <row r="2521" spans="1:8" x14ac:dyDescent="0.25">
      <c r="A2521" s="1">
        <v>1997</v>
      </c>
      <c r="B2521" s="1" t="s">
        <v>99</v>
      </c>
      <c r="C2521" t="s">
        <v>51</v>
      </c>
      <c r="D2521">
        <v>4</v>
      </c>
      <c r="E2521">
        <v>63</v>
      </c>
      <c r="F2521">
        <v>0.06</v>
      </c>
      <c r="G2521">
        <f>(F2521/0.6)/5</f>
        <v>0.02</v>
      </c>
      <c r="H2521">
        <f>G2521*(26.79/38.29)</f>
        <v>1.3993209715330373E-2</v>
      </c>
    </row>
    <row r="2522" spans="1:8" x14ac:dyDescent="0.25">
      <c r="A2522" s="1">
        <v>1997</v>
      </c>
      <c r="B2522" s="1" t="s">
        <v>99</v>
      </c>
      <c r="C2522" t="s">
        <v>51</v>
      </c>
      <c r="D2522">
        <v>4</v>
      </c>
      <c r="E2522">
        <v>63</v>
      </c>
      <c r="F2522">
        <v>0.1</v>
      </c>
      <c r="G2522">
        <f>(F2522/0.6)/5</f>
        <v>3.333333333333334E-2</v>
      </c>
      <c r="H2522">
        <f>G2522*(26.79/38.29)</f>
        <v>2.3322016192217292E-2</v>
      </c>
    </row>
    <row r="2523" spans="1:8" x14ac:dyDescent="0.25">
      <c r="A2523" s="1">
        <v>1997</v>
      </c>
      <c r="B2523" s="1" t="s">
        <v>99</v>
      </c>
      <c r="C2523" t="s">
        <v>51</v>
      </c>
      <c r="D2523">
        <v>4</v>
      </c>
      <c r="E2523">
        <v>63</v>
      </c>
      <c r="F2523">
        <v>0.15</v>
      </c>
      <c r="G2523">
        <f>(F2523/0.6)/5</f>
        <v>0.05</v>
      </c>
      <c r="H2523">
        <f>G2523*(26.79/38.29)</f>
        <v>3.4983024288325934E-2</v>
      </c>
    </row>
    <row r="2524" spans="1:8" x14ac:dyDescent="0.25">
      <c r="A2524" s="1">
        <v>1997</v>
      </c>
      <c r="B2524" s="1" t="s">
        <v>99</v>
      </c>
      <c r="C2524" t="s">
        <v>51</v>
      </c>
      <c r="D2524">
        <v>4</v>
      </c>
      <c r="E2524">
        <v>63</v>
      </c>
      <c r="F2524">
        <v>0.03</v>
      </c>
      <c r="G2524">
        <f>(F2524/0.6)/5</f>
        <v>0.01</v>
      </c>
      <c r="H2524">
        <f>G2524*(26.79/38.29)</f>
        <v>6.9966048576651863E-3</v>
      </c>
    </row>
    <row r="2525" spans="1:8" x14ac:dyDescent="0.25">
      <c r="A2525" s="1">
        <v>1997</v>
      </c>
      <c r="B2525" s="1" t="s">
        <v>99</v>
      </c>
      <c r="C2525" t="s">
        <v>51</v>
      </c>
      <c r="D2525">
        <v>4</v>
      </c>
      <c r="E2525">
        <v>71</v>
      </c>
      <c r="F2525">
        <v>0.1</v>
      </c>
      <c r="G2525">
        <f>(F2525/0.6)/5</f>
        <v>3.333333333333334E-2</v>
      </c>
      <c r="H2525">
        <f>G2525*(26.79/38.29)</f>
        <v>2.3322016192217292E-2</v>
      </c>
    </row>
    <row r="2526" spans="1:8" x14ac:dyDescent="0.25">
      <c r="A2526" s="1">
        <v>1997</v>
      </c>
      <c r="B2526" s="1" t="s">
        <v>99</v>
      </c>
      <c r="C2526" t="s">
        <v>51</v>
      </c>
      <c r="D2526">
        <v>4</v>
      </c>
      <c r="E2526">
        <v>76</v>
      </c>
      <c r="F2526">
        <v>0.13</v>
      </c>
      <c r="G2526">
        <f>(F2526/0.6)/5</f>
        <v>4.3333333333333335E-2</v>
      </c>
      <c r="H2526">
        <f>G2526*(26.79/38.29)</f>
        <v>3.0318621049882474E-2</v>
      </c>
    </row>
    <row r="2527" spans="1:8" x14ac:dyDescent="0.25">
      <c r="A2527" s="1">
        <v>1997</v>
      </c>
      <c r="B2527" s="1" t="s">
        <v>99</v>
      </c>
      <c r="C2527" t="s">
        <v>51</v>
      </c>
      <c r="D2527">
        <v>4</v>
      </c>
      <c r="E2527">
        <v>76</v>
      </c>
      <c r="F2527">
        <v>0.06</v>
      </c>
      <c r="G2527">
        <f>(F2527/0.6)/5</f>
        <v>0.02</v>
      </c>
      <c r="H2527">
        <f>G2527*(26.79/38.29)</f>
        <v>1.3993209715330373E-2</v>
      </c>
    </row>
    <row r="2528" spans="1:8" x14ac:dyDescent="0.25">
      <c r="A2528" s="1">
        <v>1997</v>
      </c>
      <c r="B2528" s="1" t="s">
        <v>99</v>
      </c>
      <c r="C2528" t="s">
        <v>51</v>
      </c>
      <c r="D2528">
        <v>4</v>
      </c>
      <c r="E2528">
        <v>76</v>
      </c>
      <c r="F2528">
        <v>0.1</v>
      </c>
      <c r="G2528">
        <f>(F2528/0.6)/5</f>
        <v>3.333333333333334E-2</v>
      </c>
      <c r="H2528">
        <f>G2528*(26.79/38.29)</f>
        <v>2.3322016192217292E-2</v>
      </c>
    </row>
    <row r="2529" spans="1:8" x14ac:dyDescent="0.25">
      <c r="A2529" s="1">
        <v>1997</v>
      </c>
      <c r="B2529" s="1" t="s">
        <v>99</v>
      </c>
      <c r="C2529" t="s">
        <v>51</v>
      </c>
      <c r="D2529">
        <v>4</v>
      </c>
      <c r="E2529">
        <v>76</v>
      </c>
      <c r="F2529">
        <v>1.1599999999999999</v>
      </c>
      <c r="G2529">
        <f>(F2529/0.6)/5</f>
        <v>0.38666666666666666</v>
      </c>
      <c r="H2529">
        <f>G2529*(26.79/38.29)</f>
        <v>0.27053538782972053</v>
      </c>
    </row>
    <row r="2530" spans="1:8" x14ac:dyDescent="0.25">
      <c r="A2530" s="1">
        <v>1997</v>
      </c>
      <c r="B2530" s="1" t="s">
        <v>99</v>
      </c>
      <c r="C2530" t="s">
        <v>51</v>
      </c>
      <c r="D2530">
        <v>4</v>
      </c>
      <c r="E2530">
        <v>76</v>
      </c>
      <c r="F2530">
        <v>0.14000000000000001</v>
      </c>
      <c r="G2530">
        <f>(F2530/0.6)/5</f>
        <v>4.6666666666666676E-2</v>
      </c>
      <c r="H2530">
        <f>G2530*(26.79/38.29)</f>
        <v>3.2650822669104206E-2</v>
      </c>
    </row>
    <row r="2531" spans="1:8" x14ac:dyDescent="0.25">
      <c r="A2531" s="1">
        <v>1997</v>
      </c>
      <c r="B2531" s="1" t="s">
        <v>99</v>
      </c>
      <c r="C2531" t="s">
        <v>51</v>
      </c>
      <c r="D2531">
        <v>4</v>
      </c>
      <c r="E2531">
        <v>76</v>
      </c>
      <c r="F2531">
        <v>0.15</v>
      </c>
      <c r="G2531">
        <f>(F2531/0.6)/5</f>
        <v>0.05</v>
      </c>
      <c r="H2531">
        <f>G2531*(26.79/38.29)</f>
        <v>3.4983024288325934E-2</v>
      </c>
    </row>
    <row r="2532" spans="1:8" x14ac:dyDescent="0.25">
      <c r="A2532" s="1">
        <v>1997</v>
      </c>
      <c r="B2532" s="1" t="s">
        <v>99</v>
      </c>
      <c r="C2532" t="s">
        <v>51</v>
      </c>
      <c r="D2532">
        <v>4</v>
      </c>
      <c r="E2532">
        <v>76</v>
      </c>
      <c r="F2532">
        <v>0.32</v>
      </c>
      <c r="G2532">
        <f>(F2532/0.6)/5</f>
        <v>0.10666666666666666</v>
      </c>
      <c r="H2532">
        <f>G2532*(26.79/38.29)</f>
        <v>7.4630451815095311E-2</v>
      </c>
    </row>
    <row r="2533" spans="1:8" x14ac:dyDescent="0.25">
      <c r="A2533" s="1">
        <v>1997</v>
      </c>
      <c r="B2533" s="1" t="s">
        <v>99</v>
      </c>
      <c r="C2533" t="s">
        <v>51</v>
      </c>
      <c r="D2533">
        <v>4</v>
      </c>
      <c r="E2533">
        <v>76</v>
      </c>
      <c r="F2533">
        <v>0.77</v>
      </c>
      <c r="G2533">
        <f>(F2533/0.6)/5</f>
        <v>0.25666666666666671</v>
      </c>
      <c r="H2533">
        <f>G2533*(26.79/38.29)</f>
        <v>0.17957952468007315</v>
      </c>
    </row>
    <row r="2534" spans="1:8" x14ac:dyDescent="0.25">
      <c r="A2534" s="1">
        <v>1997</v>
      </c>
      <c r="B2534" s="1" t="s">
        <v>99</v>
      </c>
      <c r="C2534" t="s">
        <v>51</v>
      </c>
      <c r="D2534">
        <v>4</v>
      </c>
      <c r="E2534">
        <v>76</v>
      </c>
      <c r="F2534">
        <v>0.06</v>
      </c>
      <c r="G2534">
        <f>(F2534/0.6)/5</f>
        <v>0.02</v>
      </c>
      <c r="H2534">
        <f>G2534*(26.79/38.29)</f>
        <v>1.3993209715330373E-2</v>
      </c>
    </row>
    <row r="2535" spans="1:8" x14ac:dyDescent="0.25">
      <c r="A2535" s="1">
        <v>1997</v>
      </c>
      <c r="B2535" s="1" t="s">
        <v>99</v>
      </c>
      <c r="C2535" t="s">
        <v>51</v>
      </c>
      <c r="D2535">
        <v>4</v>
      </c>
      <c r="E2535">
        <v>78</v>
      </c>
      <c r="F2535">
        <v>0.04</v>
      </c>
      <c r="G2535">
        <f>(F2535/0.6)/5</f>
        <v>1.3333333333333332E-2</v>
      </c>
      <c r="H2535">
        <f>G2535*(26.79/38.29)</f>
        <v>9.3288064768869139E-3</v>
      </c>
    </row>
    <row r="2536" spans="1:8" x14ac:dyDescent="0.25">
      <c r="A2536" s="1">
        <v>1997</v>
      </c>
      <c r="B2536" s="1" t="s">
        <v>99</v>
      </c>
      <c r="C2536" t="s">
        <v>51</v>
      </c>
      <c r="D2536">
        <v>4</v>
      </c>
      <c r="E2536">
        <v>78</v>
      </c>
      <c r="F2536">
        <v>0.06</v>
      </c>
      <c r="G2536">
        <f>(F2536/0.6)/5</f>
        <v>0.02</v>
      </c>
      <c r="H2536">
        <f>G2536*(26.79/38.29)</f>
        <v>1.3993209715330373E-2</v>
      </c>
    </row>
    <row r="2537" spans="1:8" x14ac:dyDescent="0.25">
      <c r="A2537" s="1">
        <v>1997</v>
      </c>
      <c r="B2537" s="1" t="s">
        <v>99</v>
      </c>
      <c r="C2537" t="s">
        <v>51</v>
      </c>
      <c r="D2537">
        <v>4</v>
      </c>
      <c r="E2537">
        <v>78</v>
      </c>
      <c r="F2537">
        <v>0.04</v>
      </c>
      <c r="G2537">
        <f>(F2537/0.6)/5</f>
        <v>1.3333333333333332E-2</v>
      </c>
      <c r="H2537">
        <f>G2537*(26.79/38.29)</f>
        <v>9.3288064768869139E-3</v>
      </c>
    </row>
    <row r="2538" spans="1:8" x14ac:dyDescent="0.25">
      <c r="A2538" s="1">
        <v>1997</v>
      </c>
      <c r="B2538" s="1" t="s">
        <v>99</v>
      </c>
      <c r="C2538" t="s">
        <v>51</v>
      </c>
      <c r="D2538">
        <v>4</v>
      </c>
      <c r="E2538">
        <v>79</v>
      </c>
      <c r="F2538">
        <v>0.66</v>
      </c>
      <c r="G2538">
        <f>(F2538/0.6)/5</f>
        <v>0.22000000000000003</v>
      </c>
      <c r="H2538">
        <f>G2538*(26.79/38.29)</f>
        <v>0.15392530686863412</v>
      </c>
    </row>
    <row r="2539" spans="1:8" x14ac:dyDescent="0.25">
      <c r="A2539" s="1">
        <v>1997</v>
      </c>
      <c r="B2539" s="1" t="s">
        <v>99</v>
      </c>
      <c r="C2539" t="s">
        <v>51</v>
      </c>
      <c r="D2539">
        <v>4</v>
      </c>
      <c r="E2539">
        <v>79</v>
      </c>
      <c r="F2539">
        <v>0.1</v>
      </c>
      <c r="G2539">
        <f>(F2539/0.6)/5</f>
        <v>3.333333333333334E-2</v>
      </c>
      <c r="H2539">
        <f>G2539*(26.79/38.29)</f>
        <v>2.3322016192217292E-2</v>
      </c>
    </row>
    <row r="2540" spans="1:8" x14ac:dyDescent="0.25">
      <c r="A2540" s="1">
        <v>1997</v>
      </c>
      <c r="B2540" s="1" t="s">
        <v>99</v>
      </c>
      <c r="C2540" t="s">
        <v>51</v>
      </c>
      <c r="D2540">
        <v>4</v>
      </c>
      <c r="E2540">
        <v>79</v>
      </c>
      <c r="F2540">
        <v>0.21</v>
      </c>
      <c r="G2540">
        <f>(F2540/0.6)/5</f>
        <v>6.9999999999999993E-2</v>
      </c>
      <c r="H2540">
        <f>G2540*(26.79/38.29)</f>
        <v>4.8976234003656298E-2</v>
      </c>
    </row>
    <row r="2541" spans="1:8" x14ac:dyDescent="0.25">
      <c r="A2541" s="1">
        <v>1997</v>
      </c>
      <c r="B2541" s="1" t="s">
        <v>99</v>
      </c>
      <c r="C2541" t="s">
        <v>51</v>
      </c>
      <c r="D2541">
        <v>4</v>
      </c>
      <c r="E2541">
        <v>79</v>
      </c>
      <c r="F2541">
        <v>0.23</v>
      </c>
      <c r="G2541">
        <f>(F2541/0.6)/5</f>
        <v>7.6666666666666675E-2</v>
      </c>
      <c r="H2541">
        <f>G2541*(26.79/38.29)</f>
        <v>5.3640637242099769E-2</v>
      </c>
    </row>
    <row r="2542" spans="1:8" x14ac:dyDescent="0.25">
      <c r="A2542" s="1">
        <v>1997</v>
      </c>
      <c r="B2542" s="1" t="s">
        <v>99</v>
      </c>
      <c r="C2542" t="s">
        <v>51</v>
      </c>
      <c r="D2542">
        <v>4</v>
      </c>
      <c r="E2542">
        <v>79</v>
      </c>
      <c r="F2542">
        <v>0.12</v>
      </c>
      <c r="G2542">
        <f>(F2542/0.6)/5</f>
        <v>0.04</v>
      </c>
      <c r="H2542">
        <f>G2542*(26.79/38.29)</f>
        <v>2.7986419430660745E-2</v>
      </c>
    </row>
    <row r="2543" spans="1:8" x14ac:dyDescent="0.25">
      <c r="A2543" s="1">
        <v>1997</v>
      </c>
      <c r="B2543" s="1" t="s">
        <v>99</v>
      </c>
      <c r="C2543" t="s">
        <v>51</v>
      </c>
      <c r="D2543">
        <v>4</v>
      </c>
      <c r="E2543">
        <v>79</v>
      </c>
      <c r="F2543">
        <v>0.04</v>
      </c>
      <c r="G2543">
        <f>(F2543/0.6)/5</f>
        <v>1.3333333333333332E-2</v>
      </c>
      <c r="H2543">
        <f>G2543*(26.79/38.29)</f>
        <v>9.3288064768869139E-3</v>
      </c>
    </row>
    <row r="2544" spans="1:8" x14ac:dyDescent="0.25">
      <c r="A2544" s="1">
        <v>1997</v>
      </c>
      <c r="B2544" s="1" t="s">
        <v>99</v>
      </c>
      <c r="C2544" t="s">
        <v>51</v>
      </c>
      <c r="D2544">
        <v>4</v>
      </c>
      <c r="E2544">
        <v>79</v>
      </c>
      <c r="F2544">
        <v>0.48</v>
      </c>
      <c r="G2544">
        <f>(F2544/0.6)/5</f>
        <v>0.16</v>
      </c>
      <c r="H2544">
        <f>G2544*(26.79/38.29)</f>
        <v>0.11194567772264298</v>
      </c>
    </row>
    <row r="2545" spans="1:8" x14ac:dyDescent="0.25">
      <c r="A2545" s="1">
        <v>1997</v>
      </c>
      <c r="B2545" s="1" t="s">
        <v>99</v>
      </c>
      <c r="C2545" t="s">
        <v>51</v>
      </c>
      <c r="D2545">
        <v>4</v>
      </c>
      <c r="E2545">
        <v>79</v>
      </c>
      <c r="F2545">
        <v>0.57999999999999996</v>
      </c>
      <c r="G2545">
        <f>(F2545/0.6)/5</f>
        <v>0.19333333333333333</v>
      </c>
      <c r="H2545">
        <f>G2545*(26.79/38.29)</f>
        <v>0.13526769391486027</v>
      </c>
    </row>
    <row r="2546" spans="1:8" x14ac:dyDescent="0.25">
      <c r="A2546" s="1">
        <v>1997</v>
      </c>
      <c r="B2546" s="1" t="s">
        <v>99</v>
      </c>
      <c r="C2546" t="s">
        <v>51</v>
      </c>
      <c r="D2546">
        <v>4</v>
      </c>
      <c r="E2546">
        <v>79</v>
      </c>
      <c r="F2546">
        <v>1.63</v>
      </c>
      <c r="G2546">
        <f>(F2546/0.6)/5</f>
        <v>0.54333333333333333</v>
      </c>
      <c r="H2546">
        <f>G2546*(26.79/38.29)</f>
        <v>0.38014886393314179</v>
      </c>
    </row>
    <row r="2547" spans="1:8" x14ac:dyDescent="0.25">
      <c r="A2547" s="1">
        <v>1997</v>
      </c>
      <c r="B2547" s="1" t="s">
        <v>99</v>
      </c>
      <c r="C2547" t="s">
        <v>51</v>
      </c>
      <c r="D2547">
        <v>4</v>
      </c>
      <c r="E2547">
        <v>79</v>
      </c>
      <c r="F2547">
        <v>0.28999999999999998</v>
      </c>
      <c r="G2547">
        <f>(F2547/0.6)/5</f>
        <v>9.6666666666666665E-2</v>
      </c>
      <c r="H2547">
        <f>G2547*(26.79/38.29)</f>
        <v>6.7633846957430133E-2</v>
      </c>
    </row>
    <row r="2548" spans="1:8" x14ac:dyDescent="0.25">
      <c r="A2548" s="1">
        <v>1997</v>
      </c>
      <c r="B2548" s="1" t="s">
        <v>99</v>
      </c>
      <c r="C2548" t="s">
        <v>51</v>
      </c>
      <c r="D2548">
        <v>4</v>
      </c>
      <c r="E2548">
        <v>79</v>
      </c>
      <c r="F2548">
        <v>7.0000000000000007E-2</v>
      </c>
      <c r="G2548">
        <f>(F2548/0.6)/5</f>
        <v>2.3333333333333338E-2</v>
      </c>
      <c r="H2548">
        <f>G2548*(26.79/38.29)</f>
        <v>1.6325411334552103E-2</v>
      </c>
    </row>
    <row r="2549" spans="1:8" x14ac:dyDescent="0.25">
      <c r="A2549" s="1">
        <v>1997</v>
      </c>
      <c r="B2549" s="1" t="s">
        <v>99</v>
      </c>
      <c r="C2549" t="s">
        <v>51</v>
      </c>
      <c r="D2549">
        <v>4</v>
      </c>
      <c r="E2549">
        <v>79</v>
      </c>
      <c r="F2549">
        <v>0.15</v>
      </c>
      <c r="G2549">
        <f>(F2549/0.6)/5</f>
        <v>0.05</v>
      </c>
      <c r="H2549">
        <f>G2549*(26.79/38.29)</f>
        <v>3.4983024288325934E-2</v>
      </c>
    </row>
    <row r="2550" spans="1:8" x14ac:dyDescent="0.25">
      <c r="A2550" s="1">
        <v>1997</v>
      </c>
      <c r="B2550" s="1" t="s">
        <v>99</v>
      </c>
      <c r="C2550" t="s">
        <v>51</v>
      </c>
      <c r="D2550">
        <v>4</v>
      </c>
      <c r="E2550">
        <v>79</v>
      </c>
      <c r="F2550">
        <v>0.14000000000000001</v>
      </c>
      <c r="G2550">
        <f>(F2550/0.6)/5</f>
        <v>4.6666666666666676E-2</v>
      </c>
      <c r="H2550">
        <f>G2550*(26.79/38.29)</f>
        <v>3.2650822669104206E-2</v>
      </c>
    </row>
    <row r="2551" spans="1:8" x14ac:dyDescent="0.25">
      <c r="A2551" s="1">
        <v>1997</v>
      </c>
      <c r="B2551" s="1" t="s">
        <v>99</v>
      </c>
      <c r="C2551" t="s">
        <v>51</v>
      </c>
      <c r="D2551">
        <v>4</v>
      </c>
      <c r="E2551">
        <v>79</v>
      </c>
      <c r="F2551">
        <v>0.09</v>
      </c>
      <c r="G2551">
        <f>(F2551/0.6)/5</f>
        <v>0.03</v>
      </c>
      <c r="H2551">
        <f>G2551*(26.79/38.29)</f>
        <v>2.0989814572995556E-2</v>
      </c>
    </row>
    <row r="2552" spans="1:8" x14ac:dyDescent="0.25">
      <c r="A2552" s="1">
        <v>1997</v>
      </c>
      <c r="B2552" s="1" t="s">
        <v>99</v>
      </c>
      <c r="C2552" t="s">
        <v>51</v>
      </c>
      <c r="D2552">
        <v>4</v>
      </c>
      <c r="E2552">
        <v>79</v>
      </c>
      <c r="F2552">
        <v>0.03</v>
      </c>
      <c r="G2552">
        <f>(F2552/0.6)/5</f>
        <v>0.01</v>
      </c>
      <c r="H2552">
        <f>G2552*(26.79/38.29)</f>
        <v>6.9966048576651863E-3</v>
      </c>
    </row>
    <row r="2553" spans="1:8" x14ac:dyDescent="0.25">
      <c r="A2553" s="1">
        <v>1997</v>
      </c>
      <c r="B2553" s="1" t="s">
        <v>99</v>
      </c>
      <c r="C2553" t="s">
        <v>51</v>
      </c>
      <c r="D2553">
        <v>4</v>
      </c>
      <c r="E2553">
        <v>79</v>
      </c>
      <c r="F2553">
        <v>0.89</v>
      </c>
      <c r="G2553">
        <f>(F2553/0.6)/5</f>
        <v>0.29666666666666669</v>
      </c>
      <c r="H2553">
        <f>G2553*(26.79/38.29)</f>
        <v>0.20756594411073387</v>
      </c>
    </row>
    <row r="2554" spans="1:8" x14ac:dyDescent="0.25">
      <c r="A2554" s="1">
        <v>1997</v>
      </c>
      <c r="B2554" s="1" t="s">
        <v>99</v>
      </c>
      <c r="C2554" t="s">
        <v>51</v>
      </c>
      <c r="D2554">
        <v>4</v>
      </c>
      <c r="E2554">
        <v>79</v>
      </c>
      <c r="F2554">
        <v>0.13</v>
      </c>
      <c r="G2554">
        <f>(F2554/0.6)/5</f>
        <v>4.3333333333333335E-2</v>
      </c>
      <c r="H2554">
        <f>G2554*(26.79/38.29)</f>
        <v>3.0318621049882474E-2</v>
      </c>
    </row>
    <row r="2555" spans="1:8" x14ac:dyDescent="0.25">
      <c r="A2555" s="1">
        <v>1997</v>
      </c>
      <c r="B2555" s="1" t="s">
        <v>99</v>
      </c>
      <c r="C2555" t="s">
        <v>51</v>
      </c>
      <c r="D2555">
        <v>4</v>
      </c>
      <c r="E2555">
        <v>79</v>
      </c>
      <c r="F2555">
        <v>0.72</v>
      </c>
      <c r="G2555">
        <f>(F2555/0.6)/5</f>
        <v>0.24</v>
      </c>
      <c r="H2555">
        <f>G2555*(26.79/38.29)</f>
        <v>0.16791851658396445</v>
      </c>
    </row>
    <row r="2556" spans="1:8" x14ac:dyDescent="0.25">
      <c r="A2556" s="1">
        <v>1997</v>
      </c>
      <c r="B2556" s="1" t="s">
        <v>99</v>
      </c>
      <c r="C2556" t="s">
        <v>51</v>
      </c>
      <c r="D2556">
        <v>4</v>
      </c>
      <c r="E2556">
        <v>79</v>
      </c>
      <c r="F2556">
        <v>0.13</v>
      </c>
      <c r="G2556">
        <f>(F2556/0.6)/5</f>
        <v>4.3333333333333335E-2</v>
      </c>
      <c r="H2556">
        <f>G2556*(26.79/38.29)</f>
        <v>3.0318621049882474E-2</v>
      </c>
    </row>
    <row r="2557" spans="1:8" x14ac:dyDescent="0.25">
      <c r="A2557" s="1">
        <v>1997</v>
      </c>
      <c r="B2557" s="1" t="s">
        <v>99</v>
      </c>
      <c r="C2557" t="s">
        <v>51</v>
      </c>
      <c r="D2557">
        <v>4</v>
      </c>
      <c r="E2557">
        <v>79</v>
      </c>
      <c r="F2557">
        <v>0.08</v>
      </c>
      <c r="G2557">
        <f>(F2557/0.6)/5</f>
        <v>2.6666666666666665E-2</v>
      </c>
      <c r="H2557">
        <f>G2557*(26.79/38.29)</f>
        <v>1.8657612953773828E-2</v>
      </c>
    </row>
    <row r="2558" spans="1:8" x14ac:dyDescent="0.25">
      <c r="A2558" s="1">
        <v>1997</v>
      </c>
      <c r="B2558" s="1" t="s">
        <v>99</v>
      </c>
      <c r="C2558" t="s">
        <v>51</v>
      </c>
      <c r="D2558">
        <v>4</v>
      </c>
      <c r="E2558">
        <v>85</v>
      </c>
      <c r="F2558">
        <v>0.05</v>
      </c>
      <c r="G2558">
        <f>(F2558/0.6)/5</f>
        <v>1.666666666666667E-2</v>
      </c>
      <c r="H2558">
        <f>G2558*(26.79/38.29)</f>
        <v>1.1661008096108646E-2</v>
      </c>
    </row>
    <row r="2559" spans="1:8" x14ac:dyDescent="0.25">
      <c r="A2559" s="1">
        <v>1997</v>
      </c>
      <c r="B2559" s="1" t="s">
        <v>99</v>
      </c>
      <c r="C2559" t="s">
        <v>51</v>
      </c>
      <c r="D2559">
        <v>4</v>
      </c>
      <c r="E2559">
        <v>85</v>
      </c>
      <c r="F2559">
        <v>0.66</v>
      </c>
      <c r="G2559">
        <f>(F2559/0.6)/5</f>
        <v>0.22000000000000003</v>
      </c>
      <c r="H2559">
        <f>G2559*(26.79/38.29)</f>
        <v>0.15392530686863412</v>
      </c>
    </row>
    <row r="2560" spans="1:8" x14ac:dyDescent="0.25">
      <c r="A2560" s="1">
        <v>1997</v>
      </c>
      <c r="B2560" s="1" t="s">
        <v>99</v>
      </c>
      <c r="C2560" t="s">
        <v>51</v>
      </c>
      <c r="D2560">
        <v>4</v>
      </c>
      <c r="E2560">
        <v>85</v>
      </c>
      <c r="F2560">
        <v>1.54</v>
      </c>
      <c r="G2560">
        <f>(F2560/0.6)/5</f>
        <v>0.51333333333333342</v>
      </c>
      <c r="H2560">
        <f>G2560*(26.79/38.29)</f>
        <v>0.35915904936014631</v>
      </c>
    </row>
    <row r="2561" spans="1:8" x14ac:dyDescent="0.25">
      <c r="A2561" s="1">
        <v>1997</v>
      </c>
      <c r="B2561" s="1" t="s">
        <v>99</v>
      </c>
      <c r="C2561" t="s">
        <v>51</v>
      </c>
      <c r="D2561">
        <v>4</v>
      </c>
      <c r="E2561">
        <v>85</v>
      </c>
      <c r="F2561">
        <v>1.08</v>
      </c>
      <c r="G2561">
        <f>(F2561/0.6)/5</f>
        <v>0.36000000000000004</v>
      </c>
      <c r="H2561">
        <f>G2561*(26.79/38.29)</f>
        <v>0.25187777487594676</v>
      </c>
    </row>
    <row r="2562" spans="1:8" x14ac:dyDescent="0.25">
      <c r="A2562" s="1">
        <v>1997</v>
      </c>
      <c r="B2562" s="1" t="s">
        <v>99</v>
      </c>
      <c r="C2562" t="s">
        <v>51</v>
      </c>
      <c r="D2562">
        <v>5</v>
      </c>
      <c r="E2562">
        <v>21</v>
      </c>
      <c r="F2562">
        <v>0.36</v>
      </c>
      <c r="G2562">
        <f>(F2562/0.6)/5</f>
        <v>0.12</v>
      </c>
      <c r="H2562">
        <f>G2562*(26.79/38.29)</f>
        <v>8.3959258291982225E-2</v>
      </c>
    </row>
    <row r="2563" spans="1:8" x14ac:dyDescent="0.25">
      <c r="A2563" s="1">
        <v>1997</v>
      </c>
      <c r="B2563" s="1" t="s">
        <v>99</v>
      </c>
      <c r="C2563" t="s">
        <v>51</v>
      </c>
      <c r="D2563">
        <v>5</v>
      </c>
      <c r="E2563">
        <v>29</v>
      </c>
      <c r="F2563">
        <v>0.06</v>
      </c>
      <c r="G2563">
        <f>(F2563/0.6)/5</f>
        <v>0.02</v>
      </c>
      <c r="H2563">
        <f>G2563*(26.79/38.29)</f>
        <v>1.3993209715330373E-2</v>
      </c>
    </row>
    <row r="2564" spans="1:8" x14ac:dyDescent="0.25">
      <c r="A2564" s="1">
        <v>1997</v>
      </c>
      <c r="B2564" s="1" t="s">
        <v>99</v>
      </c>
      <c r="C2564" t="s">
        <v>51</v>
      </c>
      <c r="D2564">
        <v>5</v>
      </c>
      <c r="E2564">
        <v>29</v>
      </c>
      <c r="F2564">
        <v>0.12</v>
      </c>
      <c r="G2564">
        <f>(F2564/0.6)/5</f>
        <v>0.04</v>
      </c>
      <c r="H2564">
        <f>G2564*(26.79/38.29)</f>
        <v>2.7986419430660745E-2</v>
      </c>
    </row>
    <row r="2565" spans="1:8" x14ac:dyDescent="0.25">
      <c r="A2565" s="1">
        <v>1997</v>
      </c>
      <c r="B2565" s="1" t="s">
        <v>99</v>
      </c>
      <c r="C2565" t="s">
        <v>51</v>
      </c>
      <c r="D2565">
        <v>5</v>
      </c>
      <c r="E2565">
        <v>29</v>
      </c>
      <c r="F2565">
        <v>0.04</v>
      </c>
      <c r="G2565">
        <f>(F2565/0.6)/5</f>
        <v>1.3333333333333332E-2</v>
      </c>
      <c r="H2565">
        <f>G2565*(26.79/38.29)</f>
        <v>9.3288064768869139E-3</v>
      </c>
    </row>
    <row r="2566" spans="1:8" x14ac:dyDescent="0.25">
      <c r="A2566" s="1">
        <v>1997</v>
      </c>
      <c r="B2566" s="1" t="s">
        <v>99</v>
      </c>
      <c r="C2566" t="s">
        <v>51</v>
      </c>
      <c r="D2566">
        <v>5</v>
      </c>
      <c r="E2566">
        <v>29</v>
      </c>
      <c r="F2566">
        <v>0.06</v>
      </c>
      <c r="G2566">
        <f>(F2566/0.6)/5</f>
        <v>0.02</v>
      </c>
      <c r="H2566">
        <f>G2566*(26.79/38.29)</f>
        <v>1.3993209715330373E-2</v>
      </c>
    </row>
    <row r="2567" spans="1:8" x14ac:dyDescent="0.25">
      <c r="A2567" s="1">
        <v>1997</v>
      </c>
      <c r="B2567" s="1" t="s">
        <v>99</v>
      </c>
      <c r="C2567" t="s">
        <v>51</v>
      </c>
      <c r="D2567">
        <v>5</v>
      </c>
      <c r="E2567">
        <v>29</v>
      </c>
      <c r="F2567">
        <v>0.13</v>
      </c>
      <c r="G2567">
        <f>(F2567/0.6)/5</f>
        <v>4.3333333333333335E-2</v>
      </c>
      <c r="H2567">
        <f>G2567*(26.79/38.29)</f>
        <v>3.0318621049882474E-2</v>
      </c>
    </row>
    <row r="2568" spans="1:8" x14ac:dyDescent="0.25">
      <c r="A2568" s="1">
        <v>1997</v>
      </c>
      <c r="B2568" s="1" t="s">
        <v>99</v>
      </c>
      <c r="C2568" t="s">
        <v>51</v>
      </c>
      <c r="D2568">
        <v>5</v>
      </c>
      <c r="E2568">
        <v>29</v>
      </c>
      <c r="F2568">
        <v>0.15</v>
      </c>
      <c r="G2568">
        <f>(F2568/0.6)/5</f>
        <v>0.05</v>
      </c>
      <c r="H2568">
        <f>G2568*(26.79/38.29)</f>
        <v>3.4983024288325934E-2</v>
      </c>
    </row>
    <row r="2569" spans="1:8" x14ac:dyDescent="0.25">
      <c r="A2569" s="1">
        <v>1997</v>
      </c>
      <c r="B2569" s="1" t="s">
        <v>99</v>
      </c>
      <c r="C2569" t="s">
        <v>51</v>
      </c>
      <c r="D2569">
        <v>5</v>
      </c>
      <c r="E2569">
        <v>29</v>
      </c>
      <c r="F2569">
        <v>0.09</v>
      </c>
      <c r="G2569">
        <f>(F2569/0.6)/5</f>
        <v>0.03</v>
      </c>
      <c r="H2569">
        <f>G2569*(26.79/38.29)</f>
        <v>2.0989814572995556E-2</v>
      </c>
    </row>
    <row r="2570" spans="1:8" x14ac:dyDescent="0.25">
      <c r="A2570" s="1">
        <v>1997</v>
      </c>
      <c r="B2570" s="1" t="s">
        <v>99</v>
      </c>
      <c r="C2570" t="s">
        <v>51</v>
      </c>
      <c r="D2570">
        <v>5</v>
      </c>
      <c r="E2570">
        <v>29</v>
      </c>
      <c r="F2570">
        <v>0.87</v>
      </c>
      <c r="G2570">
        <f>(F2570/0.6)/5</f>
        <v>0.28999999999999998</v>
      </c>
      <c r="H2570">
        <f>G2570*(26.79/38.29)</f>
        <v>0.2029015408722904</v>
      </c>
    </row>
    <row r="2571" spans="1:8" x14ac:dyDescent="0.25">
      <c r="A2571" s="1">
        <v>1997</v>
      </c>
      <c r="B2571" s="1" t="s">
        <v>99</v>
      </c>
      <c r="C2571" t="s">
        <v>51</v>
      </c>
      <c r="D2571">
        <v>5</v>
      </c>
      <c r="E2571">
        <v>32</v>
      </c>
      <c r="F2571">
        <v>0.06</v>
      </c>
      <c r="G2571">
        <f>(F2571/0.6)/5</f>
        <v>0.02</v>
      </c>
      <c r="H2571">
        <f>G2571*(26.79/38.29)</f>
        <v>1.3993209715330373E-2</v>
      </c>
    </row>
    <row r="2572" spans="1:8" x14ac:dyDescent="0.25">
      <c r="A2572" s="1">
        <v>1997</v>
      </c>
      <c r="B2572" s="1" t="s">
        <v>99</v>
      </c>
      <c r="C2572" t="s">
        <v>51</v>
      </c>
      <c r="D2572">
        <v>5</v>
      </c>
      <c r="E2572">
        <v>32</v>
      </c>
      <c r="F2572">
        <v>0.06</v>
      </c>
      <c r="G2572">
        <f>(F2572/0.6)/5</f>
        <v>0.02</v>
      </c>
      <c r="H2572">
        <f>G2572*(26.79/38.29)</f>
        <v>1.3993209715330373E-2</v>
      </c>
    </row>
    <row r="2573" spans="1:8" x14ac:dyDescent="0.25">
      <c r="A2573" s="1">
        <v>1997</v>
      </c>
      <c r="B2573" s="1" t="s">
        <v>99</v>
      </c>
      <c r="C2573" t="s">
        <v>51</v>
      </c>
      <c r="D2573">
        <v>5</v>
      </c>
      <c r="E2573">
        <v>32</v>
      </c>
      <c r="F2573">
        <v>0.05</v>
      </c>
      <c r="G2573">
        <f>(F2573/0.6)/5</f>
        <v>1.666666666666667E-2</v>
      </c>
      <c r="H2573">
        <f>G2573*(26.79/38.29)</f>
        <v>1.1661008096108646E-2</v>
      </c>
    </row>
    <row r="2574" spans="1:8" x14ac:dyDescent="0.25">
      <c r="A2574" s="1">
        <v>1997</v>
      </c>
      <c r="B2574" s="1" t="s">
        <v>99</v>
      </c>
      <c r="C2574" t="s">
        <v>51</v>
      </c>
      <c r="D2574">
        <v>5</v>
      </c>
      <c r="E2574">
        <v>32</v>
      </c>
      <c r="F2574">
        <v>0.11</v>
      </c>
      <c r="G2574">
        <f>(F2574/0.6)/5</f>
        <v>3.6666666666666667E-2</v>
      </c>
      <c r="H2574">
        <f>G2574*(26.79/38.29)</f>
        <v>2.5654217811439017E-2</v>
      </c>
    </row>
    <row r="2575" spans="1:8" x14ac:dyDescent="0.25">
      <c r="A2575" s="1">
        <v>1997</v>
      </c>
      <c r="B2575" s="1" t="s">
        <v>99</v>
      </c>
      <c r="C2575" t="s">
        <v>51</v>
      </c>
      <c r="D2575">
        <v>5</v>
      </c>
      <c r="E2575">
        <v>32</v>
      </c>
      <c r="F2575">
        <v>0.03</v>
      </c>
      <c r="G2575">
        <f>(F2575/0.6)/5</f>
        <v>0.01</v>
      </c>
      <c r="H2575">
        <f>G2575*(26.79/38.29)</f>
        <v>6.9966048576651863E-3</v>
      </c>
    </row>
    <row r="2576" spans="1:8" x14ac:dyDescent="0.25">
      <c r="A2576" s="1">
        <v>1997</v>
      </c>
      <c r="B2576" s="1" t="s">
        <v>99</v>
      </c>
      <c r="C2576" t="s">
        <v>51</v>
      </c>
      <c r="D2576">
        <v>5</v>
      </c>
      <c r="E2576">
        <v>32</v>
      </c>
      <c r="F2576">
        <v>0.04</v>
      </c>
      <c r="G2576">
        <f>(F2576/0.6)/5</f>
        <v>1.3333333333333332E-2</v>
      </c>
      <c r="H2576">
        <f>G2576*(26.79/38.29)</f>
        <v>9.3288064768869139E-3</v>
      </c>
    </row>
    <row r="2577" spans="1:8" x14ac:dyDescent="0.25">
      <c r="A2577" s="1">
        <v>1997</v>
      </c>
      <c r="B2577" s="1" t="s">
        <v>99</v>
      </c>
      <c r="C2577" t="s">
        <v>51</v>
      </c>
      <c r="D2577">
        <v>5</v>
      </c>
      <c r="E2577">
        <v>32</v>
      </c>
      <c r="F2577">
        <v>0.06</v>
      </c>
      <c r="G2577">
        <f>(F2577/0.6)/5</f>
        <v>0.02</v>
      </c>
      <c r="H2577">
        <f>G2577*(26.79/38.29)</f>
        <v>1.3993209715330373E-2</v>
      </c>
    </row>
    <row r="2578" spans="1:8" x14ac:dyDescent="0.25">
      <c r="A2578" s="1">
        <v>1997</v>
      </c>
      <c r="B2578" s="1" t="s">
        <v>99</v>
      </c>
      <c r="C2578" t="s">
        <v>51</v>
      </c>
      <c r="D2578">
        <v>5</v>
      </c>
      <c r="E2578">
        <v>32</v>
      </c>
      <c r="F2578">
        <v>0.13</v>
      </c>
      <c r="G2578">
        <f>(F2578/0.6)/5</f>
        <v>4.3333333333333335E-2</v>
      </c>
      <c r="H2578">
        <f>G2578*(26.79/38.29)</f>
        <v>3.0318621049882474E-2</v>
      </c>
    </row>
    <row r="2579" spans="1:8" x14ac:dyDescent="0.25">
      <c r="A2579" s="1">
        <v>1997</v>
      </c>
      <c r="B2579" s="1" t="s">
        <v>99</v>
      </c>
      <c r="C2579" t="s">
        <v>51</v>
      </c>
      <c r="D2579">
        <v>5</v>
      </c>
      <c r="E2579">
        <v>32</v>
      </c>
      <c r="F2579">
        <v>0.05</v>
      </c>
      <c r="G2579">
        <f>(F2579/0.6)/5</f>
        <v>1.666666666666667E-2</v>
      </c>
      <c r="H2579">
        <f>G2579*(26.79/38.29)</f>
        <v>1.1661008096108646E-2</v>
      </c>
    </row>
    <row r="2580" spans="1:8" x14ac:dyDescent="0.25">
      <c r="A2580" s="1">
        <v>1997</v>
      </c>
      <c r="B2580" s="1" t="s">
        <v>99</v>
      </c>
      <c r="C2580" t="s">
        <v>51</v>
      </c>
      <c r="D2580">
        <v>5</v>
      </c>
      <c r="E2580">
        <v>32</v>
      </c>
      <c r="F2580">
        <v>0.13</v>
      </c>
      <c r="G2580">
        <f>(F2580/0.6)/5</f>
        <v>4.3333333333333335E-2</v>
      </c>
      <c r="H2580">
        <f>G2580*(26.79/38.29)</f>
        <v>3.0318621049882474E-2</v>
      </c>
    </row>
    <row r="2581" spans="1:8" x14ac:dyDescent="0.25">
      <c r="A2581" s="1">
        <v>1997</v>
      </c>
      <c r="B2581" s="1" t="s">
        <v>99</v>
      </c>
      <c r="C2581" t="s">
        <v>51</v>
      </c>
      <c r="D2581">
        <v>5</v>
      </c>
      <c r="E2581">
        <v>32</v>
      </c>
      <c r="F2581">
        <v>0.04</v>
      </c>
      <c r="G2581">
        <f>(F2581/0.6)/5</f>
        <v>1.3333333333333332E-2</v>
      </c>
      <c r="H2581">
        <f>G2581*(26.79/38.29)</f>
        <v>9.3288064768869139E-3</v>
      </c>
    </row>
    <row r="2582" spans="1:8" x14ac:dyDescent="0.25">
      <c r="A2582" s="1">
        <v>1997</v>
      </c>
      <c r="B2582" s="1" t="s">
        <v>99</v>
      </c>
      <c r="C2582" t="s">
        <v>51</v>
      </c>
      <c r="D2582">
        <v>5</v>
      </c>
      <c r="E2582">
        <v>32</v>
      </c>
      <c r="F2582">
        <v>0.06</v>
      </c>
      <c r="G2582">
        <f>(F2582/0.6)/5</f>
        <v>0.02</v>
      </c>
      <c r="H2582">
        <f>G2582*(26.79/38.29)</f>
        <v>1.3993209715330373E-2</v>
      </c>
    </row>
    <row r="2583" spans="1:8" x14ac:dyDescent="0.25">
      <c r="A2583" s="1">
        <v>1997</v>
      </c>
      <c r="B2583" s="1" t="s">
        <v>99</v>
      </c>
      <c r="C2583" t="s">
        <v>51</v>
      </c>
      <c r="D2583">
        <v>5</v>
      </c>
      <c r="E2583">
        <v>32</v>
      </c>
      <c r="F2583">
        <v>0.05</v>
      </c>
      <c r="G2583">
        <f>(F2583/0.6)/5</f>
        <v>1.666666666666667E-2</v>
      </c>
      <c r="H2583">
        <f>G2583*(26.79/38.29)</f>
        <v>1.1661008096108646E-2</v>
      </c>
    </row>
    <row r="2584" spans="1:8" x14ac:dyDescent="0.25">
      <c r="A2584" s="1">
        <v>1997</v>
      </c>
      <c r="B2584" s="1" t="s">
        <v>99</v>
      </c>
      <c r="C2584" t="s">
        <v>51</v>
      </c>
      <c r="D2584">
        <v>5</v>
      </c>
      <c r="E2584">
        <v>32</v>
      </c>
      <c r="F2584">
        <v>0.05</v>
      </c>
      <c r="G2584">
        <f>(F2584/0.6)/5</f>
        <v>1.666666666666667E-2</v>
      </c>
      <c r="H2584">
        <f>G2584*(26.79/38.29)</f>
        <v>1.1661008096108646E-2</v>
      </c>
    </row>
    <row r="2585" spans="1:8" x14ac:dyDescent="0.25">
      <c r="A2585" s="1">
        <v>1997</v>
      </c>
      <c r="B2585" s="1" t="s">
        <v>99</v>
      </c>
      <c r="C2585" t="s">
        <v>51</v>
      </c>
      <c r="D2585">
        <v>5</v>
      </c>
      <c r="E2585">
        <v>32</v>
      </c>
      <c r="F2585">
        <v>0.04</v>
      </c>
      <c r="G2585">
        <f>(F2585/0.6)/5</f>
        <v>1.3333333333333332E-2</v>
      </c>
      <c r="H2585">
        <f>G2585*(26.79/38.29)</f>
        <v>9.3288064768869139E-3</v>
      </c>
    </row>
    <row r="2586" spans="1:8" x14ac:dyDescent="0.25">
      <c r="A2586" s="1">
        <v>1997</v>
      </c>
      <c r="B2586" s="1" t="s">
        <v>99</v>
      </c>
      <c r="C2586" t="s">
        <v>51</v>
      </c>
      <c r="D2586">
        <v>5</v>
      </c>
      <c r="E2586">
        <v>32</v>
      </c>
      <c r="F2586">
        <v>0.03</v>
      </c>
      <c r="G2586">
        <f>(F2586/0.6)/5</f>
        <v>0.01</v>
      </c>
      <c r="H2586">
        <f>G2586*(26.79/38.29)</f>
        <v>6.9966048576651863E-3</v>
      </c>
    </row>
    <row r="2587" spans="1:8" x14ac:dyDescent="0.25">
      <c r="A2587" s="1">
        <v>1997</v>
      </c>
      <c r="B2587" s="1" t="s">
        <v>99</v>
      </c>
      <c r="C2587" t="s">
        <v>51</v>
      </c>
      <c r="D2587">
        <v>5</v>
      </c>
      <c r="E2587">
        <v>32</v>
      </c>
      <c r="F2587">
        <v>0.05</v>
      </c>
      <c r="G2587">
        <f>(F2587/0.6)/5</f>
        <v>1.666666666666667E-2</v>
      </c>
      <c r="H2587">
        <f>G2587*(26.79/38.29)</f>
        <v>1.1661008096108646E-2</v>
      </c>
    </row>
    <row r="2588" spans="1:8" x14ac:dyDescent="0.25">
      <c r="A2588" s="1">
        <v>1997</v>
      </c>
      <c r="B2588" s="1" t="s">
        <v>99</v>
      </c>
      <c r="C2588" t="s">
        <v>51</v>
      </c>
      <c r="D2588">
        <v>5</v>
      </c>
      <c r="E2588">
        <v>32</v>
      </c>
      <c r="F2588">
        <v>0.15</v>
      </c>
      <c r="G2588">
        <f>(F2588/0.6)/5</f>
        <v>0.05</v>
      </c>
      <c r="H2588">
        <f>G2588*(26.79/38.29)</f>
        <v>3.4983024288325934E-2</v>
      </c>
    </row>
    <row r="2589" spans="1:8" x14ac:dyDescent="0.25">
      <c r="A2589" s="1">
        <v>1997</v>
      </c>
      <c r="B2589" s="1" t="s">
        <v>99</v>
      </c>
      <c r="C2589" t="s">
        <v>51</v>
      </c>
      <c r="D2589">
        <v>5</v>
      </c>
      <c r="E2589">
        <v>32</v>
      </c>
      <c r="F2589">
        <v>0.13</v>
      </c>
      <c r="G2589">
        <f>(F2589/0.6)/5</f>
        <v>4.3333333333333335E-2</v>
      </c>
      <c r="H2589">
        <f>G2589*(26.79/38.29)</f>
        <v>3.0318621049882474E-2</v>
      </c>
    </row>
    <row r="2590" spans="1:8" x14ac:dyDescent="0.25">
      <c r="A2590" s="1">
        <v>1997</v>
      </c>
      <c r="B2590" s="1" t="s">
        <v>99</v>
      </c>
      <c r="C2590" t="s">
        <v>51</v>
      </c>
      <c r="D2590">
        <v>5</v>
      </c>
      <c r="E2590">
        <v>32</v>
      </c>
      <c r="F2590">
        <v>0.45</v>
      </c>
      <c r="G2590">
        <f>(F2590/0.6)/5</f>
        <v>0.15</v>
      </c>
      <c r="H2590">
        <f>G2590*(26.79/38.29)</f>
        <v>0.10494907286497779</v>
      </c>
    </row>
    <row r="2591" spans="1:8" x14ac:dyDescent="0.25">
      <c r="A2591" s="1">
        <v>1997</v>
      </c>
      <c r="B2591" s="1" t="s">
        <v>99</v>
      </c>
      <c r="C2591" t="s">
        <v>51</v>
      </c>
      <c r="D2591">
        <v>5</v>
      </c>
      <c r="E2591">
        <v>32</v>
      </c>
      <c r="F2591">
        <v>0.06</v>
      </c>
      <c r="G2591">
        <f>(F2591/0.6)/5</f>
        <v>0.02</v>
      </c>
      <c r="H2591">
        <f>G2591*(26.79/38.29)</f>
        <v>1.3993209715330373E-2</v>
      </c>
    </row>
    <row r="2592" spans="1:8" x14ac:dyDescent="0.25">
      <c r="A2592" s="1">
        <v>1997</v>
      </c>
      <c r="B2592" s="1" t="s">
        <v>99</v>
      </c>
      <c r="C2592" t="s">
        <v>51</v>
      </c>
      <c r="D2592">
        <v>5</v>
      </c>
      <c r="E2592">
        <v>32</v>
      </c>
      <c r="F2592">
        <v>0.04</v>
      </c>
      <c r="G2592">
        <f>(F2592/0.6)/5</f>
        <v>1.3333333333333332E-2</v>
      </c>
      <c r="H2592">
        <f>G2592*(26.79/38.29)</f>
        <v>9.3288064768869139E-3</v>
      </c>
    </row>
    <row r="2593" spans="1:8" x14ac:dyDescent="0.25">
      <c r="A2593" s="1">
        <v>1997</v>
      </c>
      <c r="B2593" s="1" t="s">
        <v>99</v>
      </c>
      <c r="C2593" t="s">
        <v>51</v>
      </c>
      <c r="D2593">
        <v>5</v>
      </c>
      <c r="E2593">
        <v>32</v>
      </c>
      <c r="F2593">
        <v>0.31</v>
      </c>
      <c r="G2593">
        <f>(F2593/0.6)/5</f>
        <v>0.10333333333333335</v>
      </c>
      <c r="H2593">
        <f>G2593*(26.79/38.29)</f>
        <v>7.2298250195873603E-2</v>
      </c>
    </row>
    <row r="2594" spans="1:8" x14ac:dyDescent="0.25">
      <c r="A2594" s="1">
        <v>1997</v>
      </c>
      <c r="B2594" s="1" t="s">
        <v>99</v>
      </c>
      <c r="C2594" t="s">
        <v>51</v>
      </c>
      <c r="D2594">
        <v>5</v>
      </c>
      <c r="E2594">
        <v>32</v>
      </c>
      <c r="F2594">
        <v>0.05</v>
      </c>
      <c r="G2594">
        <f>(F2594/0.6)/5</f>
        <v>1.666666666666667E-2</v>
      </c>
      <c r="H2594">
        <f>G2594*(26.79/38.29)</f>
        <v>1.1661008096108646E-2</v>
      </c>
    </row>
    <row r="2595" spans="1:8" x14ac:dyDescent="0.25">
      <c r="A2595" s="1">
        <v>1997</v>
      </c>
      <c r="B2595" s="1" t="s">
        <v>99</v>
      </c>
      <c r="C2595" t="s">
        <v>51</v>
      </c>
      <c r="D2595">
        <v>5</v>
      </c>
      <c r="E2595">
        <v>32</v>
      </c>
      <c r="F2595">
        <v>0.04</v>
      </c>
      <c r="G2595">
        <f>(F2595/0.6)/5</f>
        <v>1.3333333333333332E-2</v>
      </c>
      <c r="H2595">
        <f>G2595*(26.79/38.29)</f>
        <v>9.3288064768869139E-3</v>
      </c>
    </row>
    <row r="2596" spans="1:8" x14ac:dyDescent="0.25">
      <c r="A2596" s="1">
        <v>1997</v>
      </c>
      <c r="B2596" s="1" t="s">
        <v>99</v>
      </c>
      <c r="C2596" t="s">
        <v>51</v>
      </c>
      <c r="D2596">
        <v>5</v>
      </c>
      <c r="E2596">
        <v>32</v>
      </c>
      <c r="F2596">
        <v>0.4</v>
      </c>
      <c r="G2596">
        <f>(F2596/0.6)/5</f>
        <v>0.13333333333333336</v>
      </c>
      <c r="H2596">
        <f>G2596*(26.79/38.29)</f>
        <v>9.3288064768869167E-2</v>
      </c>
    </row>
    <row r="2597" spans="1:8" x14ac:dyDescent="0.25">
      <c r="A2597" s="1">
        <v>1997</v>
      </c>
      <c r="B2597" s="1" t="s">
        <v>99</v>
      </c>
      <c r="C2597" t="s">
        <v>51</v>
      </c>
      <c r="D2597">
        <v>5</v>
      </c>
      <c r="E2597">
        <v>32</v>
      </c>
      <c r="F2597">
        <v>0.18</v>
      </c>
      <c r="G2597">
        <f>(F2597/0.6)/5</f>
        <v>0.06</v>
      </c>
      <c r="H2597">
        <f>G2597*(26.79/38.29)</f>
        <v>4.1979629145991113E-2</v>
      </c>
    </row>
    <row r="2598" spans="1:8" x14ac:dyDescent="0.25">
      <c r="A2598" s="1">
        <v>1997</v>
      </c>
      <c r="B2598" s="1" t="s">
        <v>99</v>
      </c>
      <c r="C2598" t="s">
        <v>51</v>
      </c>
      <c r="D2598">
        <v>5</v>
      </c>
      <c r="E2598">
        <v>32</v>
      </c>
      <c r="F2598">
        <v>0.18</v>
      </c>
      <c r="G2598">
        <f>(F2598/0.6)/5</f>
        <v>0.06</v>
      </c>
      <c r="H2598">
        <f>G2598*(26.79/38.29)</f>
        <v>4.1979629145991113E-2</v>
      </c>
    </row>
    <row r="2599" spans="1:8" x14ac:dyDescent="0.25">
      <c r="A2599" s="1">
        <v>1997</v>
      </c>
      <c r="B2599" s="1" t="s">
        <v>99</v>
      </c>
      <c r="C2599" t="s">
        <v>51</v>
      </c>
      <c r="D2599">
        <v>5</v>
      </c>
      <c r="E2599">
        <v>32</v>
      </c>
      <c r="F2599">
        <v>0.06</v>
      </c>
      <c r="G2599">
        <f>(F2599/0.6)/5</f>
        <v>0.02</v>
      </c>
      <c r="H2599">
        <f>G2599*(26.79/38.29)</f>
        <v>1.3993209715330373E-2</v>
      </c>
    </row>
    <row r="2600" spans="1:8" x14ac:dyDescent="0.25">
      <c r="A2600" s="1">
        <v>1997</v>
      </c>
      <c r="B2600" s="1" t="s">
        <v>99</v>
      </c>
      <c r="C2600" t="s">
        <v>51</v>
      </c>
      <c r="D2600">
        <v>5</v>
      </c>
      <c r="E2600">
        <v>32</v>
      </c>
      <c r="F2600">
        <v>0.06</v>
      </c>
      <c r="G2600">
        <f>(F2600/0.6)/5</f>
        <v>0.02</v>
      </c>
      <c r="H2600">
        <f>G2600*(26.79/38.29)</f>
        <v>1.3993209715330373E-2</v>
      </c>
    </row>
    <row r="2601" spans="1:8" x14ac:dyDescent="0.25">
      <c r="A2601" s="1">
        <v>1997</v>
      </c>
      <c r="B2601" s="1" t="s">
        <v>99</v>
      </c>
      <c r="C2601" t="s">
        <v>51</v>
      </c>
      <c r="D2601">
        <v>5</v>
      </c>
      <c r="E2601">
        <v>32</v>
      </c>
      <c r="F2601">
        <v>0.03</v>
      </c>
      <c r="G2601">
        <f>(F2601/0.6)/5</f>
        <v>0.01</v>
      </c>
      <c r="H2601">
        <f>G2601*(26.79/38.29)</f>
        <v>6.9966048576651863E-3</v>
      </c>
    </row>
    <row r="2602" spans="1:8" x14ac:dyDescent="0.25">
      <c r="A2602" s="1">
        <v>1997</v>
      </c>
      <c r="B2602" s="1" t="s">
        <v>99</v>
      </c>
      <c r="C2602" t="s">
        <v>51</v>
      </c>
      <c r="D2602">
        <v>5</v>
      </c>
      <c r="E2602">
        <v>34</v>
      </c>
      <c r="F2602">
        <v>0.24</v>
      </c>
      <c r="G2602">
        <f>(F2602/0.6)/5</f>
        <v>0.08</v>
      </c>
      <c r="H2602">
        <f>G2602*(26.79/38.29)</f>
        <v>5.597283886132149E-2</v>
      </c>
    </row>
    <row r="2603" spans="1:8" x14ac:dyDescent="0.25">
      <c r="A2603" s="1">
        <v>1997</v>
      </c>
      <c r="B2603" s="1" t="s">
        <v>99</v>
      </c>
      <c r="C2603" t="s">
        <v>51</v>
      </c>
      <c r="D2603">
        <v>5</v>
      </c>
      <c r="E2603">
        <v>34</v>
      </c>
      <c r="F2603">
        <v>0.65</v>
      </c>
      <c r="G2603">
        <f>(F2603/0.6)/5</f>
        <v>0.2166666666666667</v>
      </c>
      <c r="H2603">
        <f>G2603*(26.79/38.29)</f>
        <v>0.15159310524941239</v>
      </c>
    </row>
    <row r="2604" spans="1:8" x14ac:dyDescent="0.25">
      <c r="A2604" s="1">
        <v>1997</v>
      </c>
      <c r="B2604" s="1" t="s">
        <v>99</v>
      </c>
      <c r="C2604" t="s">
        <v>51</v>
      </c>
      <c r="D2604">
        <v>5</v>
      </c>
      <c r="E2604">
        <v>34</v>
      </c>
      <c r="F2604">
        <v>0.16</v>
      </c>
      <c r="G2604">
        <f>(F2604/0.6)/5</f>
        <v>5.333333333333333E-2</v>
      </c>
      <c r="H2604">
        <f>G2604*(26.79/38.29)</f>
        <v>3.7315225907547656E-2</v>
      </c>
    </row>
    <row r="2605" spans="1:8" x14ac:dyDescent="0.25">
      <c r="A2605" s="1">
        <v>1997</v>
      </c>
      <c r="B2605" s="1" t="s">
        <v>99</v>
      </c>
      <c r="C2605" t="s">
        <v>51</v>
      </c>
      <c r="D2605">
        <v>5</v>
      </c>
      <c r="E2605">
        <v>34</v>
      </c>
      <c r="F2605">
        <v>0.42</v>
      </c>
      <c r="G2605">
        <f>(F2605/0.6)/5</f>
        <v>0.13999999999999999</v>
      </c>
      <c r="H2605">
        <f>G2605*(26.79/38.29)</f>
        <v>9.7952468007312596E-2</v>
      </c>
    </row>
    <row r="2606" spans="1:8" x14ac:dyDescent="0.25">
      <c r="A2606" s="1">
        <v>1997</v>
      </c>
      <c r="B2606" s="1" t="s">
        <v>99</v>
      </c>
      <c r="C2606" t="s">
        <v>51</v>
      </c>
      <c r="D2606">
        <v>5</v>
      </c>
      <c r="E2606">
        <v>34</v>
      </c>
      <c r="F2606">
        <v>0.3</v>
      </c>
      <c r="G2606">
        <f>(F2606/0.6)/5</f>
        <v>0.1</v>
      </c>
      <c r="H2606">
        <f>G2606*(26.79/38.29)</f>
        <v>6.9966048576651868E-2</v>
      </c>
    </row>
    <row r="2607" spans="1:8" x14ac:dyDescent="0.25">
      <c r="A2607" s="1">
        <v>1997</v>
      </c>
      <c r="B2607" s="1" t="s">
        <v>99</v>
      </c>
      <c r="C2607" t="s">
        <v>51</v>
      </c>
      <c r="D2607">
        <v>5</v>
      </c>
      <c r="E2607">
        <v>38</v>
      </c>
      <c r="F2607">
        <v>0.62</v>
      </c>
      <c r="G2607">
        <f>(F2607/0.6)/5</f>
        <v>0.20666666666666669</v>
      </c>
      <c r="H2607">
        <f>G2607*(26.79/38.29)</f>
        <v>0.14459650039174721</v>
      </c>
    </row>
    <row r="2608" spans="1:8" x14ac:dyDescent="0.25">
      <c r="A2608" s="1">
        <v>1997</v>
      </c>
      <c r="B2608" s="1" t="s">
        <v>99</v>
      </c>
      <c r="C2608" t="s">
        <v>51</v>
      </c>
      <c r="D2608">
        <v>5</v>
      </c>
      <c r="E2608">
        <v>38</v>
      </c>
      <c r="F2608">
        <v>0.1</v>
      </c>
      <c r="G2608">
        <f>(F2608/0.6)/5</f>
        <v>3.333333333333334E-2</v>
      </c>
      <c r="H2608">
        <f>G2608*(26.79/38.29)</f>
        <v>2.3322016192217292E-2</v>
      </c>
    </row>
    <row r="2609" spans="1:8" x14ac:dyDescent="0.25">
      <c r="A2609" s="1">
        <v>1997</v>
      </c>
      <c r="B2609" s="1" t="s">
        <v>99</v>
      </c>
      <c r="C2609" t="s">
        <v>51</v>
      </c>
      <c r="D2609">
        <v>5</v>
      </c>
      <c r="E2609">
        <v>38</v>
      </c>
      <c r="F2609">
        <v>0.73</v>
      </c>
      <c r="G2609">
        <f>(F2609/0.6)/5</f>
        <v>0.24333333333333335</v>
      </c>
      <c r="H2609">
        <f>G2609*(26.79/38.29)</f>
        <v>0.17025071820318621</v>
      </c>
    </row>
    <row r="2610" spans="1:8" x14ac:dyDescent="0.25">
      <c r="A2610" s="1">
        <v>1997</v>
      </c>
      <c r="B2610" s="1" t="s">
        <v>99</v>
      </c>
      <c r="C2610" t="s">
        <v>51</v>
      </c>
      <c r="D2610">
        <v>5</v>
      </c>
      <c r="E2610">
        <v>38</v>
      </c>
      <c r="F2610">
        <v>0.16</v>
      </c>
      <c r="G2610">
        <f>(F2610/0.6)/5</f>
        <v>5.333333333333333E-2</v>
      </c>
      <c r="H2610">
        <f>G2610*(26.79/38.29)</f>
        <v>3.7315225907547656E-2</v>
      </c>
    </row>
    <row r="2611" spans="1:8" x14ac:dyDescent="0.25">
      <c r="A2611" s="1">
        <v>1997</v>
      </c>
      <c r="B2611" s="1" t="s">
        <v>99</v>
      </c>
      <c r="C2611" t="s">
        <v>51</v>
      </c>
      <c r="D2611">
        <v>5</v>
      </c>
      <c r="E2611">
        <v>38</v>
      </c>
      <c r="F2611">
        <v>0.92</v>
      </c>
      <c r="G2611">
        <f>(F2611/0.6)/5</f>
        <v>0.3066666666666667</v>
      </c>
      <c r="H2611">
        <f>G2611*(26.79/38.29)</f>
        <v>0.21456254896839907</v>
      </c>
    </row>
    <row r="2612" spans="1:8" x14ac:dyDescent="0.25">
      <c r="A2612" s="1">
        <v>1997</v>
      </c>
      <c r="B2612" s="1" t="s">
        <v>99</v>
      </c>
      <c r="C2612" t="s">
        <v>51</v>
      </c>
      <c r="D2612">
        <v>5</v>
      </c>
      <c r="E2612">
        <v>38</v>
      </c>
      <c r="F2612">
        <v>0.23</v>
      </c>
      <c r="G2612">
        <f>(F2612/0.6)/5</f>
        <v>7.6666666666666675E-2</v>
      </c>
      <c r="H2612">
        <f>G2612*(26.79/38.29)</f>
        <v>5.3640637242099769E-2</v>
      </c>
    </row>
    <row r="2613" spans="1:8" x14ac:dyDescent="0.25">
      <c r="A2613" s="1">
        <v>1997</v>
      </c>
      <c r="B2613" s="1" t="s">
        <v>99</v>
      </c>
      <c r="C2613" t="s">
        <v>51</v>
      </c>
      <c r="D2613">
        <v>5</v>
      </c>
      <c r="E2613">
        <v>38</v>
      </c>
      <c r="F2613">
        <v>0.13</v>
      </c>
      <c r="G2613">
        <f>(F2613/0.6)/5</f>
        <v>4.3333333333333335E-2</v>
      </c>
      <c r="H2613">
        <f>G2613*(26.79/38.29)</f>
        <v>3.0318621049882474E-2</v>
      </c>
    </row>
    <row r="2614" spans="1:8" x14ac:dyDescent="0.25">
      <c r="A2614" s="1">
        <v>1997</v>
      </c>
      <c r="B2614" s="1" t="s">
        <v>99</v>
      </c>
      <c r="C2614" t="s">
        <v>51</v>
      </c>
      <c r="D2614">
        <v>5</v>
      </c>
      <c r="E2614">
        <v>38</v>
      </c>
      <c r="F2614">
        <v>1.91</v>
      </c>
      <c r="G2614">
        <f>(F2614/0.6)/5</f>
        <v>0.6366666666666666</v>
      </c>
      <c r="H2614">
        <f>G2614*(26.79/38.29)</f>
        <v>0.44545050927135016</v>
      </c>
    </row>
    <row r="2615" spans="1:8" x14ac:dyDescent="0.25">
      <c r="A2615" s="1">
        <v>1997</v>
      </c>
      <c r="B2615" s="1" t="s">
        <v>99</v>
      </c>
      <c r="C2615" t="s">
        <v>51</v>
      </c>
      <c r="D2615">
        <v>5</v>
      </c>
      <c r="E2615">
        <v>38</v>
      </c>
      <c r="F2615">
        <v>0.43</v>
      </c>
      <c r="G2615">
        <f>(F2615/0.6)/5</f>
        <v>0.14333333333333334</v>
      </c>
      <c r="H2615">
        <f>G2615*(26.79/38.29)</f>
        <v>0.10028466962653435</v>
      </c>
    </row>
    <row r="2616" spans="1:8" x14ac:dyDescent="0.25">
      <c r="A2616" s="1">
        <v>1997</v>
      </c>
      <c r="B2616" s="1" t="s">
        <v>99</v>
      </c>
      <c r="C2616" t="s">
        <v>51</v>
      </c>
      <c r="D2616">
        <v>5</v>
      </c>
      <c r="E2616">
        <v>38</v>
      </c>
      <c r="F2616">
        <v>0.6</v>
      </c>
      <c r="G2616">
        <f>(F2616/0.6)/5</f>
        <v>0.2</v>
      </c>
      <c r="H2616">
        <f>G2616*(26.79/38.29)</f>
        <v>0.13993209715330374</v>
      </c>
    </row>
    <row r="2617" spans="1:8" x14ac:dyDescent="0.25">
      <c r="A2617" s="1">
        <v>1997</v>
      </c>
      <c r="B2617" s="1" t="s">
        <v>99</v>
      </c>
      <c r="C2617" t="s">
        <v>51</v>
      </c>
      <c r="D2617">
        <v>5</v>
      </c>
      <c r="E2617">
        <v>38</v>
      </c>
      <c r="F2617">
        <v>0.51</v>
      </c>
      <c r="G2617">
        <f>(F2617/0.6)/5</f>
        <v>0.17</v>
      </c>
      <c r="H2617">
        <f>G2617*(26.79/38.29)</f>
        <v>0.11894228258030817</v>
      </c>
    </row>
    <row r="2618" spans="1:8" x14ac:dyDescent="0.25">
      <c r="A2618" s="1">
        <v>1997</v>
      </c>
      <c r="B2618" s="1" t="s">
        <v>99</v>
      </c>
      <c r="C2618" t="s">
        <v>51</v>
      </c>
      <c r="D2618">
        <v>5</v>
      </c>
      <c r="E2618">
        <v>38</v>
      </c>
      <c r="F2618">
        <v>0.13</v>
      </c>
      <c r="G2618">
        <f>(F2618/0.6)/5</f>
        <v>4.3333333333333335E-2</v>
      </c>
      <c r="H2618">
        <f>G2618*(26.79/38.29)</f>
        <v>3.0318621049882474E-2</v>
      </c>
    </row>
    <row r="2619" spans="1:8" x14ac:dyDescent="0.25">
      <c r="A2619" s="1">
        <v>1997</v>
      </c>
      <c r="B2619" s="1" t="s">
        <v>99</v>
      </c>
      <c r="C2619" t="s">
        <v>51</v>
      </c>
      <c r="D2619">
        <v>5</v>
      </c>
      <c r="E2619">
        <v>38</v>
      </c>
      <c r="F2619">
        <v>0.2</v>
      </c>
      <c r="G2619">
        <f>(F2619/0.6)/5</f>
        <v>6.666666666666668E-2</v>
      </c>
      <c r="H2619">
        <f>G2619*(26.79/38.29)</f>
        <v>4.6644032384434583E-2</v>
      </c>
    </row>
    <row r="2620" spans="1:8" x14ac:dyDescent="0.25">
      <c r="A2620" s="1">
        <v>1997</v>
      </c>
      <c r="B2620" s="1" t="s">
        <v>99</v>
      </c>
      <c r="C2620" t="s">
        <v>51</v>
      </c>
      <c r="D2620">
        <v>5</v>
      </c>
      <c r="E2620">
        <v>38</v>
      </c>
      <c r="F2620">
        <v>0.53</v>
      </c>
      <c r="G2620">
        <f>(F2620/0.6)/5</f>
        <v>0.17666666666666669</v>
      </c>
      <c r="H2620">
        <f>G2620*(26.79/38.29)</f>
        <v>0.12360668581875164</v>
      </c>
    </row>
    <row r="2621" spans="1:8" x14ac:dyDescent="0.25">
      <c r="A2621" s="1">
        <v>1997</v>
      </c>
      <c r="B2621" s="1" t="s">
        <v>99</v>
      </c>
      <c r="C2621" t="s">
        <v>51</v>
      </c>
      <c r="D2621">
        <v>5</v>
      </c>
      <c r="E2621">
        <v>38</v>
      </c>
      <c r="F2621">
        <v>0.14000000000000001</v>
      </c>
      <c r="G2621">
        <f>(F2621/0.6)/5</f>
        <v>4.6666666666666676E-2</v>
      </c>
      <c r="H2621">
        <f>G2621*(26.79/38.29)</f>
        <v>3.2650822669104206E-2</v>
      </c>
    </row>
    <row r="2622" spans="1:8" x14ac:dyDescent="0.25">
      <c r="A2622" s="1">
        <v>1997</v>
      </c>
      <c r="B2622" s="1" t="s">
        <v>99</v>
      </c>
      <c r="C2622" t="s">
        <v>51</v>
      </c>
      <c r="D2622">
        <v>5</v>
      </c>
      <c r="E2622">
        <v>38</v>
      </c>
      <c r="F2622">
        <v>0.53</v>
      </c>
      <c r="G2622">
        <f>(F2622/0.6)/5</f>
        <v>0.17666666666666669</v>
      </c>
      <c r="H2622">
        <f>G2622*(26.79/38.29)</f>
        <v>0.12360668581875164</v>
      </c>
    </row>
    <row r="2623" spans="1:8" x14ac:dyDescent="0.25">
      <c r="A2623" s="1">
        <v>1997</v>
      </c>
      <c r="B2623" s="1" t="s">
        <v>99</v>
      </c>
      <c r="C2623" t="s">
        <v>51</v>
      </c>
      <c r="D2623">
        <v>5</v>
      </c>
      <c r="E2623">
        <v>38</v>
      </c>
      <c r="F2623">
        <v>0.06</v>
      </c>
      <c r="G2623">
        <f>(F2623/0.6)/5</f>
        <v>0.02</v>
      </c>
      <c r="H2623">
        <f>G2623*(26.79/38.29)</f>
        <v>1.3993209715330373E-2</v>
      </c>
    </row>
    <row r="2624" spans="1:8" x14ac:dyDescent="0.25">
      <c r="A2624" s="1">
        <v>1997</v>
      </c>
      <c r="B2624" s="1" t="s">
        <v>99</v>
      </c>
      <c r="C2624" t="s">
        <v>51</v>
      </c>
      <c r="D2624">
        <v>5</v>
      </c>
      <c r="E2624">
        <v>38</v>
      </c>
      <c r="F2624">
        <v>0.42</v>
      </c>
      <c r="G2624">
        <f>(F2624/0.6)/5</f>
        <v>0.13999999999999999</v>
      </c>
      <c r="H2624">
        <f>G2624*(26.79/38.29)</f>
        <v>9.7952468007312596E-2</v>
      </c>
    </row>
    <row r="2625" spans="1:8" x14ac:dyDescent="0.25">
      <c r="A2625" s="1">
        <v>1997</v>
      </c>
      <c r="B2625" s="1" t="s">
        <v>99</v>
      </c>
      <c r="C2625" t="s">
        <v>51</v>
      </c>
      <c r="D2625">
        <v>5</v>
      </c>
      <c r="E2625">
        <v>38</v>
      </c>
      <c r="F2625">
        <v>0.26</v>
      </c>
      <c r="G2625">
        <f>(F2625/0.6)/5</f>
        <v>8.666666666666667E-2</v>
      </c>
      <c r="H2625">
        <f>G2625*(26.79/38.29)</f>
        <v>6.0637242099764947E-2</v>
      </c>
    </row>
    <row r="2626" spans="1:8" x14ac:dyDescent="0.25">
      <c r="A2626" s="1">
        <v>1997</v>
      </c>
      <c r="B2626" s="1" t="s">
        <v>99</v>
      </c>
      <c r="C2626" t="s">
        <v>51</v>
      </c>
      <c r="D2626">
        <v>5</v>
      </c>
      <c r="E2626">
        <v>38</v>
      </c>
      <c r="F2626">
        <v>1.41</v>
      </c>
      <c r="G2626">
        <f>(F2626/0.6)/5</f>
        <v>0.47000000000000003</v>
      </c>
      <c r="H2626">
        <f>G2626*(26.79/38.29)</f>
        <v>0.32884042831026378</v>
      </c>
    </row>
    <row r="2627" spans="1:8" x14ac:dyDescent="0.25">
      <c r="A2627" s="1">
        <v>1997</v>
      </c>
      <c r="B2627" s="1" t="s">
        <v>99</v>
      </c>
      <c r="C2627" t="s">
        <v>51</v>
      </c>
      <c r="D2627">
        <v>5</v>
      </c>
      <c r="E2627">
        <v>38</v>
      </c>
      <c r="F2627">
        <v>0.72</v>
      </c>
      <c r="G2627">
        <f>(F2627/0.6)/5</f>
        <v>0.24</v>
      </c>
      <c r="H2627">
        <f>G2627*(26.79/38.29)</f>
        <v>0.16791851658396445</v>
      </c>
    </row>
    <row r="2628" spans="1:8" x14ac:dyDescent="0.25">
      <c r="A2628" s="1">
        <v>1997</v>
      </c>
      <c r="B2628" s="1" t="s">
        <v>99</v>
      </c>
      <c r="C2628" t="s">
        <v>51</v>
      </c>
      <c r="D2628">
        <v>5</v>
      </c>
      <c r="E2628">
        <v>38</v>
      </c>
      <c r="F2628">
        <v>0.76</v>
      </c>
      <c r="G2628">
        <f>(F2628/0.6)/5</f>
        <v>0.25333333333333335</v>
      </c>
      <c r="H2628">
        <f>G2628*(26.79/38.29)</f>
        <v>0.17724732306085139</v>
      </c>
    </row>
    <row r="2629" spans="1:8" x14ac:dyDescent="0.25">
      <c r="A2629" s="1">
        <v>1997</v>
      </c>
      <c r="B2629" s="1" t="s">
        <v>99</v>
      </c>
      <c r="C2629" t="s">
        <v>51</v>
      </c>
      <c r="D2629">
        <v>5</v>
      </c>
      <c r="E2629">
        <v>38</v>
      </c>
      <c r="F2629">
        <v>0.14000000000000001</v>
      </c>
      <c r="G2629">
        <f>(F2629/0.6)/5</f>
        <v>4.6666666666666676E-2</v>
      </c>
      <c r="H2629">
        <f>G2629*(26.79/38.29)</f>
        <v>3.2650822669104206E-2</v>
      </c>
    </row>
    <row r="2630" spans="1:8" x14ac:dyDescent="0.25">
      <c r="A2630" s="1">
        <v>1997</v>
      </c>
      <c r="B2630" s="1" t="s">
        <v>99</v>
      </c>
      <c r="C2630" t="s">
        <v>51</v>
      </c>
      <c r="D2630">
        <v>5</v>
      </c>
      <c r="E2630">
        <v>38</v>
      </c>
      <c r="F2630">
        <v>1.18</v>
      </c>
      <c r="G2630">
        <f>(F2630/0.6)/5</f>
        <v>0.39333333333333331</v>
      </c>
      <c r="H2630">
        <f>G2630*(26.79/38.29)</f>
        <v>0.275199791068164</v>
      </c>
    </row>
    <row r="2631" spans="1:8" x14ac:dyDescent="0.25">
      <c r="A2631" s="1">
        <v>1997</v>
      </c>
      <c r="B2631" s="1" t="s">
        <v>99</v>
      </c>
      <c r="C2631" t="s">
        <v>51</v>
      </c>
      <c r="D2631">
        <v>5</v>
      </c>
      <c r="E2631">
        <v>38</v>
      </c>
      <c r="F2631">
        <v>1.1499999999999999</v>
      </c>
      <c r="G2631">
        <f>(F2631/0.6)/5</f>
        <v>0.3833333333333333</v>
      </c>
      <c r="H2631">
        <f>G2631*(26.79/38.29)</f>
        <v>0.26820318621049877</v>
      </c>
    </row>
    <row r="2632" spans="1:8" x14ac:dyDescent="0.25">
      <c r="A2632" s="1">
        <v>1997</v>
      </c>
      <c r="B2632" s="1" t="s">
        <v>99</v>
      </c>
      <c r="C2632" t="s">
        <v>51</v>
      </c>
      <c r="D2632">
        <v>5</v>
      </c>
      <c r="E2632">
        <v>38</v>
      </c>
      <c r="F2632">
        <v>0.06</v>
      </c>
      <c r="G2632">
        <f>(F2632/0.6)/5</f>
        <v>0.02</v>
      </c>
      <c r="H2632">
        <f>G2632*(26.79/38.29)</f>
        <v>1.3993209715330373E-2</v>
      </c>
    </row>
    <row r="2633" spans="1:8" x14ac:dyDescent="0.25">
      <c r="A2633" s="1">
        <v>1997</v>
      </c>
      <c r="B2633" s="1" t="s">
        <v>99</v>
      </c>
      <c r="C2633" t="s">
        <v>51</v>
      </c>
      <c r="D2633">
        <v>5</v>
      </c>
      <c r="E2633">
        <v>38</v>
      </c>
      <c r="F2633">
        <v>0.45</v>
      </c>
      <c r="G2633">
        <f>(F2633/0.6)/5</f>
        <v>0.15</v>
      </c>
      <c r="H2633">
        <f>G2633*(26.79/38.29)</f>
        <v>0.10494907286497779</v>
      </c>
    </row>
    <row r="2634" spans="1:8" x14ac:dyDescent="0.25">
      <c r="A2634" s="1">
        <v>1997</v>
      </c>
      <c r="B2634" s="1" t="s">
        <v>99</v>
      </c>
      <c r="C2634" t="s">
        <v>51</v>
      </c>
      <c r="D2634">
        <v>5</v>
      </c>
      <c r="E2634">
        <v>38</v>
      </c>
      <c r="F2634">
        <v>1.38</v>
      </c>
      <c r="G2634">
        <f>(F2634/0.6)/5</f>
        <v>0.45999999999999996</v>
      </c>
      <c r="H2634">
        <f>G2634*(26.79/38.29)</f>
        <v>0.32184382345259854</v>
      </c>
    </row>
    <row r="2635" spans="1:8" x14ac:dyDescent="0.25">
      <c r="A2635" s="1">
        <v>1997</v>
      </c>
      <c r="B2635" s="1" t="s">
        <v>99</v>
      </c>
      <c r="C2635" t="s">
        <v>51</v>
      </c>
      <c r="D2635">
        <v>5</v>
      </c>
      <c r="E2635">
        <v>38</v>
      </c>
      <c r="F2635">
        <v>0.25</v>
      </c>
      <c r="G2635">
        <f>(F2635/0.6)/5</f>
        <v>8.3333333333333343E-2</v>
      </c>
      <c r="H2635">
        <f>G2635*(26.79/38.29)</f>
        <v>5.8305040480543226E-2</v>
      </c>
    </row>
    <row r="2636" spans="1:8" x14ac:dyDescent="0.25">
      <c r="A2636" s="1">
        <v>1997</v>
      </c>
      <c r="B2636" s="1" t="s">
        <v>99</v>
      </c>
      <c r="C2636" t="s">
        <v>51</v>
      </c>
      <c r="D2636">
        <v>5</v>
      </c>
      <c r="E2636">
        <v>38</v>
      </c>
      <c r="F2636">
        <v>0.51</v>
      </c>
      <c r="G2636">
        <f>(F2636/0.6)/5</f>
        <v>0.17</v>
      </c>
      <c r="H2636">
        <f>G2636*(26.79/38.29)</f>
        <v>0.11894228258030817</v>
      </c>
    </row>
    <row r="2637" spans="1:8" x14ac:dyDescent="0.25">
      <c r="A2637" s="1">
        <v>1997</v>
      </c>
      <c r="B2637" s="1" t="s">
        <v>99</v>
      </c>
      <c r="C2637" t="s">
        <v>51</v>
      </c>
      <c r="D2637">
        <v>5</v>
      </c>
      <c r="E2637">
        <v>38</v>
      </c>
      <c r="F2637">
        <v>0.83</v>
      </c>
      <c r="G2637">
        <f>(F2637/0.6)/5</f>
        <v>0.27666666666666667</v>
      </c>
      <c r="H2637">
        <f>G2637*(26.79/38.29)</f>
        <v>0.19357273439540348</v>
      </c>
    </row>
    <row r="2638" spans="1:8" x14ac:dyDescent="0.25">
      <c r="A2638" s="1">
        <v>1997</v>
      </c>
      <c r="B2638" s="1" t="s">
        <v>99</v>
      </c>
      <c r="C2638" t="s">
        <v>51</v>
      </c>
      <c r="D2638">
        <v>5</v>
      </c>
      <c r="E2638">
        <v>38</v>
      </c>
      <c r="F2638">
        <v>0.28999999999999998</v>
      </c>
      <c r="G2638">
        <f>(F2638/0.6)/5</f>
        <v>9.6666666666666665E-2</v>
      </c>
      <c r="H2638">
        <f>G2638*(26.79/38.29)</f>
        <v>6.7633846957430133E-2</v>
      </c>
    </row>
    <row r="2639" spans="1:8" x14ac:dyDescent="0.25">
      <c r="A2639" s="1">
        <v>1997</v>
      </c>
      <c r="B2639" s="1" t="s">
        <v>99</v>
      </c>
      <c r="C2639" t="s">
        <v>51</v>
      </c>
      <c r="D2639">
        <v>5</v>
      </c>
      <c r="E2639">
        <v>38</v>
      </c>
      <c r="F2639">
        <v>1.1599999999999999</v>
      </c>
      <c r="G2639">
        <f>(F2639/0.6)/5</f>
        <v>0.38666666666666666</v>
      </c>
      <c r="H2639">
        <f>G2639*(26.79/38.29)</f>
        <v>0.27053538782972053</v>
      </c>
    </row>
    <row r="2640" spans="1:8" x14ac:dyDescent="0.25">
      <c r="A2640" s="1">
        <v>1997</v>
      </c>
      <c r="B2640" s="1" t="s">
        <v>99</v>
      </c>
      <c r="C2640" t="s">
        <v>51</v>
      </c>
      <c r="D2640">
        <v>5</v>
      </c>
      <c r="E2640">
        <v>38</v>
      </c>
      <c r="F2640">
        <v>0.68</v>
      </c>
      <c r="G2640">
        <f>(F2640/0.6)/5</f>
        <v>0.22666666666666671</v>
      </c>
      <c r="H2640">
        <f>G2640*(26.79/38.29)</f>
        <v>0.15858971010707759</v>
      </c>
    </row>
    <row r="2641" spans="1:8" x14ac:dyDescent="0.25">
      <c r="A2641" s="1">
        <v>1997</v>
      </c>
      <c r="B2641" s="1" t="s">
        <v>99</v>
      </c>
      <c r="C2641" t="s">
        <v>51</v>
      </c>
      <c r="D2641">
        <v>5</v>
      </c>
      <c r="E2641">
        <v>38</v>
      </c>
      <c r="F2641">
        <v>0.79</v>
      </c>
      <c r="G2641">
        <f>(F2641/0.6)/5</f>
        <v>0.26333333333333336</v>
      </c>
      <c r="H2641">
        <f>G2641*(26.79/38.29)</f>
        <v>0.1842439279185166</v>
      </c>
    </row>
    <row r="2642" spans="1:8" x14ac:dyDescent="0.25">
      <c r="A2642" s="1">
        <v>1997</v>
      </c>
      <c r="B2642" s="1" t="s">
        <v>99</v>
      </c>
      <c r="C2642" t="s">
        <v>51</v>
      </c>
      <c r="D2642">
        <v>5</v>
      </c>
      <c r="E2642">
        <v>38</v>
      </c>
      <c r="F2642">
        <v>1.36</v>
      </c>
      <c r="G2642">
        <f>(F2642/0.6)/5</f>
        <v>0.45333333333333342</v>
      </c>
      <c r="H2642">
        <f>G2642*(26.79/38.29)</f>
        <v>0.31717942021415518</v>
      </c>
    </row>
    <row r="2643" spans="1:8" x14ac:dyDescent="0.25">
      <c r="A2643" s="1">
        <v>1997</v>
      </c>
      <c r="B2643" s="1" t="s">
        <v>99</v>
      </c>
      <c r="C2643" t="s">
        <v>51</v>
      </c>
      <c r="D2643">
        <v>5</v>
      </c>
      <c r="E2643">
        <v>38</v>
      </c>
      <c r="F2643">
        <v>1.52</v>
      </c>
      <c r="G2643">
        <f>(F2643/0.6)/5</f>
        <v>0.50666666666666671</v>
      </c>
      <c r="H2643">
        <f>G2643*(26.79/38.29)</f>
        <v>0.35449464612170278</v>
      </c>
    </row>
    <row r="2644" spans="1:8" x14ac:dyDescent="0.25">
      <c r="A2644" s="1">
        <v>1997</v>
      </c>
      <c r="B2644" s="1" t="s">
        <v>99</v>
      </c>
      <c r="C2644" t="s">
        <v>51</v>
      </c>
      <c r="D2644">
        <v>5</v>
      </c>
      <c r="E2644">
        <v>38</v>
      </c>
      <c r="F2644">
        <v>0.89</v>
      </c>
      <c r="G2644">
        <f>(F2644/0.6)/5</f>
        <v>0.29666666666666669</v>
      </c>
      <c r="H2644">
        <f>G2644*(26.79/38.29)</f>
        <v>0.20756594411073387</v>
      </c>
    </row>
    <row r="2645" spans="1:8" x14ac:dyDescent="0.25">
      <c r="A2645" s="1">
        <v>1997</v>
      </c>
      <c r="B2645" s="1" t="s">
        <v>99</v>
      </c>
      <c r="C2645" t="s">
        <v>51</v>
      </c>
      <c r="D2645">
        <v>5</v>
      </c>
      <c r="E2645">
        <v>38</v>
      </c>
      <c r="F2645">
        <v>0.57999999999999996</v>
      </c>
      <c r="G2645">
        <f>(F2645/0.6)/5</f>
        <v>0.19333333333333333</v>
      </c>
      <c r="H2645">
        <f>G2645*(26.79/38.29)</f>
        <v>0.13526769391486027</v>
      </c>
    </row>
    <row r="2646" spans="1:8" x14ac:dyDescent="0.25">
      <c r="A2646" s="1">
        <v>1997</v>
      </c>
      <c r="B2646" s="1" t="s">
        <v>99</v>
      </c>
      <c r="C2646" t="s">
        <v>51</v>
      </c>
      <c r="D2646">
        <v>5</v>
      </c>
      <c r="E2646">
        <v>38</v>
      </c>
      <c r="F2646">
        <v>0.48</v>
      </c>
      <c r="G2646">
        <f>(F2646/0.6)/5</f>
        <v>0.16</v>
      </c>
      <c r="H2646">
        <f>G2646*(26.79/38.29)</f>
        <v>0.11194567772264298</v>
      </c>
    </row>
    <row r="2647" spans="1:8" x14ac:dyDescent="0.25">
      <c r="A2647" s="1">
        <v>1997</v>
      </c>
      <c r="B2647" s="1" t="s">
        <v>99</v>
      </c>
      <c r="C2647" t="s">
        <v>51</v>
      </c>
      <c r="D2647">
        <v>5</v>
      </c>
      <c r="E2647">
        <v>40</v>
      </c>
      <c r="F2647">
        <v>0.52</v>
      </c>
      <c r="G2647">
        <f>(F2647/0.6)/5</f>
        <v>0.17333333333333334</v>
      </c>
      <c r="H2647">
        <f>G2647*(26.79/38.29)</f>
        <v>0.12127448419952989</v>
      </c>
    </row>
    <row r="2648" spans="1:8" x14ac:dyDescent="0.25">
      <c r="A2648" s="1">
        <v>1997</v>
      </c>
      <c r="B2648" s="1" t="s">
        <v>99</v>
      </c>
      <c r="C2648" t="s">
        <v>51</v>
      </c>
      <c r="D2648">
        <v>5</v>
      </c>
      <c r="E2648">
        <v>40</v>
      </c>
      <c r="F2648">
        <v>1.56</v>
      </c>
      <c r="G2648">
        <f>(F2648/0.6)/5</f>
        <v>0.52</v>
      </c>
      <c r="H2648">
        <f>G2648*(26.79/38.29)</f>
        <v>0.36382345259858972</v>
      </c>
    </row>
    <row r="2649" spans="1:8" x14ac:dyDescent="0.25">
      <c r="A2649" s="1">
        <v>1997</v>
      </c>
      <c r="B2649" s="1" t="s">
        <v>99</v>
      </c>
      <c r="C2649" t="s">
        <v>51</v>
      </c>
      <c r="D2649">
        <v>5</v>
      </c>
      <c r="E2649">
        <v>40</v>
      </c>
      <c r="F2649">
        <v>1.69</v>
      </c>
      <c r="G2649">
        <f>(F2649/0.6)/5</f>
        <v>0.56333333333333335</v>
      </c>
      <c r="H2649">
        <f>G2649*(26.79/38.29)</f>
        <v>0.39414207364847215</v>
      </c>
    </row>
    <row r="2650" spans="1:8" x14ac:dyDescent="0.25">
      <c r="A2650" s="1">
        <v>1997</v>
      </c>
      <c r="B2650" s="1" t="s">
        <v>99</v>
      </c>
      <c r="C2650" t="s">
        <v>51</v>
      </c>
      <c r="D2650">
        <v>5</v>
      </c>
      <c r="E2650">
        <v>40</v>
      </c>
      <c r="F2650">
        <v>1.89</v>
      </c>
      <c r="G2650">
        <f>(F2650/0.6)/5</f>
        <v>0.63</v>
      </c>
      <c r="H2650">
        <f>G2650*(26.79/38.29)</f>
        <v>0.44078610603290674</v>
      </c>
    </row>
    <row r="2651" spans="1:8" x14ac:dyDescent="0.25">
      <c r="A2651" s="1">
        <v>1997</v>
      </c>
      <c r="B2651" s="1" t="s">
        <v>99</v>
      </c>
      <c r="C2651" t="s">
        <v>51</v>
      </c>
      <c r="D2651">
        <v>5</v>
      </c>
      <c r="E2651">
        <v>40</v>
      </c>
      <c r="F2651">
        <v>2.0499999999999998</v>
      </c>
      <c r="G2651">
        <f>(F2651/0.6)/5</f>
        <v>0.68333333333333335</v>
      </c>
      <c r="H2651">
        <f>G2651*(26.79/38.29)</f>
        <v>0.4781013319404544</v>
      </c>
    </row>
    <row r="2652" spans="1:8" x14ac:dyDescent="0.25">
      <c r="A2652" s="1">
        <v>1997</v>
      </c>
      <c r="B2652" s="1" t="s">
        <v>99</v>
      </c>
      <c r="C2652" t="s">
        <v>51</v>
      </c>
      <c r="D2652">
        <v>5</v>
      </c>
      <c r="E2652">
        <v>40</v>
      </c>
      <c r="F2652">
        <v>1.83</v>
      </c>
      <c r="G2652">
        <f>(F2652/0.6)/5</f>
        <v>0.6100000000000001</v>
      </c>
      <c r="H2652">
        <f>G2652*(26.79/38.29)</f>
        <v>0.42679289631757644</v>
      </c>
    </row>
    <row r="2653" spans="1:8" x14ac:dyDescent="0.25">
      <c r="A2653" s="1">
        <v>1997</v>
      </c>
      <c r="B2653" s="1" t="s">
        <v>99</v>
      </c>
      <c r="C2653" t="s">
        <v>51</v>
      </c>
      <c r="D2653">
        <v>5</v>
      </c>
      <c r="E2653">
        <v>40</v>
      </c>
      <c r="F2653">
        <v>1.73</v>
      </c>
      <c r="G2653">
        <f>(F2653/0.6)/5</f>
        <v>0.57666666666666666</v>
      </c>
      <c r="H2653">
        <f>G2653*(26.79/38.29)</f>
        <v>0.40347088012535909</v>
      </c>
    </row>
    <row r="2654" spans="1:8" x14ac:dyDescent="0.25">
      <c r="A2654" s="1">
        <v>1997</v>
      </c>
      <c r="B2654" s="1" t="s">
        <v>99</v>
      </c>
      <c r="C2654" t="s">
        <v>51</v>
      </c>
      <c r="D2654">
        <v>5</v>
      </c>
      <c r="E2654">
        <v>40</v>
      </c>
      <c r="F2654">
        <v>1.1200000000000001</v>
      </c>
      <c r="G2654">
        <f>(F2654/0.6)/5</f>
        <v>0.37333333333333341</v>
      </c>
      <c r="H2654">
        <f>G2654*(26.79/38.29)</f>
        <v>0.26120658135283364</v>
      </c>
    </row>
    <row r="2655" spans="1:8" x14ac:dyDescent="0.25">
      <c r="A2655" s="1">
        <v>1997</v>
      </c>
      <c r="B2655" s="1" t="s">
        <v>99</v>
      </c>
      <c r="C2655" t="s">
        <v>51</v>
      </c>
      <c r="D2655">
        <v>5</v>
      </c>
      <c r="E2655">
        <v>47</v>
      </c>
      <c r="F2655">
        <v>1.43</v>
      </c>
      <c r="G2655">
        <f>(F2655/0.6)/5</f>
        <v>0.47666666666666668</v>
      </c>
      <c r="H2655">
        <f>G2655*(26.79/38.29)</f>
        <v>0.33350483154870725</v>
      </c>
    </row>
    <row r="2656" spans="1:8" x14ac:dyDescent="0.25">
      <c r="A2656" s="1">
        <v>1997</v>
      </c>
      <c r="B2656" s="1" t="s">
        <v>99</v>
      </c>
      <c r="C2656" t="s">
        <v>51</v>
      </c>
      <c r="D2656">
        <v>5</v>
      </c>
      <c r="E2656">
        <v>47</v>
      </c>
      <c r="F2656">
        <v>0.64</v>
      </c>
      <c r="G2656">
        <f>(F2656/0.6)/5</f>
        <v>0.21333333333333332</v>
      </c>
      <c r="H2656">
        <f>G2656*(26.79/38.29)</f>
        <v>0.14926090363019062</v>
      </c>
    </row>
    <row r="2657" spans="1:8" x14ac:dyDescent="0.25">
      <c r="A2657" s="1">
        <v>1997</v>
      </c>
      <c r="B2657" s="1" t="s">
        <v>99</v>
      </c>
      <c r="C2657" t="s">
        <v>51</v>
      </c>
      <c r="D2657">
        <v>5</v>
      </c>
      <c r="E2657">
        <v>53</v>
      </c>
      <c r="F2657">
        <v>0.08</v>
      </c>
      <c r="G2657">
        <f>(F2657/0.6)/5</f>
        <v>2.6666666666666665E-2</v>
      </c>
      <c r="H2657">
        <f>G2657*(26.79/38.29)</f>
        <v>1.8657612953773828E-2</v>
      </c>
    </row>
    <row r="2658" spans="1:8" x14ac:dyDescent="0.25">
      <c r="A2658" s="1">
        <v>1997</v>
      </c>
      <c r="B2658" s="1" t="s">
        <v>99</v>
      </c>
      <c r="C2658" t="s">
        <v>51</v>
      </c>
      <c r="D2658">
        <v>5</v>
      </c>
      <c r="E2658">
        <v>53</v>
      </c>
      <c r="F2658">
        <v>0.14000000000000001</v>
      </c>
      <c r="G2658">
        <f>(F2658/0.6)/5</f>
        <v>4.6666666666666676E-2</v>
      </c>
      <c r="H2658">
        <f>G2658*(26.79/38.29)</f>
        <v>3.2650822669104206E-2</v>
      </c>
    </row>
    <row r="2659" spans="1:8" x14ac:dyDescent="0.25">
      <c r="A2659" s="1">
        <v>1997</v>
      </c>
      <c r="B2659" s="1" t="s">
        <v>99</v>
      </c>
      <c r="C2659" t="s">
        <v>51</v>
      </c>
      <c r="D2659">
        <v>5</v>
      </c>
      <c r="E2659">
        <v>53</v>
      </c>
      <c r="F2659">
        <v>7.0000000000000007E-2</v>
      </c>
      <c r="G2659">
        <f>(F2659/0.6)/5</f>
        <v>2.3333333333333338E-2</v>
      </c>
      <c r="H2659">
        <f>G2659*(26.79/38.29)</f>
        <v>1.6325411334552103E-2</v>
      </c>
    </row>
    <row r="2660" spans="1:8" x14ac:dyDescent="0.25">
      <c r="A2660" s="1">
        <v>1997</v>
      </c>
      <c r="B2660" s="1" t="s">
        <v>99</v>
      </c>
      <c r="C2660" t="s">
        <v>51</v>
      </c>
      <c r="D2660">
        <v>5</v>
      </c>
      <c r="E2660">
        <v>53</v>
      </c>
      <c r="F2660">
        <v>0.14000000000000001</v>
      </c>
      <c r="G2660">
        <f>(F2660/0.6)/5</f>
        <v>4.6666666666666676E-2</v>
      </c>
      <c r="H2660">
        <f>G2660*(26.79/38.29)</f>
        <v>3.2650822669104206E-2</v>
      </c>
    </row>
    <row r="2661" spans="1:8" x14ac:dyDescent="0.25">
      <c r="A2661" s="1">
        <v>1997</v>
      </c>
      <c r="B2661" s="1" t="s">
        <v>99</v>
      </c>
      <c r="C2661" t="s">
        <v>51</v>
      </c>
      <c r="D2661">
        <v>5</v>
      </c>
      <c r="E2661">
        <v>53</v>
      </c>
      <c r="F2661">
        <v>0.06</v>
      </c>
      <c r="G2661">
        <f>(F2661/0.6)/5</f>
        <v>0.02</v>
      </c>
      <c r="H2661">
        <f>G2661*(26.79/38.29)</f>
        <v>1.3993209715330373E-2</v>
      </c>
    </row>
    <row r="2662" spans="1:8" x14ac:dyDescent="0.25">
      <c r="A2662" s="1">
        <v>1997</v>
      </c>
      <c r="B2662" s="1" t="s">
        <v>99</v>
      </c>
      <c r="C2662" t="s">
        <v>51</v>
      </c>
      <c r="D2662">
        <v>5</v>
      </c>
      <c r="E2662">
        <v>53</v>
      </c>
      <c r="F2662">
        <v>1.02</v>
      </c>
      <c r="G2662">
        <f>(F2662/0.6)/5</f>
        <v>0.34</v>
      </c>
      <c r="H2662">
        <f>G2662*(26.79/38.29)</f>
        <v>0.23788456516061635</v>
      </c>
    </row>
    <row r="2663" spans="1:8" x14ac:dyDescent="0.25">
      <c r="A2663" s="1">
        <v>1997</v>
      </c>
      <c r="B2663" s="1" t="s">
        <v>99</v>
      </c>
      <c r="C2663" t="s">
        <v>51</v>
      </c>
      <c r="D2663">
        <v>5</v>
      </c>
      <c r="E2663">
        <v>53</v>
      </c>
      <c r="F2663">
        <v>0.03</v>
      </c>
      <c r="G2663">
        <f>(F2663/0.6)/5</f>
        <v>0.01</v>
      </c>
      <c r="H2663">
        <f>G2663*(26.79/38.29)</f>
        <v>6.9966048576651863E-3</v>
      </c>
    </row>
    <row r="2664" spans="1:8" x14ac:dyDescent="0.25">
      <c r="A2664" s="1">
        <v>1997</v>
      </c>
      <c r="B2664" s="1" t="s">
        <v>99</v>
      </c>
      <c r="C2664" t="s">
        <v>51</v>
      </c>
      <c r="D2664">
        <v>5</v>
      </c>
      <c r="E2664">
        <v>53</v>
      </c>
      <c r="F2664">
        <v>0.05</v>
      </c>
      <c r="G2664">
        <f>(F2664/0.6)/5</f>
        <v>1.666666666666667E-2</v>
      </c>
      <c r="H2664">
        <f>G2664*(26.79/38.29)</f>
        <v>1.1661008096108646E-2</v>
      </c>
    </row>
    <row r="2665" spans="1:8" x14ac:dyDescent="0.25">
      <c r="A2665" s="1">
        <v>1997</v>
      </c>
      <c r="B2665" s="1" t="s">
        <v>99</v>
      </c>
      <c r="C2665" t="s">
        <v>51</v>
      </c>
      <c r="D2665">
        <v>5</v>
      </c>
      <c r="E2665">
        <v>54</v>
      </c>
      <c r="F2665">
        <v>0.04</v>
      </c>
      <c r="G2665">
        <f>(F2665/0.6)/5</f>
        <v>1.3333333333333332E-2</v>
      </c>
      <c r="H2665">
        <f>G2665*(26.79/38.29)</f>
        <v>9.3288064768869139E-3</v>
      </c>
    </row>
    <row r="2666" spans="1:8" x14ac:dyDescent="0.25">
      <c r="A2666" s="1">
        <v>1997</v>
      </c>
      <c r="B2666" s="1" t="s">
        <v>99</v>
      </c>
      <c r="C2666" t="s">
        <v>51</v>
      </c>
      <c r="D2666">
        <v>5</v>
      </c>
      <c r="E2666">
        <v>54</v>
      </c>
      <c r="F2666">
        <v>0.08</v>
      </c>
      <c r="G2666">
        <f>(F2666/0.6)/5</f>
        <v>2.6666666666666665E-2</v>
      </c>
      <c r="H2666">
        <f>G2666*(26.79/38.29)</f>
        <v>1.8657612953773828E-2</v>
      </c>
    </row>
    <row r="2667" spans="1:8" x14ac:dyDescent="0.25">
      <c r="A2667" s="1">
        <v>1997</v>
      </c>
      <c r="B2667" s="1" t="s">
        <v>99</v>
      </c>
      <c r="C2667" t="s">
        <v>51</v>
      </c>
      <c r="D2667">
        <v>5</v>
      </c>
      <c r="E2667">
        <v>54</v>
      </c>
      <c r="F2667">
        <v>0.06</v>
      </c>
      <c r="G2667">
        <f>(F2667/0.6)/5</f>
        <v>0.02</v>
      </c>
      <c r="H2667">
        <f>G2667*(26.79/38.29)</f>
        <v>1.3993209715330373E-2</v>
      </c>
    </row>
    <row r="2668" spans="1:8" x14ac:dyDescent="0.25">
      <c r="A2668" s="1">
        <v>1997</v>
      </c>
      <c r="B2668" s="1" t="s">
        <v>99</v>
      </c>
      <c r="C2668" t="s">
        <v>51</v>
      </c>
      <c r="D2668">
        <v>5</v>
      </c>
      <c r="E2668">
        <v>54</v>
      </c>
      <c r="F2668">
        <v>0.28999999999999998</v>
      </c>
      <c r="G2668">
        <f>(F2668/0.6)/5</f>
        <v>9.6666666666666665E-2</v>
      </c>
      <c r="H2668">
        <f>G2668*(26.79/38.29)</f>
        <v>6.7633846957430133E-2</v>
      </c>
    </row>
    <row r="2669" spans="1:8" x14ac:dyDescent="0.25">
      <c r="A2669" s="1">
        <v>1997</v>
      </c>
      <c r="B2669" s="1" t="s">
        <v>99</v>
      </c>
      <c r="C2669" t="s">
        <v>51</v>
      </c>
      <c r="D2669">
        <v>5</v>
      </c>
      <c r="E2669">
        <v>54</v>
      </c>
      <c r="F2669">
        <v>0.09</v>
      </c>
      <c r="G2669">
        <f>(F2669/0.6)/5</f>
        <v>0.03</v>
      </c>
      <c r="H2669">
        <f>G2669*(26.79/38.29)</f>
        <v>2.0989814572995556E-2</v>
      </c>
    </row>
    <row r="2670" spans="1:8" x14ac:dyDescent="0.25">
      <c r="A2670" s="1">
        <v>1997</v>
      </c>
      <c r="B2670" s="1" t="s">
        <v>99</v>
      </c>
      <c r="C2670" t="s">
        <v>51</v>
      </c>
      <c r="D2670">
        <v>5</v>
      </c>
      <c r="E2670">
        <v>56</v>
      </c>
      <c r="F2670">
        <v>0.91</v>
      </c>
      <c r="G2670">
        <f>(F2670/0.6)/5</f>
        <v>0.30333333333333334</v>
      </c>
      <c r="H2670">
        <f>G2670*(26.79/38.29)</f>
        <v>0.21223034734917731</v>
      </c>
    </row>
    <row r="2671" spans="1:8" x14ac:dyDescent="0.25">
      <c r="A2671" s="1">
        <v>1997</v>
      </c>
      <c r="B2671" s="1" t="s">
        <v>99</v>
      </c>
      <c r="C2671" t="s">
        <v>51</v>
      </c>
      <c r="D2671">
        <v>5</v>
      </c>
      <c r="E2671">
        <v>56</v>
      </c>
      <c r="F2671">
        <v>0.04</v>
      </c>
      <c r="G2671">
        <f>(F2671/0.6)/5</f>
        <v>1.3333333333333332E-2</v>
      </c>
      <c r="H2671">
        <f>G2671*(26.79/38.29)</f>
        <v>9.3288064768869139E-3</v>
      </c>
    </row>
    <row r="2672" spans="1:8" x14ac:dyDescent="0.25">
      <c r="A2672" s="1">
        <v>1997</v>
      </c>
      <c r="B2672" s="1" t="s">
        <v>99</v>
      </c>
      <c r="C2672" t="s">
        <v>51</v>
      </c>
      <c r="D2672">
        <v>5</v>
      </c>
      <c r="E2672">
        <v>58</v>
      </c>
      <c r="F2672">
        <v>0.11</v>
      </c>
      <c r="G2672">
        <f>(F2672/0.6)/5</f>
        <v>3.6666666666666667E-2</v>
      </c>
      <c r="H2672">
        <f>G2672*(26.79/38.29)</f>
        <v>2.5654217811439017E-2</v>
      </c>
    </row>
    <row r="2673" spans="1:8" x14ac:dyDescent="0.25">
      <c r="A2673" s="1">
        <v>1997</v>
      </c>
      <c r="B2673" s="1" t="s">
        <v>99</v>
      </c>
      <c r="C2673" t="s">
        <v>51</v>
      </c>
      <c r="D2673">
        <v>5</v>
      </c>
      <c r="E2673">
        <v>63</v>
      </c>
      <c r="F2673">
        <v>0.04</v>
      </c>
      <c r="G2673">
        <f>(F2673/0.6)/5</f>
        <v>1.3333333333333332E-2</v>
      </c>
      <c r="H2673">
        <f>G2673*(26.79/38.29)</f>
        <v>9.3288064768869139E-3</v>
      </c>
    </row>
    <row r="2674" spans="1:8" x14ac:dyDescent="0.25">
      <c r="A2674" s="1">
        <v>1997</v>
      </c>
      <c r="B2674" s="1" t="s">
        <v>99</v>
      </c>
      <c r="C2674" t="s">
        <v>51</v>
      </c>
      <c r="D2674">
        <v>5</v>
      </c>
      <c r="E2674">
        <v>63</v>
      </c>
      <c r="F2674">
        <v>0.06</v>
      </c>
      <c r="G2674">
        <f>(F2674/0.6)/5</f>
        <v>0.02</v>
      </c>
      <c r="H2674">
        <f>G2674*(26.79/38.29)</f>
        <v>1.3993209715330373E-2</v>
      </c>
    </row>
    <row r="2675" spans="1:8" x14ac:dyDescent="0.25">
      <c r="A2675" s="1">
        <v>1997</v>
      </c>
      <c r="B2675" s="1" t="s">
        <v>99</v>
      </c>
      <c r="C2675" t="s">
        <v>51</v>
      </c>
      <c r="D2675">
        <v>5</v>
      </c>
      <c r="E2675">
        <v>63</v>
      </c>
      <c r="F2675">
        <v>0.03</v>
      </c>
      <c r="G2675">
        <f>(F2675/0.6)/5</f>
        <v>0.01</v>
      </c>
      <c r="H2675">
        <f>G2675*(26.79/38.29)</f>
        <v>6.9966048576651863E-3</v>
      </c>
    </row>
    <row r="2676" spans="1:8" x14ac:dyDescent="0.25">
      <c r="A2676" s="1">
        <v>1997</v>
      </c>
      <c r="B2676" s="1" t="s">
        <v>99</v>
      </c>
      <c r="C2676" t="s">
        <v>51</v>
      </c>
      <c r="D2676">
        <v>5</v>
      </c>
      <c r="E2676">
        <v>63</v>
      </c>
      <c r="F2676">
        <v>0.03</v>
      </c>
      <c r="G2676">
        <f>(F2676/0.6)/5</f>
        <v>0.01</v>
      </c>
      <c r="H2676">
        <f>G2676*(26.79/38.29)</f>
        <v>6.9966048576651863E-3</v>
      </c>
    </row>
    <row r="2677" spans="1:8" x14ac:dyDescent="0.25">
      <c r="A2677" s="1">
        <v>1997</v>
      </c>
      <c r="B2677" s="1" t="s">
        <v>99</v>
      </c>
      <c r="C2677" t="s">
        <v>51</v>
      </c>
      <c r="D2677">
        <v>5</v>
      </c>
      <c r="E2677">
        <v>63</v>
      </c>
      <c r="F2677">
        <v>0.03</v>
      </c>
      <c r="G2677">
        <f>(F2677/0.6)/5</f>
        <v>0.01</v>
      </c>
      <c r="H2677">
        <f>G2677*(26.79/38.29)</f>
        <v>6.9966048576651863E-3</v>
      </c>
    </row>
    <row r="2678" spans="1:8" x14ac:dyDescent="0.25">
      <c r="A2678" s="1">
        <v>1997</v>
      </c>
      <c r="B2678" s="1" t="s">
        <v>99</v>
      </c>
      <c r="C2678" t="s">
        <v>51</v>
      </c>
      <c r="D2678">
        <v>5</v>
      </c>
      <c r="E2678">
        <v>63</v>
      </c>
      <c r="F2678">
        <v>0.19</v>
      </c>
      <c r="G2678">
        <f>(F2678/0.6)/5</f>
        <v>6.3333333333333339E-2</v>
      </c>
      <c r="H2678">
        <f>G2678*(26.79/38.29)</f>
        <v>4.4311830765212848E-2</v>
      </c>
    </row>
    <row r="2679" spans="1:8" x14ac:dyDescent="0.25">
      <c r="A2679" s="1">
        <v>1997</v>
      </c>
      <c r="B2679" s="1" t="s">
        <v>99</v>
      </c>
      <c r="C2679" t="s">
        <v>51</v>
      </c>
      <c r="D2679">
        <v>5</v>
      </c>
      <c r="E2679">
        <v>63</v>
      </c>
      <c r="F2679">
        <v>0.06</v>
      </c>
      <c r="G2679">
        <f>(F2679/0.6)/5</f>
        <v>0.02</v>
      </c>
      <c r="H2679">
        <f>G2679*(26.79/38.29)</f>
        <v>1.3993209715330373E-2</v>
      </c>
    </row>
    <row r="2680" spans="1:8" x14ac:dyDescent="0.25">
      <c r="A2680" s="1">
        <v>1997</v>
      </c>
      <c r="B2680" s="1" t="s">
        <v>99</v>
      </c>
      <c r="C2680" t="s">
        <v>51</v>
      </c>
      <c r="D2680">
        <v>5</v>
      </c>
      <c r="E2680">
        <v>71</v>
      </c>
      <c r="F2680">
        <v>0.09</v>
      </c>
      <c r="G2680">
        <f>(F2680/0.6)/5</f>
        <v>0.03</v>
      </c>
      <c r="H2680">
        <f>G2680*(26.79/38.29)</f>
        <v>2.0989814572995556E-2</v>
      </c>
    </row>
    <row r="2681" spans="1:8" x14ac:dyDescent="0.25">
      <c r="A2681" s="1">
        <v>1997</v>
      </c>
      <c r="B2681" s="1" t="s">
        <v>99</v>
      </c>
      <c r="C2681" t="s">
        <v>51</v>
      </c>
      <c r="D2681">
        <v>5</v>
      </c>
      <c r="E2681">
        <v>78</v>
      </c>
      <c r="F2681">
        <v>0.03</v>
      </c>
      <c r="G2681">
        <f>(F2681/0.6)/5</f>
        <v>0.01</v>
      </c>
      <c r="H2681">
        <f>G2681*(26.79/38.29)</f>
        <v>6.9966048576651863E-3</v>
      </c>
    </row>
    <row r="2682" spans="1:8" x14ac:dyDescent="0.25">
      <c r="A2682" s="1">
        <v>1997</v>
      </c>
      <c r="B2682" s="1" t="s">
        <v>99</v>
      </c>
      <c r="C2682" t="s">
        <v>51</v>
      </c>
      <c r="D2682">
        <v>5</v>
      </c>
      <c r="E2682">
        <v>78</v>
      </c>
      <c r="F2682">
        <v>0.04</v>
      </c>
      <c r="G2682">
        <f>(F2682/0.6)/5</f>
        <v>1.3333333333333332E-2</v>
      </c>
      <c r="H2682">
        <f>G2682*(26.79/38.29)</f>
        <v>9.3288064768869139E-3</v>
      </c>
    </row>
    <row r="2683" spans="1:8" x14ac:dyDescent="0.25">
      <c r="A2683" s="1">
        <v>1997</v>
      </c>
      <c r="B2683" s="1" t="s">
        <v>99</v>
      </c>
      <c r="C2683" t="s">
        <v>51</v>
      </c>
      <c r="D2683">
        <v>5</v>
      </c>
      <c r="E2683">
        <v>79</v>
      </c>
      <c r="F2683">
        <v>0.2</v>
      </c>
      <c r="G2683">
        <f>(F2683/0.6)/5</f>
        <v>6.666666666666668E-2</v>
      </c>
      <c r="H2683">
        <f>G2683*(26.79/38.29)</f>
        <v>4.6644032384434583E-2</v>
      </c>
    </row>
    <row r="2684" spans="1:8" x14ac:dyDescent="0.25">
      <c r="A2684" s="1">
        <v>1997</v>
      </c>
      <c r="B2684" s="1" t="s">
        <v>99</v>
      </c>
      <c r="C2684" t="s">
        <v>51</v>
      </c>
      <c r="D2684">
        <v>5</v>
      </c>
      <c r="E2684">
        <v>79</v>
      </c>
      <c r="F2684">
        <v>0.09</v>
      </c>
      <c r="G2684">
        <f>(F2684/0.6)/5</f>
        <v>0.03</v>
      </c>
      <c r="H2684">
        <f>G2684*(26.79/38.29)</f>
        <v>2.0989814572995556E-2</v>
      </c>
    </row>
    <row r="2685" spans="1:8" x14ac:dyDescent="0.25">
      <c r="A2685" s="1">
        <v>1997</v>
      </c>
      <c r="B2685" s="1" t="s">
        <v>99</v>
      </c>
      <c r="C2685" t="s">
        <v>51</v>
      </c>
      <c r="D2685">
        <v>5</v>
      </c>
      <c r="E2685">
        <v>79</v>
      </c>
      <c r="F2685">
        <v>0.11</v>
      </c>
      <c r="G2685">
        <f>(F2685/0.6)/5</f>
        <v>3.6666666666666667E-2</v>
      </c>
      <c r="H2685">
        <f>G2685*(26.79/38.29)</f>
        <v>2.5654217811439017E-2</v>
      </c>
    </row>
    <row r="2686" spans="1:8" x14ac:dyDescent="0.25">
      <c r="A2686" s="1">
        <v>1997</v>
      </c>
      <c r="B2686" s="1" t="s">
        <v>99</v>
      </c>
      <c r="C2686" t="s">
        <v>51</v>
      </c>
      <c r="D2686">
        <v>5</v>
      </c>
      <c r="E2686">
        <v>79</v>
      </c>
      <c r="F2686">
        <v>0.06</v>
      </c>
      <c r="G2686">
        <f>(F2686/0.6)/5</f>
        <v>0.02</v>
      </c>
      <c r="H2686">
        <f>G2686*(26.79/38.29)</f>
        <v>1.3993209715330373E-2</v>
      </c>
    </row>
    <row r="2687" spans="1:8" x14ac:dyDescent="0.25">
      <c r="A2687" s="1">
        <v>1997</v>
      </c>
      <c r="B2687" s="1" t="s">
        <v>99</v>
      </c>
      <c r="C2687" t="s">
        <v>51</v>
      </c>
      <c r="D2687">
        <v>5</v>
      </c>
      <c r="E2687">
        <v>79</v>
      </c>
      <c r="F2687">
        <v>0.47</v>
      </c>
      <c r="G2687">
        <f>(F2687/0.6)/5</f>
        <v>0.15666666666666668</v>
      </c>
      <c r="H2687">
        <f>G2687*(26.79/38.29)</f>
        <v>0.10961347610342126</v>
      </c>
    </row>
    <row r="2688" spans="1:8" x14ac:dyDescent="0.25">
      <c r="A2688" s="1">
        <v>1997</v>
      </c>
      <c r="B2688" s="1" t="s">
        <v>99</v>
      </c>
      <c r="C2688" t="s">
        <v>51</v>
      </c>
      <c r="D2688">
        <v>5</v>
      </c>
      <c r="E2688">
        <v>79</v>
      </c>
      <c r="F2688">
        <v>1.01</v>
      </c>
      <c r="G2688">
        <f>(F2688/0.6)/5</f>
        <v>0.33666666666666667</v>
      </c>
      <c r="H2688">
        <f>G2688*(26.79/38.29)</f>
        <v>0.23555236354139461</v>
      </c>
    </row>
    <row r="2689" spans="1:8" x14ac:dyDescent="0.25">
      <c r="A2689" s="1">
        <v>1997</v>
      </c>
      <c r="B2689" s="1" t="s">
        <v>99</v>
      </c>
      <c r="C2689" t="s">
        <v>51</v>
      </c>
      <c r="D2689">
        <v>5</v>
      </c>
      <c r="E2689">
        <v>79</v>
      </c>
      <c r="F2689">
        <v>0.95</v>
      </c>
      <c r="G2689">
        <f>(F2689/0.6)/5</f>
        <v>0.31666666666666665</v>
      </c>
      <c r="H2689">
        <f>G2689*(26.79/38.29)</f>
        <v>0.22155915382606423</v>
      </c>
    </row>
    <row r="2690" spans="1:8" x14ac:dyDescent="0.25">
      <c r="A2690" s="1">
        <v>1997</v>
      </c>
      <c r="B2690" s="1" t="s">
        <v>99</v>
      </c>
      <c r="C2690" t="s">
        <v>51</v>
      </c>
      <c r="D2690">
        <v>5</v>
      </c>
      <c r="E2690">
        <v>79</v>
      </c>
      <c r="F2690">
        <v>0.03</v>
      </c>
      <c r="G2690">
        <f>(F2690/0.6)/5</f>
        <v>0.01</v>
      </c>
      <c r="H2690">
        <f>G2690*(26.79/38.29)</f>
        <v>6.9966048576651863E-3</v>
      </c>
    </row>
    <row r="2691" spans="1:8" x14ac:dyDescent="0.25">
      <c r="A2691" s="1">
        <v>1997</v>
      </c>
      <c r="B2691" s="1" t="s">
        <v>99</v>
      </c>
      <c r="C2691" t="s">
        <v>51</v>
      </c>
      <c r="D2691">
        <v>5</v>
      </c>
      <c r="E2691">
        <v>79</v>
      </c>
      <c r="F2691">
        <v>0.87</v>
      </c>
      <c r="G2691">
        <f>(F2691/0.6)/5</f>
        <v>0.28999999999999998</v>
      </c>
      <c r="H2691">
        <f>G2691*(26.79/38.29)</f>
        <v>0.2029015408722904</v>
      </c>
    </row>
    <row r="2692" spans="1:8" x14ac:dyDescent="0.25">
      <c r="A2692" s="1">
        <v>1997</v>
      </c>
      <c r="B2692" s="1" t="s">
        <v>99</v>
      </c>
      <c r="C2692" t="s">
        <v>51</v>
      </c>
      <c r="D2692">
        <v>5</v>
      </c>
      <c r="E2692">
        <v>79</v>
      </c>
      <c r="F2692">
        <v>0.09</v>
      </c>
      <c r="G2692">
        <f>(F2692/0.6)/5</f>
        <v>0.03</v>
      </c>
      <c r="H2692">
        <f>G2692*(26.79/38.29)</f>
        <v>2.0989814572995556E-2</v>
      </c>
    </row>
    <row r="2693" spans="1:8" x14ac:dyDescent="0.25">
      <c r="A2693" s="1">
        <v>1997</v>
      </c>
      <c r="B2693" s="1" t="s">
        <v>99</v>
      </c>
      <c r="C2693" t="s">
        <v>51</v>
      </c>
      <c r="D2693">
        <v>5</v>
      </c>
      <c r="E2693">
        <v>79</v>
      </c>
      <c r="F2693">
        <v>0.04</v>
      </c>
      <c r="G2693">
        <f>(F2693/0.6)/5</f>
        <v>1.3333333333333332E-2</v>
      </c>
      <c r="H2693">
        <f>G2693*(26.79/38.29)</f>
        <v>9.3288064768869139E-3</v>
      </c>
    </row>
    <row r="2694" spans="1:8" x14ac:dyDescent="0.25">
      <c r="A2694" s="1">
        <v>1997</v>
      </c>
      <c r="B2694" s="1" t="s">
        <v>99</v>
      </c>
      <c r="C2694" t="s">
        <v>51</v>
      </c>
      <c r="D2694">
        <v>5</v>
      </c>
      <c r="E2694">
        <v>79</v>
      </c>
      <c r="F2694">
        <v>0.27</v>
      </c>
      <c r="G2694">
        <f>(F2694/0.6)/5</f>
        <v>9.0000000000000011E-2</v>
      </c>
      <c r="H2694">
        <f>G2694*(26.79/38.29)</f>
        <v>6.296944371898669E-2</v>
      </c>
    </row>
    <row r="2695" spans="1:8" x14ac:dyDescent="0.25">
      <c r="A2695" s="1">
        <v>1997</v>
      </c>
      <c r="B2695" s="1" t="s">
        <v>99</v>
      </c>
      <c r="C2695" t="s">
        <v>51</v>
      </c>
      <c r="D2695">
        <v>5</v>
      </c>
      <c r="E2695">
        <v>79</v>
      </c>
      <c r="F2695">
        <v>0.1</v>
      </c>
      <c r="G2695">
        <f>(F2695/0.6)/5</f>
        <v>3.333333333333334E-2</v>
      </c>
      <c r="H2695">
        <f>G2695*(26.79/38.29)</f>
        <v>2.3322016192217292E-2</v>
      </c>
    </row>
    <row r="2696" spans="1:8" x14ac:dyDescent="0.25">
      <c r="A2696" s="1">
        <v>1997</v>
      </c>
      <c r="B2696" s="1" t="s">
        <v>99</v>
      </c>
      <c r="C2696" t="s">
        <v>51</v>
      </c>
      <c r="D2696">
        <v>5</v>
      </c>
      <c r="E2696">
        <v>79</v>
      </c>
      <c r="F2696">
        <v>0.04</v>
      </c>
      <c r="G2696">
        <f>(F2696/0.6)/5</f>
        <v>1.3333333333333332E-2</v>
      </c>
      <c r="H2696">
        <f>G2696*(26.79/38.29)</f>
        <v>9.3288064768869139E-3</v>
      </c>
    </row>
    <row r="2697" spans="1:8" x14ac:dyDescent="0.25">
      <c r="A2697" s="1">
        <v>1997</v>
      </c>
      <c r="B2697" s="1" t="s">
        <v>99</v>
      </c>
      <c r="C2697" t="s">
        <v>51</v>
      </c>
      <c r="D2697">
        <v>5</v>
      </c>
      <c r="E2697">
        <v>79</v>
      </c>
      <c r="F2697">
        <v>0.87</v>
      </c>
      <c r="G2697">
        <f>(F2697/0.6)/5</f>
        <v>0.28999999999999998</v>
      </c>
      <c r="H2697">
        <f>G2697*(26.79/38.29)</f>
        <v>0.2029015408722904</v>
      </c>
    </row>
    <row r="2698" spans="1:8" x14ac:dyDescent="0.25">
      <c r="A2698" s="1">
        <v>1997</v>
      </c>
      <c r="B2698" s="1" t="s">
        <v>99</v>
      </c>
      <c r="C2698" t="s">
        <v>51</v>
      </c>
      <c r="D2698">
        <v>5</v>
      </c>
      <c r="E2698">
        <v>79</v>
      </c>
      <c r="F2698">
        <v>0.3</v>
      </c>
      <c r="G2698">
        <f>(F2698/0.6)/5</f>
        <v>0.1</v>
      </c>
      <c r="H2698">
        <f>G2698*(26.79/38.29)</f>
        <v>6.9966048576651868E-2</v>
      </c>
    </row>
    <row r="2699" spans="1:8" x14ac:dyDescent="0.25">
      <c r="A2699" s="1">
        <v>1997</v>
      </c>
      <c r="B2699" s="1" t="s">
        <v>99</v>
      </c>
      <c r="C2699" t="s">
        <v>51</v>
      </c>
      <c r="D2699">
        <v>5</v>
      </c>
      <c r="E2699">
        <v>79</v>
      </c>
      <c r="F2699">
        <v>0.08</v>
      </c>
      <c r="G2699">
        <f>(F2699/0.6)/5</f>
        <v>2.6666666666666665E-2</v>
      </c>
      <c r="H2699">
        <f>G2699*(26.79/38.29)</f>
        <v>1.8657612953773828E-2</v>
      </c>
    </row>
    <row r="2700" spans="1:8" x14ac:dyDescent="0.25">
      <c r="A2700" s="1">
        <v>1997</v>
      </c>
      <c r="B2700" s="1" t="s">
        <v>99</v>
      </c>
      <c r="C2700" t="s">
        <v>51</v>
      </c>
      <c r="D2700">
        <v>5</v>
      </c>
      <c r="E2700">
        <v>79</v>
      </c>
      <c r="F2700">
        <v>0.13</v>
      </c>
      <c r="G2700">
        <f>(F2700/0.6)/5</f>
        <v>4.3333333333333335E-2</v>
      </c>
      <c r="H2700">
        <f>G2700*(26.79/38.29)</f>
        <v>3.0318621049882474E-2</v>
      </c>
    </row>
    <row r="2701" spans="1:8" x14ac:dyDescent="0.25">
      <c r="A2701" s="1">
        <v>1997</v>
      </c>
      <c r="B2701" s="1" t="s">
        <v>99</v>
      </c>
      <c r="C2701" t="s">
        <v>51</v>
      </c>
      <c r="D2701">
        <v>5</v>
      </c>
      <c r="E2701">
        <v>79</v>
      </c>
      <c r="F2701">
        <v>0.1</v>
      </c>
      <c r="G2701">
        <f>(F2701/0.6)/5</f>
        <v>3.333333333333334E-2</v>
      </c>
      <c r="H2701">
        <f>G2701*(26.79/38.29)</f>
        <v>2.3322016192217292E-2</v>
      </c>
    </row>
    <row r="2702" spans="1:8" x14ac:dyDescent="0.25">
      <c r="A2702" s="1">
        <v>1997</v>
      </c>
      <c r="B2702" s="1" t="s">
        <v>99</v>
      </c>
      <c r="C2702" t="s">
        <v>51</v>
      </c>
      <c r="D2702">
        <v>5</v>
      </c>
      <c r="E2702">
        <v>79</v>
      </c>
      <c r="F2702">
        <v>0.16</v>
      </c>
      <c r="G2702">
        <f>(F2702/0.6)/5</f>
        <v>5.333333333333333E-2</v>
      </c>
      <c r="H2702">
        <f>G2702*(26.79/38.29)</f>
        <v>3.7315225907547656E-2</v>
      </c>
    </row>
    <row r="2703" spans="1:8" x14ac:dyDescent="0.25">
      <c r="A2703" s="1">
        <v>1997</v>
      </c>
      <c r="B2703" s="1" t="s">
        <v>99</v>
      </c>
      <c r="C2703" t="s">
        <v>51</v>
      </c>
      <c r="D2703">
        <v>5</v>
      </c>
      <c r="E2703">
        <v>79</v>
      </c>
      <c r="F2703">
        <v>0.06</v>
      </c>
      <c r="G2703">
        <f>(F2703/0.6)/5</f>
        <v>0.02</v>
      </c>
      <c r="H2703">
        <f>G2703*(26.79/38.29)</f>
        <v>1.3993209715330373E-2</v>
      </c>
    </row>
    <row r="2704" spans="1:8" x14ac:dyDescent="0.25">
      <c r="A2704" s="1">
        <v>1997</v>
      </c>
      <c r="B2704" s="1" t="s">
        <v>99</v>
      </c>
      <c r="C2704" t="s">
        <v>51</v>
      </c>
      <c r="D2704">
        <v>5</v>
      </c>
      <c r="E2704">
        <v>79</v>
      </c>
      <c r="F2704">
        <v>0.19</v>
      </c>
      <c r="G2704">
        <f>(F2704/0.6)/5</f>
        <v>6.3333333333333339E-2</v>
      </c>
      <c r="H2704">
        <f>G2704*(26.79/38.29)</f>
        <v>4.4311830765212848E-2</v>
      </c>
    </row>
    <row r="2705" spans="1:8" x14ac:dyDescent="0.25">
      <c r="A2705" s="1">
        <v>1997</v>
      </c>
      <c r="B2705" s="1" t="s">
        <v>99</v>
      </c>
      <c r="C2705" t="s">
        <v>51</v>
      </c>
      <c r="D2705">
        <v>5</v>
      </c>
      <c r="E2705">
        <v>79</v>
      </c>
      <c r="F2705">
        <v>0.04</v>
      </c>
      <c r="G2705">
        <f>(F2705/0.6)/5</f>
        <v>1.3333333333333332E-2</v>
      </c>
      <c r="H2705">
        <f>G2705*(26.79/38.29)</f>
        <v>9.3288064768869139E-3</v>
      </c>
    </row>
    <row r="2706" spans="1:8" x14ac:dyDescent="0.25">
      <c r="A2706" s="1">
        <v>1997</v>
      </c>
      <c r="B2706" s="1" t="s">
        <v>99</v>
      </c>
      <c r="C2706" t="s">
        <v>51</v>
      </c>
      <c r="D2706">
        <v>5</v>
      </c>
      <c r="E2706">
        <v>79</v>
      </c>
      <c r="F2706">
        <v>0.08</v>
      </c>
      <c r="G2706">
        <f>(F2706/0.6)/5</f>
        <v>2.6666666666666665E-2</v>
      </c>
      <c r="H2706">
        <f>G2706*(26.79/38.29)</f>
        <v>1.8657612953773828E-2</v>
      </c>
    </row>
    <row r="2707" spans="1:8" x14ac:dyDescent="0.25">
      <c r="A2707" s="1">
        <v>1997</v>
      </c>
      <c r="B2707" s="1" t="s">
        <v>99</v>
      </c>
      <c r="C2707" t="s">
        <v>51</v>
      </c>
      <c r="D2707">
        <v>5</v>
      </c>
      <c r="E2707">
        <v>79</v>
      </c>
      <c r="F2707">
        <v>0.03</v>
      </c>
      <c r="G2707">
        <f>(F2707/0.6)/5</f>
        <v>0.01</v>
      </c>
      <c r="H2707">
        <f>G2707*(26.79/38.29)</f>
        <v>6.9966048576651863E-3</v>
      </c>
    </row>
    <row r="2708" spans="1:8" x14ac:dyDescent="0.25">
      <c r="A2708" s="1">
        <v>1997</v>
      </c>
      <c r="B2708" s="1" t="s">
        <v>99</v>
      </c>
      <c r="C2708" t="s">
        <v>51</v>
      </c>
      <c r="D2708">
        <v>5</v>
      </c>
      <c r="E2708">
        <v>79</v>
      </c>
      <c r="F2708">
        <v>0.08</v>
      </c>
      <c r="G2708">
        <f>(F2708/0.6)/5</f>
        <v>2.6666666666666665E-2</v>
      </c>
      <c r="H2708">
        <f>G2708*(26.79/38.29)</f>
        <v>1.8657612953773828E-2</v>
      </c>
    </row>
    <row r="2709" spans="1:8" x14ac:dyDescent="0.25">
      <c r="A2709" s="1">
        <v>1997</v>
      </c>
      <c r="B2709" s="1" t="s">
        <v>99</v>
      </c>
      <c r="C2709" t="s">
        <v>51</v>
      </c>
      <c r="D2709">
        <v>5</v>
      </c>
      <c r="E2709">
        <v>79</v>
      </c>
      <c r="F2709">
        <v>0.05</v>
      </c>
      <c r="G2709">
        <f>(F2709/0.6)/5</f>
        <v>1.666666666666667E-2</v>
      </c>
      <c r="H2709">
        <f>G2709*(26.79/38.29)</f>
        <v>1.1661008096108646E-2</v>
      </c>
    </row>
    <row r="2710" spans="1:8" x14ac:dyDescent="0.25">
      <c r="A2710" s="1">
        <v>1997</v>
      </c>
      <c r="B2710" s="1" t="s">
        <v>99</v>
      </c>
      <c r="C2710" t="s">
        <v>51</v>
      </c>
      <c r="D2710">
        <v>5</v>
      </c>
      <c r="E2710">
        <v>79</v>
      </c>
      <c r="F2710">
        <v>0.06</v>
      </c>
      <c r="G2710">
        <f>(F2710/0.6)/5</f>
        <v>0.02</v>
      </c>
      <c r="H2710">
        <f>G2710*(26.79/38.29)</f>
        <v>1.3993209715330373E-2</v>
      </c>
    </row>
    <row r="2711" spans="1:8" x14ac:dyDescent="0.25">
      <c r="A2711" s="1">
        <v>1997</v>
      </c>
      <c r="B2711" s="1" t="s">
        <v>99</v>
      </c>
      <c r="C2711" t="s">
        <v>51</v>
      </c>
      <c r="D2711">
        <v>5</v>
      </c>
      <c r="E2711">
        <v>79</v>
      </c>
      <c r="F2711">
        <v>0.06</v>
      </c>
      <c r="G2711">
        <f>(F2711/0.6)/5</f>
        <v>0.02</v>
      </c>
      <c r="H2711">
        <f>G2711*(26.79/38.29)</f>
        <v>1.3993209715330373E-2</v>
      </c>
    </row>
    <row r="2712" spans="1:8" x14ac:dyDescent="0.25">
      <c r="A2712" s="1">
        <v>1997</v>
      </c>
      <c r="B2712" s="1" t="s">
        <v>99</v>
      </c>
      <c r="C2712" t="s">
        <v>51</v>
      </c>
      <c r="D2712">
        <v>5</v>
      </c>
      <c r="E2712">
        <v>79</v>
      </c>
      <c r="F2712">
        <v>0.05</v>
      </c>
      <c r="G2712">
        <f>(F2712/0.6)/5</f>
        <v>1.666666666666667E-2</v>
      </c>
      <c r="H2712">
        <f>G2712*(26.79/38.29)</f>
        <v>1.1661008096108646E-2</v>
      </c>
    </row>
    <row r="2713" spans="1:8" x14ac:dyDescent="0.25">
      <c r="A2713" s="1">
        <v>1997</v>
      </c>
      <c r="B2713" s="1" t="s">
        <v>99</v>
      </c>
      <c r="C2713" t="s">
        <v>51</v>
      </c>
      <c r="D2713">
        <v>5</v>
      </c>
      <c r="E2713">
        <v>79</v>
      </c>
      <c r="F2713">
        <v>0.4</v>
      </c>
      <c r="G2713">
        <f>(F2713/0.6)/5</f>
        <v>0.13333333333333336</v>
      </c>
      <c r="H2713">
        <f>G2713*(26.79/38.29)</f>
        <v>9.3288064768869167E-2</v>
      </c>
    </row>
    <row r="2714" spans="1:8" x14ac:dyDescent="0.25">
      <c r="A2714" s="1">
        <v>1997</v>
      </c>
      <c r="B2714" s="1" t="s">
        <v>99</v>
      </c>
      <c r="C2714" t="s">
        <v>51</v>
      </c>
      <c r="D2714">
        <v>5</v>
      </c>
      <c r="E2714">
        <v>79</v>
      </c>
      <c r="F2714">
        <v>0.33</v>
      </c>
      <c r="G2714">
        <f>(F2714/0.6)/5</f>
        <v>0.11000000000000001</v>
      </c>
      <c r="H2714">
        <f>G2714*(26.79/38.29)</f>
        <v>7.696265343431706E-2</v>
      </c>
    </row>
    <row r="2715" spans="1:8" x14ac:dyDescent="0.25">
      <c r="A2715" s="1">
        <v>1997</v>
      </c>
      <c r="B2715" s="1" t="s">
        <v>99</v>
      </c>
      <c r="C2715" t="s">
        <v>51</v>
      </c>
      <c r="D2715">
        <v>5</v>
      </c>
      <c r="E2715">
        <v>79</v>
      </c>
      <c r="F2715">
        <v>7.0000000000000007E-2</v>
      </c>
      <c r="G2715">
        <f>(F2715/0.6)/5</f>
        <v>2.3333333333333338E-2</v>
      </c>
      <c r="H2715">
        <f>G2715*(26.79/38.29)</f>
        <v>1.6325411334552103E-2</v>
      </c>
    </row>
    <row r="2716" spans="1:8" x14ac:dyDescent="0.25">
      <c r="A2716" s="1">
        <v>1997</v>
      </c>
      <c r="B2716" s="1" t="s">
        <v>99</v>
      </c>
      <c r="C2716" t="s">
        <v>51</v>
      </c>
      <c r="D2716">
        <v>5</v>
      </c>
      <c r="E2716">
        <v>79</v>
      </c>
      <c r="F2716">
        <v>0.15</v>
      </c>
      <c r="G2716">
        <f>(F2716/0.6)/5</f>
        <v>0.05</v>
      </c>
      <c r="H2716">
        <f>G2716*(26.79/38.29)</f>
        <v>3.4983024288325934E-2</v>
      </c>
    </row>
    <row r="2717" spans="1:8" x14ac:dyDescent="0.25">
      <c r="A2717" s="1">
        <v>1997</v>
      </c>
      <c r="B2717" s="1" t="s">
        <v>99</v>
      </c>
      <c r="C2717" t="s">
        <v>51</v>
      </c>
      <c r="D2717">
        <v>5</v>
      </c>
      <c r="E2717">
        <v>79</v>
      </c>
      <c r="F2717">
        <v>0.09</v>
      </c>
      <c r="G2717">
        <f>(F2717/0.6)/5</f>
        <v>0.03</v>
      </c>
      <c r="H2717">
        <f>G2717*(26.79/38.29)</f>
        <v>2.0989814572995556E-2</v>
      </c>
    </row>
    <row r="2718" spans="1:8" x14ac:dyDescent="0.25">
      <c r="A2718" s="1">
        <v>1997</v>
      </c>
      <c r="B2718" s="1" t="s">
        <v>99</v>
      </c>
      <c r="C2718" t="s">
        <v>51</v>
      </c>
      <c r="D2718">
        <v>5</v>
      </c>
      <c r="E2718">
        <v>79</v>
      </c>
      <c r="F2718">
        <v>0.24</v>
      </c>
      <c r="G2718">
        <f>(F2718/0.6)/5</f>
        <v>0.08</v>
      </c>
      <c r="H2718">
        <f>G2718*(26.79/38.29)</f>
        <v>5.597283886132149E-2</v>
      </c>
    </row>
    <row r="2719" spans="1:8" x14ac:dyDescent="0.25">
      <c r="A2719" s="1">
        <v>1997</v>
      </c>
      <c r="B2719" s="1" t="s">
        <v>99</v>
      </c>
      <c r="C2719" t="s">
        <v>51</v>
      </c>
      <c r="D2719">
        <v>5</v>
      </c>
      <c r="E2719">
        <v>79</v>
      </c>
      <c r="F2719">
        <v>0.71</v>
      </c>
      <c r="G2719">
        <f>(F2719/0.6)/5</f>
        <v>0.23666666666666666</v>
      </c>
      <c r="H2719">
        <f>G2719*(26.79/38.29)</f>
        <v>0.16558631496474274</v>
      </c>
    </row>
    <row r="2720" spans="1:8" x14ac:dyDescent="0.25">
      <c r="A2720" s="1">
        <v>1997</v>
      </c>
      <c r="B2720" s="1" t="s">
        <v>99</v>
      </c>
      <c r="C2720" t="s">
        <v>51</v>
      </c>
      <c r="D2720">
        <v>5</v>
      </c>
      <c r="E2720">
        <v>79</v>
      </c>
      <c r="F2720">
        <v>0.05</v>
      </c>
      <c r="G2720">
        <f>(F2720/0.6)/5</f>
        <v>1.666666666666667E-2</v>
      </c>
      <c r="H2720">
        <f>G2720*(26.79/38.29)</f>
        <v>1.1661008096108646E-2</v>
      </c>
    </row>
    <row r="2721" spans="1:8" x14ac:dyDescent="0.25">
      <c r="A2721" s="1">
        <v>1997</v>
      </c>
      <c r="B2721" s="1" t="s">
        <v>99</v>
      </c>
      <c r="C2721" t="s">
        <v>51</v>
      </c>
      <c r="D2721">
        <v>5</v>
      </c>
      <c r="E2721">
        <v>79</v>
      </c>
      <c r="F2721">
        <v>0.32</v>
      </c>
      <c r="G2721">
        <f>(F2721/0.6)/5</f>
        <v>0.10666666666666666</v>
      </c>
      <c r="H2721">
        <f>G2721*(26.79/38.29)</f>
        <v>7.4630451815095311E-2</v>
      </c>
    </row>
    <row r="2722" spans="1:8" x14ac:dyDescent="0.25">
      <c r="A2722" s="1">
        <v>1997</v>
      </c>
      <c r="B2722" s="1" t="s">
        <v>99</v>
      </c>
      <c r="C2722" t="s">
        <v>51</v>
      </c>
      <c r="D2722">
        <v>5</v>
      </c>
      <c r="E2722">
        <v>79</v>
      </c>
      <c r="F2722">
        <v>0.13</v>
      </c>
      <c r="G2722">
        <f>(F2722/0.6)/5</f>
        <v>4.3333333333333335E-2</v>
      </c>
      <c r="H2722">
        <f>G2722*(26.79/38.29)</f>
        <v>3.0318621049882474E-2</v>
      </c>
    </row>
    <row r="2723" spans="1:8" x14ac:dyDescent="0.25">
      <c r="A2723" s="1">
        <v>1997</v>
      </c>
      <c r="B2723" s="1" t="s">
        <v>99</v>
      </c>
      <c r="C2723" t="s">
        <v>51</v>
      </c>
      <c r="D2723">
        <v>5</v>
      </c>
      <c r="E2723">
        <v>79</v>
      </c>
      <c r="F2723">
        <v>0.05</v>
      </c>
      <c r="G2723">
        <f>(F2723/0.6)/5</f>
        <v>1.666666666666667E-2</v>
      </c>
      <c r="H2723">
        <f>G2723*(26.79/38.29)</f>
        <v>1.1661008096108646E-2</v>
      </c>
    </row>
    <row r="2724" spans="1:8" x14ac:dyDescent="0.25">
      <c r="A2724" s="1">
        <v>1997</v>
      </c>
      <c r="B2724" s="1" t="s">
        <v>99</v>
      </c>
      <c r="C2724" t="s">
        <v>51</v>
      </c>
      <c r="D2724">
        <v>5</v>
      </c>
      <c r="E2724">
        <v>79</v>
      </c>
      <c r="F2724">
        <v>0.42</v>
      </c>
      <c r="G2724">
        <f>(F2724/0.6)/5</f>
        <v>0.13999999999999999</v>
      </c>
      <c r="H2724">
        <f>G2724*(26.79/38.29)</f>
        <v>9.7952468007312596E-2</v>
      </c>
    </row>
    <row r="2725" spans="1:8" x14ac:dyDescent="0.25">
      <c r="A2725" s="1">
        <v>1997</v>
      </c>
      <c r="B2725" s="1" t="s">
        <v>99</v>
      </c>
      <c r="C2725" t="s">
        <v>51</v>
      </c>
      <c r="D2725">
        <v>5</v>
      </c>
      <c r="E2725">
        <v>79</v>
      </c>
      <c r="F2725">
        <v>0.04</v>
      </c>
      <c r="G2725">
        <f>(F2725/0.6)/5</f>
        <v>1.3333333333333332E-2</v>
      </c>
      <c r="H2725">
        <f>G2725*(26.79/38.29)</f>
        <v>9.3288064768869139E-3</v>
      </c>
    </row>
    <row r="2726" spans="1:8" x14ac:dyDescent="0.25">
      <c r="A2726" s="1">
        <v>1997</v>
      </c>
      <c r="B2726" s="1" t="s">
        <v>99</v>
      </c>
      <c r="C2726" t="s">
        <v>51</v>
      </c>
      <c r="D2726">
        <v>5</v>
      </c>
      <c r="E2726">
        <v>79</v>
      </c>
      <c r="F2726">
        <v>0.99</v>
      </c>
      <c r="G2726">
        <f>(F2726/0.6)/5</f>
        <v>0.33</v>
      </c>
      <c r="H2726">
        <f>G2726*(26.79/38.29)</f>
        <v>0.23088796030295117</v>
      </c>
    </row>
    <row r="2727" spans="1:8" x14ac:dyDescent="0.25">
      <c r="A2727" s="1">
        <v>1997</v>
      </c>
      <c r="B2727" s="1" t="s">
        <v>99</v>
      </c>
      <c r="C2727" t="s">
        <v>51</v>
      </c>
      <c r="D2727">
        <v>5</v>
      </c>
      <c r="E2727">
        <v>79</v>
      </c>
      <c r="F2727">
        <v>0.04</v>
      </c>
      <c r="G2727">
        <f>(F2727/0.6)/5</f>
        <v>1.3333333333333332E-2</v>
      </c>
      <c r="H2727">
        <f>G2727*(26.79/38.29)</f>
        <v>9.3288064768869139E-3</v>
      </c>
    </row>
    <row r="2728" spans="1:8" x14ac:dyDescent="0.25">
      <c r="A2728" s="1">
        <v>1997</v>
      </c>
      <c r="B2728" s="1" t="s">
        <v>99</v>
      </c>
      <c r="C2728" t="s">
        <v>51</v>
      </c>
      <c r="D2728">
        <v>5</v>
      </c>
      <c r="E2728">
        <v>79</v>
      </c>
      <c r="F2728">
        <v>0.17</v>
      </c>
      <c r="G2728">
        <f>(F2728/0.6)/5</f>
        <v>5.6666666666666678E-2</v>
      </c>
      <c r="H2728">
        <f>G2728*(26.79/38.29)</f>
        <v>3.9647427526769398E-2</v>
      </c>
    </row>
    <row r="2729" spans="1:8" x14ac:dyDescent="0.25">
      <c r="A2729" s="1">
        <v>1997</v>
      </c>
      <c r="B2729" s="1" t="s">
        <v>99</v>
      </c>
      <c r="C2729" t="s">
        <v>51</v>
      </c>
      <c r="D2729">
        <v>5</v>
      </c>
      <c r="E2729">
        <v>79</v>
      </c>
      <c r="F2729">
        <v>0.11</v>
      </c>
      <c r="G2729">
        <f>(F2729/0.6)/5</f>
        <v>3.6666666666666667E-2</v>
      </c>
      <c r="H2729">
        <f>G2729*(26.79/38.29)</f>
        <v>2.5654217811439017E-2</v>
      </c>
    </row>
    <row r="2730" spans="1:8" x14ac:dyDescent="0.25">
      <c r="A2730" s="1">
        <v>1997</v>
      </c>
      <c r="B2730" s="1" t="s">
        <v>99</v>
      </c>
      <c r="C2730" t="s">
        <v>51</v>
      </c>
      <c r="D2730">
        <v>5</v>
      </c>
      <c r="E2730">
        <v>79</v>
      </c>
      <c r="F2730">
        <v>0.76</v>
      </c>
      <c r="G2730">
        <f>(F2730/0.6)/5</f>
        <v>0.25333333333333335</v>
      </c>
      <c r="H2730">
        <f>G2730*(26.79/38.29)</f>
        <v>0.17724732306085139</v>
      </c>
    </row>
    <row r="2731" spans="1:8" x14ac:dyDescent="0.25">
      <c r="A2731" s="1">
        <v>1997</v>
      </c>
      <c r="B2731" s="1" t="s">
        <v>99</v>
      </c>
      <c r="C2731" t="s">
        <v>51</v>
      </c>
      <c r="D2731">
        <v>5</v>
      </c>
      <c r="E2731">
        <v>79</v>
      </c>
      <c r="F2731">
        <v>0.32</v>
      </c>
      <c r="G2731">
        <f>(F2731/0.6)/5</f>
        <v>0.10666666666666666</v>
      </c>
      <c r="H2731">
        <f>G2731*(26.79/38.29)</f>
        <v>7.4630451815095311E-2</v>
      </c>
    </row>
    <row r="2732" spans="1:8" x14ac:dyDescent="0.25">
      <c r="A2732" s="1">
        <v>1997</v>
      </c>
      <c r="B2732" s="1" t="s">
        <v>99</v>
      </c>
      <c r="C2732" t="s">
        <v>51</v>
      </c>
      <c r="D2732">
        <v>5</v>
      </c>
      <c r="E2732">
        <v>79</v>
      </c>
      <c r="F2732">
        <v>1.87</v>
      </c>
      <c r="G2732">
        <f>(F2732/0.6)/5</f>
        <v>0.62333333333333341</v>
      </c>
      <c r="H2732">
        <f>G2732*(26.79/38.29)</f>
        <v>0.43612170279446333</v>
      </c>
    </row>
    <row r="2733" spans="1:8" x14ac:dyDescent="0.25">
      <c r="A2733" s="1">
        <v>1997</v>
      </c>
      <c r="B2733" s="1" t="s">
        <v>99</v>
      </c>
      <c r="C2733" t="s">
        <v>51</v>
      </c>
      <c r="D2733">
        <v>5</v>
      </c>
      <c r="E2733">
        <v>79</v>
      </c>
      <c r="F2733">
        <v>0.06</v>
      </c>
      <c r="G2733">
        <f>(F2733/0.6)/5</f>
        <v>0.02</v>
      </c>
      <c r="H2733">
        <f>G2733*(26.79/38.29)</f>
        <v>1.3993209715330373E-2</v>
      </c>
    </row>
    <row r="2734" spans="1:8" x14ac:dyDescent="0.25">
      <c r="A2734" s="1">
        <v>1997</v>
      </c>
      <c r="B2734" s="1" t="s">
        <v>99</v>
      </c>
      <c r="C2734" t="s">
        <v>51</v>
      </c>
      <c r="D2734">
        <v>5</v>
      </c>
      <c r="E2734">
        <v>79</v>
      </c>
      <c r="F2734">
        <v>0.14000000000000001</v>
      </c>
      <c r="G2734">
        <f>(F2734/0.6)/5</f>
        <v>4.6666666666666676E-2</v>
      </c>
      <c r="H2734">
        <f>G2734*(26.79/38.29)</f>
        <v>3.2650822669104206E-2</v>
      </c>
    </row>
    <row r="2735" spans="1:8" x14ac:dyDescent="0.25">
      <c r="A2735" s="1">
        <v>1997</v>
      </c>
      <c r="B2735" s="1" t="s">
        <v>99</v>
      </c>
      <c r="C2735" t="s">
        <v>51</v>
      </c>
      <c r="D2735">
        <v>5</v>
      </c>
      <c r="E2735">
        <v>79</v>
      </c>
      <c r="F2735">
        <v>1.1200000000000001</v>
      </c>
      <c r="G2735">
        <f>(F2735/0.6)/5</f>
        <v>0.37333333333333341</v>
      </c>
      <c r="H2735">
        <f>G2735*(26.79/38.29)</f>
        <v>0.26120658135283364</v>
      </c>
    </row>
    <row r="2736" spans="1:8" x14ac:dyDescent="0.25">
      <c r="A2736" s="1">
        <v>1997</v>
      </c>
      <c r="B2736" s="1" t="s">
        <v>99</v>
      </c>
      <c r="C2736" t="s">
        <v>51</v>
      </c>
      <c r="D2736">
        <v>5</v>
      </c>
      <c r="E2736">
        <v>79</v>
      </c>
      <c r="F2736">
        <v>0.19</v>
      </c>
      <c r="G2736">
        <f>(F2736/0.6)/5</f>
        <v>6.3333333333333339E-2</v>
      </c>
      <c r="H2736">
        <f>G2736*(26.79/38.29)</f>
        <v>4.4311830765212848E-2</v>
      </c>
    </row>
    <row r="2737" spans="1:8" x14ac:dyDescent="0.25">
      <c r="A2737" s="1">
        <v>1997</v>
      </c>
      <c r="B2737" s="1" t="s">
        <v>99</v>
      </c>
      <c r="C2737" t="s">
        <v>51</v>
      </c>
      <c r="D2737">
        <v>5</v>
      </c>
      <c r="E2737">
        <v>79</v>
      </c>
      <c r="F2737">
        <v>0.06</v>
      </c>
      <c r="G2737">
        <f>(F2737/0.6)/5</f>
        <v>0.02</v>
      </c>
      <c r="H2737">
        <f>G2737*(26.79/38.29)</f>
        <v>1.3993209715330373E-2</v>
      </c>
    </row>
    <row r="2738" spans="1:8" x14ac:dyDescent="0.25">
      <c r="A2738" s="1">
        <v>1997</v>
      </c>
      <c r="B2738" s="1" t="s">
        <v>99</v>
      </c>
      <c r="C2738" t="s">
        <v>51</v>
      </c>
      <c r="D2738">
        <v>5</v>
      </c>
      <c r="E2738">
        <v>79</v>
      </c>
      <c r="F2738">
        <v>0.18</v>
      </c>
      <c r="G2738">
        <f>(F2738/0.6)/5</f>
        <v>0.06</v>
      </c>
      <c r="H2738">
        <f>G2738*(26.79/38.29)</f>
        <v>4.1979629145991113E-2</v>
      </c>
    </row>
    <row r="2739" spans="1:8" x14ac:dyDescent="0.25">
      <c r="A2739" s="1">
        <v>1997</v>
      </c>
      <c r="B2739" s="1" t="s">
        <v>99</v>
      </c>
      <c r="C2739" t="s">
        <v>51</v>
      </c>
      <c r="D2739">
        <v>5</v>
      </c>
      <c r="E2739">
        <v>79</v>
      </c>
      <c r="F2739">
        <v>0.5</v>
      </c>
      <c r="G2739">
        <f>(F2739/0.6)/5</f>
        <v>0.16666666666666669</v>
      </c>
      <c r="H2739">
        <f>G2739*(26.79/38.29)</f>
        <v>0.11661008096108645</v>
      </c>
    </row>
    <row r="2740" spans="1:8" x14ac:dyDescent="0.25">
      <c r="A2740" s="1">
        <v>1997</v>
      </c>
      <c r="B2740" s="1" t="s">
        <v>99</v>
      </c>
      <c r="C2740" t="s">
        <v>51</v>
      </c>
      <c r="D2740">
        <v>5</v>
      </c>
      <c r="E2740">
        <v>79</v>
      </c>
      <c r="F2740">
        <v>0.03</v>
      </c>
      <c r="G2740">
        <f>(F2740/0.6)/5</f>
        <v>0.01</v>
      </c>
      <c r="H2740">
        <f>G2740*(26.79/38.29)</f>
        <v>6.9966048576651863E-3</v>
      </c>
    </row>
    <row r="2741" spans="1:8" x14ac:dyDescent="0.25">
      <c r="A2741" s="1">
        <v>1997</v>
      </c>
      <c r="B2741" s="1" t="s">
        <v>99</v>
      </c>
      <c r="C2741" t="s">
        <v>51</v>
      </c>
      <c r="D2741">
        <v>5</v>
      </c>
      <c r="E2741">
        <v>79</v>
      </c>
      <c r="F2741">
        <v>0.13</v>
      </c>
      <c r="G2741">
        <f>(F2741/0.6)/5</f>
        <v>4.3333333333333335E-2</v>
      </c>
      <c r="H2741">
        <f>G2741*(26.79/38.29)</f>
        <v>3.0318621049882474E-2</v>
      </c>
    </row>
    <row r="2742" spans="1:8" x14ac:dyDescent="0.25">
      <c r="A2742" s="1">
        <v>1997</v>
      </c>
      <c r="B2742" s="1" t="s">
        <v>99</v>
      </c>
      <c r="C2742" t="s">
        <v>51</v>
      </c>
      <c r="D2742">
        <v>5</v>
      </c>
      <c r="E2742">
        <v>79</v>
      </c>
      <c r="F2742">
        <v>0.17</v>
      </c>
      <c r="G2742">
        <f>(F2742/0.6)/5</f>
        <v>5.6666666666666678E-2</v>
      </c>
      <c r="H2742">
        <f>G2742*(26.79/38.29)</f>
        <v>3.9647427526769398E-2</v>
      </c>
    </row>
    <row r="2743" spans="1:8" x14ac:dyDescent="0.25">
      <c r="A2743" s="1">
        <v>1997</v>
      </c>
      <c r="B2743" s="1" t="s">
        <v>99</v>
      </c>
      <c r="C2743" t="s">
        <v>51</v>
      </c>
      <c r="D2743">
        <v>5</v>
      </c>
      <c r="E2743">
        <v>79</v>
      </c>
      <c r="F2743">
        <v>0.23</v>
      </c>
      <c r="G2743">
        <f>(F2743/0.6)/5</f>
        <v>7.6666666666666675E-2</v>
      </c>
      <c r="H2743">
        <f>G2743*(26.79/38.29)</f>
        <v>5.3640637242099769E-2</v>
      </c>
    </row>
    <row r="2744" spans="1:8" x14ac:dyDescent="0.25">
      <c r="A2744" s="1">
        <v>1997</v>
      </c>
      <c r="B2744" s="1" t="s">
        <v>99</v>
      </c>
      <c r="C2744" t="s">
        <v>51</v>
      </c>
      <c r="D2744">
        <v>5</v>
      </c>
      <c r="E2744">
        <v>79</v>
      </c>
      <c r="F2744">
        <v>0.56000000000000005</v>
      </c>
      <c r="G2744">
        <f>(F2744/0.6)/5</f>
        <v>0.1866666666666667</v>
      </c>
      <c r="H2744">
        <f>G2744*(26.79/38.29)</f>
        <v>0.13060329067641682</v>
      </c>
    </row>
    <row r="2745" spans="1:8" x14ac:dyDescent="0.25">
      <c r="A2745" s="1">
        <v>1997</v>
      </c>
      <c r="B2745" s="1" t="s">
        <v>99</v>
      </c>
      <c r="C2745" t="s">
        <v>51</v>
      </c>
      <c r="D2745">
        <v>5</v>
      </c>
      <c r="E2745">
        <v>79</v>
      </c>
      <c r="F2745">
        <v>1.08</v>
      </c>
      <c r="G2745">
        <f>(F2745/0.6)/5</f>
        <v>0.36000000000000004</v>
      </c>
      <c r="H2745">
        <f>G2745*(26.79/38.29)</f>
        <v>0.25187777487594676</v>
      </c>
    </row>
    <row r="2746" spans="1:8" x14ac:dyDescent="0.25">
      <c r="A2746" s="1">
        <v>1997</v>
      </c>
      <c r="B2746" s="1" t="s">
        <v>99</v>
      </c>
      <c r="C2746" t="s">
        <v>51</v>
      </c>
      <c r="D2746">
        <v>5</v>
      </c>
      <c r="E2746">
        <v>79</v>
      </c>
      <c r="F2746">
        <v>0.09</v>
      </c>
      <c r="G2746">
        <f>(F2746/0.6)/5</f>
        <v>0.03</v>
      </c>
      <c r="H2746">
        <f>G2746*(26.79/38.29)</f>
        <v>2.0989814572995556E-2</v>
      </c>
    </row>
    <row r="2747" spans="1:8" x14ac:dyDescent="0.25">
      <c r="A2747" s="1">
        <v>1997</v>
      </c>
      <c r="B2747" s="1" t="s">
        <v>99</v>
      </c>
      <c r="C2747" t="s">
        <v>51</v>
      </c>
      <c r="D2747">
        <v>5</v>
      </c>
      <c r="E2747">
        <v>79</v>
      </c>
      <c r="F2747">
        <v>0.06</v>
      </c>
      <c r="G2747">
        <f>(F2747/0.6)/5</f>
        <v>0.02</v>
      </c>
      <c r="H2747">
        <f>G2747*(26.79/38.29)</f>
        <v>1.3993209715330373E-2</v>
      </c>
    </row>
    <row r="2748" spans="1:8" x14ac:dyDescent="0.25">
      <c r="A2748" s="1">
        <v>1997</v>
      </c>
      <c r="B2748" s="1" t="s">
        <v>99</v>
      </c>
      <c r="C2748" t="s">
        <v>51</v>
      </c>
      <c r="D2748">
        <v>5</v>
      </c>
      <c r="E2748">
        <v>79</v>
      </c>
      <c r="F2748">
        <v>0.28999999999999998</v>
      </c>
      <c r="G2748">
        <f>(F2748/0.6)/5</f>
        <v>9.6666666666666665E-2</v>
      </c>
      <c r="H2748">
        <f>G2748*(26.79/38.29)</f>
        <v>6.7633846957430133E-2</v>
      </c>
    </row>
    <row r="2749" spans="1:8" x14ac:dyDescent="0.25">
      <c r="A2749" s="1">
        <v>1997</v>
      </c>
      <c r="B2749" s="1" t="s">
        <v>99</v>
      </c>
      <c r="C2749" t="s">
        <v>51</v>
      </c>
      <c r="D2749">
        <v>5</v>
      </c>
      <c r="E2749">
        <v>79</v>
      </c>
      <c r="F2749">
        <v>0.16</v>
      </c>
      <c r="G2749">
        <f>(F2749/0.6)/5</f>
        <v>5.333333333333333E-2</v>
      </c>
      <c r="H2749">
        <f>G2749*(26.79/38.29)</f>
        <v>3.7315225907547656E-2</v>
      </c>
    </row>
    <row r="2750" spans="1:8" x14ac:dyDescent="0.25">
      <c r="A2750" s="1">
        <v>1997</v>
      </c>
      <c r="B2750" s="1" t="s">
        <v>99</v>
      </c>
      <c r="C2750" t="s">
        <v>51</v>
      </c>
      <c r="D2750">
        <v>5</v>
      </c>
      <c r="E2750">
        <v>79</v>
      </c>
      <c r="F2750">
        <v>0.13</v>
      </c>
      <c r="G2750">
        <f>(F2750/0.6)/5</f>
        <v>4.3333333333333335E-2</v>
      </c>
      <c r="H2750">
        <f>G2750*(26.79/38.29)</f>
        <v>3.0318621049882474E-2</v>
      </c>
    </row>
    <row r="2751" spans="1:8" x14ac:dyDescent="0.25">
      <c r="A2751" s="1">
        <v>1997</v>
      </c>
      <c r="B2751" s="1" t="s">
        <v>99</v>
      </c>
      <c r="C2751" t="s">
        <v>51</v>
      </c>
      <c r="D2751">
        <v>5</v>
      </c>
      <c r="E2751">
        <v>79</v>
      </c>
      <c r="F2751">
        <v>0.22</v>
      </c>
      <c r="G2751">
        <f>(F2751/0.6)/5</f>
        <v>7.3333333333333334E-2</v>
      </c>
      <c r="H2751">
        <f>G2751*(26.79/38.29)</f>
        <v>5.1308435622878033E-2</v>
      </c>
    </row>
    <row r="2752" spans="1:8" x14ac:dyDescent="0.25">
      <c r="A2752" s="1">
        <v>1997</v>
      </c>
      <c r="B2752" s="1" t="s">
        <v>99</v>
      </c>
      <c r="C2752" t="s">
        <v>51</v>
      </c>
      <c r="D2752">
        <v>5</v>
      </c>
      <c r="E2752">
        <v>79</v>
      </c>
      <c r="F2752">
        <v>0.22</v>
      </c>
      <c r="G2752">
        <f>(F2752/0.6)/5</f>
        <v>7.3333333333333334E-2</v>
      </c>
      <c r="H2752">
        <f>G2752*(26.79/38.29)</f>
        <v>5.1308435622878033E-2</v>
      </c>
    </row>
    <row r="2753" spans="1:8" x14ac:dyDescent="0.25">
      <c r="A2753" s="1">
        <v>1997</v>
      </c>
      <c r="B2753" s="1" t="s">
        <v>99</v>
      </c>
      <c r="C2753" t="s">
        <v>51</v>
      </c>
      <c r="D2753">
        <v>5</v>
      </c>
      <c r="E2753">
        <v>79</v>
      </c>
      <c r="F2753">
        <v>0.11</v>
      </c>
      <c r="G2753">
        <f>(F2753/0.6)/5</f>
        <v>3.6666666666666667E-2</v>
      </c>
      <c r="H2753">
        <f>G2753*(26.79/38.29)</f>
        <v>2.5654217811439017E-2</v>
      </c>
    </row>
    <row r="2754" spans="1:8" x14ac:dyDescent="0.25">
      <c r="A2754" s="1">
        <v>1997</v>
      </c>
      <c r="B2754" s="1" t="s">
        <v>99</v>
      </c>
      <c r="C2754" t="s">
        <v>51</v>
      </c>
      <c r="D2754">
        <v>5</v>
      </c>
      <c r="E2754">
        <v>85</v>
      </c>
      <c r="F2754">
        <v>0.04</v>
      </c>
      <c r="G2754">
        <f>(F2754/0.6)/5</f>
        <v>1.3333333333333332E-2</v>
      </c>
      <c r="H2754">
        <f>G2754*(26.79/38.29)</f>
        <v>9.3288064768869139E-3</v>
      </c>
    </row>
    <row r="2755" spans="1:8" x14ac:dyDescent="0.25">
      <c r="A2755" s="1">
        <v>1997</v>
      </c>
      <c r="B2755" s="1" t="s">
        <v>99</v>
      </c>
      <c r="C2755" t="s">
        <v>51</v>
      </c>
      <c r="D2755">
        <v>5</v>
      </c>
      <c r="E2755">
        <v>85</v>
      </c>
      <c r="F2755">
        <v>0.35</v>
      </c>
      <c r="G2755">
        <f>(F2755/0.6)/5</f>
        <v>0.11666666666666667</v>
      </c>
      <c r="H2755">
        <f>G2755*(26.79/38.29)</f>
        <v>8.1627056672760503E-2</v>
      </c>
    </row>
    <row r="2756" spans="1:8" x14ac:dyDescent="0.25">
      <c r="A2756" s="1">
        <v>1997</v>
      </c>
      <c r="B2756" s="1" t="s">
        <v>99</v>
      </c>
      <c r="C2756" t="s">
        <v>51</v>
      </c>
      <c r="D2756">
        <v>5</v>
      </c>
      <c r="E2756">
        <v>85</v>
      </c>
      <c r="F2756">
        <v>0.79</v>
      </c>
      <c r="G2756">
        <f>(F2756/0.6)/5</f>
        <v>0.26333333333333336</v>
      </c>
      <c r="H2756">
        <f>G2756*(26.79/38.29)</f>
        <v>0.1842439279185166</v>
      </c>
    </row>
    <row r="2757" spans="1:8" x14ac:dyDescent="0.25">
      <c r="A2757" s="1">
        <v>1997</v>
      </c>
      <c r="B2757" s="1" t="s">
        <v>99</v>
      </c>
      <c r="C2757" t="s">
        <v>51</v>
      </c>
      <c r="D2757">
        <v>5</v>
      </c>
      <c r="E2757">
        <v>85</v>
      </c>
      <c r="F2757">
        <v>1.52</v>
      </c>
      <c r="G2757">
        <f>(F2757/0.6)/5</f>
        <v>0.50666666666666671</v>
      </c>
      <c r="H2757">
        <f>G2757*(26.79/38.29)</f>
        <v>0.35449464612170278</v>
      </c>
    </row>
    <row r="2758" spans="1:8" x14ac:dyDescent="0.25">
      <c r="A2758" s="1">
        <v>1997</v>
      </c>
      <c r="B2758" s="1" t="s">
        <v>99</v>
      </c>
      <c r="C2758" t="s">
        <v>51</v>
      </c>
      <c r="D2758">
        <v>5</v>
      </c>
      <c r="E2758">
        <v>85</v>
      </c>
      <c r="F2758">
        <v>0.71</v>
      </c>
      <c r="G2758">
        <f>(F2758/0.6)/5</f>
        <v>0.23666666666666666</v>
      </c>
      <c r="H2758">
        <f>G2758*(26.79/38.29)</f>
        <v>0.16558631496474274</v>
      </c>
    </row>
    <row r="2759" spans="1:8" x14ac:dyDescent="0.25">
      <c r="A2759" s="1">
        <v>1997</v>
      </c>
      <c r="B2759" s="1" t="s">
        <v>99</v>
      </c>
      <c r="C2759" t="s">
        <v>51</v>
      </c>
      <c r="D2759">
        <v>5</v>
      </c>
      <c r="E2759">
        <v>85</v>
      </c>
      <c r="F2759">
        <v>0.22</v>
      </c>
      <c r="G2759">
        <f>(F2759/0.6)/5</f>
        <v>7.3333333333333334E-2</v>
      </c>
      <c r="H2759">
        <f>G2759*(26.79/38.29)</f>
        <v>5.1308435622878033E-2</v>
      </c>
    </row>
    <row r="2760" spans="1:8" x14ac:dyDescent="0.25">
      <c r="A2760" s="1">
        <v>1997</v>
      </c>
      <c r="B2760" s="1" t="s">
        <v>99</v>
      </c>
      <c r="C2760" t="s">
        <v>51</v>
      </c>
      <c r="D2760">
        <v>5</v>
      </c>
      <c r="E2760">
        <v>85</v>
      </c>
      <c r="F2760">
        <v>1.24</v>
      </c>
      <c r="G2760">
        <f>(F2760/0.6)/5</f>
        <v>0.41333333333333339</v>
      </c>
      <c r="H2760">
        <f>G2760*(26.79/38.29)</f>
        <v>0.28919300078349441</v>
      </c>
    </row>
    <row r="2761" spans="1:8" x14ac:dyDescent="0.25">
      <c r="A2761" s="1">
        <v>1997</v>
      </c>
      <c r="B2761" s="1" t="s">
        <v>99</v>
      </c>
      <c r="C2761" t="s">
        <v>51</v>
      </c>
      <c r="D2761">
        <v>5</v>
      </c>
      <c r="E2761">
        <v>85</v>
      </c>
      <c r="F2761">
        <v>1.36</v>
      </c>
      <c r="G2761">
        <f>(F2761/0.6)/5</f>
        <v>0.45333333333333342</v>
      </c>
      <c r="H2761">
        <f>G2761*(26.79/38.29)</f>
        <v>0.31717942021415518</v>
      </c>
    </row>
    <row r="2762" spans="1:8" x14ac:dyDescent="0.25">
      <c r="A2762" s="1">
        <v>1997</v>
      </c>
      <c r="B2762" s="1" t="s">
        <v>99</v>
      </c>
      <c r="C2762" t="s">
        <v>51</v>
      </c>
      <c r="D2762">
        <v>5</v>
      </c>
      <c r="E2762">
        <v>85</v>
      </c>
      <c r="F2762">
        <v>1.61</v>
      </c>
      <c r="G2762">
        <f>(F2762/0.6)/5</f>
        <v>0.53666666666666674</v>
      </c>
      <c r="H2762">
        <f>G2762*(26.79/38.29)</f>
        <v>0.37548446069469837</v>
      </c>
    </row>
    <row r="2763" spans="1:8" x14ac:dyDescent="0.25">
      <c r="A2763" s="1">
        <v>1997</v>
      </c>
      <c r="B2763" s="1" t="s">
        <v>99</v>
      </c>
      <c r="C2763" t="s">
        <v>51</v>
      </c>
      <c r="D2763">
        <v>5</v>
      </c>
      <c r="E2763">
        <v>88</v>
      </c>
      <c r="F2763">
        <v>0.14000000000000001</v>
      </c>
      <c r="G2763">
        <f>(F2763/0.6)/5</f>
        <v>4.6666666666666676E-2</v>
      </c>
      <c r="H2763">
        <f>G2763*(26.79/38.29)</f>
        <v>3.2650822669104206E-2</v>
      </c>
    </row>
    <row r="2764" spans="1:8" x14ac:dyDescent="0.25">
      <c r="A2764" s="1">
        <v>1997</v>
      </c>
      <c r="B2764" s="1" t="s">
        <v>99</v>
      </c>
      <c r="C2764" t="s">
        <v>51</v>
      </c>
      <c r="D2764">
        <v>5</v>
      </c>
      <c r="E2764">
        <v>88</v>
      </c>
      <c r="F2764">
        <v>0.62</v>
      </c>
      <c r="G2764">
        <f>(F2764/0.6)/5</f>
        <v>0.20666666666666669</v>
      </c>
      <c r="H2764">
        <f>G2764*(26.79/38.29)</f>
        <v>0.14459650039174721</v>
      </c>
    </row>
    <row r="2765" spans="1:8" x14ac:dyDescent="0.25">
      <c r="A2765" s="1">
        <v>1997</v>
      </c>
      <c r="B2765" s="1" t="s">
        <v>99</v>
      </c>
      <c r="C2765" t="s">
        <v>51</v>
      </c>
      <c r="D2765">
        <v>5</v>
      </c>
      <c r="E2765">
        <v>88</v>
      </c>
      <c r="F2765">
        <v>0.23</v>
      </c>
      <c r="G2765">
        <f>(F2765/0.6)/5</f>
        <v>7.6666666666666675E-2</v>
      </c>
      <c r="H2765">
        <f>G2765*(26.79/38.29)</f>
        <v>5.3640637242099769E-2</v>
      </c>
    </row>
    <row r="2766" spans="1:8" x14ac:dyDescent="0.25">
      <c r="A2766" s="1">
        <v>2002</v>
      </c>
      <c r="B2766" s="1" t="s">
        <v>99</v>
      </c>
      <c r="C2766" t="s">
        <v>51</v>
      </c>
      <c r="D2766">
        <v>1</v>
      </c>
      <c r="E2766">
        <v>29</v>
      </c>
      <c r="F2766">
        <v>0.1</v>
      </c>
      <c r="G2766">
        <f t="shared" ref="G2766:G2829" si="31">(F2766/0.6)/5</f>
        <v>3.333333333333334E-2</v>
      </c>
      <c r="H2766">
        <f>G2766*(26.79/38.29)</f>
        <v>2.3322016192217292E-2</v>
      </c>
    </row>
    <row r="2767" spans="1:8" x14ac:dyDescent="0.25">
      <c r="A2767" s="1">
        <v>2002</v>
      </c>
      <c r="B2767" s="1" t="s">
        <v>99</v>
      </c>
      <c r="C2767" t="s">
        <v>51</v>
      </c>
      <c r="D2767">
        <v>1</v>
      </c>
      <c r="E2767">
        <v>32</v>
      </c>
      <c r="F2767">
        <v>0.05</v>
      </c>
      <c r="G2767">
        <f t="shared" si="31"/>
        <v>1.666666666666667E-2</v>
      </c>
      <c r="H2767">
        <f>G2767*(26.79/38.29)</f>
        <v>1.1661008096108646E-2</v>
      </c>
    </row>
    <row r="2768" spans="1:8" x14ac:dyDescent="0.25">
      <c r="A2768" s="1">
        <v>2002</v>
      </c>
      <c r="B2768" s="1" t="s">
        <v>99</v>
      </c>
      <c r="C2768" t="s">
        <v>51</v>
      </c>
      <c r="D2768">
        <v>1</v>
      </c>
      <c r="E2768">
        <v>32</v>
      </c>
      <c r="F2768">
        <v>0.06</v>
      </c>
      <c r="G2768">
        <f t="shared" si="31"/>
        <v>0.02</v>
      </c>
      <c r="H2768">
        <f>G2768*(26.79/38.29)</f>
        <v>1.3993209715330373E-2</v>
      </c>
    </row>
    <row r="2769" spans="1:8" x14ac:dyDescent="0.25">
      <c r="A2769" s="1">
        <v>2002</v>
      </c>
      <c r="B2769" s="1" t="s">
        <v>99</v>
      </c>
      <c r="C2769" t="s">
        <v>51</v>
      </c>
      <c r="D2769">
        <v>1</v>
      </c>
      <c r="E2769">
        <v>32</v>
      </c>
      <c r="F2769">
        <v>0.04</v>
      </c>
      <c r="G2769">
        <f t="shared" si="31"/>
        <v>1.3333333333333332E-2</v>
      </c>
      <c r="H2769">
        <f>G2769*(26.79/38.29)</f>
        <v>9.3288064768869139E-3</v>
      </c>
    </row>
    <row r="2770" spans="1:8" x14ac:dyDescent="0.25">
      <c r="A2770" s="1">
        <v>2002</v>
      </c>
      <c r="B2770" s="1" t="s">
        <v>99</v>
      </c>
      <c r="C2770" t="s">
        <v>51</v>
      </c>
      <c r="D2770">
        <v>1</v>
      </c>
      <c r="E2770">
        <v>32</v>
      </c>
      <c r="F2770">
        <v>0.1</v>
      </c>
      <c r="G2770">
        <f t="shared" si="31"/>
        <v>3.333333333333334E-2</v>
      </c>
      <c r="H2770">
        <f>G2770*(26.79/38.29)</f>
        <v>2.3322016192217292E-2</v>
      </c>
    </row>
    <row r="2771" spans="1:8" x14ac:dyDescent="0.25">
      <c r="A2771" s="1">
        <v>2002</v>
      </c>
      <c r="B2771" s="1" t="s">
        <v>99</v>
      </c>
      <c r="C2771" t="s">
        <v>51</v>
      </c>
      <c r="D2771">
        <v>1</v>
      </c>
      <c r="E2771">
        <v>32</v>
      </c>
      <c r="F2771">
        <v>0.1</v>
      </c>
      <c r="G2771">
        <f t="shared" si="31"/>
        <v>3.333333333333334E-2</v>
      </c>
      <c r="H2771">
        <f>G2771*(26.79/38.29)</f>
        <v>2.3322016192217292E-2</v>
      </c>
    </row>
    <row r="2772" spans="1:8" x14ac:dyDescent="0.25">
      <c r="A2772" s="1">
        <v>2002</v>
      </c>
      <c r="B2772" s="1" t="s">
        <v>99</v>
      </c>
      <c r="C2772" t="s">
        <v>51</v>
      </c>
      <c r="D2772">
        <v>1</v>
      </c>
      <c r="E2772">
        <v>32</v>
      </c>
      <c r="F2772">
        <v>0.04</v>
      </c>
      <c r="G2772">
        <f t="shared" si="31"/>
        <v>1.3333333333333332E-2</v>
      </c>
      <c r="H2772">
        <f>G2772*(26.79/38.29)</f>
        <v>9.3288064768869139E-3</v>
      </c>
    </row>
    <row r="2773" spans="1:8" x14ac:dyDescent="0.25">
      <c r="A2773" s="1">
        <v>2002</v>
      </c>
      <c r="B2773" s="1" t="s">
        <v>99</v>
      </c>
      <c r="C2773" t="s">
        <v>51</v>
      </c>
      <c r="D2773">
        <v>1</v>
      </c>
      <c r="E2773">
        <v>32</v>
      </c>
      <c r="F2773">
        <v>7.0000000000000007E-2</v>
      </c>
      <c r="G2773">
        <f t="shared" si="31"/>
        <v>2.3333333333333338E-2</v>
      </c>
      <c r="H2773">
        <f>G2773*(26.79/38.29)</f>
        <v>1.6325411334552103E-2</v>
      </c>
    </row>
    <row r="2774" spans="1:8" x14ac:dyDescent="0.25">
      <c r="A2774" s="1">
        <v>2002</v>
      </c>
      <c r="B2774" s="1" t="s">
        <v>99</v>
      </c>
      <c r="C2774" t="s">
        <v>51</v>
      </c>
      <c r="D2774">
        <v>1</v>
      </c>
      <c r="E2774">
        <v>32</v>
      </c>
      <c r="F2774">
        <v>0.04</v>
      </c>
      <c r="G2774">
        <f t="shared" si="31"/>
        <v>1.3333333333333332E-2</v>
      </c>
      <c r="H2774">
        <f>G2774*(26.79/38.29)</f>
        <v>9.3288064768869139E-3</v>
      </c>
    </row>
    <row r="2775" spans="1:8" x14ac:dyDescent="0.25">
      <c r="A2775" s="1">
        <v>2002</v>
      </c>
      <c r="B2775" s="1" t="s">
        <v>99</v>
      </c>
      <c r="C2775" t="s">
        <v>51</v>
      </c>
      <c r="D2775">
        <v>1</v>
      </c>
      <c r="E2775">
        <v>32</v>
      </c>
      <c r="F2775">
        <v>0.1</v>
      </c>
      <c r="G2775">
        <f t="shared" si="31"/>
        <v>3.333333333333334E-2</v>
      </c>
      <c r="H2775">
        <f>G2775*(26.79/38.29)</f>
        <v>2.3322016192217292E-2</v>
      </c>
    </row>
    <row r="2776" spans="1:8" x14ac:dyDescent="0.25">
      <c r="A2776" s="1">
        <v>2002</v>
      </c>
      <c r="B2776" s="1" t="s">
        <v>99</v>
      </c>
      <c r="C2776" t="s">
        <v>51</v>
      </c>
      <c r="D2776">
        <v>1</v>
      </c>
      <c r="E2776">
        <v>32</v>
      </c>
      <c r="F2776">
        <v>0.12</v>
      </c>
      <c r="G2776">
        <f t="shared" si="31"/>
        <v>0.04</v>
      </c>
      <c r="H2776">
        <f>G2776*(26.79/38.29)</f>
        <v>2.7986419430660745E-2</v>
      </c>
    </row>
    <row r="2777" spans="1:8" x14ac:dyDescent="0.25">
      <c r="A2777" s="1">
        <v>2002</v>
      </c>
      <c r="B2777" s="1" t="s">
        <v>99</v>
      </c>
      <c r="C2777" t="s">
        <v>51</v>
      </c>
      <c r="D2777">
        <v>1</v>
      </c>
      <c r="E2777">
        <v>32</v>
      </c>
      <c r="F2777">
        <v>0.03</v>
      </c>
      <c r="G2777">
        <f t="shared" si="31"/>
        <v>0.01</v>
      </c>
      <c r="H2777">
        <f>G2777*(26.79/38.29)</f>
        <v>6.9966048576651863E-3</v>
      </c>
    </row>
    <row r="2778" spans="1:8" x14ac:dyDescent="0.25">
      <c r="A2778" s="1">
        <v>2002</v>
      </c>
      <c r="B2778" s="1" t="s">
        <v>99</v>
      </c>
      <c r="C2778" t="s">
        <v>51</v>
      </c>
      <c r="D2778">
        <v>1</v>
      </c>
      <c r="E2778">
        <v>32</v>
      </c>
      <c r="F2778">
        <v>0.11</v>
      </c>
      <c r="G2778">
        <f t="shared" si="31"/>
        <v>3.6666666666666667E-2</v>
      </c>
      <c r="H2778">
        <f>G2778*(26.79/38.29)</f>
        <v>2.5654217811439017E-2</v>
      </c>
    </row>
    <row r="2779" spans="1:8" x14ac:dyDescent="0.25">
      <c r="A2779" s="1">
        <v>2002</v>
      </c>
      <c r="B2779" s="1" t="s">
        <v>99</v>
      </c>
      <c r="C2779" t="s">
        <v>51</v>
      </c>
      <c r="D2779">
        <v>1</v>
      </c>
      <c r="E2779">
        <v>32</v>
      </c>
      <c r="F2779">
        <v>0.09</v>
      </c>
      <c r="G2779">
        <f t="shared" si="31"/>
        <v>0.03</v>
      </c>
      <c r="H2779">
        <f>G2779*(26.79/38.29)</f>
        <v>2.0989814572995556E-2</v>
      </c>
    </row>
    <row r="2780" spans="1:8" x14ac:dyDescent="0.25">
      <c r="A2780" s="1">
        <v>2002</v>
      </c>
      <c r="B2780" s="1" t="s">
        <v>99</v>
      </c>
      <c r="C2780" t="s">
        <v>51</v>
      </c>
      <c r="D2780">
        <v>1</v>
      </c>
      <c r="E2780">
        <v>32</v>
      </c>
      <c r="F2780">
        <v>0.12</v>
      </c>
      <c r="G2780">
        <f t="shared" si="31"/>
        <v>0.04</v>
      </c>
      <c r="H2780">
        <f>G2780*(26.79/38.29)</f>
        <v>2.7986419430660745E-2</v>
      </c>
    </row>
    <row r="2781" spans="1:8" x14ac:dyDescent="0.25">
      <c r="A2781" s="1">
        <v>2002</v>
      </c>
      <c r="B2781" s="1" t="s">
        <v>99</v>
      </c>
      <c r="C2781" t="s">
        <v>51</v>
      </c>
      <c r="D2781">
        <v>1</v>
      </c>
      <c r="E2781">
        <v>32</v>
      </c>
      <c r="F2781">
        <v>0.03</v>
      </c>
      <c r="G2781">
        <f t="shared" si="31"/>
        <v>0.01</v>
      </c>
      <c r="H2781">
        <f>G2781*(26.79/38.29)</f>
        <v>6.9966048576651863E-3</v>
      </c>
    </row>
    <row r="2782" spans="1:8" x14ac:dyDescent="0.25">
      <c r="A2782" s="1">
        <v>2002</v>
      </c>
      <c r="B2782" s="1" t="s">
        <v>99</v>
      </c>
      <c r="C2782" t="s">
        <v>51</v>
      </c>
      <c r="D2782">
        <v>1</v>
      </c>
      <c r="E2782">
        <v>32</v>
      </c>
      <c r="F2782">
        <v>0.1</v>
      </c>
      <c r="G2782">
        <f t="shared" si="31"/>
        <v>3.333333333333334E-2</v>
      </c>
      <c r="H2782">
        <f>G2782*(26.79/38.29)</f>
        <v>2.3322016192217292E-2</v>
      </c>
    </row>
    <row r="2783" spans="1:8" x14ac:dyDescent="0.25">
      <c r="A2783" s="1">
        <v>2002</v>
      </c>
      <c r="B2783" s="1" t="s">
        <v>99</v>
      </c>
      <c r="C2783" t="s">
        <v>51</v>
      </c>
      <c r="D2783">
        <v>1</v>
      </c>
      <c r="E2783">
        <v>32</v>
      </c>
      <c r="F2783">
        <v>0.12</v>
      </c>
      <c r="G2783">
        <f t="shared" si="31"/>
        <v>0.04</v>
      </c>
      <c r="H2783">
        <f>G2783*(26.79/38.29)</f>
        <v>2.7986419430660745E-2</v>
      </c>
    </row>
    <row r="2784" spans="1:8" x14ac:dyDescent="0.25">
      <c r="A2784" s="1">
        <v>2002</v>
      </c>
      <c r="B2784" s="1" t="s">
        <v>99</v>
      </c>
      <c r="C2784" t="s">
        <v>51</v>
      </c>
      <c r="D2784">
        <v>1</v>
      </c>
      <c r="E2784">
        <v>63</v>
      </c>
      <c r="F2784">
        <v>0.12</v>
      </c>
      <c r="G2784">
        <f t="shared" si="31"/>
        <v>0.04</v>
      </c>
      <c r="H2784">
        <f>G2784*(26.79/38.29)</f>
        <v>2.7986419430660745E-2</v>
      </c>
    </row>
    <row r="2785" spans="1:8" x14ac:dyDescent="0.25">
      <c r="A2785" s="1">
        <v>2002</v>
      </c>
      <c r="B2785" s="1" t="s">
        <v>99</v>
      </c>
      <c r="C2785" t="s">
        <v>51</v>
      </c>
      <c r="D2785">
        <v>1</v>
      </c>
      <c r="E2785">
        <v>63</v>
      </c>
      <c r="F2785">
        <v>0.05</v>
      </c>
      <c r="G2785">
        <f t="shared" si="31"/>
        <v>1.666666666666667E-2</v>
      </c>
      <c r="H2785">
        <f>G2785*(26.79/38.29)</f>
        <v>1.1661008096108646E-2</v>
      </c>
    </row>
    <row r="2786" spans="1:8" x14ac:dyDescent="0.25">
      <c r="A2786" s="1">
        <v>2002</v>
      </c>
      <c r="B2786" s="1" t="s">
        <v>99</v>
      </c>
      <c r="C2786" t="s">
        <v>51</v>
      </c>
      <c r="D2786">
        <v>1</v>
      </c>
      <c r="E2786">
        <v>63</v>
      </c>
      <c r="F2786">
        <v>0.12</v>
      </c>
      <c r="G2786">
        <f t="shared" si="31"/>
        <v>0.04</v>
      </c>
      <c r="H2786">
        <f>G2786*(26.79/38.29)</f>
        <v>2.7986419430660745E-2</v>
      </c>
    </row>
    <row r="2787" spans="1:8" x14ac:dyDescent="0.25">
      <c r="A2787" s="1">
        <v>2002</v>
      </c>
      <c r="B2787" s="1" t="s">
        <v>99</v>
      </c>
      <c r="C2787" t="s">
        <v>51</v>
      </c>
      <c r="D2787">
        <v>1</v>
      </c>
      <c r="E2787">
        <v>63</v>
      </c>
      <c r="F2787">
        <v>0.05</v>
      </c>
      <c r="G2787">
        <f t="shared" si="31"/>
        <v>1.666666666666667E-2</v>
      </c>
      <c r="H2787">
        <f>G2787*(26.79/38.29)</f>
        <v>1.1661008096108646E-2</v>
      </c>
    </row>
    <row r="2788" spans="1:8" x14ac:dyDescent="0.25">
      <c r="A2788" s="1">
        <v>2002</v>
      </c>
      <c r="B2788" s="1" t="s">
        <v>99</v>
      </c>
      <c r="C2788" t="s">
        <v>51</v>
      </c>
      <c r="D2788">
        <v>1</v>
      </c>
      <c r="E2788">
        <v>66</v>
      </c>
      <c r="F2788">
        <v>0.04</v>
      </c>
      <c r="G2788">
        <f t="shared" si="31"/>
        <v>1.3333333333333332E-2</v>
      </c>
      <c r="H2788">
        <f>G2788*(26.79/38.29)</f>
        <v>9.3288064768869139E-3</v>
      </c>
    </row>
    <row r="2789" spans="1:8" x14ac:dyDescent="0.25">
      <c r="A2789" s="1">
        <v>2002</v>
      </c>
      <c r="B2789" s="1" t="s">
        <v>99</v>
      </c>
      <c r="C2789" t="s">
        <v>51</v>
      </c>
      <c r="D2789">
        <v>1</v>
      </c>
      <c r="E2789">
        <v>66</v>
      </c>
      <c r="F2789">
        <v>0.09</v>
      </c>
      <c r="G2789">
        <f t="shared" si="31"/>
        <v>0.03</v>
      </c>
      <c r="H2789">
        <f>G2789*(26.79/38.29)</f>
        <v>2.0989814572995556E-2</v>
      </c>
    </row>
    <row r="2790" spans="1:8" x14ac:dyDescent="0.25">
      <c r="A2790" s="1">
        <v>2002</v>
      </c>
      <c r="B2790" s="1" t="s">
        <v>99</v>
      </c>
      <c r="C2790" t="s">
        <v>51</v>
      </c>
      <c r="D2790">
        <v>1</v>
      </c>
      <c r="E2790">
        <v>76</v>
      </c>
      <c r="F2790">
        <v>0.03</v>
      </c>
      <c r="G2790">
        <f t="shared" si="31"/>
        <v>0.01</v>
      </c>
      <c r="H2790">
        <f>G2790*(26.79/38.29)</f>
        <v>6.9966048576651863E-3</v>
      </c>
    </row>
    <row r="2791" spans="1:8" x14ac:dyDescent="0.25">
      <c r="A2791" s="1">
        <v>2002</v>
      </c>
      <c r="B2791" s="1" t="s">
        <v>99</v>
      </c>
      <c r="C2791" t="s">
        <v>51</v>
      </c>
      <c r="D2791">
        <v>1</v>
      </c>
      <c r="E2791">
        <v>76</v>
      </c>
      <c r="F2791">
        <v>0.05</v>
      </c>
      <c r="G2791">
        <f t="shared" si="31"/>
        <v>1.666666666666667E-2</v>
      </c>
      <c r="H2791">
        <f>G2791*(26.79/38.29)</f>
        <v>1.1661008096108646E-2</v>
      </c>
    </row>
    <row r="2792" spans="1:8" x14ac:dyDescent="0.25">
      <c r="A2792" s="1">
        <v>2002</v>
      </c>
      <c r="B2792" s="1" t="s">
        <v>99</v>
      </c>
      <c r="C2792" t="s">
        <v>51</v>
      </c>
      <c r="D2792">
        <v>1</v>
      </c>
      <c r="E2792">
        <v>76</v>
      </c>
      <c r="F2792">
        <v>0.13</v>
      </c>
      <c r="G2792">
        <f t="shared" si="31"/>
        <v>4.3333333333333335E-2</v>
      </c>
      <c r="H2792">
        <f>G2792*(26.79/38.29)</f>
        <v>3.0318621049882474E-2</v>
      </c>
    </row>
    <row r="2793" spans="1:8" x14ac:dyDescent="0.25">
      <c r="A2793" s="1">
        <v>2002</v>
      </c>
      <c r="B2793" s="1" t="s">
        <v>99</v>
      </c>
      <c r="C2793" t="s">
        <v>51</v>
      </c>
      <c r="D2793">
        <v>1</v>
      </c>
      <c r="E2793">
        <v>76</v>
      </c>
      <c r="F2793">
        <v>7.0000000000000007E-2</v>
      </c>
      <c r="G2793">
        <f t="shared" si="31"/>
        <v>2.3333333333333338E-2</v>
      </c>
      <c r="H2793">
        <f>G2793*(26.79/38.29)</f>
        <v>1.6325411334552103E-2</v>
      </c>
    </row>
    <row r="2794" spans="1:8" x14ac:dyDescent="0.25">
      <c r="A2794" s="1">
        <v>2002</v>
      </c>
      <c r="B2794" s="1" t="s">
        <v>99</v>
      </c>
      <c r="C2794" t="s">
        <v>51</v>
      </c>
      <c r="D2794">
        <v>1</v>
      </c>
      <c r="E2794">
        <v>76</v>
      </c>
      <c r="F2794">
        <v>0.06</v>
      </c>
      <c r="G2794">
        <f t="shared" si="31"/>
        <v>0.02</v>
      </c>
      <c r="H2794">
        <f>G2794*(26.79/38.29)</f>
        <v>1.3993209715330373E-2</v>
      </c>
    </row>
    <row r="2795" spans="1:8" x14ac:dyDescent="0.25">
      <c r="A2795" s="1">
        <v>2002</v>
      </c>
      <c r="B2795" s="1" t="s">
        <v>99</v>
      </c>
      <c r="C2795" t="s">
        <v>51</v>
      </c>
      <c r="D2795">
        <v>1</v>
      </c>
      <c r="E2795">
        <v>76</v>
      </c>
      <c r="F2795">
        <v>0.09</v>
      </c>
      <c r="G2795">
        <f t="shared" si="31"/>
        <v>0.03</v>
      </c>
      <c r="H2795">
        <f>G2795*(26.79/38.29)</f>
        <v>2.0989814572995556E-2</v>
      </c>
    </row>
    <row r="2796" spans="1:8" x14ac:dyDescent="0.25">
      <c r="A2796" s="1">
        <v>2002</v>
      </c>
      <c r="B2796" s="1" t="s">
        <v>99</v>
      </c>
      <c r="C2796" t="s">
        <v>51</v>
      </c>
      <c r="D2796">
        <v>1</v>
      </c>
      <c r="E2796">
        <v>76</v>
      </c>
      <c r="F2796">
        <v>0.04</v>
      </c>
      <c r="G2796">
        <f t="shared" si="31"/>
        <v>1.3333333333333332E-2</v>
      </c>
      <c r="H2796">
        <f>G2796*(26.79/38.29)</f>
        <v>9.3288064768869139E-3</v>
      </c>
    </row>
    <row r="2797" spans="1:8" x14ac:dyDescent="0.25">
      <c r="A2797" s="1">
        <v>2002</v>
      </c>
      <c r="B2797" s="1" t="s">
        <v>99</v>
      </c>
      <c r="C2797" t="s">
        <v>51</v>
      </c>
      <c r="D2797">
        <v>1</v>
      </c>
      <c r="E2797">
        <v>76</v>
      </c>
      <c r="F2797">
        <v>0.12</v>
      </c>
      <c r="G2797">
        <f t="shared" si="31"/>
        <v>0.04</v>
      </c>
      <c r="H2797">
        <f>G2797*(26.79/38.29)</f>
        <v>2.7986419430660745E-2</v>
      </c>
    </row>
    <row r="2798" spans="1:8" x14ac:dyDescent="0.25">
      <c r="A2798" s="1">
        <v>2002</v>
      </c>
      <c r="B2798" s="1" t="s">
        <v>99</v>
      </c>
      <c r="C2798" t="s">
        <v>51</v>
      </c>
      <c r="D2798">
        <v>1</v>
      </c>
      <c r="E2798">
        <v>76</v>
      </c>
      <c r="F2798">
        <v>0.13</v>
      </c>
      <c r="G2798">
        <f t="shared" si="31"/>
        <v>4.3333333333333335E-2</v>
      </c>
      <c r="H2798">
        <f>G2798*(26.79/38.29)</f>
        <v>3.0318621049882474E-2</v>
      </c>
    </row>
    <row r="2799" spans="1:8" x14ac:dyDescent="0.25">
      <c r="A2799" s="1">
        <v>2002</v>
      </c>
      <c r="B2799" s="1" t="s">
        <v>99</v>
      </c>
      <c r="C2799" t="s">
        <v>51</v>
      </c>
      <c r="D2799">
        <v>1</v>
      </c>
      <c r="E2799">
        <v>76</v>
      </c>
      <c r="F2799">
        <v>0.05</v>
      </c>
      <c r="G2799">
        <f t="shared" si="31"/>
        <v>1.666666666666667E-2</v>
      </c>
      <c r="H2799">
        <f>G2799*(26.79/38.29)</f>
        <v>1.1661008096108646E-2</v>
      </c>
    </row>
    <row r="2800" spans="1:8" x14ac:dyDescent="0.25">
      <c r="A2800" s="1">
        <v>2002</v>
      </c>
      <c r="B2800" s="1" t="s">
        <v>99</v>
      </c>
      <c r="C2800" t="s">
        <v>51</v>
      </c>
      <c r="D2800">
        <v>1</v>
      </c>
      <c r="E2800">
        <v>76</v>
      </c>
      <c r="F2800">
        <v>0.13</v>
      </c>
      <c r="G2800">
        <f t="shared" si="31"/>
        <v>4.3333333333333335E-2</v>
      </c>
      <c r="H2800">
        <f>G2800*(26.79/38.29)</f>
        <v>3.0318621049882474E-2</v>
      </c>
    </row>
    <row r="2801" spans="1:8" x14ac:dyDescent="0.25">
      <c r="A2801" s="1">
        <v>2002</v>
      </c>
      <c r="B2801" s="1" t="s">
        <v>99</v>
      </c>
      <c r="C2801" t="s">
        <v>51</v>
      </c>
      <c r="D2801">
        <v>1</v>
      </c>
      <c r="E2801">
        <v>76</v>
      </c>
      <c r="F2801">
        <v>0.06</v>
      </c>
      <c r="G2801">
        <f t="shared" si="31"/>
        <v>0.02</v>
      </c>
      <c r="H2801">
        <f>G2801*(26.79/38.29)</f>
        <v>1.3993209715330373E-2</v>
      </c>
    </row>
    <row r="2802" spans="1:8" x14ac:dyDescent="0.25">
      <c r="A2802" s="1">
        <v>2002</v>
      </c>
      <c r="B2802" s="1" t="s">
        <v>99</v>
      </c>
      <c r="C2802" t="s">
        <v>51</v>
      </c>
      <c r="D2802">
        <v>1</v>
      </c>
      <c r="E2802">
        <v>76</v>
      </c>
      <c r="F2802">
        <v>0.12</v>
      </c>
      <c r="G2802">
        <f t="shared" si="31"/>
        <v>0.04</v>
      </c>
      <c r="H2802">
        <f>G2802*(26.79/38.29)</f>
        <v>2.7986419430660745E-2</v>
      </c>
    </row>
    <row r="2803" spans="1:8" x14ac:dyDescent="0.25">
      <c r="A2803" s="1">
        <v>2002</v>
      </c>
      <c r="B2803" s="1" t="s">
        <v>99</v>
      </c>
      <c r="C2803" t="s">
        <v>51</v>
      </c>
      <c r="D2803">
        <v>1</v>
      </c>
      <c r="E2803">
        <v>76</v>
      </c>
      <c r="F2803">
        <v>0.12</v>
      </c>
      <c r="G2803">
        <f t="shared" si="31"/>
        <v>0.04</v>
      </c>
      <c r="H2803">
        <f>G2803*(26.79/38.29)</f>
        <v>2.7986419430660745E-2</v>
      </c>
    </row>
    <row r="2804" spans="1:8" x14ac:dyDescent="0.25">
      <c r="A2804" s="1">
        <v>2002</v>
      </c>
      <c r="B2804" s="1" t="s">
        <v>99</v>
      </c>
      <c r="C2804" t="s">
        <v>51</v>
      </c>
      <c r="D2804">
        <v>1</v>
      </c>
      <c r="E2804">
        <v>78</v>
      </c>
      <c r="F2804">
        <v>0.06</v>
      </c>
      <c r="G2804">
        <f t="shared" si="31"/>
        <v>0.02</v>
      </c>
      <c r="H2804">
        <f>G2804*(26.79/38.29)</f>
        <v>1.3993209715330373E-2</v>
      </c>
    </row>
    <row r="2805" spans="1:8" x14ac:dyDescent="0.25">
      <c r="A2805" s="1">
        <v>2002</v>
      </c>
      <c r="B2805" s="1" t="s">
        <v>99</v>
      </c>
      <c r="C2805" t="s">
        <v>51</v>
      </c>
      <c r="D2805">
        <v>1</v>
      </c>
      <c r="E2805">
        <v>78</v>
      </c>
      <c r="F2805">
        <v>0.03</v>
      </c>
      <c r="G2805">
        <f t="shared" si="31"/>
        <v>0.01</v>
      </c>
      <c r="H2805">
        <f>G2805*(26.79/38.29)</f>
        <v>6.9966048576651863E-3</v>
      </c>
    </row>
    <row r="2806" spans="1:8" x14ac:dyDescent="0.25">
      <c r="A2806" s="1">
        <v>2002</v>
      </c>
      <c r="B2806" s="1" t="s">
        <v>99</v>
      </c>
      <c r="C2806" t="s">
        <v>51</v>
      </c>
      <c r="D2806">
        <v>1</v>
      </c>
      <c r="E2806">
        <v>78</v>
      </c>
      <c r="F2806">
        <v>0.06</v>
      </c>
      <c r="G2806">
        <f t="shared" si="31"/>
        <v>0.02</v>
      </c>
      <c r="H2806">
        <f>G2806*(26.79/38.29)</f>
        <v>1.3993209715330373E-2</v>
      </c>
    </row>
    <row r="2807" spans="1:8" x14ac:dyDescent="0.25">
      <c r="A2807" s="1">
        <v>2002</v>
      </c>
      <c r="B2807" s="1" t="s">
        <v>99</v>
      </c>
      <c r="C2807" t="s">
        <v>51</v>
      </c>
      <c r="D2807">
        <v>1</v>
      </c>
      <c r="E2807">
        <v>78</v>
      </c>
      <c r="F2807">
        <v>0.1</v>
      </c>
      <c r="G2807">
        <f t="shared" si="31"/>
        <v>3.333333333333334E-2</v>
      </c>
      <c r="H2807">
        <f>G2807*(26.79/38.29)</f>
        <v>2.3322016192217292E-2</v>
      </c>
    </row>
    <row r="2808" spans="1:8" x14ac:dyDescent="0.25">
      <c r="A2808" s="1">
        <v>2002</v>
      </c>
      <c r="B2808" s="1" t="s">
        <v>99</v>
      </c>
      <c r="C2808" t="s">
        <v>51</v>
      </c>
      <c r="D2808">
        <v>1</v>
      </c>
      <c r="E2808">
        <v>78</v>
      </c>
      <c r="F2808">
        <v>0.04</v>
      </c>
      <c r="G2808">
        <f t="shared" si="31"/>
        <v>1.3333333333333332E-2</v>
      </c>
      <c r="H2808">
        <f>G2808*(26.79/38.29)</f>
        <v>9.3288064768869139E-3</v>
      </c>
    </row>
    <row r="2809" spans="1:8" x14ac:dyDescent="0.25">
      <c r="A2809" s="1">
        <v>2002</v>
      </c>
      <c r="B2809" s="1" t="s">
        <v>99</v>
      </c>
      <c r="C2809" t="s">
        <v>51</v>
      </c>
      <c r="D2809">
        <v>1</v>
      </c>
      <c r="E2809">
        <v>78</v>
      </c>
      <c r="F2809">
        <v>0.08</v>
      </c>
      <c r="G2809">
        <f t="shared" si="31"/>
        <v>2.6666666666666665E-2</v>
      </c>
      <c r="H2809">
        <f>G2809*(26.79/38.29)</f>
        <v>1.8657612953773828E-2</v>
      </c>
    </row>
    <row r="2810" spans="1:8" x14ac:dyDescent="0.25">
      <c r="A2810" s="1">
        <v>2002</v>
      </c>
      <c r="B2810" s="1" t="s">
        <v>99</v>
      </c>
      <c r="C2810" t="s">
        <v>51</v>
      </c>
      <c r="D2810">
        <v>1</v>
      </c>
      <c r="E2810">
        <v>78</v>
      </c>
      <c r="F2810">
        <v>0.06</v>
      </c>
      <c r="G2810">
        <f t="shared" si="31"/>
        <v>0.02</v>
      </c>
      <c r="H2810">
        <f>G2810*(26.79/38.29)</f>
        <v>1.3993209715330373E-2</v>
      </c>
    </row>
    <row r="2811" spans="1:8" x14ac:dyDescent="0.25">
      <c r="A2811" s="1">
        <v>2002</v>
      </c>
      <c r="B2811" s="1" t="s">
        <v>99</v>
      </c>
      <c r="C2811" t="s">
        <v>51</v>
      </c>
      <c r="D2811">
        <v>1</v>
      </c>
      <c r="E2811">
        <v>78</v>
      </c>
      <c r="F2811">
        <v>0.06</v>
      </c>
      <c r="G2811">
        <f t="shared" si="31"/>
        <v>0.02</v>
      </c>
      <c r="H2811">
        <f>G2811*(26.79/38.29)</f>
        <v>1.3993209715330373E-2</v>
      </c>
    </row>
    <row r="2812" spans="1:8" x14ac:dyDescent="0.25">
      <c r="A2812" s="1">
        <v>2002</v>
      </c>
      <c r="B2812" s="1" t="s">
        <v>99</v>
      </c>
      <c r="C2812" t="s">
        <v>51</v>
      </c>
      <c r="D2812">
        <v>1</v>
      </c>
      <c r="E2812">
        <v>78</v>
      </c>
      <c r="F2812">
        <v>0.08</v>
      </c>
      <c r="G2812">
        <f t="shared" si="31"/>
        <v>2.6666666666666665E-2</v>
      </c>
      <c r="H2812">
        <f>G2812*(26.79/38.29)</f>
        <v>1.8657612953773828E-2</v>
      </c>
    </row>
    <row r="2813" spans="1:8" x14ac:dyDescent="0.25">
      <c r="A2813" s="1">
        <v>2002</v>
      </c>
      <c r="B2813" s="1" t="s">
        <v>99</v>
      </c>
      <c r="C2813" t="s">
        <v>51</v>
      </c>
      <c r="D2813">
        <v>1</v>
      </c>
      <c r="E2813">
        <v>78</v>
      </c>
      <c r="F2813">
        <v>0.03</v>
      </c>
      <c r="G2813">
        <f t="shared" si="31"/>
        <v>0.01</v>
      </c>
      <c r="H2813">
        <f>G2813*(26.79/38.29)</f>
        <v>6.9966048576651863E-3</v>
      </c>
    </row>
    <row r="2814" spans="1:8" x14ac:dyDescent="0.25">
      <c r="A2814" s="1">
        <v>2002</v>
      </c>
      <c r="B2814" s="1" t="s">
        <v>99</v>
      </c>
      <c r="C2814" t="s">
        <v>51</v>
      </c>
      <c r="D2814">
        <v>1</v>
      </c>
      <c r="E2814">
        <v>78</v>
      </c>
      <c r="F2814">
        <v>0.04</v>
      </c>
      <c r="G2814">
        <f t="shared" si="31"/>
        <v>1.3333333333333332E-2</v>
      </c>
      <c r="H2814">
        <f>G2814*(26.79/38.29)</f>
        <v>9.3288064768869139E-3</v>
      </c>
    </row>
    <row r="2815" spans="1:8" x14ac:dyDescent="0.25">
      <c r="A2815" s="1">
        <v>2002</v>
      </c>
      <c r="B2815" s="1" t="s">
        <v>99</v>
      </c>
      <c r="C2815" t="s">
        <v>51</v>
      </c>
      <c r="D2815">
        <v>1</v>
      </c>
      <c r="E2815">
        <v>78</v>
      </c>
      <c r="F2815">
        <v>0.05</v>
      </c>
      <c r="G2815">
        <f t="shared" si="31"/>
        <v>1.666666666666667E-2</v>
      </c>
      <c r="H2815">
        <f>G2815*(26.79/38.29)</f>
        <v>1.1661008096108646E-2</v>
      </c>
    </row>
    <row r="2816" spans="1:8" x14ac:dyDescent="0.25">
      <c r="A2816" s="1">
        <v>2002</v>
      </c>
      <c r="B2816" s="1" t="s">
        <v>99</v>
      </c>
      <c r="C2816" t="s">
        <v>51</v>
      </c>
      <c r="D2816">
        <v>1</v>
      </c>
      <c r="E2816">
        <v>78</v>
      </c>
      <c r="F2816">
        <v>0.04</v>
      </c>
      <c r="G2816">
        <f t="shared" si="31"/>
        <v>1.3333333333333332E-2</v>
      </c>
      <c r="H2816">
        <f>G2816*(26.79/38.29)</f>
        <v>9.3288064768869139E-3</v>
      </c>
    </row>
    <row r="2817" spans="1:8" x14ac:dyDescent="0.25">
      <c r="A2817" s="1">
        <v>2002</v>
      </c>
      <c r="B2817" s="1" t="s">
        <v>99</v>
      </c>
      <c r="C2817" t="s">
        <v>51</v>
      </c>
      <c r="D2817">
        <v>1</v>
      </c>
      <c r="E2817">
        <v>78</v>
      </c>
      <c r="F2817">
        <v>0.08</v>
      </c>
      <c r="G2817">
        <f t="shared" si="31"/>
        <v>2.6666666666666665E-2</v>
      </c>
      <c r="H2817">
        <f>G2817*(26.79/38.29)</f>
        <v>1.8657612953773828E-2</v>
      </c>
    </row>
    <row r="2818" spans="1:8" x14ac:dyDescent="0.25">
      <c r="A2818" s="1">
        <v>2002</v>
      </c>
      <c r="B2818" s="1" t="s">
        <v>99</v>
      </c>
      <c r="C2818" t="s">
        <v>51</v>
      </c>
      <c r="D2818">
        <v>1</v>
      </c>
      <c r="E2818">
        <v>78</v>
      </c>
      <c r="F2818">
        <v>0.04</v>
      </c>
      <c r="G2818">
        <f t="shared" si="31"/>
        <v>1.3333333333333332E-2</v>
      </c>
      <c r="H2818">
        <f>G2818*(26.79/38.29)</f>
        <v>9.3288064768869139E-3</v>
      </c>
    </row>
    <row r="2819" spans="1:8" x14ac:dyDescent="0.25">
      <c r="A2819" s="1">
        <v>2002</v>
      </c>
      <c r="B2819" s="1" t="s">
        <v>99</v>
      </c>
      <c r="C2819" t="s">
        <v>51</v>
      </c>
      <c r="D2819">
        <v>1</v>
      </c>
      <c r="E2819">
        <v>78</v>
      </c>
      <c r="F2819">
        <v>0.04</v>
      </c>
      <c r="G2819">
        <f t="shared" si="31"/>
        <v>1.3333333333333332E-2</v>
      </c>
      <c r="H2819">
        <f>G2819*(26.79/38.29)</f>
        <v>9.3288064768869139E-3</v>
      </c>
    </row>
    <row r="2820" spans="1:8" x14ac:dyDescent="0.25">
      <c r="A2820" s="1">
        <v>2002</v>
      </c>
      <c r="B2820" s="1" t="s">
        <v>99</v>
      </c>
      <c r="C2820" t="s">
        <v>51</v>
      </c>
      <c r="D2820">
        <v>1</v>
      </c>
      <c r="E2820">
        <v>78</v>
      </c>
      <c r="F2820">
        <v>0.06</v>
      </c>
      <c r="G2820">
        <f t="shared" si="31"/>
        <v>0.02</v>
      </c>
      <c r="H2820">
        <f>G2820*(26.79/38.29)</f>
        <v>1.3993209715330373E-2</v>
      </c>
    </row>
    <row r="2821" spans="1:8" x14ac:dyDescent="0.25">
      <c r="A2821" s="1">
        <v>2002</v>
      </c>
      <c r="B2821" s="1" t="s">
        <v>99</v>
      </c>
      <c r="C2821" t="s">
        <v>51</v>
      </c>
      <c r="D2821">
        <v>1</v>
      </c>
      <c r="E2821">
        <v>78</v>
      </c>
      <c r="F2821">
        <v>0.04</v>
      </c>
      <c r="G2821">
        <f t="shared" si="31"/>
        <v>1.3333333333333332E-2</v>
      </c>
      <c r="H2821">
        <f>G2821*(26.79/38.29)</f>
        <v>9.3288064768869139E-3</v>
      </c>
    </row>
    <row r="2822" spans="1:8" x14ac:dyDescent="0.25">
      <c r="A2822" s="1">
        <v>2002</v>
      </c>
      <c r="B2822" s="1" t="s">
        <v>99</v>
      </c>
      <c r="C2822" t="s">
        <v>51</v>
      </c>
      <c r="D2822">
        <v>1</v>
      </c>
      <c r="E2822">
        <v>78</v>
      </c>
      <c r="F2822">
        <v>0.04</v>
      </c>
      <c r="G2822">
        <f t="shared" si="31"/>
        <v>1.3333333333333332E-2</v>
      </c>
      <c r="H2822">
        <f>G2822*(26.79/38.29)</f>
        <v>9.3288064768869139E-3</v>
      </c>
    </row>
    <row r="2823" spans="1:8" x14ac:dyDescent="0.25">
      <c r="A2823" s="1">
        <v>2002</v>
      </c>
      <c r="B2823" s="1" t="s">
        <v>99</v>
      </c>
      <c r="C2823" t="s">
        <v>51</v>
      </c>
      <c r="D2823">
        <v>1</v>
      </c>
      <c r="E2823">
        <v>78</v>
      </c>
      <c r="F2823">
        <v>0.05</v>
      </c>
      <c r="G2823">
        <f t="shared" si="31"/>
        <v>1.666666666666667E-2</v>
      </c>
      <c r="H2823">
        <f>G2823*(26.79/38.29)</f>
        <v>1.1661008096108646E-2</v>
      </c>
    </row>
    <row r="2824" spans="1:8" x14ac:dyDescent="0.25">
      <c r="A2824" s="1">
        <v>2002</v>
      </c>
      <c r="B2824" s="1" t="s">
        <v>99</v>
      </c>
      <c r="C2824" t="s">
        <v>51</v>
      </c>
      <c r="D2824">
        <v>1</v>
      </c>
      <c r="E2824">
        <v>79</v>
      </c>
      <c r="F2824">
        <v>0.12</v>
      </c>
      <c r="G2824">
        <f t="shared" si="31"/>
        <v>0.04</v>
      </c>
      <c r="H2824">
        <f>G2824*(26.79/38.29)</f>
        <v>2.7986419430660745E-2</v>
      </c>
    </row>
    <row r="2825" spans="1:8" x14ac:dyDescent="0.25">
      <c r="A2825" s="1">
        <v>2002</v>
      </c>
      <c r="B2825" s="1" t="s">
        <v>99</v>
      </c>
      <c r="C2825" t="s">
        <v>51</v>
      </c>
      <c r="D2825">
        <v>1</v>
      </c>
      <c r="E2825">
        <v>79</v>
      </c>
      <c r="F2825">
        <v>0.05</v>
      </c>
      <c r="G2825">
        <f t="shared" si="31"/>
        <v>1.666666666666667E-2</v>
      </c>
      <c r="H2825">
        <f>G2825*(26.79/38.29)</f>
        <v>1.1661008096108646E-2</v>
      </c>
    </row>
    <row r="2826" spans="1:8" x14ac:dyDescent="0.25">
      <c r="A2826" s="1">
        <v>2002</v>
      </c>
      <c r="B2826" s="1" t="s">
        <v>99</v>
      </c>
      <c r="C2826" t="s">
        <v>51</v>
      </c>
      <c r="D2826">
        <v>1</v>
      </c>
      <c r="E2826">
        <v>79</v>
      </c>
      <c r="F2826">
        <v>0.13</v>
      </c>
      <c r="G2826">
        <f t="shared" si="31"/>
        <v>4.3333333333333335E-2</v>
      </c>
      <c r="H2826">
        <f>G2826*(26.79/38.29)</f>
        <v>3.0318621049882474E-2</v>
      </c>
    </row>
    <row r="2827" spans="1:8" x14ac:dyDescent="0.25">
      <c r="A2827" s="1">
        <v>2002</v>
      </c>
      <c r="B2827" s="1" t="s">
        <v>99</v>
      </c>
      <c r="C2827" t="s">
        <v>51</v>
      </c>
      <c r="D2827">
        <v>1</v>
      </c>
      <c r="E2827">
        <v>79</v>
      </c>
      <c r="F2827">
        <v>0.05</v>
      </c>
      <c r="G2827">
        <f t="shared" si="31"/>
        <v>1.666666666666667E-2</v>
      </c>
      <c r="H2827">
        <f>G2827*(26.79/38.29)</f>
        <v>1.1661008096108646E-2</v>
      </c>
    </row>
    <row r="2828" spans="1:8" x14ac:dyDescent="0.25">
      <c r="A2828" s="1">
        <v>2002</v>
      </c>
      <c r="B2828" s="1" t="s">
        <v>99</v>
      </c>
      <c r="C2828" t="s">
        <v>51</v>
      </c>
      <c r="D2828">
        <v>1</v>
      </c>
      <c r="E2828">
        <v>91</v>
      </c>
      <c r="F2828">
        <v>0.12</v>
      </c>
      <c r="G2828">
        <f t="shared" si="31"/>
        <v>0.04</v>
      </c>
      <c r="H2828">
        <f>G2828*(26.79/38.29)</f>
        <v>2.7986419430660745E-2</v>
      </c>
    </row>
    <row r="2829" spans="1:8" x14ac:dyDescent="0.25">
      <c r="A2829" s="1">
        <v>2002</v>
      </c>
      <c r="B2829" s="1" t="s">
        <v>99</v>
      </c>
      <c r="C2829" t="s">
        <v>51</v>
      </c>
      <c r="D2829">
        <v>2</v>
      </c>
      <c r="E2829">
        <v>29</v>
      </c>
      <c r="F2829">
        <v>0.05</v>
      </c>
      <c r="G2829">
        <f t="shared" si="31"/>
        <v>1.666666666666667E-2</v>
      </c>
      <c r="H2829">
        <f>G2829*(26.79/38.29)</f>
        <v>1.1661008096108646E-2</v>
      </c>
    </row>
    <row r="2830" spans="1:8" x14ac:dyDescent="0.25">
      <c r="A2830" s="1">
        <v>2002</v>
      </c>
      <c r="B2830" s="1" t="s">
        <v>99</v>
      </c>
      <c r="C2830" t="s">
        <v>51</v>
      </c>
      <c r="D2830">
        <v>2</v>
      </c>
      <c r="E2830">
        <v>29</v>
      </c>
      <c r="F2830">
        <v>0.05</v>
      </c>
      <c r="G2830">
        <f t="shared" ref="G2830:G2893" si="32">(F2830/0.6)/5</f>
        <v>1.666666666666667E-2</v>
      </c>
      <c r="H2830">
        <f>G2830*(26.79/38.29)</f>
        <v>1.1661008096108646E-2</v>
      </c>
    </row>
    <row r="2831" spans="1:8" x14ac:dyDescent="0.25">
      <c r="A2831" s="1">
        <v>2002</v>
      </c>
      <c r="B2831" s="1" t="s">
        <v>99</v>
      </c>
      <c r="C2831" t="s">
        <v>51</v>
      </c>
      <c r="D2831">
        <v>2</v>
      </c>
      <c r="E2831">
        <v>29</v>
      </c>
      <c r="F2831">
        <v>0.04</v>
      </c>
      <c r="G2831">
        <f t="shared" si="32"/>
        <v>1.3333333333333332E-2</v>
      </c>
      <c r="H2831">
        <f>G2831*(26.79/38.29)</f>
        <v>9.3288064768869139E-3</v>
      </c>
    </row>
    <row r="2832" spans="1:8" x14ac:dyDescent="0.25">
      <c r="A2832" s="1">
        <v>2002</v>
      </c>
      <c r="B2832" s="1" t="s">
        <v>99</v>
      </c>
      <c r="C2832" t="s">
        <v>51</v>
      </c>
      <c r="D2832">
        <v>2</v>
      </c>
      <c r="E2832">
        <v>29</v>
      </c>
      <c r="F2832">
        <v>0.04</v>
      </c>
      <c r="G2832">
        <f t="shared" si="32"/>
        <v>1.3333333333333332E-2</v>
      </c>
      <c r="H2832">
        <f>G2832*(26.79/38.29)</f>
        <v>9.3288064768869139E-3</v>
      </c>
    </row>
    <row r="2833" spans="1:8" x14ac:dyDescent="0.25">
      <c r="A2833" s="1">
        <v>2002</v>
      </c>
      <c r="B2833" s="1" t="s">
        <v>99</v>
      </c>
      <c r="C2833" t="s">
        <v>51</v>
      </c>
      <c r="D2833">
        <v>2</v>
      </c>
      <c r="E2833">
        <v>29</v>
      </c>
      <c r="F2833">
        <v>0.05</v>
      </c>
      <c r="G2833">
        <f t="shared" si="32"/>
        <v>1.666666666666667E-2</v>
      </c>
      <c r="H2833">
        <f>G2833*(26.79/38.29)</f>
        <v>1.1661008096108646E-2</v>
      </c>
    </row>
    <row r="2834" spans="1:8" x14ac:dyDescent="0.25">
      <c r="A2834" s="1">
        <v>2002</v>
      </c>
      <c r="B2834" s="1" t="s">
        <v>99</v>
      </c>
      <c r="C2834" t="s">
        <v>51</v>
      </c>
      <c r="D2834">
        <v>2</v>
      </c>
      <c r="E2834">
        <v>32</v>
      </c>
      <c r="F2834">
        <v>0.04</v>
      </c>
      <c r="G2834">
        <f t="shared" si="32"/>
        <v>1.3333333333333332E-2</v>
      </c>
      <c r="H2834">
        <f>G2834*(26.79/38.29)</f>
        <v>9.3288064768869139E-3</v>
      </c>
    </row>
    <row r="2835" spans="1:8" x14ac:dyDescent="0.25">
      <c r="A2835" s="1">
        <v>2002</v>
      </c>
      <c r="B2835" s="1" t="s">
        <v>99</v>
      </c>
      <c r="C2835" t="s">
        <v>51</v>
      </c>
      <c r="D2835">
        <v>2</v>
      </c>
      <c r="E2835">
        <v>32</v>
      </c>
      <c r="F2835">
        <v>0.04</v>
      </c>
      <c r="G2835">
        <f t="shared" si="32"/>
        <v>1.3333333333333332E-2</v>
      </c>
      <c r="H2835">
        <f>G2835*(26.79/38.29)</f>
        <v>9.3288064768869139E-3</v>
      </c>
    </row>
    <row r="2836" spans="1:8" x14ac:dyDescent="0.25">
      <c r="A2836" s="1">
        <v>2002</v>
      </c>
      <c r="B2836" s="1" t="s">
        <v>99</v>
      </c>
      <c r="C2836" t="s">
        <v>51</v>
      </c>
      <c r="D2836">
        <v>2</v>
      </c>
      <c r="E2836">
        <v>32</v>
      </c>
      <c r="F2836">
        <v>0.04</v>
      </c>
      <c r="G2836">
        <f t="shared" si="32"/>
        <v>1.3333333333333332E-2</v>
      </c>
      <c r="H2836">
        <f>G2836*(26.79/38.29)</f>
        <v>9.3288064768869139E-3</v>
      </c>
    </row>
    <row r="2837" spans="1:8" x14ac:dyDescent="0.25">
      <c r="A2837" s="1">
        <v>2002</v>
      </c>
      <c r="B2837" s="1" t="s">
        <v>99</v>
      </c>
      <c r="C2837" t="s">
        <v>51</v>
      </c>
      <c r="D2837">
        <v>2</v>
      </c>
      <c r="E2837">
        <v>32</v>
      </c>
      <c r="F2837">
        <v>0.04</v>
      </c>
      <c r="G2837">
        <f t="shared" si="32"/>
        <v>1.3333333333333332E-2</v>
      </c>
      <c r="H2837">
        <f>G2837*(26.79/38.29)</f>
        <v>9.3288064768869139E-3</v>
      </c>
    </row>
    <row r="2838" spans="1:8" x14ac:dyDescent="0.25">
      <c r="A2838" s="1">
        <v>2002</v>
      </c>
      <c r="B2838" s="1" t="s">
        <v>99</v>
      </c>
      <c r="C2838" t="s">
        <v>51</v>
      </c>
      <c r="D2838">
        <v>2</v>
      </c>
      <c r="E2838">
        <v>32</v>
      </c>
      <c r="F2838">
        <v>0.05</v>
      </c>
      <c r="G2838">
        <f t="shared" si="32"/>
        <v>1.666666666666667E-2</v>
      </c>
      <c r="H2838">
        <f>G2838*(26.79/38.29)</f>
        <v>1.1661008096108646E-2</v>
      </c>
    </row>
    <row r="2839" spans="1:8" x14ac:dyDescent="0.25">
      <c r="A2839" s="1">
        <v>2002</v>
      </c>
      <c r="B2839" s="1" t="s">
        <v>99</v>
      </c>
      <c r="C2839" t="s">
        <v>51</v>
      </c>
      <c r="D2839">
        <v>2</v>
      </c>
      <c r="E2839">
        <v>32</v>
      </c>
      <c r="F2839">
        <v>0.06</v>
      </c>
      <c r="G2839">
        <f t="shared" si="32"/>
        <v>0.02</v>
      </c>
      <c r="H2839">
        <f>G2839*(26.79/38.29)</f>
        <v>1.3993209715330373E-2</v>
      </c>
    </row>
    <row r="2840" spans="1:8" x14ac:dyDescent="0.25">
      <c r="A2840" s="1">
        <v>2002</v>
      </c>
      <c r="B2840" s="1" t="s">
        <v>99</v>
      </c>
      <c r="C2840" t="s">
        <v>51</v>
      </c>
      <c r="D2840">
        <v>2</v>
      </c>
      <c r="E2840">
        <v>32</v>
      </c>
      <c r="F2840">
        <v>0.05</v>
      </c>
      <c r="G2840">
        <f t="shared" si="32"/>
        <v>1.666666666666667E-2</v>
      </c>
      <c r="H2840">
        <f>G2840*(26.79/38.29)</f>
        <v>1.1661008096108646E-2</v>
      </c>
    </row>
    <row r="2841" spans="1:8" x14ac:dyDescent="0.25">
      <c r="A2841" s="1">
        <v>2002</v>
      </c>
      <c r="B2841" s="1" t="s">
        <v>99</v>
      </c>
      <c r="C2841" t="s">
        <v>51</v>
      </c>
      <c r="D2841">
        <v>2</v>
      </c>
      <c r="E2841">
        <v>32</v>
      </c>
      <c r="F2841">
        <v>7.0000000000000007E-2</v>
      </c>
      <c r="G2841">
        <f t="shared" si="32"/>
        <v>2.3333333333333338E-2</v>
      </c>
      <c r="H2841">
        <f>G2841*(26.79/38.29)</f>
        <v>1.6325411334552103E-2</v>
      </c>
    </row>
    <row r="2842" spans="1:8" x14ac:dyDescent="0.25">
      <c r="A2842" s="1">
        <v>2002</v>
      </c>
      <c r="B2842" s="1" t="s">
        <v>99</v>
      </c>
      <c r="C2842" t="s">
        <v>51</v>
      </c>
      <c r="D2842">
        <v>2</v>
      </c>
      <c r="E2842">
        <v>32</v>
      </c>
      <c r="F2842">
        <v>0.04</v>
      </c>
      <c r="G2842">
        <f t="shared" si="32"/>
        <v>1.3333333333333332E-2</v>
      </c>
      <c r="H2842">
        <f>G2842*(26.79/38.29)</f>
        <v>9.3288064768869139E-3</v>
      </c>
    </row>
    <row r="2843" spans="1:8" x14ac:dyDescent="0.25">
      <c r="A2843" s="1">
        <v>2002</v>
      </c>
      <c r="B2843" s="1" t="s">
        <v>99</v>
      </c>
      <c r="C2843" t="s">
        <v>51</v>
      </c>
      <c r="D2843">
        <v>2</v>
      </c>
      <c r="E2843">
        <v>32</v>
      </c>
      <c r="F2843">
        <v>0.06</v>
      </c>
      <c r="G2843">
        <f t="shared" si="32"/>
        <v>0.02</v>
      </c>
      <c r="H2843">
        <f>G2843*(26.79/38.29)</f>
        <v>1.3993209715330373E-2</v>
      </c>
    </row>
    <row r="2844" spans="1:8" x14ac:dyDescent="0.25">
      <c r="A2844" s="1">
        <v>2002</v>
      </c>
      <c r="B2844" s="1" t="s">
        <v>99</v>
      </c>
      <c r="C2844" t="s">
        <v>51</v>
      </c>
      <c r="D2844">
        <v>2</v>
      </c>
      <c r="E2844">
        <v>32</v>
      </c>
      <c r="F2844">
        <v>0.06</v>
      </c>
      <c r="G2844">
        <f t="shared" si="32"/>
        <v>0.02</v>
      </c>
      <c r="H2844">
        <f>G2844*(26.79/38.29)</f>
        <v>1.3993209715330373E-2</v>
      </c>
    </row>
    <row r="2845" spans="1:8" x14ac:dyDescent="0.25">
      <c r="A2845" s="1">
        <v>2002</v>
      </c>
      <c r="B2845" s="1" t="s">
        <v>99</v>
      </c>
      <c r="C2845" t="s">
        <v>51</v>
      </c>
      <c r="D2845">
        <v>2</v>
      </c>
      <c r="E2845">
        <v>56</v>
      </c>
      <c r="F2845">
        <v>0.04</v>
      </c>
      <c r="G2845">
        <f t="shared" si="32"/>
        <v>1.3333333333333332E-2</v>
      </c>
      <c r="H2845">
        <f>G2845*(26.79/38.29)</f>
        <v>9.3288064768869139E-3</v>
      </c>
    </row>
    <row r="2846" spans="1:8" x14ac:dyDescent="0.25">
      <c r="A2846" s="1">
        <v>2002</v>
      </c>
      <c r="B2846" s="1" t="s">
        <v>99</v>
      </c>
      <c r="C2846" t="s">
        <v>51</v>
      </c>
      <c r="D2846">
        <v>2</v>
      </c>
      <c r="E2846">
        <v>58</v>
      </c>
      <c r="F2846">
        <v>0.04</v>
      </c>
      <c r="G2846">
        <f t="shared" si="32"/>
        <v>1.3333333333333332E-2</v>
      </c>
      <c r="H2846">
        <f>G2846*(26.79/38.29)</f>
        <v>9.3288064768869139E-3</v>
      </c>
    </row>
    <row r="2847" spans="1:8" x14ac:dyDescent="0.25">
      <c r="A2847" s="1">
        <v>2002</v>
      </c>
      <c r="B2847" s="1" t="s">
        <v>99</v>
      </c>
      <c r="C2847" t="s">
        <v>51</v>
      </c>
      <c r="D2847">
        <v>2</v>
      </c>
      <c r="E2847">
        <v>63</v>
      </c>
      <c r="F2847">
        <v>0.08</v>
      </c>
      <c r="G2847">
        <f t="shared" si="32"/>
        <v>2.6666666666666665E-2</v>
      </c>
      <c r="H2847">
        <f>G2847*(26.79/38.29)</f>
        <v>1.8657612953773828E-2</v>
      </c>
    </row>
    <row r="2848" spans="1:8" x14ac:dyDescent="0.25">
      <c r="A2848" s="1">
        <v>2002</v>
      </c>
      <c r="B2848" s="1" t="s">
        <v>99</v>
      </c>
      <c r="C2848" t="s">
        <v>51</v>
      </c>
      <c r="D2848">
        <v>2</v>
      </c>
      <c r="E2848">
        <v>63</v>
      </c>
      <c r="F2848">
        <v>0.06</v>
      </c>
      <c r="G2848">
        <f t="shared" si="32"/>
        <v>0.02</v>
      </c>
      <c r="H2848">
        <f>G2848*(26.79/38.29)</f>
        <v>1.3993209715330373E-2</v>
      </c>
    </row>
    <row r="2849" spans="1:8" x14ac:dyDescent="0.25">
      <c r="A2849" s="1">
        <v>2002</v>
      </c>
      <c r="B2849" s="1" t="s">
        <v>99</v>
      </c>
      <c r="C2849" t="s">
        <v>51</v>
      </c>
      <c r="D2849">
        <v>2</v>
      </c>
      <c r="E2849">
        <v>63</v>
      </c>
      <c r="F2849">
        <v>0.05</v>
      </c>
      <c r="G2849">
        <f t="shared" si="32"/>
        <v>1.666666666666667E-2</v>
      </c>
      <c r="H2849">
        <f>G2849*(26.79/38.29)</f>
        <v>1.1661008096108646E-2</v>
      </c>
    </row>
    <row r="2850" spans="1:8" x14ac:dyDescent="0.25">
      <c r="A2850" s="1">
        <v>2002</v>
      </c>
      <c r="B2850" s="1" t="s">
        <v>99</v>
      </c>
      <c r="C2850" t="s">
        <v>51</v>
      </c>
      <c r="D2850">
        <v>2</v>
      </c>
      <c r="E2850">
        <v>63</v>
      </c>
      <c r="F2850">
        <v>0.08</v>
      </c>
      <c r="G2850">
        <f t="shared" si="32"/>
        <v>2.6666666666666665E-2</v>
      </c>
      <c r="H2850">
        <f>G2850*(26.79/38.29)</f>
        <v>1.8657612953773828E-2</v>
      </c>
    </row>
    <row r="2851" spans="1:8" x14ac:dyDescent="0.25">
      <c r="A2851" s="1">
        <v>2002</v>
      </c>
      <c r="B2851" s="1" t="s">
        <v>99</v>
      </c>
      <c r="C2851" t="s">
        <v>51</v>
      </c>
      <c r="D2851">
        <v>2</v>
      </c>
      <c r="E2851">
        <v>63</v>
      </c>
      <c r="F2851">
        <v>0.13</v>
      </c>
      <c r="G2851">
        <f t="shared" si="32"/>
        <v>4.3333333333333335E-2</v>
      </c>
      <c r="H2851">
        <f>G2851*(26.79/38.29)</f>
        <v>3.0318621049882474E-2</v>
      </c>
    </row>
    <row r="2852" spans="1:8" x14ac:dyDescent="0.25">
      <c r="A2852" s="1">
        <v>2002</v>
      </c>
      <c r="B2852" s="1" t="s">
        <v>99</v>
      </c>
      <c r="C2852" t="s">
        <v>51</v>
      </c>
      <c r="D2852">
        <v>2</v>
      </c>
      <c r="E2852">
        <v>63</v>
      </c>
      <c r="F2852">
        <v>7.0000000000000007E-2</v>
      </c>
      <c r="G2852">
        <f t="shared" si="32"/>
        <v>2.3333333333333338E-2</v>
      </c>
      <c r="H2852">
        <f>G2852*(26.79/38.29)</f>
        <v>1.6325411334552103E-2</v>
      </c>
    </row>
    <row r="2853" spans="1:8" x14ac:dyDescent="0.25">
      <c r="A2853" s="1">
        <v>2002</v>
      </c>
      <c r="B2853" s="1" t="s">
        <v>99</v>
      </c>
      <c r="C2853" t="s">
        <v>51</v>
      </c>
      <c r="D2853">
        <v>2</v>
      </c>
      <c r="E2853">
        <v>71</v>
      </c>
      <c r="F2853">
        <v>0.12</v>
      </c>
      <c r="G2853">
        <f t="shared" si="32"/>
        <v>0.04</v>
      </c>
      <c r="H2853">
        <f>G2853*(26.79/38.29)</f>
        <v>2.7986419430660745E-2</v>
      </c>
    </row>
    <row r="2854" spans="1:8" x14ac:dyDescent="0.25">
      <c r="A2854" s="1">
        <v>2002</v>
      </c>
      <c r="B2854" s="1" t="s">
        <v>99</v>
      </c>
      <c r="C2854" t="s">
        <v>51</v>
      </c>
      <c r="D2854">
        <v>2</v>
      </c>
      <c r="E2854">
        <v>76</v>
      </c>
      <c r="F2854">
        <v>0.05</v>
      </c>
      <c r="G2854">
        <f t="shared" si="32"/>
        <v>1.666666666666667E-2</v>
      </c>
      <c r="H2854">
        <f>G2854*(26.79/38.29)</f>
        <v>1.1661008096108646E-2</v>
      </c>
    </row>
    <row r="2855" spans="1:8" x14ac:dyDescent="0.25">
      <c r="A2855" s="1">
        <v>2002</v>
      </c>
      <c r="B2855" s="1" t="s">
        <v>99</v>
      </c>
      <c r="C2855" t="s">
        <v>51</v>
      </c>
      <c r="D2855">
        <v>2</v>
      </c>
      <c r="E2855">
        <v>76</v>
      </c>
      <c r="F2855">
        <v>0.05</v>
      </c>
      <c r="G2855">
        <f t="shared" si="32"/>
        <v>1.666666666666667E-2</v>
      </c>
      <c r="H2855">
        <f>G2855*(26.79/38.29)</f>
        <v>1.1661008096108646E-2</v>
      </c>
    </row>
    <row r="2856" spans="1:8" x14ac:dyDescent="0.25">
      <c r="A2856" s="1">
        <v>2002</v>
      </c>
      <c r="B2856" s="1" t="s">
        <v>99</v>
      </c>
      <c r="C2856" t="s">
        <v>51</v>
      </c>
      <c r="D2856">
        <v>2</v>
      </c>
      <c r="E2856">
        <v>76</v>
      </c>
      <c r="F2856">
        <v>0.09</v>
      </c>
      <c r="G2856">
        <f t="shared" si="32"/>
        <v>0.03</v>
      </c>
      <c r="H2856">
        <f>G2856*(26.79/38.29)</f>
        <v>2.0989814572995556E-2</v>
      </c>
    </row>
    <row r="2857" spans="1:8" x14ac:dyDescent="0.25">
      <c r="A2857" s="1">
        <v>2002</v>
      </c>
      <c r="B2857" s="1" t="s">
        <v>99</v>
      </c>
      <c r="C2857" t="s">
        <v>51</v>
      </c>
      <c r="D2857">
        <v>2</v>
      </c>
      <c r="E2857">
        <v>76</v>
      </c>
      <c r="F2857">
        <v>0.11</v>
      </c>
      <c r="G2857">
        <f t="shared" si="32"/>
        <v>3.6666666666666667E-2</v>
      </c>
      <c r="H2857">
        <f>G2857*(26.79/38.29)</f>
        <v>2.5654217811439017E-2</v>
      </c>
    </row>
    <row r="2858" spans="1:8" x14ac:dyDescent="0.25">
      <c r="A2858" s="1">
        <v>2002</v>
      </c>
      <c r="B2858" s="1" t="s">
        <v>99</v>
      </c>
      <c r="C2858" t="s">
        <v>51</v>
      </c>
      <c r="D2858">
        <v>2</v>
      </c>
      <c r="E2858">
        <v>76</v>
      </c>
      <c r="F2858">
        <v>0.05</v>
      </c>
      <c r="G2858">
        <f t="shared" si="32"/>
        <v>1.666666666666667E-2</v>
      </c>
      <c r="H2858">
        <f>G2858*(26.79/38.29)</f>
        <v>1.1661008096108646E-2</v>
      </c>
    </row>
    <row r="2859" spans="1:8" x14ac:dyDescent="0.25">
      <c r="A2859" s="1">
        <v>2002</v>
      </c>
      <c r="B2859" s="1" t="s">
        <v>99</v>
      </c>
      <c r="C2859" t="s">
        <v>51</v>
      </c>
      <c r="D2859">
        <v>2</v>
      </c>
      <c r="E2859">
        <v>76</v>
      </c>
      <c r="F2859">
        <v>0.08</v>
      </c>
      <c r="G2859">
        <f t="shared" si="32"/>
        <v>2.6666666666666665E-2</v>
      </c>
      <c r="H2859">
        <f>G2859*(26.79/38.29)</f>
        <v>1.8657612953773828E-2</v>
      </c>
    </row>
    <row r="2860" spans="1:8" x14ac:dyDescent="0.25">
      <c r="A2860" s="1">
        <v>2002</v>
      </c>
      <c r="B2860" s="1" t="s">
        <v>99</v>
      </c>
      <c r="C2860" t="s">
        <v>51</v>
      </c>
      <c r="D2860">
        <v>2</v>
      </c>
      <c r="E2860">
        <v>78</v>
      </c>
      <c r="F2860">
        <v>0.04</v>
      </c>
      <c r="G2860">
        <f t="shared" si="32"/>
        <v>1.3333333333333332E-2</v>
      </c>
      <c r="H2860">
        <f>G2860*(26.79/38.29)</f>
        <v>9.3288064768869139E-3</v>
      </c>
    </row>
    <row r="2861" spans="1:8" x14ac:dyDescent="0.25">
      <c r="A2861" s="1">
        <v>2002</v>
      </c>
      <c r="B2861" s="1" t="s">
        <v>99</v>
      </c>
      <c r="C2861" t="s">
        <v>51</v>
      </c>
      <c r="D2861">
        <v>2</v>
      </c>
      <c r="E2861">
        <v>78</v>
      </c>
      <c r="F2861">
        <v>7.0000000000000007E-2</v>
      </c>
      <c r="G2861">
        <f t="shared" si="32"/>
        <v>2.3333333333333338E-2</v>
      </c>
      <c r="H2861">
        <f>G2861*(26.79/38.29)</f>
        <v>1.6325411334552103E-2</v>
      </c>
    </row>
    <row r="2862" spans="1:8" x14ac:dyDescent="0.25">
      <c r="A2862" s="1">
        <v>2002</v>
      </c>
      <c r="B2862" s="1" t="s">
        <v>99</v>
      </c>
      <c r="C2862" t="s">
        <v>51</v>
      </c>
      <c r="D2862">
        <v>2</v>
      </c>
      <c r="E2862">
        <v>78</v>
      </c>
      <c r="F2862">
        <v>0.1</v>
      </c>
      <c r="G2862">
        <f t="shared" si="32"/>
        <v>3.333333333333334E-2</v>
      </c>
      <c r="H2862">
        <f>G2862*(26.79/38.29)</f>
        <v>2.3322016192217292E-2</v>
      </c>
    </row>
    <row r="2863" spans="1:8" x14ac:dyDescent="0.25">
      <c r="A2863" s="1">
        <v>2002</v>
      </c>
      <c r="B2863" s="1" t="s">
        <v>99</v>
      </c>
      <c r="C2863" t="s">
        <v>51</v>
      </c>
      <c r="D2863">
        <v>2</v>
      </c>
      <c r="E2863">
        <v>78</v>
      </c>
      <c r="F2863">
        <v>0.03</v>
      </c>
      <c r="G2863">
        <f t="shared" si="32"/>
        <v>0.01</v>
      </c>
      <c r="H2863">
        <f>G2863*(26.79/38.29)</f>
        <v>6.9966048576651863E-3</v>
      </c>
    </row>
    <row r="2864" spans="1:8" x14ac:dyDescent="0.25">
      <c r="A2864" s="1">
        <v>2002</v>
      </c>
      <c r="B2864" s="1" t="s">
        <v>99</v>
      </c>
      <c r="C2864" t="s">
        <v>51</v>
      </c>
      <c r="D2864">
        <v>2</v>
      </c>
      <c r="E2864">
        <v>78</v>
      </c>
      <c r="F2864">
        <v>0.05</v>
      </c>
      <c r="G2864">
        <f t="shared" si="32"/>
        <v>1.666666666666667E-2</v>
      </c>
      <c r="H2864">
        <f>G2864*(26.79/38.29)</f>
        <v>1.1661008096108646E-2</v>
      </c>
    </row>
    <row r="2865" spans="1:8" x14ac:dyDescent="0.25">
      <c r="A2865" s="1">
        <v>2002</v>
      </c>
      <c r="B2865" s="1" t="s">
        <v>99</v>
      </c>
      <c r="C2865" t="s">
        <v>51</v>
      </c>
      <c r="D2865">
        <v>2</v>
      </c>
      <c r="E2865">
        <v>79</v>
      </c>
      <c r="F2865">
        <v>0.08</v>
      </c>
      <c r="G2865">
        <f t="shared" si="32"/>
        <v>2.6666666666666665E-2</v>
      </c>
      <c r="H2865">
        <f>G2865*(26.79/38.29)</f>
        <v>1.8657612953773828E-2</v>
      </c>
    </row>
    <row r="2866" spans="1:8" x14ac:dyDescent="0.25">
      <c r="A2866" s="1">
        <v>2002</v>
      </c>
      <c r="B2866" s="1" t="s">
        <v>99</v>
      </c>
      <c r="C2866" t="s">
        <v>51</v>
      </c>
      <c r="D2866">
        <v>2</v>
      </c>
      <c r="E2866">
        <v>79</v>
      </c>
      <c r="F2866">
        <v>7.0000000000000007E-2</v>
      </c>
      <c r="G2866">
        <f t="shared" si="32"/>
        <v>2.3333333333333338E-2</v>
      </c>
      <c r="H2866">
        <f>G2866*(26.79/38.29)</f>
        <v>1.6325411334552103E-2</v>
      </c>
    </row>
    <row r="2867" spans="1:8" x14ac:dyDescent="0.25">
      <c r="A2867" s="1">
        <v>2002</v>
      </c>
      <c r="B2867" s="1" t="s">
        <v>99</v>
      </c>
      <c r="C2867" t="s">
        <v>51</v>
      </c>
      <c r="D2867">
        <v>2</v>
      </c>
      <c r="E2867">
        <v>79</v>
      </c>
      <c r="F2867">
        <v>0.03</v>
      </c>
      <c r="G2867">
        <f t="shared" si="32"/>
        <v>0.01</v>
      </c>
      <c r="H2867">
        <f>G2867*(26.79/38.29)</f>
        <v>6.9966048576651863E-3</v>
      </c>
    </row>
    <row r="2868" spans="1:8" x14ac:dyDescent="0.25">
      <c r="A2868" s="1">
        <v>2002</v>
      </c>
      <c r="B2868" s="1" t="s">
        <v>99</v>
      </c>
      <c r="C2868" t="s">
        <v>51</v>
      </c>
      <c r="D2868">
        <v>2</v>
      </c>
      <c r="E2868">
        <v>79</v>
      </c>
      <c r="F2868">
        <v>0.1</v>
      </c>
      <c r="G2868">
        <f t="shared" si="32"/>
        <v>3.333333333333334E-2</v>
      </c>
      <c r="H2868">
        <f>G2868*(26.79/38.29)</f>
        <v>2.3322016192217292E-2</v>
      </c>
    </row>
    <row r="2869" spans="1:8" x14ac:dyDescent="0.25">
      <c r="A2869" s="1">
        <v>2002</v>
      </c>
      <c r="B2869" s="1" t="s">
        <v>99</v>
      </c>
      <c r="C2869" t="s">
        <v>51</v>
      </c>
      <c r="D2869">
        <v>2</v>
      </c>
      <c r="E2869">
        <v>79</v>
      </c>
      <c r="F2869">
        <v>7.0000000000000007E-2</v>
      </c>
      <c r="G2869">
        <f t="shared" si="32"/>
        <v>2.3333333333333338E-2</v>
      </c>
      <c r="H2869">
        <f>G2869*(26.79/38.29)</f>
        <v>1.6325411334552103E-2</v>
      </c>
    </row>
    <row r="2870" spans="1:8" x14ac:dyDescent="0.25">
      <c r="A2870" s="1">
        <v>2002</v>
      </c>
      <c r="B2870" s="1" t="s">
        <v>99</v>
      </c>
      <c r="C2870" t="s">
        <v>51</v>
      </c>
      <c r="D2870">
        <v>2</v>
      </c>
      <c r="E2870">
        <v>79</v>
      </c>
      <c r="F2870">
        <v>0.08</v>
      </c>
      <c r="G2870">
        <f t="shared" si="32"/>
        <v>2.6666666666666665E-2</v>
      </c>
      <c r="H2870">
        <f>G2870*(26.79/38.29)</f>
        <v>1.8657612953773828E-2</v>
      </c>
    </row>
    <row r="2871" spans="1:8" x14ac:dyDescent="0.25">
      <c r="A2871" s="1">
        <v>2002</v>
      </c>
      <c r="B2871" s="1" t="s">
        <v>99</v>
      </c>
      <c r="C2871" t="s">
        <v>51</v>
      </c>
      <c r="D2871">
        <v>2</v>
      </c>
      <c r="E2871">
        <v>79</v>
      </c>
      <c r="F2871">
        <v>0.05</v>
      </c>
      <c r="G2871">
        <f t="shared" si="32"/>
        <v>1.666666666666667E-2</v>
      </c>
      <c r="H2871">
        <f>G2871*(26.79/38.29)</f>
        <v>1.1661008096108646E-2</v>
      </c>
    </row>
    <row r="2872" spans="1:8" x14ac:dyDescent="0.25">
      <c r="A2872" s="1">
        <v>2002</v>
      </c>
      <c r="B2872" s="1" t="s">
        <v>99</v>
      </c>
      <c r="C2872" t="s">
        <v>51</v>
      </c>
      <c r="D2872">
        <v>2</v>
      </c>
      <c r="E2872">
        <v>79</v>
      </c>
      <c r="F2872">
        <v>0.08</v>
      </c>
      <c r="G2872">
        <f t="shared" si="32"/>
        <v>2.6666666666666665E-2</v>
      </c>
      <c r="H2872">
        <f>G2872*(26.79/38.29)</f>
        <v>1.8657612953773828E-2</v>
      </c>
    </row>
    <row r="2873" spans="1:8" x14ac:dyDescent="0.25">
      <c r="A2873" s="1">
        <v>2002</v>
      </c>
      <c r="B2873" s="1" t="s">
        <v>99</v>
      </c>
      <c r="C2873" t="s">
        <v>51</v>
      </c>
      <c r="D2873">
        <v>2</v>
      </c>
      <c r="E2873">
        <v>79</v>
      </c>
      <c r="F2873">
        <v>7.0000000000000007E-2</v>
      </c>
      <c r="G2873">
        <f t="shared" si="32"/>
        <v>2.3333333333333338E-2</v>
      </c>
      <c r="H2873">
        <f>G2873*(26.79/38.29)</f>
        <v>1.6325411334552103E-2</v>
      </c>
    </row>
    <row r="2874" spans="1:8" x14ac:dyDescent="0.25">
      <c r="A2874" s="1">
        <v>2002</v>
      </c>
      <c r="B2874" s="1" t="s">
        <v>99</v>
      </c>
      <c r="C2874" t="s">
        <v>51</v>
      </c>
      <c r="D2874">
        <v>2</v>
      </c>
      <c r="E2874">
        <v>79</v>
      </c>
      <c r="F2874">
        <v>0.08</v>
      </c>
      <c r="G2874">
        <f t="shared" si="32"/>
        <v>2.6666666666666665E-2</v>
      </c>
      <c r="H2874">
        <f>G2874*(26.79/38.29)</f>
        <v>1.8657612953773828E-2</v>
      </c>
    </row>
    <row r="2875" spans="1:8" x14ac:dyDescent="0.25">
      <c r="A2875" s="1">
        <v>2002</v>
      </c>
      <c r="B2875" s="1" t="s">
        <v>99</v>
      </c>
      <c r="C2875" t="s">
        <v>51</v>
      </c>
      <c r="D2875">
        <v>2</v>
      </c>
      <c r="E2875">
        <v>79</v>
      </c>
      <c r="F2875">
        <v>0.06</v>
      </c>
      <c r="G2875">
        <f t="shared" si="32"/>
        <v>0.02</v>
      </c>
      <c r="H2875">
        <f>G2875*(26.79/38.29)</f>
        <v>1.3993209715330373E-2</v>
      </c>
    </row>
    <row r="2876" spans="1:8" x14ac:dyDescent="0.25">
      <c r="A2876" s="1">
        <v>2002</v>
      </c>
      <c r="B2876" s="1" t="s">
        <v>99</v>
      </c>
      <c r="C2876" t="s">
        <v>51</v>
      </c>
      <c r="D2876">
        <v>2</v>
      </c>
      <c r="E2876">
        <v>79</v>
      </c>
      <c r="F2876">
        <v>7.0000000000000007E-2</v>
      </c>
      <c r="G2876">
        <f t="shared" si="32"/>
        <v>2.3333333333333338E-2</v>
      </c>
      <c r="H2876">
        <f>G2876*(26.79/38.29)</f>
        <v>1.6325411334552103E-2</v>
      </c>
    </row>
    <row r="2877" spans="1:8" x14ac:dyDescent="0.25">
      <c r="A2877" s="1">
        <v>2002</v>
      </c>
      <c r="B2877" s="1" t="s">
        <v>99</v>
      </c>
      <c r="C2877" t="s">
        <v>51</v>
      </c>
      <c r="D2877">
        <v>2</v>
      </c>
      <c r="E2877">
        <v>79</v>
      </c>
      <c r="F2877">
        <v>0.05</v>
      </c>
      <c r="G2877">
        <f t="shared" si="32"/>
        <v>1.666666666666667E-2</v>
      </c>
      <c r="H2877">
        <f>G2877*(26.79/38.29)</f>
        <v>1.1661008096108646E-2</v>
      </c>
    </row>
    <row r="2878" spans="1:8" x14ac:dyDescent="0.25">
      <c r="A2878" s="1">
        <v>2002</v>
      </c>
      <c r="B2878" s="1" t="s">
        <v>99</v>
      </c>
      <c r="C2878" t="s">
        <v>51</v>
      </c>
      <c r="D2878">
        <v>2</v>
      </c>
      <c r="E2878">
        <v>79</v>
      </c>
      <c r="F2878">
        <v>7.0000000000000007E-2</v>
      </c>
      <c r="G2878">
        <f t="shared" si="32"/>
        <v>2.3333333333333338E-2</v>
      </c>
      <c r="H2878">
        <f>G2878*(26.79/38.29)</f>
        <v>1.6325411334552103E-2</v>
      </c>
    </row>
    <row r="2879" spans="1:8" x14ac:dyDescent="0.25">
      <c r="A2879" s="1">
        <v>2002</v>
      </c>
      <c r="B2879" s="1" t="s">
        <v>99</v>
      </c>
      <c r="C2879" t="s">
        <v>51</v>
      </c>
      <c r="D2879">
        <v>2</v>
      </c>
      <c r="E2879">
        <v>79</v>
      </c>
      <c r="F2879">
        <v>7.0000000000000007E-2</v>
      </c>
      <c r="G2879">
        <f t="shared" si="32"/>
        <v>2.3333333333333338E-2</v>
      </c>
      <c r="H2879">
        <f>G2879*(26.79/38.29)</f>
        <v>1.6325411334552103E-2</v>
      </c>
    </row>
    <row r="2880" spans="1:8" x14ac:dyDescent="0.25">
      <c r="A2880" s="1">
        <v>2002</v>
      </c>
      <c r="B2880" s="1" t="s">
        <v>99</v>
      </c>
      <c r="C2880" t="s">
        <v>51</v>
      </c>
      <c r="D2880">
        <v>2</v>
      </c>
      <c r="E2880">
        <v>79</v>
      </c>
      <c r="F2880">
        <v>0.04</v>
      </c>
      <c r="G2880">
        <f t="shared" si="32"/>
        <v>1.3333333333333332E-2</v>
      </c>
      <c r="H2880">
        <f>G2880*(26.79/38.29)</f>
        <v>9.3288064768869139E-3</v>
      </c>
    </row>
    <row r="2881" spans="1:8" x14ac:dyDescent="0.25">
      <c r="A2881" s="1">
        <v>2002</v>
      </c>
      <c r="B2881" s="1" t="s">
        <v>99</v>
      </c>
      <c r="C2881" t="s">
        <v>51</v>
      </c>
      <c r="D2881">
        <v>2</v>
      </c>
      <c r="E2881">
        <v>79</v>
      </c>
      <c r="F2881">
        <v>0.04</v>
      </c>
      <c r="G2881">
        <f t="shared" si="32"/>
        <v>1.3333333333333332E-2</v>
      </c>
      <c r="H2881">
        <f>G2881*(26.79/38.29)</f>
        <v>9.3288064768869139E-3</v>
      </c>
    </row>
    <row r="2882" spans="1:8" x14ac:dyDescent="0.25">
      <c r="A2882" s="1">
        <v>2002</v>
      </c>
      <c r="B2882" s="1" t="s">
        <v>99</v>
      </c>
      <c r="C2882" t="s">
        <v>51</v>
      </c>
      <c r="D2882">
        <v>2</v>
      </c>
      <c r="E2882">
        <v>79</v>
      </c>
      <c r="F2882">
        <v>0.06</v>
      </c>
      <c r="G2882">
        <f t="shared" si="32"/>
        <v>0.02</v>
      </c>
      <c r="H2882">
        <f>G2882*(26.79/38.29)</f>
        <v>1.3993209715330373E-2</v>
      </c>
    </row>
    <row r="2883" spans="1:8" x14ac:dyDescent="0.25">
      <c r="A2883" s="1">
        <v>2002</v>
      </c>
      <c r="B2883" s="1" t="s">
        <v>99</v>
      </c>
      <c r="C2883" t="s">
        <v>51</v>
      </c>
      <c r="D2883">
        <v>2</v>
      </c>
      <c r="E2883">
        <v>79</v>
      </c>
      <c r="F2883">
        <v>0.12</v>
      </c>
      <c r="G2883">
        <f t="shared" si="32"/>
        <v>0.04</v>
      </c>
      <c r="H2883">
        <f>G2883*(26.79/38.29)</f>
        <v>2.7986419430660745E-2</v>
      </c>
    </row>
    <row r="2884" spans="1:8" x14ac:dyDescent="0.25">
      <c r="A2884" s="1">
        <v>2002</v>
      </c>
      <c r="B2884" s="1" t="s">
        <v>99</v>
      </c>
      <c r="C2884" t="s">
        <v>51</v>
      </c>
      <c r="D2884">
        <v>2</v>
      </c>
      <c r="E2884">
        <v>79</v>
      </c>
      <c r="F2884">
        <v>0.12</v>
      </c>
      <c r="G2884">
        <f t="shared" si="32"/>
        <v>0.04</v>
      </c>
      <c r="H2884">
        <f>G2884*(26.79/38.29)</f>
        <v>2.7986419430660745E-2</v>
      </c>
    </row>
    <row r="2885" spans="1:8" x14ac:dyDescent="0.25">
      <c r="A2885" s="1">
        <v>2002</v>
      </c>
      <c r="B2885" s="1" t="s">
        <v>99</v>
      </c>
      <c r="C2885" t="s">
        <v>51</v>
      </c>
      <c r="D2885">
        <v>2</v>
      </c>
      <c r="E2885">
        <v>85</v>
      </c>
      <c r="F2885">
        <v>0.04</v>
      </c>
      <c r="G2885">
        <f t="shared" si="32"/>
        <v>1.3333333333333332E-2</v>
      </c>
      <c r="H2885">
        <f>G2885*(26.79/38.29)</f>
        <v>9.3288064768869139E-3</v>
      </c>
    </row>
    <row r="2886" spans="1:8" x14ac:dyDescent="0.25">
      <c r="A2886" s="1">
        <v>2002</v>
      </c>
      <c r="B2886" s="1" t="s">
        <v>99</v>
      </c>
      <c r="C2886" t="s">
        <v>51</v>
      </c>
      <c r="D2886">
        <v>2</v>
      </c>
      <c r="E2886">
        <v>85</v>
      </c>
      <c r="F2886">
        <v>0.05</v>
      </c>
      <c r="G2886">
        <f t="shared" si="32"/>
        <v>1.666666666666667E-2</v>
      </c>
      <c r="H2886">
        <f>G2886*(26.79/38.29)</f>
        <v>1.1661008096108646E-2</v>
      </c>
    </row>
    <row r="2887" spans="1:8" x14ac:dyDescent="0.25">
      <c r="A2887" s="1">
        <v>2002</v>
      </c>
      <c r="B2887" s="1" t="s">
        <v>99</v>
      </c>
      <c r="C2887" t="s">
        <v>51</v>
      </c>
      <c r="D2887">
        <v>2</v>
      </c>
      <c r="E2887">
        <v>85</v>
      </c>
      <c r="F2887">
        <v>0.1</v>
      </c>
      <c r="G2887">
        <f t="shared" si="32"/>
        <v>3.333333333333334E-2</v>
      </c>
      <c r="H2887">
        <f>G2887*(26.79/38.29)</f>
        <v>2.3322016192217292E-2</v>
      </c>
    </row>
    <row r="2888" spans="1:8" x14ac:dyDescent="0.25">
      <c r="A2888" s="1">
        <v>2002</v>
      </c>
      <c r="B2888" s="1" t="s">
        <v>99</v>
      </c>
      <c r="C2888" t="s">
        <v>51</v>
      </c>
      <c r="D2888">
        <v>3</v>
      </c>
      <c r="E2888">
        <v>21</v>
      </c>
      <c r="F2888">
        <v>0.05</v>
      </c>
      <c r="G2888">
        <f t="shared" si="32"/>
        <v>1.666666666666667E-2</v>
      </c>
      <c r="H2888">
        <f>G2888*(26.79/38.29)</f>
        <v>1.1661008096108646E-2</v>
      </c>
    </row>
    <row r="2889" spans="1:8" x14ac:dyDescent="0.25">
      <c r="A2889" s="1">
        <v>2002</v>
      </c>
      <c r="B2889" s="1" t="s">
        <v>99</v>
      </c>
      <c r="C2889" t="s">
        <v>51</v>
      </c>
      <c r="D2889">
        <v>3</v>
      </c>
      <c r="E2889">
        <v>25</v>
      </c>
      <c r="F2889">
        <v>0.05</v>
      </c>
      <c r="G2889">
        <f t="shared" si="32"/>
        <v>1.666666666666667E-2</v>
      </c>
      <c r="H2889">
        <f>G2889*(26.79/38.29)</f>
        <v>1.1661008096108646E-2</v>
      </c>
    </row>
    <row r="2890" spans="1:8" x14ac:dyDescent="0.25">
      <c r="A2890" s="1">
        <v>2002</v>
      </c>
      <c r="B2890" s="1" t="s">
        <v>99</v>
      </c>
      <c r="C2890" t="s">
        <v>51</v>
      </c>
      <c r="D2890">
        <v>3</v>
      </c>
      <c r="E2890">
        <v>28</v>
      </c>
      <c r="F2890">
        <v>0.09</v>
      </c>
      <c r="G2890">
        <f t="shared" si="32"/>
        <v>0.03</v>
      </c>
      <c r="H2890">
        <f>G2890*(26.79/38.29)</f>
        <v>2.0989814572995556E-2</v>
      </c>
    </row>
    <row r="2891" spans="1:8" x14ac:dyDescent="0.25">
      <c r="A2891" s="1">
        <v>2002</v>
      </c>
      <c r="B2891" s="1" t="s">
        <v>99</v>
      </c>
      <c r="C2891" t="s">
        <v>51</v>
      </c>
      <c r="D2891">
        <v>3</v>
      </c>
      <c r="E2891">
        <v>29</v>
      </c>
      <c r="F2891">
        <v>7.0000000000000007E-2</v>
      </c>
      <c r="G2891">
        <f t="shared" si="32"/>
        <v>2.3333333333333338E-2</v>
      </c>
      <c r="H2891">
        <f>G2891*(26.79/38.29)</f>
        <v>1.6325411334552103E-2</v>
      </c>
    </row>
    <row r="2892" spans="1:8" x14ac:dyDescent="0.25">
      <c r="A2892" s="1">
        <v>2002</v>
      </c>
      <c r="B2892" s="1" t="s">
        <v>99</v>
      </c>
      <c r="C2892" t="s">
        <v>51</v>
      </c>
      <c r="D2892">
        <v>3</v>
      </c>
      <c r="E2892">
        <v>29</v>
      </c>
      <c r="F2892">
        <v>0.03</v>
      </c>
      <c r="G2892">
        <f t="shared" si="32"/>
        <v>0.01</v>
      </c>
      <c r="H2892">
        <f>G2892*(26.79/38.29)</f>
        <v>6.9966048576651863E-3</v>
      </c>
    </row>
    <row r="2893" spans="1:8" x14ac:dyDescent="0.25">
      <c r="A2893" s="1">
        <v>2002</v>
      </c>
      <c r="B2893" s="1" t="s">
        <v>99</v>
      </c>
      <c r="C2893" t="s">
        <v>51</v>
      </c>
      <c r="D2893">
        <v>3</v>
      </c>
      <c r="E2893">
        <v>29</v>
      </c>
      <c r="F2893">
        <v>0.06</v>
      </c>
      <c r="G2893">
        <f t="shared" si="32"/>
        <v>0.02</v>
      </c>
      <c r="H2893">
        <f>G2893*(26.79/38.29)</f>
        <v>1.3993209715330373E-2</v>
      </c>
    </row>
    <row r="2894" spans="1:8" x14ac:dyDescent="0.25">
      <c r="A2894" s="1">
        <v>2002</v>
      </c>
      <c r="B2894" s="1" t="s">
        <v>99</v>
      </c>
      <c r="C2894" t="s">
        <v>51</v>
      </c>
      <c r="D2894">
        <v>3</v>
      </c>
      <c r="E2894">
        <v>29</v>
      </c>
      <c r="F2894">
        <v>0.06</v>
      </c>
      <c r="G2894">
        <f t="shared" ref="G2894:G2957" si="33">(F2894/0.6)/5</f>
        <v>0.02</v>
      </c>
      <c r="H2894">
        <f>G2894*(26.79/38.29)</f>
        <v>1.3993209715330373E-2</v>
      </c>
    </row>
    <row r="2895" spans="1:8" x14ac:dyDescent="0.25">
      <c r="A2895" s="1">
        <v>2002</v>
      </c>
      <c r="B2895" s="1" t="s">
        <v>99</v>
      </c>
      <c r="C2895" t="s">
        <v>51</v>
      </c>
      <c r="D2895">
        <v>3</v>
      </c>
      <c r="E2895">
        <v>29</v>
      </c>
      <c r="F2895">
        <v>0.03</v>
      </c>
      <c r="G2895">
        <f t="shared" si="33"/>
        <v>0.01</v>
      </c>
      <c r="H2895">
        <f>G2895*(26.79/38.29)</f>
        <v>6.9966048576651863E-3</v>
      </c>
    </row>
    <row r="2896" spans="1:8" x14ac:dyDescent="0.25">
      <c r="A2896" s="1">
        <v>2002</v>
      </c>
      <c r="B2896" s="1" t="s">
        <v>99</v>
      </c>
      <c r="C2896" t="s">
        <v>51</v>
      </c>
      <c r="D2896">
        <v>3</v>
      </c>
      <c r="E2896">
        <v>32</v>
      </c>
      <c r="F2896">
        <v>0.04</v>
      </c>
      <c r="G2896">
        <f t="shared" si="33"/>
        <v>1.3333333333333332E-2</v>
      </c>
      <c r="H2896">
        <f>G2896*(26.79/38.29)</f>
        <v>9.3288064768869139E-3</v>
      </c>
    </row>
    <row r="2897" spans="1:8" x14ac:dyDescent="0.25">
      <c r="A2897" s="1">
        <v>2002</v>
      </c>
      <c r="B2897" s="1" t="s">
        <v>99</v>
      </c>
      <c r="C2897" t="s">
        <v>51</v>
      </c>
      <c r="D2897">
        <v>3</v>
      </c>
      <c r="E2897">
        <v>32</v>
      </c>
      <c r="F2897">
        <v>0.11</v>
      </c>
      <c r="G2897">
        <f t="shared" si="33"/>
        <v>3.6666666666666667E-2</v>
      </c>
      <c r="H2897">
        <f>G2897*(26.79/38.29)</f>
        <v>2.5654217811439017E-2</v>
      </c>
    </row>
    <row r="2898" spans="1:8" x14ac:dyDescent="0.25">
      <c r="A2898" s="1">
        <v>2002</v>
      </c>
      <c r="B2898" s="1" t="s">
        <v>99</v>
      </c>
      <c r="C2898" t="s">
        <v>51</v>
      </c>
      <c r="D2898">
        <v>3</v>
      </c>
      <c r="E2898">
        <v>32</v>
      </c>
      <c r="F2898">
        <v>0.1</v>
      </c>
      <c r="G2898">
        <f t="shared" si="33"/>
        <v>3.333333333333334E-2</v>
      </c>
      <c r="H2898">
        <f>G2898*(26.79/38.29)</f>
        <v>2.3322016192217292E-2</v>
      </c>
    </row>
    <row r="2899" spans="1:8" x14ac:dyDescent="0.25">
      <c r="A2899" s="1">
        <v>2002</v>
      </c>
      <c r="B2899" s="1" t="s">
        <v>99</v>
      </c>
      <c r="C2899" t="s">
        <v>51</v>
      </c>
      <c r="D2899">
        <v>3</v>
      </c>
      <c r="E2899">
        <v>32</v>
      </c>
      <c r="F2899">
        <v>0.04</v>
      </c>
      <c r="G2899">
        <f t="shared" si="33"/>
        <v>1.3333333333333332E-2</v>
      </c>
      <c r="H2899">
        <f>G2899*(26.79/38.29)</f>
        <v>9.3288064768869139E-3</v>
      </c>
    </row>
    <row r="2900" spans="1:8" x14ac:dyDescent="0.25">
      <c r="A2900" s="1">
        <v>2002</v>
      </c>
      <c r="B2900" s="1" t="s">
        <v>99</v>
      </c>
      <c r="C2900" t="s">
        <v>51</v>
      </c>
      <c r="D2900">
        <v>3</v>
      </c>
      <c r="E2900">
        <v>32</v>
      </c>
      <c r="F2900">
        <v>0.03</v>
      </c>
      <c r="G2900">
        <f t="shared" si="33"/>
        <v>0.01</v>
      </c>
      <c r="H2900">
        <f>G2900*(26.79/38.29)</f>
        <v>6.9966048576651863E-3</v>
      </c>
    </row>
    <row r="2901" spans="1:8" x14ac:dyDescent="0.25">
      <c r="A2901" s="1">
        <v>2002</v>
      </c>
      <c r="B2901" s="1" t="s">
        <v>99</v>
      </c>
      <c r="C2901" t="s">
        <v>51</v>
      </c>
      <c r="D2901">
        <v>3</v>
      </c>
      <c r="E2901">
        <v>32</v>
      </c>
      <c r="F2901">
        <v>0.11</v>
      </c>
      <c r="G2901">
        <f t="shared" si="33"/>
        <v>3.6666666666666667E-2</v>
      </c>
      <c r="H2901">
        <f>G2901*(26.79/38.29)</f>
        <v>2.5654217811439017E-2</v>
      </c>
    </row>
    <row r="2902" spans="1:8" x14ac:dyDescent="0.25">
      <c r="A2902" s="1">
        <v>2002</v>
      </c>
      <c r="B2902" s="1" t="s">
        <v>99</v>
      </c>
      <c r="C2902" t="s">
        <v>51</v>
      </c>
      <c r="D2902">
        <v>3</v>
      </c>
      <c r="E2902">
        <v>32</v>
      </c>
      <c r="F2902">
        <v>0.12</v>
      </c>
      <c r="G2902">
        <f t="shared" si="33"/>
        <v>0.04</v>
      </c>
      <c r="H2902">
        <f>G2902*(26.79/38.29)</f>
        <v>2.7986419430660745E-2</v>
      </c>
    </row>
    <row r="2903" spans="1:8" x14ac:dyDescent="0.25">
      <c r="A2903" s="1">
        <v>2002</v>
      </c>
      <c r="B2903" s="1" t="s">
        <v>99</v>
      </c>
      <c r="C2903" t="s">
        <v>51</v>
      </c>
      <c r="D2903">
        <v>3</v>
      </c>
      <c r="E2903">
        <v>53</v>
      </c>
      <c r="F2903">
        <v>0.13</v>
      </c>
      <c r="G2903">
        <f t="shared" si="33"/>
        <v>4.3333333333333335E-2</v>
      </c>
      <c r="H2903">
        <f>G2903*(26.79/38.29)</f>
        <v>3.0318621049882474E-2</v>
      </c>
    </row>
    <row r="2904" spans="1:8" x14ac:dyDescent="0.25">
      <c r="A2904" s="1">
        <v>2002</v>
      </c>
      <c r="B2904" s="1" t="s">
        <v>99</v>
      </c>
      <c r="C2904" t="s">
        <v>51</v>
      </c>
      <c r="D2904">
        <v>3</v>
      </c>
      <c r="E2904">
        <v>53</v>
      </c>
      <c r="F2904">
        <v>0.09</v>
      </c>
      <c r="G2904">
        <f t="shared" si="33"/>
        <v>0.03</v>
      </c>
      <c r="H2904">
        <f>G2904*(26.79/38.29)</f>
        <v>2.0989814572995556E-2</v>
      </c>
    </row>
    <row r="2905" spans="1:8" x14ac:dyDescent="0.25">
      <c r="A2905" s="1">
        <v>2002</v>
      </c>
      <c r="B2905" s="1" t="s">
        <v>99</v>
      </c>
      <c r="C2905" t="s">
        <v>51</v>
      </c>
      <c r="D2905">
        <v>3</v>
      </c>
      <c r="E2905">
        <v>53</v>
      </c>
      <c r="F2905">
        <v>0.06</v>
      </c>
      <c r="G2905">
        <f t="shared" si="33"/>
        <v>0.02</v>
      </c>
      <c r="H2905">
        <f>G2905*(26.79/38.29)</f>
        <v>1.3993209715330373E-2</v>
      </c>
    </row>
    <row r="2906" spans="1:8" x14ac:dyDescent="0.25">
      <c r="A2906" s="1">
        <v>2002</v>
      </c>
      <c r="B2906" s="1" t="s">
        <v>99</v>
      </c>
      <c r="C2906" t="s">
        <v>51</v>
      </c>
      <c r="D2906">
        <v>3</v>
      </c>
      <c r="E2906">
        <v>53</v>
      </c>
      <c r="F2906">
        <v>7.0000000000000007E-2</v>
      </c>
      <c r="G2906">
        <f t="shared" si="33"/>
        <v>2.3333333333333338E-2</v>
      </c>
      <c r="H2906">
        <f>G2906*(26.79/38.29)</f>
        <v>1.6325411334552103E-2</v>
      </c>
    </row>
    <row r="2907" spans="1:8" x14ac:dyDescent="0.25">
      <c r="A2907" s="1">
        <v>2002</v>
      </c>
      <c r="B2907" s="1" t="s">
        <v>99</v>
      </c>
      <c r="C2907" t="s">
        <v>51</v>
      </c>
      <c r="D2907">
        <v>3</v>
      </c>
      <c r="E2907">
        <v>54</v>
      </c>
      <c r="F2907">
        <v>7.0000000000000007E-2</v>
      </c>
      <c r="G2907">
        <f t="shared" si="33"/>
        <v>2.3333333333333338E-2</v>
      </c>
      <c r="H2907">
        <f>G2907*(26.79/38.29)</f>
        <v>1.6325411334552103E-2</v>
      </c>
    </row>
    <row r="2908" spans="1:8" x14ac:dyDescent="0.25">
      <c r="A2908" s="1">
        <v>2002</v>
      </c>
      <c r="B2908" s="1" t="s">
        <v>99</v>
      </c>
      <c r="C2908" t="s">
        <v>51</v>
      </c>
      <c r="D2908">
        <v>3</v>
      </c>
      <c r="E2908">
        <v>54</v>
      </c>
      <c r="F2908">
        <v>7.0000000000000007E-2</v>
      </c>
      <c r="G2908">
        <f t="shared" si="33"/>
        <v>2.3333333333333338E-2</v>
      </c>
      <c r="H2908">
        <f>G2908*(26.79/38.29)</f>
        <v>1.6325411334552103E-2</v>
      </c>
    </row>
    <row r="2909" spans="1:8" x14ac:dyDescent="0.25">
      <c r="A2909" s="1">
        <v>2002</v>
      </c>
      <c r="B2909" s="1" t="s">
        <v>99</v>
      </c>
      <c r="C2909" t="s">
        <v>51</v>
      </c>
      <c r="D2909">
        <v>3</v>
      </c>
      <c r="E2909">
        <v>54</v>
      </c>
      <c r="F2909">
        <v>0.08</v>
      </c>
      <c r="G2909">
        <f t="shared" si="33"/>
        <v>2.6666666666666665E-2</v>
      </c>
      <c r="H2909">
        <f>G2909*(26.79/38.29)</f>
        <v>1.8657612953773828E-2</v>
      </c>
    </row>
    <row r="2910" spans="1:8" x14ac:dyDescent="0.25">
      <c r="A2910" s="1">
        <v>2002</v>
      </c>
      <c r="B2910" s="1" t="s">
        <v>99</v>
      </c>
      <c r="C2910" t="s">
        <v>51</v>
      </c>
      <c r="D2910">
        <v>3</v>
      </c>
      <c r="E2910">
        <v>56</v>
      </c>
      <c r="F2910">
        <v>7.0000000000000007E-2</v>
      </c>
      <c r="G2910">
        <f t="shared" si="33"/>
        <v>2.3333333333333338E-2</v>
      </c>
      <c r="H2910">
        <f>G2910*(26.79/38.29)</f>
        <v>1.6325411334552103E-2</v>
      </c>
    </row>
    <row r="2911" spans="1:8" x14ac:dyDescent="0.25">
      <c r="A2911" s="1">
        <v>2002</v>
      </c>
      <c r="B2911" s="1" t="s">
        <v>99</v>
      </c>
      <c r="C2911" t="s">
        <v>51</v>
      </c>
      <c r="D2911">
        <v>3</v>
      </c>
      <c r="E2911">
        <v>56</v>
      </c>
      <c r="F2911">
        <v>0.05</v>
      </c>
      <c r="G2911">
        <f t="shared" si="33"/>
        <v>1.666666666666667E-2</v>
      </c>
      <c r="H2911">
        <f>G2911*(26.79/38.29)</f>
        <v>1.1661008096108646E-2</v>
      </c>
    </row>
    <row r="2912" spans="1:8" x14ac:dyDescent="0.25">
      <c r="A2912" s="1">
        <v>2002</v>
      </c>
      <c r="B2912" s="1" t="s">
        <v>99</v>
      </c>
      <c r="C2912" t="s">
        <v>51</v>
      </c>
      <c r="D2912">
        <v>3</v>
      </c>
      <c r="E2912">
        <v>56</v>
      </c>
      <c r="F2912">
        <v>0.1</v>
      </c>
      <c r="G2912">
        <f t="shared" si="33"/>
        <v>3.333333333333334E-2</v>
      </c>
      <c r="H2912">
        <f>G2912*(26.79/38.29)</f>
        <v>2.3322016192217292E-2</v>
      </c>
    </row>
    <row r="2913" spans="1:8" x14ac:dyDescent="0.25">
      <c r="A2913" s="1">
        <v>2002</v>
      </c>
      <c r="B2913" s="1" t="s">
        <v>99</v>
      </c>
      <c r="C2913" t="s">
        <v>51</v>
      </c>
      <c r="D2913">
        <v>3</v>
      </c>
      <c r="E2913">
        <v>56</v>
      </c>
      <c r="F2913">
        <v>0.05</v>
      </c>
      <c r="G2913">
        <f t="shared" si="33"/>
        <v>1.666666666666667E-2</v>
      </c>
      <c r="H2913">
        <f>G2913*(26.79/38.29)</f>
        <v>1.1661008096108646E-2</v>
      </c>
    </row>
    <row r="2914" spans="1:8" x14ac:dyDescent="0.25">
      <c r="A2914" s="1">
        <v>2002</v>
      </c>
      <c r="B2914" s="1" t="s">
        <v>99</v>
      </c>
      <c r="C2914" t="s">
        <v>51</v>
      </c>
      <c r="D2914">
        <v>3</v>
      </c>
      <c r="E2914">
        <v>58</v>
      </c>
      <c r="F2914">
        <v>7.0000000000000007E-2</v>
      </c>
      <c r="G2914">
        <f t="shared" si="33"/>
        <v>2.3333333333333338E-2</v>
      </c>
      <c r="H2914">
        <f>G2914*(26.79/38.29)</f>
        <v>1.6325411334552103E-2</v>
      </c>
    </row>
    <row r="2915" spans="1:8" x14ac:dyDescent="0.25">
      <c r="A2915" s="1">
        <v>2002</v>
      </c>
      <c r="B2915" s="1" t="s">
        <v>99</v>
      </c>
      <c r="C2915" t="s">
        <v>51</v>
      </c>
      <c r="D2915">
        <v>3</v>
      </c>
      <c r="E2915">
        <v>63</v>
      </c>
      <c r="F2915">
        <v>0.04</v>
      </c>
      <c r="G2915">
        <f t="shared" si="33"/>
        <v>1.3333333333333332E-2</v>
      </c>
      <c r="H2915">
        <f>G2915*(26.79/38.29)</f>
        <v>9.3288064768869139E-3</v>
      </c>
    </row>
    <row r="2916" spans="1:8" x14ac:dyDescent="0.25">
      <c r="A2916" s="1">
        <v>2002</v>
      </c>
      <c r="B2916" s="1" t="s">
        <v>99</v>
      </c>
      <c r="C2916" t="s">
        <v>51</v>
      </c>
      <c r="D2916">
        <v>3</v>
      </c>
      <c r="E2916">
        <v>63</v>
      </c>
      <c r="F2916">
        <v>0.05</v>
      </c>
      <c r="G2916">
        <f t="shared" si="33"/>
        <v>1.666666666666667E-2</v>
      </c>
      <c r="H2916">
        <f>G2916*(26.79/38.29)</f>
        <v>1.1661008096108646E-2</v>
      </c>
    </row>
    <row r="2917" spans="1:8" x14ac:dyDescent="0.25">
      <c r="A2917" s="1">
        <v>2002</v>
      </c>
      <c r="B2917" s="1" t="s">
        <v>99</v>
      </c>
      <c r="C2917" t="s">
        <v>51</v>
      </c>
      <c r="D2917">
        <v>3</v>
      </c>
      <c r="E2917">
        <v>63</v>
      </c>
      <c r="F2917">
        <v>7.0000000000000007E-2</v>
      </c>
      <c r="G2917">
        <f t="shared" si="33"/>
        <v>2.3333333333333338E-2</v>
      </c>
      <c r="H2917">
        <f>G2917*(26.79/38.29)</f>
        <v>1.6325411334552103E-2</v>
      </c>
    </row>
    <row r="2918" spans="1:8" x14ac:dyDescent="0.25">
      <c r="A2918" s="1">
        <v>2002</v>
      </c>
      <c r="B2918" s="1" t="s">
        <v>99</v>
      </c>
      <c r="C2918" t="s">
        <v>51</v>
      </c>
      <c r="D2918">
        <v>3</v>
      </c>
      <c r="E2918">
        <v>63</v>
      </c>
      <c r="F2918">
        <v>0.06</v>
      </c>
      <c r="G2918">
        <f t="shared" si="33"/>
        <v>0.02</v>
      </c>
      <c r="H2918">
        <f>G2918*(26.79/38.29)</f>
        <v>1.3993209715330373E-2</v>
      </c>
    </row>
    <row r="2919" spans="1:8" x14ac:dyDescent="0.25">
      <c r="A2919" s="1">
        <v>2002</v>
      </c>
      <c r="B2919" s="1" t="s">
        <v>99</v>
      </c>
      <c r="C2919" t="s">
        <v>51</v>
      </c>
      <c r="D2919">
        <v>3</v>
      </c>
      <c r="E2919">
        <v>63</v>
      </c>
      <c r="F2919">
        <v>7.0000000000000007E-2</v>
      </c>
      <c r="G2919">
        <f t="shared" si="33"/>
        <v>2.3333333333333338E-2</v>
      </c>
      <c r="H2919">
        <f>G2919*(26.79/38.29)</f>
        <v>1.6325411334552103E-2</v>
      </c>
    </row>
    <row r="2920" spans="1:8" x14ac:dyDescent="0.25">
      <c r="A2920" s="1">
        <v>2002</v>
      </c>
      <c r="B2920" s="1" t="s">
        <v>99</v>
      </c>
      <c r="C2920" t="s">
        <v>51</v>
      </c>
      <c r="D2920">
        <v>3</v>
      </c>
      <c r="E2920">
        <v>76</v>
      </c>
      <c r="F2920">
        <v>0.12</v>
      </c>
      <c r="G2920">
        <f t="shared" si="33"/>
        <v>0.04</v>
      </c>
      <c r="H2920">
        <f>G2920*(26.79/38.29)</f>
        <v>2.7986419430660745E-2</v>
      </c>
    </row>
    <row r="2921" spans="1:8" x14ac:dyDescent="0.25">
      <c r="A2921" s="1">
        <v>2002</v>
      </c>
      <c r="B2921" s="1" t="s">
        <v>99</v>
      </c>
      <c r="C2921" t="s">
        <v>51</v>
      </c>
      <c r="D2921">
        <v>3</v>
      </c>
      <c r="E2921">
        <v>76</v>
      </c>
      <c r="F2921">
        <v>0.06</v>
      </c>
      <c r="G2921">
        <f t="shared" si="33"/>
        <v>0.02</v>
      </c>
      <c r="H2921">
        <f>G2921*(26.79/38.29)</f>
        <v>1.3993209715330373E-2</v>
      </c>
    </row>
    <row r="2922" spans="1:8" x14ac:dyDescent="0.25">
      <c r="A2922" s="1">
        <v>2002</v>
      </c>
      <c r="B2922" s="1" t="s">
        <v>99</v>
      </c>
      <c r="C2922" t="s">
        <v>51</v>
      </c>
      <c r="D2922">
        <v>3</v>
      </c>
      <c r="E2922">
        <v>76</v>
      </c>
      <c r="F2922">
        <v>7.0000000000000007E-2</v>
      </c>
      <c r="G2922">
        <f t="shared" si="33"/>
        <v>2.3333333333333338E-2</v>
      </c>
      <c r="H2922">
        <f>G2922*(26.79/38.29)</f>
        <v>1.6325411334552103E-2</v>
      </c>
    </row>
    <row r="2923" spans="1:8" x14ac:dyDescent="0.25">
      <c r="A2923" s="1">
        <v>2002</v>
      </c>
      <c r="B2923" s="1" t="s">
        <v>99</v>
      </c>
      <c r="C2923" t="s">
        <v>51</v>
      </c>
      <c r="D2923">
        <v>3</v>
      </c>
      <c r="E2923">
        <v>76</v>
      </c>
      <c r="F2923">
        <v>0.04</v>
      </c>
      <c r="G2923">
        <f t="shared" si="33"/>
        <v>1.3333333333333332E-2</v>
      </c>
      <c r="H2923">
        <f>G2923*(26.79/38.29)</f>
        <v>9.3288064768869139E-3</v>
      </c>
    </row>
    <row r="2924" spans="1:8" x14ac:dyDescent="0.25">
      <c r="A2924" s="1">
        <v>2002</v>
      </c>
      <c r="B2924" s="1" t="s">
        <v>99</v>
      </c>
      <c r="C2924" t="s">
        <v>51</v>
      </c>
      <c r="D2924">
        <v>3</v>
      </c>
      <c r="E2924">
        <v>76</v>
      </c>
      <c r="F2924">
        <v>0.05</v>
      </c>
      <c r="G2924">
        <f t="shared" si="33"/>
        <v>1.666666666666667E-2</v>
      </c>
      <c r="H2924">
        <f>G2924*(26.79/38.29)</f>
        <v>1.1661008096108646E-2</v>
      </c>
    </row>
    <row r="2925" spans="1:8" x14ac:dyDescent="0.25">
      <c r="A2925" s="1">
        <v>2002</v>
      </c>
      <c r="B2925" s="1" t="s">
        <v>99</v>
      </c>
      <c r="C2925" t="s">
        <v>51</v>
      </c>
      <c r="D2925">
        <v>3</v>
      </c>
      <c r="E2925">
        <v>76</v>
      </c>
      <c r="F2925">
        <v>0.1</v>
      </c>
      <c r="G2925">
        <f t="shared" si="33"/>
        <v>3.333333333333334E-2</v>
      </c>
      <c r="H2925">
        <f>G2925*(26.79/38.29)</f>
        <v>2.3322016192217292E-2</v>
      </c>
    </row>
    <row r="2926" spans="1:8" x14ac:dyDescent="0.25">
      <c r="A2926" s="1">
        <v>2002</v>
      </c>
      <c r="B2926" s="1" t="s">
        <v>99</v>
      </c>
      <c r="C2926" t="s">
        <v>51</v>
      </c>
      <c r="D2926">
        <v>3</v>
      </c>
      <c r="E2926">
        <v>76</v>
      </c>
      <c r="F2926">
        <v>0.13</v>
      </c>
      <c r="G2926">
        <f t="shared" si="33"/>
        <v>4.3333333333333335E-2</v>
      </c>
      <c r="H2926">
        <f>G2926*(26.79/38.29)</f>
        <v>3.0318621049882474E-2</v>
      </c>
    </row>
    <row r="2927" spans="1:8" x14ac:dyDescent="0.25">
      <c r="A2927" s="1">
        <v>2002</v>
      </c>
      <c r="B2927" s="1" t="s">
        <v>99</v>
      </c>
      <c r="C2927" t="s">
        <v>51</v>
      </c>
      <c r="D2927">
        <v>3</v>
      </c>
      <c r="E2927">
        <v>76</v>
      </c>
      <c r="F2927">
        <v>0.05</v>
      </c>
      <c r="G2927">
        <f t="shared" si="33"/>
        <v>1.666666666666667E-2</v>
      </c>
      <c r="H2927">
        <f>G2927*(26.79/38.29)</f>
        <v>1.1661008096108646E-2</v>
      </c>
    </row>
    <row r="2928" spans="1:8" x14ac:dyDescent="0.25">
      <c r="A2928" s="1">
        <v>2002</v>
      </c>
      <c r="B2928" s="1" t="s">
        <v>99</v>
      </c>
      <c r="C2928" t="s">
        <v>51</v>
      </c>
      <c r="D2928">
        <v>3</v>
      </c>
      <c r="E2928">
        <v>76</v>
      </c>
      <c r="F2928">
        <v>0.05</v>
      </c>
      <c r="G2928">
        <f t="shared" si="33"/>
        <v>1.666666666666667E-2</v>
      </c>
      <c r="H2928">
        <f>G2928*(26.79/38.29)</f>
        <v>1.1661008096108646E-2</v>
      </c>
    </row>
    <row r="2929" spans="1:8" x14ac:dyDescent="0.25">
      <c r="A2929" s="1">
        <v>2002</v>
      </c>
      <c r="B2929" s="1" t="s">
        <v>99</v>
      </c>
      <c r="C2929" t="s">
        <v>51</v>
      </c>
      <c r="D2929">
        <v>3</v>
      </c>
      <c r="E2929">
        <v>76</v>
      </c>
      <c r="F2929">
        <v>0.06</v>
      </c>
      <c r="G2929">
        <f t="shared" si="33"/>
        <v>0.02</v>
      </c>
      <c r="H2929">
        <f>G2929*(26.79/38.29)</f>
        <v>1.3993209715330373E-2</v>
      </c>
    </row>
    <row r="2930" spans="1:8" x14ac:dyDescent="0.25">
      <c r="A2930" s="1">
        <v>2002</v>
      </c>
      <c r="B2930" s="1" t="s">
        <v>99</v>
      </c>
      <c r="C2930" t="s">
        <v>51</v>
      </c>
      <c r="D2930">
        <v>3</v>
      </c>
      <c r="E2930">
        <v>76</v>
      </c>
      <c r="F2930">
        <v>0.06</v>
      </c>
      <c r="G2930">
        <f t="shared" si="33"/>
        <v>0.02</v>
      </c>
      <c r="H2930">
        <f>G2930*(26.79/38.29)</f>
        <v>1.3993209715330373E-2</v>
      </c>
    </row>
    <row r="2931" spans="1:8" x14ac:dyDescent="0.25">
      <c r="A2931" s="1">
        <v>2002</v>
      </c>
      <c r="B2931" s="1" t="s">
        <v>99</v>
      </c>
      <c r="C2931" t="s">
        <v>51</v>
      </c>
      <c r="D2931">
        <v>3</v>
      </c>
      <c r="E2931">
        <v>76</v>
      </c>
      <c r="F2931">
        <v>7.0000000000000007E-2</v>
      </c>
      <c r="G2931">
        <f t="shared" si="33"/>
        <v>2.3333333333333338E-2</v>
      </c>
      <c r="H2931">
        <f>G2931*(26.79/38.29)</f>
        <v>1.6325411334552103E-2</v>
      </c>
    </row>
    <row r="2932" spans="1:8" x14ac:dyDescent="0.25">
      <c r="A2932" s="1">
        <v>2002</v>
      </c>
      <c r="B2932" s="1" t="s">
        <v>99</v>
      </c>
      <c r="C2932" t="s">
        <v>51</v>
      </c>
      <c r="D2932">
        <v>3</v>
      </c>
      <c r="E2932">
        <v>76</v>
      </c>
      <c r="F2932">
        <v>0.06</v>
      </c>
      <c r="G2932">
        <f t="shared" si="33"/>
        <v>0.02</v>
      </c>
      <c r="H2932">
        <f>G2932*(26.79/38.29)</f>
        <v>1.3993209715330373E-2</v>
      </c>
    </row>
    <row r="2933" spans="1:8" x14ac:dyDescent="0.25">
      <c r="A2933" s="1">
        <v>2002</v>
      </c>
      <c r="B2933" s="1" t="s">
        <v>99</v>
      </c>
      <c r="C2933" t="s">
        <v>51</v>
      </c>
      <c r="D2933">
        <v>3</v>
      </c>
      <c r="E2933">
        <v>76</v>
      </c>
      <c r="F2933">
        <v>0.08</v>
      </c>
      <c r="G2933">
        <f t="shared" si="33"/>
        <v>2.6666666666666665E-2</v>
      </c>
      <c r="H2933">
        <f>G2933*(26.79/38.29)</f>
        <v>1.8657612953773828E-2</v>
      </c>
    </row>
    <row r="2934" spans="1:8" x14ac:dyDescent="0.25">
      <c r="A2934" s="1">
        <v>2002</v>
      </c>
      <c r="B2934" s="1" t="s">
        <v>99</v>
      </c>
      <c r="C2934" t="s">
        <v>51</v>
      </c>
      <c r="D2934">
        <v>3</v>
      </c>
      <c r="E2934">
        <v>76</v>
      </c>
      <c r="F2934">
        <v>0.12</v>
      </c>
      <c r="G2934">
        <f t="shared" si="33"/>
        <v>0.04</v>
      </c>
      <c r="H2934">
        <f>G2934*(26.79/38.29)</f>
        <v>2.7986419430660745E-2</v>
      </c>
    </row>
    <row r="2935" spans="1:8" x14ac:dyDescent="0.25">
      <c r="A2935" s="1">
        <v>2002</v>
      </c>
      <c r="B2935" s="1" t="s">
        <v>99</v>
      </c>
      <c r="C2935" t="s">
        <v>51</v>
      </c>
      <c r="D2935">
        <v>3</v>
      </c>
      <c r="E2935">
        <v>78</v>
      </c>
      <c r="F2935">
        <v>0.05</v>
      </c>
      <c r="G2935">
        <f t="shared" si="33"/>
        <v>1.666666666666667E-2</v>
      </c>
      <c r="H2935">
        <f>G2935*(26.79/38.29)</f>
        <v>1.1661008096108646E-2</v>
      </c>
    </row>
    <row r="2936" spans="1:8" x14ac:dyDescent="0.25">
      <c r="A2936" s="1">
        <v>2002</v>
      </c>
      <c r="B2936" s="1" t="s">
        <v>99</v>
      </c>
      <c r="C2936" t="s">
        <v>51</v>
      </c>
      <c r="D2936">
        <v>3</v>
      </c>
      <c r="E2936">
        <v>78</v>
      </c>
      <c r="F2936">
        <v>0.1</v>
      </c>
      <c r="G2936">
        <f t="shared" si="33"/>
        <v>3.333333333333334E-2</v>
      </c>
      <c r="H2936">
        <f>G2936*(26.79/38.29)</f>
        <v>2.3322016192217292E-2</v>
      </c>
    </row>
    <row r="2937" spans="1:8" x14ac:dyDescent="0.25">
      <c r="A2937" s="1">
        <v>2002</v>
      </c>
      <c r="B2937" s="1" t="s">
        <v>99</v>
      </c>
      <c r="C2937" t="s">
        <v>51</v>
      </c>
      <c r="D2937">
        <v>3</v>
      </c>
      <c r="E2937">
        <v>78</v>
      </c>
      <c r="F2937">
        <v>0.06</v>
      </c>
      <c r="G2937">
        <f t="shared" si="33"/>
        <v>0.02</v>
      </c>
      <c r="H2937">
        <f>G2937*(26.79/38.29)</f>
        <v>1.3993209715330373E-2</v>
      </c>
    </row>
    <row r="2938" spans="1:8" x14ac:dyDescent="0.25">
      <c r="A2938" s="1">
        <v>2002</v>
      </c>
      <c r="B2938" s="1" t="s">
        <v>99</v>
      </c>
      <c r="C2938" t="s">
        <v>51</v>
      </c>
      <c r="D2938">
        <v>3</v>
      </c>
      <c r="E2938">
        <v>78</v>
      </c>
      <c r="F2938">
        <v>0.05</v>
      </c>
      <c r="G2938">
        <f t="shared" si="33"/>
        <v>1.666666666666667E-2</v>
      </c>
      <c r="H2938">
        <f>G2938*(26.79/38.29)</f>
        <v>1.1661008096108646E-2</v>
      </c>
    </row>
    <row r="2939" spans="1:8" x14ac:dyDescent="0.25">
      <c r="A2939" s="1">
        <v>2002</v>
      </c>
      <c r="B2939" s="1" t="s">
        <v>99</v>
      </c>
      <c r="C2939" t="s">
        <v>51</v>
      </c>
      <c r="D2939">
        <v>3</v>
      </c>
      <c r="E2939">
        <v>78</v>
      </c>
      <c r="F2939">
        <v>0.04</v>
      </c>
      <c r="G2939">
        <f t="shared" si="33"/>
        <v>1.3333333333333332E-2</v>
      </c>
      <c r="H2939">
        <f>G2939*(26.79/38.29)</f>
        <v>9.3288064768869139E-3</v>
      </c>
    </row>
    <row r="2940" spans="1:8" x14ac:dyDescent="0.25">
      <c r="A2940" s="1">
        <v>2002</v>
      </c>
      <c r="B2940" s="1" t="s">
        <v>99</v>
      </c>
      <c r="C2940" t="s">
        <v>51</v>
      </c>
      <c r="D2940">
        <v>3</v>
      </c>
      <c r="E2940">
        <v>79</v>
      </c>
      <c r="F2940">
        <v>0.11</v>
      </c>
      <c r="G2940">
        <f t="shared" si="33"/>
        <v>3.6666666666666667E-2</v>
      </c>
      <c r="H2940">
        <f>G2940*(26.79/38.29)</f>
        <v>2.5654217811439017E-2</v>
      </c>
    </row>
    <row r="2941" spans="1:8" x14ac:dyDescent="0.25">
      <c r="A2941" s="1">
        <v>2002</v>
      </c>
      <c r="B2941" s="1" t="s">
        <v>99</v>
      </c>
      <c r="C2941" t="s">
        <v>51</v>
      </c>
      <c r="D2941">
        <v>3</v>
      </c>
      <c r="E2941">
        <v>79</v>
      </c>
      <c r="F2941">
        <v>0.06</v>
      </c>
      <c r="G2941">
        <f t="shared" si="33"/>
        <v>0.02</v>
      </c>
      <c r="H2941">
        <f>G2941*(26.79/38.29)</f>
        <v>1.3993209715330373E-2</v>
      </c>
    </row>
    <row r="2942" spans="1:8" x14ac:dyDescent="0.25">
      <c r="A2942" s="1">
        <v>2002</v>
      </c>
      <c r="B2942" s="1" t="s">
        <v>99</v>
      </c>
      <c r="C2942" t="s">
        <v>51</v>
      </c>
      <c r="D2942">
        <v>3</v>
      </c>
      <c r="E2942">
        <v>79</v>
      </c>
      <c r="F2942">
        <v>0.04</v>
      </c>
      <c r="G2942">
        <f t="shared" si="33"/>
        <v>1.3333333333333332E-2</v>
      </c>
      <c r="H2942">
        <f>G2942*(26.79/38.29)</f>
        <v>9.3288064768869139E-3</v>
      </c>
    </row>
    <row r="2943" spans="1:8" x14ac:dyDescent="0.25">
      <c r="A2943" s="1">
        <v>2002</v>
      </c>
      <c r="B2943" s="1" t="s">
        <v>99</v>
      </c>
      <c r="C2943" t="s">
        <v>51</v>
      </c>
      <c r="D2943">
        <v>3</v>
      </c>
      <c r="E2943">
        <v>79</v>
      </c>
      <c r="F2943">
        <v>0.09</v>
      </c>
      <c r="G2943">
        <f t="shared" si="33"/>
        <v>0.03</v>
      </c>
      <c r="H2943">
        <f>G2943*(26.79/38.29)</f>
        <v>2.0989814572995556E-2</v>
      </c>
    </row>
    <row r="2944" spans="1:8" x14ac:dyDescent="0.25">
      <c r="A2944" s="1">
        <v>2002</v>
      </c>
      <c r="B2944" s="1" t="s">
        <v>99</v>
      </c>
      <c r="C2944" t="s">
        <v>51</v>
      </c>
      <c r="D2944">
        <v>3</v>
      </c>
      <c r="E2944">
        <v>79</v>
      </c>
      <c r="F2944">
        <v>0.03</v>
      </c>
      <c r="G2944">
        <f t="shared" si="33"/>
        <v>0.01</v>
      </c>
      <c r="H2944">
        <f>G2944*(26.79/38.29)</f>
        <v>6.9966048576651863E-3</v>
      </c>
    </row>
    <row r="2945" spans="1:8" x14ac:dyDescent="0.25">
      <c r="A2945" s="1">
        <v>2002</v>
      </c>
      <c r="B2945" s="1" t="s">
        <v>99</v>
      </c>
      <c r="C2945" t="s">
        <v>51</v>
      </c>
      <c r="D2945">
        <v>3</v>
      </c>
      <c r="E2945">
        <v>79</v>
      </c>
      <c r="F2945">
        <v>0.04</v>
      </c>
      <c r="G2945">
        <f t="shared" si="33"/>
        <v>1.3333333333333332E-2</v>
      </c>
      <c r="H2945">
        <f>G2945*(26.79/38.29)</f>
        <v>9.3288064768869139E-3</v>
      </c>
    </row>
    <row r="2946" spans="1:8" x14ac:dyDescent="0.25">
      <c r="A2946" s="1">
        <v>2002</v>
      </c>
      <c r="B2946" s="1" t="s">
        <v>99</v>
      </c>
      <c r="C2946" t="s">
        <v>51</v>
      </c>
      <c r="D2946">
        <v>3</v>
      </c>
      <c r="E2946">
        <v>79</v>
      </c>
      <c r="F2946">
        <v>0.04</v>
      </c>
      <c r="G2946">
        <f t="shared" si="33"/>
        <v>1.3333333333333332E-2</v>
      </c>
      <c r="H2946">
        <f>G2946*(26.79/38.29)</f>
        <v>9.3288064768869139E-3</v>
      </c>
    </row>
    <row r="2947" spans="1:8" x14ac:dyDescent="0.25">
      <c r="A2947" s="1">
        <v>2002</v>
      </c>
      <c r="B2947" s="1" t="s">
        <v>99</v>
      </c>
      <c r="C2947" t="s">
        <v>51</v>
      </c>
      <c r="D2947">
        <v>3</v>
      </c>
      <c r="E2947">
        <v>79</v>
      </c>
      <c r="F2947">
        <v>0.03</v>
      </c>
      <c r="G2947">
        <f t="shared" si="33"/>
        <v>0.01</v>
      </c>
      <c r="H2947">
        <f>G2947*(26.79/38.29)</f>
        <v>6.9966048576651863E-3</v>
      </c>
    </row>
    <row r="2948" spans="1:8" x14ac:dyDescent="0.25">
      <c r="A2948" s="1">
        <v>2002</v>
      </c>
      <c r="B2948" s="1" t="s">
        <v>99</v>
      </c>
      <c r="C2948" t="s">
        <v>51</v>
      </c>
      <c r="D2948">
        <v>3</v>
      </c>
      <c r="E2948">
        <v>79</v>
      </c>
      <c r="F2948">
        <v>0.04</v>
      </c>
      <c r="G2948">
        <f t="shared" si="33"/>
        <v>1.3333333333333332E-2</v>
      </c>
      <c r="H2948">
        <f>G2948*(26.79/38.29)</f>
        <v>9.3288064768869139E-3</v>
      </c>
    </row>
    <row r="2949" spans="1:8" x14ac:dyDescent="0.25">
      <c r="A2949" s="1">
        <v>2002</v>
      </c>
      <c r="B2949" s="1" t="s">
        <v>99</v>
      </c>
      <c r="C2949" t="s">
        <v>51</v>
      </c>
      <c r="D2949">
        <v>3</v>
      </c>
      <c r="E2949">
        <v>79</v>
      </c>
      <c r="F2949">
        <v>0.03</v>
      </c>
      <c r="G2949">
        <f t="shared" si="33"/>
        <v>0.01</v>
      </c>
      <c r="H2949">
        <f>G2949*(26.79/38.29)</f>
        <v>6.9966048576651863E-3</v>
      </c>
    </row>
    <row r="2950" spans="1:8" x14ac:dyDescent="0.25">
      <c r="A2950" s="1">
        <v>2002</v>
      </c>
      <c r="B2950" s="1" t="s">
        <v>99</v>
      </c>
      <c r="C2950" t="s">
        <v>51</v>
      </c>
      <c r="D2950">
        <v>3</v>
      </c>
      <c r="E2950">
        <v>79</v>
      </c>
      <c r="F2950">
        <v>7.0000000000000007E-2</v>
      </c>
      <c r="G2950">
        <f t="shared" si="33"/>
        <v>2.3333333333333338E-2</v>
      </c>
      <c r="H2950">
        <f>G2950*(26.79/38.29)</f>
        <v>1.6325411334552103E-2</v>
      </c>
    </row>
    <row r="2951" spans="1:8" x14ac:dyDescent="0.25">
      <c r="A2951" s="1">
        <v>2002</v>
      </c>
      <c r="B2951" s="1" t="s">
        <v>99</v>
      </c>
      <c r="C2951" t="s">
        <v>51</v>
      </c>
      <c r="D2951">
        <v>3</v>
      </c>
      <c r="E2951">
        <v>79</v>
      </c>
      <c r="F2951">
        <v>0.04</v>
      </c>
      <c r="G2951">
        <f t="shared" si="33"/>
        <v>1.3333333333333332E-2</v>
      </c>
      <c r="H2951">
        <f>G2951*(26.79/38.29)</f>
        <v>9.3288064768869139E-3</v>
      </c>
    </row>
    <row r="2952" spans="1:8" x14ac:dyDescent="0.25">
      <c r="A2952" s="1">
        <v>2002</v>
      </c>
      <c r="B2952" s="1" t="s">
        <v>99</v>
      </c>
      <c r="C2952" t="s">
        <v>51</v>
      </c>
      <c r="D2952">
        <v>3</v>
      </c>
      <c r="E2952">
        <v>79</v>
      </c>
      <c r="F2952">
        <v>0.05</v>
      </c>
      <c r="G2952">
        <f t="shared" si="33"/>
        <v>1.666666666666667E-2</v>
      </c>
      <c r="H2952">
        <f>G2952*(26.79/38.29)</f>
        <v>1.1661008096108646E-2</v>
      </c>
    </row>
    <row r="2953" spans="1:8" x14ac:dyDescent="0.25">
      <c r="A2953" s="1">
        <v>2002</v>
      </c>
      <c r="B2953" s="1" t="s">
        <v>99</v>
      </c>
      <c r="C2953" t="s">
        <v>51</v>
      </c>
      <c r="D2953">
        <v>3</v>
      </c>
      <c r="E2953">
        <v>79</v>
      </c>
      <c r="F2953">
        <v>0.13</v>
      </c>
      <c r="G2953">
        <f t="shared" si="33"/>
        <v>4.3333333333333335E-2</v>
      </c>
      <c r="H2953">
        <f>G2953*(26.79/38.29)</f>
        <v>3.0318621049882474E-2</v>
      </c>
    </row>
    <row r="2954" spans="1:8" x14ac:dyDescent="0.25">
      <c r="A2954" s="1">
        <v>2002</v>
      </c>
      <c r="B2954" s="1" t="s">
        <v>99</v>
      </c>
      <c r="C2954" t="s">
        <v>51</v>
      </c>
      <c r="D2954">
        <v>3</v>
      </c>
      <c r="E2954">
        <v>79</v>
      </c>
      <c r="F2954">
        <v>0.04</v>
      </c>
      <c r="G2954">
        <f t="shared" si="33"/>
        <v>1.3333333333333332E-2</v>
      </c>
      <c r="H2954">
        <f>G2954*(26.79/38.29)</f>
        <v>9.3288064768869139E-3</v>
      </c>
    </row>
    <row r="2955" spans="1:8" x14ac:dyDescent="0.25">
      <c r="A2955" s="1">
        <v>2002</v>
      </c>
      <c r="B2955" s="1" t="s">
        <v>99</v>
      </c>
      <c r="C2955" t="s">
        <v>51</v>
      </c>
      <c r="D2955">
        <v>3</v>
      </c>
      <c r="E2955">
        <v>79</v>
      </c>
      <c r="F2955">
        <v>0.05</v>
      </c>
      <c r="G2955">
        <f t="shared" si="33"/>
        <v>1.666666666666667E-2</v>
      </c>
      <c r="H2955">
        <f>G2955*(26.79/38.29)</f>
        <v>1.1661008096108646E-2</v>
      </c>
    </row>
    <row r="2956" spans="1:8" x14ac:dyDescent="0.25">
      <c r="A2956" s="1">
        <v>2002</v>
      </c>
      <c r="B2956" s="1" t="s">
        <v>99</v>
      </c>
      <c r="C2956" t="s">
        <v>51</v>
      </c>
      <c r="D2956">
        <v>3</v>
      </c>
      <c r="E2956">
        <v>79</v>
      </c>
      <c r="F2956">
        <v>0.11</v>
      </c>
      <c r="G2956">
        <f t="shared" si="33"/>
        <v>3.6666666666666667E-2</v>
      </c>
      <c r="H2956">
        <f>G2956*(26.79/38.29)</f>
        <v>2.5654217811439017E-2</v>
      </c>
    </row>
    <row r="2957" spans="1:8" x14ac:dyDescent="0.25">
      <c r="A2957" s="1">
        <v>2002</v>
      </c>
      <c r="B2957" s="1" t="s">
        <v>99</v>
      </c>
      <c r="C2957" t="s">
        <v>51</v>
      </c>
      <c r="D2957">
        <v>3</v>
      </c>
      <c r="E2957">
        <v>84</v>
      </c>
      <c r="F2957">
        <v>0.09</v>
      </c>
      <c r="G2957">
        <f t="shared" si="33"/>
        <v>0.03</v>
      </c>
      <c r="H2957">
        <f>G2957*(26.79/38.29)</f>
        <v>2.0989814572995556E-2</v>
      </c>
    </row>
    <row r="2958" spans="1:8" x14ac:dyDescent="0.25">
      <c r="A2958" s="1">
        <v>2002</v>
      </c>
      <c r="B2958" s="1" t="s">
        <v>99</v>
      </c>
      <c r="C2958" t="s">
        <v>51</v>
      </c>
      <c r="D2958">
        <v>3</v>
      </c>
      <c r="E2958">
        <v>88</v>
      </c>
      <c r="F2958">
        <v>0.11</v>
      </c>
      <c r="G2958">
        <f t="shared" ref="G2958:G3021" si="34">(F2958/0.6)/5</f>
        <v>3.6666666666666667E-2</v>
      </c>
      <c r="H2958">
        <f>G2958*(26.79/38.29)</f>
        <v>2.5654217811439017E-2</v>
      </c>
    </row>
    <row r="2959" spans="1:8" x14ac:dyDescent="0.25">
      <c r="A2959" s="1">
        <v>2002</v>
      </c>
      <c r="B2959" s="1" t="s">
        <v>99</v>
      </c>
      <c r="C2959" t="s">
        <v>51</v>
      </c>
      <c r="D2959">
        <v>4</v>
      </c>
      <c r="E2959">
        <v>29</v>
      </c>
      <c r="F2959">
        <v>0.1</v>
      </c>
      <c r="G2959">
        <f t="shared" si="34"/>
        <v>3.333333333333334E-2</v>
      </c>
      <c r="H2959">
        <f>G2959*(26.79/38.29)</f>
        <v>2.3322016192217292E-2</v>
      </c>
    </row>
    <row r="2960" spans="1:8" x14ac:dyDescent="0.25">
      <c r="A2960" s="1">
        <v>2002</v>
      </c>
      <c r="B2960" s="1" t="s">
        <v>99</v>
      </c>
      <c r="C2960" t="s">
        <v>51</v>
      </c>
      <c r="D2960">
        <v>4</v>
      </c>
      <c r="E2960">
        <v>29</v>
      </c>
      <c r="F2960">
        <v>0.04</v>
      </c>
      <c r="G2960">
        <f t="shared" si="34"/>
        <v>1.3333333333333332E-2</v>
      </c>
      <c r="H2960">
        <f>G2960*(26.79/38.29)</f>
        <v>9.3288064768869139E-3</v>
      </c>
    </row>
    <row r="2961" spans="1:8" x14ac:dyDescent="0.25">
      <c r="A2961" s="1">
        <v>2002</v>
      </c>
      <c r="B2961" s="1" t="s">
        <v>99</v>
      </c>
      <c r="C2961" t="s">
        <v>51</v>
      </c>
      <c r="D2961">
        <v>4</v>
      </c>
      <c r="E2961">
        <v>32</v>
      </c>
      <c r="F2961">
        <v>0.1</v>
      </c>
      <c r="G2961">
        <f t="shared" si="34"/>
        <v>3.333333333333334E-2</v>
      </c>
      <c r="H2961">
        <f>G2961*(26.79/38.29)</f>
        <v>2.3322016192217292E-2</v>
      </c>
    </row>
    <row r="2962" spans="1:8" x14ac:dyDescent="0.25">
      <c r="A2962" s="1">
        <v>2002</v>
      </c>
      <c r="B2962" s="1" t="s">
        <v>99</v>
      </c>
      <c r="C2962" t="s">
        <v>51</v>
      </c>
      <c r="D2962">
        <v>4</v>
      </c>
      <c r="E2962">
        <v>32</v>
      </c>
      <c r="F2962">
        <v>0.08</v>
      </c>
      <c r="G2962">
        <f t="shared" si="34"/>
        <v>2.6666666666666665E-2</v>
      </c>
      <c r="H2962">
        <f>G2962*(26.79/38.29)</f>
        <v>1.8657612953773828E-2</v>
      </c>
    </row>
    <row r="2963" spans="1:8" x14ac:dyDescent="0.25">
      <c r="A2963" s="1">
        <v>2002</v>
      </c>
      <c r="B2963" s="1" t="s">
        <v>99</v>
      </c>
      <c r="C2963" t="s">
        <v>51</v>
      </c>
      <c r="D2963">
        <v>4</v>
      </c>
      <c r="E2963">
        <v>32</v>
      </c>
      <c r="F2963">
        <v>0.04</v>
      </c>
      <c r="G2963">
        <f t="shared" si="34"/>
        <v>1.3333333333333332E-2</v>
      </c>
      <c r="H2963">
        <f>G2963*(26.79/38.29)</f>
        <v>9.3288064768869139E-3</v>
      </c>
    </row>
    <row r="2964" spans="1:8" x14ac:dyDescent="0.25">
      <c r="A2964" s="1">
        <v>2002</v>
      </c>
      <c r="B2964" s="1" t="s">
        <v>99</v>
      </c>
      <c r="C2964" t="s">
        <v>51</v>
      </c>
      <c r="D2964">
        <v>4</v>
      </c>
      <c r="E2964">
        <v>32</v>
      </c>
      <c r="F2964">
        <v>0.06</v>
      </c>
      <c r="G2964">
        <f t="shared" si="34"/>
        <v>0.02</v>
      </c>
      <c r="H2964">
        <f>G2964*(26.79/38.29)</f>
        <v>1.3993209715330373E-2</v>
      </c>
    </row>
    <row r="2965" spans="1:8" x14ac:dyDescent="0.25">
      <c r="A2965" s="1">
        <v>2002</v>
      </c>
      <c r="B2965" s="1" t="s">
        <v>99</v>
      </c>
      <c r="C2965" t="s">
        <v>51</v>
      </c>
      <c r="D2965">
        <v>4</v>
      </c>
      <c r="E2965">
        <v>32</v>
      </c>
      <c r="F2965">
        <v>7.0000000000000007E-2</v>
      </c>
      <c r="G2965">
        <f t="shared" si="34"/>
        <v>2.3333333333333338E-2</v>
      </c>
      <c r="H2965">
        <f>G2965*(26.79/38.29)</f>
        <v>1.6325411334552103E-2</v>
      </c>
    </row>
    <row r="2966" spans="1:8" x14ac:dyDescent="0.25">
      <c r="A2966" s="1">
        <v>2002</v>
      </c>
      <c r="B2966" s="1" t="s">
        <v>99</v>
      </c>
      <c r="C2966" t="s">
        <v>51</v>
      </c>
      <c r="D2966">
        <v>4</v>
      </c>
      <c r="E2966">
        <v>32</v>
      </c>
      <c r="F2966">
        <v>0.1</v>
      </c>
      <c r="G2966">
        <f t="shared" si="34"/>
        <v>3.333333333333334E-2</v>
      </c>
      <c r="H2966">
        <f>G2966*(26.79/38.29)</f>
        <v>2.3322016192217292E-2</v>
      </c>
    </row>
    <row r="2967" spans="1:8" x14ac:dyDescent="0.25">
      <c r="A2967" s="1">
        <v>2002</v>
      </c>
      <c r="B2967" s="1" t="s">
        <v>99</v>
      </c>
      <c r="C2967" t="s">
        <v>51</v>
      </c>
      <c r="D2967">
        <v>4</v>
      </c>
      <c r="E2967">
        <v>32</v>
      </c>
      <c r="F2967">
        <v>0.05</v>
      </c>
      <c r="G2967">
        <f t="shared" si="34"/>
        <v>1.666666666666667E-2</v>
      </c>
      <c r="H2967">
        <f>G2967*(26.79/38.29)</f>
        <v>1.1661008096108646E-2</v>
      </c>
    </row>
    <row r="2968" spans="1:8" x14ac:dyDescent="0.25">
      <c r="A2968" s="1">
        <v>2002</v>
      </c>
      <c r="B2968" s="1" t="s">
        <v>99</v>
      </c>
      <c r="C2968" t="s">
        <v>51</v>
      </c>
      <c r="D2968">
        <v>4</v>
      </c>
      <c r="E2968">
        <v>32</v>
      </c>
      <c r="F2968">
        <v>7.0000000000000007E-2</v>
      </c>
      <c r="G2968">
        <f t="shared" si="34"/>
        <v>2.3333333333333338E-2</v>
      </c>
      <c r="H2968">
        <f>G2968*(26.79/38.29)</f>
        <v>1.6325411334552103E-2</v>
      </c>
    </row>
    <row r="2969" spans="1:8" x14ac:dyDescent="0.25">
      <c r="A2969" s="1">
        <v>2002</v>
      </c>
      <c r="B2969" s="1" t="s">
        <v>99</v>
      </c>
      <c r="C2969" t="s">
        <v>51</v>
      </c>
      <c r="D2969">
        <v>4</v>
      </c>
      <c r="E2969">
        <v>32</v>
      </c>
      <c r="F2969">
        <v>0.04</v>
      </c>
      <c r="G2969">
        <f t="shared" si="34"/>
        <v>1.3333333333333332E-2</v>
      </c>
      <c r="H2969">
        <f>G2969*(26.79/38.29)</f>
        <v>9.3288064768869139E-3</v>
      </c>
    </row>
    <row r="2970" spans="1:8" x14ac:dyDescent="0.25">
      <c r="A2970" s="1">
        <v>2002</v>
      </c>
      <c r="B2970" s="1" t="s">
        <v>99</v>
      </c>
      <c r="C2970" t="s">
        <v>51</v>
      </c>
      <c r="D2970">
        <v>4</v>
      </c>
      <c r="E2970">
        <v>32</v>
      </c>
      <c r="F2970">
        <v>0.04</v>
      </c>
      <c r="G2970">
        <f t="shared" si="34"/>
        <v>1.3333333333333332E-2</v>
      </c>
      <c r="H2970">
        <f>G2970*(26.79/38.29)</f>
        <v>9.3288064768869139E-3</v>
      </c>
    </row>
    <row r="2971" spans="1:8" x14ac:dyDescent="0.25">
      <c r="A2971" s="1">
        <v>2002</v>
      </c>
      <c r="B2971" s="1" t="s">
        <v>99</v>
      </c>
      <c r="C2971" t="s">
        <v>51</v>
      </c>
      <c r="D2971">
        <v>4</v>
      </c>
      <c r="E2971">
        <v>32</v>
      </c>
      <c r="F2971">
        <v>0.04</v>
      </c>
      <c r="G2971">
        <f t="shared" si="34"/>
        <v>1.3333333333333332E-2</v>
      </c>
      <c r="H2971">
        <f>G2971*(26.79/38.29)</f>
        <v>9.3288064768869139E-3</v>
      </c>
    </row>
    <row r="2972" spans="1:8" x14ac:dyDescent="0.25">
      <c r="A2972" s="1">
        <v>2002</v>
      </c>
      <c r="B2972" s="1" t="s">
        <v>99</v>
      </c>
      <c r="C2972" t="s">
        <v>51</v>
      </c>
      <c r="D2972">
        <v>4</v>
      </c>
      <c r="E2972">
        <v>32</v>
      </c>
      <c r="F2972">
        <v>0.04</v>
      </c>
      <c r="G2972">
        <f t="shared" si="34"/>
        <v>1.3333333333333332E-2</v>
      </c>
      <c r="H2972">
        <f>G2972*(26.79/38.29)</f>
        <v>9.3288064768869139E-3</v>
      </c>
    </row>
    <row r="2973" spans="1:8" x14ac:dyDescent="0.25">
      <c r="A2973" s="1">
        <v>2002</v>
      </c>
      <c r="B2973" s="1" t="s">
        <v>99</v>
      </c>
      <c r="C2973" t="s">
        <v>51</v>
      </c>
      <c r="D2973">
        <v>4</v>
      </c>
      <c r="E2973">
        <v>32</v>
      </c>
      <c r="F2973">
        <v>0.03</v>
      </c>
      <c r="G2973">
        <f t="shared" si="34"/>
        <v>0.01</v>
      </c>
      <c r="H2973">
        <f>G2973*(26.79/38.29)</f>
        <v>6.9966048576651863E-3</v>
      </c>
    </row>
    <row r="2974" spans="1:8" x14ac:dyDescent="0.25">
      <c r="A2974" s="1">
        <v>2002</v>
      </c>
      <c r="B2974" s="1" t="s">
        <v>99</v>
      </c>
      <c r="C2974" t="s">
        <v>51</v>
      </c>
      <c r="D2974">
        <v>4</v>
      </c>
      <c r="E2974">
        <v>32</v>
      </c>
      <c r="F2974">
        <v>0.04</v>
      </c>
      <c r="G2974">
        <f t="shared" si="34"/>
        <v>1.3333333333333332E-2</v>
      </c>
      <c r="H2974">
        <f>G2974*(26.79/38.29)</f>
        <v>9.3288064768869139E-3</v>
      </c>
    </row>
    <row r="2975" spans="1:8" x14ac:dyDescent="0.25">
      <c r="A2975" s="1">
        <v>2002</v>
      </c>
      <c r="B2975" s="1" t="s">
        <v>99</v>
      </c>
      <c r="C2975" t="s">
        <v>51</v>
      </c>
      <c r="D2975">
        <v>4</v>
      </c>
      <c r="E2975">
        <v>32</v>
      </c>
      <c r="F2975">
        <v>7.0000000000000007E-2</v>
      </c>
      <c r="G2975">
        <f t="shared" si="34"/>
        <v>2.3333333333333338E-2</v>
      </c>
      <c r="H2975">
        <f>G2975*(26.79/38.29)</f>
        <v>1.6325411334552103E-2</v>
      </c>
    </row>
    <row r="2976" spans="1:8" x14ac:dyDescent="0.25">
      <c r="A2976" s="1">
        <v>2002</v>
      </c>
      <c r="B2976" s="1" t="s">
        <v>99</v>
      </c>
      <c r="C2976" t="s">
        <v>51</v>
      </c>
      <c r="D2976">
        <v>4</v>
      </c>
      <c r="E2976">
        <v>32</v>
      </c>
      <c r="F2976">
        <v>0.09</v>
      </c>
      <c r="G2976">
        <f t="shared" si="34"/>
        <v>0.03</v>
      </c>
      <c r="H2976">
        <f>G2976*(26.79/38.29)</f>
        <v>2.0989814572995556E-2</v>
      </c>
    </row>
    <row r="2977" spans="1:8" x14ac:dyDescent="0.25">
      <c r="A2977" s="1">
        <v>2002</v>
      </c>
      <c r="B2977" s="1" t="s">
        <v>99</v>
      </c>
      <c r="C2977" t="s">
        <v>51</v>
      </c>
      <c r="D2977">
        <v>4</v>
      </c>
      <c r="E2977">
        <v>32</v>
      </c>
      <c r="F2977">
        <v>0.05</v>
      </c>
      <c r="G2977">
        <f t="shared" si="34"/>
        <v>1.666666666666667E-2</v>
      </c>
      <c r="H2977">
        <f>G2977*(26.79/38.29)</f>
        <v>1.1661008096108646E-2</v>
      </c>
    </row>
    <row r="2978" spans="1:8" x14ac:dyDescent="0.25">
      <c r="A2978" s="1">
        <v>2002</v>
      </c>
      <c r="B2978" s="1" t="s">
        <v>99</v>
      </c>
      <c r="C2978" t="s">
        <v>51</v>
      </c>
      <c r="D2978">
        <v>4</v>
      </c>
      <c r="E2978">
        <v>32</v>
      </c>
      <c r="F2978">
        <v>0.04</v>
      </c>
      <c r="G2978">
        <f t="shared" si="34"/>
        <v>1.3333333333333332E-2</v>
      </c>
      <c r="H2978">
        <f>G2978*(26.79/38.29)</f>
        <v>9.3288064768869139E-3</v>
      </c>
    </row>
    <row r="2979" spans="1:8" x14ac:dyDescent="0.25">
      <c r="A2979" s="1">
        <v>2002</v>
      </c>
      <c r="B2979" s="1" t="s">
        <v>99</v>
      </c>
      <c r="C2979" t="s">
        <v>51</v>
      </c>
      <c r="D2979">
        <v>4</v>
      </c>
      <c r="E2979">
        <v>32</v>
      </c>
      <c r="F2979">
        <v>0.04</v>
      </c>
      <c r="G2979">
        <f t="shared" si="34"/>
        <v>1.3333333333333332E-2</v>
      </c>
      <c r="H2979">
        <f>G2979*(26.79/38.29)</f>
        <v>9.3288064768869139E-3</v>
      </c>
    </row>
    <row r="2980" spans="1:8" x14ac:dyDescent="0.25">
      <c r="A2980" s="1">
        <v>2002</v>
      </c>
      <c r="B2980" s="1" t="s">
        <v>99</v>
      </c>
      <c r="C2980" t="s">
        <v>51</v>
      </c>
      <c r="D2980">
        <v>4</v>
      </c>
      <c r="E2980">
        <v>32</v>
      </c>
      <c r="F2980">
        <v>0.11</v>
      </c>
      <c r="G2980">
        <f t="shared" si="34"/>
        <v>3.6666666666666667E-2</v>
      </c>
      <c r="H2980">
        <f>G2980*(26.79/38.29)</f>
        <v>2.5654217811439017E-2</v>
      </c>
    </row>
    <row r="2981" spans="1:8" x14ac:dyDescent="0.25">
      <c r="A2981" s="1">
        <v>2002</v>
      </c>
      <c r="B2981" s="1" t="s">
        <v>99</v>
      </c>
      <c r="C2981" t="s">
        <v>51</v>
      </c>
      <c r="D2981">
        <v>4</v>
      </c>
      <c r="E2981">
        <v>32</v>
      </c>
      <c r="F2981">
        <v>0.05</v>
      </c>
      <c r="G2981">
        <f t="shared" si="34"/>
        <v>1.666666666666667E-2</v>
      </c>
      <c r="H2981">
        <f>G2981*(26.79/38.29)</f>
        <v>1.1661008096108646E-2</v>
      </c>
    </row>
    <row r="2982" spans="1:8" x14ac:dyDescent="0.25">
      <c r="A2982" s="1">
        <v>2002</v>
      </c>
      <c r="B2982" s="1" t="s">
        <v>99</v>
      </c>
      <c r="C2982" t="s">
        <v>51</v>
      </c>
      <c r="D2982">
        <v>4</v>
      </c>
      <c r="E2982">
        <v>53</v>
      </c>
      <c r="F2982">
        <v>0.04</v>
      </c>
      <c r="G2982">
        <f t="shared" si="34"/>
        <v>1.3333333333333332E-2</v>
      </c>
      <c r="H2982">
        <f>G2982*(26.79/38.29)</f>
        <v>9.3288064768869139E-3</v>
      </c>
    </row>
    <row r="2983" spans="1:8" x14ac:dyDescent="0.25">
      <c r="A2983" s="1">
        <v>2002</v>
      </c>
      <c r="B2983" s="1" t="s">
        <v>99</v>
      </c>
      <c r="C2983" t="s">
        <v>51</v>
      </c>
      <c r="D2983">
        <v>4</v>
      </c>
      <c r="E2983">
        <v>53</v>
      </c>
      <c r="F2983">
        <v>0.1</v>
      </c>
      <c r="G2983">
        <f t="shared" si="34"/>
        <v>3.333333333333334E-2</v>
      </c>
      <c r="H2983">
        <f>G2983*(26.79/38.29)</f>
        <v>2.3322016192217292E-2</v>
      </c>
    </row>
    <row r="2984" spans="1:8" x14ac:dyDescent="0.25">
      <c r="A2984" s="1">
        <v>2002</v>
      </c>
      <c r="B2984" s="1" t="s">
        <v>99</v>
      </c>
      <c r="C2984" t="s">
        <v>51</v>
      </c>
      <c r="D2984">
        <v>4</v>
      </c>
      <c r="E2984">
        <v>53</v>
      </c>
      <c r="F2984">
        <v>0.06</v>
      </c>
      <c r="G2984">
        <f t="shared" si="34"/>
        <v>0.02</v>
      </c>
      <c r="H2984">
        <f>G2984*(26.79/38.29)</f>
        <v>1.3993209715330373E-2</v>
      </c>
    </row>
    <row r="2985" spans="1:8" x14ac:dyDescent="0.25">
      <c r="A2985" s="1">
        <v>2002</v>
      </c>
      <c r="B2985" s="1" t="s">
        <v>99</v>
      </c>
      <c r="C2985" t="s">
        <v>51</v>
      </c>
      <c r="D2985">
        <v>4</v>
      </c>
      <c r="E2985">
        <v>53</v>
      </c>
      <c r="F2985">
        <v>0.08</v>
      </c>
      <c r="G2985">
        <f t="shared" si="34"/>
        <v>2.6666666666666665E-2</v>
      </c>
      <c r="H2985">
        <f>G2985*(26.79/38.29)</f>
        <v>1.8657612953773828E-2</v>
      </c>
    </row>
    <row r="2986" spans="1:8" x14ac:dyDescent="0.25">
      <c r="A2986" s="1">
        <v>2002</v>
      </c>
      <c r="B2986" s="1" t="s">
        <v>99</v>
      </c>
      <c r="C2986" t="s">
        <v>51</v>
      </c>
      <c r="D2986">
        <v>4</v>
      </c>
      <c r="E2986">
        <v>54</v>
      </c>
      <c r="F2986">
        <v>0.03</v>
      </c>
      <c r="G2986">
        <f t="shared" si="34"/>
        <v>0.01</v>
      </c>
      <c r="H2986">
        <f>G2986*(26.79/38.29)</f>
        <v>6.9966048576651863E-3</v>
      </c>
    </row>
    <row r="2987" spans="1:8" x14ac:dyDescent="0.25">
      <c r="A2987" s="1">
        <v>2002</v>
      </c>
      <c r="B2987" s="1" t="s">
        <v>99</v>
      </c>
      <c r="C2987" t="s">
        <v>51</v>
      </c>
      <c r="D2987">
        <v>4</v>
      </c>
      <c r="E2987">
        <v>54</v>
      </c>
      <c r="F2987">
        <v>0.06</v>
      </c>
      <c r="G2987">
        <f t="shared" si="34"/>
        <v>0.02</v>
      </c>
      <c r="H2987">
        <f>G2987*(26.79/38.29)</f>
        <v>1.3993209715330373E-2</v>
      </c>
    </row>
    <row r="2988" spans="1:8" x14ac:dyDescent="0.25">
      <c r="A2988" s="1">
        <v>2002</v>
      </c>
      <c r="B2988" s="1" t="s">
        <v>99</v>
      </c>
      <c r="C2988" t="s">
        <v>51</v>
      </c>
      <c r="D2988">
        <v>4</v>
      </c>
      <c r="E2988">
        <v>54</v>
      </c>
      <c r="F2988">
        <v>0.05</v>
      </c>
      <c r="G2988">
        <f t="shared" si="34"/>
        <v>1.666666666666667E-2</v>
      </c>
      <c r="H2988">
        <f>G2988*(26.79/38.29)</f>
        <v>1.1661008096108646E-2</v>
      </c>
    </row>
    <row r="2989" spans="1:8" x14ac:dyDescent="0.25">
      <c r="A2989" s="1">
        <v>2002</v>
      </c>
      <c r="B2989" s="1" t="s">
        <v>99</v>
      </c>
      <c r="C2989" t="s">
        <v>51</v>
      </c>
      <c r="D2989">
        <v>4</v>
      </c>
      <c r="E2989">
        <v>54</v>
      </c>
      <c r="F2989">
        <v>0.04</v>
      </c>
      <c r="G2989">
        <f t="shared" si="34"/>
        <v>1.3333333333333332E-2</v>
      </c>
      <c r="H2989">
        <f>G2989*(26.79/38.29)</f>
        <v>9.3288064768869139E-3</v>
      </c>
    </row>
    <row r="2990" spans="1:8" x14ac:dyDescent="0.25">
      <c r="A2990" s="1">
        <v>2002</v>
      </c>
      <c r="B2990" s="1" t="s">
        <v>99</v>
      </c>
      <c r="C2990" t="s">
        <v>51</v>
      </c>
      <c r="D2990">
        <v>4</v>
      </c>
      <c r="E2990">
        <v>54</v>
      </c>
      <c r="F2990">
        <v>0.1</v>
      </c>
      <c r="G2990">
        <f t="shared" si="34"/>
        <v>3.333333333333334E-2</v>
      </c>
      <c r="H2990">
        <f>G2990*(26.79/38.29)</f>
        <v>2.3322016192217292E-2</v>
      </c>
    </row>
    <row r="2991" spans="1:8" x14ac:dyDescent="0.25">
      <c r="A2991" s="1">
        <v>2002</v>
      </c>
      <c r="B2991" s="1" t="s">
        <v>99</v>
      </c>
      <c r="C2991" t="s">
        <v>51</v>
      </c>
      <c r="D2991">
        <v>4</v>
      </c>
      <c r="E2991">
        <v>54</v>
      </c>
      <c r="F2991">
        <v>0.05</v>
      </c>
      <c r="G2991">
        <f t="shared" si="34"/>
        <v>1.666666666666667E-2</v>
      </c>
      <c r="H2991">
        <f>G2991*(26.79/38.29)</f>
        <v>1.1661008096108646E-2</v>
      </c>
    </row>
    <row r="2992" spans="1:8" x14ac:dyDescent="0.25">
      <c r="A2992" s="1">
        <v>2002</v>
      </c>
      <c r="B2992" s="1" t="s">
        <v>99</v>
      </c>
      <c r="C2992" t="s">
        <v>51</v>
      </c>
      <c r="D2992">
        <v>4</v>
      </c>
      <c r="E2992">
        <v>54</v>
      </c>
      <c r="F2992">
        <v>0.03</v>
      </c>
      <c r="G2992">
        <f t="shared" si="34"/>
        <v>0.01</v>
      </c>
      <c r="H2992">
        <f>G2992*(26.79/38.29)</f>
        <v>6.9966048576651863E-3</v>
      </c>
    </row>
    <row r="2993" spans="1:8" x14ac:dyDescent="0.25">
      <c r="A2993" s="1">
        <v>2002</v>
      </c>
      <c r="B2993" s="1" t="s">
        <v>99</v>
      </c>
      <c r="C2993" t="s">
        <v>51</v>
      </c>
      <c r="D2993">
        <v>4</v>
      </c>
      <c r="E2993">
        <v>54</v>
      </c>
      <c r="F2993">
        <v>0.06</v>
      </c>
      <c r="G2993">
        <f t="shared" si="34"/>
        <v>0.02</v>
      </c>
      <c r="H2993">
        <f>G2993*(26.79/38.29)</f>
        <v>1.3993209715330373E-2</v>
      </c>
    </row>
    <row r="2994" spans="1:8" x14ac:dyDescent="0.25">
      <c r="A2994" s="1">
        <v>2002</v>
      </c>
      <c r="B2994" s="1" t="s">
        <v>99</v>
      </c>
      <c r="C2994" t="s">
        <v>51</v>
      </c>
      <c r="D2994">
        <v>4</v>
      </c>
      <c r="E2994">
        <v>54</v>
      </c>
      <c r="F2994">
        <v>0.04</v>
      </c>
      <c r="G2994">
        <f t="shared" si="34"/>
        <v>1.3333333333333332E-2</v>
      </c>
      <c r="H2994">
        <f>G2994*(26.79/38.29)</f>
        <v>9.3288064768869139E-3</v>
      </c>
    </row>
    <row r="2995" spans="1:8" x14ac:dyDescent="0.25">
      <c r="A2995" s="1">
        <v>2002</v>
      </c>
      <c r="B2995" s="1" t="s">
        <v>99</v>
      </c>
      <c r="C2995" t="s">
        <v>51</v>
      </c>
      <c r="D2995">
        <v>4</v>
      </c>
      <c r="E2995">
        <v>54</v>
      </c>
      <c r="F2995">
        <v>0.06</v>
      </c>
      <c r="G2995">
        <f t="shared" si="34"/>
        <v>0.02</v>
      </c>
      <c r="H2995">
        <f>G2995*(26.79/38.29)</f>
        <v>1.3993209715330373E-2</v>
      </c>
    </row>
    <row r="2996" spans="1:8" x14ac:dyDescent="0.25">
      <c r="A2996" s="1">
        <v>2002</v>
      </c>
      <c r="B2996" s="1" t="s">
        <v>99</v>
      </c>
      <c r="C2996" t="s">
        <v>51</v>
      </c>
      <c r="D2996">
        <v>4</v>
      </c>
      <c r="E2996">
        <v>54</v>
      </c>
      <c r="F2996">
        <v>0.06</v>
      </c>
      <c r="G2996">
        <f t="shared" si="34"/>
        <v>0.02</v>
      </c>
      <c r="H2996">
        <f>G2996*(26.79/38.29)</f>
        <v>1.3993209715330373E-2</v>
      </c>
    </row>
    <row r="2997" spans="1:8" x14ac:dyDescent="0.25">
      <c r="A2997" s="1">
        <v>2002</v>
      </c>
      <c r="B2997" s="1" t="s">
        <v>99</v>
      </c>
      <c r="C2997" t="s">
        <v>51</v>
      </c>
      <c r="D2997">
        <v>4</v>
      </c>
      <c r="E2997">
        <v>54</v>
      </c>
      <c r="F2997">
        <v>0.09</v>
      </c>
      <c r="G2997">
        <f t="shared" si="34"/>
        <v>0.03</v>
      </c>
      <c r="H2997">
        <f>G2997*(26.79/38.29)</f>
        <v>2.0989814572995556E-2</v>
      </c>
    </row>
    <row r="2998" spans="1:8" x14ac:dyDescent="0.25">
      <c r="A2998" s="1">
        <v>2002</v>
      </c>
      <c r="B2998" s="1" t="s">
        <v>99</v>
      </c>
      <c r="C2998" t="s">
        <v>51</v>
      </c>
      <c r="D2998">
        <v>4</v>
      </c>
      <c r="E2998">
        <v>54</v>
      </c>
      <c r="F2998">
        <v>0.04</v>
      </c>
      <c r="G2998">
        <f t="shared" si="34"/>
        <v>1.3333333333333332E-2</v>
      </c>
      <c r="H2998">
        <f>G2998*(26.79/38.29)</f>
        <v>9.3288064768869139E-3</v>
      </c>
    </row>
    <row r="2999" spans="1:8" x14ac:dyDescent="0.25">
      <c r="A2999" s="1">
        <v>2002</v>
      </c>
      <c r="B2999" s="1" t="s">
        <v>99</v>
      </c>
      <c r="C2999" t="s">
        <v>51</v>
      </c>
      <c r="D2999">
        <v>4</v>
      </c>
      <c r="E2999">
        <v>54</v>
      </c>
      <c r="F2999">
        <v>0.05</v>
      </c>
      <c r="G2999">
        <f t="shared" si="34"/>
        <v>1.666666666666667E-2</v>
      </c>
      <c r="H2999">
        <f>G2999*(26.79/38.29)</f>
        <v>1.1661008096108646E-2</v>
      </c>
    </row>
    <row r="3000" spans="1:8" x14ac:dyDescent="0.25">
      <c r="A3000" s="1">
        <v>2002</v>
      </c>
      <c r="B3000" s="1" t="s">
        <v>99</v>
      </c>
      <c r="C3000" t="s">
        <v>51</v>
      </c>
      <c r="D3000">
        <v>4</v>
      </c>
      <c r="E3000">
        <v>54</v>
      </c>
      <c r="F3000">
        <v>0.13</v>
      </c>
      <c r="G3000">
        <f t="shared" si="34"/>
        <v>4.3333333333333335E-2</v>
      </c>
      <c r="H3000">
        <f>G3000*(26.79/38.29)</f>
        <v>3.0318621049882474E-2</v>
      </c>
    </row>
    <row r="3001" spans="1:8" x14ac:dyDescent="0.25">
      <c r="A3001" s="1">
        <v>2002</v>
      </c>
      <c r="B3001" s="1" t="s">
        <v>99</v>
      </c>
      <c r="C3001" t="s">
        <v>51</v>
      </c>
      <c r="D3001">
        <v>4</v>
      </c>
      <c r="E3001">
        <v>54</v>
      </c>
      <c r="F3001">
        <v>0.1</v>
      </c>
      <c r="G3001">
        <f t="shared" si="34"/>
        <v>3.333333333333334E-2</v>
      </c>
      <c r="H3001">
        <f>G3001*(26.79/38.29)</f>
        <v>2.3322016192217292E-2</v>
      </c>
    </row>
    <row r="3002" spans="1:8" x14ac:dyDescent="0.25">
      <c r="A3002" s="1">
        <v>2002</v>
      </c>
      <c r="B3002" s="1" t="s">
        <v>99</v>
      </c>
      <c r="C3002" t="s">
        <v>51</v>
      </c>
      <c r="D3002">
        <v>4</v>
      </c>
      <c r="E3002">
        <v>54</v>
      </c>
      <c r="F3002">
        <v>0.05</v>
      </c>
      <c r="G3002">
        <f t="shared" si="34"/>
        <v>1.666666666666667E-2</v>
      </c>
      <c r="H3002">
        <f>G3002*(26.79/38.29)</f>
        <v>1.1661008096108646E-2</v>
      </c>
    </row>
    <row r="3003" spans="1:8" x14ac:dyDescent="0.25">
      <c r="A3003" s="1">
        <v>2002</v>
      </c>
      <c r="B3003" s="1" t="s">
        <v>99</v>
      </c>
      <c r="C3003" t="s">
        <v>51</v>
      </c>
      <c r="D3003">
        <v>4</v>
      </c>
      <c r="E3003">
        <v>54</v>
      </c>
      <c r="F3003">
        <v>7.0000000000000007E-2</v>
      </c>
      <c r="G3003">
        <f t="shared" si="34"/>
        <v>2.3333333333333338E-2</v>
      </c>
      <c r="H3003">
        <f>G3003*(26.79/38.29)</f>
        <v>1.6325411334552103E-2</v>
      </c>
    </row>
    <row r="3004" spans="1:8" x14ac:dyDescent="0.25">
      <c r="A3004" s="1">
        <v>2002</v>
      </c>
      <c r="B3004" s="1" t="s">
        <v>99</v>
      </c>
      <c r="C3004" t="s">
        <v>51</v>
      </c>
      <c r="D3004">
        <v>4</v>
      </c>
      <c r="E3004">
        <v>54</v>
      </c>
      <c r="F3004">
        <v>0.1</v>
      </c>
      <c r="G3004">
        <f t="shared" si="34"/>
        <v>3.333333333333334E-2</v>
      </c>
      <c r="H3004">
        <f>G3004*(26.79/38.29)</f>
        <v>2.3322016192217292E-2</v>
      </c>
    </row>
    <row r="3005" spans="1:8" x14ac:dyDescent="0.25">
      <c r="A3005" s="1">
        <v>2002</v>
      </c>
      <c r="B3005" s="1" t="s">
        <v>99</v>
      </c>
      <c r="C3005" t="s">
        <v>51</v>
      </c>
      <c r="D3005">
        <v>4</v>
      </c>
      <c r="E3005">
        <v>54</v>
      </c>
      <c r="F3005">
        <v>0.05</v>
      </c>
      <c r="G3005">
        <f t="shared" si="34"/>
        <v>1.666666666666667E-2</v>
      </c>
      <c r="H3005">
        <f>G3005*(26.79/38.29)</f>
        <v>1.1661008096108646E-2</v>
      </c>
    </row>
    <row r="3006" spans="1:8" x14ac:dyDescent="0.25">
      <c r="A3006" s="1">
        <v>2002</v>
      </c>
      <c r="B3006" s="1" t="s">
        <v>99</v>
      </c>
      <c r="C3006" t="s">
        <v>51</v>
      </c>
      <c r="D3006">
        <v>4</v>
      </c>
      <c r="E3006">
        <v>54</v>
      </c>
      <c r="F3006">
        <v>0.05</v>
      </c>
      <c r="G3006">
        <f t="shared" si="34"/>
        <v>1.666666666666667E-2</v>
      </c>
      <c r="H3006">
        <f>G3006*(26.79/38.29)</f>
        <v>1.1661008096108646E-2</v>
      </c>
    </row>
    <row r="3007" spans="1:8" x14ac:dyDescent="0.25">
      <c r="A3007" s="1">
        <v>2002</v>
      </c>
      <c r="B3007" s="1" t="s">
        <v>99</v>
      </c>
      <c r="C3007" t="s">
        <v>51</v>
      </c>
      <c r="D3007">
        <v>4</v>
      </c>
      <c r="E3007">
        <v>54</v>
      </c>
      <c r="F3007">
        <v>0.06</v>
      </c>
      <c r="G3007">
        <f t="shared" si="34"/>
        <v>0.02</v>
      </c>
      <c r="H3007">
        <f>G3007*(26.79/38.29)</f>
        <v>1.3993209715330373E-2</v>
      </c>
    </row>
    <row r="3008" spans="1:8" x14ac:dyDescent="0.25">
      <c r="A3008" s="1">
        <v>2002</v>
      </c>
      <c r="B3008" s="1" t="s">
        <v>99</v>
      </c>
      <c r="C3008" t="s">
        <v>51</v>
      </c>
      <c r="D3008">
        <v>4</v>
      </c>
      <c r="E3008">
        <v>54</v>
      </c>
      <c r="F3008">
        <v>0.11</v>
      </c>
      <c r="G3008">
        <f t="shared" si="34"/>
        <v>3.6666666666666667E-2</v>
      </c>
      <c r="H3008">
        <f>G3008*(26.79/38.29)</f>
        <v>2.5654217811439017E-2</v>
      </c>
    </row>
    <row r="3009" spans="1:8" x14ac:dyDescent="0.25">
      <c r="A3009" s="1">
        <v>2002</v>
      </c>
      <c r="B3009" s="1" t="s">
        <v>99</v>
      </c>
      <c r="C3009" t="s">
        <v>51</v>
      </c>
      <c r="D3009">
        <v>4</v>
      </c>
      <c r="E3009">
        <v>54</v>
      </c>
      <c r="F3009">
        <v>7.0000000000000007E-2</v>
      </c>
      <c r="G3009">
        <f t="shared" si="34"/>
        <v>2.3333333333333338E-2</v>
      </c>
      <c r="H3009">
        <f>G3009*(26.79/38.29)</f>
        <v>1.6325411334552103E-2</v>
      </c>
    </row>
    <row r="3010" spans="1:8" x14ac:dyDescent="0.25">
      <c r="A3010" s="1">
        <v>2002</v>
      </c>
      <c r="B3010" s="1" t="s">
        <v>99</v>
      </c>
      <c r="C3010" t="s">
        <v>51</v>
      </c>
      <c r="D3010">
        <v>4</v>
      </c>
      <c r="E3010">
        <v>54</v>
      </c>
      <c r="F3010">
        <v>0.05</v>
      </c>
      <c r="G3010">
        <f t="shared" si="34"/>
        <v>1.666666666666667E-2</v>
      </c>
      <c r="H3010">
        <f>G3010*(26.79/38.29)</f>
        <v>1.1661008096108646E-2</v>
      </c>
    </row>
    <row r="3011" spans="1:8" x14ac:dyDescent="0.25">
      <c r="A3011" s="1">
        <v>2002</v>
      </c>
      <c r="B3011" s="1" t="s">
        <v>99</v>
      </c>
      <c r="C3011" t="s">
        <v>51</v>
      </c>
      <c r="D3011">
        <v>4</v>
      </c>
      <c r="E3011">
        <v>54</v>
      </c>
      <c r="F3011">
        <v>0.08</v>
      </c>
      <c r="G3011">
        <f t="shared" si="34"/>
        <v>2.6666666666666665E-2</v>
      </c>
      <c r="H3011">
        <f>G3011*(26.79/38.29)</f>
        <v>1.8657612953773828E-2</v>
      </c>
    </row>
    <row r="3012" spans="1:8" x14ac:dyDescent="0.25">
      <c r="A3012" s="1">
        <v>2002</v>
      </c>
      <c r="B3012" s="1" t="s">
        <v>99</v>
      </c>
      <c r="C3012" t="s">
        <v>51</v>
      </c>
      <c r="D3012">
        <v>4</v>
      </c>
      <c r="E3012">
        <v>54</v>
      </c>
      <c r="F3012">
        <v>7.0000000000000007E-2</v>
      </c>
      <c r="G3012">
        <f t="shared" si="34"/>
        <v>2.3333333333333338E-2</v>
      </c>
      <c r="H3012">
        <f>G3012*(26.79/38.29)</f>
        <v>1.6325411334552103E-2</v>
      </c>
    </row>
    <row r="3013" spans="1:8" x14ac:dyDescent="0.25">
      <c r="A3013" s="1">
        <v>2002</v>
      </c>
      <c r="B3013" s="1" t="s">
        <v>99</v>
      </c>
      <c r="C3013" t="s">
        <v>51</v>
      </c>
      <c r="D3013">
        <v>4</v>
      </c>
      <c r="E3013">
        <v>54</v>
      </c>
      <c r="F3013">
        <v>0.05</v>
      </c>
      <c r="G3013">
        <f t="shared" si="34"/>
        <v>1.666666666666667E-2</v>
      </c>
      <c r="H3013">
        <f>G3013*(26.79/38.29)</f>
        <v>1.1661008096108646E-2</v>
      </c>
    </row>
    <row r="3014" spans="1:8" x14ac:dyDescent="0.25">
      <c r="A3014" s="1">
        <v>2002</v>
      </c>
      <c r="B3014" s="1" t="s">
        <v>99</v>
      </c>
      <c r="C3014" t="s">
        <v>51</v>
      </c>
      <c r="D3014">
        <v>4</v>
      </c>
      <c r="E3014">
        <v>54</v>
      </c>
      <c r="F3014">
        <v>0.04</v>
      </c>
      <c r="G3014">
        <f t="shared" si="34"/>
        <v>1.3333333333333332E-2</v>
      </c>
      <c r="H3014">
        <f>G3014*(26.79/38.29)</f>
        <v>9.3288064768869139E-3</v>
      </c>
    </row>
    <row r="3015" spans="1:8" x14ac:dyDescent="0.25">
      <c r="A3015" s="1">
        <v>2002</v>
      </c>
      <c r="B3015" s="1" t="s">
        <v>99</v>
      </c>
      <c r="C3015" t="s">
        <v>51</v>
      </c>
      <c r="D3015">
        <v>4</v>
      </c>
      <c r="E3015">
        <v>54</v>
      </c>
      <c r="F3015">
        <v>0.1</v>
      </c>
      <c r="G3015">
        <f t="shared" si="34"/>
        <v>3.333333333333334E-2</v>
      </c>
      <c r="H3015">
        <f>G3015*(26.79/38.29)</f>
        <v>2.3322016192217292E-2</v>
      </c>
    </row>
    <row r="3016" spans="1:8" x14ac:dyDescent="0.25">
      <c r="A3016" s="1">
        <v>2002</v>
      </c>
      <c r="B3016" s="1" t="s">
        <v>99</v>
      </c>
      <c r="C3016" t="s">
        <v>51</v>
      </c>
      <c r="D3016">
        <v>4</v>
      </c>
      <c r="E3016">
        <v>56</v>
      </c>
      <c r="F3016">
        <v>0.05</v>
      </c>
      <c r="G3016">
        <f t="shared" si="34"/>
        <v>1.666666666666667E-2</v>
      </c>
      <c r="H3016">
        <f>G3016*(26.79/38.29)</f>
        <v>1.1661008096108646E-2</v>
      </c>
    </row>
    <row r="3017" spans="1:8" x14ac:dyDescent="0.25">
      <c r="A3017" s="1">
        <v>2002</v>
      </c>
      <c r="B3017" s="1" t="s">
        <v>99</v>
      </c>
      <c r="C3017" t="s">
        <v>51</v>
      </c>
      <c r="D3017">
        <v>4</v>
      </c>
      <c r="E3017">
        <v>63</v>
      </c>
      <c r="F3017">
        <v>7.0000000000000007E-2</v>
      </c>
      <c r="G3017">
        <f t="shared" si="34"/>
        <v>2.3333333333333338E-2</v>
      </c>
      <c r="H3017">
        <f>G3017*(26.79/38.29)</f>
        <v>1.6325411334552103E-2</v>
      </c>
    </row>
    <row r="3018" spans="1:8" x14ac:dyDescent="0.25">
      <c r="A3018" s="1">
        <v>2002</v>
      </c>
      <c r="B3018" s="1" t="s">
        <v>99</v>
      </c>
      <c r="C3018" t="s">
        <v>51</v>
      </c>
      <c r="D3018">
        <v>4</v>
      </c>
      <c r="E3018">
        <v>63</v>
      </c>
      <c r="F3018">
        <v>0.04</v>
      </c>
      <c r="G3018">
        <f t="shared" si="34"/>
        <v>1.3333333333333332E-2</v>
      </c>
      <c r="H3018">
        <f>G3018*(26.79/38.29)</f>
        <v>9.3288064768869139E-3</v>
      </c>
    </row>
    <row r="3019" spans="1:8" x14ac:dyDescent="0.25">
      <c r="A3019" s="1">
        <v>2002</v>
      </c>
      <c r="B3019" s="1" t="s">
        <v>99</v>
      </c>
      <c r="C3019" t="s">
        <v>51</v>
      </c>
      <c r="D3019">
        <v>4</v>
      </c>
      <c r="E3019">
        <v>63</v>
      </c>
      <c r="F3019">
        <v>0.05</v>
      </c>
      <c r="G3019">
        <f t="shared" si="34"/>
        <v>1.666666666666667E-2</v>
      </c>
      <c r="H3019">
        <f>G3019*(26.79/38.29)</f>
        <v>1.1661008096108646E-2</v>
      </c>
    </row>
    <row r="3020" spans="1:8" x14ac:dyDescent="0.25">
      <c r="A3020" s="1">
        <v>2002</v>
      </c>
      <c r="B3020" s="1" t="s">
        <v>99</v>
      </c>
      <c r="C3020" t="s">
        <v>51</v>
      </c>
      <c r="D3020">
        <v>4</v>
      </c>
      <c r="E3020">
        <v>63</v>
      </c>
      <c r="F3020">
        <v>0.06</v>
      </c>
      <c r="G3020">
        <f t="shared" si="34"/>
        <v>0.02</v>
      </c>
      <c r="H3020">
        <f>G3020*(26.79/38.29)</f>
        <v>1.3993209715330373E-2</v>
      </c>
    </row>
    <row r="3021" spans="1:8" x14ac:dyDescent="0.25">
      <c r="A3021" s="1">
        <v>2002</v>
      </c>
      <c r="B3021" s="1" t="s">
        <v>99</v>
      </c>
      <c r="C3021" t="s">
        <v>51</v>
      </c>
      <c r="D3021">
        <v>4</v>
      </c>
      <c r="E3021">
        <v>63</v>
      </c>
      <c r="F3021">
        <v>0.1</v>
      </c>
      <c r="G3021">
        <f t="shared" si="34"/>
        <v>3.333333333333334E-2</v>
      </c>
      <c r="H3021">
        <f>G3021*(26.79/38.29)</f>
        <v>2.3322016192217292E-2</v>
      </c>
    </row>
    <row r="3022" spans="1:8" x14ac:dyDescent="0.25">
      <c r="A3022" s="1">
        <v>2002</v>
      </c>
      <c r="B3022" s="1" t="s">
        <v>99</v>
      </c>
      <c r="C3022" t="s">
        <v>51</v>
      </c>
      <c r="D3022">
        <v>4</v>
      </c>
      <c r="E3022">
        <v>63</v>
      </c>
      <c r="F3022">
        <v>0.03</v>
      </c>
      <c r="G3022">
        <f t="shared" ref="G3022:G3085" si="35">(F3022/0.6)/5</f>
        <v>0.01</v>
      </c>
      <c r="H3022">
        <f>G3022*(26.79/38.29)</f>
        <v>6.9966048576651863E-3</v>
      </c>
    </row>
    <row r="3023" spans="1:8" x14ac:dyDescent="0.25">
      <c r="A3023" s="1">
        <v>2002</v>
      </c>
      <c r="B3023" s="1" t="s">
        <v>99</v>
      </c>
      <c r="C3023" t="s">
        <v>51</v>
      </c>
      <c r="D3023">
        <v>4</v>
      </c>
      <c r="E3023">
        <v>71</v>
      </c>
      <c r="F3023">
        <v>0.11</v>
      </c>
      <c r="G3023">
        <f t="shared" si="35"/>
        <v>3.6666666666666667E-2</v>
      </c>
      <c r="H3023">
        <f>G3023*(26.79/38.29)</f>
        <v>2.5654217811439017E-2</v>
      </c>
    </row>
    <row r="3024" spans="1:8" x14ac:dyDescent="0.25">
      <c r="A3024" s="1">
        <v>2002</v>
      </c>
      <c r="B3024" s="1" t="s">
        <v>99</v>
      </c>
      <c r="C3024" t="s">
        <v>51</v>
      </c>
      <c r="D3024">
        <v>4</v>
      </c>
      <c r="E3024">
        <v>76</v>
      </c>
      <c r="F3024">
        <v>0.13</v>
      </c>
      <c r="G3024">
        <f t="shared" si="35"/>
        <v>4.3333333333333335E-2</v>
      </c>
      <c r="H3024">
        <f>G3024*(26.79/38.29)</f>
        <v>3.0318621049882474E-2</v>
      </c>
    </row>
    <row r="3025" spans="1:8" x14ac:dyDescent="0.25">
      <c r="A3025" s="1">
        <v>2002</v>
      </c>
      <c r="B3025" s="1" t="s">
        <v>99</v>
      </c>
      <c r="C3025" t="s">
        <v>51</v>
      </c>
      <c r="D3025">
        <v>4</v>
      </c>
      <c r="E3025">
        <v>76</v>
      </c>
      <c r="F3025">
        <v>0.08</v>
      </c>
      <c r="G3025">
        <f t="shared" si="35"/>
        <v>2.6666666666666665E-2</v>
      </c>
      <c r="H3025">
        <f>G3025*(26.79/38.29)</f>
        <v>1.8657612953773828E-2</v>
      </c>
    </row>
    <row r="3026" spans="1:8" x14ac:dyDescent="0.25">
      <c r="A3026" s="1">
        <v>2002</v>
      </c>
      <c r="B3026" s="1" t="s">
        <v>99</v>
      </c>
      <c r="C3026" t="s">
        <v>51</v>
      </c>
      <c r="D3026">
        <v>4</v>
      </c>
      <c r="E3026">
        <v>76</v>
      </c>
      <c r="F3026">
        <v>0.11</v>
      </c>
      <c r="G3026">
        <f t="shared" si="35"/>
        <v>3.6666666666666667E-2</v>
      </c>
      <c r="H3026">
        <f>G3026*(26.79/38.29)</f>
        <v>2.5654217811439017E-2</v>
      </c>
    </row>
    <row r="3027" spans="1:8" x14ac:dyDescent="0.25">
      <c r="A3027" s="1">
        <v>2002</v>
      </c>
      <c r="B3027" s="1" t="s">
        <v>99</v>
      </c>
      <c r="C3027" t="s">
        <v>51</v>
      </c>
      <c r="D3027">
        <v>4</v>
      </c>
      <c r="E3027">
        <v>76</v>
      </c>
      <c r="F3027">
        <v>7.0000000000000007E-2</v>
      </c>
      <c r="G3027">
        <f t="shared" si="35"/>
        <v>2.3333333333333338E-2</v>
      </c>
      <c r="H3027">
        <f>G3027*(26.79/38.29)</f>
        <v>1.6325411334552103E-2</v>
      </c>
    </row>
    <row r="3028" spans="1:8" x14ac:dyDescent="0.25">
      <c r="A3028" s="1">
        <v>2002</v>
      </c>
      <c r="B3028" s="1" t="s">
        <v>99</v>
      </c>
      <c r="C3028" t="s">
        <v>51</v>
      </c>
      <c r="D3028">
        <v>4</v>
      </c>
      <c r="E3028">
        <v>78</v>
      </c>
      <c r="F3028">
        <v>0.04</v>
      </c>
      <c r="G3028">
        <f t="shared" si="35"/>
        <v>1.3333333333333332E-2</v>
      </c>
      <c r="H3028">
        <f>G3028*(26.79/38.29)</f>
        <v>9.3288064768869139E-3</v>
      </c>
    </row>
    <row r="3029" spans="1:8" x14ac:dyDescent="0.25">
      <c r="A3029" s="1">
        <v>2002</v>
      </c>
      <c r="B3029" s="1" t="s">
        <v>99</v>
      </c>
      <c r="C3029" t="s">
        <v>51</v>
      </c>
      <c r="D3029">
        <v>4</v>
      </c>
      <c r="E3029">
        <v>78</v>
      </c>
      <c r="F3029">
        <v>0.04</v>
      </c>
      <c r="G3029">
        <f t="shared" si="35"/>
        <v>1.3333333333333332E-2</v>
      </c>
      <c r="H3029">
        <f>G3029*(26.79/38.29)</f>
        <v>9.3288064768869139E-3</v>
      </c>
    </row>
    <row r="3030" spans="1:8" x14ac:dyDescent="0.25">
      <c r="A3030" s="1">
        <v>2002</v>
      </c>
      <c r="B3030" s="1" t="s">
        <v>99</v>
      </c>
      <c r="C3030" t="s">
        <v>51</v>
      </c>
      <c r="D3030">
        <v>4</v>
      </c>
      <c r="E3030">
        <v>78</v>
      </c>
      <c r="F3030">
        <v>7.0000000000000007E-2</v>
      </c>
      <c r="G3030">
        <f t="shared" si="35"/>
        <v>2.3333333333333338E-2</v>
      </c>
      <c r="H3030">
        <f>G3030*(26.79/38.29)</f>
        <v>1.6325411334552103E-2</v>
      </c>
    </row>
    <row r="3031" spans="1:8" x14ac:dyDescent="0.25">
      <c r="A3031" s="1">
        <v>2002</v>
      </c>
      <c r="B3031" s="1" t="s">
        <v>99</v>
      </c>
      <c r="C3031" t="s">
        <v>51</v>
      </c>
      <c r="D3031">
        <v>4</v>
      </c>
      <c r="E3031">
        <v>79</v>
      </c>
      <c r="F3031">
        <v>0.1</v>
      </c>
      <c r="G3031">
        <f t="shared" si="35"/>
        <v>3.333333333333334E-2</v>
      </c>
      <c r="H3031">
        <f>G3031*(26.79/38.29)</f>
        <v>2.3322016192217292E-2</v>
      </c>
    </row>
    <row r="3032" spans="1:8" x14ac:dyDescent="0.25">
      <c r="A3032" s="1">
        <v>2002</v>
      </c>
      <c r="B3032" s="1" t="s">
        <v>99</v>
      </c>
      <c r="C3032" t="s">
        <v>51</v>
      </c>
      <c r="D3032">
        <v>4</v>
      </c>
      <c r="E3032">
        <v>79</v>
      </c>
      <c r="F3032">
        <v>0.13</v>
      </c>
      <c r="G3032">
        <f t="shared" si="35"/>
        <v>4.3333333333333335E-2</v>
      </c>
      <c r="H3032">
        <f>G3032*(26.79/38.29)</f>
        <v>3.0318621049882474E-2</v>
      </c>
    </row>
    <row r="3033" spans="1:8" x14ac:dyDescent="0.25">
      <c r="A3033" s="1">
        <v>2002</v>
      </c>
      <c r="B3033" s="1" t="s">
        <v>99</v>
      </c>
      <c r="C3033" t="s">
        <v>51</v>
      </c>
      <c r="D3033">
        <v>4</v>
      </c>
      <c r="E3033">
        <v>79</v>
      </c>
      <c r="F3033">
        <v>0.04</v>
      </c>
      <c r="G3033">
        <f t="shared" si="35"/>
        <v>1.3333333333333332E-2</v>
      </c>
      <c r="H3033">
        <f>G3033*(26.79/38.29)</f>
        <v>9.3288064768869139E-3</v>
      </c>
    </row>
    <row r="3034" spans="1:8" x14ac:dyDescent="0.25">
      <c r="A3034" s="1">
        <v>2002</v>
      </c>
      <c r="B3034" s="1" t="s">
        <v>99</v>
      </c>
      <c r="C3034" t="s">
        <v>51</v>
      </c>
      <c r="D3034">
        <v>4</v>
      </c>
      <c r="E3034">
        <v>79</v>
      </c>
      <c r="F3034">
        <v>7.0000000000000007E-2</v>
      </c>
      <c r="G3034">
        <f t="shared" si="35"/>
        <v>2.3333333333333338E-2</v>
      </c>
      <c r="H3034">
        <f>G3034*(26.79/38.29)</f>
        <v>1.6325411334552103E-2</v>
      </c>
    </row>
    <row r="3035" spans="1:8" x14ac:dyDescent="0.25">
      <c r="A3035" s="1">
        <v>2002</v>
      </c>
      <c r="B3035" s="1" t="s">
        <v>99</v>
      </c>
      <c r="C3035" t="s">
        <v>51</v>
      </c>
      <c r="D3035">
        <v>4</v>
      </c>
      <c r="E3035">
        <v>79</v>
      </c>
      <c r="F3035">
        <v>0.09</v>
      </c>
      <c r="G3035">
        <f t="shared" si="35"/>
        <v>0.03</v>
      </c>
      <c r="H3035">
        <f>G3035*(26.79/38.29)</f>
        <v>2.0989814572995556E-2</v>
      </c>
    </row>
    <row r="3036" spans="1:8" x14ac:dyDescent="0.25">
      <c r="A3036" s="1">
        <v>2002</v>
      </c>
      <c r="B3036" s="1" t="s">
        <v>99</v>
      </c>
      <c r="C3036" t="s">
        <v>51</v>
      </c>
      <c r="D3036">
        <v>4</v>
      </c>
      <c r="E3036">
        <v>79</v>
      </c>
      <c r="F3036">
        <v>0.03</v>
      </c>
      <c r="G3036">
        <f t="shared" si="35"/>
        <v>0.01</v>
      </c>
      <c r="H3036">
        <f>G3036*(26.79/38.29)</f>
        <v>6.9966048576651863E-3</v>
      </c>
    </row>
    <row r="3037" spans="1:8" x14ac:dyDescent="0.25">
      <c r="A3037" s="1">
        <v>2002</v>
      </c>
      <c r="B3037" s="1" t="s">
        <v>99</v>
      </c>
      <c r="C3037" t="s">
        <v>51</v>
      </c>
      <c r="D3037">
        <v>4</v>
      </c>
      <c r="E3037">
        <v>79</v>
      </c>
      <c r="F3037">
        <v>0.13</v>
      </c>
      <c r="G3037">
        <f t="shared" si="35"/>
        <v>4.3333333333333335E-2</v>
      </c>
      <c r="H3037">
        <f>G3037*(26.79/38.29)</f>
        <v>3.0318621049882474E-2</v>
      </c>
    </row>
    <row r="3038" spans="1:8" x14ac:dyDescent="0.25">
      <c r="A3038" s="1">
        <v>2002</v>
      </c>
      <c r="B3038" s="1" t="s">
        <v>99</v>
      </c>
      <c r="C3038" t="s">
        <v>51</v>
      </c>
      <c r="D3038">
        <v>4</v>
      </c>
      <c r="E3038">
        <v>79</v>
      </c>
      <c r="F3038">
        <v>0.13</v>
      </c>
      <c r="G3038">
        <f t="shared" si="35"/>
        <v>4.3333333333333335E-2</v>
      </c>
      <c r="H3038">
        <f>G3038*(26.79/38.29)</f>
        <v>3.0318621049882474E-2</v>
      </c>
    </row>
    <row r="3039" spans="1:8" x14ac:dyDescent="0.25">
      <c r="A3039" s="1">
        <v>2002</v>
      </c>
      <c r="B3039" s="1" t="s">
        <v>99</v>
      </c>
      <c r="C3039" t="s">
        <v>51</v>
      </c>
      <c r="D3039">
        <v>4</v>
      </c>
      <c r="E3039">
        <v>79</v>
      </c>
      <c r="F3039">
        <v>0.08</v>
      </c>
      <c r="G3039">
        <f t="shared" si="35"/>
        <v>2.6666666666666665E-2</v>
      </c>
      <c r="H3039">
        <f>G3039*(26.79/38.29)</f>
        <v>1.8657612953773828E-2</v>
      </c>
    </row>
    <row r="3040" spans="1:8" x14ac:dyDescent="0.25">
      <c r="A3040" s="1">
        <v>2002</v>
      </c>
      <c r="B3040" s="1" t="s">
        <v>99</v>
      </c>
      <c r="C3040" t="s">
        <v>51</v>
      </c>
      <c r="D3040">
        <v>4</v>
      </c>
      <c r="E3040">
        <v>85</v>
      </c>
      <c r="F3040">
        <v>0.05</v>
      </c>
      <c r="G3040">
        <f t="shared" si="35"/>
        <v>1.666666666666667E-2</v>
      </c>
      <c r="H3040">
        <f>G3040*(26.79/38.29)</f>
        <v>1.1661008096108646E-2</v>
      </c>
    </row>
    <row r="3041" spans="1:8" x14ac:dyDescent="0.25">
      <c r="A3041" s="1">
        <v>2002</v>
      </c>
      <c r="B3041" s="1" t="s">
        <v>99</v>
      </c>
      <c r="C3041" t="s">
        <v>51</v>
      </c>
      <c r="D3041">
        <v>5</v>
      </c>
      <c r="E3041">
        <v>29</v>
      </c>
      <c r="F3041">
        <v>7.0000000000000007E-2</v>
      </c>
      <c r="G3041">
        <f t="shared" si="35"/>
        <v>2.3333333333333338E-2</v>
      </c>
      <c r="H3041">
        <f>G3041*(26.79/38.29)</f>
        <v>1.6325411334552103E-2</v>
      </c>
    </row>
    <row r="3042" spans="1:8" x14ac:dyDescent="0.25">
      <c r="A3042" s="1">
        <v>2002</v>
      </c>
      <c r="B3042" s="1" t="s">
        <v>99</v>
      </c>
      <c r="C3042" t="s">
        <v>51</v>
      </c>
      <c r="D3042">
        <v>5</v>
      </c>
      <c r="E3042">
        <v>29</v>
      </c>
      <c r="F3042">
        <v>7.0000000000000007E-2</v>
      </c>
      <c r="G3042">
        <f t="shared" si="35"/>
        <v>2.3333333333333338E-2</v>
      </c>
      <c r="H3042">
        <f>G3042*(26.79/38.29)</f>
        <v>1.6325411334552103E-2</v>
      </c>
    </row>
    <row r="3043" spans="1:8" x14ac:dyDescent="0.25">
      <c r="A3043" s="1">
        <v>2002</v>
      </c>
      <c r="B3043" s="1" t="s">
        <v>99</v>
      </c>
      <c r="C3043" t="s">
        <v>51</v>
      </c>
      <c r="D3043">
        <v>5</v>
      </c>
      <c r="E3043">
        <v>29</v>
      </c>
      <c r="F3043">
        <v>7.0000000000000007E-2</v>
      </c>
      <c r="G3043">
        <f t="shared" si="35"/>
        <v>2.3333333333333338E-2</v>
      </c>
      <c r="H3043">
        <f>G3043*(26.79/38.29)</f>
        <v>1.6325411334552103E-2</v>
      </c>
    </row>
    <row r="3044" spans="1:8" x14ac:dyDescent="0.25">
      <c r="A3044" s="1">
        <v>2002</v>
      </c>
      <c r="B3044" s="1" t="s">
        <v>99</v>
      </c>
      <c r="C3044" t="s">
        <v>51</v>
      </c>
      <c r="D3044">
        <v>5</v>
      </c>
      <c r="E3044">
        <v>29</v>
      </c>
      <c r="F3044">
        <v>0.11</v>
      </c>
      <c r="G3044">
        <f t="shared" si="35"/>
        <v>3.6666666666666667E-2</v>
      </c>
      <c r="H3044">
        <f>G3044*(26.79/38.29)</f>
        <v>2.5654217811439017E-2</v>
      </c>
    </row>
    <row r="3045" spans="1:8" x14ac:dyDescent="0.25">
      <c r="A3045" s="1">
        <v>2002</v>
      </c>
      <c r="B3045" s="1" t="s">
        <v>99</v>
      </c>
      <c r="C3045" t="s">
        <v>51</v>
      </c>
      <c r="D3045">
        <v>5</v>
      </c>
      <c r="E3045">
        <v>29</v>
      </c>
      <c r="F3045">
        <v>0.04</v>
      </c>
      <c r="G3045">
        <f t="shared" si="35"/>
        <v>1.3333333333333332E-2</v>
      </c>
      <c r="H3045">
        <f>G3045*(26.79/38.29)</f>
        <v>9.3288064768869139E-3</v>
      </c>
    </row>
    <row r="3046" spans="1:8" x14ac:dyDescent="0.25">
      <c r="A3046" s="1">
        <v>2002</v>
      </c>
      <c r="B3046" s="1" t="s">
        <v>99</v>
      </c>
      <c r="C3046" t="s">
        <v>51</v>
      </c>
      <c r="D3046">
        <v>5</v>
      </c>
      <c r="E3046">
        <v>32</v>
      </c>
      <c r="F3046">
        <v>0.08</v>
      </c>
      <c r="G3046">
        <f t="shared" si="35"/>
        <v>2.6666666666666665E-2</v>
      </c>
      <c r="H3046">
        <f>G3046*(26.79/38.29)</f>
        <v>1.8657612953773828E-2</v>
      </c>
    </row>
    <row r="3047" spans="1:8" x14ac:dyDescent="0.25">
      <c r="A3047" s="1">
        <v>2002</v>
      </c>
      <c r="B3047" s="1" t="s">
        <v>99</v>
      </c>
      <c r="C3047" t="s">
        <v>51</v>
      </c>
      <c r="D3047">
        <v>5</v>
      </c>
      <c r="E3047">
        <v>32</v>
      </c>
      <c r="F3047">
        <v>7.0000000000000007E-2</v>
      </c>
      <c r="G3047">
        <f t="shared" si="35"/>
        <v>2.3333333333333338E-2</v>
      </c>
      <c r="H3047">
        <f>G3047*(26.79/38.29)</f>
        <v>1.6325411334552103E-2</v>
      </c>
    </row>
    <row r="3048" spans="1:8" x14ac:dyDescent="0.25">
      <c r="A3048" s="1">
        <v>2002</v>
      </c>
      <c r="B3048" s="1" t="s">
        <v>99</v>
      </c>
      <c r="C3048" t="s">
        <v>51</v>
      </c>
      <c r="D3048">
        <v>5</v>
      </c>
      <c r="E3048">
        <v>32</v>
      </c>
      <c r="F3048">
        <v>0.04</v>
      </c>
      <c r="G3048">
        <f t="shared" si="35"/>
        <v>1.3333333333333332E-2</v>
      </c>
      <c r="H3048">
        <f>G3048*(26.79/38.29)</f>
        <v>9.3288064768869139E-3</v>
      </c>
    </row>
    <row r="3049" spans="1:8" x14ac:dyDescent="0.25">
      <c r="A3049" s="1">
        <v>2002</v>
      </c>
      <c r="B3049" s="1" t="s">
        <v>99</v>
      </c>
      <c r="C3049" t="s">
        <v>51</v>
      </c>
      <c r="D3049">
        <v>5</v>
      </c>
      <c r="E3049">
        <v>32</v>
      </c>
      <c r="F3049">
        <v>0.04</v>
      </c>
      <c r="G3049">
        <f t="shared" si="35"/>
        <v>1.3333333333333332E-2</v>
      </c>
      <c r="H3049">
        <f>G3049*(26.79/38.29)</f>
        <v>9.3288064768869139E-3</v>
      </c>
    </row>
    <row r="3050" spans="1:8" x14ac:dyDescent="0.25">
      <c r="A3050" s="1">
        <v>2002</v>
      </c>
      <c r="B3050" s="1" t="s">
        <v>99</v>
      </c>
      <c r="C3050" t="s">
        <v>51</v>
      </c>
      <c r="D3050">
        <v>5</v>
      </c>
      <c r="E3050">
        <v>32</v>
      </c>
      <c r="F3050">
        <v>7.0000000000000007E-2</v>
      </c>
      <c r="G3050">
        <f t="shared" si="35"/>
        <v>2.3333333333333338E-2</v>
      </c>
      <c r="H3050">
        <f>G3050*(26.79/38.29)</f>
        <v>1.6325411334552103E-2</v>
      </c>
    </row>
    <row r="3051" spans="1:8" x14ac:dyDescent="0.25">
      <c r="A3051" s="1">
        <v>2002</v>
      </c>
      <c r="B3051" s="1" t="s">
        <v>99</v>
      </c>
      <c r="C3051" t="s">
        <v>51</v>
      </c>
      <c r="D3051">
        <v>5</v>
      </c>
      <c r="E3051">
        <v>32</v>
      </c>
      <c r="F3051">
        <v>0.13</v>
      </c>
      <c r="G3051">
        <f t="shared" si="35"/>
        <v>4.3333333333333335E-2</v>
      </c>
      <c r="H3051">
        <f>G3051*(26.79/38.29)</f>
        <v>3.0318621049882474E-2</v>
      </c>
    </row>
    <row r="3052" spans="1:8" x14ac:dyDescent="0.25">
      <c r="A3052" s="1">
        <v>2002</v>
      </c>
      <c r="B3052" s="1" t="s">
        <v>99</v>
      </c>
      <c r="C3052" t="s">
        <v>51</v>
      </c>
      <c r="D3052">
        <v>5</v>
      </c>
      <c r="E3052">
        <v>32</v>
      </c>
      <c r="F3052">
        <v>0.04</v>
      </c>
      <c r="G3052">
        <f t="shared" si="35"/>
        <v>1.3333333333333332E-2</v>
      </c>
      <c r="H3052">
        <f>G3052*(26.79/38.29)</f>
        <v>9.3288064768869139E-3</v>
      </c>
    </row>
    <row r="3053" spans="1:8" x14ac:dyDescent="0.25">
      <c r="A3053" s="1">
        <v>2002</v>
      </c>
      <c r="B3053" s="1" t="s">
        <v>99</v>
      </c>
      <c r="C3053" t="s">
        <v>51</v>
      </c>
      <c r="D3053">
        <v>5</v>
      </c>
      <c r="E3053">
        <v>32</v>
      </c>
      <c r="F3053">
        <v>0.04</v>
      </c>
      <c r="G3053">
        <f t="shared" si="35"/>
        <v>1.3333333333333332E-2</v>
      </c>
      <c r="H3053">
        <f>G3053*(26.79/38.29)</f>
        <v>9.3288064768869139E-3</v>
      </c>
    </row>
    <row r="3054" spans="1:8" x14ac:dyDescent="0.25">
      <c r="A3054" s="1">
        <v>2002</v>
      </c>
      <c r="B3054" s="1" t="s">
        <v>99</v>
      </c>
      <c r="C3054" t="s">
        <v>51</v>
      </c>
      <c r="D3054">
        <v>5</v>
      </c>
      <c r="E3054">
        <v>32</v>
      </c>
      <c r="F3054">
        <v>7.0000000000000007E-2</v>
      </c>
      <c r="G3054">
        <f t="shared" si="35"/>
        <v>2.3333333333333338E-2</v>
      </c>
      <c r="H3054">
        <f>G3054*(26.79/38.29)</f>
        <v>1.6325411334552103E-2</v>
      </c>
    </row>
    <row r="3055" spans="1:8" x14ac:dyDescent="0.25">
      <c r="A3055" s="1">
        <v>2002</v>
      </c>
      <c r="B3055" s="1" t="s">
        <v>99</v>
      </c>
      <c r="C3055" t="s">
        <v>51</v>
      </c>
      <c r="D3055">
        <v>5</v>
      </c>
      <c r="E3055">
        <v>32</v>
      </c>
      <c r="F3055">
        <v>7.0000000000000007E-2</v>
      </c>
      <c r="G3055">
        <f t="shared" si="35"/>
        <v>2.3333333333333338E-2</v>
      </c>
      <c r="H3055">
        <f>G3055*(26.79/38.29)</f>
        <v>1.6325411334552103E-2</v>
      </c>
    </row>
    <row r="3056" spans="1:8" x14ac:dyDescent="0.25">
      <c r="A3056" s="1">
        <v>2002</v>
      </c>
      <c r="B3056" s="1" t="s">
        <v>99</v>
      </c>
      <c r="C3056" t="s">
        <v>51</v>
      </c>
      <c r="D3056">
        <v>5</v>
      </c>
      <c r="E3056">
        <v>32</v>
      </c>
      <c r="F3056">
        <v>0.06</v>
      </c>
      <c r="G3056">
        <f t="shared" si="35"/>
        <v>0.02</v>
      </c>
      <c r="H3056">
        <f>G3056*(26.79/38.29)</f>
        <v>1.3993209715330373E-2</v>
      </c>
    </row>
    <row r="3057" spans="1:8" x14ac:dyDescent="0.25">
      <c r="A3057" s="1">
        <v>2002</v>
      </c>
      <c r="B3057" s="1" t="s">
        <v>99</v>
      </c>
      <c r="C3057" t="s">
        <v>51</v>
      </c>
      <c r="D3057">
        <v>5</v>
      </c>
      <c r="E3057">
        <v>32</v>
      </c>
      <c r="F3057">
        <v>7.0000000000000007E-2</v>
      </c>
      <c r="G3057">
        <f t="shared" si="35"/>
        <v>2.3333333333333338E-2</v>
      </c>
      <c r="H3057">
        <f>G3057*(26.79/38.29)</f>
        <v>1.6325411334552103E-2</v>
      </c>
    </row>
    <row r="3058" spans="1:8" x14ac:dyDescent="0.25">
      <c r="A3058" s="1">
        <v>2002</v>
      </c>
      <c r="B3058" s="1" t="s">
        <v>99</v>
      </c>
      <c r="C3058" t="s">
        <v>51</v>
      </c>
      <c r="D3058">
        <v>5</v>
      </c>
      <c r="E3058">
        <v>32</v>
      </c>
      <c r="F3058">
        <v>7.0000000000000007E-2</v>
      </c>
      <c r="G3058">
        <f t="shared" si="35"/>
        <v>2.3333333333333338E-2</v>
      </c>
      <c r="H3058">
        <f>G3058*(26.79/38.29)</f>
        <v>1.6325411334552103E-2</v>
      </c>
    </row>
    <row r="3059" spans="1:8" x14ac:dyDescent="0.25">
      <c r="A3059" s="1">
        <v>2002</v>
      </c>
      <c r="B3059" s="1" t="s">
        <v>99</v>
      </c>
      <c r="C3059" t="s">
        <v>51</v>
      </c>
      <c r="D3059">
        <v>5</v>
      </c>
      <c r="E3059">
        <v>32</v>
      </c>
      <c r="F3059">
        <v>0.05</v>
      </c>
      <c r="G3059">
        <f t="shared" si="35"/>
        <v>1.666666666666667E-2</v>
      </c>
      <c r="H3059">
        <f>G3059*(26.79/38.29)</f>
        <v>1.1661008096108646E-2</v>
      </c>
    </row>
    <row r="3060" spans="1:8" x14ac:dyDescent="0.25">
      <c r="A3060" s="1">
        <v>2002</v>
      </c>
      <c r="B3060" s="1" t="s">
        <v>99</v>
      </c>
      <c r="C3060" t="s">
        <v>51</v>
      </c>
      <c r="D3060">
        <v>5</v>
      </c>
      <c r="E3060">
        <v>32</v>
      </c>
      <c r="F3060">
        <v>0.06</v>
      </c>
      <c r="G3060">
        <f t="shared" si="35"/>
        <v>0.02</v>
      </c>
      <c r="H3060">
        <f>G3060*(26.79/38.29)</f>
        <v>1.3993209715330373E-2</v>
      </c>
    </row>
    <row r="3061" spans="1:8" x14ac:dyDescent="0.25">
      <c r="A3061" s="1">
        <v>2002</v>
      </c>
      <c r="B3061" s="1" t="s">
        <v>99</v>
      </c>
      <c r="C3061" t="s">
        <v>51</v>
      </c>
      <c r="D3061">
        <v>5</v>
      </c>
      <c r="E3061">
        <v>32</v>
      </c>
      <c r="F3061">
        <v>0.05</v>
      </c>
      <c r="G3061">
        <f t="shared" si="35"/>
        <v>1.666666666666667E-2</v>
      </c>
      <c r="H3061">
        <f>G3061*(26.79/38.29)</f>
        <v>1.1661008096108646E-2</v>
      </c>
    </row>
    <row r="3062" spans="1:8" x14ac:dyDescent="0.25">
      <c r="A3062" s="1">
        <v>2002</v>
      </c>
      <c r="B3062" s="1" t="s">
        <v>99</v>
      </c>
      <c r="C3062" t="s">
        <v>51</v>
      </c>
      <c r="D3062">
        <v>5</v>
      </c>
      <c r="E3062">
        <v>32</v>
      </c>
      <c r="F3062">
        <v>0.04</v>
      </c>
      <c r="G3062">
        <f t="shared" si="35"/>
        <v>1.3333333333333332E-2</v>
      </c>
      <c r="H3062">
        <f>G3062*(26.79/38.29)</f>
        <v>9.3288064768869139E-3</v>
      </c>
    </row>
    <row r="3063" spans="1:8" x14ac:dyDescent="0.25">
      <c r="A3063" s="1">
        <v>2002</v>
      </c>
      <c r="B3063" s="1" t="s">
        <v>99</v>
      </c>
      <c r="C3063" t="s">
        <v>51</v>
      </c>
      <c r="D3063">
        <v>5</v>
      </c>
      <c r="E3063">
        <v>32</v>
      </c>
      <c r="F3063">
        <v>0.05</v>
      </c>
      <c r="G3063">
        <f t="shared" si="35"/>
        <v>1.666666666666667E-2</v>
      </c>
      <c r="H3063">
        <f>G3063*(26.79/38.29)</f>
        <v>1.1661008096108646E-2</v>
      </c>
    </row>
    <row r="3064" spans="1:8" x14ac:dyDescent="0.25">
      <c r="A3064" s="1">
        <v>2002</v>
      </c>
      <c r="B3064" s="1" t="s">
        <v>99</v>
      </c>
      <c r="C3064" t="s">
        <v>51</v>
      </c>
      <c r="D3064">
        <v>5</v>
      </c>
      <c r="E3064">
        <v>32</v>
      </c>
      <c r="F3064">
        <v>0.03</v>
      </c>
      <c r="G3064">
        <f t="shared" si="35"/>
        <v>0.01</v>
      </c>
      <c r="H3064">
        <f>G3064*(26.79/38.29)</f>
        <v>6.9966048576651863E-3</v>
      </c>
    </row>
    <row r="3065" spans="1:8" x14ac:dyDescent="0.25">
      <c r="A3065" s="1">
        <v>2002</v>
      </c>
      <c r="B3065" s="1" t="s">
        <v>99</v>
      </c>
      <c r="C3065" t="s">
        <v>51</v>
      </c>
      <c r="D3065">
        <v>5</v>
      </c>
      <c r="E3065">
        <v>32</v>
      </c>
      <c r="F3065">
        <v>0.08</v>
      </c>
      <c r="G3065">
        <f t="shared" si="35"/>
        <v>2.6666666666666665E-2</v>
      </c>
      <c r="H3065">
        <f>G3065*(26.79/38.29)</f>
        <v>1.8657612953773828E-2</v>
      </c>
    </row>
    <row r="3066" spans="1:8" x14ac:dyDescent="0.25">
      <c r="A3066" s="1">
        <v>2002</v>
      </c>
      <c r="B3066" s="1" t="s">
        <v>99</v>
      </c>
      <c r="C3066" t="s">
        <v>51</v>
      </c>
      <c r="D3066">
        <v>5</v>
      </c>
      <c r="E3066">
        <v>32</v>
      </c>
      <c r="F3066">
        <v>0.04</v>
      </c>
      <c r="G3066">
        <f t="shared" si="35"/>
        <v>1.3333333333333332E-2</v>
      </c>
      <c r="H3066">
        <f>G3066*(26.79/38.29)</f>
        <v>9.3288064768869139E-3</v>
      </c>
    </row>
    <row r="3067" spans="1:8" x14ac:dyDescent="0.25">
      <c r="A3067" s="1">
        <v>2002</v>
      </c>
      <c r="B3067" s="1" t="s">
        <v>99</v>
      </c>
      <c r="C3067" t="s">
        <v>51</v>
      </c>
      <c r="D3067">
        <v>5</v>
      </c>
      <c r="E3067">
        <v>32</v>
      </c>
      <c r="F3067">
        <v>0.05</v>
      </c>
      <c r="G3067">
        <f t="shared" si="35"/>
        <v>1.666666666666667E-2</v>
      </c>
      <c r="H3067">
        <f>G3067*(26.79/38.29)</f>
        <v>1.1661008096108646E-2</v>
      </c>
    </row>
    <row r="3068" spans="1:8" x14ac:dyDescent="0.25">
      <c r="A3068" s="1">
        <v>2002</v>
      </c>
      <c r="B3068" s="1" t="s">
        <v>99</v>
      </c>
      <c r="C3068" t="s">
        <v>51</v>
      </c>
      <c r="D3068">
        <v>5</v>
      </c>
      <c r="E3068">
        <v>32</v>
      </c>
      <c r="F3068">
        <v>0.04</v>
      </c>
      <c r="G3068">
        <f t="shared" si="35"/>
        <v>1.3333333333333332E-2</v>
      </c>
      <c r="H3068">
        <f>G3068*(26.79/38.29)</f>
        <v>9.3288064768869139E-3</v>
      </c>
    </row>
    <row r="3069" spans="1:8" x14ac:dyDescent="0.25">
      <c r="A3069" s="1">
        <v>2002</v>
      </c>
      <c r="B3069" s="1" t="s">
        <v>99</v>
      </c>
      <c r="C3069" t="s">
        <v>51</v>
      </c>
      <c r="D3069">
        <v>5</v>
      </c>
      <c r="E3069">
        <v>32</v>
      </c>
      <c r="F3069">
        <v>0.06</v>
      </c>
      <c r="G3069">
        <f t="shared" si="35"/>
        <v>0.02</v>
      </c>
      <c r="H3069">
        <f>G3069*(26.79/38.29)</f>
        <v>1.3993209715330373E-2</v>
      </c>
    </row>
    <row r="3070" spans="1:8" x14ac:dyDescent="0.25">
      <c r="A3070" s="1">
        <v>2002</v>
      </c>
      <c r="B3070" s="1" t="s">
        <v>99</v>
      </c>
      <c r="C3070" t="s">
        <v>51</v>
      </c>
      <c r="D3070">
        <v>5</v>
      </c>
      <c r="E3070">
        <v>32</v>
      </c>
      <c r="F3070">
        <v>0.06</v>
      </c>
      <c r="G3070">
        <f t="shared" si="35"/>
        <v>0.02</v>
      </c>
      <c r="H3070">
        <f>G3070*(26.79/38.29)</f>
        <v>1.3993209715330373E-2</v>
      </c>
    </row>
    <row r="3071" spans="1:8" x14ac:dyDescent="0.25">
      <c r="A3071" s="1">
        <v>2002</v>
      </c>
      <c r="B3071" s="1" t="s">
        <v>99</v>
      </c>
      <c r="C3071" t="s">
        <v>51</v>
      </c>
      <c r="D3071">
        <v>5</v>
      </c>
      <c r="E3071">
        <v>32</v>
      </c>
      <c r="F3071">
        <v>0.05</v>
      </c>
      <c r="G3071">
        <f t="shared" si="35"/>
        <v>1.666666666666667E-2</v>
      </c>
      <c r="H3071">
        <f>G3071*(26.79/38.29)</f>
        <v>1.1661008096108646E-2</v>
      </c>
    </row>
    <row r="3072" spans="1:8" x14ac:dyDescent="0.25">
      <c r="A3072" s="1">
        <v>2002</v>
      </c>
      <c r="B3072" s="1" t="s">
        <v>99</v>
      </c>
      <c r="C3072" t="s">
        <v>51</v>
      </c>
      <c r="D3072">
        <v>5</v>
      </c>
      <c r="E3072">
        <v>32</v>
      </c>
      <c r="F3072">
        <v>0.04</v>
      </c>
      <c r="G3072">
        <f t="shared" si="35"/>
        <v>1.3333333333333332E-2</v>
      </c>
      <c r="H3072">
        <f>G3072*(26.79/38.29)</f>
        <v>9.3288064768869139E-3</v>
      </c>
    </row>
    <row r="3073" spans="1:8" x14ac:dyDescent="0.25">
      <c r="A3073" s="1">
        <v>2002</v>
      </c>
      <c r="B3073" s="1" t="s">
        <v>99</v>
      </c>
      <c r="C3073" t="s">
        <v>51</v>
      </c>
      <c r="D3073">
        <v>5</v>
      </c>
      <c r="E3073">
        <v>38</v>
      </c>
      <c r="F3073">
        <v>7.0000000000000007E-2</v>
      </c>
      <c r="G3073">
        <f t="shared" si="35"/>
        <v>2.3333333333333338E-2</v>
      </c>
      <c r="H3073">
        <f>G3073*(26.79/38.29)</f>
        <v>1.6325411334552103E-2</v>
      </c>
    </row>
    <row r="3074" spans="1:8" x14ac:dyDescent="0.25">
      <c r="A3074" s="1">
        <v>2002</v>
      </c>
      <c r="B3074" s="1" t="s">
        <v>99</v>
      </c>
      <c r="C3074" t="s">
        <v>51</v>
      </c>
      <c r="D3074">
        <v>5</v>
      </c>
      <c r="E3074">
        <v>38</v>
      </c>
      <c r="F3074">
        <v>7.0000000000000007E-2</v>
      </c>
      <c r="G3074">
        <f t="shared" si="35"/>
        <v>2.3333333333333338E-2</v>
      </c>
      <c r="H3074">
        <f>G3074*(26.79/38.29)</f>
        <v>1.6325411334552103E-2</v>
      </c>
    </row>
    <row r="3075" spans="1:8" x14ac:dyDescent="0.25">
      <c r="A3075" s="1">
        <v>2002</v>
      </c>
      <c r="B3075" s="1" t="s">
        <v>99</v>
      </c>
      <c r="C3075" t="s">
        <v>51</v>
      </c>
      <c r="D3075">
        <v>5</v>
      </c>
      <c r="E3075">
        <v>53</v>
      </c>
      <c r="F3075">
        <v>0.1</v>
      </c>
      <c r="G3075">
        <f t="shared" si="35"/>
        <v>3.333333333333334E-2</v>
      </c>
      <c r="H3075">
        <f>G3075*(26.79/38.29)</f>
        <v>2.3322016192217292E-2</v>
      </c>
    </row>
    <row r="3076" spans="1:8" x14ac:dyDescent="0.25">
      <c r="A3076" s="1">
        <v>2002</v>
      </c>
      <c r="B3076" s="1" t="s">
        <v>99</v>
      </c>
      <c r="C3076" t="s">
        <v>51</v>
      </c>
      <c r="D3076">
        <v>5</v>
      </c>
      <c r="E3076">
        <v>53</v>
      </c>
      <c r="F3076">
        <v>0.08</v>
      </c>
      <c r="G3076">
        <f t="shared" si="35"/>
        <v>2.6666666666666665E-2</v>
      </c>
      <c r="H3076">
        <f>G3076*(26.79/38.29)</f>
        <v>1.8657612953773828E-2</v>
      </c>
    </row>
    <row r="3077" spans="1:8" x14ac:dyDescent="0.25">
      <c r="A3077" s="1">
        <v>2002</v>
      </c>
      <c r="B3077" s="1" t="s">
        <v>99</v>
      </c>
      <c r="C3077" t="s">
        <v>51</v>
      </c>
      <c r="D3077">
        <v>5</v>
      </c>
      <c r="E3077">
        <v>53</v>
      </c>
      <c r="F3077">
        <v>7.0000000000000007E-2</v>
      </c>
      <c r="G3077">
        <f t="shared" si="35"/>
        <v>2.3333333333333338E-2</v>
      </c>
      <c r="H3077">
        <f>G3077*(26.79/38.29)</f>
        <v>1.6325411334552103E-2</v>
      </c>
    </row>
    <row r="3078" spans="1:8" x14ac:dyDescent="0.25">
      <c r="A3078" s="1">
        <v>2002</v>
      </c>
      <c r="B3078" s="1" t="s">
        <v>99</v>
      </c>
      <c r="C3078" t="s">
        <v>51</v>
      </c>
      <c r="D3078">
        <v>5</v>
      </c>
      <c r="E3078">
        <v>53</v>
      </c>
      <c r="F3078">
        <v>0.06</v>
      </c>
      <c r="G3078">
        <f t="shared" si="35"/>
        <v>0.02</v>
      </c>
      <c r="H3078">
        <f>G3078*(26.79/38.29)</f>
        <v>1.3993209715330373E-2</v>
      </c>
    </row>
    <row r="3079" spans="1:8" x14ac:dyDescent="0.25">
      <c r="A3079" s="1">
        <v>2002</v>
      </c>
      <c r="B3079" s="1" t="s">
        <v>99</v>
      </c>
      <c r="C3079" t="s">
        <v>51</v>
      </c>
      <c r="D3079">
        <v>5</v>
      </c>
      <c r="E3079">
        <v>54</v>
      </c>
      <c r="F3079">
        <v>0.04</v>
      </c>
      <c r="G3079">
        <f t="shared" si="35"/>
        <v>1.3333333333333332E-2</v>
      </c>
      <c r="H3079">
        <f>G3079*(26.79/38.29)</f>
        <v>9.3288064768869139E-3</v>
      </c>
    </row>
    <row r="3080" spans="1:8" x14ac:dyDescent="0.25">
      <c r="A3080" s="1">
        <v>2002</v>
      </c>
      <c r="B3080" s="1" t="s">
        <v>99</v>
      </c>
      <c r="C3080" t="s">
        <v>51</v>
      </c>
      <c r="D3080">
        <v>5</v>
      </c>
      <c r="E3080">
        <v>54</v>
      </c>
      <c r="F3080">
        <v>0.06</v>
      </c>
      <c r="G3080">
        <f t="shared" si="35"/>
        <v>0.02</v>
      </c>
      <c r="H3080">
        <f>G3080*(26.79/38.29)</f>
        <v>1.3993209715330373E-2</v>
      </c>
    </row>
    <row r="3081" spans="1:8" x14ac:dyDescent="0.25">
      <c r="A3081" s="1">
        <v>2002</v>
      </c>
      <c r="B3081" s="1" t="s">
        <v>99</v>
      </c>
      <c r="C3081" t="s">
        <v>51</v>
      </c>
      <c r="D3081">
        <v>5</v>
      </c>
      <c r="E3081">
        <v>54</v>
      </c>
      <c r="F3081">
        <v>0.11</v>
      </c>
      <c r="G3081">
        <f t="shared" si="35"/>
        <v>3.6666666666666667E-2</v>
      </c>
      <c r="H3081">
        <f>G3081*(26.79/38.29)</f>
        <v>2.5654217811439017E-2</v>
      </c>
    </row>
    <row r="3082" spans="1:8" x14ac:dyDescent="0.25">
      <c r="A3082" s="1">
        <v>2002</v>
      </c>
      <c r="B3082" s="1" t="s">
        <v>99</v>
      </c>
      <c r="C3082" t="s">
        <v>51</v>
      </c>
      <c r="D3082">
        <v>5</v>
      </c>
      <c r="E3082">
        <v>54</v>
      </c>
      <c r="F3082">
        <v>0.08</v>
      </c>
      <c r="G3082">
        <f t="shared" si="35"/>
        <v>2.6666666666666665E-2</v>
      </c>
      <c r="H3082">
        <f>G3082*(26.79/38.29)</f>
        <v>1.8657612953773828E-2</v>
      </c>
    </row>
    <row r="3083" spans="1:8" x14ac:dyDescent="0.25">
      <c r="A3083" s="1">
        <v>2002</v>
      </c>
      <c r="B3083" s="1" t="s">
        <v>99</v>
      </c>
      <c r="C3083" t="s">
        <v>51</v>
      </c>
      <c r="D3083">
        <v>5</v>
      </c>
      <c r="E3083">
        <v>54</v>
      </c>
      <c r="F3083">
        <v>0.03</v>
      </c>
      <c r="G3083">
        <f t="shared" si="35"/>
        <v>0.01</v>
      </c>
      <c r="H3083">
        <f>G3083*(26.79/38.29)</f>
        <v>6.9966048576651863E-3</v>
      </c>
    </row>
    <row r="3084" spans="1:8" x14ac:dyDescent="0.25">
      <c r="A3084" s="1">
        <v>2002</v>
      </c>
      <c r="B3084" s="1" t="s">
        <v>99</v>
      </c>
      <c r="C3084" t="s">
        <v>51</v>
      </c>
      <c r="D3084">
        <v>5</v>
      </c>
      <c r="E3084">
        <v>54</v>
      </c>
      <c r="F3084">
        <v>0.09</v>
      </c>
      <c r="G3084">
        <f t="shared" si="35"/>
        <v>0.03</v>
      </c>
      <c r="H3084">
        <f>G3084*(26.79/38.29)</f>
        <v>2.0989814572995556E-2</v>
      </c>
    </row>
    <row r="3085" spans="1:8" x14ac:dyDescent="0.25">
      <c r="A3085" s="1">
        <v>2002</v>
      </c>
      <c r="B3085" s="1" t="s">
        <v>99</v>
      </c>
      <c r="C3085" t="s">
        <v>51</v>
      </c>
      <c r="D3085">
        <v>5</v>
      </c>
      <c r="E3085">
        <v>56</v>
      </c>
      <c r="F3085">
        <v>0.05</v>
      </c>
      <c r="G3085">
        <f t="shared" si="35"/>
        <v>1.666666666666667E-2</v>
      </c>
      <c r="H3085">
        <f>G3085*(26.79/38.29)</f>
        <v>1.1661008096108646E-2</v>
      </c>
    </row>
    <row r="3086" spans="1:8" x14ac:dyDescent="0.25">
      <c r="A3086" s="1">
        <v>2002</v>
      </c>
      <c r="B3086" s="1" t="s">
        <v>99</v>
      </c>
      <c r="C3086" t="s">
        <v>51</v>
      </c>
      <c r="D3086">
        <v>5</v>
      </c>
      <c r="E3086">
        <v>58</v>
      </c>
      <c r="F3086">
        <v>0.13</v>
      </c>
      <c r="G3086">
        <f t="shared" ref="G3086:G3149" si="36">(F3086/0.6)/5</f>
        <v>4.3333333333333335E-2</v>
      </c>
      <c r="H3086">
        <f>G3086*(26.79/38.29)</f>
        <v>3.0318621049882474E-2</v>
      </c>
    </row>
    <row r="3087" spans="1:8" x14ac:dyDescent="0.25">
      <c r="A3087" s="1">
        <v>2002</v>
      </c>
      <c r="B3087" s="1" t="s">
        <v>99</v>
      </c>
      <c r="C3087" t="s">
        <v>51</v>
      </c>
      <c r="D3087">
        <v>5</v>
      </c>
      <c r="E3087">
        <v>63</v>
      </c>
      <c r="F3087">
        <v>0.05</v>
      </c>
      <c r="G3087">
        <f t="shared" si="36"/>
        <v>1.666666666666667E-2</v>
      </c>
      <c r="H3087">
        <f>G3087*(26.79/38.29)</f>
        <v>1.1661008096108646E-2</v>
      </c>
    </row>
    <row r="3088" spans="1:8" x14ac:dyDescent="0.25">
      <c r="A3088" s="1">
        <v>2002</v>
      </c>
      <c r="B3088" s="1" t="s">
        <v>99</v>
      </c>
      <c r="C3088" t="s">
        <v>51</v>
      </c>
      <c r="D3088">
        <v>5</v>
      </c>
      <c r="E3088">
        <v>63</v>
      </c>
      <c r="F3088">
        <v>0.06</v>
      </c>
      <c r="G3088">
        <f t="shared" si="36"/>
        <v>0.02</v>
      </c>
      <c r="H3088">
        <f>G3088*(26.79/38.29)</f>
        <v>1.3993209715330373E-2</v>
      </c>
    </row>
    <row r="3089" spans="1:8" x14ac:dyDescent="0.25">
      <c r="A3089" s="1">
        <v>2002</v>
      </c>
      <c r="B3089" s="1" t="s">
        <v>99</v>
      </c>
      <c r="C3089" t="s">
        <v>51</v>
      </c>
      <c r="D3089">
        <v>5</v>
      </c>
      <c r="E3089">
        <v>63</v>
      </c>
      <c r="F3089">
        <v>0.04</v>
      </c>
      <c r="G3089">
        <f t="shared" si="36"/>
        <v>1.3333333333333332E-2</v>
      </c>
      <c r="H3089">
        <f>G3089*(26.79/38.29)</f>
        <v>9.3288064768869139E-3</v>
      </c>
    </row>
    <row r="3090" spans="1:8" x14ac:dyDescent="0.25">
      <c r="A3090" s="1">
        <v>2002</v>
      </c>
      <c r="B3090" s="1" t="s">
        <v>99</v>
      </c>
      <c r="C3090" t="s">
        <v>51</v>
      </c>
      <c r="D3090">
        <v>5</v>
      </c>
      <c r="E3090">
        <v>63</v>
      </c>
      <c r="F3090">
        <v>0.04</v>
      </c>
      <c r="G3090">
        <f t="shared" si="36"/>
        <v>1.3333333333333332E-2</v>
      </c>
      <c r="H3090">
        <f>G3090*(26.79/38.29)</f>
        <v>9.3288064768869139E-3</v>
      </c>
    </row>
    <row r="3091" spans="1:8" x14ac:dyDescent="0.25">
      <c r="A3091" s="1">
        <v>2002</v>
      </c>
      <c r="B3091" s="1" t="s">
        <v>99</v>
      </c>
      <c r="C3091" t="s">
        <v>51</v>
      </c>
      <c r="D3091">
        <v>5</v>
      </c>
      <c r="E3091">
        <v>63</v>
      </c>
      <c r="F3091">
        <v>0.04</v>
      </c>
      <c r="G3091">
        <f t="shared" si="36"/>
        <v>1.3333333333333332E-2</v>
      </c>
      <c r="H3091">
        <f>G3091*(26.79/38.29)</f>
        <v>9.3288064768869139E-3</v>
      </c>
    </row>
    <row r="3092" spans="1:8" x14ac:dyDescent="0.25">
      <c r="A3092" s="1">
        <v>2002</v>
      </c>
      <c r="B3092" s="1" t="s">
        <v>99</v>
      </c>
      <c r="C3092" t="s">
        <v>51</v>
      </c>
      <c r="D3092">
        <v>5</v>
      </c>
      <c r="E3092">
        <v>63</v>
      </c>
      <c r="F3092">
        <v>0.04</v>
      </c>
      <c r="G3092">
        <f t="shared" si="36"/>
        <v>1.3333333333333332E-2</v>
      </c>
      <c r="H3092">
        <f>G3092*(26.79/38.29)</f>
        <v>9.3288064768869139E-3</v>
      </c>
    </row>
    <row r="3093" spans="1:8" x14ac:dyDescent="0.25">
      <c r="A3093" s="1">
        <v>2002</v>
      </c>
      <c r="B3093" s="1" t="s">
        <v>99</v>
      </c>
      <c r="C3093" t="s">
        <v>51</v>
      </c>
      <c r="D3093">
        <v>5</v>
      </c>
      <c r="E3093">
        <v>63</v>
      </c>
      <c r="F3093">
        <v>7.0000000000000007E-2</v>
      </c>
      <c r="G3093">
        <f t="shared" si="36"/>
        <v>2.3333333333333338E-2</v>
      </c>
      <c r="H3093">
        <f>G3093*(26.79/38.29)</f>
        <v>1.6325411334552103E-2</v>
      </c>
    </row>
    <row r="3094" spans="1:8" x14ac:dyDescent="0.25">
      <c r="A3094" s="1">
        <v>2002</v>
      </c>
      <c r="B3094" s="1" t="s">
        <v>99</v>
      </c>
      <c r="C3094" t="s">
        <v>51</v>
      </c>
      <c r="D3094">
        <v>5</v>
      </c>
      <c r="E3094">
        <v>78</v>
      </c>
      <c r="F3094">
        <v>0.03</v>
      </c>
      <c r="G3094">
        <f t="shared" si="36"/>
        <v>0.01</v>
      </c>
      <c r="H3094">
        <f>G3094*(26.79/38.29)</f>
        <v>6.9966048576651863E-3</v>
      </c>
    </row>
    <row r="3095" spans="1:8" x14ac:dyDescent="0.25">
      <c r="A3095" s="1">
        <v>2002</v>
      </c>
      <c r="B3095" s="1" t="s">
        <v>99</v>
      </c>
      <c r="C3095" t="s">
        <v>51</v>
      </c>
      <c r="D3095">
        <v>5</v>
      </c>
      <c r="E3095">
        <v>79</v>
      </c>
      <c r="F3095">
        <v>0.11</v>
      </c>
      <c r="G3095">
        <f t="shared" si="36"/>
        <v>3.6666666666666667E-2</v>
      </c>
      <c r="H3095">
        <f>G3095*(26.79/38.29)</f>
        <v>2.5654217811439017E-2</v>
      </c>
    </row>
    <row r="3096" spans="1:8" x14ac:dyDescent="0.25">
      <c r="A3096" s="1">
        <v>2002</v>
      </c>
      <c r="B3096" s="1" t="s">
        <v>99</v>
      </c>
      <c r="C3096" t="s">
        <v>51</v>
      </c>
      <c r="D3096">
        <v>5</v>
      </c>
      <c r="E3096">
        <v>79</v>
      </c>
      <c r="F3096">
        <v>0.12</v>
      </c>
      <c r="G3096">
        <f t="shared" si="36"/>
        <v>0.04</v>
      </c>
      <c r="H3096">
        <f>G3096*(26.79/38.29)</f>
        <v>2.7986419430660745E-2</v>
      </c>
    </row>
    <row r="3097" spans="1:8" x14ac:dyDescent="0.25">
      <c r="A3097" s="1">
        <v>2002</v>
      </c>
      <c r="B3097" s="1" t="s">
        <v>99</v>
      </c>
      <c r="C3097" t="s">
        <v>51</v>
      </c>
      <c r="D3097">
        <v>5</v>
      </c>
      <c r="E3097">
        <v>79</v>
      </c>
      <c r="F3097">
        <v>0.04</v>
      </c>
      <c r="G3097">
        <f t="shared" si="36"/>
        <v>1.3333333333333332E-2</v>
      </c>
      <c r="H3097">
        <f>G3097*(26.79/38.29)</f>
        <v>9.3288064768869139E-3</v>
      </c>
    </row>
    <row r="3098" spans="1:8" x14ac:dyDescent="0.25">
      <c r="A3098" s="1">
        <v>2002</v>
      </c>
      <c r="B3098" s="1" t="s">
        <v>99</v>
      </c>
      <c r="C3098" t="s">
        <v>51</v>
      </c>
      <c r="D3098">
        <v>5</v>
      </c>
      <c r="E3098">
        <v>79</v>
      </c>
      <c r="F3098">
        <v>0.03</v>
      </c>
      <c r="G3098">
        <f t="shared" si="36"/>
        <v>0.01</v>
      </c>
      <c r="H3098">
        <f>G3098*(26.79/38.29)</f>
        <v>6.9966048576651863E-3</v>
      </c>
    </row>
    <row r="3099" spans="1:8" x14ac:dyDescent="0.25">
      <c r="A3099" s="1">
        <v>2002</v>
      </c>
      <c r="B3099" s="1" t="s">
        <v>99</v>
      </c>
      <c r="C3099" t="s">
        <v>51</v>
      </c>
      <c r="D3099">
        <v>5</v>
      </c>
      <c r="E3099">
        <v>79</v>
      </c>
      <c r="F3099">
        <v>0.12</v>
      </c>
      <c r="G3099">
        <f t="shared" si="36"/>
        <v>0.04</v>
      </c>
      <c r="H3099">
        <f>G3099*(26.79/38.29)</f>
        <v>2.7986419430660745E-2</v>
      </c>
    </row>
    <row r="3100" spans="1:8" x14ac:dyDescent="0.25">
      <c r="A3100" s="1">
        <v>2002</v>
      </c>
      <c r="B3100" s="1" t="s">
        <v>99</v>
      </c>
      <c r="C3100" t="s">
        <v>51</v>
      </c>
      <c r="D3100">
        <v>5</v>
      </c>
      <c r="E3100">
        <v>79</v>
      </c>
      <c r="F3100">
        <v>0.06</v>
      </c>
      <c r="G3100">
        <f t="shared" si="36"/>
        <v>0.02</v>
      </c>
      <c r="H3100">
        <f>G3100*(26.79/38.29)</f>
        <v>1.3993209715330373E-2</v>
      </c>
    </row>
    <row r="3101" spans="1:8" x14ac:dyDescent="0.25">
      <c r="A3101" s="1">
        <v>2002</v>
      </c>
      <c r="B3101" s="1" t="s">
        <v>99</v>
      </c>
      <c r="C3101" t="s">
        <v>51</v>
      </c>
      <c r="D3101">
        <v>5</v>
      </c>
      <c r="E3101">
        <v>79</v>
      </c>
      <c r="F3101">
        <v>0.11</v>
      </c>
      <c r="G3101">
        <f t="shared" si="36"/>
        <v>3.6666666666666667E-2</v>
      </c>
      <c r="H3101">
        <f>G3101*(26.79/38.29)</f>
        <v>2.5654217811439017E-2</v>
      </c>
    </row>
    <row r="3102" spans="1:8" x14ac:dyDescent="0.25">
      <c r="A3102" s="1">
        <v>2002</v>
      </c>
      <c r="B3102" s="1" t="s">
        <v>99</v>
      </c>
      <c r="C3102" t="s">
        <v>51</v>
      </c>
      <c r="D3102">
        <v>5</v>
      </c>
      <c r="E3102">
        <v>79</v>
      </c>
      <c r="F3102">
        <v>0.04</v>
      </c>
      <c r="G3102">
        <f t="shared" si="36"/>
        <v>1.3333333333333332E-2</v>
      </c>
      <c r="H3102">
        <f>G3102*(26.79/38.29)</f>
        <v>9.3288064768869139E-3</v>
      </c>
    </row>
    <row r="3103" spans="1:8" x14ac:dyDescent="0.25">
      <c r="A3103" s="1">
        <v>2002</v>
      </c>
      <c r="B3103" s="1" t="s">
        <v>99</v>
      </c>
      <c r="C3103" t="s">
        <v>51</v>
      </c>
      <c r="D3103">
        <v>5</v>
      </c>
      <c r="E3103">
        <v>79</v>
      </c>
      <c r="F3103">
        <v>0.1</v>
      </c>
      <c r="G3103">
        <f t="shared" si="36"/>
        <v>3.333333333333334E-2</v>
      </c>
      <c r="H3103">
        <f>G3103*(26.79/38.29)</f>
        <v>2.3322016192217292E-2</v>
      </c>
    </row>
    <row r="3104" spans="1:8" x14ac:dyDescent="0.25">
      <c r="A3104" s="1">
        <v>2002</v>
      </c>
      <c r="B3104" s="1" t="s">
        <v>99</v>
      </c>
      <c r="C3104" t="s">
        <v>51</v>
      </c>
      <c r="D3104">
        <v>5</v>
      </c>
      <c r="E3104">
        <v>79</v>
      </c>
      <c r="F3104">
        <v>0.12</v>
      </c>
      <c r="G3104">
        <f t="shared" si="36"/>
        <v>0.04</v>
      </c>
      <c r="H3104">
        <f>G3104*(26.79/38.29)</f>
        <v>2.7986419430660745E-2</v>
      </c>
    </row>
    <row r="3105" spans="1:8" x14ac:dyDescent="0.25">
      <c r="A3105" s="1">
        <v>2002</v>
      </c>
      <c r="B3105" s="1" t="s">
        <v>99</v>
      </c>
      <c r="C3105" t="s">
        <v>51</v>
      </c>
      <c r="D3105">
        <v>5</v>
      </c>
      <c r="E3105">
        <v>79</v>
      </c>
      <c r="F3105">
        <v>0.08</v>
      </c>
      <c r="G3105">
        <f t="shared" si="36"/>
        <v>2.6666666666666665E-2</v>
      </c>
      <c r="H3105">
        <f>G3105*(26.79/38.29)</f>
        <v>1.8657612953773828E-2</v>
      </c>
    </row>
    <row r="3106" spans="1:8" x14ac:dyDescent="0.25">
      <c r="A3106" s="1">
        <v>2002</v>
      </c>
      <c r="B3106" s="1" t="s">
        <v>99</v>
      </c>
      <c r="C3106" t="s">
        <v>51</v>
      </c>
      <c r="D3106">
        <v>5</v>
      </c>
      <c r="E3106">
        <v>79</v>
      </c>
      <c r="F3106">
        <v>0.06</v>
      </c>
      <c r="G3106">
        <f t="shared" si="36"/>
        <v>0.02</v>
      </c>
      <c r="H3106">
        <f>G3106*(26.79/38.29)</f>
        <v>1.3993209715330373E-2</v>
      </c>
    </row>
    <row r="3107" spans="1:8" x14ac:dyDescent="0.25">
      <c r="A3107" s="1">
        <v>2002</v>
      </c>
      <c r="B3107" s="1" t="s">
        <v>99</v>
      </c>
      <c r="C3107" t="s">
        <v>51</v>
      </c>
      <c r="D3107">
        <v>5</v>
      </c>
      <c r="E3107">
        <v>79</v>
      </c>
      <c r="F3107">
        <v>0.09</v>
      </c>
      <c r="G3107">
        <f t="shared" si="36"/>
        <v>0.03</v>
      </c>
      <c r="H3107">
        <f>G3107*(26.79/38.29)</f>
        <v>2.0989814572995556E-2</v>
      </c>
    </row>
    <row r="3108" spans="1:8" x14ac:dyDescent="0.25">
      <c r="A3108" s="1">
        <v>2002</v>
      </c>
      <c r="B3108" s="1" t="s">
        <v>99</v>
      </c>
      <c r="C3108" t="s">
        <v>51</v>
      </c>
      <c r="D3108">
        <v>5</v>
      </c>
      <c r="E3108">
        <v>79</v>
      </c>
      <c r="F3108">
        <v>0.04</v>
      </c>
      <c r="G3108">
        <f t="shared" si="36"/>
        <v>1.3333333333333332E-2</v>
      </c>
      <c r="H3108">
        <f>G3108*(26.79/38.29)</f>
        <v>9.3288064768869139E-3</v>
      </c>
    </row>
    <row r="3109" spans="1:8" x14ac:dyDescent="0.25">
      <c r="A3109" s="1">
        <v>2002</v>
      </c>
      <c r="B3109" s="1" t="s">
        <v>99</v>
      </c>
      <c r="C3109" t="s">
        <v>51</v>
      </c>
      <c r="D3109">
        <v>5</v>
      </c>
      <c r="E3109">
        <v>79</v>
      </c>
      <c r="F3109">
        <v>0.1</v>
      </c>
      <c r="G3109">
        <f t="shared" si="36"/>
        <v>3.333333333333334E-2</v>
      </c>
      <c r="H3109">
        <f>G3109*(26.79/38.29)</f>
        <v>2.3322016192217292E-2</v>
      </c>
    </row>
    <row r="3110" spans="1:8" x14ac:dyDescent="0.25">
      <c r="A3110" s="1">
        <v>2002</v>
      </c>
      <c r="B3110" s="1" t="s">
        <v>99</v>
      </c>
      <c r="C3110" t="s">
        <v>51</v>
      </c>
      <c r="D3110">
        <v>5</v>
      </c>
      <c r="E3110">
        <v>79</v>
      </c>
      <c r="F3110">
        <v>0.05</v>
      </c>
      <c r="G3110">
        <f t="shared" si="36"/>
        <v>1.666666666666667E-2</v>
      </c>
      <c r="H3110">
        <f>G3110*(26.79/38.29)</f>
        <v>1.1661008096108646E-2</v>
      </c>
    </row>
    <row r="3111" spans="1:8" x14ac:dyDescent="0.25">
      <c r="A3111" s="1">
        <v>2002</v>
      </c>
      <c r="B3111" s="1" t="s">
        <v>99</v>
      </c>
      <c r="C3111" t="s">
        <v>51</v>
      </c>
      <c r="D3111">
        <v>5</v>
      </c>
      <c r="E3111">
        <v>79</v>
      </c>
      <c r="F3111">
        <v>0.06</v>
      </c>
      <c r="G3111">
        <f t="shared" si="36"/>
        <v>0.02</v>
      </c>
      <c r="H3111">
        <f>G3111*(26.79/38.29)</f>
        <v>1.3993209715330373E-2</v>
      </c>
    </row>
    <row r="3112" spans="1:8" x14ac:dyDescent="0.25">
      <c r="A3112" s="1">
        <v>2002</v>
      </c>
      <c r="B3112" s="1" t="s">
        <v>99</v>
      </c>
      <c r="C3112" t="s">
        <v>51</v>
      </c>
      <c r="D3112">
        <v>5</v>
      </c>
      <c r="E3112">
        <v>79</v>
      </c>
      <c r="F3112">
        <v>7.0000000000000007E-2</v>
      </c>
      <c r="G3112">
        <f t="shared" si="36"/>
        <v>2.3333333333333338E-2</v>
      </c>
      <c r="H3112">
        <f>G3112*(26.79/38.29)</f>
        <v>1.6325411334552103E-2</v>
      </c>
    </row>
    <row r="3113" spans="1:8" x14ac:dyDescent="0.25">
      <c r="A3113" s="1">
        <v>2002</v>
      </c>
      <c r="B3113" s="1" t="s">
        <v>99</v>
      </c>
      <c r="C3113" t="s">
        <v>51</v>
      </c>
      <c r="D3113">
        <v>5</v>
      </c>
      <c r="E3113">
        <v>79</v>
      </c>
      <c r="F3113">
        <v>0.05</v>
      </c>
      <c r="G3113">
        <f t="shared" si="36"/>
        <v>1.666666666666667E-2</v>
      </c>
      <c r="H3113">
        <f>G3113*(26.79/38.29)</f>
        <v>1.1661008096108646E-2</v>
      </c>
    </row>
    <row r="3114" spans="1:8" x14ac:dyDescent="0.25">
      <c r="A3114" s="1">
        <v>2002</v>
      </c>
      <c r="B3114" s="1" t="s">
        <v>99</v>
      </c>
      <c r="C3114" t="s">
        <v>51</v>
      </c>
      <c r="D3114">
        <v>5</v>
      </c>
      <c r="E3114">
        <v>79</v>
      </c>
      <c r="F3114">
        <v>0.09</v>
      </c>
      <c r="G3114">
        <f t="shared" si="36"/>
        <v>0.03</v>
      </c>
      <c r="H3114">
        <f>G3114*(26.79/38.29)</f>
        <v>2.0989814572995556E-2</v>
      </c>
    </row>
    <row r="3115" spans="1:8" x14ac:dyDescent="0.25">
      <c r="A3115" s="1">
        <v>2002</v>
      </c>
      <c r="B3115" s="1" t="s">
        <v>99</v>
      </c>
      <c r="C3115" t="s">
        <v>51</v>
      </c>
      <c r="D3115">
        <v>5</v>
      </c>
      <c r="E3115">
        <v>79</v>
      </c>
      <c r="F3115">
        <v>0.09</v>
      </c>
      <c r="G3115">
        <f t="shared" si="36"/>
        <v>0.03</v>
      </c>
      <c r="H3115">
        <f>G3115*(26.79/38.29)</f>
        <v>2.0989814572995556E-2</v>
      </c>
    </row>
    <row r="3116" spans="1:8" x14ac:dyDescent="0.25">
      <c r="A3116" s="1">
        <v>2002</v>
      </c>
      <c r="B3116" s="1" t="s">
        <v>99</v>
      </c>
      <c r="C3116" t="s">
        <v>51</v>
      </c>
      <c r="D3116">
        <v>5</v>
      </c>
      <c r="E3116">
        <v>79</v>
      </c>
      <c r="F3116">
        <v>0.05</v>
      </c>
      <c r="G3116">
        <f t="shared" si="36"/>
        <v>1.666666666666667E-2</v>
      </c>
      <c r="H3116">
        <f>G3116*(26.79/38.29)</f>
        <v>1.1661008096108646E-2</v>
      </c>
    </row>
    <row r="3117" spans="1:8" x14ac:dyDescent="0.25">
      <c r="A3117" s="1">
        <v>2002</v>
      </c>
      <c r="B3117" s="1" t="s">
        <v>99</v>
      </c>
      <c r="C3117" t="s">
        <v>51</v>
      </c>
      <c r="D3117">
        <v>5</v>
      </c>
      <c r="E3117">
        <v>79</v>
      </c>
      <c r="F3117">
        <v>0.04</v>
      </c>
      <c r="G3117">
        <f t="shared" si="36"/>
        <v>1.3333333333333332E-2</v>
      </c>
      <c r="H3117">
        <f>G3117*(26.79/38.29)</f>
        <v>9.3288064768869139E-3</v>
      </c>
    </row>
    <row r="3118" spans="1:8" x14ac:dyDescent="0.25">
      <c r="A3118" s="1">
        <v>2002</v>
      </c>
      <c r="B3118" s="1" t="s">
        <v>99</v>
      </c>
      <c r="C3118" t="s">
        <v>51</v>
      </c>
      <c r="D3118">
        <v>5</v>
      </c>
      <c r="E3118">
        <v>79</v>
      </c>
      <c r="F3118">
        <v>0.04</v>
      </c>
      <c r="G3118">
        <f t="shared" si="36"/>
        <v>1.3333333333333332E-2</v>
      </c>
      <c r="H3118">
        <f>G3118*(26.79/38.29)</f>
        <v>9.3288064768869139E-3</v>
      </c>
    </row>
    <row r="3119" spans="1:8" x14ac:dyDescent="0.25">
      <c r="A3119" s="1">
        <v>2002</v>
      </c>
      <c r="B3119" s="1" t="s">
        <v>99</v>
      </c>
      <c r="C3119" t="s">
        <v>51</v>
      </c>
      <c r="D3119">
        <v>5</v>
      </c>
      <c r="E3119">
        <v>79</v>
      </c>
      <c r="F3119">
        <v>0.13</v>
      </c>
      <c r="G3119">
        <f t="shared" si="36"/>
        <v>4.3333333333333335E-2</v>
      </c>
      <c r="H3119">
        <f>G3119*(26.79/38.29)</f>
        <v>3.0318621049882474E-2</v>
      </c>
    </row>
    <row r="3120" spans="1:8" x14ac:dyDescent="0.25">
      <c r="A3120" s="1">
        <v>2002</v>
      </c>
      <c r="B3120" s="1" t="s">
        <v>99</v>
      </c>
      <c r="C3120" t="s">
        <v>51</v>
      </c>
      <c r="D3120">
        <v>5</v>
      </c>
      <c r="E3120">
        <v>79</v>
      </c>
      <c r="F3120">
        <v>0.06</v>
      </c>
      <c r="G3120">
        <f t="shared" si="36"/>
        <v>0.02</v>
      </c>
      <c r="H3120">
        <f>G3120*(26.79/38.29)</f>
        <v>1.3993209715330373E-2</v>
      </c>
    </row>
    <row r="3121" spans="1:8" x14ac:dyDescent="0.25">
      <c r="A3121" s="1">
        <v>2002</v>
      </c>
      <c r="B3121" s="1" t="s">
        <v>99</v>
      </c>
      <c r="C3121" t="s">
        <v>51</v>
      </c>
      <c r="D3121">
        <v>5</v>
      </c>
      <c r="E3121">
        <v>79</v>
      </c>
      <c r="F3121">
        <v>7.0000000000000007E-2</v>
      </c>
      <c r="G3121">
        <f t="shared" si="36"/>
        <v>2.3333333333333338E-2</v>
      </c>
      <c r="H3121">
        <f>G3121*(26.79/38.29)</f>
        <v>1.6325411334552103E-2</v>
      </c>
    </row>
    <row r="3122" spans="1:8" x14ac:dyDescent="0.25">
      <c r="A3122" s="1">
        <v>2002</v>
      </c>
      <c r="B3122" s="1" t="s">
        <v>99</v>
      </c>
      <c r="C3122" t="s">
        <v>51</v>
      </c>
      <c r="D3122">
        <v>5</v>
      </c>
      <c r="E3122">
        <v>79</v>
      </c>
      <c r="F3122">
        <v>0.03</v>
      </c>
      <c r="G3122">
        <f t="shared" si="36"/>
        <v>0.01</v>
      </c>
      <c r="H3122">
        <f>G3122*(26.79/38.29)</f>
        <v>6.9966048576651863E-3</v>
      </c>
    </row>
    <row r="3123" spans="1:8" x14ac:dyDescent="0.25">
      <c r="A3123" s="1">
        <v>2002</v>
      </c>
      <c r="B3123" s="1" t="s">
        <v>99</v>
      </c>
      <c r="C3123" t="s">
        <v>51</v>
      </c>
      <c r="D3123">
        <v>5</v>
      </c>
      <c r="E3123">
        <v>79</v>
      </c>
      <c r="F3123">
        <v>0.03</v>
      </c>
      <c r="G3123">
        <f t="shared" si="36"/>
        <v>0.01</v>
      </c>
      <c r="H3123">
        <f>G3123*(26.79/38.29)</f>
        <v>6.9966048576651863E-3</v>
      </c>
    </row>
    <row r="3124" spans="1:8" x14ac:dyDescent="0.25">
      <c r="A3124" s="1">
        <v>2002</v>
      </c>
      <c r="B3124" s="1" t="s">
        <v>99</v>
      </c>
      <c r="C3124" t="s">
        <v>51</v>
      </c>
      <c r="D3124">
        <v>5</v>
      </c>
      <c r="E3124">
        <v>79</v>
      </c>
      <c r="F3124">
        <v>0.13</v>
      </c>
      <c r="G3124">
        <f t="shared" si="36"/>
        <v>4.3333333333333335E-2</v>
      </c>
      <c r="H3124">
        <f>G3124*(26.79/38.29)</f>
        <v>3.0318621049882474E-2</v>
      </c>
    </row>
    <row r="3125" spans="1:8" x14ac:dyDescent="0.25">
      <c r="A3125" s="1">
        <v>2002</v>
      </c>
      <c r="B3125" s="1" t="s">
        <v>99</v>
      </c>
      <c r="C3125" t="s">
        <v>51</v>
      </c>
      <c r="D3125">
        <v>5</v>
      </c>
      <c r="E3125">
        <v>79</v>
      </c>
      <c r="F3125">
        <v>0.06</v>
      </c>
      <c r="G3125">
        <f t="shared" si="36"/>
        <v>0.02</v>
      </c>
      <c r="H3125">
        <f>G3125*(26.79/38.29)</f>
        <v>1.3993209715330373E-2</v>
      </c>
    </row>
    <row r="3126" spans="1:8" x14ac:dyDescent="0.25">
      <c r="A3126" s="1">
        <v>2002</v>
      </c>
      <c r="B3126" s="1" t="s">
        <v>99</v>
      </c>
      <c r="C3126" t="s">
        <v>51</v>
      </c>
      <c r="D3126">
        <v>5</v>
      </c>
      <c r="E3126">
        <v>79</v>
      </c>
      <c r="F3126">
        <v>0.13</v>
      </c>
      <c r="G3126">
        <f t="shared" si="36"/>
        <v>4.3333333333333335E-2</v>
      </c>
      <c r="H3126">
        <f>G3126*(26.79/38.29)</f>
        <v>3.0318621049882474E-2</v>
      </c>
    </row>
    <row r="3127" spans="1:8" x14ac:dyDescent="0.25">
      <c r="A3127" s="1">
        <v>2002</v>
      </c>
      <c r="B3127" s="1" t="s">
        <v>99</v>
      </c>
      <c r="C3127" t="s">
        <v>51</v>
      </c>
      <c r="D3127">
        <v>5</v>
      </c>
      <c r="E3127">
        <v>79</v>
      </c>
      <c r="F3127">
        <v>0.11</v>
      </c>
      <c r="G3127">
        <f t="shared" si="36"/>
        <v>3.6666666666666667E-2</v>
      </c>
      <c r="H3127">
        <f>G3127*(26.79/38.29)</f>
        <v>2.5654217811439017E-2</v>
      </c>
    </row>
    <row r="3128" spans="1:8" x14ac:dyDescent="0.25">
      <c r="A3128" s="1">
        <v>2002</v>
      </c>
      <c r="B3128" s="1" t="s">
        <v>99</v>
      </c>
      <c r="C3128" t="s">
        <v>51</v>
      </c>
      <c r="D3128">
        <v>5</v>
      </c>
      <c r="E3128">
        <v>85</v>
      </c>
      <c r="F3128">
        <v>0.04</v>
      </c>
      <c r="G3128">
        <f t="shared" si="36"/>
        <v>1.3333333333333332E-2</v>
      </c>
      <c r="H3128">
        <f>G3128*(26.79/38.29)</f>
        <v>9.3288064768869139E-3</v>
      </c>
    </row>
    <row r="3129" spans="1:8" x14ac:dyDescent="0.25">
      <c r="A3129" s="1">
        <v>2008</v>
      </c>
      <c r="B3129" s="1" t="s">
        <v>99</v>
      </c>
      <c r="C3129" t="s">
        <v>51</v>
      </c>
      <c r="D3129">
        <v>1</v>
      </c>
      <c r="E3129">
        <v>29</v>
      </c>
      <c r="F3129">
        <v>0.14000000000000001</v>
      </c>
      <c r="G3129">
        <f t="shared" si="36"/>
        <v>4.6666666666666676E-2</v>
      </c>
      <c r="H3129">
        <f>G3129*(26.79/38.29)</f>
        <v>3.2650822669104206E-2</v>
      </c>
    </row>
    <row r="3130" spans="1:8" x14ac:dyDescent="0.25">
      <c r="A3130" s="1">
        <v>2008</v>
      </c>
      <c r="B3130" s="1" t="s">
        <v>99</v>
      </c>
      <c r="C3130" t="s">
        <v>51</v>
      </c>
      <c r="D3130">
        <v>1</v>
      </c>
      <c r="E3130">
        <v>29</v>
      </c>
      <c r="F3130">
        <v>0.04</v>
      </c>
      <c r="G3130">
        <f t="shared" si="36"/>
        <v>1.3333333333333332E-2</v>
      </c>
      <c r="H3130">
        <f>G3130*(26.79/38.29)</f>
        <v>9.3288064768869139E-3</v>
      </c>
    </row>
    <row r="3131" spans="1:8" x14ac:dyDescent="0.25">
      <c r="A3131" s="1">
        <v>2008</v>
      </c>
      <c r="B3131" s="1" t="s">
        <v>99</v>
      </c>
      <c r="C3131" t="s">
        <v>51</v>
      </c>
      <c r="D3131">
        <v>1</v>
      </c>
      <c r="E3131">
        <v>32</v>
      </c>
      <c r="F3131">
        <v>7.0000000000000007E-2</v>
      </c>
      <c r="G3131">
        <f t="shared" si="36"/>
        <v>2.3333333333333338E-2</v>
      </c>
      <c r="H3131">
        <f>G3131*(26.79/38.29)</f>
        <v>1.6325411334552103E-2</v>
      </c>
    </row>
    <row r="3132" spans="1:8" x14ac:dyDescent="0.25">
      <c r="A3132" s="1">
        <v>2008</v>
      </c>
      <c r="B3132" s="1" t="s">
        <v>99</v>
      </c>
      <c r="C3132" t="s">
        <v>51</v>
      </c>
      <c r="D3132">
        <v>1</v>
      </c>
      <c r="E3132">
        <v>32</v>
      </c>
      <c r="F3132">
        <v>0.37</v>
      </c>
      <c r="G3132">
        <f t="shared" si="36"/>
        <v>0.12333333333333334</v>
      </c>
      <c r="H3132">
        <f>G3132*(26.79/38.29)</f>
        <v>8.629145991120396E-2</v>
      </c>
    </row>
    <row r="3133" spans="1:8" x14ac:dyDescent="0.25">
      <c r="A3133" s="1">
        <v>2008</v>
      </c>
      <c r="B3133" s="1" t="s">
        <v>99</v>
      </c>
      <c r="C3133" t="s">
        <v>51</v>
      </c>
      <c r="D3133">
        <v>1</v>
      </c>
      <c r="E3133">
        <v>32</v>
      </c>
      <c r="F3133">
        <v>0.06</v>
      </c>
      <c r="G3133">
        <f t="shared" si="36"/>
        <v>0.02</v>
      </c>
      <c r="H3133">
        <f>G3133*(26.79/38.29)</f>
        <v>1.3993209715330373E-2</v>
      </c>
    </row>
    <row r="3134" spans="1:8" x14ac:dyDescent="0.25">
      <c r="A3134" s="1">
        <v>2008</v>
      </c>
      <c r="B3134" s="1" t="s">
        <v>99</v>
      </c>
      <c r="C3134" t="s">
        <v>51</v>
      </c>
      <c r="D3134">
        <v>1</v>
      </c>
      <c r="E3134">
        <v>32</v>
      </c>
      <c r="F3134">
        <v>0.05</v>
      </c>
      <c r="G3134">
        <f t="shared" si="36"/>
        <v>1.666666666666667E-2</v>
      </c>
      <c r="H3134">
        <f>G3134*(26.79/38.29)</f>
        <v>1.1661008096108646E-2</v>
      </c>
    </row>
    <row r="3135" spans="1:8" x14ac:dyDescent="0.25">
      <c r="A3135" s="1">
        <v>2008</v>
      </c>
      <c r="B3135" s="1" t="s">
        <v>99</v>
      </c>
      <c r="C3135" t="s">
        <v>51</v>
      </c>
      <c r="D3135">
        <v>1</v>
      </c>
      <c r="E3135">
        <v>32</v>
      </c>
      <c r="F3135">
        <v>0.23</v>
      </c>
      <c r="G3135">
        <f t="shared" si="36"/>
        <v>7.6666666666666675E-2</v>
      </c>
      <c r="H3135">
        <f>G3135*(26.79/38.29)</f>
        <v>5.3640637242099769E-2</v>
      </c>
    </row>
    <row r="3136" spans="1:8" x14ac:dyDescent="0.25">
      <c r="A3136" s="1">
        <v>2008</v>
      </c>
      <c r="B3136" s="1" t="s">
        <v>99</v>
      </c>
      <c r="C3136" t="s">
        <v>51</v>
      </c>
      <c r="D3136">
        <v>1</v>
      </c>
      <c r="E3136">
        <v>32</v>
      </c>
      <c r="F3136">
        <v>0.12</v>
      </c>
      <c r="G3136">
        <f t="shared" si="36"/>
        <v>0.04</v>
      </c>
      <c r="H3136">
        <f>G3136*(26.79/38.29)</f>
        <v>2.7986419430660745E-2</v>
      </c>
    </row>
    <row r="3137" spans="1:8" x14ac:dyDescent="0.25">
      <c r="A3137" s="1">
        <v>2008</v>
      </c>
      <c r="B3137" s="1" t="s">
        <v>99</v>
      </c>
      <c r="C3137" t="s">
        <v>51</v>
      </c>
      <c r="D3137">
        <v>1</v>
      </c>
      <c r="E3137">
        <v>32</v>
      </c>
      <c r="F3137">
        <v>0.15</v>
      </c>
      <c r="G3137">
        <f t="shared" si="36"/>
        <v>0.05</v>
      </c>
      <c r="H3137">
        <f>G3137*(26.79/38.29)</f>
        <v>3.4983024288325934E-2</v>
      </c>
    </row>
    <row r="3138" spans="1:8" x14ac:dyDescent="0.25">
      <c r="A3138" s="1">
        <v>2008</v>
      </c>
      <c r="B3138" s="1" t="s">
        <v>99</v>
      </c>
      <c r="C3138" t="s">
        <v>51</v>
      </c>
      <c r="D3138">
        <v>1</v>
      </c>
      <c r="E3138">
        <v>32</v>
      </c>
      <c r="F3138">
        <v>0.05</v>
      </c>
      <c r="G3138">
        <f t="shared" si="36"/>
        <v>1.666666666666667E-2</v>
      </c>
      <c r="H3138">
        <f>G3138*(26.79/38.29)</f>
        <v>1.1661008096108646E-2</v>
      </c>
    </row>
    <row r="3139" spans="1:8" x14ac:dyDescent="0.25">
      <c r="A3139" s="1">
        <v>2008</v>
      </c>
      <c r="B3139" s="1" t="s">
        <v>99</v>
      </c>
      <c r="C3139" t="s">
        <v>51</v>
      </c>
      <c r="D3139">
        <v>1</v>
      </c>
      <c r="E3139">
        <v>32</v>
      </c>
      <c r="F3139">
        <v>0.08</v>
      </c>
      <c r="G3139">
        <f t="shared" si="36"/>
        <v>2.6666666666666665E-2</v>
      </c>
      <c r="H3139">
        <f>G3139*(26.79/38.29)</f>
        <v>1.8657612953773828E-2</v>
      </c>
    </row>
    <row r="3140" spans="1:8" x14ac:dyDescent="0.25">
      <c r="A3140" s="1">
        <v>2008</v>
      </c>
      <c r="B3140" s="1" t="s">
        <v>99</v>
      </c>
      <c r="C3140" t="s">
        <v>51</v>
      </c>
      <c r="D3140">
        <v>1</v>
      </c>
      <c r="E3140">
        <v>32</v>
      </c>
      <c r="F3140">
        <v>0.56000000000000005</v>
      </c>
      <c r="G3140">
        <f t="shared" si="36"/>
        <v>0.1866666666666667</v>
      </c>
      <c r="H3140">
        <f>G3140*(26.79/38.29)</f>
        <v>0.13060329067641682</v>
      </c>
    </row>
    <row r="3141" spans="1:8" x14ac:dyDescent="0.25">
      <c r="A3141" s="1">
        <v>2008</v>
      </c>
      <c r="B3141" s="1" t="s">
        <v>99</v>
      </c>
      <c r="C3141" t="s">
        <v>51</v>
      </c>
      <c r="D3141">
        <v>1</v>
      </c>
      <c r="E3141">
        <v>32</v>
      </c>
      <c r="F3141">
        <v>0.67</v>
      </c>
      <c r="G3141">
        <f t="shared" si="36"/>
        <v>0.22333333333333333</v>
      </c>
      <c r="H3141">
        <f>G3141*(26.79/38.29)</f>
        <v>0.15625750848785583</v>
      </c>
    </row>
    <row r="3142" spans="1:8" x14ac:dyDescent="0.25">
      <c r="A3142" s="1">
        <v>2008</v>
      </c>
      <c r="B3142" s="1" t="s">
        <v>99</v>
      </c>
      <c r="C3142" t="s">
        <v>51</v>
      </c>
      <c r="D3142">
        <v>1</v>
      </c>
      <c r="E3142">
        <v>32</v>
      </c>
      <c r="F3142">
        <v>0.06</v>
      </c>
      <c r="G3142">
        <f t="shared" si="36"/>
        <v>0.02</v>
      </c>
      <c r="H3142">
        <f>G3142*(26.79/38.29)</f>
        <v>1.3993209715330373E-2</v>
      </c>
    </row>
    <row r="3143" spans="1:8" x14ac:dyDescent="0.25">
      <c r="A3143" s="1">
        <v>2008</v>
      </c>
      <c r="B3143" s="1" t="s">
        <v>99</v>
      </c>
      <c r="C3143" t="s">
        <v>51</v>
      </c>
      <c r="D3143">
        <v>1</v>
      </c>
      <c r="E3143">
        <v>32</v>
      </c>
      <c r="F3143">
        <v>0.16</v>
      </c>
      <c r="G3143">
        <f t="shared" si="36"/>
        <v>5.333333333333333E-2</v>
      </c>
      <c r="H3143">
        <f>G3143*(26.79/38.29)</f>
        <v>3.7315225907547656E-2</v>
      </c>
    </row>
    <row r="3144" spans="1:8" x14ac:dyDescent="0.25">
      <c r="A3144" s="1">
        <v>2008</v>
      </c>
      <c r="B3144" s="1" t="s">
        <v>99</v>
      </c>
      <c r="C3144" t="s">
        <v>51</v>
      </c>
      <c r="D3144">
        <v>1</v>
      </c>
      <c r="E3144">
        <v>32</v>
      </c>
      <c r="F3144">
        <v>0.18</v>
      </c>
      <c r="G3144">
        <f t="shared" si="36"/>
        <v>0.06</v>
      </c>
      <c r="H3144">
        <f>G3144*(26.79/38.29)</f>
        <v>4.1979629145991113E-2</v>
      </c>
    </row>
    <row r="3145" spans="1:8" x14ac:dyDescent="0.25">
      <c r="A3145" s="1">
        <v>2008</v>
      </c>
      <c r="B3145" s="1" t="s">
        <v>99</v>
      </c>
      <c r="C3145" t="s">
        <v>51</v>
      </c>
      <c r="D3145">
        <v>1</v>
      </c>
      <c r="E3145">
        <v>32</v>
      </c>
      <c r="F3145">
        <v>0.05</v>
      </c>
      <c r="G3145">
        <f t="shared" si="36"/>
        <v>1.666666666666667E-2</v>
      </c>
      <c r="H3145">
        <f>G3145*(26.79/38.29)</f>
        <v>1.1661008096108646E-2</v>
      </c>
    </row>
    <row r="3146" spans="1:8" x14ac:dyDescent="0.25">
      <c r="A3146" s="1">
        <v>2008</v>
      </c>
      <c r="B3146" s="1" t="s">
        <v>99</v>
      </c>
      <c r="C3146" t="s">
        <v>51</v>
      </c>
      <c r="D3146">
        <v>1</v>
      </c>
      <c r="E3146">
        <v>32</v>
      </c>
      <c r="F3146">
        <v>0.04</v>
      </c>
      <c r="G3146">
        <f t="shared" si="36"/>
        <v>1.3333333333333332E-2</v>
      </c>
      <c r="H3146">
        <f>G3146*(26.79/38.29)</f>
        <v>9.3288064768869139E-3</v>
      </c>
    </row>
    <row r="3147" spans="1:8" x14ac:dyDescent="0.25">
      <c r="A3147" s="1">
        <v>2008</v>
      </c>
      <c r="B3147" s="1" t="s">
        <v>99</v>
      </c>
      <c r="C3147" t="s">
        <v>51</v>
      </c>
      <c r="D3147">
        <v>1</v>
      </c>
      <c r="E3147">
        <v>32</v>
      </c>
      <c r="F3147">
        <v>0.41</v>
      </c>
      <c r="G3147">
        <f t="shared" si="36"/>
        <v>0.13666666666666666</v>
      </c>
      <c r="H3147">
        <f>G3147*(26.79/38.29)</f>
        <v>9.5620266388090874E-2</v>
      </c>
    </row>
    <row r="3148" spans="1:8" x14ac:dyDescent="0.25">
      <c r="A3148" s="1">
        <v>2008</v>
      </c>
      <c r="B3148" s="1" t="s">
        <v>99</v>
      </c>
      <c r="C3148" t="s">
        <v>51</v>
      </c>
      <c r="D3148">
        <v>1</v>
      </c>
      <c r="E3148">
        <v>32</v>
      </c>
      <c r="F3148">
        <v>0.16</v>
      </c>
      <c r="G3148">
        <f t="shared" si="36"/>
        <v>5.333333333333333E-2</v>
      </c>
      <c r="H3148">
        <f>G3148*(26.79/38.29)</f>
        <v>3.7315225907547656E-2</v>
      </c>
    </row>
    <row r="3149" spans="1:8" x14ac:dyDescent="0.25">
      <c r="A3149" s="1">
        <v>2008</v>
      </c>
      <c r="B3149" s="1" t="s">
        <v>99</v>
      </c>
      <c r="C3149" t="s">
        <v>51</v>
      </c>
      <c r="D3149">
        <v>1</v>
      </c>
      <c r="E3149">
        <v>32</v>
      </c>
      <c r="F3149">
        <v>0.12</v>
      </c>
      <c r="G3149">
        <f t="shared" si="36"/>
        <v>0.04</v>
      </c>
      <c r="H3149">
        <f>G3149*(26.79/38.29)</f>
        <v>2.7986419430660745E-2</v>
      </c>
    </row>
    <row r="3150" spans="1:8" x14ac:dyDescent="0.25">
      <c r="A3150" s="1">
        <v>2008</v>
      </c>
      <c r="B3150" s="1" t="s">
        <v>99</v>
      </c>
      <c r="C3150" t="s">
        <v>51</v>
      </c>
      <c r="D3150">
        <v>1</v>
      </c>
      <c r="E3150">
        <v>32</v>
      </c>
      <c r="F3150">
        <v>0.43</v>
      </c>
      <c r="G3150">
        <f t="shared" ref="G3150:G3213" si="37">(F3150/0.6)/5</f>
        <v>0.14333333333333334</v>
      </c>
      <c r="H3150">
        <f>G3150*(26.79/38.29)</f>
        <v>0.10028466962653435</v>
      </c>
    </row>
    <row r="3151" spans="1:8" x14ac:dyDescent="0.25">
      <c r="A3151" s="1">
        <v>2008</v>
      </c>
      <c r="B3151" s="1" t="s">
        <v>99</v>
      </c>
      <c r="C3151" t="s">
        <v>51</v>
      </c>
      <c r="D3151">
        <v>1</v>
      </c>
      <c r="E3151">
        <v>32</v>
      </c>
      <c r="F3151">
        <v>0.32</v>
      </c>
      <c r="G3151">
        <f t="shared" si="37"/>
        <v>0.10666666666666666</v>
      </c>
      <c r="H3151">
        <f>G3151*(26.79/38.29)</f>
        <v>7.4630451815095311E-2</v>
      </c>
    </row>
    <row r="3152" spans="1:8" x14ac:dyDescent="0.25">
      <c r="A3152" s="1">
        <v>2008</v>
      </c>
      <c r="B3152" s="1" t="s">
        <v>99</v>
      </c>
      <c r="C3152" t="s">
        <v>51</v>
      </c>
      <c r="D3152">
        <v>1</v>
      </c>
      <c r="E3152">
        <v>32</v>
      </c>
      <c r="F3152">
        <v>0.05</v>
      </c>
      <c r="G3152">
        <f t="shared" si="37"/>
        <v>1.666666666666667E-2</v>
      </c>
      <c r="H3152">
        <f>G3152*(26.79/38.29)</f>
        <v>1.1661008096108646E-2</v>
      </c>
    </row>
    <row r="3153" spans="1:8" x14ac:dyDescent="0.25">
      <c r="A3153" s="1">
        <v>2008</v>
      </c>
      <c r="B3153" s="1" t="s">
        <v>99</v>
      </c>
      <c r="C3153" t="s">
        <v>51</v>
      </c>
      <c r="D3153">
        <v>1</v>
      </c>
      <c r="E3153">
        <v>32</v>
      </c>
      <c r="F3153">
        <v>0.05</v>
      </c>
      <c r="G3153">
        <f t="shared" si="37"/>
        <v>1.666666666666667E-2</v>
      </c>
      <c r="H3153">
        <f>G3153*(26.79/38.29)</f>
        <v>1.1661008096108646E-2</v>
      </c>
    </row>
    <row r="3154" spans="1:8" x14ac:dyDescent="0.25">
      <c r="A3154" s="1">
        <v>2008</v>
      </c>
      <c r="B3154" s="1" t="s">
        <v>99</v>
      </c>
      <c r="C3154" t="s">
        <v>51</v>
      </c>
      <c r="D3154">
        <v>1</v>
      </c>
      <c r="E3154">
        <v>32</v>
      </c>
      <c r="F3154">
        <v>0.61</v>
      </c>
      <c r="G3154">
        <f t="shared" si="37"/>
        <v>0.20333333333333331</v>
      </c>
      <c r="H3154">
        <f>G3154*(26.79/38.29)</f>
        <v>0.14226429877252544</v>
      </c>
    </row>
    <row r="3155" spans="1:8" x14ac:dyDescent="0.25">
      <c r="A3155" s="1">
        <v>2008</v>
      </c>
      <c r="B3155" s="1" t="s">
        <v>99</v>
      </c>
      <c r="C3155" t="s">
        <v>51</v>
      </c>
      <c r="D3155">
        <v>1</v>
      </c>
      <c r="E3155">
        <v>32</v>
      </c>
      <c r="F3155">
        <v>0.15</v>
      </c>
      <c r="G3155">
        <f t="shared" si="37"/>
        <v>0.05</v>
      </c>
      <c r="H3155">
        <f>G3155*(26.79/38.29)</f>
        <v>3.4983024288325934E-2</v>
      </c>
    </row>
    <row r="3156" spans="1:8" x14ac:dyDescent="0.25">
      <c r="A3156" s="1">
        <v>2008</v>
      </c>
      <c r="B3156" s="1" t="s">
        <v>99</v>
      </c>
      <c r="C3156" t="s">
        <v>51</v>
      </c>
      <c r="D3156">
        <v>1</v>
      </c>
      <c r="E3156">
        <v>32</v>
      </c>
      <c r="F3156">
        <v>0.04</v>
      </c>
      <c r="G3156">
        <f t="shared" si="37"/>
        <v>1.3333333333333332E-2</v>
      </c>
      <c r="H3156">
        <f>G3156*(26.79/38.29)</f>
        <v>9.3288064768869139E-3</v>
      </c>
    </row>
    <row r="3157" spans="1:8" x14ac:dyDescent="0.25">
      <c r="A3157" s="1">
        <v>2008</v>
      </c>
      <c r="B3157" s="1" t="s">
        <v>99</v>
      </c>
      <c r="C3157" t="s">
        <v>51</v>
      </c>
      <c r="D3157">
        <v>1</v>
      </c>
      <c r="E3157">
        <v>32</v>
      </c>
      <c r="F3157">
        <v>0.04</v>
      </c>
      <c r="G3157">
        <f t="shared" si="37"/>
        <v>1.3333333333333332E-2</v>
      </c>
      <c r="H3157">
        <f>G3157*(26.79/38.29)</f>
        <v>9.3288064768869139E-3</v>
      </c>
    </row>
    <row r="3158" spans="1:8" x14ac:dyDescent="0.25">
      <c r="A3158" s="1">
        <v>2008</v>
      </c>
      <c r="B3158" s="1" t="s">
        <v>99</v>
      </c>
      <c r="C3158" t="s">
        <v>51</v>
      </c>
      <c r="D3158">
        <v>1</v>
      </c>
      <c r="E3158">
        <v>32</v>
      </c>
      <c r="F3158">
        <v>0.84</v>
      </c>
      <c r="G3158">
        <f t="shared" si="37"/>
        <v>0.27999999999999997</v>
      </c>
      <c r="H3158">
        <f>G3158*(26.79/38.29)</f>
        <v>0.19590493601462519</v>
      </c>
    </row>
    <row r="3159" spans="1:8" x14ac:dyDescent="0.25">
      <c r="A3159" s="1">
        <v>2008</v>
      </c>
      <c r="B3159" s="1" t="s">
        <v>99</v>
      </c>
      <c r="C3159" t="s">
        <v>51</v>
      </c>
      <c r="D3159">
        <v>1</v>
      </c>
      <c r="E3159">
        <v>32</v>
      </c>
      <c r="F3159">
        <v>0.1</v>
      </c>
      <c r="G3159">
        <f t="shared" si="37"/>
        <v>3.333333333333334E-2</v>
      </c>
      <c r="H3159">
        <f>G3159*(26.79/38.29)</f>
        <v>2.3322016192217292E-2</v>
      </c>
    </row>
    <row r="3160" spans="1:8" x14ac:dyDescent="0.25">
      <c r="A3160" s="1">
        <v>2008</v>
      </c>
      <c r="B3160" s="1" t="s">
        <v>99</v>
      </c>
      <c r="C3160" t="s">
        <v>51</v>
      </c>
      <c r="D3160">
        <v>1</v>
      </c>
      <c r="E3160">
        <v>32</v>
      </c>
      <c r="F3160">
        <v>0.17</v>
      </c>
      <c r="G3160">
        <f t="shared" si="37"/>
        <v>5.6666666666666678E-2</v>
      </c>
      <c r="H3160">
        <f>G3160*(26.79/38.29)</f>
        <v>3.9647427526769398E-2</v>
      </c>
    </row>
    <row r="3161" spans="1:8" x14ac:dyDescent="0.25">
      <c r="A3161" s="1">
        <v>2008</v>
      </c>
      <c r="B3161" s="1" t="s">
        <v>99</v>
      </c>
      <c r="C3161" t="s">
        <v>51</v>
      </c>
      <c r="D3161">
        <v>1</v>
      </c>
      <c r="E3161">
        <v>32</v>
      </c>
      <c r="F3161">
        <v>0.18</v>
      </c>
      <c r="G3161">
        <f t="shared" si="37"/>
        <v>0.06</v>
      </c>
      <c r="H3161">
        <f>G3161*(26.79/38.29)</f>
        <v>4.1979629145991113E-2</v>
      </c>
    </row>
    <row r="3162" spans="1:8" x14ac:dyDescent="0.25">
      <c r="A3162" s="1">
        <v>2008</v>
      </c>
      <c r="B3162" s="1" t="s">
        <v>99</v>
      </c>
      <c r="C3162" t="s">
        <v>51</v>
      </c>
      <c r="D3162">
        <v>1</v>
      </c>
      <c r="E3162">
        <v>34</v>
      </c>
      <c r="F3162">
        <v>0.94</v>
      </c>
      <c r="G3162">
        <f t="shared" si="37"/>
        <v>0.31333333333333335</v>
      </c>
      <c r="H3162">
        <f>G3162*(26.79/38.29)</f>
        <v>0.21922695220684252</v>
      </c>
    </row>
    <row r="3163" spans="1:8" x14ac:dyDescent="0.25">
      <c r="A3163" s="1">
        <v>2008</v>
      </c>
      <c r="B3163" s="1" t="s">
        <v>99</v>
      </c>
      <c r="C3163" t="s">
        <v>51</v>
      </c>
      <c r="D3163">
        <v>1</v>
      </c>
      <c r="E3163">
        <v>34</v>
      </c>
      <c r="F3163">
        <v>0.51</v>
      </c>
      <c r="G3163">
        <f t="shared" si="37"/>
        <v>0.17</v>
      </c>
      <c r="H3163">
        <f>G3163*(26.79/38.29)</f>
        <v>0.11894228258030817</v>
      </c>
    </row>
    <row r="3164" spans="1:8" x14ac:dyDescent="0.25">
      <c r="A3164" s="1">
        <v>2008</v>
      </c>
      <c r="B3164" s="1" t="s">
        <v>99</v>
      </c>
      <c r="C3164" t="s">
        <v>51</v>
      </c>
      <c r="D3164">
        <v>1</v>
      </c>
      <c r="E3164">
        <v>40</v>
      </c>
      <c r="F3164">
        <v>1.54</v>
      </c>
      <c r="G3164">
        <f t="shared" si="37"/>
        <v>0.51333333333333342</v>
      </c>
      <c r="H3164">
        <f>G3164*(26.79/38.29)</f>
        <v>0.35915904936014631</v>
      </c>
    </row>
    <row r="3165" spans="1:8" x14ac:dyDescent="0.25">
      <c r="A3165" s="1">
        <v>2008</v>
      </c>
      <c r="B3165" s="1" t="s">
        <v>99</v>
      </c>
      <c r="C3165" t="s">
        <v>51</v>
      </c>
      <c r="D3165">
        <v>1</v>
      </c>
      <c r="E3165">
        <v>40</v>
      </c>
      <c r="F3165">
        <v>0.94</v>
      </c>
      <c r="G3165">
        <f t="shared" si="37"/>
        <v>0.31333333333333335</v>
      </c>
      <c r="H3165">
        <f>G3165*(26.79/38.29)</f>
        <v>0.21922695220684252</v>
      </c>
    </row>
    <row r="3166" spans="1:8" x14ac:dyDescent="0.25">
      <c r="A3166" s="1">
        <v>2008</v>
      </c>
      <c r="B3166" s="1" t="s">
        <v>99</v>
      </c>
      <c r="C3166" t="s">
        <v>51</v>
      </c>
      <c r="D3166">
        <v>1</v>
      </c>
      <c r="E3166">
        <v>40</v>
      </c>
      <c r="F3166">
        <v>0.83</v>
      </c>
      <c r="G3166">
        <f t="shared" si="37"/>
        <v>0.27666666666666667</v>
      </c>
      <c r="H3166">
        <f>G3166*(26.79/38.29)</f>
        <v>0.19357273439540348</v>
      </c>
    </row>
    <row r="3167" spans="1:8" x14ac:dyDescent="0.25">
      <c r="A3167" s="1">
        <v>2008</v>
      </c>
      <c r="B3167" s="1" t="s">
        <v>99</v>
      </c>
      <c r="C3167" t="s">
        <v>51</v>
      </c>
      <c r="D3167">
        <v>1</v>
      </c>
      <c r="E3167">
        <v>53</v>
      </c>
      <c r="F3167">
        <v>0.79</v>
      </c>
      <c r="G3167">
        <f t="shared" si="37"/>
        <v>0.26333333333333336</v>
      </c>
      <c r="H3167">
        <f>G3167*(26.79/38.29)</f>
        <v>0.1842439279185166</v>
      </c>
    </row>
    <row r="3168" spans="1:8" x14ac:dyDescent="0.25">
      <c r="A3168" s="1">
        <v>2008</v>
      </c>
      <c r="B3168" s="1" t="s">
        <v>99</v>
      </c>
      <c r="C3168" t="s">
        <v>51</v>
      </c>
      <c r="D3168">
        <v>1</v>
      </c>
      <c r="E3168">
        <v>56</v>
      </c>
      <c r="F3168">
        <v>1.08</v>
      </c>
      <c r="G3168">
        <f t="shared" si="37"/>
        <v>0.36000000000000004</v>
      </c>
      <c r="H3168">
        <f>G3168*(26.79/38.29)</f>
        <v>0.25187777487594676</v>
      </c>
    </row>
    <row r="3169" spans="1:8" x14ac:dyDescent="0.25">
      <c r="A3169" s="1">
        <v>2008</v>
      </c>
      <c r="B3169" s="1" t="s">
        <v>99</v>
      </c>
      <c r="C3169" t="s">
        <v>51</v>
      </c>
      <c r="D3169">
        <v>1</v>
      </c>
      <c r="E3169">
        <v>56</v>
      </c>
      <c r="F3169">
        <v>1.61</v>
      </c>
      <c r="G3169">
        <f t="shared" si="37"/>
        <v>0.53666666666666674</v>
      </c>
      <c r="H3169">
        <f>G3169*(26.79/38.29)</f>
        <v>0.37548446069469837</v>
      </c>
    </row>
    <row r="3170" spans="1:8" x14ac:dyDescent="0.25">
      <c r="A3170" s="1">
        <v>2008</v>
      </c>
      <c r="B3170" s="1" t="s">
        <v>99</v>
      </c>
      <c r="C3170" t="s">
        <v>51</v>
      </c>
      <c r="D3170">
        <v>1</v>
      </c>
      <c r="E3170">
        <v>63</v>
      </c>
      <c r="F3170">
        <v>0.13</v>
      </c>
      <c r="G3170">
        <f t="shared" si="37"/>
        <v>4.3333333333333335E-2</v>
      </c>
      <c r="H3170">
        <f>G3170*(26.79/38.29)</f>
        <v>3.0318621049882474E-2</v>
      </c>
    </row>
    <row r="3171" spans="1:8" x14ac:dyDescent="0.25">
      <c r="A3171" s="1">
        <v>2008</v>
      </c>
      <c r="B3171" s="1" t="s">
        <v>99</v>
      </c>
      <c r="C3171" t="s">
        <v>51</v>
      </c>
      <c r="D3171">
        <v>1</v>
      </c>
      <c r="E3171">
        <v>63</v>
      </c>
      <c r="F3171">
        <v>0.09</v>
      </c>
      <c r="G3171">
        <f t="shared" si="37"/>
        <v>0.03</v>
      </c>
      <c r="H3171">
        <f>G3171*(26.79/38.29)</f>
        <v>2.0989814572995556E-2</v>
      </c>
    </row>
    <row r="3172" spans="1:8" x14ac:dyDescent="0.25">
      <c r="A3172" s="1">
        <v>2008</v>
      </c>
      <c r="B3172" s="1" t="s">
        <v>99</v>
      </c>
      <c r="C3172" t="s">
        <v>51</v>
      </c>
      <c r="D3172">
        <v>1</v>
      </c>
      <c r="E3172">
        <v>63</v>
      </c>
      <c r="F3172">
        <v>0.13</v>
      </c>
      <c r="G3172">
        <f t="shared" si="37"/>
        <v>4.3333333333333335E-2</v>
      </c>
      <c r="H3172">
        <f>G3172*(26.79/38.29)</f>
        <v>3.0318621049882474E-2</v>
      </c>
    </row>
    <row r="3173" spans="1:8" x14ac:dyDescent="0.25">
      <c r="A3173" s="1">
        <v>2008</v>
      </c>
      <c r="B3173" s="1" t="s">
        <v>99</v>
      </c>
      <c r="C3173" t="s">
        <v>51</v>
      </c>
      <c r="D3173">
        <v>1</v>
      </c>
      <c r="E3173">
        <v>63</v>
      </c>
      <c r="F3173">
        <v>0.05</v>
      </c>
      <c r="G3173">
        <f t="shared" si="37"/>
        <v>1.666666666666667E-2</v>
      </c>
      <c r="H3173">
        <f>G3173*(26.79/38.29)</f>
        <v>1.1661008096108646E-2</v>
      </c>
    </row>
    <row r="3174" spans="1:8" x14ac:dyDescent="0.25">
      <c r="A3174" s="1">
        <v>2008</v>
      </c>
      <c r="B3174" s="1" t="s">
        <v>99</v>
      </c>
      <c r="C3174" t="s">
        <v>51</v>
      </c>
      <c r="D3174">
        <v>1</v>
      </c>
      <c r="E3174">
        <v>66</v>
      </c>
      <c r="F3174">
        <v>0.64</v>
      </c>
      <c r="G3174">
        <f t="shared" si="37"/>
        <v>0.21333333333333332</v>
      </c>
      <c r="H3174">
        <f>G3174*(26.79/38.29)</f>
        <v>0.14926090363019062</v>
      </c>
    </row>
    <row r="3175" spans="1:8" x14ac:dyDescent="0.25">
      <c r="A3175" s="1">
        <v>2008</v>
      </c>
      <c r="B3175" s="1" t="s">
        <v>99</v>
      </c>
      <c r="C3175" t="s">
        <v>51</v>
      </c>
      <c r="D3175">
        <v>1</v>
      </c>
      <c r="E3175">
        <v>66</v>
      </c>
      <c r="F3175">
        <v>0.22</v>
      </c>
      <c r="G3175">
        <f t="shared" si="37"/>
        <v>7.3333333333333334E-2</v>
      </c>
      <c r="H3175">
        <f>G3175*(26.79/38.29)</f>
        <v>5.1308435622878033E-2</v>
      </c>
    </row>
    <row r="3176" spans="1:8" x14ac:dyDescent="0.25">
      <c r="A3176" s="1">
        <v>2008</v>
      </c>
      <c r="B3176" s="1" t="s">
        <v>99</v>
      </c>
      <c r="C3176" t="s">
        <v>51</v>
      </c>
      <c r="D3176">
        <v>1</v>
      </c>
      <c r="E3176">
        <v>76</v>
      </c>
      <c r="F3176">
        <v>0.99</v>
      </c>
      <c r="G3176">
        <f t="shared" si="37"/>
        <v>0.33</v>
      </c>
      <c r="H3176">
        <f>G3176*(26.79/38.29)</f>
        <v>0.23088796030295117</v>
      </c>
    </row>
    <row r="3177" spans="1:8" x14ac:dyDescent="0.25">
      <c r="A3177" s="1">
        <v>2008</v>
      </c>
      <c r="B3177" s="1" t="s">
        <v>99</v>
      </c>
      <c r="C3177" t="s">
        <v>51</v>
      </c>
      <c r="D3177">
        <v>1</v>
      </c>
      <c r="E3177">
        <v>76</v>
      </c>
      <c r="F3177">
        <v>0.76</v>
      </c>
      <c r="G3177">
        <f t="shared" si="37"/>
        <v>0.25333333333333335</v>
      </c>
      <c r="H3177">
        <f>G3177*(26.79/38.29)</f>
        <v>0.17724732306085139</v>
      </c>
    </row>
    <row r="3178" spans="1:8" x14ac:dyDescent="0.25">
      <c r="A3178" s="1">
        <v>2008</v>
      </c>
      <c r="B3178" s="1" t="s">
        <v>99</v>
      </c>
      <c r="C3178" t="s">
        <v>51</v>
      </c>
      <c r="D3178">
        <v>1</v>
      </c>
      <c r="E3178">
        <v>76</v>
      </c>
      <c r="F3178">
        <v>0.06</v>
      </c>
      <c r="G3178">
        <f t="shared" si="37"/>
        <v>0.02</v>
      </c>
      <c r="H3178">
        <f>G3178*(26.79/38.29)</f>
        <v>1.3993209715330373E-2</v>
      </c>
    </row>
    <row r="3179" spans="1:8" x14ac:dyDescent="0.25">
      <c r="A3179" s="1">
        <v>2008</v>
      </c>
      <c r="B3179" s="1" t="s">
        <v>99</v>
      </c>
      <c r="C3179" t="s">
        <v>51</v>
      </c>
      <c r="D3179">
        <v>1</v>
      </c>
      <c r="E3179">
        <v>76</v>
      </c>
      <c r="F3179">
        <v>0.43</v>
      </c>
      <c r="G3179">
        <f t="shared" si="37"/>
        <v>0.14333333333333334</v>
      </c>
      <c r="H3179">
        <f>G3179*(26.79/38.29)</f>
        <v>0.10028466962653435</v>
      </c>
    </row>
    <row r="3180" spans="1:8" x14ac:dyDescent="0.25">
      <c r="A3180" s="1">
        <v>2008</v>
      </c>
      <c r="B3180" s="1" t="s">
        <v>99</v>
      </c>
      <c r="C3180" t="s">
        <v>51</v>
      </c>
      <c r="D3180">
        <v>1</v>
      </c>
      <c r="E3180">
        <v>76</v>
      </c>
      <c r="F3180">
        <v>0.13</v>
      </c>
      <c r="G3180">
        <f t="shared" si="37"/>
        <v>4.3333333333333335E-2</v>
      </c>
      <c r="H3180">
        <f>G3180*(26.79/38.29)</f>
        <v>3.0318621049882474E-2</v>
      </c>
    </row>
    <row r="3181" spans="1:8" x14ac:dyDescent="0.25">
      <c r="A3181" s="1">
        <v>2008</v>
      </c>
      <c r="B3181" s="1" t="s">
        <v>99</v>
      </c>
      <c r="C3181" t="s">
        <v>51</v>
      </c>
      <c r="D3181">
        <v>1</v>
      </c>
      <c r="E3181">
        <v>76</v>
      </c>
      <c r="F3181">
        <v>0.73</v>
      </c>
      <c r="G3181">
        <f t="shared" si="37"/>
        <v>0.24333333333333335</v>
      </c>
      <c r="H3181">
        <f>G3181*(26.79/38.29)</f>
        <v>0.17025071820318621</v>
      </c>
    </row>
    <row r="3182" spans="1:8" x14ac:dyDescent="0.25">
      <c r="A3182" s="1">
        <v>2008</v>
      </c>
      <c r="B3182" s="1" t="s">
        <v>99</v>
      </c>
      <c r="C3182" t="s">
        <v>51</v>
      </c>
      <c r="D3182">
        <v>1</v>
      </c>
      <c r="E3182">
        <v>76</v>
      </c>
      <c r="F3182">
        <v>0.35</v>
      </c>
      <c r="G3182">
        <f t="shared" si="37"/>
        <v>0.11666666666666667</v>
      </c>
      <c r="H3182">
        <f>G3182*(26.79/38.29)</f>
        <v>8.1627056672760503E-2</v>
      </c>
    </row>
    <row r="3183" spans="1:8" x14ac:dyDescent="0.25">
      <c r="A3183" s="1">
        <v>2008</v>
      </c>
      <c r="B3183" s="1" t="s">
        <v>99</v>
      </c>
      <c r="C3183" t="s">
        <v>51</v>
      </c>
      <c r="D3183">
        <v>1</v>
      </c>
      <c r="E3183">
        <v>76</v>
      </c>
      <c r="F3183">
        <v>0.06</v>
      </c>
      <c r="G3183">
        <f t="shared" si="37"/>
        <v>0.02</v>
      </c>
      <c r="H3183">
        <f>G3183*(26.79/38.29)</f>
        <v>1.3993209715330373E-2</v>
      </c>
    </row>
    <row r="3184" spans="1:8" x14ac:dyDescent="0.25">
      <c r="A3184" s="1">
        <v>2008</v>
      </c>
      <c r="B3184" s="1" t="s">
        <v>99</v>
      </c>
      <c r="C3184" t="s">
        <v>51</v>
      </c>
      <c r="D3184">
        <v>1</v>
      </c>
      <c r="E3184">
        <v>76</v>
      </c>
      <c r="F3184">
        <v>0.62</v>
      </c>
      <c r="G3184">
        <f t="shared" si="37"/>
        <v>0.20666666666666669</v>
      </c>
      <c r="H3184">
        <f>G3184*(26.79/38.29)</f>
        <v>0.14459650039174721</v>
      </c>
    </row>
    <row r="3185" spans="1:8" x14ac:dyDescent="0.25">
      <c r="A3185" s="1">
        <v>2008</v>
      </c>
      <c r="B3185" s="1" t="s">
        <v>99</v>
      </c>
      <c r="C3185" t="s">
        <v>51</v>
      </c>
      <c r="D3185">
        <v>1</v>
      </c>
      <c r="E3185">
        <v>76</v>
      </c>
      <c r="F3185">
        <v>0.16</v>
      </c>
      <c r="G3185">
        <f t="shared" si="37"/>
        <v>5.333333333333333E-2</v>
      </c>
      <c r="H3185">
        <f>G3185*(26.79/38.29)</f>
        <v>3.7315225907547656E-2</v>
      </c>
    </row>
    <row r="3186" spans="1:8" x14ac:dyDescent="0.25">
      <c r="A3186" s="1">
        <v>2008</v>
      </c>
      <c r="B3186" s="1" t="s">
        <v>99</v>
      </c>
      <c r="C3186" t="s">
        <v>51</v>
      </c>
      <c r="D3186">
        <v>1</v>
      </c>
      <c r="E3186">
        <v>76</v>
      </c>
      <c r="F3186">
        <v>0.81</v>
      </c>
      <c r="G3186">
        <f t="shared" si="37"/>
        <v>0.27</v>
      </c>
      <c r="H3186">
        <f>G3186*(26.79/38.29)</f>
        <v>0.18890833115696004</v>
      </c>
    </row>
    <row r="3187" spans="1:8" x14ac:dyDescent="0.25">
      <c r="A3187" s="1">
        <v>2008</v>
      </c>
      <c r="B3187" s="1" t="s">
        <v>99</v>
      </c>
      <c r="C3187" t="s">
        <v>51</v>
      </c>
      <c r="D3187">
        <v>1</v>
      </c>
      <c r="E3187">
        <v>76</v>
      </c>
      <c r="F3187">
        <v>0.04</v>
      </c>
      <c r="G3187">
        <f t="shared" si="37"/>
        <v>1.3333333333333332E-2</v>
      </c>
      <c r="H3187">
        <f>G3187*(26.79/38.29)</f>
        <v>9.3288064768869139E-3</v>
      </c>
    </row>
    <row r="3188" spans="1:8" x14ac:dyDescent="0.25">
      <c r="A3188" s="1">
        <v>2008</v>
      </c>
      <c r="B3188" s="1" t="s">
        <v>99</v>
      </c>
      <c r="C3188" t="s">
        <v>51</v>
      </c>
      <c r="D3188">
        <v>1</v>
      </c>
      <c r="E3188">
        <v>76</v>
      </c>
      <c r="F3188">
        <v>0.32</v>
      </c>
      <c r="G3188">
        <f t="shared" si="37"/>
        <v>0.10666666666666666</v>
      </c>
      <c r="H3188">
        <f>G3188*(26.79/38.29)</f>
        <v>7.4630451815095311E-2</v>
      </c>
    </row>
    <row r="3189" spans="1:8" x14ac:dyDescent="0.25">
      <c r="A3189" s="1">
        <v>2008</v>
      </c>
      <c r="B3189" s="1" t="s">
        <v>99</v>
      </c>
      <c r="C3189" t="s">
        <v>51</v>
      </c>
      <c r="D3189">
        <v>1</v>
      </c>
      <c r="E3189">
        <v>76</v>
      </c>
      <c r="F3189">
        <v>0.08</v>
      </c>
      <c r="G3189">
        <f t="shared" si="37"/>
        <v>2.6666666666666665E-2</v>
      </c>
      <c r="H3189">
        <f>G3189*(26.79/38.29)</f>
        <v>1.8657612953773828E-2</v>
      </c>
    </row>
    <row r="3190" spans="1:8" x14ac:dyDescent="0.25">
      <c r="A3190" s="1">
        <v>2008</v>
      </c>
      <c r="B3190" s="1" t="s">
        <v>99</v>
      </c>
      <c r="C3190" t="s">
        <v>51</v>
      </c>
      <c r="D3190">
        <v>1</v>
      </c>
      <c r="E3190">
        <v>76</v>
      </c>
      <c r="F3190">
        <v>0.59</v>
      </c>
      <c r="G3190">
        <f t="shared" si="37"/>
        <v>0.19666666666666666</v>
      </c>
      <c r="H3190">
        <f>G3190*(26.79/38.29)</f>
        <v>0.137599895534082</v>
      </c>
    </row>
    <row r="3191" spans="1:8" x14ac:dyDescent="0.25">
      <c r="A3191" s="1">
        <v>2008</v>
      </c>
      <c r="B3191" s="1" t="s">
        <v>99</v>
      </c>
      <c r="C3191" t="s">
        <v>51</v>
      </c>
      <c r="D3191">
        <v>1</v>
      </c>
      <c r="E3191">
        <v>76</v>
      </c>
      <c r="F3191">
        <v>0.83</v>
      </c>
      <c r="G3191">
        <f t="shared" si="37"/>
        <v>0.27666666666666667</v>
      </c>
      <c r="H3191">
        <f>G3191*(26.79/38.29)</f>
        <v>0.19357273439540348</v>
      </c>
    </row>
    <row r="3192" spans="1:8" x14ac:dyDescent="0.25">
      <c r="A3192" s="1">
        <v>2008</v>
      </c>
      <c r="B3192" s="1" t="s">
        <v>99</v>
      </c>
      <c r="C3192" t="s">
        <v>51</v>
      </c>
      <c r="D3192">
        <v>1</v>
      </c>
      <c r="E3192">
        <v>76</v>
      </c>
      <c r="F3192">
        <v>0.05</v>
      </c>
      <c r="G3192">
        <f t="shared" si="37"/>
        <v>1.666666666666667E-2</v>
      </c>
      <c r="H3192">
        <f>G3192*(26.79/38.29)</f>
        <v>1.1661008096108646E-2</v>
      </c>
    </row>
    <row r="3193" spans="1:8" x14ac:dyDescent="0.25">
      <c r="A3193" s="1">
        <v>2008</v>
      </c>
      <c r="B3193" s="1" t="s">
        <v>99</v>
      </c>
      <c r="C3193" t="s">
        <v>51</v>
      </c>
      <c r="D3193">
        <v>1</v>
      </c>
      <c r="E3193">
        <v>76</v>
      </c>
      <c r="F3193">
        <v>0.09</v>
      </c>
      <c r="G3193">
        <f t="shared" si="37"/>
        <v>0.03</v>
      </c>
      <c r="H3193">
        <f>G3193*(26.79/38.29)</f>
        <v>2.0989814572995556E-2</v>
      </c>
    </row>
    <row r="3194" spans="1:8" x14ac:dyDescent="0.25">
      <c r="A3194" s="1">
        <v>2008</v>
      </c>
      <c r="B3194" s="1" t="s">
        <v>99</v>
      </c>
      <c r="C3194" t="s">
        <v>51</v>
      </c>
      <c r="D3194">
        <v>1</v>
      </c>
      <c r="E3194">
        <v>76</v>
      </c>
      <c r="F3194">
        <v>0.49</v>
      </c>
      <c r="G3194">
        <f t="shared" si="37"/>
        <v>0.16333333333333333</v>
      </c>
      <c r="H3194">
        <f>G3194*(26.79/38.29)</f>
        <v>0.1142778793418647</v>
      </c>
    </row>
    <row r="3195" spans="1:8" x14ac:dyDescent="0.25">
      <c r="A3195" s="1">
        <v>2008</v>
      </c>
      <c r="B3195" s="1" t="s">
        <v>99</v>
      </c>
      <c r="C3195" t="s">
        <v>51</v>
      </c>
      <c r="D3195">
        <v>1</v>
      </c>
      <c r="E3195">
        <v>76</v>
      </c>
      <c r="F3195">
        <v>0.45</v>
      </c>
      <c r="G3195">
        <f t="shared" si="37"/>
        <v>0.15</v>
      </c>
      <c r="H3195">
        <f>G3195*(26.79/38.29)</f>
        <v>0.10494907286497779</v>
      </c>
    </row>
    <row r="3196" spans="1:8" x14ac:dyDescent="0.25">
      <c r="A3196" s="1">
        <v>2008</v>
      </c>
      <c r="B3196" s="1" t="s">
        <v>99</v>
      </c>
      <c r="C3196" t="s">
        <v>51</v>
      </c>
      <c r="D3196">
        <v>1</v>
      </c>
      <c r="E3196">
        <v>76</v>
      </c>
      <c r="F3196">
        <v>0.48</v>
      </c>
      <c r="G3196">
        <f t="shared" si="37"/>
        <v>0.16</v>
      </c>
      <c r="H3196">
        <f>G3196*(26.79/38.29)</f>
        <v>0.11194567772264298</v>
      </c>
    </row>
    <row r="3197" spans="1:8" x14ac:dyDescent="0.25">
      <c r="A3197" s="1">
        <v>2008</v>
      </c>
      <c r="B3197" s="1" t="s">
        <v>99</v>
      </c>
      <c r="C3197" t="s">
        <v>51</v>
      </c>
      <c r="D3197">
        <v>1</v>
      </c>
      <c r="E3197">
        <v>76</v>
      </c>
      <c r="F3197">
        <v>0.05</v>
      </c>
      <c r="G3197">
        <f t="shared" si="37"/>
        <v>1.666666666666667E-2</v>
      </c>
      <c r="H3197">
        <f>G3197*(26.79/38.29)</f>
        <v>1.1661008096108646E-2</v>
      </c>
    </row>
    <row r="3198" spans="1:8" x14ac:dyDescent="0.25">
      <c r="A3198" s="1">
        <v>2008</v>
      </c>
      <c r="B3198" s="1" t="s">
        <v>99</v>
      </c>
      <c r="C3198" t="s">
        <v>51</v>
      </c>
      <c r="D3198">
        <v>1</v>
      </c>
      <c r="E3198">
        <v>76</v>
      </c>
      <c r="F3198">
        <v>0.32</v>
      </c>
      <c r="G3198">
        <f t="shared" si="37"/>
        <v>0.10666666666666666</v>
      </c>
      <c r="H3198">
        <f>G3198*(26.79/38.29)</f>
        <v>7.4630451815095311E-2</v>
      </c>
    </row>
    <row r="3199" spans="1:8" x14ac:dyDescent="0.25">
      <c r="A3199" s="1">
        <v>2008</v>
      </c>
      <c r="B3199" s="1" t="s">
        <v>99</v>
      </c>
      <c r="C3199" t="s">
        <v>51</v>
      </c>
      <c r="D3199">
        <v>1</v>
      </c>
      <c r="E3199">
        <v>76</v>
      </c>
      <c r="F3199">
        <v>0.27</v>
      </c>
      <c r="G3199">
        <f t="shared" si="37"/>
        <v>9.0000000000000011E-2</v>
      </c>
      <c r="H3199">
        <f>G3199*(26.79/38.29)</f>
        <v>6.296944371898669E-2</v>
      </c>
    </row>
    <row r="3200" spans="1:8" x14ac:dyDescent="0.25">
      <c r="A3200" s="1">
        <v>2008</v>
      </c>
      <c r="B3200" s="1" t="s">
        <v>99</v>
      </c>
      <c r="C3200" t="s">
        <v>51</v>
      </c>
      <c r="D3200">
        <v>1</v>
      </c>
      <c r="E3200">
        <v>76</v>
      </c>
      <c r="F3200">
        <v>0.3</v>
      </c>
      <c r="G3200">
        <f t="shared" si="37"/>
        <v>0.1</v>
      </c>
      <c r="H3200">
        <f>G3200*(26.79/38.29)</f>
        <v>6.9966048576651868E-2</v>
      </c>
    </row>
    <row r="3201" spans="1:8" x14ac:dyDescent="0.25">
      <c r="A3201" s="1">
        <v>2008</v>
      </c>
      <c r="B3201" s="1" t="s">
        <v>99</v>
      </c>
      <c r="C3201" t="s">
        <v>51</v>
      </c>
      <c r="D3201">
        <v>1</v>
      </c>
      <c r="E3201">
        <v>76</v>
      </c>
      <c r="F3201">
        <v>0.56999999999999995</v>
      </c>
      <c r="G3201">
        <f t="shared" si="37"/>
        <v>0.19</v>
      </c>
      <c r="H3201">
        <f>G3201*(26.79/38.29)</f>
        <v>0.13293549229563853</v>
      </c>
    </row>
    <row r="3202" spans="1:8" x14ac:dyDescent="0.25">
      <c r="A3202" s="1">
        <v>2008</v>
      </c>
      <c r="B3202" s="1" t="s">
        <v>99</v>
      </c>
      <c r="C3202" t="s">
        <v>51</v>
      </c>
      <c r="D3202">
        <v>1</v>
      </c>
      <c r="E3202">
        <v>76</v>
      </c>
      <c r="F3202">
        <v>0.15</v>
      </c>
      <c r="G3202">
        <f t="shared" si="37"/>
        <v>0.05</v>
      </c>
      <c r="H3202">
        <f>G3202*(26.79/38.29)</f>
        <v>3.4983024288325934E-2</v>
      </c>
    </row>
    <row r="3203" spans="1:8" x14ac:dyDescent="0.25">
      <c r="A3203" s="1">
        <v>2008</v>
      </c>
      <c r="B3203" s="1" t="s">
        <v>99</v>
      </c>
      <c r="C3203" t="s">
        <v>51</v>
      </c>
      <c r="D3203">
        <v>1</v>
      </c>
      <c r="E3203">
        <v>76</v>
      </c>
      <c r="F3203">
        <v>0.59</v>
      </c>
      <c r="G3203">
        <f t="shared" si="37"/>
        <v>0.19666666666666666</v>
      </c>
      <c r="H3203">
        <f>G3203*(26.79/38.29)</f>
        <v>0.137599895534082</v>
      </c>
    </row>
    <row r="3204" spans="1:8" x14ac:dyDescent="0.25">
      <c r="A3204" s="1">
        <v>2008</v>
      </c>
      <c r="B3204" s="1" t="s">
        <v>99</v>
      </c>
      <c r="C3204" t="s">
        <v>51</v>
      </c>
      <c r="D3204">
        <v>1</v>
      </c>
      <c r="E3204">
        <v>76</v>
      </c>
      <c r="F3204">
        <v>0.15</v>
      </c>
      <c r="G3204">
        <f t="shared" si="37"/>
        <v>0.05</v>
      </c>
      <c r="H3204">
        <f>G3204*(26.79/38.29)</f>
        <v>3.4983024288325934E-2</v>
      </c>
    </row>
    <row r="3205" spans="1:8" x14ac:dyDescent="0.25">
      <c r="A3205" s="1">
        <v>2008</v>
      </c>
      <c r="B3205" s="1" t="s">
        <v>99</v>
      </c>
      <c r="C3205" t="s">
        <v>51</v>
      </c>
      <c r="D3205">
        <v>1</v>
      </c>
      <c r="E3205">
        <v>76</v>
      </c>
      <c r="F3205">
        <v>0.06</v>
      </c>
      <c r="G3205">
        <f t="shared" si="37"/>
        <v>0.02</v>
      </c>
      <c r="H3205">
        <f>G3205*(26.79/38.29)</f>
        <v>1.3993209715330373E-2</v>
      </c>
    </row>
    <row r="3206" spans="1:8" x14ac:dyDescent="0.25">
      <c r="A3206" s="1">
        <v>2008</v>
      </c>
      <c r="B3206" s="1" t="s">
        <v>99</v>
      </c>
      <c r="C3206" t="s">
        <v>51</v>
      </c>
      <c r="D3206">
        <v>1</v>
      </c>
      <c r="E3206">
        <v>76</v>
      </c>
      <c r="F3206">
        <v>0.23</v>
      </c>
      <c r="G3206">
        <f t="shared" si="37"/>
        <v>7.6666666666666675E-2</v>
      </c>
      <c r="H3206">
        <f>G3206*(26.79/38.29)</f>
        <v>5.3640637242099769E-2</v>
      </c>
    </row>
    <row r="3207" spans="1:8" x14ac:dyDescent="0.25">
      <c r="A3207" s="1">
        <v>2008</v>
      </c>
      <c r="B3207" s="1" t="s">
        <v>99</v>
      </c>
      <c r="C3207" t="s">
        <v>51</v>
      </c>
      <c r="D3207">
        <v>1</v>
      </c>
      <c r="E3207">
        <v>76</v>
      </c>
      <c r="F3207">
        <v>0.46</v>
      </c>
      <c r="G3207">
        <f t="shared" si="37"/>
        <v>0.15333333333333335</v>
      </c>
      <c r="H3207">
        <f>G3207*(26.79/38.29)</f>
        <v>0.10728127448419954</v>
      </c>
    </row>
    <row r="3208" spans="1:8" x14ac:dyDescent="0.25">
      <c r="A3208" s="1">
        <v>2008</v>
      </c>
      <c r="B3208" s="1" t="s">
        <v>99</v>
      </c>
      <c r="C3208" t="s">
        <v>51</v>
      </c>
      <c r="D3208">
        <v>1</v>
      </c>
      <c r="E3208">
        <v>76</v>
      </c>
      <c r="F3208">
        <v>1.31</v>
      </c>
      <c r="G3208">
        <f t="shared" si="37"/>
        <v>0.4366666666666667</v>
      </c>
      <c r="H3208">
        <f>G3208*(26.79/38.29)</f>
        <v>0.30551841211804648</v>
      </c>
    </row>
    <row r="3209" spans="1:8" x14ac:dyDescent="0.25">
      <c r="A3209" s="1">
        <v>2008</v>
      </c>
      <c r="B3209" s="1" t="s">
        <v>99</v>
      </c>
      <c r="C3209" t="s">
        <v>51</v>
      </c>
      <c r="D3209">
        <v>1</v>
      </c>
      <c r="E3209">
        <v>76</v>
      </c>
      <c r="F3209">
        <v>0.18</v>
      </c>
      <c r="G3209">
        <f t="shared" si="37"/>
        <v>0.06</v>
      </c>
      <c r="H3209">
        <f>G3209*(26.79/38.29)</f>
        <v>4.1979629145991113E-2</v>
      </c>
    </row>
    <row r="3210" spans="1:8" x14ac:dyDescent="0.25">
      <c r="A3210" s="1">
        <v>2008</v>
      </c>
      <c r="B3210" s="1" t="s">
        <v>99</v>
      </c>
      <c r="C3210" t="s">
        <v>51</v>
      </c>
      <c r="D3210">
        <v>1</v>
      </c>
      <c r="E3210">
        <v>76</v>
      </c>
      <c r="F3210">
        <v>7.0000000000000007E-2</v>
      </c>
      <c r="G3210">
        <f t="shared" si="37"/>
        <v>2.3333333333333338E-2</v>
      </c>
      <c r="H3210">
        <f>G3210*(26.79/38.29)</f>
        <v>1.6325411334552103E-2</v>
      </c>
    </row>
    <row r="3211" spans="1:8" x14ac:dyDescent="0.25">
      <c r="A3211" s="1">
        <v>2008</v>
      </c>
      <c r="B3211" s="1" t="s">
        <v>99</v>
      </c>
      <c r="C3211" t="s">
        <v>51</v>
      </c>
      <c r="D3211">
        <v>1</v>
      </c>
      <c r="E3211">
        <v>76</v>
      </c>
      <c r="F3211">
        <v>0.15</v>
      </c>
      <c r="G3211">
        <f t="shared" si="37"/>
        <v>0.05</v>
      </c>
      <c r="H3211">
        <f>G3211*(26.79/38.29)</f>
        <v>3.4983024288325934E-2</v>
      </c>
    </row>
    <row r="3212" spans="1:8" x14ac:dyDescent="0.25">
      <c r="A3212" s="1">
        <v>2008</v>
      </c>
      <c r="B3212" s="1" t="s">
        <v>99</v>
      </c>
      <c r="C3212" t="s">
        <v>51</v>
      </c>
      <c r="D3212">
        <v>1</v>
      </c>
      <c r="E3212">
        <v>76</v>
      </c>
      <c r="F3212">
        <v>0.16</v>
      </c>
      <c r="G3212">
        <f t="shared" si="37"/>
        <v>5.333333333333333E-2</v>
      </c>
      <c r="H3212">
        <f>G3212*(26.79/38.29)</f>
        <v>3.7315225907547656E-2</v>
      </c>
    </row>
    <row r="3213" spans="1:8" x14ac:dyDescent="0.25">
      <c r="A3213" s="1">
        <v>2008</v>
      </c>
      <c r="B3213" s="1" t="s">
        <v>99</v>
      </c>
      <c r="C3213" t="s">
        <v>51</v>
      </c>
      <c r="D3213">
        <v>1</v>
      </c>
      <c r="E3213">
        <v>78</v>
      </c>
      <c r="F3213">
        <v>0.04</v>
      </c>
      <c r="G3213">
        <f t="shared" si="37"/>
        <v>1.3333333333333332E-2</v>
      </c>
      <c r="H3213">
        <f>G3213*(26.79/38.29)</f>
        <v>9.3288064768869139E-3</v>
      </c>
    </row>
    <row r="3214" spans="1:8" x14ac:dyDescent="0.25">
      <c r="A3214" s="1">
        <v>2008</v>
      </c>
      <c r="B3214" s="1" t="s">
        <v>99</v>
      </c>
      <c r="C3214" t="s">
        <v>51</v>
      </c>
      <c r="D3214">
        <v>1</v>
      </c>
      <c r="E3214">
        <v>78</v>
      </c>
      <c r="F3214">
        <v>0.05</v>
      </c>
      <c r="G3214">
        <f t="shared" ref="G3214:G3277" si="38">(F3214/0.6)/5</f>
        <v>1.666666666666667E-2</v>
      </c>
      <c r="H3214">
        <f>G3214*(26.79/38.29)</f>
        <v>1.1661008096108646E-2</v>
      </c>
    </row>
    <row r="3215" spans="1:8" x14ac:dyDescent="0.25">
      <c r="A3215" s="1">
        <v>2008</v>
      </c>
      <c r="B3215" s="1" t="s">
        <v>99</v>
      </c>
      <c r="C3215" t="s">
        <v>51</v>
      </c>
      <c r="D3215">
        <v>1</v>
      </c>
      <c r="E3215">
        <v>78</v>
      </c>
      <c r="F3215">
        <v>0.08</v>
      </c>
      <c r="G3215">
        <f t="shared" si="38"/>
        <v>2.6666666666666665E-2</v>
      </c>
      <c r="H3215">
        <f>G3215*(26.79/38.29)</f>
        <v>1.8657612953773828E-2</v>
      </c>
    </row>
    <row r="3216" spans="1:8" x14ac:dyDescent="0.25">
      <c r="A3216" s="1">
        <v>2008</v>
      </c>
      <c r="B3216" s="1" t="s">
        <v>99</v>
      </c>
      <c r="C3216" t="s">
        <v>51</v>
      </c>
      <c r="D3216">
        <v>1</v>
      </c>
      <c r="E3216">
        <v>78</v>
      </c>
      <c r="F3216">
        <v>0.05</v>
      </c>
      <c r="G3216">
        <f t="shared" si="38"/>
        <v>1.666666666666667E-2</v>
      </c>
      <c r="H3216">
        <f>G3216*(26.79/38.29)</f>
        <v>1.1661008096108646E-2</v>
      </c>
    </row>
    <row r="3217" spans="1:8" x14ac:dyDescent="0.25">
      <c r="A3217" s="1">
        <v>2008</v>
      </c>
      <c r="B3217" s="1" t="s">
        <v>99</v>
      </c>
      <c r="C3217" t="s">
        <v>51</v>
      </c>
      <c r="D3217">
        <v>1</v>
      </c>
      <c r="E3217">
        <v>78</v>
      </c>
      <c r="F3217">
        <v>7.0000000000000007E-2</v>
      </c>
      <c r="G3217">
        <f t="shared" si="38"/>
        <v>2.3333333333333338E-2</v>
      </c>
      <c r="H3217">
        <f>G3217*(26.79/38.29)</f>
        <v>1.6325411334552103E-2</v>
      </c>
    </row>
    <row r="3218" spans="1:8" x14ac:dyDescent="0.25">
      <c r="A3218" s="1">
        <v>2008</v>
      </c>
      <c r="B3218" s="1" t="s">
        <v>99</v>
      </c>
      <c r="C3218" t="s">
        <v>51</v>
      </c>
      <c r="D3218">
        <v>1</v>
      </c>
      <c r="E3218">
        <v>78</v>
      </c>
      <c r="F3218">
        <v>0.03</v>
      </c>
      <c r="G3218">
        <f t="shared" si="38"/>
        <v>0.01</v>
      </c>
      <c r="H3218">
        <f>G3218*(26.79/38.29)</f>
        <v>6.9966048576651863E-3</v>
      </c>
    </row>
    <row r="3219" spans="1:8" x14ac:dyDescent="0.25">
      <c r="A3219" s="1">
        <v>2008</v>
      </c>
      <c r="B3219" s="1" t="s">
        <v>99</v>
      </c>
      <c r="C3219" t="s">
        <v>51</v>
      </c>
      <c r="D3219">
        <v>1</v>
      </c>
      <c r="E3219">
        <v>78</v>
      </c>
      <c r="F3219">
        <v>0.05</v>
      </c>
      <c r="G3219">
        <f t="shared" si="38"/>
        <v>1.666666666666667E-2</v>
      </c>
      <c r="H3219">
        <f>G3219*(26.79/38.29)</f>
        <v>1.1661008096108646E-2</v>
      </c>
    </row>
    <row r="3220" spans="1:8" x14ac:dyDescent="0.25">
      <c r="A3220" s="1">
        <v>2008</v>
      </c>
      <c r="B3220" s="1" t="s">
        <v>99</v>
      </c>
      <c r="C3220" t="s">
        <v>51</v>
      </c>
      <c r="D3220">
        <v>1</v>
      </c>
      <c r="E3220">
        <v>78</v>
      </c>
      <c r="F3220">
        <v>0.11</v>
      </c>
      <c r="G3220">
        <f t="shared" si="38"/>
        <v>3.6666666666666667E-2</v>
      </c>
      <c r="H3220">
        <f>G3220*(26.79/38.29)</f>
        <v>2.5654217811439017E-2</v>
      </c>
    </row>
    <row r="3221" spans="1:8" x14ac:dyDescent="0.25">
      <c r="A3221" s="1">
        <v>2008</v>
      </c>
      <c r="B3221" s="1" t="s">
        <v>99</v>
      </c>
      <c r="C3221" t="s">
        <v>51</v>
      </c>
      <c r="D3221">
        <v>1</v>
      </c>
      <c r="E3221">
        <v>78</v>
      </c>
      <c r="F3221">
        <v>0.06</v>
      </c>
      <c r="G3221">
        <f t="shared" si="38"/>
        <v>0.02</v>
      </c>
      <c r="H3221">
        <f>G3221*(26.79/38.29)</f>
        <v>1.3993209715330373E-2</v>
      </c>
    </row>
    <row r="3222" spans="1:8" x14ac:dyDescent="0.25">
      <c r="A3222" s="1">
        <v>2008</v>
      </c>
      <c r="B3222" s="1" t="s">
        <v>99</v>
      </c>
      <c r="C3222" t="s">
        <v>51</v>
      </c>
      <c r="D3222">
        <v>1</v>
      </c>
      <c r="E3222">
        <v>78</v>
      </c>
      <c r="F3222">
        <v>0.05</v>
      </c>
      <c r="G3222">
        <f t="shared" si="38"/>
        <v>1.666666666666667E-2</v>
      </c>
      <c r="H3222">
        <f>G3222*(26.79/38.29)</f>
        <v>1.1661008096108646E-2</v>
      </c>
    </row>
    <row r="3223" spans="1:8" x14ac:dyDescent="0.25">
      <c r="A3223" s="1">
        <v>2008</v>
      </c>
      <c r="B3223" s="1" t="s">
        <v>99</v>
      </c>
      <c r="C3223" t="s">
        <v>51</v>
      </c>
      <c r="D3223">
        <v>1</v>
      </c>
      <c r="E3223">
        <v>78</v>
      </c>
      <c r="F3223">
        <v>0.04</v>
      </c>
      <c r="G3223">
        <f t="shared" si="38"/>
        <v>1.3333333333333332E-2</v>
      </c>
      <c r="H3223">
        <f>G3223*(26.79/38.29)</f>
        <v>9.3288064768869139E-3</v>
      </c>
    </row>
    <row r="3224" spans="1:8" x14ac:dyDescent="0.25">
      <c r="A3224" s="1">
        <v>2008</v>
      </c>
      <c r="B3224" s="1" t="s">
        <v>99</v>
      </c>
      <c r="C3224" t="s">
        <v>51</v>
      </c>
      <c r="D3224">
        <v>1</v>
      </c>
      <c r="E3224">
        <v>78</v>
      </c>
      <c r="F3224">
        <v>0.03</v>
      </c>
      <c r="G3224">
        <f t="shared" si="38"/>
        <v>0.01</v>
      </c>
      <c r="H3224">
        <f>G3224*(26.79/38.29)</f>
        <v>6.9966048576651863E-3</v>
      </c>
    </row>
    <row r="3225" spans="1:8" x14ac:dyDescent="0.25">
      <c r="A3225" s="1">
        <v>2008</v>
      </c>
      <c r="B3225" s="1" t="s">
        <v>99</v>
      </c>
      <c r="C3225" t="s">
        <v>51</v>
      </c>
      <c r="D3225">
        <v>1</v>
      </c>
      <c r="E3225">
        <v>78</v>
      </c>
      <c r="F3225">
        <v>0.05</v>
      </c>
      <c r="G3225">
        <f t="shared" si="38"/>
        <v>1.666666666666667E-2</v>
      </c>
      <c r="H3225">
        <f>G3225*(26.79/38.29)</f>
        <v>1.1661008096108646E-2</v>
      </c>
    </row>
    <row r="3226" spans="1:8" x14ac:dyDescent="0.25">
      <c r="A3226" s="1">
        <v>2008</v>
      </c>
      <c r="B3226" s="1" t="s">
        <v>99</v>
      </c>
      <c r="C3226" t="s">
        <v>51</v>
      </c>
      <c r="D3226">
        <v>1</v>
      </c>
      <c r="E3226">
        <v>79</v>
      </c>
      <c r="F3226">
        <v>0.8</v>
      </c>
      <c r="G3226">
        <f t="shared" si="38"/>
        <v>0.26666666666666672</v>
      </c>
      <c r="H3226">
        <f>G3226*(26.79/38.29)</f>
        <v>0.18657612953773833</v>
      </c>
    </row>
    <row r="3227" spans="1:8" x14ac:dyDescent="0.25">
      <c r="A3227" s="1">
        <v>2008</v>
      </c>
      <c r="B3227" s="1" t="s">
        <v>99</v>
      </c>
      <c r="C3227" t="s">
        <v>51</v>
      </c>
      <c r="D3227">
        <v>1</v>
      </c>
      <c r="E3227">
        <v>79</v>
      </c>
      <c r="F3227">
        <v>0.18</v>
      </c>
      <c r="G3227">
        <f t="shared" si="38"/>
        <v>0.06</v>
      </c>
      <c r="H3227">
        <f>G3227*(26.79/38.29)</f>
        <v>4.1979629145991113E-2</v>
      </c>
    </row>
    <row r="3228" spans="1:8" x14ac:dyDescent="0.25">
      <c r="A3228" s="1">
        <v>2008</v>
      </c>
      <c r="B3228" s="1" t="s">
        <v>99</v>
      </c>
      <c r="C3228" t="s">
        <v>51</v>
      </c>
      <c r="D3228">
        <v>1</v>
      </c>
      <c r="E3228">
        <v>79</v>
      </c>
      <c r="F3228">
        <v>0.66</v>
      </c>
      <c r="G3228">
        <f t="shared" si="38"/>
        <v>0.22000000000000003</v>
      </c>
      <c r="H3228">
        <f>G3228*(26.79/38.29)</f>
        <v>0.15392530686863412</v>
      </c>
    </row>
    <row r="3229" spans="1:8" x14ac:dyDescent="0.25">
      <c r="A3229" s="1">
        <v>2008</v>
      </c>
      <c r="B3229" s="1" t="s">
        <v>99</v>
      </c>
      <c r="C3229" t="s">
        <v>51</v>
      </c>
      <c r="D3229">
        <v>1</v>
      </c>
      <c r="E3229">
        <v>79</v>
      </c>
      <c r="F3229">
        <v>0.23</v>
      </c>
      <c r="G3229">
        <f t="shared" si="38"/>
        <v>7.6666666666666675E-2</v>
      </c>
      <c r="H3229">
        <f>G3229*(26.79/38.29)</f>
        <v>5.3640637242099769E-2</v>
      </c>
    </row>
    <row r="3230" spans="1:8" x14ac:dyDescent="0.25">
      <c r="A3230" s="1">
        <v>2008</v>
      </c>
      <c r="B3230" s="1" t="s">
        <v>99</v>
      </c>
      <c r="C3230" t="s">
        <v>51</v>
      </c>
      <c r="D3230">
        <v>1</v>
      </c>
      <c r="E3230">
        <v>79</v>
      </c>
      <c r="F3230">
        <v>1.36</v>
      </c>
      <c r="G3230">
        <f t="shared" si="38"/>
        <v>0.45333333333333342</v>
      </c>
      <c r="H3230">
        <f>G3230*(26.79/38.29)</f>
        <v>0.31717942021415518</v>
      </c>
    </row>
    <row r="3231" spans="1:8" x14ac:dyDescent="0.25">
      <c r="A3231" s="1">
        <v>2008</v>
      </c>
      <c r="B3231" s="1" t="s">
        <v>99</v>
      </c>
      <c r="C3231" t="s">
        <v>51</v>
      </c>
      <c r="D3231">
        <v>1</v>
      </c>
      <c r="E3231">
        <v>79</v>
      </c>
      <c r="F3231">
        <v>1.4</v>
      </c>
      <c r="G3231">
        <f t="shared" si="38"/>
        <v>0.46666666666666667</v>
      </c>
      <c r="H3231">
        <f>G3231*(26.79/38.29)</f>
        <v>0.32650822669104201</v>
      </c>
    </row>
    <row r="3232" spans="1:8" x14ac:dyDescent="0.25">
      <c r="A3232" s="1">
        <v>2008</v>
      </c>
      <c r="B3232" s="1" t="s">
        <v>99</v>
      </c>
      <c r="C3232" t="s">
        <v>51</v>
      </c>
      <c r="D3232">
        <v>1</v>
      </c>
      <c r="E3232">
        <v>79</v>
      </c>
      <c r="F3232">
        <v>0.23</v>
      </c>
      <c r="G3232">
        <f t="shared" si="38"/>
        <v>7.6666666666666675E-2</v>
      </c>
      <c r="H3232">
        <f>G3232*(26.79/38.29)</f>
        <v>5.3640637242099769E-2</v>
      </c>
    </row>
    <row r="3233" spans="1:8" x14ac:dyDescent="0.25">
      <c r="A3233" s="1">
        <v>2008</v>
      </c>
      <c r="B3233" s="1" t="s">
        <v>99</v>
      </c>
      <c r="C3233" t="s">
        <v>51</v>
      </c>
      <c r="D3233">
        <v>1</v>
      </c>
      <c r="E3233">
        <v>79</v>
      </c>
      <c r="F3233">
        <v>0.4</v>
      </c>
      <c r="G3233">
        <f t="shared" si="38"/>
        <v>0.13333333333333336</v>
      </c>
      <c r="H3233">
        <f>G3233*(26.79/38.29)</f>
        <v>9.3288064768869167E-2</v>
      </c>
    </row>
    <row r="3234" spans="1:8" x14ac:dyDescent="0.25">
      <c r="A3234" s="1">
        <v>2008</v>
      </c>
      <c r="B3234" s="1" t="s">
        <v>99</v>
      </c>
      <c r="C3234" t="s">
        <v>51</v>
      </c>
      <c r="D3234">
        <v>1</v>
      </c>
      <c r="E3234">
        <v>79</v>
      </c>
      <c r="F3234">
        <v>0.37</v>
      </c>
      <c r="G3234">
        <f t="shared" si="38"/>
        <v>0.12333333333333334</v>
      </c>
      <c r="H3234">
        <f>G3234*(26.79/38.29)</f>
        <v>8.629145991120396E-2</v>
      </c>
    </row>
    <row r="3235" spans="1:8" x14ac:dyDescent="0.25">
      <c r="A3235" s="1">
        <v>2008</v>
      </c>
      <c r="B3235" s="1" t="s">
        <v>99</v>
      </c>
      <c r="C3235" t="s">
        <v>51</v>
      </c>
      <c r="D3235">
        <v>1</v>
      </c>
      <c r="E3235">
        <v>79</v>
      </c>
      <c r="F3235">
        <v>0.15</v>
      </c>
      <c r="G3235">
        <f t="shared" si="38"/>
        <v>0.05</v>
      </c>
      <c r="H3235">
        <f>G3235*(26.79/38.29)</f>
        <v>3.4983024288325934E-2</v>
      </c>
    </row>
    <row r="3236" spans="1:8" x14ac:dyDescent="0.25">
      <c r="A3236" s="1">
        <v>2008</v>
      </c>
      <c r="B3236" s="1" t="s">
        <v>99</v>
      </c>
      <c r="C3236" t="s">
        <v>51</v>
      </c>
      <c r="D3236">
        <v>1</v>
      </c>
      <c r="E3236">
        <v>79</v>
      </c>
      <c r="F3236">
        <v>1.33</v>
      </c>
      <c r="G3236">
        <f t="shared" si="38"/>
        <v>0.44333333333333336</v>
      </c>
      <c r="H3236">
        <f>G3236*(26.79/38.29)</f>
        <v>0.31018281535648995</v>
      </c>
    </row>
    <row r="3237" spans="1:8" x14ac:dyDescent="0.25">
      <c r="A3237" s="1">
        <v>2008</v>
      </c>
      <c r="B3237" s="1" t="s">
        <v>99</v>
      </c>
      <c r="C3237" t="s">
        <v>51</v>
      </c>
      <c r="D3237">
        <v>1</v>
      </c>
      <c r="E3237">
        <v>79</v>
      </c>
      <c r="F3237">
        <v>0.37</v>
      </c>
      <c r="G3237">
        <f t="shared" si="38"/>
        <v>0.12333333333333334</v>
      </c>
      <c r="H3237">
        <f>G3237*(26.79/38.29)</f>
        <v>8.629145991120396E-2</v>
      </c>
    </row>
    <row r="3238" spans="1:8" x14ac:dyDescent="0.25">
      <c r="A3238" s="1">
        <v>2008</v>
      </c>
      <c r="B3238" s="1" t="s">
        <v>99</v>
      </c>
      <c r="C3238" t="s">
        <v>51</v>
      </c>
      <c r="D3238">
        <v>1</v>
      </c>
      <c r="E3238">
        <v>79</v>
      </c>
      <c r="F3238">
        <v>0.56000000000000005</v>
      </c>
      <c r="G3238">
        <f t="shared" si="38"/>
        <v>0.1866666666666667</v>
      </c>
      <c r="H3238">
        <f>G3238*(26.79/38.29)</f>
        <v>0.13060329067641682</v>
      </c>
    </row>
    <row r="3239" spans="1:8" x14ac:dyDescent="0.25">
      <c r="A3239" s="1">
        <v>2008</v>
      </c>
      <c r="B3239" s="1" t="s">
        <v>99</v>
      </c>
      <c r="C3239" t="s">
        <v>51</v>
      </c>
      <c r="D3239">
        <v>1</v>
      </c>
      <c r="E3239">
        <v>79</v>
      </c>
      <c r="F3239">
        <v>0.99</v>
      </c>
      <c r="G3239">
        <f t="shared" si="38"/>
        <v>0.33</v>
      </c>
      <c r="H3239">
        <f>G3239*(26.79/38.29)</f>
        <v>0.23088796030295117</v>
      </c>
    </row>
    <row r="3240" spans="1:8" x14ac:dyDescent="0.25">
      <c r="A3240" s="1">
        <v>2008</v>
      </c>
      <c r="B3240" s="1" t="s">
        <v>99</v>
      </c>
      <c r="C3240" t="s">
        <v>51</v>
      </c>
      <c r="D3240">
        <v>1</v>
      </c>
      <c r="E3240">
        <v>79</v>
      </c>
      <c r="F3240">
        <v>1.19</v>
      </c>
      <c r="G3240">
        <f t="shared" si="38"/>
        <v>0.39666666666666667</v>
      </c>
      <c r="H3240">
        <f>G3240*(26.79/38.29)</f>
        <v>0.27753199268738571</v>
      </c>
    </row>
    <row r="3241" spans="1:8" x14ac:dyDescent="0.25">
      <c r="A3241" s="1">
        <v>2008</v>
      </c>
      <c r="B3241" s="1" t="s">
        <v>99</v>
      </c>
      <c r="C3241" t="s">
        <v>51</v>
      </c>
      <c r="D3241">
        <v>1</v>
      </c>
      <c r="E3241">
        <v>79</v>
      </c>
      <c r="F3241">
        <v>0.24</v>
      </c>
      <c r="G3241">
        <f t="shared" si="38"/>
        <v>0.08</v>
      </c>
      <c r="H3241">
        <f>G3241*(26.79/38.29)</f>
        <v>5.597283886132149E-2</v>
      </c>
    </row>
    <row r="3242" spans="1:8" x14ac:dyDescent="0.25">
      <c r="A3242" s="1">
        <v>2008</v>
      </c>
      <c r="B3242" s="1" t="s">
        <v>99</v>
      </c>
      <c r="C3242" t="s">
        <v>51</v>
      </c>
      <c r="D3242">
        <v>1</v>
      </c>
      <c r="E3242">
        <v>79</v>
      </c>
      <c r="F3242">
        <v>1.87</v>
      </c>
      <c r="G3242">
        <f t="shared" si="38"/>
        <v>0.62333333333333341</v>
      </c>
      <c r="H3242">
        <f>G3242*(26.79/38.29)</f>
        <v>0.43612170279446333</v>
      </c>
    </row>
    <row r="3243" spans="1:8" x14ac:dyDescent="0.25">
      <c r="A3243" s="1">
        <v>2008</v>
      </c>
      <c r="B3243" s="1" t="s">
        <v>99</v>
      </c>
      <c r="C3243" t="s">
        <v>51</v>
      </c>
      <c r="D3243">
        <v>1</v>
      </c>
      <c r="E3243">
        <v>79</v>
      </c>
      <c r="F3243">
        <v>0.09</v>
      </c>
      <c r="G3243">
        <f t="shared" si="38"/>
        <v>0.03</v>
      </c>
      <c r="H3243">
        <f>G3243*(26.79/38.29)</f>
        <v>2.0989814572995556E-2</v>
      </c>
    </row>
    <row r="3244" spans="1:8" x14ac:dyDescent="0.25">
      <c r="A3244" s="1">
        <v>2008</v>
      </c>
      <c r="B3244" s="1" t="s">
        <v>99</v>
      </c>
      <c r="C3244" t="s">
        <v>51</v>
      </c>
      <c r="D3244">
        <v>1</v>
      </c>
      <c r="E3244">
        <v>79</v>
      </c>
      <c r="F3244">
        <v>1.1499999999999999</v>
      </c>
      <c r="G3244">
        <f t="shared" si="38"/>
        <v>0.3833333333333333</v>
      </c>
      <c r="H3244">
        <f>G3244*(26.79/38.29)</f>
        <v>0.26820318621049877</v>
      </c>
    </row>
    <row r="3245" spans="1:8" x14ac:dyDescent="0.25">
      <c r="A3245" s="1">
        <v>2008</v>
      </c>
      <c r="B3245" s="1" t="s">
        <v>99</v>
      </c>
      <c r="C3245" t="s">
        <v>51</v>
      </c>
      <c r="D3245">
        <v>1</v>
      </c>
      <c r="E3245">
        <v>79</v>
      </c>
      <c r="F3245">
        <v>0.72</v>
      </c>
      <c r="G3245">
        <f t="shared" si="38"/>
        <v>0.24</v>
      </c>
      <c r="H3245">
        <f>G3245*(26.79/38.29)</f>
        <v>0.16791851658396445</v>
      </c>
    </row>
    <row r="3246" spans="1:8" x14ac:dyDescent="0.25">
      <c r="A3246" s="1">
        <v>2008</v>
      </c>
      <c r="B3246" s="1" t="s">
        <v>99</v>
      </c>
      <c r="C3246" t="s">
        <v>51</v>
      </c>
      <c r="D3246">
        <v>1</v>
      </c>
      <c r="E3246">
        <v>91</v>
      </c>
      <c r="F3246">
        <v>0.34</v>
      </c>
      <c r="G3246">
        <f t="shared" si="38"/>
        <v>0.11333333333333336</v>
      </c>
      <c r="H3246">
        <f>G3246*(26.79/38.29)</f>
        <v>7.9294855053538796E-2</v>
      </c>
    </row>
    <row r="3247" spans="1:8" x14ac:dyDescent="0.25">
      <c r="A3247" s="1">
        <v>2008</v>
      </c>
      <c r="B3247" s="1" t="s">
        <v>99</v>
      </c>
      <c r="C3247" t="s">
        <v>51</v>
      </c>
      <c r="D3247">
        <v>1</v>
      </c>
      <c r="E3247">
        <v>91</v>
      </c>
      <c r="F3247">
        <v>1.71</v>
      </c>
      <c r="G3247">
        <f t="shared" si="38"/>
        <v>0.57000000000000006</v>
      </c>
      <c r="H3247">
        <f>G3247*(26.79/38.29)</f>
        <v>0.39880647688691567</v>
      </c>
    </row>
    <row r="3248" spans="1:8" x14ac:dyDescent="0.25">
      <c r="A3248" s="1">
        <v>2008</v>
      </c>
      <c r="B3248" s="1" t="s">
        <v>99</v>
      </c>
      <c r="C3248" t="s">
        <v>51</v>
      </c>
      <c r="D3248">
        <v>2</v>
      </c>
      <c r="E3248">
        <v>29</v>
      </c>
      <c r="F3248">
        <v>0.08</v>
      </c>
      <c r="G3248">
        <f t="shared" si="38"/>
        <v>2.6666666666666665E-2</v>
      </c>
      <c r="H3248">
        <f>G3248*(26.79/38.29)</f>
        <v>1.8657612953773828E-2</v>
      </c>
    </row>
    <row r="3249" spans="1:8" x14ac:dyDescent="0.25">
      <c r="A3249" s="1">
        <v>2008</v>
      </c>
      <c r="B3249" s="1" t="s">
        <v>99</v>
      </c>
      <c r="C3249" t="s">
        <v>51</v>
      </c>
      <c r="D3249">
        <v>2</v>
      </c>
      <c r="E3249">
        <v>29</v>
      </c>
      <c r="F3249">
        <v>0.85</v>
      </c>
      <c r="G3249">
        <f t="shared" si="38"/>
        <v>0.28333333333333333</v>
      </c>
      <c r="H3249">
        <f>G3249*(26.79/38.29)</f>
        <v>0.19823713763384693</v>
      </c>
    </row>
    <row r="3250" spans="1:8" x14ac:dyDescent="0.25">
      <c r="A3250" s="1">
        <v>2008</v>
      </c>
      <c r="B3250" s="1" t="s">
        <v>99</v>
      </c>
      <c r="C3250" t="s">
        <v>51</v>
      </c>
      <c r="D3250">
        <v>2</v>
      </c>
      <c r="E3250">
        <v>29</v>
      </c>
      <c r="F3250">
        <v>0.05</v>
      </c>
      <c r="G3250">
        <f t="shared" si="38"/>
        <v>1.666666666666667E-2</v>
      </c>
      <c r="H3250">
        <f>G3250*(26.79/38.29)</f>
        <v>1.1661008096108646E-2</v>
      </c>
    </row>
    <row r="3251" spans="1:8" x14ac:dyDescent="0.25">
      <c r="A3251" s="1">
        <v>2008</v>
      </c>
      <c r="B3251" s="1" t="s">
        <v>99</v>
      </c>
      <c r="C3251" t="s">
        <v>51</v>
      </c>
      <c r="D3251">
        <v>2</v>
      </c>
      <c r="E3251">
        <v>29</v>
      </c>
      <c r="F3251">
        <v>0.1</v>
      </c>
      <c r="G3251">
        <f t="shared" si="38"/>
        <v>3.333333333333334E-2</v>
      </c>
      <c r="H3251">
        <f>G3251*(26.79/38.29)</f>
        <v>2.3322016192217292E-2</v>
      </c>
    </row>
    <row r="3252" spans="1:8" x14ac:dyDescent="0.25">
      <c r="A3252" s="1">
        <v>2008</v>
      </c>
      <c r="B3252" s="1" t="s">
        <v>99</v>
      </c>
      <c r="C3252" t="s">
        <v>51</v>
      </c>
      <c r="D3252">
        <v>2</v>
      </c>
      <c r="E3252">
        <v>29</v>
      </c>
      <c r="F3252">
        <v>1.23</v>
      </c>
      <c r="G3252">
        <f t="shared" si="38"/>
        <v>0.41000000000000003</v>
      </c>
      <c r="H3252">
        <f>G3252*(26.79/38.29)</f>
        <v>0.28686079916427265</v>
      </c>
    </row>
    <row r="3253" spans="1:8" x14ac:dyDescent="0.25">
      <c r="A3253" s="1">
        <v>2008</v>
      </c>
      <c r="B3253" s="1" t="s">
        <v>99</v>
      </c>
      <c r="C3253" t="s">
        <v>51</v>
      </c>
      <c r="D3253">
        <v>2</v>
      </c>
      <c r="E3253">
        <v>29</v>
      </c>
      <c r="F3253">
        <v>0.27</v>
      </c>
      <c r="G3253">
        <f t="shared" si="38"/>
        <v>9.0000000000000011E-2</v>
      </c>
      <c r="H3253">
        <f>G3253*(26.79/38.29)</f>
        <v>6.296944371898669E-2</v>
      </c>
    </row>
    <row r="3254" spans="1:8" x14ac:dyDescent="0.25">
      <c r="A3254" s="1">
        <v>2008</v>
      </c>
      <c r="B3254" s="1" t="s">
        <v>99</v>
      </c>
      <c r="C3254" t="s">
        <v>51</v>
      </c>
      <c r="D3254">
        <v>2</v>
      </c>
      <c r="E3254">
        <v>29</v>
      </c>
      <c r="F3254">
        <v>0.03</v>
      </c>
      <c r="G3254">
        <f t="shared" si="38"/>
        <v>0.01</v>
      </c>
      <c r="H3254">
        <f>G3254*(26.79/38.29)</f>
        <v>6.9966048576651863E-3</v>
      </c>
    </row>
    <row r="3255" spans="1:8" x14ac:dyDescent="0.25">
      <c r="A3255" s="1">
        <v>2008</v>
      </c>
      <c r="B3255" s="1" t="s">
        <v>99</v>
      </c>
      <c r="C3255" t="s">
        <v>51</v>
      </c>
      <c r="D3255">
        <v>2</v>
      </c>
      <c r="E3255">
        <v>29</v>
      </c>
      <c r="F3255">
        <v>0.04</v>
      </c>
      <c r="G3255">
        <f t="shared" si="38"/>
        <v>1.3333333333333332E-2</v>
      </c>
      <c r="H3255">
        <f>G3255*(26.79/38.29)</f>
        <v>9.3288064768869139E-3</v>
      </c>
    </row>
    <row r="3256" spans="1:8" x14ac:dyDescent="0.25">
      <c r="A3256" s="1">
        <v>2008</v>
      </c>
      <c r="B3256" s="1" t="s">
        <v>99</v>
      </c>
      <c r="C3256" t="s">
        <v>51</v>
      </c>
      <c r="D3256">
        <v>2</v>
      </c>
      <c r="E3256">
        <v>29</v>
      </c>
      <c r="F3256">
        <v>0.05</v>
      </c>
      <c r="G3256">
        <f t="shared" si="38"/>
        <v>1.666666666666667E-2</v>
      </c>
      <c r="H3256">
        <f>G3256*(26.79/38.29)</f>
        <v>1.1661008096108646E-2</v>
      </c>
    </row>
    <row r="3257" spans="1:8" x14ac:dyDescent="0.25">
      <c r="A3257" s="1">
        <v>2008</v>
      </c>
      <c r="B3257" s="1" t="s">
        <v>99</v>
      </c>
      <c r="C3257" t="s">
        <v>51</v>
      </c>
      <c r="D3257">
        <v>2</v>
      </c>
      <c r="E3257">
        <v>29</v>
      </c>
      <c r="F3257">
        <v>0.05</v>
      </c>
      <c r="G3257">
        <f t="shared" si="38"/>
        <v>1.666666666666667E-2</v>
      </c>
      <c r="H3257">
        <f>G3257*(26.79/38.29)</f>
        <v>1.1661008096108646E-2</v>
      </c>
    </row>
    <row r="3258" spans="1:8" x14ac:dyDescent="0.25">
      <c r="A3258" s="1">
        <v>2008</v>
      </c>
      <c r="B3258" s="1" t="s">
        <v>99</v>
      </c>
      <c r="C3258" t="s">
        <v>51</v>
      </c>
      <c r="D3258">
        <v>2</v>
      </c>
      <c r="E3258">
        <v>29</v>
      </c>
      <c r="F3258">
        <v>0.06</v>
      </c>
      <c r="G3258">
        <f t="shared" si="38"/>
        <v>0.02</v>
      </c>
      <c r="H3258">
        <f>G3258*(26.79/38.29)</f>
        <v>1.3993209715330373E-2</v>
      </c>
    </row>
    <row r="3259" spans="1:8" x14ac:dyDescent="0.25">
      <c r="A3259" s="1">
        <v>2008</v>
      </c>
      <c r="B3259" s="1" t="s">
        <v>99</v>
      </c>
      <c r="C3259" t="s">
        <v>51</v>
      </c>
      <c r="D3259">
        <v>2</v>
      </c>
      <c r="E3259">
        <v>29</v>
      </c>
      <c r="F3259">
        <v>0.08</v>
      </c>
      <c r="G3259">
        <f t="shared" si="38"/>
        <v>2.6666666666666665E-2</v>
      </c>
      <c r="H3259">
        <f>G3259*(26.79/38.29)</f>
        <v>1.8657612953773828E-2</v>
      </c>
    </row>
    <row r="3260" spans="1:8" x14ac:dyDescent="0.25">
      <c r="A3260" s="1">
        <v>2008</v>
      </c>
      <c r="B3260" s="1" t="s">
        <v>99</v>
      </c>
      <c r="C3260" t="s">
        <v>51</v>
      </c>
      <c r="D3260">
        <v>2</v>
      </c>
      <c r="E3260">
        <v>29</v>
      </c>
      <c r="F3260">
        <v>0.06</v>
      </c>
      <c r="G3260">
        <f t="shared" si="38"/>
        <v>0.02</v>
      </c>
      <c r="H3260">
        <f>G3260*(26.79/38.29)</f>
        <v>1.3993209715330373E-2</v>
      </c>
    </row>
    <row r="3261" spans="1:8" x14ac:dyDescent="0.25">
      <c r="A3261" s="1">
        <v>2008</v>
      </c>
      <c r="B3261" s="1" t="s">
        <v>99</v>
      </c>
      <c r="C3261" t="s">
        <v>51</v>
      </c>
      <c r="D3261">
        <v>2</v>
      </c>
      <c r="E3261">
        <v>29</v>
      </c>
      <c r="F3261">
        <v>0.04</v>
      </c>
      <c r="G3261">
        <f t="shared" si="38"/>
        <v>1.3333333333333332E-2</v>
      </c>
      <c r="H3261">
        <f>G3261*(26.79/38.29)</f>
        <v>9.3288064768869139E-3</v>
      </c>
    </row>
    <row r="3262" spans="1:8" x14ac:dyDescent="0.25">
      <c r="A3262" s="1">
        <v>2008</v>
      </c>
      <c r="B3262" s="1" t="s">
        <v>99</v>
      </c>
      <c r="C3262" t="s">
        <v>51</v>
      </c>
      <c r="D3262">
        <v>2</v>
      </c>
      <c r="E3262">
        <v>32</v>
      </c>
      <c r="F3262">
        <v>0.06</v>
      </c>
      <c r="G3262">
        <f t="shared" si="38"/>
        <v>0.02</v>
      </c>
      <c r="H3262">
        <f>G3262*(26.79/38.29)</f>
        <v>1.3993209715330373E-2</v>
      </c>
    </row>
    <row r="3263" spans="1:8" x14ac:dyDescent="0.25">
      <c r="A3263" s="1">
        <v>2008</v>
      </c>
      <c r="B3263" s="1" t="s">
        <v>99</v>
      </c>
      <c r="C3263" t="s">
        <v>51</v>
      </c>
      <c r="D3263">
        <v>2</v>
      </c>
      <c r="E3263">
        <v>32</v>
      </c>
      <c r="F3263">
        <v>7.0000000000000007E-2</v>
      </c>
      <c r="G3263">
        <f t="shared" si="38"/>
        <v>2.3333333333333338E-2</v>
      </c>
      <c r="H3263">
        <f>G3263*(26.79/38.29)</f>
        <v>1.6325411334552103E-2</v>
      </c>
    </row>
    <row r="3264" spans="1:8" x14ac:dyDescent="0.25">
      <c r="A3264" s="1">
        <v>2008</v>
      </c>
      <c r="B3264" s="1" t="s">
        <v>99</v>
      </c>
      <c r="C3264" t="s">
        <v>51</v>
      </c>
      <c r="D3264">
        <v>2</v>
      </c>
      <c r="E3264">
        <v>32</v>
      </c>
      <c r="F3264">
        <v>0.05</v>
      </c>
      <c r="G3264">
        <f t="shared" si="38"/>
        <v>1.666666666666667E-2</v>
      </c>
      <c r="H3264">
        <f>G3264*(26.79/38.29)</f>
        <v>1.1661008096108646E-2</v>
      </c>
    </row>
    <row r="3265" spans="1:8" x14ac:dyDescent="0.25">
      <c r="A3265" s="1">
        <v>2008</v>
      </c>
      <c r="B3265" s="1" t="s">
        <v>99</v>
      </c>
      <c r="C3265" t="s">
        <v>51</v>
      </c>
      <c r="D3265">
        <v>2</v>
      </c>
      <c r="E3265">
        <v>32</v>
      </c>
      <c r="F3265">
        <v>0.04</v>
      </c>
      <c r="G3265">
        <f t="shared" si="38"/>
        <v>1.3333333333333332E-2</v>
      </c>
      <c r="H3265">
        <f>G3265*(26.79/38.29)</f>
        <v>9.3288064768869139E-3</v>
      </c>
    </row>
    <row r="3266" spans="1:8" x14ac:dyDescent="0.25">
      <c r="A3266" s="1">
        <v>2008</v>
      </c>
      <c r="B3266" s="1" t="s">
        <v>99</v>
      </c>
      <c r="C3266" t="s">
        <v>51</v>
      </c>
      <c r="D3266">
        <v>2</v>
      </c>
      <c r="E3266">
        <v>32</v>
      </c>
      <c r="F3266">
        <v>0.04</v>
      </c>
      <c r="G3266">
        <f t="shared" si="38"/>
        <v>1.3333333333333332E-2</v>
      </c>
      <c r="H3266">
        <f>G3266*(26.79/38.29)</f>
        <v>9.3288064768869139E-3</v>
      </c>
    </row>
    <row r="3267" spans="1:8" x14ac:dyDescent="0.25">
      <c r="A3267" s="1">
        <v>2008</v>
      </c>
      <c r="B3267" s="1" t="s">
        <v>99</v>
      </c>
      <c r="C3267" t="s">
        <v>51</v>
      </c>
      <c r="D3267">
        <v>2</v>
      </c>
      <c r="E3267">
        <v>32</v>
      </c>
      <c r="F3267">
        <v>0.23</v>
      </c>
      <c r="G3267">
        <f t="shared" si="38"/>
        <v>7.6666666666666675E-2</v>
      </c>
      <c r="H3267">
        <f>G3267*(26.79/38.29)</f>
        <v>5.3640637242099769E-2</v>
      </c>
    </row>
    <row r="3268" spans="1:8" x14ac:dyDescent="0.25">
      <c r="A3268" s="1">
        <v>2008</v>
      </c>
      <c r="B3268" s="1" t="s">
        <v>99</v>
      </c>
      <c r="C3268" t="s">
        <v>51</v>
      </c>
      <c r="D3268">
        <v>2</v>
      </c>
      <c r="E3268">
        <v>32</v>
      </c>
      <c r="F3268">
        <v>0.05</v>
      </c>
      <c r="G3268">
        <f t="shared" si="38"/>
        <v>1.666666666666667E-2</v>
      </c>
      <c r="H3268">
        <f>G3268*(26.79/38.29)</f>
        <v>1.1661008096108646E-2</v>
      </c>
    </row>
    <row r="3269" spans="1:8" x14ac:dyDescent="0.25">
      <c r="A3269" s="1">
        <v>2008</v>
      </c>
      <c r="B3269" s="1" t="s">
        <v>99</v>
      </c>
      <c r="C3269" t="s">
        <v>51</v>
      </c>
      <c r="D3269">
        <v>2</v>
      </c>
      <c r="E3269">
        <v>32</v>
      </c>
      <c r="F3269">
        <v>0.22</v>
      </c>
      <c r="G3269">
        <f t="shared" si="38"/>
        <v>7.3333333333333334E-2</v>
      </c>
      <c r="H3269">
        <f>G3269*(26.79/38.29)</f>
        <v>5.1308435622878033E-2</v>
      </c>
    </row>
    <row r="3270" spans="1:8" x14ac:dyDescent="0.25">
      <c r="A3270" s="1">
        <v>2008</v>
      </c>
      <c r="B3270" s="1" t="s">
        <v>99</v>
      </c>
      <c r="C3270" t="s">
        <v>51</v>
      </c>
      <c r="D3270">
        <v>2</v>
      </c>
      <c r="E3270">
        <v>32</v>
      </c>
      <c r="F3270">
        <v>0.28999999999999998</v>
      </c>
      <c r="G3270">
        <f t="shared" si="38"/>
        <v>9.6666666666666665E-2</v>
      </c>
      <c r="H3270">
        <f>G3270*(26.79/38.29)</f>
        <v>6.7633846957430133E-2</v>
      </c>
    </row>
    <row r="3271" spans="1:8" x14ac:dyDescent="0.25">
      <c r="A3271" s="1">
        <v>2008</v>
      </c>
      <c r="B3271" s="1" t="s">
        <v>99</v>
      </c>
      <c r="C3271" t="s">
        <v>51</v>
      </c>
      <c r="D3271">
        <v>2</v>
      </c>
      <c r="E3271">
        <v>32</v>
      </c>
      <c r="F3271">
        <v>0.22</v>
      </c>
      <c r="G3271">
        <f t="shared" si="38"/>
        <v>7.3333333333333334E-2</v>
      </c>
      <c r="H3271">
        <f>G3271*(26.79/38.29)</f>
        <v>5.1308435622878033E-2</v>
      </c>
    </row>
    <row r="3272" spans="1:8" x14ac:dyDescent="0.25">
      <c r="A3272" s="1">
        <v>2008</v>
      </c>
      <c r="B3272" s="1" t="s">
        <v>99</v>
      </c>
      <c r="C3272" t="s">
        <v>51</v>
      </c>
      <c r="D3272">
        <v>2</v>
      </c>
      <c r="E3272">
        <v>32</v>
      </c>
      <c r="F3272">
        <v>7.0000000000000007E-2</v>
      </c>
      <c r="G3272">
        <f t="shared" si="38"/>
        <v>2.3333333333333338E-2</v>
      </c>
      <c r="H3272">
        <f>G3272*(26.79/38.29)</f>
        <v>1.6325411334552103E-2</v>
      </c>
    </row>
    <row r="3273" spans="1:8" x14ac:dyDescent="0.25">
      <c r="A3273" s="1">
        <v>2008</v>
      </c>
      <c r="B3273" s="1" t="s">
        <v>99</v>
      </c>
      <c r="C3273" t="s">
        <v>51</v>
      </c>
      <c r="D3273">
        <v>2</v>
      </c>
      <c r="E3273">
        <v>32</v>
      </c>
      <c r="F3273">
        <v>7.0000000000000007E-2</v>
      </c>
      <c r="G3273">
        <f t="shared" si="38"/>
        <v>2.3333333333333338E-2</v>
      </c>
      <c r="H3273">
        <f>G3273*(26.79/38.29)</f>
        <v>1.6325411334552103E-2</v>
      </c>
    </row>
    <row r="3274" spans="1:8" x14ac:dyDescent="0.25">
      <c r="A3274" s="1">
        <v>2008</v>
      </c>
      <c r="B3274" s="1" t="s">
        <v>99</v>
      </c>
      <c r="C3274" t="s">
        <v>51</v>
      </c>
      <c r="D3274">
        <v>2</v>
      </c>
      <c r="E3274">
        <v>32</v>
      </c>
      <c r="F3274">
        <v>0.17</v>
      </c>
      <c r="G3274">
        <f t="shared" si="38"/>
        <v>5.6666666666666678E-2</v>
      </c>
      <c r="H3274">
        <f>G3274*(26.79/38.29)</f>
        <v>3.9647427526769398E-2</v>
      </c>
    </row>
    <row r="3275" spans="1:8" x14ac:dyDescent="0.25">
      <c r="A3275" s="1">
        <v>2008</v>
      </c>
      <c r="B3275" s="1" t="s">
        <v>99</v>
      </c>
      <c r="C3275" t="s">
        <v>51</v>
      </c>
      <c r="D3275">
        <v>2</v>
      </c>
      <c r="E3275">
        <v>32</v>
      </c>
      <c r="F3275">
        <v>0.35</v>
      </c>
      <c r="G3275">
        <f t="shared" si="38"/>
        <v>0.11666666666666667</v>
      </c>
      <c r="H3275">
        <f>G3275*(26.79/38.29)</f>
        <v>8.1627056672760503E-2</v>
      </c>
    </row>
    <row r="3276" spans="1:8" x14ac:dyDescent="0.25">
      <c r="A3276" s="1">
        <v>2008</v>
      </c>
      <c r="B3276" s="1" t="s">
        <v>99</v>
      </c>
      <c r="C3276" t="s">
        <v>51</v>
      </c>
      <c r="D3276">
        <v>2</v>
      </c>
      <c r="E3276">
        <v>32</v>
      </c>
      <c r="F3276">
        <v>0.3</v>
      </c>
      <c r="G3276">
        <f t="shared" si="38"/>
        <v>0.1</v>
      </c>
      <c r="H3276">
        <f>G3276*(26.79/38.29)</f>
        <v>6.9966048576651868E-2</v>
      </c>
    </row>
    <row r="3277" spans="1:8" x14ac:dyDescent="0.25">
      <c r="A3277" s="1">
        <v>2008</v>
      </c>
      <c r="B3277" s="1" t="s">
        <v>99</v>
      </c>
      <c r="C3277" t="s">
        <v>51</v>
      </c>
      <c r="D3277">
        <v>2</v>
      </c>
      <c r="E3277">
        <v>32</v>
      </c>
      <c r="F3277">
        <v>0.36</v>
      </c>
      <c r="G3277">
        <f t="shared" si="38"/>
        <v>0.12</v>
      </c>
      <c r="H3277">
        <f>G3277*(26.79/38.29)</f>
        <v>8.3959258291982225E-2</v>
      </c>
    </row>
    <row r="3278" spans="1:8" x14ac:dyDescent="0.25">
      <c r="A3278" s="1">
        <v>2008</v>
      </c>
      <c r="B3278" s="1" t="s">
        <v>99</v>
      </c>
      <c r="C3278" t="s">
        <v>51</v>
      </c>
      <c r="D3278">
        <v>2</v>
      </c>
      <c r="E3278">
        <v>32</v>
      </c>
      <c r="F3278">
        <v>0.05</v>
      </c>
      <c r="G3278">
        <f t="shared" ref="G3278:G3341" si="39">(F3278/0.6)/5</f>
        <v>1.666666666666667E-2</v>
      </c>
      <c r="H3278">
        <f>G3278*(26.79/38.29)</f>
        <v>1.1661008096108646E-2</v>
      </c>
    </row>
    <row r="3279" spans="1:8" x14ac:dyDescent="0.25">
      <c r="A3279" s="1">
        <v>2008</v>
      </c>
      <c r="B3279" s="1" t="s">
        <v>99</v>
      </c>
      <c r="C3279" t="s">
        <v>51</v>
      </c>
      <c r="D3279">
        <v>2</v>
      </c>
      <c r="E3279">
        <v>32</v>
      </c>
      <c r="F3279">
        <v>0.09</v>
      </c>
      <c r="G3279">
        <f t="shared" si="39"/>
        <v>0.03</v>
      </c>
      <c r="H3279">
        <f>G3279*(26.79/38.29)</f>
        <v>2.0989814572995556E-2</v>
      </c>
    </row>
    <row r="3280" spans="1:8" x14ac:dyDescent="0.25">
      <c r="A3280" s="1">
        <v>2008</v>
      </c>
      <c r="B3280" s="1" t="s">
        <v>99</v>
      </c>
      <c r="C3280" t="s">
        <v>51</v>
      </c>
      <c r="D3280">
        <v>2</v>
      </c>
      <c r="E3280">
        <v>32</v>
      </c>
      <c r="F3280">
        <v>0.04</v>
      </c>
      <c r="G3280">
        <f t="shared" si="39"/>
        <v>1.3333333333333332E-2</v>
      </c>
      <c r="H3280">
        <f>G3280*(26.79/38.29)</f>
        <v>9.3288064768869139E-3</v>
      </c>
    </row>
    <row r="3281" spans="1:8" x14ac:dyDescent="0.25">
      <c r="A3281" s="1">
        <v>2008</v>
      </c>
      <c r="B3281" s="1" t="s">
        <v>99</v>
      </c>
      <c r="C3281" t="s">
        <v>51</v>
      </c>
      <c r="D3281">
        <v>2</v>
      </c>
      <c r="E3281">
        <v>32</v>
      </c>
      <c r="F3281">
        <v>0.24</v>
      </c>
      <c r="G3281">
        <f t="shared" si="39"/>
        <v>0.08</v>
      </c>
      <c r="H3281">
        <f>G3281*(26.79/38.29)</f>
        <v>5.597283886132149E-2</v>
      </c>
    </row>
    <row r="3282" spans="1:8" x14ac:dyDescent="0.25">
      <c r="A3282" s="1">
        <v>2008</v>
      </c>
      <c r="B3282" s="1" t="s">
        <v>99</v>
      </c>
      <c r="C3282" t="s">
        <v>51</v>
      </c>
      <c r="D3282">
        <v>2</v>
      </c>
      <c r="E3282">
        <v>32</v>
      </c>
      <c r="F3282">
        <v>0.06</v>
      </c>
      <c r="G3282">
        <f t="shared" si="39"/>
        <v>0.02</v>
      </c>
      <c r="H3282">
        <f>G3282*(26.79/38.29)</f>
        <v>1.3993209715330373E-2</v>
      </c>
    </row>
    <row r="3283" spans="1:8" x14ac:dyDescent="0.25">
      <c r="A3283" s="1">
        <v>2008</v>
      </c>
      <c r="B3283" s="1" t="s">
        <v>99</v>
      </c>
      <c r="C3283" t="s">
        <v>51</v>
      </c>
      <c r="D3283">
        <v>2</v>
      </c>
      <c r="E3283">
        <v>34</v>
      </c>
      <c r="F3283">
        <v>1.1499999999999999</v>
      </c>
      <c r="G3283">
        <f t="shared" si="39"/>
        <v>0.3833333333333333</v>
      </c>
      <c r="H3283">
        <f>G3283*(26.79/38.29)</f>
        <v>0.26820318621049877</v>
      </c>
    </row>
    <row r="3284" spans="1:8" x14ac:dyDescent="0.25">
      <c r="A3284" s="1">
        <v>2008</v>
      </c>
      <c r="B3284" s="1" t="s">
        <v>99</v>
      </c>
      <c r="C3284" t="s">
        <v>51</v>
      </c>
      <c r="D3284">
        <v>2</v>
      </c>
      <c r="E3284">
        <v>34</v>
      </c>
      <c r="F3284">
        <v>0.35</v>
      </c>
      <c r="G3284">
        <f t="shared" si="39"/>
        <v>0.11666666666666667</v>
      </c>
      <c r="H3284">
        <f>G3284*(26.79/38.29)</f>
        <v>8.1627056672760503E-2</v>
      </c>
    </row>
    <row r="3285" spans="1:8" x14ac:dyDescent="0.25">
      <c r="A3285" s="1">
        <v>2008</v>
      </c>
      <c r="B3285" s="1" t="s">
        <v>99</v>
      </c>
      <c r="C3285" t="s">
        <v>51</v>
      </c>
      <c r="D3285">
        <v>2</v>
      </c>
      <c r="E3285">
        <v>34</v>
      </c>
      <c r="F3285">
        <v>0.66</v>
      </c>
      <c r="G3285">
        <f t="shared" si="39"/>
        <v>0.22000000000000003</v>
      </c>
      <c r="H3285">
        <f>G3285*(26.79/38.29)</f>
        <v>0.15392530686863412</v>
      </c>
    </row>
    <row r="3286" spans="1:8" x14ac:dyDescent="0.25">
      <c r="A3286" s="1">
        <v>2008</v>
      </c>
      <c r="B3286" s="1" t="s">
        <v>99</v>
      </c>
      <c r="C3286" t="s">
        <v>51</v>
      </c>
      <c r="D3286">
        <v>2</v>
      </c>
      <c r="E3286">
        <v>38</v>
      </c>
      <c r="F3286">
        <v>0.98</v>
      </c>
      <c r="G3286">
        <f t="shared" si="39"/>
        <v>0.32666666666666666</v>
      </c>
      <c r="H3286">
        <f>G3286*(26.79/38.29)</f>
        <v>0.2285557586837294</v>
      </c>
    </row>
    <row r="3287" spans="1:8" x14ac:dyDescent="0.25">
      <c r="A3287" s="1">
        <v>2008</v>
      </c>
      <c r="B3287" s="1" t="s">
        <v>99</v>
      </c>
      <c r="C3287" t="s">
        <v>51</v>
      </c>
      <c r="D3287">
        <v>2</v>
      </c>
      <c r="E3287">
        <v>38</v>
      </c>
      <c r="F3287">
        <v>0.84</v>
      </c>
      <c r="G3287">
        <f t="shared" si="39"/>
        <v>0.27999999999999997</v>
      </c>
      <c r="H3287">
        <f>G3287*(26.79/38.29)</f>
        <v>0.19590493601462519</v>
      </c>
    </row>
    <row r="3288" spans="1:8" x14ac:dyDescent="0.25">
      <c r="A3288" s="1">
        <v>2008</v>
      </c>
      <c r="B3288" s="1" t="s">
        <v>99</v>
      </c>
      <c r="C3288" t="s">
        <v>51</v>
      </c>
      <c r="D3288">
        <v>2</v>
      </c>
      <c r="E3288">
        <v>38</v>
      </c>
      <c r="F3288">
        <v>1.59</v>
      </c>
      <c r="G3288">
        <f t="shared" si="39"/>
        <v>0.53</v>
      </c>
      <c r="H3288">
        <f>G3288*(26.79/38.29)</f>
        <v>0.3708200574562549</v>
      </c>
    </row>
    <row r="3289" spans="1:8" x14ac:dyDescent="0.25">
      <c r="A3289" s="1">
        <v>2008</v>
      </c>
      <c r="B3289" s="1" t="s">
        <v>99</v>
      </c>
      <c r="C3289" t="s">
        <v>51</v>
      </c>
      <c r="D3289">
        <v>2</v>
      </c>
      <c r="E3289">
        <v>38</v>
      </c>
      <c r="F3289">
        <v>0.99</v>
      </c>
      <c r="G3289">
        <f t="shared" si="39"/>
        <v>0.33</v>
      </c>
      <c r="H3289">
        <f>G3289*(26.79/38.29)</f>
        <v>0.23088796030295117</v>
      </c>
    </row>
    <row r="3290" spans="1:8" x14ac:dyDescent="0.25">
      <c r="A3290" s="1">
        <v>2008</v>
      </c>
      <c r="B3290" s="1" t="s">
        <v>99</v>
      </c>
      <c r="C3290" t="s">
        <v>51</v>
      </c>
      <c r="D3290">
        <v>2</v>
      </c>
      <c r="E3290">
        <v>38</v>
      </c>
      <c r="F3290">
        <v>1.26</v>
      </c>
      <c r="G3290">
        <f t="shared" si="39"/>
        <v>0.42000000000000004</v>
      </c>
      <c r="H3290">
        <f>G3290*(26.79/38.29)</f>
        <v>0.29385740402193783</v>
      </c>
    </row>
    <row r="3291" spans="1:8" x14ac:dyDescent="0.25">
      <c r="A3291" s="1">
        <v>2008</v>
      </c>
      <c r="B3291" s="1" t="s">
        <v>99</v>
      </c>
      <c r="C3291" t="s">
        <v>51</v>
      </c>
      <c r="D3291">
        <v>2</v>
      </c>
      <c r="E3291">
        <v>38</v>
      </c>
      <c r="F3291">
        <v>0.87</v>
      </c>
      <c r="G3291">
        <f t="shared" si="39"/>
        <v>0.28999999999999998</v>
      </c>
      <c r="H3291">
        <f>G3291*(26.79/38.29)</f>
        <v>0.2029015408722904</v>
      </c>
    </row>
    <row r="3292" spans="1:8" x14ac:dyDescent="0.25">
      <c r="A3292" s="1">
        <v>2008</v>
      </c>
      <c r="B3292" s="1" t="s">
        <v>99</v>
      </c>
      <c r="C3292" t="s">
        <v>51</v>
      </c>
      <c r="D3292">
        <v>2</v>
      </c>
      <c r="E3292">
        <v>38</v>
      </c>
      <c r="F3292">
        <v>0.81</v>
      </c>
      <c r="G3292">
        <f t="shared" si="39"/>
        <v>0.27</v>
      </c>
      <c r="H3292">
        <f>G3292*(26.79/38.29)</f>
        <v>0.18890833115696004</v>
      </c>
    </row>
    <row r="3293" spans="1:8" x14ac:dyDescent="0.25">
      <c r="A3293" s="1">
        <v>2008</v>
      </c>
      <c r="B3293" s="1" t="s">
        <v>99</v>
      </c>
      <c r="C3293" t="s">
        <v>51</v>
      </c>
      <c r="D3293">
        <v>2</v>
      </c>
      <c r="E3293">
        <v>38</v>
      </c>
      <c r="F3293">
        <v>1.21</v>
      </c>
      <c r="G3293">
        <f t="shared" si="39"/>
        <v>0.40333333333333332</v>
      </c>
      <c r="H3293">
        <f>G3293*(26.79/38.29)</f>
        <v>0.28219639592582918</v>
      </c>
    </row>
    <row r="3294" spans="1:8" x14ac:dyDescent="0.25">
      <c r="A3294" s="1">
        <v>2008</v>
      </c>
      <c r="B3294" s="1" t="s">
        <v>99</v>
      </c>
      <c r="C3294" t="s">
        <v>51</v>
      </c>
      <c r="D3294">
        <v>2</v>
      </c>
      <c r="E3294">
        <v>38</v>
      </c>
      <c r="F3294">
        <v>1.4</v>
      </c>
      <c r="G3294">
        <f t="shared" si="39"/>
        <v>0.46666666666666667</v>
      </c>
      <c r="H3294">
        <f>G3294*(26.79/38.29)</f>
        <v>0.32650822669104201</v>
      </c>
    </row>
    <row r="3295" spans="1:8" x14ac:dyDescent="0.25">
      <c r="A3295" s="1">
        <v>2008</v>
      </c>
      <c r="B3295" s="1" t="s">
        <v>99</v>
      </c>
      <c r="C3295" t="s">
        <v>51</v>
      </c>
      <c r="D3295">
        <v>2</v>
      </c>
      <c r="E3295">
        <v>38</v>
      </c>
      <c r="F3295">
        <v>1.45</v>
      </c>
      <c r="G3295">
        <f t="shared" si="39"/>
        <v>0.48333333333333328</v>
      </c>
      <c r="H3295">
        <f>G3295*(26.79/38.29)</f>
        <v>0.33816923478715061</v>
      </c>
    </row>
    <row r="3296" spans="1:8" x14ac:dyDescent="0.25">
      <c r="A3296" s="1">
        <v>2008</v>
      </c>
      <c r="B3296" s="1" t="s">
        <v>99</v>
      </c>
      <c r="C3296" t="s">
        <v>51</v>
      </c>
      <c r="D3296">
        <v>2</v>
      </c>
      <c r="E3296">
        <v>38</v>
      </c>
      <c r="F3296">
        <v>0.8</v>
      </c>
      <c r="G3296">
        <f t="shared" si="39"/>
        <v>0.26666666666666672</v>
      </c>
      <c r="H3296">
        <f>G3296*(26.79/38.29)</f>
        <v>0.18657612953773833</v>
      </c>
    </row>
    <row r="3297" spans="1:8" x14ac:dyDescent="0.25">
      <c r="A3297" s="1">
        <v>2008</v>
      </c>
      <c r="B3297" s="1" t="s">
        <v>99</v>
      </c>
      <c r="C3297" t="s">
        <v>51</v>
      </c>
      <c r="D3297">
        <v>2</v>
      </c>
      <c r="E3297">
        <v>38</v>
      </c>
      <c r="F3297">
        <v>1.41</v>
      </c>
      <c r="G3297">
        <f t="shared" si="39"/>
        <v>0.47000000000000003</v>
      </c>
      <c r="H3297">
        <f>G3297*(26.79/38.29)</f>
        <v>0.32884042831026378</v>
      </c>
    </row>
    <row r="3298" spans="1:8" x14ac:dyDescent="0.25">
      <c r="A3298" s="1">
        <v>2008</v>
      </c>
      <c r="B3298" s="1" t="s">
        <v>99</v>
      </c>
      <c r="C3298" t="s">
        <v>51</v>
      </c>
      <c r="D3298">
        <v>2</v>
      </c>
      <c r="E3298">
        <v>40</v>
      </c>
      <c r="F3298">
        <v>1.61</v>
      </c>
      <c r="G3298">
        <f t="shared" si="39"/>
        <v>0.53666666666666674</v>
      </c>
      <c r="H3298">
        <f>G3298*(26.79/38.29)</f>
        <v>0.37548446069469837</v>
      </c>
    </row>
    <row r="3299" spans="1:8" x14ac:dyDescent="0.25">
      <c r="A3299" s="1">
        <v>2008</v>
      </c>
      <c r="B3299" s="1" t="s">
        <v>99</v>
      </c>
      <c r="C3299" t="s">
        <v>51</v>
      </c>
      <c r="D3299">
        <v>2</v>
      </c>
      <c r="E3299">
        <v>40</v>
      </c>
      <c r="F3299">
        <v>0.33</v>
      </c>
      <c r="G3299">
        <f t="shared" si="39"/>
        <v>0.11000000000000001</v>
      </c>
      <c r="H3299">
        <f>G3299*(26.79/38.29)</f>
        <v>7.696265343431706E-2</v>
      </c>
    </row>
    <row r="3300" spans="1:8" x14ac:dyDescent="0.25">
      <c r="A3300" s="1">
        <v>2008</v>
      </c>
      <c r="B3300" s="1" t="s">
        <v>99</v>
      </c>
      <c r="C3300" t="s">
        <v>51</v>
      </c>
      <c r="D3300">
        <v>2</v>
      </c>
      <c r="E3300">
        <v>40</v>
      </c>
      <c r="F3300">
        <v>1.21</v>
      </c>
      <c r="G3300">
        <f t="shared" si="39"/>
        <v>0.40333333333333332</v>
      </c>
      <c r="H3300">
        <f>G3300*(26.79/38.29)</f>
        <v>0.28219639592582918</v>
      </c>
    </row>
    <row r="3301" spans="1:8" x14ac:dyDescent="0.25">
      <c r="A3301" s="1">
        <v>2008</v>
      </c>
      <c r="B3301" s="1" t="s">
        <v>99</v>
      </c>
      <c r="C3301" t="s">
        <v>51</v>
      </c>
      <c r="D3301">
        <v>2</v>
      </c>
      <c r="E3301">
        <v>40</v>
      </c>
      <c r="F3301">
        <v>1.52</v>
      </c>
      <c r="G3301">
        <f t="shared" si="39"/>
        <v>0.50666666666666671</v>
      </c>
      <c r="H3301">
        <f>G3301*(26.79/38.29)</f>
        <v>0.35449464612170278</v>
      </c>
    </row>
    <row r="3302" spans="1:8" x14ac:dyDescent="0.25">
      <c r="A3302" s="1">
        <v>2008</v>
      </c>
      <c r="B3302" s="1" t="s">
        <v>99</v>
      </c>
      <c r="C3302" t="s">
        <v>51</v>
      </c>
      <c r="D3302">
        <v>2</v>
      </c>
      <c r="E3302">
        <v>40</v>
      </c>
      <c r="F3302">
        <v>0.45</v>
      </c>
      <c r="G3302">
        <f t="shared" si="39"/>
        <v>0.15</v>
      </c>
      <c r="H3302">
        <f>G3302*(26.79/38.29)</f>
        <v>0.10494907286497779</v>
      </c>
    </row>
    <row r="3303" spans="1:8" x14ac:dyDescent="0.25">
      <c r="A3303" s="1">
        <v>2008</v>
      </c>
      <c r="B3303" s="1" t="s">
        <v>99</v>
      </c>
      <c r="C3303" t="s">
        <v>51</v>
      </c>
      <c r="D3303">
        <v>2</v>
      </c>
      <c r="E3303">
        <v>40</v>
      </c>
      <c r="F3303">
        <v>1.73</v>
      </c>
      <c r="G3303">
        <f t="shared" si="39"/>
        <v>0.57666666666666666</v>
      </c>
      <c r="H3303">
        <f>G3303*(26.79/38.29)</f>
        <v>0.40347088012535909</v>
      </c>
    </row>
    <row r="3304" spans="1:8" x14ac:dyDescent="0.25">
      <c r="A3304" s="1">
        <v>2008</v>
      </c>
      <c r="B3304" s="1" t="s">
        <v>99</v>
      </c>
      <c r="C3304" t="s">
        <v>51</v>
      </c>
      <c r="D3304">
        <v>2</v>
      </c>
      <c r="E3304">
        <v>40</v>
      </c>
      <c r="F3304">
        <v>0.05</v>
      </c>
      <c r="G3304">
        <f t="shared" si="39"/>
        <v>1.666666666666667E-2</v>
      </c>
      <c r="H3304">
        <f>G3304*(26.79/38.29)</f>
        <v>1.1661008096108646E-2</v>
      </c>
    </row>
    <row r="3305" spans="1:8" x14ac:dyDescent="0.25">
      <c r="A3305" s="1">
        <v>2008</v>
      </c>
      <c r="B3305" s="1" t="s">
        <v>99</v>
      </c>
      <c r="C3305" t="s">
        <v>51</v>
      </c>
      <c r="D3305">
        <v>2</v>
      </c>
      <c r="E3305">
        <v>40</v>
      </c>
      <c r="F3305">
        <v>1.75</v>
      </c>
      <c r="G3305">
        <f t="shared" si="39"/>
        <v>0.58333333333333337</v>
      </c>
      <c r="H3305">
        <f>G3305*(26.79/38.29)</f>
        <v>0.40813528336380256</v>
      </c>
    </row>
    <row r="3306" spans="1:8" x14ac:dyDescent="0.25">
      <c r="A3306" s="1">
        <v>2008</v>
      </c>
      <c r="B3306" s="1" t="s">
        <v>99</v>
      </c>
      <c r="C3306" t="s">
        <v>51</v>
      </c>
      <c r="D3306">
        <v>2</v>
      </c>
      <c r="E3306">
        <v>40</v>
      </c>
      <c r="F3306">
        <v>1.59</v>
      </c>
      <c r="G3306">
        <f t="shared" si="39"/>
        <v>0.53</v>
      </c>
      <c r="H3306">
        <f>G3306*(26.79/38.29)</f>
        <v>0.3708200574562549</v>
      </c>
    </row>
    <row r="3307" spans="1:8" x14ac:dyDescent="0.25">
      <c r="A3307" s="1">
        <v>2008</v>
      </c>
      <c r="B3307" s="1" t="s">
        <v>99</v>
      </c>
      <c r="C3307" t="s">
        <v>51</v>
      </c>
      <c r="D3307">
        <v>2</v>
      </c>
      <c r="E3307">
        <v>40</v>
      </c>
      <c r="F3307">
        <v>0</v>
      </c>
      <c r="G3307">
        <f t="shared" si="39"/>
        <v>0</v>
      </c>
      <c r="H3307">
        <f>G3307*(26.79/38.29)</f>
        <v>0</v>
      </c>
    </row>
    <row r="3308" spans="1:8" x14ac:dyDescent="0.25">
      <c r="A3308" s="1">
        <v>2008</v>
      </c>
      <c r="B3308" s="1" t="s">
        <v>99</v>
      </c>
      <c r="C3308" t="s">
        <v>51</v>
      </c>
      <c r="D3308">
        <v>2</v>
      </c>
      <c r="E3308">
        <v>40</v>
      </c>
      <c r="F3308">
        <v>1.43</v>
      </c>
      <c r="G3308">
        <f t="shared" si="39"/>
        <v>0.47666666666666668</v>
      </c>
      <c r="H3308">
        <f>G3308*(26.79/38.29)</f>
        <v>0.33350483154870725</v>
      </c>
    </row>
    <row r="3309" spans="1:8" x14ac:dyDescent="0.25">
      <c r="A3309" s="1">
        <v>2008</v>
      </c>
      <c r="B3309" s="1" t="s">
        <v>99</v>
      </c>
      <c r="C3309" t="s">
        <v>51</v>
      </c>
      <c r="D3309">
        <v>2</v>
      </c>
      <c r="E3309">
        <v>40</v>
      </c>
      <c r="F3309">
        <v>0.57999999999999996</v>
      </c>
      <c r="G3309">
        <f t="shared" si="39"/>
        <v>0.19333333333333333</v>
      </c>
      <c r="H3309">
        <f>G3309*(26.79/38.29)</f>
        <v>0.13526769391486027</v>
      </c>
    </row>
    <row r="3310" spans="1:8" x14ac:dyDescent="0.25">
      <c r="A3310" s="1">
        <v>2008</v>
      </c>
      <c r="B3310" s="1" t="s">
        <v>99</v>
      </c>
      <c r="C3310" t="s">
        <v>51</v>
      </c>
      <c r="D3310">
        <v>2</v>
      </c>
      <c r="E3310">
        <v>40</v>
      </c>
      <c r="F3310">
        <v>1.1200000000000001</v>
      </c>
      <c r="G3310">
        <f t="shared" si="39"/>
        <v>0.37333333333333341</v>
      </c>
      <c r="H3310">
        <f>G3310*(26.79/38.29)</f>
        <v>0.26120658135283364</v>
      </c>
    </row>
    <row r="3311" spans="1:8" x14ac:dyDescent="0.25">
      <c r="A3311" s="1">
        <v>2008</v>
      </c>
      <c r="B3311" s="1" t="s">
        <v>99</v>
      </c>
      <c r="C3311" t="s">
        <v>51</v>
      </c>
      <c r="D3311">
        <v>2</v>
      </c>
      <c r="E3311">
        <v>53</v>
      </c>
      <c r="F3311">
        <v>0.79</v>
      </c>
      <c r="G3311">
        <f t="shared" si="39"/>
        <v>0.26333333333333336</v>
      </c>
      <c r="H3311">
        <f>G3311*(26.79/38.29)</f>
        <v>0.1842439279185166</v>
      </c>
    </row>
    <row r="3312" spans="1:8" x14ac:dyDescent="0.25">
      <c r="A3312" s="1">
        <v>2008</v>
      </c>
      <c r="B3312" s="1" t="s">
        <v>99</v>
      </c>
      <c r="C3312" t="s">
        <v>51</v>
      </c>
      <c r="D3312">
        <v>2</v>
      </c>
      <c r="E3312">
        <v>54</v>
      </c>
      <c r="F3312">
        <v>0.06</v>
      </c>
      <c r="G3312">
        <f t="shared" si="39"/>
        <v>0.02</v>
      </c>
      <c r="H3312">
        <f>G3312*(26.79/38.29)</f>
        <v>1.3993209715330373E-2</v>
      </c>
    </row>
    <row r="3313" spans="1:8" x14ac:dyDescent="0.25">
      <c r="A3313" s="1">
        <v>2008</v>
      </c>
      <c r="B3313" s="1" t="s">
        <v>99</v>
      </c>
      <c r="C3313" t="s">
        <v>51</v>
      </c>
      <c r="D3313">
        <v>2</v>
      </c>
      <c r="E3313">
        <v>56</v>
      </c>
      <c r="F3313">
        <v>0.61</v>
      </c>
      <c r="G3313">
        <f t="shared" si="39"/>
        <v>0.20333333333333331</v>
      </c>
      <c r="H3313">
        <f>G3313*(26.79/38.29)</f>
        <v>0.14226429877252544</v>
      </c>
    </row>
    <row r="3314" spans="1:8" x14ac:dyDescent="0.25">
      <c r="A3314" s="1">
        <v>2008</v>
      </c>
      <c r="B3314" s="1" t="s">
        <v>99</v>
      </c>
      <c r="C3314" t="s">
        <v>51</v>
      </c>
      <c r="D3314">
        <v>2</v>
      </c>
      <c r="E3314">
        <v>56</v>
      </c>
      <c r="F3314">
        <v>0.05</v>
      </c>
      <c r="G3314">
        <f t="shared" si="39"/>
        <v>1.666666666666667E-2</v>
      </c>
      <c r="H3314">
        <f>G3314*(26.79/38.29)</f>
        <v>1.1661008096108646E-2</v>
      </c>
    </row>
    <row r="3315" spans="1:8" x14ac:dyDescent="0.25">
      <c r="A3315" s="1">
        <v>2008</v>
      </c>
      <c r="B3315" s="1" t="s">
        <v>99</v>
      </c>
      <c r="C3315" t="s">
        <v>51</v>
      </c>
      <c r="D3315">
        <v>2</v>
      </c>
      <c r="E3315">
        <v>58</v>
      </c>
      <c r="F3315">
        <v>0.06</v>
      </c>
      <c r="G3315">
        <f t="shared" si="39"/>
        <v>0.02</v>
      </c>
      <c r="H3315">
        <f>G3315*(26.79/38.29)</f>
        <v>1.3993209715330373E-2</v>
      </c>
    </row>
    <row r="3316" spans="1:8" x14ac:dyDescent="0.25">
      <c r="A3316" s="1">
        <v>2008</v>
      </c>
      <c r="B3316" s="1" t="s">
        <v>99</v>
      </c>
      <c r="C3316" t="s">
        <v>51</v>
      </c>
      <c r="D3316">
        <v>2</v>
      </c>
      <c r="E3316">
        <v>58</v>
      </c>
      <c r="F3316">
        <v>0.05</v>
      </c>
      <c r="G3316">
        <f t="shared" si="39"/>
        <v>1.666666666666667E-2</v>
      </c>
      <c r="H3316">
        <f>G3316*(26.79/38.29)</f>
        <v>1.1661008096108646E-2</v>
      </c>
    </row>
    <row r="3317" spans="1:8" x14ac:dyDescent="0.25">
      <c r="A3317" s="1">
        <v>2008</v>
      </c>
      <c r="B3317" s="1" t="s">
        <v>99</v>
      </c>
      <c r="C3317" t="s">
        <v>51</v>
      </c>
      <c r="D3317">
        <v>2</v>
      </c>
      <c r="E3317">
        <v>63</v>
      </c>
      <c r="F3317">
        <v>0.12</v>
      </c>
      <c r="G3317">
        <f t="shared" si="39"/>
        <v>0.04</v>
      </c>
      <c r="H3317">
        <f>G3317*(26.79/38.29)</f>
        <v>2.7986419430660745E-2</v>
      </c>
    </row>
    <row r="3318" spans="1:8" x14ac:dyDescent="0.25">
      <c r="A3318" s="1">
        <v>2008</v>
      </c>
      <c r="B3318" s="1" t="s">
        <v>99</v>
      </c>
      <c r="C3318" t="s">
        <v>51</v>
      </c>
      <c r="D3318">
        <v>2</v>
      </c>
      <c r="E3318">
        <v>63</v>
      </c>
      <c r="F3318">
        <v>0.2</v>
      </c>
      <c r="G3318">
        <f t="shared" si="39"/>
        <v>6.666666666666668E-2</v>
      </c>
      <c r="H3318">
        <f>G3318*(26.79/38.29)</f>
        <v>4.6644032384434583E-2</v>
      </c>
    </row>
    <row r="3319" spans="1:8" x14ac:dyDescent="0.25">
      <c r="A3319" s="1">
        <v>2008</v>
      </c>
      <c r="B3319" s="1" t="s">
        <v>99</v>
      </c>
      <c r="C3319" t="s">
        <v>51</v>
      </c>
      <c r="D3319">
        <v>2</v>
      </c>
      <c r="E3319">
        <v>63</v>
      </c>
      <c r="F3319">
        <v>0.09</v>
      </c>
      <c r="G3319">
        <f t="shared" si="39"/>
        <v>0.03</v>
      </c>
      <c r="H3319">
        <f>G3319*(26.79/38.29)</f>
        <v>2.0989814572995556E-2</v>
      </c>
    </row>
    <row r="3320" spans="1:8" x14ac:dyDescent="0.25">
      <c r="A3320" s="1">
        <v>2008</v>
      </c>
      <c r="B3320" s="1" t="s">
        <v>99</v>
      </c>
      <c r="C3320" t="s">
        <v>51</v>
      </c>
      <c r="D3320">
        <v>2</v>
      </c>
      <c r="E3320">
        <v>63</v>
      </c>
      <c r="F3320">
        <v>0.09</v>
      </c>
      <c r="G3320">
        <f t="shared" si="39"/>
        <v>0.03</v>
      </c>
      <c r="H3320">
        <f>G3320*(26.79/38.29)</f>
        <v>2.0989814572995556E-2</v>
      </c>
    </row>
    <row r="3321" spans="1:8" x14ac:dyDescent="0.25">
      <c r="A3321" s="1">
        <v>2008</v>
      </c>
      <c r="B3321" s="1" t="s">
        <v>99</v>
      </c>
      <c r="C3321" t="s">
        <v>51</v>
      </c>
      <c r="D3321">
        <v>2</v>
      </c>
      <c r="E3321">
        <v>63</v>
      </c>
      <c r="F3321">
        <v>0.08</v>
      </c>
      <c r="G3321">
        <f t="shared" si="39"/>
        <v>2.6666666666666665E-2</v>
      </c>
      <c r="H3321">
        <f>G3321*(26.79/38.29)</f>
        <v>1.8657612953773828E-2</v>
      </c>
    </row>
    <row r="3322" spans="1:8" x14ac:dyDescent="0.25">
      <c r="A3322" s="1">
        <v>2008</v>
      </c>
      <c r="B3322" s="1" t="s">
        <v>99</v>
      </c>
      <c r="C3322" t="s">
        <v>51</v>
      </c>
      <c r="D3322">
        <v>2</v>
      </c>
      <c r="E3322">
        <v>71</v>
      </c>
      <c r="F3322">
        <v>0.12</v>
      </c>
      <c r="G3322">
        <f t="shared" si="39"/>
        <v>0.04</v>
      </c>
      <c r="H3322">
        <f>G3322*(26.79/38.29)</f>
        <v>2.7986419430660745E-2</v>
      </c>
    </row>
    <row r="3323" spans="1:8" x14ac:dyDescent="0.25">
      <c r="A3323" s="1">
        <v>2008</v>
      </c>
      <c r="B3323" s="1" t="s">
        <v>99</v>
      </c>
      <c r="C3323" t="s">
        <v>51</v>
      </c>
      <c r="D3323">
        <v>2</v>
      </c>
      <c r="E3323">
        <v>76</v>
      </c>
      <c r="F3323">
        <v>0.03</v>
      </c>
      <c r="G3323">
        <f t="shared" si="39"/>
        <v>0.01</v>
      </c>
      <c r="H3323">
        <f>G3323*(26.79/38.29)</f>
        <v>6.9966048576651863E-3</v>
      </c>
    </row>
    <row r="3324" spans="1:8" x14ac:dyDescent="0.25">
      <c r="A3324" s="1">
        <v>2008</v>
      </c>
      <c r="B3324" s="1" t="s">
        <v>99</v>
      </c>
      <c r="C3324" t="s">
        <v>51</v>
      </c>
      <c r="D3324">
        <v>2</v>
      </c>
      <c r="E3324">
        <v>76</v>
      </c>
      <c r="F3324">
        <v>0.21</v>
      </c>
      <c r="G3324">
        <f t="shared" si="39"/>
        <v>6.9999999999999993E-2</v>
      </c>
      <c r="H3324">
        <f>G3324*(26.79/38.29)</f>
        <v>4.8976234003656298E-2</v>
      </c>
    </row>
    <row r="3325" spans="1:8" x14ac:dyDescent="0.25">
      <c r="A3325" s="1">
        <v>2008</v>
      </c>
      <c r="B3325" s="1" t="s">
        <v>99</v>
      </c>
      <c r="C3325" t="s">
        <v>51</v>
      </c>
      <c r="D3325">
        <v>2</v>
      </c>
      <c r="E3325">
        <v>76</v>
      </c>
      <c r="F3325">
        <v>0.06</v>
      </c>
      <c r="G3325">
        <f t="shared" si="39"/>
        <v>0.02</v>
      </c>
      <c r="H3325">
        <f>G3325*(26.79/38.29)</f>
        <v>1.3993209715330373E-2</v>
      </c>
    </row>
    <row r="3326" spans="1:8" x14ac:dyDescent="0.25">
      <c r="A3326" s="1">
        <v>2008</v>
      </c>
      <c r="B3326" s="1" t="s">
        <v>99</v>
      </c>
      <c r="C3326" t="s">
        <v>51</v>
      </c>
      <c r="D3326">
        <v>2</v>
      </c>
      <c r="E3326">
        <v>76</v>
      </c>
      <c r="F3326">
        <v>0.06</v>
      </c>
      <c r="G3326">
        <f t="shared" si="39"/>
        <v>0.02</v>
      </c>
      <c r="H3326">
        <f>G3326*(26.79/38.29)</f>
        <v>1.3993209715330373E-2</v>
      </c>
    </row>
    <row r="3327" spans="1:8" x14ac:dyDescent="0.25">
      <c r="A3327" s="1">
        <v>2008</v>
      </c>
      <c r="B3327" s="1" t="s">
        <v>99</v>
      </c>
      <c r="C3327" t="s">
        <v>51</v>
      </c>
      <c r="D3327">
        <v>2</v>
      </c>
      <c r="E3327">
        <v>76</v>
      </c>
      <c r="F3327">
        <v>0.08</v>
      </c>
      <c r="G3327">
        <f t="shared" si="39"/>
        <v>2.6666666666666665E-2</v>
      </c>
      <c r="H3327">
        <f>G3327*(26.79/38.29)</f>
        <v>1.8657612953773828E-2</v>
      </c>
    </row>
    <row r="3328" spans="1:8" x14ac:dyDescent="0.25">
      <c r="A3328" s="1">
        <v>2008</v>
      </c>
      <c r="B3328" s="1" t="s">
        <v>99</v>
      </c>
      <c r="C3328" t="s">
        <v>51</v>
      </c>
      <c r="D3328">
        <v>2</v>
      </c>
      <c r="E3328">
        <v>76</v>
      </c>
      <c r="F3328">
        <v>0.13</v>
      </c>
      <c r="G3328">
        <f t="shared" si="39"/>
        <v>4.3333333333333335E-2</v>
      </c>
      <c r="H3328">
        <f>G3328*(26.79/38.29)</f>
        <v>3.0318621049882474E-2</v>
      </c>
    </row>
    <row r="3329" spans="1:8" x14ac:dyDescent="0.25">
      <c r="A3329" s="1">
        <v>2008</v>
      </c>
      <c r="B3329" s="1" t="s">
        <v>99</v>
      </c>
      <c r="C3329" t="s">
        <v>51</v>
      </c>
      <c r="D3329">
        <v>2</v>
      </c>
      <c r="E3329">
        <v>76</v>
      </c>
      <c r="F3329">
        <v>0.05</v>
      </c>
      <c r="G3329">
        <f t="shared" si="39"/>
        <v>1.666666666666667E-2</v>
      </c>
      <c r="H3329">
        <f>G3329*(26.79/38.29)</f>
        <v>1.1661008096108646E-2</v>
      </c>
    </row>
    <row r="3330" spans="1:8" x14ac:dyDescent="0.25">
      <c r="A3330" s="1">
        <v>2008</v>
      </c>
      <c r="B3330" s="1" t="s">
        <v>99</v>
      </c>
      <c r="C3330" t="s">
        <v>51</v>
      </c>
      <c r="D3330">
        <v>2</v>
      </c>
      <c r="E3330">
        <v>76</v>
      </c>
      <c r="F3330">
        <v>0.09</v>
      </c>
      <c r="G3330">
        <f t="shared" si="39"/>
        <v>0.03</v>
      </c>
      <c r="H3330">
        <f>G3330*(26.79/38.29)</f>
        <v>2.0989814572995556E-2</v>
      </c>
    </row>
    <row r="3331" spans="1:8" x14ac:dyDescent="0.25">
      <c r="A3331" s="1">
        <v>2008</v>
      </c>
      <c r="B3331" s="1" t="s">
        <v>99</v>
      </c>
      <c r="C3331" t="s">
        <v>51</v>
      </c>
      <c r="D3331">
        <v>2</v>
      </c>
      <c r="E3331">
        <v>78</v>
      </c>
      <c r="F3331">
        <v>0.03</v>
      </c>
      <c r="G3331">
        <f t="shared" si="39"/>
        <v>0.01</v>
      </c>
      <c r="H3331">
        <f>G3331*(26.79/38.29)</f>
        <v>6.9966048576651863E-3</v>
      </c>
    </row>
    <row r="3332" spans="1:8" x14ac:dyDescent="0.25">
      <c r="A3332" s="1">
        <v>2008</v>
      </c>
      <c r="B3332" s="1" t="s">
        <v>99</v>
      </c>
      <c r="C3332" t="s">
        <v>51</v>
      </c>
      <c r="D3332">
        <v>2</v>
      </c>
      <c r="E3332">
        <v>78</v>
      </c>
      <c r="F3332">
        <v>0.04</v>
      </c>
      <c r="G3332">
        <f t="shared" si="39"/>
        <v>1.3333333333333332E-2</v>
      </c>
      <c r="H3332">
        <f>G3332*(26.79/38.29)</f>
        <v>9.3288064768869139E-3</v>
      </c>
    </row>
    <row r="3333" spans="1:8" x14ac:dyDescent="0.25">
      <c r="A3333" s="1">
        <v>2008</v>
      </c>
      <c r="B3333" s="1" t="s">
        <v>99</v>
      </c>
      <c r="C3333" t="s">
        <v>51</v>
      </c>
      <c r="D3333">
        <v>2</v>
      </c>
      <c r="E3333">
        <v>78</v>
      </c>
      <c r="F3333">
        <v>0.06</v>
      </c>
      <c r="G3333">
        <f t="shared" si="39"/>
        <v>0.02</v>
      </c>
      <c r="H3333">
        <f>G3333*(26.79/38.29)</f>
        <v>1.3993209715330373E-2</v>
      </c>
    </row>
    <row r="3334" spans="1:8" x14ac:dyDescent="0.25">
      <c r="A3334" s="1">
        <v>2008</v>
      </c>
      <c r="B3334" s="1" t="s">
        <v>99</v>
      </c>
      <c r="C3334" t="s">
        <v>51</v>
      </c>
      <c r="D3334">
        <v>2</v>
      </c>
      <c r="E3334">
        <v>78</v>
      </c>
      <c r="F3334">
        <v>0.08</v>
      </c>
      <c r="G3334">
        <f t="shared" si="39"/>
        <v>2.6666666666666665E-2</v>
      </c>
      <c r="H3334">
        <f>G3334*(26.79/38.29)</f>
        <v>1.8657612953773828E-2</v>
      </c>
    </row>
    <row r="3335" spans="1:8" x14ac:dyDescent="0.25">
      <c r="A3335" s="1">
        <v>2008</v>
      </c>
      <c r="B3335" s="1" t="s">
        <v>99</v>
      </c>
      <c r="C3335" t="s">
        <v>51</v>
      </c>
      <c r="D3335">
        <v>2</v>
      </c>
      <c r="E3335">
        <v>79</v>
      </c>
      <c r="F3335">
        <v>1.04</v>
      </c>
      <c r="G3335">
        <f t="shared" si="39"/>
        <v>0.34666666666666668</v>
      </c>
      <c r="H3335">
        <f>G3335*(26.79/38.29)</f>
        <v>0.24254896839905979</v>
      </c>
    </row>
    <row r="3336" spans="1:8" x14ac:dyDescent="0.25">
      <c r="A3336" s="1">
        <v>2008</v>
      </c>
      <c r="B3336" s="1" t="s">
        <v>99</v>
      </c>
      <c r="C3336" t="s">
        <v>51</v>
      </c>
      <c r="D3336">
        <v>2</v>
      </c>
      <c r="E3336">
        <v>79</v>
      </c>
      <c r="F3336">
        <v>0.1</v>
      </c>
      <c r="G3336">
        <f t="shared" si="39"/>
        <v>3.333333333333334E-2</v>
      </c>
      <c r="H3336">
        <f>G3336*(26.79/38.29)</f>
        <v>2.3322016192217292E-2</v>
      </c>
    </row>
    <row r="3337" spans="1:8" x14ac:dyDescent="0.25">
      <c r="A3337" s="1">
        <v>2008</v>
      </c>
      <c r="B3337" s="1" t="s">
        <v>99</v>
      </c>
      <c r="C3337" t="s">
        <v>51</v>
      </c>
      <c r="D3337">
        <v>2</v>
      </c>
      <c r="E3337">
        <v>79</v>
      </c>
      <c r="F3337">
        <v>1.36</v>
      </c>
      <c r="G3337">
        <f t="shared" si="39"/>
        <v>0.45333333333333342</v>
      </c>
      <c r="H3337">
        <f>G3337*(26.79/38.29)</f>
        <v>0.31717942021415518</v>
      </c>
    </row>
    <row r="3338" spans="1:8" x14ac:dyDescent="0.25">
      <c r="A3338" s="1">
        <v>2008</v>
      </c>
      <c r="B3338" s="1" t="s">
        <v>99</v>
      </c>
      <c r="C3338" t="s">
        <v>51</v>
      </c>
      <c r="D3338">
        <v>2</v>
      </c>
      <c r="E3338">
        <v>79</v>
      </c>
      <c r="F3338">
        <v>0.08</v>
      </c>
      <c r="G3338">
        <f t="shared" si="39"/>
        <v>2.6666666666666665E-2</v>
      </c>
      <c r="H3338">
        <f>G3338*(26.79/38.29)</f>
        <v>1.8657612953773828E-2</v>
      </c>
    </row>
    <row r="3339" spans="1:8" x14ac:dyDescent="0.25">
      <c r="A3339" s="1">
        <v>2008</v>
      </c>
      <c r="B3339" s="1" t="s">
        <v>99</v>
      </c>
      <c r="C3339" t="s">
        <v>51</v>
      </c>
      <c r="D3339">
        <v>2</v>
      </c>
      <c r="E3339">
        <v>79</v>
      </c>
      <c r="F3339">
        <v>0.77</v>
      </c>
      <c r="G3339">
        <f t="shared" si="39"/>
        <v>0.25666666666666671</v>
      </c>
      <c r="H3339">
        <f>G3339*(26.79/38.29)</f>
        <v>0.17957952468007315</v>
      </c>
    </row>
    <row r="3340" spans="1:8" x14ac:dyDescent="0.25">
      <c r="A3340" s="1">
        <v>2008</v>
      </c>
      <c r="B3340" s="1" t="s">
        <v>99</v>
      </c>
      <c r="C3340" t="s">
        <v>51</v>
      </c>
      <c r="D3340">
        <v>2</v>
      </c>
      <c r="E3340">
        <v>79</v>
      </c>
      <c r="F3340">
        <v>0.04</v>
      </c>
      <c r="G3340">
        <f t="shared" si="39"/>
        <v>1.3333333333333332E-2</v>
      </c>
      <c r="H3340">
        <f>G3340*(26.79/38.29)</f>
        <v>9.3288064768869139E-3</v>
      </c>
    </row>
    <row r="3341" spans="1:8" x14ac:dyDescent="0.25">
      <c r="A3341" s="1">
        <v>2008</v>
      </c>
      <c r="B3341" s="1" t="s">
        <v>99</v>
      </c>
      <c r="C3341" t="s">
        <v>51</v>
      </c>
      <c r="D3341">
        <v>2</v>
      </c>
      <c r="E3341">
        <v>79</v>
      </c>
      <c r="F3341">
        <v>0.64</v>
      </c>
      <c r="G3341">
        <f t="shared" si="39"/>
        <v>0.21333333333333332</v>
      </c>
      <c r="H3341">
        <f>G3341*(26.79/38.29)</f>
        <v>0.14926090363019062</v>
      </c>
    </row>
    <row r="3342" spans="1:8" x14ac:dyDescent="0.25">
      <c r="A3342" s="1">
        <v>2008</v>
      </c>
      <c r="B3342" s="1" t="s">
        <v>99</v>
      </c>
      <c r="C3342" t="s">
        <v>51</v>
      </c>
      <c r="D3342">
        <v>2</v>
      </c>
      <c r="E3342">
        <v>79</v>
      </c>
      <c r="F3342">
        <v>0.94</v>
      </c>
      <c r="G3342">
        <f t="shared" ref="G3342:G3405" si="40">(F3342/0.6)/5</f>
        <v>0.31333333333333335</v>
      </c>
      <c r="H3342">
        <f>G3342*(26.79/38.29)</f>
        <v>0.21922695220684252</v>
      </c>
    </row>
    <row r="3343" spans="1:8" x14ac:dyDescent="0.25">
      <c r="A3343" s="1">
        <v>2008</v>
      </c>
      <c r="B3343" s="1" t="s">
        <v>99</v>
      </c>
      <c r="C3343" t="s">
        <v>51</v>
      </c>
      <c r="D3343">
        <v>2</v>
      </c>
      <c r="E3343">
        <v>79</v>
      </c>
      <c r="F3343">
        <v>0.42</v>
      </c>
      <c r="G3343">
        <f t="shared" si="40"/>
        <v>0.13999999999999999</v>
      </c>
      <c r="H3343">
        <f>G3343*(26.79/38.29)</f>
        <v>9.7952468007312596E-2</v>
      </c>
    </row>
    <row r="3344" spans="1:8" x14ac:dyDescent="0.25">
      <c r="A3344" s="1">
        <v>2008</v>
      </c>
      <c r="B3344" s="1" t="s">
        <v>99</v>
      </c>
      <c r="C3344" t="s">
        <v>51</v>
      </c>
      <c r="D3344">
        <v>2</v>
      </c>
      <c r="E3344">
        <v>79</v>
      </c>
      <c r="F3344">
        <v>0.15</v>
      </c>
      <c r="G3344">
        <f t="shared" si="40"/>
        <v>0.05</v>
      </c>
      <c r="H3344">
        <f>G3344*(26.79/38.29)</f>
        <v>3.4983024288325934E-2</v>
      </c>
    </row>
    <row r="3345" spans="1:8" x14ac:dyDescent="0.25">
      <c r="A3345" s="1">
        <v>2008</v>
      </c>
      <c r="B3345" s="1" t="s">
        <v>99</v>
      </c>
      <c r="C3345" t="s">
        <v>51</v>
      </c>
      <c r="D3345">
        <v>2</v>
      </c>
      <c r="E3345">
        <v>79</v>
      </c>
      <c r="F3345">
        <v>0.39</v>
      </c>
      <c r="G3345">
        <f t="shared" si="40"/>
        <v>0.13</v>
      </c>
      <c r="H3345">
        <f>G3345*(26.79/38.29)</f>
        <v>9.0955863149647431E-2</v>
      </c>
    </row>
    <row r="3346" spans="1:8" x14ac:dyDescent="0.25">
      <c r="A3346" s="1">
        <v>2008</v>
      </c>
      <c r="B3346" s="1" t="s">
        <v>99</v>
      </c>
      <c r="C3346" t="s">
        <v>51</v>
      </c>
      <c r="D3346">
        <v>2</v>
      </c>
      <c r="E3346">
        <v>79</v>
      </c>
      <c r="F3346">
        <v>0.36</v>
      </c>
      <c r="G3346">
        <f t="shared" si="40"/>
        <v>0.12</v>
      </c>
      <c r="H3346">
        <f>G3346*(26.79/38.29)</f>
        <v>8.3959258291982225E-2</v>
      </c>
    </row>
    <row r="3347" spans="1:8" x14ac:dyDescent="0.25">
      <c r="A3347" s="1">
        <v>2008</v>
      </c>
      <c r="B3347" s="1" t="s">
        <v>99</v>
      </c>
      <c r="C3347" t="s">
        <v>51</v>
      </c>
      <c r="D3347">
        <v>2</v>
      </c>
      <c r="E3347">
        <v>79</v>
      </c>
      <c r="F3347">
        <v>0.94</v>
      </c>
      <c r="G3347">
        <f t="shared" si="40"/>
        <v>0.31333333333333335</v>
      </c>
      <c r="H3347">
        <f>G3347*(26.79/38.29)</f>
        <v>0.21922695220684252</v>
      </c>
    </row>
    <row r="3348" spans="1:8" x14ac:dyDescent="0.25">
      <c r="A3348" s="1">
        <v>2008</v>
      </c>
      <c r="B3348" s="1" t="s">
        <v>99</v>
      </c>
      <c r="C3348" t="s">
        <v>51</v>
      </c>
      <c r="D3348">
        <v>2</v>
      </c>
      <c r="E3348">
        <v>79</v>
      </c>
      <c r="F3348">
        <v>0.11</v>
      </c>
      <c r="G3348">
        <f t="shared" si="40"/>
        <v>3.6666666666666667E-2</v>
      </c>
      <c r="H3348">
        <f>G3348*(26.79/38.29)</f>
        <v>2.5654217811439017E-2</v>
      </c>
    </row>
    <row r="3349" spans="1:8" x14ac:dyDescent="0.25">
      <c r="A3349" s="1">
        <v>2008</v>
      </c>
      <c r="B3349" s="1" t="s">
        <v>99</v>
      </c>
      <c r="C3349" t="s">
        <v>51</v>
      </c>
      <c r="D3349">
        <v>2</v>
      </c>
      <c r="E3349">
        <v>79</v>
      </c>
      <c r="F3349">
        <v>1.08</v>
      </c>
      <c r="G3349">
        <f t="shared" si="40"/>
        <v>0.36000000000000004</v>
      </c>
      <c r="H3349">
        <f>G3349*(26.79/38.29)</f>
        <v>0.25187777487594676</v>
      </c>
    </row>
    <row r="3350" spans="1:8" x14ac:dyDescent="0.25">
      <c r="A3350" s="1">
        <v>2008</v>
      </c>
      <c r="B3350" s="1" t="s">
        <v>99</v>
      </c>
      <c r="C3350" t="s">
        <v>51</v>
      </c>
      <c r="D3350">
        <v>2</v>
      </c>
      <c r="E3350">
        <v>79</v>
      </c>
      <c r="F3350">
        <v>0.51</v>
      </c>
      <c r="G3350">
        <f t="shared" si="40"/>
        <v>0.17</v>
      </c>
      <c r="H3350">
        <f>G3350*(26.79/38.29)</f>
        <v>0.11894228258030817</v>
      </c>
    </row>
    <row r="3351" spans="1:8" x14ac:dyDescent="0.25">
      <c r="A3351" s="1">
        <v>2008</v>
      </c>
      <c r="B3351" s="1" t="s">
        <v>99</v>
      </c>
      <c r="C3351" t="s">
        <v>51</v>
      </c>
      <c r="D3351">
        <v>2</v>
      </c>
      <c r="E3351">
        <v>79</v>
      </c>
      <c r="F3351">
        <v>0.64</v>
      </c>
      <c r="G3351">
        <f t="shared" si="40"/>
        <v>0.21333333333333332</v>
      </c>
      <c r="H3351">
        <f>G3351*(26.79/38.29)</f>
        <v>0.14926090363019062</v>
      </c>
    </row>
    <row r="3352" spans="1:8" x14ac:dyDescent="0.25">
      <c r="A3352" s="1">
        <v>2008</v>
      </c>
      <c r="B3352" s="1" t="s">
        <v>99</v>
      </c>
      <c r="C3352" t="s">
        <v>51</v>
      </c>
      <c r="D3352">
        <v>2</v>
      </c>
      <c r="E3352">
        <v>79</v>
      </c>
      <c r="F3352">
        <v>0.08</v>
      </c>
      <c r="G3352">
        <f t="shared" si="40"/>
        <v>2.6666666666666665E-2</v>
      </c>
      <c r="H3352">
        <f>G3352*(26.79/38.29)</f>
        <v>1.8657612953773828E-2</v>
      </c>
    </row>
    <row r="3353" spans="1:8" x14ac:dyDescent="0.25">
      <c r="A3353" s="1">
        <v>2008</v>
      </c>
      <c r="B3353" s="1" t="s">
        <v>99</v>
      </c>
      <c r="C3353" t="s">
        <v>51</v>
      </c>
      <c r="D3353">
        <v>2</v>
      </c>
      <c r="E3353">
        <v>79</v>
      </c>
      <c r="F3353">
        <v>0.49</v>
      </c>
      <c r="G3353">
        <f t="shared" si="40"/>
        <v>0.16333333333333333</v>
      </c>
      <c r="H3353">
        <f>G3353*(26.79/38.29)</f>
        <v>0.1142778793418647</v>
      </c>
    </row>
    <row r="3354" spans="1:8" x14ac:dyDescent="0.25">
      <c r="A3354" s="1">
        <v>2008</v>
      </c>
      <c r="B3354" s="1" t="s">
        <v>99</v>
      </c>
      <c r="C3354" t="s">
        <v>51</v>
      </c>
      <c r="D3354">
        <v>2</v>
      </c>
      <c r="E3354">
        <v>79</v>
      </c>
      <c r="F3354">
        <v>0.8</v>
      </c>
      <c r="G3354">
        <f t="shared" si="40"/>
        <v>0.26666666666666672</v>
      </c>
      <c r="H3354">
        <f>G3354*(26.79/38.29)</f>
        <v>0.18657612953773833</v>
      </c>
    </row>
    <row r="3355" spans="1:8" x14ac:dyDescent="0.25">
      <c r="A3355" s="1">
        <v>2008</v>
      </c>
      <c r="B3355" s="1" t="s">
        <v>99</v>
      </c>
      <c r="C3355" t="s">
        <v>51</v>
      </c>
      <c r="D3355">
        <v>2</v>
      </c>
      <c r="E3355">
        <v>79</v>
      </c>
      <c r="F3355">
        <v>0.98</v>
      </c>
      <c r="G3355">
        <f t="shared" si="40"/>
        <v>0.32666666666666666</v>
      </c>
      <c r="H3355">
        <f>G3355*(26.79/38.29)</f>
        <v>0.2285557586837294</v>
      </c>
    </row>
    <row r="3356" spans="1:8" x14ac:dyDescent="0.25">
      <c r="A3356" s="1">
        <v>2008</v>
      </c>
      <c r="B3356" s="1" t="s">
        <v>99</v>
      </c>
      <c r="C3356" t="s">
        <v>51</v>
      </c>
      <c r="D3356">
        <v>2</v>
      </c>
      <c r="E3356">
        <v>79</v>
      </c>
      <c r="F3356">
        <v>0.59</v>
      </c>
      <c r="G3356">
        <f t="shared" si="40"/>
        <v>0.19666666666666666</v>
      </c>
      <c r="H3356">
        <f>G3356*(26.79/38.29)</f>
        <v>0.137599895534082</v>
      </c>
    </row>
    <row r="3357" spans="1:8" x14ac:dyDescent="0.25">
      <c r="A3357" s="1">
        <v>2008</v>
      </c>
      <c r="B3357" s="1" t="s">
        <v>99</v>
      </c>
      <c r="C3357" t="s">
        <v>51</v>
      </c>
      <c r="D3357">
        <v>2</v>
      </c>
      <c r="E3357">
        <v>79</v>
      </c>
      <c r="F3357">
        <v>0.92</v>
      </c>
      <c r="G3357">
        <f t="shared" si="40"/>
        <v>0.3066666666666667</v>
      </c>
      <c r="H3357">
        <f>G3357*(26.79/38.29)</f>
        <v>0.21456254896839907</v>
      </c>
    </row>
    <row r="3358" spans="1:8" x14ac:dyDescent="0.25">
      <c r="A3358" s="1">
        <v>2008</v>
      </c>
      <c r="B3358" s="1" t="s">
        <v>99</v>
      </c>
      <c r="C3358" t="s">
        <v>51</v>
      </c>
      <c r="D3358">
        <v>2</v>
      </c>
      <c r="E3358">
        <v>79</v>
      </c>
      <c r="F3358">
        <v>7.0000000000000007E-2</v>
      </c>
      <c r="G3358">
        <f t="shared" si="40"/>
        <v>2.3333333333333338E-2</v>
      </c>
      <c r="H3358">
        <f>G3358*(26.79/38.29)</f>
        <v>1.6325411334552103E-2</v>
      </c>
    </row>
    <row r="3359" spans="1:8" x14ac:dyDescent="0.25">
      <c r="A3359" s="1">
        <v>2008</v>
      </c>
      <c r="B3359" s="1" t="s">
        <v>99</v>
      </c>
      <c r="C3359" t="s">
        <v>51</v>
      </c>
      <c r="D3359">
        <v>2</v>
      </c>
      <c r="E3359">
        <v>79</v>
      </c>
      <c r="F3359">
        <v>0.89</v>
      </c>
      <c r="G3359">
        <f t="shared" si="40"/>
        <v>0.29666666666666669</v>
      </c>
      <c r="H3359">
        <f>G3359*(26.79/38.29)</f>
        <v>0.20756594411073387</v>
      </c>
    </row>
    <row r="3360" spans="1:8" x14ac:dyDescent="0.25">
      <c r="A3360" s="1">
        <v>2008</v>
      </c>
      <c r="B3360" s="1" t="s">
        <v>99</v>
      </c>
      <c r="C3360" t="s">
        <v>51</v>
      </c>
      <c r="D3360">
        <v>2</v>
      </c>
      <c r="E3360">
        <v>79</v>
      </c>
      <c r="F3360">
        <v>0.36</v>
      </c>
      <c r="G3360">
        <f t="shared" si="40"/>
        <v>0.12</v>
      </c>
      <c r="H3360">
        <f>G3360*(26.79/38.29)</f>
        <v>8.3959258291982225E-2</v>
      </c>
    </row>
    <row r="3361" spans="1:8" x14ac:dyDescent="0.25">
      <c r="A3361" s="1">
        <v>2008</v>
      </c>
      <c r="B3361" s="1" t="s">
        <v>99</v>
      </c>
      <c r="C3361" t="s">
        <v>51</v>
      </c>
      <c r="D3361">
        <v>2</v>
      </c>
      <c r="E3361">
        <v>79</v>
      </c>
      <c r="F3361">
        <v>0.38</v>
      </c>
      <c r="G3361">
        <f t="shared" si="40"/>
        <v>0.12666666666666668</v>
      </c>
      <c r="H3361">
        <f>G3361*(26.79/38.29)</f>
        <v>8.8623661530425696E-2</v>
      </c>
    </row>
    <row r="3362" spans="1:8" x14ac:dyDescent="0.25">
      <c r="A3362" s="1">
        <v>2008</v>
      </c>
      <c r="B3362" s="1" t="s">
        <v>99</v>
      </c>
      <c r="C3362" t="s">
        <v>51</v>
      </c>
      <c r="D3362">
        <v>2</v>
      </c>
      <c r="E3362">
        <v>79</v>
      </c>
      <c r="F3362">
        <v>1.4</v>
      </c>
      <c r="G3362">
        <f t="shared" si="40"/>
        <v>0.46666666666666667</v>
      </c>
      <c r="H3362">
        <f>G3362*(26.79/38.29)</f>
        <v>0.32650822669104201</v>
      </c>
    </row>
    <row r="3363" spans="1:8" x14ac:dyDescent="0.25">
      <c r="A3363" s="1">
        <v>2008</v>
      </c>
      <c r="B3363" s="1" t="s">
        <v>99</v>
      </c>
      <c r="C3363" t="s">
        <v>51</v>
      </c>
      <c r="D3363">
        <v>2</v>
      </c>
      <c r="E3363">
        <v>79</v>
      </c>
      <c r="F3363">
        <v>0.09</v>
      </c>
      <c r="G3363">
        <f t="shared" si="40"/>
        <v>0.03</v>
      </c>
      <c r="H3363">
        <f>G3363*(26.79/38.29)</f>
        <v>2.0989814572995556E-2</v>
      </c>
    </row>
    <row r="3364" spans="1:8" x14ac:dyDescent="0.25">
      <c r="A3364" s="1">
        <v>2008</v>
      </c>
      <c r="B3364" s="1" t="s">
        <v>99</v>
      </c>
      <c r="C3364" t="s">
        <v>51</v>
      </c>
      <c r="D3364">
        <v>2</v>
      </c>
      <c r="E3364">
        <v>79</v>
      </c>
      <c r="F3364">
        <v>1.1599999999999999</v>
      </c>
      <c r="G3364">
        <f t="shared" si="40"/>
        <v>0.38666666666666666</v>
      </c>
      <c r="H3364">
        <f>G3364*(26.79/38.29)</f>
        <v>0.27053538782972053</v>
      </c>
    </row>
    <row r="3365" spans="1:8" x14ac:dyDescent="0.25">
      <c r="A3365" s="1">
        <v>2008</v>
      </c>
      <c r="B3365" s="1" t="s">
        <v>99</v>
      </c>
      <c r="C3365" t="s">
        <v>51</v>
      </c>
      <c r="D3365">
        <v>2</v>
      </c>
      <c r="E3365">
        <v>79</v>
      </c>
      <c r="F3365">
        <v>0.21</v>
      </c>
      <c r="G3365">
        <f t="shared" si="40"/>
        <v>6.9999999999999993E-2</v>
      </c>
      <c r="H3365">
        <f>G3365*(26.79/38.29)</f>
        <v>4.8976234003656298E-2</v>
      </c>
    </row>
    <row r="3366" spans="1:8" x14ac:dyDescent="0.25">
      <c r="A3366" s="1">
        <v>2008</v>
      </c>
      <c r="B3366" s="1" t="s">
        <v>99</v>
      </c>
      <c r="C3366" t="s">
        <v>51</v>
      </c>
      <c r="D3366">
        <v>2</v>
      </c>
      <c r="E3366">
        <v>79</v>
      </c>
      <c r="F3366">
        <v>1.18</v>
      </c>
      <c r="G3366">
        <f t="shared" si="40"/>
        <v>0.39333333333333331</v>
      </c>
      <c r="H3366">
        <f>G3366*(26.79/38.29)</f>
        <v>0.275199791068164</v>
      </c>
    </row>
    <row r="3367" spans="1:8" x14ac:dyDescent="0.25">
      <c r="A3367" s="1">
        <v>2008</v>
      </c>
      <c r="B3367" s="1" t="s">
        <v>99</v>
      </c>
      <c r="C3367" t="s">
        <v>51</v>
      </c>
      <c r="D3367">
        <v>2</v>
      </c>
      <c r="E3367">
        <v>79</v>
      </c>
      <c r="F3367">
        <v>0.08</v>
      </c>
      <c r="G3367">
        <f t="shared" si="40"/>
        <v>2.6666666666666665E-2</v>
      </c>
      <c r="H3367">
        <f>G3367*(26.79/38.29)</f>
        <v>1.8657612953773828E-2</v>
      </c>
    </row>
    <row r="3368" spans="1:8" x14ac:dyDescent="0.25">
      <c r="A3368" s="1">
        <v>2008</v>
      </c>
      <c r="B3368" s="1" t="s">
        <v>99</v>
      </c>
      <c r="C3368" t="s">
        <v>51</v>
      </c>
      <c r="D3368">
        <v>2</v>
      </c>
      <c r="E3368">
        <v>79</v>
      </c>
      <c r="F3368">
        <v>0.09</v>
      </c>
      <c r="G3368">
        <f t="shared" si="40"/>
        <v>0.03</v>
      </c>
      <c r="H3368">
        <f>G3368*(26.79/38.29)</f>
        <v>2.0989814572995556E-2</v>
      </c>
    </row>
    <row r="3369" spans="1:8" x14ac:dyDescent="0.25">
      <c r="A3369" s="1">
        <v>2008</v>
      </c>
      <c r="B3369" s="1" t="s">
        <v>99</v>
      </c>
      <c r="C3369" t="s">
        <v>51</v>
      </c>
      <c r="D3369">
        <v>2</v>
      </c>
      <c r="E3369">
        <v>79</v>
      </c>
      <c r="F3369">
        <v>7.0000000000000007E-2</v>
      </c>
      <c r="G3369">
        <f t="shared" si="40"/>
        <v>2.3333333333333338E-2</v>
      </c>
      <c r="H3369">
        <f>G3369*(26.79/38.29)</f>
        <v>1.6325411334552103E-2</v>
      </c>
    </row>
    <row r="3370" spans="1:8" x14ac:dyDescent="0.25">
      <c r="A3370" s="1">
        <v>2008</v>
      </c>
      <c r="B3370" s="1" t="s">
        <v>99</v>
      </c>
      <c r="C3370" t="s">
        <v>51</v>
      </c>
      <c r="D3370">
        <v>2</v>
      </c>
      <c r="E3370">
        <v>79</v>
      </c>
      <c r="F3370">
        <v>0.09</v>
      </c>
      <c r="G3370">
        <f t="shared" si="40"/>
        <v>0.03</v>
      </c>
      <c r="H3370">
        <f>G3370*(26.79/38.29)</f>
        <v>2.0989814572995556E-2</v>
      </c>
    </row>
    <row r="3371" spans="1:8" x14ac:dyDescent="0.25">
      <c r="A3371" s="1">
        <v>2008</v>
      </c>
      <c r="B3371" s="1" t="s">
        <v>99</v>
      </c>
      <c r="C3371" t="s">
        <v>51</v>
      </c>
      <c r="D3371">
        <v>2</v>
      </c>
      <c r="E3371">
        <v>79</v>
      </c>
      <c r="F3371">
        <v>1.36</v>
      </c>
      <c r="G3371">
        <f t="shared" si="40"/>
        <v>0.45333333333333342</v>
      </c>
      <c r="H3371">
        <f>G3371*(26.79/38.29)</f>
        <v>0.31717942021415518</v>
      </c>
    </row>
    <row r="3372" spans="1:8" x14ac:dyDescent="0.25">
      <c r="A3372" s="1">
        <v>2008</v>
      </c>
      <c r="B3372" s="1" t="s">
        <v>99</v>
      </c>
      <c r="C3372" t="s">
        <v>51</v>
      </c>
      <c r="D3372">
        <v>2</v>
      </c>
      <c r="E3372">
        <v>79</v>
      </c>
      <c r="F3372">
        <v>0.8</v>
      </c>
      <c r="G3372">
        <f t="shared" si="40"/>
        <v>0.26666666666666672</v>
      </c>
      <c r="H3372">
        <f>G3372*(26.79/38.29)</f>
        <v>0.18657612953773833</v>
      </c>
    </row>
    <row r="3373" spans="1:8" x14ac:dyDescent="0.25">
      <c r="A3373" s="1">
        <v>2008</v>
      </c>
      <c r="B3373" s="1" t="s">
        <v>99</v>
      </c>
      <c r="C3373" t="s">
        <v>51</v>
      </c>
      <c r="D3373">
        <v>2</v>
      </c>
      <c r="E3373">
        <v>79</v>
      </c>
      <c r="F3373">
        <v>0.27</v>
      </c>
      <c r="G3373">
        <f t="shared" si="40"/>
        <v>9.0000000000000011E-2</v>
      </c>
      <c r="H3373">
        <f>G3373*(26.79/38.29)</f>
        <v>6.296944371898669E-2</v>
      </c>
    </row>
    <row r="3374" spans="1:8" x14ac:dyDescent="0.25">
      <c r="A3374" s="1">
        <v>2008</v>
      </c>
      <c r="B3374" s="1" t="s">
        <v>99</v>
      </c>
      <c r="C3374" t="s">
        <v>51</v>
      </c>
      <c r="D3374">
        <v>2</v>
      </c>
      <c r="E3374">
        <v>79</v>
      </c>
      <c r="F3374">
        <v>0.68</v>
      </c>
      <c r="G3374">
        <f t="shared" si="40"/>
        <v>0.22666666666666671</v>
      </c>
      <c r="H3374">
        <f>G3374*(26.79/38.29)</f>
        <v>0.15858971010707759</v>
      </c>
    </row>
    <row r="3375" spans="1:8" x14ac:dyDescent="0.25">
      <c r="A3375" s="1">
        <v>2008</v>
      </c>
      <c r="B3375" s="1" t="s">
        <v>99</v>
      </c>
      <c r="C3375" t="s">
        <v>51</v>
      </c>
      <c r="D3375">
        <v>2</v>
      </c>
      <c r="E3375">
        <v>79</v>
      </c>
      <c r="F3375">
        <v>0.76</v>
      </c>
      <c r="G3375">
        <f t="shared" si="40"/>
        <v>0.25333333333333335</v>
      </c>
      <c r="H3375">
        <f>G3375*(26.79/38.29)</f>
        <v>0.17724732306085139</v>
      </c>
    </row>
    <row r="3376" spans="1:8" x14ac:dyDescent="0.25">
      <c r="A3376" s="1">
        <v>2008</v>
      </c>
      <c r="B3376" s="1" t="s">
        <v>99</v>
      </c>
      <c r="C3376" t="s">
        <v>51</v>
      </c>
      <c r="D3376">
        <v>2</v>
      </c>
      <c r="E3376">
        <v>79</v>
      </c>
      <c r="F3376">
        <v>7.0000000000000007E-2</v>
      </c>
      <c r="G3376">
        <f t="shared" si="40"/>
        <v>2.3333333333333338E-2</v>
      </c>
      <c r="H3376">
        <f>G3376*(26.79/38.29)</f>
        <v>1.6325411334552103E-2</v>
      </c>
    </row>
    <row r="3377" spans="1:8" x14ac:dyDescent="0.25">
      <c r="A3377" s="1">
        <v>2008</v>
      </c>
      <c r="B3377" s="1" t="s">
        <v>99</v>
      </c>
      <c r="C3377" t="s">
        <v>51</v>
      </c>
      <c r="D3377">
        <v>2</v>
      </c>
      <c r="E3377">
        <v>79</v>
      </c>
      <c r="F3377">
        <v>0.68</v>
      </c>
      <c r="G3377">
        <f t="shared" si="40"/>
        <v>0.22666666666666671</v>
      </c>
      <c r="H3377">
        <f>G3377*(26.79/38.29)</f>
        <v>0.15858971010707759</v>
      </c>
    </row>
    <row r="3378" spans="1:8" x14ac:dyDescent="0.25">
      <c r="A3378" s="1">
        <v>2008</v>
      </c>
      <c r="B3378" s="1" t="s">
        <v>99</v>
      </c>
      <c r="C3378" t="s">
        <v>51</v>
      </c>
      <c r="D3378">
        <v>2</v>
      </c>
      <c r="E3378">
        <v>79</v>
      </c>
      <c r="F3378">
        <v>1.58</v>
      </c>
      <c r="G3378">
        <f t="shared" si="40"/>
        <v>0.52666666666666673</v>
      </c>
      <c r="H3378">
        <f>G3378*(26.79/38.29)</f>
        <v>0.3684878558370332</v>
      </c>
    </row>
    <row r="3379" spans="1:8" x14ac:dyDescent="0.25">
      <c r="A3379" s="1">
        <v>2008</v>
      </c>
      <c r="B3379" s="1" t="s">
        <v>99</v>
      </c>
      <c r="C3379" t="s">
        <v>51</v>
      </c>
      <c r="D3379">
        <v>2</v>
      </c>
      <c r="E3379">
        <v>79</v>
      </c>
      <c r="F3379">
        <v>1.67</v>
      </c>
      <c r="G3379">
        <f t="shared" si="40"/>
        <v>0.55666666666666664</v>
      </c>
      <c r="H3379">
        <f>G3379*(26.79/38.29)</f>
        <v>0.38947767041002868</v>
      </c>
    </row>
    <row r="3380" spans="1:8" x14ac:dyDescent="0.25">
      <c r="A3380" s="1">
        <v>2008</v>
      </c>
      <c r="B3380" s="1" t="s">
        <v>99</v>
      </c>
      <c r="C3380" t="s">
        <v>51</v>
      </c>
      <c r="D3380">
        <v>2</v>
      </c>
      <c r="E3380">
        <v>79</v>
      </c>
      <c r="F3380">
        <v>7.0000000000000007E-2</v>
      </c>
      <c r="G3380">
        <f t="shared" si="40"/>
        <v>2.3333333333333338E-2</v>
      </c>
      <c r="H3380">
        <f>G3380*(26.79/38.29)</f>
        <v>1.6325411334552103E-2</v>
      </c>
    </row>
    <row r="3381" spans="1:8" x14ac:dyDescent="0.25">
      <c r="A3381" s="1">
        <v>2008</v>
      </c>
      <c r="B3381" s="1" t="s">
        <v>99</v>
      </c>
      <c r="C3381" t="s">
        <v>51</v>
      </c>
      <c r="D3381">
        <v>2</v>
      </c>
      <c r="E3381">
        <v>79</v>
      </c>
      <c r="F3381">
        <v>0.43</v>
      </c>
      <c r="G3381">
        <f t="shared" si="40"/>
        <v>0.14333333333333334</v>
      </c>
      <c r="H3381">
        <f>G3381*(26.79/38.29)</f>
        <v>0.10028466962653435</v>
      </c>
    </row>
    <row r="3382" spans="1:8" x14ac:dyDescent="0.25">
      <c r="A3382" s="1">
        <v>2008</v>
      </c>
      <c r="B3382" s="1" t="s">
        <v>99</v>
      </c>
      <c r="C3382" t="s">
        <v>51</v>
      </c>
      <c r="D3382">
        <v>2</v>
      </c>
      <c r="E3382">
        <v>79</v>
      </c>
      <c r="F3382">
        <v>0.04</v>
      </c>
      <c r="G3382">
        <f t="shared" si="40"/>
        <v>1.3333333333333332E-2</v>
      </c>
      <c r="H3382">
        <f>G3382*(26.79/38.29)</f>
        <v>9.3288064768869139E-3</v>
      </c>
    </row>
    <row r="3383" spans="1:8" x14ac:dyDescent="0.25">
      <c r="A3383" s="1">
        <v>2008</v>
      </c>
      <c r="B3383" s="1" t="s">
        <v>99</v>
      </c>
      <c r="C3383" t="s">
        <v>51</v>
      </c>
      <c r="D3383">
        <v>2</v>
      </c>
      <c r="E3383">
        <v>79</v>
      </c>
      <c r="F3383">
        <v>1.33</v>
      </c>
      <c r="G3383">
        <f t="shared" si="40"/>
        <v>0.44333333333333336</v>
      </c>
      <c r="H3383">
        <f>G3383*(26.79/38.29)</f>
        <v>0.31018281535648995</v>
      </c>
    </row>
    <row r="3384" spans="1:8" x14ac:dyDescent="0.25">
      <c r="A3384" s="1">
        <v>2008</v>
      </c>
      <c r="B3384" s="1" t="s">
        <v>99</v>
      </c>
      <c r="C3384" t="s">
        <v>51</v>
      </c>
      <c r="D3384">
        <v>2</v>
      </c>
      <c r="E3384">
        <v>79</v>
      </c>
      <c r="F3384">
        <v>1.28</v>
      </c>
      <c r="G3384">
        <f t="shared" si="40"/>
        <v>0.42666666666666664</v>
      </c>
      <c r="H3384">
        <f>G3384*(26.79/38.29)</f>
        <v>0.29852180726038124</v>
      </c>
    </row>
    <row r="3385" spans="1:8" x14ac:dyDescent="0.25">
      <c r="A3385" s="1">
        <v>2008</v>
      </c>
      <c r="B3385" s="1" t="s">
        <v>99</v>
      </c>
      <c r="C3385" t="s">
        <v>51</v>
      </c>
      <c r="D3385">
        <v>2</v>
      </c>
      <c r="E3385">
        <v>79</v>
      </c>
      <c r="F3385">
        <v>0.05</v>
      </c>
      <c r="G3385">
        <f t="shared" si="40"/>
        <v>1.666666666666667E-2</v>
      </c>
      <c r="H3385">
        <f>G3385*(26.79/38.29)</f>
        <v>1.1661008096108646E-2</v>
      </c>
    </row>
    <row r="3386" spans="1:8" x14ac:dyDescent="0.25">
      <c r="A3386" s="1">
        <v>2008</v>
      </c>
      <c r="B3386" s="1" t="s">
        <v>99</v>
      </c>
      <c r="C3386" t="s">
        <v>51</v>
      </c>
      <c r="D3386">
        <v>2</v>
      </c>
      <c r="E3386">
        <v>79</v>
      </c>
      <c r="F3386">
        <v>0.24</v>
      </c>
      <c r="G3386">
        <f t="shared" si="40"/>
        <v>0.08</v>
      </c>
      <c r="H3386">
        <f>G3386*(26.79/38.29)</f>
        <v>5.597283886132149E-2</v>
      </c>
    </row>
    <row r="3387" spans="1:8" x14ac:dyDescent="0.25">
      <c r="A3387" s="1">
        <v>2008</v>
      </c>
      <c r="B3387" s="1" t="s">
        <v>99</v>
      </c>
      <c r="C3387" t="s">
        <v>51</v>
      </c>
      <c r="D3387">
        <v>2</v>
      </c>
      <c r="E3387">
        <v>79</v>
      </c>
      <c r="F3387">
        <v>0.05</v>
      </c>
      <c r="G3387">
        <f t="shared" si="40"/>
        <v>1.666666666666667E-2</v>
      </c>
      <c r="H3387">
        <f>G3387*(26.79/38.29)</f>
        <v>1.1661008096108646E-2</v>
      </c>
    </row>
    <row r="3388" spans="1:8" x14ac:dyDescent="0.25">
      <c r="A3388" s="1">
        <v>2008</v>
      </c>
      <c r="B3388" s="1" t="s">
        <v>99</v>
      </c>
      <c r="C3388" t="s">
        <v>51</v>
      </c>
      <c r="D3388">
        <v>2</v>
      </c>
      <c r="E3388">
        <v>79</v>
      </c>
      <c r="F3388">
        <v>0.73</v>
      </c>
      <c r="G3388">
        <f t="shared" si="40"/>
        <v>0.24333333333333335</v>
      </c>
      <c r="H3388">
        <f>G3388*(26.79/38.29)</f>
        <v>0.17025071820318621</v>
      </c>
    </row>
    <row r="3389" spans="1:8" x14ac:dyDescent="0.25">
      <c r="A3389" s="1">
        <v>2008</v>
      </c>
      <c r="B3389" s="1" t="s">
        <v>99</v>
      </c>
      <c r="C3389" t="s">
        <v>51</v>
      </c>
      <c r="D3389">
        <v>2</v>
      </c>
      <c r="E3389">
        <v>79</v>
      </c>
      <c r="F3389">
        <v>7.0000000000000007E-2</v>
      </c>
      <c r="G3389">
        <f t="shared" si="40"/>
        <v>2.3333333333333338E-2</v>
      </c>
      <c r="H3389">
        <f>G3389*(26.79/38.29)</f>
        <v>1.6325411334552103E-2</v>
      </c>
    </row>
    <row r="3390" spans="1:8" x14ac:dyDescent="0.25">
      <c r="A3390" s="1">
        <v>2008</v>
      </c>
      <c r="B3390" s="1" t="s">
        <v>99</v>
      </c>
      <c r="C3390" t="s">
        <v>51</v>
      </c>
      <c r="D3390">
        <v>2</v>
      </c>
      <c r="E3390">
        <v>79</v>
      </c>
      <c r="F3390">
        <v>0.13</v>
      </c>
      <c r="G3390">
        <f t="shared" si="40"/>
        <v>4.3333333333333335E-2</v>
      </c>
      <c r="H3390">
        <f>G3390*(26.79/38.29)</f>
        <v>3.0318621049882474E-2</v>
      </c>
    </row>
    <row r="3391" spans="1:8" x14ac:dyDescent="0.25">
      <c r="A3391" s="1">
        <v>2008</v>
      </c>
      <c r="B3391" s="1" t="s">
        <v>99</v>
      </c>
      <c r="C3391" t="s">
        <v>51</v>
      </c>
      <c r="D3391">
        <v>2</v>
      </c>
      <c r="E3391">
        <v>79</v>
      </c>
      <c r="F3391">
        <v>0.7</v>
      </c>
      <c r="G3391">
        <f t="shared" si="40"/>
        <v>0.23333333333333334</v>
      </c>
      <c r="H3391">
        <f>G3391*(26.79/38.29)</f>
        <v>0.16325411334552101</v>
      </c>
    </row>
    <row r="3392" spans="1:8" x14ac:dyDescent="0.25">
      <c r="A3392" s="1">
        <v>2008</v>
      </c>
      <c r="B3392" s="1" t="s">
        <v>99</v>
      </c>
      <c r="C3392" t="s">
        <v>51</v>
      </c>
      <c r="D3392">
        <v>2</v>
      </c>
      <c r="E3392">
        <v>79</v>
      </c>
      <c r="F3392">
        <v>0.53</v>
      </c>
      <c r="G3392">
        <f t="shared" si="40"/>
        <v>0.17666666666666669</v>
      </c>
      <c r="H3392">
        <f>G3392*(26.79/38.29)</f>
        <v>0.12360668581875164</v>
      </c>
    </row>
    <row r="3393" spans="1:8" x14ac:dyDescent="0.25">
      <c r="A3393" s="1">
        <v>2008</v>
      </c>
      <c r="B3393" s="1" t="s">
        <v>99</v>
      </c>
      <c r="C3393" t="s">
        <v>51</v>
      </c>
      <c r="D3393">
        <v>2</v>
      </c>
      <c r="E3393">
        <v>79</v>
      </c>
      <c r="F3393">
        <v>0.45</v>
      </c>
      <c r="G3393">
        <f t="shared" si="40"/>
        <v>0.15</v>
      </c>
      <c r="H3393">
        <f>G3393*(26.79/38.29)</f>
        <v>0.10494907286497779</v>
      </c>
    </row>
    <row r="3394" spans="1:8" x14ac:dyDescent="0.25">
      <c r="A3394" s="1">
        <v>2008</v>
      </c>
      <c r="B3394" s="1" t="s">
        <v>99</v>
      </c>
      <c r="C3394" t="s">
        <v>51</v>
      </c>
      <c r="D3394">
        <v>2</v>
      </c>
      <c r="E3394">
        <v>79</v>
      </c>
      <c r="F3394">
        <v>0.13</v>
      </c>
      <c r="G3394">
        <f t="shared" si="40"/>
        <v>4.3333333333333335E-2</v>
      </c>
      <c r="H3394">
        <f>G3394*(26.79/38.29)</f>
        <v>3.0318621049882474E-2</v>
      </c>
    </row>
    <row r="3395" spans="1:8" x14ac:dyDescent="0.25">
      <c r="A3395" s="1">
        <v>2008</v>
      </c>
      <c r="B3395" s="1" t="s">
        <v>99</v>
      </c>
      <c r="C3395" t="s">
        <v>51</v>
      </c>
      <c r="D3395">
        <v>2</v>
      </c>
      <c r="E3395">
        <v>85</v>
      </c>
      <c r="F3395">
        <v>0.05</v>
      </c>
      <c r="G3395">
        <f t="shared" si="40"/>
        <v>1.666666666666667E-2</v>
      </c>
      <c r="H3395">
        <f>G3395*(26.79/38.29)</f>
        <v>1.1661008096108646E-2</v>
      </c>
    </row>
    <row r="3396" spans="1:8" x14ac:dyDescent="0.25">
      <c r="A3396" s="1">
        <v>2008</v>
      </c>
      <c r="B3396" s="1" t="s">
        <v>99</v>
      </c>
      <c r="C3396" t="s">
        <v>51</v>
      </c>
      <c r="D3396">
        <v>2</v>
      </c>
      <c r="E3396">
        <v>85</v>
      </c>
      <c r="F3396">
        <v>0.24</v>
      </c>
      <c r="G3396">
        <f t="shared" si="40"/>
        <v>0.08</v>
      </c>
      <c r="H3396">
        <f>G3396*(26.79/38.29)</f>
        <v>5.597283886132149E-2</v>
      </c>
    </row>
    <row r="3397" spans="1:8" x14ac:dyDescent="0.25">
      <c r="A3397" s="1">
        <v>2008</v>
      </c>
      <c r="B3397" s="1" t="s">
        <v>99</v>
      </c>
      <c r="C3397" t="s">
        <v>51</v>
      </c>
      <c r="D3397">
        <v>2</v>
      </c>
      <c r="E3397">
        <v>85</v>
      </c>
      <c r="F3397">
        <v>7.0000000000000007E-2</v>
      </c>
      <c r="G3397">
        <f t="shared" si="40"/>
        <v>2.3333333333333338E-2</v>
      </c>
      <c r="H3397">
        <f>G3397*(26.79/38.29)</f>
        <v>1.6325411334552103E-2</v>
      </c>
    </row>
    <row r="3398" spans="1:8" x14ac:dyDescent="0.25">
      <c r="A3398" s="1">
        <v>2008</v>
      </c>
      <c r="B3398" s="1" t="s">
        <v>99</v>
      </c>
      <c r="C3398" t="s">
        <v>51</v>
      </c>
      <c r="D3398">
        <v>2</v>
      </c>
      <c r="E3398">
        <v>85</v>
      </c>
      <c r="F3398">
        <v>0.1</v>
      </c>
      <c r="G3398">
        <f t="shared" si="40"/>
        <v>3.333333333333334E-2</v>
      </c>
      <c r="H3398">
        <f>G3398*(26.79/38.29)</f>
        <v>2.3322016192217292E-2</v>
      </c>
    </row>
    <row r="3399" spans="1:8" x14ac:dyDescent="0.25">
      <c r="A3399" s="1">
        <v>2008</v>
      </c>
      <c r="B3399" s="1" t="s">
        <v>99</v>
      </c>
      <c r="C3399" t="s">
        <v>51</v>
      </c>
      <c r="D3399">
        <v>3</v>
      </c>
      <c r="E3399">
        <v>21</v>
      </c>
      <c r="F3399">
        <v>0.85</v>
      </c>
      <c r="G3399">
        <f t="shared" si="40"/>
        <v>0.28333333333333333</v>
      </c>
      <c r="H3399">
        <f>G3399*(26.79/38.29)</f>
        <v>0.19823713763384693</v>
      </c>
    </row>
    <row r="3400" spans="1:8" x14ac:dyDescent="0.25">
      <c r="A3400" s="1">
        <v>2008</v>
      </c>
      <c r="B3400" s="1" t="s">
        <v>99</v>
      </c>
      <c r="C3400" t="s">
        <v>51</v>
      </c>
      <c r="D3400">
        <v>3</v>
      </c>
      <c r="E3400">
        <v>25</v>
      </c>
      <c r="F3400">
        <v>0.06</v>
      </c>
      <c r="G3400">
        <f t="shared" si="40"/>
        <v>0.02</v>
      </c>
      <c r="H3400">
        <f>G3400*(26.79/38.29)</f>
        <v>1.3993209715330373E-2</v>
      </c>
    </row>
    <row r="3401" spans="1:8" x14ac:dyDescent="0.25">
      <c r="A3401" s="1">
        <v>2008</v>
      </c>
      <c r="B3401" s="1" t="s">
        <v>99</v>
      </c>
      <c r="C3401" t="s">
        <v>51</v>
      </c>
      <c r="D3401">
        <v>3</v>
      </c>
      <c r="E3401">
        <v>28</v>
      </c>
      <c r="F3401">
        <v>0.1</v>
      </c>
      <c r="G3401">
        <f t="shared" si="40"/>
        <v>3.333333333333334E-2</v>
      </c>
      <c r="H3401">
        <f>G3401*(26.79/38.29)</f>
        <v>2.3322016192217292E-2</v>
      </c>
    </row>
    <row r="3402" spans="1:8" x14ac:dyDescent="0.25">
      <c r="A3402" s="1">
        <v>2008</v>
      </c>
      <c r="B3402" s="1" t="s">
        <v>99</v>
      </c>
      <c r="C3402" t="s">
        <v>51</v>
      </c>
      <c r="D3402">
        <v>3</v>
      </c>
      <c r="E3402">
        <v>29</v>
      </c>
      <c r="F3402">
        <v>1.28</v>
      </c>
      <c r="G3402">
        <f t="shared" si="40"/>
        <v>0.42666666666666664</v>
      </c>
      <c r="H3402">
        <f>G3402*(26.79/38.29)</f>
        <v>0.29852180726038124</v>
      </c>
    </row>
    <row r="3403" spans="1:8" x14ac:dyDescent="0.25">
      <c r="A3403" s="1">
        <v>2008</v>
      </c>
      <c r="B3403" s="1" t="s">
        <v>99</v>
      </c>
      <c r="C3403" t="s">
        <v>51</v>
      </c>
      <c r="D3403">
        <v>3</v>
      </c>
      <c r="E3403">
        <v>29</v>
      </c>
      <c r="F3403">
        <v>0.05</v>
      </c>
      <c r="G3403">
        <f t="shared" si="40"/>
        <v>1.666666666666667E-2</v>
      </c>
      <c r="H3403">
        <f>G3403*(26.79/38.29)</f>
        <v>1.1661008096108646E-2</v>
      </c>
    </row>
    <row r="3404" spans="1:8" x14ac:dyDescent="0.25">
      <c r="A3404" s="1">
        <v>2008</v>
      </c>
      <c r="B3404" s="1" t="s">
        <v>99</v>
      </c>
      <c r="C3404" t="s">
        <v>51</v>
      </c>
      <c r="D3404">
        <v>3</v>
      </c>
      <c r="E3404">
        <v>29</v>
      </c>
      <c r="F3404">
        <v>0.09</v>
      </c>
      <c r="G3404">
        <f t="shared" si="40"/>
        <v>0.03</v>
      </c>
      <c r="H3404">
        <f>G3404*(26.79/38.29)</f>
        <v>2.0989814572995556E-2</v>
      </c>
    </row>
    <row r="3405" spans="1:8" x14ac:dyDescent="0.25">
      <c r="A3405" s="1">
        <v>2008</v>
      </c>
      <c r="B3405" s="1" t="s">
        <v>99</v>
      </c>
      <c r="C3405" t="s">
        <v>51</v>
      </c>
      <c r="D3405">
        <v>3</v>
      </c>
      <c r="E3405">
        <v>29</v>
      </c>
      <c r="F3405">
        <v>0.22</v>
      </c>
      <c r="G3405">
        <f t="shared" si="40"/>
        <v>7.3333333333333334E-2</v>
      </c>
      <c r="H3405">
        <f>G3405*(26.79/38.29)</f>
        <v>5.1308435622878033E-2</v>
      </c>
    </row>
    <row r="3406" spans="1:8" x14ac:dyDescent="0.25">
      <c r="A3406" s="1">
        <v>2008</v>
      </c>
      <c r="B3406" s="1" t="s">
        <v>99</v>
      </c>
      <c r="C3406" t="s">
        <v>51</v>
      </c>
      <c r="D3406">
        <v>3</v>
      </c>
      <c r="E3406">
        <v>29</v>
      </c>
      <c r="F3406">
        <v>0.38</v>
      </c>
      <c r="G3406">
        <f t="shared" ref="G3406:G3469" si="41">(F3406/0.6)/5</f>
        <v>0.12666666666666668</v>
      </c>
      <c r="H3406">
        <f>G3406*(26.79/38.29)</f>
        <v>8.8623661530425696E-2</v>
      </c>
    </row>
    <row r="3407" spans="1:8" x14ac:dyDescent="0.25">
      <c r="A3407" s="1">
        <v>2008</v>
      </c>
      <c r="B3407" s="1" t="s">
        <v>99</v>
      </c>
      <c r="C3407" t="s">
        <v>51</v>
      </c>
      <c r="D3407">
        <v>3</v>
      </c>
      <c r="E3407">
        <v>29</v>
      </c>
      <c r="F3407">
        <v>0.08</v>
      </c>
      <c r="G3407">
        <f t="shared" si="41"/>
        <v>2.6666666666666665E-2</v>
      </c>
      <c r="H3407">
        <f>G3407*(26.79/38.29)</f>
        <v>1.8657612953773828E-2</v>
      </c>
    </row>
    <row r="3408" spans="1:8" x14ac:dyDescent="0.25">
      <c r="A3408" s="1">
        <v>2008</v>
      </c>
      <c r="B3408" s="1" t="s">
        <v>99</v>
      </c>
      <c r="C3408" t="s">
        <v>51</v>
      </c>
      <c r="D3408">
        <v>3</v>
      </c>
      <c r="E3408">
        <v>29</v>
      </c>
      <c r="F3408">
        <v>0.34</v>
      </c>
      <c r="G3408">
        <f t="shared" si="41"/>
        <v>0.11333333333333336</v>
      </c>
      <c r="H3408">
        <f>G3408*(26.79/38.29)</f>
        <v>7.9294855053538796E-2</v>
      </c>
    </row>
    <row r="3409" spans="1:8" x14ac:dyDescent="0.25">
      <c r="A3409" s="1">
        <v>2008</v>
      </c>
      <c r="B3409" s="1" t="s">
        <v>99</v>
      </c>
      <c r="C3409" t="s">
        <v>51</v>
      </c>
      <c r="D3409">
        <v>3</v>
      </c>
      <c r="E3409">
        <v>29</v>
      </c>
      <c r="F3409">
        <v>0.05</v>
      </c>
      <c r="G3409">
        <f t="shared" si="41"/>
        <v>1.666666666666667E-2</v>
      </c>
      <c r="H3409">
        <f>G3409*(26.79/38.29)</f>
        <v>1.1661008096108646E-2</v>
      </c>
    </row>
    <row r="3410" spans="1:8" x14ac:dyDescent="0.25">
      <c r="A3410" s="1">
        <v>2008</v>
      </c>
      <c r="B3410" s="1" t="s">
        <v>99</v>
      </c>
      <c r="C3410" t="s">
        <v>51</v>
      </c>
      <c r="D3410">
        <v>3</v>
      </c>
      <c r="E3410">
        <v>29</v>
      </c>
      <c r="F3410">
        <v>0.59</v>
      </c>
      <c r="G3410">
        <f t="shared" si="41"/>
        <v>0.19666666666666666</v>
      </c>
      <c r="H3410">
        <f>G3410*(26.79/38.29)</f>
        <v>0.137599895534082</v>
      </c>
    </row>
    <row r="3411" spans="1:8" x14ac:dyDescent="0.25">
      <c r="A3411" s="1">
        <v>2008</v>
      </c>
      <c r="B3411" s="1" t="s">
        <v>99</v>
      </c>
      <c r="C3411" t="s">
        <v>51</v>
      </c>
      <c r="D3411">
        <v>3</v>
      </c>
      <c r="E3411">
        <v>29</v>
      </c>
      <c r="F3411">
        <v>0.95</v>
      </c>
      <c r="G3411">
        <f t="shared" si="41"/>
        <v>0.31666666666666665</v>
      </c>
      <c r="H3411">
        <f>G3411*(26.79/38.29)</f>
        <v>0.22155915382606423</v>
      </c>
    </row>
    <row r="3412" spans="1:8" x14ac:dyDescent="0.25">
      <c r="A3412" s="1">
        <v>2008</v>
      </c>
      <c r="B3412" s="1" t="s">
        <v>99</v>
      </c>
      <c r="C3412" t="s">
        <v>51</v>
      </c>
      <c r="D3412">
        <v>3</v>
      </c>
      <c r="E3412">
        <v>29</v>
      </c>
      <c r="F3412">
        <v>0.77</v>
      </c>
      <c r="G3412">
        <f t="shared" si="41"/>
        <v>0.25666666666666671</v>
      </c>
      <c r="H3412">
        <f>G3412*(26.79/38.29)</f>
        <v>0.17957952468007315</v>
      </c>
    </row>
    <row r="3413" spans="1:8" x14ac:dyDescent="0.25">
      <c r="A3413" s="1">
        <v>2008</v>
      </c>
      <c r="B3413" s="1" t="s">
        <v>99</v>
      </c>
      <c r="C3413" t="s">
        <v>51</v>
      </c>
      <c r="D3413">
        <v>3</v>
      </c>
      <c r="E3413">
        <v>29</v>
      </c>
      <c r="F3413">
        <v>0.17</v>
      </c>
      <c r="G3413">
        <f t="shared" si="41"/>
        <v>5.6666666666666678E-2</v>
      </c>
      <c r="H3413">
        <f>G3413*(26.79/38.29)</f>
        <v>3.9647427526769398E-2</v>
      </c>
    </row>
    <row r="3414" spans="1:8" x14ac:dyDescent="0.25">
      <c r="A3414" s="1">
        <v>2008</v>
      </c>
      <c r="B3414" s="1" t="s">
        <v>99</v>
      </c>
      <c r="C3414" t="s">
        <v>51</v>
      </c>
      <c r="D3414">
        <v>3</v>
      </c>
      <c r="E3414">
        <v>29</v>
      </c>
      <c r="F3414">
        <v>0.79</v>
      </c>
      <c r="G3414">
        <f t="shared" si="41"/>
        <v>0.26333333333333336</v>
      </c>
      <c r="H3414">
        <f>G3414*(26.79/38.29)</f>
        <v>0.1842439279185166</v>
      </c>
    </row>
    <row r="3415" spans="1:8" x14ac:dyDescent="0.25">
      <c r="A3415" s="1">
        <v>2008</v>
      </c>
      <c r="B3415" s="1" t="s">
        <v>99</v>
      </c>
      <c r="C3415" t="s">
        <v>51</v>
      </c>
      <c r="D3415">
        <v>3</v>
      </c>
      <c r="E3415">
        <v>29</v>
      </c>
      <c r="F3415">
        <v>0.32</v>
      </c>
      <c r="G3415">
        <f t="shared" si="41"/>
        <v>0.10666666666666666</v>
      </c>
      <c r="H3415">
        <f>G3415*(26.79/38.29)</f>
        <v>7.4630451815095311E-2</v>
      </c>
    </row>
    <row r="3416" spans="1:8" x14ac:dyDescent="0.25">
      <c r="A3416" s="1">
        <v>2008</v>
      </c>
      <c r="B3416" s="1" t="s">
        <v>99</v>
      </c>
      <c r="C3416" t="s">
        <v>51</v>
      </c>
      <c r="D3416">
        <v>3</v>
      </c>
      <c r="E3416">
        <v>29</v>
      </c>
      <c r="F3416">
        <v>7.0000000000000007E-2</v>
      </c>
      <c r="G3416">
        <f t="shared" si="41"/>
        <v>2.3333333333333338E-2</v>
      </c>
      <c r="H3416">
        <f>G3416*(26.79/38.29)</f>
        <v>1.6325411334552103E-2</v>
      </c>
    </row>
    <row r="3417" spans="1:8" x14ac:dyDescent="0.25">
      <c r="A3417" s="1">
        <v>2008</v>
      </c>
      <c r="B3417" s="1" t="s">
        <v>99</v>
      </c>
      <c r="C3417" t="s">
        <v>51</v>
      </c>
      <c r="D3417">
        <v>3</v>
      </c>
      <c r="E3417">
        <v>29</v>
      </c>
      <c r="F3417">
        <v>0.03</v>
      </c>
      <c r="G3417">
        <f t="shared" si="41"/>
        <v>0.01</v>
      </c>
      <c r="H3417">
        <f>G3417*(26.79/38.29)</f>
        <v>6.9966048576651863E-3</v>
      </c>
    </row>
    <row r="3418" spans="1:8" x14ac:dyDescent="0.25">
      <c r="A3418" s="1">
        <v>2008</v>
      </c>
      <c r="B3418" s="1" t="s">
        <v>99</v>
      </c>
      <c r="C3418" t="s">
        <v>51</v>
      </c>
      <c r="D3418">
        <v>3</v>
      </c>
      <c r="E3418">
        <v>32</v>
      </c>
      <c r="F3418">
        <v>0.06</v>
      </c>
      <c r="G3418">
        <f t="shared" si="41"/>
        <v>0.02</v>
      </c>
      <c r="H3418">
        <f>G3418*(26.79/38.29)</f>
        <v>1.3993209715330373E-2</v>
      </c>
    </row>
    <row r="3419" spans="1:8" x14ac:dyDescent="0.25">
      <c r="A3419" s="1">
        <v>2008</v>
      </c>
      <c r="B3419" s="1" t="s">
        <v>99</v>
      </c>
      <c r="C3419" t="s">
        <v>51</v>
      </c>
      <c r="D3419">
        <v>3</v>
      </c>
      <c r="E3419">
        <v>32</v>
      </c>
      <c r="F3419">
        <v>0.87</v>
      </c>
      <c r="G3419">
        <f t="shared" si="41"/>
        <v>0.28999999999999998</v>
      </c>
      <c r="H3419">
        <f>G3419*(26.79/38.29)</f>
        <v>0.2029015408722904</v>
      </c>
    </row>
    <row r="3420" spans="1:8" x14ac:dyDescent="0.25">
      <c r="A3420" s="1">
        <v>2008</v>
      </c>
      <c r="B3420" s="1" t="s">
        <v>99</v>
      </c>
      <c r="C3420" t="s">
        <v>51</v>
      </c>
      <c r="D3420">
        <v>3</v>
      </c>
      <c r="E3420">
        <v>32</v>
      </c>
      <c r="F3420">
        <v>0.61</v>
      </c>
      <c r="G3420">
        <f t="shared" si="41"/>
        <v>0.20333333333333331</v>
      </c>
      <c r="H3420">
        <f>G3420*(26.79/38.29)</f>
        <v>0.14226429877252544</v>
      </c>
    </row>
    <row r="3421" spans="1:8" x14ac:dyDescent="0.25">
      <c r="A3421" s="1">
        <v>2008</v>
      </c>
      <c r="B3421" s="1" t="s">
        <v>99</v>
      </c>
      <c r="C3421" t="s">
        <v>51</v>
      </c>
      <c r="D3421">
        <v>3</v>
      </c>
      <c r="E3421">
        <v>32</v>
      </c>
      <c r="F3421">
        <v>0.15</v>
      </c>
      <c r="G3421">
        <f t="shared" si="41"/>
        <v>0.05</v>
      </c>
      <c r="H3421">
        <f>G3421*(26.79/38.29)</f>
        <v>3.4983024288325934E-2</v>
      </c>
    </row>
    <row r="3422" spans="1:8" x14ac:dyDescent="0.25">
      <c r="A3422" s="1">
        <v>2008</v>
      </c>
      <c r="B3422" s="1" t="s">
        <v>99</v>
      </c>
      <c r="C3422" t="s">
        <v>51</v>
      </c>
      <c r="D3422">
        <v>3</v>
      </c>
      <c r="E3422">
        <v>32</v>
      </c>
      <c r="F3422">
        <v>0.55000000000000004</v>
      </c>
      <c r="G3422">
        <f t="shared" si="41"/>
        <v>0.18333333333333335</v>
      </c>
      <c r="H3422">
        <f>G3422*(26.79/38.29)</f>
        <v>0.12827108905719509</v>
      </c>
    </row>
    <row r="3423" spans="1:8" x14ac:dyDescent="0.25">
      <c r="A3423" s="1">
        <v>2008</v>
      </c>
      <c r="B3423" s="1" t="s">
        <v>99</v>
      </c>
      <c r="C3423" t="s">
        <v>51</v>
      </c>
      <c r="D3423">
        <v>3</v>
      </c>
      <c r="E3423">
        <v>32</v>
      </c>
      <c r="F3423">
        <v>0.32</v>
      </c>
      <c r="G3423">
        <f t="shared" si="41"/>
        <v>0.10666666666666666</v>
      </c>
      <c r="H3423">
        <f>G3423*(26.79/38.29)</f>
        <v>7.4630451815095311E-2</v>
      </c>
    </row>
    <row r="3424" spans="1:8" x14ac:dyDescent="0.25">
      <c r="A3424" s="1">
        <v>2008</v>
      </c>
      <c r="B3424" s="1" t="s">
        <v>99</v>
      </c>
      <c r="C3424" t="s">
        <v>51</v>
      </c>
      <c r="D3424">
        <v>3</v>
      </c>
      <c r="E3424">
        <v>32</v>
      </c>
      <c r="F3424">
        <v>0.13</v>
      </c>
      <c r="G3424">
        <f t="shared" si="41"/>
        <v>4.3333333333333335E-2</v>
      </c>
      <c r="H3424">
        <f>G3424*(26.79/38.29)</f>
        <v>3.0318621049882474E-2</v>
      </c>
    </row>
    <row r="3425" spans="1:8" x14ac:dyDescent="0.25">
      <c r="A3425" s="1">
        <v>2008</v>
      </c>
      <c r="B3425" s="1" t="s">
        <v>99</v>
      </c>
      <c r="C3425" t="s">
        <v>51</v>
      </c>
      <c r="D3425">
        <v>3</v>
      </c>
      <c r="E3425">
        <v>32</v>
      </c>
      <c r="F3425">
        <v>0.04</v>
      </c>
      <c r="G3425">
        <f t="shared" si="41"/>
        <v>1.3333333333333332E-2</v>
      </c>
      <c r="H3425">
        <f>G3425*(26.79/38.29)</f>
        <v>9.3288064768869139E-3</v>
      </c>
    </row>
    <row r="3426" spans="1:8" x14ac:dyDescent="0.25">
      <c r="A3426" s="1">
        <v>2008</v>
      </c>
      <c r="B3426" s="1" t="s">
        <v>99</v>
      </c>
      <c r="C3426" t="s">
        <v>51</v>
      </c>
      <c r="D3426">
        <v>3</v>
      </c>
      <c r="E3426">
        <v>32</v>
      </c>
      <c r="F3426">
        <v>0.67</v>
      </c>
      <c r="G3426">
        <f t="shared" si="41"/>
        <v>0.22333333333333333</v>
      </c>
      <c r="H3426">
        <f>G3426*(26.79/38.29)</f>
        <v>0.15625750848785583</v>
      </c>
    </row>
    <row r="3427" spans="1:8" x14ac:dyDescent="0.25">
      <c r="A3427" s="1">
        <v>2008</v>
      </c>
      <c r="B3427" s="1" t="s">
        <v>99</v>
      </c>
      <c r="C3427" t="s">
        <v>51</v>
      </c>
      <c r="D3427">
        <v>3</v>
      </c>
      <c r="E3427">
        <v>32</v>
      </c>
      <c r="F3427">
        <v>0.24</v>
      </c>
      <c r="G3427">
        <f t="shared" si="41"/>
        <v>0.08</v>
      </c>
      <c r="H3427">
        <f>G3427*(26.79/38.29)</f>
        <v>5.597283886132149E-2</v>
      </c>
    </row>
    <row r="3428" spans="1:8" x14ac:dyDescent="0.25">
      <c r="A3428" s="1">
        <v>2008</v>
      </c>
      <c r="B3428" s="1" t="s">
        <v>99</v>
      </c>
      <c r="C3428" t="s">
        <v>51</v>
      </c>
      <c r="D3428">
        <v>3</v>
      </c>
      <c r="E3428">
        <v>32</v>
      </c>
      <c r="F3428">
        <v>0.37</v>
      </c>
      <c r="G3428">
        <f t="shared" si="41"/>
        <v>0.12333333333333334</v>
      </c>
      <c r="H3428">
        <f>G3428*(26.79/38.29)</f>
        <v>8.629145991120396E-2</v>
      </c>
    </row>
    <row r="3429" spans="1:8" x14ac:dyDescent="0.25">
      <c r="A3429" s="1">
        <v>2008</v>
      </c>
      <c r="B3429" s="1" t="s">
        <v>99</v>
      </c>
      <c r="C3429" t="s">
        <v>51</v>
      </c>
      <c r="D3429">
        <v>3</v>
      </c>
      <c r="E3429">
        <v>32</v>
      </c>
      <c r="F3429">
        <v>0.64</v>
      </c>
      <c r="G3429">
        <f t="shared" si="41"/>
        <v>0.21333333333333332</v>
      </c>
      <c r="H3429">
        <f>G3429*(26.79/38.29)</f>
        <v>0.14926090363019062</v>
      </c>
    </row>
    <row r="3430" spans="1:8" x14ac:dyDescent="0.25">
      <c r="A3430" s="1">
        <v>2008</v>
      </c>
      <c r="B3430" s="1" t="s">
        <v>99</v>
      </c>
      <c r="C3430" t="s">
        <v>51</v>
      </c>
      <c r="D3430">
        <v>3</v>
      </c>
      <c r="E3430">
        <v>32</v>
      </c>
      <c r="F3430">
        <v>0.25</v>
      </c>
      <c r="G3430">
        <f t="shared" si="41"/>
        <v>8.3333333333333343E-2</v>
      </c>
      <c r="H3430">
        <f>G3430*(26.79/38.29)</f>
        <v>5.8305040480543226E-2</v>
      </c>
    </row>
    <row r="3431" spans="1:8" x14ac:dyDescent="0.25">
      <c r="A3431" s="1">
        <v>2008</v>
      </c>
      <c r="B3431" s="1" t="s">
        <v>99</v>
      </c>
      <c r="C3431" t="s">
        <v>51</v>
      </c>
      <c r="D3431">
        <v>3</v>
      </c>
      <c r="E3431">
        <v>32</v>
      </c>
      <c r="F3431">
        <v>0.35</v>
      </c>
      <c r="G3431">
        <f t="shared" si="41"/>
        <v>0.11666666666666667</v>
      </c>
      <c r="H3431">
        <f>G3431*(26.79/38.29)</f>
        <v>8.1627056672760503E-2</v>
      </c>
    </row>
    <row r="3432" spans="1:8" x14ac:dyDescent="0.25">
      <c r="A3432" s="1">
        <v>2008</v>
      </c>
      <c r="B3432" s="1" t="s">
        <v>99</v>
      </c>
      <c r="C3432" t="s">
        <v>51</v>
      </c>
      <c r="D3432">
        <v>3</v>
      </c>
      <c r="E3432">
        <v>32</v>
      </c>
      <c r="F3432">
        <v>0.12</v>
      </c>
      <c r="G3432">
        <f t="shared" si="41"/>
        <v>0.04</v>
      </c>
      <c r="H3432">
        <f>G3432*(26.79/38.29)</f>
        <v>2.7986419430660745E-2</v>
      </c>
    </row>
    <row r="3433" spans="1:8" x14ac:dyDescent="0.25">
      <c r="A3433" s="1">
        <v>2008</v>
      </c>
      <c r="B3433" s="1" t="s">
        <v>99</v>
      </c>
      <c r="C3433" t="s">
        <v>51</v>
      </c>
      <c r="D3433">
        <v>3</v>
      </c>
      <c r="E3433">
        <v>32</v>
      </c>
      <c r="F3433">
        <v>0.91</v>
      </c>
      <c r="G3433">
        <f t="shared" si="41"/>
        <v>0.30333333333333334</v>
      </c>
      <c r="H3433">
        <f>G3433*(26.79/38.29)</f>
        <v>0.21223034734917731</v>
      </c>
    </row>
    <row r="3434" spans="1:8" x14ac:dyDescent="0.25">
      <c r="A3434" s="1">
        <v>2008</v>
      </c>
      <c r="B3434" s="1" t="s">
        <v>99</v>
      </c>
      <c r="C3434" t="s">
        <v>51</v>
      </c>
      <c r="D3434">
        <v>3</v>
      </c>
      <c r="E3434">
        <v>32</v>
      </c>
      <c r="F3434">
        <v>0.24</v>
      </c>
      <c r="G3434">
        <f t="shared" si="41"/>
        <v>0.08</v>
      </c>
      <c r="H3434">
        <f>G3434*(26.79/38.29)</f>
        <v>5.597283886132149E-2</v>
      </c>
    </row>
    <row r="3435" spans="1:8" x14ac:dyDescent="0.25">
      <c r="A3435" s="1">
        <v>2008</v>
      </c>
      <c r="B3435" s="1" t="s">
        <v>99</v>
      </c>
      <c r="C3435" t="s">
        <v>51</v>
      </c>
      <c r="D3435">
        <v>3</v>
      </c>
      <c r="E3435">
        <v>32</v>
      </c>
      <c r="F3435">
        <v>0.22</v>
      </c>
      <c r="G3435">
        <f t="shared" si="41"/>
        <v>7.3333333333333334E-2</v>
      </c>
      <c r="H3435">
        <f>G3435*(26.79/38.29)</f>
        <v>5.1308435622878033E-2</v>
      </c>
    </row>
    <row r="3436" spans="1:8" x14ac:dyDescent="0.25">
      <c r="A3436" s="1">
        <v>2008</v>
      </c>
      <c r="B3436" s="1" t="s">
        <v>99</v>
      </c>
      <c r="C3436" t="s">
        <v>51</v>
      </c>
      <c r="D3436">
        <v>3</v>
      </c>
      <c r="E3436">
        <v>32</v>
      </c>
      <c r="F3436">
        <v>0.43</v>
      </c>
      <c r="G3436">
        <f t="shared" si="41"/>
        <v>0.14333333333333334</v>
      </c>
      <c r="H3436">
        <f>G3436*(26.79/38.29)</f>
        <v>0.10028466962653435</v>
      </c>
    </row>
    <row r="3437" spans="1:8" x14ac:dyDescent="0.25">
      <c r="A3437" s="1">
        <v>2008</v>
      </c>
      <c r="B3437" s="1" t="s">
        <v>99</v>
      </c>
      <c r="C3437" t="s">
        <v>51</v>
      </c>
      <c r="D3437">
        <v>3</v>
      </c>
      <c r="E3437">
        <v>34</v>
      </c>
      <c r="F3437">
        <v>0.47</v>
      </c>
      <c r="G3437">
        <f t="shared" si="41"/>
        <v>0.15666666666666668</v>
      </c>
      <c r="H3437">
        <f>G3437*(26.79/38.29)</f>
        <v>0.10961347610342126</v>
      </c>
    </row>
    <row r="3438" spans="1:8" x14ac:dyDescent="0.25">
      <c r="A3438" s="1">
        <v>2008</v>
      </c>
      <c r="B3438" s="1" t="s">
        <v>99</v>
      </c>
      <c r="C3438" t="s">
        <v>51</v>
      </c>
      <c r="D3438">
        <v>3</v>
      </c>
      <c r="E3438">
        <v>34</v>
      </c>
      <c r="F3438">
        <v>0.43</v>
      </c>
      <c r="G3438">
        <f t="shared" si="41"/>
        <v>0.14333333333333334</v>
      </c>
      <c r="H3438">
        <f>G3438*(26.79/38.29)</f>
        <v>0.10028466962653435</v>
      </c>
    </row>
    <row r="3439" spans="1:8" x14ac:dyDescent="0.25">
      <c r="A3439" s="1">
        <v>2008</v>
      </c>
      <c r="B3439" s="1" t="s">
        <v>99</v>
      </c>
      <c r="C3439" t="s">
        <v>51</v>
      </c>
      <c r="D3439">
        <v>3</v>
      </c>
      <c r="E3439">
        <v>34</v>
      </c>
      <c r="F3439">
        <v>1.1000000000000001</v>
      </c>
      <c r="G3439">
        <f t="shared" si="41"/>
        <v>0.3666666666666667</v>
      </c>
      <c r="H3439">
        <f>G3439*(26.79/38.29)</f>
        <v>0.25654217811439017</v>
      </c>
    </row>
    <row r="3440" spans="1:8" x14ac:dyDescent="0.25">
      <c r="A3440" s="1">
        <v>2008</v>
      </c>
      <c r="B3440" s="1" t="s">
        <v>99</v>
      </c>
      <c r="C3440" t="s">
        <v>51</v>
      </c>
      <c r="D3440">
        <v>3</v>
      </c>
      <c r="E3440">
        <v>38</v>
      </c>
      <c r="F3440">
        <v>0.27</v>
      </c>
      <c r="G3440">
        <f t="shared" si="41"/>
        <v>9.0000000000000011E-2</v>
      </c>
      <c r="H3440">
        <f>G3440*(26.79/38.29)</f>
        <v>6.296944371898669E-2</v>
      </c>
    </row>
    <row r="3441" spans="1:8" x14ac:dyDescent="0.25">
      <c r="A3441" s="1">
        <v>2008</v>
      </c>
      <c r="B3441" s="1" t="s">
        <v>99</v>
      </c>
      <c r="C3441" t="s">
        <v>51</v>
      </c>
      <c r="D3441">
        <v>3</v>
      </c>
      <c r="E3441">
        <v>38</v>
      </c>
      <c r="F3441">
        <v>0.47</v>
      </c>
      <c r="G3441">
        <f t="shared" si="41"/>
        <v>0.15666666666666668</v>
      </c>
      <c r="H3441">
        <f>G3441*(26.79/38.29)</f>
        <v>0.10961347610342126</v>
      </c>
    </row>
    <row r="3442" spans="1:8" x14ac:dyDescent="0.25">
      <c r="A3442" s="1">
        <v>2008</v>
      </c>
      <c r="B3442" s="1" t="s">
        <v>99</v>
      </c>
      <c r="C3442" t="s">
        <v>51</v>
      </c>
      <c r="D3442">
        <v>3</v>
      </c>
      <c r="E3442">
        <v>38</v>
      </c>
      <c r="F3442">
        <v>0.7</v>
      </c>
      <c r="G3442">
        <f t="shared" si="41"/>
        <v>0.23333333333333334</v>
      </c>
      <c r="H3442">
        <f>G3442*(26.79/38.29)</f>
        <v>0.16325411334552101</v>
      </c>
    </row>
    <row r="3443" spans="1:8" x14ac:dyDescent="0.25">
      <c r="A3443" s="1">
        <v>2008</v>
      </c>
      <c r="B3443" s="1" t="s">
        <v>99</v>
      </c>
      <c r="C3443" t="s">
        <v>51</v>
      </c>
      <c r="D3443">
        <v>3</v>
      </c>
      <c r="E3443">
        <v>38</v>
      </c>
      <c r="F3443">
        <v>1.54</v>
      </c>
      <c r="G3443">
        <f t="shared" si="41"/>
        <v>0.51333333333333342</v>
      </c>
      <c r="H3443">
        <f>G3443*(26.79/38.29)</f>
        <v>0.35915904936014631</v>
      </c>
    </row>
    <row r="3444" spans="1:8" x14ac:dyDescent="0.25">
      <c r="A3444" s="1">
        <v>2008</v>
      </c>
      <c r="B3444" s="1" t="s">
        <v>99</v>
      </c>
      <c r="C3444" t="s">
        <v>51</v>
      </c>
      <c r="D3444">
        <v>3</v>
      </c>
      <c r="E3444">
        <v>38</v>
      </c>
      <c r="F3444">
        <v>0.84</v>
      </c>
      <c r="G3444">
        <f t="shared" si="41"/>
        <v>0.27999999999999997</v>
      </c>
      <c r="H3444">
        <f>G3444*(26.79/38.29)</f>
        <v>0.19590493601462519</v>
      </c>
    </row>
    <row r="3445" spans="1:8" x14ac:dyDescent="0.25">
      <c r="A3445" s="1">
        <v>2008</v>
      </c>
      <c r="B3445" s="1" t="s">
        <v>99</v>
      </c>
      <c r="C3445" t="s">
        <v>51</v>
      </c>
      <c r="D3445">
        <v>3</v>
      </c>
      <c r="E3445">
        <v>38</v>
      </c>
      <c r="F3445">
        <v>1.31</v>
      </c>
      <c r="G3445">
        <f t="shared" si="41"/>
        <v>0.4366666666666667</v>
      </c>
      <c r="H3445">
        <f>G3445*(26.79/38.29)</f>
        <v>0.30551841211804648</v>
      </c>
    </row>
    <row r="3446" spans="1:8" x14ac:dyDescent="0.25">
      <c r="A3446" s="1">
        <v>2008</v>
      </c>
      <c r="B3446" s="1" t="s">
        <v>99</v>
      </c>
      <c r="C3446" t="s">
        <v>51</v>
      </c>
      <c r="D3446">
        <v>3</v>
      </c>
      <c r="E3446">
        <v>38</v>
      </c>
      <c r="F3446">
        <v>0.91</v>
      </c>
      <c r="G3446">
        <f t="shared" si="41"/>
        <v>0.30333333333333334</v>
      </c>
      <c r="H3446">
        <f>G3446*(26.79/38.29)</f>
        <v>0.21223034734917731</v>
      </c>
    </row>
    <row r="3447" spans="1:8" x14ac:dyDescent="0.25">
      <c r="A3447" s="1">
        <v>2008</v>
      </c>
      <c r="B3447" s="1" t="s">
        <v>99</v>
      </c>
      <c r="C3447" t="s">
        <v>51</v>
      </c>
      <c r="D3447">
        <v>3</v>
      </c>
      <c r="E3447">
        <v>40</v>
      </c>
      <c r="F3447">
        <v>0.79</v>
      </c>
      <c r="G3447">
        <f t="shared" si="41"/>
        <v>0.26333333333333336</v>
      </c>
      <c r="H3447">
        <f>G3447*(26.79/38.29)</f>
        <v>0.1842439279185166</v>
      </c>
    </row>
    <row r="3448" spans="1:8" x14ac:dyDescent="0.25">
      <c r="A3448" s="1">
        <v>2008</v>
      </c>
      <c r="B3448" s="1" t="s">
        <v>99</v>
      </c>
      <c r="C3448" t="s">
        <v>51</v>
      </c>
      <c r="D3448">
        <v>3</v>
      </c>
      <c r="E3448">
        <v>40</v>
      </c>
      <c r="F3448">
        <v>1.5</v>
      </c>
      <c r="G3448">
        <f t="shared" si="41"/>
        <v>0.5</v>
      </c>
      <c r="H3448">
        <f>G3448*(26.79/38.29)</f>
        <v>0.34983024288325931</v>
      </c>
    </row>
    <row r="3449" spans="1:8" x14ac:dyDescent="0.25">
      <c r="A3449" s="1">
        <v>2008</v>
      </c>
      <c r="B3449" s="1" t="s">
        <v>99</v>
      </c>
      <c r="C3449" t="s">
        <v>51</v>
      </c>
      <c r="D3449">
        <v>3</v>
      </c>
      <c r="E3449">
        <v>40</v>
      </c>
      <c r="F3449">
        <v>1.56</v>
      </c>
      <c r="G3449">
        <f t="shared" si="41"/>
        <v>0.52</v>
      </c>
      <c r="H3449">
        <f>G3449*(26.79/38.29)</f>
        <v>0.36382345259858972</v>
      </c>
    </row>
    <row r="3450" spans="1:8" x14ac:dyDescent="0.25">
      <c r="A3450" s="1">
        <v>2008</v>
      </c>
      <c r="B3450" s="1" t="s">
        <v>99</v>
      </c>
      <c r="C3450" t="s">
        <v>51</v>
      </c>
      <c r="D3450">
        <v>3</v>
      </c>
      <c r="E3450">
        <v>40</v>
      </c>
      <c r="F3450">
        <v>1.91</v>
      </c>
      <c r="G3450">
        <f t="shared" si="41"/>
        <v>0.6366666666666666</v>
      </c>
      <c r="H3450">
        <f>G3450*(26.79/38.29)</f>
        <v>0.44545050927135016</v>
      </c>
    </row>
    <row r="3451" spans="1:8" x14ac:dyDescent="0.25">
      <c r="A3451" s="1">
        <v>2008</v>
      </c>
      <c r="B3451" s="1" t="s">
        <v>99</v>
      </c>
      <c r="C3451" t="s">
        <v>51</v>
      </c>
      <c r="D3451">
        <v>3</v>
      </c>
      <c r="E3451">
        <v>40</v>
      </c>
      <c r="F3451">
        <v>1.91</v>
      </c>
      <c r="G3451">
        <f t="shared" si="41"/>
        <v>0.6366666666666666</v>
      </c>
      <c r="H3451">
        <f>G3451*(26.79/38.29)</f>
        <v>0.44545050927135016</v>
      </c>
    </row>
    <row r="3452" spans="1:8" x14ac:dyDescent="0.25">
      <c r="A3452" s="1">
        <v>2008</v>
      </c>
      <c r="B3452" s="1" t="s">
        <v>99</v>
      </c>
      <c r="C3452" t="s">
        <v>51</v>
      </c>
      <c r="D3452">
        <v>3</v>
      </c>
      <c r="E3452">
        <v>40</v>
      </c>
      <c r="F3452">
        <v>0.32</v>
      </c>
      <c r="G3452">
        <f t="shared" si="41"/>
        <v>0.10666666666666666</v>
      </c>
      <c r="H3452">
        <f>G3452*(26.79/38.29)</f>
        <v>7.4630451815095311E-2</v>
      </c>
    </row>
    <row r="3453" spans="1:8" x14ac:dyDescent="0.25">
      <c r="A3453" s="1">
        <v>2008</v>
      </c>
      <c r="B3453" s="1" t="s">
        <v>99</v>
      </c>
      <c r="C3453" t="s">
        <v>51</v>
      </c>
      <c r="D3453">
        <v>3</v>
      </c>
      <c r="E3453">
        <v>47</v>
      </c>
      <c r="F3453">
        <v>0.87</v>
      </c>
      <c r="G3453">
        <f t="shared" si="41"/>
        <v>0.28999999999999998</v>
      </c>
      <c r="H3453">
        <f>G3453*(26.79/38.29)</f>
        <v>0.2029015408722904</v>
      </c>
    </row>
    <row r="3454" spans="1:8" x14ac:dyDescent="0.25">
      <c r="A3454" s="1">
        <v>2008</v>
      </c>
      <c r="B3454" s="1" t="s">
        <v>99</v>
      </c>
      <c r="C3454" t="s">
        <v>51</v>
      </c>
      <c r="D3454">
        <v>3</v>
      </c>
      <c r="E3454">
        <v>53</v>
      </c>
      <c r="F3454">
        <v>0.4</v>
      </c>
      <c r="G3454">
        <f t="shared" si="41"/>
        <v>0.13333333333333336</v>
      </c>
      <c r="H3454">
        <f>G3454*(26.79/38.29)</f>
        <v>9.3288064768869167E-2</v>
      </c>
    </row>
    <row r="3455" spans="1:8" x14ac:dyDescent="0.25">
      <c r="A3455" s="1">
        <v>2008</v>
      </c>
      <c r="B3455" s="1" t="s">
        <v>99</v>
      </c>
      <c r="C3455" t="s">
        <v>51</v>
      </c>
      <c r="D3455">
        <v>3</v>
      </c>
      <c r="E3455">
        <v>53</v>
      </c>
      <c r="F3455">
        <v>0.1</v>
      </c>
      <c r="G3455">
        <f t="shared" si="41"/>
        <v>3.333333333333334E-2</v>
      </c>
      <c r="H3455">
        <f>G3455*(26.79/38.29)</f>
        <v>2.3322016192217292E-2</v>
      </c>
    </row>
    <row r="3456" spans="1:8" x14ac:dyDescent="0.25">
      <c r="A3456" s="1">
        <v>2008</v>
      </c>
      <c r="B3456" s="1" t="s">
        <v>99</v>
      </c>
      <c r="C3456" t="s">
        <v>51</v>
      </c>
      <c r="D3456">
        <v>3</v>
      </c>
      <c r="E3456">
        <v>53</v>
      </c>
      <c r="F3456">
        <v>0.06</v>
      </c>
      <c r="G3456">
        <f t="shared" si="41"/>
        <v>0.02</v>
      </c>
      <c r="H3456">
        <f>G3456*(26.79/38.29)</f>
        <v>1.3993209715330373E-2</v>
      </c>
    </row>
    <row r="3457" spans="1:8" x14ac:dyDescent="0.25">
      <c r="A3457" s="1">
        <v>2008</v>
      </c>
      <c r="B3457" s="1" t="s">
        <v>99</v>
      </c>
      <c r="C3457" t="s">
        <v>51</v>
      </c>
      <c r="D3457">
        <v>3</v>
      </c>
      <c r="E3457">
        <v>53</v>
      </c>
      <c r="F3457">
        <v>0.08</v>
      </c>
      <c r="G3457">
        <f t="shared" si="41"/>
        <v>2.6666666666666665E-2</v>
      </c>
      <c r="H3457">
        <f>G3457*(26.79/38.29)</f>
        <v>1.8657612953773828E-2</v>
      </c>
    </row>
    <row r="3458" spans="1:8" x14ac:dyDescent="0.25">
      <c r="A3458" s="1">
        <v>2008</v>
      </c>
      <c r="B3458" s="1" t="s">
        <v>99</v>
      </c>
      <c r="C3458" t="s">
        <v>51</v>
      </c>
      <c r="D3458">
        <v>3</v>
      </c>
      <c r="E3458">
        <v>53</v>
      </c>
      <c r="F3458">
        <v>0.56000000000000005</v>
      </c>
      <c r="G3458">
        <f t="shared" si="41"/>
        <v>0.1866666666666667</v>
      </c>
      <c r="H3458">
        <f>G3458*(26.79/38.29)</f>
        <v>0.13060329067641682</v>
      </c>
    </row>
    <row r="3459" spans="1:8" x14ac:dyDescent="0.25">
      <c r="A3459" s="1">
        <v>2008</v>
      </c>
      <c r="B3459" s="1" t="s">
        <v>99</v>
      </c>
      <c r="C3459" t="s">
        <v>51</v>
      </c>
      <c r="D3459">
        <v>3</v>
      </c>
      <c r="E3459">
        <v>54</v>
      </c>
      <c r="F3459">
        <v>0.36</v>
      </c>
      <c r="G3459">
        <f t="shared" si="41"/>
        <v>0.12</v>
      </c>
      <c r="H3459">
        <f>G3459*(26.79/38.29)</f>
        <v>8.3959258291982225E-2</v>
      </c>
    </row>
    <row r="3460" spans="1:8" x14ac:dyDescent="0.25">
      <c r="A3460" s="1">
        <v>2008</v>
      </c>
      <c r="B3460" s="1" t="s">
        <v>99</v>
      </c>
      <c r="C3460" t="s">
        <v>51</v>
      </c>
      <c r="D3460">
        <v>3</v>
      </c>
      <c r="E3460">
        <v>54</v>
      </c>
      <c r="F3460">
        <v>0.32</v>
      </c>
      <c r="G3460">
        <f t="shared" si="41"/>
        <v>0.10666666666666666</v>
      </c>
      <c r="H3460">
        <f>G3460*(26.79/38.29)</f>
        <v>7.4630451815095311E-2</v>
      </c>
    </row>
    <row r="3461" spans="1:8" x14ac:dyDescent="0.25">
      <c r="A3461" s="1">
        <v>2008</v>
      </c>
      <c r="B3461" s="1" t="s">
        <v>99</v>
      </c>
      <c r="C3461" t="s">
        <v>51</v>
      </c>
      <c r="D3461">
        <v>3</v>
      </c>
      <c r="E3461">
        <v>54</v>
      </c>
      <c r="F3461">
        <v>0.04</v>
      </c>
      <c r="G3461">
        <f t="shared" si="41"/>
        <v>1.3333333333333332E-2</v>
      </c>
      <c r="H3461">
        <f>G3461*(26.79/38.29)</f>
        <v>9.3288064768869139E-3</v>
      </c>
    </row>
    <row r="3462" spans="1:8" x14ac:dyDescent="0.25">
      <c r="A3462" s="1">
        <v>2008</v>
      </c>
      <c r="B3462" s="1" t="s">
        <v>99</v>
      </c>
      <c r="C3462" t="s">
        <v>51</v>
      </c>
      <c r="D3462">
        <v>3</v>
      </c>
      <c r="E3462">
        <v>54</v>
      </c>
      <c r="F3462">
        <v>0.03</v>
      </c>
      <c r="G3462">
        <f t="shared" si="41"/>
        <v>0.01</v>
      </c>
      <c r="H3462">
        <f>G3462*(26.79/38.29)</f>
        <v>6.9966048576651863E-3</v>
      </c>
    </row>
    <row r="3463" spans="1:8" x14ac:dyDescent="0.25">
      <c r="A3463" s="1">
        <v>2008</v>
      </c>
      <c r="B3463" s="1" t="s">
        <v>99</v>
      </c>
      <c r="C3463" t="s">
        <v>51</v>
      </c>
      <c r="D3463">
        <v>3</v>
      </c>
      <c r="E3463">
        <v>54</v>
      </c>
      <c r="F3463">
        <v>0.09</v>
      </c>
      <c r="G3463">
        <f t="shared" si="41"/>
        <v>0.03</v>
      </c>
      <c r="H3463">
        <f>G3463*(26.79/38.29)</f>
        <v>2.0989814572995556E-2</v>
      </c>
    </row>
    <row r="3464" spans="1:8" x14ac:dyDescent="0.25">
      <c r="A3464" s="1">
        <v>2008</v>
      </c>
      <c r="B3464" s="1" t="s">
        <v>99</v>
      </c>
      <c r="C3464" t="s">
        <v>51</v>
      </c>
      <c r="D3464">
        <v>3</v>
      </c>
      <c r="E3464">
        <v>54</v>
      </c>
      <c r="F3464">
        <v>0.24</v>
      </c>
      <c r="G3464">
        <f t="shared" si="41"/>
        <v>0.08</v>
      </c>
      <c r="H3464">
        <f>G3464*(26.79/38.29)</f>
        <v>5.597283886132149E-2</v>
      </c>
    </row>
    <row r="3465" spans="1:8" x14ac:dyDescent="0.25">
      <c r="A3465" s="1">
        <v>2008</v>
      </c>
      <c r="B3465" s="1" t="s">
        <v>99</v>
      </c>
      <c r="C3465" t="s">
        <v>51</v>
      </c>
      <c r="D3465">
        <v>3</v>
      </c>
      <c r="E3465">
        <v>54</v>
      </c>
      <c r="F3465">
        <v>0.95</v>
      </c>
      <c r="G3465">
        <f t="shared" si="41"/>
        <v>0.31666666666666665</v>
      </c>
      <c r="H3465">
        <f>G3465*(26.79/38.29)</f>
        <v>0.22155915382606423</v>
      </c>
    </row>
    <row r="3466" spans="1:8" x14ac:dyDescent="0.25">
      <c r="A3466" s="1">
        <v>2008</v>
      </c>
      <c r="B3466" s="1" t="s">
        <v>99</v>
      </c>
      <c r="C3466" t="s">
        <v>51</v>
      </c>
      <c r="D3466">
        <v>3</v>
      </c>
      <c r="E3466">
        <v>54</v>
      </c>
      <c r="F3466">
        <v>0.32</v>
      </c>
      <c r="G3466">
        <f t="shared" si="41"/>
        <v>0.10666666666666666</v>
      </c>
      <c r="H3466">
        <f>G3466*(26.79/38.29)</f>
        <v>7.4630451815095311E-2</v>
      </c>
    </row>
    <row r="3467" spans="1:8" x14ac:dyDescent="0.25">
      <c r="A3467" s="1">
        <v>2008</v>
      </c>
      <c r="B3467" s="1" t="s">
        <v>99</v>
      </c>
      <c r="C3467" t="s">
        <v>51</v>
      </c>
      <c r="D3467">
        <v>3</v>
      </c>
      <c r="E3467">
        <v>54</v>
      </c>
      <c r="F3467">
        <v>0.18</v>
      </c>
      <c r="G3467">
        <f t="shared" si="41"/>
        <v>0.06</v>
      </c>
      <c r="H3467">
        <f>G3467*(26.79/38.29)</f>
        <v>4.1979629145991113E-2</v>
      </c>
    </row>
    <row r="3468" spans="1:8" x14ac:dyDescent="0.25">
      <c r="A3468" s="1">
        <v>2008</v>
      </c>
      <c r="B3468" s="1" t="s">
        <v>99</v>
      </c>
      <c r="C3468" t="s">
        <v>51</v>
      </c>
      <c r="D3468">
        <v>3</v>
      </c>
      <c r="E3468">
        <v>56</v>
      </c>
      <c r="F3468">
        <v>0.42</v>
      </c>
      <c r="G3468">
        <f t="shared" si="41"/>
        <v>0.13999999999999999</v>
      </c>
      <c r="H3468">
        <f>G3468*(26.79/38.29)</f>
        <v>9.7952468007312596E-2</v>
      </c>
    </row>
    <row r="3469" spans="1:8" x14ac:dyDescent="0.25">
      <c r="A3469" s="1">
        <v>2008</v>
      </c>
      <c r="B3469" s="1" t="s">
        <v>99</v>
      </c>
      <c r="C3469" t="s">
        <v>51</v>
      </c>
      <c r="D3469">
        <v>3</v>
      </c>
      <c r="E3469">
        <v>56</v>
      </c>
      <c r="F3469">
        <v>1.33</v>
      </c>
      <c r="G3469">
        <f t="shared" si="41"/>
        <v>0.44333333333333336</v>
      </c>
      <c r="H3469">
        <f>G3469*(26.79/38.29)</f>
        <v>0.31018281535648995</v>
      </c>
    </row>
    <row r="3470" spans="1:8" x14ac:dyDescent="0.25">
      <c r="A3470" s="1">
        <v>2008</v>
      </c>
      <c r="B3470" s="1" t="s">
        <v>99</v>
      </c>
      <c r="C3470" t="s">
        <v>51</v>
      </c>
      <c r="D3470">
        <v>3</v>
      </c>
      <c r="E3470">
        <v>56</v>
      </c>
      <c r="F3470">
        <v>0.08</v>
      </c>
      <c r="G3470">
        <f t="shared" ref="G3470:G3533" si="42">(F3470/0.6)/5</f>
        <v>2.6666666666666665E-2</v>
      </c>
      <c r="H3470">
        <f>G3470*(26.79/38.29)</f>
        <v>1.8657612953773828E-2</v>
      </c>
    </row>
    <row r="3471" spans="1:8" x14ac:dyDescent="0.25">
      <c r="A3471" s="1">
        <v>2008</v>
      </c>
      <c r="B3471" s="1" t="s">
        <v>99</v>
      </c>
      <c r="C3471" t="s">
        <v>51</v>
      </c>
      <c r="D3471">
        <v>3</v>
      </c>
      <c r="E3471">
        <v>56</v>
      </c>
      <c r="F3471">
        <v>1.65</v>
      </c>
      <c r="G3471">
        <f t="shared" si="42"/>
        <v>0.55000000000000004</v>
      </c>
      <c r="H3471">
        <f>G3471*(26.79/38.29)</f>
        <v>0.38481326717158526</v>
      </c>
    </row>
    <row r="3472" spans="1:8" x14ac:dyDescent="0.25">
      <c r="A3472" s="1">
        <v>2008</v>
      </c>
      <c r="B3472" s="1" t="s">
        <v>99</v>
      </c>
      <c r="C3472" t="s">
        <v>51</v>
      </c>
      <c r="D3472">
        <v>3</v>
      </c>
      <c r="E3472">
        <v>56</v>
      </c>
      <c r="F3472">
        <v>0.1</v>
      </c>
      <c r="G3472">
        <f t="shared" si="42"/>
        <v>3.333333333333334E-2</v>
      </c>
      <c r="H3472">
        <f>G3472*(26.79/38.29)</f>
        <v>2.3322016192217292E-2</v>
      </c>
    </row>
    <row r="3473" spans="1:8" x14ac:dyDescent="0.25">
      <c r="A3473" s="1">
        <v>2008</v>
      </c>
      <c r="B3473" s="1" t="s">
        <v>99</v>
      </c>
      <c r="C3473" t="s">
        <v>51</v>
      </c>
      <c r="D3473">
        <v>3</v>
      </c>
      <c r="E3473">
        <v>56</v>
      </c>
      <c r="F3473">
        <v>0.2</v>
      </c>
      <c r="G3473">
        <f t="shared" si="42"/>
        <v>6.666666666666668E-2</v>
      </c>
      <c r="H3473">
        <f>G3473*(26.79/38.29)</f>
        <v>4.6644032384434583E-2</v>
      </c>
    </row>
    <row r="3474" spans="1:8" x14ac:dyDescent="0.25">
      <c r="A3474" s="1">
        <v>2008</v>
      </c>
      <c r="B3474" s="1" t="s">
        <v>99</v>
      </c>
      <c r="C3474" t="s">
        <v>51</v>
      </c>
      <c r="D3474">
        <v>3</v>
      </c>
      <c r="E3474">
        <v>56</v>
      </c>
      <c r="F3474">
        <v>0.14000000000000001</v>
      </c>
      <c r="G3474">
        <f t="shared" si="42"/>
        <v>4.6666666666666676E-2</v>
      </c>
      <c r="H3474">
        <f>G3474*(26.79/38.29)</f>
        <v>3.2650822669104206E-2</v>
      </c>
    </row>
    <row r="3475" spans="1:8" x14ac:dyDescent="0.25">
      <c r="A3475" s="1">
        <v>2008</v>
      </c>
      <c r="B3475" s="1" t="s">
        <v>99</v>
      </c>
      <c r="C3475" t="s">
        <v>51</v>
      </c>
      <c r="D3475">
        <v>3</v>
      </c>
      <c r="E3475">
        <v>56</v>
      </c>
      <c r="F3475">
        <v>0.43</v>
      </c>
      <c r="G3475">
        <f t="shared" si="42"/>
        <v>0.14333333333333334</v>
      </c>
      <c r="H3475">
        <f>G3475*(26.79/38.29)</f>
        <v>0.10028466962653435</v>
      </c>
    </row>
    <row r="3476" spans="1:8" x14ac:dyDescent="0.25">
      <c r="A3476" s="1">
        <v>2008</v>
      </c>
      <c r="B3476" s="1" t="s">
        <v>99</v>
      </c>
      <c r="C3476" t="s">
        <v>51</v>
      </c>
      <c r="D3476">
        <v>3</v>
      </c>
      <c r="E3476">
        <v>58</v>
      </c>
      <c r="F3476">
        <v>0.28999999999999998</v>
      </c>
      <c r="G3476">
        <f t="shared" si="42"/>
        <v>9.6666666666666665E-2</v>
      </c>
      <c r="H3476">
        <f>G3476*(26.79/38.29)</f>
        <v>6.7633846957430133E-2</v>
      </c>
    </row>
    <row r="3477" spans="1:8" x14ac:dyDescent="0.25">
      <c r="A3477" s="1">
        <v>2008</v>
      </c>
      <c r="B3477" s="1" t="s">
        <v>99</v>
      </c>
      <c r="C3477" t="s">
        <v>51</v>
      </c>
      <c r="D3477">
        <v>3</v>
      </c>
      <c r="E3477">
        <v>58</v>
      </c>
      <c r="F3477">
        <v>0.61</v>
      </c>
      <c r="G3477">
        <f t="shared" si="42"/>
        <v>0.20333333333333331</v>
      </c>
      <c r="H3477">
        <f>G3477*(26.79/38.29)</f>
        <v>0.14226429877252544</v>
      </c>
    </row>
    <row r="3478" spans="1:8" x14ac:dyDescent="0.25">
      <c r="A3478" s="1">
        <v>2008</v>
      </c>
      <c r="B3478" s="1" t="s">
        <v>99</v>
      </c>
      <c r="C3478" t="s">
        <v>51</v>
      </c>
      <c r="D3478">
        <v>3</v>
      </c>
      <c r="E3478">
        <v>63</v>
      </c>
      <c r="F3478">
        <v>0.05</v>
      </c>
      <c r="G3478">
        <f t="shared" si="42"/>
        <v>1.666666666666667E-2</v>
      </c>
      <c r="H3478">
        <f>G3478*(26.79/38.29)</f>
        <v>1.1661008096108646E-2</v>
      </c>
    </row>
    <row r="3479" spans="1:8" x14ac:dyDescent="0.25">
      <c r="A3479" s="1">
        <v>2008</v>
      </c>
      <c r="B3479" s="1" t="s">
        <v>99</v>
      </c>
      <c r="C3479" t="s">
        <v>51</v>
      </c>
      <c r="D3479">
        <v>3</v>
      </c>
      <c r="E3479">
        <v>63</v>
      </c>
      <c r="F3479">
        <v>0.05</v>
      </c>
      <c r="G3479">
        <f t="shared" si="42"/>
        <v>1.666666666666667E-2</v>
      </c>
      <c r="H3479">
        <f>G3479*(26.79/38.29)</f>
        <v>1.1661008096108646E-2</v>
      </c>
    </row>
    <row r="3480" spans="1:8" x14ac:dyDescent="0.25">
      <c r="A3480" s="1">
        <v>2008</v>
      </c>
      <c r="B3480" s="1" t="s">
        <v>99</v>
      </c>
      <c r="C3480" t="s">
        <v>51</v>
      </c>
      <c r="D3480">
        <v>3</v>
      </c>
      <c r="E3480">
        <v>63</v>
      </c>
      <c r="F3480">
        <v>0.08</v>
      </c>
      <c r="G3480">
        <f t="shared" si="42"/>
        <v>2.6666666666666665E-2</v>
      </c>
      <c r="H3480">
        <f>G3480*(26.79/38.29)</f>
        <v>1.8657612953773828E-2</v>
      </c>
    </row>
    <row r="3481" spans="1:8" x14ac:dyDescent="0.25">
      <c r="A3481" s="1">
        <v>2008</v>
      </c>
      <c r="B3481" s="1" t="s">
        <v>99</v>
      </c>
      <c r="C3481" t="s">
        <v>51</v>
      </c>
      <c r="D3481">
        <v>3</v>
      </c>
      <c r="E3481">
        <v>63</v>
      </c>
      <c r="F3481">
        <v>0.28000000000000003</v>
      </c>
      <c r="G3481">
        <f t="shared" si="42"/>
        <v>9.3333333333333351E-2</v>
      </c>
      <c r="H3481">
        <f>G3481*(26.79/38.29)</f>
        <v>6.5301645338208411E-2</v>
      </c>
    </row>
    <row r="3482" spans="1:8" x14ac:dyDescent="0.25">
      <c r="A3482" s="1">
        <v>2008</v>
      </c>
      <c r="B3482" s="1" t="s">
        <v>99</v>
      </c>
      <c r="C3482" t="s">
        <v>51</v>
      </c>
      <c r="D3482">
        <v>3</v>
      </c>
      <c r="E3482">
        <v>63</v>
      </c>
      <c r="F3482">
        <v>0.06</v>
      </c>
      <c r="G3482">
        <f t="shared" si="42"/>
        <v>0.02</v>
      </c>
      <c r="H3482">
        <f>G3482*(26.79/38.29)</f>
        <v>1.3993209715330373E-2</v>
      </c>
    </row>
    <row r="3483" spans="1:8" x14ac:dyDescent="0.25">
      <c r="A3483" s="1">
        <v>2008</v>
      </c>
      <c r="B3483" s="1" t="s">
        <v>99</v>
      </c>
      <c r="C3483" t="s">
        <v>51</v>
      </c>
      <c r="D3483">
        <v>3</v>
      </c>
      <c r="E3483">
        <v>63</v>
      </c>
      <c r="F3483">
        <v>0.25</v>
      </c>
      <c r="G3483">
        <f t="shared" si="42"/>
        <v>8.3333333333333343E-2</v>
      </c>
      <c r="H3483">
        <f>G3483*(26.79/38.29)</f>
        <v>5.8305040480543226E-2</v>
      </c>
    </row>
    <row r="3484" spans="1:8" x14ac:dyDescent="0.25">
      <c r="A3484" s="1">
        <v>2008</v>
      </c>
      <c r="B3484" s="1" t="s">
        <v>99</v>
      </c>
      <c r="C3484" t="s">
        <v>51</v>
      </c>
      <c r="D3484">
        <v>3</v>
      </c>
      <c r="E3484">
        <v>71</v>
      </c>
      <c r="F3484">
        <v>0.24</v>
      </c>
      <c r="G3484">
        <f t="shared" si="42"/>
        <v>0.08</v>
      </c>
      <c r="H3484">
        <f>G3484*(26.79/38.29)</f>
        <v>5.597283886132149E-2</v>
      </c>
    </row>
    <row r="3485" spans="1:8" x14ac:dyDescent="0.25">
      <c r="A3485" s="1">
        <v>2008</v>
      </c>
      <c r="B3485" s="1" t="s">
        <v>99</v>
      </c>
      <c r="C3485" t="s">
        <v>51</v>
      </c>
      <c r="D3485">
        <v>3</v>
      </c>
      <c r="E3485">
        <v>71</v>
      </c>
      <c r="F3485">
        <v>0.18</v>
      </c>
      <c r="G3485">
        <f t="shared" si="42"/>
        <v>0.06</v>
      </c>
      <c r="H3485">
        <f>G3485*(26.79/38.29)</f>
        <v>4.1979629145991113E-2</v>
      </c>
    </row>
    <row r="3486" spans="1:8" x14ac:dyDescent="0.25">
      <c r="A3486" s="1">
        <v>2008</v>
      </c>
      <c r="B3486" s="1" t="s">
        <v>99</v>
      </c>
      <c r="C3486" t="s">
        <v>51</v>
      </c>
      <c r="D3486">
        <v>3</v>
      </c>
      <c r="E3486">
        <v>71</v>
      </c>
      <c r="F3486">
        <v>0.22</v>
      </c>
      <c r="G3486">
        <f t="shared" si="42"/>
        <v>7.3333333333333334E-2</v>
      </c>
      <c r="H3486">
        <f>G3486*(26.79/38.29)</f>
        <v>5.1308435622878033E-2</v>
      </c>
    </row>
    <row r="3487" spans="1:8" x14ac:dyDescent="0.25">
      <c r="A3487" s="1">
        <v>2008</v>
      </c>
      <c r="B3487" s="1" t="s">
        <v>99</v>
      </c>
      <c r="C3487" t="s">
        <v>51</v>
      </c>
      <c r="D3487">
        <v>3</v>
      </c>
      <c r="E3487">
        <v>71</v>
      </c>
      <c r="F3487">
        <v>0.27</v>
      </c>
      <c r="G3487">
        <f t="shared" si="42"/>
        <v>9.0000000000000011E-2</v>
      </c>
      <c r="H3487">
        <f>G3487*(26.79/38.29)</f>
        <v>6.296944371898669E-2</v>
      </c>
    </row>
    <row r="3488" spans="1:8" x14ac:dyDescent="0.25">
      <c r="A3488" s="1">
        <v>2008</v>
      </c>
      <c r="B3488" s="1" t="s">
        <v>99</v>
      </c>
      <c r="C3488" t="s">
        <v>51</v>
      </c>
      <c r="D3488">
        <v>3</v>
      </c>
      <c r="E3488">
        <v>71</v>
      </c>
      <c r="F3488">
        <v>0.26</v>
      </c>
      <c r="G3488">
        <f t="shared" si="42"/>
        <v>8.666666666666667E-2</v>
      </c>
      <c r="H3488">
        <f>G3488*(26.79/38.29)</f>
        <v>6.0637242099764947E-2</v>
      </c>
    </row>
    <row r="3489" spans="1:8" x14ac:dyDescent="0.25">
      <c r="A3489" s="1">
        <v>2008</v>
      </c>
      <c r="B3489" s="1" t="s">
        <v>99</v>
      </c>
      <c r="C3489" t="s">
        <v>51</v>
      </c>
      <c r="D3489">
        <v>3</v>
      </c>
      <c r="E3489">
        <v>76</v>
      </c>
      <c r="F3489">
        <v>0.13</v>
      </c>
      <c r="G3489">
        <f t="shared" si="42"/>
        <v>4.3333333333333335E-2</v>
      </c>
      <c r="H3489">
        <f>G3489*(26.79/38.29)</f>
        <v>3.0318621049882474E-2</v>
      </c>
    </row>
    <row r="3490" spans="1:8" x14ac:dyDescent="0.25">
      <c r="A3490" s="1">
        <v>2008</v>
      </c>
      <c r="B3490" s="1" t="s">
        <v>99</v>
      </c>
      <c r="C3490" t="s">
        <v>51</v>
      </c>
      <c r="D3490">
        <v>3</v>
      </c>
      <c r="E3490">
        <v>76</v>
      </c>
      <c r="F3490">
        <v>0.1</v>
      </c>
      <c r="G3490">
        <f t="shared" si="42"/>
        <v>3.333333333333334E-2</v>
      </c>
      <c r="H3490">
        <f>G3490*(26.79/38.29)</f>
        <v>2.3322016192217292E-2</v>
      </c>
    </row>
    <row r="3491" spans="1:8" x14ac:dyDescent="0.25">
      <c r="A3491" s="1">
        <v>2008</v>
      </c>
      <c r="B3491" s="1" t="s">
        <v>99</v>
      </c>
      <c r="C3491" t="s">
        <v>51</v>
      </c>
      <c r="D3491">
        <v>3</v>
      </c>
      <c r="E3491">
        <v>76</v>
      </c>
      <c r="F3491">
        <v>0.06</v>
      </c>
      <c r="G3491">
        <f t="shared" si="42"/>
        <v>0.02</v>
      </c>
      <c r="H3491">
        <f>G3491*(26.79/38.29)</f>
        <v>1.3993209715330373E-2</v>
      </c>
    </row>
    <row r="3492" spans="1:8" x14ac:dyDescent="0.25">
      <c r="A3492" s="1">
        <v>2008</v>
      </c>
      <c r="B3492" s="1" t="s">
        <v>99</v>
      </c>
      <c r="C3492" t="s">
        <v>51</v>
      </c>
      <c r="D3492">
        <v>3</v>
      </c>
      <c r="E3492">
        <v>76</v>
      </c>
      <c r="F3492">
        <v>0.05</v>
      </c>
      <c r="G3492">
        <f t="shared" si="42"/>
        <v>1.666666666666667E-2</v>
      </c>
      <c r="H3492">
        <f>G3492*(26.79/38.29)</f>
        <v>1.1661008096108646E-2</v>
      </c>
    </row>
    <row r="3493" spans="1:8" x14ac:dyDescent="0.25">
      <c r="A3493" s="1">
        <v>2008</v>
      </c>
      <c r="B3493" s="1" t="s">
        <v>99</v>
      </c>
      <c r="C3493" t="s">
        <v>51</v>
      </c>
      <c r="D3493">
        <v>3</v>
      </c>
      <c r="E3493">
        <v>76</v>
      </c>
      <c r="F3493">
        <v>0.2</v>
      </c>
      <c r="G3493">
        <f t="shared" si="42"/>
        <v>6.666666666666668E-2</v>
      </c>
      <c r="H3493">
        <f>G3493*(26.79/38.29)</f>
        <v>4.6644032384434583E-2</v>
      </c>
    </row>
    <row r="3494" spans="1:8" x14ac:dyDescent="0.25">
      <c r="A3494" s="1">
        <v>2008</v>
      </c>
      <c r="B3494" s="1" t="s">
        <v>99</v>
      </c>
      <c r="C3494" t="s">
        <v>51</v>
      </c>
      <c r="D3494">
        <v>3</v>
      </c>
      <c r="E3494">
        <v>76</v>
      </c>
      <c r="F3494">
        <v>0.12</v>
      </c>
      <c r="G3494">
        <f t="shared" si="42"/>
        <v>0.04</v>
      </c>
      <c r="H3494">
        <f>G3494*(26.79/38.29)</f>
        <v>2.7986419430660745E-2</v>
      </c>
    </row>
    <row r="3495" spans="1:8" x14ac:dyDescent="0.25">
      <c r="A3495" s="1">
        <v>2008</v>
      </c>
      <c r="B3495" s="1" t="s">
        <v>99</v>
      </c>
      <c r="C3495" t="s">
        <v>51</v>
      </c>
      <c r="D3495">
        <v>3</v>
      </c>
      <c r="E3495">
        <v>76</v>
      </c>
      <c r="F3495">
        <v>0.04</v>
      </c>
      <c r="G3495">
        <f t="shared" si="42"/>
        <v>1.3333333333333332E-2</v>
      </c>
      <c r="H3495">
        <f>G3495*(26.79/38.29)</f>
        <v>9.3288064768869139E-3</v>
      </c>
    </row>
    <row r="3496" spans="1:8" x14ac:dyDescent="0.25">
      <c r="A3496" s="1">
        <v>2008</v>
      </c>
      <c r="B3496" s="1" t="s">
        <v>99</v>
      </c>
      <c r="C3496" t="s">
        <v>51</v>
      </c>
      <c r="D3496">
        <v>3</v>
      </c>
      <c r="E3496">
        <v>76</v>
      </c>
      <c r="F3496">
        <v>0.18</v>
      </c>
      <c r="G3496">
        <f t="shared" si="42"/>
        <v>0.06</v>
      </c>
      <c r="H3496">
        <f>G3496*(26.79/38.29)</f>
        <v>4.1979629145991113E-2</v>
      </c>
    </row>
    <row r="3497" spans="1:8" x14ac:dyDescent="0.25">
      <c r="A3497" s="1">
        <v>2008</v>
      </c>
      <c r="B3497" s="1" t="s">
        <v>99</v>
      </c>
      <c r="C3497" t="s">
        <v>51</v>
      </c>
      <c r="D3497">
        <v>3</v>
      </c>
      <c r="E3497">
        <v>76</v>
      </c>
      <c r="F3497">
        <v>0.05</v>
      </c>
      <c r="G3497">
        <f t="shared" si="42"/>
        <v>1.666666666666667E-2</v>
      </c>
      <c r="H3497">
        <f>G3497*(26.79/38.29)</f>
        <v>1.1661008096108646E-2</v>
      </c>
    </row>
    <row r="3498" spans="1:8" x14ac:dyDescent="0.25">
      <c r="A3498" s="1">
        <v>2008</v>
      </c>
      <c r="B3498" s="1" t="s">
        <v>99</v>
      </c>
      <c r="C3498" t="s">
        <v>51</v>
      </c>
      <c r="D3498">
        <v>3</v>
      </c>
      <c r="E3498">
        <v>76</v>
      </c>
      <c r="F3498">
        <v>0.09</v>
      </c>
      <c r="G3498">
        <f t="shared" si="42"/>
        <v>0.03</v>
      </c>
      <c r="H3498">
        <f>G3498*(26.79/38.29)</f>
        <v>2.0989814572995556E-2</v>
      </c>
    </row>
    <row r="3499" spans="1:8" x14ac:dyDescent="0.25">
      <c r="A3499" s="1">
        <v>2008</v>
      </c>
      <c r="B3499" s="1" t="s">
        <v>99</v>
      </c>
      <c r="C3499" t="s">
        <v>51</v>
      </c>
      <c r="D3499">
        <v>3</v>
      </c>
      <c r="E3499">
        <v>76</v>
      </c>
      <c r="F3499">
        <v>0.05</v>
      </c>
      <c r="G3499">
        <f t="shared" si="42"/>
        <v>1.666666666666667E-2</v>
      </c>
      <c r="H3499">
        <f>G3499*(26.79/38.29)</f>
        <v>1.1661008096108646E-2</v>
      </c>
    </row>
    <row r="3500" spans="1:8" x14ac:dyDescent="0.25">
      <c r="A3500" s="1">
        <v>2008</v>
      </c>
      <c r="B3500" s="1" t="s">
        <v>99</v>
      </c>
      <c r="C3500" t="s">
        <v>51</v>
      </c>
      <c r="D3500">
        <v>3</v>
      </c>
      <c r="E3500">
        <v>76</v>
      </c>
      <c r="F3500">
        <v>0.03</v>
      </c>
      <c r="G3500">
        <f t="shared" si="42"/>
        <v>0.01</v>
      </c>
      <c r="H3500">
        <f>G3500*(26.79/38.29)</f>
        <v>6.9966048576651863E-3</v>
      </c>
    </row>
    <row r="3501" spans="1:8" x14ac:dyDescent="0.25">
      <c r="A3501" s="1">
        <v>2008</v>
      </c>
      <c r="B3501" s="1" t="s">
        <v>99</v>
      </c>
      <c r="C3501" t="s">
        <v>51</v>
      </c>
      <c r="D3501">
        <v>3</v>
      </c>
      <c r="E3501">
        <v>76</v>
      </c>
      <c r="F3501">
        <v>7.0000000000000007E-2</v>
      </c>
      <c r="G3501">
        <f t="shared" si="42"/>
        <v>2.3333333333333338E-2</v>
      </c>
      <c r="H3501">
        <f>G3501*(26.79/38.29)</f>
        <v>1.6325411334552103E-2</v>
      </c>
    </row>
    <row r="3502" spans="1:8" x14ac:dyDescent="0.25">
      <c r="A3502" s="1">
        <v>2008</v>
      </c>
      <c r="B3502" s="1" t="s">
        <v>99</v>
      </c>
      <c r="C3502" t="s">
        <v>51</v>
      </c>
      <c r="D3502">
        <v>3</v>
      </c>
      <c r="E3502">
        <v>76</v>
      </c>
      <c r="F3502">
        <v>0.33</v>
      </c>
      <c r="G3502">
        <f t="shared" si="42"/>
        <v>0.11000000000000001</v>
      </c>
      <c r="H3502">
        <f>G3502*(26.79/38.29)</f>
        <v>7.696265343431706E-2</v>
      </c>
    </row>
    <row r="3503" spans="1:8" x14ac:dyDescent="0.25">
      <c r="A3503" s="1">
        <v>2008</v>
      </c>
      <c r="B3503" s="1" t="s">
        <v>99</v>
      </c>
      <c r="C3503" t="s">
        <v>51</v>
      </c>
      <c r="D3503">
        <v>3</v>
      </c>
      <c r="E3503">
        <v>76</v>
      </c>
      <c r="F3503">
        <v>0.13</v>
      </c>
      <c r="G3503">
        <f t="shared" si="42"/>
        <v>4.3333333333333335E-2</v>
      </c>
      <c r="H3503">
        <f>G3503*(26.79/38.29)</f>
        <v>3.0318621049882474E-2</v>
      </c>
    </row>
    <row r="3504" spans="1:8" x14ac:dyDescent="0.25">
      <c r="A3504" s="1">
        <v>2008</v>
      </c>
      <c r="B3504" s="1" t="s">
        <v>99</v>
      </c>
      <c r="C3504" t="s">
        <v>51</v>
      </c>
      <c r="D3504">
        <v>3</v>
      </c>
      <c r="E3504">
        <v>76</v>
      </c>
      <c r="F3504">
        <v>0.04</v>
      </c>
      <c r="G3504">
        <f t="shared" si="42"/>
        <v>1.3333333333333332E-2</v>
      </c>
      <c r="H3504">
        <f>G3504*(26.79/38.29)</f>
        <v>9.3288064768869139E-3</v>
      </c>
    </row>
    <row r="3505" spans="1:8" x14ac:dyDescent="0.25">
      <c r="A3505" s="1">
        <v>2008</v>
      </c>
      <c r="B3505" s="1" t="s">
        <v>99</v>
      </c>
      <c r="C3505" t="s">
        <v>51</v>
      </c>
      <c r="D3505">
        <v>3</v>
      </c>
      <c r="E3505">
        <v>78</v>
      </c>
      <c r="F3505">
        <v>0.03</v>
      </c>
      <c r="G3505">
        <f t="shared" si="42"/>
        <v>0.01</v>
      </c>
      <c r="H3505">
        <f>G3505*(26.79/38.29)</f>
        <v>6.9966048576651863E-3</v>
      </c>
    </row>
    <row r="3506" spans="1:8" x14ac:dyDescent="0.25">
      <c r="A3506" s="1">
        <v>2008</v>
      </c>
      <c r="B3506" s="1" t="s">
        <v>99</v>
      </c>
      <c r="C3506" t="s">
        <v>51</v>
      </c>
      <c r="D3506">
        <v>3</v>
      </c>
      <c r="E3506">
        <v>79</v>
      </c>
      <c r="F3506">
        <v>0.33</v>
      </c>
      <c r="G3506">
        <f t="shared" si="42"/>
        <v>0.11000000000000001</v>
      </c>
      <c r="H3506">
        <f>G3506*(26.79/38.29)</f>
        <v>7.696265343431706E-2</v>
      </c>
    </row>
    <row r="3507" spans="1:8" x14ac:dyDescent="0.25">
      <c r="A3507" s="1">
        <v>2008</v>
      </c>
      <c r="B3507" s="1" t="s">
        <v>99</v>
      </c>
      <c r="C3507" t="s">
        <v>51</v>
      </c>
      <c r="D3507">
        <v>3</v>
      </c>
      <c r="E3507">
        <v>79</v>
      </c>
      <c r="F3507">
        <v>1.56</v>
      </c>
      <c r="G3507">
        <f t="shared" si="42"/>
        <v>0.52</v>
      </c>
      <c r="H3507">
        <f>G3507*(26.79/38.29)</f>
        <v>0.36382345259858972</v>
      </c>
    </row>
    <row r="3508" spans="1:8" x14ac:dyDescent="0.25">
      <c r="A3508" s="1">
        <v>2008</v>
      </c>
      <c r="B3508" s="1" t="s">
        <v>99</v>
      </c>
      <c r="C3508" t="s">
        <v>51</v>
      </c>
      <c r="D3508">
        <v>3</v>
      </c>
      <c r="E3508">
        <v>79</v>
      </c>
      <c r="F3508">
        <v>0.06</v>
      </c>
      <c r="G3508">
        <f t="shared" si="42"/>
        <v>0.02</v>
      </c>
      <c r="H3508">
        <f>G3508*(26.79/38.29)</f>
        <v>1.3993209715330373E-2</v>
      </c>
    </row>
    <row r="3509" spans="1:8" x14ac:dyDescent="0.25">
      <c r="A3509" s="1">
        <v>2008</v>
      </c>
      <c r="B3509" s="1" t="s">
        <v>99</v>
      </c>
      <c r="C3509" t="s">
        <v>51</v>
      </c>
      <c r="D3509">
        <v>3</v>
      </c>
      <c r="E3509">
        <v>79</v>
      </c>
      <c r="F3509">
        <v>0.91</v>
      </c>
      <c r="G3509">
        <f t="shared" si="42"/>
        <v>0.30333333333333334</v>
      </c>
      <c r="H3509">
        <f>G3509*(26.79/38.29)</f>
        <v>0.21223034734917731</v>
      </c>
    </row>
    <row r="3510" spans="1:8" x14ac:dyDescent="0.25">
      <c r="A3510" s="1">
        <v>2008</v>
      </c>
      <c r="B3510" s="1" t="s">
        <v>99</v>
      </c>
      <c r="C3510" t="s">
        <v>51</v>
      </c>
      <c r="D3510">
        <v>3</v>
      </c>
      <c r="E3510">
        <v>79</v>
      </c>
      <c r="F3510">
        <v>0.04</v>
      </c>
      <c r="G3510">
        <f t="shared" si="42"/>
        <v>1.3333333333333332E-2</v>
      </c>
      <c r="H3510">
        <f>G3510*(26.79/38.29)</f>
        <v>9.3288064768869139E-3</v>
      </c>
    </row>
    <row r="3511" spans="1:8" x14ac:dyDescent="0.25">
      <c r="A3511" s="1">
        <v>2008</v>
      </c>
      <c r="B3511" s="1" t="s">
        <v>99</v>
      </c>
      <c r="C3511" t="s">
        <v>51</v>
      </c>
      <c r="D3511">
        <v>3</v>
      </c>
      <c r="E3511">
        <v>79</v>
      </c>
      <c r="F3511">
        <v>0.06</v>
      </c>
      <c r="G3511">
        <f t="shared" si="42"/>
        <v>0.02</v>
      </c>
      <c r="H3511">
        <f>G3511*(26.79/38.29)</f>
        <v>1.3993209715330373E-2</v>
      </c>
    </row>
    <row r="3512" spans="1:8" x14ac:dyDescent="0.25">
      <c r="A3512" s="1">
        <v>2008</v>
      </c>
      <c r="B3512" s="1" t="s">
        <v>99</v>
      </c>
      <c r="C3512" t="s">
        <v>51</v>
      </c>
      <c r="D3512">
        <v>3</v>
      </c>
      <c r="E3512">
        <v>79</v>
      </c>
      <c r="F3512">
        <v>0.18</v>
      </c>
      <c r="G3512">
        <f t="shared" si="42"/>
        <v>0.06</v>
      </c>
      <c r="H3512">
        <f>G3512*(26.79/38.29)</f>
        <v>4.1979629145991113E-2</v>
      </c>
    </row>
    <row r="3513" spans="1:8" x14ac:dyDescent="0.25">
      <c r="A3513" s="1">
        <v>2008</v>
      </c>
      <c r="B3513" s="1" t="s">
        <v>99</v>
      </c>
      <c r="C3513" t="s">
        <v>51</v>
      </c>
      <c r="D3513">
        <v>3</v>
      </c>
      <c r="E3513">
        <v>79</v>
      </c>
      <c r="F3513">
        <v>0.12</v>
      </c>
      <c r="G3513">
        <f t="shared" si="42"/>
        <v>0.04</v>
      </c>
      <c r="H3513">
        <f>G3513*(26.79/38.29)</f>
        <v>2.7986419430660745E-2</v>
      </c>
    </row>
    <row r="3514" spans="1:8" x14ac:dyDescent="0.25">
      <c r="A3514" s="1">
        <v>2008</v>
      </c>
      <c r="B3514" s="1" t="s">
        <v>99</v>
      </c>
      <c r="C3514" t="s">
        <v>51</v>
      </c>
      <c r="D3514">
        <v>3</v>
      </c>
      <c r="E3514">
        <v>79</v>
      </c>
      <c r="F3514">
        <v>0.05</v>
      </c>
      <c r="G3514">
        <f t="shared" si="42"/>
        <v>1.666666666666667E-2</v>
      </c>
      <c r="H3514">
        <f>G3514*(26.79/38.29)</f>
        <v>1.1661008096108646E-2</v>
      </c>
    </row>
    <row r="3515" spans="1:8" x14ac:dyDescent="0.25">
      <c r="A3515" s="1">
        <v>2008</v>
      </c>
      <c r="B3515" s="1" t="s">
        <v>99</v>
      </c>
      <c r="C3515" t="s">
        <v>51</v>
      </c>
      <c r="D3515">
        <v>3</v>
      </c>
      <c r="E3515">
        <v>79</v>
      </c>
      <c r="F3515">
        <v>0.61</v>
      </c>
      <c r="G3515">
        <f t="shared" si="42"/>
        <v>0.20333333333333331</v>
      </c>
      <c r="H3515">
        <f>G3515*(26.79/38.29)</f>
        <v>0.14226429877252544</v>
      </c>
    </row>
    <row r="3516" spans="1:8" x14ac:dyDescent="0.25">
      <c r="A3516" s="1">
        <v>2008</v>
      </c>
      <c r="B3516" s="1" t="s">
        <v>99</v>
      </c>
      <c r="C3516" t="s">
        <v>51</v>
      </c>
      <c r="D3516">
        <v>3</v>
      </c>
      <c r="E3516">
        <v>79</v>
      </c>
      <c r="F3516">
        <v>0.04</v>
      </c>
      <c r="G3516">
        <f t="shared" si="42"/>
        <v>1.3333333333333332E-2</v>
      </c>
      <c r="H3516">
        <f>G3516*(26.79/38.29)</f>
        <v>9.3288064768869139E-3</v>
      </c>
    </row>
    <row r="3517" spans="1:8" x14ac:dyDescent="0.25">
      <c r="A3517" s="1">
        <v>2008</v>
      </c>
      <c r="B3517" s="1" t="s">
        <v>99</v>
      </c>
      <c r="C3517" t="s">
        <v>51</v>
      </c>
      <c r="D3517">
        <v>3</v>
      </c>
      <c r="E3517">
        <v>79</v>
      </c>
      <c r="F3517">
        <v>0.04</v>
      </c>
      <c r="G3517">
        <f t="shared" si="42"/>
        <v>1.3333333333333332E-2</v>
      </c>
      <c r="H3517">
        <f>G3517*(26.79/38.29)</f>
        <v>9.3288064768869139E-3</v>
      </c>
    </row>
    <row r="3518" spans="1:8" x14ac:dyDescent="0.25">
      <c r="A3518" s="1">
        <v>2008</v>
      </c>
      <c r="B3518" s="1" t="s">
        <v>99</v>
      </c>
      <c r="C3518" t="s">
        <v>51</v>
      </c>
      <c r="D3518">
        <v>3</v>
      </c>
      <c r="E3518">
        <v>79</v>
      </c>
      <c r="F3518">
        <v>0.04</v>
      </c>
      <c r="G3518">
        <f t="shared" si="42"/>
        <v>1.3333333333333332E-2</v>
      </c>
      <c r="H3518">
        <f>G3518*(26.79/38.29)</f>
        <v>9.3288064768869139E-3</v>
      </c>
    </row>
    <row r="3519" spans="1:8" x14ac:dyDescent="0.25">
      <c r="A3519" s="1">
        <v>2008</v>
      </c>
      <c r="B3519" s="1" t="s">
        <v>99</v>
      </c>
      <c r="C3519" t="s">
        <v>51</v>
      </c>
      <c r="D3519">
        <v>3</v>
      </c>
      <c r="E3519">
        <v>79</v>
      </c>
      <c r="F3519">
        <v>0.06</v>
      </c>
      <c r="G3519">
        <f t="shared" si="42"/>
        <v>0.02</v>
      </c>
      <c r="H3519">
        <f>G3519*(26.79/38.29)</f>
        <v>1.3993209715330373E-2</v>
      </c>
    </row>
    <row r="3520" spans="1:8" x14ac:dyDescent="0.25">
      <c r="A3520" s="1">
        <v>2008</v>
      </c>
      <c r="B3520" s="1" t="s">
        <v>99</v>
      </c>
      <c r="C3520" t="s">
        <v>51</v>
      </c>
      <c r="D3520">
        <v>3</v>
      </c>
      <c r="E3520">
        <v>79</v>
      </c>
      <c r="F3520">
        <v>0.04</v>
      </c>
      <c r="G3520">
        <f t="shared" si="42"/>
        <v>1.3333333333333332E-2</v>
      </c>
      <c r="H3520">
        <f>G3520*(26.79/38.29)</f>
        <v>9.3288064768869139E-3</v>
      </c>
    </row>
    <row r="3521" spans="1:8" x14ac:dyDescent="0.25">
      <c r="A3521" s="1">
        <v>2008</v>
      </c>
      <c r="B3521" s="1" t="s">
        <v>99</v>
      </c>
      <c r="C3521" t="s">
        <v>51</v>
      </c>
      <c r="D3521">
        <v>3</v>
      </c>
      <c r="E3521">
        <v>79</v>
      </c>
      <c r="F3521">
        <v>0.76</v>
      </c>
      <c r="G3521">
        <f t="shared" si="42"/>
        <v>0.25333333333333335</v>
      </c>
      <c r="H3521">
        <f>G3521*(26.79/38.29)</f>
        <v>0.17724732306085139</v>
      </c>
    </row>
    <row r="3522" spans="1:8" x14ac:dyDescent="0.25">
      <c r="A3522" s="1">
        <v>2008</v>
      </c>
      <c r="B3522" s="1" t="s">
        <v>99</v>
      </c>
      <c r="C3522" t="s">
        <v>51</v>
      </c>
      <c r="D3522">
        <v>3</v>
      </c>
      <c r="E3522">
        <v>79</v>
      </c>
      <c r="F3522">
        <v>0.31</v>
      </c>
      <c r="G3522">
        <f t="shared" si="42"/>
        <v>0.10333333333333335</v>
      </c>
      <c r="H3522">
        <f>G3522*(26.79/38.29)</f>
        <v>7.2298250195873603E-2</v>
      </c>
    </row>
    <row r="3523" spans="1:8" x14ac:dyDescent="0.25">
      <c r="A3523" s="1">
        <v>2008</v>
      </c>
      <c r="B3523" s="1" t="s">
        <v>99</v>
      </c>
      <c r="C3523" t="s">
        <v>51</v>
      </c>
      <c r="D3523">
        <v>3</v>
      </c>
      <c r="E3523">
        <v>79</v>
      </c>
      <c r="F3523">
        <v>0.28000000000000003</v>
      </c>
      <c r="G3523">
        <f t="shared" si="42"/>
        <v>9.3333333333333351E-2</v>
      </c>
      <c r="H3523">
        <f>G3523*(26.79/38.29)</f>
        <v>6.5301645338208411E-2</v>
      </c>
    </row>
    <row r="3524" spans="1:8" x14ac:dyDescent="0.25">
      <c r="A3524" s="1">
        <v>2008</v>
      </c>
      <c r="B3524" s="1" t="s">
        <v>99</v>
      </c>
      <c r="C3524" t="s">
        <v>51</v>
      </c>
      <c r="D3524">
        <v>3</v>
      </c>
      <c r="E3524">
        <v>79</v>
      </c>
      <c r="F3524">
        <v>0.41</v>
      </c>
      <c r="G3524">
        <f t="shared" si="42"/>
        <v>0.13666666666666666</v>
      </c>
      <c r="H3524">
        <f>G3524*(26.79/38.29)</f>
        <v>9.5620266388090874E-2</v>
      </c>
    </row>
    <row r="3525" spans="1:8" x14ac:dyDescent="0.25">
      <c r="A3525" s="1">
        <v>2008</v>
      </c>
      <c r="B3525" s="1" t="s">
        <v>99</v>
      </c>
      <c r="C3525" t="s">
        <v>51</v>
      </c>
      <c r="D3525">
        <v>3</v>
      </c>
      <c r="E3525">
        <v>79</v>
      </c>
      <c r="F3525">
        <v>0.22</v>
      </c>
      <c r="G3525">
        <f t="shared" si="42"/>
        <v>7.3333333333333334E-2</v>
      </c>
      <c r="H3525">
        <f>G3525*(26.79/38.29)</f>
        <v>5.1308435622878033E-2</v>
      </c>
    </row>
    <row r="3526" spans="1:8" x14ac:dyDescent="0.25">
      <c r="A3526" s="1">
        <v>2008</v>
      </c>
      <c r="B3526" s="1" t="s">
        <v>99</v>
      </c>
      <c r="C3526" t="s">
        <v>51</v>
      </c>
      <c r="D3526">
        <v>3</v>
      </c>
      <c r="E3526">
        <v>79</v>
      </c>
      <c r="F3526">
        <v>7.0000000000000007E-2</v>
      </c>
      <c r="G3526">
        <f t="shared" si="42"/>
        <v>2.3333333333333338E-2</v>
      </c>
      <c r="H3526">
        <f>G3526*(26.79/38.29)</f>
        <v>1.6325411334552103E-2</v>
      </c>
    </row>
    <row r="3527" spans="1:8" x14ac:dyDescent="0.25">
      <c r="A3527" s="1">
        <v>2008</v>
      </c>
      <c r="B3527" s="1" t="s">
        <v>99</v>
      </c>
      <c r="C3527" t="s">
        <v>51</v>
      </c>
      <c r="D3527">
        <v>3</v>
      </c>
      <c r="E3527">
        <v>79</v>
      </c>
      <c r="F3527">
        <v>0.05</v>
      </c>
      <c r="G3527">
        <f t="shared" si="42"/>
        <v>1.666666666666667E-2</v>
      </c>
      <c r="H3527">
        <f>G3527*(26.79/38.29)</f>
        <v>1.1661008096108646E-2</v>
      </c>
    </row>
    <row r="3528" spans="1:8" x14ac:dyDescent="0.25">
      <c r="A3528" s="1">
        <v>2008</v>
      </c>
      <c r="B3528" s="1" t="s">
        <v>99</v>
      </c>
      <c r="C3528" t="s">
        <v>51</v>
      </c>
      <c r="D3528">
        <v>3</v>
      </c>
      <c r="E3528">
        <v>79</v>
      </c>
      <c r="F3528">
        <v>0.76</v>
      </c>
      <c r="G3528">
        <f t="shared" si="42"/>
        <v>0.25333333333333335</v>
      </c>
      <c r="H3528">
        <f>G3528*(26.79/38.29)</f>
        <v>0.17724732306085139</v>
      </c>
    </row>
    <row r="3529" spans="1:8" x14ac:dyDescent="0.25">
      <c r="A3529" s="1">
        <v>2008</v>
      </c>
      <c r="B3529" s="1" t="s">
        <v>99</v>
      </c>
      <c r="C3529" t="s">
        <v>51</v>
      </c>
      <c r="D3529">
        <v>3</v>
      </c>
      <c r="E3529">
        <v>79</v>
      </c>
      <c r="F3529">
        <v>0.8</v>
      </c>
      <c r="G3529">
        <f t="shared" si="42"/>
        <v>0.26666666666666672</v>
      </c>
      <c r="H3529">
        <f>G3529*(26.79/38.29)</f>
        <v>0.18657612953773833</v>
      </c>
    </row>
    <row r="3530" spans="1:8" x14ac:dyDescent="0.25">
      <c r="A3530" s="1">
        <v>2008</v>
      </c>
      <c r="B3530" s="1" t="s">
        <v>99</v>
      </c>
      <c r="C3530" t="s">
        <v>51</v>
      </c>
      <c r="D3530">
        <v>3</v>
      </c>
      <c r="E3530">
        <v>79</v>
      </c>
      <c r="F3530">
        <v>0.15</v>
      </c>
      <c r="G3530">
        <f t="shared" si="42"/>
        <v>0.05</v>
      </c>
      <c r="H3530">
        <f>G3530*(26.79/38.29)</f>
        <v>3.4983024288325934E-2</v>
      </c>
    </row>
    <row r="3531" spans="1:8" x14ac:dyDescent="0.25">
      <c r="A3531" s="1">
        <v>2008</v>
      </c>
      <c r="B3531" s="1" t="s">
        <v>99</v>
      </c>
      <c r="C3531" t="s">
        <v>51</v>
      </c>
      <c r="D3531">
        <v>3</v>
      </c>
      <c r="E3531">
        <v>79</v>
      </c>
      <c r="F3531">
        <v>0.2</v>
      </c>
      <c r="G3531">
        <f t="shared" si="42"/>
        <v>6.666666666666668E-2</v>
      </c>
      <c r="H3531">
        <f>G3531*(26.79/38.29)</f>
        <v>4.6644032384434583E-2</v>
      </c>
    </row>
    <row r="3532" spans="1:8" x14ac:dyDescent="0.25">
      <c r="A3532" s="1">
        <v>2008</v>
      </c>
      <c r="B3532" s="1" t="s">
        <v>99</v>
      </c>
      <c r="C3532" t="s">
        <v>51</v>
      </c>
      <c r="D3532">
        <v>3</v>
      </c>
      <c r="E3532">
        <v>79</v>
      </c>
      <c r="F3532">
        <v>0.22</v>
      </c>
      <c r="G3532">
        <f t="shared" si="42"/>
        <v>7.3333333333333334E-2</v>
      </c>
      <c r="H3532">
        <f>G3532*(26.79/38.29)</f>
        <v>5.1308435622878033E-2</v>
      </c>
    </row>
    <row r="3533" spans="1:8" x14ac:dyDescent="0.25">
      <c r="A3533" s="1">
        <v>2008</v>
      </c>
      <c r="B3533" s="1" t="s">
        <v>99</v>
      </c>
      <c r="C3533" t="s">
        <v>51</v>
      </c>
      <c r="D3533">
        <v>3</v>
      </c>
      <c r="E3533">
        <v>79</v>
      </c>
      <c r="F3533">
        <v>1.5</v>
      </c>
      <c r="G3533">
        <f t="shared" si="42"/>
        <v>0.5</v>
      </c>
      <c r="H3533">
        <f>G3533*(26.79/38.29)</f>
        <v>0.34983024288325931</v>
      </c>
    </row>
    <row r="3534" spans="1:8" x14ac:dyDescent="0.25">
      <c r="A3534" s="1">
        <v>2008</v>
      </c>
      <c r="B3534" s="1" t="s">
        <v>99</v>
      </c>
      <c r="C3534" t="s">
        <v>51</v>
      </c>
      <c r="D3534">
        <v>3</v>
      </c>
      <c r="E3534">
        <v>79</v>
      </c>
      <c r="F3534">
        <v>0.28999999999999998</v>
      </c>
      <c r="G3534">
        <f t="shared" ref="G3534:G3597" si="43">(F3534/0.6)/5</f>
        <v>9.6666666666666665E-2</v>
      </c>
      <c r="H3534">
        <f>G3534*(26.79/38.29)</f>
        <v>6.7633846957430133E-2</v>
      </c>
    </row>
    <row r="3535" spans="1:8" x14ac:dyDescent="0.25">
      <c r="A3535" s="1">
        <v>2008</v>
      </c>
      <c r="B3535" s="1" t="s">
        <v>99</v>
      </c>
      <c r="C3535" t="s">
        <v>51</v>
      </c>
      <c r="D3535">
        <v>3</v>
      </c>
      <c r="E3535">
        <v>79</v>
      </c>
      <c r="F3535">
        <v>0.85</v>
      </c>
      <c r="G3535">
        <f t="shared" si="43"/>
        <v>0.28333333333333333</v>
      </c>
      <c r="H3535">
        <f>G3535*(26.79/38.29)</f>
        <v>0.19823713763384693</v>
      </c>
    </row>
    <row r="3536" spans="1:8" x14ac:dyDescent="0.25">
      <c r="A3536" s="1">
        <v>2008</v>
      </c>
      <c r="B3536" s="1" t="s">
        <v>99</v>
      </c>
      <c r="C3536" t="s">
        <v>51</v>
      </c>
      <c r="D3536">
        <v>3</v>
      </c>
      <c r="E3536">
        <v>79</v>
      </c>
      <c r="F3536">
        <v>0.04</v>
      </c>
      <c r="G3536">
        <f t="shared" si="43"/>
        <v>1.3333333333333332E-2</v>
      </c>
      <c r="H3536">
        <f>G3536*(26.79/38.29)</f>
        <v>9.3288064768869139E-3</v>
      </c>
    </row>
    <row r="3537" spans="1:8" x14ac:dyDescent="0.25">
      <c r="A3537" s="1">
        <v>2008</v>
      </c>
      <c r="B3537" s="1" t="s">
        <v>99</v>
      </c>
      <c r="C3537" t="s">
        <v>51</v>
      </c>
      <c r="D3537">
        <v>3</v>
      </c>
      <c r="E3537">
        <v>79</v>
      </c>
      <c r="F3537">
        <v>0.88</v>
      </c>
      <c r="G3537">
        <f t="shared" si="43"/>
        <v>0.29333333333333333</v>
      </c>
      <c r="H3537">
        <f>G3537*(26.79/38.29)</f>
        <v>0.20523374249151213</v>
      </c>
    </row>
    <row r="3538" spans="1:8" x14ac:dyDescent="0.25">
      <c r="A3538" s="1">
        <v>2008</v>
      </c>
      <c r="B3538" s="1" t="s">
        <v>99</v>
      </c>
      <c r="C3538" t="s">
        <v>51</v>
      </c>
      <c r="D3538">
        <v>3</v>
      </c>
      <c r="E3538">
        <v>79</v>
      </c>
      <c r="F3538">
        <v>0.03</v>
      </c>
      <c r="G3538">
        <f t="shared" si="43"/>
        <v>0.01</v>
      </c>
      <c r="H3538">
        <f>G3538*(26.79/38.29)</f>
        <v>6.9966048576651863E-3</v>
      </c>
    </row>
    <row r="3539" spans="1:8" x14ac:dyDescent="0.25">
      <c r="A3539" s="1">
        <v>2008</v>
      </c>
      <c r="B3539" s="1" t="s">
        <v>99</v>
      </c>
      <c r="C3539" t="s">
        <v>51</v>
      </c>
      <c r="D3539">
        <v>3</v>
      </c>
      <c r="E3539">
        <v>79</v>
      </c>
      <c r="F3539">
        <v>0.79</v>
      </c>
      <c r="G3539">
        <f t="shared" si="43"/>
        <v>0.26333333333333336</v>
      </c>
      <c r="H3539">
        <f>G3539*(26.79/38.29)</f>
        <v>0.1842439279185166</v>
      </c>
    </row>
    <row r="3540" spans="1:8" x14ac:dyDescent="0.25">
      <c r="A3540" s="1">
        <v>2008</v>
      </c>
      <c r="B3540" s="1" t="s">
        <v>99</v>
      </c>
      <c r="C3540" t="s">
        <v>51</v>
      </c>
      <c r="D3540">
        <v>3</v>
      </c>
      <c r="E3540">
        <v>79</v>
      </c>
      <c r="F3540">
        <v>0.42</v>
      </c>
      <c r="G3540">
        <f t="shared" si="43"/>
        <v>0.13999999999999999</v>
      </c>
      <c r="H3540">
        <f>G3540*(26.79/38.29)</f>
        <v>9.7952468007312596E-2</v>
      </c>
    </row>
    <row r="3541" spans="1:8" x14ac:dyDescent="0.25">
      <c r="A3541" s="1">
        <v>2008</v>
      </c>
      <c r="B3541" s="1" t="s">
        <v>99</v>
      </c>
      <c r="C3541" t="s">
        <v>51</v>
      </c>
      <c r="D3541">
        <v>3</v>
      </c>
      <c r="E3541">
        <v>79</v>
      </c>
      <c r="F3541">
        <v>0.89</v>
      </c>
      <c r="G3541">
        <f t="shared" si="43"/>
        <v>0.29666666666666669</v>
      </c>
      <c r="H3541">
        <f>G3541*(26.79/38.29)</f>
        <v>0.20756594411073387</v>
      </c>
    </row>
    <row r="3542" spans="1:8" x14ac:dyDescent="0.25">
      <c r="A3542" s="1">
        <v>2008</v>
      </c>
      <c r="B3542" s="1" t="s">
        <v>99</v>
      </c>
      <c r="C3542" t="s">
        <v>51</v>
      </c>
      <c r="D3542">
        <v>3</v>
      </c>
      <c r="E3542">
        <v>84</v>
      </c>
      <c r="F3542">
        <v>0.1</v>
      </c>
      <c r="G3542">
        <f t="shared" si="43"/>
        <v>3.333333333333334E-2</v>
      </c>
      <c r="H3542">
        <f>G3542*(26.79/38.29)</f>
        <v>2.3322016192217292E-2</v>
      </c>
    </row>
    <row r="3543" spans="1:8" x14ac:dyDescent="0.25">
      <c r="A3543" s="1">
        <v>2008</v>
      </c>
      <c r="B3543" s="1" t="s">
        <v>99</v>
      </c>
      <c r="C3543" t="s">
        <v>51</v>
      </c>
      <c r="D3543">
        <v>3</v>
      </c>
      <c r="E3543">
        <v>88</v>
      </c>
      <c r="F3543">
        <v>0.95</v>
      </c>
      <c r="G3543">
        <f t="shared" si="43"/>
        <v>0.31666666666666665</v>
      </c>
      <c r="H3543">
        <f>G3543*(26.79/38.29)</f>
        <v>0.22155915382606423</v>
      </c>
    </row>
    <row r="3544" spans="1:8" x14ac:dyDescent="0.25">
      <c r="A3544" s="1">
        <v>2008</v>
      </c>
      <c r="B3544" s="1" t="s">
        <v>99</v>
      </c>
      <c r="C3544" t="s">
        <v>51</v>
      </c>
      <c r="D3544">
        <v>4</v>
      </c>
      <c r="E3544">
        <v>21</v>
      </c>
      <c r="F3544">
        <v>1.41</v>
      </c>
      <c r="G3544">
        <f t="shared" si="43"/>
        <v>0.47000000000000003</v>
      </c>
      <c r="H3544">
        <f>G3544*(26.79/38.29)</f>
        <v>0.32884042831026378</v>
      </c>
    </row>
    <row r="3545" spans="1:8" x14ac:dyDescent="0.25">
      <c r="A3545" s="1">
        <v>2008</v>
      </c>
      <c r="B3545" s="1" t="s">
        <v>99</v>
      </c>
      <c r="C3545" t="s">
        <v>51</v>
      </c>
      <c r="D3545">
        <v>4</v>
      </c>
      <c r="E3545">
        <v>29</v>
      </c>
      <c r="F3545">
        <v>0.92</v>
      </c>
      <c r="G3545">
        <f t="shared" si="43"/>
        <v>0.3066666666666667</v>
      </c>
      <c r="H3545">
        <f>G3545*(26.79/38.29)</f>
        <v>0.21456254896839907</v>
      </c>
    </row>
    <row r="3546" spans="1:8" x14ac:dyDescent="0.25">
      <c r="A3546" s="1">
        <v>2008</v>
      </c>
      <c r="B3546" s="1" t="s">
        <v>99</v>
      </c>
      <c r="C3546" t="s">
        <v>51</v>
      </c>
      <c r="D3546">
        <v>4</v>
      </c>
      <c r="E3546">
        <v>29</v>
      </c>
      <c r="F3546">
        <v>1.1200000000000001</v>
      </c>
      <c r="G3546">
        <f t="shared" si="43"/>
        <v>0.37333333333333341</v>
      </c>
      <c r="H3546">
        <f>G3546*(26.79/38.29)</f>
        <v>0.26120658135283364</v>
      </c>
    </row>
    <row r="3547" spans="1:8" x14ac:dyDescent="0.25">
      <c r="A3547" s="1">
        <v>2008</v>
      </c>
      <c r="B3547" s="1" t="s">
        <v>99</v>
      </c>
      <c r="C3547" t="s">
        <v>51</v>
      </c>
      <c r="D3547">
        <v>4</v>
      </c>
      <c r="E3547">
        <v>29</v>
      </c>
      <c r="F3547">
        <v>0.12</v>
      </c>
      <c r="G3547">
        <f t="shared" si="43"/>
        <v>0.04</v>
      </c>
      <c r="H3547">
        <f>G3547*(26.79/38.29)</f>
        <v>2.7986419430660745E-2</v>
      </c>
    </row>
    <row r="3548" spans="1:8" x14ac:dyDescent="0.25">
      <c r="A3548" s="1">
        <v>2008</v>
      </c>
      <c r="B3548" s="1" t="s">
        <v>99</v>
      </c>
      <c r="C3548" t="s">
        <v>51</v>
      </c>
      <c r="D3548">
        <v>4</v>
      </c>
      <c r="E3548">
        <v>29</v>
      </c>
      <c r="F3548">
        <v>0.31</v>
      </c>
      <c r="G3548">
        <f t="shared" si="43"/>
        <v>0.10333333333333335</v>
      </c>
      <c r="H3548">
        <f>G3548*(26.79/38.29)</f>
        <v>7.2298250195873603E-2</v>
      </c>
    </row>
    <row r="3549" spans="1:8" x14ac:dyDescent="0.25">
      <c r="A3549" s="1">
        <v>2008</v>
      </c>
      <c r="B3549" s="1" t="s">
        <v>99</v>
      </c>
      <c r="C3549" t="s">
        <v>51</v>
      </c>
      <c r="D3549">
        <v>4</v>
      </c>
      <c r="E3549">
        <v>29</v>
      </c>
      <c r="F3549">
        <v>0.25</v>
      </c>
      <c r="G3549">
        <f t="shared" si="43"/>
        <v>8.3333333333333343E-2</v>
      </c>
      <c r="H3549">
        <f>G3549*(26.79/38.29)</f>
        <v>5.8305040480543226E-2</v>
      </c>
    </row>
    <row r="3550" spans="1:8" x14ac:dyDescent="0.25">
      <c r="A3550" s="1">
        <v>2008</v>
      </c>
      <c r="B3550" s="1" t="s">
        <v>99</v>
      </c>
      <c r="C3550" t="s">
        <v>51</v>
      </c>
      <c r="D3550">
        <v>4</v>
      </c>
      <c r="E3550">
        <v>29</v>
      </c>
      <c r="F3550">
        <v>1.1299999999999999</v>
      </c>
      <c r="G3550">
        <f t="shared" si="43"/>
        <v>0.37666666666666665</v>
      </c>
      <c r="H3550">
        <f>G3550*(26.79/38.29)</f>
        <v>0.26353878297205535</v>
      </c>
    </row>
    <row r="3551" spans="1:8" x14ac:dyDescent="0.25">
      <c r="A3551" s="1">
        <v>2008</v>
      </c>
      <c r="B3551" s="1" t="s">
        <v>99</v>
      </c>
      <c r="C3551" t="s">
        <v>51</v>
      </c>
      <c r="D3551">
        <v>4</v>
      </c>
      <c r="E3551">
        <v>29</v>
      </c>
      <c r="F3551">
        <v>0.79</v>
      </c>
      <c r="G3551">
        <f t="shared" si="43"/>
        <v>0.26333333333333336</v>
      </c>
      <c r="H3551">
        <f>G3551*(26.79/38.29)</f>
        <v>0.1842439279185166</v>
      </c>
    </row>
    <row r="3552" spans="1:8" x14ac:dyDescent="0.25">
      <c r="A3552" s="1">
        <v>2008</v>
      </c>
      <c r="B3552" s="1" t="s">
        <v>99</v>
      </c>
      <c r="C3552" t="s">
        <v>51</v>
      </c>
      <c r="D3552">
        <v>4</v>
      </c>
      <c r="E3552">
        <v>29</v>
      </c>
      <c r="F3552">
        <v>0.49</v>
      </c>
      <c r="G3552">
        <f t="shared" si="43"/>
        <v>0.16333333333333333</v>
      </c>
      <c r="H3552">
        <f>G3552*(26.79/38.29)</f>
        <v>0.1142778793418647</v>
      </c>
    </row>
    <row r="3553" spans="1:8" x14ac:dyDescent="0.25">
      <c r="A3553" s="1">
        <v>2008</v>
      </c>
      <c r="B3553" s="1" t="s">
        <v>99</v>
      </c>
      <c r="C3553" t="s">
        <v>51</v>
      </c>
      <c r="D3553">
        <v>4</v>
      </c>
      <c r="E3553">
        <v>29</v>
      </c>
      <c r="F3553">
        <v>7.0000000000000007E-2</v>
      </c>
      <c r="G3553">
        <f t="shared" si="43"/>
        <v>2.3333333333333338E-2</v>
      </c>
      <c r="H3553">
        <f>G3553*(26.79/38.29)</f>
        <v>1.6325411334552103E-2</v>
      </c>
    </row>
    <row r="3554" spans="1:8" x14ac:dyDescent="0.25">
      <c r="A3554" s="1">
        <v>2008</v>
      </c>
      <c r="B3554" s="1" t="s">
        <v>99</v>
      </c>
      <c r="C3554" t="s">
        <v>51</v>
      </c>
      <c r="D3554">
        <v>4</v>
      </c>
      <c r="E3554">
        <v>32</v>
      </c>
      <c r="F3554">
        <v>0.13</v>
      </c>
      <c r="G3554">
        <f t="shared" si="43"/>
        <v>4.3333333333333335E-2</v>
      </c>
      <c r="H3554">
        <f>G3554*(26.79/38.29)</f>
        <v>3.0318621049882474E-2</v>
      </c>
    </row>
    <row r="3555" spans="1:8" x14ac:dyDescent="0.25">
      <c r="A3555" s="1">
        <v>2008</v>
      </c>
      <c r="B3555" s="1" t="s">
        <v>99</v>
      </c>
      <c r="C3555" t="s">
        <v>51</v>
      </c>
      <c r="D3555">
        <v>4</v>
      </c>
      <c r="E3555">
        <v>32</v>
      </c>
      <c r="F3555">
        <v>0.11</v>
      </c>
      <c r="G3555">
        <f t="shared" si="43"/>
        <v>3.6666666666666667E-2</v>
      </c>
      <c r="H3555">
        <f>G3555*(26.79/38.29)</f>
        <v>2.5654217811439017E-2</v>
      </c>
    </row>
    <row r="3556" spans="1:8" x14ac:dyDescent="0.25">
      <c r="A3556" s="1">
        <v>2008</v>
      </c>
      <c r="B3556" s="1" t="s">
        <v>99</v>
      </c>
      <c r="C3556" t="s">
        <v>51</v>
      </c>
      <c r="D3556">
        <v>4</v>
      </c>
      <c r="E3556">
        <v>32</v>
      </c>
      <c r="F3556">
        <v>0.06</v>
      </c>
      <c r="G3556">
        <f t="shared" si="43"/>
        <v>0.02</v>
      </c>
      <c r="H3556">
        <f>G3556*(26.79/38.29)</f>
        <v>1.3993209715330373E-2</v>
      </c>
    </row>
    <row r="3557" spans="1:8" x14ac:dyDescent="0.25">
      <c r="A3557" s="1">
        <v>2008</v>
      </c>
      <c r="B3557" s="1" t="s">
        <v>99</v>
      </c>
      <c r="C3557" t="s">
        <v>51</v>
      </c>
      <c r="D3557">
        <v>4</v>
      </c>
      <c r="E3557">
        <v>32</v>
      </c>
      <c r="F3557">
        <v>0.04</v>
      </c>
      <c r="G3557">
        <f t="shared" si="43"/>
        <v>1.3333333333333332E-2</v>
      </c>
      <c r="H3557">
        <f>G3557*(26.79/38.29)</f>
        <v>9.3288064768869139E-3</v>
      </c>
    </row>
    <row r="3558" spans="1:8" x14ac:dyDescent="0.25">
      <c r="A3558" s="1">
        <v>2008</v>
      </c>
      <c r="B3558" s="1" t="s">
        <v>99</v>
      </c>
      <c r="C3558" t="s">
        <v>51</v>
      </c>
      <c r="D3558">
        <v>4</v>
      </c>
      <c r="E3558">
        <v>32</v>
      </c>
      <c r="F3558">
        <v>0.13</v>
      </c>
      <c r="G3558">
        <f t="shared" si="43"/>
        <v>4.3333333333333335E-2</v>
      </c>
      <c r="H3558">
        <f>G3558*(26.79/38.29)</f>
        <v>3.0318621049882474E-2</v>
      </c>
    </row>
    <row r="3559" spans="1:8" x14ac:dyDescent="0.25">
      <c r="A3559" s="1">
        <v>2008</v>
      </c>
      <c r="B3559" s="1" t="s">
        <v>99</v>
      </c>
      <c r="C3559" t="s">
        <v>51</v>
      </c>
      <c r="D3559">
        <v>4</v>
      </c>
      <c r="E3559">
        <v>32</v>
      </c>
      <c r="F3559">
        <v>0.05</v>
      </c>
      <c r="G3559">
        <f t="shared" si="43"/>
        <v>1.666666666666667E-2</v>
      </c>
      <c r="H3559">
        <f>G3559*(26.79/38.29)</f>
        <v>1.1661008096108646E-2</v>
      </c>
    </row>
    <row r="3560" spans="1:8" x14ac:dyDescent="0.25">
      <c r="A3560" s="1">
        <v>2008</v>
      </c>
      <c r="B3560" s="1" t="s">
        <v>99</v>
      </c>
      <c r="C3560" t="s">
        <v>51</v>
      </c>
      <c r="D3560">
        <v>4</v>
      </c>
      <c r="E3560">
        <v>32</v>
      </c>
      <c r="F3560">
        <v>0.04</v>
      </c>
      <c r="G3560">
        <f t="shared" si="43"/>
        <v>1.3333333333333332E-2</v>
      </c>
      <c r="H3560">
        <f>G3560*(26.79/38.29)</f>
        <v>9.3288064768869139E-3</v>
      </c>
    </row>
    <row r="3561" spans="1:8" x14ac:dyDescent="0.25">
      <c r="A3561" s="1">
        <v>2008</v>
      </c>
      <c r="B3561" s="1" t="s">
        <v>99</v>
      </c>
      <c r="C3561" t="s">
        <v>51</v>
      </c>
      <c r="D3561">
        <v>4</v>
      </c>
      <c r="E3561">
        <v>32</v>
      </c>
      <c r="F3561">
        <v>0.05</v>
      </c>
      <c r="G3561">
        <f t="shared" si="43"/>
        <v>1.666666666666667E-2</v>
      </c>
      <c r="H3561">
        <f>G3561*(26.79/38.29)</f>
        <v>1.1661008096108646E-2</v>
      </c>
    </row>
    <row r="3562" spans="1:8" x14ac:dyDescent="0.25">
      <c r="A3562" s="1">
        <v>2008</v>
      </c>
      <c r="B3562" s="1" t="s">
        <v>99</v>
      </c>
      <c r="C3562" t="s">
        <v>51</v>
      </c>
      <c r="D3562">
        <v>4</v>
      </c>
      <c r="E3562">
        <v>32</v>
      </c>
      <c r="F3562">
        <v>0.34</v>
      </c>
      <c r="G3562">
        <f t="shared" si="43"/>
        <v>0.11333333333333336</v>
      </c>
      <c r="H3562">
        <f>G3562*(26.79/38.29)</f>
        <v>7.9294855053538796E-2</v>
      </c>
    </row>
    <row r="3563" spans="1:8" x14ac:dyDescent="0.25">
      <c r="A3563" s="1">
        <v>2008</v>
      </c>
      <c r="B3563" s="1" t="s">
        <v>99</v>
      </c>
      <c r="C3563" t="s">
        <v>51</v>
      </c>
      <c r="D3563">
        <v>4</v>
      </c>
      <c r="E3563">
        <v>32</v>
      </c>
      <c r="F3563">
        <v>0.06</v>
      </c>
      <c r="G3563">
        <f t="shared" si="43"/>
        <v>0.02</v>
      </c>
      <c r="H3563">
        <f>G3563*(26.79/38.29)</f>
        <v>1.3993209715330373E-2</v>
      </c>
    </row>
    <row r="3564" spans="1:8" x14ac:dyDescent="0.25">
      <c r="A3564" s="1">
        <v>2008</v>
      </c>
      <c r="B3564" s="1" t="s">
        <v>99</v>
      </c>
      <c r="C3564" t="s">
        <v>51</v>
      </c>
      <c r="D3564">
        <v>4</v>
      </c>
      <c r="E3564">
        <v>32</v>
      </c>
      <c r="F3564">
        <v>0.06</v>
      </c>
      <c r="G3564">
        <f t="shared" si="43"/>
        <v>0.02</v>
      </c>
      <c r="H3564">
        <f>G3564*(26.79/38.29)</f>
        <v>1.3993209715330373E-2</v>
      </c>
    </row>
    <row r="3565" spans="1:8" x14ac:dyDescent="0.25">
      <c r="A3565" s="1">
        <v>2008</v>
      </c>
      <c r="B3565" s="1" t="s">
        <v>99</v>
      </c>
      <c r="C3565" t="s">
        <v>51</v>
      </c>
      <c r="D3565">
        <v>4</v>
      </c>
      <c r="E3565">
        <v>32</v>
      </c>
      <c r="F3565">
        <v>7.0000000000000007E-2</v>
      </c>
      <c r="G3565">
        <f t="shared" si="43"/>
        <v>2.3333333333333338E-2</v>
      </c>
      <c r="H3565">
        <f>G3565*(26.79/38.29)</f>
        <v>1.6325411334552103E-2</v>
      </c>
    </row>
    <row r="3566" spans="1:8" x14ac:dyDescent="0.25">
      <c r="A3566" s="1">
        <v>2008</v>
      </c>
      <c r="B3566" s="1" t="s">
        <v>99</v>
      </c>
      <c r="C3566" t="s">
        <v>51</v>
      </c>
      <c r="D3566">
        <v>4</v>
      </c>
      <c r="E3566">
        <v>32</v>
      </c>
      <c r="F3566">
        <v>7.0000000000000007E-2</v>
      </c>
      <c r="G3566">
        <f t="shared" si="43"/>
        <v>2.3333333333333338E-2</v>
      </c>
      <c r="H3566">
        <f>G3566*(26.79/38.29)</f>
        <v>1.6325411334552103E-2</v>
      </c>
    </row>
    <row r="3567" spans="1:8" x14ac:dyDescent="0.25">
      <c r="A3567" s="1">
        <v>2008</v>
      </c>
      <c r="B3567" s="1" t="s">
        <v>99</v>
      </c>
      <c r="C3567" t="s">
        <v>51</v>
      </c>
      <c r="D3567">
        <v>4</v>
      </c>
      <c r="E3567">
        <v>32</v>
      </c>
      <c r="F3567">
        <v>0.05</v>
      </c>
      <c r="G3567">
        <f t="shared" si="43"/>
        <v>1.666666666666667E-2</v>
      </c>
      <c r="H3567">
        <f>G3567*(26.79/38.29)</f>
        <v>1.1661008096108646E-2</v>
      </c>
    </row>
    <row r="3568" spans="1:8" x14ac:dyDescent="0.25">
      <c r="A3568" s="1">
        <v>2008</v>
      </c>
      <c r="B3568" s="1" t="s">
        <v>99</v>
      </c>
      <c r="C3568" t="s">
        <v>51</v>
      </c>
      <c r="D3568">
        <v>4</v>
      </c>
      <c r="E3568">
        <v>32</v>
      </c>
      <c r="F3568">
        <v>0.03</v>
      </c>
      <c r="G3568">
        <f t="shared" si="43"/>
        <v>0.01</v>
      </c>
      <c r="H3568">
        <f>G3568*(26.79/38.29)</f>
        <v>6.9966048576651863E-3</v>
      </c>
    </row>
    <row r="3569" spans="1:8" x14ac:dyDescent="0.25">
      <c r="A3569" s="1">
        <v>2008</v>
      </c>
      <c r="B3569" s="1" t="s">
        <v>99</v>
      </c>
      <c r="C3569" t="s">
        <v>51</v>
      </c>
      <c r="D3569">
        <v>4</v>
      </c>
      <c r="E3569">
        <v>32</v>
      </c>
      <c r="F3569">
        <v>0.05</v>
      </c>
      <c r="G3569">
        <f t="shared" si="43"/>
        <v>1.666666666666667E-2</v>
      </c>
      <c r="H3569">
        <f>G3569*(26.79/38.29)</f>
        <v>1.1661008096108646E-2</v>
      </c>
    </row>
    <row r="3570" spans="1:8" x14ac:dyDescent="0.25">
      <c r="A3570" s="1">
        <v>2008</v>
      </c>
      <c r="B3570" s="1" t="s">
        <v>99</v>
      </c>
      <c r="C3570" t="s">
        <v>51</v>
      </c>
      <c r="D3570">
        <v>4</v>
      </c>
      <c r="E3570">
        <v>32</v>
      </c>
      <c r="F3570">
        <v>0.03</v>
      </c>
      <c r="G3570">
        <f t="shared" si="43"/>
        <v>0.01</v>
      </c>
      <c r="H3570">
        <f>G3570*(26.79/38.29)</f>
        <v>6.9966048576651863E-3</v>
      </c>
    </row>
    <row r="3571" spans="1:8" x14ac:dyDescent="0.25">
      <c r="A3571" s="1">
        <v>2008</v>
      </c>
      <c r="B3571" s="1" t="s">
        <v>99</v>
      </c>
      <c r="C3571" t="s">
        <v>51</v>
      </c>
      <c r="D3571">
        <v>4</v>
      </c>
      <c r="E3571">
        <v>32</v>
      </c>
      <c r="F3571">
        <v>0.05</v>
      </c>
      <c r="G3571">
        <f t="shared" si="43"/>
        <v>1.666666666666667E-2</v>
      </c>
      <c r="H3571">
        <f>G3571*(26.79/38.29)</f>
        <v>1.1661008096108646E-2</v>
      </c>
    </row>
    <row r="3572" spans="1:8" x14ac:dyDescent="0.25">
      <c r="A3572" s="1">
        <v>2008</v>
      </c>
      <c r="B3572" s="1" t="s">
        <v>99</v>
      </c>
      <c r="C3572" t="s">
        <v>51</v>
      </c>
      <c r="D3572">
        <v>4</v>
      </c>
      <c r="E3572">
        <v>32</v>
      </c>
      <c r="F3572">
        <v>0.09</v>
      </c>
      <c r="G3572">
        <f t="shared" si="43"/>
        <v>0.03</v>
      </c>
      <c r="H3572">
        <f>G3572*(26.79/38.29)</f>
        <v>2.0989814572995556E-2</v>
      </c>
    </row>
    <row r="3573" spans="1:8" x14ac:dyDescent="0.25">
      <c r="A3573" s="1">
        <v>2008</v>
      </c>
      <c r="B3573" s="1" t="s">
        <v>99</v>
      </c>
      <c r="C3573" t="s">
        <v>51</v>
      </c>
      <c r="D3573">
        <v>4</v>
      </c>
      <c r="E3573">
        <v>32</v>
      </c>
      <c r="F3573">
        <v>0.04</v>
      </c>
      <c r="G3573">
        <f t="shared" si="43"/>
        <v>1.3333333333333332E-2</v>
      </c>
      <c r="H3573">
        <f>G3573*(26.79/38.29)</f>
        <v>9.3288064768869139E-3</v>
      </c>
    </row>
    <row r="3574" spans="1:8" x14ac:dyDescent="0.25">
      <c r="A3574" s="1">
        <v>2008</v>
      </c>
      <c r="B3574" s="1" t="s">
        <v>99</v>
      </c>
      <c r="C3574" t="s">
        <v>51</v>
      </c>
      <c r="D3574">
        <v>4</v>
      </c>
      <c r="E3574">
        <v>32</v>
      </c>
      <c r="F3574">
        <v>0.15</v>
      </c>
      <c r="G3574">
        <f t="shared" si="43"/>
        <v>0.05</v>
      </c>
      <c r="H3574">
        <f>G3574*(26.79/38.29)</f>
        <v>3.4983024288325934E-2</v>
      </c>
    </row>
    <row r="3575" spans="1:8" x14ac:dyDescent="0.25">
      <c r="A3575" s="1">
        <v>2008</v>
      </c>
      <c r="B3575" s="1" t="s">
        <v>99</v>
      </c>
      <c r="C3575" t="s">
        <v>51</v>
      </c>
      <c r="D3575">
        <v>4</v>
      </c>
      <c r="E3575">
        <v>32</v>
      </c>
      <c r="F3575">
        <v>0.1</v>
      </c>
      <c r="G3575">
        <f t="shared" si="43"/>
        <v>3.333333333333334E-2</v>
      </c>
      <c r="H3575">
        <f>G3575*(26.79/38.29)</f>
        <v>2.3322016192217292E-2</v>
      </c>
    </row>
    <row r="3576" spans="1:8" x14ac:dyDescent="0.25">
      <c r="A3576" s="1">
        <v>2008</v>
      </c>
      <c r="B3576" s="1" t="s">
        <v>99</v>
      </c>
      <c r="C3576" t="s">
        <v>51</v>
      </c>
      <c r="D3576">
        <v>4</v>
      </c>
      <c r="E3576">
        <v>32</v>
      </c>
      <c r="F3576">
        <v>0.31</v>
      </c>
      <c r="G3576">
        <f t="shared" si="43"/>
        <v>0.10333333333333335</v>
      </c>
      <c r="H3576">
        <f>G3576*(26.79/38.29)</f>
        <v>7.2298250195873603E-2</v>
      </c>
    </row>
    <row r="3577" spans="1:8" x14ac:dyDescent="0.25">
      <c r="A3577" s="1">
        <v>2008</v>
      </c>
      <c r="B3577" s="1" t="s">
        <v>99</v>
      </c>
      <c r="C3577" t="s">
        <v>51</v>
      </c>
      <c r="D3577">
        <v>4</v>
      </c>
      <c r="E3577">
        <v>32</v>
      </c>
      <c r="F3577">
        <v>7.0000000000000007E-2</v>
      </c>
      <c r="G3577">
        <f t="shared" si="43"/>
        <v>2.3333333333333338E-2</v>
      </c>
      <c r="H3577">
        <f>G3577*(26.79/38.29)</f>
        <v>1.6325411334552103E-2</v>
      </c>
    </row>
    <row r="3578" spans="1:8" x14ac:dyDescent="0.25">
      <c r="A3578" s="1">
        <v>2008</v>
      </c>
      <c r="B3578" s="1" t="s">
        <v>99</v>
      </c>
      <c r="C3578" t="s">
        <v>51</v>
      </c>
      <c r="D3578">
        <v>4</v>
      </c>
      <c r="E3578">
        <v>32</v>
      </c>
      <c r="F3578">
        <v>0.06</v>
      </c>
      <c r="G3578">
        <f t="shared" si="43"/>
        <v>0.02</v>
      </c>
      <c r="H3578">
        <f>G3578*(26.79/38.29)</f>
        <v>1.3993209715330373E-2</v>
      </c>
    </row>
    <row r="3579" spans="1:8" x14ac:dyDescent="0.25">
      <c r="A3579" s="1">
        <v>2008</v>
      </c>
      <c r="B3579" s="1" t="s">
        <v>99</v>
      </c>
      <c r="C3579" t="s">
        <v>51</v>
      </c>
      <c r="D3579">
        <v>4</v>
      </c>
      <c r="E3579">
        <v>32</v>
      </c>
      <c r="F3579">
        <v>0.14000000000000001</v>
      </c>
      <c r="G3579">
        <f t="shared" si="43"/>
        <v>4.6666666666666676E-2</v>
      </c>
      <c r="H3579">
        <f>G3579*(26.79/38.29)</f>
        <v>3.2650822669104206E-2</v>
      </c>
    </row>
    <row r="3580" spans="1:8" x14ac:dyDescent="0.25">
      <c r="A3580" s="1">
        <v>2008</v>
      </c>
      <c r="B3580" s="1" t="s">
        <v>99</v>
      </c>
      <c r="C3580" t="s">
        <v>51</v>
      </c>
      <c r="D3580">
        <v>4</v>
      </c>
      <c r="E3580">
        <v>32</v>
      </c>
      <c r="F3580">
        <v>0.04</v>
      </c>
      <c r="G3580">
        <f t="shared" si="43"/>
        <v>1.3333333333333332E-2</v>
      </c>
      <c r="H3580">
        <f>G3580*(26.79/38.29)</f>
        <v>9.3288064768869139E-3</v>
      </c>
    </row>
    <row r="3581" spans="1:8" x14ac:dyDescent="0.25">
      <c r="A3581" s="1">
        <v>2008</v>
      </c>
      <c r="B3581" s="1" t="s">
        <v>99</v>
      </c>
      <c r="C3581" t="s">
        <v>51</v>
      </c>
      <c r="D3581">
        <v>4</v>
      </c>
      <c r="E3581">
        <v>32</v>
      </c>
      <c r="F3581">
        <v>0.04</v>
      </c>
      <c r="G3581">
        <f t="shared" si="43"/>
        <v>1.3333333333333332E-2</v>
      </c>
      <c r="H3581">
        <f>G3581*(26.79/38.29)</f>
        <v>9.3288064768869139E-3</v>
      </c>
    </row>
    <row r="3582" spans="1:8" x14ac:dyDescent="0.25">
      <c r="A3582" s="1">
        <v>2008</v>
      </c>
      <c r="B3582" s="1" t="s">
        <v>99</v>
      </c>
      <c r="C3582" t="s">
        <v>51</v>
      </c>
      <c r="D3582">
        <v>4</v>
      </c>
      <c r="E3582">
        <v>32</v>
      </c>
      <c r="F3582">
        <v>0.04</v>
      </c>
      <c r="G3582">
        <f t="shared" si="43"/>
        <v>1.3333333333333332E-2</v>
      </c>
      <c r="H3582">
        <f>G3582*(26.79/38.29)</f>
        <v>9.3288064768869139E-3</v>
      </c>
    </row>
    <row r="3583" spans="1:8" x14ac:dyDescent="0.25">
      <c r="A3583" s="1">
        <v>2008</v>
      </c>
      <c r="B3583" s="1" t="s">
        <v>99</v>
      </c>
      <c r="C3583" t="s">
        <v>51</v>
      </c>
      <c r="D3583">
        <v>4</v>
      </c>
      <c r="E3583">
        <v>32</v>
      </c>
      <c r="F3583">
        <v>0.04</v>
      </c>
      <c r="G3583">
        <f t="shared" si="43"/>
        <v>1.3333333333333332E-2</v>
      </c>
      <c r="H3583">
        <f>G3583*(26.79/38.29)</f>
        <v>9.3288064768869139E-3</v>
      </c>
    </row>
    <row r="3584" spans="1:8" x14ac:dyDescent="0.25">
      <c r="A3584" s="1">
        <v>2008</v>
      </c>
      <c r="B3584" s="1" t="s">
        <v>99</v>
      </c>
      <c r="C3584" t="s">
        <v>51</v>
      </c>
      <c r="D3584">
        <v>4</v>
      </c>
      <c r="E3584">
        <v>32</v>
      </c>
      <c r="F3584">
        <v>0.06</v>
      </c>
      <c r="G3584">
        <f t="shared" si="43"/>
        <v>0.02</v>
      </c>
      <c r="H3584">
        <f>G3584*(26.79/38.29)</f>
        <v>1.3993209715330373E-2</v>
      </c>
    </row>
    <row r="3585" spans="1:8" x14ac:dyDescent="0.25">
      <c r="A3585" s="1">
        <v>2008</v>
      </c>
      <c r="B3585" s="1" t="s">
        <v>99</v>
      </c>
      <c r="C3585" t="s">
        <v>51</v>
      </c>
      <c r="D3585">
        <v>4</v>
      </c>
      <c r="E3585">
        <v>32</v>
      </c>
      <c r="F3585">
        <v>0.2</v>
      </c>
      <c r="G3585">
        <f t="shared" si="43"/>
        <v>6.666666666666668E-2</v>
      </c>
      <c r="H3585">
        <f>G3585*(26.79/38.29)</f>
        <v>4.6644032384434583E-2</v>
      </c>
    </row>
    <row r="3586" spans="1:8" x14ac:dyDescent="0.25">
      <c r="A3586" s="1">
        <v>2008</v>
      </c>
      <c r="B3586" s="1" t="s">
        <v>99</v>
      </c>
      <c r="C3586" t="s">
        <v>51</v>
      </c>
      <c r="D3586">
        <v>4</v>
      </c>
      <c r="E3586">
        <v>32</v>
      </c>
      <c r="F3586">
        <v>0.04</v>
      </c>
      <c r="G3586">
        <f t="shared" si="43"/>
        <v>1.3333333333333332E-2</v>
      </c>
      <c r="H3586">
        <f>G3586*(26.79/38.29)</f>
        <v>9.3288064768869139E-3</v>
      </c>
    </row>
    <row r="3587" spans="1:8" x14ac:dyDescent="0.25">
      <c r="A3587" s="1">
        <v>2008</v>
      </c>
      <c r="B3587" s="1" t="s">
        <v>99</v>
      </c>
      <c r="C3587" t="s">
        <v>51</v>
      </c>
      <c r="D3587">
        <v>4</v>
      </c>
      <c r="E3587">
        <v>32</v>
      </c>
      <c r="F3587">
        <v>7.0000000000000007E-2</v>
      </c>
      <c r="G3587">
        <f t="shared" si="43"/>
        <v>2.3333333333333338E-2</v>
      </c>
      <c r="H3587">
        <f>G3587*(26.79/38.29)</f>
        <v>1.6325411334552103E-2</v>
      </c>
    </row>
    <row r="3588" spans="1:8" x14ac:dyDescent="0.25">
      <c r="A3588" s="1">
        <v>2008</v>
      </c>
      <c r="B3588" s="1" t="s">
        <v>99</v>
      </c>
      <c r="C3588" t="s">
        <v>51</v>
      </c>
      <c r="D3588">
        <v>4</v>
      </c>
      <c r="E3588">
        <v>34</v>
      </c>
      <c r="F3588">
        <v>0.73</v>
      </c>
      <c r="G3588">
        <f t="shared" si="43"/>
        <v>0.24333333333333335</v>
      </c>
      <c r="H3588">
        <f>G3588*(26.79/38.29)</f>
        <v>0.17025071820318621</v>
      </c>
    </row>
    <row r="3589" spans="1:8" x14ac:dyDescent="0.25">
      <c r="A3589" s="1">
        <v>2008</v>
      </c>
      <c r="B3589" s="1" t="s">
        <v>99</v>
      </c>
      <c r="C3589" t="s">
        <v>51</v>
      </c>
      <c r="D3589">
        <v>4</v>
      </c>
      <c r="E3589">
        <v>34</v>
      </c>
      <c r="F3589">
        <v>0.5</v>
      </c>
      <c r="G3589">
        <f t="shared" si="43"/>
        <v>0.16666666666666669</v>
      </c>
      <c r="H3589">
        <f>G3589*(26.79/38.29)</f>
        <v>0.11661008096108645</v>
      </c>
    </row>
    <row r="3590" spans="1:8" x14ac:dyDescent="0.25">
      <c r="A3590" s="1">
        <v>2008</v>
      </c>
      <c r="B3590" s="1" t="s">
        <v>99</v>
      </c>
      <c r="C3590" t="s">
        <v>51</v>
      </c>
      <c r="D3590">
        <v>4</v>
      </c>
      <c r="E3590">
        <v>38</v>
      </c>
      <c r="F3590">
        <v>0.61</v>
      </c>
      <c r="G3590">
        <f t="shared" si="43"/>
        <v>0.20333333333333331</v>
      </c>
      <c r="H3590">
        <f>G3590*(26.79/38.29)</f>
        <v>0.14226429877252544</v>
      </c>
    </row>
    <row r="3591" spans="1:8" x14ac:dyDescent="0.25">
      <c r="A3591" s="1">
        <v>2008</v>
      </c>
      <c r="B3591" s="1" t="s">
        <v>99</v>
      </c>
      <c r="C3591" t="s">
        <v>51</v>
      </c>
      <c r="D3591">
        <v>4</v>
      </c>
      <c r="E3591">
        <v>38</v>
      </c>
      <c r="F3591">
        <v>1.47</v>
      </c>
      <c r="G3591">
        <f t="shared" si="43"/>
        <v>0.49000000000000005</v>
      </c>
      <c r="H3591">
        <f>G3591*(26.79/38.29)</f>
        <v>0.34283363802559413</v>
      </c>
    </row>
    <row r="3592" spans="1:8" x14ac:dyDescent="0.25">
      <c r="A3592" s="1">
        <v>2008</v>
      </c>
      <c r="B3592" s="1" t="s">
        <v>99</v>
      </c>
      <c r="C3592" t="s">
        <v>51</v>
      </c>
      <c r="D3592">
        <v>4</v>
      </c>
      <c r="E3592">
        <v>38</v>
      </c>
      <c r="F3592">
        <v>0.33</v>
      </c>
      <c r="G3592">
        <f t="shared" si="43"/>
        <v>0.11000000000000001</v>
      </c>
      <c r="H3592">
        <f>G3592*(26.79/38.29)</f>
        <v>7.696265343431706E-2</v>
      </c>
    </row>
    <row r="3593" spans="1:8" x14ac:dyDescent="0.25">
      <c r="A3593" s="1">
        <v>2008</v>
      </c>
      <c r="B3593" s="1" t="s">
        <v>99</v>
      </c>
      <c r="C3593" t="s">
        <v>51</v>
      </c>
      <c r="D3593">
        <v>4</v>
      </c>
      <c r="E3593">
        <v>38</v>
      </c>
      <c r="F3593">
        <v>1.58</v>
      </c>
      <c r="G3593">
        <f t="shared" si="43"/>
        <v>0.52666666666666673</v>
      </c>
      <c r="H3593">
        <f>G3593*(26.79/38.29)</f>
        <v>0.3684878558370332</v>
      </c>
    </row>
    <row r="3594" spans="1:8" x14ac:dyDescent="0.25">
      <c r="A3594" s="1">
        <v>2008</v>
      </c>
      <c r="B3594" s="1" t="s">
        <v>99</v>
      </c>
      <c r="C3594" t="s">
        <v>51</v>
      </c>
      <c r="D3594">
        <v>4</v>
      </c>
      <c r="E3594">
        <v>38</v>
      </c>
      <c r="F3594">
        <v>0.41</v>
      </c>
      <c r="G3594">
        <f t="shared" si="43"/>
        <v>0.13666666666666666</v>
      </c>
      <c r="H3594">
        <f>G3594*(26.79/38.29)</f>
        <v>9.5620266388090874E-2</v>
      </c>
    </row>
    <row r="3595" spans="1:8" x14ac:dyDescent="0.25">
      <c r="A3595" s="1">
        <v>2008</v>
      </c>
      <c r="B3595" s="1" t="s">
        <v>99</v>
      </c>
      <c r="C3595" t="s">
        <v>51</v>
      </c>
      <c r="D3595">
        <v>4</v>
      </c>
      <c r="E3595">
        <v>38</v>
      </c>
      <c r="F3595">
        <v>1.36</v>
      </c>
      <c r="G3595">
        <f t="shared" si="43"/>
        <v>0.45333333333333342</v>
      </c>
      <c r="H3595">
        <f>G3595*(26.79/38.29)</f>
        <v>0.31717942021415518</v>
      </c>
    </row>
    <row r="3596" spans="1:8" x14ac:dyDescent="0.25">
      <c r="A3596" s="1">
        <v>2008</v>
      </c>
      <c r="B3596" s="1" t="s">
        <v>99</v>
      </c>
      <c r="C3596" t="s">
        <v>51</v>
      </c>
      <c r="D3596">
        <v>4</v>
      </c>
      <c r="E3596">
        <v>38</v>
      </c>
      <c r="F3596">
        <v>0.44</v>
      </c>
      <c r="G3596">
        <f t="shared" si="43"/>
        <v>0.14666666666666667</v>
      </c>
      <c r="H3596">
        <f>G3596*(26.79/38.29)</f>
        <v>0.10261687124575607</v>
      </c>
    </row>
    <row r="3597" spans="1:8" x14ac:dyDescent="0.25">
      <c r="A3597" s="1">
        <v>2008</v>
      </c>
      <c r="B3597" s="1" t="s">
        <v>99</v>
      </c>
      <c r="C3597" t="s">
        <v>51</v>
      </c>
      <c r="D3597">
        <v>4</v>
      </c>
      <c r="E3597">
        <v>38</v>
      </c>
      <c r="F3597">
        <v>0.49</v>
      </c>
      <c r="G3597">
        <f t="shared" si="43"/>
        <v>0.16333333333333333</v>
      </c>
      <c r="H3597">
        <f>G3597*(26.79/38.29)</f>
        <v>0.1142778793418647</v>
      </c>
    </row>
    <row r="3598" spans="1:8" x14ac:dyDescent="0.25">
      <c r="A3598" s="1">
        <v>2008</v>
      </c>
      <c r="B3598" s="1" t="s">
        <v>99</v>
      </c>
      <c r="C3598" t="s">
        <v>51</v>
      </c>
      <c r="D3598">
        <v>4</v>
      </c>
      <c r="E3598">
        <v>38</v>
      </c>
      <c r="F3598">
        <v>1.43</v>
      </c>
      <c r="G3598">
        <f t="shared" ref="G3598:G3661" si="44">(F3598/0.6)/5</f>
        <v>0.47666666666666668</v>
      </c>
      <c r="H3598">
        <f>G3598*(26.79/38.29)</f>
        <v>0.33350483154870725</v>
      </c>
    </row>
    <row r="3599" spans="1:8" x14ac:dyDescent="0.25">
      <c r="A3599" s="1">
        <v>2008</v>
      </c>
      <c r="B3599" s="1" t="s">
        <v>99</v>
      </c>
      <c r="C3599" t="s">
        <v>51</v>
      </c>
      <c r="D3599">
        <v>4</v>
      </c>
      <c r="E3599">
        <v>38</v>
      </c>
      <c r="F3599">
        <v>1.1200000000000001</v>
      </c>
      <c r="G3599">
        <f t="shared" si="44"/>
        <v>0.37333333333333341</v>
      </c>
      <c r="H3599">
        <f>G3599*(26.79/38.29)</f>
        <v>0.26120658135283364</v>
      </c>
    </row>
    <row r="3600" spans="1:8" x14ac:dyDescent="0.25">
      <c r="A3600" s="1">
        <v>2008</v>
      </c>
      <c r="B3600" s="1" t="s">
        <v>99</v>
      </c>
      <c r="C3600" t="s">
        <v>51</v>
      </c>
      <c r="D3600">
        <v>4</v>
      </c>
      <c r="E3600">
        <v>40</v>
      </c>
      <c r="F3600">
        <v>1.08</v>
      </c>
      <c r="G3600">
        <f t="shared" si="44"/>
        <v>0.36000000000000004</v>
      </c>
      <c r="H3600">
        <f>G3600*(26.79/38.29)</f>
        <v>0.25187777487594676</v>
      </c>
    </row>
    <row r="3601" spans="1:8" x14ac:dyDescent="0.25">
      <c r="A3601" s="1">
        <v>2008</v>
      </c>
      <c r="B3601" s="1" t="s">
        <v>99</v>
      </c>
      <c r="C3601" t="s">
        <v>51</v>
      </c>
      <c r="D3601">
        <v>4</v>
      </c>
      <c r="E3601">
        <v>40</v>
      </c>
      <c r="F3601">
        <v>1.1599999999999999</v>
      </c>
      <c r="G3601">
        <f t="shared" si="44"/>
        <v>0.38666666666666666</v>
      </c>
      <c r="H3601">
        <f>G3601*(26.79/38.29)</f>
        <v>0.27053538782972053</v>
      </c>
    </row>
    <row r="3602" spans="1:8" x14ac:dyDescent="0.25">
      <c r="A3602" s="1">
        <v>2008</v>
      </c>
      <c r="B3602" s="1" t="s">
        <v>99</v>
      </c>
      <c r="C3602" t="s">
        <v>51</v>
      </c>
      <c r="D3602">
        <v>4</v>
      </c>
      <c r="E3602">
        <v>40</v>
      </c>
      <c r="F3602">
        <v>1.1599999999999999</v>
      </c>
      <c r="G3602">
        <f t="shared" si="44"/>
        <v>0.38666666666666666</v>
      </c>
      <c r="H3602">
        <f>G3602*(26.79/38.29)</f>
        <v>0.27053538782972053</v>
      </c>
    </row>
    <row r="3603" spans="1:8" x14ac:dyDescent="0.25">
      <c r="A3603" s="1">
        <v>2008</v>
      </c>
      <c r="B3603" s="1" t="s">
        <v>99</v>
      </c>
      <c r="C3603" t="s">
        <v>51</v>
      </c>
      <c r="D3603">
        <v>4</v>
      </c>
      <c r="E3603">
        <v>40</v>
      </c>
      <c r="F3603">
        <v>1.63</v>
      </c>
      <c r="G3603">
        <f t="shared" si="44"/>
        <v>0.54333333333333333</v>
      </c>
      <c r="H3603">
        <f>G3603*(26.79/38.29)</f>
        <v>0.38014886393314179</v>
      </c>
    </row>
    <row r="3604" spans="1:8" x14ac:dyDescent="0.25">
      <c r="A3604" s="1">
        <v>2008</v>
      </c>
      <c r="B3604" s="1" t="s">
        <v>99</v>
      </c>
      <c r="C3604" t="s">
        <v>51</v>
      </c>
      <c r="D3604">
        <v>4</v>
      </c>
      <c r="E3604">
        <v>40</v>
      </c>
      <c r="F3604">
        <v>1.31</v>
      </c>
      <c r="G3604">
        <f t="shared" si="44"/>
        <v>0.4366666666666667</v>
      </c>
      <c r="H3604">
        <f>G3604*(26.79/38.29)</f>
        <v>0.30551841211804648</v>
      </c>
    </row>
    <row r="3605" spans="1:8" x14ac:dyDescent="0.25">
      <c r="A3605" s="1">
        <v>2008</v>
      </c>
      <c r="B3605" s="1" t="s">
        <v>99</v>
      </c>
      <c r="C3605" t="s">
        <v>51</v>
      </c>
      <c r="D3605">
        <v>4</v>
      </c>
      <c r="E3605">
        <v>40</v>
      </c>
      <c r="F3605">
        <v>1.1599999999999999</v>
      </c>
      <c r="G3605">
        <f t="shared" si="44"/>
        <v>0.38666666666666666</v>
      </c>
      <c r="H3605">
        <f>G3605*(26.79/38.29)</f>
        <v>0.27053538782972053</v>
      </c>
    </row>
    <row r="3606" spans="1:8" x14ac:dyDescent="0.25">
      <c r="A3606" s="1">
        <v>2008</v>
      </c>
      <c r="B3606" s="1" t="s">
        <v>99</v>
      </c>
      <c r="C3606" t="s">
        <v>51</v>
      </c>
      <c r="D3606">
        <v>4</v>
      </c>
      <c r="E3606">
        <v>40</v>
      </c>
      <c r="F3606">
        <v>1.45</v>
      </c>
      <c r="G3606">
        <f t="shared" si="44"/>
        <v>0.48333333333333328</v>
      </c>
      <c r="H3606">
        <f>G3606*(26.79/38.29)</f>
        <v>0.33816923478715061</v>
      </c>
    </row>
    <row r="3607" spans="1:8" x14ac:dyDescent="0.25">
      <c r="A3607" s="1">
        <v>2008</v>
      </c>
      <c r="B3607" s="1" t="s">
        <v>99</v>
      </c>
      <c r="C3607" t="s">
        <v>51</v>
      </c>
      <c r="D3607">
        <v>4</v>
      </c>
      <c r="E3607">
        <v>40</v>
      </c>
      <c r="F3607">
        <v>0.52</v>
      </c>
      <c r="G3607">
        <f t="shared" si="44"/>
        <v>0.17333333333333334</v>
      </c>
      <c r="H3607">
        <f>G3607*(26.79/38.29)</f>
        <v>0.12127448419952989</v>
      </c>
    </row>
    <row r="3608" spans="1:8" x14ac:dyDescent="0.25">
      <c r="A3608" s="1">
        <v>2008</v>
      </c>
      <c r="B3608" s="1" t="s">
        <v>99</v>
      </c>
      <c r="C3608" t="s">
        <v>51</v>
      </c>
      <c r="D3608">
        <v>4</v>
      </c>
      <c r="E3608">
        <v>40</v>
      </c>
      <c r="F3608">
        <v>1.38</v>
      </c>
      <c r="G3608">
        <f t="shared" si="44"/>
        <v>0.45999999999999996</v>
      </c>
      <c r="H3608">
        <f>G3608*(26.79/38.29)</f>
        <v>0.32184382345259854</v>
      </c>
    </row>
    <row r="3609" spans="1:8" x14ac:dyDescent="0.25">
      <c r="A3609" s="1">
        <v>2008</v>
      </c>
      <c r="B3609" s="1" t="s">
        <v>99</v>
      </c>
      <c r="C3609" t="s">
        <v>51</v>
      </c>
      <c r="D3609">
        <v>4</v>
      </c>
      <c r="E3609">
        <v>53</v>
      </c>
      <c r="F3609">
        <v>0.28999999999999998</v>
      </c>
      <c r="G3609">
        <f t="shared" si="44"/>
        <v>9.6666666666666665E-2</v>
      </c>
      <c r="H3609">
        <f>G3609*(26.79/38.29)</f>
        <v>6.7633846957430133E-2</v>
      </c>
    </row>
    <row r="3610" spans="1:8" x14ac:dyDescent="0.25">
      <c r="A3610" s="1">
        <v>2008</v>
      </c>
      <c r="B3610" s="1" t="s">
        <v>99</v>
      </c>
      <c r="C3610" t="s">
        <v>51</v>
      </c>
      <c r="D3610">
        <v>4</v>
      </c>
      <c r="E3610">
        <v>53</v>
      </c>
      <c r="F3610">
        <v>0.05</v>
      </c>
      <c r="G3610">
        <f t="shared" si="44"/>
        <v>1.666666666666667E-2</v>
      </c>
      <c r="H3610">
        <f>G3610*(26.79/38.29)</f>
        <v>1.1661008096108646E-2</v>
      </c>
    </row>
    <row r="3611" spans="1:8" x14ac:dyDescent="0.25">
      <c r="A3611" s="1">
        <v>2008</v>
      </c>
      <c r="B3611" s="1" t="s">
        <v>99</v>
      </c>
      <c r="C3611" t="s">
        <v>51</v>
      </c>
      <c r="D3611">
        <v>4</v>
      </c>
      <c r="E3611">
        <v>53</v>
      </c>
      <c r="F3611">
        <v>0.34</v>
      </c>
      <c r="G3611">
        <f t="shared" si="44"/>
        <v>0.11333333333333336</v>
      </c>
      <c r="H3611">
        <f>G3611*(26.79/38.29)</f>
        <v>7.9294855053538796E-2</v>
      </c>
    </row>
    <row r="3612" spans="1:8" x14ac:dyDescent="0.25">
      <c r="A3612" s="1">
        <v>2008</v>
      </c>
      <c r="B3612" s="1" t="s">
        <v>99</v>
      </c>
      <c r="C3612" t="s">
        <v>51</v>
      </c>
      <c r="D3612">
        <v>4</v>
      </c>
      <c r="E3612">
        <v>53</v>
      </c>
      <c r="F3612">
        <v>0.38</v>
      </c>
      <c r="G3612">
        <f t="shared" si="44"/>
        <v>0.12666666666666668</v>
      </c>
      <c r="H3612">
        <f>G3612*(26.79/38.29)</f>
        <v>8.8623661530425696E-2</v>
      </c>
    </row>
    <row r="3613" spans="1:8" x14ac:dyDescent="0.25">
      <c r="A3613" s="1">
        <v>2008</v>
      </c>
      <c r="B3613" s="1" t="s">
        <v>99</v>
      </c>
      <c r="C3613" t="s">
        <v>51</v>
      </c>
      <c r="D3613">
        <v>4</v>
      </c>
      <c r="E3613">
        <v>53</v>
      </c>
      <c r="F3613">
        <v>0.08</v>
      </c>
      <c r="G3613">
        <f t="shared" si="44"/>
        <v>2.6666666666666665E-2</v>
      </c>
      <c r="H3613">
        <f>G3613*(26.79/38.29)</f>
        <v>1.8657612953773828E-2</v>
      </c>
    </row>
    <row r="3614" spans="1:8" x14ac:dyDescent="0.25">
      <c r="A3614" s="1">
        <v>2008</v>
      </c>
      <c r="B3614" s="1" t="s">
        <v>99</v>
      </c>
      <c r="C3614" t="s">
        <v>51</v>
      </c>
      <c r="D3614">
        <v>4</v>
      </c>
      <c r="E3614">
        <v>53</v>
      </c>
      <c r="F3614">
        <v>1.1499999999999999</v>
      </c>
      <c r="G3614">
        <f t="shared" si="44"/>
        <v>0.3833333333333333</v>
      </c>
      <c r="H3614">
        <f>G3614*(26.79/38.29)</f>
        <v>0.26820318621049877</v>
      </c>
    </row>
    <row r="3615" spans="1:8" x14ac:dyDescent="0.25">
      <c r="A3615" s="1">
        <v>2008</v>
      </c>
      <c r="B3615" s="1" t="s">
        <v>99</v>
      </c>
      <c r="C3615" t="s">
        <v>51</v>
      </c>
      <c r="D3615">
        <v>4</v>
      </c>
      <c r="E3615">
        <v>54</v>
      </c>
      <c r="F3615">
        <v>0.32</v>
      </c>
      <c r="G3615">
        <f t="shared" si="44"/>
        <v>0.10666666666666666</v>
      </c>
      <c r="H3615">
        <f>G3615*(26.79/38.29)</f>
        <v>7.4630451815095311E-2</v>
      </c>
    </row>
    <row r="3616" spans="1:8" x14ac:dyDescent="0.25">
      <c r="A3616" s="1">
        <v>2008</v>
      </c>
      <c r="B3616" s="1" t="s">
        <v>99</v>
      </c>
      <c r="C3616" t="s">
        <v>51</v>
      </c>
      <c r="D3616">
        <v>4</v>
      </c>
      <c r="E3616">
        <v>54</v>
      </c>
      <c r="F3616">
        <v>0.25</v>
      </c>
      <c r="G3616">
        <f t="shared" si="44"/>
        <v>8.3333333333333343E-2</v>
      </c>
      <c r="H3616">
        <f>G3616*(26.79/38.29)</f>
        <v>5.8305040480543226E-2</v>
      </c>
    </row>
    <row r="3617" spans="1:8" x14ac:dyDescent="0.25">
      <c r="A3617" s="1">
        <v>2008</v>
      </c>
      <c r="B3617" s="1" t="s">
        <v>99</v>
      </c>
      <c r="C3617" t="s">
        <v>51</v>
      </c>
      <c r="D3617">
        <v>4</v>
      </c>
      <c r="E3617">
        <v>54</v>
      </c>
      <c r="F3617">
        <v>0.96</v>
      </c>
      <c r="G3617">
        <f t="shared" si="44"/>
        <v>0.32</v>
      </c>
      <c r="H3617">
        <f>G3617*(26.79/38.29)</f>
        <v>0.22389135544528596</v>
      </c>
    </row>
    <row r="3618" spans="1:8" x14ac:dyDescent="0.25">
      <c r="A3618" s="1">
        <v>2008</v>
      </c>
      <c r="B3618" s="1" t="s">
        <v>99</v>
      </c>
      <c r="C3618" t="s">
        <v>51</v>
      </c>
      <c r="D3618">
        <v>4</v>
      </c>
      <c r="E3618">
        <v>54</v>
      </c>
      <c r="F3618">
        <v>0.06</v>
      </c>
      <c r="G3618">
        <f t="shared" si="44"/>
        <v>0.02</v>
      </c>
      <c r="H3618">
        <f>G3618*(26.79/38.29)</f>
        <v>1.3993209715330373E-2</v>
      </c>
    </row>
    <row r="3619" spans="1:8" x14ac:dyDescent="0.25">
      <c r="A3619" s="1">
        <v>2008</v>
      </c>
      <c r="B3619" s="1" t="s">
        <v>99</v>
      </c>
      <c r="C3619" t="s">
        <v>51</v>
      </c>
      <c r="D3619">
        <v>4</v>
      </c>
      <c r="E3619">
        <v>54</v>
      </c>
      <c r="F3619">
        <v>0.36</v>
      </c>
      <c r="G3619">
        <f t="shared" si="44"/>
        <v>0.12</v>
      </c>
      <c r="H3619">
        <f>G3619*(26.79/38.29)</f>
        <v>8.3959258291982225E-2</v>
      </c>
    </row>
    <row r="3620" spans="1:8" x14ac:dyDescent="0.25">
      <c r="A3620" s="1">
        <v>2008</v>
      </c>
      <c r="B3620" s="1" t="s">
        <v>99</v>
      </c>
      <c r="C3620" t="s">
        <v>51</v>
      </c>
      <c r="D3620">
        <v>4</v>
      </c>
      <c r="E3620">
        <v>54</v>
      </c>
      <c r="F3620">
        <v>0.08</v>
      </c>
      <c r="G3620">
        <f t="shared" si="44"/>
        <v>2.6666666666666665E-2</v>
      </c>
      <c r="H3620">
        <f>G3620*(26.79/38.29)</f>
        <v>1.8657612953773828E-2</v>
      </c>
    </row>
    <row r="3621" spans="1:8" x14ac:dyDescent="0.25">
      <c r="A3621" s="1">
        <v>2008</v>
      </c>
      <c r="B3621" s="1" t="s">
        <v>99</v>
      </c>
      <c r="C3621" t="s">
        <v>51</v>
      </c>
      <c r="D3621">
        <v>4</v>
      </c>
      <c r="E3621">
        <v>54</v>
      </c>
      <c r="F3621">
        <v>0.28999999999999998</v>
      </c>
      <c r="G3621">
        <f t="shared" si="44"/>
        <v>9.6666666666666665E-2</v>
      </c>
      <c r="H3621">
        <f>G3621*(26.79/38.29)</f>
        <v>6.7633846957430133E-2</v>
      </c>
    </row>
    <row r="3622" spans="1:8" x14ac:dyDescent="0.25">
      <c r="A3622" s="1">
        <v>2008</v>
      </c>
      <c r="B3622" s="1" t="s">
        <v>99</v>
      </c>
      <c r="C3622" t="s">
        <v>51</v>
      </c>
      <c r="D3622">
        <v>4</v>
      </c>
      <c r="E3622">
        <v>54</v>
      </c>
      <c r="F3622">
        <v>0.32</v>
      </c>
      <c r="G3622">
        <f t="shared" si="44"/>
        <v>0.10666666666666666</v>
      </c>
      <c r="H3622">
        <f>G3622*(26.79/38.29)</f>
        <v>7.4630451815095311E-2</v>
      </c>
    </row>
    <row r="3623" spans="1:8" x14ac:dyDescent="0.25">
      <c r="A3623" s="1">
        <v>2008</v>
      </c>
      <c r="B3623" s="1" t="s">
        <v>99</v>
      </c>
      <c r="C3623" t="s">
        <v>51</v>
      </c>
      <c r="D3623">
        <v>4</v>
      </c>
      <c r="E3623">
        <v>54</v>
      </c>
      <c r="F3623">
        <v>0.06</v>
      </c>
      <c r="G3623">
        <f t="shared" si="44"/>
        <v>0.02</v>
      </c>
      <c r="H3623">
        <f>G3623*(26.79/38.29)</f>
        <v>1.3993209715330373E-2</v>
      </c>
    </row>
    <row r="3624" spans="1:8" x14ac:dyDescent="0.25">
      <c r="A3624" s="1">
        <v>2008</v>
      </c>
      <c r="B3624" s="1" t="s">
        <v>99</v>
      </c>
      <c r="C3624" t="s">
        <v>51</v>
      </c>
      <c r="D3624">
        <v>4</v>
      </c>
      <c r="E3624">
        <v>54</v>
      </c>
      <c r="F3624">
        <v>0.1</v>
      </c>
      <c r="G3624">
        <f t="shared" si="44"/>
        <v>3.333333333333334E-2</v>
      </c>
      <c r="H3624">
        <f>G3624*(26.79/38.29)</f>
        <v>2.3322016192217292E-2</v>
      </c>
    </row>
    <row r="3625" spans="1:8" x14ac:dyDescent="0.25">
      <c r="A3625" s="1">
        <v>2008</v>
      </c>
      <c r="B3625" s="1" t="s">
        <v>99</v>
      </c>
      <c r="C3625" t="s">
        <v>51</v>
      </c>
      <c r="D3625">
        <v>4</v>
      </c>
      <c r="E3625">
        <v>54</v>
      </c>
      <c r="F3625">
        <v>0.38</v>
      </c>
      <c r="G3625">
        <f t="shared" si="44"/>
        <v>0.12666666666666668</v>
      </c>
      <c r="H3625">
        <f>G3625*(26.79/38.29)</f>
        <v>8.8623661530425696E-2</v>
      </c>
    </row>
    <row r="3626" spans="1:8" x14ac:dyDescent="0.25">
      <c r="A3626" s="1">
        <v>2008</v>
      </c>
      <c r="B3626" s="1" t="s">
        <v>99</v>
      </c>
      <c r="C3626" t="s">
        <v>51</v>
      </c>
      <c r="D3626">
        <v>4</v>
      </c>
      <c r="E3626">
        <v>54</v>
      </c>
      <c r="F3626">
        <v>1.1200000000000001</v>
      </c>
      <c r="G3626">
        <f t="shared" si="44"/>
        <v>0.37333333333333341</v>
      </c>
      <c r="H3626">
        <f>G3626*(26.79/38.29)</f>
        <v>0.26120658135283364</v>
      </c>
    </row>
    <row r="3627" spans="1:8" x14ac:dyDescent="0.25">
      <c r="A3627" s="1">
        <v>2008</v>
      </c>
      <c r="B3627" s="1" t="s">
        <v>99</v>
      </c>
      <c r="C3627" t="s">
        <v>51</v>
      </c>
      <c r="D3627">
        <v>4</v>
      </c>
      <c r="E3627">
        <v>54</v>
      </c>
      <c r="F3627">
        <v>0.09</v>
      </c>
      <c r="G3627">
        <f t="shared" si="44"/>
        <v>0.03</v>
      </c>
      <c r="H3627">
        <f>G3627*(26.79/38.29)</f>
        <v>2.0989814572995556E-2</v>
      </c>
    </row>
    <row r="3628" spans="1:8" x14ac:dyDescent="0.25">
      <c r="A3628" s="1">
        <v>2008</v>
      </c>
      <c r="B3628" s="1" t="s">
        <v>99</v>
      </c>
      <c r="C3628" t="s">
        <v>51</v>
      </c>
      <c r="D3628">
        <v>4</v>
      </c>
      <c r="E3628">
        <v>54</v>
      </c>
      <c r="F3628">
        <v>0.65</v>
      </c>
      <c r="G3628">
        <f t="shared" si="44"/>
        <v>0.2166666666666667</v>
      </c>
      <c r="H3628">
        <f>G3628*(26.79/38.29)</f>
        <v>0.15159310524941239</v>
      </c>
    </row>
    <row r="3629" spans="1:8" x14ac:dyDescent="0.25">
      <c r="A3629" s="1">
        <v>2008</v>
      </c>
      <c r="B3629" s="1" t="s">
        <v>99</v>
      </c>
      <c r="C3629" t="s">
        <v>51</v>
      </c>
      <c r="D3629">
        <v>4</v>
      </c>
      <c r="E3629">
        <v>54</v>
      </c>
      <c r="F3629">
        <v>0.73</v>
      </c>
      <c r="G3629">
        <f t="shared" si="44"/>
        <v>0.24333333333333335</v>
      </c>
      <c r="H3629">
        <f>G3629*(26.79/38.29)</f>
        <v>0.17025071820318621</v>
      </c>
    </row>
    <row r="3630" spans="1:8" x14ac:dyDescent="0.25">
      <c r="A3630" s="1">
        <v>2008</v>
      </c>
      <c r="B3630" s="1" t="s">
        <v>99</v>
      </c>
      <c r="C3630" t="s">
        <v>51</v>
      </c>
      <c r="D3630">
        <v>4</v>
      </c>
      <c r="E3630">
        <v>54</v>
      </c>
      <c r="F3630">
        <v>0.05</v>
      </c>
      <c r="G3630">
        <f t="shared" si="44"/>
        <v>1.666666666666667E-2</v>
      </c>
      <c r="H3630">
        <f>G3630*(26.79/38.29)</f>
        <v>1.1661008096108646E-2</v>
      </c>
    </row>
    <row r="3631" spans="1:8" x14ac:dyDescent="0.25">
      <c r="A3631" s="1">
        <v>2008</v>
      </c>
      <c r="B3631" s="1" t="s">
        <v>99</v>
      </c>
      <c r="C3631" t="s">
        <v>51</v>
      </c>
      <c r="D3631">
        <v>4</v>
      </c>
      <c r="E3631">
        <v>54</v>
      </c>
      <c r="F3631">
        <v>1.43</v>
      </c>
      <c r="G3631">
        <f t="shared" si="44"/>
        <v>0.47666666666666668</v>
      </c>
      <c r="H3631">
        <f>G3631*(26.79/38.29)</f>
        <v>0.33350483154870725</v>
      </c>
    </row>
    <row r="3632" spans="1:8" x14ac:dyDescent="0.25">
      <c r="A3632" s="1">
        <v>2008</v>
      </c>
      <c r="B3632" s="1" t="s">
        <v>99</v>
      </c>
      <c r="C3632" t="s">
        <v>51</v>
      </c>
      <c r="D3632">
        <v>4</v>
      </c>
      <c r="E3632">
        <v>54</v>
      </c>
      <c r="F3632">
        <v>0.19</v>
      </c>
      <c r="G3632">
        <f t="shared" si="44"/>
        <v>6.3333333333333339E-2</v>
      </c>
      <c r="H3632">
        <f>G3632*(26.79/38.29)</f>
        <v>4.4311830765212848E-2</v>
      </c>
    </row>
    <row r="3633" spans="1:8" x14ac:dyDescent="0.25">
      <c r="A3633" s="1">
        <v>2008</v>
      </c>
      <c r="B3633" s="1" t="s">
        <v>99</v>
      </c>
      <c r="C3633" t="s">
        <v>51</v>
      </c>
      <c r="D3633">
        <v>4</v>
      </c>
      <c r="E3633">
        <v>54</v>
      </c>
      <c r="F3633">
        <v>0.03</v>
      </c>
      <c r="G3633">
        <f t="shared" si="44"/>
        <v>0.01</v>
      </c>
      <c r="H3633">
        <f>G3633*(26.79/38.29)</f>
        <v>6.9966048576651863E-3</v>
      </c>
    </row>
    <row r="3634" spans="1:8" x14ac:dyDescent="0.25">
      <c r="A3634" s="1">
        <v>2008</v>
      </c>
      <c r="B3634" s="1" t="s">
        <v>99</v>
      </c>
      <c r="C3634" t="s">
        <v>51</v>
      </c>
      <c r="D3634">
        <v>4</v>
      </c>
      <c r="E3634">
        <v>54</v>
      </c>
      <c r="F3634">
        <v>0.17</v>
      </c>
      <c r="G3634">
        <f t="shared" si="44"/>
        <v>5.6666666666666678E-2</v>
      </c>
      <c r="H3634">
        <f>G3634*(26.79/38.29)</f>
        <v>3.9647427526769398E-2</v>
      </c>
    </row>
    <row r="3635" spans="1:8" x14ac:dyDescent="0.25">
      <c r="A3635" s="1">
        <v>2008</v>
      </c>
      <c r="B3635" s="1" t="s">
        <v>99</v>
      </c>
      <c r="C3635" t="s">
        <v>51</v>
      </c>
      <c r="D3635">
        <v>4</v>
      </c>
      <c r="E3635">
        <v>54</v>
      </c>
      <c r="F3635">
        <v>0.06</v>
      </c>
      <c r="G3635">
        <f t="shared" si="44"/>
        <v>0.02</v>
      </c>
      <c r="H3635">
        <f>G3635*(26.79/38.29)</f>
        <v>1.3993209715330373E-2</v>
      </c>
    </row>
    <row r="3636" spans="1:8" x14ac:dyDescent="0.25">
      <c r="A3636" s="1">
        <v>2008</v>
      </c>
      <c r="B3636" s="1" t="s">
        <v>99</v>
      </c>
      <c r="C3636" t="s">
        <v>51</v>
      </c>
      <c r="D3636">
        <v>4</v>
      </c>
      <c r="E3636">
        <v>54</v>
      </c>
      <c r="F3636">
        <v>0.36</v>
      </c>
      <c r="G3636">
        <f t="shared" si="44"/>
        <v>0.12</v>
      </c>
      <c r="H3636">
        <f>G3636*(26.79/38.29)</f>
        <v>8.3959258291982225E-2</v>
      </c>
    </row>
    <row r="3637" spans="1:8" x14ac:dyDescent="0.25">
      <c r="A3637" s="1">
        <v>2008</v>
      </c>
      <c r="B3637" s="1" t="s">
        <v>99</v>
      </c>
      <c r="C3637" t="s">
        <v>51</v>
      </c>
      <c r="D3637">
        <v>4</v>
      </c>
      <c r="E3637">
        <v>54</v>
      </c>
      <c r="F3637">
        <v>7.0000000000000007E-2</v>
      </c>
      <c r="G3637">
        <f t="shared" si="44"/>
        <v>2.3333333333333338E-2</v>
      </c>
      <c r="H3637">
        <f>G3637*(26.79/38.29)</f>
        <v>1.6325411334552103E-2</v>
      </c>
    </row>
    <row r="3638" spans="1:8" x14ac:dyDescent="0.25">
      <c r="A3638" s="1">
        <v>2008</v>
      </c>
      <c r="B3638" s="1" t="s">
        <v>99</v>
      </c>
      <c r="C3638" t="s">
        <v>51</v>
      </c>
      <c r="D3638">
        <v>4</v>
      </c>
      <c r="E3638">
        <v>54</v>
      </c>
      <c r="F3638">
        <v>0.11</v>
      </c>
      <c r="G3638">
        <f t="shared" si="44"/>
        <v>3.6666666666666667E-2</v>
      </c>
      <c r="H3638">
        <f>G3638*(26.79/38.29)</f>
        <v>2.5654217811439017E-2</v>
      </c>
    </row>
    <row r="3639" spans="1:8" x14ac:dyDescent="0.25">
      <c r="A3639" s="1">
        <v>2008</v>
      </c>
      <c r="B3639" s="1" t="s">
        <v>99</v>
      </c>
      <c r="C3639" t="s">
        <v>51</v>
      </c>
      <c r="D3639">
        <v>4</v>
      </c>
      <c r="E3639">
        <v>54</v>
      </c>
      <c r="F3639">
        <v>0.06</v>
      </c>
      <c r="G3639">
        <f t="shared" si="44"/>
        <v>0.02</v>
      </c>
      <c r="H3639">
        <f>G3639*(26.79/38.29)</f>
        <v>1.3993209715330373E-2</v>
      </c>
    </row>
    <row r="3640" spans="1:8" x14ac:dyDescent="0.25">
      <c r="A3640" s="1">
        <v>2008</v>
      </c>
      <c r="B3640" s="1" t="s">
        <v>99</v>
      </c>
      <c r="C3640" t="s">
        <v>51</v>
      </c>
      <c r="D3640">
        <v>4</v>
      </c>
      <c r="E3640">
        <v>54</v>
      </c>
      <c r="F3640">
        <v>0.56999999999999995</v>
      </c>
      <c r="G3640">
        <f t="shared" si="44"/>
        <v>0.19</v>
      </c>
      <c r="H3640">
        <f>G3640*(26.79/38.29)</f>
        <v>0.13293549229563853</v>
      </c>
    </row>
    <row r="3641" spans="1:8" x14ac:dyDescent="0.25">
      <c r="A3641" s="1">
        <v>2008</v>
      </c>
      <c r="B3641" s="1" t="s">
        <v>99</v>
      </c>
      <c r="C3641" t="s">
        <v>51</v>
      </c>
      <c r="D3641">
        <v>4</v>
      </c>
      <c r="E3641">
        <v>54</v>
      </c>
      <c r="F3641">
        <v>7.0000000000000007E-2</v>
      </c>
      <c r="G3641">
        <f t="shared" si="44"/>
        <v>2.3333333333333338E-2</v>
      </c>
      <c r="H3641">
        <f>G3641*(26.79/38.29)</f>
        <v>1.6325411334552103E-2</v>
      </c>
    </row>
    <row r="3642" spans="1:8" x14ac:dyDescent="0.25">
      <c r="A3642" s="1">
        <v>2008</v>
      </c>
      <c r="B3642" s="1" t="s">
        <v>99</v>
      </c>
      <c r="C3642" t="s">
        <v>51</v>
      </c>
      <c r="D3642">
        <v>4</v>
      </c>
      <c r="E3642">
        <v>54</v>
      </c>
      <c r="F3642">
        <v>1.04</v>
      </c>
      <c r="G3642">
        <f t="shared" si="44"/>
        <v>0.34666666666666668</v>
      </c>
      <c r="H3642">
        <f>G3642*(26.79/38.29)</f>
        <v>0.24254896839905979</v>
      </c>
    </row>
    <row r="3643" spans="1:8" x14ac:dyDescent="0.25">
      <c r="A3643" s="1">
        <v>2008</v>
      </c>
      <c r="B3643" s="1" t="s">
        <v>99</v>
      </c>
      <c r="C3643" t="s">
        <v>51</v>
      </c>
      <c r="D3643">
        <v>4</v>
      </c>
      <c r="E3643">
        <v>54</v>
      </c>
      <c r="F3643">
        <v>0.13</v>
      </c>
      <c r="G3643">
        <f t="shared" si="44"/>
        <v>4.3333333333333335E-2</v>
      </c>
      <c r="H3643">
        <f>G3643*(26.79/38.29)</f>
        <v>3.0318621049882474E-2</v>
      </c>
    </row>
    <row r="3644" spans="1:8" x14ac:dyDescent="0.25">
      <c r="A3644" s="1">
        <v>2008</v>
      </c>
      <c r="B3644" s="1" t="s">
        <v>99</v>
      </c>
      <c r="C3644" t="s">
        <v>51</v>
      </c>
      <c r="D3644">
        <v>4</v>
      </c>
      <c r="E3644">
        <v>54</v>
      </c>
      <c r="F3644">
        <v>0.14000000000000001</v>
      </c>
      <c r="G3644">
        <f t="shared" si="44"/>
        <v>4.6666666666666676E-2</v>
      </c>
      <c r="H3644">
        <f>G3644*(26.79/38.29)</f>
        <v>3.2650822669104206E-2</v>
      </c>
    </row>
    <row r="3645" spans="1:8" x14ac:dyDescent="0.25">
      <c r="A3645" s="1">
        <v>2008</v>
      </c>
      <c r="B3645" s="1" t="s">
        <v>99</v>
      </c>
      <c r="C3645" t="s">
        <v>51</v>
      </c>
      <c r="D3645">
        <v>4</v>
      </c>
      <c r="E3645">
        <v>54</v>
      </c>
      <c r="F3645">
        <v>0.06</v>
      </c>
      <c r="G3645">
        <f t="shared" si="44"/>
        <v>0.02</v>
      </c>
      <c r="H3645">
        <f>G3645*(26.79/38.29)</f>
        <v>1.3993209715330373E-2</v>
      </c>
    </row>
    <row r="3646" spans="1:8" x14ac:dyDescent="0.25">
      <c r="A3646" s="1">
        <v>2008</v>
      </c>
      <c r="B3646" s="1" t="s">
        <v>99</v>
      </c>
      <c r="C3646" t="s">
        <v>51</v>
      </c>
      <c r="D3646">
        <v>4</v>
      </c>
      <c r="E3646">
        <v>54</v>
      </c>
      <c r="F3646">
        <v>0.6</v>
      </c>
      <c r="G3646">
        <f t="shared" si="44"/>
        <v>0.2</v>
      </c>
      <c r="H3646">
        <f>G3646*(26.79/38.29)</f>
        <v>0.13993209715330374</v>
      </c>
    </row>
    <row r="3647" spans="1:8" x14ac:dyDescent="0.25">
      <c r="A3647" s="1">
        <v>2008</v>
      </c>
      <c r="B3647" s="1" t="s">
        <v>99</v>
      </c>
      <c r="C3647" t="s">
        <v>51</v>
      </c>
      <c r="D3647">
        <v>4</v>
      </c>
      <c r="E3647">
        <v>54</v>
      </c>
      <c r="F3647">
        <v>0.2</v>
      </c>
      <c r="G3647">
        <f t="shared" si="44"/>
        <v>6.666666666666668E-2</v>
      </c>
      <c r="H3647">
        <f>G3647*(26.79/38.29)</f>
        <v>4.6644032384434583E-2</v>
      </c>
    </row>
    <row r="3648" spans="1:8" x14ac:dyDescent="0.25">
      <c r="A3648" s="1">
        <v>2008</v>
      </c>
      <c r="B3648" s="1" t="s">
        <v>99</v>
      </c>
      <c r="C3648" t="s">
        <v>51</v>
      </c>
      <c r="D3648">
        <v>4</v>
      </c>
      <c r="E3648">
        <v>54</v>
      </c>
      <c r="F3648">
        <v>0.23</v>
      </c>
      <c r="G3648">
        <f t="shared" si="44"/>
        <v>7.6666666666666675E-2</v>
      </c>
      <c r="H3648">
        <f>G3648*(26.79/38.29)</f>
        <v>5.3640637242099769E-2</v>
      </c>
    </row>
    <row r="3649" spans="1:8" x14ac:dyDescent="0.25">
      <c r="A3649" s="1">
        <v>2008</v>
      </c>
      <c r="B3649" s="1" t="s">
        <v>99</v>
      </c>
      <c r="C3649" t="s">
        <v>51</v>
      </c>
      <c r="D3649">
        <v>4</v>
      </c>
      <c r="E3649">
        <v>54</v>
      </c>
      <c r="F3649">
        <v>7.0000000000000007E-2</v>
      </c>
      <c r="G3649">
        <f t="shared" si="44"/>
        <v>2.3333333333333338E-2</v>
      </c>
      <c r="H3649">
        <f>G3649*(26.79/38.29)</f>
        <v>1.6325411334552103E-2</v>
      </c>
    </row>
    <row r="3650" spans="1:8" x14ac:dyDescent="0.25">
      <c r="A3650" s="1">
        <v>2008</v>
      </c>
      <c r="B3650" s="1" t="s">
        <v>99</v>
      </c>
      <c r="C3650" t="s">
        <v>51</v>
      </c>
      <c r="D3650">
        <v>4</v>
      </c>
      <c r="E3650">
        <v>54</v>
      </c>
      <c r="F3650">
        <v>0.73</v>
      </c>
      <c r="G3650">
        <f t="shared" si="44"/>
        <v>0.24333333333333335</v>
      </c>
      <c r="H3650">
        <f>G3650*(26.79/38.29)</f>
        <v>0.17025071820318621</v>
      </c>
    </row>
    <row r="3651" spans="1:8" x14ac:dyDescent="0.25">
      <c r="A3651" s="1">
        <v>2008</v>
      </c>
      <c r="B3651" s="1" t="s">
        <v>99</v>
      </c>
      <c r="C3651" t="s">
        <v>51</v>
      </c>
      <c r="D3651">
        <v>4</v>
      </c>
      <c r="E3651">
        <v>54</v>
      </c>
      <c r="F3651">
        <v>0.23</v>
      </c>
      <c r="G3651">
        <f t="shared" si="44"/>
        <v>7.6666666666666675E-2</v>
      </c>
      <c r="H3651">
        <f>G3651*(26.79/38.29)</f>
        <v>5.3640637242099769E-2</v>
      </c>
    </row>
    <row r="3652" spans="1:8" x14ac:dyDescent="0.25">
      <c r="A3652" s="1">
        <v>2008</v>
      </c>
      <c r="B3652" s="1" t="s">
        <v>99</v>
      </c>
      <c r="C3652" t="s">
        <v>51</v>
      </c>
      <c r="D3652">
        <v>4</v>
      </c>
      <c r="E3652">
        <v>54</v>
      </c>
      <c r="F3652">
        <v>1.19</v>
      </c>
      <c r="G3652">
        <f t="shared" si="44"/>
        <v>0.39666666666666667</v>
      </c>
      <c r="H3652">
        <f>G3652*(26.79/38.29)</f>
        <v>0.27753199268738571</v>
      </c>
    </row>
    <row r="3653" spans="1:8" x14ac:dyDescent="0.25">
      <c r="A3653" s="1">
        <v>2008</v>
      </c>
      <c r="B3653" s="1" t="s">
        <v>99</v>
      </c>
      <c r="C3653" t="s">
        <v>51</v>
      </c>
      <c r="D3653">
        <v>4</v>
      </c>
      <c r="E3653">
        <v>54</v>
      </c>
      <c r="F3653">
        <v>0.06</v>
      </c>
      <c r="G3653">
        <f t="shared" si="44"/>
        <v>0.02</v>
      </c>
      <c r="H3653">
        <f>G3653*(26.79/38.29)</f>
        <v>1.3993209715330373E-2</v>
      </c>
    </row>
    <row r="3654" spans="1:8" x14ac:dyDescent="0.25">
      <c r="A3654" s="1">
        <v>2008</v>
      </c>
      <c r="B3654" s="1" t="s">
        <v>99</v>
      </c>
      <c r="C3654" t="s">
        <v>51</v>
      </c>
      <c r="D3654">
        <v>4</v>
      </c>
      <c r="E3654">
        <v>54</v>
      </c>
      <c r="F3654">
        <v>0.73</v>
      </c>
      <c r="G3654">
        <f t="shared" si="44"/>
        <v>0.24333333333333335</v>
      </c>
      <c r="H3654">
        <f>G3654*(26.79/38.29)</f>
        <v>0.17025071820318621</v>
      </c>
    </row>
    <row r="3655" spans="1:8" x14ac:dyDescent="0.25">
      <c r="A3655" s="1">
        <v>2008</v>
      </c>
      <c r="B3655" s="1" t="s">
        <v>99</v>
      </c>
      <c r="C3655" t="s">
        <v>51</v>
      </c>
      <c r="D3655">
        <v>4</v>
      </c>
      <c r="E3655">
        <v>54</v>
      </c>
      <c r="F3655">
        <v>1.24</v>
      </c>
      <c r="G3655">
        <f t="shared" si="44"/>
        <v>0.41333333333333339</v>
      </c>
      <c r="H3655">
        <f>G3655*(26.79/38.29)</f>
        <v>0.28919300078349441</v>
      </c>
    </row>
    <row r="3656" spans="1:8" x14ac:dyDescent="0.25">
      <c r="A3656" s="1">
        <v>2008</v>
      </c>
      <c r="B3656" s="1" t="s">
        <v>99</v>
      </c>
      <c r="C3656" t="s">
        <v>51</v>
      </c>
      <c r="D3656">
        <v>4</v>
      </c>
      <c r="E3656">
        <v>54</v>
      </c>
      <c r="F3656">
        <v>0.11</v>
      </c>
      <c r="G3656">
        <f t="shared" si="44"/>
        <v>3.6666666666666667E-2</v>
      </c>
      <c r="H3656">
        <f>G3656*(26.79/38.29)</f>
        <v>2.5654217811439017E-2</v>
      </c>
    </row>
    <row r="3657" spans="1:8" x14ac:dyDescent="0.25">
      <c r="A3657" s="1">
        <v>2008</v>
      </c>
      <c r="B3657" s="1" t="s">
        <v>99</v>
      </c>
      <c r="C3657" t="s">
        <v>51</v>
      </c>
      <c r="D3657">
        <v>4</v>
      </c>
      <c r="E3657">
        <v>54</v>
      </c>
      <c r="F3657">
        <v>7.0000000000000007E-2</v>
      </c>
      <c r="G3657">
        <f t="shared" si="44"/>
        <v>2.3333333333333338E-2</v>
      </c>
      <c r="H3657">
        <f>G3657*(26.79/38.29)</f>
        <v>1.6325411334552103E-2</v>
      </c>
    </row>
    <row r="3658" spans="1:8" x14ac:dyDescent="0.25">
      <c r="A3658" s="1">
        <v>2008</v>
      </c>
      <c r="B3658" s="1" t="s">
        <v>99</v>
      </c>
      <c r="C3658" t="s">
        <v>51</v>
      </c>
      <c r="D3658">
        <v>4</v>
      </c>
      <c r="E3658">
        <v>54</v>
      </c>
      <c r="F3658">
        <v>0.11</v>
      </c>
      <c r="G3658">
        <f t="shared" si="44"/>
        <v>3.6666666666666667E-2</v>
      </c>
      <c r="H3658">
        <f>G3658*(26.79/38.29)</f>
        <v>2.5654217811439017E-2</v>
      </c>
    </row>
    <row r="3659" spans="1:8" x14ac:dyDescent="0.25">
      <c r="A3659" s="1">
        <v>2008</v>
      </c>
      <c r="B3659" s="1" t="s">
        <v>99</v>
      </c>
      <c r="C3659" t="s">
        <v>51</v>
      </c>
      <c r="D3659">
        <v>4</v>
      </c>
      <c r="E3659">
        <v>54</v>
      </c>
      <c r="F3659">
        <v>0.7</v>
      </c>
      <c r="G3659">
        <f t="shared" si="44"/>
        <v>0.23333333333333334</v>
      </c>
      <c r="H3659">
        <f>G3659*(26.79/38.29)</f>
        <v>0.16325411334552101</v>
      </c>
    </row>
    <row r="3660" spans="1:8" x14ac:dyDescent="0.25">
      <c r="A3660" s="1">
        <v>2008</v>
      </c>
      <c r="B3660" s="1" t="s">
        <v>99</v>
      </c>
      <c r="C3660" t="s">
        <v>51</v>
      </c>
      <c r="D3660">
        <v>4</v>
      </c>
      <c r="E3660">
        <v>54</v>
      </c>
      <c r="F3660">
        <v>0.09</v>
      </c>
      <c r="G3660">
        <f t="shared" si="44"/>
        <v>0.03</v>
      </c>
      <c r="H3660">
        <f>G3660*(26.79/38.29)</f>
        <v>2.0989814572995556E-2</v>
      </c>
    </row>
    <row r="3661" spans="1:8" x14ac:dyDescent="0.25">
      <c r="A3661" s="1">
        <v>2008</v>
      </c>
      <c r="B3661" s="1" t="s">
        <v>99</v>
      </c>
      <c r="C3661" t="s">
        <v>51</v>
      </c>
      <c r="D3661">
        <v>4</v>
      </c>
      <c r="E3661">
        <v>54</v>
      </c>
      <c r="F3661">
        <v>0.73</v>
      </c>
      <c r="G3661">
        <f t="shared" si="44"/>
        <v>0.24333333333333335</v>
      </c>
      <c r="H3661">
        <f>G3661*(26.79/38.29)</f>
        <v>0.17025071820318621</v>
      </c>
    </row>
    <row r="3662" spans="1:8" x14ac:dyDescent="0.25">
      <c r="A3662" s="1">
        <v>2008</v>
      </c>
      <c r="B3662" s="1" t="s">
        <v>99</v>
      </c>
      <c r="C3662" t="s">
        <v>51</v>
      </c>
      <c r="D3662">
        <v>4</v>
      </c>
      <c r="E3662">
        <v>54</v>
      </c>
      <c r="F3662">
        <v>0.21</v>
      </c>
      <c r="G3662">
        <f t="shared" ref="G3662:G3725" si="45">(F3662/0.6)/5</f>
        <v>6.9999999999999993E-2</v>
      </c>
      <c r="H3662">
        <f>G3662*(26.79/38.29)</f>
        <v>4.8976234003656298E-2</v>
      </c>
    </row>
    <row r="3663" spans="1:8" x14ac:dyDescent="0.25">
      <c r="A3663" s="1">
        <v>2008</v>
      </c>
      <c r="B3663" s="1" t="s">
        <v>99</v>
      </c>
      <c r="C3663" t="s">
        <v>51</v>
      </c>
      <c r="D3663">
        <v>4</v>
      </c>
      <c r="E3663">
        <v>54</v>
      </c>
      <c r="F3663">
        <v>0.06</v>
      </c>
      <c r="G3663">
        <f t="shared" si="45"/>
        <v>0.02</v>
      </c>
      <c r="H3663">
        <f>G3663*(26.79/38.29)</f>
        <v>1.3993209715330373E-2</v>
      </c>
    </row>
    <row r="3664" spans="1:8" x14ac:dyDescent="0.25">
      <c r="A3664" s="1">
        <v>2008</v>
      </c>
      <c r="B3664" s="1" t="s">
        <v>99</v>
      </c>
      <c r="C3664" t="s">
        <v>51</v>
      </c>
      <c r="D3664">
        <v>4</v>
      </c>
      <c r="E3664">
        <v>54</v>
      </c>
      <c r="F3664">
        <v>1.4</v>
      </c>
      <c r="G3664">
        <f t="shared" si="45"/>
        <v>0.46666666666666667</v>
      </c>
      <c r="H3664">
        <f>G3664*(26.79/38.29)</f>
        <v>0.32650822669104201</v>
      </c>
    </row>
    <row r="3665" spans="1:8" x14ac:dyDescent="0.25">
      <c r="A3665" s="1">
        <v>2008</v>
      </c>
      <c r="B3665" s="1" t="s">
        <v>99</v>
      </c>
      <c r="C3665" t="s">
        <v>51</v>
      </c>
      <c r="D3665">
        <v>4</v>
      </c>
      <c r="E3665">
        <v>54</v>
      </c>
      <c r="F3665">
        <v>0.94</v>
      </c>
      <c r="G3665">
        <f t="shared" si="45"/>
        <v>0.31333333333333335</v>
      </c>
      <c r="H3665">
        <f>G3665*(26.79/38.29)</f>
        <v>0.21922695220684252</v>
      </c>
    </row>
    <row r="3666" spans="1:8" x14ac:dyDescent="0.25">
      <c r="A3666" s="1">
        <v>2008</v>
      </c>
      <c r="B3666" s="1" t="s">
        <v>99</v>
      </c>
      <c r="C3666" t="s">
        <v>51</v>
      </c>
      <c r="D3666">
        <v>4</v>
      </c>
      <c r="E3666">
        <v>54</v>
      </c>
      <c r="F3666">
        <v>0.52</v>
      </c>
      <c r="G3666">
        <f t="shared" si="45"/>
        <v>0.17333333333333334</v>
      </c>
      <c r="H3666">
        <f>G3666*(26.79/38.29)</f>
        <v>0.12127448419952989</v>
      </c>
    </row>
    <row r="3667" spans="1:8" x14ac:dyDescent="0.25">
      <c r="A3667" s="1">
        <v>2008</v>
      </c>
      <c r="B3667" s="1" t="s">
        <v>99</v>
      </c>
      <c r="C3667" t="s">
        <v>51</v>
      </c>
      <c r="D3667">
        <v>4</v>
      </c>
      <c r="E3667">
        <v>54</v>
      </c>
      <c r="F3667">
        <v>0.05</v>
      </c>
      <c r="G3667">
        <f t="shared" si="45"/>
        <v>1.666666666666667E-2</v>
      </c>
      <c r="H3667">
        <f>G3667*(26.79/38.29)</f>
        <v>1.1661008096108646E-2</v>
      </c>
    </row>
    <row r="3668" spans="1:8" x14ac:dyDescent="0.25">
      <c r="A3668" s="1">
        <v>2008</v>
      </c>
      <c r="B3668" s="1" t="s">
        <v>99</v>
      </c>
      <c r="C3668" t="s">
        <v>51</v>
      </c>
      <c r="D3668">
        <v>4</v>
      </c>
      <c r="E3668">
        <v>56</v>
      </c>
      <c r="F3668">
        <v>0.1</v>
      </c>
      <c r="G3668">
        <f t="shared" si="45"/>
        <v>3.333333333333334E-2</v>
      </c>
      <c r="H3668">
        <f>G3668*(26.79/38.29)</f>
        <v>2.3322016192217292E-2</v>
      </c>
    </row>
    <row r="3669" spans="1:8" x14ac:dyDescent="0.25">
      <c r="A3669" s="1">
        <v>2008</v>
      </c>
      <c r="B3669" s="1" t="s">
        <v>99</v>
      </c>
      <c r="C3669" t="s">
        <v>51</v>
      </c>
      <c r="D3669">
        <v>4</v>
      </c>
      <c r="E3669">
        <v>63</v>
      </c>
      <c r="F3669">
        <v>7.0000000000000007E-2</v>
      </c>
      <c r="G3669">
        <f t="shared" si="45"/>
        <v>2.3333333333333338E-2</v>
      </c>
      <c r="H3669">
        <f>G3669*(26.79/38.29)</f>
        <v>1.6325411334552103E-2</v>
      </c>
    </row>
    <row r="3670" spans="1:8" x14ac:dyDescent="0.25">
      <c r="A3670" s="1">
        <v>2008</v>
      </c>
      <c r="B3670" s="1" t="s">
        <v>99</v>
      </c>
      <c r="C3670" t="s">
        <v>51</v>
      </c>
      <c r="D3670">
        <v>4</v>
      </c>
      <c r="E3670">
        <v>63</v>
      </c>
      <c r="F3670">
        <v>0.18</v>
      </c>
      <c r="G3670">
        <f t="shared" si="45"/>
        <v>0.06</v>
      </c>
      <c r="H3670">
        <f>G3670*(26.79/38.29)</f>
        <v>4.1979629145991113E-2</v>
      </c>
    </row>
    <row r="3671" spans="1:8" x14ac:dyDescent="0.25">
      <c r="A3671" s="1">
        <v>2008</v>
      </c>
      <c r="B3671" s="1" t="s">
        <v>99</v>
      </c>
      <c r="C3671" t="s">
        <v>51</v>
      </c>
      <c r="D3671">
        <v>4</v>
      </c>
      <c r="E3671">
        <v>63</v>
      </c>
      <c r="F3671">
        <v>0.04</v>
      </c>
      <c r="G3671">
        <f t="shared" si="45"/>
        <v>1.3333333333333332E-2</v>
      </c>
      <c r="H3671">
        <f>G3671*(26.79/38.29)</f>
        <v>9.3288064768869139E-3</v>
      </c>
    </row>
    <row r="3672" spans="1:8" x14ac:dyDescent="0.25">
      <c r="A3672" s="1">
        <v>2008</v>
      </c>
      <c r="B3672" s="1" t="s">
        <v>99</v>
      </c>
      <c r="C3672" t="s">
        <v>51</v>
      </c>
      <c r="D3672">
        <v>4</v>
      </c>
      <c r="E3672">
        <v>63</v>
      </c>
      <c r="F3672">
        <v>0.05</v>
      </c>
      <c r="G3672">
        <f t="shared" si="45"/>
        <v>1.666666666666667E-2</v>
      </c>
      <c r="H3672">
        <f>G3672*(26.79/38.29)</f>
        <v>1.1661008096108646E-2</v>
      </c>
    </row>
    <row r="3673" spans="1:8" x14ac:dyDescent="0.25">
      <c r="A3673" s="1">
        <v>2008</v>
      </c>
      <c r="B3673" s="1" t="s">
        <v>99</v>
      </c>
      <c r="C3673" t="s">
        <v>51</v>
      </c>
      <c r="D3673">
        <v>4</v>
      </c>
      <c r="E3673">
        <v>76</v>
      </c>
      <c r="F3673">
        <v>0.15</v>
      </c>
      <c r="G3673">
        <f t="shared" si="45"/>
        <v>0.05</v>
      </c>
      <c r="H3673">
        <f>G3673*(26.79/38.29)</f>
        <v>3.4983024288325934E-2</v>
      </c>
    </row>
    <row r="3674" spans="1:8" x14ac:dyDescent="0.25">
      <c r="A3674" s="1">
        <v>2008</v>
      </c>
      <c r="B3674" s="1" t="s">
        <v>99</v>
      </c>
      <c r="C3674" t="s">
        <v>51</v>
      </c>
      <c r="D3674">
        <v>4</v>
      </c>
      <c r="E3674">
        <v>76</v>
      </c>
      <c r="F3674">
        <v>0.12</v>
      </c>
      <c r="G3674">
        <f t="shared" si="45"/>
        <v>0.04</v>
      </c>
      <c r="H3674">
        <f>G3674*(26.79/38.29)</f>
        <v>2.7986419430660745E-2</v>
      </c>
    </row>
    <row r="3675" spans="1:8" x14ac:dyDescent="0.25">
      <c r="A3675" s="1">
        <v>2008</v>
      </c>
      <c r="B3675" s="1" t="s">
        <v>99</v>
      </c>
      <c r="C3675" t="s">
        <v>51</v>
      </c>
      <c r="D3675">
        <v>4</v>
      </c>
      <c r="E3675">
        <v>76</v>
      </c>
      <c r="F3675">
        <v>0.11</v>
      </c>
      <c r="G3675">
        <f t="shared" si="45"/>
        <v>3.6666666666666667E-2</v>
      </c>
      <c r="H3675">
        <f>G3675*(26.79/38.29)</f>
        <v>2.5654217811439017E-2</v>
      </c>
    </row>
    <row r="3676" spans="1:8" x14ac:dyDescent="0.25">
      <c r="A3676" s="1">
        <v>2008</v>
      </c>
      <c r="B3676" s="1" t="s">
        <v>99</v>
      </c>
      <c r="C3676" t="s">
        <v>51</v>
      </c>
      <c r="D3676">
        <v>4</v>
      </c>
      <c r="E3676">
        <v>76</v>
      </c>
      <c r="F3676">
        <v>1.59</v>
      </c>
      <c r="G3676">
        <f t="shared" si="45"/>
        <v>0.53</v>
      </c>
      <c r="H3676">
        <f>G3676*(26.79/38.29)</f>
        <v>0.3708200574562549</v>
      </c>
    </row>
    <row r="3677" spans="1:8" x14ac:dyDescent="0.25">
      <c r="A3677" s="1">
        <v>2008</v>
      </c>
      <c r="B3677" s="1" t="s">
        <v>99</v>
      </c>
      <c r="C3677" t="s">
        <v>51</v>
      </c>
      <c r="D3677">
        <v>4</v>
      </c>
      <c r="E3677">
        <v>76</v>
      </c>
      <c r="F3677">
        <v>0.17</v>
      </c>
      <c r="G3677">
        <f t="shared" si="45"/>
        <v>5.6666666666666678E-2</v>
      </c>
      <c r="H3677">
        <f>G3677*(26.79/38.29)</f>
        <v>3.9647427526769398E-2</v>
      </c>
    </row>
    <row r="3678" spans="1:8" x14ac:dyDescent="0.25">
      <c r="A3678" s="1">
        <v>2008</v>
      </c>
      <c r="B3678" s="1" t="s">
        <v>99</v>
      </c>
      <c r="C3678" t="s">
        <v>51</v>
      </c>
      <c r="D3678">
        <v>4</v>
      </c>
      <c r="E3678">
        <v>76</v>
      </c>
      <c r="F3678">
        <v>0.2</v>
      </c>
      <c r="G3678">
        <f t="shared" si="45"/>
        <v>6.666666666666668E-2</v>
      </c>
      <c r="H3678">
        <f>G3678*(26.79/38.29)</f>
        <v>4.6644032384434583E-2</v>
      </c>
    </row>
    <row r="3679" spans="1:8" x14ac:dyDescent="0.25">
      <c r="A3679" s="1">
        <v>2008</v>
      </c>
      <c r="B3679" s="1" t="s">
        <v>99</v>
      </c>
      <c r="C3679" t="s">
        <v>51</v>
      </c>
      <c r="D3679">
        <v>4</v>
      </c>
      <c r="E3679">
        <v>76</v>
      </c>
      <c r="F3679">
        <v>0.44</v>
      </c>
      <c r="G3679">
        <f t="shared" si="45"/>
        <v>0.14666666666666667</v>
      </c>
      <c r="H3679">
        <f>G3679*(26.79/38.29)</f>
        <v>0.10261687124575607</v>
      </c>
    </row>
    <row r="3680" spans="1:8" x14ac:dyDescent="0.25">
      <c r="A3680" s="1">
        <v>2008</v>
      </c>
      <c r="B3680" s="1" t="s">
        <v>99</v>
      </c>
      <c r="C3680" t="s">
        <v>51</v>
      </c>
      <c r="D3680">
        <v>4</v>
      </c>
      <c r="E3680">
        <v>76</v>
      </c>
      <c r="F3680">
        <v>1.01</v>
      </c>
      <c r="G3680">
        <f t="shared" si="45"/>
        <v>0.33666666666666667</v>
      </c>
      <c r="H3680">
        <f>G3680*(26.79/38.29)</f>
        <v>0.23555236354139461</v>
      </c>
    </row>
    <row r="3681" spans="1:8" x14ac:dyDescent="0.25">
      <c r="A3681" s="1">
        <v>2008</v>
      </c>
      <c r="B3681" s="1" t="s">
        <v>99</v>
      </c>
      <c r="C3681" t="s">
        <v>51</v>
      </c>
      <c r="D3681">
        <v>4</v>
      </c>
      <c r="E3681">
        <v>76</v>
      </c>
      <c r="F3681">
        <v>0.09</v>
      </c>
      <c r="G3681">
        <f t="shared" si="45"/>
        <v>0.03</v>
      </c>
      <c r="H3681">
        <f>G3681*(26.79/38.29)</f>
        <v>2.0989814572995556E-2</v>
      </c>
    </row>
    <row r="3682" spans="1:8" x14ac:dyDescent="0.25">
      <c r="A3682" s="1">
        <v>2008</v>
      </c>
      <c r="B3682" s="1" t="s">
        <v>99</v>
      </c>
      <c r="C3682" t="s">
        <v>51</v>
      </c>
      <c r="D3682">
        <v>4</v>
      </c>
      <c r="E3682">
        <v>76</v>
      </c>
      <c r="F3682">
        <v>0.04</v>
      </c>
      <c r="G3682">
        <f t="shared" si="45"/>
        <v>1.3333333333333332E-2</v>
      </c>
      <c r="H3682">
        <f>G3682*(26.79/38.29)</f>
        <v>9.3288064768869139E-3</v>
      </c>
    </row>
    <row r="3683" spans="1:8" x14ac:dyDescent="0.25">
      <c r="A3683" s="1">
        <v>2008</v>
      </c>
      <c r="B3683" s="1" t="s">
        <v>99</v>
      </c>
      <c r="C3683" t="s">
        <v>51</v>
      </c>
      <c r="D3683">
        <v>4</v>
      </c>
      <c r="E3683">
        <v>78</v>
      </c>
      <c r="F3683">
        <v>0.04</v>
      </c>
      <c r="G3683">
        <f t="shared" si="45"/>
        <v>1.3333333333333332E-2</v>
      </c>
      <c r="H3683">
        <f>G3683*(26.79/38.29)</f>
        <v>9.3288064768869139E-3</v>
      </c>
    </row>
    <row r="3684" spans="1:8" x14ac:dyDescent="0.25">
      <c r="A3684" s="1">
        <v>2008</v>
      </c>
      <c r="B3684" s="1" t="s">
        <v>99</v>
      </c>
      <c r="C3684" t="s">
        <v>51</v>
      </c>
      <c r="D3684">
        <v>4</v>
      </c>
      <c r="E3684">
        <v>79</v>
      </c>
      <c r="F3684">
        <v>0.84</v>
      </c>
      <c r="G3684">
        <f t="shared" si="45"/>
        <v>0.27999999999999997</v>
      </c>
      <c r="H3684">
        <f>G3684*(26.79/38.29)</f>
        <v>0.19590493601462519</v>
      </c>
    </row>
    <row r="3685" spans="1:8" x14ac:dyDescent="0.25">
      <c r="A3685" s="1">
        <v>2008</v>
      </c>
      <c r="B3685" s="1" t="s">
        <v>99</v>
      </c>
      <c r="C3685" t="s">
        <v>51</v>
      </c>
      <c r="D3685">
        <v>4</v>
      </c>
      <c r="E3685">
        <v>79</v>
      </c>
      <c r="F3685">
        <v>0.11</v>
      </c>
      <c r="G3685">
        <f t="shared" si="45"/>
        <v>3.6666666666666667E-2</v>
      </c>
      <c r="H3685">
        <f>G3685*(26.79/38.29)</f>
        <v>2.5654217811439017E-2</v>
      </c>
    </row>
    <row r="3686" spans="1:8" x14ac:dyDescent="0.25">
      <c r="A3686" s="1">
        <v>2008</v>
      </c>
      <c r="B3686" s="1" t="s">
        <v>99</v>
      </c>
      <c r="C3686" t="s">
        <v>51</v>
      </c>
      <c r="D3686">
        <v>4</v>
      </c>
      <c r="E3686">
        <v>79</v>
      </c>
      <c r="F3686">
        <v>0.28999999999999998</v>
      </c>
      <c r="G3686">
        <f t="shared" si="45"/>
        <v>9.6666666666666665E-2</v>
      </c>
      <c r="H3686">
        <f>G3686*(26.79/38.29)</f>
        <v>6.7633846957430133E-2</v>
      </c>
    </row>
    <row r="3687" spans="1:8" x14ac:dyDescent="0.25">
      <c r="A3687" s="1">
        <v>2008</v>
      </c>
      <c r="B3687" s="1" t="s">
        <v>99</v>
      </c>
      <c r="C3687" t="s">
        <v>51</v>
      </c>
      <c r="D3687">
        <v>4</v>
      </c>
      <c r="E3687">
        <v>79</v>
      </c>
      <c r="F3687">
        <v>0.06</v>
      </c>
      <c r="G3687">
        <f t="shared" si="45"/>
        <v>0.02</v>
      </c>
      <c r="H3687">
        <f>G3687*(26.79/38.29)</f>
        <v>1.3993209715330373E-2</v>
      </c>
    </row>
    <row r="3688" spans="1:8" x14ac:dyDescent="0.25">
      <c r="A3688" s="1">
        <v>2008</v>
      </c>
      <c r="B3688" s="1" t="s">
        <v>99</v>
      </c>
      <c r="C3688" t="s">
        <v>51</v>
      </c>
      <c r="D3688">
        <v>4</v>
      </c>
      <c r="E3688">
        <v>79</v>
      </c>
      <c r="F3688">
        <v>0.68</v>
      </c>
      <c r="G3688">
        <f t="shared" si="45"/>
        <v>0.22666666666666671</v>
      </c>
      <c r="H3688">
        <f>G3688*(26.79/38.29)</f>
        <v>0.15858971010707759</v>
      </c>
    </row>
    <row r="3689" spans="1:8" x14ac:dyDescent="0.25">
      <c r="A3689" s="1">
        <v>2008</v>
      </c>
      <c r="B3689" s="1" t="s">
        <v>99</v>
      </c>
      <c r="C3689" t="s">
        <v>51</v>
      </c>
      <c r="D3689">
        <v>4</v>
      </c>
      <c r="E3689">
        <v>79</v>
      </c>
      <c r="F3689">
        <v>0.91</v>
      </c>
      <c r="G3689">
        <f t="shared" si="45"/>
        <v>0.30333333333333334</v>
      </c>
      <c r="H3689">
        <f>G3689*(26.79/38.29)</f>
        <v>0.21223034734917731</v>
      </c>
    </row>
    <row r="3690" spans="1:8" x14ac:dyDescent="0.25">
      <c r="A3690" s="1">
        <v>2008</v>
      </c>
      <c r="B3690" s="1" t="s">
        <v>99</v>
      </c>
      <c r="C3690" t="s">
        <v>51</v>
      </c>
      <c r="D3690">
        <v>4</v>
      </c>
      <c r="E3690">
        <v>79</v>
      </c>
      <c r="F3690">
        <v>0.4</v>
      </c>
      <c r="G3690">
        <f t="shared" si="45"/>
        <v>0.13333333333333336</v>
      </c>
      <c r="H3690">
        <f>G3690*(26.79/38.29)</f>
        <v>9.3288064768869167E-2</v>
      </c>
    </row>
    <row r="3691" spans="1:8" x14ac:dyDescent="0.25">
      <c r="A3691" s="1">
        <v>2008</v>
      </c>
      <c r="B3691" s="1" t="s">
        <v>99</v>
      </c>
      <c r="C3691" t="s">
        <v>51</v>
      </c>
      <c r="D3691">
        <v>4</v>
      </c>
      <c r="E3691">
        <v>79</v>
      </c>
      <c r="F3691">
        <v>0.08</v>
      </c>
      <c r="G3691">
        <f t="shared" si="45"/>
        <v>2.6666666666666665E-2</v>
      </c>
      <c r="H3691">
        <f>G3691*(26.79/38.29)</f>
        <v>1.8657612953773828E-2</v>
      </c>
    </row>
    <row r="3692" spans="1:8" x14ac:dyDescent="0.25">
      <c r="A3692" s="1">
        <v>2008</v>
      </c>
      <c r="B3692" s="1" t="s">
        <v>99</v>
      </c>
      <c r="C3692" t="s">
        <v>51</v>
      </c>
      <c r="D3692">
        <v>4</v>
      </c>
      <c r="E3692">
        <v>79</v>
      </c>
      <c r="F3692">
        <v>0.24</v>
      </c>
      <c r="G3692">
        <f t="shared" si="45"/>
        <v>0.08</v>
      </c>
      <c r="H3692">
        <f>G3692*(26.79/38.29)</f>
        <v>5.597283886132149E-2</v>
      </c>
    </row>
    <row r="3693" spans="1:8" x14ac:dyDescent="0.25">
      <c r="A3693" s="1">
        <v>2008</v>
      </c>
      <c r="B3693" s="1" t="s">
        <v>99</v>
      </c>
      <c r="C3693" t="s">
        <v>51</v>
      </c>
      <c r="D3693">
        <v>4</v>
      </c>
      <c r="E3693">
        <v>79</v>
      </c>
      <c r="F3693">
        <v>0.04</v>
      </c>
      <c r="G3693">
        <f t="shared" si="45"/>
        <v>1.3333333333333332E-2</v>
      </c>
      <c r="H3693">
        <f>G3693*(26.79/38.29)</f>
        <v>9.3288064768869139E-3</v>
      </c>
    </row>
    <row r="3694" spans="1:8" x14ac:dyDescent="0.25">
      <c r="A3694" s="1">
        <v>2008</v>
      </c>
      <c r="B3694" s="1" t="s">
        <v>99</v>
      </c>
      <c r="C3694" t="s">
        <v>51</v>
      </c>
      <c r="D3694">
        <v>4</v>
      </c>
      <c r="E3694">
        <v>79</v>
      </c>
      <c r="F3694">
        <v>0.16</v>
      </c>
      <c r="G3694">
        <f t="shared" si="45"/>
        <v>5.333333333333333E-2</v>
      </c>
      <c r="H3694">
        <f>G3694*(26.79/38.29)</f>
        <v>3.7315225907547656E-2</v>
      </c>
    </row>
    <row r="3695" spans="1:8" x14ac:dyDescent="0.25">
      <c r="A3695" s="1">
        <v>2008</v>
      </c>
      <c r="B3695" s="1" t="s">
        <v>99</v>
      </c>
      <c r="C3695" t="s">
        <v>51</v>
      </c>
      <c r="D3695">
        <v>4</v>
      </c>
      <c r="E3695">
        <v>79</v>
      </c>
      <c r="F3695">
        <v>0.1</v>
      </c>
      <c r="G3695">
        <f t="shared" si="45"/>
        <v>3.333333333333334E-2</v>
      </c>
      <c r="H3695">
        <f>G3695*(26.79/38.29)</f>
        <v>2.3322016192217292E-2</v>
      </c>
    </row>
    <row r="3696" spans="1:8" x14ac:dyDescent="0.25">
      <c r="A3696" s="1">
        <v>2008</v>
      </c>
      <c r="B3696" s="1" t="s">
        <v>99</v>
      </c>
      <c r="C3696" t="s">
        <v>51</v>
      </c>
      <c r="D3696">
        <v>4</v>
      </c>
      <c r="E3696">
        <v>79</v>
      </c>
      <c r="F3696">
        <v>1.24</v>
      </c>
      <c r="G3696">
        <f t="shared" si="45"/>
        <v>0.41333333333333339</v>
      </c>
      <c r="H3696">
        <f>G3696*(26.79/38.29)</f>
        <v>0.28919300078349441</v>
      </c>
    </row>
    <row r="3697" spans="1:8" x14ac:dyDescent="0.25">
      <c r="A3697" s="1">
        <v>2008</v>
      </c>
      <c r="B3697" s="1" t="s">
        <v>99</v>
      </c>
      <c r="C3697" t="s">
        <v>51</v>
      </c>
      <c r="D3697">
        <v>4</v>
      </c>
      <c r="E3697">
        <v>79</v>
      </c>
      <c r="F3697">
        <v>0.14000000000000001</v>
      </c>
      <c r="G3697">
        <f t="shared" si="45"/>
        <v>4.6666666666666676E-2</v>
      </c>
      <c r="H3697">
        <f>G3697*(26.79/38.29)</f>
        <v>3.2650822669104206E-2</v>
      </c>
    </row>
    <row r="3698" spans="1:8" x14ac:dyDescent="0.25">
      <c r="A3698" s="1">
        <v>2008</v>
      </c>
      <c r="B3698" s="1" t="s">
        <v>99</v>
      </c>
      <c r="C3698" t="s">
        <v>51</v>
      </c>
      <c r="D3698">
        <v>4</v>
      </c>
      <c r="E3698">
        <v>79</v>
      </c>
      <c r="F3698">
        <v>0.91</v>
      </c>
      <c r="G3698">
        <f t="shared" si="45"/>
        <v>0.30333333333333334</v>
      </c>
      <c r="H3698">
        <f>G3698*(26.79/38.29)</f>
        <v>0.21223034734917731</v>
      </c>
    </row>
    <row r="3699" spans="1:8" x14ac:dyDescent="0.25">
      <c r="A3699" s="1">
        <v>2008</v>
      </c>
      <c r="B3699" s="1" t="s">
        <v>99</v>
      </c>
      <c r="C3699" t="s">
        <v>51</v>
      </c>
      <c r="D3699">
        <v>4</v>
      </c>
      <c r="E3699">
        <v>79</v>
      </c>
      <c r="F3699">
        <v>0.14000000000000001</v>
      </c>
      <c r="G3699">
        <f t="shared" si="45"/>
        <v>4.6666666666666676E-2</v>
      </c>
      <c r="H3699">
        <f>G3699*(26.79/38.29)</f>
        <v>3.2650822669104206E-2</v>
      </c>
    </row>
    <row r="3700" spans="1:8" x14ac:dyDescent="0.25">
      <c r="A3700" s="1">
        <v>2008</v>
      </c>
      <c r="B3700" s="1" t="s">
        <v>99</v>
      </c>
      <c r="C3700" t="s">
        <v>51</v>
      </c>
      <c r="D3700">
        <v>4</v>
      </c>
      <c r="E3700">
        <v>79</v>
      </c>
      <c r="F3700">
        <v>0.08</v>
      </c>
      <c r="G3700">
        <f t="shared" si="45"/>
        <v>2.6666666666666665E-2</v>
      </c>
      <c r="H3700">
        <f>G3700*(26.79/38.29)</f>
        <v>1.8657612953773828E-2</v>
      </c>
    </row>
    <row r="3701" spans="1:8" x14ac:dyDescent="0.25">
      <c r="A3701" s="1">
        <v>2008</v>
      </c>
      <c r="B3701" s="1" t="s">
        <v>99</v>
      </c>
      <c r="C3701" t="s">
        <v>51</v>
      </c>
      <c r="D3701">
        <v>4</v>
      </c>
      <c r="E3701">
        <v>85</v>
      </c>
      <c r="F3701">
        <v>0.06</v>
      </c>
      <c r="G3701">
        <f t="shared" si="45"/>
        <v>0.02</v>
      </c>
      <c r="H3701">
        <f>G3701*(26.79/38.29)</f>
        <v>1.3993209715330373E-2</v>
      </c>
    </row>
    <row r="3702" spans="1:8" x14ac:dyDescent="0.25">
      <c r="A3702" s="1">
        <v>2008</v>
      </c>
      <c r="B3702" s="1" t="s">
        <v>99</v>
      </c>
      <c r="C3702" t="s">
        <v>51</v>
      </c>
      <c r="D3702">
        <v>4</v>
      </c>
      <c r="E3702">
        <v>85</v>
      </c>
      <c r="F3702">
        <v>0.79</v>
      </c>
      <c r="G3702">
        <f t="shared" si="45"/>
        <v>0.26333333333333336</v>
      </c>
      <c r="H3702">
        <f>G3702*(26.79/38.29)</f>
        <v>0.1842439279185166</v>
      </c>
    </row>
    <row r="3703" spans="1:8" x14ac:dyDescent="0.25">
      <c r="A3703" s="1">
        <v>2008</v>
      </c>
      <c r="B3703" s="1" t="s">
        <v>99</v>
      </c>
      <c r="C3703" t="s">
        <v>51</v>
      </c>
      <c r="D3703">
        <v>4</v>
      </c>
      <c r="E3703">
        <v>85</v>
      </c>
      <c r="F3703">
        <v>1.1000000000000001</v>
      </c>
      <c r="G3703">
        <f t="shared" si="45"/>
        <v>0.3666666666666667</v>
      </c>
      <c r="H3703">
        <f>G3703*(26.79/38.29)</f>
        <v>0.25654217811439017</v>
      </c>
    </row>
    <row r="3704" spans="1:8" x14ac:dyDescent="0.25">
      <c r="A3704" s="1">
        <v>2008</v>
      </c>
      <c r="B3704" s="1" t="s">
        <v>99</v>
      </c>
      <c r="C3704" t="s">
        <v>51</v>
      </c>
      <c r="D3704">
        <v>5</v>
      </c>
      <c r="E3704">
        <v>21</v>
      </c>
      <c r="F3704">
        <v>0.47</v>
      </c>
      <c r="G3704">
        <f t="shared" si="45"/>
        <v>0.15666666666666668</v>
      </c>
      <c r="H3704">
        <f>G3704*(26.79/38.29)</f>
        <v>0.10961347610342126</v>
      </c>
    </row>
    <row r="3705" spans="1:8" x14ac:dyDescent="0.25">
      <c r="A3705" s="1">
        <v>2008</v>
      </c>
      <c r="B3705" s="1" t="s">
        <v>99</v>
      </c>
      <c r="C3705" t="s">
        <v>51</v>
      </c>
      <c r="D3705">
        <v>5</v>
      </c>
      <c r="E3705">
        <v>29</v>
      </c>
      <c r="F3705">
        <v>0.09</v>
      </c>
      <c r="G3705">
        <f t="shared" si="45"/>
        <v>0.03</v>
      </c>
      <c r="H3705">
        <f>G3705*(26.79/38.29)</f>
        <v>2.0989814572995556E-2</v>
      </c>
    </row>
    <row r="3706" spans="1:8" x14ac:dyDescent="0.25">
      <c r="A3706" s="1">
        <v>2008</v>
      </c>
      <c r="B3706" s="1" t="s">
        <v>99</v>
      </c>
      <c r="C3706" t="s">
        <v>51</v>
      </c>
      <c r="D3706">
        <v>5</v>
      </c>
      <c r="E3706">
        <v>29</v>
      </c>
      <c r="F3706">
        <v>0.2</v>
      </c>
      <c r="G3706">
        <f t="shared" si="45"/>
        <v>6.666666666666668E-2</v>
      </c>
      <c r="H3706">
        <f>G3706*(26.79/38.29)</f>
        <v>4.6644032384434583E-2</v>
      </c>
    </row>
    <row r="3707" spans="1:8" x14ac:dyDescent="0.25">
      <c r="A3707" s="1">
        <v>2008</v>
      </c>
      <c r="B3707" s="1" t="s">
        <v>99</v>
      </c>
      <c r="C3707" t="s">
        <v>51</v>
      </c>
      <c r="D3707">
        <v>5</v>
      </c>
      <c r="E3707">
        <v>29</v>
      </c>
      <c r="F3707">
        <v>0.1</v>
      </c>
      <c r="G3707">
        <f t="shared" si="45"/>
        <v>3.333333333333334E-2</v>
      </c>
      <c r="H3707">
        <f>G3707*(26.79/38.29)</f>
        <v>2.3322016192217292E-2</v>
      </c>
    </row>
    <row r="3708" spans="1:8" x14ac:dyDescent="0.25">
      <c r="A3708" s="1">
        <v>2008</v>
      </c>
      <c r="B3708" s="1" t="s">
        <v>99</v>
      </c>
      <c r="C3708" t="s">
        <v>51</v>
      </c>
      <c r="D3708">
        <v>5</v>
      </c>
      <c r="E3708">
        <v>29</v>
      </c>
      <c r="F3708">
        <v>0.08</v>
      </c>
      <c r="G3708">
        <f t="shared" si="45"/>
        <v>2.6666666666666665E-2</v>
      </c>
      <c r="H3708">
        <f>G3708*(26.79/38.29)</f>
        <v>1.8657612953773828E-2</v>
      </c>
    </row>
    <row r="3709" spans="1:8" x14ac:dyDescent="0.25">
      <c r="A3709" s="1">
        <v>2008</v>
      </c>
      <c r="B3709" s="1" t="s">
        <v>99</v>
      </c>
      <c r="C3709" t="s">
        <v>51</v>
      </c>
      <c r="D3709">
        <v>5</v>
      </c>
      <c r="E3709">
        <v>29</v>
      </c>
      <c r="F3709">
        <v>0.05</v>
      </c>
      <c r="G3709">
        <f t="shared" si="45"/>
        <v>1.666666666666667E-2</v>
      </c>
      <c r="H3709">
        <f>G3709*(26.79/38.29)</f>
        <v>1.1661008096108646E-2</v>
      </c>
    </row>
    <row r="3710" spans="1:8" x14ac:dyDescent="0.25">
      <c r="A3710" s="1">
        <v>2008</v>
      </c>
      <c r="B3710" s="1" t="s">
        <v>99</v>
      </c>
      <c r="C3710" t="s">
        <v>51</v>
      </c>
      <c r="D3710">
        <v>5</v>
      </c>
      <c r="E3710">
        <v>29</v>
      </c>
      <c r="F3710">
        <v>0.21</v>
      </c>
      <c r="G3710">
        <f t="shared" si="45"/>
        <v>6.9999999999999993E-2</v>
      </c>
      <c r="H3710">
        <f>G3710*(26.79/38.29)</f>
        <v>4.8976234003656298E-2</v>
      </c>
    </row>
    <row r="3711" spans="1:8" x14ac:dyDescent="0.25">
      <c r="A3711" s="1">
        <v>2008</v>
      </c>
      <c r="B3711" s="1" t="s">
        <v>99</v>
      </c>
      <c r="C3711" t="s">
        <v>51</v>
      </c>
      <c r="D3711">
        <v>5</v>
      </c>
      <c r="E3711">
        <v>29</v>
      </c>
      <c r="F3711">
        <v>0.18</v>
      </c>
      <c r="G3711">
        <f t="shared" si="45"/>
        <v>0.06</v>
      </c>
      <c r="H3711">
        <f>G3711*(26.79/38.29)</f>
        <v>4.1979629145991113E-2</v>
      </c>
    </row>
    <row r="3712" spans="1:8" x14ac:dyDescent="0.25">
      <c r="A3712" s="1">
        <v>2008</v>
      </c>
      <c r="B3712" s="1" t="s">
        <v>99</v>
      </c>
      <c r="C3712" t="s">
        <v>51</v>
      </c>
      <c r="D3712">
        <v>5</v>
      </c>
      <c r="E3712">
        <v>29</v>
      </c>
      <c r="F3712">
        <v>1.24</v>
      </c>
      <c r="G3712">
        <f t="shared" si="45"/>
        <v>0.41333333333333339</v>
      </c>
      <c r="H3712">
        <f>G3712*(26.79/38.29)</f>
        <v>0.28919300078349441</v>
      </c>
    </row>
    <row r="3713" spans="1:8" x14ac:dyDescent="0.25">
      <c r="A3713" s="1">
        <v>2008</v>
      </c>
      <c r="B3713" s="1" t="s">
        <v>99</v>
      </c>
      <c r="C3713" t="s">
        <v>51</v>
      </c>
      <c r="D3713">
        <v>5</v>
      </c>
      <c r="E3713">
        <v>29</v>
      </c>
      <c r="F3713">
        <v>0.06</v>
      </c>
      <c r="G3713">
        <f t="shared" si="45"/>
        <v>0.02</v>
      </c>
      <c r="H3713">
        <f>G3713*(26.79/38.29)</f>
        <v>1.3993209715330373E-2</v>
      </c>
    </row>
    <row r="3714" spans="1:8" x14ac:dyDescent="0.25">
      <c r="A3714" s="1">
        <v>2008</v>
      </c>
      <c r="B3714" s="1" t="s">
        <v>99</v>
      </c>
      <c r="C3714" t="s">
        <v>51</v>
      </c>
      <c r="D3714">
        <v>5</v>
      </c>
      <c r="E3714">
        <v>29</v>
      </c>
      <c r="F3714">
        <v>0.06</v>
      </c>
      <c r="G3714">
        <f t="shared" si="45"/>
        <v>0.02</v>
      </c>
      <c r="H3714">
        <f>G3714*(26.79/38.29)</f>
        <v>1.3993209715330373E-2</v>
      </c>
    </row>
    <row r="3715" spans="1:8" x14ac:dyDescent="0.25">
      <c r="A3715" s="1">
        <v>2008</v>
      </c>
      <c r="B3715" s="1" t="s">
        <v>99</v>
      </c>
      <c r="C3715" t="s">
        <v>51</v>
      </c>
      <c r="D3715">
        <v>5</v>
      </c>
      <c r="E3715">
        <v>32</v>
      </c>
      <c r="F3715">
        <v>0.04</v>
      </c>
      <c r="G3715">
        <f t="shared" si="45"/>
        <v>1.3333333333333332E-2</v>
      </c>
      <c r="H3715">
        <f>G3715*(26.79/38.29)</f>
        <v>9.3288064768869139E-3</v>
      </c>
    </row>
    <row r="3716" spans="1:8" x14ac:dyDescent="0.25">
      <c r="A3716" s="1">
        <v>2008</v>
      </c>
      <c r="B3716" s="1" t="s">
        <v>99</v>
      </c>
      <c r="C3716" t="s">
        <v>51</v>
      </c>
      <c r="D3716">
        <v>5</v>
      </c>
      <c r="E3716">
        <v>32</v>
      </c>
      <c r="F3716">
        <v>0.11</v>
      </c>
      <c r="G3716">
        <f t="shared" si="45"/>
        <v>3.6666666666666667E-2</v>
      </c>
      <c r="H3716">
        <f>G3716*(26.79/38.29)</f>
        <v>2.5654217811439017E-2</v>
      </c>
    </row>
    <row r="3717" spans="1:8" x14ac:dyDescent="0.25">
      <c r="A3717" s="1">
        <v>2008</v>
      </c>
      <c r="B3717" s="1" t="s">
        <v>99</v>
      </c>
      <c r="C3717" t="s">
        <v>51</v>
      </c>
      <c r="D3717">
        <v>5</v>
      </c>
      <c r="E3717">
        <v>32</v>
      </c>
      <c r="F3717">
        <v>0.14000000000000001</v>
      </c>
      <c r="G3717">
        <f t="shared" si="45"/>
        <v>4.6666666666666676E-2</v>
      </c>
      <c r="H3717">
        <f>G3717*(26.79/38.29)</f>
        <v>3.2650822669104206E-2</v>
      </c>
    </row>
    <row r="3718" spans="1:8" x14ac:dyDescent="0.25">
      <c r="A3718" s="1">
        <v>2008</v>
      </c>
      <c r="B3718" s="1" t="s">
        <v>99</v>
      </c>
      <c r="C3718" t="s">
        <v>51</v>
      </c>
      <c r="D3718">
        <v>5</v>
      </c>
      <c r="E3718">
        <v>32</v>
      </c>
      <c r="F3718">
        <v>7.0000000000000007E-2</v>
      </c>
      <c r="G3718">
        <f t="shared" si="45"/>
        <v>2.3333333333333338E-2</v>
      </c>
      <c r="H3718">
        <f>G3718*(26.79/38.29)</f>
        <v>1.6325411334552103E-2</v>
      </c>
    </row>
    <row r="3719" spans="1:8" x14ac:dyDescent="0.25">
      <c r="A3719" s="1">
        <v>2008</v>
      </c>
      <c r="B3719" s="1" t="s">
        <v>99</v>
      </c>
      <c r="C3719" t="s">
        <v>51</v>
      </c>
      <c r="D3719">
        <v>5</v>
      </c>
      <c r="E3719">
        <v>32</v>
      </c>
      <c r="F3719">
        <v>0.03</v>
      </c>
      <c r="G3719">
        <f t="shared" si="45"/>
        <v>0.01</v>
      </c>
      <c r="H3719">
        <f>G3719*(26.79/38.29)</f>
        <v>6.9966048576651863E-3</v>
      </c>
    </row>
    <row r="3720" spans="1:8" x14ac:dyDescent="0.25">
      <c r="A3720" s="1">
        <v>2008</v>
      </c>
      <c r="B3720" s="1" t="s">
        <v>99</v>
      </c>
      <c r="C3720" t="s">
        <v>51</v>
      </c>
      <c r="D3720">
        <v>5</v>
      </c>
      <c r="E3720">
        <v>32</v>
      </c>
      <c r="F3720">
        <v>0.06</v>
      </c>
      <c r="G3720">
        <f t="shared" si="45"/>
        <v>0.02</v>
      </c>
      <c r="H3720">
        <f>G3720*(26.79/38.29)</f>
        <v>1.3993209715330373E-2</v>
      </c>
    </row>
    <row r="3721" spans="1:8" x14ac:dyDescent="0.25">
      <c r="A3721" s="1">
        <v>2008</v>
      </c>
      <c r="B3721" s="1" t="s">
        <v>99</v>
      </c>
      <c r="C3721" t="s">
        <v>51</v>
      </c>
      <c r="D3721">
        <v>5</v>
      </c>
      <c r="E3721">
        <v>32</v>
      </c>
      <c r="F3721">
        <v>0.06</v>
      </c>
      <c r="G3721">
        <f t="shared" si="45"/>
        <v>0.02</v>
      </c>
      <c r="H3721">
        <f>G3721*(26.79/38.29)</f>
        <v>1.3993209715330373E-2</v>
      </c>
    </row>
    <row r="3722" spans="1:8" x14ac:dyDescent="0.25">
      <c r="A3722" s="1">
        <v>2008</v>
      </c>
      <c r="B3722" s="1" t="s">
        <v>99</v>
      </c>
      <c r="C3722" t="s">
        <v>51</v>
      </c>
      <c r="D3722">
        <v>5</v>
      </c>
      <c r="E3722">
        <v>32</v>
      </c>
      <c r="F3722">
        <v>0.11</v>
      </c>
      <c r="G3722">
        <f t="shared" si="45"/>
        <v>3.6666666666666667E-2</v>
      </c>
      <c r="H3722">
        <f>G3722*(26.79/38.29)</f>
        <v>2.5654217811439017E-2</v>
      </c>
    </row>
    <row r="3723" spans="1:8" x14ac:dyDescent="0.25">
      <c r="A3723" s="1">
        <v>2008</v>
      </c>
      <c r="B3723" s="1" t="s">
        <v>99</v>
      </c>
      <c r="C3723" t="s">
        <v>51</v>
      </c>
      <c r="D3723">
        <v>5</v>
      </c>
      <c r="E3723">
        <v>32</v>
      </c>
      <c r="F3723">
        <v>0.18</v>
      </c>
      <c r="G3723">
        <f t="shared" si="45"/>
        <v>0.06</v>
      </c>
      <c r="H3723">
        <f>G3723*(26.79/38.29)</f>
        <v>4.1979629145991113E-2</v>
      </c>
    </row>
    <row r="3724" spans="1:8" x14ac:dyDescent="0.25">
      <c r="A3724" s="1">
        <v>2008</v>
      </c>
      <c r="B3724" s="1" t="s">
        <v>99</v>
      </c>
      <c r="C3724" t="s">
        <v>51</v>
      </c>
      <c r="D3724">
        <v>5</v>
      </c>
      <c r="E3724">
        <v>32</v>
      </c>
      <c r="F3724">
        <v>0.04</v>
      </c>
      <c r="G3724">
        <f t="shared" si="45"/>
        <v>1.3333333333333332E-2</v>
      </c>
      <c r="H3724">
        <f>G3724*(26.79/38.29)</f>
        <v>9.3288064768869139E-3</v>
      </c>
    </row>
    <row r="3725" spans="1:8" x14ac:dyDescent="0.25">
      <c r="A3725" s="1">
        <v>2008</v>
      </c>
      <c r="B3725" s="1" t="s">
        <v>99</v>
      </c>
      <c r="C3725" t="s">
        <v>51</v>
      </c>
      <c r="D3725">
        <v>5</v>
      </c>
      <c r="E3725">
        <v>32</v>
      </c>
      <c r="F3725">
        <v>0.04</v>
      </c>
      <c r="G3725">
        <f t="shared" si="45"/>
        <v>1.3333333333333332E-2</v>
      </c>
      <c r="H3725">
        <f>G3725*(26.79/38.29)</f>
        <v>9.3288064768869139E-3</v>
      </c>
    </row>
    <row r="3726" spans="1:8" x14ac:dyDescent="0.25">
      <c r="A3726" s="1">
        <v>2008</v>
      </c>
      <c r="B3726" s="1" t="s">
        <v>99</v>
      </c>
      <c r="C3726" t="s">
        <v>51</v>
      </c>
      <c r="D3726">
        <v>5</v>
      </c>
      <c r="E3726">
        <v>32</v>
      </c>
      <c r="F3726">
        <v>0.1</v>
      </c>
      <c r="G3726">
        <f t="shared" ref="G3726:G3789" si="46">(F3726/0.6)/5</f>
        <v>3.333333333333334E-2</v>
      </c>
      <c r="H3726">
        <f>G3726*(26.79/38.29)</f>
        <v>2.3322016192217292E-2</v>
      </c>
    </row>
    <row r="3727" spans="1:8" x14ac:dyDescent="0.25">
      <c r="A3727" s="1">
        <v>2008</v>
      </c>
      <c r="B3727" s="1" t="s">
        <v>99</v>
      </c>
      <c r="C3727" t="s">
        <v>51</v>
      </c>
      <c r="D3727">
        <v>5</v>
      </c>
      <c r="E3727">
        <v>32</v>
      </c>
      <c r="F3727">
        <v>0.22</v>
      </c>
      <c r="G3727">
        <f t="shared" si="46"/>
        <v>7.3333333333333334E-2</v>
      </c>
      <c r="H3727">
        <f>G3727*(26.79/38.29)</f>
        <v>5.1308435622878033E-2</v>
      </c>
    </row>
    <row r="3728" spans="1:8" x14ac:dyDescent="0.25">
      <c r="A3728" s="1">
        <v>2008</v>
      </c>
      <c r="B3728" s="1" t="s">
        <v>99</v>
      </c>
      <c r="C3728" t="s">
        <v>51</v>
      </c>
      <c r="D3728">
        <v>5</v>
      </c>
      <c r="E3728">
        <v>32</v>
      </c>
      <c r="F3728">
        <v>0.03</v>
      </c>
      <c r="G3728">
        <f t="shared" si="46"/>
        <v>0.01</v>
      </c>
      <c r="H3728">
        <f>G3728*(26.79/38.29)</f>
        <v>6.9966048576651863E-3</v>
      </c>
    </row>
    <row r="3729" spans="1:8" x14ac:dyDescent="0.25">
      <c r="A3729" s="1">
        <v>2008</v>
      </c>
      <c r="B3729" s="1" t="s">
        <v>99</v>
      </c>
      <c r="C3729" t="s">
        <v>51</v>
      </c>
      <c r="D3729">
        <v>5</v>
      </c>
      <c r="E3729">
        <v>32</v>
      </c>
      <c r="F3729">
        <v>0.04</v>
      </c>
      <c r="G3729">
        <f t="shared" si="46"/>
        <v>1.3333333333333332E-2</v>
      </c>
      <c r="H3729">
        <f>G3729*(26.79/38.29)</f>
        <v>9.3288064768869139E-3</v>
      </c>
    </row>
    <row r="3730" spans="1:8" x14ac:dyDescent="0.25">
      <c r="A3730" s="1">
        <v>2008</v>
      </c>
      <c r="B3730" s="1" t="s">
        <v>99</v>
      </c>
      <c r="C3730" t="s">
        <v>51</v>
      </c>
      <c r="D3730">
        <v>5</v>
      </c>
      <c r="E3730">
        <v>32</v>
      </c>
      <c r="F3730">
        <v>0.08</v>
      </c>
      <c r="G3730">
        <f t="shared" si="46"/>
        <v>2.6666666666666665E-2</v>
      </c>
      <c r="H3730">
        <f>G3730*(26.79/38.29)</f>
        <v>1.8657612953773828E-2</v>
      </c>
    </row>
    <row r="3731" spans="1:8" x14ac:dyDescent="0.25">
      <c r="A3731" s="1">
        <v>2008</v>
      </c>
      <c r="B3731" s="1" t="s">
        <v>99</v>
      </c>
      <c r="C3731" t="s">
        <v>51</v>
      </c>
      <c r="D3731">
        <v>5</v>
      </c>
      <c r="E3731">
        <v>32</v>
      </c>
      <c r="F3731">
        <v>0.27</v>
      </c>
      <c r="G3731">
        <f t="shared" si="46"/>
        <v>9.0000000000000011E-2</v>
      </c>
      <c r="H3731">
        <f>G3731*(26.79/38.29)</f>
        <v>6.296944371898669E-2</v>
      </c>
    </row>
    <row r="3732" spans="1:8" x14ac:dyDescent="0.25">
      <c r="A3732" s="1">
        <v>2008</v>
      </c>
      <c r="B3732" s="1" t="s">
        <v>99</v>
      </c>
      <c r="C3732" t="s">
        <v>51</v>
      </c>
      <c r="D3732">
        <v>5</v>
      </c>
      <c r="E3732">
        <v>32</v>
      </c>
      <c r="F3732">
        <v>0.08</v>
      </c>
      <c r="G3732">
        <f t="shared" si="46"/>
        <v>2.6666666666666665E-2</v>
      </c>
      <c r="H3732">
        <f>G3732*(26.79/38.29)</f>
        <v>1.8657612953773828E-2</v>
      </c>
    </row>
    <row r="3733" spans="1:8" x14ac:dyDescent="0.25">
      <c r="A3733" s="1">
        <v>2008</v>
      </c>
      <c r="B3733" s="1" t="s">
        <v>99</v>
      </c>
      <c r="C3733" t="s">
        <v>51</v>
      </c>
      <c r="D3733">
        <v>5</v>
      </c>
      <c r="E3733">
        <v>32</v>
      </c>
      <c r="F3733">
        <v>0.1</v>
      </c>
      <c r="G3733">
        <f t="shared" si="46"/>
        <v>3.333333333333334E-2</v>
      </c>
      <c r="H3733">
        <f>G3733*(26.79/38.29)</f>
        <v>2.3322016192217292E-2</v>
      </c>
    </row>
    <row r="3734" spans="1:8" x14ac:dyDescent="0.25">
      <c r="A3734" s="1">
        <v>2008</v>
      </c>
      <c r="B3734" s="1" t="s">
        <v>99</v>
      </c>
      <c r="C3734" t="s">
        <v>51</v>
      </c>
      <c r="D3734">
        <v>5</v>
      </c>
      <c r="E3734">
        <v>32</v>
      </c>
      <c r="F3734">
        <v>0.13</v>
      </c>
      <c r="G3734">
        <f t="shared" si="46"/>
        <v>4.3333333333333335E-2</v>
      </c>
      <c r="H3734">
        <f>G3734*(26.79/38.29)</f>
        <v>3.0318621049882474E-2</v>
      </c>
    </row>
    <row r="3735" spans="1:8" x14ac:dyDescent="0.25">
      <c r="A3735" s="1">
        <v>2008</v>
      </c>
      <c r="B3735" s="1" t="s">
        <v>99</v>
      </c>
      <c r="C3735" t="s">
        <v>51</v>
      </c>
      <c r="D3735">
        <v>5</v>
      </c>
      <c r="E3735">
        <v>32</v>
      </c>
      <c r="F3735">
        <v>0.08</v>
      </c>
      <c r="G3735">
        <f t="shared" si="46"/>
        <v>2.6666666666666665E-2</v>
      </c>
      <c r="H3735">
        <f>G3735*(26.79/38.29)</f>
        <v>1.8657612953773828E-2</v>
      </c>
    </row>
    <row r="3736" spans="1:8" x14ac:dyDescent="0.25">
      <c r="A3736" s="1">
        <v>2008</v>
      </c>
      <c r="B3736" s="1" t="s">
        <v>99</v>
      </c>
      <c r="C3736" t="s">
        <v>51</v>
      </c>
      <c r="D3736">
        <v>5</v>
      </c>
      <c r="E3736">
        <v>32</v>
      </c>
      <c r="F3736">
        <v>0.04</v>
      </c>
      <c r="G3736">
        <f t="shared" si="46"/>
        <v>1.3333333333333332E-2</v>
      </c>
      <c r="H3736">
        <f>G3736*(26.79/38.29)</f>
        <v>9.3288064768869139E-3</v>
      </c>
    </row>
    <row r="3737" spans="1:8" x14ac:dyDescent="0.25">
      <c r="A3737" s="1">
        <v>2008</v>
      </c>
      <c r="B3737" s="1" t="s">
        <v>99</v>
      </c>
      <c r="C3737" t="s">
        <v>51</v>
      </c>
      <c r="D3737">
        <v>5</v>
      </c>
      <c r="E3737">
        <v>32</v>
      </c>
      <c r="F3737">
        <v>0.08</v>
      </c>
      <c r="G3737">
        <f t="shared" si="46"/>
        <v>2.6666666666666665E-2</v>
      </c>
      <c r="H3737">
        <f>G3737*(26.79/38.29)</f>
        <v>1.8657612953773828E-2</v>
      </c>
    </row>
    <row r="3738" spans="1:8" x14ac:dyDescent="0.25">
      <c r="A3738" s="1">
        <v>2008</v>
      </c>
      <c r="B3738" s="1" t="s">
        <v>99</v>
      </c>
      <c r="C3738" t="s">
        <v>51</v>
      </c>
      <c r="D3738">
        <v>5</v>
      </c>
      <c r="E3738">
        <v>32</v>
      </c>
      <c r="F3738">
        <v>0.04</v>
      </c>
      <c r="G3738">
        <f t="shared" si="46"/>
        <v>1.3333333333333332E-2</v>
      </c>
      <c r="H3738">
        <f>G3738*(26.79/38.29)</f>
        <v>9.3288064768869139E-3</v>
      </c>
    </row>
    <row r="3739" spans="1:8" x14ac:dyDescent="0.25">
      <c r="A3739" s="1">
        <v>2008</v>
      </c>
      <c r="B3739" s="1" t="s">
        <v>99</v>
      </c>
      <c r="C3739" t="s">
        <v>51</v>
      </c>
      <c r="D3739">
        <v>5</v>
      </c>
      <c r="E3739">
        <v>32</v>
      </c>
      <c r="F3739">
        <v>0.05</v>
      </c>
      <c r="G3739">
        <f t="shared" si="46"/>
        <v>1.666666666666667E-2</v>
      </c>
      <c r="H3739">
        <f>G3739*(26.79/38.29)</f>
        <v>1.1661008096108646E-2</v>
      </c>
    </row>
    <row r="3740" spans="1:8" x14ac:dyDescent="0.25">
      <c r="A3740" s="1">
        <v>2008</v>
      </c>
      <c r="B3740" s="1" t="s">
        <v>99</v>
      </c>
      <c r="C3740" t="s">
        <v>51</v>
      </c>
      <c r="D3740">
        <v>5</v>
      </c>
      <c r="E3740">
        <v>32</v>
      </c>
      <c r="F3740">
        <v>0.06</v>
      </c>
      <c r="G3740">
        <f t="shared" si="46"/>
        <v>0.02</v>
      </c>
      <c r="H3740">
        <f>G3740*(26.79/38.29)</f>
        <v>1.3993209715330373E-2</v>
      </c>
    </row>
    <row r="3741" spans="1:8" x14ac:dyDescent="0.25">
      <c r="A3741" s="1">
        <v>2008</v>
      </c>
      <c r="B3741" s="1" t="s">
        <v>99</v>
      </c>
      <c r="C3741" t="s">
        <v>51</v>
      </c>
      <c r="D3741">
        <v>5</v>
      </c>
      <c r="E3741">
        <v>32</v>
      </c>
      <c r="F3741">
        <v>7.0000000000000007E-2</v>
      </c>
      <c r="G3741">
        <f t="shared" si="46"/>
        <v>2.3333333333333338E-2</v>
      </c>
      <c r="H3741">
        <f>G3741*(26.79/38.29)</f>
        <v>1.6325411334552103E-2</v>
      </c>
    </row>
    <row r="3742" spans="1:8" x14ac:dyDescent="0.25">
      <c r="A3742" s="1">
        <v>2008</v>
      </c>
      <c r="B3742" s="1" t="s">
        <v>99</v>
      </c>
      <c r="C3742" t="s">
        <v>51</v>
      </c>
      <c r="D3742">
        <v>5</v>
      </c>
      <c r="E3742">
        <v>32</v>
      </c>
      <c r="F3742">
        <v>0.18</v>
      </c>
      <c r="G3742">
        <f t="shared" si="46"/>
        <v>0.06</v>
      </c>
      <c r="H3742">
        <f>G3742*(26.79/38.29)</f>
        <v>4.1979629145991113E-2</v>
      </c>
    </row>
    <row r="3743" spans="1:8" x14ac:dyDescent="0.25">
      <c r="A3743" s="1">
        <v>2008</v>
      </c>
      <c r="B3743" s="1" t="s">
        <v>99</v>
      </c>
      <c r="C3743" t="s">
        <v>51</v>
      </c>
      <c r="D3743">
        <v>5</v>
      </c>
      <c r="E3743">
        <v>32</v>
      </c>
      <c r="F3743">
        <v>0.2</v>
      </c>
      <c r="G3743">
        <f t="shared" si="46"/>
        <v>6.666666666666668E-2</v>
      </c>
      <c r="H3743">
        <f>G3743*(26.79/38.29)</f>
        <v>4.6644032384434583E-2</v>
      </c>
    </row>
    <row r="3744" spans="1:8" x14ac:dyDescent="0.25">
      <c r="A3744" s="1">
        <v>2008</v>
      </c>
      <c r="B3744" s="1" t="s">
        <v>99</v>
      </c>
      <c r="C3744" t="s">
        <v>51</v>
      </c>
      <c r="D3744">
        <v>5</v>
      </c>
      <c r="E3744">
        <v>32</v>
      </c>
      <c r="F3744">
        <v>0.71</v>
      </c>
      <c r="G3744">
        <f t="shared" si="46"/>
        <v>0.23666666666666666</v>
      </c>
      <c r="H3744">
        <f>G3744*(26.79/38.29)</f>
        <v>0.16558631496474274</v>
      </c>
    </row>
    <row r="3745" spans="1:8" x14ac:dyDescent="0.25">
      <c r="A3745" s="1">
        <v>2008</v>
      </c>
      <c r="B3745" s="1" t="s">
        <v>99</v>
      </c>
      <c r="C3745" t="s">
        <v>51</v>
      </c>
      <c r="D3745">
        <v>5</v>
      </c>
      <c r="E3745">
        <v>32</v>
      </c>
      <c r="F3745">
        <v>0.1</v>
      </c>
      <c r="G3745">
        <f t="shared" si="46"/>
        <v>3.333333333333334E-2</v>
      </c>
      <c r="H3745">
        <f>G3745*(26.79/38.29)</f>
        <v>2.3322016192217292E-2</v>
      </c>
    </row>
    <row r="3746" spans="1:8" x14ac:dyDescent="0.25">
      <c r="A3746" s="1">
        <v>2008</v>
      </c>
      <c r="B3746" s="1" t="s">
        <v>99</v>
      </c>
      <c r="C3746" t="s">
        <v>51</v>
      </c>
      <c r="D3746">
        <v>5</v>
      </c>
      <c r="E3746">
        <v>32</v>
      </c>
      <c r="F3746">
        <v>0.04</v>
      </c>
      <c r="G3746">
        <f t="shared" si="46"/>
        <v>1.3333333333333332E-2</v>
      </c>
      <c r="H3746">
        <f>G3746*(26.79/38.29)</f>
        <v>9.3288064768869139E-3</v>
      </c>
    </row>
    <row r="3747" spans="1:8" x14ac:dyDescent="0.25">
      <c r="A3747" s="1">
        <v>2008</v>
      </c>
      <c r="B3747" s="1" t="s">
        <v>99</v>
      </c>
      <c r="C3747" t="s">
        <v>51</v>
      </c>
      <c r="D3747">
        <v>5</v>
      </c>
      <c r="E3747">
        <v>32</v>
      </c>
      <c r="F3747">
        <v>0.47</v>
      </c>
      <c r="G3747">
        <f t="shared" si="46"/>
        <v>0.15666666666666668</v>
      </c>
      <c r="H3747">
        <f>G3747*(26.79/38.29)</f>
        <v>0.10961347610342126</v>
      </c>
    </row>
    <row r="3748" spans="1:8" x14ac:dyDescent="0.25">
      <c r="A3748" s="1">
        <v>2008</v>
      </c>
      <c r="B3748" s="1" t="s">
        <v>99</v>
      </c>
      <c r="C3748" t="s">
        <v>51</v>
      </c>
      <c r="D3748">
        <v>5</v>
      </c>
      <c r="E3748">
        <v>32</v>
      </c>
      <c r="F3748">
        <v>0.06</v>
      </c>
      <c r="G3748">
        <f t="shared" si="46"/>
        <v>0.02</v>
      </c>
      <c r="H3748">
        <f>G3748*(26.79/38.29)</f>
        <v>1.3993209715330373E-2</v>
      </c>
    </row>
    <row r="3749" spans="1:8" x14ac:dyDescent="0.25">
      <c r="A3749" s="1">
        <v>2008</v>
      </c>
      <c r="B3749" s="1" t="s">
        <v>99</v>
      </c>
      <c r="C3749" t="s">
        <v>51</v>
      </c>
      <c r="D3749">
        <v>5</v>
      </c>
      <c r="E3749">
        <v>32</v>
      </c>
      <c r="F3749">
        <v>0.05</v>
      </c>
      <c r="G3749">
        <f t="shared" si="46"/>
        <v>1.666666666666667E-2</v>
      </c>
      <c r="H3749">
        <f>G3749*(26.79/38.29)</f>
        <v>1.1661008096108646E-2</v>
      </c>
    </row>
    <row r="3750" spans="1:8" x14ac:dyDescent="0.25">
      <c r="A3750" s="1">
        <v>2008</v>
      </c>
      <c r="B3750" s="1" t="s">
        <v>99</v>
      </c>
      <c r="C3750" t="s">
        <v>51</v>
      </c>
      <c r="D3750">
        <v>5</v>
      </c>
      <c r="E3750">
        <v>32</v>
      </c>
      <c r="F3750">
        <v>0.03</v>
      </c>
      <c r="G3750">
        <f t="shared" si="46"/>
        <v>0.01</v>
      </c>
      <c r="H3750">
        <f>G3750*(26.79/38.29)</f>
        <v>6.9966048576651863E-3</v>
      </c>
    </row>
    <row r="3751" spans="1:8" x14ac:dyDescent="0.25">
      <c r="A3751" s="1">
        <v>2008</v>
      </c>
      <c r="B3751" s="1" t="s">
        <v>99</v>
      </c>
      <c r="C3751" t="s">
        <v>51</v>
      </c>
      <c r="D3751">
        <v>5</v>
      </c>
      <c r="E3751">
        <v>32</v>
      </c>
      <c r="F3751">
        <v>0.61</v>
      </c>
      <c r="G3751">
        <f t="shared" si="46"/>
        <v>0.20333333333333331</v>
      </c>
      <c r="H3751">
        <f>G3751*(26.79/38.29)</f>
        <v>0.14226429877252544</v>
      </c>
    </row>
    <row r="3752" spans="1:8" x14ac:dyDescent="0.25">
      <c r="A3752" s="1">
        <v>2008</v>
      </c>
      <c r="B3752" s="1" t="s">
        <v>99</v>
      </c>
      <c r="C3752" t="s">
        <v>51</v>
      </c>
      <c r="D3752">
        <v>5</v>
      </c>
      <c r="E3752">
        <v>32</v>
      </c>
      <c r="F3752">
        <v>0.04</v>
      </c>
      <c r="G3752">
        <f t="shared" si="46"/>
        <v>1.3333333333333332E-2</v>
      </c>
      <c r="H3752">
        <f>G3752*(26.79/38.29)</f>
        <v>9.3288064768869139E-3</v>
      </c>
    </row>
    <row r="3753" spans="1:8" x14ac:dyDescent="0.25">
      <c r="A3753" s="1">
        <v>2008</v>
      </c>
      <c r="B3753" s="1" t="s">
        <v>99</v>
      </c>
      <c r="C3753" t="s">
        <v>51</v>
      </c>
      <c r="D3753">
        <v>5</v>
      </c>
      <c r="E3753">
        <v>32</v>
      </c>
      <c r="F3753">
        <v>0.03</v>
      </c>
      <c r="G3753">
        <f t="shared" si="46"/>
        <v>0.01</v>
      </c>
      <c r="H3753">
        <f>G3753*(26.79/38.29)</f>
        <v>6.9966048576651863E-3</v>
      </c>
    </row>
    <row r="3754" spans="1:8" x14ac:dyDescent="0.25">
      <c r="A3754" s="1">
        <v>2008</v>
      </c>
      <c r="B3754" s="1" t="s">
        <v>99</v>
      </c>
      <c r="C3754" t="s">
        <v>51</v>
      </c>
      <c r="D3754">
        <v>5</v>
      </c>
      <c r="E3754">
        <v>32</v>
      </c>
      <c r="F3754">
        <v>0.28999999999999998</v>
      </c>
      <c r="G3754">
        <f t="shared" si="46"/>
        <v>9.6666666666666665E-2</v>
      </c>
      <c r="H3754">
        <f>G3754*(26.79/38.29)</f>
        <v>6.7633846957430133E-2</v>
      </c>
    </row>
    <row r="3755" spans="1:8" x14ac:dyDescent="0.25">
      <c r="A3755" s="1">
        <v>2008</v>
      </c>
      <c r="B3755" s="1" t="s">
        <v>99</v>
      </c>
      <c r="C3755" t="s">
        <v>51</v>
      </c>
      <c r="D3755">
        <v>5</v>
      </c>
      <c r="E3755">
        <v>32</v>
      </c>
      <c r="F3755">
        <v>0.04</v>
      </c>
      <c r="G3755">
        <f t="shared" si="46"/>
        <v>1.3333333333333332E-2</v>
      </c>
      <c r="H3755">
        <f>G3755*(26.79/38.29)</f>
        <v>9.3288064768869139E-3</v>
      </c>
    </row>
    <row r="3756" spans="1:8" x14ac:dyDescent="0.25">
      <c r="A3756" s="1">
        <v>2008</v>
      </c>
      <c r="B3756" s="1" t="s">
        <v>99</v>
      </c>
      <c r="C3756" t="s">
        <v>51</v>
      </c>
      <c r="D3756">
        <v>5</v>
      </c>
      <c r="E3756">
        <v>32</v>
      </c>
      <c r="F3756">
        <v>0.26</v>
      </c>
      <c r="G3756">
        <f t="shared" si="46"/>
        <v>8.666666666666667E-2</v>
      </c>
      <c r="H3756">
        <f>G3756*(26.79/38.29)</f>
        <v>6.0637242099764947E-2</v>
      </c>
    </row>
    <row r="3757" spans="1:8" x14ac:dyDescent="0.25">
      <c r="A3757" s="1">
        <v>2008</v>
      </c>
      <c r="B3757" s="1" t="s">
        <v>99</v>
      </c>
      <c r="C3757" t="s">
        <v>51</v>
      </c>
      <c r="D3757">
        <v>5</v>
      </c>
      <c r="E3757">
        <v>32</v>
      </c>
      <c r="F3757">
        <v>7.0000000000000007E-2</v>
      </c>
      <c r="G3757">
        <f t="shared" si="46"/>
        <v>2.3333333333333338E-2</v>
      </c>
      <c r="H3757">
        <f>G3757*(26.79/38.29)</f>
        <v>1.6325411334552103E-2</v>
      </c>
    </row>
    <row r="3758" spans="1:8" x14ac:dyDescent="0.25">
      <c r="A3758" s="1">
        <v>2008</v>
      </c>
      <c r="B3758" s="1" t="s">
        <v>99</v>
      </c>
      <c r="C3758" t="s">
        <v>51</v>
      </c>
      <c r="D3758">
        <v>5</v>
      </c>
      <c r="E3758">
        <v>32</v>
      </c>
      <c r="F3758">
        <v>7.0000000000000007E-2</v>
      </c>
      <c r="G3758">
        <f t="shared" si="46"/>
        <v>2.3333333333333338E-2</v>
      </c>
      <c r="H3758">
        <f>G3758*(26.79/38.29)</f>
        <v>1.6325411334552103E-2</v>
      </c>
    </row>
    <row r="3759" spans="1:8" x14ac:dyDescent="0.25">
      <c r="A3759" s="1">
        <v>2008</v>
      </c>
      <c r="B3759" s="1" t="s">
        <v>99</v>
      </c>
      <c r="C3759" t="s">
        <v>51</v>
      </c>
      <c r="D3759">
        <v>5</v>
      </c>
      <c r="E3759">
        <v>32</v>
      </c>
      <c r="F3759">
        <v>0.05</v>
      </c>
      <c r="G3759">
        <f t="shared" si="46"/>
        <v>1.666666666666667E-2</v>
      </c>
      <c r="H3759">
        <f>G3759*(26.79/38.29)</f>
        <v>1.1661008096108646E-2</v>
      </c>
    </row>
    <row r="3760" spans="1:8" x14ac:dyDescent="0.25">
      <c r="A3760" s="1">
        <v>2008</v>
      </c>
      <c r="B3760" s="1" t="s">
        <v>99</v>
      </c>
      <c r="C3760" t="s">
        <v>51</v>
      </c>
      <c r="D3760">
        <v>5</v>
      </c>
      <c r="E3760">
        <v>32</v>
      </c>
      <c r="F3760">
        <v>0.08</v>
      </c>
      <c r="G3760">
        <f t="shared" si="46"/>
        <v>2.6666666666666665E-2</v>
      </c>
      <c r="H3760">
        <f>G3760*(26.79/38.29)</f>
        <v>1.8657612953773828E-2</v>
      </c>
    </row>
    <row r="3761" spans="1:8" x14ac:dyDescent="0.25">
      <c r="A3761" s="1">
        <v>2008</v>
      </c>
      <c r="B3761" s="1" t="s">
        <v>99</v>
      </c>
      <c r="C3761" t="s">
        <v>51</v>
      </c>
      <c r="D3761">
        <v>5</v>
      </c>
      <c r="E3761">
        <v>32</v>
      </c>
      <c r="F3761">
        <v>0.05</v>
      </c>
      <c r="G3761">
        <f t="shared" si="46"/>
        <v>1.666666666666667E-2</v>
      </c>
      <c r="H3761">
        <f>G3761*(26.79/38.29)</f>
        <v>1.1661008096108646E-2</v>
      </c>
    </row>
    <row r="3762" spans="1:8" x14ac:dyDescent="0.25">
      <c r="A3762" s="1">
        <v>2008</v>
      </c>
      <c r="B3762" s="1" t="s">
        <v>99</v>
      </c>
      <c r="C3762" t="s">
        <v>51</v>
      </c>
      <c r="D3762">
        <v>5</v>
      </c>
      <c r="E3762">
        <v>34</v>
      </c>
      <c r="F3762">
        <v>0.28000000000000003</v>
      </c>
      <c r="G3762">
        <f t="shared" si="46"/>
        <v>9.3333333333333351E-2</v>
      </c>
      <c r="H3762">
        <f>G3762*(26.79/38.29)</f>
        <v>6.5301645338208411E-2</v>
      </c>
    </row>
    <row r="3763" spans="1:8" x14ac:dyDescent="0.25">
      <c r="A3763" s="1">
        <v>2008</v>
      </c>
      <c r="B3763" s="1" t="s">
        <v>99</v>
      </c>
      <c r="C3763" t="s">
        <v>51</v>
      </c>
      <c r="D3763">
        <v>5</v>
      </c>
      <c r="E3763">
        <v>34</v>
      </c>
      <c r="F3763">
        <v>0.88</v>
      </c>
      <c r="G3763">
        <f t="shared" si="46"/>
        <v>0.29333333333333333</v>
      </c>
      <c r="H3763">
        <f>G3763*(26.79/38.29)</f>
        <v>0.20523374249151213</v>
      </c>
    </row>
    <row r="3764" spans="1:8" x14ac:dyDescent="0.25">
      <c r="A3764" s="1">
        <v>2008</v>
      </c>
      <c r="B3764" s="1" t="s">
        <v>99</v>
      </c>
      <c r="C3764" t="s">
        <v>51</v>
      </c>
      <c r="D3764">
        <v>5</v>
      </c>
      <c r="E3764">
        <v>34</v>
      </c>
      <c r="F3764">
        <v>0.2</v>
      </c>
      <c r="G3764">
        <f t="shared" si="46"/>
        <v>6.666666666666668E-2</v>
      </c>
      <c r="H3764">
        <f>G3764*(26.79/38.29)</f>
        <v>4.6644032384434583E-2</v>
      </c>
    </row>
    <row r="3765" spans="1:8" x14ac:dyDescent="0.25">
      <c r="A3765" s="1">
        <v>2008</v>
      </c>
      <c r="B3765" s="1" t="s">
        <v>99</v>
      </c>
      <c r="C3765" t="s">
        <v>51</v>
      </c>
      <c r="D3765">
        <v>5</v>
      </c>
      <c r="E3765">
        <v>34</v>
      </c>
      <c r="F3765">
        <v>0.56999999999999995</v>
      </c>
      <c r="G3765">
        <f t="shared" si="46"/>
        <v>0.19</v>
      </c>
      <c r="H3765">
        <f>G3765*(26.79/38.29)</f>
        <v>0.13293549229563853</v>
      </c>
    </row>
    <row r="3766" spans="1:8" x14ac:dyDescent="0.25">
      <c r="A3766" s="1">
        <v>2008</v>
      </c>
      <c r="B3766" s="1" t="s">
        <v>99</v>
      </c>
      <c r="C3766" t="s">
        <v>51</v>
      </c>
      <c r="D3766">
        <v>5</v>
      </c>
      <c r="E3766">
        <v>34</v>
      </c>
      <c r="F3766">
        <v>0.38</v>
      </c>
      <c r="G3766">
        <f t="shared" si="46"/>
        <v>0.12666666666666668</v>
      </c>
      <c r="H3766">
        <f>G3766*(26.79/38.29)</f>
        <v>8.8623661530425696E-2</v>
      </c>
    </row>
    <row r="3767" spans="1:8" x14ac:dyDescent="0.25">
      <c r="A3767" s="1">
        <v>2008</v>
      </c>
      <c r="B3767" s="1" t="s">
        <v>99</v>
      </c>
      <c r="C3767" t="s">
        <v>51</v>
      </c>
      <c r="D3767">
        <v>5</v>
      </c>
      <c r="E3767">
        <v>38</v>
      </c>
      <c r="F3767">
        <v>0.84</v>
      </c>
      <c r="G3767">
        <f t="shared" si="46"/>
        <v>0.27999999999999997</v>
      </c>
      <c r="H3767">
        <f>G3767*(26.79/38.29)</f>
        <v>0.19590493601462519</v>
      </c>
    </row>
    <row r="3768" spans="1:8" x14ac:dyDescent="0.25">
      <c r="A3768" s="1">
        <v>2008</v>
      </c>
      <c r="B3768" s="1" t="s">
        <v>99</v>
      </c>
      <c r="C3768" t="s">
        <v>51</v>
      </c>
      <c r="D3768">
        <v>5</v>
      </c>
      <c r="E3768">
        <v>38</v>
      </c>
      <c r="F3768">
        <v>0.89</v>
      </c>
      <c r="G3768">
        <f t="shared" si="46"/>
        <v>0.29666666666666669</v>
      </c>
      <c r="H3768">
        <f>G3768*(26.79/38.29)</f>
        <v>0.20756594411073387</v>
      </c>
    </row>
    <row r="3769" spans="1:8" x14ac:dyDescent="0.25">
      <c r="A3769" s="1">
        <v>2008</v>
      </c>
      <c r="B3769" s="1" t="s">
        <v>99</v>
      </c>
      <c r="C3769" t="s">
        <v>51</v>
      </c>
      <c r="D3769">
        <v>5</v>
      </c>
      <c r="E3769">
        <v>38</v>
      </c>
      <c r="F3769">
        <v>0.18</v>
      </c>
      <c r="G3769">
        <f t="shared" si="46"/>
        <v>0.06</v>
      </c>
      <c r="H3769">
        <f>G3769*(26.79/38.29)</f>
        <v>4.1979629145991113E-2</v>
      </c>
    </row>
    <row r="3770" spans="1:8" x14ac:dyDescent="0.25">
      <c r="A3770" s="1">
        <v>2008</v>
      </c>
      <c r="B3770" s="1" t="s">
        <v>99</v>
      </c>
      <c r="C3770" t="s">
        <v>51</v>
      </c>
      <c r="D3770">
        <v>5</v>
      </c>
      <c r="E3770">
        <v>38</v>
      </c>
      <c r="F3770">
        <v>1.19</v>
      </c>
      <c r="G3770">
        <f t="shared" si="46"/>
        <v>0.39666666666666667</v>
      </c>
      <c r="H3770">
        <f>G3770*(26.79/38.29)</f>
        <v>0.27753199268738571</v>
      </c>
    </row>
    <row r="3771" spans="1:8" x14ac:dyDescent="0.25">
      <c r="A3771" s="1">
        <v>2008</v>
      </c>
      <c r="B3771" s="1" t="s">
        <v>99</v>
      </c>
      <c r="C3771" t="s">
        <v>51</v>
      </c>
      <c r="D3771">
        <v>5</v>
      </c>
      <c r="E3771">
        <v>38</v>
      </c>
      <c r="F3771">
        <v>0.26</v>
      </c>
      <c r="G3771">
        <f t="shared" si="46"/>
        <v>8.666666666666667E-2</v>
      </c>
      <c r="H3771">
        <f>G3771*(26.79/38.29)</f>
        <v>6.0637242099764947E-2</v>
      </c>
    </row>
    <row r="3772" spans="1:8" x14ac:dyDescent="0.25">
      <c r="A3772" s="1">
        <v>2008</v>
      </c>
      <c r="B3772" s="1" t="s">
        <v>99</v>
      </c>
      <c r="C3772" t="s">
        <v>51</v>
      </c>
      <c r="D3772">
        <v>5</v>
      </c>
      <c r="E3772">
        <v>38</v>
      </c>
      <c r="F3772">
        <v>0.45</v>
      </c>
      <c r="G3772">
        <f t="shared" si="46"/>
        <v>0.15</v>
      </c>
      <c r="H3772">
        <f>G3772*(26.79/38.29)</f>
        <v>0.10494907286497779</v>
      </c>
    </row>
    <row r="3773" spans="1:8" x14ac:dyDescent="0.25">
      <c r="A3773" s="1">
        <v>2008</v>
      </c>
      <c r="B3773" s="1" t="s">
        <v>99</v>
      </c>
      <c r="C3773" t="s">
        <v>51</v>
      </c>
      <c r="D3773">
        <v>5</v>
      </c>
      <c r="E3773">
        <v>38</v>
      </c>
      <c r="F3773">
        <v>0.72</v>
      </c>
      <c r="G3773">
        <f t="shared" si="46"/>
        <v>0.24</v>
      </c>
      <c r="H3773">
        <f>G3773*(26.79/38.29)</f>
        <v>0.16791851658396445</v>
      </c>
    </row>
    <row r="3774" spans="1:8" x14ac:dyDescent="0.25">
      <c r="A3774" s="1">
        <v>2008</v>
      </c>
      <c r="B3774" s="1" t="s">
        <v>99</v>
      </c>
      <c r="C3774" t="s">
        <v>51</v>
      </c>
      <c r="D3774">
        <v>5</v>
      </c>
      <c r="E3774">
        <v>38</v>
      </c>
      <c r="F3774">
        <v>0.73</v>
      </c>
      <c r="G3774">
        <f t="shared" si="46"/>
        <v>0.24333333333333335</v>
      </c>
      <c r="H3774">
        <f>G3774*(26.79/38.29)</f>
        <v>0.17025071820318621</v>
      </c>
    </row>
    <row r="3775" spans="1:8" x14ac:dyDescent="0.25">
      <c r="A3775" s="1">
        <v>2008</v>
      </c>
      <c r="B3775" s="1" t="s">
        <v>99</v>
      </c>
      <c r="C3775" t="s">
        <v>51</v>
      </c>
      <c r="D3775">
        <v>5</v>
      </c>
      <c r="E3775">
        <v>38</v>
      </c>
      <c r="F3775">
        <v>0.73</v>
      </c>
      <c r="G3775">
        <f t="shared" si="46"/>
        <v>0.24333333333333335</v>
      </c>
      <c r="H3775">
        <f>G3775*(26.79/38.29)</f>
        <v>0.17025071820318621</v>
      </c>
    </row>
    <row r="3776" spans="1:8" x14ac:dyDescent="0.25">
      <c r="A3776" s="1">
        <v>2008</v>
      </c>
      <c r="B3776" s="1" t="s">
        <v>99</v>
      </c>
      <c r="C3776" t="s">
        <v>51</v>
      </c>
      <c r="D3776">
        <v>5</v>
      </c>
      <c r="E3776">
        <v>38</v>
      </c>
      <c r="F3776">
        <v>0.09</v>
      </c>
      <c r="G3776">
        <f t="shared" si="46"/>
        <v>0.03</v>
      </c>
      <c r="H3776">
        <f>G3776*(26.79/38.29)</f>
        <v>2.0989814572995556E-2</v>
      </c>
    </row>
    <row r="3777" spans="1:8" x14ac:dyDescent="0.25">
      <c r="A3777" s="1">
        <v>2008</v>
      </c>
      <c r="B3777" s="1" t="s">
        <v>99</v>
      </c>
      <c r="C3777" t="s">
        <v>51</v>
      </c>
      <c r="D3777">
        <v>5</v>
      </c>
      <c r="E3777">
        <v>38</v>
      </c>
      <c r="F3777">
        <v>0.55000000000000004</v>
      </c>
      <c r="G3777">
        <f t="shared" si="46"/>
        <v>0.18333333333333335</v>
      </c>
      <c r="H3777">
        <f>G3777*(26.79/38.29)</f>
        <v>0.12827108905719509</v>
      </c>
    </row>
    <row r="3778" spans="1:8" x14ac:dyDescent="0.25">
      <c r="A3778" s="1">
        <v>2008</v>
      </c>
      <c r="B3778" s="1" t="s">
        <v>99</v>
      </c>
      <c r="C3778" t="s">
        <v>51</v>
      </c>
      <c r="D3778">
        <v>5</v>
      </c>
      <c r="E3778">
        <v>38</v>
      </c>
      <c r="F3778">
        <v>0.92</v>
      </c>
      <c r="G3778">
        <f t="shared" si="46"/>
        <v>0.3066666666666667</v>
      </c>
      <c r="H3778">
        <f>G3778*(26.79/38.29)</f>
        <v>0.21456254896839907</v>
      </c>
    </row>
    <row r="3779" spans="1:8" x14ac:dyDescent="0.25">
      <c r="A3779" s="1">
        <v>2008</v>
      </c>
      <c r="B3779" s="1" t="s">
        <v>99</v>
      </c>
      <c r="C3779" t="s">
        <v>51</v>
      </c>
      <c r="D3779">
        <v>5</v>
      </c>
      <c r="E3779">
        <v>38</v>
      </c>
      <c r="F3779">
        <v>1.05</v>
      </c>
      <c r="G3779">
        <f t="shared" si="46"/>
        <v>0.35000000000000003</v>
      </c>
      <c r="H3779">
        <f>G3779*(26.79/38.29)</f>
        <v>0.24488117001828155</v>
      </c>
    </row>
    <row r="3780" spans="1:8" x14ac:dyDescent="0.25">
      <c r="A3780" s="1">
        <v>2008</v>
      </c>
      <c r="B3780" s="1" t="s">
        <v>99</v>
      </c>
      <c r="C3780" t="s">
        <v>51</v>
      </c>
      <c r="D3780">
        <v>5</v>
      </c>
      <c r="E3780">
        <v>38</v>
      </c>
      <c r="F3780">
        <v>1.63</v>
      </c>
      <c r="G3780">
        <f t="shared" si="46"/>
        <v>0.54333333333333333</v>
      </c>
      <c r="H3780">
        <f>G3780*(26.79/38.29)</f>
        <v>0.38014886393314179</v>
      </c>
    </row>
    <row r="3781" spans="1:8" x14ac:dyDescent="0.25">
      <c r="A3781" s="1">
        <v>2008</v>
      </c>
      <c r="B3781" s="1" t="s">
        <v>99</v>
      </c>
      <c r="C3781" t="s">
        <v>51</v>
      </c>
      <c r="D3781">
        <v>5</v>
      </c>
      <c r="E3781">
        <v>38</v>
      </c>
      <c r="F3781">
        <v>1.47</v>
      </c>
      <c r="G3781">
        <f t="shared" si="46"/>
        <v>0.49000000000000005</v>
      </c>
      <c r="H3781">
        <f>G3781*(26.79/38.29)</f>
        <v>0.34283363802559413</v>
      </c>
    </row>
    <row r="3782" spans="1:8" x14ac:dyDescent="0.25">
      <c r="A3782" s="1">
        <v>2008</v>
      </c>
      <c r="B3782" s="1" t="s">
        <v>99</v>
      </c>
      <c r="C3782" t="s">
        <v>51</v>
      </c>
      <c r="D3782">
        <v>5</v>
      </c>
      <c r="E3782">
        <v>38</v>
      </c>
      <c r="F3782">
        <v>0.56000000000000005</v>
      </c>
      <c r="G3782">
        <f t="shared" si="46"/>
        <v>0.1866666666666667</v>
      </c>
      <c r="H3782">
        <f>G3782*(26.79/38.29)</f>
        <v>0.13060329067641682</v>
      </c>
    </row>
    <row r="3783" spans="1:8" x14ac:dyDescent="0.25">
      <c r="A3783" s="1">
        <v>2008</v>
      </c>
      <c r="B3783" s="1" t="s">
        <v>99</v>
      </c>
      <c r="C3783" t="s">
        <v>51</v>
      </c>
      <c r="D3783">
        <v>5</v>
      </c>
      <c r="E3783">
        <v>38</v>
      </c>
      <c r="F3783">
        <v>0.28000000000000003</v>
      </c>
      <c r="G3783">
        <f t="shared" si="46"/>
        <v>9.3333333333333351E-2</v>
      </c>
      <c r="H3783">
        <f>G3783*(26.79/38.29)</f>
        <v>6.5301645338208411E-2</v>
      </c>
    </row>
    <row r="3784" spans="1:8" x14ac:dyDescent="0.25">
      <c r="A3784" s="1">
        <v>2008</v>
      </c>
      <c r="B3784" s="1" t="s">
        <v>99</v>
      </c>
      <c r="C3784" t="s">
        <v>51</v>
      </c>
      <c r="D3784">
        <v>5</v>
      </c>
      <c r="E3784">
        <v>38</v>
      </c>
      <c r="F3784">
        <v>0.76</v>
      </c>
      <c r="G3784">
        <f t="shared" si="46"/>
        <v>0.25333333333333335</v>
      </c>
      <c r="H3784">
        <f>G3784*(26.79/38.29)</f>
        <v>0.17724732306085139</v>
      </c>
    </row>
    <row r="3785" spans="1:8" x14ac:dyDescent="0.25">
      <c r="A3785" s="1">
        <v>2008</v>
      </c>
      <c r="B3785" s="1" t="s">
        <v>99</v>
      </c>
      <c r="C3785" t="s">
        <v>51</v>
      </c>
      <c r="D3785">
        <v>5</v>
      </c>
      <c r="E3785">
        <v>38</v>
      </c>
      <c r="F3785">
        <v>1.1599999999999999</v>
      </c>
      <c r="G3785">
        <f t="shared" si="46"/>
        <v>0.38666666666666666</v>
      </c>
      <c r="H3785">
        <f>G3785*(26.79/38.29)</f>
        <v>0.27053538782972053</v>
      </c>
    </row>
    <row r="3786" spans="1:8" x14ac:dyDescent="0.25">
      <c r="A3786" s="1">
        <v>2008</v>
      </c>
      <c r="B3786" s="1" t="s">
        <v>99</v>
      </c>
      <c r="C3786" t="s">
        <v>51</v>
      </c>
      <c r="D3786">
        <v>5</v>
      </c>
      <c r="E3786">
        <v>38</v>
      </c>
      <c r="F3786">
        <v>1.54</v>
      </c>
      <c r="G3786">
        <f t="shared" si="46"/>
        <v>0.51333333333333342</v>
      </c>
      <c r="H3786">
        <f>G3786*(26.79/38.29)</f>
        <v>0.35915904936014631</v>
      </c>
    </row>
    <row r="3787" spans="1:8" x14ac:dyDescent="0.25">
      <c r="A3787" s="1">
        <v>2008</v>
      </c>
      <c r="B3787" s="1" t="s">
        <v>99</v>
      </c>
      <c r="C3787" t="s">
        <v>51</v>
      </c>
      <c r="D3787">
        <v>5</v>
      </c>
      <c r="E3787">
        <v>38</v>
      </c>
      <c r="F3787">
        <v>0.89</v>
      </c>
      <c r="G3787">
        <f t="shared" si="46"/>
        <v>0.29666666666666669</v>
      </c>
      <c r="H3787">
        <f>G3787*(26.79/38.29)</f>
        <v>0.20756594411073387</v>
      </c>
    </row>
    <row r="3788" spans="1:8" x14ac:dyDescent="0.25">
      <c r="A3788" s="1">
        <v>2008</v>
      </c>
      <c r="B3788" s="1" t="s">
        <v>99</v>
      </c>
      <c r="C3788" t="s">
        <v>51</v>
      </c>
      <c r="D3788">
        <v>5</v>
      </c>
      <c r="E3788">
        <v>38</v>
      </c>
      <c r="F3788">
        <v>1.07</v>
      </c>
      <c r="G3788">
        <f t="shared" si="46"/>
        <v>0.35666666666666669</v>
      </c>
      <c r="H3788">
        <f>G3788*(26.79/38.29)</f>
        <v>0.249545573256725</v>
      </c>
    </row>
    <row r="3789" spans="1:8" x14ac:dyDescent="0.25">
      <c r="A3789" s="1">
        <v>2008</v>
      </c>
      <c r="B3789" s="1" t="s">
        <v>99</v>
      </c>
      <c r="C3789" t="s">
        <v>51</v>
      </c>
      <c r="D3789">
        <v>5</v>
      </c>
      <c r="E3789">
        <v>38</v>
      </c>
      <c r="F3789">
        <v>1.69</v>
      </c>
      <c r="G3789">
        <f t="shared" si="46"/>
        <v>0.56333333333333335</v>
      </c>
      <c r="H3789">
        <f>G3789*(26.79/38.29)</f>
        <v>0.39414207364847215</v>
      </c>
    </row>
    <row r="3790" spans="1:8" x14ac:dyDescent="0.25">
      <c r="A3790" s="1">
        <v>2008</v>
      </c>
      <c r="B3790" s="1" t="s">
        <v>99</v>
      </c>
      <c r="C3790" t="s">
        <v>51</v>
      </c>
      <c r="D3790">
        <v>5</v>
      </c>
      <c r="E3790">
        <v>38</v>
      </c>
      <c r="F3790">
        <v>0.57999999999999996</v>
      </c>
      <c r="G3790">
        <f t="shared" ref="G3790:G3853" si="47">(F3790/0.6)/5</f>
        <v>0.19333333333333333</v>
      </c>
      <c r="H3790">
        <f>G3790*(26.79/38.29)</f>
        <v>0.13526769391486027</v>
      </c>
    </row>
    <row r="3791" spans="1:8" x14ac:dyDescent="0.25">
      <c r="A3791" s="1">
        <v>2008</v>
      </c>
      <c r="B3791" s="1" t="s">
        <v>99</v>
      </c>
      <c r="C3791" t="s">
        <v>51</v>
      </c>
      <c r="D3791">
        <v>5</v>
      </c>
      <c r="E3791">
        <v>40</v>
      </c>
      <c r="F3791">
        <v>0.83</v>
      </c>
      <c r="G3791">
        <f t="shared" si="47"/>
        <v>0.27666666666666667</v>
      </c>
      <c r="H3791">
        <f>G3791*(26.79/38.29)</f>
        <v>0.19357273439540348</v>
      </c>
    </row>
    <row r="3792" spans="1:8" x14ac:dyDescent="0.25">
      <c r="A3792" s="1">
        <v>2008</v>
      </c>
      <c r="B3792" s="1" t="s">
        <v>99</v>
      </c>
      <c r="C3792" t="s">
        <v>51</v>
      </c>
      <c r="D3792">
        <v>5</v>
      </c>
      <c r="E3792">
        <v>40</v>
      </c>
      <c r="F3792">
        <v>1.75</v>
      </c>
      <c r="G3792">
        <f t="shared" si="47"/>
        <v>0.58333333333333337</v>
      </c>
      <c r="H3792">
        <f>G3792*(26.79/38.29)</f>
        <v>0.40813528336380256</v>
      </c>
    </row>
    <row r="3793" spans="1:8" x14ac:dyDescent="0.25">
      <c r="A3793" s="1">
        <v>2008</v>
      </c>
      <c r="B3793" s="1" t="s">
        <v>99</v>
      </c>
      <c r="C3793" t="s">
        <v>51</v>
      </c>
      <c r="D3793">
        <v>5</v>
      </c>
      <c r="E3793">
        <v>47</v>
      </c>
      <c r="F3793">
        <v>0.77</v>
      </c>
      <c r="G3793">
        <f t="shared" si="47"/>
        <v>0.25666666666666671</v>
      </c>
      <c r="H3793">
        <f>G3793*(26.79/38.29)</f>
        <v>0.17957952468007315</v>
      </c>
    </row>
    <row r="3794" spans="1:8" x14ac:dyDescent="0.25">
      <c r="A3794" s="1">
        <v>2008</v>
      </c>
      <c r="B3794" s="1" t="s">
        <v>99</v>
      </c>
      <c r="C3794" t="s">
        <v>51</v>
      </c>
      <c r="D3794">
        <v>5</v>
      </c>
      <c r="E3794">
        <v>53</v>
      </c>
      <c r="F3794">
        <v>0.16</v>
      </c>
      <c r="G3794">
        <f t="shared" si="47"/>
        <v>5.333333333333333E-2</v>
      </c>
      <c r="H3794">
        <f>G3794*(26.79/38.29)</f>
        <v>3.7315225907547656E-2</v>
      </c>
    </row>
    <row r="3795" spans="1:8" x14ac:dyDescent="0.25">
      <c r="A3795" s="1">
        <v>2008</v>
      </c>
      <c r="B3795" s="1" t="s">
        <v>99</v>
      </c>
      <c r="C3795" t="s">
        <v>51</v>
      </c>
      <c r="D3795">
        <v>5</v>
      </c>
      <c r="E3795">
        <v>53</v>
      </c>
      <c r="F3795">
        <v>0.2</v>
      </c>
      <c r="G3795">
        <f t="shared" si="47"/>
        <v>6.666666666666668E-2</v>
      </c>
      <c r="H3795">
        <f>G3795*(26.79/38.29)</f>
        <v>4.6644032384434583E-2</v>
      </c>
    </row>
    <row r="3796" spans="1:8" x14ac:dyDescent="0.25">
      <c r="A3796" s="1">
        <v>2008</v>
      </c>
      <c r="B3796" s="1" t="s">
        <v>99</v>
      </c>
      <c r="C3796" t="s">
        <v>51</v>
      </c>
      <c r="D3796">
        <v>5</v>
      </c>
      <c r="E3796">
        <v>53</v>
      </c>
      <c r="F3796">
        <v>0.23</v>
      </c>
      <c r="G3796">
        <f t="shared" si="47"/>
        <v>7.6666666666666675E-2</v>
      </c>
      <c r="H3796">
        <f>G3796*(26.79/38.29)</f>
        <v>5.3640637242099769E-2</v>
      </c>
    </row>
    <row r="3797" spans="1:8" x14ac:dyDescent="0.25">
      <c r="A3797" s="1">
        <v>2008</v>
      </c>
      <c r="B3797" s="1" t="s">
        <v>99</v>
      </c>
      <c r="C3797" t="s">
        <v>51</v>
      </c>
      <c r="D3797">
        <v>5</v>
      </c>
      <c r="E3797">
        <v>53</v>
      </c>
      <c r="F3797">
        <v>1.4</v>
      </c>
      <c r="G3797">
        <f t="shared" si="47"/>
        <v>0.46666666666666667</v>
      </c>
      <c r="H3797">
        <f>G3797*(26.79/38.29)</f>
        <v>0.32650822669104201</v>
      </c>
    </row>
    <row r="3798" spans="1:8" x14ac:dyDescent="0.25">
      <c r="A3798" s="1">
        <v>2008</v>
      </c>
      <c r="B3798" s="1" t="s">
        <v>99</v>
      </c>
      <c r="C3798" t="s">
        <v>51</v>
      </c>
      <c r="D3798">
        <v>5</v>
      </c>
      <c r="E3798">
        <v>53</v>
      </c>
      <c r="F3798">
        <v>0.12</v>
      </c>
      <c r="G3798">
        <f t="shared" si="47"/>
        <v>0.04</v>
      </c>
      <c r="H3798">
        <f>G3798*(26.79/38.29)</f>
        <v>2.7986419430660745E-2</v>
      </c>
    </row>
    <row r="3799" spans="1:8" x14ac:dyDescent="0.25">
      <c r="A3799" s="1">
        <v>2008</v>
      </c>
      <c r="B3799" s="1" t="s">
        <v>99</v>
      </c>
      <c r="C3799" t="s">
        <v>51</v>
      </c>
      <c r="D3799">
        <v>5</v>
      </c>
      <c r="E3799">
        <v>54</v>
      </c>
      <c r="F3799">
        <v>0.1</v>
      </c>
      <c r="G3799">
        <f t="shared" si="47"/>
        <v>3.333333333333334E-2</v>
      </c>
      <c r="H3799">
        <f>G3799*(26.79/38.29)</f>
        <v>2.3322016192217292E-2</v>
      </c>
    </row>
    <row r="3800" spans="1:8" x14ac:dyDescent="0.25">
      <c r="A3800" s="1">
        <v>2008</v>
      </c>
      <c r="B3800" s="1" t="s">
        <v>99</v>
      </c>
      <c r="C3800" t="s">
        <v>51</v>
      </c>
      <c r="D3800">
        <v>5</v>
      </c>
      <c r="E3800">
        <v>54</v>
      </c>
      <c r="F3800">
        <v>0.08</v>
      </c>
      <c r="G3800">
        <f t="shared" si="47"/>
        <v>2.6666666666666665E-2</v>
      </c>
      <c r="H3800">
        <f>G3800*(26.79/38.29)</f>
        <v>1.8657612953773828E-2</v>
      </c>
    </row>
    <row r="3801" spans="1:8" x14ac:dyDescent="0.25">
      <c r="A3801" s="1">
        <v>2008</v>
      </c>
      <c r="B3801" s="1" t="s">
        <v>99</v>
      </c>
      <c r="C3801" t="s">
        <v>51</v>
      </c>
      <c r="D3801">
        <v>5</v>
      </c>
      <c r="E3801">
        <v>54</v>
      </c>
      <c r="F3801">
        <v>0.16</v>
      </c>
      <c r="G3801">
        <f t="shared" si="47"/>
        <v>5.333333333333333E-2</v>
      </c>
      <c r="H3801">
        <f>G3801*(26.79/38.29)</f>
        <v>3.7315225907547656E-2</v>
      </c>
    </row>
    <row r="3802" spans="1:8" x14ac:dyDescent="0.25">
      <c r="A3802" s="1">
        <v>2008</v>
      </c>
      <c r="B3802" s="1" t="s">
        <v>99</v>
      </c>
      <c r="C3802" t="s">
        <v>51</v>
      </c>
      <c r="D3802">
        <v>5</v>
      </c>
      <c r="E3802">
        <v>54</v>
      </c>
      <c r="F3802">
        <v>0.38</v>
      </c>
      <c r="G3802">
        <f t="shared" si="47"/>
        <v>0.12666666666666668</v>
      </c>
      <c r="H3802">
        <f>G3802*(26.79/38.29)</f>
        <v>8.8623661530425696E-2</v>
      </c>
    </row>
    <row r="3803" spans="1:8" x14ac:dyDescent="0.25">
      <c r="A3803" s="1">
        <v>2008</v>
      </c>
      <c r="B3803" s="1" t="s">
        <v>99</v>
      </c>
      <c r="C3803" t="s">
        <v>51</v>
      </c>
      <c r="D3803">
        <v>5</v>
      </c>
      <c r="E3803">
        <v>54</v>
      </c>
      <c r="F3803">
        <v>0.14000000000000001</v>
      </c>
      <c r="G3803">
        <f t="shared" si="47"/>
        <v>4.6666666666666676E-2</v>
      </c>
      <c r="H3803">
        <f>G3803*(26.79/38.29)</f>
        <v>3.2650822669104206E-2</v>
      </c>
    </row>
    <row r="3804" spans="1:8" x14ac:dyDescent="0.25">
      <c r="A3804" s="1">
        <v>2008</v>
      </c>
      <c r="B3804" s="1" t="s">
        <v>99</v>
      </c>
      <c r="C3804" t="s">
        <v>51</v>
      </c>
      <c r="D3804">
        <v>5</v>
      </c>
      <c r="E3804">
        <v>56</v>
      </c>
      <c r="F3804">
        <v>1.29</v>
      </c>
      <c r="G3804">
        <f t="shared" si="47"/>
        <v>0.43000000000000005</v>
      </c>
      <c r="H3804">
        <f>G3804*(26.79/38.29)</f>
        <v>0.30085400887960306</v>
      </c>
    </row>
    <row r="3805" spans="1:8" x14ac:dyDescent="0.25">
      <c r="A3805" s="1">
        <v>2008</v>
      </c>
      <c r="B3805" s="1" t="s">
        <v>99</v>
      </c>
      <c r="C3805" t="s">
        <v>51</v>
      </c>
      <c r="D3805">
        <v>5</v>
      </c>
      <c r="E3805">
        <v>56</v>
      </c>
      <c r="F3805">
        <v>7.0000000000000007E-2</v>
      </c>
      <c r="G3805">
        <f t="shared" si="47"/>
        <v>2.3333333333333338E-2</v>
      </c>
      <c r="H3805">
        <f>G3805*(26.79/38.29)</f>
        <v>1.6325411334552103E-2</v>
      </c>
    </row>
    <row r="3806" spans="1:8" x14ac:dyDescent="0.25">
      <c r="A3806" s="1">
        <v>2008</v>
      </c>
      <c r="B3806" s="1" t="s">
        <v>99</v>
      </c>
      <c r="C3806" t="s">
        <v>51</v>
      </c>
      <c r="D3806">
        <v>5</v>
      </c>
      <c r="E3806">
        <v>63</v>
      </c>
      <c r="F3806">
        <v>0.08</v>
      </c>
      <c r="G3806">
        <f t="shared" si="47"/>
        <v>2.6666666666666665E-2</v>
      </c>
      <c r="H3806">
        <f>G3806*(26.79/38.29)</f>
        <v>1.8657612953773828E-2</v>
      </c>
    </row>
    <row r="3807" spans="1:8" x14ac:dyDescent="0.25">
      <c r="A3807" s="1">
        <v>2008</v>
      </c>
      <c r="B3807" s="1" t="s">
        <v>99</v>
      </c>
      <c r="C3807" t="s">
        <v>51</v>
      </c>
      <c r="D3807">
        <v>5</v>
      </c>
      <c r="E3807">
        <v>63</v>
      </c>
      <c r="F3807">
        <v>7.0000000000000007E-2</v>
      </c>
      <c r="G3807">
        <f t="shared" si="47"/>
        <v>2.3333333333333338E-2</v>
      </c>
      <c r="H3807">
        <f>G3807*(26.79/38.29)</f>
        <v>1.6325411334552103E-2</v>
      </c>
    </row>
    <row r="3808" spans="1:8" x14ac:dyDescent="0.25">
      <c r="A3808" s="1">
        <v>2008</v>
      </c>
      <c r="B3808" s="1" t="s">
        <v>99</v>
      </c>
      <c r="C3808" t="s">
        <v>51</v>
      </c>
      <c r="D3808">
        <v>5</v>
      </c>
      <c r="E3808">
        <v>63</v>
      </c>
      <c r="F3808">
        <v>0.04</v>
      </c>
      <c r="G3808">
        <f t="shared" si="47"/>
        <v>1.3333333333333332E-2</v>
      </c>
      <c r="H3808">
        <f>G3808*(26.79/38.29)</f>
        <v>9.3288064768869139E-3</v>
      </c>
    </row>
    <row r="3809" spans="1:8" x14ac:dyDescent="0.25">
      <c r="A3809" s="1">
        <v>2008</v>
      </c>
      <c r="B3809" s="1" t="s">
        <v>99</v>
      </c>
      <c r="C3809" t="s">
        <v>51</v>
      </c>
      <c r="D3809">
        <v>5</v>
      </c>
      <c r="E3809">
        <v>63</v>
      </c>
      <c r="F3809">
        <v>0.04</v>
      </c>
      <c r="G3809">
        <f t="shared" si="47"/>
        <v>1.3333333333333332E-2</v>
      </c>
      <c r="H3809">
        <f>G3809*(26.79/38.29)</f>
        <v>9.3288064768869139E-3</v>
      </c>
    </row>
    <row r="3810" spans="1:8" x14ac:dyDescent="0.25">
      <c r="A3810" s="1">
        <v>2008</v>
      </c>
      <c r="B3810" s="1" t="s">
        <v>99</v>
      </c>
      <c r="C3810" t="s">
        <v>51</v>
      </c>
      <c r="D3810">
        <v>5</v>
      </c>
      <c r="E3810">
        <v>63</v>
      </c>
      <c r="F3810">
        <v>0.04</v>
      </c>
      <c r="G3810">
        <f t="shared" si="47"/>
        <v>1.3333333333333332E-2</v>
      </c>
      <c r="H3810">
        <f>G3810*(26.79/38.29)</f>
        <v>9.3288064768869139E-3</v>
      </c>
    </row>
    <row r="3811" spans="1:8" x14ac:dyDescent="0.25">
      <c r="A3811" s="1">
        <v>2008</v>
      </c>
      <c r="B3811" s="1" t="s">
        <v>99</v>
      </c>
      <c r="C3811" t="s">
        <v>51</v>
      </c>
      <c r="D3811">
        <v>5</v>
      </c>
      <c r="E3811">
        <v>63</v>
      </c>
      <c r="F3811">
        <v>0.04</v>
      </c>
      <c r="G3811">
        <f t="shared" si="47"/>
        <v>1.3333333333333332E-2</v>
      </c>
      <c r="H3811">
        <f>G3811*(26.79/38.29)</f>
        <v>9.3288064768869139E-3</v>
      </c>
    </row>
    <row r="3812" spans="1:8" x14ac:dyDescent="0.25">
      <c r="A3812" s="1">
        <v>2008</v>
      </c>
      <c r="B3812" s="1" t="s">
        <v>99</v>
      </c>
      <c r="C3812" t="s">
        <v>51</v>
      </c>
      <c r="D3812">
        <v>5</v>
      </c>
      <c r="E3812">
        <v>63</v>
      </c>
      <c r="F3812">
        <v>0.04</v>
      </c>
      <c r="G3812">
        <f t="shared" si="47"/>
        <v>1.3333333333333332E-2</v>
      </c>
      <c r="H3812">
        <f>G3812*(26.79/38.29)</f>
        <v>9.3288064768869139E-3</v>
      </c>
    </row>
    <row r="3813" spans="1:8" x14ac:dyDescent="0.25">
      <c r="A3813" s="1">
        <v>2008</v>
      </c>
      <c r="B3813" s="1" t="s">
        <v>99</v>
      </c>
      <c r="C3813" t="s">
        <v>51</v>
      </c>
      <c r="D3813">
        <v>5</v>
      </c>
      <c r="E3813">
        <v>63</v>
      </c>
      <c r="F3813">
        <v>0.05</v>
      </c>
      <c r="G3813">
        <f t="shared" si="47"/>
        <v>1.666666666666667E-2</v>
      </c>
      <c r="H3813">
        <f>G3813*(26.79/38.29)</f>
        <v>1.1661008096108646E-2</v>
      </c>
    </row>
    <row r="3814" spans="1:8" x14ac:dyDescent="0.25">
      <c r="A3814" s="1">
        <v>2008</v>
      </c>
      <c r="B3814" s="1" t="s">
        <v>99</v>
      </c>
      <c r="C3814" t="s">
        <v>51</v>
      </c>
      <c r="D3814">
        <v>5</v>
      </c>
      <c r="E3814">
        <v>63</v>
      </c>
      <c r="F3814">
        <v>0.26</v>
      </c>
      <c r="G3814">
        <f t="shared" si="47"/>
        <v>8.666666666666667E-2</v>
      </c>
      <c r="H3814">
        <f>G3814*(26.79/38.29)</f>
        <v>6.0637242099764947E-2</v>
      </c>
    </row>
    <row r="3815" spans="1:8" x14ac:dyDescent="0.25">
      <c r="A3815" s="1">
        <v>2008</v>
      </c>
      <c r="B3815" s="1" t="s">
        <v>99</v>
      </c>
      <c r="C3815" t="s">
        <v>51</v>
      </c>
      <c r="D3815">
        <v>5</v>
      </c>
      <c r="E3815">
        <v>63</v>
      </c>
      <c r="F3815">
        <v>7.0000000000000007E-2</v>
      </c>
      <c r="G3815">
        <f t="shared" si="47"/>
        <v>2.3333333333333338E-2</v>
      </c>
      <c r="H3815">
        <f>G3815*(26.79/38.29)</f>
        <v>1.6325411334552103E-2</v>
      </c>
    </row>
    <row r="3816" spans="1:8" x14ac:dyDescent="0.25">
      <c r="A3816" s="1">
        <v>2008</v>
      </c>
      <c r="B3816" s="1" t="s">
        <v>99</v>
      </c>
      <c r="C3816" t="s">
        <v>51</v>
      </c>
      <c r="D3816">
        <v>5</v>
      </c>
      <c r="E3816">
        <v>78</v>
      </c>
      <c r="F3816">
        <v>0.05</v>
      </c>
      <c r="G3816">
        <f t="shared" si="47"/>
        <v>1.666666666666667E-2</v>
      </c>
      <c r="H3816">
        <f>G3816*(26.79/38.29)</f>
        <v>1.1661008096108646E-2</v>
      </c>
    </row>
    <row r="3817" spans="1:8" x14ac:dyDescent="0.25">
      <c r="A3817" s="1">
        <v>2008</v>
      </c>
      <c r="B3817" s="1" t="s">
        <v>99</v>
      </c>
      <c r="C3817" t="s">
        <v>51</v>
      </c>
      <c r="D3817">
        <v>5</v>
      </c>
      <c r="E3817">
        <v>78</v>
      </c>
      <c r="F3817">
        <v>0.04</v>
      </c>
      <c r="G3817">
        <f t="shared" si="47"/>
        <v>1.3333333333333332E-2</v>
      </c>
      <c r="H3817">
        <f>G3817*(26.79/38.29)</f>
        <v>9.3288064768869139E-3</v>
      </c>
    </row>
    <row r="3818" spans="1:8" x14ac:dyDescent="0.25">
      <c r="A3818" s="1">
        <v>2008</v>
      </c>
      <c r="B3818" s="1" t="s">
        <v>99</v>
      </c>
      <c r="C3818" t="s">
        <v>51</v>
      </c>
      <c r="D3818">
        <v>5</v>
      </c>
      <c r="E3818">
        <v>78</v>
      </c>
      <c r="F3818">
        <v>0.03</v>
      </c>
      <c r="G3818">
        <f t="shared" si="47"/>
        <v>0.01</v>
      </c>
      <c r="H3818">
        <f>G3818*(26.79/38.29)</f>
        <v>6.9966048576651863E-3</v>
      </c>
    </row>
    <row r="3819" spans="1:8" x14ac:dyDescent="0.25">
      <c r="A3819" s="1">
        <v>2008</v>
      </c>
      <c r="B3819" s="1" t="s">
        <v>99</v>
      </c>
      <c r="C3819" t="s">
        <v>51</v>
      </c>
      <c r="D3819">
        <v>5</v>
      </c>
      <c r="E3819">
        <v>78</v>
      </c>
      <c r="F3819">
        <v>0.03</v>
      </c>
      <c r="G3819">
        <f t="shared" si="47"/>
        <v>0.01</v>
      </c>
      <c r="H3819">
        <f>G3819*(26.79/38.29)</f>
        <v>6.9966048576651863E-3</v>
      </c>
    </row>
    <row r="3820" spans="1:8" x14ac:dyDescent="0.25">
      <c r="A3820" s="1">
        <v>2008</v>
      </c>
      <c r="B3820" s="1" t="s">
        <v>99</v>
      </c>
      <c r="C3820" t="s">
        <v>51</v>
      </c>
      <c r="D3820">
        <v>5</v>
      </c>
      <c r="E3820">
        <v>79</v>
      </c>
      <c r="F3820">
        <v>0.32</v>
      </c>
      <c r="G3820">
        <f t="shared" si="47"/>
        <v>0.10666666666666666</v>
      </c>
      <c r="H3820">
        <f>G3820*(26.79/38.29)</f>
        <v>7.4630451815095311E-2</v>
      </c>
    </row>
    <row r="3821" spans="1:8" x14ac:dyDescent="0.25">
      <c r="A3821" s="1">
        <v>2008</v>
      </c>
      <c r="B3821" s="1" t="s">
        <v>99</v>
      </c>
      <c r="C3821" t="s">
        <v>51</v>
      </c>
      <c r="D3821">
        <v>5</v>
      </c>
      <c r="E3821">
        <v>79</v>
      </c>
      <c r="F3821">
        <v>0.13</v>
      </c>
      <c r="G3821">
        <f t="shared" si="47"/>
        <v>4.3333333333333335E-2</v>
      </c>
      <c r="H3821">
        <f>G3821*(26.79/38.29)</f>
        <v>3.0318621049882474E-2</v>
      </c>
    </row>
    <row r="3822" spans="1:8" x14ac:dyDescent="0.25">
      <c r="A3822" s="1">
        <v>2008</v>
      </c>
      <c r="B3822" s="1" t="s">
        <v>99</v>
      </c>
      <c r="C3822" t="s">
        <v>51</v>
      </c>
      <c r="D3822">
        <v>5</v>
      </c>
      <c r="E3822">
        <v>79</v>
      </c>
      <c r="F3822">
        <v>0.76</v>
      </c>
      <c r="G3822">
        <f t="shared" si="47"/>
        <v>0.25333333333333335</v>
      </c>
      <c r="H3822">
        <f>G3822*(26.79/38.29)</f>
        <v>0.17724732306085139</v>
      </c>
    </row>
    <row r="3823" spans="1:8" x14ac:dyDescent="0.25">
      <c r="A3823" s="1">
        <v>2008</v>
      </c>
      <c r="B3823" s="1" t="s">
        <v>99</v>
      </c>
      <c r="C3823" t="s">
        <v>51</v>
      </c>
      <c r="D3823">
        <v>5</v>
      </c>
      <c r="E3823">
        <v>79</v>
      </c>
      <c r="F3823">
        <v>0.04</v>
      </c>
      <c r="G3823">
        <f t="shared" si="47"/>
        <v>1.3333333333333332E-2</v>
      </c>
      <c r="H3823">
        <f>G3823*(26.79/38.29)</f>
        <v>9.3288064768869139E-3</v>
      </c>
    </row>
    <row r="3824" spans="1:8" x14ac:dyDescent="0.25">
      <c r="A3824" s="1">
        <v>2008</v>
      </c>
      <c r="B3824" s="1" t="s">
        <v>99</v>
      </c>
      <c r="C3824" t="s">
        <v>51</v>
      </c>
      <c r="D3824">
        <v>5</v>
      </c>
      <c r="E3824">
        <v>79</v>
      </c>
      <c r="F3824">
        <v>1.48</v>
      </c>
      <c r="G3824">
        <f t="shared" si="47"/>
        <v>0.49333333333333335</v>
      </c>
      <c r="H3824">
        <f>G3824*(26.79/38.29)</f>
        <v>0.34516583964481584</v>
      </c>
    </row>
    <row r="3825" spans="1:8" x14ac:dyDescent="0.25">
      <c r="A3825" s="1">
        <v>2008</v>
      </c>
      <c r="B3825" s="1" t="s">
        <v>99</v>
      </c>
      <c r="C3825" t="s">
        <v>51</v>
      </c>
      <c r="D3825">
        <v>5</v>
      </c>
      <c r="E3825">
        <v>79</v>
      </c>
      <c r="F3825">
        <v>0.04</v>
      </c>
      <c r="G3825">
        <f t="shared" si="47"/>
        <v>1.3333333333333332E-2</v>
      </c>
      <c r="H3825">
        <f>G3825*(26.79/38.29)</f>
        <v>9.3288064768869139E-3</v>
      </c>
    </row>
    <row r="3826" spans="1:8" x14ac:dyDescent="0.25">
      <c r="A3826" s="1">
        <v>2008</v>
      </c>
      <c r="B3826" s="1" t="s">
        <v>99</v>
      </c>
      <c r="C3826" t="s">
        <v>51</v>
      </c>
      <c r="D3826">
        <v>5</v>
      </c>
      <c r="E3826">
        <v>79</v>
      </c>
      <c r="F3826">
        <v>0.04</v>
      </c>
      <c r="G3826">
        <f t="shared" si="47"/>
        <v>1.3333333333333332E-2</v>
      </c>
      <c r="H3826">
        <f>G3826*(26.79/38.29)</f>
        <v>9.3288064768869139E-3</v>
      </c>
    </row>
    <row r="3827" spans="1:8" x14ac:dyDescent="0.25">
      <c r="A3827" s="1">
        <v>2008</v>
      </c>
      <c r="B3827" s="1" t="s">
        <v>99</v>
      </c>
      <c r="C3827" t="s">
        <v>51</v>
      </c>
      <c r="D3827">
        <v>5</v>
      </c>
      <c r="E3827">
        <v>79</v>
      </c>
      <c r="F3827">
        <v>0.05</v>
      </c>
      <c r="G3827">
        <f t="shared" si="47"/>
        <v>1.666666666666667E-2</v>
      </c>
      <c r="H3827">
        <f>G3827*(26.79/38.29)</f>
        <v>1.1661008096108646E-2</v>
      </c>
    </row>
    <row r="3828" spans="1:8" x14ac:dyDescent="0.25">
      <c r="A3828" s="1">
        <v>2008</v>
      </c>
      <c r="B3828" s="1" t="s">
        <v>99</v>
      </c>
      <c r="C3828" t="s">
        <v>51</v>
      </c>
      <c r="D3828">
        <v>5</v>
      </c>
      <c r="E3828">
        <v>79</v>
      </c>
      <c r="F3828">
        <v>1.04</v>
      </c>
      <c r="G3828">
        <f t="shared" si="47"/>
        <v>0.34666666666666668</v>
      </c>
      <c r="H3828">
        <f>G3828*(26.79/38.29)</f>
        <v>0.24254896839905979</v>
      </c>
    </row>
    <row r="3829" spans="1:8" x14ac:dyDescent="0.25">
      <c r="A3829" s="1">
        <v>2008</v>
      </c>
      <c r="B3829" s="1" t="s">
        <v>99</v>
      </c>
      <c r="C3829" t="s">
        <v>51</v>
      </c>
      <c r="D3829">
        <v>5</v>
      </c>
      <c r="E3829">
        <v>79</v>
      </c>
      <c r="F3829">
        <v>0.17</v>
      </c>
      <c r="G3829">
        <f t="shared" si="47"/>
        <v>5.6666666666666678E-2</v>
      </c>
      <c r="H3829">
        <f>G3829*(26.79/38.29)</f>
        <v>3.9647427526769398E-2</v>
      </c>
    </row>
    <row r="3830" spans="1:8" x14ac:dyDescent="0.25">
      <c r="A3830" s="1">
        <v>2008</v>
      </c>
      <c r="B3830" s="1" t="s">
        <v>99</v>
      </c>
      <c r="C3830" t="s">
        <v>51</v>
      </c>
      <c r="D3830">
        <v>5</v>
      </c>
      <c r="E3830">
        <v>79</v>
      </c>
      <c r="F3830">
        <v>0.09</v>
      </c>
      <c r="G3830">
        <f t="shared" si="47"/>
        <v>0.03</v>
      </c>
      <c r="H3830">
        <f>G3830*(26.79/38.29)</f>
        <v>2.0989814572995556E-2</v>
      </c>
    </row>
    <row r="3831" spans="1:8" x14ac:dyDescent="0.25">
      <c r="A3831" s="1">
        <v>2008</v>
      </c>
      <c r="B3831" s="1" t="s">
        <v>99</v>
      </c>
      <c r="C3831" t="s">
        <v>51</v>
      </c>
      <c r="D3831">
        <v>5</v>
      </c>
      <c r="E3831">
        <v>79</v>
      </c>
      <c r="F3831">
        <v>0.04</v>
      </c>
      <c r="G3831">
        <f t="shared" si="47"/>
        <v>1.3333333333333332E-2</v>
      </c>
      <c r="H3831">
        <f>G3831*(26.79/38.29)</f>
        <v>9.3288064768869139E-3</v>
      </c>
    </row>
    <row r="3832" spans="1:8" x14ac:dyDescent="0.25">
      <c r="A3832" s="1">
        <v>2008</v>
      </c>
      <c r="B3832" s="1" t="s">
        <v>99</v>
      </c>
      <c r="C3832" t="s">
        <v>51</v>
      </c>
      <c r="D3832">
        <v>5</v>
      </c>
      <c r="E3832">
        <v>79</v>
      </c>
      <c r="F3832">
        <v>0.13</v>
      </c>
      <c r="G3832">
        <f t="shared" si="47"/>
        <v>4.3333333333333335E-2</v>
      </c>
      <c r="H3832">
        <f>G3832*(26.79/38.29)</f>
        <v>3.0318621049882474E-2</v>
      </c>
    </row>
    <row r="3833" spans="1:8" x14ac:dyDescent="0.25">
      <c r="A3833" s="1">
        <v>2008</v>
      </c>
      <c r="B3833" s="1" t="s">
        <v>99</v>
      </c>
      <c r="C3833" t="s">
        <v>51</v>
      </c>
      <c r="D3833">
        <v>5</v>
      </c>
      <c r="E3833">
        <v>79</v>
      </c>
      <c r="F3833">
        <v>0.06</v>
      </c>
      <c r="G3833">
        <f t="shared" si="47"/>
        <v>0.02</v>
      </c>
      <c r="H3833">
        <f>G3833*(26.79/38.29)</f>
        <v>1.3993209715330373E-2</v>
      </c>
    </row>
    <row r="3834" spans="1:8" x14ac:dyDescent="0.25">
      <c r="A3834" s="1">
        <v>2008</v>
      </c>
      <c r="B3834" s="1" t="s">
        <v>99</v>
      </c>
      <c r="C3834" t="s">
        <v>51</v>
      </c>
      <c r="D3834">
        <v>5</v>
      </c>
      <c r="E3834">
        <v>79</v>
      </c>
      <c r="F3834">
        <v>1.19</v>
      </c>
      <c r="G3834">
        <f t="shared" si="47"/>
        <v>0.39666666666666667</v>
      </c>
      <c r="H3834">
        <f>G3834*(26.79/38.29)</f>
        <v>0.27753199268738571</v>
      </c>
    </row>
    <row r="3835" spans="1:8" x14ac:dyDescent="0.25">
      <c r="A3835" s="1">
        <v>2008</v>
      </c>
      <c r="B3835" s="1" t="s">
        <v>99</v>
      </c>
      <c r="C3835" t="s">
        <v>51</v>
      </c>
      <c r="D3835">
        <v>5</v>
      </c>
      <c r="E3835">
        <v>79</v>
      </c>
      <c r="F3835">
        <v>0.52</v>
      </c>
      <c r="G3835">
        <f t="shared" si="47"/>
        <v>0.17333333333333334</v>
      </c>
      <c r="H3835">
        <f>G3835*(26.79/38.29)</f>
        <v>0.12127448419952989</v>
      </c>
    </row>
    <row r="3836" spans="1:8" x14ac:dyDescent="0.25">
      <c r="A3836" s="1">
        <v>2008</v>
      </c>
      <c r="B3836" s="1" t="s">
        <v>99</v>
      </c>
      <c r="C3836" t="s">
        <v>51</v>
      </c>
      <c r="D3836">
        <v>5</v>
      </c>
      <c r="E3836">
        <v>79</v>
      </c>
      <c r="F3836">
        <v>0.17</v>
      </c>
      <c r="G3836">
        <f t="shared" si="47"/>
        <v>5.6666666666666678E-2</v>
      </c>
      <c r="H3836">
        <f>G3836*(26.79/38.29)</f>
        <v>3.9647427526769398E-2</v>
      </c>
    </row>
    <row r="3837" spans="1:8" x14ac:dyDescent="0.25">
      <c r="A3837" s="1">
        <v>2008</v>
      </c>
      <c r="B3837" s="1" t="s">
        <v>99</v>
      </c>
      <c r="C3837" t="s">
        <v>51</v>
      </c>
      <c r="D3837">
        <v>5</v>
      </c>
      <c r="E3837">
        <v>79</v>
      </c>
      <c r="F3837">
        <v>0.12</v>
      </c>
      <c r="G3837">
        <f t="shared" si="47"/>
        <v>0.04</v>
      </c>
      <c r="H3837">
        <f>G3837*(26.79/38.29)</f>
        <v>2.7986419430660745E-2</v>
      </c>
    </row>
    <row r="3838" spans="1:8" x14ac:dyDescent="0.25">
      <c r="A3838" s="1">
        <v>2008</v>
      </c>
      <c r="B3838" s="1" t="s">
        <v>99</v>
      </c>
      <c r="C3838" t="s">
        <v>51</v>
      </c>
      <c r="D3838">
        <v>5</v>
      </c>
      <c r="E3838">
        <v>79</v>
      </c>
      <c r="F3838">
        <v>0.23</v>
      </c>
      <c r="G3838">
        <f t="shared" si="47"/>
        <v>7.6666666666666675E-2</v>
      </c>
      <c r="H3838">
        <f>G3838*(26.79/38.29)</f>
        <v>5.3640637242099769E-2</v>
      </c>
    </row>
    <row r="3839" spans="1:8" x14ac:dyDescent="0.25">
      <c r="A3839" s="1">
        <v>2008</v>
      </c>
      <c r="B3839" s="1" t="s">
        <v>99</v>
      </c>
      <c r="C3839" t="s">
        <v>51</v>
      </c>
      <c r="D3839">
        <v>5</v>
      </c>
      <c r="E3839">
        <v>79</v>
      </c>
      <c r="F3839">
        <v>0.09</v>
      </c>
      <c r="G3839">
        <f t="shared" si="47"/>
        <v>0.03</v>
      </c>
      <c r="H3839">
        <f>G3839*(26.79/38.29)</f>
        <v>2.0989814572995556E-2</v>
      </c>
    </row>
    <row r="3840" spans="1:8" x14ac:dyDescent="0.25">
      <c r="A3840" s="1">
        <v>2008</v>
      </c>
      <c r="B3840" s="1" t="s">
        <v>99</v>
      </c>
      <c r="C3840" t="s">
        <v>51</v>
      </c>
      <c r="D3840">
        <v>5</v>
      </c>
      <c r="E3840">
        <v>79</v>
      </c>
      <c r="F3840">
        <v>0.27</v>
      </c>
      <c r="G3840">
        <f t="shared" si="47"/>
        <v>9.0000000000000011E-2</v>
      </c>
      <c r="H3840">
        <f>G3840*(26.79/38.29)</f>
        <v>6.296944371898669E-2</v>
      </c>
    </row>
    <row r="3841" spans="1:8" x14ac:dyDescent="0.25">
      <c r="A3841" s="1">
        <v>2008</v>
      </c>
      <c r="B3841" s="1" t="s">
        <v>99</v>
      </c>
      <c r="C3841" t="s">
        <v>51</v>
      </c>
      <c r="D3841">
        <v>5</v>
      </c>
      <c r="E3841">
        <v>79</v>
      </c>
      <c r="F3841">
        <v>0.05</v>
      </c>
      <c r="G3841">
        <f t="shared" si="47"/>
        <v>1.666666666666667E-2</v>
      </c>
      <c r="H3841">
        <f>G3841*(26.79/38.29)</f>
        <v>1.1661008096108646E-2</v>
      </c>
    </row>
    <row r="3842" spans="1:8" x14ac:dyDescent="0.25">
      <c r="A3842" s="1">
        <v>2008</v>
      </c>
      <c r="B3842" s="1" t="s">
        <v>99</v>
      </c>
      <c r="C3842" t="s">
        <v>51</v>
      </c>
      <c r="D3842">
        <v>5</v>
      </c>
      <c r="E3842">
        <v>79</v>
      </c>
      <c r="F3842">
        <v>0.08</v>
      </c>
      <c r="G3842">
        <f t="shared" si="47"/>
        <v>2.6666666666666665E-2</v>
      </c>
      <c r="H3842">
        <f>G3842*(26.79/38.29)</f>
        <v>1.8657612953773828E-2</v>
      </c>
    </row>
    <row r="3843" spans="1:8" x14ac:dyDescent="0.25">
      <c r="A3843" s="1">
        <v>2008</v>
      </c>
      <c r="B3843" s="1" t="s">
        <v>99</v>
      </c>
      <c r="C3843" t="s">
        <v>51</v>
      </c>
      <c r="D3843">
        <v>5</v>
      </c>
      <c r="E3843">
        <v>79</v>
      </c>
      <c r="F3843">
        <v>0.11</v>
      </c>
      <c r="G3843">
        <f t="shared" si="47"/>
        <v>3.6666666666666667E-2</v>
      </c>
      <c r="H3843">
        <f>G3843*(26.79/38.29)</f>
        <v>2.5654217811439017E-2</v>
      </c>
    </row>
    <row r="3844" spans="1:8" x14ac:dyDescent="0.25">
      <c r="A3844" s="1">
        <v>2008</v>
      </c>
      <c r="B3844" s="1" t="s">
        <v>99</v>
      </c>
      <c r="C3844" t="s">
        <v>51</v>
      </c>
      <c r="D3844">
        <v>5</v>
      </c>
      <c r="E3844">
        <v>79</v>
      </c>
      <c r="F3844">
        <v>0.06</v>
      </c>
      <c r="G3844">
        <f t="shared" si="47"/>
        <v>0.02</v>
      </c>
      <c r="H3844">
        <f>G3844*(26.79/38.29)</f>
        <v>1.3993209715330373E-2</v>
      </c>
    </row>
    <row r="3845" spans="1:8" x14ac:dyDescent="0.25">
      <c r="A3845" s="1">
        <v>2008</v>
      </c>
      <c r="B3845" s="1" t="s">
        <v>99</v>
      </c>
      <c r="C3845" t="s">
        <v>51</v>
      </c>
      <c r="D3845">
        <v>5</v>
      </c>
      <c r="E3845">
        <v>79</v>
      </c>
      <c r="F3845">
        <v>0.13</v>
      </c>
      <c r="G3845">
        <f t="shared" si="47"/>
        <v>4.3333333333333335E-2</v>
      </c>
      <c r="H3845">
        <f>G3845*(26.79/38.29)</f>
        <v>3.0318621049882474E-2</v>
      </c>
    </row>
    <row r="3846" spans="1:8" x14ac:dyDescent="0.25">
      <c r="A3846" s="1">
        <v>2008</v>
      </c>
      <c r="B3846" s="1" t="s">
        <v>99</v>
      </c>
      <c r="C3846" t="s">
        <v>51</v>
      </c>
      <c r="D3846">
        <v>5</v>
      </c>
      <c r="E3846">
        <v>79</v>
      </c>
      <c r="F3846">
        <v>7.0000000000000007E-2</v>
      </c>
      <c r="G3846">
        <f t="shared" si="47"/>
        <v>2.3333333333333338E-2</v>
      </c>
      <c r="H3846">
        <f>G3846*(26.79/38.29)</f>
        <v>1.6325411334552103E-2</v>
      </c>
    </row>
    <row r="3847" spans="1:8" x14ac:dyDescent="0.25">
      <c r="A3847" s="1">
        <v>2008</v>
      </c>
      <c r="B3847" s="1" t="s">
        <v>99</v>
      </c>
      <c r="C3847" t="s">
        <v>51</v>
      </c>
      <c r="D3847">
        <v>5</v>
      </c>
      <c r="E3847">
        <v>79</v>
      </c>
      <c r="F3847">
        <v>0.05</v>
      </c>
      <c r="G3847">
        <f t="shared" si="47"/>
        <v>1.666666666666667E-2</v>
      </c>
      <c r="H3847">
        <f>G3847*(26.79/38.29)</f>
        <v>1.1661008096108646E-2</v>
      </c>
    </row>
    <row r="3848" spans="1:8" x14ac:dyDescent="0.25">
      <c r="A3848" s="1">
        <v>2008</v>
      </c>
      <c r="B3848" s="1" t="s">
        <v>99</v>
      </c>
      <c r="C3848" t="s">
        <v>51</v>
      </c>
      <c r="D3848">
        <v>5</v>
      </c>
      <c r="E3848">
        <v>79</v>
      </c>
      <c r="F3848">
        <v>0.09</v>
      </c>
      <c r="G3848">
        <f t="shared" si="47"/>
        <v>0.03</v>
      </c>
      <c r="H3848">
        <f>G3848*(26.79/38.29)</f>
        <v>2.0989814572995556E-2</v>
      </c>
    </row>
    <row r="3849" spans="1:8" x14ac:dyDescent="0.25">
      <c r="A3849" s="1">
        <v>2008</v>
      </c>
      <c r="B3849" s="1" t="s">
        <v>99</v>
      </c>
      <c r="C3849" t="s">
        <v>51</v>
      </c>
      <c r="D3849">
        <v>5</v>
      </c>
      <c r="E3849">
        <v>79</v>
      </c>
      <c r="F3849">
        <v>0.04</v>
      </c>
      <c r="G3849">
        <f t="shared" si="47"/>
        <v>1.3333333333333332E-2</v>
      </c>
      <c r="H3849">
        <f>G3849*(26.79/38.29)</f>
        <v>9.3288064768869139E-3</v>
      </c>
    </row>
    <row r="3850" spans="1:8" x14ac:dyDescent="0.25">
      <c r="A3850" s="1">
        <v>2008</v>
      </c>
      <c r="B3850" s="1" t="s">
        <v>99</v>
      </c>
      <c r="C3850" t="s">
        <v>51</v>
      </c>
      <c r="D3850">
        <v>5</v>
      </c>
      <c r="E3850">
        <v>79</v>
      </c>
      <c r="F3850">
        <v>0.09</v>
      </c>
      <c r="G3850">
        <f t="shared" si="47"/>
        <v>0.03</v>
      </c>
      <c r="H3850">
        <f>G3850*(26.79/38.29)</f>
        <v>2.0989814572995556E-2</v>
      </c>
    </row>
    <row r="3851" spans="1:8" x14ac:dyDescent="0.25">
      <c r="A3851" s="1">
        <v>2008</v>
      </c>
      <c r="B3851" s="1" t="s">
        <v>99</v>
      </c>
      <c r="C3851" t="s">
        <v>51</v>
      </c>
      <c r="D3851">
        <v>5</v>
      </c>
      <c r="E3851">
        <v>79</v>
      </c>
      <c r="F3851">
        <v>0.06</v>
      </c>
      <c r="G3851">
        <f t="shared" si="47"/>
        <v>0.02</v>
      </c>
      <c r="H3851">
        <f>G3851*(26.79/38.29)</f>
        <v>1.3993209715330373E-2</v>
      </c>
    </row>
    <row r="3852" spans="1:8" x14ac:dyDescent="0.25">
      <c r="A3852" s="1">
        <v>2008</v>
      </c>
      <c r="B3852" s="1" t="s">
        <v>99</v>
      </c>
      <c r="C3852" t="s">
        <v>51</v>
      </c>
      <c r="D3852">
        <v>5</v>
      </c>
      <c r="E3852">
        <v>79</v>
      </c>
      <c r="F3852">
        <v>0.55000000000000004</v>
      </c>
      <c r="G3852">
        <f t="shared" si="47"/>
        <v>0.18333333333333335</v>
      </c>
      <c r="H3852">
        <f>G3852*(26.79/38.29)</f>
        <v>0.12827108905719509</v>
      </c>
    </row>
    <row r="3853" spans="1:8" x14ac:dyDescent="0.25">
      <c r="A3853" s="1">
        <v>2008</v>
      </c>
      <c r="B3853" s="1" t="s">
        <v>99</v>
      </c>
      <c r="C3853" t="s">
        <v>51</v>
      </c>
      <c r="D3853">
        <v>5</v>
      </c>
      <c r="E3853">
        <v>79</v>
      </c>
      <c r="F3853">
        <v>0.26</v>
      </c>
      <c r="G3853">
        <f t="shared" si="47"/>
        <v>8.666666666666667E-2</v>
      </c>
      <c r="H3853">
        <f>G3853*(26.79/38.29)</f>
        <v>6.0637242099764947E-2</v>
      </c>
    </row>
    <row r="3854" spans="1:8" x14ac:dyDescent="0.25">
      <c r="A3854" s="1">
        <v>2008</v>
      </c>
      <c r="B3854" s="1" t="s">
        <v>99</v>
      </c>
      <c r="C3854" t="s">
        <v>51</v>
      </c>
      <c r="D3854">
        <v>5</v>
      </c>
      <c r="E3854">
        <v>79</v>
      </c>
      <c r="F3854">
        <v>0.26</v>
      </c>
      <c r="G3854">
        <f t="shared" ref="G3854:G3888" si="48">(F3854/0.6)/5</f>
        <v>8.666666666666667E-2</v>
      </c>
      <c r="H3854">
        <f>G3854*(26.79/38.29)</f>
        <v>6.0637242099764947E-2</v>
      </c>
    </row>
    <row r="3855" spans="1:8" x14ac:dyDescent="0.25">
      <c r="A3855" s="1">
        <v>2008</v>
      </c>
      <c r="B3855" s="1" t="s">
        <v>99</v>
      </c>
      <c r="C3855" t="s">
        <v>51</v>
      </c>
      <c r="D3855">
        <v>5</v>
      </c>
      <c r="E3855">
        <v>79</v>
      </c>
      <c r="F3855">
        <v>1.1000000000000001</v>
      </c>
      <c r="G3855">
        <f t="shared" si="48"/>
        <v>0.3666666666666667</v>
      </c>
      <c r="H3855">
        <f>G3855*(26.79/38.29)</f>
        <v>0.25654217811439017</v>
      </c>
    </row>
    <row r="3856" spans="1:8" x14ac:dyDescent="0.25">
      <c r="A3856" s="1">
        <v>2008</v>
      </c>
      <c r="B3856" s="1" t="s">
        <v>99</v>
      </c>
      <c r="C3856" t="s">
        <v>51</v>
      </c>
      <c r="D3856">
        <v>5</v>
      </c>
      <c r="E3856">
        <v>79</v>
      </c>
      <c r="F3856">
        <v>0.38</v>
      </c>
      <c r="G3856">
        <f t="shared" si="48"/>
        <v>0.12666666666666668</v>
      </c>
      <c r="H3856">
        <f>G3856*(26.79/38.29)</f>
        <v>8.8623661530425696E-2</v>
      </c>
    </row>
    <row r="3857" spans="1:8" x14ac:dyDescent="0.25">
      <c r="A3857" s="1">
        <v>2008</v>
      </c>
      <c r="B3857" s="1" t="s">
        <v>99</v>
      </c>
      <c r="C3857" t="s">
        <v>51</v>
      </c>
      <c r="D3857">
        <v>5</v>
      </c>
      <c r="E3857">
        <v>79</v>
      </c>
      <c r="F3857">
        <v>0.2</v>
      </c>
      <c r="G3857">
        <f t="shared" si="48"/>
        <v>6.666666666666668E-2</v>
      </c>
      <c r="H3857">
        <f>G3857*(26.79/38.29)</f>
        <v>4.6644032384434583E-2</v>
      </c>
    </row>
    <row r="3858" spans="1:8" x14ac:dyDescent="0.25">
      <c r="A3858" s="1">
        <v>2008</v>
      </c>
      <c r="B3858" s="1" t="s">
        <v>99</v>
      </c>
      <c r="C3858" t="s">
        <v>51</v>
      </c>
      <c r="D3858">
        <v>5</v>
      </c>
      <c r="E3858">
        <v>79</v>
      </c>
      <c r="F3858">
        <v>0.06</v>
      </c>
      <c r="G3858">
        <f t="shared" si="48"/>
        <v>0.02</v>
      </c>
      <c r="H3858">
        <f>G3858*(26.79/38.29)</f>
        <v>1.3993209715330373E-2</v>
      </c>
    </row>
    <row r="3859" spans="1:8" x14ac:dyDescent="0.25">
      <c r="A3859" s="1">
        <v>2008</v>
      </c>
      <c r="B3859" s="1" t="s">
        <v>99</v>
      </c>
      <c r="C3859" t="s">
        <v>51</v>
      </c>
      <c r="D3859">
        <v>5</v>
      </c>
      <c r="E3859">
        <v>79</v>
      </c>
      <c r="F3859">
        <v>0.89</v>
      </c>
      <c r="G3859">
        <f t="shared" si="48"/>
        <v>0.29666666666666669</v>
      </c>
      <c r="H3859">
        <f>G3859*(26.79/38.29)</f>
        <v>0.20756594411073387</v>
      </c>
    </row>
    <row r="3860" spans="1:8" x14ac:dyDescent="0.25">
      <c r="A3860" s="1">
        <v>2008</v>
      </c>
      <c r="B3860" s="1" t="s">
        <v>99</v>
      </c>
      <c r="C3860" t="s">
        <v>51</v>
      </c>
      <c r="D3860">
        <v>5</v>
      </c>
      <c r="E3860">
        <v>79</v>
      </c>
      <c r="F3860">
        <v>1.4</v>
      </c>
      <c r="G3860">
        <f t="shared" si="48"/>
        <v>0.46666666666666667</v>
      </c>
      <c r="H3860">
        <f>G3860*(26.79/38.29)</f>
        <v>0.32650822669104201</v>
      </c>
    </row>
    <row r="3861" spans="1:8" x14ac:dyDescent="0.25">
      <c r="A3861" s="1">
        <v>2008</v>
      </c>
      <c r="B3861" s="1" t="s">
        <v>99</v>
      </c>
      <c r="C3861" t="s">
        <v>51</v>
      </c>
      <c r="D3861">
        <v>5</v>
      </c>
      <c r="E3861">
        <v>79</v>
      </c>
      <c r="F3861">
        <v>0.05</v>
      </c>
      <c r="G3861">
        <f t="shared" si="48"/>
        <v>1.666666666666667E-2</v>
      </c>
      <c r="H3861">
        <f>G3861*(26.79/38.29)</f>
        <v>1.1661008096108646E-2</v>
      </c>
    </row>
    <row r="3862" spans="1:8" x14ac:dyDescent="0.25">
      <c r="A3862" s="1">
        <v>2008</v>
      </c>
      <c r="B3862" s="1" t="s">
        <v>99</v>
      </c>
      <c r="C3862" t="s">
        <v>51</v>
      </c>
      <c r="D3862">
        <v>5</v>
      </c>
      <c r="E3862">
        <v>79</v>
      </c>
      <c r="F3862">
        <v>0.2</v>
      </c>
      <c r="G3862">
        <f t="shared" si="48"/>
        <v>6.666666666666668E-2</v>
      </c>
      <c r="H3862">
        <f>G3862*(26.79/38.29)</f>
        <v>4.6644032384434583E-2</v>
      </c>
    </row>
    <row r="3863" spans="1:8" x14ac:dyDescent="0.25">
      <c r="A3863" s="1">
        <v>2008</v>
      </c>
      <c r="B3863" s="1" t="s">
        <v>99</v>
      </c>
      <c r="C3863" t="s">
        <v>51</v>
      </c>
      <c r="D3863">
        <v>5</v>
      </c>
      <c r="E3863">
        <v>79</v>
      </c>
      <c r="F3863">
        <v>1.04</v>
      </c>
      <c r="G3863">
        <f t="shared" si="48"/>
        <v>0.34666666666666668</v>
      </c>
      <c r="H3863">
        <f>G3863*(26.79/38.29)</f>
        <v>0.24254896839905979</v>
      </c>
    </row>
    <row r="3864" spans="1:8" x14ac:dyDescent="0.25">
      <c r="A3864" s="1">
        <v>2008</v>
      </c>
      <c r="B3864" s="1" t="s">
        <v>99</v>
      </c>
      <c r="C3864" t="s">
        <v>51</v>
      </c>
      <c r="D3864">
        <v>5</v>
      </c>
      <c r="E3864">
        <v>79</v>
      </c>
      <c r="F3864">
        <v>0.38</v>
      </c>
      <c r="G3864">
        <f t="shared" si="48"/>
        <v>0.12666666666666668</v>
      </c>
      <c r="H3864">
        <f>G3864*(26.79/38.29)</f>
        <v>8.8623661530425696E-2</v>
      </c>
    </row>
    <row r="3865" spans="1:8" x14ac:dyDescent="0.25">
      <c r="A3865" s="1">
        <v>2008</v>
      </c>
      <c r="B3865" s="1" t="s">
        <v>99</v>
      </c>
      <c r="C3865" t="s">
        <v>51</v>
      </c>
      <c r="D3865">
        <v>5</v>
      </c>
      <c r="E3865">
        <v>79</v>
      </c>
      <c r="F3865">
        <v>0.31</v>
      </c>
      <c r="G3865">
        <f t="shared" si="48"/>
        <v>0.10333333333333335</v>
      </c>
      <c r="H3865">
        <f>G3865*(26.79/38.29)</f>
        <v>7.2298250195873603E-2</v>
      </c>
    </row>
    <row r="3866" spans="1:8" x14ac:dyDescent="0.25">
      <c r="A3866" s="1">
        <v>2008</v>
      </c>
      <c r="B3866" s="1" t="s">
        <v>99</v>
      </c>
      <c r="C3866" t="s">
        <v>51</v>
      </c>
      <c r="D3866">
        <v>5</v>
      </c>
      <c r="E3866">
        <v>79</v>
      </c>
      <c r="F3866">
        <v>0.05</v>
      </c>
      <c r="G3866">
        <f t="shared" si="48"/>
        <v>1.666666666666667E-2</v>
      </c>
      <c r="H3866">
        <f>G3866*(26.79/38.29)</f>
        <v>1.1661008096108646E-2</v>
      </c>
    </row>
    <row r="3867" spans="1:8" x14ac:dyDescent="0.25">
      <c r="A3867" s="1">
        <v>2008</v>
      </c>
      <c r="B3867" s="1" t="s">
        <v>99</v>
      </c>
      <c r="C3867" t="s">
        <v>51</v>
      </c>
      <c r="D3867">
        <v>5</v>
      </c>
      <c r="E3867">
        <v>79</v>
      </c>
      <c r="F3867">
        <v>0.25</v>
      </c>
      <c r="G3867">
        <f t="shared" si="48"/>
        <v>8.3333333333333343E-2</v>
      </c>
      <c r="H3867">
        <f>G3867*(26.79/38.29)</f>
        <v>5.8305040480543226E-2</v>
      </c>
    </row>
    <row r="3868" spans="1:8" x14ac:dyDescent="0.25">
      <c r="A3868" s="1">
        <v>2008</v>
      </c>
      <c r="B3868" s="1" t="s">
        <v>99</v>
      </c>
      <c r="C3868" t="s">
        <v>51</v>
      </c>
      <c r="D3868">
        <v>5</v>
      </c>
      <c r="E3868">
        <v>79</v>
      </c>
      <c r="F3868">
        <v>0.59</v>
      </c>
      <c r="G3868">
        <f t="shared" si="48"/>
        <v>0.19666666666666666</v>
      </c>
      <c r="H3868">
        <f>G3868*(26.79/38.29)</f>
        <v>0.137599895534082</v>
      </c>
    </row>
    <row r="3869" spans="1:8" x14ac:dyDescent="0.25">
      <c r="A3869" s="1">
        <v>2008</v>
      </c>
      <c r="B3869" s="1" t="s">
        <v>99</v>
      </c>
      <c r="C3869" t="s">
        <v>51</v>
      </c>
      <c r="D3869">
        <v>5</v>
      </c>
      <c r="E3869">
        <v>79</v>
      </c>
      <c r="F3869">
        <v>0.04</v>
      </c>
      <c r="G3869">
        <f t="shared" si="48"/>
        <v>1.3333333333333332E-2</v>
      </c>
      <c r="H3869">
        <f>G3869*(26.79/38.29)</f>
        <v>9.3288064768869139E-3</v>
      </c>
    </row>
    <row r="3870" spans="1:8" x14ac:dyDescent="0.25">
      <c r="A3870" s="1">
        <v>2008</v>
      </c>
      <c r="B3870" s="1" t="s">
        <v>99</v>
      </c>
      <c r="C3870" t="s">
        <v>51</v>
      </c>
      <c r="D3870">
        <v>5</v>
      </c>
      <c r="E3870">
        <v>79</v>
      </c>
      <c r="F3870">
        <v>0.22</v>
      </c>
      <c r="G3870">
        <f t="shared" si="48"/>
        <v>7.3333333333333334E-2</v>
      </c>
      <c r="H3870">
        <f>G3870*(26.79/38.29)</f>
        <v>5.1308435622878033E-2</v>
      </c>
    </row>
    <row r="3871" spans="1:8" x14ac:dyDescent="0.25">
      <c r="A3871" s="1">
        <v>2008</v>
      </c>
      <c r="B3871" s="1" t="s">
        <v>99</v>
      </c>
      <c r="C3871" t="s">
        <v>51</v>
      </c>
      <c r="D3871">
        <v>5</v>
      </c>
      <c r="E3871">
        <v>79</v>
      </c>
      <c r="F3871">
        <v>0.59</v>
      </c>
      <c r="G3871">
        <f t="shared" si="48"/>
        <v>0.19666666666666666</v>
      </c>
      <c r="H3871">
        <f>G3871*(26.79/38.29)</f>
        <v>0.137599895534082</v>
      </c>
    </row>
    <row r="3872" spans="1:8" x14ac:dyDescent="0.25">
      <c r="A3872" s="1">
        <v>2008</v>
      </c>
      <c r="B3872" s="1" t="s">
        <v>99</v>
      </c>
      <c r="C3872" t="s">
        <v>51</v>
      </c>
      <c r="D3872">
        <v>5</v>
      </c>
      <c r="E3872">
        <v>79</v>
      </c>
      <c r="F3872">
        <v>0.64</v>
      </c>
      <c r="G3872">
        <f t="shared" si="48"/>
        <v>0.21333333333333332</v>
      </c>
      <c r="H3872">
        <f>G3872*(26.79/38.29)</f>
        <v>0.14926090363019062</v>
      </c>
    </row>
    <row r="3873" spans="1:8" x14ac:dyDescent="0.25">
      <c r="A3873" s="1">
        <v>2008</v>
      </c>
      <c r="B3873" s="1" t="s">
        <v>99</v>
      </c>
      <c r="C3873" t="s">
        <v>51</v>
      </c>
      <c r="D3873">
        <v>5</v>
      </c>
      <c r="E3873">
        <v>79</v>
      </c>
      <c r="F3873">
        <v>1.43</v>
      </c>
      <c r="G3873">
        <f t="shared" si="48"/>
        <v>0.47666666666666668</v>
      </c>
      <c r="H3873">
        <f>G3873*(26.79/38.29)</f>
        <v>0.33350483154870725</v>
      </c>
    </row>
    <row r="3874" spans="1:8" x14ac:dyDescent="0.25">
      <c r="A3874" s="1">
        <v>2008</v>
      </c>
      <c r="B3874" s="1" t="s">
        <v>99</v>
      </c>
      <c r="C3874" t="s">
        <v>51</v>
      </c>
      <c r="D3874">
        <v>5</v>
      </c>
      <c r="E3874">
        <v>79</v>
      </c>
      <c r="F3874">
        <v>0.03</v>
      </c>
      <c r="G3874">
        <f t="shared" si="48"/>
        <v>0.01</v>
      </c>
      <c r="H3874">
        <f>G3874*(26.79/38.29)</f>
        <v>6.9966048576651863E-3</v>
      </c>
    </row>
    <row r="3875" spans="1:8" x14ac:dyDescent="0.25">
      <c r="A3875" s="1">
        <v>2008</v>
      </c>
      <c r="B3875" s="1" t="s">
        <v>99</v>
      </c>
      <c r="C3875" t="s">
        <v>51</v>
      </c>
      <c r="D3875">
        <v>5</v>
      </c>
      <c r="E3875">
        <v>79</v>
      </c>
      <c r="F3875">
        <v>0.06</v>
      </c>
      <c r="G3875">
        <f t="shared" si="48"/>
        <v>0.02</v>
      </c>
      <c r="H3875">
        <f>G3875*(26.79/38.29)</f>
        <v>1.3993209715330373E-2</v>
      </c>
    </row>
    <row r="3876" spans="1:8" x14ac:dyDescent="0.25">
      <c r="A3876" s="1">
        <v>2008</v>
      </c>
      <c r="B3876" s="1" t="s">
        <v>99</v>
      </c>
      <c r="C3876" t="s">
        <v>51</v>
      </c>
      <c r="D3876">
        <v>5</v>
      </c>
      <c r="E3876">
        <v>79</v>
      </c>
      <c r="F3876">
        <v>0.38</v>
      </c>
      <c r="G3876">
        <f t="shared" si="48"/>
        <v>0.12666666666666668</v>
      </c>
      <c r="H3876">
        <f>G3876*(26.79/38.29)</f>
        <v>8.8623661530425696E-2</v>
      </c>
    </row>
    <row r="3877" spans="1:8" x14ac:dyDescent="0.25">
      <c r="A3877" s="1">
        <v>2008</v>
      </c>
      <c r="B3877" s="1" t="s">
        <v>99</v>
      </c>
      <c r="C3877" t="s">
        <v>51</v>
      </c>
      <c r="D3877">
        <v>5</v>
      </c>
      <c r="E3877">
        <v>79</v>
      </c>
      <c r="F3877">
        <v>0.14000000000000001</v>
      </c>
      <c r="G3877">
        <f t="shared" si="48"/>
        <v>4.6666666666666676E-2</v>
      </c>
      <c r="H3877">
        <f>G3877*(26.79/38.29)</f>
        <v>3.2650822669104206E-2</v>
      </c>
    </row>
    <row r="3878" spans="1:8" x14ac:dyDescent="0.25">
      <c r="A3878" s="1">
        <v>2008</v>
      </c>
      <c r="B3878" s="1" t="s">
        <v>99</v>
      </c>
      <c r="C3878" t="s">
        <v>51</v>
      </c>
      <c r="D3878">
        <v>5</v>
      </c>
      <c r="E3878">
        <v>79</v>
      </c>
      <c r="F3878">
        <v>0.32</v>
      </c>
      <c r="G3878">
        <f t="shared" si="48"/>
        <v>0.10666666666666666</v>
      </c>
      <c r="H3878">
        <f>G3878*(26.79/38.29)</f>
        <v>7.4630451815095311E-2</v>
      </c>
    </row>
    <row r="3879" spans="1:8" x14ac:dyDescent="0.25">
      <c r="A3879" s="1">
        <v>2008</v>
      </c>
      <c r="B3879" s="1" t="s">
        <v>99</v>
      </c>
      <c r="C3879" t="s">
        <v>51</v>
      </c>
      <c r="D3879">
        <v>5</v>
      </c>
      <c r="E3879">
        <v>79</v>
      </c>
      <c r="F3879">
        <v>0.32</v>
      </c>
      <c r="G3879">
        <f t="shared" si="48"/>
        <v>0.10666666666666666</v>
      </c>
      <c r="H3879">
        <f>G3879*(26.79/38.29)</f>
        <v>7.4630451815095311E-2</v>
      </c>
    </row>
    <row r="3880" spans="1:8" x14ac:dyDescent="0.25">
      <c r="A3880" s="1">
        <v>2008</v>
      </c>
      <c r="B3880" s="1" t="s">
        <v>99</v>
      </c>
      <c r="C3880" t="s">
        <v>51</v>
      </c>
      <c r="D3880">
        <v>5</v>
      </c>
      <c r="E3880">
        <v>79</v>
      </c>
      <c r="F3880">
        <v>0.12</v>
      </c>
      <c r="G3880">
        <f t="shared" si="48"/>
        <v>0.04</v>
      </c>
      <c r="H3880">
        <f>G3880*(26.79/38.29)</f>
        <v>2.7986419430660745E-2</v>
      </c>
    </row>
    <row r="3881" spans="1:8" x14ac:dyDescent="0.25">
      <c r="A3881" s="1">
        <v>2008</v>
      </c>
      <c r="B3881" s="1" t="s">
        <v>99</v>
      </c>
      <c r="C3881" t="s">
        <v>51</v>
      </c>
      <c r="D3881">
        <v>5</v>
      </c>
      <c r="E3881">
        <v>85</v>
      </c>
      <c r="F3881">
        <v>0.05</v>
      </c>
      <c r="G3881">
        <f t="shared" si="48"/>
        <v>1.666666666666667E-2</v>
      </c>
      <c r="H3881">
        <f>G3881*(26.79/38.29)</f>
        <v>1.1661008096108646E-2</v>
      </c>
    </row>
    <row r="3882" spans="1:8" x14ac:dyDescent="0.25">
      <c r="A3882" s="1">
        <v>2008</v>
      </c>
      <c r="B3882" s="1" t="s">
        <v>99</v>
      </c>
      <c r="C3882" t="s">
        <v>51</v>
      </c>
      <c r="D3882">
        <v>5</v>
      </c>
      <c r="E3882">
        <v>85</v>
      </c>
      <c r="F3882">
        <v>0.38</v>
      </c>
      <c r="G3882">
        <f t="shared" si="48"/>
        <v>0.12666666666666668</v>
      </c>
      <c r="H3882">
        <f>G3882*(26.79/38.29)</f>
        <v>8.8623661530425696E-2</v>
      </c>
    </row>
    <row r="3883" spans="1:8" x14ac:dyDescent="0.25">
      <c r="A3883" s="1">
        <v>2008</v>
      </c>
      <c r="B3883" s="1" t="s">
        <v>99</v>
      </c>
      <c r="C3883" t="s">
        <v>51</v>
      </c>
      <c r="D3883">
        <v>5</v>
      </c>
      <c r="E3883">
        <v>85</v>
      </c>
      <c r="F3883">
        <v>0.99</v>
      </c>
      <c r="G3883">
        <f t="shared" si="48"/>
        <v>0.33</v>
      </c>
      <c r="H3883">
        <f>G3883*(26.79/38.29)</f>
        <v>0.23088796030295117</v>
      </c>
    </row>
    <row r="3884" spans="1:8" x14ac:dyDescent="0.25">
      <c r="A3884" s="1">
        <v>2008</v>
      </c>
      <c r="B3884" s="1" t="s">
        <v>99</v>
      </c>
      <c r="C3884" t="s">
        <v>51</v>
      </c>
      <c r="D3884">
        <v>5</v>
      </c>
      <c r="E3884">
        <v>85</v>
      </c>
      <c r="F3884">
        <v>0.22</v>
      </c>
      <c r="G3884">
        <f t="shared" si="48"/>
        <v>7.3333333333333334E-2</v>
      </c>
      <c r="H3884">
        <f>G3884*(26.79/38.29)</f>
        <v>5.1308435622878033E-2</v>
      </c>
    </row>
    <row r="3885" spans="1:8" x14ac:dyDescent="0.25">
      <c r="A3885" s="1">
        <v>2008</v>
      </c>
      <c r="B3885" s="1" t="s">
        <v>99</v>
      </c>
      <c r="C3885" t="s">
        <v>51</v>
      </c>
      <c r="D3885">
        <v>5</v>
      </c>
      <c r="E3885">
        <v>85</v>
      </c>
      <c r="F3885">
        <v>1.61</v>
      </c>
      <c r="G3885">
        <f t="shared" si="48"/>
        <v>0.53666666666666674</v>
      </c>
      <c r="H3885">
        <f>G3885*(26.79/38.29)</f>
        <v>0.37548446069469837</v>
      </c>
    </row>
    <row r="3886" spans="1:8" x14ac:dyDescent="0.25">
      <c r="A3886" s="1">
        <v>2008</v>
      </c>
      <c r="B3886" s="1" t="s">
        <v>99</v>
      </c>
      <c r="C3886" t="s">
        <v>51</v>
      </c>
      <c r="D3886">
        <v>5</v>
      </c>
      <c r="E3886">
        <v>88</v>
      </c>
      <c r="F3886">
        <v>0.25</v>
      </c>
      <c r="G3886">
        <f t="shared" si="48"/>
        <v>8.3333333333333343E-2</v>
      </c>
      <c r="H3886">
        <f>G3886*(26.79/38.29)</f>
        <v>5.8305040480543226E-2</v>
      </c>
    </row>
    <row r="3887" spans="1:8" x14ac:dyDescent="0.25">
      <c r="A3887" s="1">
        <v>2008</v>
      </c>
      <c r="B3887" s="1" t="s">
        <v>99</v>
      </c>
      <c r="C3887" t="s">
        <v>51</v>
      </c>
      <c r="D3887">
        <v>5</v>
      </c>
      <c r="E3887">
        <v>88</v>
      </c>
      <c r="F3887">
        <v>0.72</v>
      </c>
      <c r="G3887">
        <f t="shared" si="48"/>
        <v>0.24</v>
      </c>
      <c r="H3887">
        <f>G3887*(26.79/38.29)</f>
        <v>0.16791851658396445</v>
      </c>
    </row>
    <row r="3888" spans="1:8" x14ac:dyDescent="0.25">
      <c r="A3888" s="1">
        <v>2008</v>
      </c>
      <c r="B3888" s="1" t="s">
        <v>99</v>
      </c>
      <c r="C3888" t="s">
        <v>51</v>
      </c>
      <c r="D3888">
        <v>5</v>
      </c>
      <c r="E3888">
        <v>88</v>
      </c>
      <c r="F3888">
        <v>0.34</v>
      </c>
      <c r="G3888">
        <f t="shared" si="48"/>
        <v>0.11333333333333336</v>
      </c>
      <c r="H3888">
        <f>G3888*(26.79/38.29)</f>
        <v>7.9294855053538796E-2</v>
      </c>
    </row>
  </sheetData>
  <sortState xmlns:xlrd2="http://schemas.microsoft.com/office/spreadsheetml/2017/richdata2" ref="A2:H3889">
    <sortCondition descending="1" ref="C2:C3889"/>
    <sortCondition ref="A2:A3889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520C-60F5-4596-996D-081621111779}">
  <dimension ref="A1:K1666"/>
  <sheetViews>
    <sheetView workbookViewId="0">
      <pane ySplit="1" topLeftCell="A1424" activePane="bottomLeft" state="frozen"/>
      <selection pane="bottomLeft" activeCell="A2" sqref="A2:K1466"/>
    </sheetView>
  </sheetViews>
  <sheetFormatPr defaultRowHeight="15" x14ac:dyDescent="0.25"/>
  <cols>
    <col min="1" max="2" width="9.140625" style="1"/>
    <col min="3" max="3" width="13.5703125" bestFit="1" customWidth="1"/>
    <col min="4" max="4" width="13.42578125" style="1" bestFit="1" customWidth="1"/>
    <col min="8" max="8" width="10.85546875" bestFit="1" customWidth="1"/>
    <col min="9" max="9" width="9.85546875" bestFit="1" customWidth="1"/>
  </cols>
  <sheetData>
    <row r="1" spans="1:11" ht="30" customHeight="1" x14ac:dyDescent="0.25">
      <c r="A1" s="1" t="s">
        <v>1</v>
      </c>
      <c r="B1" s="1" t="s">
        <v>98</v>
      </c>
      <c r="C1" t="s">
        <v>58</v>
      </c>
      <c r="D1" s="1" t="s">
        <v>2</v>
      </c>
      <c r="E1" s="1" t="s">
        <v>0</v>
      </c>
      <c r="F1" s="1" t="s">
        <v>100</v>
      </c>
      <c r="G1" s="7" t="s">
        <v>56</v>
      </c>
      <c r="H1" t="s">
        <v>4</v>
      </c>
      <c r="I1" s="7" t="s">
        <v>57</v>
      </c>
      <c r="J1" s="11" t="s">
        <v>102</v>
      </c>
      <c r="K1" s="11" t="s">
        <v>103</v>
      </c>
    </row>
    <row r="2" spans="1:11" x14ac:dyDescent="0.25">
      <c r="A2" s="1">
        <v>1958</v>
      </c>
      <c r="B2" s="1" t="s">
        <v>104</v>
      </c>
      <c r="C2" t="s">
        <v>6</v>
      </c>
      <c r="D2" s="1" t="s">
        <v>3</v>
      </c>
      <c r="E2">
        <v>17</v>
      </c>
      <c r="F2" s="1" t="s">
        <v>101</v>
      </c>
      <c r="G2">
        <v>6</v>
      </c>
      <c r="H2">
        <v>57</v>
      </c>
      <c r="I2" s="2">
        <f>0.005454*G2^2*H2</f>
        <v>11.191607999999999</v>
      </c>
      <c r="J2">
        <f>I2/11.5</f>
        <v>0.97318330434782596</v>
      </c>
      <c r="K2">
        <f>J2*(11.5/38.29)</f>
        <v>0.29228540088796023</v>
      </c>
    </row>
    <row r="3" spans="1:11" x14ac:dyDescent="0.25">
      <c r="A3" s="1">
        <v>1958</v>
      </c>
      <c r="B3" s="1" t="s">
        <v>104</v>
      </c>
      <c r="C3" t="s">
        <v>6</v>
      </c>
      <c r="D3" s="1" t="s">
        <v>3</v>
      </c>
      <c r="E3">
        <v>17</v>
      </c>
      <c r="F3" s="1" t="s">
        <v>101</v>
      </c>
      <c r="G3">
        <v>8</v>
      </c>
      <c r="H3">
        <v>17</v>
      </c>
      <c r="I3" s="2">
        <f t="shared" ref="I3:I66" si="0">0.005454*G3^2*H3</f>
        <v>5.9339519999999997</v>
      </c>
      <c r="J3">
        <f t="shared" ref="J3:J66" si="1">I3/11.5</f>
        <v>0.51599582608695649</v>
      </c>
      <c r="K3">
        <f t="shared" ref="K3:K66" si="2">J3*(11.5/38.29)</f>
        <v>0.15497393575346041</v>
      </c>
    </row>
    <row r="4" spans="1:11" x14ac:dyDescent="0.25">
      <c r="A4" s="1">
        <v>1958</v>
      </c>
      <c r="B4" s="1" t="s">
        <v>104</v>
      </c>
      <c r="C4" t="s">
        <v>6</v>
      </c>
      <c r="D4" s="1" t="s">
        <v>3</v>
      </c>
      <c r="E4">
        <v>17</v>
      </c>
      <c r="F4" s="1" t="s">
        <v>101</v>
      </c>
      <c r="G4">
        <v>10</v>
      </c>
      <c r="H4">
        <v>4</v>
      </c>
      <c r="I4" s="2">
        <f t="shared" si="0"/>
        <v>2.1816</v>
      </c>
      <c r="J4">
        <f t="shared" si="1"/>
        <v>0.18970434782608694</v>
      </c>
      <c r="K4">
        <f t="shared" si="2"/>
        <v>5.6975711674066329E-2</v>
      </c>
    </row>
    <row r="5" spans="1:11" x14ac:dyDescent="0.25">
      <c r="A5" s="1">
        <v>1958</v>
      </c>
      <c r="B5" s="1" t="s">
        <v>104</v>
      </c>
      <c r="C5" t="s">
        <v>6</v>
      </c>
      <c r="D5" s="1" t="s">
        <v>3</v>
      </c>
      <c r="E5">
        <v>17</v>
      </c>
      <c r="F5" s="1" t="s">
        <v>101</v>
      </c>
      <c r="G5">
        <v>12</v>
      </c>
      <c r="H5">
        <v>5</v>
      </c>
      <c r="I5" s="2">
        <f t="shared" si="0"/>
        <v>3.9268799999999997</v>
      </c>
      <c r="J5">
        <f t="shared" si="1"/>
        <v>0.34146782608695647</v>
      </c>
      <c r="K5">
        <f t="shared" si="2"/>
        <v>0.10255628101331939</v>
      </c>
    </row>
    <row r="6" spans="1:11" x14ac:dyDescent="0.25">
      <c r="A6" s="1">
        <v>1958</v>
      </c>
      <c r="B6" s="1" t="s">
        <v>104</v>
      </c>
      <c r="C6" t="s">
        <v>6</v>
      </c>
      <c r="D6" s="1" t="s">
        <v>3</v>
      </c>
      <c r="E6">
        <v>17</v>
      </c>
      <c r="F6" s="1" t="s">
        <v>101</v>
      </c>
      <c r="G6">
        <v>14</v>
      </c>
      <c r="H6">
        <v>4</v>
      </c>
      <c r="I6" s="2">
        <f t="shared" si="0"/>
        <v>4.2759359999999997</v>
      </c>
      <c r="J6">
        <f t="shared" si="1"/>
        <v>0.37182052173913044</v>
      </c>
      <c r="K6">
        <f t="shared" si="2"/>
        <v>0.11167239488117002</v>
      </c>
    </row>
    <row r="7" spans="1:11" x14ac:dyDescent="0.25">
      <c r="A7" s="1">
        <v>1958</v>
      </c>
      <c r="B7" s="1" t="s">
        <v>104</v>
      </c>
      <c r="C7" t="s">
        <v>6</v>
      </c>
      <c r="D7" s="1" t="s">
        <v>3</v>
      </c>
      <c r="E7">
        <v>21</v>
      </c>
      <c r="F7" s="1" t="s">
        <v>101</v>
      </c>
      <c r="G7">
        <v>6</v>
      </c>
      <c r="H7">
        <v>1</v>
      </c>
      <c r="I7" s="2">
        <f t="shared" si="0"/>
        <v>0.19634399999999999</v>
      </c>
      <c r="J7">
        <f t="shared" si="1"/>
        <v>1.7073391304347825E-2</v>
      </c>
      <c r="K7">
        <f t="shared" si="2"/>
        <v>5.1278140506659702E-3</v>
      </c>
    </row>
    <row r="8" spans="1:11" x14ac:dyDescent="0.25">
      <c r="A8" s="1">
        <v>1958</v>
      </c>
      <c r="B8" s="1" t="s">
        <v>104</v>
      </c>
      <c r="C8" t="s">
        <v>6</v>
      </c>
      <c r="D8" s="1" t="s">
        <v>3</v>
      </c>
      <c r="E8">
        <v>21</v>
      </c>
      <c r="F8" s="1" t="s">
        <v>101</v>
      </c>
      <c r="G8">
        <v>8</v>
      </c>
      <c r="H8">
        <v>2</v>
      </c>
      <c r="I8" s="2">
        <f t="shared" si="0"/>
        <v>0.69811199999999995</v>
      </c>
      <c r="J8">
        <f t="shared" si="1"/>
        <v>6.0705391304347822E-2</v>
      </c>
      <c r="K8">
        <f t="shared" si="2"/>
        <v>1.8232227735701226E-2</v>
      </c>
    </row>
    <row r="9" spans="1:11" x14ac:dyDescent="0.25">
      <c r="A9" s="1">
        <v>1958</v>
      </c>
      <c r="B9" s="1" t="s">
        <v>104</v>
      </c>
      <c r="C9" t="s">
        <v>6</v>
      </c>
      <c r="D9" s="1" t="s">
        <v>3</v>
      </c>
      <c r="E9">
        <v>21</v>
      </c>
      <c r="F9" s="1" t="s">
        <v>101</v>
      </c>
      <c r="G9">
        <v>10</v>
      </c>
      <c r="H9">
        <v>1</v>
      </c>
      <c r="I9" s="2">
        <f t="shared" si="0"/>
        <v>0.5454</v>
      </c>
      <c r="J9">
        <f t="shared" si="1"/>
        <v>4.7426086956521736E-2</v>
      </c>
      <c r="K9">
        <f t="shared" si="2"/>
        <v>1.4243927918516582E-2</v>
      </c>
    </row>
    <row r="10" spans="1:11" x14ac:dyDescent="0.25">
      <c r="A10" s="1">
        <v>1958</v>
      </c>
      <c r="B10" s="1" t="s">
        <v>104</v>
      </c>
      <c r="C10" t="s">
        <v>6</v>
      </c>
      <c r="D10" s="1" t="s">
        <v>3</v>
      </c>
      <c r="E10">
        <v>21</v>
      </c>
      <c r="F10" s="1" t="s">
        <v>101</v>
      </c>
      <c r="G10">
        <v>16</v>
      </c>
      <c r="H10">
        <v>5</v>
      </c>
      <c r="I10" s="2">
        <f t="shared" si="0"/>
        <v>6.9811199999999998</v>
      </c>
      <c r="J10">
        <f t="shared" si="1"/>
        <v>0.60705391304347822</v>
      </c>
      <c r="K10">
        <f t="shared" si="2"/>
        <v>0.18232227735701226</v>
      </c>
    </row>
    <row r="11" spans="1:11" x14ac:dyDescent="0.25">
      <c r="A11" s="1">
        <v>1958</v>
      </c>
      <c r="B11" s="1" t="s">
        <v>104</v>
      </c>
      <c r="C11" t="s">
        <v>6</v>
      </c>
      <c r="D11" s="1" t="s">
        <v>3</v>
      </c>
      <c r="E11">
        <v>21</v>
      </c>
      <c r="F11" s="1" t="s">
        <v>101</v>
      </c>
      <c r="G11">
        <v>18</v>
      </c>
      <c r="H11">
        <v>1</v>
      </c>
      <c r="I11" s="2">
        <f t="shared" si="0"/>
        <v>1.7670959999999998</v>
      </c>
      <c r="J11">
        <f t="shared" si="1"/>
        <v>0.15366052173913042</v>
      </c>
      <c r="K11">
        <f t="shared" si="2"/>
        <v>4.6150326455993727E-2</v>
      </c>
    </row>
    <row r="12" spans="1:11" x14ac:dyDescent="0.25">
      <c r="A12" s="1">
        <v>1958</v>
      </c>
      <c r="B12" s="1" t="s">
        <v>104</v>
      </c>
      <c r="C12" t="s">
        <v>6</v>
      </c>
      <c r="D12" s="1" t="s">
        <v>3</v>
      </c>
      <c r="E12">
        <v>21</v>
      </c>
      <c r="F12" s="1" t="s">
        <v>101</v>
      </c>
      <c r="G12">
        <v>20</v>
      </c>
      <c r="H12">
        <v>1</v>
      </c>
      <c r="I12" s="2">
        <f t="shared" si="0"/>
        <v>2.1816</v>
      </c>
      <c r="J12">
        <f t="shared" si="1"/>
        <v>0.18970434782608694</v>
      </c>
      <c r="K12">
        <f t="shared" si="2"/>
        <v>5.6975711674066329E-2</v>
      </c>
    </row>
    <row r="13" spans="1:11" x14ac:dyDescent="0.25">
      <c r="A13" s="1">
        <v>1958</v>
      </c>
      <c r="B13" s="1" t="s">
        <v>104</v>
      </c>
      <c r="C13" t="s">
        <v>6</v>
      </c>
      <c r="D13" s="1" t="s">
        <v>3</v>
      </c>
      <c r="E13">
        <v>21</v>
      </c>
      <c r="F13" s="1" t="s">
        <v>101</v>
      </c>
      <c r="G13">
        <v>22</v>
      </c>
      <c r="H13">
        <v>1</v>
      </c>
      <c r="I13" s="2">
        <f t="shared" si="0"/>
        <v>2.6397359999999996</v>
      </c>
      <c r="J13">
        <f t="shared" si="1"/>
        <v>0.2295422608695652</v>
      </c>
      <c r="K13">
        <f t="shared" si="2"/>
        <v>6.8940611125620263E-2</v>
      </c>
    </row>
    <row r="14" spans="1:11" x14ac:dyDescent="0.25">
      <c r="A14" s="1">
        <v>1958</v>
      </c>
      <c r="B14" s="1" t="s">
        <v>104</v>
      </c>
      <c r="C14" t="s">
        <v>6</v>
      </c>
      <c r="D14" s="1" t="s">
        <v>3</v>
      </c>
      <c r="E14">
        <v>21</v>
      </c>
      <c r="F14" s="1" t="s">
        <v>101</v>
      </c>
      <c r="G14">
        <v>28</v>
      </c>
      <c r="H14">
        <v>1</v>
      </c>
      <c r="I14" s="2">
        <f t="shared" si="0"/>
        <v>4.2759359999999997</v>
      </c>
      <c r="J14">
        <f t="shared" si="1"/>
        <v>0.37182052173913044</v>
      </c>
      <c r="K14">
        <f t="shared" si="2"/>
        <v>0.11167239488117002</v>
      </c>
    </row>
    <row r="15" spans="1:11" x14ac:dyDescent="0.25">
      <c r="A15" s="1">
        <v>1958</v>
      </c>
      <c r="B15" s="1" t="s">
        <v>104</v>
      </c>
      <c r="C15" t="s">
        <v>6</v>
      </c>
      <c r="D15" s="1" t="s">
        <v>3</v>
      </c>
      <c r="E15">
        <v>21</v>
      </c>
      <c r="F15" s="1" t="s">
        <v>101</v>
      </c>
      <c r="G15">
        <v>30</v>
      </c>
      <c r="H15">
        <v>1</v>
      </c>
      <c r="I15" s="2">
        <f t="shared" si="0"/>
        <v>4.9085999999999999</v>
      </c>
      <c r="J15">
        <f t="shared" si="1"/>
        <v>0.42683478260869562</v>
      </c>
      <c r="K15">
        <f t="shared" si="2"/>
        <v>0.12819535126664924</v>
      </c>
    </row>
    <row r="16" spans="1:11" x14ac:dyDescent="0.25">
      <c r="A16" s="1">
        <v>1958</v>
      </c>
      <c r="B16" s="1" t="s">
        <v>104</v>
      </c>
      <c r="C16" t="s">
        <v>6</v>
      </c>
      <c r="D16" s="1" t="s">
        <v>3</v>
      </c>
      <c r="E16">
        <v>25</v>
      </c>
      <c r="F16" s="1" t="s">
        <v>101</v>
      </c>
      <c r="G16">
        <v>16</v>
      </c>
      <c r="H16">
        <v>1</v>
      </c>
      <c r="I16" s="2">
        <f t="shared" si="0"/>
        <v>1.3962239999999999</v>
      </c>
      <c r="J16">
        <f t="shared" si="1"/>
        <v>0.12141078260869564</v>
      </c>
      <c r="K16">
        <f t="shared" si="2"/>
        <v>3.6464455471402452E-2</v>
      </c>
    </row>
    <row r="17" spans="1:11" x14ac:dyDescent="0.25">
      <c r="A17" s="1">
        <v>1958</v>
      </c>
      <c r="B17" s="1" t="s">
        <v>104</v>
      </c>
      <c r="C17" t="s">
        <v>6</v>
      </c>
      <c r="D17" s="1" t="s">
        <v>3</v>
      </c>
      <c r="E17">
        <v>29</v>
      </c>
      <c r="F17" s="1" t="s">
        <v>101</v>
      </c>
      <c r="G17">
        <v>6</v>
      </c>
      <c r="H17">
        <v>43</v>
      </c>
      <c r="I17" s="2">
        <f t="shared" si="0"/>
        <v>8.442791999999999</v>
      </c>
      <c r="J17">
        <f t="shared" si="1"/>
        <v>0.7341558260869564</v>
      </c>
      <c r="K17">
        <f t="shared" si="2"/>
        <v>0.22049600417863668</v>
      </c>
    </row>
    <row r="18" spans="1:11" x14ac:dyDescent="0.25">
      <c r="A18" s="1">
        <v>1958</v>
      </c>
      <c r="B18" s="1" t="s">
        <v>104</v>
      </c>
      <c r="C18" t="s">
        <v>6</v>
      </c>
      <c r="D18" s="1" t="s">
        <v>3</v>
      </c>
      <c r="E18">
        <v>29</v>
      </c>
      <c r="F18" s="1" t="s">
        <v>101</v>
      </c>
      <c r="G18">
        <v>8</v>
      </c>
      <c r="H18">
        <v>8</v>
      </c>
      <c r="I18" s="2">
        <f t="shared" si="0"/>
        <v>2.7924479999999998</v>
      </c>
      <c r="J18">
        <f t="shared" si="1"/>
        <v>0.24282156521739129</v>
      </c>
      <c r="K18">
        <f t="shared" si="2"/>
        <v>7.2928910942804903E-2</v>
      </c>
    </row>
    <row r="19" spans="1:11" x14ac:dyDescent="0.25">
      <c r="A19" s="1">
        <v>1958</v>
      </c>
      <c r="B19" s="1" t="s">
        <v>104</v>
      </c>
      <c r="C19" t="s">
        <v>6</v>
      </c>
      <c r="D19" s="1" t="s">
        <v>3</v>
      </c>
      <c r="E19">
        <v>29</v>
      </c>
      <c r="F19" s="1" t="s">
        <v>101</v>
      </c>
      <c r="G19">
        <v>10</v>
      </c>
      <c r="H19">
        <v>8</v>
      </c>
      <c r="I19" s="2">
        <f t="shared" si="0"/>
        <v>4.3632</v>
      </c>
      <c r="J19">
        <f t="shared" si="1"/>
        <v>0.37940869565217389</v>
      </c>
      <c r="K19">
        <f t="shared" si="2"/>
        <v>0.11395142334813266</v>
      </c>
    </row>
    <row r="20" spans="1:11" x14ac:dyDescent="0.25">
      <c r="A20" s="1">
        <v>1958</v>
      </c>
      <c r="B20" s="1" t="s">
        <v>104</v>
      </c>
      <c r="C20" t="s">
        <v>6</v>
      </c>
      <c r="D20" s="1" t="s">
        <v>3</v>
      </c>
      <c r="E20">
        <v>29</v>
      </c>
      <c r="F20" s="1" t="s">
        <v>101</v>
      </c>
      <c r="G20">
        <v>12</v>
      </c>
      <c r="H20">
        <v>1</v>
      </c>
      <c r="I20" s="2">
        <f t="shared" si="0"/>
        <v>0.78537599999999996</v>
      </c>
      <c r="J20">
        <f t="shared" si="1"/>
        <v>6.82935652173913E-2</v>
      </c>
      <c r="K20">
        <f t="shared" si="2"/>
        <v>2.0511256202663881E-2</v>
      </c>
    </row>
    <row r="21" spans="1:11" x14ac:dyDescent="0.25">
      <c r="A21" s="1">
        <v>1958</v>
      </c>
      <c r="B21" s="1" t="s">
        <v>104</v>
      </c>
      <c r="C21" t="s">
        <v>6</v>
      </c>
      <c r="D21" s="1" t="s">
        <v>3</v>
      </c>
      <c r="E21">
        <v>29</v>
      </c>
      <c r="F21" s="1" t="s">
        <v>101</v>
      </c>
      <c r="G21">
        <v>14</v>
      </c>
      <c r="H21">
        <v>1</v>
      </c>
      <c r="I21" s="2">
        <f t="shared" si="0"/>
        <v>1.0689839999999999</v>
      </c>
      <c r="J21">
        <f t="shared" si="1"/>
        <v>9.295513043478261E-2</v>
      </c>
      <c r="K21">
        <f t="shared" si="2"/>
        <v>2.7918098720292505E-2</v>
      </c>
    </row>
    <row r="22" spans="1:11" x14ac:dyDescent="0.25">
      <c r="A22" s="1">
        <v>1958</v>
      </c>
      <c r="B22" s="1" t="s">
        <v>104</v>
      </c>
      <c r="C22" t="s">
        <v>6</v>
      </c>
      <c r="D22" s="1" t="s">
        <v>3</v>
      </c>
      <c r="E22">
        <v>32</v>
      </c>
      <c r="F22" s="1" t="s">
        <v>101</v>
      </c>
      <c r="G22">
        <v>6</v>
      </c>
      <c r="H22">
        <v>12</v>
      </c>
      <c r="I22" s="2">
        <f t="shared" si="0"/>
        <v>2.356128</v>
      </c>
      <c r="J22">
        <f t="shared" si="1"/>
        <v>0.2048806956521739</v>
      </c>
      <c r="K22">
        <f t="shared" si="2"/>
        <v>6.1533768607991639E-2</v>
      </c>
    </row>
    <row r="23" spans="1:11" x14ac:dyDescent="0.25">
      <c r="A23" s="1">
        <v>1958</v>
      </c>
      <c r="B23" s="1" t="s">
        <v>104</v>
      </c>
      <c r="C23" t="s">
        <v>6</v>
      </c>
      <c r="D23" s="1" t="s">
        <v>3</v>
      </c>
      <c r="E23">
        <v>32</v>
      </c>
      <c r="F23" s="1" t="s">
        <v>101</v>
      </c>
      <c r="G23">
        <v>8</v>
      </c>
      <c r="H23">
        <v>2</v>
      </c>
      <c r="I23" s="2">
        <f t="shared" si="0"/>
        <v>0.69811199999999995</v>
      </c>
      <c r="J23">
        <f t="shared" si="1"/>
        <v>6.0705391304347822E-2</v>
      </c>
      <c r="K23">
        <f t="shared" si="2"/>
        <v>1.8232227735701226E-2</v>
      </c>
    </row>
    <row r="24" spans="1:11" x14ac:dyDescent="0.25">
      <c r="A24" s="1">
        <v>1958</v>
      </c>
      <c r="B24" s="1" t="s">
        <v>104</v>
      </c>
      <c r="C24" t="s">
        <v>6</v>
      </c>
      <c r="D24" s="1" t="s">
        <v>3</v>
      </c>
      <c r="E24">
        <v>32</v>
      </c>
      <c r="F24" s="1" t="s">
        <v>101</v>
      </c>
      <c r="G24">
        <v>10</v>
      </c>
      <c r="H24">
        <v>2</v>
      </c>
      <c r="I24" s="2">
        <f t="shared" si="0"/>
        <v>1.0908</v>
      </c>
      <c r="J24">
        <f t="shared" si="1"/>
        <v>9.4852173913043472E-2</v>
      </c>
      <c r="K24">
        <f t="shared" si="2"/>
        <v>2.8487855837033164E-2</v>
      </c>
    </row>
    <row r="25" spans="1:11" x14ac:dyDescent="0.25">
      <c r="A25" s="1">
        <v>1958</v>
      </c>
      <c r="B25" s="1" t="s">
        <v>104</v>
      </c>
      <c r="C25" t="s">
        <v>6</v>
      </c>
      <c r="D25" s="1" t="s">
        <v>3</v>
      </c>
      <c r="E25">
        <v>32</v>
      </c>
      <c r="F25" s="1" t="s">
        <v>101</v>
      </c>
      <c r="G25">
        <v>12</v>
      </c>
      <c r="H25">
        <v>3</v>
      </c>
      <c r="I25" s="2">
        <f t="shared" si="0"/>
        <v>2.356128</v>
      </c>
      <c r="J25">
        <f t="shared" si="1"/>
        <v>0.2048806956521739</v>
      </c>
      <c r="K25">
        <f t="shared" si="2"/>
        <v>6.1533768607991639E-2</v>
      </c>
    </row>
    <row r="26" spans="1:11" x14ac:dyDescent="0.25">
      <c r="A26" s="1">
        <v>1958</v>
      </c>
      <c r="B26" s="1" t="s">
        <v>104</v>
      </c>
      <c r="C26" t="s">
        <v>6</v>
      </c>
      <c r="D26" s="1" t="s">
        <v>3</v>
      </c>
      <c r="E26">
        <v>32</v>
      </c>
      <c r="F26" s="1" t="s">
        <v>101</v>
      </c>
      <c r="G26">
        <v>14</v>
      </c>
      <c r="H26">
        <v>2</v>
      </c>
      <c r="I26" s="2">
        <f t="shared" si="0"/>
        <v>2.1379679999999999</v>
      </c>
      <c r="J26">
        <f t="shared" si="1"/>
        <v>0.18591026086956522</v>
      </c>
      <c r="K26">
        <f t="shared" si="2"/>
        <v>5.583619744058501E-2</v>
      </c>
    </row>
    <row r="27" spans="1:11" x14ac:dyDescent="0.25">
      <c r="A27" s="1">
        <v>1958</v>
      </c>
      <c r="B27" s="1" t="s">
        <v>104</v>
      </c>
      <c r="C27" t="s">
        <v>6</v>
      </c>
      <c r="D27" s="1" t="s">
        <v>3</v>
      </c>
      <c r="E27">
        <v>32</v>
      </c>
      <c r="F27" s="1" t="s">
        <v>101</v>
      </c>
      <c r="G27">
        <v>18</v>
      </c>
      <c r="H27">
        <v>3</v>
      </c>
      <c r="I27" s="2">
        <f t="shared" si="0"/>
        <v>5.3012879999999996</v>
      </c>
      <c r="J27">
        <f t="shared" si="1"/>
        <v>0.46098156521739125</v>
      </c>
      <c r="K27">
        <f t="shared" si="2"/>
        <v>0.13845097936798118</v>
      </c>
    </row>
    <row r="28" spans="1:11" x14ac:dyDescent="0.25">
      <c r="A28" s="1">
        <v>1958</v>
      </c>
      <c r="B28" s="1" t="s">
        <v>104</v>
      </c>
      <c r="C28" t="s">
        <v>6</v>
      </c>
      <c r="D28" s="1" t="s">
        <v>3</v>
      </c>
      <c r="E28">
        <v>32</v>
      </c>
      <c r="F28" s="1" t="s">
        <v>101</v>
      </c>
      <c r="G28">
        <v>20</v>
      </c>
      <c r="H28">
        <v>2</v>
      </c>
      <c r="I28" s="2">
        <f t="shared" si="0"/>
        <v>4.3632</v>
      </c>
      <c r="J28">
        <f t="shared" si="1"/>
        <v>0.37940869565217389</v>
      </c>
      <c r="K28">
        <f t="shared" si="2"/>
        <v>0.11395142334813266</v>
      </c>
    </row>
    <row r="29" spans="1:11" x14ac:dyDescent="0.25">
      <c r="A29" s="1">
        <v>1958</v>
      </c>
      <c r="B29" s="1" t="s">
        <v>104</v>
      </c>
      <c r="C29" t="s">
        <v>6</v>
      </c>
      <c r="D29" s="1" t="s">
        <v>3</v>
      </c>
      <c r="E29">
        <v>32</v>
      </c>
      <c r="F29" s="1" t="s">
        <v>101</v>
      </c>
      <c r="G29">
        <v>22</v>
      </c>
      <c r="H29">
        <v>1</v>
      </c>
      <c r="I29" s="2">
        <f t="shared" si="0"/>
        <v>2.6397359999999996</v>
      </c>
      <c r="J29">
        <f t="shared" si="1"/>
        <v>0.2295422608695652</v>
      </c>
      <c r="K29">
        <f t="shared" si="2"/>
        <v>6.8940611125620263E-2</v>
      </c>
    </row>
    <row r="30" spans="1:11" x14ac:dyDescent="0.25">
      <c r="A30" s="1">
        <v>1958</v>
      </c>
      <c r="B30" s="1" t="s">
        <v>104</v>
      </c>
      <c r="C30" t="s">
        <v>6</v>
      </c>
      <c r="D30" s="1" t="s">
        <v>3</v>
      </c>
      <c r="E30">
        <v>34</v>
      </c>
      <c r="F30" s="1" t="s">
        <v>101</v>
      </c>
      <c r="G30">
        <v>6</v>
      </c>
      <c r="H30">
        <v>80</v>
      </c>
      <c r="I30" s="2">
        <f t="shared" si="0"/>
        <v>15.707519999999999</v>
      </c>
      <c r="J30">
        <f t="shared" si="1"/>
        <v>1.3658713043478259</v>
      </c>
      <c r="K30">
        <f t="shared" si="2"/>
        <v>0.41022512405327755</v>
      </c>
    </row>
    <row r="31" spans="1:11" x14ac:dyDescent="0.25">
      <c r="A31" s="1">
        <v>1958</v>
      </c>
      <c r="B31" s="1" t="s">
        <v>104</v>
      </c>
      <c r="C31" t="s">
        <v>6</v>
      </c>
      <c r="D31" s="1" t="s">
        <v>3</v>
      </c>
      <c r="E31">
        <v>34</v>
      </c>
      <c r="F31" s="1" t="s">
        <v>101</v>
      </c>
      <c r="G31">
        <v>8</v>
      </c>
      <c r="H31">
        <v>50</v>
      </c>
      <c r="I31" s="2">
        <f t="shared" si="0"/>
        <v>17.4528</v>
      </c>
      <c r="J31">
        <f t="shared" si="1"/>
        <v>1.5176347826086956</v>
      </c>
      <c r="K31">
        <f t="shared" si="2"/>
        <v>0.45580569339253063</v>
      </c>
    </row>
    <row r="32" spans="1:11" x14ac:dyDescent="0.25">
      <c r="A32" s="1">
        <v>1958</v>
      </c>
      <c r="B32" s="1" t="s">
        <v>104</v>
      </c>
      <c r="C32" t="s">
        <v>6</v>
      </c>
      <c r="D32" s="1" t="s">
        <v>3</v>
      </c>
      <c r="E32">
        <v>34</v>
      </c>
      <c r="F32" s="1" t="s">
        <v>101</v>
      </c>
      <c r="G32">
        <v>10</v>
      </c>
      <c r="H32">
        <v>28</v>
      </c>
      <c r="I32" s="2">
        <f t="shared" si="0"/>
        <v>15.2712</v>
      </c>
      <c r="J32">
        <f t="shared" si="1"/>
        <v>1.3279304347826086</v>
      </c>
      <c r="K32">
        <f t="shared" si="2"/>
        <v>0.39882998171846434</v>
      </c>
    </row>
    <row r="33" spans="1:11" x14ac:dyDescent="0.25">
      <c r="A33" s="1">
        <v>1958</v>
      </c>
      <c r="B33" s="1" t="s">
        <v>104</v>
      </c>
      <c r="C33" t="s">
        <v>6</v>
      </c>
      <c r="D33" s="1" t="s">
        <v>3</v>
      </c>
      <c r="E33">
        <v>34</v>
      </c>
      <c r="F33" s="1" t="s">
        <v>101</v>
      </c>
      <c r="G33">
        <v>12</v>
      </c>
      <c r="H33">
        <v>10</v>
      </c>
      <c r="I33" s="2">
        <f t="shared" si="0"/>
        <v>7.8537599999999994</v>
      </c>
      <c r="J33">
        <f t="shared" si="1"/>
        <v>0.68293565217391294</v>
      </c>
      <c r="K33">
        <f t="shared" si="2"/>
        <v>0.20511256202663877</v>
      </c>
    </row>
    <row r="34" spans="1:11" x14ac:dyDescent="0.25">
      <c r="A34" s="1">
        <v>1958</v>
      </c>
      <c r="B34" s="1" t="s">
        <v>104</v>
      </c>
      <c r="C34" t="s">
        <v>6</v>
      </c>
      <c r="D34" s="1" t="s">
        <v>3</v>
      </c>
      <c r="E34">
        <v>34</v>
      </c>
      <c r="F34" s="1" t="s">
        <v>101</v>
      </c>
      <c r="G34">
        <v>14</v>
      </c>
      <c r="H34">
        <v>11</v>
      </c>
      <c r="I34" s="2">
        <f t="shared" si="0"/>
        <v>11.758823999999999</v>
      </c>
      <c r="J34">
        <f t="shared" si="1"/>
        <v>1.0225064347826085</v>
      </c>
      <c r="K34">
        <f t="shared" si="2"/>
        <v>0.3070990859232175</v>
      </c>
    </row>
    <row r="35" spans="1:11" x14ac:dyDescent="0.25">
      <c r="A35" s="1">
        <v>1958</v>
      </c>
      <c r="B35" s="1" t="s">
        <v>104</v>
      </c>
      <c r="C35" t="s">
        <v>6</v>
      </c>
      <c r="D35" s="1" t="s">
        <v>3</v>
      </c>
      <c r="E35">
        <v>34</v>
      </c>
      <c r="F35" s="1" t="s">
        <v>101</v>
      </c>
      <c r="G35">
        <v>16</v>
      </c>
      <c r="H35">
        <v>5</v>
      </c>
      <c r="I35" s="2">
        <f t="shared" si="0"/>
        <v>6.9811199999999998</v>
      </c>
      <c r="J35">
        <f t="shared" si="1"/>
        <v>0.60705391304347822</v>
      </c>
      <c r="K35">
        <f t="shared" si="2"/>
        <v>0.18232227735701226</v>
      </c>
    </row>
    <row r="36" spans="1:11" x14ac:dyDescent="0.25">
      <c r="A36" s="1">
        <v>1958</v>
      </c>
      <c r="B36" s="1" t="s">
        <v>104</v>
      </c>
      <c r="C36" t="s">
        <v>6</v>
      </c>
      <c r="D36" s="1" t="s">
        <v>3</v>
      </c>
      <c r="E36">
        <v>34</v>
      </c>
      <c r="F36" s="1" t="s">
        <v>101</v>
      </c>
      <c r="G36">
        <v>18</v>
      </c>
      <c r="H36">
        <v>1</v>
      </c>
      <c r="I36" s="2">
        <f t="shared" si="0"/>
        <v>1.7670959999999998</v>
      </c>
      <c r="J36">
        <f t="shared" si="1"/>
        <v>0.15366052173913042</v>
      </c>
      <c r="K36">
        <f t="shared" si="2"/>
        <v>4.6150326455993727E-2</v>
      </c>
    </row>
    <row r="37" spans="1:11" x14ac:dyDescent="0.25">
      <c r="A37" s="1">
        <v>1958</v>
      </c>
      <c r="B37" s="1" t="s">
        <v>104</v>
      </c>
      <c r="C37" t="s">
        <v>6</v>
      </c>
      <c r="D37" s="1" t="s">
        <v>3</v>
      </c>
      <c r="E37">
        <v>34</v>
      </c>
      <c r="F37" s="1" t="s">
        <v>101</v>
      </c>
      <c r="G37">
        <v>20</v>
      </c>
      <c r="H37">
        <v>2</v>
      </c>
      <c r="I37" s="2">
        <f t="shared" si="0"/>
        <v>4.3632</v>
      </c>
      <c r="J37">
        <f t="shared" si="1"/>
        <v>0.37940869565217389</v>
      </c>
      <c r="K37">
        <f t="shared" si="2"/>
        <v>0.11395142334813266</v>
      </c>
    </row>
    <row r="38" spans="1:11" x14ac:dyDescent="0.25">
      <c r="A38" s="1">
        <v>1958</v>
      </c>
      <c r="B38" s="1" t="s">
        <v>104</v>
      </c>
      <c r="C38" t="s">
        <v>6</v>
      </c>
      <c r="D38" s="1" t="s">
        <v>3</v>
      </c>
      <c r="E38">
        <v>34</v>
      </c>
      <c r="F38" s="1" t="s">
        <v>101</v>
      </c>
      <c r="G38">
        <v>22</v>
      </c>
      <c r="H38">
        <v>2</v>
      </c>
      <c r="I38" s="2">
        <f t="shared" si="0"/>
        <v>5.2794719999999993</v>
      </c>
      <c r="J38">
        <f t="shared" si="1"/>
        <v>0.45908452173913039</v>
      </c>
      <c r="K38">
        <f t="shared" si="2"/>
        <v>0.13788122225124053</v>
      </c>
    </row>
    <row r="39" spans="1:11" x14ac:dyDescent="0.25">
      <c r="A39" s="1">
        <v>1958</v>
      </c>
      <c r="B39" s="1" t="s">
        <v>104</v>
      </c>
      <c r="C39" t="s">
        <v>6</v>
      </c>
      <c r="D39" s="1" t="s">
        <v>3</v>
      </c>
      <c r="E39">
        <v>38</v>
      </c>
      <c r="F39" s="1" t="s">
        <v>101</v>
      </c>
      <c r="G39">
        <v>6</v>
      </c>
      <c r="H39">
        <v>271</v>
      </c>
      <c r="I39" s="2">
        <f t="shared" si="0"/>
        <v>53.209223999999999</v>
      </c>
      <c r="J39">
        <f t="shared" si="1"/>
        <v>4.6268890434782604</v>
      </c>
      <c r="K39">
        <f t="shared" si="2"/>
        <v>1.3896376077304777</v>
      </c>
    </row>
    <row r="40" spans="1:11" x14ac:dyDescent="0.25">
      <c r="A40" s="1">
        <v>1958</v>
      </c>
      <c r="B40" s="1" t="s">
        <v>104</v>
      </c>
      <c r="C40" t="s">
        <v>6</v>
      </c>
      <c r="D40" s="1" t="s">
        <v>3</v>
      </c>
      <c r="E40">
        <v>38</v>
      </c>
      <c r="F40" s="1" t="s">
        <v>101</v>
      </c>
      <c r="G40">
        <v>8</v>
      </c>
      <c r="H40">
        <v>238</v>
      </c>
      <c r="I40" s="2">
        <f t="shared" si="0"/>
        <v>83.075327999999999</v>
      </c>
      <c r="J40">
        <f t="shared" si="1"/>
        <v>7.2239415652173911</v>
      </c>
      <c r="K40">
        <f t="shared" si="2"/>
        <v>2.169635100548446</v>
      </c>
    </row>
    <row r="41" spans="1:11" x14ac:dyDescent="0.25">
      <c r="A41" s="1">
        <v>1958</v>
      </c>
      <c r="B41" s="1" t="s">
        <v>104</v>
      </c>
      <c r="C41" t="s">
        <v>6</v>
      </c>
      <c r="D41" s="1" t="s">
        <v>3</v>
      </c>
      <c r="E41">
        <v>38</v>
      </c>
      <c r="F41" s="1" t="s">
        <v>101</v>
      </c>
      <c r="G41">
        <v>10</v>
      </c>
      <c r="H41">
        <v>141</v>
      </c>
      <c r="I41" s="2">
        <f t="shared" si="0"/>
        <v>76.901399999999995</v>
      </c>
      <c r="J41">
        <f t="shared" si="1"/>
        <v>6.6870782608695647</v>
      </c>
      <c r="K41">
        <f t="shared" si="2"/>
        <v>2.0083938365108382</v>
      </c>
    </row>
    <row r="42" spans="1:11" x14ac:dyDescent="0.25">
      <c r="A42" s="1">
        <v>1958</v>
      </c>
      <c r="B42" s="1" t="s">
        <v>104</v>
      </c>
      <c r="C42" t="s">
        <v>6</v>
      </c>
      <c r="D42" s="1" t="s">
        <v>3</v>
      </c>
      <c r="E42">
        <v>38</v>
      </c>
      <c r="F42" s="1" t="s">
        <v>101</v>
      </c>
      <c r="G42">
        <v>12</v>
      </c>
      <c r="H42">
        <v>69</v>
      </c>
      <c r="I42" s="2">
        <f t="shared" si="0"/>
        <v>54.190943999999995</v>
      </c>
      <c r="J42">
        <f t="shared" si="1"/>
        <v>4.7122559999999991</v>
      </c>
      <c r="K42">
        <f t="shared" si="2"/>
        <v>1.4152766779838075</v>
      </c>
    </row>
    <row r="43" spans="1:11" x14ac:dyDescent="0.25">
      <c r="A43" s="1">
        <v>1958</v>
      </c>
      <c r="B43" s="1" t="s">
        <v>104</v>
      </c>
      <c r="C43" t="s">
        <v>6</v>
      </c>
      <c r="D43" s="1" t="s">
        <v>3</v>
      </c>
      <c r="E43">
        <v>38</v>
      </c>
      <c r="F43" s="1" t="s">
        <v>101</v>
      </c>
      <c r="G43">
        <v>14</v>
      </c>
      <c r="H43">
        <v>35</v>
      </c>
      <c r="I43" s="2">
        <f t="shared" si="0"/>
        <v>37.414439999999999</v>
      </c>
      <c r="J43">
        <f t="shared" si="1"/>
        <v>3.2534295652173912</v>
      </c>
      <c r="K43">
        <f t="shared" si="2"/>
        <v>0.97713345521023764</v>
      </c>
    </row>
    <row r="44" spans="1:11" x14ac:dyDescent="0.25">
      <c r="A44" s="1">
        <v>1958</v>
      </c>
      <c r="B44" s="1" t="s">
        <v>104</v>
      </c>
      <c r="C44" t="s">
        <v>6</v>
      </c>
      <c r="D44" s="1" t="s">
        <v>3</v>
      </c>
      <c r="E44">
        <v>38</v>
      </c>
      <c r="F44" s="1" t="s">
        <v>101</v>
      </c>
      <c r="G44">
        <v>16</v>
      </c>
      <c r="H44">
        <v>18</v>
      </c>
      <c r="I44" s="2">
        <f t="shared" si="0"/>
        <v>25.132031999999999</v>
      </c>
      <c r="J44">
        <f t="shared" si="1"/>
        <v>2.1853940869565216</v>
      </c>
      <c r="K44">
        <f t="shared" si="2"/>
        <v>0.65636019848524418</v>
      </c>
    </row>
    <row r="45" spans="1:11" x14ac:dyDescent="0.25">
      <c r="A45" s="1">
        <v>1958</v>
      </c>
      <c r="B45" s="1" t="s">
        <v>104</v>
      </c>
      <c r="C45" t="s">
        <v>6</v>
      </c>
      <c r="D45" s="1" t="s">
        <v>3</v>
      </c>
      <c r="E45">
        <v>38</v>
      </c>
      <c r="F45" s="1" t="s">
        <v>101</v>
      </c>
      <c r="G45">
        <v>18</v>
      </c>
      <c r="H45">
        <v>3</v>
      </c>
      <c r="I45" s="2">
        <f t="shared" si="0"/>
        <v>5.3012879999999996</v>
      </c>
      <c r="J45">
        <f t="shared" si="1"/>
        <v>0.46098156521739125</v>
      </c>
      <c r="K45">
        <f t="shared" si="2"/>
        <v>0.13845097936798118</v>
      </c>
    </row>
    <row r="46" spans="1:11" x14ac:dyDescent="0.25">
      <c r="A46" s="1">
        <v>1958</v>
      </c>
      <c r="B46" s="1" t="s">
        <v>104</v>
      </c>
      <c r="C46" t="s">
        <v>6</v>
      </c>
      <c r="D46" s="1" t="s">
        <v>3</v>
      </c>
      <c r="E46">
        <v>38</v>
      </c>
      <c r="F46" s="1" t="s">
        <v>101</v>
      </c>
      <c r="G46">
        <v>20</v>
      </c>
      <c r="H46">
        <v>3</v>
      </c>
      <c r="I46" s="2">
        <f t="shared" si="0"/>
        <v>6.5448000000000004</v>
      </c>
      <c r="J46">
        <f t="shared" si="1"/>
        <v>0.56911304347826086</v>
      </c>
      <c r="K46">
        <f t="shared" si="2"/>
        <v>0.170927135022199</v>
      </c>
    </row>
    <row r="47" spans="1:11" x14ac:dyDescent="0.25">
      <c r="A47" s="1">
        <v>1958</v>
      </c>
      <c r="B47" s="1" t="s">
        <v>104</v>
      </c>
      <c r="C47" t="s">
        <v>6</v>
      </c>
      <c r="D47" s="1" t="s">
        <v>3</v>
      </c>
      <c r="E47">
        <v>38</v>
      </c>
      <c r="F47" s="1" t="s">
        <v>101</v>
      </c>
      <c r="G47">
        <v>22</v>
      </c>
      <c r="H47">
        <v>5</v>
      </c>
      <c r="I47" s="2">
        <f t="shared" si="0"/>
        <v>13.198679999999998</v>
      </c>
      <c r="J47">
        <f t="shared" si="1"/>
        <v>1.147711304347826</v>
      </c>
      <c r="K47">
        <f t="shared" si="2"/>
        <v>0.34470305562810127</v>
      </c>
    </row>
    <row r="48" spans="1:11" x14ac:dyDescent="0.25">
      <c r="A48" s="1">
        <v>1958</v>
      </c>
      <c r="B48" s="1" t="s">
        <v>104</v>
      </c>
      <c r="C48" t="s">
        <v>6</v>
      </c>
      <c r="D48" s="1" t="s">
        <v>3</v>
      </c>
      <c r="E48">
        <v>38</v>
      </c>
      <c r="F48" s="1" t="s">
        <v>101</v>
      </c>
      <c r="G48">
        <v>24</v>
      </c>
      <c r="H48">
        <v>2</v>
      </c>
      <c r="I48" s="2">
        <f t="shared" si="0"/>
        <v>6.2830079999999997</v>
      </c>
      <c r="J48">
        <f t="shared" si="1"/>
        <v>0.5463485217391304</v>
      </c>
      <c r="K48">
        <f t="shared" si="2"/>
        <v>0.16409004962131105</v>
      </c>
    </row>
    <row r="49" spans="1:11" x14ac:dyDescent="0.25">
      <c r="A49" s="1">
        <v>1958</v>
      </c>
      <c r="B49" s="1" t="s">
        <v>104</v>
      </c>
      <c r="C49" t="s">
        <v>6</v>
      </c>
      <c r="D49" s="1" t="s">
        <v>3</v>
      </c>
      <c r="E49">
        <v>38</v>
      </c>
      <c r="F49" s="1" t="s">
        <v>101</v>
      </c>
      <c r="G49">
        <v>26</v>
      </c>
      <c r="H49">
        <v>1</v>
      </c>
      <c r="I49" s="2">
        <f t="shared" si="0"/>
        <v>3.6869039999999997</v>
      </c>
      <c r="J49">
        <f t="shared" si="1"/>
        <v>0.32060034782608693</v>
      </c>
      <c r="K49">
        <f t="shared" si="2"/>
        <v>9.6288952729172095E-2</v>
      </c>
    </row>
    <row r="50" spans="1:11" x14ac:dyDescent="0.25">
      <c r="A50" s="1">
        <v>1958</v>
      </c>
      <c r="B50" s="1" t="s">
        <v>104</v>
      </c>
      <c r="C50" t="s">
        <v>6</v>
      </c>
      <c r="D50" s="1" t="s">
        <v>3</v>
      </c>
      <c r="E50">
        <v>38</v>
      </c>
      <c r="F50" s="1" t="s">
        <v>101</v>
      </c>
      <c r="G50">
        <v>30</v>
      </c>
      <c r="H50">
        <v>1</v>
      </c>
      <c r="I50" s="2">
        <f t="shared" si="0"/>
        <v>4.9085999999999999</v>
      </c>
      <c r="J50">
        <f t="shared" si="1"/>
        <v>0.42683478260869562</v>
      </c>
      <c r="K50">
        <f t="shared" si="2"/>
        <v>0.12819535126664924</v>
      </c>
    </row>
    <row r="51" spans="1:11" x14ac:dyDescent="0.25">
      <c r="A51" s="1">
        <v>1958</v>
      </c>
      <c r="B51" s="1" t="s">
        <v>104</v>
      </c>
      <c r="C51" t="s">
        <v>6</v>
      </c>
      <c r="D51" s="1" t="s">
        <v>3</v>
      </c>
      <c r="E51">
        <v>40</v>
      </c>
      <c r="F51" s="1" t="s">
        <v>101</v>
      </c>
      <c r="G51">
        <v>6</v>
      </c>
      <c r="H51">
        <v>153</v>
      </c>
      <c r="I51" s="2">
        <f t="shared" si="0"/>
        <v>30.040631999999999</v>
      </c>
      <c r="J51">
        <f t="shared" si="1"/>
        <v>2.6122288695652172</v>
      </c>
      <c r="K51">
        <f t="shared" si="2"/>
        <v>0.78455554975189334</v>
      </c>
    </row>
    <row r="52" spans="1:11" x14ac:dyDescent="0.25">
      <c r="A52" s="1">
        <v>1958</v>
      </c>
      <c r="B52" s="1" t="s">
        <v>104</v>
      </c>
      <c r="C52" t="s">
        <v>6</v>
      </c>
      <c r="D52" s="1" t="s">
        <v>3</v>
      </c>
      <c r="E52">
        <v>40</v>
      </c>
      <c r="F52" s="1" t="s">
        <v>101</v>
      </c>
      <c r="G52">
        <v>8</v>
      </c>
      <c r="H52">
        <v>113</v>
      </c>
      <c r="I52" s="2">
        <f t="shared" si="0"/>
        <v>39.443327999999994</v>
      </c>
      <c r="J52">
        <f t="shared" si="1"/>
        <v>3.4298546086956518</v>
      </c>
      <c r="K52">
        <f t="shared" si="2"/>
        <v>1.0301208670671191</v>
      </c>
    </row>
    <row r="53" spans="1:11" x14ac:dyDescent="0.25">
      <c r="A53" s="1">
        <v>1958</v>
      </c>
      <c r="B53" s="1" t="s">
        <v>104</v>
      </c>
      <c r="C53" t="s">
        <v>6</v>
      </c>
      <c r="D53" s="1" t="s">
        <v>3</v>
      </c>
      <c r="E53">
        <v>40</v>
      </c>
      <c r="F53" s="1" t="s">
        <v>101</v>
      </c>
      <c r="G53">
        <v>10</v>
      </c>
      <c r="H53">
        <v>100</v>
      </c>
      <c r="I53" s="2">
        <f t="shared" si="0"/>
        <v>54.54</v>
      </c>
      <c r="J53">
        <f t="shared" si="1"/>
        <v>4.7426086956521738</v>
      </c>
      <c r="K53">
        <f t="shared" si="2"/>
        <v>1.4243927918516583</v>
      </c>
    </row>
    <row r="54" spans="1:11" x14ac:dyDescent="0.25">
      <c r="A54" s="1">
        <v>1958</v>
      </c>
      <c r="B54" s="1" t="s">
        <v>104</v>
      </c>
      <c r="C54" t="s">
        <v>6</v>
      </c>
      <c r="D54" s="1" t="s">
        <v>3</v>
      </c>
      <c r="E54">
        <v>40</v>
      </c>
      <c r="F54" s="1" t="s">
        <v>101</v>
      </c>
      <c r="G54">
        <v>12</v>
      </c>
      <c r="H54">
        <v>72</v>
      </c>
      <c r="I54" s="2">
        <f t="shared" si="0"/>
        <v>56.547072</v>
      </c>
      <c r="J54">
        <f t="shared" si="1"/>
        <v>4.9171366956521743</v>
      </c>
      <c r="K54">
        <f t="shared" si="2"/>
        <v>1.4768104465917995</v>
      </c>
    </row>
    <row r="55" spans="1:11" x14ac:dyDescent="0.25">
      <c r="A55" s="1">
        <v>1958</v>
      </c>
      <c r="B55" s="1" t="s">
        <v>104</v>
      </c>
      <c r="C55" t="s">
        <v>6</v>
      </c>
      <c r="D55" s="1" t="s">
        <v>3</v>
      </c>
      <c r="E55">
        <v>40</v>
      </c>
      <c r="F55" s="1" t="s">
        <v>101</v>
      </c>
      <c r="G55">
        <v>14</v>
      </c>
      <c r="H55">
        <v>42</v>
      </c>
      <c r="I55" s="2">
        <f t="shared" si="0"/>
        <v>44.897327999999995</v>
      </c>
      <c r="J55">
        <f t="shared" si="1"/>
        <v>3.9041154782608691</v>
      </c>
      <c r="K55">
        <f t="shared" si="2"/>
        <v>1.172560146252285</v>
      </c>
    </row>
    <row r="56" spans="1:11" x14ac:dyDescent="0.25">
      <c r="A56" s="1">
        <v>1958</v>
      </c>
      <c r="B56" s="1" t="s">
        <v>104</v>
      </c>
      <c r="C56" t="s">
        <v>6</v>
      </c>
      <c r="D56" s="1" t="s">
        <v>3</v>
      </c>
      <c r="E56">
        <v>40</v>
      </c>
      <c r="F56" s="1" t="s">
        <v>101</v>
      </c>
      <c r="G56">
        <v>16</v>
      </c>
      <c r="H56">
        <v>12</v>
      </c>
      <c r="I56" s="2">
        <f t="shared" si="0"/>
        <v>16.754687999999998</v>
      </c>
      <c r="J56">
        <f t="shared" si="1"/>
        <v>1.4569293913043477</v>
      </c>
      <c r="K56">
        <f t="shared" si="2"/>
        <v>0.43757346565682942</v>
      </c>
    </row>
    <row r="57" spans="1:11" x14ac:dyDescent="0.25">
      <c r="A57" s="1">
        <v>1958</v>
      </c>
      <c r="B57" s="1" t="s">
        <v>104</v>
      </c>
      <c r="C57" t="s">
        <v>6</v>
      </c>
      <c r="D57" s="1" t="s">
        <v>3</v>
      </c>
      <c r="E57">
        <v>40</v>
      </c>
      <c r="F57" s="1" t="s">
        <v>101</v>
      </c>
      <c r="G57">
        <v>18</v>
      </c>
      <c r="H57">
        <v>14</v>
      </c>
      <c r="I57" s="2">
        <f t="shared" si="0"/>
        <v>24.739343999999996</v>
      </c>
      <c r="J57">
        <f t="shared" si="1"/>
        <v>2.1512473043478257</v>
      </c>
      <c r="K57">
        <f t="shared" si="2"/>
        <v>0.64610457038391211</v>
      </c>
    </row>
    <row r="58" spans="1:11" x14ac:dyDescent="0.25">
      <c r="A58" s="1">
        <v>1958</v>
      </c>
      <c r="B58" s="1" t="s">
        <v>104</v>
      </c>
      <c r="C58" t="s">
        <v>6</v>
      </c>
      <c r="D58" s="1" t="s">
        <v>3</v>
      </c>
      <c r="E58">
        <v>40</v>
      </c>
      <c r="F58" s="1" t="s">
        <v>101</v>
      </c>
      <c r="G58">
        <v>20</v>
      </c>
      <c r="H58">
        <v>6</v>
      </c>
      <c r="I58" s="2">
        <f t="shared" si="0"/>
        <v>13.089600000000001</v>
      </c>
      <c r="J58">
        <f t="shared" si="1"/>
        <v>1.1382260869565217</v>
      </c>
      <c r="K58">
        <f t="shared" si="2"/>
        <v>0.341854270044398</v>
      </c>
    </row>
    <row r="59" spans="1:11" x14ac:dyDescent="0.25">
      <c r="A59" s="1">
        <v>1958</v>
      </c>
      <c r="B59" s="1" t="s">
        <v>104</v>
      </c>
      <c r="C59" t="s">
        <v>6</v>
      </c>
      <c r="D59" s="1" t="s">
        <v>3</v>
      </c>
      <c r="E59">
        <v>40</v>
      </c>
      <c r="F59" s="1" t="s">
        <v>101</v>
      </c>
      <c r="G59">
        <v>22</v>
      </c>
      <c r="H59">
        <v>3</v>
      </c>
      <c r="I59" s="2">
        <f t="shared" si="0"/>
        <v>7.9192079999999994</v>
      </c>
      <c r="J59">
        <f t="shared" si="1"/>
        <v>0.68862678260869559</v>
      </c>
      <c r="K59">
        <f t="shared" si="2"/>
        <v>0.20682183337686078</v>
      </c>
    </row>
    <row r="60" spans="1:11" x14ac:dyDescent="0.25">
      <c r="A60" s="1">
        <v>1958</v>
      </c>
      <c r="B60" s="1" t="s">
        <v>104</v>
      </c>
      <c r="C60" t="s">
        <v>6</v>
      </c>
      <c r="D60" s="1" t="s">
        <v>3</v>
      </c>
      <c r="E60">
        <v>40</v>
      </c>
      <c r="F60" s="1" t="s">
        <v>101</v>
      </c>
      <c r="G60">
        <v>24</v>
      </c>
      <c r="H60">
        <v>1</v>
      </c>
      <c r="I60" s="2">
        <f t="shared" si="0"/>
        <v>3.1415039999999999</v>
      </c>
      <c r="J60">
        <f t="shared" si="1"/>
        <v>0.2731742608695652</v>
      </c>
      <c r="K60">
        <f t="shared" si="2"/>
        <v>8.2045024810655523E-2</v>
      </c>
    </row>
    <row r="61" spans="1:11" x14ac:dyDescent="0.25">
      <c r="A61" s="1">
        <v>1958</v>
      </c>
      <c r="B61" s="1" t="s">
        <v>104</v>
      </c>
      <c r="C61" t="s">
        <v>6</v>
      </c>
      <c r="D61" s="1" t="s">
        <v>3</v>
      </c>
      <c r="E61">
        <v>53</v>
      </c>
      <c r="F61" s="1" t="s">
        <v>101</v>
      </c>
      <c r="G61">
        <v>6</v>
      </c>
      <c r="H61">
        <v>17</v>
      </c>
      <c r="I61" s="2">
        <f t="shared" si="0"/>
        <v>3.3378479999999997</v>
      </c>
      <c r="J61">
        <f t="shared" si="1"/>
        <v>0.29024765217391302</v>
      </c>
      <c r="K61">
        <f t="shared" si="2"/>
        <v>8.7172838861321489E-2</v>
      </c>
    </row>
    <row r="62" spans="1:11" x14ac:dyDescent="0.25">
      <c r="A62" s="1">
        <v>1958</v>
      </c>
      <c r="B62" s="1" t="s">
        <v>104</v>
      </c>
      <c r="C62" t="s">
        <v>6</v>
      </c>
      <c r="D62" s="1" t="s">
        <v>3</v>
      </c>
      <c r="E62">
        <v>53</v>
      </c>
      <c r="F62" s="1" t="s">
        <v>101</v>
      </c>
      <c r="G62">
        <v>8</v>
      </c>
      <c r="H62">
        <v>5</v>
      </c>
      <c r="I62" s="2">
        <f t="shared" si="0"/>
        <v>1.7452799999999999</v>
      </c>
      <c r="J62">
        <f t="shared" si="1"/>
        <v>0.15176347826086956</v>
      </c>
      <c r="K62">
        <f t="shared" si="2"/>
        <v>4.5580569339253064E-2</v>
      </c>
    </row>
    <row r="63" spans="1:11" x14ac:dyDescent="0.25">
      <c r="A63" s="1">
        <v>1958</v>
      </c>
      <c r="B63" s="1" t="s">
        <v>104</v>
      </c>
      <c r="C63" t="s">
        <v>6</v>
      </c>
      <c r="D63" s="1" t="s">
        <v>3</v>
      </c>
      <c r="E63">
        <v>53</v>
      </c>
      <c r="F63" s="1" t="s">
        <v>101</v>
      </c>
      <c r="G63">
        <v>10</v>
      </c>
      <c r="H63">
        <v>5</v>
      </c>
      <c r="I63" s="2">
        <f t="shared" si="0"/>
        <v>2.7269999999999999</v>
      </c>
      <c r="J63">
        <f t="shared" si="1"/>
        <v>0.23713043478260867</v>
      </c>
      <c r="K63">
        <f t="shared" si="2"/>
        <v>7.1219639592582915E-2</v>
      </c>
    </row>
    <row r="64" spans="1:11" x14ac:dyDescent="0.25">
      <c r="A64" s="1">
        <v>1958</v>
      </c>
      <c r="B64" s="1" t="s">
        <v>104</v>
      </c>
      <c r="C64" t="s">
        <v>6</v>
      </c>
      <c r="D64" s="1" t="s">
        <v>3</v>
      </c>
      <c r="E64">
        <v>53</v>
      </c>
      <c r="F64" s="1" t="s">
        <v>101</v>
      </c>
      <c r="G64">
        <v>12</v>
      </c>
      <c r="H64">
        <v>2</v>
      </c>
      <c r="I64" s="2">
        <f t="shared" si="0"/>
        <v>1.5707519999999999</v>
      </c>
      <c r="J64">
        <f t="shared" si="1"/>
        <v>0.1365871304347826</v>
      </c>
      <c r="K64">
        <f t="shared" si="2"/>
        <v>4.1022512405327761E-2</v>
      </c>
    </row>
    <row r="65" spans="1:11" x14ac:dyDescent="0.25">
      <c r="A65" s="1">
        <v>1958</v>
      </c>
      <c r="B65" s="1" t="s">
        <v>104</v>
      </c>
      <c r="C65" t="s">
        <v>6</v>
      </c>
      <c r="D65" s="1" t="s">
        <v>3</v>
      </c>
      <c r="E65">
        <v>53</v>
      </c>
      <c r="F65" s="1" t="s">
        <v>101</v>
      </c>
      <c r="G65">
        <v>16</v>
      </c>
      <c r="H65">
        <v>1</v>
      </c>
      <c r="I65" s="2">
        <f t="shared" si="0"/>
        <v>1.3962239999999999</v>
      </c>
      <c r="J65">
        <f t="shared" si="1"/>
        <v>0.12141078260869564</v>
      </c>
      <c r="K65">
        <f t="shared" si="2"/>
        <v>3.6464455471402452E-2</v>
      </c>
    </row>
    <row r="66" spans="1:11" x14ac:dyDescent="0.25">
      <c r="A66" s="1">
        <v>1958</v>
      </c>
      <c r="B66" s="1" t="s">
        <v>104</v>
      </c>
      <c r="C66" t="s">
        <v>6</v>
      </c>
      <c r="D66" s="1" t="s">
        <v>3</v>
      </c>
      <c r="E66">
        <v>53</v>
      </c>
      <c r="F66" s="1" t="s">
        <v>101</v>
      </c>
      <c r="G66">
        <v>18</v>
      </c>
      <c r="H66">
        <v>1</v>
      </c>
      <c r="I66" s="2">
        <f t="shared" si="0"/>
        <v>1.7670959999999998</v>
      </c>
      <c r="J66">
        <f t="shared" si="1"/>
        <v>0.15366052173913042</v>
      </c>
      <c r="K66">
        <f t="shared" si="2"/>
        <v>4.6150326455993727E-2</v>
      </c>
    </row>
    <row r="67" spans="1:11" x14ac:dyDescent="0.25">
      <c r="A67" s="1">
        <v>1958</v>
      </c>
      <c r="B67" s="1" t="s">
        <v>104</v>
      </c>
      <c r="C67" t="s">
        <v>6</v>
      </c>
      <c r="D67" s="1" t="s">
        <v>3</v>
      </c>
      <c r="E67">
        <v>54</v>
      </c>
      <c r="F67" s="1" t="s">
        <v>101</v>
      </c>
      <c r="G67">
        <v>6</v>
      </c>
      <c r="H67">
        <v>7</v>
      </c>
      <c r="I67" s="2">
        <f t="shared" ref="I67:I130" si="3">0.005454*G67^2*H67</f>
        <v>1.3744079999999999</v>
      </c>
      <c r="J67">
        <f t="shared" ref="J67:J130" si="4">I67/11.5</f>
        <v>0.11951373913043477</v>
      </c>
      <c r="K67">
        <f t="shared" ref="K67:K130" si="5">J67*(11.5/38.29)</f>
        <v>3.5894698354661789E-2</v>
      </c>
    </row>
    <row r="68" spans="1:11" x14ac:dyDescent="0.25">
      <c r="A68" s="1">
        <v>1958</v>
      </c>
      <c r="B68" s="1" t="s">
        <v>104</v>
      </c>
      <c r="C68" t="s">
        <v>6</v>
      </c>
      <c r="D68" s="1" t="s">
        <v>3</v>
      </c>
      <c r="E68">
        <v>54</v>
      </c>
      <c r="F68" s="1" t="s">
        <v>101</v>
      </c>
      <c r="G68">
        <v>8</v>
      </c>
      <c r="H68">
        <v>1</v>
      </c>
      <c r="I68" s="2">
        <f t="shared" si="3"/>
        <v>0.34905599999999998</v>
      </c>
      <c r="J68">
        <f t="shared" si="4"/>
        <v>3.0352695652173911E-2</v>
      </c>
      <c r="K68">
        <f t="shared" si="5"/>
        <v>9.1161138678506129E-3</v>
      </c>
    </row>
    <row r="69" spans="1:11" x14ac:dyDescent="0.25">
      <c r="A69" s="1">
        <v>1958</v>
      </c>
      <c r="B69" s="1" t="s">
        <v>104</v>
      </c>
      <c r="C69" t="s">
        <v>6</v>
      </c>
      <c r="D69" s="1" t="s">
        <v>3</v>
      </c>
      <c r="E69">
        <v>56</v>
      </c>
      <c r="F69" s="1" t="s">
        <v>101</v>
      </c>
      <c r="G69">
        <v>6</v>
      </c>
      <c r="H69">
        <v>10</v>
      </c>
      <c r="I69" s="2">
        <f t="shared" si="3"/>
        <v>1.9634399999999999</v>
      </c>
      <c r="J69">
        <f t="shared" si="4"/>
        <v>0.17073391304347824</v>
      </c>
      <c r="K69">
        <f t="shared" si="5"/>
        <v>5.1278140506659693E-2</v>
      </c>
    </row>
    <row r="70" spans="1:11" x14ac:dyDescent="0.25">
      <c r="A70" s="1">
        <v>1958</v>
      </c>
      <c r="B70" s="1" t="s">
        <v>104</v>
      </c>
      <c r="C70" t="s">
        <v>6</v>
      </c>
      <c r="D70" s="1" t="s">
        <v>3</v>
      </c>
      <c r="E70">
        <v>56</v>
      </c>
      <c r="F70" s="1" t="s">
        <v>101</v>
      </c>
      <c r="G70">
        <v>8</v>
      </c>
      <c r="H70">
        <v>6</v>
      </c>
      <c r="I70" s="2">
        <f t="shared" si="3"/>
        <v>2.0943359999999998</v>
      </c>
      <c r="J70">
        <f t="shared" si="4"/>
        <v>0.18211617391304347</v>
      </c>
      <c r="K70">
        <f t="shared" si="5"/>
        <v>5.4696683207103677E-2</v>
      </c>
    </row>
    <row r="71" spans="1:11" x14ac:dyDescent="0.25">
      <c r="A71" s="1">
        <v>1958</v>
      </c>
      <c r="B71" s="1" t="s">
        <v>104</v>
      </c>
      <c r="C71" t="s">
        <v>6</v>
      </c>
      <c r="D71" s="1" t="s">
        <v>3</v>
      </c>
      <c r="E71">
        <v>56</v>
      </c>
      <c r="F71" s="1" t="s">
        <v>101</v>
      </c>
      <c r="G71">
        <v>10</v>
      </c>
      <c r="H71">
        <v>12</v>
      </c>
      <c r="I71" s="2">
        <f t="shared" si="3"/>
        <v>6.5448000000000004</v>
      </c>
      <c r="J71">
        <f t="shared" si="4"/>
        <v>0.56911304347826086</v>
      </c>
      <c r="K71">
        <f t="shared" si="5"/>
        <v>0.170927135022199</v>
      </c>
    </row>
    <row r="72" spans="1:11" x14ac:dyDescent="0.25">
      <c r="A72" s="1">
        <v>1958</v>
      </c>
      <c r="B72" s="1" t="s">
        <v>104</v>
      </c>
      <c r="C72" t="s">
        <v>6</v>
      </c>
      <c r="D72" s="1" t="s">
        <v>3</v>
      </c>
      <c r="E72">
        <v>56</v>
      </c>
      <c r="F72" s="1" t="s">
        <v>101</v>
      </c>
      <c r="G72">
        <v>12</v>
      </c>
      <c r="H72">
        <v>6</v>
      </c>
      <c r="I72" s="2">
        <f t="shared" si="3"/>
        <v>4.712256</v>
      </c>
      <c r="J72">
        <f t="shared" si="4"/>
        <v>0.4097613913043478</v>
      </c>
      <c r="K72">
        <f t="shared" si="5"/>
        <v>0.12306753721598328</v>
      </c>
    </row>
    <row r="73" spans="1:11" x14ac:dyDescent="0.25">
      <c r="A73" s="1">
        <v>1958</v>
      </c>
      <c r="B73" s="1" t="s">
        <v>104</v>
      </c>
      <c r="C73" t="s">
        <v>6</v>
      </c>
      <c r="D73" s="1" t="s">
        <v>3</v>
      </c>
      <c r="E73">
        <v>56</v>
      </c>
      <c r="F73" s="1" t="s">
        <v>101</v>
      </c>
      <c r="G73">
        <v>14</v>
      </c>
      <c r="H73">
        <v>11</v>
      </c>
      <c r="I73" s="2">
        <f t="shared" si="3"/>
        <v>11.758823999999999</v>
      </c>
      <c r="J73">
        <f t="shared" si="4"/>
        <v>1.0225064347826085</v>
      </c>
      <c r="K73">
        <f t="shared" si="5"/>
        <v>0.3070990859232175</v>
      </c>
    </row>
    <row r="74" spans="1:11" x14ac:dyDescent="0.25">
      <c r="A74" s="1">
        <v>1958</v>
      </c>
      <c r="B74" s="1" t="s">
        <v>104</v>
      </c>
      <c r="C74" t="s">
        <v>6</v>
      </c>
      <c r="D74" s="1" t="s">
        <v>3</v>
      </c>
      <c r="E74">
        <v>56</v>
      </c>
      <c r="F74" s="1" t="s">
        <v>101</v>
      </c>
      <c r="G74">
        <v>16</v>
      </c>
      <c r="H74">
        <v>4</v>
      </c>
      <c r="I74" s="2">
        <f t="shared" si="3"/>
        <v>5.5848959999999996</v>
      </c>
      <c r="J74">
        <f t="shared" si="4"/>
        <v>0.48564313043478258</v>
      </c>
      <c r="K74">
        <f t="shared" si="5"/>
        <v>0.14585782188560981</v>
      </c>
    </row>
    <row r="75" spans="1:11" x14ac:dyDescent="0.25">
      <c r="A75" s="1">
        <v>1958</v>
      </c>
      <c r="B75" s="1" t="s">
        <v>104</v>
      </c>
      <c r="C75" t="s">
        <v>6</v>
      </c>
      <c r="D75" s="1" t="s">
        <v>3</v>
      </c>
      <c r="E75">
        <v>58</v>
      </c>
      <c r="F75" s="1" t="s">
        <v>101</v>
      </c>
      <c r="G75">
        <v>6</v>
      </c>
      <c r="H75">
        <v>65</v>
      </c>
      <c r="I75" s="2">
        <f t="shared" si="3"/>
        <v>12.762359999999999</v>
      </c>
      <c r="J75">
        <f t="shared" si="4"/>
        <v>1.1097704347826087</v>
      </c>
      <c r="K75">
        <f t="shared" si="5"/>
        <v>0.33330791329328807</v>
      </c>
    </row>
    <row r="76" spans="1:11" x14ac:dyDescent="0.25">
      <c r="A76" s="1">
        <v>1958</v>
      </c>
      <c r="B76" s="1" t="s">
        <v>104</v>
      </c>
      <c r="C76" t="s">
        <v>6</v>
      </c>
      <c r="D76" s="1" t="s">
        <v>3</v>
      </c>
      <c r="E76">
        <v>58</v>
      </c>
      <c r="F76" s="1" t="s">
        <v>101</v>
      </c>
      <c r="G76">
        <v>8</v>
      </c>
      <c r="H76">
        <v>4</v>
      </c>
      <c r="I76" s="2">
        <f t="shared" si="3"/>
        <v>1.3962239999999999</v>
      </c>
      <c r="J76">
        <f t="shared" si="4"/>
        <v>0.12141078260869564</v>
      </c>
      <c r="K76">
        <f t="shared" si="5"/>
        <v>3.6464455471402452E-2</v>
      </c>
    </row>
    <row r="77" spans="1:11" x14ac:dyDescent="0.25">
      <c r="A77" s="1">
        <v>1958</v>
      </c>
      <c r="B77" s="1" t="s">
        <v>104</v>
      </c>
      <c r="C77" t="s">
        <v>6</v>
      </c>
      <c r="D77" s="1" t="s">
        <v>3</v>
      </c>
      <c r="E77">
        <v>63</v>
      </c>
      <c r="F77" s="1" t="s">
        <v>101</v>
      </c>
      <c r="G77">
        <v>6</v>
      </c>
      <c r="H77">
        <v>7</v>
      </c>
      <c r="I77" s="2">
        <f t="shared" si="3"/>
        <v>1.3744079999999999</v>
      </c>
      <c r="J77">
        <f t="shared" si="4"/>
        <v>0.11951373913043477</v>
      </c>
      <c r="K77">
        <f t="shared" si="5"/>
        <v>3.5894698354661789E-2</v>
      </c>
    </row>
    <row r="78" spans="1:11" x14ac:dyDescent="0.25">
      <c r="A78" s="1">
        <v>1958</v>
      </c>
      <c r="B78" s="1" t="s">
        <v>104</v>
      </c>
      <c r="C78" t="s">
        <v>6</v>
      </c>
      <c r="D78" s="1" t="s">
        <v>3</v>
      </c>
      <c r="E78">
        <v>63</v>
      </c>
      <c r="F78" s="1" t="s">
        <v>101</v>
      </c>
      <c r="G78">
        <v>10</v>
      </c>
      <c r="H78">
        <v>1</v>
      </c>
      <c r="I78" s="2">
        <f t="shared" si="3"/>
        <v>0.5454</v>
      </c>
      <c r="J78">
        <f t="shared" si="4"/>
        <v>4.7426086956521736E-2</v>
      </c>
      <c r="K78">
        <f t="shared" si="5"/>
        <v>1.4243927918516582E-2</v>
      </c>
    </row>
    <row r="79" spans="1:11" x14ac:dyDescent="0.25">
      <c r="A79" s="1">
        <v>1958</v>
      </c>
      <c r="B79" s="1" t="s">
        <v>104</v>
      </c>
      <c r="C79" t="s">
        <v>6</v>
      </c>
      <c r="D79" s="1" t="s">
        <v>3</v>
      </c>
      <c r="E79">
        <v>66</v>
      </c>
      <c r="F79" s="1" t="s">
        <v>101</v>
      </c>
      <c r="G79">
        <v>6</v>
      </c>
      <c r="H79">
        <v>1</v>
      </c>
      <c r="I79" s="2">
        <f t="shared" si="3"/>
        <v>0.19634399999999999</v>
      </c>
      <c r="J79">
        <f t="shared" si="4"/>
        <v>1.7073391304347825E-2</v>
      </c>
      <c r="K79">
        <f t="shared" si="5"/>
        <v>5.1278140506659702E-3</v>
      </c>
    </row>
    <row r="80" spans="1:11" x14ac:dyDescent="0.25">
      <c r="A80" s="1">
        <v>1958</v>
      </c>
      <c r="B80" s="1" t="s">
        <v>104</v>
      </c>
      <c r="C80" t="s">
        <v>6</v>
      </c>
      <c r="D80" s="1" t="s">
        <v>3</v>
      </c>
      <c r="E80">
        <v>66</v>
      </c>
      <c r="F80" s="1" t="s">
        <v>101</v>
      </c>
      <c r="G80">
        <v>8</v>
      </c>
      <c r="H80">
        <v>1</v>
      </c>
      <c r="I80" s="2">
        <f t="shared" si="3"/>
        <v>0.34905599999999998</v>
      </c>
      <c r="J80">
        <f t="shared" si="4"/>
        <v>3.0352695652173911E-2</v>
      </c>
      <c r="K80">
        <f t="shared" si="5"/>
        <v>9.1161138678506129E-3</v>
      </c>
    </row>
    <row r="81" spans="1:11" x14ac:dyDescent="0.25">
      <c r="A81" s="1">
        <v>1958</v>
      </c>
      <c r="B81" s="1" t="s">
        <v>104</v>
      </c>
      <c r="C81" t="s">
        <v>6</v>
      </c>
      <c r="D81" s="1" t="s">
        <v>3</v>
      </c>
      <c r="E81">
        <v>66</v>
      </c>
      <c r="F81" s="1" t="s">
        <v>101</v>
      </c>
      <c r="G81">
        <v>10</v>
      </c>
      <c r="H81">
        <v>1</v>
      </c>
      <c r="I81" s="2">
        <f t="shared" si="3"/>
        <v>0.5454</v>
      </c>
      <c r="J81">
        <f t="shared" si="4"/>
        <v>4.7426086956521736E-2</v>
      </c>
      <c r="K81">
        <f t="shared" si="5"/>
        <v>1.4243927918516582E-2</v>
      </c>
    </row>
    <row r="82" spans="1:11" x14ac:dyDescent="0.25">
      <c r="A82" s="1">
        <v>1958</v>
      </c>
      <c r="B82" s="1" t="s">
        <v>104</v>
      </c>
      <c r="C82" t="s">
        <v>6</v>
      </c>
      <c r="D82" s="1" t="s">
        <v>3</v>
      </c>
      <c r="E82">
        <v>66</v>
      </c>
      <c r="F82" s="1" t="s">
        <v>101</v>
      </c>
      <c r="G82">
        <v>12</v>
      </c>
      <c r="H82">
        <v>4</v>
      </c>
      <c r="I82" s="2">
        <f t="shared" si="3"/>
        <v>3.1415039999999999</v>
      </c>
      <c r="J82">
        <f t="shared" si="4"/>
        <v>0.2731742608695652</v>
      </c>
      <c r="K82">
        <f t="shared" si="5"/>
        <v>8.2045024810655523E-2</v>
      </c>
    </row>
    <row r="83" spans="1:11" x14ac:dyDescent="0.25">
      <c r="A83" s="1">
        <v>1958</v>
      </c>
      <c r="B83" s="1" t="s">
        <v>104</v>
      </c>
      <c r="C83" t="s">
        <v>6</v>
      </c>
      <c r="D83" s="1" t="s">
        <v>3</v>
      </c>
      <c r="E83">
        <v>66</v>
      </c>
      <c r="F83" s="1" t="s">
        <v>101</v>
      </c>
      <c r="G83">
        <v>14</v>
      </c>
      <c r="H83">
        <v>1</v>
      </c>
      <c r="I83" s="2">
        <f t="shared" si="3"/>
        <v>1.0689839999999999</v>
      </c>
      <c r="J83">
        <f t="shared" si="4"/>
        <v>9.295513043478261E-2</v>
      </c>
      <c r="K83">
        <f t="shared" si="5"/>
        <v>2.7918098720292505E-2</v>
      </c>
    </row>
    <row r="84" spans="1:11" x14ac:dyDescent="0.25">
      <c r="A84" s="1">
        <v>1958</v>
      </c>
      <c r="B84" s="1" t="s">
        <v>104</v>
      </c>
      <c r="C84" t="s">
        <v>6</v>
      </c>
      <c r="D84" s="1" t="s">
        <v>3</v>
      </c>
      <c r="E84">
        <v>66</v>
      </c>
      <c r="F84" s="1" t="s">
        <v>101</v>
      </c>
      <c r="G84">
        <v>16</v>
      </c>
      <c r="H84">
        <v>1</v>
      </c>
      <c r="I84" s="2">
        <f t="shared" si="3"/>
        <v>1.3962239999999999</v>
      </c>
      <c r="J84">
        <f t="shared" si="4"/>
        <v>0.12141078260869564</v>
      </c>
      <c r="K84">
        <f t="shared" si="5"/>
        <v>3.6464455471402452E-2</v>
      </c>
    </row>
    <row r="85" spans="1:11" x14ac:dyDescent="0.25">
      <c r="A85" s="1">
        <v>1958</v>
      </c>
      <c r="B85" s="1" t="s">
        <v>104</v>
      </c>
      <c r="C85" t="s">
        <v>6</v>
      </c>
      <c r="D85" s="1" t="s">
        <v>3</v>
      </c>
      <c r="E85">
        <v>71</v>
      </c>
      <c r="F85" s="1" t="s">
        <v>101</v>
      </c>
      <c r="G85">
        <v>6</v>
      </c>
      <c r="H85">
        <v>38</v>
      </c>
      <c r="I85" s="2">
        <f t="shared" si="3"/>
        <v>7.4610719999999997</v>
      </c>
      <c r="J85">
        <f t="shared" si="4"/>
        <v>0.64878886956521742</v>
      </c>
      <c r="K85">
        <f t="shared" si="5"/>
        <v>0.19485693392530687</v>
      </c>
    </row>
    <row r="86" spans="1:11" x14ac:dyDescent="0.25">
      <c r="A86" s="1">
        <v>1958</v>
      </c>
      <c r="B86" s="1" t="s">
        <v>104</v>
      </c>
      <c r="C86" t="s">
        <v>6</v>
      </c>
      <c r="D86" s="1" t="s">
        <v>3</v>
      </c>
      <c r="E86">
        <v>71</v>
      </c>
      <c r="F86" s="1" t="s">
        <v>101</v>
      </c>
      <c r="G86">
        <v>8</v>
      </c>
      <c r="H86">
        <v>28</v>
      </c>
      <c r="I86" s="2">
        <f t="shared" si="3"/>
        <v>9.7735679999999991</v>
      </c>
      <c r="J86">
        <f t="shared" si="4"/>
        <v>0.84987547826086951</v>
      </c>
      <c r="K86">
        <f t="shared" si="5"/>
        <v>0.25525118829981719</v>
      </c>
    </row>
    <row r="87" spans="1:11" x14ac:dyDescent="0.25">
      <c r="A87" s="1">
        <v>1958</v>
      </c>
      <c r="B87" s="1" t="s">
        <v>104</v>
      </c>
      <c r="C87" t="s">
        <v>6</v>
      </c>
      <c r="D87" s="1" t="s">
        <v>3</v>
      </c>
      <c r="E87">
        <v>71</v>
      </c>
      <c r="F87" s="1" t="s">
        <v>101</v>
      </c>
      <c r="G87">
        <v>10</v>
      </c>
      <c r="H87">
        <v>17</v>
      </c>
      <c r="I87" s="2">
        <f t="shared" si="3"/>
        <v>9.2718000000000007</v>
      </c>
      <c r="J87">
        <f t="shared" si="4"/>
        <v>0.80624347826086962</v>
      </c>
      <c r="K87">
        <f t="shared" si="5"/>
        <v>0.24214677461478193</v>
      </c>
    </row>
    <row r="88" spans="1:11" x14ac:dyDescent="0.25">
      <c r="A88" s="1">
        <v>1958</v>
      </c>
      <c r="B88" s="1" t="s">
        <v>104</v>
      </c>
      <c r="C88" t="s">
        <v>6</v>
      </c>
      <c r="D88" s="1" t="s">
        <v>3</v>
      </c>
      <c r="E88">
        <v>71</v>
      </c>
      <c r="F88" s="1" t="s">
        <v>101</v>
      </c>
      <c r="G88">
        <v>12</v>
      </c>
      <c r="H88">
        <v>2</v>
      </c>
      <c r="I88" s="2">
        <f t="shared" si="3"/>
        <v>1.5707519999999999</v>
      </c>
      <c r="J88">
        <f t="shared" si="4"/>
        <v>0.1365871304347826</v>
      </c>
      <c r="K88">
        <f t="shared" si="5"/>
        <v>4.1022512405327761E-2</v>
      </c>
    </row>
    <row r="89" spans="1:11" x14ac:dyDescent="0.25">
      <c r="A89" s="1">
        <v>1958</v>
      </c>
      <c r="B89" s="1" t="s">
        <v>104</v>
      </c>
      <c r="C89" t="s">
        <v>6</v>
      </c>
      <c r="D89" s="1" t="s">
        <v>3</v>
      </c>
      <c r="E89">
        <v>71</v>
      </c>
      <c r="F89" s="1" t="s">
        <v>101</v>
      </c>
      <c r="G89">
        <v>16</v>
      </c>
      <c r="H89">
        <v>1</v>
      </c>
      <c r="I89" s="2">
        <f t="shared" si="3"/>
        <v>1.3962239999999999</v>
      </c>
      <c r="J89">
        <f t="shared" si="4"/>
        <v>0.12141078260869564</v>
      </c>
      <c r="K89">
        <f t="shared" si="5"/>
        <v>3.6464455471402452E-2</v>
      </c>
    </row>
    <row r="90" spans="1:11" x14ac:dyDescent="0.25">
      <c r="A90" s="1">
        <v>1958</v>
      </c>
      <c r="B90" s="1" t="s">
        <v>104</v>
      </c>
      <c r="C90" t="s">
        <v>6</v>
      </c>
      <c r="D90" s="1" t="s">
        <v>3</v>
      </c>
      <c r="E90">
        <v>71</v>
      </c>
      <c r="F90" s="1" t="s">
        <v>101</v>
      </c>
      <c r="G90">
        <v>18</v>
      </c>
      <c r="H90">
        <v>1</v>
      </c>
      <c r="I90" s="2">
        <f t="shared" si="3"/>
        <v>1.7670959999999998</v>
      </c>
      <c r="J90">
        <f t="shared" si="4"/>
        <v>0.15366052173913042</v>
      </c>
      <c r="K90">
        <f t="shared" si="5"/>
        <v>4.6150326455993727E-2</v>
      </c>
    </row>
    <row r="91" spans="1:11" x14ac:dyDescent="0.25">
      <c r="A91" s="1">
        <v>1958</v>
      </c>
      <c r="B91" s="1" t="s">
        <v>104</v>
      </c>
      <c r="C91" t="s">
        <v>6</v>
      </c>
      <c r="D91" s="1" t="s">
        <v>3</v>
      </c>
      <c r="E91">
        <v>76</v>
      </c>
      <c r="F91" s="1" t="s">
        <v>101</v>
      </c>
      <c r="G91">
        <v>6</v>
      </c>
      <c r="H91">
        <v>3</v>
      </c>
      <c r="I91" s="2">
        <f t="shared" si="3"/>
        <v>0.589032</v>
      </c>
      <c r="J91">
        <f t="shared" si="4"/>
        <v>5.1220173913043475E-2</v>
      </c>
      <c r="K91">
        <f t="shared" si="5"/>
        <v>1.538344215199791E-2</v>
      </c>
    </row>
    <row r="92" spans="1:11" x14ac:dyDescent="0.25">
      <c r="A92" s="1">
        <v>1958</v>
      </c>
      <c r="B92" s="1" t="s">
        <v>104</v>
      </c>
      <c r="C92" t="s">
        <v>6</v>
      </c>
      <c r="D92" s="1" t="s">
        <v>3</v>
      </c>
      <c r="E92">
        <v>76</v>
      </c>
      <c r="F92" s="1" t="s">
        <v>101</v>
      </c>
      <c r="G92">
        <v>8</v>
      </c>
      <c r="H92">
        <v>2</v>
      </c>
      <c r="I92" s="2">
        <f t="shared" si="3"/>
        <v>0.69811199999999995</v>
      </c>
      <c r="J92">
        <f t="shared" si="4"/>
        <v>6.0705391304347822E-2</v>
      </c>
      <c r="K92">
        <f t="shared" si="5"/>
        <v>1.8232227735701226E-2</v>
      </c>
    </row>
    <row r="93" spans="1:11" x14ac:dyDescent="0.25">
      <c r="A93" s="1">
        <v>1958</v>
      </c>
      <c r="B93" s="1" t="s">
        <v>104</v>
      </c>
      <c r="C93" t="s">
        <v>6</v>
      </c>
      <c r="D93" s="1" t="s">
        <v>3</v>
      </c>
      <c r="E93">
        <v>76</v>
      </c>
      <c r="F93" s="1" t="s">
        <v>101</v>
      </c>
      <c r="G93">
        <v>10</v>
      </c>
      <c r="H93">
        <v>1</v>
      </c>
      <c r="I93" s="2">
        <f t="shared" si="3"/>
        <v>0.5454</v>
      </c>
      <c r="J93">
        <f t="shared" si="4"/>
        <v>4.7426086956521736E-2</v>
      </c>
      <c r="K93">
        <f t="shared" si="5"/>
        <v>1.4243927918516582E-2</v>
      </c>
    </row>
    <row r="94" spans="1:11" x14ac:dyDescent="0.25">
      <c r="A94" s="1">
        <v>1958</v>
      </c>
      <c r="B94" s="1" t="s">
        <v>104</v>
      </c>
      <c r="C94" t="s">
        <v>6</v>
      </c>
      <c r="D94" s="1" t="s">
        <v>3</v>
      </c>
      <c r="E94">
        <v>76</v>
      </c>
      <c r="F94" s="1" t="s">
        <v>101</v>
      </c>
      <c r="G94">
        <v>14</v>
      </c>
      <c r="H94">
        <v>1</v>
      </c>
      <c r="I94" s="2">
        <f t="shared" si="3"/>
        <v>1.0689839999999999</v>
      </c>
      <c r="J94">
        <f t="shared" si="4"/>
        <v>9.295513043478261E-2</v>
      </c>
      <c r="K94">
        <f t="shared" si="5"/>
        <v>2.7918098720292505E-2</v>
      </c>
    </row>
    <row r="95" spans="1:11" x14ac:dyDescent="0.25">
      <c r="A95" s="1">
        <v>1958</v>
      </c>
      <c r="B95" s="1" t="s">
        <v>104</v>
      </c>
      <c r="C95" t="s">
        <v>6</v>
      </c>
      <c r="D95" s="1" t="s">
        <v>3</v>
      </c>
      <c r="E95">
        <v>78</v>
      </c>
      <c r="F95" s="1" t="s">
        <v>101</v>
      </c>
      <c r="G95">
        <v>6</v>
      </c>
      <c r="H95">
        <v>3</v>
      </c>
      <c r="I95" s="2">
        <f t="shared" si="3"/>
        <v>0.589032</v>
      </c>
      <c r="J95">
        <f t="shared" si="4"/>
        <v>5.1220173913043475E-2</v>
      </c>
      <c r="K95">
        <f t="shared" si="5"/>
        <v>1.538344215199791E-2</v>
      </c>
    </row>
    <row r="96" spans="1:11" x14ac:dyDescent="0.25">
      <c r="A96" s="1">
        <v>1958</v>
      </c>
      <c r="B96" s="1" t="s">
        <v>104</v>
      </c>
      <c r="C96" t="s">
        <v>6</v>
      </c>
      <c r="D96" s="1" t="s">
        <v>3</v>
      </c>
      <c r="E96">
        <v>79</v>
      </c>
      <c r="F96" s="1" t="s">
        <v>101</v>
      </c>
      <c r="G96">
        <v>6</v>
      </c>
      <c r="H96">
        <v>126</v>
      </c>
      <c r="I96" s="2">
        <f t="shared" si="3"/>
        <v>24.739343999999999</v>
      </c>
      <c r="J96">
        <f t="shared" si="4"/>
        <v>2.1512473043478262</v>
      </c>
      <c r="K96">
        <f t="shared" si="5"/>
        <v>0.64610457038391222</v>
      </c>
    </row>
    <row r="97" spans="1:11" x14ac:dyDescent="0.25">
      <c r="A97" s="1">
        <v>1958</v>
      </c>
      <c r="B97" s="1" t="s">
        <v>104</v>
      </c>
      <c r="C97" t="s">
        <v>6</v>
      </c>
      <c r="D97" s="1" t="s">
        <v>3</v>
      </c>
      <c r="E97">
        <v>79</v>
      </c>
      <c r="F97" s="1" t="s">
        <v>101</v>
      </c>
      <c r="G97">
        <v>8</v>
      </c>
      <c r="H97">
        <v>47</v>
      </c>
      <c r="I97" s="2">
        <f t="shared" si="3"/>
        <v>16.405632000000001</v>
      </c>
      <c r="J97">
        <f t="shared" si="4"/>
        <v>1.4265766956521739</v>
      </c>
      <c r="K97">
        <f t="shared" si="5"/>
        <v>0.42845735178897887</v>
      </c>
    </row>
    <row r="98" spans="1:11" x14ac:dyDescent="0.25">
      <c r="A98" s="1">
        <v>1958</v>
      </c>
      <c r="B98" s="1" t="s">
        <v>104</v>
      </c>
      <c r="C98" t="s">
        <v>6</v>
      </c>
      <c r="D98" s="1" t="s">
        <v>3</v>
      </c>
      <c r="E98">
        <v>79</v>
      </c>
      <c r="F98" s="1" t="s">
        <v>101</v>
      </c>
      <c r="G98">
        <v>10</v>
      </c>
      <c r="H98">
        <v>13</v>
      </c>
      <c r="I98" s="2">
        <f t="shared" si="3"/>
        <v>7.0902000000000003</v>
      </c>
      <c r="J98">
        <f t="shared" si="4"/>
        <v>0.61653913043478259</v>
      </c>
      <c r="K98">
        <f t="shared" si="5"/>
        <v>0.18517106294071559</v>
      </c>
    </row>
    <row r="99" spans="1:11" x14ac:dyDescent="0.25">
      <c r="A99" s="1">
        <v>1958</v>
      </c>
      <c r="B99" s="1" t="s">
        <v>104</v>
      </c>
      <c r="C99" t="s">
        <v>6</v>
      </c>
      <c r="D99" s="1" t="s">
        <v>3</v>
      </c>
      <c r="E99">
        <v>79</v>
      </c>
      <c r="F99" s="1" t="s">
        <v>101</v>
      </c>
      <c r="G99">
        <v>12</v>
      </c>
      <c r="H99">
        <v>6</v>
      </c>
      <c r="I99" s="2">
        <f t="shared" si="3"/>
        <v>4.712256</v>
      </c>
      <c r="J99">
        <f t="shared" si="4"/>
        <v>0.4097613913043478</v>
      </c>
      <c r="K99">
        <f t="shared" si="5"/>
        <v>0.12306753721598328</v>
      </c>
    </row>
    <row r="100" spans="1:11" x14ac:dyDescent="0.25">
      <c r="A100" s="1">
        <v>1958</v>
      </c>
      <c r="B100" s="1" t="s">
        <v>104</v>
      </c>
      <c r="C100" t="s">
        <v>6</v>
      </c>
      <c r="D100" s="1" t="s">
        <v>3</v>
      </c>
      <c r="E100">
        <v>79</v>
      </c>
      <c r="F100" s="1" t="s">
        <v>101</v>
      </c>
      <c r="G100">
        <v>14</v>
      </c>
      <c r="H100">
        <v>3</v>
      </c>
      <c r="I100" s="2">
        <f t="shared" si="3"/>
        <v>3.2069519999999998</v>
      </c>
      <c r="J100">
        <f t="shared" si="4"/>
        <v>0.27886539130434779</v>
      </c>
      <c r="K100">
        <f t="shared" si="5"/>
        <v>8.3754296160877498E-2</v>
      </c>
    </row>
    <row r="101" spans="1:11" x14ac:dyDescent="0.25">
      <c r="A101" s="1">
        <v>1958</v>
      </c>
      <c r="B101" s="1" t="s">
        <v>104</v>
      </c>
      <c r="C101" t="s">
        <v>6</v>
      </c>
      <c r="D101" s="1" t="s">
        <v>3</v>
      </c>
      <c r="E101">
        <v>79</v>
      </c>
      <c r="F101" s="1" t="s">
        <v>101</v>
      </c>
      <c r="G101">
        <v>16</v>
      </c>
      <c r="H101">
        <v>1</v>
      </c>
      <c r="I101" s="2">
        <f t="shared" si="3"/>
        <v>1.3962239999999999</v>
      </c>
      <c r="J101">
        <f t="shared" si="4"/>
        <v>0.12141078260869564</v>
      </c>
      <c r="K101">
        <f t="shared" si="5"/>
        <v>3.6464455471402452E-2</v>
      </c>
    </row>
    <row r="102" spans="1:11" x14ac:dyDescent="0.25">
      <c r="A102" s="1">
        <v>1958</v>
      </c>
      <c r="B102" s="1" t="s">
        <v>104</v>
      </c>
      <c r="C102" t="s">
        <v>6</v>
      </c>
      <c r="D102" s="1" t="s">
        <v>3</v>
      </c>
      <c r="E102">
        <v>79</v>
      </c>
      <c r="F102" s="1" t="s">
        <v>101</v>
      </c>
      <c r="G102">
        <v>18</v>
      </c>
      <c r="H102">
        <v>1</v>
      </c>
      <c r="I102" s="2">
        <f t="shared" si="3"/>
        <v>1.7670959999999998</v>
      </c>
      <c r="J102">
        <f t="shared" si="4"/>
        <v>0.15366052173913042</v>
      </c>
      <c r="K102">
        <f t="shared" si="5"/>
        <v>4.6150326455993727E-2</v>
      </c>
    </row>
    <row r="103" spans="1:11" x14ac:dyDescent="0.25">
      <c r="A103" s="1">
        <v>1958</v>
      </c>
      <c r="B103" s="1" t="s">
        <v>104</v>
      </c>
      <c r="C103" t="s">
        <v>6</v>
      </c>
      <c r="D103" s="1" t="s">
        <v>3</v>
      </c>
      <c r="E103">
        <v>79</v>
      </c>
      <c r="F103" s="1" t="s">
        <v>101</v>
      </c>
      <c r="G103">
        <v>20</v>
      </c>
      <c r="H103">
        <v>2</v>
      </c>
      <c r="I103" s="2">
        <f t="shared" si="3"/>
        <v>4.3632</v>
      </c>
      <c r="J103">
        <f t="shared" si="4"/>
        <v>0.37940869565217389</v>
      </c>
      <c r="K103">
        <f t="shared" si="5"/>
        <v>0.11395142334813266</v>
      </c>
    </row>
    <row r="104" spans="1:11" x14ac:dyDescent="0.25">
      <c r="A104" s="1">
        <v>1958</v>
      </c>
      <c r="B104" s="1" t="s">
        <v>104</v>
      </c>
      <c r="C104" t="s">
        <v>6</v>
      </c>
      <c r="D104" s="1" t="s">
        <v>3</v>
      </c>
      <c r="E104">
        <v>85</v>
      </c>
      <c r="F104" s="1" t="s">
        <v>101</v>
      </c>
      <c r="G104">
        <v>8</v>
      </c>
      <c r="H104">
        <v>3</v>
      </c>
      <c r="I104" s="2">
        <f t="shared" si="3"/>
        <v>1.0471679999999999</v>
      </c>
      <c r="J104">
        <f t="shared" si="4"/>
        <v>9.1058086956521733E-2</v>
      </c>
      <c r="K104">
        <f t="shared" si="5"/>
        <v>2.7348341603551839E-2</v>
      </c>
    </row>
    <row r="105" spans="1:11" x14ac:dyDescent="0.25">
      <c r="A105" s="1">
        <v>1958</v>
      </c>
      <c r="B105" s="1" t="s">
        <v>104</v>
      </c>
      <c r="C105" t="s">
        <v>6</v>
      </c>
      <c r="D105" s="1" t="s">
        <v>3</v>
      </c>
      <c r="E105">
        <v>85</v>
      </c>
      <c r="F105" s="1" t="s">
        <v>101</v>
      </c>
      <c r="G105">
        <v>10</v>
      </c>
      <c r="H105">
        <v>6</v>
      </c>
      <c r="I105" s="2">
        <f t="shared" si="3"/>
        <v>3.2724000000000002</v>
      </c>
      <c r="J105">
        <f t="shared" si="4"/>
        <v>0.28455652173913043</v>
      </c>
      <c r="K105">
        <f t="shared" si="5"/>
        <v>8.54635675110995E-2</v>
      </c>
    </row>
    <row r="106" spans="1:11" x14ac:dyDescent="0.25">
      <c r="A106" s="1">
        <v>1958</v>
      </c>
      <c r="B106" s="1" t="s">
        <v>104</v>
      </c>
      <c r="C106" t="s">
        <v>6</v>
      </c>
      <c r="D106" s="1" t="s">
        <v>3</v>
      </c>
      <c r="E106">
        <v>85</v>
      </c>
      <c r="F106" s="1" t="s">
        <v>101</v>
      </c>
      <c r="G106">
        <v>12</v>
      </c>
      <c r="H106">
        <v>7</v>
      </c>
      <c r="I106" s="2">
        <f t="shared" si="3"/>
        <v>5.4976319999999994</v>
      </c>
      <c r="J106">
        <f t="shared" si="4"/>
        <v>0.47805495652173907</v>
      </c>
      <c r="K106">
        <f t="shared" si="5"/>
        <v>0.14357879341864715</v>
      </c>
    </row>
    <row r="107" spans="1:11" x14ac:dyDescent="0.25">
      <c r="A107" s="1">
        <v>1958</v>
      </c>
      <c r="B107" s="1" t="s">
        <v>104</v>
      </c>
      <c r="C107" t="s">
        <v>6</v>
      </c>
      <c r="D107" s="1" t="s">
        <v>3</v>
      </c>
      <c r="E107">
        <v>85</v>
      </c>
      <c r="F107" s="1" t="s">
        <v>101</v>
      </c>
      <c r="G107">
        <v>14</v>
      </c>
      <c r="H107">
        <v>19</v>
      </c>
      <c r="I107" s="2">
        <f t="shared" si="3"/>
        <v>20.310696</v>
      </c>
      <c r="J107">
        <f t="shared" si="4"/>
        <v>1.7661474782608695</v>
      </c>
      <c r="K107">
        <f t="shared" si="5"/>
        <v>0.53044387568555751</v>
      </c>
    </row>
    <row r="108" spans="1:11" x14ac:dyDescent="0.25">
      <c r="A108" s="1">
        <v>1958</v>
      </c>
      <c r="B108" s="1" t="s">
        <v>104</v>
      </c>
      <c r="C108" t="s">
        <v>6</v>
      </c>
      <c r="D108" s="1" t="s">
        <v>3</v>
      </c>
      <c r="E108">
        <v>85</v>
      </c>
      <c r="F108" s="1" t="s">
        <v>101</v>
      </c>
      <c r="G108">
        <v>16</v>
      </c>
      <c r="H108">
        <v>16</v>
      </c>
      <c r="I108" s="2">
        <f t="shared" si="3"/>
        <v>22.339583999999999</v>
      </c>
      <c r="J108">
        <f t="shared" si="4"/>
        <v>1.9425725217391303</v>
      </c>
      <c r="K108">
        <f t="shared" si="5"/>
        <v>0.58343128754243923</v>
      </c>
    </row>
    <row r="109" spans="1:11" x14ac:dyDescent="0.25">
      <c r="A109" s="1">
        <v>1958</v>
      </c>
      <c r="B109" s="1" t="s">
        <v>104</v>
      </c>
      <c r="C109" t="s">
        <v>6</v>
      </c>
      <c r="D109" s="1" t="s">
        <v>3</v>
      </c>
      <c r="E109">
        <v>85</v>
      </c>
      <c r="F109" s="1" t="s">
        <v>101</v>
      </c>
      <c r="G109">
        <v>18</v>
      </c>
      <c r="H109">
        <v>4</v>
      </c>
      <c r="I109" s="2">
        <f t="shared" si="3"/>
        <v>7.0683839999999991</v>
      </c>
      <c r="J109">
        <f t="shared" si="4"/>
        <v>0.61464208695652167</v>
      </c>
      <c r="K109">
        <f t="shared" si="5"/>
        <v>0.18460130582397491</v>
      </c>
    </row>
    <row r="110" spans="1:11" x14ac:dyDescent="0.25">
      <c r="A110" s="1">
        <v>1958</v>
      </c>
      <c r="B110" s="1" t="s">
        <v>104</v>
      </c>
      <c r="C110" t="s">
        <v>6</v>
      </c>
      <c r="D110" s="1" t="s">
        <v>3</v>
      </c>
      <c r="E110">
        <v>85</v>
      </c>
      <c r="F110" s="1" t="s">
        <v>101</v>
      </c>
      <c r="G110">
        <v>20</v>
      </c>
      <c r="H110">
        <v>1</v>
      </c>
      <c r="I110" s="2">
        <f t="shared" si="3"/>
        <v>2.1816</v>
      </c>
      <c r="J110">
        <f t="shared" si="4"/>
        <v>0.18970434782608694</v>
      </c>
      <c r="K110">
        <f t="shared" si="5"/>
        <v>5.6975711674066329E-2</v>
      </c>
    </row>
    <row r="111" spans="1:11" x14ac:dyDescent="0.25">
      <c r="A111" s="1">
        <v>1958</v>
      </c>
      <c r="B111" s="1" t="s">
        <v>104</v>
      </c>
      <c r="C111" t="s">
        <v>6</v>
      </c>
      <c r="D111" s="1" t="s">
        <v>3</v>
      </c>
      <c r="E111">
        <v>85</v>
      </c>
      <c r="F111" s="1" t="s">
        <v>101</v>
      </c>
      <c r="G111">
        <v>22</v>
      </c>
      <c r="H111">
        <v>2</v>
      </c>
      <c r="I111" s="2">
        <f t="shared" si="3"/>
        <v>5.2794719999999993</v>
      </c>
      <c r="J111">
        <f t="shared" si="4"/>
        <v>0.45908452173913039</v>
      </c>
      <c r="K111">
        <f t="shared" si="5"/>
        <v>0.13788122225124053</v>
      </c>
    </row>
    <row r="112" spans="1:11" x14ac:dyDescent="0.25">
      <c r="A112" s="1">
        <v>1958</v>
      </c>
      <c r="B112" s="1" t="s">
        <v>104</v>
      </c>
      <c r="C112" t="s">
        <v>6</v>
      </c>
      <c r="D112" s="1" t="s">
        <v>3</v>
      </c>
      <c r="E112">
        <v>88</v>
      </c>
      <c r="F112" s="1" t="s">
        <v>101</v>
      </c>
      <c r="G112">
        <v>6</v>
      </c>
      <c r="H112">
        <v>2</v>
      </c>
      <c r="I112" s="2">
        <f t="shared" si="3"/>
        <v>0.39268799999999998</v>
      </c>
      <c r="J112">
        <f t="shared" si="4"/>
        <v>3.414678260869565E-2</v>
      </c>
      <c r="K112">
        <f t="shared" si="5"/>
        <v>1.025562810133194E-2</v>
      </c>
    </row>
    <row r="113" spans="1:11" x14ac:dyDescent="0.25">
      <c r="A113" s="1">
        <v>1958</v>
      </c>
      <c r="B113" s="1" t="s">
        <v>104</v>
      </c>
      <c r="C113" t="s">
        <v>6</v>
      </c>
      <c r="D113" s="1" t="s">
        <v>3</v>
      </c>
      <c r="E113">
        <v>88</v>
      </c>
      <c r="F113" s="1" t="s">
        <v>101</v>
      </c>
      <c r="G113">
        <v>8</v>
      </c>
      <c r="H113">
        <v>1</v>
      </c>
      <c r="I113" s="2">
        <f t="shared" si="3"/>
        <v>0.34905599999999998</v>
      </c>
      <c r="J113">
        <f t="shared" si="4"/>
        <v>3.0352695652173911E-2</v>
      </c>
      <c r="K113">
        <f t="shared" si="5"/>
        <v>9.1161138678506129E-3</v>
      </c>
    </row>
    <row r="114" spans="1:11" x14ac:dyDescent="0.25">
      <c r="A114" s="1">
        <v>1958</v>
      </c>
      <c r="B114" s="1" t="s">
        <v>104</v>
      </c>
      <c r="C114" t="s">
        <v>6</v>
      </c>
      <c r="D114" s="1" t="s">
        <v>3</v>
      </c>
      <c r="E114">
        <v>91</v>
      </c>
      <c r="F114" s="1" t="s">
        <v>101</v>
      </c>
      <c r="G114">
        <v>6</v>
      </c>
      <c r="H114">
        <v>3</v>
      </c>
      <c r="I114" s="2">
        <f t="shared" si="3"/>
        <v>0.589032</v>
      </c>
      <c r="J114">
        <f t="shared" si="4"/>
        <v>5.1220173913043475E-2</v>
      </c>
      <c r="K114">
        <f t="shared" si="5"/>
        <v>1.538344215199791E-2</v>
      </c>
    </row>
    <row r="115" spans="1:11" x14ac:dyDescent="0.25">
      <c r="A115" s="1">
        <v>1958</v>
      </c>
      <c r="B115" s="1" t="s">
        <v>104</v>
      </c>
      <c r="C115" t="s">
        <v>6</v>
      </c>
      <c r="D115" s="1" t="s">
        <v>3</v>
      </c>
      <c r="E115">
        <v>91</v>
      </c>
      <c r="F115" s="1" t="s">
        <v>101</v>
      </c>
      <c r="G115">
        <v>8</v>
      </c>
      <c r="H115">
        <v>2</v>
      </c>
      <c r="I115" s="2">
        <f t="shared" si="3"/>
        <v>0.69811199999999995</v>
      </c>
      <c r="J115">
        <f t="shared" si="4"/>
        <v>6.0705391304347822E-2</v>
      </c>
      <c r="K115">
        <f t="shared" si="5"/>
        <v>1.8232227735701226E-2</v>
      </c>
    </row>
    <row r="116" spans="1:11" x14ac:dyDescent="0.25">
      <c r="A116" s="1">
        <v>1958</v>
      </c>
      <c r="B116" s="1" t="s">
        <v>104</v>
      </c>
      <c r="C116" t="s">
        <v>6</v>
      </c>
      <c r="D116" s="1" t="s">
        <v>3</v>
      </c>
      <c r="E116">
        <v>91</v>
      </c>
      <c r="F116" s="1" t="s">
        <v>101</v>
      </c>
      <c r="G116">
        <v>10</v>
      </c>
      <c r="H116">
        <v>1</v>
      </c>
      <c r="I116" s="2">
        <f t="shared" si="3"/>
        <v>0.5454</v>
      </c>
      <c r="J116">
        <f t="shared" si="4"/>
        <v>4.7426086956521736E-2</v>
      </c>
      <c r="K116">
        <f t="shared" si="5"/>
        <v>1.4243927918516582E-2</v>
      </c>
    </row>
    <row r="117" spans="1:11" x14ac:dyDescent="0.25">
      <c r="A117" s="1">
        <v>1958</v>
      </c>
      <c r="B117" s="1" t="s">
        <v>104</v>
      </c>
      <c r="C117" t="s">
        <v>6</v>
      </c>
      <c r="D117" s="1" t="s">
        <v>5</v>
      </c>
      <c r="E117">
        <v>17</v>
      </c>
      <c r="F117" s="1" t="s">
        <v>101</v>
      </c>
      <c r="G117">
        <v>8</v>
      </c>
      <c r="H117">
        <v>1</v>
      </c>
      <c r="I117" s="2">
        <f t="shared" si="3"/>
        <v>0.34905599999999998</v>
      </c>
      <c r="J117">
        <f t="shared" si="4"/>
        <v>3.0352695652173911E-2</v>
      </c>
      <c r="K117">
        <f t="shared" si="5"/>
        <v>9.1161138678506129E-3</v>
      </c>
    </row>
    <row r="118" spans="1:11" x14ac:dyDescent="0.25">
      <c r="A118" s="1">
        <v>1958</v>
      </c>
      <c r="B118" s="1" t="s">
        <v>104</v>
      </c>
      <c r="C118" t="s">
        <v>6</v>
      </c>
      <c r="D118" s="1" t="s">
        <v>5</v>
      </c>
      <c r="E118">
        <v>29</v>
      </c>
      <c r="F118" s="1" t="s">
        <v>101</v>
      </c>
      <c r="G118">
        <v>8</v>
      </c>
      <c r="H118">
        <v>1</v>
      </c>
      <c r="I118" s="2">
        <f t="shared" si="3"/>
        <v>0.34905599999999998</v>
      </c>
      <c r="J118">
        <f t="shared" si="4"/>
        <v>3.0352695652173911E-2</v>
      </c>
      <c r="K118">
        <f t="shared" si="5"/>
        <v>9.1161138678506129E-3</v>
      </c>
    </row>
    <row r="119" spans="1:11" x14ac:dyDescent="0.25">
      <c r="A119" s="1">
        <v>1958</v>
      </c>
      <c r="B119" s="1" t="s">
        <v>104</v>
      </c>
      <c r="C119" t="s">
        <v>6</v>
      </c>
      <c r="D119" s="1" t="s">
        <v>5</v>
      </c>
      <c r="E119">
        <v>32</v>
      </c>
      <c r="F119" s="1" t="s">
        <v>101</v>
      </c>
      <c r="G119">
        <v>10</v>
      </c>
      <c r="H119">
        <v>1</v>
      </c>
      <c r="I119" s="2">
        <f t="shared" si="3"/>
        <v>0.5454</v>
      </c>
      <c r="J119">
        <f t="shared" si="4"/>
        <v>4.7426086956521736E-2</v>
      </c>
      <c r="K119">
        <f t="shared" si="5"/>
        <v>1.4243927918516582E-2</v>
      </c>
    </row>
    <row r="120" spans="1:11" x14ac:dyDescent="0.25">
      <c r="A120" s="1">
        <v>1958</v>
      </c>
      <c r="B120" s="1" t="s">
        <v>104</v>
      </c>
      <c r="C120" t="s">
        <v>6</v>
      </c>
      <c r="D120" s="1" t="s">
        <v>5</v>
      </c>
      <c r="E120">
        <v>32</v>
      </c>
      <c r="F120" s="1" t="s">
        <v>101</v>
      </c>
      <c r="G120">
        <v>12</v>
      </c>
      <c r="H120">
        <v>1</v>
      </c>
      <c r="I120" s="2">
        <f t="shared" si="3"/>
        <v>0.78537599999999996</v>
      </c>
      <c r="J120">
        <f t="shared" si="4"/>
        <v>6.82935652173913E-2</v>
      </c>
      <c r="K120">
        <f t="shared" si="5"/>
        <v>2.0511256202663881E-2</v>
      </c>
    </row>
    <row r="121" spans="1:11" x14ac:dyDescent="0.25">
      <c r="A121" s="1">
        <v>1958</v>
      </c>
      <c r="B121" s="1" t="s">
        <v>104</v>
      </c>
      <c r="C121" t="s">
        <v>6</v>
      </c>
      <c r="D121" s="1" t="s">
        <v>5</v>
      </c>
      <c r="E121">
        <v>32</v>
      </c>
      <c r="F121" s="1" t="s">
        <v>101</v>
      </c>
      <c r="G121">
        <v>16</v>
      </c>
      <c r="H121">
        <v>1</v>
      </c>
      <c r="I121" s="2">
        <f t="shared" si="3"/>
        <v>1.3962239999999999</v>
      </c>
      <c r="J121">
        <f t="shared" si="4"/>
        <v>0.12141078260869564</v>
      </c>
      <c r="K121">
        <f t="shared" si="5"/>
        <v>3.6464455471402452E-2</v>
      </c>
    </row>
    <row r="122" spans="1:11" x14ac:dyDescent="0.25">
      <c r="A122" s="1">
        <v>1958</v>
      </c>
      <c r="B122" s="1" t="s">
        <v>104</v>
      </c>
      <c r="C122" t="s">
        <v>6</v>
      </c>
      <c r="D122" s="1" t="s">
        <v>5</v>
      </c>
      <c r="E122">
        <v>32</v>
      </c>
      <c r="F122" s="1" t="s">
        <v>101</v>
      </c>
      <c r="G122">
        <v>18</v>
      </c>
      <c r="H122">
        <v>1</v>
      </c>
      <c r="I122" s="2">
        <f t="shared" si="3"/>
        <v>1.7670959999999998</v>
      </c>
      <c r="J122">
        <f t="shared" si="4"/>
        <v>0.15366052173913042</v>
      </c>
      <c r="K122">
        <f t="shared" si="5"/>
        <v>4.6150326455993727E-2</v>
      </c>
    </row>
    <row r="123" spans="1:11" x14ac:dyDescent="0.25">
      <c r="A123" s="1">
        <v>1958</v>
      </c>
      <c r="B123" s="1" t="s">
        <v>104</v>
      </c>
      <c r="C123" t="s">
        <v>6</v>
      </c>
      <c r="D123" s="1" t="s">
        <v>5</v>
      </c>
      <c r="E123">
        <v>32</v>
      </c>
      <c r="F123" s="1" t="s">
        <v>101</v>
      </c>
      <c r="G123">
        <v>24</v>
      </c>
      <c r="H123">
        <v>1</v>
      </c>
      <c r="I123" s="2">
        <f t="shared" si="3"/>
        <v>3.1415039999999999</v>
      </c>
      <c r="J123">
        <f t="shared" si="4"/>
        <v>0.2731742608695652</v>
      </c>
      <c r="K123">
        <f t="shared" si="5"/>
        <v>8.2045024810655523E-2</v>
      </c>
    </row>
    <row r="124" spans="1:11" x14ac:dyDescent="0.25">
      <c r="A124" s="1">
        <v>1958</v>
      </c>
      <c r="B124" s="1" t="s">
        <v>104</v>
      </c>
      <c r="C124" t="s">
        <v>6</v>
      </c>
      <c r="D124" s="1" t="s">
        <v>5</v>
      </c>
      <c r="E124">
        <v>34</v>
      </c>
      <c r="F124" s="1" t="s">
        <v>101</v>
      </c>
      <c r="G124">
        <v>22</v>
      </c>
      <c r="H124">
        <v>1</v>
      </c>
      <c r="I124" s="2">
        <f t="shared" si="3"/>
        <v>2.6397359999999996</v>
      </c>
      <c r="J124">
        <f t="shared" si="4"/>
        <v>0.2295422608695652</v>
      </c>
      <c r="K124">
        <f t="shared" si="5"/>
        <v>6.8940611125620263E-2</v>
      </c>
    </row>
    <row r="125" spans="1:11" x14ac:dyDescent="0.25">
      <c r="A125" s="1">
        <v>1958</v>
      </c>
      <c r="B125" s="1" t="s">
        <v>104</v>
      </c>
      <c r="C125" t="s">
        <v>6</v>
      </c>
      <c r="D125" s="1" t="s">
        <v>5</v>
      </c>
      <c r="E125">
        <v>38</v>
      </c>
      <c r="F125" s="1" t="s">
        <v>101</v>
      </c>
      <c r="G125">
        <v>6</v>
      </c>
      <c r="H125">
        <v>1</v>
      </c>
      <c r="I125" s="2">
        <f t="shared" si="3"/>
        <v>0.19634399999999999</v>
      </c>
      <c r="J125">
        <f t="shared" si="4"/>
        <v>1.7073391304347825E-2</v>
      </c>
      <c r="K125">
        <f t="shared" si="5"/>
        <v>5.1278140506659702E-3</v>
      </c>
    </row>
    <row r="126" spans="1:11" x14ac:dyDescent="0.25">
      <c r="A126" s="1">
        <v>1958</v>
      </c>
      <c r="B126" s="1" t="s">
        <v>104</v>
      </c>
      <c r="C126" t="s">
        <v>6</v>
      </c>
      <c r="D126" s="1" t="s">
        <v>5</v>
      </c>
      <c r="E126">
        <v>38</v>
      </c>
      <c r="F126" s="1" t="s">
        <v>101</v>
      </c>
      <c r="G126">
        <v>8</v>
      </c>
      <c r="H126">
        <v>1</v>
      </c>
      <c r="I126" s="2">
        <f t="shared" si="3"/>
        <v>0.34905599999999998</v>
      </c>
      <c r="J126">
        <f t="shared" si="4"/>
        <v>3.0352695652173911E-2</v>
      </c>
      <c r="K126">
        <f t="shared" si="5"/>
        <v>9.1161138678506129E-3</v>
      </c>
    </row>
    <row r="127" spans="1:11" x14ac:dyDescent="0.25">
      <c r="A127" s="1">
        <v>1958</v>
      </c>
      <c r="B127" s="1" t="s">
        <v>104</v>
      </c>
      <c r="C127" t="s">
        <v>6</v>
      </c>
      <c r="D127" s="1" t="s">
        <v>5</v>
      </c>
      <c r="E127">
        <v>38</v>
      </c>
      <c r="F127" s="1" t="s">
        <v>101</v>
      </c>
      <c r="G127">
        <v>14</v>
      </c>
      <c r="H127">
        <v>1</v>
      </c>
      <c r="I127" s="2">
        <f t="shared" si="3"/>
        <v>1.0689839999999999</v>
      </c>
      <c r="J127">
        <f t="shared" si="4"/>
        <v>9.295513043478261E-2</v>
      </c>
      <c r="K127">
        <f t="shared" si="5"/>
        <v>2.7918098720292505E-2</v>
      </c>
    </row>
    <row r="128" spans="1:11" x14ac:dyDescent="0.25">
      <c r="A128" s="1">
        <v>1958</v>
      </c>
      <c r="B128" s="1" t="s">
        <v>104</v>
      </c>
      <c r="C128" t="s">
        <v>6</v>
      </c>
      <c r="D128" s="1" t="s">
        <v>5</v>
      </c>
      <c r="E128">
        <v>38</v>
      </c>
      <c r="F128" s="1" t="s">
        <v>101</v>
      </c>
      <c r="G128">
        <v>16</v>
      </c>
      <c r="H128">
        <v>1</v>
      </c>
      <c r="I128" s="2">
        <f t="shared" si="3"/>
        <v>1.3962239999999999</v>
      </c>
      <c r="J128">
        <f t="shared" si="4"/>
        <v>0.12141078260869564</v>
      </c>
      <c r="K128">
        <f t="shared" si="5"/>
        <v>3.6464455471402452E-2</v>
      </c>
    </row>
    <row r="129" spans="1:11" x14ac:dyDescent="0.25">
      <c r="A129" s="1">
        <v>1958</v>
      </c>
      <c r="B129" s="1" t="s">
        <v>104</v>
      </c>
      <c r="C129" t="s">
        <v>6</v>
      </c>
      <c r="D129" s="1" t="s">
        <v>5</v>
      </c>
      <c r="E129">
        <v>38</v>
      </c>
      <c r="F129" s="1" t="s">
        <v>101</v>
      </c>
      <c r="G129">
        <v>24</v>
      </c>
      <c r="H129">
        <v>1</v>
      </c>
      <c r="I129" s="2">
        <f t="shared" si="3"/>
        <v>3.1415039999999999</v>
      </c>
      <c r="J129">
        <f t="shared" si="4"/>
        <v>0.2731742608695652</v>
      </c>
      <c r="K129">
        <f t="shared" si="5"/>
        <v>8.2045024810655523E-2</v>
      </c>
    </row>
    <row r="130" spans="1:11" x14ac:dyDescent="0.25">
      <c r="A130" s="1">
        <v>1958</v>
      </c>
      <c r="B130" s="1" t="s">
        <v>104</v>
      </c>
      <c r="C130" t="s">
        <v>6</v>
      </c>
      <c r="D130" s="1" t="s">
        <v>5</v>
      </c>
      <c r="E130">
        <v>38</v>
      </c>
      <c r="F130" s="1" t="s">
        <v>101</v>
      </c>
      <c r="G130">
        <v>34</v>
      </c>
      <c r="H130">
        <v>1</v>
      </c>
      <c r="I130" s="2">
        <f t="shared" si="3"/>
        <v>6.304824</v>
      </c>
      <c r="J130">
        <f t="shared" si="4"/>
        <v>0.54824556521739132</v>
      </c>
      <c r="K130">
        <f t="shared" si="5"/>
        <v>0.16465980673805172</v>
      </c>
    </row>
    <row r="131" spans="1:11" x14ac:dyDescent="0.25">
      <c r="A131" s="1">
        <v>1958</v>
      </c>
      <c r="B131" s="1" t="s">
        <v>104</v>
      </c>
      <c r="C131" t="s">
        <v>6</v>
      </c>
      <c r="D131" s="1" t="s">
        <v>5</v>
      </c>
      <c r="E131">
        <v>40</v>
      </c>
      <c r="F131" s="1" t="s">
        <v>101</v>
      </c>
      <c r="G131">
        <v>12</v>
      </c>
      <c r="H131">
        <v>1</v>
      </c>
      <c r="I131" s="2">
        <f t="shared" ref="I131:I194" si="6">0.005454*G131^2*H131</f>
        <v>0.78537599999999996</v>
      </c>
      <c r="J131">
        <f t="shared" ref="J131:J194" si="7">I131/11.5</f>
        <v>6.82935652173913E-2</v>
      </c>
      <c r="K131">
        <f t="shared" ref="K131:K194" si="8">J131*(11.5/38.29)</f>
        <v>2.0511256202663881E-2</v>
      </c>
    </row>
    <row r="132" spans="1:11" x14ac:dyDescent="0.25">
      <c r="A132" s="1">
        <v>1958</v>
      </c>
      <c r="B132" s="1" t="s">
        <v>104</v>
      </c>
      <c r="C132" t="s">
        <v>6</v>
      </c>
      <c r="D132" s="1" t="s">
        <v>5</v>
      </c>
      <c r="E132">
        <v>40</v>
      </c>
      <c r="F132" s="1" t="s">
        <v>101</v>
      </c>
      <c r="G132">
        <v>18</v>
      </c>
      <c r="H132">
        <v>1</v>
      </c>
      <c r="I132" s="2">
        <f t="shared" si="6"/>
        <v>1.7670959999999998</v>
      </c>
      <c r="J132">
        <f t="shared" si="7"/>
        <v>0.15366052173913042</v>
      </c>
      <c r="K132">
        <f t="shared" si="8"/>
        <v>4.6150326455993727E-2</v>
      </c>
    </row>
    <row r="133" spans="1:11" x14ac:dyDescent="0.25">
      <c r="A133" s="1">
        <v>1958</v>
      </c>
      <c r="B133" s="1" t="s">
        <v>104</v>
      </c>
      <c r="C133" t="s">
        <v>6</v>
      </c>
      <c r="D133" s="1" t="s">
        <v>5</v>
      </c>
      <c r="E133">
        <v>58</v>
      </c>
      <c r="F133" s="1" t="s">
        <v>101</v>
      </c>
      <c r="G133">
        <v>6</v>
      </c>
      <c r="H133">
        <v>4</v>
      </c>
      <c r="I133" s="2">
        <f t="shared" si="6"/>
        <v>0.78537599999999996</v>
      </c>
      <c r="J133">
        <f t="shared" si="7"/>
        <v>6.82935652173913E-2</v>
      </c>
      <c r="K133">
        <f t="shared" si="8"/>
        <v>2.0511256202663881E-2</v>
      </c>
    </row>
    <row r="134" spans="1:11" x14ac:dyDescent="0.25">
      <c r="A134" s="1">
        <v>1958</v>
      </c>
      <c r="B134" s="1" t="s">
        <v>104</v>
      </c>
      <c r="C134" t="s">
        <v>6</v>
      </c>
      <c r="D134" s="1" t="s">
        <v>5</v>
      </c>
      <c r="E134">
        <v>71</v>
      </c>
      <c r="F134" s="1" t="s">
        <v>101</v>
      </c>
      <c r="G134">
        <v>6</v>
      </c>
      <c r="H134">
        <v>1</v>
      </c>
      <c r="I134" s="2">
        <f t="shared" si="6"/>
        <v>0.19634399999999999</v>
      </c>
      <c r="J134">
        <f t="shared" si="7"/>
        <v>1.7073391304347825E-2</v>
      </c>
      <c r="K134">
        <f t="shared" si="8"/>
        <v>5.1278140506659702E-3</v>
      </c>
    </row>
    <row r="135" spans="1:11" x14ac:dyDescent="0.25">
      <c r="A135" s="1">
        <v>1958</v>
      </c>
      <c r="B135" s="1" t="s">
        <v>104</v>
      </c>
      <c r="C135" t="s">
        <v>6</v>
      </c>
      <c r="D135" s="1" t="s">
        <v>5</v>
      </c>
      <c r="E135">
        <v>71</v>
      </c>
      <c r="F135" s="1" t="s">
        <v>101</v>
      </c>
      <c r="G135">
        <v>10</v>
      </c>
      <c r="H135">
        <v>1</v>
      </c>
      <c r="I135" s="2">
        <f t="shared" si="6"/>
        <v>0.5454</v>
      </c>
      <c r="J135">
        <f t="shared" si="7"/>
        <v>4.7426086956521736E-2</v>
      </c>
      <c r="K135">
        <f t="shared" si="8"/>
        <v>1.4243927918516582E-2</v>
      </c>
    </row>
    <row r="136" spans="1:11" x14ac:dyDescent="0.25">
      <c r="A136" s="1">
        <v>1958</v>
      </c>
      <c r="B136" s="1" t="s">
        <v>104</v>
      </c>
      <c r="C136" t="s">
        <v>6</v>
      </c>
      <c r="D136" s="1" t="s">
        <v>5</v>
      </c>
      <c r="E136">
        <v>79</v>
      </c>
      <c r="F136" s="1" t="s">
        <v>101</v>
      </c>
      <c r="G136">
        <v>6</v>
      </c>
      <c r="H136">
        <v>1</v>
      </c>
      <c r="I136" s="2">
        <f t="shared" si="6"/>
        <v>0.19634399999999999</v>
      </c>
      <c r="J136">
        <f t="shared" si="7"/>
        <v>1.7073391304347825E-2</v>
      </c>
      <c r="K136">
        <f t="shared" si="8"/>
        <v>5.1278140506659702E-3</v>
      </c>
    </row>
    <row r="137" spans="1:11" x14ac:dyDescent="0.25">
      <c r="A137" s="1">
        <v>1958</v>
      </c>
      <c r="B137" s="1" t="s">
        <v>104</v>
      </c>
      <c r="C137" t="s">
        <v>6</v>
      </c>
      <c r="D137" s="1" t="s">
        <v>5</v>
      </c>
      <c r="E137">
        <v>79</v>
      </c>
      <c r="F137" s="1" t="s">
        <v>101</v>
      </c>
      <c r="G137">
        <v>10</v>
      </c>
      <c r="H137">
        <v>1</v>
      </c>
      <c r="I137" s="2">
        <f t="shared" si="6"/>
        <v>0.5454</v>
      </c>
      <c r="J137">
        <f t="shared" si="7"/>
        <v>4.7426086956521736E-2</v>
      </c>
      <c r="K137">
        <f t="shared" si="8"/>
        <v>1.4243927918516582E-2</v>
      </c>
    </row>
    <row r="138" spans="1:11" x14ac:dyDescent="0.25">
      <c r="A138" s="1">
        <v>1958</v>
      </c>
      <c r="B138" s="1" t="s">
        <v>104</v>
      </c>
      <c r="C138" t="s">
        <v>6</v>
      </c>
      <c r="D138" s="1" t="s">
        <v>5</v>
      </c>
      <c r="E138">
        <v>79</v>
      </c>
      <c r="F138" s="1" t="s">
        <v>101</v>
      </c>
      <c r="G138">
        <v>12</v>
      </c>
      <c r="H138">
        <v>1</v>
      </c>
      <c r="I138" s="2">
        <f t="shared" si="6"/>
        <v>0.78537599999999996</v>
      </c>
      <c r="J138">
        <f t="shared" si="7"/>
        <v>6.82935652173913E-2</v>
      </c>
      <c r="K138">
        <f t="shared" si="8"/>
        <v>2.0511256202663881E-2</v>
      </c>
    </row>
    <row r="139" spans="1:11" x14ac:dyDescent="0.25">
      <c r="A139" s="1">
        <v>1958</v>
      </c>
      <c r="B139" s="1" t="s">
        <v>104</v>
      </c>
      <c r="C139" t="s">
        <v>6</v>
      </c>
      <c r="D139" s="1" t="s">
        <v>5</v>
      </c>
      <c r="E139">
        <v>79</v>
      </c>
      <c r="F139" s="1" t="s">
        <v>101</v>
      </c>
      <c r="G139">
        <v>14</v>
      </c>
      <c r="H139">
        <v>2</v>
      </c>
      <c r="I139" s="2">
        <f t="shared" si="6"/>
        <v>2.1379679999999999</v>
      </c>
      <c r="J139">
        <f t="shared" si="7"/>
        <v>0.18591026086956522</v>
      </c>
      <c r="K139">
        <f t="shared" si="8"/>
        <v>5.583619744058501E-2</v>
      </c>
    </row>
    <row r="140" spans="1:11" x14ac:dyDescent="0.25">
      <c r="A140" s="1">
        <v>1958</v>
      </c>
      <c r="B140" s="1" t="s">
        <v>104</v>
      </c>
      <c r="C140" t="s">
        <v>6</v>
      </c>
      <c r="D140" s="1" t="s">
        <v>5</v>
      </c>
      <c r="E140">
        <v>79</v>
      </c>
      <c r="F140" s="1" t="s">
        <v>101</v>
      </c>
      <c r="G140">
        <v>16</v>
      </c>
      <c r="H140">
        <v>3</v>
      </c>
      <c r="I140" s="2">
        <f t="shared" si="6"/>
        <v>4.1886719999999995</v>
      </c>
      <c r="J140">
        <f t="shared" si="7"/>
        <v>0.36423234782608693</v>
      </c>
      <c r="K140">
        <f t="shared" si="8"/>
        <v>0.10939336641420735</v>
      </c>
    </row>
    <row r="141" spans="1:11" x14ac:dyDescent="0.25">
      <c r="A141" s="1">
        <v>1958</v>
      </c>
      <c r="B141" s="1" t="s">
        <v>104</v>
      </c>
      <c r="C141" t="s">
        <v>6</v>
      </c>
      <c r="D141" s="1" t="s">
        <v>5</v>
      </c>
      <c r="E141">
        <v>79</v>
      </c>
      <c r="F141" s="1" t="s">
        <v>101</v>
      </c>
      <c r="G141">
        <v>18</v>
      </c>
      <c r="H141">
        <v>2</v>
      </c>
      <c r="I141" s="2">
        <f t="shared" si="6"/>
        <v>3.5341919999999996</v>
      </c>
      <c r="J141">
        <f t="shared" si="7"/>
        <v>0.30732104347826084</v>
      </c>
      <c r="K141">
        <f t="shared" si="8"/>
        <v>9.2300652911987455E-2</v>
      </c>
    </row>
    <row r="142" spans="1:11" x14ac:dyDescent="0.25">
      <c r="A142" s="1">
        <v>1958</v>
      </c>
      <c r="B142" s="1" t="s">
        <v>104</v>
      </c>
      <c r="C142" t="s">
        <v>6</v>
      </c>
      <c r="D142" s="1" t="s">
        <v>5</v>
      </c>
      <c r="E142">
        <v>79</v>
      </c>
      <c r="F142" s="1" t="s">
        <v>101</v>
      </c>
      <c r="G142">
        <v>20</v>
      </c>
      <c r="H142">
        <v>1</v>
      </c>
      <c r="I142" s="2">
        <f t="shared" si="6"/>
        <v>2.1816</v>
      </c>
      <c r="J142">
        <f t="shared" si="7"/>
        <v>0.18970434782608694</v>
      </c>
      <c r="K142">
        <f t="shared" si="8"/>
        <v>5.6975711674066329E-2</v>
      </c>
    </row>
    <row r="143" spans="1:11" x14ac:dyDescent="0.25">
      <c r="A143" s="1">
        <v>1958</v>
      </c>
      <c r="B143" s="1" t="s">
        <v>104</v>
      </c>
      <c r="C143" t="s">
        <v>6</v>
      </c>
      <c r="D143" s="1" t="s">
        <v>5</v>
      </c>
      <c r="E143">
        <v>79</v>
      </c>
      <c r="F143" s="1" t="s">
        <v>101</v>
      </c>
      <c r="G143">
        <v>22</v>
      </c>
      <c r="H143">
        <v>2</v>
      </c>
      <c r="I143" s="2">
        <f t="shared" si="6"/>
        <v>5.2794719999999993</v>
      </c>
      <c r="J143">
        <f t="shared" si="7"/>
        <v>0.45908452173913039</v>
      </c>
      <c r="K143">
        <f t="shared" si="8"/>
        <v>0.13788122225124053</v>
      </c>
    </row>
    <row r="144" spans="1:11" x14ac:dyDescent="0.25">
      <c r="A144" s="1">
        <v>1958</v>
      </c>
      <c r="B144" s="1" t="s">
        <v>104</v>
      </c>
      <c r="C144" t="s">
        <v>6</v>
      </c>
      <c r="D144" s="1" t="s">
        <v>5</v>
      </c>
      <c r="E144">
        <v>79</v>
      </c>
      <c r="F144" s="1" t="s">
        <v>101</v>
      </c>
      <c r="G144">
        <v>24</v>
      </c>
      <c r="H144">
        <v>1</v>
      </c>
      <c r="I144" s="2">
        <f t="shared" si="6"/>
        <v>3.1415039999999999</v>
      </c>
      <c r="J144">
        <f t="shared" si="7"/>
        <v>0.2731742608695652</v>
      </c>
      <c r="K144">
        <f t="shared" si="8"/>
        <v>8.2045024810655523E-2</v>
      </c>
    </row>
    <row r="145" spans="1:11" x14ac:dyDescent="0.25">
      <c r="A145" s="1">
        <v>1958</v>
      </c>
      <c r="B145" s="1" t="s">
        <v>104</v>
      </c>
      <c r="C145" t="s">
        <v>6</v>
      </c>
      <c r="D145" s="1" t="s">
        <v>5</v>
      </c>
      <c r="E145">
        <v>85</v>
      </c>
      <c r="F145" s="1" t="s">
        <v>101</v>
      </c>
      <c r="G145">
        <v>10</v>
      </c>
      <c r="H145">
        <v>1</v>
      </c>
      <c r="I145" s="2">
        <f t="shared" si="6"/>
        <v>0.5454</v>
      </c>
      <c r="J145">
        <f t="shared" si="7"/>
        <v>4.7426086956521736E-2</v>
      </c>
      <c r="K145">
        <f t="shared" si="8"/>
        <v>1.4243927918516582E-2</v>
      </c>
    </row>
    <row r="146" spans="1:11" x14ac:dyDescent="0.25">
      <c r="A146" s="1">
        <v>1958</v>
      </c>
      <c r="B146" s="1" t="s">
        <v>104</v>
      </c>
      <c r="C146" t="s">
        <v>6</v>
      </c>
      <c r="D146" s="1" t="s">
        <v>5</v>
      </c>
      <c r="E146">
        <v>85</v>
      </c>
      <c r="F146" s="1" t="s">
        <v>101</v>
      </c>
      <c r="G146">
        <v>12</v>
      </c>
      <c r="H146">
        <v>2</v>
      </c>
      <c r="I146" s="2">
        <f t="shared" si="6"/>
        <v>1.5707519999999999</v>
      </c>
      <c r="J146">
        <f t="shared" si="7"/>
        <v>0.1365871304347826</v>
      </c>
      <c r="K146">
        <f t="shared" si="8"/>
        <v>4.1022512405327761E-2</v>
      </c>
    </row>
    <row r="147" spans="1:11" x14ac:dyDescent="0.25">
      <c r="A147" s="1">
        <v>1958</v>
      </c>
      <c r="B147" s="1" t="s">
        <v>104</v>
      </c>
      <c r="C147" t="s">
        <v>6</v>
      </c>
      <c r="D147" s="1" t="s">
        <v>5</v>
      </c>
      <c r="E147">
        <v>85</v>
      </c>
      <c r="F147" s="1" t="s">
        <v>101</v>
      </c>
      <c r="G147">
        <v>16</v>
      </c>
      <c r="H147">
        <v>1</v>
      </c>
      <c r="I147" s="2">
        <f t="shared" si="6"/>
        <v>1.3962239999999999</v>
      </c>
      <c r="J147">
        <f t="shared" si="7"/>
        <v>0.12141078260869564</v>
      </c>
      <c r="K147">
        <f t="shared" si="8"/>
        <v>3.6464455471402452E-2</v>
      </c>
    </row>
    <row r="148" spans="1:11" x14ac:dyDescent="0.25">
      <c r="A148" s="1">
        <v>1958</v>
      </c>
      <c r="B148" s="1" t="s">
        <v>104</v>
      </c>
      <c r="C148" t="s">
        <v>6</v>
      </c>
      <c r="D148" s="1" t="s">
        <v>5</v>
      </c>
      <c r="E148">
        <v>85</v>
      </c>
      <c r="F148" s="1" t="s">
        <v>101</v>
      </c>
      <c r="G148">
        <v>20</v>
      </c>
      <c r="H148">
        <v>1</v>
      </c>
      <c r="I148" s="2">
        <f t="shared" si="6"/>
        <v>2.1816</v>
      </c>
      <c r="J148">
        <f t="shared" si="7"/>
        <v>0.18970434782608694</v>
      </c>
      <c r="K148">
        <f t="shared" si="8"/>
        <v>5.6975711674066329E-2</v>
      </c>
    </row>
    <row r="149" spans="1:11" x14ac:dyDescent="0.25">
      <c r="A149" s="1">
        <v>1958</v>
      </c>
      <c r="B149" s="1" t="s">
        <v>104</v>
      </c>
      <c r="C149" t="s">
        <v>8</v>
      </c>
      <c r="D149" s="1" t="s">
        <v>3</v>
      </c>
      <c r="E149">
        <v>17</v>
      </c>
      <c r="F149" s="1" t="s">
        <v>101</v>
      </c>
      <c r="G149">
        <v>8</v>
      </c>
      <c r="H149">
        <v>17</v>
      </c>
      <c r="I149" s="2">
        <f t="shared" si="6"/>
        <v>5.9339519999999997</v>
      </c>
      <c r="J149">
        <f t="shared" si="7"/>
        <v>0.51599582608695649</v>
      </c>
      <c r="K149">
        <f t="shared" si="8"/>
        <v>0.15497393575346041</v>
      </c>
    </row>
    <row r="150" spans="1:11" x14ac:dyDescent="0.25">
      <c r="A150" s="1">
        <v>1958</v>
      </c>
      <c r="B150" s="1" t="s">
        <v>104</v>
      </c>
      <c r="C150" t="s">
        <v>8</v>
      </c>
      <c r="D150" s="1" t="s">
        <v>3</v>
      </c>
      <c r="E150">
        <v>17</v>
      </c>
      <c r="F150" s="1" t="s">
        <v>101</v>
      </c>
      <c r="G150">
        <v>10</v>
      </c>
      <c r="H150">
        <v>4</v>
      </c>
      <c r="I150" s="2">
        <f t="shared" si="6"/>
        <v>2.1816</v>
      </c>
      <c r="J150">
        <f t="shared" si="7"/>
        <v>0.18970434782608694</v>
      </c>
      <c r="K150">
        <f t="shared" si="8"/>
        <v>5.6975711674066329E-2</v>
      </c>
    </row>
    <row r="151" spans="1:11" x14ac:dyDescent="0.25">
      <c r="A151" s="1">
        <v>1958</v>
      </c>
      <c r="B151" s="1" t="s">
        <v>104</v>
      </c>
      <c r="C151" t="s">
        <v>8</v>
      </c>
      <c r="D151" s="1" t="s">
        <v>3</v>
      </c>
      <c r="E151">
        <v>17</v>
      </c>
      <c r="F151" s="1" t="s">
        <v>101</v>
      </c>
      <c r="G151">
        <v>12</v>
      </c>
      <c r="H151">
        <v>5</v>
      </c>
      <c r="I151" s="2">
        <f t="shared" si="6"/>
        <v>3.9268799999999997</v>
      </c>
      <c r="J151">
        <f t="shared" si="7"/>
        <v>0.34146782608695647</v>
      </c>
      <c r="K151">
        <f t="shared" si="8"/>
        <v>0.10255628101331939</v>
      </c>
    </row>
    <row r="152" spans="1:11" x14ac:dyDescent="0.25">
      <c r="A152" s="1">
        <v>1958</v>
      </c>
      <c r="B152" s="1" t="s">
        <v>104</v>
      </c>
      <c r="C152" t="s">
        <v>8</v>
      </c>
      <c r="D152" s="1" t="s">
        <v>3</v>
      </c>
      <c r="E152">
        <v>17</v>
      </c>
      <c r="F152" s="1" t="s">
        <v>101</v>
      </c>
      <c r="G152">
        <v>14</v>
      </c>
      <c r="H152">
        <v>4</v>
      </c>
      <c r="I152" s="2">
        <f t="shared" si="6"/>
        <v>4.2759359999999997</v>
      </c>
      <c r="J152">
        <f t="shared" si="7"/>
        <v>0.37182052173913044</v>
      </c>
      <c r="K152">
        <f t="shared" si="8"/>
        <v>0.11167239488117002</v>
      </c>
    </row>
    <row r="153" spans="1:11" x14ac:dyDescent="0.25">
      <c r="A153" s="1">
        <v>1958</v>
      </c>
      <c r="B153" s="1" t="s">
        <v>104</v>
      </c>
      <c r="C153" t="s">
        <v>8</v>
      </c>
      <c r="D153" s="1" t="s">
        <v>3</v>
      </c>
      <c r="E153">
        <v>21</v>
      </c>
      <c r="F153" s="1" t="s">
        <v>101</v>
      </c>
      <c r="G153">
        <v>18</v>
      </c>
      <c r="H153">
        <v>1</v>
      </c>
      <c r="I153" s="2">
        <f t="shared" si="6"/>
        <v>1.7670959999999998</v>
      </c>
      <c r="J153">
        <f t="shared" si="7"/>
        <v>0.15366052173913042</v>
      </c>
      <c r="K153">
        <f t="shared" si="8"/>
        <v>4.6150326455993727E-2</v>
      </c>
    </row>
    <row r="154" spans="1:11" x14ac:dyDescent="0.25">
      <c r="A154" s="1">
        <v>1958</v>
      </c>
      <c r="B154" s="1" t="s">
        <v>104</v>
      </c>
      <c r="C154" t="s">
        <v>8</v>
      </c>
      <c r="D154" s="1" t="s">
        <v>3</v>
      </c>
      <c r="E154">
        <v>21</v>
      </c>
      <c r="F154" s="1" t="s">
        <v>101</v>
      </c>
      <c r="G154">
        <v>20</v>
      </c>
      <c r="H154">
        <v>1</v>
      </c>
      <c r="I154" s="2">
        <f t="shared" si="6"/>
        <v>2.1816</v>
      </c>
      <c r="J154">
        <f t="shared" si="7"/>
        <v>0.18970434782608694</v>
      </c>
      <c r="K154">
        <f t="shared" si="8"/>
        <v>5.6975711674066329E-2</v>
      </c>
    </row>
    <row r="155" spans="1:11" x14ac:dyDescent="0.25">
      <c r="A155" s="1">
        <v>1958</v>
      </c>
      <c r="B155" s="1" t="s">
        <v>104</v>
      </c>
      <c r="C155" t="s">
        <v>8</v>
      </c>
      <c r="D155" s="1" t="s">
        <v>3</v>
      </c>
      <c r="E155">
        <v>21</v>
      </c>
      <c r="F155" s="1" t="s">
        <v>101</v>
      </c>
      <c r="G155">
        <v>22</v>
      </c>
      <c r="H155">
        <v>1</v>
      </c>
      <c r="I155" s="2">
        <f t="shared" si="6"/>
        <v>2.6397359999999996</v>
      </c>
      <c r="J155">
        <f t="shared" si="7"/>
        <v>0.2295422608695652</v>
      </c>
      <c r="K155">
        <f t="shared" si="8"/>
        <v>6.8940611125620263E-2</v>
      </c>
    </row>
    <row r="156" spans="1:11" x14ac:dyDescent="0.25">
      <c r="A156" s="1">
        <v>1958</v>
      </c>
      <c r="B156" s="1" t="s">
        <v>104</v>
      </c>
      <c r="C156" t="s">
        <v>8</v>
      </c>
      <c r="D156" s="1" t="s">
        <v>3</v>
      </c>
      <c r="E156">
        <v>21</v>
      </c>
      <c r="F156" s="1" t="s">
        <v>101</v>
      </c>
      <c r="G156">
        <v>28</v>
      </c>
      <c r="H156">
        <v>1</v>
      </c>
      <c r="I156" s="2">
        <f t="shared" si="6"/>
        <v>4.2759359999999997</v>
      </c>
      <c r="J156">
        <f t="shared" si="7"/>
        <v>0.37182052173913044</v>
      </c>
      <c r="K156">
        <f t="shared" si="8"/>
        <v>0.11167239488117002</v>
      </c>
    </row>
    <row r="157" spans="1:11" x14ac:dyDescent="0.25">
      <c r="A157" s="1">
        <v>1958</v>
      </c>
      <c r="B157" s="1" t="s">
        <v>104</v>
      </c>
      <c r="C157" t="s">
        <v>8</v>
      </c>
      <c r="D157" s="1" t="s">
        <v>3</v>
      </c>
      <c r="E157">
        <v>21</v>
      </c>
      <c r="F157" s="1" t="s">
        <v>101</v>
      </c>
      <c r="G157">
        <v>30</v>
      </c>
      <c r="H157">
        <v>1</v>
      </c>
      <c r="I157" s="2">
        <f t="shared" si="6"/>
        <v>4.9085999999999999</v>
      </c>
      <c r="J157">
        <f t="shared" si="7"/>
        <v>0.42683478260869562</v>
      </c>
      <c r="K157">
        <f t="shared" si="8"/>
        <v>0.12819535126664924</v>
      </c>
    </row>
    <row r="158" spans="1:11" x14ac:dyDescent="0.25">
      <c r="A158" s="1">
        <v>1958</v>
      </c>
      <c r="B158" s="1" t="s">
        <v>104</v>
      </c>
      <c r="C158" t="s">
        <v>8</v>
      </c>
      <c r="D158" s="1" t="s">
        <v>3</v>
      </c>
      <c r="E158">
        <v>29</v>
      </c>
      <c r="F158" s="1" t="s">
        <v>101</v>
      </c>
      <c r="G158">
        <v>6</v>
      </c>
      <c r="H158">
        <v>1</v>
      </c>
      <c r="I158" s="2">
        <f t="shared" si="6"/>
        <v>0.19634399999999999</v>
      </c>
      <c r="J158">
        <f t="shared" si="7"/>
        <v>1.7073391304347825E-2</v>
      </c>
      <c r="K158">
        <f t="shared" si="8"/>
        <v>5.1278140506659702E-3</v>
      </c>
    </row>
    <row r="159" spans="1:11" x14ac:dyDescent="0.25">
      <c r="A159" s="1">
        <v>1958</v>
      </c>
      <c r="B159" s="1" t="s">
        <v>104</v>
      </c>
      <c r="C159" t="s">
        <v>8</v>
      </c>
      <c r="D159" s="1" t="s">
        <v>3</v>
      </c>
      <c r="E159">
        <v>29</v>
      </c>
      <c r="F159" s="1" t="s">
        <v>101</v>
      </c>
      <c r="G159">
        <v>8</v>
      </c>
      <c r="H159">
        <v>8</v>
      </c>
      <c r="I159" s="2">
        <f t="shared" si="6"/>
        <v>2.7924479999999998</v>
      </c>
      <c r="J159">
        <f t="shared" si="7"/>
        <v>0.24282156521739129</v>
      </c>
      <c r="K159">
        <f t="shared" si="8"/>
        <v>7.2928910942804903E-2</v>
      </c>
    </row>
    <row r="160" spans="1:11" x14ac:dyDescent="0.25">
      <c r="A160" s="1">
        <v>1958</v>
      </c>
      <c r="B160" s="1" t="s">
        <v>104</v>
      </c>
      <c r="C160" t="s">
        <v>8</v>
      </c>
      <c r="D160" s="1" t="s">
        <v>3</v>
      </c>
      <c r="E160">
        <v>29</v>
      </c>
      <c r="F160" s="1" t="s">
        <v>101</v>
      </c>
      <c r="G160">
        <v>10</v>
      </c>
      <c r="H160">
        <v>8</v>
      </c>
      <c r="I160" s="2">
        <f t="shared" si="6"/>
        <v>4.3632</v>
      </c>
      <c r="J160">
        <f t="shared" si="7"/>
        <v>0.37940869565217389</v>
      </c>
      <c r="K160">
        <f t="shared" si="8"/>
        <v>0.11395142334813266</v>
      </c>
    </row>
    <row r="161" spans="1:11" x14ac:dyDescent="0.25">
      <c r="A161" s="1">
        <v>1958</v>
      </c>
      <c r="B161" s="1" t="s">
        <v>104</v>
      </c>
      <c r="C161" t="s">
        <v>8</v>
      </c>
      <c r="D161" s="1" t="s">
        <v>3</v>
      </c>
      <c r="E161">
        <v>29</v>
      </c>
      <c r="F161" s="1" t="s">
        <v>101</v>
      </c>
      <c r="G161">
        <v>12</v>
      </c>
      <c r="H161">
        <v>1</v>
      </c>
      <c r="I161" s="2">
        <f t="shared" si="6"/>
        <v>0.78537599999999996</v>
      </c>
      <c r="J161">
        <f t="shared" si="7"/>
        <v>6.82935652173913E-2</v>
      </c>
      <c r="K161">
        <f t="shared" si="8"/>
        <v>2.0511256202663881E-2</v>
      </c>
    </row>
    <row r="162" spans="1:11" x14ac:dyDescent="0.25">
      <c r="A162" s="1">
        <v>1958</v>
      </c>
      <c r="B162" s="1" t="s">
        <v>104</v>
      </c>
      <c r="C162" t="s">
        <v>8</v>
      </c>
      <c r="D162" s="1" t="s">
        <v>3</v>
      </c>
      <c r="E162">
        <v>29</v>
      </c>
      <c r="F162" s="1" t="s">
        <v>101</v>
      </c>
      <c r="G162">
        <v>14</v>
      </c>
      <c r="H162">
        <v>1</v>
      </c>
      <c r="I162" s="2">
        <f t="shared" si="6"/>
        <v>1.0689839999999999</v>
      </c>
      <c r="J162">
        <f t="shared" si="7"/>
        <v>9.295513043478261E-2</v>
      </c>
      <c r="K162">
        <f t="shared" si="8"/>
        <v>2.7918098720292505E-2</v>
      </c>
    </row>
    <row r="163" spans="1:11" x14ac:dyDescent="0.25">
      <c r="A163" s="1">
        <v>1958</v>
      </c>
      <c r="B163" s="1" t="s">
        <v>104</v>
      </c>
      <c r="C163" t="s">
        <v>8</v>
      </c>
      <c r="D163" s="1" t="s">
        <v>3</v>
      </c>
      <c r="E163">
        <v>32</v>
      </c>
      <c r="F163" s="1" t="s">
        <v>101</v>
      </c>
      <c r="G163">
        <v>6</v>
      </c>
      <c r="H163">
        <v>1</v>
      </c>
      <c r="I163" s="2">
        <f t="shared" si="6"/>
        <v>0.19634399999999999</v>
      </c>
      <c r="J163">
        <f t="shared" si="7"/>
        <v>1.7073391304347825E-2</v>
      </c>
      <c r="K163">
        <f t="shared" si="8"/>
        <v>5.1278140506659702E-3</v>
      </c>
    </row>
    <row r="164" spans="1:11" x14ac:dyDescent="0.25">
      <c r="A164" s="1">
        <v>1958</v>
      </c>
      <c r="B164" s="1" t="s">
        <v>104</v>
      </c>
      <c r="C164" t="s">
        <v>8</v>
      </c>
      <c r="D164" s="1" t="s">
        <v>3</v>
      </c>
      <c r="E164">
        <v>32</v>
      </c>
      <c r="F164" s="1" t="s">
        <v>101</v>
      </c>
      <c r="G164">
        <v>18</v>
      </c>
      <c r="H164">
        <v>3</v>
      </c>
      <c r="I164" s="2">
        <f t="shared" si="6"/>
        <v>5.3012879999999996</v>
      </c>
      <c r="J164">
        <f t="shared" si="7"/>
        <v>0.46098156521739125</v>
      </c>
      <c r="K164">
        <f t="shared" si="8"/>
        <v>0.13845097936798118</v>
      </c>
    </row>
    <row r="165" spans="1:11" x14ac:dyDescent="0.25">
      <c r="A165" s="1">
        <v>1958</v>
      </c>
      <c r="B165" s="1" t="s">
        <v>104</v>
      </c>
      <c r="C165" t="s">
        <v>8</v>
      </c>
      <c r="D165" s="1" t="s">
        <v>3</v>
      </c>
      <c r="E165">
        <v>32</v>
      </c>
      <c r="F165" s="1" t="s">
        <v>101</v>
      </c>
      <c r="G165">
        <v>20</v>
      </c>
      <c r="H165">
        <v>2</v>
      </c>
      <c r="I165" s="2">
        <f t="shared" si="6"/>
        <v>4.3632</v>
      </c>
      <c r="J165">
        <f t="shared" si="7"/>
        <v>0.37940869565217389</v>
      </c>
      <c r="K165">
        <f t="shared" si="8"/>
        <v>0.11395142334813266</v>
      </c>
    </row>
    <row r="166" spans="1:11" x14ac:dyDescent="0.25">
      <c r="A166" s="1">
        <v>1958</v>
      </c>
      <c r="B166" s="1" t="s">
        <v>104</v>
      </c>
      <c r="C166" t="s">
        <v>8</v>
      </c>
      <c r="D166" s="1" t="s">
        <v>3</v>
      </c>
      <c r="E166">
        <v>32</v>
      </c>
      <c r="F166" s="1" t="s">
        <v>101</v>
      </c>
      <c r="G166">
        <v>22</v>
      </c>
      <c r="H166">
        <v>1</v>
      </c>
      <c r="I166" s="2">
        <f t="shared" si="6"/>
        <v>2.6397359999999996</v>
      </c>
      <c r="J166">
        <f t="shared" si="7"/>
        <v>0.2295422608695652</v>
      </c>
      <c r="K166">
        <f t="shared" si="8"/>
        <v>6.8940611125620263E-2</v>
      </c>
    </row>
    <row r="167" spans="1:11" x14ac:dyDescent="0.25">
      <c r="A167" s="1">
        <v>1958</v>
      </c>
      <c r="B167" s="1" t="s">
        <v>104</v>
      </c>
      <c r="C167" t="s">
        <v>8</v>
      </c>
      <c r="D167" s="1" t="s">
        <v>3</v>
      </c>
      <c r="E167">
        <v>34</v>
      </c>
      <c r="F167" s="1" t="s">
        <v>101</v>
      </c>
      <c r="G167">
        <v>6</v>
      </c>
      <c r="H167">
        <v>2</v>
      </c>
      <c r="I167" s="2">
        <f t="shared" si="6"/>
        <v>0.39268799999999998</v>
      </c>
      <c r="J167">
        <f t="shared" si="7"/>
        <v>3.414678260869565E-2</v>
      </c>
      <c r="K167">
        <f t="shared" si="8"/>
        <v>1.025562810133194E-2</v>
      </c>
    </row>
    <row r="168" spans="1:11" x14ac:dyDescent="0.25">
      <c r="A168" s="1">
        <v>1958</v>
      </c>
      <c r="B168" s="1" t="s">
        <v>104</v>
      </c>
      <c r="C168" t="s">
        <v>8</v>
      </c>
      <c r="D168" s="1" t="s">
        <v>3</v>
      </c>
      <c r="E168">
        <v>34</v>
      </c>
      <c r="F168" s="1" t="s">
        <v>101</v>
      </c>
      <c r="G168">
        <v>8</v>
      </c>
      <c r="H168">
        <v>2</v>
      </c>
      <c r="I168" s="2">
        <f t="shared" si="6"/>
        <v>0.69811199999999995</v>
      </c>
      <c r="J168">
        <f t="shared" si="7"/>
        <v>6.0705391304347822E-2</v>
      </c>
      <c r="K168">
        <f t="shared" si="8"/>
        <v>1.8232227735701226E-2</v>
      </c>
    </row>
    <row r="169" spans="1:11" x14ac:dyDescent="0.25">
      <c r="A169" s="1">
        <v>1958</v>
      </c>
      <c r="B169" s="1" t="s">
        <v>104</v>
      </c>
      <c r="C169" t="s">
        <v>8</v>
      </c>
      <c r="D169" s="1" t="s">
        <v>3</v>
      </c>
      <c r="E169">
        <v>34</v>
      </c>
      <c r="F169" s="1" t="s">
        <v>101</v>
      </c>
      <c r="G169">
        <v>18</v>
      </c>
      <c r="H169">
        <v>1</v>
      </c>
      <c r="I169" s="2">
        <f t="shared" si="6"/>
        <v>1.7670959999999998</v>
      </c>
      <c r="J169">
        <f t="shared" si="7"/>
        <v>0.15366052173913042</v>
      </c>
      <c r="K169">
        <f t="shared" si="8"/>
        <v>4.6150326455993727E-2</v>
      </c>
    </row>
    <row r="170" spans="1:11" x14ac:dyDescent="0.25">
      <c r="A170" s="1">
        <v>1958</v>
      </c>
      <c r="B170" s="1" t="s">
        <v>104</v>
      </c>
      <c r="C170" t="s">
        <v>8</v>
      </c>
      <c r="D170" s="1" t="s">
        <v>3</v>
      </c>
      <c r="E170">
        <v>34</v>
      </c>
      <c r="F170" s="1" t="s">
        <v>101</v>
      </c>
      <c r="G170">
        <v>20</v>
      </c>
      <c r="H170">
        <v>2</v>
      </c>
      <c r="I170" s="2">
        <f t="shared" si="6"/>
        <v>4.3632</v>
      </c>
      <c r="J170">
        <f t="shared" si="7"/>
        <v>0.37940869565217389</v>
      </c>
      <c r="K170">
        <f t="shared" si="8"/>
        <v>0.11395142334813266</v>
      </c>
    </row>
    <row r="171" spans="1:11" x14ac:dyDescent="0.25">
      <c r="A171" s="1">
        <v>1958</v>
      </c>
      <c r="B171" s="1" t="s">
        <v>104</v>
      </c>
      <c r="C171" t="s">
        <v>8</v>
      </c>
      <c r="D171" s="1" t="s">
        <v>3</v>
      </c>
      <c r="E171">
        <v>34</v>
      </c>
      <c r="F171" s="1" t="s">
        <v>101</v>
      </c>
      <c r="G171">
        <v>22</v>
      </c>
      <c r="H171">
        <v>2</v>
      </c>
      <c r="I171" s="2">
        <f t="shared" si="6"/>
        <v>5.2794719999999993</v>
      </c>
      <c r="J171">
        <f t="shared" si="7"/>
        <v>0.45908452173913039</v>
      </c>
      <c r="K171">
        <f t="shared" si="8"/>
        <v>0.13788122225124053</v>
      </c>
    </row>
    <row r="172" spans="1:11" x14ac:dyDescent="0.25">
      <c r="A172" s="1">
        <v>1958</v>
      </c>
      <c r="B172" s="1" t="s">
        <v>104</v>
      </c>
      <c r="C172" t="s">
        <v>8</v>
      </c>
      <c r="D172" s="1" t="s">
        <v>3</v>
      </c>
      <c r="E172">
        <v>38</v>
      </c>
      <c r="F172" s="1" t="s">
        <v>101</v>
      </c>
      <c r="G172">
        <v>6</v>
      </c>
      <c r="H172">
        <v>1</v>
      </c>
      <c r="I172" s="2">
        <f t="shared" si="6"/>
        <v>0.19634399999999999</v>
      </c>
      <c r="J172">
        <f t="shared" si="7"/>
        <v>1.7073391304347825E-2</v>
      </c>
      <c r="K172">
        <f t="shared" si="8"/>
        <v>5.1278140506659702E-3</v>
      </c>
    </row>
    <row r="173" spans="1:11" x14ac:dyDescent="0.25">
      <c r="A173" s="1">
        <v>1958</v>
      </c>
      <c r="B173" s="1" t="s">
        <v>104</v>
      </c>
      <c r="C173" t="s">
        <v>8</v>
      </c>
      <c r="D173" s="1" t="s">
        <v>3</v>
      </c>
      <c r="E173">
        <v>38</v>
      </c>
      <c r="F173" s="1" t="s">
        <v>101</v>
      </c>
      <c r="G173">
        <v>10</v>
      </c>
      <c r="H173">
        <v>1</v>
      </c>
      <c r="I173" s="2">
        <f t="shared" si="6"/>
        <v>0.5454</v>
      </c>
      <c r="J173">
        <f t="shared" si="7"/>
        <v>4.7426086956521736E-2</v>
      </c>
      <c r="K173">
        <f t="shared" si="8"/>
        <v>1.4243927918516582E-2</v>
      </c>
    </row>
    <row r="174" spans="1:11" x14ac:dyDescent="0.25">
      <c r="A174" s="1">
        <v>1958</v>
      </c>
      <c r="B174" s="1" t="s">
        <v>104</v>
      </c>
      <c r="C174" t="s">
        <v>8</v>
      </c>
      <c r="D174" s="1" t="s">
        <v>3</v>
      </c>
      <c r="E174">
        <v>38</v>
      </c>
      <c r="F174" s="1" t="s">
        <v>101</v>
      </c>
      <c r="G174">
        <v>18</v>
      </c>
      <c r="H174">
        <v>3</v>
      </c>
      <c r="I174" s="2">
        <f t="shared" si="6"/>
        <v>5.3012879999999996</v>
      </c>
      <c r="J174">
        <f t="shared" si="7"/>
        <v>0.46098156521739125</v>
      </c>
      <c r="K174">
        <f t="shared" si="8"/>
        <v>0.13845097936798118</v>
      </c>
    </row>
    <row r="175" spans="1:11" x14ac:dyDescent="0.25">
      <c r="A175" s="1">
        <v>1958</v>
      </c>
      <c r="B175" s="1" t="s">
        <v>104</v>
      </c>
      <c r="C175" t="s">
        <v>8</v>
      </c>
      <c r="D175" s="1" t="s">
        <v>3</v>
      </c>
      <c r="E175">
        <v>38</v>
      </c>
      <c r="F175" s="1" t="s">
        <v>101</v>
      </c>
      <c r="G175">
        <v>20</v>
      </c>
      <c r="H175">
        <v>3</v>
      </c>
      <c r="I175" s="2">
        <f t="shared" si="6"/>
        <v>6.5448000000000004</v>
      </c>
      <c r="J175">
        <f t="shared" si="7"/>
        <v>0.56911304347826086</v>
      </c>
      <c r="K175">
        <f t="shared" si="8"/>
        <v>0.170927135022199</v>
      </c>
    </row>
    <row r="176" spans="1:11" x14ac:dyDescent="0.25">
      <c r="A176" s="1">
        <v>1958</v>
      </c>
      <c r="B176" s="1" t="s">
        <v>104</v>
      </c>
      <c r="C176" t="s">
        <v>8</v>
      </c>
      <c r="D176" s="1" t="s">
        <v>3</v>
      </c>
      <c r="E176">
        <v>38</v>
      </c>
      <c r="F176" s="1" t="s">
        <v>101</v>
      </c>
      <c r="G176">
        <v>22</v>
      </c>
      <c r="H176">
        <v>5</v>
      </c>
      <c r="I176" s="2">
        <f t="shared" si="6"/>
        <v>13.198679999999998</v>
      </c>
      <c r="J176">
        <f t="shared" si="7"/>
        <v>1.147711304347826</v>
      </c>
      <c r="K176">
        <f t="shared" si="8"/>
        <v>0.34470305562810127</v>
      </c>
    </row>
    <row r="177" spans="1:11" x14ac:dyDescent="0.25">
      <c r="A177" s="1">
        <v>1958</v>
      </c>
      <c r="B177" s="1" t="s">
        <v>104</v>
      </c>
      <c r="C177" t="s">
        <v>8</v>
      </c>
      <c r="D177" s="1" t="s">
        <v>3</v>
      </c>
      <c r="E177">
        <v>38</v>
      </c>
      <c r="F177" s="1" t="s">
        <v>101</v>
      </c>
      <c r="G177">
        <v>24</v>
      </c>
      <c r="H177">
        <v>2</v>
      </c>
      <c r="I177" s="2">
        <f t="shared" si="6"/>
        <v>6.2830079999999997</v>
      </c>
      <c r="J177">
        <f t="shared" si="7"/>
        <v>0.5463485217391304</v>
      </c>
      <c r="K177">
        <f t="shared" si="8"/>
        <v>0.16409004962131105</v>
      </c>
    </row>
    <row r="178" spans="1:11" x14ac:dyDescent="0.25">
      <c r="A178" s="1">
        <v>1958</v>
      </c>
      <c r="B178" s="1" t="s">
        <v>104</v>
      </c>
      <c r="C178" t="s">
        <v>8</v>
      </c>
      <c r="D178" s="1" t="s">
        <v>3</v>
      </c>
      <c r="E178">
        <v>38</v>
      </c>
      <c r="F178" s="1" t="s">
        <v>101</v>
      </c>
      <c r="G178">
        <v>26</v>
      </c>
      <c r="H178">
        <v>1</v>
      </c>
      <c r="I178" s="2">
        <f t="shared" si="6"/>
        <v>3.6869039999999997</v>
      </c>
      <c r="J178">
        <f t="shared" si="7"/>
        <v>0.32060034782608693</v>
      </c>
      <c r="K178">
        <f t="shared" si="8"/>
        <v>9.6288952729172095E-2</v>
      </c>
    </row>
    <row r="179" spans="1:11" x14ac:dyDescent="0.25">
      <c r="A179" s="1">
        <v>1958</v>
      </c>
      <c r="B179" s="1" t="s">
        <v>104</v>
      </c>
      <c r="C179" t="s">
        <v>8</v>
      </c>
      <c r="D179" s="1" t="s">
        <v>3</v>
      </c>
      <c r="E179">
        <v>38</v>
      </c>
      <c r="F179" s="1" t="s">
        <v>101</v>
      </c>
      <c r="G179">
        <v>30</v>
      </c>
      <c r="H179">
        <v>1</v>
      </c>
      <c r="I179" s="2">
        <f t="shared" si="6"/>
        <v>4.9085999999999999</v>
      </c>
      <c r="J179">
        <f t="shared" si="7"/>
        <v>0.42683478260869562</v>
      </c>
      <c r="K179">
        <f t="shared" si="8"/>
        <v>0.12819535126664924</v>
      </c>
    </row>
    <row r="180" spans="1:11" x14ac:dyDescent="0.25">
      <c r="A180" s="1">
        <v>1958</v>
      </c>
      <c r="B180" s="1" t="s">
        <v>104</v>
      </c>
      <c r="C180" t="s">
        <v>8</v>
      </c>
      <c r="D180" s="1" t="s">
        <v>3</v>
      </c>
      <c r="E180">
        <v>40</v>
      </c>
      <c r="F180" s="1" t="s">
        <v>101</v>
      </c>
      <c r="G180">
        <v>6</v>
      </c>
      <c r="H180">
        <v>14</v>
      </c>
      <c r="I180" s="2">
        <f t="shared" si="6"/>
        <v>2.7488159999999997</v>
      </c>
      <c r="J180">
        <f t="shared" si="7"/>
        <v>0.23902747826086954</v>
      </c>
      <c r="K180">
        <f t="shared" si="8"/>
        <v>7.1789396709323577E-2</v>
      </c>
    </row>
    <row r="181" spans="1:11" x14ac:dyDescent="0.25">
      <c r="A181" s="1">
        <v>1958</v>
      </c>
      <c r="B181" s="1" t="s">
        <v>104</v>
      </c>
      <c r="C181" t="s">
        <v>8</v>
      </c>
      <c r="D181" s="1" t="s">
        <v>3</v>
      </c>
      <c r="E181">
        <v>40</v>
      </c>
      <c r="F181" s="1" t="s">
        <v>101</v>
      </c>
      <c r="G181">
        <v>8</v>
      </c>
      <c r="H181">
        <v>2</v>
      </c>
      <c r="I181" s="2">
        <f t="shared" si="6"/>
        <v>0.69811199999999995</v>
      </c>
      <c r="J181">
        <f t="shared" si="7"/>
        <v>6.0705391304347822E-2</v>
      </c>
      <c r="K181">
        <f t="shared" si="8"/>
        <v>1.8232227735701226E-2</v>
      </c>
    </row>
    <row r="182" spans="1:11" x14ac:dyDescent="0.25">
      <c r="A182" s="1">
        <v>1958</v>
      </c>
      <c r="B182" s="1" t="s">
        <v>104</v>
      </c>
      <c r="C182" t="s">
        <v>8</v>
      </c>
      <c r="D182" s="1" t="s">
        <v>3</v>
      </c>
      <c r="E182">
        <v>40</v>
      </c>
      <c r="F182" s="1" t="s">
        <v>101</v>
      </c>
      <c r="G182">
        <v>10</v>
      </c>
      <c r="H182">
        <v>2</v>
      </c>
      <c r="I182" s="2">
        <f t="shared" si="6"/>
        <v>1.0908</v>
      </c>
      <c r="J182">
        <f t="shared" si="7"/>
        <v>9.4852173913043472E-2</v>
      </c>
      <c r="K182">
        <f t="shared" si="8"/>
        <v>2.8487855837033164E-2</v>
      </c>
    </row>
    <row r="183" spans="1:11" x14ac:dyDescent="0.25">
      <c r="A183" s="1">
        <v>1958</v>
      </c>
      <c r="B183" s="1" t="s">
        <v>104</v>
      </c>
      <c r="C183" t="s">
        <v>8</v>
      </c>
      <c r="D183" s="1" t="s">
        <v>3</v>
      </c>
      <c r="E183">
        <v>40</v>
      </c>
      <c r="F183" s="1" t="s">
        <v>101</v>
      </c>
      <c r="G183">
        <v>18</v>
      </c>
      <c r="H183">
        <v>14</v>
      </c>
      <c r="I183" s="2">
        <f t="shared" si="6"/>
        <v>24.739343999999996</v>
      </c>
      <c r="J183">
        <f t="shared" si="7"/>
        <v>2.1512473043478257</v>
      </c>
      <c r="K183">
        <f t="shared" si="8"/>
        <v>0.64610457038391211</v>
      </c>
    </row>
    <row r="184" spans="1:11" x14ac:dyDescent="0.25">
      <c r="A184" s="1">
        <v>1958</v>
      </c>
      <c r="B184" s="1" t="s">
        <v>104</v>
      </c>
      <c r="C184" t="s">
        <v>8</v>
      </c>
      <c r="D184" s="1" t="s">
        <v>3</v>
      </c>
      <c r="E184">
        <v>40</v>
      </c>
      <c r="F184" s="1" t="s">
        <v>101</v>
      </c>
      <c r="G184">
        <v>20</v>
      </c>
      <c r="H184">
        <v>6</v>
      </c>
      <c r="I184" s="2">
        <f t="shared" si="6"/>
        <v>13.089600000000001</v>
      </c>
      <c r="J184">
        <f t="shared" si="7"/>
        <v>1.1382260869565217</v>
      </c>
      <c r="K184">
        <f t="shared" si="8"/>
        <v>0.341854270044398</v>
      </c>
    </row>
    <row r="185" spans="1:11" x14ac:dyDescent="0.25">
      <c r="A185" s="1">
        <v>1958</v>
      </c>
      <c r="B185" s="1" t="s">
        <v>104</v>
      </c>
      <c r="C185" t="s">
        <v>8</v>
      </c>
      <c r="D185" s="1" t="s">
        <v>3</v>
      </c>
      <c r="E185">
        <v>40</v>
      </c>
      <c r="F185" s="1" t="s">
        <v>101</v>
      </c>
      <c r="G185">
        <v>22</v>
      </c>
      <c r="H185">
        <v>3</v>
      </c>
      <c r="I185" s="2">
        <f t="shared" si="6"/>
        <v>7.9192079999999994</v>
      </c>
      <c r="J185">
        <f t="shared" si="7"/>
        <v>0.68862678260869559</v>
      </c>
      <c r="K185">
        <f t="shared" si="8"/>
        <v>0.20682183337686078</v>
      </c>
    </row>
    <row r="186" spans="1:11" x14ac:dyDescent="0.25">
      <c r="A186" s="1">
        <v>1958</v>
      </c>
      <c r="B186" s="1" t="s">
        <v>104</v>
      </c>
      <c r="C186" t="s">
        <v>8</v>
      </c>
      <c r="D186" s="1" t="s">
        <v>3</v>
      </c>
      <c r="E186">
        <v>40</v>
      </c>
      <c r="F186" s="1" t="s">
        <v>101</v>
      </c>
      <c r="G186">
        <v>24</v>
      </c>
      <c r="H186">
        <v>1</v>
      </c>
      <c r="I186" s="2">
        <f t="shared" si="6"/>
        <v>3.1415039999999999</v>
      </c>
      <c r="J186">
        <f t="shared" si="7"/>
        <v>0.2731742608695652</v>
      </c>
      <c r="K186">
        <f t="shared" si="8"/>
        <v>8.2045024810655523E-2</v>
      </c>
    </row>
    <row r="187" spans="1:11" x14ac:dyDescent="0.25">
      <c r="A187" s="1">
        <v>1958</v>
      </c>
      <c r="B187" s="1" t="s">
        <v>104</v>
      </c>
      <c r="C187" t="s">
        <v>8</v>
      </c>
      <c r="D187" s="1" t="s">
        <v>3</v>
      </c>
      <c r="E187">
        <v>53</v>
      </c>
      <c r="F187" s="1" t="s">
        <v>101</v>
      </c>
      <c r="G187">
        <v>18</v>
      </c>
      <c r="H187">
        <v>1</v>
      </c>
      <c r="I187" s="2">
        <f t="shared" si="6"/>
        <v>1.7670959999999998</v>
      </c>
      <c r="J187">
        <f t="shared" si="7"/>
        <v>0.15366052173913042</v>
      </c>
      <c r="K187">
        <f t="shared" si="8"/>
        <v>4.6150326455993727E-2</v>
      </c>
    </row>
    <row r="188" spans="1:11" x14ac:dyDescent="0.25">
      <c r="A188" s="1">
        <v>1958</v>
      </c>
      <c r="B188" s="1" t="s">
        <v>104</v>
      </c>
      <c r="C188" t="s">
        <v>8</v>
      </c>
      <c r="D188" s="1" t="s">
        <v>3</v>
      </c>
      <c r="E188">
        <v>54</v>
      </c>
      <c r="F188" s="1" t="s">
        <v>101</v>
      </c>
      <c r="G188">
        <v>8</v>
      </c>
      <c r="H188">
        <v>1</v>
      </c>
      <c r="I188" s="2">
        <f t="shared" si="6"/>
        <v>0.34905599999999998</v>
      </c>
      <c r="J188">
        <f t="shared" si="7"/>
        <v>3.0352695652173911E-2</v>
      </c>
      <c r="K188">
        <f t="shared" si="8"/>
        <v>9.1161138678506129E-3</v>
      </c>
    </row>
    <row r="189" spans="1:11" x14ac:dyDescent="0.25">
      <c r="A189" s="1">
        <v>1958</v>
      </c>
      <c r="B189" s="1" t="s">
        <v>104</v>
      </c>
      <c r="C189" t="s">
        <v>8</v>
      </c>
      <c r="D189" s="1" t="s">
        <v>3</v>
      </c>
      <c r="E189">
        <v>56</v>
      </c>
      <c r="F189" s="1" t="s">
        <v>101</v>
      </c>
      <c r="G189">
        <v>8</v>
      </c>
      <c r="H189">
        <v>1</v>
      </c>
      <c r="I189" s="2">
        <f t="shared" si="6"/>
        <v>0.34905599999999998</v>
      </c>
      <c r="J189">
        <f t="shared" si="7"/>
        <v>3.0352695652173911E-2</v>
      </c>
      <c r="K189">
        <f t="shared" si="8"/>
        <v>9.1161138678506129E-3</v>
      </c>
    </row>
    <row r="190" spans="1:11" x14ac:dyDescent="0.25">
      <c r="A190" s="1">
        <v>1958</v>
      </c>
      <c r="B190" s="1" t="s">
        <v>104</v>
      </c>
      <c r="C190" t="s">
        <v>8</v>
      </c>
      <c r="D190" s="1" t="s">
        <v>3</v>
      </c>
      <c r="E190">
        <v>56</v>
      </c>
      <c r="F190" s="1" t="s">
        <v>101</v>
      </c>
      <c r="G190">
        <v>10</v>
      </c>
      <c r="H190">
        <v>1</v>
      </c>
      <c r="I190" s="2">
        <f t="shared" si="6"/>
        <v>0.5454</v>
      </c>
      <c r="J190">
        <f t="shared" si="7"/>
        <v>4.7426086956521736E-2</v>
      </c>
      <c r="K190">
        <f t="shared" si="8"/>
        <v>1.4243927918516582E-2</v>
      </c>
    </row>
    <row r="191" spans="1:11" x14ac:dyDescent="0.25">
      <c r="A191" s="1">
        <v>1958</v>
      </c>
      <c r="B191" s="1" t="s">
        <v>104</v>
      </c>
      <c r="C191" t="s">
        <v>8</v>
      </c>
      <c r="D191" s="1" t="s">
        <v>3</v>
      </c>
      <c r="E191">
        <v>58</v>
      </c>
      <c r="F191" s="1" t="s">
        <v>101</v>
      </c>
      <c r="G191">
        <v>8</v>
      </c>
      <c r="H191">
        <v>4</v>
      </c>
      <c r="I191" s="2">
        <f t="shared" si="6"/>
        <v>1.3962239999999999</v>
      </c>
      <c r="J191">
        <f t="shared" si="7"/>
        <v>0.12141078260869564</v>
      </c>
      <c r="K191">
        <f t="shared" si="8"/>
        <v>3.6464455471402452E-2</v>
      </c>
    </row>
    <row r="192" spans="1:11" x14ac:dyDescent="0.25">
      <c r="A192" s="1">
        <v>1958</v>
      </c>
      <c r="B192" s="1" t="s">
        <v>104</v>
      </c>
      <c r="C192" t="s">
        <v>8</v>
      </c>
      <c r="D192" s="1" t="s">
        <v>3</v>
      </c>
      <c r="E192">
        <v>63</v>
      </c>
      <c r="F192" s="1" t="s">
        <v>101</v>
      </c>
      <c r="G192">
        <v>10</v>
      </c>
      <c r="H192">
        <v>1</v>
      </c>
      <c r="I192" s="2">
        <f t="shared" si="6"/>
        <v>0.5454</v>
      </c>
      <c r="J192">
        <f t="shared" si="7"/>
        <v>4.7426086956521736E-2</v>
      </c>
      <c r="K192">
        <f t="shared" si="8"/>
        <v>1.4243927918516582E-2</v>
      </c>
    </row>
    <row r="193" spans="1:11" x14ac:dyDescent="0.25">
      <c r="A193" s="1">
        <v>1958</v>
      </c>
      <c r="B193" s="1" t="s">
        <v>104</v>
      </c>
      <c r="C193" t="s">
        <v>8</v>
      </c>
      <c r="D193" s="1" t="s">
        <v>3</v>
      </c>
      <c r="E193">
        <v>71</v>
      </c>
      <c r="F193" s="1" t="s">
        <v>101</v>
      </c>
      <c r="G193">
        <v>8</v>
      </c>
      <c r="H193">
        <v>28</v>
      </c>
      <c r="I193" s="2">
        <f t="shared" si="6"/>
        <v>9.7735679999999991</v>
      </c>
      <c r="J193">
        <f t="shared" si="7"/>
        <v>0.84987547826086951</v>
      </c>
      <c r="K193">
        <f t="shared" si="8"/>
        <v>0.25525118829981719</v>
      </c>
    </row>
    <row r="194" spans="1:11" x14ac:dyDescent="0.25">
      <c r="A194" s="1">
        <v>1958</v>
      </c>
      <c r="B194" s="1" t="s">
        <v>104</v>
      </c>
      <c r="C194" t="s">
        <v>8</v>
      </c>
      <c r="D194" s="1" t="s">
        <v>3</v>
      </c>
      <c r="E194">
        <v>71</v>
      </c>
      <c r="F194" s="1" t="s">
        <v>101</v>
      </c>
      <c r="G194">
        <v>10</v>
      </c>
      <c r="H194">
        <v>17</v>
      </c>
      <c r="I194" s="2">
        <f t="shared" si="6"/>
        <v>9.2718000000000007</v>
      </c>
      <c r="J194">
        <f t="shared" si="7"/>
        <v>0.80624347826086962</v>
      </c>
      <c r="K194">
        <f t="shared" si="8"/>
        <v>0.24214677461478193</v>
      </c>
    </row>
    <row r="195" spans="1:11" x14ac:dyDescent="0.25">
      <c r="A195" s="1">
        <v>1958</v>
      </c>
      <c r="B195" s="1" t="s">
        <v>104</v>
      </c>
      <c r="C195" t="s">
        <v>8</v>
      </c>
      <c r="D195" s="1" t="s">
        <v>3</v>
      </c>
      <c r="E195">
        <v>71</v>
      </c>
      <c r="F195" s="1" t="s">
        <v>101</v>
      </c>
      <c r="G195">
        <v>12</v>
      </c>
      <c r="H195">
        <v>2</v>
      </c>
      <c r="I195" s="2">
        <f t="shared" ref="I195:I258" si="9">0.005454*G195^2*H195</f>
        <v>1.5707519999999999</v>
      </c>
      <c r="J195">
        <f t="shared" ref="J195:J258" si="10">I195/11.5</f>
        <v>0.1365871304347826</v>
      </c>
      <c r="K195">
        <f t="shared" ref="K195:K258" si="11">J195*(11.5/38.29)</f>
        <v>4.1022512405327761E-2</v>
      </c>
    </row>
    <row r="196" spans="1:11" x14ac:dyDescent="0.25">
      <c r="A196" s="1">
        <v>1958</v>
      </c>
      <c r="B196" s="1" t="s">
        <v>104</v>
      </c>
      <c r="C196" t="s">
        <v>8</v>
      </c>
      <c r="D196" s="1" t="s">
        <v>3</v>
      </c>
      <c r="E196">
        <v>71</v>
      </c>
      <c r="F196" s="1" t="s">
        <v>101</v>
      </c>
      <c r="G196">
        <v>16</v>
      </c>
      <c r="H196">
        <v>1</v>
      </c>
      <c r="I196" s="2">
        <f t="shared" si="9"/>
        <v>1.3962239999999999</v>
      </c>
      <c r="J196">
        <f t="shared" si="10"/>
        <v>0.12141078260869564</v>
      </c>
      <c r="K196">
        <f t="shared" si="11"/>
        <v>3.6464455471402452E-2</v>
      </c>
    </row>
    <row r="197" spans="1:11" x14ac:dyDescent="0.25">
      <c r="A197" s="1">
        <v>1958</v>
      </c>
      <c r="B197" s="1" t="s">
        <v>104</v>
      </c>
      <c r="C197" t="s">
        <v>8</v>
      </c>
      <c r="D197" s="1" t="s">
        <v>3</v>
      </c>
      <c r="E197">
        <v>71</v>
      </c>
      <c r="F197" s="1" t="s">
        <v>101</v>
      </c>
      <c r="G197">
        <v>18</v>
      </c>
      <c r="H197">
        <v>1</v>
      </c>
      <c r="I197" s="2">
        <f t="shared" si="9"/>
        <v>1.7670959999999998</v>
      </c>
      <c r="J197">
        <f t="shared" si="10"/>
        <v>0.15366052173913042</v>
      </c>
      <c r="K197">
        <f t="shared" si="11"/>
        <v>4.6150326455993727E-2</v>
      </c>
    </row>
    <row r="198" spans="1:11" x14ac:dyDescent="0.25">
      <c r="A198" s="1">
        <v>1958</v>
      </c>
      <c r="B198" s="1" t="s">
        <v>104</v>
      </c>
      <c r="C198" t="s">
        <v>8</v>
      </c>
      <c r="D198" s="1" t="s">
        <v>3</v>
      </c>
      <c r="E198">
        <v>79</v>
      </c>
      <c r="F198" s="1" t="s">
        <v>101</v>
      </c>
      <c r="G198">
        <v>10</v>
      </c>
      <c r="H198">
        <v>1</v>
      </c>
      <c r="I198" s="2">
        <f t="shared" si="9"/>
        <v>0.5454</v>
      </c>
      <c r="J198">
        <f t="shared" si="10"/>
        <v>4.7426086956521736E-2</v>
      </c>
      <c r="K198">
        <f t="shared" si="11"/>
        <v>1.4243927918516582E-2</v>
      </c>
    </row>
    <row r="199" spans="1:11" x14ac:dyDescent="0.25">
      <c r="A199" s="1">
        <v>1958</v>
      </c>
      <c r="B199" s="1" t="s">
        <v>104</v>
      </c>
      <c r="C199" t="s">
        <v>8</v>
      </c>
      <c r="D199" s="1" t="s">
        <v>3</v>
      </c>
      <c r="E199">
        <v>79</v>
      </c>
      <c r="F199" s="1" t="s">
        <v>101</v>
      </c>
      <c r="G199">
        <v>18</v>
      </c>
      <c r="H199">
        <v>1</v>
      </c>
      <c r="I199" s="2">
        <f t="shared" si="9"/>
        <v>1.7670959999999998</v>
      </c>
      <c r="J199">
        <f t="shared" si="10"/>
        <v>0.15366052173913042</v>
      </c>
      <c r="K199">
        <f t="shared" si="11"/>
        <v>4.6150326455993727E-2</v>
      </c>
    </row>
    <row r="200" spans="1:11" x14ac:dyDescent="0.25">
      <c r="A200" s="1">
        <v>1958</v>
      </c>
      <c r="B200" s="1" t="s">
        <v>104</v>
      </c>
      <c r="C200" t="s">
        <v>8</v>
      </c>
      <c r="D200" s="1" t="s">
        <v>3</v>
      </c>
      <c r="E200">
        <v>79</v>
      </c>
      <c r="F200" s="1" t="s">
        <v>101</v>
      </c>
      <c r="G200">
        <v>20</v>
      </c>
      <c r="H200">
        <v>2</v>
      </c>
      <c r="I200" s="2">
        <f t="shared" si="9"/>
        <v>4.3632</v>
      </c>
      <c r="J200">
        <f t="shared" si="10"/>
        <v>0.37940869565217389</v>
      </c>
      <c r="K200">
        <f t="shared" si="11"/>
        <v>0.11395142334813266</v>
      </c>
    </row>
    <row r="201" spans="1:11" x14ac:dyDescent="0.25">
      <c r="A201" s="1">
        <v>1958</v>
      </c>
      <c r="B201" s="1" t="s">
        <v>104</v>
      </c>
      <c r="C201" t="s">
        <v>8</v>
      </c>
      <c r="D201" s="1" t="s">
        <v>3</v>
      </c>
      <c r="E201">
        <v>85</v>
      </c>
      <c r="F201" s="1" t="s">
        <v>101</v>
      </c>
      <c r="G201">
        <v>18</v>
      </c>
      <c r="H201">
        <v>4</v>
      </c>
      <c r="I201" s="2">
        <f t="shared" si="9"/>
        <v>7.0683839999999991</v>
      </c>
      <c r="J201">
        <f t="shared" si="10"/>
        <v>0.61464208695652167</v>
      </c>
      <c r="K201">
        <f t="shared" si="11"/>
        <v>0.18460130582397491</v>
      </c>
    </row>
    <row r="202" spans="1:11" x14ac:dyDescent="0.25">
      <c r="A202" s="1">
        <v>1958</v>
      </c>
      <c r="B202" s="1" t="s">
        <v>104</v>
      </c>
      <c r="C202" t="s">
        <v>8</v>
      </c>
      <c r="D202" s="1" t="s">
        <v>3</v>
      </c>
      <c r="E202">
        <v>85</v>
      </c>
      <c r="F202" s="1" t="s">
        <v>101</v>
      </c>
      <c r="G202">
        <v>20</v>
      </c>
      <c r="H202">
        <v>1</v>
      </c>
      <c r="I202" s="2">
        <f t="shared" si="9"/>
        <v>2.1816</v>
      </c>
      <c r="J202">
        <f t="shared" si="10"/>
        <v>0.18970434782608694</v>
      </c>
      <c r="K202">
        <f t="shared" si="11"/>
        <v>5.6975711674066329E-2</v>
      </c>
    </row>
    <row r="203" spans="1:11" x14ac:dyDescent="0.25">
      <c r="A203" s="1">
        <v>1958</v>
      </c>
      <c r="B203" s="1" t="s">
        <v>104</v>
      </c>
      <c r="C203" t="s">
        <v>8</v>
      </c>
      <c r="D203" s="1" t="s">
        <v>3</v>
      </c>
      <c r="E203">
        <v>85</v>
      </c>
      <c r="F203" s="1" t="s">
        <v>101</v>
      </c>
      <c r="G203">
        <v>22</v>
      </c>
      <c r="H203">
        <v>2</v>
      </c>
      <c r="I203" s="2">
        <f t="shared" si="9"/>
        <v>5.2794719999999993</v>
      </c>
      <c r="J203">
        <f t="shared" si="10"/>
        <v>0.45908452173913039</v>
      </c>
      <c r="K203">
        <f t="shared" si="11"/>
        <v>0.13788122225124053</v>
      </c>
    </row>
    <row r="204" spans="1:11" x14ac:dyDescent="0.25">
      <c r="A204" s="1">
        <v>1958</v>
      </c>
      <c r="B204" s="1" t="s">
        <v>104</v>
      </c>
      <c r="C204" t="s">
        <v>8</v>
      </c>
      <c r="D204" s="1" t="s">
        <v>3</v>
      </c>
      <c r="E204">
        <v>88</v>
      </c>
      <c r="F204" s="1" t="s">
        <v>101</v>
      </c>
      <c r="G204">
        <v>8</v>
      </c>
      <c r="H204">
        <v>1</v>
      </c>
      <c r="I204" s="2">
        <f t="shared" si="9"/>
        <v>0.34905599999999998</v>
      </c>
      <c r="J204">
        <f t="shared" si="10"/>
        <v>3.0352695652173911E-2</v>
      </c>
      <c r="K204">
        <f t="shared" si="11"/>
        <v>9.1161138678506129E-3</v>
      </c>
    </row>
    <row r="205" spans="1:11" x14ac:dyDescent="0.25">
      <c r="A205" s="1">
        <v>1958</v>
      </c>
      <c r="B205" s="1" t="s">
        <v>104</v>
      </c>
      <c r="C205" t="s">
        <v>8</v>
      </c>
      <c r="D205" s="1" t="s">
        <v>5</v>
      </c>
      <c r="E205">
        <v>32</v>
      </c>
      <c r="F205" s="1" t="s">
        <v>101</v>
      </c>
      <c r="G205">
        <v>18</v>
      </c>
      <c r="H205">
        <v>1</v>
      </c>
      <c r="I205" s="2">
        <f t="shared" si="9"/>
        <v>1.7670959999999998</v>
      </c>
      <c r="J205">
        <f t="shared" si="10"/>
        <v>0.15366052173913042</v>
      </c>
      <c r="K205">
        <f t="shared" si="11"/>
        <v>4.6150326455993727E-2</v>
      </c>
    </row>
    <row r="206" spans="1:11" x14ac:dyDescent="0.25">
      <c r="A206" s="1">
        <v>1958</v>
      </c>
      <c r="B206" s="1" t="s">
        <v>104</v>
      </c>
      <c r="C206" t="s">
        <v>8</v>
      </c>
      <c r="D206" s="1" t="s">
        <v>5</v>
      </c>
      <c r="E206">
        <v>32</v>
      </c>
      <c r="F206" s="1" t="s">
        <v>101</v>
      </c>
      <c r="G206">
        <v>24</v>
      </c>
      <c r="H206">
        <v>1</v>
      </c>
      <c r="I206" s="2">
        <f t="shared" si="9"/>
        <v>3.1415039999999999</v>
      </c>
      <c r="J206">
        <f t="shared" si="10"/>
        <v>0.2731742608695652</v>
      </c>
      <c r="K206">
        <f t="shared" si="11"/>
        <v>8.2045024810655523E-2</v>
      </c>
    </row>
    <row r="207" spans="1:11" x14ac:dyDescent="0.25">
      <c r="A207" s="1">
        <v>1958</v>
      </c>
      <c r="B207" s="1" t="s">
        <v>104</v>
      </c>
      <c r="C207" t="s">
        <v>8</v>
      </c>
      <c r="D207" s="1" t="s">
        <v>5</v>
      </c>
      <c r="E207">
        <v>34</v>
      </c>
      <c r="F207" s="1" t="s">
        <v>101</v>
      </c>
      <c r="G207">
        <v>22</v>
      </c>
      <c r="H207">
        <v>1</v>
      </c>
      <c r="I207" s="2">
        <f t="shared" si="9"/>
        <v>2.6397359999999996</v>
      </c>
      <c r="J207">
        <f t="shared" si="10"/>
        <v>0.2295422608695652</v>
      </c>
      <c r="K207">
        <f t="shared" si="11"/>
        <v>6.8940611125620263E-2</v>
      </c>
    </row>
    <row r="208" spans="1:11" x14ac:dyDescent="0.25">
      <c r="A208" s="1">
        <v>1958</v>
      </c>
      <c r="B208" s="1" t="s">
        <v>104</v>
      </c>
      <c r="C208" t="s">
        <v>8</v>
      </c>
      <c r="D208" s="1" t="s">
        <v>5</v>
      </c>
      <c r="E208">
        <v>38</v>
      </c>
      <c r="F208" s="1" t="s">
        <v>101</v>
      </c>
      <c r="G208">
        <v>24</v>
      </c>
      <c r="H208">
        <v>1</v>
      </c>
      <c r="I208" s="2">
        <f t="shared" si="9"/>
        <v>3.1415039999999999</v>
      </c>
      <c r="J208">
        <f t="shared" si="10"/>
        <v>0.2731742608695652</v>
      </c>
      <c r="K208">
        <f t="shared" si="11"/>
        <v>8.2045024810655523E-2</v>
      </c>
    </row>
    <row r="209" spans="1:11" x14ac:dyDescent="0.25">
      <c r="A209" s="1">
        <v>1958</v>
      </c>
      <c r="B209" s="1" t="s">
        <v>104</v>
      </c>
      <c r="C209" t="s">
        <v>8</v>
      </c>
      <c r="D209" s="1" t="s">
        <v>5</v>
      </c>
      <c r="E209">
        <v>38</v>
      </c>
      <c r="F209" s="1" t="s">
        <v>101</v>
      </c>
      <c r="G209">
        <v>34</v>
      </c>
      <c r="H209">
        <v>1</v>
      </c>
      <c r="I209" s="2">
        <f t="shared" si="9"/>
        <v>6.304824</v>
      </c>
      <c r="J209">
        <f t="shared" si="10"/>
        <v>0.54824556521739132</v>
      </c>
      <c r="K209">
        <f t="shared" si="11"/>
        <v>0.16465980673805172</v>
      </c>
    </row>
    <row r="210" spans="1:11" x14ac:dyDescent="0.25">
      <c r="A210" s="1">
        <v>1958</v>
      </c>
      <c r="B210" s="1" t="s">
        <v>104</v>
      </c>
      <c r="C210" t="s">
        <v>8</v>
      </c>
      <c r="D210" s="1" t="s">
        <v>5</v>
      </c>
      <c r="E210">
        <v>40</v>
      </c>
      <c r="F210" s="1" t="s">
        <v>101</v>
      </c>
      <c r="G210">
        <v>18</v>
      </c>
      <c r="H210">
        <v>1</v>
      </c>
      <c r="I210" s="2">
        <f t="shared" si="9"/>
        <v>1.7670959999999998</v>
      </c>
      <c r="J210">
        <f t="shared" si="10"/>
        <v>0.15366052173913042</v>
      </c>
      <c r="K210">
        <f t="shared" si="11"/>
        <v>4.6150326455993727E-2</v>
      </c>
    </row>
    <row r="211" spans="1:11" x14ac:dyDescent="0.25">
      <c r="A211" s="1">
        <v>1958</v>
      </c>
      <c r="B211" s="1" t="s">
        <v>104</v>
      </c>
      <c r="C211" t="s">
        <v>8</v>
      </c>
      <c r="D211" s="1" t="s">
        <v>5</v>
      </c>
      <c r="E211">
        <v>79</v>
      </c>
      <c r="F211" s="1" t="s">
        <v>101</v>
      </c>
      <c r="G211">
        <v>18</v>
      </c>
      <c r="H211">
        <v>2</v>
      </c>
      <c r="I211" s="2">
        <f t="shared" si="9"/>
        <v>3.5341919999999996</v>
      </c>
      <c r="J211">
        <f t="shared" si="10"/>
        <v>0.30732104347826084</v>
      </c>
      <c r="K211">
        <f t="shared" si="11"/>
        <v>9.2300652911987455E-2</v>
      </c>
    </row>
    <row r="212" spans="1:11" x14ac:dyDescent="0.25">
      <c r="A212" s="1">
        <v>1958</v>
      </c>
      <c r="B212" s="1" t="s">
        <v>104</v>
      </c>
      <c r="C212" t="s">
        <v>8</v>
      </c>
      <c r="D212" s="1" t="s">
        <v>5</v>
      </c>
      <c r="E212">
        <v>79</v>
      </c>
      <c r="F212" s="1" t="s">
        <v>101</v>
      </c>
      <c r="G212">
        <v>20</v>
      </c>
      <c r="H212">
        <v>1</v>
      </c>
      <c r="I212" s="2">
        <f t="shared" si="9"/>
        <v>2.1816</v>
      </c>
      <c r="J212">
        <f t="shared" si="10"/>
        <v>0.18970434782608694</v>
      </c>
      <c r="K212">
        <f t="shared" si="11"/>
        <v>5.6975711674066329E-2</v>
      </c>
    </row>
    <row r="213" spans="1:11" x14ac:dyDescent="0.25">
      <c r="A213" s="1">
        <v>1958</v>
      </c>
      <c r="B213" s="1" t="s">
        <v>104</v>
      </c>
      <c r="C213" t="s">
        <v>8</v>
      </c>
      <c r="D213" s="1" t="s">
        <v>5</v>
      </c>
      <c r="E213">
        <v>79</v>
      </c>
      <c r="F213" s="1" t="s">
        <v>101</v>
      </c>
      <c r="G213">
        <v>22</v>
      </c>
      <c r="H213">
        <v>2</v>
      </c>
      <c r="I213" s="2">
        <f t="shared" si="9"/>
        <v>5.2794719999999993</v>
      </c>
      <c r="J213">
        <f t="shared" si="10"/>
        <v>0.45908452173913039</v>
      </c>
      <c r="K213">
        <f t="shared" si="11"/>
        <v>0.13788122225124053</v>
      </c>
    </row>
    <row r="214" spans="1:11" x14ac:dyDescent="0.25">
      <c r="A214" s="1">
        <v>1958</v>
      </c>
      <c r="B214" s="1" t="s">
        <v>104</v>
      </c>
      <c r="C214" t="s">
        <v>8</v>
      </c>
      <c r="D214" s="1" t="s">
        <v>5</v>
      </c>
      <c r="E214">
        <v>79</v>
      </c>
      <c r="F214" s="1" t="s">
        <v>101</v>
      </c>
      <c r="G214">
        <v>24</v>
      </c>
      <c r="H214">
        <v>1</v>
      </c>
      <c r="I214" s="2">
        <f t="shared" si="9"/>
        <v>3.1415039999999999</v>
      </c>
      <c r="J214">
        <f t="shared" si="10"/>
        <v>0.2731742608695652</v>
      </c>
      <c r="K214">
        <f t="shared" si="11"/>
        <v>8.2045024810655523E-2</v>
      </c>
    </row>
    <row r="215" spans="1:11" x14ac:dyDescent="0.25">
      <c r="A215" s="1">
        <v>1958</v>
      </c>
      <c r="B215" s="1" t="s">
        <v>104</v>
      </c>
      <c r="C215" t="s">
        <v>8</v>
      </c>
      <c r="D215" s="1" t="s">
        <v>5</v>
      </c>
      <c r="E215">
        <v>85</v>
      </c>
      <c r="F215" s="1" t="s">
        <v>101</v>
      </c>
      <c r="G215">
        <v>20</v>
      </c>
      <c r="H215">
        <v>1</v>
      </c>
      <c r="I215" s="2">
        <f t="shared" si="9"/>
        <v>2.1816</v>
      </c>
      <c r="J215">
        <f t="shared" si="10"/>
        <v>0.18970434782608694</v>
      </c>
      <c r="K215">
        <f t="shared" si="11"/>
        <v>5.6975711674066329E-2</v>
      </c>
    </row>
    <row r="216" spans="1:11" x14ac:dyDescent="0.25">
      <c r="A216" s="1">
        <v>1958</v>
      </c>
      <c r="B216" s="1" t="s">
        <v>104</v>
      </c>
      <c r="C216" t="s">
        <v>7</v>
      </c>
      <c r="D216" s="1" t="s">
        <v>3</v>
      </c>
      <c r="E216">
        <v>17</v>
      </c>
      <c r="F216" s="1" t="s">
        <v>101</v>
      </c>
      <c r="G216">
        <v>6</v>
      </c>
      <c r="H216">
        <v>57</v>
      </c>
      <c r="I216" s="2">
        <f t="shared" si="9"/>
        <v>11.191607999999999</v>
      </c>
      <c r="J216">
        <f t="shared" si="10"/>
        <v>0.97318330434782596</v>
      </c>
      <c r="K216">
        <f t="shared" si="11"/>
        <v>0.29228540088796023</v>
      </c>
    </row>
    <row r="217" spans="1:11" x14ac:dyDescent="0.25">
      <c r="A217" s="1">
        <v>1958</v>
      </c>
      <c r="B217" s="1" t="s">
        <v>104</v>
      </c>
      <c r="C217" t="s">
        <v>7</v>
      </c>
      <c r="D217" s="1" t="s">
        <v>3</v>
      </c>
      <c r="E217">
        <v>21</v>
      </c>
      <c r="F217" s="1" t="s">
        <v>101</v>
      </c>
      <c r="G217">
        <v>6</v>
      </c>
      <c r="H217">
        <v>1</v>
      </c>
      <c r="I217" s="2">
        <f t="shared" si="9"/>
        <v>0.19634399999999999</v>
      </c>
      <c r="J217">
        <f t="shared" si="10"/>
        <v>1.7073391304347825E-2</v>
      </c>
      <c r="K217">
        <f t="shared" si="11"/>
        <v>5.1278140506659702E-3</v>
      </c>
    </row>
    <row r="218" spans="1:11" x14ac:dyDescent="0.25">
      <c r="A218" s="1">
        <v>1958</v>
      </c>
      <c r="B218" s="1" t="s">
        <v>104</v>
      </c>
      <c r="C218" t="s">
        <v>7</v>
      </c>
      <c r="D218" s="1" t="s">
        <v>3</v>
      </c>
      <c r="E218">
        <v>21</v>
      </c>
      <c r="F218" s="1" t="s">
        <v>101</v>
      </c>
      <c r="G218">
        <v>8</v>
      </c>
      <c r="H218">
        <v>2</v>
      </c>
      <c r="I218" s="2">
        <f t="shared" si="9"/>
        <v>0.69811199999999995</v>
      </c>
      <c r="J218">
        <f t="shared" si="10"/>
        <v>6.0705391304347822E-2</v>
      </c>
      <c r="K218">
        <f t="shared" si="11"/>
        <v>1.8232227735701226E-2</v>
      </c>
    </row>
    <row r="219" spans="1:11" x14ac:dyDescent="0.25">
      <c r="A219" s="1">
        <v>1958</v>
      </c>
      <c r="B219" s="1" t="s">
        <v>104</v>
      </c>
      <c r="C219" t="s">
        <v>7</v>
      </c>
      <c r="D219" s="1" t="s">
        <v>3</v>
      </c>
      <c r="E219">
        <v>21</v>
      </c>
      <c r="F219" s="1" t="s">
        <v>101</v>
      </c>
      <c r="G219">
        <v>10</v>
      </c>
      <c r="H219">
        <v>1</v>
      </c>
      <c r="I219" s="2">
        <f t="shared" si="9"/>
        <v>0.5454</v>
      </c>
      <c r="J219">
        <f t="shared" si="10"/>
        <v>4.7426086956521736E-2</v>
      </c>
      <c r="K219">
        <f t="shared" si="11"/>
        <v>1.4243927918516582E-2</v>
      </c>
    </row>
    <row r="220" spans="1:11" x14ac:dyDescent="0.25">
      <c r="A220" s="1">
        <v>1958</v>
      </c>
      <c r="B220" s="1" t="s">
        <v>104</v>
      </c>
      <c r="C220" t="s">
        <v>7</v>
      </c>
      <c r="D220" s="1" t="s">
        <v>3</v>
      </c>
      <c r="E220">
        <v>21</v>
      </c>
      <c r="F220" s="1" t="s">
        <v>101</v>
      </c>
      <c r="G220">
        <v>16</v>
      </c>
      <c r="H220">
        <v>5</v>
      </c>
      <c r="I220" s="2">
        <f t="shared" si="9"/>
        <v>6.9811199999999998</v>
      </c>
      <c r="J220">
        <f t="shared" si="10"/>
        <v>0.60705391304347822</v>
      </c>
      <c r="K220">
        <f t="shared" si="11"/>
        <v>0.18232227735701226</v>
      </c>
    </row>
    <row r="221" spans="1:11" x14ac:dyDescent="0.25">
      <c r="A221" s="1">
        <v>1958</v>
      </c>
      <c r="B221" s="1" t="s">
        <v>104</v>
      </c>
      <c r="C221" t="s">
        <v>7</v>
      </c>
      <c r="D221" s="1" t="s">
        <v>3</v>
      </c>
      <c r="E221">
        <v>25</v>
      </c>
      <c r="F221" s="1" t="s">
        <v>101</v>
      </c>
      <c r="G221">
        <v>16</v>
      </c>
      <c r="H221">
        <v>1</v>
      </c>
      <c r="I221" s="2">
        <f t="shared" si="9"/>
        <v>1.3962239999999999</v>
      </c>
      <c r="J221">
        <f t="shared" si="10"/>
        <v>0.12141078260869564</v>
      </c>
      <c r="K221">
        <f t="shared" si="11"/>
        <v>3.6464455471402452E-2</v>
      </c>
    </row>
    <row r="222" spans="1:11" x14ac:dyDescent="0.25">
      <c r="A222" s="1">
        <v>1958</v>
      </c>
      <c r="B222" s="1" t="s">
        <v>104</v>
      </c>
      <c r="C222" t="s">
        <v>7</v>
      </c>
      <c r="D222" s="1" t="s">
        <v>3</v>
      </c>
      <c r="E222">
        <v>29</v>
      </c>
      <c r="F222" s="1" t="s">
        <v>101</v>
      </c>
      <c r="G222">
        <v>6</v>
      </c>
      <c r="H222">
        <v>42</v>
      </c>
      <c r="I222" s="2">
        <f t="shared" si="9"/>
        <v>8.2464479999999991</v>
      </c>
      <c r="J222">
        <f t="shared" si="10"/>
        <v>0.71708243478260858</v>
      </c>
      <c r="K222">
        <f t="shared" si="11"/>
        <v>0.2153681901279707</v>
      </c>
    </row>
    <row r="223" spans="1:11" x14ac:dyDescent="0.25">
      <c r="A223" s="1">
        <v>1958</v>
      </c>
      <c r="B223" s="1" t="s">
        <v>104</v>
      </c>
      <c r="C223" t="s">
        <v>7</v>
      </c>
      <c r="D223" s="1" t="s">
        <v>3</v>
      </c>
      <c r="E223">
        <v>32</v>
      </c>
      <c r="F223" s="1" t="s">
        <v>101</v>
      </c>
      <c r="G223">
        <v>6</v>
      </c>
      <c r="H223">
        <v>11</v>
      </c>
      <c r="I223" s="2">
        <f t="shared" si="9"/>
        <v>2.1597839999999997</v>
      </c>
      <c r="J223">
        <f t="shared" si="10"/>
        <v>0.18780730434782605</v>
      </c>
      <c r="K223">
        <f t="shared" si="11"/>
        <v>5.6405954557325659E-2</v>
      </c>
    </row>
    <row r="224" spans="1:11" x14ac:dyDescent="0.25">
      <c r="A224" s="1">
        <v>1958</v>
      </c>
      <c r="B224" s="1" t="s">
        <v>104</v>
      </c>
      <c r="C224" t="s">
        <v>7</v>
      </c>
      <c r="D224" s="1" t="s">
        <v>3</v>
      </c>
      <c r="E224">
        <v>32</v>
      </c>
      <c r="F224" s="1" t="s">
        <v>101</v>
      </c>
      <c r="G224">
        <v>8</v>
      </c>
      <c r="H224">
        <v>2</v>
      </c>
      <c r="I224" s="2">
        <f t="shared" si="9"/>
        <v>0.69811199999999995</v>
      </c>
      <c r="J224">
        <f t="shared" si="10"/>
        <v>6.0705391304347822E-2</v>
      </c>
      <c r="K224">
        <f t="shared" si="11"/>
        <v>1.8232227735701226E-2</v>
      </c>
    </row>
    <row r="225" spans="1:11" x14ac:dyDescent="0.25">
      <c r="A225" s="1">
        <v>1958</v>
      </c>
      <c r="B225" s="1" t="s">
        <v>104</v>
      </c>
      <c r="C225" t="s">
        <v>7</v>
      </c>
      <c r="D225" s="1" t="s">
        <v>3</v>
      </c>
      <c r="E225">
        <v>32</v>
      </c>
      <c r="F225" s="1" t="s">
        <v>101</v>
      </c>
      <c r="G225">
        <v>10</v>
      </c>
      <c r="H225">
        <v>2</v>
      </c>
      <c r="I225" s="2">
        <f t="shared" si="9"/>
        <v>1.0908</v>
      </c>
      <c r="J225">
        <f t="shared" si="10"/>
        <v>9.4852173913043472E-2</v>
      </c>
      <c r="K225">
        <f t="shared" si="11"/>
        <v>2.8487855837033164E-2</v>
      </c>
    </row>
    <row r="226" spans="1:11" x14ac:dyDescent="0.25">
      <c r="A226" s="1">
        <v>1958</v>
      </c>
      <c r="B226" s="1" t="s">
        <v>104</v>
      </c>
      <c r="C226" t="s">
        <v>7</v>
      </c>
      <c r="D226" s="1" t="s">
        <v>3</v>
      </c>
      <c r="E226">
        <v>32</v>
      </c>
      <c r="F226" s="1" t="s">
        <v>101</v>
      </c>
      <c r="G226">
        <v>12</v>
      </c>
      <c r="H226">
        <v>3</v>
      </c>
      <c r="I226" s="2">
        <f t="shared" si="9"/>
        <v>2.356128</v>
      </c>
      <c r="J226">
        <f t="shared" si="10"/>
        <v>0.2048806956521739</v>
      </c>
      <c r="K226">
        <f t="shared" si="11"/>
        <v>6.1533768607991639E-2</v>
      </c>
    </row>
    <row r="227" spans="1:11" x14ac:dyDescent="0.25">
      <c r="A227" s="1">
        <v>1958</v>
      </c>
      <c r="B227" s="1" t="s">
        <v>104</v>
      </c>
      <c r="C227" t="s">
        <v>7</v>
      </c>
      <c r="D227" s="1" t="s">
        <v>3</v>
      </c>
      <c r="E227">
        <v>32</v>
      </c>
      <c r="F227" s="1" t="s">
        <v>101</v>
      </c>
      <c r="G227">
        <v>14</v>
      </c>
      <c r="H227">
        <v>2</v>
      </c>
      <c r="I227" s="2">
        <f t="shared" si="9"/>
        <v>2.1379679999999999</v>
      </c>
      <c r="J227">
        <f t="shared" si="10"/>
        <v>0.18591026086956522</v>
      </c>
      <c r="K227">
        <f t="shared" si="11"/>
        <v>5.583619744058501E-2</v>
      </c>
    </row>
    <row r="228" spans="1:11" x14ac:dyDescent="0.25">
      <c r="A228" s="1">
        <v>1958</v>
      </c>
      <c r="B228" s="1" t="s">
        <v>104</v>
      </c>
      <c r="C228" t="s">
        <v>7</v>
      </c>
      <c r="D228" s="1" t="s">
        <v>3</v>
      </c>
      <c r="E228">
        <v>34</v>
      </c>
      <c r="F228" s="1" t="s">
        <v>101</v>
      </c>
      <c r="G228">
        <v>6</v>
      </c>
      <c r="H228">
        <v>78</v>
      </c>
      <c r="I228" s="2">
        <f t="shared" si="9"/>
        <v>15.314831999999999</v>
      </c>
      <c r="J228">
        <f t="shared" si="10"/>
        <v>1.3317245217391303</v>
      </c>
      <c r="K228">
        <f t="shared" si="11"/>
        <v>0.39996949595194559</v>
      </c>
    </row>
    <row r="229" spans="1:11" x14ac:dyDescent="0.25">
      <c r="A229" s="1">
        <v>1958</v>
      </c>
      <c r="B229" s="1" t="s">
        <v>104</v>
      </c>
      <c r="C229" t="s">
        <v>7</v>
      </c>
      <c r="D229" s="1" t="s">
        <v>3</v>
      </c>
      <c r="E229">
        <v>34</v>
      </c>
      <c r="F229" s="1" t="s">
        <v>101</v>
      </c>
      <c r="G229">
        <v>8</v>
      </c>
      <c r="H229">
        <v>48</v>
      </c>
      <c r="I229" s="2">
        <f t="shared" si="9"/>
        <v>16.754687999999998</v>
      </c>
      <c r="J229">
        <f t="shared" si="10"/>
        <v>1.4569293913043477</v>
      </c>
      <c r="K229">
        <f t="shared" si="11"/>
        <v>0.43757346565682942</v>
      </c>
    </row>
    <row r="230" spans="1:11" x14ac:dyDescent="0.25">
      <c r="A230" s="1">
        <v>1958</v>
      </c>
      <c r="B230" s="1" t="s">
        <v>104</v>
      </c>
      <c r="C230" t="s">
        <v>7</v>
      </c>
      <c r="D230" s="1" t="s">
        <v>3</v>
      </c>
      <c r="E230">
        <v>34</v>
      </c>
      <c r="F230" s="1" t="s">
        <v>101</v>
      </c>
      <c r="G230">
        <v>10</v>
      </c>
      <c r="H230">
        <v>28</v>
      </c>
      <c r="I230" s="2">
        <f t="shared" si="9"/>
        <v>15.2712</v>
      </c>
      <c r="J230">
        <f t="shared" si="10"/>
        <v>1.3279304347826086</v>
      </c>
      <c r="K230">
        <f t="shared" si="11"/>
        <v>0.39882998171846434</v>
      </c>
    </row>
    <row r="231" spans="1:11" x14ac:dyDescent="0.25">
      <c r="A231" s="1">
        <v>1958</v>
      </c>
      <c r="B231" s="1" t="s">
        <v>104</v>
      </c>
      <c r="C231" t="s">
        <v>7</v>
      </c>
      <c r="D231" s="1" t="s">
        <v>3</v>
      </c>
      <c r="E231">
        <v>34</v>
      </c>
      <c r="F231" s="1" t="s">
        <v>101</v>
      </c>
      <c r="G231">
        <v>12</v>
      </c>
      <c r="H231">
        <v>10</v>
      </c>
      <c r="I231" s="2">
        <f t="shared" si="9"/>
        <v>7.8537599999999994</v>
      </c>
      <c r="J231">
        <f t="shared" si="10"/>
        <v>0.68293565217391294</v>
      </c>
      <c r="K231">
        <f t="shared" si="11"/>
        <v>0.20511256202663877</v>
      </c>
    </row>
    <row r="232" spans="1:11" x14ac:dyDescent="0.25">
      <c r="A232" s="1">
        <v>1958</v>
      </c>
      <c r="B232" s="1" t="s">
        <v>104</v>
      </c>
      <c r="C232" t="s">
        <v>7</v>
      </c>
      <c r="D232" s="1" t="s">
        <v>3</v>
      </c>
      <c r="E232">
        <v>34</v>
      </c>
      <c r="F232" s="1" t="s">
        <v>101</v>
      </c>
      <c r="G232">
        <v>14</v>
      </c>
      <c r="H232">
        <v>11</v>
      </c>
      <c r="I232" s="2">
        <f t="shared" si="9"/>
        <v>11.758823999999999</v>
      </c>
      <c r="J232">
        <f t="shared" si="10"/>
        <v>1.0225064347826085</v>
      </c>
      <c r="K232">
        <f t="shared" si="11"/>
        <v>0.3070990859232175</v>
      </c>
    </row>
    <row r="233" spans="1:11" x14ac:dyDescent="0.25">
      <c r="A233" s="1">
        <v>1958</v>
      </c>
      <c r="B233" s="1" t="s">
        <v>104</v>
      </c>
      <c r="C233" t="s">
        <v>7</v>
      </c>
      <c r="D233" s="1" t="s">
        <v>3</v>
      </c>
      <c r="E233">
        <v>34</v>
      </c>
      <c r="F233" s="1" t="s">
        <v>101</v>
      </c>
      <c r="G233">
        <v>16</v>
      </c>
      <c r="H233">
        <v>5</v>
      </c>
      <c r="I233" s="2">
        <f t="shared" si="9"/>
        <v>6.9811199999999998</v>
      </c>
      <c r="J233">
        <f t="shared" si="10"/>
        <v>0.60705391304347822</v>
      </c>
      <c r="K233">
        <f t="shared" si="11"/>
        <v>0.18232227735701226</v>
      </c>
    </row>
    <row r="234" spans="1:11" x14ac:dyDescent="0.25">
      <c r="A234" s="1">
        <v>1958</v>
      </c>
      <c r="B234" s="1" t="s">
        <v>104</v>
      </c>
      <c r="C234" t="s">
        <v>7</v>
      </c>
      <c r="D234" s="1" t="s">
        <v>3</v>
      </c>
      <c r="E234">
        <v>38</v>
      </c>
      <c r="F234" s="1" t="s">
        <v>101</v>
      </c>
      <c r="G234">
        <v>6</v>
      </c>
      <c r="H234">
        <v>270</v>
      </c>
      <c r="I234" s="2">
        <f t="shared" si="9"/>
        <v>53.012879999999996</v>
      </c>
      <c r="J234">
        <f t="shared" si="10"/>
        <v>4.6098156521739124</v>
      </c>
      <c r="K234">
        <f t="shared" si="11"/>
        <v>1.3845097936798116</v>
      </c>
    </row>
    <row r="235" spans="1:11" x14ac:dyDescent="0.25">
      <c r="A235" s="1">
        <v>1958</v>
      </c>
      <c r="B235" s="1" t="s">
        <v>104</v>
      </c>
      <c r="C235" t="s">
        <v>7</v>
      </c>
      <c r="D235" s="1" t="s">
        <v>3</v>
      </c>
      <c r="E235">
        <v>38</v>
      </c>
      <c r="F235" s="1" t="s">
        <v>101</v>
      </c>
      <c r="G235">
        <v>8</v>
      </c>
      <c r="H235">
        <v>238</v>
      </c>
      <c r="I235" s="2">
        <f t="shared" si="9"/>
        <v>83.075327999999999</v>
      </c>
      <c r="J235">
        <f t="shared" si="10"/>
        <v>7.2239415652173911</v>
      </c>
      <c r="K235">
        <f t="shared" si="11"/>
        <v>2.169635100548446</v>
      </c>
    </row>
    <row r="236" spans="1:11" x14ac:dyDescent="0.25">
      <c r="A236" s="1">
        <v>1958</v>
      </c>
      <c r="B236" s="1" t="s">
        <v>104</v>
      </c>
      <c r="C236" t="s">
        <v>7</v>
      </c>
      <c r="D236" s="1" t="s">
        <v>3</v>
      </c>
      <c r="E236">
        <v>38</v>
      </c>
      <c r="F236" s="1" t="s">
        <v>101</v>
      </c>
      <c r="G236">
        <v>10</v>
      </c>
      <c r="H236">
        <v>140</v>
      </c>
      <c r="I236" s="2">
        <f t="shared" si="9"/>
        <v>76.355999999999995</v>
      </c>
      <c r="J236">
        <f t="shared" si="10"/>
        <v>6.639652173913043</v>
      </c>
      <c r="K236">
        <f t="shared" si="11"/>
        <v>1.9941499085923216</v>
      </c>
    </row>
    <row r="237" spans="1:11" x14ac:dyDescent="0.25">
      <c r="A237" s="1">
        <v>1958</v>
      </c>
      <c r="B237" s="1" t="s">
        <v>104</v>
      </c>
      <c r="C237" t="s">
        <v>7</v>
      </c>
      <c r="D237" s="1" t="s">
        <v>3</v>
      </c>
      <c r="E237">
        <v>38</v>
      </c>
      <c r="F237" s="1" t="s">
        <v>101</v>
      </c>
      <c r="G237">
        <v>12</v>
      </c>
      <c r="H237">
        <v>69</v>
      </c>
      <c r="I237" s="2">
        <f t="shared" si="9"/>
        <v>54.190943999999995</v>
      </c>
      <c r="J237">
        <f t="shared" si="10"/>
        <v>4.7122559999999991</v>
      </c>
      <c r="K237">
        <f t="shared" si="11"/>
        <v>1.4152766779838075</v>
      </c>
    </row>
    <row r="238" spans="1:11" x14ac:dyDescent="0.25">
      <c r="A238" s="1">
        <v>1958</v>
      </c>
      <c r="B238" s="1" t="s">
        <v>104</v>
      </c>
      <c r="C238" t="s">
        <v>7</v>
      </c>
      <c r="D238" s="1" t="s">
        <v>3</v>
      </c>
      <c r="E238">
        <v>38</v>
      </c>
      <c r="F238" s="1" t="s">
        <v>101</v>
      </c>
      <c r="G238">
        <v>14</v>
      </c>
      <c r="H238">
        <v>35</v>
      </c>
      <c r="I238" s="2">
        <f t="shared" si="9"/>
        <v>37.414439999999999</v>
      </c>
      <c r="J238">
        <f t="shared" si="10"/>
        <v>3.2534295652173912</v>
      </c>
      <c r="K238">
        <f t="shared" si="11"/>
        <v>0.97713345521023764</v>
      </c>
    </row>
    <row r="239" spans="1:11" x14ac:dyDescent="0.25">
      <c r="A239" s="1">
        <v>1958</v>
      </c>
      <c r="B239" s="1" t="s">
        <v>104</v>
      </c>
      <c r="C239" t="s">
        <v>7</v>
      </c>
      <c r="D239" s="1" t="s">
        <v>3</v>
      </c>
      <c r="E239">
        <v>38</v>
      </c>
      <c r="F239" s="1" t="s">
        <v>101</v>
      </c>
      <c r="G239">
        <v>16</v>
      </c>
      <c r="H239">
        <v>18</v>
      </c>
      <c r="I239" s="2">
        <f t="shared" si="9"/>
        <v>25.132031999999999</v>
      </c>
      <c r="J239">
        <f t="shared" si="10"/>
        <v>2.1853940869565216</v>
      </c>
      <c r="K239">
        <f t="shared" si="11"/>
        <v>0.65636019848524418</v>
      </c>
    </row>
    <row r="240" spans="1:11" x14ac:dyDescent="0.25">
      <c r="A240" s="1">
        <v>1958</v>
      </c>
      <c r="B240" s="1" t="s">
        <v>104</v>
      </c>
      <c r="C240" t="s">
        <v>7</v>
      </c>
      <c r="D240" s="1" t="s">
        <v>3</v>
      </c>
      <c r="E240">
        <v>40</v>
      </c>
      <c r="F240" s="1" t="s">
        <v>101</v>
      </c>
      <c r="G240">
        <v>6</v>
      </c>
      <c r="H240">
        <v>139</v>
      </c>
      <c r="I240" s="2">
        <f t="shared" si="9"/>
        <v>27.291815999999997</v>
      </c>
      <c r="J240">
        <f t="shared" si="10"/>
        <v>2.3732013913043475</v>
      </c>
      <c r="K240">
        <f t="shared" si="11"/>
        <v>0.71276615304256974</v>
      </c>
    </row>
    <row r="241" spans="1:11" x14ac:dyDescent="0.25">
      <c r="A241" s="1">
        <v>1958</v>
      </c>
      <c r="B241" s="1" t="s">
        <v>104</v>
      </c>
      <c r="C241" t="s">
        <v>7</v>
      </c>
      <c r="D241" s="1" t="s">
        <v>3</v>
      </c>
      <c r="E241">
        <v>40</v>
      </c>
      <c r="F241" s="1" t="s">
        <v>101</v>
      </c>
      <c r="G241">
        <v>8</v>
      </c>
      <c r="H241">
        <v>111</v>
      </c>
      <c r="I241" s="2">
        <f t="shared" si="9"/>
        <v>38.745215999999999</v>
      </c>
      <c r="J241">
        <f t="shared" si="10"/>
        <v>3.3691492173913042</v>
      </c>
      <c r="K241">
        <f t="shared" si="11"/>
        <v>1.0118886393314181</v>
      </c>
    </row>
    <row r="242" spans="1:11" x14ac:dyDescent="0.25">
      <c r="A242" s="1">
        <v>1958</v>
      </c>
      <c r="B242" s="1" t="s">
        <v>104</v>
      </c>
      <c r="C242" t="s">
        <v>7</v>
      </c>
      <c r="D242" s="1" t="s">
        <v>3</v>
      </c>
      <c r="E242">
        <v>40</v>
      </c>
      <c r="F242" s="1" t="s">
        <v>101</v>
      </c>
      <c r="G242">
        <v>10</v>
      </c>
      <c r="H242">
        <v>98</v>
      </c>
      <c r="I242" s="2">
        <f t="shared" si="9"/>
        <v>53.449199999999998</v>
      </c>
      <c r="J242">
        <f t="shared" si="10"/>
        <v>4.6477565217391303</v>
      </c>
      <c r="K242">
        <f t="shared" si="11"/>
        <v>1.3959049360146252</v>
      </c>
    </row>
    <row r="243" spans="1:11" x14ac:dyDescent="0.25">
      <c r="A243" s="1">
        <v>1958</v>
      </c>
      <c r="B243" s="1" t="s">
        <v>104</v>
      </c>
      <c r="C243" t="s">
        <v>7</v>
      </c>
      <c r="D243" s="1" t="s">
        <v>3</v>
      </c>
      <c r="E243">
        <v>40</v>
      </c>
      <c r="F243" s="1" t="s">
        <v>101</v>
      </c>
      <c r="G243">
        <v>12</v>
      </c>
      <c r="H243">
        <v>72</v>
      </c>
      <c r="I243" s="2">
        <f t="shared" si="9"/>
        <v>56.547072</v>
      </c>
      <c r="J243">
        <f t="shared" si="10"/>
        <v>4.9171366956521743</v>
      </c>
      <c r="K243">
        <f t="shared" si="11"/>
        <v>1.4768104465917995</v>
      </c>
    </row>
    <row r="244" spans="1:11" x14ac:dyDescent="0.25">
      <c r="A244" s="1">
        <v>1958</v>
      </c>
      <c r="B244" s="1" t="s">
        <v>104</v>
      </c>
      <c r="C244" t="s">
        <v>7</v>
      </c>
      <c r="D244" s="1" t="s">
        <v>3</v>
      </c>
      <c r="E244">
        <v>40</v>
      </c>
      <c r="F244" s="1" t="s">
        <v>101</v>
      </c>
      <c r="G244">
        <v>14</v>
      </c>
      <c r="H244">
        <v>42</v>
      </c>
      <c r="I244" s="2">
        <f t="shared" si="9"/>
        <v>44.897327999999995</v>
      </c>
      <c r="J244">
        <f t="shared" si="10"/>
        <v>3.9041154782608691</v>
      </c>
      <c r="K244">
        <f t="shared" si="11"/>
        <v>1.172560146252285</v>
      </c>
    </row>
    <row r="245" spans="1:11" x14ac:dyDescent="0.25">
      <c r="A245" s="1">
        <v>1958</v>
      </c>
      <c r="B245" s="1" t="s">
        <v>104</v>
      </c>
      <c r="C245" t="s">
        <v>7</v>
      </c>
      <c r="D245" s="1" t="s">
        <v>3</v>
      </c>
      <c r="E245">
        <v>40</v>
      </c>
      <c r="F245" s="1" t="s">
        <v>101</v>
      </c>
      <c r="G245">
        <v>16</v>
      </c>
      <c r="H245">
        <v>12</v>
      </c>
      <c r="I245" s="2">
        <f t="shared" si="9"/>
        <v>16.754687999999998</v>
      </c>
      <c r="J245">
        <f t="shared" si="10"/>
        <v>1.4569293913043477</v>
      </c>
      <c r="K245">
        <f t="shared" si="11"/>
        <v>0.43757346565682942</v>
      </c>
    </row>
    <row r="246" spans="1:11" x14ac:dyDescent="0.25">
      <c r="A246" s="1">
        <v>1958</v>
      </c>
      <c r="B246" s="1" t="s">
        <v>104</v>
      </c>
      <c r="C246" t="s">
        <v>7</v>
      </c>
      <c r="D246" s="1" t="s">
        <v>3</v>
      </c>
      <c r="E246">
        <v>53</v>
      </c>
      <c r="F246" s="1" t="s">
        <v>101</v>
      </c>
      <c r="G246">
        <v>6</v>
      </c>
      <c r="H246">
        <v>17</v>
      </c>
      <c r="I246" s="2">
        <f t="shared" si="9"/>
        <v>3.3378479999999997</v>
      </c>
      <c r="J246">
        <f t="shared" si="10"/>
        <v>0.29024765217391302</v>
      </c>
      <c r="K246">
        <f t="shared" si="11"/>
        <v>8.7172838861321489E-2</v>
      </c>
    </row>
    <row r="247" spans="1:11" x14ac:dyDescent="0.25">
      <c r="A247" s="1">
        <v>1958</v>
      </c>
      <c r="B247" s="1" t="s">
        <v>104</v>
      </c>
      <c r="C247" t="s">
        <v>7</v>
      </c>
      <c r="D247" s="1" t="s">
        <v>3</v>
      </c>
      <c r="E247">
        <v>53</v>
      </c>
      <c r="F247" s="1" t="s">
        <v>101</v>
      </c>
      <c r="G247">
        <v>8</v>
      </c>
      <c r="H247">
        <v>5</v>
      </c>
      <c r="I247" s="2">
        <f t="shared" si="9"/>
        <v>1.7452799999999999</v>
      </c>
      <c r="J247">
        <f t="shared" si="10"/>
        <v>0.15176347826086956</v>
      </c>
      <c r="K247">
        <f t="shared" si="11"/>
        <v>4.5580569339253064E-2</v>
      </c>
    </row>
    <row r="248" spans="1:11" x14ac:dyDescent="0.25">
      <c r="A248" s="1">
        <v>1958</v>
      </c>
      <c r="B248" s="1" t="s">
        <v>104</v>
      </c>
      <c r="C248" t="s">
        <v>7</v>
      </c>
      <c r="D248" s="1" t="s">
        <v>3</v>
      </c>
      <c r="E248">
        <v>53</v>
      </c>
      <c r="F248" s="1" t="s">
        <v>101</v>
      </c>
      <c r="G248">
        <v>10</v>
      </c>
      <c r="H248">
        <v>5</v>
      </c>
      <c r="I248" s="2">
        <f t="shared" si="9"/>
        <v>2.7269999999999999</v>
      </c>
      <c r="J248">
        <f t="shared" si="10"/>
        <v>0.23713043478260867</v>
      </c>
      <c r="K248">
        <f t="shared" si="11"/>
        <v>7.1219639592582915E-2</v>
      </c>
    </row>
    <row r="249" spans="1:11" x14ac:dyDescent="0.25">
      <c r="A249" s="1">
        <v>1958</v>
      </c>
      <c r="B249" s="1" t="s">
        <v>104</v>
      </c>
      <c r="C249" t="s">
        <v>7</v>
      </c>
      <c r="D249" s="1" t="s">
        <v>3</v>
      </c>
      <c r="E249">
        <v>53</v>
      </c>
      <c r="F249" s="1" t="s">
        <v>101</v>
      </c>
      <c r="G249">
        <v>12</v>
      </c>
      <c r="H249">
        <v>2</v>
      </c>
      <c r="I249" s="2">
        <f t="shared" si="9"/>
        <v>1.5707519999999999</v>
      </c>
      <c r="J249">
        <f t="shared" si="10"/>
        <v>0.1365871304347826</v>
      </c>
      <c r="K249">
        <f t="shared" si="11"/>
        <v>4.1022512405327761E-2</v>
      </c>
    </row>
    <row r="250" spans="1:11" x14ac:dyDescent="0.25">
      <c r="A250" s="1">
        <v>1958</v>
      </c>
      <c r="B250" s="1" t="s">
        <v>104</v>
      </c>
      <c r="C250" t="s">
        <v>7</v>
      </c>
      <c r="D250" s="1" t="s">
        <v>3</v>
      </c>
      <c r="E250">
        <v>53</v>
      </c>
      <c r="F250" s="1" t="s">
        <v>101</v>
      </c>
      <c r="G250">
        <v>16</v>
      </c>
      <c r="H250">
        <v>1</v>
      </c>
      <c r="I250" s="2">
        <f t="shared" si="9"/>
        <v>1.3962239999999999</v>
      </c>
      <c r="J250">
        <f t="shared" si="10"/>
        <v>0.12141078260869564</v>
      </c>
      <c r="K250">
        <f t="shared" si="11"/>
        <v>3.6464455471402452E-2</v>
      </c>
    </row>
    <row r="251" spans="1:11" x14ac:dyDescent="0.25">
      <c r="A251" s="1">
        <v>1958</v>
      </c>
      <c r="B251" s="1" t="s">
        <v>104</v>
      </c>
      <c r="C251" t="s">
        <v>7</v>
      </c>
      <c r="D251" s="1" t="s">
        <v>3</v>
      </c>
      <c r="E251">
        <v>54</v>
      </c>
      <c r="F251" s="1" t="s">
        <v>101</v>
      </c>
      <c r="G251">
        <v>6</v>
      </c>
      <c r="H251">
        <v>7</v>
      </c>
      <c r="I251" s="2">
        <f t="shared" si="9"/>
        <v>1.3744079999999999</v>
      </c>
      <c r="J251">
        <f t="shared" si="10"/>
        <v>0.11951373913043477</v>
      </c>
      <c r="K251">
        <f t="shared" si="11"/>
        <v>3.5894698354661789E-2</v>
      </c>
    </row>
    <row r="252" spans="1:11" x14ac:dyDescent="0.25">
      <c r="A252" s="1">
        <v>1958</v>
      </c>
      <c r="B252" s="1" t="s">
        <v>104</v>
      </c>
      <c r="C252" t="s">
        <v>7</v>
      </c>
      <c r="D252" s="1" t="s">
        <v>3</v>
      </c>
      <c r="E252">
        <v>56</v>
      </c>
      <c r="F252" s="1" t="s">
        <v>101</v>
      </c>
      <c r="G252">
        <v>6</v>
      </c>
      <c r="H252">
        <v>10</v>
      </c>
      <c r="I252" s="2">
        <f t="shared" si="9"/>
        <v>1.9634399999999999</v>
      </c>
      <c r="J252">
        <f t="shared" si="10"/>
        <v>0.17073391304347824</v>
      </c>
      <c r="K252">
        <f t="shared" si="11"/>
        <v>5.1278140506659693E-2</v>
      </c>
    </row>
    <row r="253" spans="1:11" x14ac:dyDescent="0.25">
      <c r="A253" s="1">
        <v>1958</v>
      </c>
      <c r="B253" s="1" t="s">
        <v>104</v>
      </c>
      <c r="C253" t="s">
        <v>7</v>
      </c>
      <c r="D253" s="1" t="s">
        <v>3</v>
      </c>
      <c r="E253">
        <v>56</v>
      </c>
      <c r="F253" s="1" t="s">
        <v>101</v>
      </c>
      <c r="G253">
        <v>8</v>
      </c>
      <c r="H253">
        <v>5</v>
      </c>
      <c r="I253" s="2">
        <f t="shared" si="9"/>
        <v>1.7452799999999999</v>
      </c>
      <c r="J253">
        <f t="shared" si="10"/>
        <v>0.15176347826086956</v>
      </c>
      <c r="K253">
        <f t="shared" si="11"/>
        <v>4.5580569339253064E-2</v>
      </c>
    </row>
    <row r="254" spans="1:11" x14ac:dyDescent="0.25">
      <c r="A254" s="1">
        <v>1958</v>
      </c>
      <c r="B254" s="1" t="s">
        <v>104</v>
      </c>
      <c r="C254" t="s">
        <v>7</v>
      </c>
      <c r="D254" s="1" t="s">
        <v>3</v>
      </c>
      <c r="E254">
        <v>56</v>
      </c>
      <c r="F254" s="1" t="s">
        <v>101</v>
      </c>
      <c r="G254">
        <v>10</v>
      </c>
      <c r="H254">
        <v>11</v>
      </c>
      <c r="I254" s="2">
        <f t="shared" si="9"/>
        <v>5.9993999999999996</v>
      </c>
      <c r="J254">
        <f t="shared" si="10"/>
        <v>0.52168695652173913</v>
      </c>
      <c r="K254">
        <f t="shared" si="11"/>
        <v>0.15668320710368241</v>
      </c>
    </row>
    <row r="255" spans="1:11" x14ac:dyDescent="0.25">
      <c r="A255" s="1">
        <v>1958</v>
      </c>
      <c r="B255" s="1" t="s">
        <v>104</v>
      </c>
      <c r="C255" t="s">
        <v>7</v>
      </c>
      <c r="D255" s="1" t="s">
        <v>3</v>
      </c>
      <c r="E255">
        <v>56</v>
      </c>
      <c r="F255" s="1" t="s">
        <v>101</v>
      </c>
      <c r="G255">
        <v>12</v>
      </c>
      <c r="H255">
        <v>6</v>
      </c>
      <c r="I255" s="2">
        <f t="shared" si="9"/>
        <v>4.712256</v>
      </c>
      <c r="J255">
        <f t="shared" si="10"/>
        <v>0.4097613913043478</v>
      </c>
      <c r="K255">
        <f t="shared" si="11"/>
        <v>0.12306753721598328</v>
      </c>
    </row>
    <row r="256" spans="1:11" x14ac:dyDescent="0.25">
      <c r="A256" s="1">
        <v>1958</v>
      </c>
      <c r="B256" s="1" t="s">
        <v>104</v>
      </c>
      <c r="C256" t="s">
        <v>7</v>
      </c>
      <c r="D256" s="1" t="s">
        <v>3</v>
      </c>
      <c r="E256">
        <v>56</v>
      </c>
      <c r="F256" s="1" t="s">
        <v>101</v>
      </c>
      <c r="G256">
        <v>14</v>
      </c>
      <c r="H256">
        <v>11</v>
      </c>
      <c r="I256" s="2">
        <f t="shared" si="9"/>
        <v>11.758823999999999</v>
      </c>
      <c r="J256">
        <f t="shared" si="10"/>
        <v>1.0225064347826085</v>
      </c>
      <c r="K256">
        <f t="shared" si="11"/>
        <v>0.3070990859232175</v>
      </c>
    </row>
    <row r="257" spans="1:11" x14ac:dyDescent="0.25">
      <c r="A257" s="1">
        <v>1958</v>
      </c>
      <c r="B257" s="1" t="s">
        <v>104</v>
      </c>
      <c r="C257" t="s">
        <v>7</v>
      </c>
      <c r="D257" s="1" t="s">
        <v>3</v>
      </c>
      <c r="E257">
        <v>56</v>
      </c>
      <c r="F257" s="1" t="s">
        <v>101</v>
      </c>
      <c r="G257">
        <v>16</v>
      </c>
      <c r="H257">
        <v>4</v>
      </c>
      <c r="I257" s="2">
        <f t="shared" si="9"/>
        <v>5.5848959999999996</v>
      </c>
      <c r="J257">
        <f t="shared" si="10"/>
        <v>0.48564313043478258</v>
      </c>
      <c r="K257">
        <f t="shared" si="11"/>
        <v>0.14585782188560981</v>
      </c>
    </row>
    <row r="258" spans="1:11" x14ac:dyDescent="0.25">
      <c r="A258" s="1">
        <v>1958</v>
      </c>
      <c r="B258" s="1" t="s">
        <v>104</v>
      </c>
      <c r="C258" t="s">
        <v>7</v>
      </c>
      <c r="D258" s="1" t="s">
        <v>3</v>
      </c>
      <c r="E258">
        <v>58</v>
      </c>
      <c r="F258" s="1" t="s">
        <v>101</v>
      </c>
      <c r="G258">
        <v>6</v>
      </c>
      <c r="H258">
        <v>65</v>
      </c>
      <c r="I258" s="2">
        <f t="shared" si="9"/>
        <v>12.762359999999999</v>
      </c>
      <c r="J258">
        <f t="shared" si="10"/>
        <v>1.1097704347826087</v>
      </c>
      <c r="K258">
        <f t="shared" si="11"/>
        <v>0.33330791329328807</v>
      </c>
    </row>
    <row r="259" spans="1:11" x14ac:dyDescent="0.25">
      <c r="A259" s="1">
        <v>1958</v>
      </c>
      <c r="B259" s="1" t="s">
        <v>104</v>
      </c>
      <c r="C259" t="s">
        <v>7</v>
      </c>
      <c r="D259" s="1" t="s">
        <v>3</v>
      </c>
      <c r="E259">
        <v>63</v>
      </c>
      <c r="F259" s="1" t="s">
        <v>101</v>
      </c>
      <c r="G259">
        <v>6</v>
      </c>
      <c r="H259">
        <v>7</v>
      </c>
      <c r="I259" s="2">
        <f t="shared" ref="I259:I322" si="12">0.005454*G259^2*H259</f>
        <v>1.3744079999999999</v>
      </c>
      <c r="J259">
        <f t="shared" ref="J259:J322" si="13">I259/11.5</f>
        <v>0.11951373913043477</v>
      </c>
      <c r="K259">
        <f t="shared" ref="K259:K322" si="14">J259*(11.5/38.29)</f>
        <v>3.5894698354661789E-2</v>
      </c>
    </row>
    <row r="260" spans="1:11" x14ac:dyDescent="0.25">
      <c r="A260" s="1">
        <v>1958</v>
      </c>
      <c r="B260" s="1" t="s">
        <v>104</v>
      </c>
      <c r="C260" t="s">
        <v>7</v>
      </c>
      <c r="D260" s="1" t="s">
        <v>3</v>
      </c>
      <c r="E260">
        <v>66</v>
      </c>
      <c r="F260" s="1" t="s">
        <v>101</v>
      </c>
      <c r="G260">
        <v>6</v>
      </c>
      <c r="H260">
        <v>1</v>
      </c>
      <c r="I260" s="2">
        <f t="shared" si="12"/>
        <v>0.19634399999999999</v>
      </c>
      <c r="J260">
        <f t="shared" si="13"/>
        <v>1.7073391304347825E-2</v>
      </c>
      <c r="K260">
        <f t="shared" si="14"/>
        <v>5.1278140506659702E-3</v>
      </c>
    </row>
    <row r="261" spans="1:11" x14ac:dyDescent="0.25">
      <c r="A261" s="1">
        <v>1958</v>
      </c>
      <c r="B261" s="1" t="s">
        <v>104</v>
      </c>
      <c r="C261" t="s">
        <v>7</v>
      </c>
      <c r="D261" s="1" t="s">
        <v>3</v>
      </c>
      <c r="E261">
        <v>66</v>
      </c>
      <c r="F261" s="1" t="s">
        <v>101</v>
      </c>
      <c r="G261">
        <v>8</v>
      </c>
      <c r="H261">
        <v>1</v>
      </c>
      <c r="I261" s="2">
        <f t="shared" si="12"/>
        <v>0.34905599999999998</v>
      </c>
      <c r="J261">
        <f t="shared" si="13"/>
        <v>3.0352695652173911E-2</v>
      </c>
      <c r="K261">
        <f t="shared" si="14"/>
        <v>9.1161138678506129E-3</v>
      </c>
    </row>
    <row r="262" spans="1:11" x14ac:dyDescent="0.25">
      <c r="A262" s="1">
        <v>1958</v>
      </c>
      <c r="B262" s="1" t="s">
        <v>104</v>
      </c>
      <c r="C262" t="s">
        <v>7</v>
      </c>
      <c r="D262" s="1" t="s">
        <v>3</v>
      </c>
      <c r="E262">
        <v>66</v>
      </c>
      <c r="F262" s="1" t="s">
        <v>101</v>
      </c>
      <c r="G262">
        <v>10</v>
      </c>
      <c r="H262">
        <v>1</v>
      </c>
      <c r="I262" s="2">
        <f t="shared" si="12"/>
        <v>0.5454</v>
      </c>
      <c r="J262">
        <f t="shared" si="13"/>
        <v>4.7426086956521736E-2</v>
      </c>
      <c r="K262">
        <f t="shared" si="14"/>
        <v>1.4243927918516582E-2</v>
      </c>
    </row>
    <row r="263" spans="1:11" x14ac:dyDescent="0.25">
      <c r="A263" s="1">
        <v>1958</v>
      </c>
      <c r="B263" s="1" t="s">
        <v>104</v>
      </c>
      <c r="C263" t="s">
        <v>7</v>
      </c>
      <c r="D263" s="1" t="s">
        <v>3</v>
      </c>
      <c r="E263">
        <v>66</v>
      </c>
      <c r="F263" s="1" t="s">
        <v>101</v>
      </c>
      <c r="G263">
        <v>12</v>
      </c>
      <c r="H263">
        <v>4</v>
      </c>
      <c r="I263" s="2">
        <f t="shared" si="12"/>
        <v>3.1415039999999999</v>
      </c>
      <c r="J263">
        <f t="shared" si="13"/>
        <v>0.2731742608695652</v>
      </c>
      <c r="K263">
        <f t="shared" si="14"/>
        <v>8.2045024810655523E-2</v>
      </c>
    </row>
    <row r="264" spans="1:11" x14ac:dyDescent="0.25">
      <c r="A264" s="1">
        <v>1958</v>
      </c>
      <c r="B264" s="1" t="s">
        <v>104</v>
      </c>
      <c r="C264" t="s">
        <v>7</v>
      </c>
      <c r="D264" s="1" t="s">
        <v>3</v>
      </c>
      <c r="E264">
        <v>66</v>
      </c>
      <c r="F264" s="1" t="s">
        <v>101</v>
      </c>
      <c r="G264">
        <v>14</v>
      </c>
      <c r="H264">
        <v>1</v>
      </c>
      <c r="I264" s="2">
        <f t="shared" si="12"/>
        <v>1.0689839999999999</v>
      </c>
      <c r="J264">
        <f t="shared" si="13"/>
        <v>9.295513043478261E-2</v>
      </c>
      <c r="K264">
        <f t="shared" si="14"/>
        <v>2.7918098720292505E-2</v>
      </c>
    </row>
    <row r="265" spans="1:11" x14ac:dyDescent="0.25">
      <c r="A265" s="1">
        <v>1958</v>
      </c>
      <c r="B265" s="1" t="s">
        <v>104</v>
      </c>
      <c r="C265" t="s">
        <v>7</v>
      </c>
      <c r="D265" s="1" t="s">
        <v>3</v>
      </c>
      <c r="E265">
        <v>66</v>
      </c>
      <c r="F265" s="1" t="s">
        <v>101</v>
      </c>
      <c r="G265">
        <v>16</v>
      </c>
      <c r="H265">
        <v>1</v>
      </c>
      <c r="I265" s="2">
        <f t="shared" si="12"/>
        <v>1.3962239999999999</v>
      </c>
      <c r="J265">
        <f t="shared" si="13"/>
        <v>0.12141078260869564</v>
      </c>
      <c r="K265">
        <f t="shared" si="14"/>
        <v>3.6464455471402452E-2</v>
      </c>
    </row>
    <row r="266" spans="1:11" x14ac:dyDescent="0.25">
      <c r="A266" s="1">
        <v>1958</v>
      </c>
      <c r="B266" s="1" t="s">
        <v>104</v>
      </c>
      <c r="C266" t="s">
        <v>7</v>
      </c>
      <c r="D266" s="1" t="s">
        <v>3</v>
      </c>
      <c r="E266">
        <v>71</v>
      </c>
      <c r="F266" s="1" t="s">
        <v>101</v>
      </c>
      <c r="G266">
        <v>6</v>
      </c>
      <c r="H266">
        <v>38</v>
      </c>
      <c r="I266" s="2">
        <f t="shared" si="12"/>
        <v>7.4610719999999997</v>
      </c>
      <c r="J266">
        <f t="shared" si="13"/>
        <v>0.64878886956521742</v>
      </c>
      <c r="K266">
        <f t="shared" si="14"/>
        <v>0.19485693392530687</v>
      </c>
    </row>
    <row r="267" spans="1:11" x14ac:dyDescent="0.25">
      <c r="A267" s="1">
        <v>1958</v>
      </c>
      <c r="B267" s="1" t="s">
        <v>104</v>
      </c>
      <c r="C267" t="s">
        <v>7</v>
      </c>
      <c r="D267" s="1" t="s">
        <v>3</v>
      </c>
      <c r="E267">
        <v>76</v>
      </c>
      <c r="F267" s="1" t="s">
        <v>101</v>
      </c>
      <c r="G267">
        <v>6</v>
      </c>
      <c r="H267">
        <v>3</v>
      </c>
      <c r="I267" s="2">
        <f t="shared" si="12"/>
        <v>0.589032</v>
      </c>
      <c r="J267">
        <f t="shared" si="13"/>
        <v>5.1220173913043475E-2</v>
      </c>
      <c r="K267">
        <f t="shared" si="14"/>
        <v>1.538344215199791E-2</v>
      </c>
    </row>
    <row r="268" spans="1:11" x14ac:dyDescent="0.25">
      <c r="A268" s="1">
        <v>1958</v>
      </c>
      <c r="B268" s="1" t="s">
        <v>104</v>
      </c>
      <c r="C268" t="s">
        <v>7</v>
      </c>
      <c r="D268" s="1" t="s">
        <v>3</v>
      </c>
      <c r="E268">
        <v>76</v>
      </c>
      <c r="F268" s="1" t="s">
        <v>101</v>
      </c>
      <c r="G268">
        <v>8</v>
      </c>
      <c r="H268">
        <v>2</v>
      </c>
      <c r="I268" s="2">
        <f t="shared" si="12"/>
        <v>0.69811199999999995</v>
      </c>
      <c r="J268">
        <f t="shared" si="13"/>
        <v>6.0705391304347822E-2</v>
      </c>
      <c r="K268">
        <f t="shared" si="14"/>
        <v>1.8232227735701226E-2</v>
      </c>
    </row>
    <row r="269" spans="1:11" x14ac:dyDescent="0.25">
      <c r="A269" s="1">
        <v>1958</v>
      </c>
      <c r="B269" s="1" t="s">
        <v>104</v>
      </c>
      <c r="C269" t="s">
        <v>7</v>
      </c>
      <c r="D269" s="1" t="s">
        <v>3</v>
      </c>
      <c r="E269">
        <v>76</v>
      </c>
      <c r="F269" s="1" t="s">
        <v>101</v>
      </c>
      <c r="G269">
        <v>10</v>
      </c>
      <c r="H269">
        <v>1</v>
      </c>
      <c r="I269" s="2">
        <f t="shared" si="12"/>
        <v>0.5454</v>
      </c>
      <c r="J269">
        <f t="shared" si="13"/>
        <v>4.7426086956521736E-2</v>
      </c>
      <c r="K269">
        <f t="shared" si="14"/>
        <v>1.4243927918516582E-2</v>
      </c>
    </row>
    <row r="270" spans="1:11" x14ac:dyDescent="0.25">
      <c r="A270" s="1">
        <v>1958</v>
      </c>
      <c r="B270" s="1" t="s">
        <v>104</v>
      </c>
      <c r="C270" t="s">
        <v>7</v>
      </c>
      <c r="D270" s="1" t="s">
        <v>3</v>
      </c>
      <c r="E270">
        <v>76</v>
      </c>
      <c r="F270" s="1" t="s">
        <v>101</v>
      </c>
      <c r="G270">
        <v>14</v>
      </c>
      <c r="H270">
        <v>1</v>
      </c>
      <c r="I270" s="2">
        <f t="shared" si="12"/>
        <v>1.0689839999999999</v>
      </c>
      <c r="J270">
        <f t="shared" si="13"/>
        <v>9.295513043478261E-2</v>
      </c>
      <c r="K270">
        <f t="shared" si="14"/>
        <v>2.7918098720292505E-2</v>
      </c>
    </row>
    <row r="271" spans="1:11" x14ac:dyDescent="0.25">
      <c r="A271" s="1">
        <v>1958</v>
      </c>
      <c r="B271" s="1" t="s">
        <v>104</v>
      </c>
      <c r="C271" t="s">
        <v>7</v>
      </c>
      <c r="D271" s="1" t="s">
        <v>3</v>
      </c>
      <c r="E271">
        <v>78</v>
      </c>
      <c r="F271" s="1" t="s">
        <v>101</v>
      </c>
      <c r="G271">
        <v>6</v>
      </c>
      <c r="H271">
        <v>3</v>
      </c>
      <c r="I271" s="2">
        <f t="shared" si="12"/>
        <v>0.589032</v>
      </c>
      <c r="J271">
        <f t="shared" si="13"/>
        <v>5.1220173913043475E-2</v>
      </c>
      <c r="K271">
        <f t="shared" si="14"/>
        <v>1.538344215199791E-2</v>
      </c>
    </row>
    <row r="272" spans="1:11" x14ac:dyDescent="0.25">
      <c r="A272" s="1">
        <v>1958</v>
      </c>
      <c r="B272" s="1" t="s">
        <v>104</v>
      </c>
      <c r="C272" t="s">
        <v>7</v>
      </c>
      <c r="D272" s="1" t="s">
        <v>3</v>
      </c>
      <c r="E272">
        <v>79</v>
      </c>
      <c r="F272" s="1" t="s">
        <v>101</v>
      </c>
      <c r="G272">
        <v>6</v>
      </c>
      <c r="H272">
        <v>126</v>
      </c>
      <c r="I272" s="2">
        <f t="shared" si="12"/>
        <v>24.739343999999999</v>
      </c>
      <c r="J272">
        <f t="shared" si="13"/>
        <v>2.1512473043478262</v>
      </c>
      <c r="K272">
        <f t="shared" si="14"/>
        <v>0.64610457038391222</v>
      </c>
    </row>
    <row r="273" spans="1:11" x14ac:dyDescent="0.25">
      <c r="A273" s="1">
        <v>1958</v>
      </c>
      <c r="B273" s="1" t="s">
        <v>104</v>
      </c>
      <c r="C273" t="s">
        <v>7</v>
      </c>
      <c r="D273" s="1" t="s">
        <v>3</v>
      </c>
      <c r="E273">
        <v>79</v>
      </c>
      <c r="F273" s="1" t="s">
        <v>101</v>
      </c>
      <c r="G273">
        <v>8</v>
      </c>
      <c r="H273">
        <v>47</v>
      </c>
      <c r="I273" s="2">
        <f t="shared" si="12"/>
        <v>16.405632000000001</v>
      </c>
      <c r="J273">
        <f t="shared" si="13"/>
        <v>1.4265766956521739</v>
      </c>
      <c r="K273">
        <f t="shared" si="14"/>
        <v>0.42845735178897887</v>
      </c>
    </row>
    <row r="274" spans="1:11" x14ac:dyDescent="0.25">
      <c r="A274" s="1">
        <v>1958</v>
      </c>
      <c r="B274" s="1" t="s">
        <v>104</v>
      </c>
      <c r="C274" t="s">
        <v>7</v>
      </c>
      <c r="D274" s="1" t="s">
        <v>3</v>
      </c>
      <c r="E274">
        <v>79</v>
      </c>
      <c r="F274" s="1" t="s">
        <v>101</v>
      </c>
      <c r="G274">
        <v>10</v>
      </c>
      <c r="H274">
        <v>12</v>
      </c>
      <c r="I274" s="2">
        <f t="shared" si="12"/>
        <v>6.5448000000000004</v>
      </c>
      <c r="J274">
        <f t="shared" si="13"/>
        <v>0.56911304347826086</v>
      </c>
      <c r="K274">
        <f t="shared" si="14"/>
        <v>0.170927135022199</v>
      </c>
    </row>
    <row r="275" spans="1:11" x14ac:dyDescent="0.25">
      <c r="A275" s="1">
        <v>1958</v>
      </c>
      <c r="B275" s="1" t="s">
        <v>104</v>
      </c>
      <c r="C275" t="s">
        <v>7</v>
      </c>
      <c r="D275" s="1" t="s">
        <v>3</v>
      </c>
      <c r="E275">
        <v>79</v>
      </c>
      <c r="F275" s="1" t="s">
        <v>101</v>
      </c>
      <c r="G275">
        <v>12</v>
      </c>
      <c r="H275">
        <v>6</v>
      </c>
      <c r="I275" s="2">
        <f t="shared" si="12"/>
        <v>4.712256</v>
      </c>
      <c r="J275">
        <f t="shared" si="13"/>
        <v>0.4097613913043478</v>
      </c>
      <c r="K275">
        <f t="shared" si="14"/>
        <v>0.12306753721598328</v>
      </c>
    </row>
    <row r="276" spans="1:11" x14ac:dyDescent="0.25">
      <c r="A276" s="1">
        <v>1958</v>
      </c>
      <c r="B276" s="1" t="s">
        <v>104</v>
      </c>
      <c r="C276" t="s">
        <v>7</v>
      </c>
      <c r="D276" s="1" t="s">
        <v>3</v>
      </c>
      <c r="E276">
        <v>79</v>
      </c>
      <c r="F276" s="1" t="s">
        <v>101</v>
      </c>
      <c r="G276">
        <v>14</v>
      </c>
      <c r="H276">
        <v>3</v>
      </c>
      <c r="I276" s="2">
        <f t="shared" si="12"/>
        <v>3.2069519999999998</v>
      </c>
      <c r="J276">
        <f t="shared" si="13"/>
        <v>0.27886539130434779</v>
      </c>
      <c r="K276">
        <f t="shared" si="14"/>
        <v>8.3754296160877498E-2</v>
      </c>
    </row>
    <row r="277" spans="1:11" x14ac:dyDescent="0.25">
      <c r="A277" s="1">
        <v>1958</v>
      </c>
      <c r="B277" s="1" t="s">
        <v>104</v>
      </c>
      <c r="C277" t="s">
        <v>7</v>
      </c>
      <c r="D277" s="1" t="s">
        <v>3</v>
      </c>
      <c r="E277">
        <v>79</v>
      </c>
      <c r="F277" s="1" t="s">
        <v>101</v>
      </c>
      <c r="G277">
        <v>16</v>
      </c>
      <c r="H277">
        <v>1</v>
      </c>
      <c r="I277" s="2">
        <f t="shared" si="12"/>
        <v>1.3962239999999999</v>
      </c>
      <c r="J277">
        <f t="shared" si="13"/>
        <v>0.12141078260869564</v>
      </c>
      <c r="K277">
        <f t="shared" si="14"/>
        <v>3.6464455471402452E-2</v>
      </c>
    </row>
    <row r="278" spans="1:11" x14ac:dyDescent="0.25">
      <c r="A278" s="1">
        <v>1958</v>
      </c>
      <c r="B278" s="1" t="s">
        <v>104</v>
      </c>
      <c r="C278" t="s">
        <v>7</v>
      </c>
      <c r="D278" s="1" t="s">
        <v>3</v>
      </c>
      <c r="E278">
        <v>85</v>
      </c>
      <c r="F278" s="1" t="s">
        <v>101</v>
      </c>
      <c r="G278">
        <v>8</v>
      </c>
      <c r="H278">
        <v>3</v>
      </c>
      <c r="I278" s="2">
        <f t="shared" si="12"/>
        <v>1.0471679999999999</v>
      </c>
      <c r="J278">
        <f t="shared" si="13"/>
        <v>9.1058086956521733E-2</v>
      </c>
      <c r="K278">
        <f t="shared" si="14"/>
        <v>2.7348341603551839E-2</v>
      </c>
    </row>
    <row r="279" spans="1:11" x14ac:dyDescent="0.25">
      <c r="A279" s="1">
        <v>1958</v>
      </c>
      <c r="B279" s="1" t="s">
        <v>104</v>
      </c>
      <c r="C279" t="s">
        <v>7</v>
      </c>
      <c r="D279" s="1" t="s">
        <v>3</v>
      </c>
      <c r="E279">
        <v>85</v>
      </c>
      <c r="F279" s="1" t="s">
        <v>101</v>
      </c>
      <c r="G279">
        <v>10</v>
      </c>
      <c r="H279">
        <v>6</v>
      </c>
      <c r="I279" s="2">
        <f t="shared" si="12"/>
        <v>3.2724000000000002</v>
      </c>
      <c r="J279">
        <f t="shared" si="13"/>
        <v>0.28455652173913043</v>
      </c>
      <c r="K279">
        <f t="shared" si="14"/>
        <v>8.54635675110995E-2</v>
      </c>
    </row>
    <row r="280" spans="1:11" x14ac:dyDescent="0.25">
      <c r="A280" s="1">
        <v>1958</v>
      </c>
      <c r="B280" s="1" t="s">
        <v>104</v>
      </c>
      <c r="C280" t="s">
        <v>7</v>
      </c>
      <c r="D280" s="1" t="s">
        <v>3</v>
      </c>
      <c r="E280">
        <v>85</v>
      </c>
      <c r="F280" s="1" t="s">
        <v>101</v>
      </c>
      <c r="G280">
        <v>12</v>
      </c>
      <c r="H280">
        <v>7</v>
      </c>
      <c r="I280" s="2">
        <f t="shared" si="12"/>
        <v>5.4976319999999994</v>
      </c>
      <c r="J280">
        <f t="shared" si="13"/>
        <v>0.47805495652173907</v>
      </c>
      <c r="K280">
        <f t="shared" si="14"/>
        <v>0.14357879341864715</v>
      </c>
    </row>
    <row r="281" spans="1:11" x14ac:dyDescent="0.25">
      <c r="A281" s="1">
        <v>1958</v>
      </c>
      <c r="B281" s="1" t="s">
        <v>104</v>
      </c>
      <c r="C281" t="s">
        <v>7</v>
      </c>
      <c r="D281" s="1" t="s">
        <v>3</v>
      </c>
      <c r="E281">
        <v>85</v>
      </c>
      <c r="F281" s="1" t="s">
        <v>101</v>
      </c>
      <c r="G281">
        <v>14</v>
      </c>
      <c r="H281">
        <v>19</v>
      </c>
      <c r="I281" s="2">
        <f t="shared" si="12"/>
        <v>20.310696</v>
      </c>
      <c r="J281">
        <f t="shared" si="13"/>
        <v>1.7661474782608695</v>
      </c>
      <c r="K281">
        <f t="shared" si="14"/>
        <v>0.53044387568555751</v>
      </c>
    </row>
    <row r="282" spans="1:11" x14ac:dyDescent="0.25">
      <c r="A282" s="1">
        <v>1958</v>
      </c>
      <c r="B282" s="1" t="s">
        <v>104</v>
      </c>
      <c r="C282" t="s">
        <v>7</v>
      </c>
      <c r="D282" s="1" t="s">
        <v>3</v>
      </c>
      <c r="E282">
        <v>85</v>
      </c>
      <c r="F282" s="1" t="s">
        <v>101</v>
      </c>
      <c r="G282">
        <v>16</v>
      </c>
      <c r="H282">
        <v>16</v>
      </c>
      <c r="I282" s="2">
        <f t="shared" si="12"/>
        <v>22.339583999999999</v>
      </c>
      <c r="J282">
        <f t="shared" si="13"/>
        <v>1.9425725217391303</v>
      </c>
      <c r="K282">
        <f t="shared" si="14"/>
        <v>0.58343128754243923</v>
      </c>
    </row>
    <row r="283" spans="1:11" x14ac:dyDescent="0.25">
      <c r="A283" s="1">
        <v>1958</v>
      </c>
      <c r="B283" s="1" t="s">
        <v>104</v>
      </c>
      <c r="C283" t="s">
        <v>7</v>
      </c>
      <c r="D283" s="1" t="s">
        <v>3</v>
      </c>
      <c r="E283">
        <v>88</v>
      </c>
      <c r="F283" s="1" t="s">
        <v>101</v>
      </c>
      <c r="G283">
        <v>6</v>
      </c>
      <c r="H283">
        <v>2</v>
      </c>
      <c r="I283" s="2">
        <f t="shared" si="12"/>
        <v>0.39268799999999998</v>
      </c>
      <c r="J283">
        <f t="shared" si="13"/>
        <v>3.414678260869565E-2</v>
      </c>
      <c r="K283">
        <f t="shared" si="14"/>
        <v>1.025562810133194E-2</v>
      </c>
    </row>
    <row r="284" spans="1:11" x14ac:dyDescent="0.25">
      <c r="A284" s="1">
        <v>1958</v>
      </c>
      <c r="B284" s="1" t="s">
        <v>104</v>
      </c>
      <c r="C284" t="s">
        <v>7</v>
      </c>
      <c r="D284" s="1" t="s">
        <v>3</v>
      </c>
      <c r="E284">
        <v>91</v>
      </c>
      <c r="F284" s="1" t="s">
        <v>101</v>
      </c>
      <c r="G284">
        <v>6</v>
      </c>
      <c r="H284">
        <v>3</v>
      </c>
      <c r="I284" s="2">
        <f t="shared" si="12"/>
        <v>0.589032</v>
      </c>
      <c r="J284">
        <f t="shared" si="13"/>
        <v>5.1220173913043475E-2</v>
      </c>
      <c r="K284">
        <f t="shared" si="14"/>
        <v>1.538344215199791E-2</v>
      </c>
    </row>
    <row r="285" spans="1:11" x14ac:dyDescent="0.25">
      <c r="A285" s="1">
        <v>1958</v>
      </c>
      <c r="B285" s="1" t="s">
        <v>104</v>
      </c>
      <c r="C285" t="s">
        <v>7</v>
      </c>
      <c r="D285" s="1" t="s">
        <v>3</v>
      </c>
      <c r="E285">
        <v>91</v>
      </c>
      <c r="F285" s="1" t="s">
        <v>101</v>
      </c>
      <c r="G285">
        <v>8</v>
      </c>
      <c r="H285">
        <v>2</v>
      </c>
      <c r="I285" s="2">
        <f t="shared" si="12"/>
        <v>0.69811199999999995</v>
      </c>
      <c r="J285">
        <f t="shared" si="13"/>
        <v>6.0705391304347822E-2</v>
      </c>
      <c r="K285">
        <f t="shared" si="14"/>
        <v>1.8232227735701226E-2</v>
      </c>
    </row>
    <row r="286" spans="1:11" x14ac:dyDescent="0.25">
      <c r="A286" s="1">
        <v>1958</v>
      </c>
      <c r="B286" s="1" t="s">
        <v>104</v>
      </c>
      <c r="C286" t="s">
        <v>7</v>
      </c>
      <c r="D286" s="1" t="s">
        <v>3</v>
      </c>
      <c r="E286">
        <v>91</v>
      </c>
      <c r="F286" s="1" t="s">
        <v>101</v>
      </c>
      <c r="G286">
        <v>10</v>
      </c>
      <c r="H286">
        <v>1</v>
      </c>
      <c r="I286" s="2">
        <f t="shared" si="12"/>
        <v>0.5454</v>
      </c>
      <c r="J286">
        <f t="shared" si="13"/>
        <v>4.7426086956521736E-2</v>
      </c>
      <c r="K286">
        <f t="shared" si="14"/>
        <v>1.4243927918516582E-2</v>
      </c>
    </row>
    <row r="287" spans="1:11" x14ac:dyDescent="0.25">
      <c r="A287" s="1">
        <v>1958</v>
      </c>
      <c r="B287" s="1" t="s">
        <v>104</v>
      </c>
      <c r="C287" t="s">
        <v>7</v>
      </c>
      <c r="D287" s="1" t="s">
        <v>5</v>
      </c>
      <c r="E287">
        <v>17</v>
      </c>
      <c r="F287" s="1" t="s">
        <v>101</v>
      </c>
      <c r="G287">
        <v>8</v>
      </c>
      <c r="H287">
        <v>1</v>
      </c>
      <c r="I287" s="2">
        <f t="shared" si="12"/>
        <v>0.34905599999999998</v>
      </c>
      <c r="J287">
        <f t="shared" si="13"/>
        <v>3.0352695652173911E-2</v>
      </c>
      <c r="K287">
        <f t="shared" si="14"/>
        <v>9.1161138678506129E-3</v>
      </c>
    </row>
    <row r="288" spans="1:11" x14ac:dyDescent="0.25">
      <c r="A288" s="1">
        <v>1958</v>
      </c>
      <c r="B288" s="1" t="s">
        <v>104</v>
      </c>
      <c r="C288" t="s">
        <v>7</v>
      </c>
      <c r="D288" s="1" t="s">
        <v>5</v>
      </c>
      <c r="E288">
        <v>29</v>
      </c>
      <c r="F288" s="1" t="s">
        <v>101</v>
      </c>
      <c r="G288">
        <v>8</v>
      </c>
      <c r="H288">
        <v>1</v>
      </c>
      <c r="I288" s="2">
        <f t="shared" si="12"/>
        <v>0.34905599999999998</v>
      </c>
      <c r="J288">
        <f t="shared" si="13"/>
        <v>3.0352695652173911E-2</v>
      </c>
      <c r="K288">
        <f t="shared" si="14"/>
        <v>9.1161138678506129E-3</v>
      </c>
    </row>
    <row r="289" spans="1:11" x14ac:dyDescent="0.25">
      <c r="A289" s="1">
        <v>1958</v>
      </c>
      <c r="B289" s="1" t="s">
        <v>104</v>
      </c>
      <c r="C289" t="s">
        <v>7</v>
      </c>
      <c r="D289" s="1" t="s">
        <v>5</v>
      </c>
      <c r="E289">
        <v>32</v>
      </c>
      <c r="F289" s="1" t="s">
        <v>101</v>
      </c>
      <c r="G289">
        <v>10</v>
      </c>
      <c r="H289">
        <v>1</v>
      </c>
      <c r="I289" s="2">
        <f t="shared" si="12"/>
        <v>0.5454</v>
      </c>
      <c r="J289">
        <f t="shared" si="13"/>
        <v>4.7426086956521736E-2</v>
      </c>
      <c r="K289">
        <f t="shared" si="14"/>
        <v>1.4243927918516582E-2</v>
      </c>
    </row>
    <row r="290" spans="1:11" x14ac:dyDescent="0.25">
      <c r="A290" s="1">
        <v>1958</v>
      </c>
      <c r="B290" s="1" t="s">
        <v>104</v>
      </c>
      <c r="C290" t="s">
        <v>7</v>
      </c>
      <c r="D290" s="1" t="s">
        <v>5</v>
      </c>
      <c r="E290">
        <v>32</v>
      </c>
      <c r="F290" s="1" t="s">
        <v>101</v>
      </c>
      <c r="G290">
        <v>12</v>
      </c>
      <c r="H290">
        <v>1</v>
      </c>
      <c r="I290" s="2">
        <f t="shared" si="12"/>
        <v>0.78537599999999996</v>
      </c>
      <c r="J290">
        <f t="shared" si="13"/>
        <v>6.82935652173913E-2</v>
      </c>
      <c r="K290">
        <f t="shared" si="14"/>
        <v>2.0511256202663881E-2</v>
      </c>
    </row>
    <row r="291" spans="1:11" x14ac:dyDescent="0.25">
      <c r="A291" s="1">
        <v>1958</v>
      </c>
      <c r="B291" s="1" t="s">
        <v>104</v>
      </c>
      <c r="C291" t="s">
        <v>7</v>
      </c>
      <c r="D291" s="1" t="s">
        <v>5</v>
      </c>
      <c r="E291">
        <v>32</v>
      </c>
      <c r="F291" s="1" t="s">
        <v>101</v>
      </c>
      <c r="G291">
        <v>16</v>
      </c>
      <c r="H291">
        <v>1</v>
      </c>
      <c r="I291" s="2">
        <f t="shared" si="12"/>
        <v>1.3962239999999999</v>
      </c>
      <c r="J291">
        <f t="shared" si="13"/>
        <v>0.12141078260869564</v>
      </c>
      <c r="K291">
        <f t="shared" si="14"/>
        <v>3.6464455471402452E-2</v>
      </c>
    </row>
    <row r="292" spans="1:11" x14ac:dyDescent="0.25">
      <c r="A292" s="1">
        <v>1958</v>
      </c>
      <c r="B292" s="1" t="s">
        <v>104</v>
      </c>
      <c r="C292" t="s">
        <v>7</v>
      </c>
      <c r="D292" s="1" t="s">
        <v>5</v>
      </c>
      <c r="E292">
        <v>38</v>
      </c>
      <c r="F292" s="1" t="s">
        <v>101</v>
      </c>
      <c r="G292">
        <v>6</v>
      </c>
      <c r="H292">
        <v>1</v>
      </c>
      <c r="I292" s="2">
        <f t="shared" si="12"/>
        <v>0.19634399999999999</v>
      </c>
      <c r="J292">
        <f t="shared" si="13"/>
        <v>1.7073391304347825E-2</v>
      </c>
      <c r="K292">
        <f t="shared" si="14"/>
        <v>5.1278140506659702E-3</v>
      </c>
    </row>
    <row r="293" spans="1:11" x14ac:dyDescent="0.25">
      <c r="A293" s="1">
        <v>1958</v>
      </c>
      <c r="B293" s="1" t="s">
        <v>104</v>
      </c>
      <c r="C293" t="s">
        <v>7</v>
      </c>
      <c r="D293" s="1" t="s">
        <v>5</v>
      </c>
      <c r="E293">
        <v>38</v>
      </c>
      <c r="F293" s="1" t="s">
        <v>101</v>
      </c>
      <c r="G293">
        <v>8</v>
      </c>
      <c r="H293">
        <v>1</v>
      </c>
      <c r="I293" s="2">
        <f t="shared" si="12"/>
        <v>0.34905599999999998</v>
      </c>
      <c r="J293">
        <f t="shared" si="13"/>
        <v>3.0352695652173911E-2</v>
      </c>
      <c r="K293">
        <f t="shared" si="14"/>
        <v>9.1161138678506129E-3</v>
      </c>
    </row>
    <row r="294" spans="1:11" x14ac:dyDescent="0.25">
      <c r="A294" s="1">
        <v>1958</v>
      </c>
      <c r="B294" s="1" t="s">
        <v>104</v>
      </c>
      <c r="C294" t="s">
        <v>7</v>
      </c>
      <c r="D294" s="1" t="s">
        <v>5</v>
      </c>
      <c r="E294">
        <v>38</v>
      </c>
      <c r="F294" s="1" t="s">
        <v>101</v>
      </c>
      <c r="G294">
        <v>14</v>
      </c>
      <c r="H294">
        <v>1</v>
      </c>
      <c r="I294" s="2">
        <f t="shared" si="12"/>
        <v>1.0689839999999999</v>
      </c>
      <c r="J294">
        <f t="shared" si="13"/>
        <v>9.295513043478261E-2</v>
      </c>
      <c r="K294">
        <f t="shared" si="14"/>
        <v>2.7918098720292505E-2</v>
      </c>
    </row>
    <row r="295" spans="1:11" x14ac:dyDescent="0.25">
      <c r="A295" s="1">
        <v>1958</v>
      </c>
      <c r="B295" s="1" t="s">
        <v>104</v>
      </c>
      <c r="C295" t="s">
        <v>7</v>
      </c>
      <c r="D295" s="1" t="s">
        <v>5</v>
      </c>
      <c r="E295">
        <v>38</v>
      </c>
      <c r="F295" s="1" t="s">
        <v>101</v>
      </c>
      <c r="G295">
        <v>16</v>
      </c>
      <c r="H295">
        <v>1</v>
      </c>
      <c r="I295" s="2">
        <f t="shared" si="12"/>
        <v>1.3962239999999999</v>
      </c>
      <c r="J295">
        <f t="shared" si="13"/>
        <v>0.12141078260869564</v>
      </c>
      <c r="K295">
        <f t="shared" si="14"/>
        <v>3.6464455471402452E-2</v>
      </c>
    </row>
    <row r="296" spans="1:11" x14ac:dyDescent="0.25">
      <c r="A296" s="1">
        <v>1958</v>
      </c>
      <c r="B296" s="1" t="s">
        <v>104</v>
      </c>
      <c r="C296" t="s">
        <v>7</v>
      </c>
      <c r="D296" s="1" t="s">
        <v>5</v>
      </c>
      <c r="E296">
        <v>40</v>
      </c>
      <c r="F296" s="1" t="s">
        <v>101</v>
      </c>
      <c r="G296">
        <v>12</v>
      </c>
      <c r="H296">
        <v>1</v>
      </c>
      <c r="I296" s="2">
        <f t="shared" si="12"/>
        <v>0.78537599999999996</v>
      </c>
      <c r="J296">
        <f t="shared" si="13"/>
        <v>6.82935652173913E-2</v>
      </c>
      <c r="K296">
        <f t="shared" si="14"/>
        <v>2.0511256202663881E-2</v>
      </c>
    </row>
    <row r="297" spans="1:11" x14ac:dyDescent="0.25">
      <c r="A297" s="1">
        <v>1958</v>
      </c>
      <c r="B297" s="1" t="s">
        <v>104</v>
      </c>
      <c r="C297" t="s">
        <v>7</v>
      </c>
      <c r="D297" s="1" t="s">
        <v>5</v>
      </c>
      <c r="E297">
        <v>58</v>
      </c>
      <c r="F297" s="1" t="s">
        <v>101</v>
      </c>
      <c r="G297">
        <v>6</v>
      </c>
      <c r="H297">
        <v>4</v>
      </c>
      <c r="I297" s="2">
        <f t="shared" si="12"/>
        <v>0.78537599999999996</v>
      </c>
      <c r="J297">
        <f t="shared" si="13"/>
        <v>6.82935652173913E-2</v>
      </c>
      <c r="K297">
        <f t="shared" si="14"/>
        <v>2.0511256202663881E-2</v>
      </c>
    </row>
    <row r="298" spans="1:11" x14ac:dyDescent="0.25">
      <c r="A298" s="1">
        <v>1958</v>
      </c>
      <c r="B298" s="1" t="s">
        <v>104</v>
      </c>
      <c r="C298" t="s">
        <v>7</v>
      </c>
      <c r="D298" s="1" t="s">
        <v>5</v>
      </c>
      <c r="E298">
        <v>71</v>
      </c>
      <c r="F298" s="1" t="s">
        <v>101</v>
      </c>
      <c r="G298">
        <v>6</v>
      </c>
      <c r="H298">
        <v>1</v>
      </c>
      <c r="I298" s="2">
        <f t="shared" si="12"/>
        <v>0.19634399999999999</v>
      </c>
      <c r="J298">
        <f t="shared" si="13"/>
        <v>1.7073391304347825E-2</v>
      </c>
      <c r="K298">
        <f t="shared" si="14"/>
        <v>5.1278140506659702E-3</v>
      </c>
    </row>
    <row r="299" spans="1:11" x14ac:dyDescent="0.25">
      <c r="A299" s="1">
        <v>1958</v>
      </c>
      <c r="B299" s="1" t="s">
        <v>104</v>
      </c>
      <c r="C299" t="s">
        <v>7</v>
      </c>
      <c r="D299" s="1" t="s">
        <v>5</v>
      </c>
      <c r="E299">
        <v>71</v>
      </c>
      <c r="F299" s="1" t="s">
        <v>101</v>
      </c>
      <c r="G299">
        <v>10</v>
      </c>
      <c r="H299">
        <v>1</v>
      </c>
      <c r="I299" s="2">
        <f t="shared" si="12"/>
        <v>0.5454</v>
      </c>
      <c r="J299">
        <f t="shared" si="13"/>
        <v>4.7426086956521736E-2</v>
      </c>
      <c r="K299">
        <f t="shared" si="14"/>
        <v>1.4243927918516582E-2</v>
      </c>
    </row>
    <row r="300" spans="1:11" x14ac:dyDescent="0.25">
      <c r="A300" s="1">
        <v>1958</v>
      </c>
      <c r="B300" s="1" t="s">
        <v>104</v>
      </c>
      <c r="C300" t="s">
        <v>7</v>
      </c>
      <c r="D300" s="1" t="s">
        <v>5</v>
      </c>
      <c r="E300">
        <v>79</v>
      </c>
      <c r="F300" s="1" t="s">
        <v>101</v>
      </c>
      <c r="G300">
        <v>6</v>
      </c>
      <c r="H300">
        <v>1</v>
      </c>
      <c r="I300" s="2">
        <f t="shared" si="12"/>
        <v>0.19634399999999999</v>
      </c>
      <c r="J300">
        <f t="shared" si="13"/>
        <v>1.7073391304347825E-2</v>
      </c>
      <c r="K300">
        <f t="shared" si="14"/>
        <v>5.1278140506659702E-3</v>
      </c>
    </row>
    <row r="301" spans="1:11" x14ac:dyDescent="0.25">
      <c r="A301" s="1">
        <v>1958</v>
      </c>
      <c r="B301" s="1" t="s">
        <v>104</v>
      </c>
      <c r="C301" t="s">
        <v>7</v>
      </c>
      <c r="D301" s="1" t="s">
        <v>5</v>
      </c>
      <c r="E301">
        <v>79</v>
      </c>
      <c r="F301" s="1" t="s">
        <v>101</v>
      </c>
      <c r="G301">
        <v>10</v>
      </c>
      <c r="H301">
        <v>1</v>
      </c>
      <c r="I301" s="2">
        <f t="shared" si="12"/>
        <v>0.5454</v>
      </c>
      <c r="J301">
        <f t="shared" si="13"/>
        <v>4.7426086956521736E-2</v>
      </c>
      <c r="K301">
        <f t="shared" si="14"/>
        <v>1.4243927918516582E-2</v>
      </c>
    </row>
    <row r="302" spans="1:11" x14ac:dyDescent="0.25">
      <c r="A302" s="1">
        <v>1958</v>
      </c>
      <c r="B302" s="1" t="s">
        <v>104</v>
      </c>
      <c r="C302" t="s">
        <v>7</v>
      </c>
      <c r="D302" s="1" t="s">
        <v>5</v>
      </c>
      <c r="E302">
        <v>79</v>
      </c>
      <c r="F302" s="1" t="s">
        <v>101</v>
      </c>
      <c r="G302">
        <v>12</v>
      </c>
      <c r="H302">
        <v>1</v>
      </c>
      <c r="I302" s="2">
        <f t="shared" si="12"/>
        <v>0.78537599999999996</v>
      </c>
      <c r="J302">
        <f t="shared" si="13"/>
        <v>6.82935652173913E-2</v>
      </c>
      <c r="K302">
        <f t="shared" si="14"/>
        <v>2.0511256202663881E-2</v>
      </c>
    </row>
    <row r="303" spans="1:11" x14ac:dyDescent="0.25">
      <c r="A303" s="1">
        <v>1958</v>
      </c>
      <c r="B303" s="1" t="s">
        <v>104</v>
      </c>
      <c r="C303" t="s">
        <v>7</v>
      </c>
      <c r="D303" s="1" t="s">
        <v>5</v>
      </c>
      <c r="E303">
        <v>79</v>
      </c>
      <c r="F303" s="1" t="s">
        <v>101</v>
      </c>
      <c r="G303">
        <v>14</v>
      </c>
      <c r="H303">
        <v>2</v>
      </c>
      <c r="I303" s="2">
        <f t="shared" si="12"/>
        <v>2.1379679999999999</v>
      </c>
      <c r="J303">
        <f t="shared" si="13"/>
        <v>0.18591026086956522</v>
      </c>
      <c r="K303">
        <f t="shared" si="14"/>
        <v>5.583619744058501E-2</v>
      </c>
    </row>
    <row r="304" spans="1:11" x14ac:dyDescent="0.25">
      <c r="A304" s="1">
        <v>1958</v>
      </c>
      <c r="B304" s="1" t="s">
        <v>104</v>
      </c>
      <c r="C304" t="s">
        <v>7</v>
      </c>
      <c r="D304" s="1" t="s">
        <v>5</v>
      </c>
      <c r="E304">
        <v>79</v>
      </c>
      <c r="F304" s="1" t="s">
        <v>101</v>
      </c>
      <c r="G304">
        <v>16</v>
      </c>
      <c r="H304">
        <v>3</v>
      </c>
      <c r="I304" s="2">
        <f t="shared" si="12"/>
        <v>4.1886719999999995</v>
      </c>
      <c r="J304">
        <f t="shared" si="13"/>
        <v>0.36423234782608693</v>
      </c>
      <c r="K304">
        <f t="shared" si="14"/>
        <v>0.10939336641420735</v>
      </c>
    </row>
    <row r="305" spans="1:11" x14ac:dyDescent="0.25">
      <c r="A305" s="1">
        <v>1958</v>
      </c>
      <c r="B305" s="1" t="s">
        <v>104</v>
      </c>
      <c r="C305" t="s">
        <v>7</v>
      </c>
      <c r="D305" s="1" t="s">
        <v>5</v>
      </c>
      <c r="E305">
        <v>85</v>
      </c>
      <c r="F305" s="1" t="s">
        <v>101</v>
      </c>
      <c r="G305">
        <v>10</v>
      </c>
      <c r="H305">
        <v>1</v>
      </c>
      <c r="I305" s="2">
        <f t="shared" si="12"/>
        <v>0.5454</v>
      </c>
      <c r="J305">
        <f t="shared" si="13"/>
        <v>4.7426086956521736E-2</v>
      </c>
      <c r="K305">
        <f t="shared" si="14"/>
        <v>1.4243927918516582E-2</v>
      </c>
    </row>
    <row r="306" spans="1:11" x14ac:dyDescent="0.25">
      <c r="A306" s="1">
        <v>1958</v>
      </c>
      <c r="B306" s="1" t="s">
        <v>104</v>
      </c>
      <c r="C306" t="s">
        <v>7</v>
      </c>
      <c r="D306" s="1" t="s">
        <v>5</v>
      </c>
      <c r="E306">
        <v>85</v>
      </c>
      <c r="F306" s="1" t="s">
        <v>101</v>
      </c>
      <c r="G306">
        <v>12</v>
      </c>
      <c r="H306">
        <v>2</v>
      </c>
      <c r="I306" s="2">
        <f t="shared" si="12"/>
        <v>1.5707519999999999</v>
      </c>
      <c r="J306">
        <f t="shared" si="13"/>
        <v>0.1365871304347826</v>
      </c>
      <c r="K306">
        <f t="shared" si="14"/>
        <v>4.1022512405327761E-2</v>
      </c>
    </row>
    <row r="307" spans="1:11" x14ac:dyDescent="0.25">
      <c r="A307" s="1">
        <v>1958</v>
      </c>
      <c r="B307" s="1" t="s">
        <v>104</v>
      </c>
      <c r="C307" t="s">
        <v>7</v>
      </c>
      <c r="D307" s="1" t="s">
        <v>5</v>
      </c>
      <c r="E307">
        <v>85</v>
      </c>
      <c r="F307" s="1" t="s">
        <v>101</v>
      </c>
      <c r="G307">
        <v>16</v>
      </c>
      <c r="H307">
        <v>1</v>
      </c>
      <c r="I307" s="2">
        <f t="shared" si="12"/>
        <v>1.3962239999999999</v>
      </c>
      <c r="J307">
        <f t="shared" si="13"/>
        <v>0.12141078260869564</v>
      </c>
      <c r="K307">
        <f t="shared" si="14"/>
        <v>3.6464455471402452E-2</v>
      </c>
    </row>
    <row r="308" spans="1:11" x14ac:dyDescent="0.25">
      <c r="A308" s="1">
        <v>1962</v>
      </c>
      <c r="B308" s="1" t="s">
        <v>104</v>
      </c>
      <c r="C308" t="s">
        <v>9</v>
      </c>
      <c r="D308" s="1" t="s">
        <v>3</v>
      </c>
      <c r="E308">
        <v>17</v>
      </c>
      <c r="F308" s="1" t="s">
        <v>101</v>
      </c>
      <c r="G308">
        <v>6</v>
      </c>
      <c r="H308">
        <v>23</v>
      </c>
      <c r="I308" s="2">
        <f t="shared" si="12"/>
        <v>4.5159120000000001</v>
      </c>
      <c r="J308">
        <f t="shared" si="13"/>
        <v>0.39268800000000004</v>
      </c>
      <c r="K308">
        <f t="shared" si="14"/>
        <v>0.11793972316531733</v>
      </c>
    </row>
    <row r="309" spans="1:11" x14ac:dyDescent="0.25">
      <c r="A309" s="1">
        <v>1962</v>
      </c>
      <c r="B309" s="1" t="s">
        <v>104</v>
      </c>
      <c r="C309" t="s">
        <v>9</v>
      </c>
      <c r="D309" s="1" t="s">
        <v>3</v>
      </c>
      <c r="E309">
        <v>17</v>
      </c>
      <c r="F309" s="1" t="s">
        <v>101</v>
      </c>
      <c r="G309">
        <v>8</v>
      </c>
      <c r="H309">
        <v>11</v>
      </c>
      <c r="I309" s="2">
        <f t="shared" si="12"/>
        <v>3.8396159999999999</v>
      </c>
      <c r="J309">
        <f t="shared" si="13"/>
        <v>0.33387965217391302</v>
      </c>
      <c r="K309">
        <f t="shared" si="14"/>
        <v>0.10027725254635675</v>
      </c>
    </row>
    <row r="310" spans="1:11" x14ac:dyDescent="0.25">
      <c r="A310" s="1">
        <v>1962</v>
      </c>
      <c r="B310" s="1" t="s">
        <v>104</v>
      </c>
      <c r="C310" t="s">
        <v>9</v>
      </c>
      <c r="D310" s="1" t="s">
        <v>3</v>
      </c>
      <c r="E310">
        <v>17</v>
      </c>
      <c r="F310" s="1" t="s">
        <v>101</v>
      </c>
      <c r="G310">
        <v>12</v>
      </c>
      <c r="H310">
        <v>1</v>
      </c>
      <c r="I310" s="2">
        <f t="shared" si="12"/>
        <v>0.78537599999999996</v>
      </c>
      <c r="J310">
        <f t="shared" si="13"/>
        <v>6.82935652173913E-2</v>
      </c>
      <c r="K310">
        <f t="shared" si="14"/>
        <v>2.0511256202663881E-2</v>
      </c>
    </row>
    <row r="311" spans="1:11" x14ac:dyDescent="0.25">
      <c r="A311" s="1">
        <v>1962</v>
      </c>
      <c r="B311" s="1" t="s">
        <v>104</v>
      </c>
      <c r="C311" t="s">
        <v>9</v>
      </c>
      <c r="D311" s="1" t="s">
        <v>3</v>
      </c>
      <c r="E311">
        <v>21</v>
      </c>
      <c r="F311" s="1" t="s">
        <v>101</v>
      </c>
      <c r="G311">
        <v>8</v>
      </c>
      <c r="H311">
        <v>2</v>
      </c>
      <c r="I311" s="2">
        <f t="shared" si="12"/>
        <v>0.69811199999999995</v>
      </c>
      <c r="J311">
        <f t="shared" si="13"/>
        <v>6.0705391304347822E-2</v>
      </c>
      <c r="K311">
        <f t="shared" si="14"/>
        <v>1.8232227735701226E-2</v>
      </c>
    </row>
    <row r="312" spans="1:11" x14ac:dyDescent="0.25">
      <c r="A312" s="1">
        <v>1962</v>
      </c>
      <c r="B312" s="1" t="s">
        <v>104</v>
      </c>
      <c r="C312" t="s">
        <v>9</v>
      </c>
      <c r="D312" s="1" t="s">
        <v>3</v>
      </c>
      <c r="E312">
        <v>21</v>
      </c>
      <c r="F312" s="1" t="s">
        <v>101</v>
      </c>
      <c r="G312">
        <v>10</v>
      </c>
      <c r="H312">
        <v>1</v>
      </c>
      <c r="I312" s="2">
        <f t="shared" si="12"/>
        <v>0.5454</v>
      </c>
      <c r="J312">
        <f t="shared" si="13"/>
        <v>4.7426086956521736E-2</v>
      </c>
      <c r="K312">
        <f t="shared" si="14"/>
        <v>1.4243927918516582E-2</v>
      </c>
    </row>
    <row r="313" spans="1:11" x14ac:dyDescent="0.25">
      <c r="A313" s="1">
        <v>1962</v>
      </c>
      <c r="B313" s="1" t="s">
        <v>104</v>
      </c>
      <c r="C313" t="s">
        <v>9</v>
      </c>
      <c r="D313" s="1" t="s">
        <v>3</v>
      </c>
      <c r="E313">
        <v>21</v>
      </c>
      <c r="F313" s="1" t="s">
        <v>101</v>
      </c>
      <c r="G313">
        <v>14</v>
      </c>
      <c r="H313">
        <v>1</v>
      </c>
      <c r="I313" s="2">
        <f t="shared" si="12"/>
        <v>1.0689839999999999</v>
      </c>
      <c r="J313">
        <f t="shared" si="13"/>
        <v>9.295513043478261E-2</v>
      </c>
      <c r="K313">
        <f t="shared" si="14"/>
        <v>2.7918098720292505E-2</v>
      </c>
    </row>
    <row r="314" spans="1:11" x14ac:dyDescent="0.25">
      <c r="A314" s="1">
        <v>1962</v>
      </c>
      <c r="B314" s="1" t="s">
        <v>104</v>
      </c>
      <c r="C314" t="s">
        <v>9</v>
      </c>
      <c r="D314" s="1" t="s">
        <v>3</v>
      </c>
      <c r="E314">
        <v>21</v>
      </c>
      <c r="F314" s="1" t="s">
        <v>101</v>
      </c>
      <c r="G314">
        <v>16</v>
      </c>
      <c r="H314">
        <v>3</v>
      </c>
      <c r="I314" s="2">
        <f t="shared" si="12"/>
        <v>4.1886719999999995</v>
      </c>
      <c r="J314">
        <f t="shared" si="13"/>
        <v>0.36423234782608693</v>
      </c>
      <c r="K314">
        <f t="shared" si="14"/>
        <v>0.10939336641420735</v>
      </c>
    </row>
    <row r="315" spans="1:11" x14ac:dyDescent="0.25">
      <c r="A315" s="1">
        <v>1962</v>
      </c>
      <c r="B315" s="1" t="s">
        <v>104</v>
      </c>
      <c r="C315" t="s">
        <v>9</v>
      </c>
      <c r="D315" s="1" t="s">
        <v>3</v>
      </c>
      <c r="E315">
        <v>25</v>
      </c>
      <c r="F315" s="1" t="s">
        <v>101</v>
      </c>
      <c r="G315">
        <v>10</v>
      </c>
      <c r="H315">
        <v>1</v>
      </c>
      <c r="I315" s="2">
        <f t="shared" si="12"/>
        <v>0.5454</v>
      </c>
      <c r="J315">
        <f t="shared" si="13"/>
        <v>4.7426086956521736E-2</v>
      </c>
      <c r="K315">
        <f t="shared" si="14"/>
        <v>1.4243927918516582E-2</v>
      </c>
    </row>
    <row r="316" spans="1:11" x14ac:dyDescent="0.25">
      <c r="A316" s="1">
        <v>1962</v>
      </c>
      <c r="B316" s="1" t="s">
        <v>104</v>
      </c>
      <c r="C316" t="s">
        <v>9</v>
      </c>
      <c r="D316" s="1" t="s">
        <v>3</v>
      </c>
      <c r="E316">
        <v>29</v>
      </c>
      <c r="F316" s="1" t="s">
        <v>101</v>
      </c>
      <c r="G316">
        <v>6</v>
      </c>
      <c r="H316">
        <v>33</v>
      </c>
      <c r="I316" s="2">
        <f t="shared" si="12"/>
        <v>6.4793519999999996</v>
      </c>
      <c r="J316">
        <f t="shared" si="13"/>
        <v>0.56342191304347822</v>
      </c>
      <c r="K316">
        <f t="shared" si="14"/>
        <v>0.169217863671977</v>
      </c>
    </row>
    <row r="317" spans="1:11" x14ac:dyDescent="0.25">
      <c r="A317" s="1">
        <v>1962</v>
      </c>
      <c r="B317" s="1" t="s">
        <v>104</v>
      </c>
      <c r="C317" t="s">
        <v>9</v>
      </c>
      <c r="D317" s="1" t="s">
        <v>3</v>
      </c>
      <c r="E317">
        <v>29</v>
      </c>
      <c r="F317" s="1" t="s">
        <v>101</v>
      </c>
      <c r="G317">
        <v>8</v>
      </c>
      <c r="H317">
        <v>16</v>
      </c>
      <c r="I317" s="2">
        <f t="shared" si="12"/>
        <v>5.5848959999999996</v>
      </c>
      <c r="J317">
        <f t="shared" si="13"/>
        <v>0.48564313043478258</v>
      </c>
      <c r="K317">
        <f t="shared" si="14"/>
        <v>0.14585782188560981</v>
      </c>
    </row>
    <row r="318" spans="1:11" x14ac:dyDescent="0.25">
      <c r="A318" s="1">
        <v>1962</v>
      </c>
      <c r="B318" s="1" t="s">
        <v>104</v>
      </c>
      <c r="C318" t="s">
        <v>9</v>
      </c>
      <c r="D318" s="1" t="s">
        <v>3</v>
      </c>
      <c r="E318">
        <v>29</v>
      </c>
      <c r="F318" s="1" t="s">
        <v>101</v>
      </c>
      <c r="G318">
        <v>10</v>
      </c>
      <c r="H318">
        <v>2</v>
      </c>
      <c r="I318" s="2">
        <f t="shared" si="12"/>
        <v>1.0908</v>
      </c>
      <c r="J318">
        <f t="shared" si="13"/>
        <v>9.4852173913043472E-2</v>
      </c>
      <c r="K318">
        <f t="shared" si="14"/>
        <v>2.8487855837033164E-2</v>
      </c>
    </row>
    <row r="319" spans="1:11" x14ac:dyDescent="0.25">
      <c r="A319" s="1">
        <v>1962</v>
      </c>
      <c r="B319" s="1" t="s">
        <v>104</v>
      </c>
      <c r="C319" t="s">
        <v>9</v>
      </c>
      <c r="D319" s="1" t="s">
        <v>3</v>
      </c>
      <c r="E319">
        <v>29</v>
      </c>
      <c r="F319" s="1" t="s">
        <v>101</v>
      </c>
      <c r="G319">
        <v>16</v>
      </c>
      <c r="H319">
        <v>1</v>
      </c>
      <c r="I319" s="2">
        <f t="shared" si="12"/>
        <v>1.3962239999999999</v>
      </c>
      <c r="J319">
        <f t="shared" si="13"/>
        <v>0.12141078260869564</v>
      </c>
      <c r="K319">
        <f t="shared" si="14"/>
        <v>3.6464455471402452E-2</v>
      </c>
    </row>
    <row r="320" spans="1:11" x14ac:dyDescent="0.25">
      <c r="A320" s="1">
        <v>1962</v>
      </c>
      <c r="B320" s="1" t="s">
        <v>104</v>
      </c>
      <c r="C320" t="s">
        <v>9</v>
      </c>
      <c r="D320" s="1" t="s">
        <v>3</v>
      </c>
      <c r="E320">
        <v>32</v>
      </c>
      <c r="F320" s="1" t="s">
        <v>101</v>
      </c>
      <c r="G320">
        <v>6</v>
      </c>
      <c r="H320">
        <v>12</v>
      </c>
      <c r="I320" s="2">
        <f t="shared" si="12"/>
        <v>2.356128</v>
      </c>
      <c r="J320">
        <f t="shared" si="13"/>
        <v>0.2048806956521739</v>
      </c>
      <c r="K320">
        <f t="shared" si="14"/>
        <v>6.1533768607991639E-2</v>
      </c>
    </row>
    <row r="321" spans="1:11" x14ac:dyDescent="0.25">
      <c r="A321" s="1">
        <v>1962</v>
      </c>
      <c r="B321" s="1" t="s">
        <v>104</v>
      </c>
      <c r="C321" t="s">
        <v>9</v>
      </c>
      <c r="D321" s="1" t="s">
        <v>3</v>
      </c>
      <c r="E321">
        <v>32</v>
      </c>
      <c r="F321" s="1" t="s">
        <v>101</v>
      </c>
      <c r="G321">
        <v>8</v>
      </c>
      <c r="H321">
        <v>4</v>
      </c>
      <c r="I321" s="2">
        <f t="shared" si="12"/>
        <v>1.3962239999999999</v>
      </c>
      <c r="J321">
        <f t="shared" si="13"/>
        <v>0.12141078260869564</v>
      </c>
      <c r="K321">
        <f t="shared" si="14"/>
        <v>3.6464455471402452E-2</v>
      </c>
    </row>
    <row r="322" spans="1:11" x14ac:dyDescent="0.25">
      <c r="A322" s="1">
        <v>1962</v>
      </c>
      <c r="B322" s="1" t="s">
        <v>104</v>
      </c>
      <c r="C322" t="s">
        <v>9</v>
      </c>
      <c r="D322" s="1" t="s">
        <v>3</v>
      </c>
      <c r="E322">
        <v>32</v>
      </c>
      <c r="F322" s="1" t="s">
        <v>101</v>
      </c>
      <c r="G322">
        <v>10</v>
      </c>
      <c r="H322">
        <v>3</v>
      </c>
      <c r="I322" s="2">
        <f t="shared" si="12"/>
        <v>1.6362000000000001</v>
      </c>
      <c r="J322">
        <f t="shared" si="13"/>
        <v>0.14227826086956522</v>
      </c>
      <c r="K322">
        <f t="shared" si="14"/>
        <v>4.273178375554975E-2</v>
      </c>
    </row>
    <row r="323" spans="1:11" x14ac:dyDescent="0.25">
      <c r="A323" s="1">
        <v>1962</v>
      </c>
      <c r="B323" s="1" t="s">
        <v>104</v>
      </c>
      <c r="C323" t="s">
        <v>9</v>
      </c>
      <c r="D323" s="1" t="s">
        <v>3</v>
      </c>
      <c r="E323">
        <v>32</v>
      </c>
      <c r="F323" s="1" t="s">
        <v>101</v>
      </c>
      <c r="G323">
        <v>12</v>
      </c>
      <c r="H323">
        <v>2</v>
      </c>
      <c r="I323" s="2">
        <f t="shared" ref="I323:I386" si="15">0.005454*G323^2*H323</f>
        <v>1.5707519999999999</v>
      </c>
      <c r="J323">
        <f t="shared" ref="J323:J386" si="16">I323/11.5</f>
        <v>0.1365871304347826</v>
      </c>
      <c r="K323">
        <f t="shared" ref="K323:K386" si="17">J323*(11.5/38.29)</f>
        <v>4.1022512405327761E-2</v>
      </c>
    </row>
    <row r="324" spans="1:11" x14ac:dyDescent="0.25">
      <c r="A324" s="1">
        <v>1962</v>
      </c>
      <c r="B324" s="1" t="s">
        <v>104</v>
      </c>
      <c r="C324" t="s">
        <v>9</v>
      </c>
      <c r="D324" s="1" t="s">
        <v>3</v>
      </c>
      <c r="E324">
        <v>32</v>
      </c>
      <c r="F324" s="1" t="s">
        <v>101</v>
      </c>
      <c r="G324">
        <v>14</v>
      </c>
      <c r="H324">
        <v>1</v>
      </c>
      <c r="I324" s="2">
        <f t="shared" si="15"/>
        <v>1.0689839999999999</v>
      </c>
      <c r="J324">
        <f t="shared" si="16"/>
        <v>9.295513043478261E-2</v>
      </c>
      <c r="K324">
        <f t="shared" si="17"/>
        <v>2.7918098720292505E-2</v>
      </c>
    </row>
    <row r="325" spans="1:11" x14ac:dyDescent="0.25">
      <c r="A325" s="1">
        <v>1962</v>
      </c>
      <c r="B325" s="1" t="s">
        <v>104</v>
      </c>
      <c r="C325" t="s">
        <v>9</v>
      </c>
      <c r="D325" s="1" t="s">
        <v>3</v>
      </c>
      <c r="E325">
        <v>32</v>
      </c>
      <c r="F325" s="1" t="s">
        <v>101</v>
      </c>
      <c r="G325">
        <v>16</v>
      </c>
      <c r="H325">
        <v>1</v>
      </c>
      <c r="I325" s="2">
        <f t="shared" si="15"/>
        <v>1.3962239999999999</v>
      </c>
      <c r="J325">
        <f t="shared" si="16"/>
        <v>0.12141078260869564</v>
      </c>
      <c r="K325">
        <f t="shared" si="17"/>
        <v>3.6464455471402452E-2</v>
      </c>
    </row>
    <row r="326" spans="1:11" x14ac:dyDescent="0.25">
      <c r="A326" s="1">
        <v>1962</v>
      </c>
      <c r="B326" s="1" t="s">
        <v>104</v>
      </c>
      <c r="C326" t="s">
        <v>9</v>
      </c>
      <c r="D326" s="1" t="s">
        <v>3</v>
      </c>
      <c r="E326">
        <v>34</v>
      </c>
      <c r="F326" s="1" t="s">
        <v>101</v>
      </c>
      <c r="G326">
        <v>6</v>
      </c>
      <c r="H326">
        <v>84</v>
      </c>
      <c r="I326" s="2">
        <f t="shared" si="15"/>
        <v>16.492895999999998</v>
      </c>
      <c r="J326">
        <f t="shared" si="16"/>
        <v>1.4341648695652172</v>
      </c>
      <c r="K326">
        <f t="shared" si="17"/>
        <v>0.43073638025594141</v>
      </c>
    </row>
    <row r="327" spans="1:11" x14ac:dyDescent="0.25">
      <c r="A327" s="1">
        <v>1962</v>
      </c>
      <c r="B327" s="1" t="s">
        <v>104</v>
      </c>
      <c r="C327" t="s">
        <v>9</v>
      </c>
      <c r="D327" s="1" t="s">
        <v>3</v>
      </c>
      <c r="E327">
        <v>34</v>
      </c>
      <c r="F327" s="1" t="s">
        <v>101</v>
      </c>
      <c r="G327">
        <v>8</v>
      </c>
      <c r="H327">
        <v>52</v>
      </c>
      <c r="I327" s="2">
        <f t="shared" si="15"/>
        <v>18.150911999999998</v>
      </c>
      <c r="J327">
        <f t="shared" si="16"/>
        <v>1.5783401739130434</v>
      </c>
      <c r="K327">
        <f t="shared" si="17"/>
        <v>0.4740379211282319</v>
      </c>
    </row>
    <row r="328" spans="1:11" x14ac:dyDescent="0.25">
      <c r="A328" s="1">
        <v>1962</v>
      </c>
      <c r="B328" s="1" t="s">
        <v>104</v>
      </c>
      <c r="C328" t="s">
        <v>9</v>
      </c>
      <c r="D328" s="1" t="s">
        <v>3</v>
      </c>
      <c r="E328">
        <v>34</v>
      </c>
      <c r="F328" s="1" t="s">
        <v>101</v>
      </c>
      <c r="G328">
        <v>10</v>
      </c>
      <c r="H328">
        <v>31</v>
      </c>
      <c r="I328" s="2">
        <f t="shared" si="15"/>
        <v>16.907399999999999</v>
      </c>
      <c r="J328">
        <f t="shared" si="16"/>
        <v>1.4702086956521738</v>
      </c>
      <c r="K328">
        <f t="shared" si="17"/>
        <v>0.44156176547401405</v>
      </c>
    </row>
    <row r="329" spans="1:11" x14ac:dyDescent="0.25">
      <c r="A329" s="1">
        <v>1962</v>
      </c>
      <c r="B329" s="1" t="s">
        <v>104</v>
      </c>
      <c r="C329" t="s">
        <v>9</v>
      </c>
      <c r="D329" s="1" t="s">
        <v>3</v>
      </c>
      <c r="E329">
        <v>34</v>
      </c>
      <c r="F329" s="1" t="s">
        <v>101</v>
      </c>
      <c r="G329">
        <v>12</v>
      </c>
      <c r="H329">
        <v>11</v>
      </c>
      <c r="I329" s="2">
        <f t="shared" si="15"/>
        <v>8.6391359999999988</v>
      </c>
      <c r="J329">
        <f t="shared" si="16"/>
        <v>0.75122921739130422</v>
      </c>
      <c r="K329">
        <f t="shared" si="17"/>
        <v>0.22562381822930264</v>
      </c>
    </row>
    <row r="330" spans="1:11" x14ac:dyDescent="0.25">
      <c r="A330" s="1">
        <v>1962</v>
      </c>
      <c r="B330" s="1" t="s">
        <v>104</v>
      </c>
      <c r="C330" t="s">
        <v>9</v>
      </c>
      <c r="D330" s="1" t="s">
        <v>3</v>
      </c>
      <c r="E330">
        <v>34</v>
      </c>
      <c r="F330" s="1" t="s">
        <v>101</v>
      </c>
      <c r="G330">
        <v>14</v>
      </c>
      <c r="H330">
        <v>10</v>
      </c>
      <c r="I330" s="2">
        <f t="shared" si="15"/>
        <v>10.68984</v>
      </c>
      <c r="J330">
        <f t="shared" si="16"/>
        <v>0.92955130434782607</v>
      </c>
      <c r="K330">
        <f t="shared" si="17"/>
        <v>0.27918098720292506</v>
      </c>
    </row>
    <row r="331" spans="1:11" x14ac:dyDescent="0.25">
      <c r="A331" s="1">
        <v>1962</v>
      </c>
      <c r="B331" s="1" t="s">
        <v>104</v>
      </c>
      <c r="C331" t="s">
        <v>9</v>
      </c>
      <c r="D331" s="1" t="s">
        <v>3</v>
      </c>
      <c r="E331">
        <v>34</v>
      </c>
      <c r="F331" s="1" t="s">
        <v>101</v>
      </c>
      <c r="G331">
        <v>16</v>
      </c>
      <c r="H331">
        <v>7</v>
      </c>
      <c r="I331" s="2">
        <f t="shared" si="15"/>
        <v>9.7735679999999991</v>
      </c>
      <c r="J331">
        <f t="shared" si="16"/>
        <v>0.84987547826086951</v>
      </c>
      <c r="K331">
        <f t="shared" si="17"/>
        <v>0.25525118829981719</v>
      </c>
    </row>
    <row r="332" spans="1:11" x14ac:dyDescent="0.25">
      <c r="A332" s="1">
        <v>1962</v>
      </c>
      <c r="B332" s="1" t="s">
        <v>104</v>
      </c>
      <c r="C332" t="s">
        <v>9</v>
      </c>
      <c r="D332" s="1" t="s">
        <v>3</v>
      </c>
      <c r="E332">
        <v>34</v>
      </c>
      <c r="F332" s="1" t="s">
        <v>101</v>
      </c>
      <c r="G332">
        <v>18</v>
      </c>
      <c r="H332">
        <v>1</v>
      </c>
      <c r="I332" s="2">
        <f t="shared" si="15"/>
        <v>1.7670959999999998</v>
      </c>
      <c r="J332">
        <f t="shared" si="16"/>
        <v>0.15366052173913042</v>
      </c>
      <c r="K332">
        <f t="shared" si="17"/>
        <v>4.6150326455993727E-2</v>
      </c>
    </row>
    <row r="333" spans="1:11" x14ac:dyDescent="0.25">
      <c r="A333" s="1">
        <v>1962</v>
      </c>
      <c r="B333" s="1" t="s">
        <v>104</v>
      </c>
      <c r="C333" t="s">
        <v>9</v>
      </c>
      <c r="D333" s="1" t="s">
        <v>3</v>
      </c>
      <c r="E333">
        <v>38</v>
      </c>
      <c r="F333" s="1" t="s">
        <v>101</v>
      </c>
      <c r="G333">
        <v>6</v>
      </c>
      <c r="H333">
        <v>213</v>
      </c>
      <c r="I333" s="2">
        <f t="shared" si="15"/>
        <v>41.821272</v>
      </c>
      <c r="J333">
        <f t="shared" si="16"/>
        <v>3.6366323478260871</v>
      </c>
      <c r="K333">
        <f t="shared" si="17"/>
        <v>1.0922243927918518</v>
      </c>
    </row>
    <row r="334" spans="1:11" x14ac:dyDescent="0.25">
      <c r="A334" s="1">
        <v>1962</v>
      </c>
      <c r="B334" s="1" t="s">
        <v>104</v>
      </c>
      <c r="C334" t="s">
        <v>9</v>
      </c>
      <c r="D334" s="1" t="s">
        <v>3</v>
      </c>
      <c r="E334">
        <v>38</v>
      </c>
      <c r="F334" s="1" t="s">
        <v>101</v>
      </c>
      <c r="G334">
        <v>8</v>
      </c>
      <c r="H334">
        <v>222</v>
      </c>
      <c r="I334" s="2">
        <f t="shared" si="15"/>
        <v>77.490431999999998</v>
      </c>
      <c r="J334">
        <f t="shared" si="16"/>
        <v>6.7382984347826085</v>
      </c>
      <c r="K334">
        <f t="shared" si="17"/>
        <v>2.0237772786628363</v>
      </c>
    </row>
    <row r="335" spans="1:11" x14ac:dyDescent="0.25">
      <c r="A335" s="1">
        <v>1962</v>
      </c>
      <c r="B335" s="1" t="s">
        <v>104</v>
      </c>
      <c r="C335" t="s">
        <v>9</v>
      </c>
      <c r="D335" s="1" t="s">
        <v>3</v>
      </c>
      <c r="E335">
        <v>38</v>
      </c>
      <c r="F335" s="1" t="s">
        <v>101</v>
      </c>
      <c r="G335">
        <v>10</v>
      </c>
      <c r="H335">
        <v>166</v>
      </c>
      <c r="I335" s="2">
        <f t="shared" si="15"/>
        <v>90.5364</v>
      </c>
      <c r="J335">
        <f t="shared" si="16"/>
        <v>7.8727304347826088</v>
      </c>
      <c r="K335">
        <f t="shared" si="17"/>
        <v>2.364492034473753</v>
      </c>
    </row>
    <row r="336" spans="1:11" x14ac:dyDescent="0.25">
      <c r="A336" s="1">
        <v>1962</v>
      </c>
      <c r="B336" s="1" t="s">
        <v>104</v>
      </c>
      <c r="C336" t="s">
        <v>9</v>
      </c>
      <c r="D336" s="1" t="s">
        <v>3</v>
      </c>
      <c r="E336">
        <v>38</v>
      </c>
      <c r="F336" s="1" t="s">
        <v>101</v>
      </c>
      <c r="G336">
        <v>12</v>
      </c>
      <c r="H336">
        <v>82</v>
      </c>
      <c r="I336" s="2">
        <f t="shared" si="15"/>
        <v>64.400831999999994</v>
      </c>
      <c r="J336">
        <f t="shared" si="16"/>
        <v>5.6000723478260861</v>
      </c>
      <c r="K336">
        <f t="shared" si="17"/>
        <v>1.681923008618438</v>
      </c>
    </row>
    <row r="337" spans="1:11" x14ac:dyDescent="0.25">
      <c r="A337" s="1">
        <v>1962</v>
      </c>
      <c r="B337" s="1" t="s">
        <v>104</v>
      </c>
      <c r="C337" t="s">
        <v>9</v>
      </c>
      <c r="D337" s="1" t="s">
        <v>3</v>
      </c>
      <c r="E337">
        <v>38</v>
      </c>
      <c r="F337" s="1" t="s">
        <v>101</v>
      </c>
      <c r="G337">
        <v>14</v>
      </c>
      <c r="H337">
        <v>43</v>
      </c>
      <c r="I337" s="2">
        <f t="shared" si="15"/>
        <v>45.966311999999995</v>
      </c>
      <c r="J337">
        <f t="shared" si="16"/>
        <v>3.9970706086956516</v>
      </c>
      <c r="K337">
        <f t="shared" si="17"/>
        <v>1.2004782449725775</v>
      </c>
    </row>
    <row r="338" spans="1:11" x14ac:dyDescent="0.25">
      <c r="A338" s="1">
        <v>1962</v>
      </c>
      <c r="B338" s="1" t="s">
        <v>104</v>
      </c>
      <c r="C338" t="s">
        <v>9</v>
      </c>
      <c r="D338" s="1" t="s">
        <v>3</v>
      </c>
      <c r="E338">
        <v>38</v>
      </c>
      <c r="F338" s="1" t="s">
        <v>101</v>
      </c>
      <c r="G338">
        <v>16</v>
      </c>
      <c r="H338">
        <v>26</v>
      </c>
      <c r="I338" s="2">
        <f t="shared" si="15"/>
        <v>36.301823999999996</v>
      </c>
      <c r="J338">
        <f t="shared" si="16"/>
        <v>3.1566803478260868</v>
      </c>
      <c r="K338">
        <f t="shared" si="17"/>
        <v>0.9480758422564638</v>
      </c>
    </row>
    <row r="339" spans="1:11" x14ac:dyDescent="0.25">
      <c r="A339" s="1">
        <v>1962</v>
      </c>
      <c r="B339" s="1" t="s">
        <v>104</v>
      </c>
      <c r="C339" t="s">
        <v>9</v>
      </c>
      <c r="D339" s="1" t="s">
        <v>3</v>
      </c>
      <c r="E339">
        <v>38</v>
      </c>
      <c r="F339" s="1" t="s">
        <v>101</v>
      </c>
      <c r="G339">
        <v>18</v>
      </c>
      <c r="H339">
        <v>4</v>
      </c>
      <c r="I339" s="2">
        <f t="shared" si="15"/>
        <v>7.0683839999999991</v>
      </c>
      <c r="J339">
        <f t="shared" si="16"/>
        <v>0.61464208695652167</v>
      </c>
      <c r="K339">
        <f t="shared" si="17"/>
        <v>0.18460130582397491</v>
      </c>
    </row>
    <row r="340" spans="1:11" x14ac:dyDescent="0.25">
      <c r="A340" s="1">
        <v>1962</v>
      </c>
      <c r="B340" s="1" t="s">
        <v>104</v>
      </c>
      <c r="C340" t="s">
        <v>9</v>
      </c>
      <c r="D340" s="1" t="s">
        <v>3</v>
      </c>
      <c r="E340">
        <v>40</v>
      </c>
      <c r="F340" s="1" t="s">
        <v>101</v>
      </c>
      <c r="G340">
        <v>6</v>
      </c>
      <c r="H340">
        <v>106</v>
      </c>
      <c r="I340" s="2">
        <f t="shared" si="15"/>
        <v>20.812463999999999</v>
      </c>
      <c r="J340">
        <f t="shared" si="16"/>
        <v>1.8097794782608694</v>
      </c>
      <c r="K340">
        <f t="shared" si="17"/>
        <v>0.54354828937059274</v>
      </c>
    </row>
    <row r="341" spans="1:11" x14ac:dyDescent="0.25">
      <c r="A341" s="1">
        <v>1962</v>
      </c>
      <c r="B341" s="1" t="s">
        <v>104</v>
      </c>
      <c r="C341" t="s">
        <v>9</v>
      </c>
      <c r="D341" s="1" t="s">
        <v>3</v>
      </c>
      <c r="E341">
        <v>40</v>
      </c>
      <c r="F341" s="1" t="s">
        <v>101</v>
      </c>
      <c r="G341">
        <v>8</v>
      </c>
      <c r="H341">
        <v>97</v>
      </c>
      <c r="I341" s="2">
        <f t="shared" si="15"/>
        <v>33.858432000000001</v>
      </c>
      <c r="J341">
        <f t="shared" si="16"/>
        <v>2.9442114782608697</v>
      </c>
      <c r="K341">
        <f t="shared" si="17"/>
        <v>0.88426304518150955</v>
      </c>
    </row>
    <row r="342" spans="1:11" x14ac:dyDescent="0.25">
      <c r="A342" s="1">
        <v>1962</v>
      </c>
      <c r="B342" s="1" t="s">
        <v>104</v>
      </c>
      <c r="C342" t="s">
        <v>9</v>
      </c>
      <c r="D342" s="1" t="s">
        <v>3</v>
      </c>
      <c r="E342">
        <v>40</v>
      </c>
      <c r="F342" s="1" t="s">
        <v>101</v>
      </c>
      <c r="G342">
        <v>10</v>
      </c>
      <c r="H342">
        <v>62</v>
      </c>
      <c r="I342" s="2">
        <f t="shared" si="15"/>
        <v>33.814799999999998</v>
      </c>
      <c r="J342">
        <f t="shared" si="16"/>
        <v>2.9404173913043476</v>
      </c>
      <c r="K342">
        <f t="shared" si="17"/>
        <v>0.88312353094802809</v>
      </c>
    </row>
    <row r="343" spans="1:11" x14ac:dyDescent="0.25">
      <c r="A343" s="1">
        <v>1962</v>
      </c>
      <c r="B343" s="1" t="s">
        <v>104</v>
      </c>
      <c r="C343" t="s">
        <v>9</v>
      </c>
      <c r="D343" s="1" t="s">
        <v>3</v>
      </c>
      <c r="E343">
        <v>40</v>
      </c>
      <c r="F343" s="1" t="s">
        <v>101</v>
      </c>
      <c r="G343">
        <v>12</v>
      </c>
      <c r="H343">
        <v>67</v>
      </c>
      <c r="I343" s="2">
        <f t="shared" si="15"/>
        <v>52.620191999999996</v>
      </c>
      <c r="J343">
        <f t="shared" si="16"/>
        <v>4.5756688695652175</v>
      </c>
      <c r="K343">
        <f t="shared" si="17"/>
        <v>1.3742541655784799</v>
      </c>
    </row>
    <row r="344" spans="1:11" x14ac:dyDescent="0.25">
      <c r="A344" s="1">
        <v>1962</v>
      </c>
      <c r="B344" s="1" t="s">
        <v>104</v>
      </c>
      <c r="C344" t="s">
        <v>9</v>
      </c>
      <c r="D344" s="1" t="s">
        <v>3</v>
      </c>
      <c r="E344">
        <v>40</v>
      </c>
      <c r="F344" s="1" t="s">
        <v>101</v>
      </c>
      <c r="G344">
        <v>14</v>
      </c>
      <c r="H344">
        <v>30</v>
      </c>
      <c r="I344" s="2">
        <f t="shared" si="15"/>
        <v>32.069519999999997</v>
      </c>
      <c r="J344">
        <f t="shared" si="16"/>
        <v>2.7886539130434782</v>
      </c>
      <c r="K344">
        <f t="shared" si="17"/>
        <v>0.83754296160877506</v>
      </c>
    </row>
    <row r="345" spans="1:11" x14ac:dyDescent="0.25">
      <c r="A345" s="1">
        <v>1962</v>
      </c>
      <c r="B345" s="1" t="s">
        <v>104</v>
      </c>
      <c r="C345" t="s">
        <v>9</v>
      </c>
      <c r="D345" s="1" t="s">
        <v>3</v>
      </c>
      <c r="E345">
        <v>40</v>
      </c>
      <c r="F345" s="1" t="s">
        <v>101</v>
      </c>
      <c r="G345">
        <v>16</v>
      </c>
      <c r="H345">
        <v>22</v>
      </c>
      <c r="I345" s="2">
        <f t="shared" si="15"/>
        <v>30.716927999999999</v>
      </c>
      <c r="J345">
        <f t="shared" si="16"/>
        <v>2.6710372173913042</v>
      </c>
      <c r="K345">
        <f t="shared" si="17"/>
        <v>0.80221802037085399</v>
      </c>
    </row>
    <row r="346" spans="1:11" x14ac:dyDescent="0.25">
      <c r="A346" s="1">
        <v>1962</v>
      </c>
      <c r="B346" s="1" t="s">
        <v>104</v>
      </c>
      <c r="C346" t="s">
        <v>9</v>
      </c>
      <c r="D346" s="1" t="s">
        <v>3</v>
      </c>
      <c r="E346">
        <v>40</v>
      </c>
      <c r="F346" s="1" t="s">
        <v>101</v>
      </c>
      <c r="G346">
        <v>18</v>
      </c>
      <c r="H346">
        <v>1</v>
      </c>
      <c r="I346" s="2">
        <f t="shared" si="15"/>
        <v>1.7670959999999998</v>
      </c>
      <c r="J346">
        <f t="shared" si="16"/>
        <v>0.15366052173913042</v>
      </c>
      <c r="K346">
        <f t="shared" si="17"/>
        <v>4.6150326455993727E-2</v>
      </c>
    </row>
    <row r="347" spans="1:11" x14ac:dyDescent="0.25">
      <c r="A347" s="1">
        <v>1962</v>
      </c>
      <c r="B347" s="1" t="s">
        <v>104</v>
      </c>
      <c r="C347" t="s">
        <v>9</v>
      </c>
      <c r="D347" s="1" t="s">
        <v>3</v>
      </c>
      <c r="E347">
        <v>41</v>
      </c>
      <c r="F347" s="1" t="s">
        <v>101</v>
      </c>
      <c r="G347">
        <v>6</v>
      </c>
      <c r="H347">
        <v>20</v>
      </c>
      <c r="I347" s="2">
        <f t="shared" si="15"/>
        <v>3.9268799999999997</v>
      </c>
      <c r="J347">
        <f t="shared" si="16"/>
        <v>0.34146782608695647</v>
      </c>
      <c r="K347">
        <f t="shared" si="17"/>
        <v>0.10255628101331939</v>
      </c>
    </row>
    <row r="348" spans="1:11" x14ac:dyDescent="0.25">
      <c r="A348" s="1">
        <v>1962</v>
      </c>
      <c r="B348" s="1" t="s">
        <v>104</v>
      </c>
      <c r="C348" t="s">
        <v>9</v>
      </c>
      <c r="D348" s="1" t="s">
        <v>3</v>
      </c>
      <c r="E348">
        <v>41</v>
      </c>
      <c r="F348" s="1" t="s">
        <v>101</v>
      </c>
      <c r="G348">
        <v>8</v>
      </c>
      <c r="H348">
        <v>24</v>
      </c>
      <c r="I348" s="2">
        <f t="shared" si="15"/>
        <v>8.377343999999999</v>
      </c>
      <c r="J348">
        <f t="shared" si="16"/>
        <v>0.72846469565217387</v>
      </c>
      <c r="K348">
        <f t="shared" si="17"/>
        <v>0.21878673282841471</v>
      </c>
    </row>
    <row r="349" spans="1:11" x14ac:dyDescent="0.25">
      <c r="A349" s="1">
        <v>1962</v>
      </c>
      <c r="B349" s="1" t="s">
        <v>104</v>
      </c>
      <c r="C349" t="s">
        <v>9</v>
      </c>
      <c r="D349" s="1" t="s">
        <v>3</v>
      </c>
      <c r="E349">
        <v>41</v>
      </c>
      <c r="F349" s="1" t="s">
        <v>101</v>
      </c>
      <c r="G349">
        <v>10</v>
      </c>
      <c r="H349">
        <v>26</v>
      </c>
      <c r="I349" s="2">
        <f t="shared" si="15"/>
        <v>14.180400000000001</v>
      </c>
      <c r="J349">
        <f t="shared" si="16"/>
        <v>1.2330782608695652</v>
      </c>
      <c r="K349">
        <f t="shared" si="17"/>
        <v>0.37034212588143117</v>
      </c>
    </row>
    <row r="350" spans="1:11" x14ac:dyDescent="0.25">
      <c r="A350" s="1">
        <v>1962</v>
      </c>
      <c r="B350" s="1" t="s">
        <v>104</v>
      </c>
      <c r="C350" t="s">
        <v>9</v>
      </c>
      <c r="D350" s="1" t="s">
        <v>3</v>
      </c>
      <c r="E350">
        <v>41</v>
      </c>
      <c r="F350" s="1" t="s">
        <v>101</v>
      </c>
      <c r="G350">
        <v>12</v>
      </c>
      <c r="H350">
        <v>33</v>
      </c>
      <c r="I350" s="2">
        <f t="shared" si="15"/>
        <v>25.917407999999998</v>
      </c>
      <c r="J350">
        <f t="shared" si="16"/>
        <v>2.2536876521739129</v>
      </c>
      <c r="K350">
        <f t="shared" si="17"/>
        <v>0.67687145468790799</v>
      </c>
    </row>
    <row r="351" spans="1:11" x14ac:dyDescent="0.25">
      <c r="A351" s="1">
        <v>1962</v>
      </c>
      <c r="B351" s="1" t="s">
        <v>104</v>
      </c>
      <c r="C351" t="s">
        <v>9</v>
      </c>
      <c r="D351" s="1" t="s">
        <v>3</v>
      </c>
      <c r="E351">
        <v>41</v>
      </c>
      <c r="F351" s="1" t="s">
        <v>101</v>
      </c>
      <c r="G351">
        <v>14</v>
      </c>
      <c r="H351">
        <v>24</v>
      </c>
      <c r="I351" s="2">
        <f t="shared" si="15"/>
        <v>25.655615999999998</v>
      </c>
      <c r="J351">
        <f t="shared" si="16"/>
        <v>2.2309231304347823</v>
      </c>
      <c r="K351">
        <f t="shared" si="17"/>
        <v>0.67003436928701998</v>
      </c>
    </row>
    <row r="352" spans="1:11" x14ac:dyDescent="0.25">
      <c r="A352" s="1">
        <v>1962</v>
      </c>
      <c r="B352" s="1" t="s">
        <v>104</v>
      </c>
      <c r="C352" t="s">
        <v>9</v>
      </c>
      <c r="D352" s="1" t="s">
        <v>3</v>
      </c>
      <c r="E352">
        <v>41</v>
      </c>
      <c r="F352" s="1" t="s">
        <v>101</v>
      </c>
      <c r="G352">
        <v>16</v>
      </c>
      <c r="H352">
        <v>13</v>
      </c>
      <c r="I352" s="2">
        <f t="shared" si="15"/>
        <v>18.150911999999998</v>
      </c>
      <c r="J352">
        <f t="shared" si="16"/>
        <v>1.5783401739130434</v>
      </c>
      <c r="K352">
        <f t="shared" si="17"/>
        <v>0.4740379211282319</v>
      </c>
    </row>
    <row r="353" spans="1:11" x14ac:dyDescent="0.25">
      <c r="A353" s="1">
        <v>1962</v>
      </c>
      <c r="B353" s="1" t="s">
        <v>104</v>
      </c>
      <c r="C353" t="s">
        <v>9</v>
      </c>
      <c r="D353" s="1" t="s">
        <v>3</v>
      </c>
      <c r="E353">
        <v>41</v>
      </c>
      <c r="F353" s="1" t="s">
        <v>101</v>
      </c>
      <c r="G353">
        <v>18</v>
      </c>
      <c r="H353">
        <v>6</v>
      </c>
      <c r="I353" s="2">
        <f t="shared" si="15"/>
        <v>10.602575999999999</v>
      </c>
      <c r="J353">
        <f t="shared" si="16"/>
        <v>0.92196313043478251</v>
      </c>
      <c r="K353">
        <f t="shared" si="17"/>
        <v>0.27690195873596235</v>
      </c>
    </row>
    <row r="354" spans="1:11" x14ac:dyDescent="0.25">
      <c r="A354" s="1">
        <v>1962</v>
      </c>
      <c r="B354" s="1" t="s">
        <v>104</v>
      </c>
      <c r="C354" t="s">
        <v>9</v>
      </c>
      <c r="D354" s="1" t="s">
        <v>3</v>
      </c>
      <c r="E354">
        <v>47</v>
      </c>
      <c r="F354" s="1" t="s">
        <v>101</v>
      </c>
      <c r="G354">
        <v>8</v>
      </c>
      <c r="H354">
        <v>1</v>
      </c>
      <c r="I354" s="2">
        <f t="shared" si="15"/>
        <v>0.34905599999999998</v>
      </c>
      <c r="J354">
        <f t="shared" si="16"/>
        <v>3.0352695652173911E-2</v>
      </c>
      <c r="K354">
        <f t="shared" si="17"/>
        <v>9.1161138678506129E-3</v>
      </c>
    </row>
    <row r="355" spans="1:11" x14ac:dyDescent="0.25">
      <c r="A355" s="1">
        <v>1962</v>
      </c>
      <c r="B355" s="1" t="s">
        <v>104</v>
      </c>
      <c r="C355" t="s">
        <v>9</v>
      </c>
      <c r="D355" s="1" t="s">
        <v>3</v>
      </c>
      <c r="E355">
        <v>47</v>
      </c>
      <c r="F355" s="1" t="s">
        <v>101</v>
      </c>
      <c r="G355">
        <v>12</v>
      </c>
      <c r="H355">
        <v>1</v>
      </c>
      <c r="I355" s="2">
        <f t="shared" si="15"/>
        <v>0.78537599999999996</v>
      </c>
      <c r="J355">
        <f t="shared" si="16"/>
        <v>6.82935652173913E-2</v>
      </c>
      <c r="K355">
        <f t="shared" si="17"/>
        <v>2.0511256202663881E-2</v>
      </c>
    </row>
    <row r="356" spans="1:11" x14ac:dyDescent="0.25">
      <c r="A356" s="1">
        <v>1962</v>
      </c>
      <c r="B356" s="1" t="s">
        <v>104</v>
      </c>
      <c r="C356" t="s">
        <v>9</v>
      </c>
      <c r="D356" s="1" t="s">
        <v>3</v>
      </c>
      <c r="E356">
        <v>53</v>
      </c>
      <c r="F356" s="1" t="s">
        <v>101</v>
      </c>
      <c r="G356">
        <v>6</v>
      </c>
      <c r="H356">
        <v>15</v>
      </c>
      <c r="I356" s="2">
        <f t="shared" si="15"/>
        <v>2.94516</v>
      </c>
      <c r="J356">
        <f t="shared" si="16"/>
        <v>0.25610086956521738</v>
      </c>
      <c r="K356">
        <f t="shared" si="17"/>
        <v>7.6917210759989543E-2</v>
      </c>
    </row>
    <row r="357" spans="1:11" x14ac:dyDescent="0.25">
      <c r="A357" s="1">
        <v>1962</v>
      </c>
      <c r="B357" s="1" t="s">
        <v>104</v>
      </c>
      <c r="C357" t="s">
        <v>9</v>
      </c>
      <c r="D357" s="1" t="s">
        <v>3</v>
      </c>
      <c r="E357">
        <v>53</v>
      </c>
      <c r="F357" s="1" t="s">
        <v>101</v>
      </c>
      <c r="G357">
        <v>8</v>
      </c>
      <c r="H357">
        <v>6</v>
      </c>
      <c r="I357" s="2">
        <f t="shared" si="15"/>
        <v>2.0943359999999998</v>
      </c>
      <c r="J357">
        <f t="shared" si="16"/>
        <v>0.18211617391304347</v>
      </c>
      <c r="K357">
        <f t="shared" si="17"/>
        <v>5.4696683207103677E-2</v>
      </c>
    </row>
    <row r="358" spans="1:11" x14ac:dyDescent="0.25">
      <c r="A358" s="1">
        <v>1962</v>
      </c>
      <c r="B358" s="1" t="s">
        <v>104</v>
      </c>
      <c r="C358" t="s">
        <v>9</v>
      </c>
      <c r="D358" s="1" t="s">
        <v>3</v>
      </c>
      <c r="E358">
        <v>53</v>
      </c>
      <c r="F358" s="1" t="s">
        <v>101</v>
      </c>
      <c r="G358">
        <v>10</v>
      </c>
      <c r="H358">
        <v>4</v>
      </c>
      <c r="I358" s="2">
        <f t="shared" si="15"/>
        <v>2.1816</v>
      </c>
      <c r="J358">
        <f t="shared" si="16"/>
        <v>0.18970434782608694</v>
      </c>
      <c r="K358">
        <f t="shared" si="17"/>
        <v>5.6975711674066329E-2</v>
      </c>
    </row>
    <row r="359" spans="1:11" x14ac:dyDescent="0.25">
      <c r="A359" s="1">
        <v>1962</v>
      </c>
      <c r="B359" s="1" t="s">
        <v>104</v>
      </c>
      <c r="C359" t="s">
        <v>9</v>
      </c>
      <c r="D359" s="1" t="s">
        <v>3</v>
      </c>
      <c r="E359">
        <v>53</v>
      </c>
      <c r="F359" s="1" t="s">
        <v>101</v>
      </c>
      <c r="G359">
        <v>12</v>
      </c>
      <c r="H359">
        <v>3</v>
      </c>
      <c r="I359" s="2">
        <f t="shared" si="15"/>
        <v>2.356128</v>
      </c>
      <c r="J359">
        <f t="shared" si="16"/>
        <v>0.2048806956521739</v>
      </c>
      <c r="K359">
        <f t="shared" si="17"/>
        <v>6.1533768607991639E-2</v>
      </c>
    </row>
    <row r="360" spans="1:11" x14ac:dyDescent="0.25">
      <c r="A360" s="1">
        <v>1962</v>
      </c>
      <c r="B360" s="1" t="s">
        <v>104</v>
      </c>
      <c r="C360" t="s">
        <v>9</v>
      </c>
      <c r="D360" s="1" t="s">
        <v>3</v>
      </c>
      <c r="E360">
        <v>53</v>
      </c>
      <c r="F360" s="1" t="s">
        <v>101</v>
      </c>
      <c r="G360">
        <v>14</v>
      </c>
      <c r="H360">
        <v>1</v>
      </c>
      <c r="I360" s="2">
        <f t="shared" si="15"/>
        <v>1.0689839999999999</v>
      </c>
      <c r="J360">
        <f t="shared" si="16"/>
        <v>9.295513043478261E-2</v>
      </c>
      <c r="K360">
        <f t="shared" si="17"/>
        <v>2.7918098720292505E-2</v>
      </c>
    </row>
    <row r="361" spans="1:11" x14ac:dyDescent="0.25">
      <c r="A361" s="1">
        <v>1962</v>
      </c>
      <c r="B361" s="1" t="s">
        <v>104</v>
      </c>
      <c r="C361" t="s">
        <v>9</v>
      </c>
      <c r="D361" s="1" t="s">
        <v>3</v>
      </c>
      <c r="E361">
        <v>54</v>
      </c>
      <c r="F361" s="1" t="s">
        <v>101</v>
      </c>
      <c r="G361">
        <v>6</v>
      </c>
      <c r="H361">
        <v>6</v>
      </c>
      <c r="I361" s="2">
        <f t="shared" si="15"/>
        <v>1.178064</v>
      </c>
      <c r="J361">
        <f t="shared" si="16"/>
        <v>0.10244034782608695</v>
      </c>
      <c r="K361">
        <f t="shared" si="17"/>
        <v>3.0766884303995819E-2</v>
      </c>
    </row>
    <row r="362" spans="1:11" x14ac:dyDescent="0.25">
      <c r="A362" s="1">
        <v>1962</v>
      </c>
      <c r="B362" s="1" t="s">
        <v>104</v>
      </c>
      <c r="C362" t="s">
        <v>9</v>
      </c>
      <c r="D362" s="1" t="s">
        <v>3</v>
      </c>
      <c r="E362">
        <v>56</v>
      </c>
      <c r="F362" s="1" t="s">
        <v>101</v>
      </c>
      <c r="G362">
        <v>6</v>
      </c>
      <c r="H362">
        <v>5</v>
      </c>
      <c r="I362" s="2">
        <f t="shared" si="15"/>
        <v>0.98171999999999993</v>
      </c>
      <c r="J362">
        <f t="shared" si="16"/>
        <v>8.5366956521739118E-2</v>
      </c>
      <c r="K362">
        <f t="shared" si="17"/>
        <v>2.5639070253329847E-2</v>
      </c>
    </row>
    <row r="363" spans="1:11" x14ac:dyDescent="0.25">
      <c r="A363" s="1">
        <v>1962</v>
      </c>
      <c r="B363" s="1" t="s">
        <v>104</v>
      </c>
      <c r="C363" t="s">
        <v>9</v>
      </c>
      <c r="D363" s="1" t="s">
        <v>3</v>
      </c>
      <c r="E363">
        <v>56</v>
      </c>
      <c r="F363" s="1" t="s">
        <v>101</v>
      </c>
      <c r="G363">
        <v>8</v>
      </c>
      <c r="H363">
        <v>7</v>
      </c>
      <c r="I363" s="2">
        <f t="shared" si="15"/>
        <v>2.4433919999999998</v>
      </c>
      <c r="J363">
        <f t="shared" si="16"/>
        <v>0.21246886956521738</v>
      </c>
      <c r="K363">
        <f t="shared" si="17"/>
        <v>6.3812797074954297E-2</v>
      </c>
    </row>
    <row r="364" spans="1:11" x14ac:dyDescent="0.25">
      <c r="A364" s="1">
        <v>1962</v>
      </c>
      <c r="B364" s="1" t="s">
        <v>104</v>
      </c>
      <c r="C364" t="s">
        <v>9</v>
      </c>
      <c r="D364" s="1" t="s">
        <v>3</v>
      </c>
      <c r="E364">
        <v>56</v>
      </c>
      <c r="F364" s="1" t="s">
        <v>101</v>
      </c>
      <c r="G364">
        <v>10</v>
      </c>
      <c r="H364">
        <v>9</v>
      </c>
      <c r="I364" s="2">
        <f t="shared" si="15"/>
        <v>4.9085999999999999</v>
      </c>
      <c r="J364">
        <f t="shared" si="16"/>
        <v>0.42683478260869562</v>
      </c>
      <c r="K364">
        <f t="shared" si="17"/>
        <v>0.12819535126664924</v>
      </c>
    </row>
    <row r="365" spans="1:11" x14ac:dyDescent="0.25">
      <c r="A365" s="1">
        <v>1962</v>
      </c>
      <c r="B365" s="1" t="s">
        <v>104</v>
      </c>
      <c r="C365" t="s">
        <v>9</v>
      </c>
      <c r="D365" s="1" t="s">
        <v>3</v>
      </c>
      <c r="E365">
        <v>56</v>
      </c>
      <c r="F365" s="1" t="s">
        <v>101</v>
      </c>
      <c r="G365">
        <v>12</v>
      </c>
      <c r="H365">
        <v>7</v>
      </c>
      <c r="I365" s="2">
        <f t="shared" si="15"/>
        <v>5.4976319999999994</v>
      </c>
      <c r="J365">
        <f t="shared" si="16"/>
        <v>0.47805495652173907</v>
      </c>
      <c r="K365">
        <f t="shared" si="17"/>
        <v>0.14357879341864715</v>
      </c>
    </row>
    <row r="366" spans="1:11" x14ac:dyDescent="0.25">
      <c r="A366" s="1">
        <v>1962</v>
      </c>
      <c r="B366" s="1" t="s">
        <v>104</v>
      </c>
      <c r="C366" t="s">
        <v>9</v>
      </c>
      <c r="D366" s="1" t="s">
        <v>3</v>
      </c>
      <c r="E366">
        <v>56</v>
      </c>
      <c r="F366" s="1" t="s">
        <v>101</v>
      </c>
      <c r="G366">
        <v>14</v>
      </c>
      <c r="H366">
        <v>9</v>
      </c>
      <c r="I366" s="2">
        <f t="shared" si="15"/>
        <v>9.6208559999999999</v>
      </c>
      <c r="J366">
        <f t="shared" si="16"/>
        <v>0.83659617391304342</v>
      </c>
      <c r="K366">
        <f t="shared" si="17"/>
        <v>0.25126288848263251</v>
      </c>
    </row>
    <row r="367" spans="1:11" x14ac:dyDescent="0.25">
      <c r="A367" s="1">
        <v>1962</v>
      </c>
      <c r="B367" s="1" t="s">
        <v>104</v>
      </c>
      <c r="C367" t="s">
        <v>9</v>
      </c>
      <c r="D367" s="1" t="s">
        <v>3</v>
      </c>
      <c r="E367">
        <v>56</v>
      </c>
      <c r="F367" s="1" t="s">
        <v>101</v>
      </c>
      <c r="G367">
        <v>16</v>
      </c>
      <c r="H367">
        <v>8</v>
      </c>
      <c r="I367" s="2">
        <f t="shared" si="15"/>
        <v>11.169791999999999</v>
      </c>
      <c r="J367">
        <f t="shared" si="16"/>
        <v>0.97128626086956515</v>
      </c>
      <c r="K367">
        <f t="shared" si="17"/>
        <v>0.29171564377121961</v>
      </c>
    </row>
    <row r="368" spans="1:11" x14ac:dyDescent="0.25">
      <c r="A368" s="1">
        <v>1962</v>
      </c>
      <c r="B368" s="1" t="s">
        <v>104</v>
      </c>
      <c r="C368" t="s">
        <v>9</v>
      </c>
      <c r="D368" s="1" t="s">
        <v>3</v>
      </c>
      <c r="E368">
        <v>56</v>
      </c>
      <c r="F368" s="1" t="s">
        <v>101</v>
      </c>
      <c r="G368">
        <v>18</v>
      </c>
      <c r="H368">
        <v>1</v>
      </c>
      <c r="I368" s="2">
        <f t="shared" si="15"/>
        <v>1.7670959999999998</v>
      </c>
      <c r="J368">
        <f t="shared" si="16"/>
        <v>0.15366052173913042</v>
      </c>
      <c r="K368">
        <f t="shared" si="17"/>
        <v>4.6150326455993727E-2</v>
      </c>
    </row>
    <row r="369" spans="1:11" x14ac:dyDescent="0.25">
      <c r="A369" s="1">
        <v>1962</v>
      </c>
      <c r="B369" s="1" t="s">
        <v>104</v>
      </c>
      <c r="C369" t="s">
        <v>9</v>
      </c>
      <c r="D369" s="1" t="s">
        <v>3</v>
      </c>
      <c r="E369">
        <v>58</v>
      </c>
      <c r="F369" s="1" t="s">
        <v>101</v>
      </c>
      <c r="G369">
        <v>6</v>
      </c>
      <c r="H369">
        <v>89</v>
      </c>
      <c r="I369" s="2">
        <f t="shared" si="15"/>
        <v>17.474615999999997</v>
      </c>
      <c r="J369">
        <f t="shared" si="16"/>
        <v>1.5195318260869564</v>
      </c>
      <c r="K369">
        <f t="shared" si="17"/>
        <v>0.45637545050927131</v>
      </c>
    </row>
    <row r="370" spans="1:11" x14ac:dyDescent="0.25">
      <c r="A370" s="1">
        <v>1962</v>
      </c>
      <c r="B370" s="1" t="s">
        <v>104</v>
      </c>
      <c r="C370" t="s">
        <v>9</v>
      </c>
      <c r="D370" s="1" t="s">
        <v>3</v>
      </c>
      <c r="E370">
        <v>58</v>
      </c>
      <c r="F370" s="1" t="s">
        <v>101</v>
      </c>
      <c r="G370">
        <v>8</v>
      </c>
      <c r="H370">
        <v>13</v>
      </c>
      <c r="I370" s="2">
        <f t="shared" si="15"/>
        <v>4.5377279999999995</v>
      </c>
      <c r="J370">
        <f t="shared" si="16"/>
        <v>0.39458504347826084</v>
      </c>
      <c r="K370">
        <f t="shared" si="17"/>
        <v>0.11850948028205797</v>
      </c>
    </row>
    <row r="371" spans="1:11" x14ac:dyDescent="0.25">
      <c r="A371" s="1">
        <v>1962</v>
      </c>
      <c r="B371" s="1" t="s">
        <v>104</v>
      </c>
      <c r="C371" t="s">
        <v>9</v>
      </c>
      <c r="D371" s="1" t="s">
        <v>3</v>
      </c>
      <c r="E371">
        <v>63</v>
      </c>
      <c r="F371" s="1" t="s">
        <v>101</v>
      </c>
      <c r="G371">
        <v>6</v>
      </c>
      <c r="H371">
        <v>21</v>
      </c>
      <c r="I371" s="2">
        <f t="shared" si="15"/>
        <v>4.1232239999999996</v>
      </c>
      <c r="J371">
        <f t="shared" si="16"/>
        <v>0.35854121739130429</v>
      </c>
      <c r="K371">
        <f t="shared" si="17"/>
        <v>0.10768409506398535</v>
      </c>
    </row>
    <row r="372" spans="1:11" x14ac:dyDescent="0.25">
      <c r="A372" s="1">
        <v>1962</v>
      </c>
      <c r="B372" s="1" t="s">
        <v>104</v>
      </c>
      <c r="C372" t="s">
        <v>9</v>
      </c>
      <c r="D372" s="1" t="s">
        <v>3</v>
      </c>
      <c r="E372">
        <v>66</v>
      </c>
      <c r="F372" s="1" t="s">
        <v>101</v>
      </c>
      <c r="G372">
        <v>6</v>
      </c>
      <c r="H372">
        <v>2</v>
      </c>
      <c r="I372" s="2">
        <f t="shared" si="15"/>
        <v>0.39268799999999998</v>
      </c>
      <c r="J372">
        <f t="shared" si="16"/>
        <v>3.414678260869565E-2</v>
      </c>
      <c r="K372">
        <f t="shared" si="17"/>
        <v>1.025562810133194E-2</v>
      </c>
    </row>
    <row r="373" spans="1:11" x14ac:dyDescent="0.25">
      <c r="A373" s="1">
        <v>1962</v>
      </c>
      <c r="B373" s="1" t="s">
        <v>104</v>
      </c>
      <c r="C373" t="s">
        <v>9</v>
      </c>
      <c r="D373" s="1" t="s">
        <v>3</v>
      </c>
      <c r="E373">
        <v>66</v>
      </c>
      <c r="F373" s="1" t="s">
        <v>101</v>
      </c>
      <c r="G373">
        <v>8</v>
      </c>
      <c r="H373">
        <v>1</v>
      </c>
      <c r="I373" s="2">
        <f t="shared" si="15"/>
        <v>0.34905599999999998</v>
      </c>
      <c r="J373">
        <f t="shared" si="16"/>
        <v>3.0352695652173911E-2</v>
      </c>
      <c r="K373">
        <f t="shared" si="17"/>
        <v>9.1161138678506129E-3</v>
      </c>
    </row>
    <row r="374" spans="1:11" x14ac:dyDescent="0.25">
      <c r="A374" s="1">
        <v>1962</v>
      </c>
      <c r="B374" s="1" t="s">
        <v>104</v>
      </c>
      <c r="C374" t="s">
        <v>9</v>
      </c>
      <c r="D374" s="1" t="s">
        <v>3</v>
      </c>
      <c r="E374">
        <v>66</v>
      </c>
      <c r="F374" s="1" t="s">
        <v>101</v>
      </c>
      <c r="G374">
        <v>12</v>
      </c>
      <c r="H374">
        <v>3</v>
      </c>
      <c r="I374" s="2">
        <f t="shared" si="15"/>
        <v>2.356128</v>
      </c>
      <c r="J374">
        <f t="shared" si="16"/>
        <v>0.2048806956521739</v>
      </c>
      <c r="K374">
        <f t="shared" si="17"/>
        <v>6.1533768607991639E-2</v>
      </c>
    </row>
    <row r="375" spans="1:11" x14ac:dyDescent="0.25">
      <c r="A375" s="1">
        <v>1962</v>
      </c>
      <c r="B375" s="1" t="s">
        <v>104</v>
      </c>
      <c r="C375" t="s">
        <v>9</v>
      </c>
      <c r="D375" s="1" t="s">
        <v>3</v>
      </c>
      <c r="E375">
        <v>66</v>
      </c>
      <c r="F375" s="1" t="s">
        <v>101</v>
      </c>
      <c r="G375">
        <v>14</v>
      </c>
      <c r="H375">
        <v>3</v>
      </c>
      <c r="I375" s="2">
        <f t="shared" si="15"/>
        <v>3.2069519999999998</v>
      </c>
      <c r="J375">
        <f t="shared" si="16"/>
        <v>0.27886539130434779</v>
      </c>
      <c r="K375">
        <f t="shared" si="17"/>
        <v>8.3754296160877498E-2</v>
      </c>
    </row>
    <row r="376" spans="1:11" x14ac:dyDescent="0.25">
      <c r="A376" s="1">
        <v>1962</v>
      </c>
      <c r="B376" s="1" t="s">
        <v>104</v>
      </c>
      <c r="C376" t="s">
        <v>9</v>
      </c>
      <c r="D376" s="1" t="s">
        <v>3</v>
      </c>
      <c r="E376">
        <v>66</v>
      </c>
      <c r="F376" s="1" t="s">
        <v>101</v>
      </c>
      <c r="G376">
        <v>18</v>
      </c>
      <c r="H376">
        <v>1</v>
      </c>
      <c r="I376" s="2">
        <f t="shared" si="15"/>
        <v>1.7670959999999998</v>
      </c>
      <c r="J376">
        <f t="shared" si="16"/>
        <v>0.15366052173913042</v>
      </c>
      <c r="K376">
        <f t="shared" si="17"/>
        <v>4.6150326455993727E-2</v>
      </c>
    </row>
    <row r="377" spans="1:11" x14ac:dyDescent="0.25">
      <c r="A377" s="1">
        <v>1962</v>
      </c>
      <c r="B377" s="1" t="s">
        <v>104</v>
      </c>
      <c r="C377" t="s">
        <v>9</v>
      </c>
      <c r="D377" s="1" t="s">
        <v>3</v>
      </c>
      <c r="E377">
        <v>71</v>
      </c>
      <c r="F377" s="1" t="s">
        <v>101</v>
      </c>
      <c r="G377">
        <v>6</v>
      </c>
      <c r="H377">
        <v>18</v>
      </c>
      <c r="I377" s="2">
        <f t="shared" si="15"/>
        <v>3.534192</v>
      </c>
      <c r="J377">
        <f t="shared" si="16"/>
        <v>0.30732104347826089</v>
      </c>
      <c r="K377">
        <f t="shared" si="17"/>
        <v>9.2300652911987469E-2</v>
      </c>
    </row>
    <row r="378" spans="1:11" x14ac:dyDescent="0.25">
      <c r="A378" s="1">
        <v>1962</v>
      </c>
      <c r="B378" s="1" t="s">
        <v>104</v>
      </c>
      <c r="C378" t="s">
        <v>9</v>
      </c>
      <c r="D378" s="1" t="s">
        <v>3</v>
      </c>
      <c r="E378">
        <v>71</v>
      </c>
      <c r="F378" s="1" t="s">
        <v>101</v>
      </c>
      <c r="G378">
        <v>8</v>
      </c>
      <c r="H378">
        <v>6</v>
      </c>
      <c r="I378" s="2">
        <f t="shared" si="15"/>
        <v>2.0943359999999998</v>
      </c>
      <c r="J378">
        <f t="shared" si="16"/>
        <v>0.18211617391304347</v>
      </c>
      <c r="K378">
        <f t="shared" si="17"/>
        <v>5.4696683207103677E-2</v>
      </c>
    </row>
    <row r="379" spans="1:11" x14ac:dyDescent="0.25">
      <c r="A379" s="1">
        <v>1962</v>
      </c>
      <c r="B379" s="1" t="s">
        <v>104</v>
      </c>
      <c r="C379" t="s">
        <v>9</v>
      </c>
      <c r="D379" s="1" t="s">
        <v>3</v>
      </c>
      <c r="E379">
        <v>71</v>
      </c>
      <c r="F379" s="1" t="s">
        <v>101</v>
      </c>
      <c r="G379">
        <v>10</v>
      </c>
      <c r="H379">
        <v>4</v>
      </c>
      <c r="I379" s="2">
        <f t="shared" si="15"/>
        <v>2.1816</v>
      </c>
      <c r="J379">
        <f t="shared" si="16"/>
        <v>0.18970434782608694</v>
      </c>
      <c r="K379">
        <f t="shared" si="17"/>
        <v>5.6975711674066329E-2</v>
      </c>
    </row>
    <row r="380" spans="1:11" x14ac:dyDescent="0.25">
      <c r="A380" s="1">
        <v>1962</v>
      </c>
      <c r="B380" s="1" t="s">
        <v>104</v>
      </c>
      <c r="C380" t="s">
        <v>9</v>
      </c>
      <c r="D380" s="1" t="s">
        <v>3</v>
      </c>
      <c r="E380">
        <v>71</v>
      </c>
      <c r="F380" s="1" t="s">
        <v>101</v>
      </c>
      <c r="G380">
        <v>12</v>
      </c>
      <c r="H380">
        <v>1</v>
      </c>
      <c r="I380" s="2">
        <f t="shared" si="15"/>
        <v>0.78537599999999996</v>
      </c>
      <c r="J380">
        <f t="shared" si="16"/>
        <v>6.82935652173913E-2</v>
      </c>
      <c r="K380">
        <f t="shared" si="17"/>
        <v>2.0511256202663881E-2</v>
      </c>
    </row>
    <row r="381" spans="1:11" x14ac:dyDescent="0.25">
      <c r="A381" s="1">
        <v>1962</v>
      </c>
      <c r="B381" s="1" t="s">
        <v>104</v>
      </c>
      <c r="C381" t="s">
        <v>9</v>
      </c>
      <c r="D381" s="1" t="s">
        <v>3</v>
      </c>
      <c r="E381">
        <v>76</v>
      </c>
      <c r="F381" s="1" t="s">
        <v>101</v>
      </c>
      <c r="G381">
        <v>6</v>
      </c>
      <c r="H381">
        <v>6</v>
      </c>
      <c r="I381" s="2">
        <f t="shared" si="15"/>
        <v>1.178064</v>
      </c>
      <c r="J381">
        <f t="shared" si="16"/>
        <v>0.10244034782608695</v>
      </c>
      <c r="K381">
        <f t="shared" si="17"/>
        <v>3.0766884303995819E-2</v>
      </c>
    </row>
    <row r="382" spans="1:11" x14ac:dyDescent="0.25">
      <c r="A382" s="1">
        <v>1962</v>
      </c>
      <c r="B382" s="1" t="s">
        <v>104</v>
      </c>
      <c r="C382" t="s">
        <v>9</v>
      </c>
      <c r="D382" s="1" t="s">
        <v>3</v>
      </c>
      <c r="E382">
        <v>76</v>
      </c>
      <c r="F382" s="1" t="s">
        <v>101</v>
      </c>
      <c r="G382">
        <v>8</v>
      </c>
      <c r="H382">
        <v>2</v>
      </c>
      <c r="I382" s="2">
        <f t="shared" si="15"/>
        <v>0.69811199999999995</v>
      </c>
      <c r="J382">
        <f t="shared" si="16"/>
        <v>6.0705391304347822E-2</v>
      </c>
      <c r="K382">
        <f t="shared" si="17"/>
        <v>1.8232227735701226E-2</v>
      </c>
    </row>
    <row r="383" spans="1:11" x14ac:dyDescent="0.25">
      <c r="A383" s="1">
        <v>1962</v>
      </c>
      <c r="B383" s="1" t="s">
        <v>104</v>
      </c>
      <c r="C383" t="s">
        <v>9</v>
      </c>
      <c r="D383" s="1" t="s">
        <v>3</v>
      </c>
      <c r="E383">
        <v>76</v>
      </c>
      <c r="F383" s="1" t="s">
        <v>101</v>
      </c>
      <c r="G383">
        <v>10</v>
      </c>
      <c r="H383">
        <v>1</v>
      </c>
      <c r="I383" s="2">
        <f t="shared" si="15"/>
        <v>0.5454</v>
      </c>
      <c r="J383">
        <f t="shared" si="16"/>
        <v>4.7426086956521736E-2</v>
      </c>
      <c r="K383">
        <f t="shared" si="17"/>
        <v>1.4243927918516582E-2</v>
      </c>
    </row>
    <row r="384" spans="1:11" x14ac:dyDescent="0.25">
      <c r="A384" s="1">
        <v>1962</v>
      </c>
      <c r="B384" s="1" t="s">
        <v>104</v>
      </c>
      <c r="C384" t="s">
        <v>9</v>
      </c>
      <c r="D384" s="1" t="s">
        <v>3</v>
      </c>
      <c r="E384">
        <v>79</v>
      </c>
      <c r="F384" s="1" t="s">
        <v>101</v>
      </c>
      <c r="G384">
        <v>6</v>
      </c>
      <c r="H384">
        <v>167</v>
      </c>
      <c r="I384" s="2">
        <f t="shared" si="15"/>
        <v>32.789448</v>
      </c>
      <c r="J384">
        <f t="shared" si="16"/>
        <v>2.8512563478260868</v>
      </c>
      <c r="K384">
        <f t="shared" si="17"/>
        <v>0.85634494646121695</v>
      </c>
    </row>
    <row r="385" spans="1:11" x14ac:dyDescent="0.25">
      <c r="A385" s="1">
        <v>1962</v>
      </c>
      <c r="B385" s="1" t="s">
        <v>104</v>
      </c>
      <c r="C385" t="s">
        <v>9</v>
      </c>
      <c r="D385" s="1" t="s">
        <v>3</v>
      </c>
      <c r="E385">
        <v>79</v>
      </c>
      <c r="F385" s="1" t="s">
        <v>101</v>
      </c>
      <c r="G385">
        <v>8</v>
      </c>
      <c r="H385">
        <v>59</v>
      </c>
      <c r="I385" s="2">
        <f t="shared" si="15"/>
        <v>20.594303999999998</v>
      </c>
      <c r="J385">
        <f t="shared" si="16"/>
        <v>1.7908090434782606</v>
      </c>
      <c r="K385">
        <f t="shared" si="17"/>
        <v>0.53785071820318608</v>
      </c>
    </row>
    <row r="386" spans="1:11" x14ac:dyDescent="0.25">
      <c r="A386" s="1">
        <v>1962</v>
      </c>
      <c r="B386" s="1" t="s">
        <v>104</v>
      </c>
      <c r="C386" t="s">
        <v>9</v>
      </c>
      <c r="D386" s="1" t="s">
        <v>3</v>
      </c>
      <c r="E386">
        <v>79</v>
      </c>
      <c r="F386" s="1" t="s">
        <v>101</v>
      </c>
      <c r="G386">
        <v>10</v>
      </c>
      <c r="H386">
        <v>25</v>
      </c>
      <c r="I386" s="2">
        <f t="shared" si="15"/>
        <v>13.635</v>
      </c>
      <c r="J386">
        <f t="shared" si="16"/>
        <v>1.1856521739130435</v>
      </c>
      <c r="K386">
        <f t="shared" si="17"/>
        <v>0.35609819796291459</v>
      </c>
    </row>
    <row r="387" spans="1:11" x14ac:dyDescent="0.25">
      <c r="A387" s="1">
        <v>1962</v>
      </c>
      <c r="B387" s="1" t="s">
        <v>104</v>
      </c>
      <c r="C387" t="s">
        <v>9</v>
      </c>
      <c r="D387" s="1" t="s">
        <v>3</v>
      </c>
      <c r="E387">
        <v>79</v>
      </c>
      <c r="F387" s="1" t="s">
        <v>101</v>
      </c>
      <c r="G387">
        <v>12</v>
      </c>
      <c r="H387">
        <v>8</v>
      </c>
      <c r="I387" s="2">
        <f t="shared" ref="I387:I450" si="18">0.005454*G387^2*H387</f>
        <v>6.2830079999999997</v>
      </c>
      <c r="J387">
        <f t="shared" ref="J387:J450" si="19">I387/11.5</f>
        <v>0.5463485217391304</v>
      </c>
      <c r="K387">
        <f t="shared" ref="K387:K450" si="20">J387*(11.5/38.29)</f>
        <v>0.16409004962131105</v>
      </c>
    </row>
    <row r="388" spans="1:11" x14ac:dyDescent="0.25">
      <c r="A388" s="1">
        <v>1962</v>
      </c>
      <c r="B388" s="1" t="s">
        <v>104</v>
      </c>
      <c r="C388" t="s">
        <v>9</v>
      </c>
      <c r="D388" s="1" t="s">
        <v>3</v>
      </c>
      <c r="E388">
        <v>79</v>
      </c>
      <c r="F388" s="1" t="s">
        <v>101</v>
      </c>
      <c r="G388">
        <v>14</v>
      </c>
      <c r="H388">
        <v>8</v>
      </c>
      <c r="I388" s="2">
        <f t="shared" si="18"/>
        <v>8.5518719999999995</v>
      </c>
      <c r="J388">
        <f t="shared" si="19"/>
        <v>0.74364104347826088</v>
      </c>
      <c r="K388">
        <f t="shared" si="20"/>
        <v>0.22334478976234004</v>
      </c>
    </row>
    <row r="389" spans="1:11" x14ac:dyDescent="0.25">
      <c r="A389" s="1">
        <v>1962</v>
      </c>
      <c r="B389" s="1" t="s">
        <v>104</v>
      </c>
      <c r="C389" t="s">
        <v>9</v>
      </c>
      <c r="D389" s="1" t="s">
        <v>3</v>
      </c>
      <c r="E389">
        <v>79</v>
      </c>
      <c r="F389" s="1" t="s">
        <v>101</v>
      </c>
      <c r="G389">
        <v>16</v>
      </c>
      <c r="H389">
        <v>1</v>
      </c>
      <c r="I389" s="2">
        <f t="shared" si="18"/>
        <v>1.3962239999999999</v>
      </c>
      <c r="J389">
        <f t="shared" si="19"/>
        <v>0.12141078260869564</v>
      </c>
      <c r="K389">
        <f t="shared" si="20"/>
        <v>3.6464455471402452E-2</v>
      </c>
    </row>
    <row r="390" spans="1:11" x14ac:dyDescent="0.25">
      <c r="A390" s="1">
        <v>1962</v>
      </c>
      <c r="B390" s="1" t="s">
        <v>104</v>
      </c>
      <c r="C390" t="s">
        <v>9</v>
      </c>
      <c r="D390" s="1" t="s">
        <v>3</v>
      </c>
      <c r="E390">
        <v>84</v>
      </c>
      <c r="F390" s="1" t="s">
        <v>101</v>
      </c>
      <c r="G390">
        <v>16</v>
      </c>
      <c r="H390">
        <v>1</v>
      </c>
      <c r="I390" s="2">
        <f t="shared" si="18"/>
        <v>1.3962239999999999</v>
      </c>
      <c r="J390">
        <f t="shared" si="19"/>
        <v>0.12141078260869564</v>
      </c>
      <c r="K390">
        <f t="shared" si="20"/>
        <v>3.6464455471402452E-2</v>
      </c>
    </row>
    <row r="391" spans="1:11" x14ac:dyDescent="0.25">
      <c r="A391" s="1">
        <v>1962</v>
      </c>
      <c r="B391" s="1" t="s">
        <v>104</v>
      </c>
      <c r="C391" t="s">
        <v>9</v>
      </c>
      <c r="D391" s="1" t="s">
        <v>3</v>
      </c>
      <c r="E391">
        <v>84</v>
      </c>
      <c r="F391" s="1" t="s">
        <v>101</v>
      </c>
      <c r="G391">
        <v>18</v>
      </c>
      <c r="H391">
        <v>1</v>
      </c>
      <c r="I391" s="2">
        <f t="shared" si="18"/>
        <v>1.7670959999999998</v>
      </c>
      <c r="J391">
        <f t="shared" si="19"/>
        <v>0.15366052173913042</v>
      </c>
      <c r="K391">
        <f t="shared" si="20"/>
        <v>4.6150326455993727E-2</v>
      </c>
    </row>
    <row r="392" spans="1:11" x14ac:dyDescent="0.25">
      <c r="A392" s="1">
        <v>1962</v>
      </c>
      <c r="B392" s="1" t="s">
        <v>104</v>
      </c>
      <c r="C392" t="s">
        <v>9</v>
      </c>
      <c r="D392" s="1" t="s">
        <v>3</v>
      </c>
      <c r="E392">
        <v>85</v>
      </c>
      <c r="F392" s="1" t="s">
        <v>101</v>
      </c>
      <c r="G392">
        <v>8</v>
      </c>
      <c r="H392">
        <v>5</v>
      </c>
      <c r="I392" s="2">
        <f t="shared" si="18"/>
        <v>1.7452799999999999</v>
      </c>
      <c r="J392">
        <f t="shared" si="19"/>
        <v>0.15176347826086956</v>
      </c>
      <c r="K392">
        <f t="shared" si="20"/>
        <v>4.5580569339253064E-2</v>
      </c>
    </row>
    <row r="393" spans="1:11" x14ac:dyDescent="0.25">
      <c r="A393" s="1">
        <v>1962</v>
      </c>
      <c r="B393" s="1" t="s">
        <v>104</v>
      </c>
      <c r="C393" t="s">
        <v>9</v>
      </c>
      <c r="D393" s="1" t="s">
        <v>3</v>
      </c>
      <c r="E393">
        <v>85</v>
      </c>
      <c r="F393" s="1" t="s">
        <v>101</v>
      </c>
      <c r="G393">
        <v>10</v>
      </c>
      <c r="H393">
        <v>5</v>
      </c>
      <c r="I393" s="2">
        <f t="shared" si="18"/>
        <v>2.7269999999999999</v>
      </c>
      <c r="J393">
        <f t="shared" si="19"/>
        <v>0.23713043478260867</v>
      </c>
      <c r="K393">
        <f t="shared" si="20"/>
        <v>7.1219639592582915E-2</v>
      </c>
    </row>
    <row r="394" spans="1:11" x14ac:dyDescent="0.25">
      <c r="A394" s="1">
        <v>1962</v>
      </c>
      <c r="B394" s="1" t="s">
        <v>104</v>
      </c>
      <c r="C394" t="s">
        <v>9</v>
      </c>
      <c r="D394" s="1" t="s">
        <v>3</v>
      </c>
      <c r="E394">
        <v>85</v>
      </c>
      <c r="F394" s="1" t="s">
        <v>101</v>
      </c>
      <c r="G394">
        <v>12</v>
      </c>
      <c r="H394">
        <v>5</v>
      </c>
      <c r="I394" s="2">
        <f t="shared" si="18"/>
        <v>3.9268799999999997</v>
      </c>
      <c r="J394">
        <f t="shared" si="19"/>
        <v>0.34146782608695647</v>
      </c>
      <c r="K394">
        <f t="shared" si="20"/>
        <v>0.10255628101331939</v>
      </c>
    </row>
    <row r="395" spans="1:11" x14ac:dyDescent="0.25">
      <c r="A395" s="1">
        <v>1962</v>
      </c>
      <c r="B395" s="1" t="s">
        <v>104</v>
      </c>
      <c r="C395" t="s">
        <v>9</v>
      </c>
      <c r="D395" s="1" t="s">
        <v>3</v>
      </c>
      <c r="E395">
        <v>85</v>
      </c>
      <c r="F395" s="1" t="s">
        <v>101</v>
      </c>
      <c r="G395">
        <v>14</v>
      </c>
      <c r="H395">
        <v>14</v>
      </c>
      <c r="I395" s="2">
        <f t="shared" si="18"/>
        <v>14.965775999999998</v>
      </c>
      <c r="J395">
        <f t="shared" si="19"/>
        <v>1.3013718260869565</v>
      </c>
      <c r="K395">
        <f t="shared" si="20"/>
        <v>0.39085338208409504</v>
      </c>
    </row>
    <row r="396" spans="1:11" x14ac:dyDescent="0.25">
      <c r="A396" s="1">
        <v>1962</v>
      </c>
      <c r="B396" s="1" t="s">
        <v>104</v>
      </c>
      <c r="C396" t="s">
        <v>9</v>
      </c>
      <c r="D396" s="1" t="s">
        <v>3</v>
      </c>
      <c r="E396">
        <v>85</v>
      </c>
      <c r="F396" s="1" t="s">
        <v>101</v>
      </c>
      <c r="G396">
        <v>16</v>
      </c>
      <c r="H396">
        <v>17</v>
      </c>
      <c r="I396" s="2">
        <f t="shared" si="18"/>
        <v>23.735807999999999</v>
      </c>
      <c r="J396">
        <f t="shared" si="19"/>
        <v>2.063983304347826</v>
      </c>
      <c r="K396">
        <f t="shared" si="20"/>
        <v>0.61989574301384165</v>
      </c>
    </row>
    <row r="397" spans="1:11" x14ac:dyDescent="0.25">
      <c r="A397" s="1">
        <v>1962</v>
      </c>
      <c r="B397" s="1" t="s">
        <v>104</v>
      </c>
      <c r="C397" t="s">
        <v>9</v>
      </c>
      <c r="D397" s="1" t="s">
        <v>3</v>
      </c>
      <c r="E397">
        <v>85</v>
      </c>
      <c r="F397" s="1" t="s">
        <v>101</v>
      </c>
      <c r="G397">
        <v>18</v>
      </c>
      <c r="H397">
        <v>1</v>
      </c>
      <c r="I397" s="2">
        <f t="shared" si="18"/>
        <v>1.7670959999999998</v>
      </c>
      <c r="J397">
        <f t="shared" si="19"/>
        <v>0.15366052173913042</v>
      </c>
      <c r="K397">
        <f t="shared" si="20"/>
        <v>4.6150326455993727E-2</v>
      </c>
    </row>
    <row r="398" spans="1:11" x14ac:dyDescent="0.25">
      <c r="A398" s="1">
        <v>1962</v>
      </c>
      <c r="B398" s="1" t="s">
        <v>104</v>
      </c>
      <c r="C398" t="s">
        <v>9</v>
      </c>
      <c r="D398" s="1" t="s">
        <v>3</v>
      </c>
      <c r="E398">
        <v>86</v>
      </c>
      <c r="F398" s="1" t="s">
        <v>101</v>
      </c>
      <c r="G398">
        <v>6</v>
      </c>
      <c r="H398">
        <v>1</v>
      </c>
      <c r="I398" s="2">
        <f t="shared" si="18"/>
        <v>0.19634399999999999</v>
      </c>
      <c r="J398">
        <f t="shared" si="19"/>
        <v>1.7073391304347825E-2</v>
      </c>
      <c r="K398">
        <f t="shared" si="20"/>
        <v>5.1278140506659702E-3</v>
      </c>
    </row>
    <row r="399" spans="1:11" x14ac:dyDescent="0.25">
      <c r="A399" s="1">
        <v>1962</v>
      </c>
      <c r="B399" s="1" t="s">
        <v>104</v>
      </c>
      <c r="C399" t="s">
        <v>9</v>
      </c>
      <c r="D399" s="1" t="s">
        <v>3</v>
      </c>
      <c r="E399">
        <v>88</v>
      </c>
      <c r="F399" s="1" t="s">
        <v>101</v>
      </c>
      <c r="G399">
        <v>6</v>
      </c>
      <c r="H399">
        <v>2</v>
      </c>
      <c r="I399" s="2">
        <f t="shared" si="18"/>
        <v>0.39268799999999998</v>
      </c>
      <c r="J399">
        <f t="shared" si="19"/>
        <v>3.414678260869565E-2</v>
      </c>
      <c r="K399">
        <f t="shared" si="20"/>
        <v>1.025562810133194E-2</v>
      </c>
    </row>
    <row r="400" spans="1:11" x14ac:dyDescent="0.25">
      <c r="A400" s="1">
        <v>1962</v>
      </c>
      <c r="B400" s="1" t="s">
        <v>104</v>
      </c>
      <c r="C400" t="s">
        <v>9</v>
      </c>
      <c r="D400" s="1" t="s">
        <v>3</v>
      </c>
      <c r="E400">
        <v>88</v>
      </c>
      <c r="F400" s="1" t="s">
        <v>101</v>
      </c>
      <c r="G400">
        <v>8</v>
      </c>
      <c r="H400">
        <v>1</v>
      </c>
      <c r="I400" s="2">
        <f t="shared" si="18"/>
        <v>0.34905599999999998</v>
      </c>
      <c r="J400">
        <f t="shared" si="19"/>
        <v>3.0352695652173911E-2</v>
      </c>
      <c r="K400">
        <f t="shared" si="20"/>
        <v>9.1161138678506129E-3</v>
      </c>
    </row>
    <row r="401" spans="1:11" x14ac:dyDescent="0.25">
      <c r="A401" s="1">
        <v>1962</v>
      </c>
      <c r="B401" s="1" t="s">
        <v>104</v>
      </c>
      <c r="C401" t="s">
        <v>9</v>
      </c>
      <c r="D401" s="1" t="s">
        <v>3</v>
      </c>
      <c r="E401">
        <v>91</v>
      </c>
      <c r="F401" s="1" t="s">
        <v>101</v>
      </c>
      <c r="G401">
        <v>6</v>
      </c>
      <c r="H401">
        <v>1</v>
      </c>
      <c r="I401" s="2">
        <f t="shared" si="18"/>
        <v>0.19634399999999999</v>
      </c>
      <c r="J401">
        <f t="shared" si="19"/>
        <v>1.7073391304347825E-2</v>
      </c>
      <c r="K401">
        <f t="shared" si="20"/>
        <v>5.1278140506659702E-3</v>
      </c>
    </row>
    <row r="402" spans="1:11" x14ac:dyDescent="0.25">
      <c r="A402" s="1">
        <v>1962</v>
      </c>
      <c r="B402" s="1" t="s">
        <v>104</v>
      </c>
      <c r="C402" t="s">
        <v>9</v>
      </c>
      <c r="D402" s="1" t="s">
        <v>3</v>
      </c>
      <c r="E402">
        <v>91</v>
      </c>
      <c r="F402" s="1" t="s">
        <v>101</v>
      </c>
      <c r="G402">
        <v>8</v>
      </c>
      <c r="H402">
        <v>3</v>
      </c>
      <c r="I402" s="2">
        <f t="shared" si="18"/>
        <v>1.0471679999999999</v>
      </c>
      <c r="J402">
        <f t="shared" si="19"/>
        <v>9.1058086956521733E-2</v>
      </c>
      <c r="K402">
        <f t="shared" si="20"/>
        <v>2.7348341603551839E-2</v>
      </c>
    </row>
    <row r="403" spans="1:11" x14ac:dyDescent="0.25">
      <c r="A403" s="1">
        <v>1962</v>
      </c>
      <c r="B403" s="1" t="s">
        <v>104</v>
      </c>
      <c r="C403" t="s">
        <v>9</v>
      </c>
      <c r="D403" s="1" t="s">
        <v>3</v>
      </c>
      <c r="E403">
        <v>91</v>
      </c>
      <c r="F403" s="1" t="s">
        <v>101</v>
      </c>
      <c r="G403">
        <v>10</v>
      </c>
      <c r="H403">
        <v>1</v>
      </c>
      <c r="I403" s="2">
        <f t="shared" si="18"/>
        <v>0.5454</v>
      </c>
      <c r="J403">
        <f t="shared" si="19"/>
        <v>4.7426086956521736E-2</v>
      </c>
      <c r="K403">
        <f t="shared" si="20"/>
        <v>1.4243927918516582E-2</v>
      </c>
    </row>
    <row r="404" spans="1:11" x14ac:dyDescent="0.25">
      <c r="A404" s="1">
        <v>1962</v>
      </c>
      <c r="B404" s="1" t="s">
        <v>104</v>
      </c>
      <c r="C404" t="s">
        <v>9</v>
      </c>
      <c r="D404" s="1" t="s">
        <v>5</v>
      </c>
      <c r="E404">
        <v>32</v>
      </c>
      <c r="F404" s="1" t="s">
        <v>101</v>
      </c>
      <c r="G404">
        <v>8</v>
      </c>
      <c r="H404">
        <v>1</v>
      </c>
      <c r="I404" s="2">
        <f t="shared" si="18"/>
        <v>0.34905599999999998</v>
      </c>
      <c r="J404">
        <f t="shared" si="19"/>
        <v>3.0352695652173911E-2</v>
      </c>
      <c r="K404">
        <f t="shared" si="20"/>
        <v>9.1161138678506129E-3</v>
      </c>
    </row>
    <row r="405" spans="1:11" x14ac:dyDescent="0.25">
      <c r="A405" s="1">
        <v>1962</v>
      </c>
      <c r="B405" s="1" t="s">
        <v>104</v>
      </c>
      <c r="C405" t="s">
        <v>9</v>
      </c>
      <c r="D405" s="1" t="s">
        <v>5</v>
      </c>
      <c r="E405">
        <v>32</v>
      </c>
      <c r="F405" s="1" t="s">
        <v>101</v>
      </c>
      <c r="G405">
        <v>14</v>
      </c>
      <c r="H405">
        <v>1</v>
      </c>
      <c r="I405" s="2">
        <f t="shared" si="18"/>
        <v>1.0689839999999999</v>
      </c>
      <c r="J405">
        <f t="shared" si="19"/>
        <v>9.295513043478261E-2</v>
      </c>
      <c r="K405">
        <f t="shared" si="20"/>
        <v>2.7918098720292505E-2</v>
      </c>
    </row>
    <row r="406" spans="1:11" x14ac:dyDescent="0.25">
      <c r="A406" s="1">
        <v>1962</v>
      </c>
      <c r="B406" s="1" t="s">
        <v>104</v>
      </c>
      <c r="C406" t="s">
        <v>9</v>
      </c>
      <c r="D406" s="1" t="s">
        <v>5</v>
      </c>
      <c r="E406">
        <v>32</v>
      </c>
      <c r="F406" s="1" t="s">
        <v>101</v>
      </c>
      <c r="G406">
        <v>16</v>
      </c>
      <c r="H406">
        <v>2</v>
      </c>
      <c r="I406" s="2">
        <f t="shared" si="18"/>
        <v>2.7924479999999998</v>
      </c>
      <c r="J406">
        <f t="shared" si="19"/>
        <v>0.24282156521739129</v>
      </c>
      <c r="K406">
        <f t="shared" si="20"/>
        <v>7.2928910942804903E-2</v>
      </c>
    </row>
    <row r="407" spans="1:11" x14ac:dyDescent="0.25">
      <c r="A407" s="1">
        <v>1962</v>
      </c>
      <c r="B407" s="1" t="s">
        <v>104</v>
      </c>
      <c r="C407" t="s">
        <v>9</v>
      </c>
      <c r="D407" s="1" t="s">
        <v>5</v>
      </c>
      <c r="E407">
        <v>38</v>
      </c>
      <c r="F407" s="1" t="s">
        <v>101</v>
      </c>
      <c r="G407">
        <v>10</v>
      </c>
      <c r="H407">
        <v>1</v>
      </c>
      <c r="I407" s="2">
        <f t="shared" si="18"/>
        <v>0.5454</v>
      </c>
      <c r="J407">
        <f t="shared" si="19"/>
        <v>4.7426086956521736E-2</v>
      </c>
      <c r="K407">
        <f t="shared" si="20"/>
        <v>1.4243927918516582E-2</v>
      </c>
    </row>
    <row r="408" spans="1:11" x14ac:dyDescent="0.25">
      <c r="A408" s="1">
        <v>1962</v>
      </c>
      <c r="B408" s="1" t="s">
        <v>104</v>
      </c>
      <c r="C408" t="s">
        <v>9</v>
      </c>
      <c r="D408" s="1" t="s">
        <v>5</v>
      </c>
      <c r="E408">
        <v>38</v>
      </c>
      <c r="F408" s="1" t="s">
        <v>101</v>
      </c>
      <c r="G408">
        <v>12</v>
      </c>
      <c r="H408">
        <v>2</v>
      </c>
      <c r="I408" s="2">
        <f t="shared" si="18"/>
        <v>1.5707519999999999</v>
      </c>
      <c r="J408">
        <f t="shared" si="19"/>
        <v>0.1365871304347826</v>
      </c>
      <c r="K408">
        <f t="shared" si="20"/>
        <v>4.1022512405327761E-2</v>
      </c>
    </row>
    <row r="409" spans="1:11" x14ac:dyDescent="0.25">
      <c r="A409" s="1">
        <v>1962</v>
      </c>
      <c r="B409" s="1" t="s">
        <v>104</v>
      </c>
      <c r="C409" t="s">
        <v>9</v>
      </c>
      <c r="D409" s="1" t="s">
        <v>5</v>
      </c>
      <c r="E409">
        <v>38</v>
      </c>
      <c r="F409" s="1" t="s">
        <v>101</v>
      </c>
      <c r="G409">
        <v>18</v>
      </c>
      <c r="H409">
        <v>1</v>
      </c>
      <c r="I409" s="2">
        <f t="shared" si="18"/>
        <v>1.7670959999999998</v>
      </c>
      <c r="J409">
        <f t="shared" si="19"/>
        <v>0.15366052173913042</v>
      </c>
      <c r="K409">
        <f t="shared" si="20"/>
        <v>4.6150326455993727E-2</v>
      </c>
    </row>
    <row r="410" spans="1:11" x14ac:dyDescent="0.25">
      <c r="A410" s="1">
        <v>1962</v>
      </c>
      <c r="B410" s="1" t="s">
        <v>104</v>
      </c>
      <c r="C410" t="s">
        <v>9</v>
      </c>
      <c r="D410" s="1" t="s">
        <v>5</v>
      </c>
      <c r="E410">
        <v>53</v>
      </c>
      <c r="F410" s="1" t="s">
        <v>101</v>
      </c>
      <c r="G410">
        <v>6</v>
      </c>
      <c r="H410">
        <v>1</v>
      </c>
      <c r="I410" s="2">
        <f t="shared" si="18"/>
        <v>0.19634399999999999</v>
      </c>
      <c r="J410">
        <f t="shared" si="19"/>
        <v>1.7073391304347825E-2</v>
      </c>
      <c r="K410">
        <f t="shared" si="20"/>
        <v>5.1278140506659702E-3</v>
      </c>
    </row>
    <row r="411" spans="1:11" x14ac:dyDescent="0.25">
      <c r="A411" s="1">
        <v>1962</v>
      </c>
      <c r="B411" s="1" t="s">
        <v>104</v>
      </c>
      <c r="C411" t="s">
        <v>9</v>
      </c>
      <c r="D411" s="1" t="s">
        <v>5</v>
      </c>
      <c r="E411">
        <v>54</v>
      </c>
      <c r="F411" s="1" t="s">
        <v>101</v>
      </c>
      <c r="G411">
        <v>6</v>
      </c>
      <c r="H411">
        <v>1</v>
      </c>
      <c r="I411" s="2">
        <f t="shared" si="18"/>
        <v>0.19634399999999999</v>
      </c>
      <c r="J411">
        <f t="shared" si="19"/>
        <v>1.7073391304347825E-2</v>
      </c>
      <c r="K411">
        <f t="shared" si="20"/>
        <v>5.1278140506659702E-3</v>
      </c>
    </row>
    <row r="412" spans="1:11" x14ac:dyDescent="0.25">
      <c r="A412" s="1">
        <v>1962</v>
      </c>
      <c r="B412" s="1" t="s">
        <v>104</v>
      </c>
      <c r="C412" t="s">
        <v>9</v>
      </c>
      <c r="D412" s="1" t="s">
        <v>5</v>
      </c>
      <c r="E412">
        <v>79</v>
      </c>
      <c r="F412" s="1" t="s">
        <v>101</v>
      </c>
      <c r="G412">
        <v>12</v>
      </c>
      <c r="H412">
        <v>1</v>
      </c>
      <c r="I412" s="2">
        <f t="shared" si="18"/>
        <v>0.78537599999999996</v>
      </c>
      <c r="J412">
        <f t="shared" si="19"/>
        <v>6.82935652173913E-2</v>
      </c>
      <c r="K412">
        <f t="shared" si="20"/>
        <v>2.0511256202663881E-2</v>
      </c>
    </row>
    <row r="413" spans="1:11" x14ac:dyDescent="0.25">
      <c r="A413" s="1">
        <v>1962</v>
      </c>
      <c r="B413" s="1" t="s">
        <v>104</v>
      </c>
      <c r="C413" t="s">
        <v>9</v>
      </c>
      <c r="D413" s="1" t="s">
        <v>5</v>
      </c>
      <c r="E413">
        <v>79</v>
      </c>
      <c r="F413" s="1" t="s">
        <v>101</v>
      </c>
      <c r="G413">
        <v>14</v>
      </c>
      <c r="H413">
        <v>2</v>
      </c>
      <c r="I413" s="2">
        <f t="shared" si="18"/>
        <v>2.1379679999999999</v>
      </c>
      <c r="J413">
        <f t="shared" si="19"/>
        <v>0.18591026086956522</v>
      </c>
      <c r="K413">
        <f t="shared" si="20"/>
        <v>5.583619744058501E-2</v>
      </c>
    </row>
    <row r="414" spans="1:11" x14ac:dyDescent="0.25">
      <c r="A414" s="1">
        <v>1962</v>
      </c>
      <c r="B414" s="1" t="s">
        <v>104</v>
      </c>
      <c r="C414" t="s">
        <v>9</v>
      </c>
      <c r="D414" s="1" t="s">
        <v>5</v>
      </c>
      <c r="E414">
        <v>79</v>
      </c>
      <c r="F414" s="1" t="s">
        <v>101</v>
      </c>
      <c r="G414">
        <v>16</v>
      </c>
      <c r="H414">
        <v>1</v>
      </c>
      <c r="I414" s="2">
        <f t="shared" si="18"/>
        <v>1.3962239999999999</v>
      </c>
      <c r="J414">
        <f t="shared" si="19"/>
        <v>0.12141078260869564</v>
      </c>
      <c r="K414">
        <f t="shared" si="20"/>
        <v>3.6464455471402452E-2</v>
      </c>
    </row>
    <row r="415" spans="1:11" x14ac:dyDescent="0.25">
      <c r="A415" s="1">
        <v>1962</v>
      </c>
      <c r="B415" s="1" t="s">
        <v>104</v>
      </c>
      <c r="C415" t="s">
        <v>9</v>
      </c>
      <c r="D415" s="1" t="s">
        <v>5</v>
      </c>
      <c r="E415">
        <v>85</v>
      </c>
      <c r="F415" s="1" t="s">
        <v>101</v>
      </c>
      <c r="G415">
        <v>12</v>
      </c>
      <c r="H415">
        <v>1</v>
      </c>
      <c r="I415" s="2">
        <f t="shared" si="18"/>
        <v>0.78537599999999996</v>
      </c>
      <c r="J415">
        <f t="shared" si="19"/>
        <v>6.82935652173913E-2</v>
      </c>
      <c r="K415">
        <f t="shared" si="20"/>
        <v>2.0511256202663881E-2</v>
      </c>
    </row>
    <row r="416" spans="1:11" x14ac:dyDescent="0.25">
      <c r="A416" s="1">
        <v>1962</v>
      </c>
      <c r="B416" s="1" t="s">
        <v>104</v>
      </c>
      <c r="C416" t="s">
        <v>9</v>
      </c>
      <c r="D416" s="1" t="s">
        <v>5</v>
      </c>
      <c r="E416">
        <v>85</v>
      </c>
      <c r="F416" s="1" t="s">
        <v>101</v>
      </c>
      <c r="G416">
        <v>14</v>
      </c>
      <c r="H416">
        <v>4</v>
      </c>
      <c r="I416" s="2">
        <f t="shared" si="18"/>
        <v>4.2759359999999997</v>
      </c>
      <c r="J416">
        <f t="shared" si="19"/>
        <v>0.37182052173913044</v>
      </c>
      <c r="K416">
        <f t="shared" si="20"/>
        <v>0.11167239488117002</v>
      </c>
    </row>
    <row r="417" spans="1:11" x14ac:dyDescent="0.25">
      <c r="A417" s="1">
        <v>1962</v>
      </c>
      <c r="B417" s="1" t="s">
        <v>104</v>
      </c>
      <c r="C417" t="s">
        <v>9</v>
      </c>
      <c r="D417" s="1" t="s">
        <v>5</v>
      </c>
      <c r="E417">
        <v>85</v>
      </c>
      <c r="F417" s="1" t="s">
        <v>101</v>
      </c>
      <c r="G417">
        <v>16</v>
      </c>
      <c r="H417">
        <v>3</v>
      </c>
      <c r="I417" s="2">
        <f t="shared" si="18"/>
        <v>4.1886719999999995</v>
      </c>
      <c r="J417">
        <f t="shared" si="19"/>
        <v>0.36423234782608693</v>
      </c>
      <c r="K417">
        <f t="shared" si="20"/>
        <v>0.10939336641420735</v>
      </c>
    </row>
    <row r="418" spans="1:11" x14ac:dyDescent="0.25">
      <c r="A418" s="1">
        <v>1973</v>
      </c>
      <c r="B418" s="1" t="s">
        <v>104</v>
      </c>
      <c r="C418" t="s">
        <v>9</v>
      </c>
      <c r="D418" s="1" t="s">
        <v>3</v>
      </c>
      <c r="E418">
        <v>11</v>
      </c>
      <c r="F418" s="1" t="s">
        <v>101</v>
      </c>
      <c r="G418">
        <v>6</v>
      </c>
      <c r="H418">
        <v>3</v>
      </c>
      <c r="I418" s="2">
        <f t="shared" si="18"/>
        <v>0.589032</v>
      </c>
      <c r="J418">
        <f t="shared" si="19"/>
        <v>5.1220173913043475E-2</v>
      </c>
      <c r="K418">
        <f t="shared" si="20"/>
        <v>1.538344215199791E-2</v>
      </c>
    </row>
    <row r="419" spans="1:11" x14ac:dyDescent="0.25">
      <c r="A419" s="1">
        <v>1973</v>
      </c>
      <c r="B419" s="1" t="s">
        <v>104</v>
      </c>
      <c r="C419" t="s">
        <v>9</v>
      </c>
      <c r="D419" s="1" t="s">
        <v>3</v>
      </c>
      <c r="E419">
        <v>17</v>
      </c>
      <c r="F419" s="1" t="s">
        <v>101</v>
      </c>
      <c r="G419">
        <v>6</v>
      </c>
      <c r="H419">
        <v>5</v>
      </c>
      <c r="I419" s="2">
        <f t="shared" si="18"/>
        <v>0.98171999999999993</v>
      </c>
      <c r="J419">
        <f t="shared" si="19"/>
        <v>8.5366956521739118E-2</v>
      </c>
      <c r="K419">
        <f t="shared" si="20"/>
        <v>2.5639070253329847E-2</v>
      </c>
    </row>
    <row r="420" spans="1:11" x14ac:dyDescent="0.25">
      <c r="A420" s="1">
        <v>1973</v>
      </c>
      <c r="B420" s="1" t="s">
        <v>104</v>
      </c>
      <c r="C420" t="s">
        <v>9</v>
      </c>
      <c r="D420" s="1" t="s">
        <v>3</v>
      </c>
      <c r="E420">
        <v>17</v>
      </c>
      <c r="F420" s="1" t="s">
        <v>101</v>
      </c>
      <c r="G420">
        <v>8</v>
      </c>
      <c r="H420">
        <v>9</v>
      </c>
      <c r="I420" s="2">
        <f t="shared" si="18"/>
        <v>3.1415039999999999</v>
      </c>
      <c r="J420">
        <f t="shared" si="19"/>
        <v>0.2731742608695652</v>
      </c>
      <c r="K420">
        <f t="shared" si="20"/>
        <v>8.2045024810655523E-2</v>
      </c>
    </row>
    <row r="421" spans="1:11" x14ac:dyDescent="0.25">
      <c r="A421" s="1">
        <v>1973</v>
      </c>
      <c r="B421" s="1" t="s">
        <v>104</v>
      </c>
      <c r="C421" t="s">
        <v>9</v>
      </c>
      <c r="D421" s="1" t="s">
        <v>3</v>
      </c>
      <c r="E421">
        <v>17</v>
      </c>
      <c r="F421" s="1" t="s">
        <v>101</v>
      </c>
      <c r="G421">
        <v>12</v>
      </c>
      <c r="H421">
        <v>1</v>
      </c>
      <c r="I421" s="2">
        <f t="shared" si="18"/>
        <v>0.78537599999999996</v>
      </c>
      <c r="J421">
        <f t="shared" si="19"/>
        <v>6.82935652173913E-2</v>
      </c>
      <c r="K421">
        <f t="shared" si="20"/>
        <v>2.0511256202663881E-2</v>
      </c>
    </row>
    <row r="422" spans="1:11" x14ac:dyDescent="0.25">
      <c r="A422" s="1">
        <v>1973</v>
      </c>
      <c r="B422" s="1" t="s">
        <v>104</v>
      </c>
      <c r="C422" t="s">
        <v>9</v>
      </c>
      <c r="D422" s="1" t="s">
        <v>3</v>
      </c>
      <c r="E422">
        <v>21</v>
      </c>
      <c r="F422" s="1" t="s">
        <v>101</v>
      </c>
      <c r="G422">
        <v>6</v>
      </c>
      <c r="H422">
        <v>4</v>
      </c>
      <c r="I422" s="2">
        <f t="shared" si="18"/>
        <v>0.78537599999999996</v>
      </c>
      <c r="J422">
        <f t="shared" si="19"/>
        <v>6.82935652173913E-2</v>
      </c>
      <c r="K422">
        <f t="shared" si="20"/>
        <v>2.0511256202663881E-2</v>
      </c>
    </row>
    <row r="423" spans="1:11" x14ac:dyDescent="0.25">
      <c r="A423" s="1">
        <v>1973</v>
      </c>
      <c r="B423" s="1" t="s">
        <v>104</v>
      </c>
      <c r="C423" t="s">
        <v>9</v>
      </c>
      <c r="D423" s="1" t="s">
        <v>3</v>
      </c>
      <c r="E423">
        <v>21</v>
      </c>
      <c r="F423" s="1" t="s">
        <v>101</v>
      </c>
      <c r="G423">
        <v>8</v>
      </c>
      <c r="H423">
        <v>1</v>
      </c>
      <c r="I423" s="2">
        <f t="shared" si="18"/>
        <v>0.34905599999999998</v>
      </c>
      <c r="J423">
        <f t="shared" si="19"/>
        <v>3.0352695652173911E-2</v>
      </c>
      <c r="K423">
        <f t="shared" si="20"/>
        <v>9.1161138678506129E-3</v>
      </c>
    </row>
    <row r="424" spans="1:11" x14ac:dyDescent="0.25">
      <c r="A424" s="1">
        <v>1973</v>
      </c>
      <c r="B424" s="1" t="s">
        <v>104</v>
      </c>
      <c r="C424" t="s">
        <v>9</v>
      </c>
      <c r="D424" s="1" t="s">
        <v>3</v>
      </c>
      <c r="E424">
        <v>21</v>
      </c>
      <c r="F424" s="1" t="s">
        <v>101</v>
      </c>
      <c r="G424">
        <v>12</v>
      </c>
      <c r="H424">
        <v>1</v>
      </c>
      <c r="I424" s="2">
        <f t="shared" si="18"/>
        <v>0.78537599999999996</v>
      </c>
      <c r="J424">
        <f t="shared" si="19"/>
        <v>6.82935652173913E-2</v>
      </c>
      <c r="K424">
        <f t="shared" si="20"/>
        <v>2.0511256202663881E-2</v>
      </c>
    </row>
    <row r="425" spans="1:11" x14ac:dyDescent="0.25">
      <c r="A425" s="1">
        <v>1973</v>
      </c>
      <c r="B425" s="1" t="s">
        <v>104</v>
      </c>
      <c r="C425" t="s">
        <v>9</v>
      </c>
      <c r="D425" s="1" t="s">
        <v>3</v>
      </c>
      <c r="E425">
        <v>21</v>
      </c>
      <c r="F425" s="1" t="s">
        <v>101</v>
      </c>
      <c r="G425">
        <v>16</v>
      </c>
      <c r="H425">
        <v>1</v>
      </c>
      <c r="I425" s="2">
        <f t="shared" si="18"/>
        <v>1.3962239999999999</v>
      </c>
      <c r="J425">
        <f t="shared" si="19"/>
        <v>0.12141078260869564</v>
      </c>
      <c r="K425">
        <f t="shared" si="20"/>
        <v>3.6464455471402452E-2</v>
      </c>
    </row>
    <row r="426" spans="1:11" x14ac:dyDescent="0.25">
      <c r="A426" s="1">
        <v>1973</v>
      </c>
      <c r="B426" s="1" t="s">
        <v>104</v>
      </c>
      <c r="C426" t="s">
        <v>9</v>
      </c>
      <c r="D426" s="1" t="s">
        <v>3</v>
      </c>
      <c r="E426">
        <v>21</v>
      </c>
      <c r="F426" s="1" t="s">
        <v>101</v>
      </c>
      <c r="G426">
        <v>18</v>
      </c>
      <c r="H426">
        <v>1</v>
      </c>
      <c r="I426" s="2">
        <f t="shared" si="18"/>
        <v>1.7670959999999998</v>
      </c>
      <c r="J426">
        <f t="shared" si="19"/>
        <v>0.15366052173913042</v>
      </c>
      <c r="K426">
        <f t="shared" si="20"/>
        <v>4.6150326455993727E-2</v>
      </c>
    </row>
    <row r="427" spans="1:11" x14ac:dyDescent="0.25">
      <c r="A427" s="1">
        <v>1973</v>
      </c>
      <c r="B427" s="1" t="s">
        <v>104</v>
      </c>
      <c r="C427" t="s">
        <v>9</v>
      </c>
      <c r="D427" s="1" t="s">
        <v>3</v>
      </c>
      <c r="E427">
        <v>25</v>
      </c>
      <c r="F427" s="1" t="s">
        <v>101</v>
      </c>
      <c r="G427">
        <v>8</v>
      </c>
      <c r="H427">
        <v>1</v>
      </c>
      <c r="I427" s="2">
        <f t="shared" si="18"/>
        <v>0.34905599999999998</v>
      </c>
      <c r="J427">
        <f t="shared" si="19"/>
        <v>3.0352695652173911E-2</v>
      </c>
      <c r="K427">
        <f t="shared" si="20"/>
        <v>9.1161138678506129E-3</v>
      </c>
    </row>
    <row r="428" spans="1:11" x14ac:dyDescent="0.25">
      <c r="A428" s="1">
        <v>1973</v>
      </c>
      <c r="B428" s="1" t="s">
        <v>104</v>
      </c>
      <c r="C428" t="s">
        <v>9</v>
      </c>
      <c r="D428" s="1" t="s">
        <v>3</v>
      </c>
      <c r="E428">
        <v>25</v>
      </c>
      <c r="F428" s="1" t="s">
        <v>101</v>
      </c>
      <c r="G428">
        <v>10</v>
      </c>
      <c r="H428">
        <v>1</v>
      </c>
      <c r="I428" s="2">
        <f t="shared" si="18"/>
        <v>0.5454</v>
      </c>
      <c r="J428">
        <f t="shared" si="19"/>
        <v>4.7426086956521736E-2</v>
      </c>
      <c r="K428">
        <f t="shared" si="20"/>
        <v>1.4243927918516582E-2</v>
      </c>
    </row>
    <row r="429" spans="1:11" x14ac:dyDescent="0.25">
      <c r="A429" s="1">
        <v>1973</v>
      </c>
      <c r="B429" s="1" t="s">
        <v>104</v>
      </c>
      <c r="C429" t="s">
        <v>9</v>
      </c>
      <c r="D429" s="1" t="s">
        <v>3</v>
      </c>
      <c r="E429">
        <v>25</v>
      </c>
      <c r="F429" s="1" t="s">
        <v>101</v>
      </c>
      <c r="G429">
        <v>18</v>
      </c>
      <c r="H429">
        <v>2</v>
      </c>
      <c r="I429" s="2">
        <f t="shared" si="18"/>
        <v>3.5341919999999996</v>
      </c>
      <c r="J429">
        <f t="shared" si="19"/>
        <v>0.30732104347826084</v>
      </c>
      <c r="K429">
        <f t="shared" si="20"/>
        <v>9.2300652911987455E-2</v>
      </c>
    </row>
    <row r="430" spans="1:11" x14ac:dyDescent="0.25">
      <c r="A430" s="1">
        <v>1973</v>
      </c>
      <c r="B430" s="1" t="s">
        <v>104</v>
      </c>
      <c r="C430" t="s">
        <v>9</v>
      </c>
      <c r="D430" s="1" t="s">
        <v>3</v>
      </c>
      <c r="E430">
        <v>29</v>
      </c>
      <c r="F430" s="1" t="s">
        <v>101</v>
      </c>
      <c r="G430">
        <v>6</v>
      </c>
      <c r="H430">
        <v>37</v>
      </c>
      <c r="I430" s="2">
        <f t="shared" si="18"/>
        <v>7.2647279999999999</v>
      </c>
      <c r="J430">
        <f t="shared" si="19"/>
        <v>0.6317154782608696</v>
      </c>
      <c r="K430">
        <f t="shared" si="20"/>
        <v>0.18972911987464092</v>
      </c>
    </row>
    <row r="431" spans="1:11" x14ac:dyDescent="0.25">
      <c r="A431" s="1">
        <v>1973</v>
      </c>
      <c r="B431" s="1" t="s">
        <v>104</v>
      </c>
      <c r="C431" t="s">
        <v>9</v>
      </c>
      <c r="D431" s="1" t="s">
        <v>3</v>
      </c>
      <c r="E431">
        <v>29</v>
      </c>
      <c r="F431" s="1" t="s">
        <v>101</v>
      </c>
      <c r="G431">
        <v>8</v>
      </c>
      <c r="H431">
        <v>21</v>
      </c>
      <c r="I431" s="2">
        <f t="shared" si="18"/>
        <v>7.3301759999999998</v>
      </c>
      <c r="J431">
        <f t="shared" si="19"/>
        <v>0.63740660869565213</v>
      </c>
      <c r="K431">
        <f t="shared" si="20"/>
        <v>0.19143839122486286</v>
      </c>
    </row>
    <row r="432" spans="1:11" x14ac:dyDescent="0.25">
      <c r="A432" s="1">
        <v>1973</v>
      </c>
      <c r="B432" s="1" t="s">
        <v>104</v>
      </c>
      <c r="C432" t="s">
        <v>9</v>
      </c>
      <c r="D432" s="1" t="s">
        <v>3</v>
      </c>
      <c r="E432">
        <v>29</v>
      </c>
      <c r="F432" s="1" t="s">
        <v>101</v>
      </c>
      <c r="G432">
        <v>10</v>
      </c>
      <c r="H432">
        <v>2</v>
      </c>
      <c r="I432" s="2">
        <f t="shared" si="18"/>
        <v>1.0908</v>
      </c>
      <c r="J432">
        <f t="shared" si="19"/>
        <v>9.4852173913043472E-2</v>
      </c>
      <c r="K432">
        <f t="shared" si="20"/>
        <v>2.8487855837033164E-2</v>
      </c>
    </row>
    <row r="433" spans="1:11" x14ac:dyDescent="0.25">
      <c r="A433" s="1">
        <v>1973</v>
      </c>
      <c r="B433" s="1" t="s">
        <v>104</v>
      </c>
      <c r="C433" t="s">
        <v>9</v>
      </c>
      <c r="D433" s="1" t="s">
        <v>3</v>
      </c>
      <c r="E433">
        <v>29</v>
      </c>
      <c r="F433" s="1" t="s">
        <v>101</v>
      </c>
      <c r="G433">
        <v>12</v>
      </c>
      <c r="H433">
        <v>1</v>
      </c>
      <c r="I433" s="2">
        <f t="shared" si="18"/>
        <v>0.78537599999999996</v>
      </c>
      <c r="J433">
        <f t="shared" si="19"/>
        <v>6.82935652173913E-2</v>
      </c>
      <c r="K433">
        <f t="shared" si="20"/>
        <v>2.0511256202663881E-2</v>
      </c>
    </row>
    <row r="434" spans="1:11" x14ac:dyDescent="0.25">
      <c r="A434" s="1">
        <v>1973</v>
      </c>
      <c r="B434" s="1" t="s">
        <v>104</v>
      </c>
      <c r="C434" t="s">
        <v>9</v>
      </c>
      <c r="D434" s="1" t="s">
        <v>3</v>
      </c>
      <c r="E434">
        <v>32</v>
      </c>
      <c r="F434" s="1" t="s">
        <v>101</v>
      </c>
      <c r="G434">
        <v>6</v>
      </c>
      <c r="H434">
        <v>28</v>
      </c>
      <c r="I434" s="2">
        <f t="shared" si="18"/>
        <v>5.4976319999999994</v>
      </c>
      <c r="J434">
        <f t="shared" si="19"/>
        <v>0.47805495652173907</v>
      </c>
      <c r="K434">
        <f t="shared" si="20"/>
        <v>0.14357879341864715</v>
      </c>
    </row>
    <row r="435" spans="1:11" x14ac:dyDescent="0.25">
      <c r="A435" s="1">
        <v>1973</v>
      </c>
      <c r="B435" s="1" t="s">
        <v>104</v>
      </c>
      <c r="C435" t="s">
        <v>9</v>
      </c>
      <c r="D435" s="1" t="s">
        <v>3</v>
      </c>
      <c r="E435">
        <v>32</v>
      </c>
      <c r="F435" s="1" t="s">
        <v>101</v>
      </c>
      <c r="G435">
        <v>8</v>
      </c>
      <c r="H435">
        <v>6</v>
      </c>
      <c r="I435" s="2">
        <f t="shared" si="18"/>
        <v>2.0943359999999998</v>
      </c>
      <c r="J435">
        <f t="shared" si="19"/>
        <v>0.18211617391304347</v>
      </c>
      <c r="K435">
        <f t="shared" si="20"/>
        <v>5.4696683207103677E-2</v>
      </c>
    </row>
    <row r="436" spans="1:11" x14ac:dyDescent="0.25">
      <c r="A436" s="1">
        <v>1973</v>
      </c>
      <c r="B436" s="1" t="s">
        <v>104</v>
      </c>
      <c r="C436" t="s">
        <v>9</v>
      </c>
      <c r="D436" s="1" t="s">
        <v>3</v>
      </c>
      <c r="E436">
        <v>32</v>
      </c>
      <c r="F436" s="1" t="s">
        <v>101</v>
      </c>
      <c r="G436">
        <v>12</v>
      </c>
      <c r="H436">
        <v>4</v>
      </c>
      <c r="I436" s="2">
        <f t="shared" si="18"/>
        <v>3.1415039999999999</v>
      </c>
      <c r="J436">
        <f t="shared" si="19"/>
        <v>0.2731742608695652</v>
      </c>
      <c r="K436">
        <f t="shared" si="20"/>
        <v>8.2045024810655523E-2</v>
      </c>
    </row>
    <row r="437" spans="1:11" x14ac:dyDescent="0.25">
      <c r="A437" s="1">
        <v>1973</v>
      </c>
      <c r="B437" s="1" t="s">
        <v>104</v>
      </c>
      <c r="C437" t="s">
        <v>9</v>
      </c>
      <c r="D437" s="1" t="s">
        <v>3</v>
      </c>
      <c r="E437">
        <v>32</v>
      </c>
      <c r="F437" s="1" t="s">
        <v>101</v>
      </c>
      <c r="G437">
        <v>14</v>
      </c>
      <c r="H437">
        <v>1</v>
      </c>
      <c r="I437" s="2">
        <f t="shared" si="18"/>
        <v>1.0689839999999999</v>
      </c>
      <c r="J437">
        <f t="shared" si="19"/>
        <v>9.295513043478261E-2</v>
      </c>
      <c r="K437">
        <f t="shared" si="20"/>
        <v>2.7918098720292505E-2</v>
      </c>
    </row>
    <row r="438" spans="1:11" x14ac:dyDescent="0.25">
      <c r="A438" s="1">
        <v>1973</v>
      </c>
      <c r="B438" s="1" t="s">
        <v>104</v>
      </c>
      <c r="C438" t="s">
        <v>9</v>
      </c>
      <c r="D438" s="1" t="s">
        <v>3</v>
      </c>
      <c r="E438">
        <v>32</v>
      </c>
      <c r="F438" s="1" t="s">
        <v>101</v>
      </c>
      <c r="G438">
        <v>16</v>
      </c>
      <c r="H438">
        <v>1</v>
      </c>
      <c r="I438" s="2">
        <f t="shared" si="18"/>
        <v>1.3962239999999999</v>
      </c>
      <c r="J438">
        <f t="shared" si="19"/>
        <v>0.12141078260869564</v>
      </c>
      <c r="K438">
        <f t="shared" si="20"/>
        <v>3.6464455471402452E-2</v>
      </c>
    </row>
    <row r="439" spans="1:11" x14ac:dyDescent="0.25">
      <c r="A439" s="1">
        <v>1973</v>
      </c>
      <c r="B439" s="1" t="s">
        <v>104</v>
      </c>
      <c r="C439" t="s">
        <v>9</v>
      </c>
      <c r="D439" s="1" t="s">
        <v>3</v>
      </c>
      <c r="E439">
        <v>34</v>
      </c>
      <c r="F439" s="1" t="s">
        <v>101</v>
      </c>
      <c r="G439">
        <v>6</v>
      </c>
      <c r="H439">
        <v>73</v>
      </c>
      <c r="I439" s="2">
        <f t="shared" si="18"/>
        <v>14.333112</v>
      </c>
      <c r="J439">
        <f t="shared" si="19"/>
        <v>1.2463575652173913</v>
      </c>
      <c r="K439">
        <f t="shared" si="20"/>
        <v>0.3743304256986158</v>
      </c>
    </row>
    <row r="440" spans="1:11" x14ac:dyDescent="0.25">
      <c r="A440" s="1">
        <v>1973</v>
      </c>
      <c r="B440" s="1" t="s">
        <v>104</v>
      </c>
      <c r="C440" t="s">
        <v>9</v>
      </c>
      <c r="D440" s="1" t="s">
        <v>3</v>
      </c>
      <c r="E440">
        <v>34</v>
      </c>
      <c r="F440" s="1" t="s">
        <v>101</v>
      </c>
      <c r="G440">
        <v>8</v>
      </c>
      <c r="H440">
        <v>45</v>
      </c>
      <c r="I440" s="2">
        <f t="shared" si="18"/>
        <v>15.707519999999999</v>
      </c>
      <c r="J440">
        <f t="shared" si="19"/>
        <v>1.3658713043478259</v>
      </c>
      <c r="K440">
        <f t="shared" si="20"/>
        <v>0.41022512405327755</v>
      </c>
    </row>
    <row r="441" spans="1:11" x14ac:dyDescent="0.25">
      <c r="A441" s="1">
        <v>1973</v>
      </c>
      <c r="B441" s="1" t="s">
        <v>104</v>
      </c>
      <c r="C441" t="s">
        <v>9</v>
      </c>
      <c r="D441" s="1" t="s">
        <v>3</v>
      </c>
      <c r="E441">
        <v>34</v>
      </c>
      <c r="F441" s="1" t="s">
        <v>101</v>
      </c>
      <c r="G441">
        <v>10</v>
      </c>
      <c r="H441">
        <v>35</v>
      </c>
      <c r="I441" s="2">
        <f t="shared" si="18"/>
        <v>19.088999999999999</v>
      </c>
      <c r="J441">
        <f t="shared" si="19"/>
        <v>1.6599130434782607</v>
      </c>
      <c r="K441">
        <f t="shared" si="20"/>
        <v>0.49853747714808039</v>
      </c>
    </row>
    <row r="442" spans="1:11" x14ac:dyDescent="0.25">
      <c r="A442" s="1">
        <v>1973</v>
      </c>
      <c r="B442" s="1" t="s">
        <v>104</v>
      </c>
      <c r="C442" t="s">
        <v>9</v>
      </c>
      <c r="D442" s="1" t="s">
        <v>3</v>
      </c>
      <c r="E442">
        <v>34</v>
      </c>
      <c r="F442" s="1" t="s">
        <v>101</v>
      </c>
      <c r="G442">
        <v>12</v>
      </c>
      <c r="H442">
        <v>19</v>
      </c>
      <c r="I442" s="2">
        <f t="shared" si="18"/>
        <v>14.922143999999999</v>
      </c>
      <c r="J442">
        <f t="shared" si="19"/>
        <v>1.2975777391304348</v>
      </c>
      <c r="K442">
        <f t="shared" si="20"/>
        <v>0.38971386785061374</v>
      </c>
    </row>
    <row r="443" spans="1:11" x14ac:dyDescent="0.25">
      <c r="A443" s="1">
        <v>1973</v>
      </c>
      <c r="B443" s="1" t="s">
        <v>104</v>
      </c>
      <c r="C443" t="s">
        <v>9</v>
      </c>
      <c r="D443" s="1" t="s">
        <v>3</v>
      </c>
      <c r="E443">
        <v>34</v>
      </c>
      <c r="F443" s="1" t="s">
        <v>101</v>
      </c>
      <c r="G443">
        <v>14</v>
      </c>
      <c r="H443">
        <v>16</v>
      </c>
      <c r="I443" s="2">
        <f t="shared" si="18"/>
        <v>17.103743999999999</v>
      </c>
      <c r="J443">
        <f t="shared" si="19"/>
        <v>1.4872820869565218</v>
      </c>
      <c r="K443">
        <f t="shared" si="20"/>
        <v>0.44668957952468008</v>
      </c>
    </row>
    <row r="444" spans="1:11" x14ac:dyDescent="0.25">
      <c r="A444" s="1">
        <v>1973</v>
      </c>
      <c r="B444" s="1" t="s">
        <v>104</v>
      </c>
      <c r="C444" t="s">
        <v>9</v>
      </c>
      <c r="D444" s="1" t="s">
        <v>3</v>
      </c>
      <c r="E444">
        <v>34</v>
      </c>
      <c r="F444" s="1" t="s">
        <v>101</v>
      </c>
      <c r="G444">
        <v>16</v>
      </c>
      <c r="H444">
        <v>6</v>
      </c>
      <c r="I444" s="2">
        <f t="shared" si="18"/>
        <v>8.377343999999999</v>
      </c>
      <c r="J444">
        <f t="shared" si="19"/>
        <v>0.72846469565217387</v>
      </c>
      <c r="K444">
        <f t="shared" si="20"/>
        <v>0.21878673282841471</v>
      </c>
    </row>
    <row r="445" spans="1:11" x14ac:dyDescent="0.25">
      <c r="A445" s="1">
        <v>1973</v>
      </c>
      <c r="B445" s="1" t="s">
        <v>104</v>
      </c>
      <c r="C445" t="s">
        <v>9</v>
      </c>
      <c r="D445" s="1" t="s">
        <v>3</v>
      </c>
      <c r="E445">
        <v>34</v>
      </c>
      <c r="F445" s="1" t="s">
        <v>101</v>
      </c>
      <c r="G445">
        <v>18</v>
      </c>
      <c r="H445">
        <v>4</v>
      </c>
      <c r="I445" s="2">
        <f t="shared" si="18"/>
        <v>7.0683839999999991</v>
      </c>
      <c r="J445">
        <f t="shared" si="19"/>
        <v>0.61464208695652167</v>
      </c>
      <c r="K445">
        <f t="shared" si="20"/>
        <v>0.18460130582397491</v>
      </c>
    </row>
    <row r="446" spans="1:11" x14ac:dyDescent="0.25">
      <c r="A446" s="1">
        <v>1973</v>
      </c>
      <c r="B446" s="1" t="s">
        <v>104</v>
      </c>
      <c r="C446" t="s">
        <v>9</v>
      </c>
      <c r="D446" s="1" t="s">
        <v>3</v>
      </c>
      <c r="E446">
        <v>34</v>
      </c>
      <c r="F446" s="1" t="s">
        <v>101</v>
      </c>
      <c r="G446">
        <v>20</v>
      </c>
      <c r="H446">
        <v>1</v>
      </c>
      <c r="I446" s="2">
        <f t="shared" si="18"/>
        <v>2.1816</v>
      </c>
      <c r="J446">
        <f t="shared" si="19"/>
        <v>0.18970434782608694</v>
      </c>
      <c r="K446">
        <f t="shared" si="20"/>
        <v>5.6975711674066329E-2</v>
      </c>
    </row>
    <row r="447" spans="1:11" x14ac:dyDescent="0.25">
      <c r="A447" s="1">
        <v>1973</v>
      </c>
      <c r="B447" s="1" t="s">
        <v>104</v>
      </c>
      <c r="C447" t="s">
        <v>9</v>
      </c>
      <c r="D447" s="1" t="s">
        <v>3</v>
      </c>
      <c r="E447">
        <v>38</v>
      </c>
      <c r="F447" s="1" t="s">
        <v>101</v>
      </c>
      <c r="G447">
        <v>6</v>
      </c>
      <c r="H447">
        <v>153</v>
      </c>
      <c r="I447" s="2">
        <f t="shared" si="18"/>
        <v>30.040631999999999</v>
      </c>
      <c r="J447">
        <f t="shared" si="19"/>
        <v>2.6122288695652172</v>
      </c>
      <c r="K447">
        <f t="shared" si="20"/>
        <v>0.78455554975189334</v>
      </c>
    </row>
    <row r="448" spans="1:11" x14ac:dyDescent="0.25">
      <c r="A448" s="1">
        <v>1973</v>
      </c>
      <c r="B448" s="1" t="s">
        <v>104</v>
      </c>
      <c r="C448" t="s">
        <v>9</v>
      </c>
      <c r="D448" s="1" t="s">
        <v>3</v>
      </c>
      <c r="E448">
        <v>38</v>
      </c>
      <c r="F448" s="1" t="s">
        <v>101</v>
      </c>
      <c r="G448">
        <v>8</v>
      </c>
      <c r="H448">
        <v>160</v>
      </c>
      <c r="I448" s="2">
        <f t="shared" si="18"/>
        <v>55.848959999999998</v>
      </c>
      <c r="J448">
        <f t="shared" si="19"/>
        <v>4.8564313043478258</v>
      </c>
      <c r="K448">
        <f t="shared" si="20"/>
        <v>1.4585782188560981</v>
      </c>
    </row>
    <row r="449" spans="1:11" x14ac:dyDescent="0.25">
      <c r="A449" s="1">
        <v>1973</v>
      </c>
      <c r="B449" s="1" t="s">
        <v>104</v>
      </c>
      <c r="C449" t="s">
        <v>9</v>
      </c>
      <c r="D449" s="1" t="s">
        <v>3</v>
      </c>
      <c r="E449">
        <v>38</v>
      </c>
      <c r="F449" s="1" t="s">
        <v>101</v>
      </c>
      <c r="G449">
        <v>10</v>
      </c>
      <c r="H449">
        <v>179</v>
      </c>
      <c r="I449" s="2">
        <f t="shared" si="18"/>
        <v>97.626599999999996</v>
      </c>
      <c r="J449">
        <f t="shared" si="19"/>
        <v>8.4892695652173913</v>
      </c>
      <c r="K449">
        <f t="shared" si="20"/>
        <v>2.5496630974144683</v>
      </c>
    </row>
    <row r="450" spans="1:11" x14ac:dyDescent="0.25">
      <c r="A450" s="1">
        <v>1973</v>
      </c>
      <c r="B450" s="1" t="s">
        <v>104</v>
      </c>
      <c r="C450" t="s">
        <v>9</v>
      </c>
      <c r="D450" s="1" t="s">
        <v>3</v>
      </c>
      <c r="E450">
        <v>38</v>
      </c>
      <c r="F450" s="1" t="s">
        <v>101</v>
      </c>
      <c r="G450">
        <v>12</v>
      </c>
      <c r="H450">
        <v>120</v>
      </c>
      <c r="I450" s="2">
        <f t="shared" si="18"/>
        <v>94.24512</v>
      </c>
      <c r="J450">
        <f t="shared" si="19"/>
        <v>8.1952278260869562</v>
      </c>
      <c r="K450">
        <f t="shared" si="20"/>
        <v>2.4613507443196654</v>
      </c>
    </row>
    <row r="451" spans="1:11" x14ac:dyDescent="0.25">
      <c r="A451" s="1">
        <v>1973</v>
      </c>
      <c r="B451" s="1" t="s">
        <v>104</v>
      </c>
      <c r="C451" t="s">
        <v>9</v>
      </c>
      <c r="D451" s="1" t="s">
        <v>3</v>
      </c>
      <c r="E451">
        <v>38</v>
      </c>
      <c r="F451" s="1" t="s">
        <v>101</v>
      </c>
      <c r="G451">
        <v>14</v>
      </c>
      <c r="H451">
        <v>67</v>
      </c>
      <c r="I451" s="2">
        <f t="shared" ref="I451:I514" si="21">0.005454*G451^2*H451</f>
        <v>71.621927999999997</v>
      </c>
      <c r="J451">
        <f t="shared" ref="J451:J514" si="22">I451/11.5</f>
        <v>6.2279937391304347</v>
      </c>
      <c r="K451">
        <f t="shared" ref="K451:K514" si="23">J451*(11.5/38.29)</f>
        <v>1.8705126142595978</v>
      </c>
    </row>
    <row r="452" spans="1:11" x14ac:dyDescent="0.25">
      <c r="A452" s="1">
        <v>1973</v>
      </c>
      <c r="B452" s="1" t="s">
        <v>104</v>
      </c>
      <c r="C452" t="s">
        <v>9</v>
      </c>
      <c r="D452" s="1" t="s">
        <v>3</v>
      </c>
      <c r="E452">
        <v>38</v>
      </c>
      <c r="F452" s="1" t="s">
        <v>101</v>
      </c>
      <c r="G452">
        <v>16</v>
      </c>
      <c r="H452">
        <v>39</v>
      </c>
      <c r="I452" s="2">
        <f t="shared" si="21"/>
        <v>54.452735999999994</v>
      </c>
      <c r="J452">
        <f t="shared" si="22"/>
        <v>4.7350205217391297</v>
      </c>
      <c r="K452">
        <f t="shared" si="23"/>
        <v>1.4221137633846954</v>
      </c>
    </row>
    <row r="453" spans="1:11" x14ac:dyDescent="0.25">
      <c r="A453" s="1">
        <v>1973</v>
      </c>
      <c r="B453" s="1" t="s">
        <v>104</v>
      </c>
      <c r="C453" t="s">
        <v>9</v>
      </c>
      <c r="D453" s="1" t="s">
        <v>3</v>
      </c>
      <c r="E453">
        <v>38</v>
      </c>
      <c r="F453" s="1" t="s">
        <v>101</v>
      </c>
      <c r="G453">
        <v>18</v>
      </c>
      <c r="H453">
        <v>18</v>
      </c>
      <c r="I453" s="2">
        <f t="shared" si="21"/>
        <v>31.807727999999997</v>
      </c>
      <c r="J453">
        <f t="shared" si="22"/>
        <v>2.7658893913043476</v>
      </c>
      <c r="K453">
        <f t="shared" si="23"/>
        <v>0.83070587620788705</v>
      </c>
    </row>
    <row r="454" spans="1:11" x14ac:dyDescent="0.25">
      <c r="A454" s="1">
        <v>1973</v>
      </c>
      <c r="B454" s="1" t="s">
        <v>104</v>
      </c>
      <c r="C454" t="s">
        <v>9</v>
      </c>
      <c r="D454" s="1" t="s">
        <v>3</v>
      </c>
      <c r="E454">
        <v>38</v>
      </c>
      <c r="F454" s="1" t="s">
        <v>101</v>
      </c>
      <c r="G454">
        <v>20</v>
      </c>
      <c r="H454">
        <v>1</v>
      </c>
      <c r="I454" s="2">
        <f t="shared" si="21"/>
        <v>2.1816</v>
      </c>
      <c r="J454">
        <f t="shared" si="22"/>
        <v>0.18970434782608694</v>
      </c>
      <c r="K454">
        <f t="shared" si="23"/>
        <v>5.6975711674066329E-2</v>
      </c>
    </row>
    <row r="455" spans="1:11" x14ac:dyDescent="0.25">
      <c r="A455" s="1">
        <v>1973</v>
      </c>
      <c r="B455" s="1" t="s">
        <v>104</v>
      </c>
      <c r="C455" t="s">
        <v>9</v>
      </c>
      <c r="D455" s="1" t="s">
        <v>3</v>
      </c>
      <c r="E455">
        <v>40</v>
      </c>
      <c r="F455" s="1" t="s">
        <v>101</v>
      </c>
      <c r="G455">
        <v>6</v>
      </c>
      <c r="H455">
        <v>83</v>
      </c>
      <c r="I455" s="2">
        <f t="shared" si="21"/>
        <v>16.296551999999998</v>
      </c>
      <c r="J455">
        <f t="shared" si="22"/>
        <v>1.4170914782608695</v>
      </c>
      <c r="K455">
        <f t="shared" si="23"/>
        <v>0.42560856620527548</v>
      </c>
    </row>
    <row r="456" spans="1:11" x14ac:dyDescent="0.25">
      <c r="A456" s="1">
        <v>1973</v>
      </c>
      <c r="B456" s="1" t="s">
        <v>104</v>
      </c>
      <c r="C456" t="s">
        <v>9</v>
      </c>
      <c r="D456" s="1" t="s">
        <v>3</v>
      </c>
      <c r="E456">
        <v>40</v>
      </c>
      <c r="F456" s="1" t="s">
        <v>101</v>
      </c>
      <c r="G456">
        <v>8</v>
      </c>
      <c r="H456">
        <v>68</v>
      </c>
      <c r="I456" s="2">
        <f t="shared" si="21"/>
        <v>23.735807999999999</v>
      </c>
      <c r="J456">
        <f t="shared" si="22"/>
        <v>2.063983304347826</v>
      </c>
      <c r="K456">
        <f t="shared" si="23"/>
        <v>0.61989574301384165</v>
      </c>
    </row>
    <row r="457" spans="1:11" x14ac:dyDescent="0.25">
      <c r="A457" s="1">
        <v>1973</v>
      </c>
      <c r="B457" s="1" t="s">
        <v>104</v>
      </c>
      <c r="C457" t="s">
        <v>9</v>
      </c>
      <c r="D457" s="1" t="s">
        <v>3</v>
      </c>
      <c r="E457">
        <v>40</v>
      </c>
      <c r="F457" s="1" t="s">
        <v>101</v>
      </c>
      <c r="G457">
        <v>10</v>
      </c>
      <c r="H457">
        <v>69</v>
      </c>
      <c r="I457" s="2">
        <f t="shared" si="21"/>
        <v>37.632599999999996</v>
      </c>
      <c r="J457">
        <f t="shared" si="22"/>
        <v>3.2723999999999998</v>
      </c>
      <c r="K457">
        <f t="shared" si="23"/>
        <v>0.98283102637764419</v>
      </c>
    </row>
    <row r="458" spans="1:11" x14ac:dyDescent="0.25">
      <c r="A458" s="1">
        <v>1973</v>
      </c>
      <c r="B458" s="1" t="s">
        <v>104</v>
      </c>
      <c r="C458" t="s">
        <v>9</v>
      </c>
      <c r="D458" s="1" t="s">
        <v>3</v>
      </c>
      <c r="E458">
        <v>40</v>
      </c>
      <c r="F458" s="1" t="s">
        <v>101</v>
      </c>
      <c r="G458">
        <v>12</v>
      </c>
      <c r="H458">
        <v>63</v>
      </c>
      <c r="I458" s="2">
        <f t="shared" si="21"/>
        <v>49.478687999999998</v>
      </c>
      <c r="J458">
        <f t="shared" si="22"/>
        <v>4.3024946086956524</v>
      </c>
      <c r="K458">
        <f t="shared" si="23"/>
        <v>1.2922091407678244</v>
      </c>
    </row>
    <row r="459" spans="1:11" x14ac:dyDescent="0.25">
      <c r="A459" s="1">
        <v>1973</v>
      </c>
      <c r="B459" s="1" t="s">
        <v>104</v>
      </c>
      <c r="C459" t="s">
        <v>9</v>
      </c>
      <c r="D459" s="1" t="s">
        <v>3</v>
      </c>
      <c r="E459">
        <v>40</v>
      </c>
      <c r="F459" s="1" t="s">
        <v>101</v>
      </c>
      <c r="G459">
        <v>14</v>
      </c>
      <c r="H459">
        <v>49</v>
      </c>
      <c r="I459" s="2">
        <f t="shared" si="21"/>
        <v>52.380215999999997</v>
      </c>
      <c r="J459">
        <f t="shared" si="22"/>
        <v>4.5548013913043475</v>
      </c>
      <c r="K459">
        <f t="shared" si="23"/>
        <v>1.3679868372943327</v>
      </c>
    </row>
    <row r="460" spans="1:11" x14ac:dyDescent="0.25">
      <c r="A460" s="1">
        <v>1973</v>
      </c>
      <c r="B460" s="1" t="s">
        <v>104</v>
      </c>
      <c r="C460" t="s">
        <v>9</v>
      </c>
      <c r="D460" s="1" t="s">
        <v>3</v>
      </c>
      <c r="E460">
        <v>40</v>
      </c>
      <c r="F460" s="1" t="s">
        <v>101</v>
      </c>
      <c r="G460">
        <v>16</v>
      </c>
      <c r="H460">
        <v>36</v>
      </c>
      <c r="I460" s="2">
        <f t="shared" si="21"/>
        <v>50.264063999999998</v>
      </c>
      <c r="J460">
        <f t="shared" si="22"/>
        <v>4.3707881739130432</v>
      </c>
      <c r="K460">
        <f t="shared" si="23"/>
        <v>1.3127203969704884</v>
      </c>
    </row>
    <row r="461" spans="1:11" x14ac:dyDescent="0.25">
      <c r="A461" s="1">
        <v>1973</v>
      </c>
      <c r="B461" s="1" t="s">
        <v>104</v>
      </c>
      <c r="C461" t="s">
        <v>9</v>
      </c>
      <c r="D461" s="1" t="s">
        <v>3</v>
      </c>
      <c r="E461">
        <v>40</v>
      </c>
      <c r="F461" s="1" t="s">
        <v>101</v>
      </c>
      <c r="G461">
        <v>18</v>
      </c>
      <c r="H461">
        <v>20</v>
      </c>
      <c r="I461" s="2">
        <f t="shared" si="21"/>
        <v>35.341919999999995</v>
      </c>
      <c r="J461">
        <f t="shared" si="22"/>
        <v>3.0732104347826081</v>
      </c>
      <c r="K461">
        <f t="shared" si="23"/>
        <v>0.92300652911987446</v>
      </c>
    </row>
    <row r="462" spans="1:11" x14ac:dyDescent="0.25">
      <c r="A462" s="1">
        <v>1973</v>
      </c>
      <c r="B462" s="1" t="s">
        <v>104</v>
      </c>
      <c r="C462" t="s">
        <v>9</v>
      </c>
      <c r="D462" s="1" t="s">
        <v>3</v>
      </c>
      <c r="E462">
        <v>40</v>
      </c>
      <c r="F462" s="1" t="s">
        <v>101</v>
      </c>
      <c r="G462">
        <v>20</v>
      </c>
      <c r="H462">
        <v>8</v>
      </c>
      <c r="I462" s="2">
        <f t="shared" si="21"/>
        <v>17.4528</v>
      </c>
      <c r="J462">
        <f t="shared" si="22"/>
        <v>1.5176347826086956</v>
      </c>
      <c r="K462">
        <f t="shared" si="23"/>
        <v>0.45580569339253063</v>
      </c>
    </row>
    <row r="463" spans="1:11" x14ac:dyDescent="0.25">
      <c r="A463" s="1">
        <v>1973</v>
      </c>
      <c r="B463" s="1" t="s">
        <v>104</v>
      </c>
      <c r="C463" t="s">
        <v>9</v>
      </c>
      <c r="D463" s="1" t="s">
        <v>3</v>
      </c>
      <c r="E463">
        <v>41</v>
      </c>
      <c r="F463" s="1" t="s">
        <v>101</v>
      </c>
      <c r="G463">
        <v>6</v>
      </c>
      <c r="H463">
        <v>11</v>
      </c>
      <c r="I463" s="2">
        <f t="shared" si="21"/>
        <v>2.1597839999999997</v>
      </c>
      <c r="J463">
        <f t="shared" si="22"/>
        <v>0.18780730434782605</v>
      </c>
      <c r="K463">
        <f t="shared" si="23"/>
        <v>5.6405954557325659E-2</v>
      </c>
    </row>
    <row r="464" spans="1:11" x14ac:dyDescent="0.25">
      <c r="A464" s="1">
        <v>1973</v>
      </c>
      <c r="B464" s="1" t="s">
        <v>104</v>
      </c>
      <c r="C464" t="s">
        <v>9</v>
      </c>
      <c r="D464" s="1" t="s">
        <v>3</v>
      </c>
      <c r="E464">
        <v>41</v>
      </c>
      <c r="F464" s="1" t="s">
        <v>101</v>
      </c>
      <c r="G464">
        <v>8</v>
      </c>
      <c r="H464">
        <v>26</v>
      </c>
      <c r="I464" s="2">
        <f t="shared" si="21"/>
        <v>9.0754559999999991</v>
      </c>
      <c r="J464">
        <f t="shared" si="22"/>
        <v>0.78917008695652169</v>
      </c>
      <c r="K464">
        <f t="shared" si="23"/>
        <v>0.23701896056411595</v>
      </c>
    </row>
    <row r="465" spans="1:11" x14ac:dyDescent="0.25">
      <c r="A465" s="1">
        <v>1973</v>
      </c>
      <c r="B465" s="1" t="s">
        <v>104</v>
      </c>
      <c r="C465" t="s">
        <v>9</v>
      </c>
      <c r="D465" s="1" t="s">
        <v>3</v>
      </c>
      <c r="E465">
        <v>41</v>
      </c>
      <c r="F465" s="1" t="s">
        <v>101</v>
      </c>
      <c r="G465">
        <v>10</v>
      </c>
      <c r="H465">
        <v>12</v>
      </c>
      <c r="I465" s="2">
        <f t="shared" si="21"/>
        <v>6.5448000000000004</v>
      </c>
      <c r="J465">
        <f t="shared" si="22"/>
        <v>0.56911304347826086</v>
      </c>
      <c r="K465">
        <f t="shared" si="23"/>
        <v>0.170927135022199</v>
      </c>
    </row>
    <row r="466" spans="1:11" x14ac:dyDescent="0.25">
      <c r="A466" s="1">
        <v>1973</v>
      </c>
      <c r="B466" s="1" t="s">
        <v>104</v>
      </c>
      <c r="C466" t="s">
        <v>9</v>
      </c>
      <c r="D466" s="1" t="s">
        <v>3</v>
      </c>
      <c r="E466">
        <v>41</v>
      </c>
      <c r="F466" s="1" t="s">
        <v>101</v>
      </c>
      <c r="G466">
        <v>12</v>
      </c>
      <c r="H466">
        <v>20</v>
      </c>
      <c r="I466" s="2">
        <f t="shared" si="21"/>
        <v>15.707519999999999</v>
      </c>
      <c r="J466">
        <f t="shared" si="22"/>
        <v>1.3658713043478259</v>
      </c>
      <c r="K466">
        <f t="shared" si="23"/>
        <v>0.41022512405327755</v>
      </c>
    </row>
    <row r="467" spans="1:11" x14ac:dyDescent="0.25">
      <c r="A467" s="1">
        <v>1973</v>
      </c>
      <c r="B467" s="1" t="s">
        <v>104</v>
      </c>
      <c r="C467" t="s">
        <v>9</v>
      </c>
      <c r="D467" s="1" t="s">
        <v>3</v>
      </c>
      <c r="E467">
        <v>41</v>
      </c>
      <c r="F467" s="1" t="s">
        <v>101</v>
      </c>
      <c r="G467">
        <v>14</v>
      </c>
      <c r="H467">
        <v>19</v>
      </c>
      <c r="I467" s="2">
        <f t="shared" si="21"/>
        <v>20.310696</v>
      </c>
      <c r="J467">
        <f t="shared" si="22"/>
        <v>1.7661474782608695</v>
      </c>
      <c r="K467">
        <f t="shared" si="23"/>
        <v>0.53044387568555751</v>
      </c>
    </row>
    <row r="468" spans="1:11" x14ac:dyDescent="0.25">
      <c r="A468" s="1">
        <v>1973</v>
      </c>
      <c r="B468" s="1" t="s">
        <v>104</v>
      </c>
      <c r="C468" t="s">
        <v>9</v>
      </c>
      <c r="D468" s="1" t="s">
        <v>3</v>
      </c>
      <c r="E468">
        <v>41</v>
      </c>
      <c r="F468" s="1" t="s">
        <v>101</v>
      </c>
      <c r="G468">
        <v>16</v>
      </c>
      <c r="H468">
        <v>19</v>
      </c>
      <c r="I468" s="2">
        <f t="shared" si="21"/>
        <v>26.528255999999999</v>
      </c>
      <c r="J468">
        <f t="shared" si="22"/>
        <v>2.3068048695652172</v>
      </c>
      <c r="K468">
        <f t="shared" si="23"/>
        <v>0.69282465395664661</v>
      </c>
    </row>
    <row r="469" spans="1:11" x14ac:dyDescent="0.25">
      <c r="A469" s="1">
        <v>1973</v>
      </c>
      <c r="B469" s="1" t="s">
        <v>104</v>
      </c>
      <c r="C469" t="s">
        <v>9</v>
      </c>
      <c r="D469" s="1" t="s">
        <v>3</v>
      </c>
      <c r="E469">
        <v>41</v>
      </c>
      <c r="F469" s="1" t="s">
        <v>101</v>
      </c>
      <c r="G469">
        <v>18</v>
      </c>
      <c r="H469">
        <v>6</v>
      </c>
      <c r="I469" s="2">
        <f t="shared" si="21"/>
        <v>10.602575999999999</v>
      </c>
      <c r="J469">
        <f t="shared" si="22"/>
        <v>0.92196313043478251</v>
      </c>
      <c r="K469">
        <f t="shared" si="23"/>
        <v>0.27690195873596235</v>
      </c>
    </row>
    <row r="470" spans="1:11" x14ac:dyDescent="0.25">
      <c r="A470" s="1">
        <v>1973</v>
      </c>
      <c r="B470" s="1" t="s">
        <v>104</v>
      </c>
      <c r="C470" t="s">
        <v>9</v>
      </c>
      <c r="D470" s="1" t="s">
        <v>3</v>
      </c>
      <c r="E470">
        <v>41</v>
      </c>
      <c r="F470" s="1" t="s">
        <v>101</v>
      </c>
      <c r="G470">
        <v>20</v>
      </c>
      <c r="H470">
        <v>2</v>
      </c>
      <c r="I470" s="2">
        <f t="shared" si="21"/>
        <v>4.3632</v>
      </c>
      <c r="J470">
        <f t="shared" si="22"/>
        <v>0.37940869565217389</v>
      </c>
      <c r="K470">
        <f t="shared" si="23"/>
        <v>0.11395142334813266</v>
      </c>
    </row>
    <row r="471" spans="1:11" x14ac:dyDescent="0.25">
      <c r="A471" s="1">
        <v>1973</v>
      </c>
      <c r="B471" s="1" t="s">
        <v>104</v>
      </c>
      <c r="C471" t="s">
        <v>9</v>
      </c>
      <c r="D471" s="1" t="s">
        <v>3</v>
      </c>
      <c r="E471">
        <v>47</v>
      </c>
      <c r="F471" s="1" t="s">
        <v>101</v>
      </c>
      <c r="G471">
        <v>8</v>
      </c>
      <c r="H471">
        <v>1</v>
      </c>
      <c r="I471" s="2">
        <f t="shared" si="21"/>
        <v>0.34905599999999998</v>
      </c>
      <c r="J471">
        <f t="shared" si="22"/>
        <v>3.0352695652173911E-2</v>
      </c>
      <c r="K471">
        <f t="shared" si="23"/>
        <v>9.1161138678506129E-3</v>
      </c>
    </row>
    <row r="472" spans="1:11" x14ac:dyDescent="0.25">
      <c r="A472" s="1">
        <v>1973</v>
      </c>
      <c r="B472" s="1" t="s">
        <v>104</v>
      </c>
      <c r="C472" t="s">
        <v>9</v>
      </c>
      <c r="D472" s="1" t="s">
        <v>3</v>
      </c>
      <c r="E472">
        <v>47</v>
      </c>
      <c r="F472" s="1" t="s">
        <v>101</v>
      </c>
      <c r="G472">
        <v>10</v>
      </c>
      <c r="H472">
        <v>4</v>
      </c>
      <c r="I472" s="2">
        <f t="shared" si="21"/>
        <v>2.1816</v>
      </c>
      <c r="J472">
        <f t="shared" si="22"/>
        <v>0.18970434782608694</v>
      </c>
      <c r="K472">
        <f t="shared" si="23"/>
        <v>5.6975711674066329E-2</v>
      </c>
    </row>
    <row r="473" spans="1:11" x14ac:dyDescent="0.25">
      <c r="A473" s="1">
        <v>1973</v>
      </c>
      <c r="B473" s="1" t="s">
        <v>104</v>
      </c>
      <c r="C473" t="s">
        <v>9</v>
      </c>
      <c r="D473" s="1" t="s">
        <v>3</v>
      </c>
      <c r="E473">
        <v>47</v>
      </c>
      <c r="F473" s="1" t="s">
        <v>101</v>
      </c>
      <c r="G473">
        <v>14</v>
      </c>
      <c r="H473">
        <v>1</v>
      </c>
      <c r="I473" s="2">
        <f t="shared" si="21"/>
        <v>1.0689839999999999</v>
      </c>
      <c r="J473">
        <f t="shared" si="22"/>
        <v>9.295513043478261E-2</v>
      </c>
      <c r="K473">
        <f t="shared" si="23"/>
        <v>2.7918098720292505E-2</v>
      </c>
    </row>
    <row r="474" spans="1:11" x14ac:dyDescent="0.25">
      <c r="A474" s="1">
        <v>1973</v>
      </c>
      <c r="B474" s="1" t="s">
        <v>104</v>
      </c>
      <c r="C474" t="s">
        <v>9</v>
      </c>
      <c r="D474" s="1" t="s">
        <v>3</v>
      </c>
      <c r="E474">
        <v>53</v>
      </c>
      <c r="F474" s="1" t="s">
        <v>101</v>
      </c>
      <c r="G474">
        <v>6</v>
      </c>
      <c r="H474">
        <v>14</v>
      </c>
      <c r="I474" s="2">
        <f t="shared" si="21"/>
        <v>2.7488159999999997</v>
      </c>
      <c r="J474">
        <f t="shared" si="22"/>
        <v>0.23902747826086954</v>
      </c>
      <c r="K474">
        <f t="shared" si="23"/>
        <v>7.1789396709323577E-2</v>
      </c>
    </row>
    <row r="475" spans="1:11" x14ac:dyDescent="0.25">
      <c r="A475" s="1">
        <v>1973</v>
      </c>
      <c r="B475" s="1" t="s">
        <v>104</v>
      </c>
      <c r="C475" t="s">
        <v>9</v>
      </c>
      <c r="D475" s="1" t="s">
        <v>3</v>
      </c>
      <c r="E475">
        <v>53</v>
      </c>
      <c r="F475" s="1" t="s">
        <v>101</v>
      </c>
      <c r="G475">
        <v>8</v>
      </c>
      <c r="H475">
        <v>7</v>
      </c>
      <c r="I475" s="2">
        <f t="shared" si="21"/>
        <v>2.4433919999999998</v>
      </c>
      <c r="J475">
        <f t="shared" si="22"/>
        <v>0.21246886956521738</v>
      </c>
      <c r="K475">
        <f t="shared" si="23"/>
        <v>6.3812797074954297E-2</v>
      </c>
    </row>
    <row r="476" spans="1:11" x14ac:dyDescent="0.25">
      <c r="A476" s="1">
        <v>1973</v>
      </c>
      <c r="B476" s="1" t="s">
        <v>104</v>
      </c>
      <c r="C476" t="s">
        <v>9</v>
      </c>
      <c r="D476" s="1" t="s">
        <v>3</v>
      </c>
      <c r="E476">
        <v>53</v>
      </c>
      <c r="F476" s="1" t="s">
        <v>101</v>
      </c>
      <c r="G476">
        <v>10</v>
      </c>
      <c r="H476">
        <v>5</v>
      </c>
      <c r="I476" s="2">
        <f t="shared" si="21"/>
        <v>2.7269999999999999</v>
      </c>
      <c r="J476">
        <f t="shared" si="22"/>
        <v>0.23713043478260867</v>
      </c>
      <c r="K476">
        <f t="shared" si="23"/>
        <v>7.1219639592582915E-2</v>
      </c>
    </row>
    <row r="477" spans="1:11" x14ac:dyDescent="0.25">
      <c r="A477" s="1">
        <v>1973</v>
      </c>
      <c r="B477" s="1" t="s">
        <v>104</v>
      </c>
      <c r="C477" t="s">
        <v>9</v>
      </c>
      <c r="D477" s="1" t="s">
        <v>3</v>
      </c>
      <c r="E477">
        <v>53</v>
      </c>
      <c r="F477" s="1" t="s">
        <v>101</v>
      </c>
      <c r="G477">
        <v>12</v>
      </c>
      <c r="H477">
        <v>2</v>
      </c>
      <c r="I477" s="2">
        <f t="shared" si="21"/>
        <v>1.5707519999999999</v>
      </c>
      <c r="J477">
        <f t="shared" si="22"/>
        <v>0.1365871304347826</v>
      </c>
      <c r="K477">
        <f t="shared" si="23"/>
        <v>4.1022512405327761E-2</v>
      </c>
    </row>
    <row r="478" spans="1:11" x14ac:dyDescent="0.25">
      <c r="A478" s="1">
        <v>1973</v>
      </c>
      <c r="B478" s="1" t="s">
        <v>104</v>
      </c>
      <c r="C478" t="s">
        <v>9</v>
      </c>
      <c r="D478" s="1" t="s">
        <v>3</v>
      </c>
      <c r="E478">
        <v>53</v>
      </c>
      <c r="F478" s="1" t="s">
        <v>101</v>
      </c>
      <c r="G478">
        <v>14</v>
      </c>
      <c r="H478">
        <v>3</v>
      </c>
      <c r="I478" s="2">
        <f t="shared" si="21"/>
        <v>3.2069519999999998</v>
      </c>
      <c r="J478">
        <f t="shared" si="22"/>
        <v>0.27886539130434779</v>
      </c>
      <c r="K478">
        <f t="shared" si="23"/>
        <v>8.3754296160877498E-2</v>
      </c>
    </row>
    <row r="479" spans="1:11" x14ac:dyDescent="0.25">
      <c r="A479" s="1">
        <v>1973</v>
      </c>
      <c r="B479" s="1" t="s">
        <v>104</v>
      </c>
      <c r="C479" t="s">
        <v>9</v>
      </c>
      <c r="D479" s="1" t="s">
        <v>3</v>
      </c>
      <c r="E479">
        <v>53</v>
      </c>
      <c r="F479" s="1" t="s">
        <v>101</v>
      </c>
      <c r="G479">
        <v>16</v>
      </c>
      <c r="H479">
        <v>1</v>
      </c>
      <c r="I479" s="2">
        <f t="shared" si="21"/>
        <v>1.3962239999999999</v>
      </c>
      <c r="J479">
        <f t="shared" si="22"/>
        <v>0.12141078260869564</v>
      </c>
      <c r="K479">
        <f t="shared" si="23"/>
        <v>3.6464455471402452E-2</v>
      </c>
    </row>
    <row r="480" spans="1:11" x14ac:dyDescent="0.25">
      <c r="A480" s="1">
        <v>1973</v>
      </c>
      <c r="B480" s="1" t="s">
        <v>104</v>
      </c>
      <c r="C480" t="s">
        <v>9</v>
      </c>
      <c r="D480" s="1" t="s">
        <v>3</v>
      </c>
      <c r="E480">
        <v>54</v>
      </c>
      <c r="F480" s="1" t="s">
        <v>101</v>
      </c>
      <c r="G480">
        <v>6</v>
      </c>
      <c r="H480">
        <v>4</v>
      </c>
      <c r="I480" s="2">
        <f t="shared" si="21"/>
        <v>0.78537599999999996</v>
      </c>
      <c r="J480">
        <f t="shared" si="22"/>
        <v>6.82935652173913E-2</v>
      </c>
      <c r="K480">
        <f t="shared" si="23"/>
        <v>2.0511256202663881E-2</v>
      </c>
    </row>
    <row r="481" spans="1:11" x14ac:dyDescent="0.25">
      <c r="A481" s="1">
        <v>1973</v>
      </c>
      <c r="B481" s="1" t="s">
        <v>104</v>
      </c>
      <c r="C481" t="s">
        <v>9</v>
      </c>
      <c r="D481" s="1" t="s">
        <v>3</v>
      </c>
      <c r="E481">
        <v>54</v>
      </c>
      <c r="F481" s="1" t="s">
        <v>101</v>
      </c>
      <c r="G481">
        <v>8</v>
      </c>
      <c r="H481">
        <v>1</v>
      </c>
      <c r="I481" s="2">
        <f t="shared" si="21"/>
        <v>0.34905599999999998</v>
      </c>
      <c r="J481">
        <f t="shared" si="22"/>
        <v>3.0352695652173911E-2</v>
      </c>
      <c r="K481">
        <f t="shared" si="23"/>
        <v>9.1161138678506129E-3</v>
      </c>
    </row>
    <row r="482" spans="1:11" x14ac:dyDescent="0.25">
      <c r="A482" s="1">
        <v>1973</v>
      </c>
      <c r="B482" s="1" t="s">
        <v>104</v>
      </c>
      <c r="C482" t="s">
        <v>9</v>
      </c>
      <c r="D482" s="1" t="s">
        <v>3</v>
      </c>
      <c r="E482">
        <v>56</v>
      </c>
      <c r="F482" s="1" t="s">
        <v>101</v>
      </c>
      <c r="G482">
        <v>6</v>
      </c>
      <c r="H482">
        <v>3</v>
      </c>
      <c r="I482" s="2">
        <f t="shared" si="21"/>
        <v>0.589032</v>
      </c>
      <c r="J482">
        <f t="shared" si="22"/>
        <v>5.1220173913043475E-2</v>
      </c>
      <c r="K482">
        <f t="shared" si="23"/>
        <v>1.538344215199791E-2</v>
      </c>
    </row>
    <row r="483" spans="1:11" x14ac:dyDescent="0.25">
      <c r="A483" s="1">
        <v>1973</v>
      </c>
      <c r="B483" s="1" t="s">
        <v>104</v>
      </c>
      <c r="C483" t="s">
        <v>9</v>
      </c>
      <c r="D483" s="1" t="s">
        <v>3</v>
      </c>
      <c r="E483">
        <v>56</v>
      </c>
      <c r="F483" s="1" t="s">
        <v>101</v>
      </c>
      <c r="G483">
        <v>8</v>
      </c>
      <c r="H483">
        <v>5</v>
      </c>
      <c r="I483" s="2">
        <f t="shared" si="21"/>
        <v>1.7452799999999999</v>
      </c>
      <c r="J483">
        <f t="shared" si="22"/>
        <v>0.15176347826086956</v>
      </c>
      <c r="K483">
        <f t="shared" si="23"/>
        <v>4.5580569339253064E-2</v>
      </c>
    </row>
    <row r="484" spans="1:11" x14ac:dyDescent="0.25">
      <c r="A484" s="1">
        <v>1973</v>
      </c>
      <c r="B484" s="1" t="s">
        <v>104</v>
      </c>
      <c r="C484" t="s">
        <v>9</v>
      </c>
      <c r="D484" s="1" t="s">
        <v>3</v>
      </c>
      <c r="E484">
        <v>56</v>
      </c>
      <c r="F484" s="1" t="s">
        <v>101</v>
      </c>
      <c r="G484">
        <v>10</v>
      </c>
      <c r="H484">
        <v>10</v>
      </c>
      <c r="I484" s="2">
        <f t="shared" si="21"/>
        <v>5.4539999999999997</v>
      </c>
      <c r="J484">
        <f t="shared" si="22"/>
        <v>0.47426086956521735</v>
      </c>
      <c r="K484">
        <f t="shared" si="23"/>
        <v>0.14243927918516583</v>
      </c>
    </row>
    <row r="485" spans="1:11" x14ac:dyDescent="0.25">
      <c r="A485" s="1">
        <v>1973</v>
      </c>
      <c r="B485" s="1" t="s">
        <v>104</v>
      </c>
      <c r="C485" t="s">
        <v>9</v>
      </c>
      <c r="D485" s="1" t="s">
        <v>3</v>
      </c>
      <c r="E485">
        <v>56</v>
      </c>
      <c r="F485" s="1" t="s">
        <v>101</v>
      </c>
      <c r="G485">
        <v>12</v>
      </c>
      <c r="H485">
        <v>7</v>
      </c>
      <c r="I485" s="2">
        <f t="shared" si="21"/>
        <v>5.4976319999999994</v>
      </c>
      <c r="J485">
        <f t="shared" si="22"/>
        <v>0.47805495652173907</v>
      </c>
      <c r="K485">
        <f t="shared" si="23"/>
        <v>0.14357879341864715</v>
      </c>
    </row>
    <row r="486" spans="1:11" x14ac:dyDescent="0.25">
      <c r="A486" s="1">
        <v>1973</v>
      </c>
      <c r="B486" s="1" t="s">
        <v>104</v>
      </c>
      <c r="C486" t="s">
        <v>9</v>
      </c>
      <c r="D486" s="1" t="s">
        <v>3</v>
      </c>
      <c r="E486">
        <v>56</v>
      </c>
      <c r="F486" s="1" t="s">
        <v>101</v>
      </c>
      <c r="G486">
        <v>14</v>
      </c>
      <c r="H486">
        <v>4</v>
      </c>
      <c r="I486" s="2">
        <f t="shared" si="21"/>
        <v>4.2759359999999997</v>
      </c>
      <c r="J486">
        <f t="shared" si="22"/>
        <v>0.37182052173913044</v>
      </c>
      <c r="K486">
        <f t="shared" si="23"/>
        <v>0.11167239488117002</v>
      </c>
    </row>
    <row r="487" spans="1:11" x14ac:dyDescent="0.25">
      <c r="A487" s="1">
        <v>1973</v>
      </c>
      <c r="B487" s="1" t="s">
        <v>104</v>
      </c>
      <c r="C487" t="s">
        <v>9</v>
      </c>
      <c r="D487" s="1" t="s">
        <v>3</v>
      </c>
      <c r="E487">
        <v>56</v>
      </c>
      <c r="F487" s="1" t="s">
        <v>101</v>
      </c>
      <c r="G487">
        <v>16</v>
      </c>
      <c r="H487">
        <v>9</v>
      </c>
      <c r="I487" s="2">
        <f t="shared" si="21"/>
        <v>12.566015999999999</v>
      </c>
      <c r="J487">
        <f t="shared" si="22"/>
        <v>1.0926970434782608</v>
      </c>
      <c r="K487">
        <f t="shared" si="23"/>
        <v>0.32818009924262209</v>
      </c>
    </row>
    <row r="488" spans="1:11" x14ac:dyDescent="0.25">
      <c r="A488" s="1">
        <v>1973</v>
      </c>
      <c r="B488" s="1" t="s">
        <v>104</v>
      </c>
      <c r="C488" t="s">
        <v>9</v>
      </c>
      <c r="D488" s="1" t="s">
        <v>3</v>
      </c>
      <c r="E488">
        <v>56</v>
      </c>
      <c r="F488" s="1" t="s">
        <v>101</v>
      </c>
      <c r="G488">
        <v>18</v>
      </c>
      <c r="H488">
        <v>4</v>
      </c>
      <c r="I488" s="2">
        <f t="shared" si="21"/>
        <v>7.0683839999999991</v>
      </c>
      <c r="J488">
        <f t="shared" si="22"/>
        <v>0.61464208695652167</v>
      </c>
      <c r="K488">
        <f t="shared" si="23"/>
        <v>0.18460130582397491</v>
      </c>
    </row>
    <row r="489" spans="1:11" x14ac:dyDescent="0.25">
      <c r="A489" s="1">
        <v>1973</v>
      </c>
      <c r="B489" s="1" t="s">
        <v>104</v>
      </c>
      <c r="C489" t="s">
        <v>9</v>
      </c>
      <c r="D489" s="1" t="s">
        <v>3</v>
      </c>
      <c r="E489">
        <v>58</v>
      </c>
      <c r="F489" s="1" t="s">
        <v>101</v>
      </c>
      <c r="G489">
        <v>6</v>
      </c>
      <c r="H489">
        <v>23</v>
      </c>
      <c r="I489" s="2">
        <f t="shared" si="21"/>
        <v>4.5159120000000001</v>
      </c>
      <c r="J489">
        <f t="shared" si="22"/>
        <v>0.39268800000000004</v>
      </c>
      <c r="K489">
        <f t="shared" si="23"/>
        <v>0.11793972316531733</v>
      </c>
    </row>
    <row r="490" spans="1:11" x14ac:dyDescent="0.25">
      <c r="A490" s="1">
        <v>1973</v>
      </c>
      <c r="B490" s="1" t="s">
        <v>104</v>
      </c>
      <c r="C490" t="s">
        <v>9</v>
      </c>
      <c r="D490" s="1" t="s">
        <v>3</v>
      </c>
      <c r="E490">
        <v>58</v>
      </c>
      <c r="F490" s="1" t="s">
        <v>101</v>
      </c>
      <c r="G490">
        <v>8</v>
      </c>
      <c r="H490">
        <v>12</v>
      </c>
      <c r="I490" s="2">
        <f t="shared" si="21"/>
        <v>4.1886719999999995</v>
      </c>
      <c r="J490">
        <f t="shared" si="22"/>
        <v>0.36423234782608693</v>
      </c>
      <c r="K490">
        <f t="shared" si="23"/>
        <v>0.10939336641420735</v>
      </c>
    </row>
    <row r="491" spans="1:11" x14ac:dyDescent="0.25">
      <c r="A491" s="1">
        <v>1973</v>
      </c>
      <c r="B491" s="1" t="s">
        <v>104</v>
      </c>
      <c r="C491" t="s">
        <v>9</v>
      </c>
      <c r="D491" s="1" t="s">
        <v>3</v>
      </c>
      <c r="E491">
        <v>63</v>
      </c>
      <c r="F491" s="1" t="s">
        <v>101</v>
      </c>
      <c r="G491">
        <v>6</v>
      </c>
      <c r="H491">
        <v>25</v>
      </c>
      <c r="I491" s="2">
        <f t="shared" si="21"/>
        <v>4.9085999999999999</v>
      </c>
      <c r="J491">
        <f t="shared" si="22"/>
        <v>0.42683478260869562</v>
      </c>
      <c r="K491">
        <f t="shared" si="23"/>
        <v>0.12819535126664924</v>
      </c>
    </row>
    <row r="492" spans="1:11" x14ac:dyDescent="0.25">
      <c r="A492" s="1">
        <v>1973</v>
      </c>
      <c r="B492" s="1" t="s">
        <v>104</v>
      </c>
      <c r="C492" t="s">
        <v>9</v>
      </c>
      <c r="D492" s="1" t="s">
        <v>3</v>
      </c>
      <c r="E492">
        <v>63</v>
      </c>
      <c r="F492" s="1" t="s">
        <v>101</v>
      </c>
      <c r="G492">
        <v>8</v>
      </c>
      <c r="H492">
        <v>2</v>
      </c>
      <c r="I492" s="2">
        <f t="shared" si="21"/>
        <v>0.69811199999999995</v>
      </c>
      <c r="J492">
        <f t="shared" si="22"/>
        <v>6.0705391304347822E-2</v>
      </c>
      <c r="K492">
        <f t="shared" si="23"/>
        <v>1.8232227735701226E-2</v>
      </c>
    </row>
    <row r="493" spans="1:11" x14ac:dyDescent="0.25">
      <c r="A493" s="1">
        <v>1973</v>
      </c>
      <c r="B493" s="1" t="s">
        <v>104</v>
      </c>
      <c r="C493" t="s">
        <v>9</v>
      </c>
      <c r="D493" s="1" t="s">
        <v>3</v>
      </c>
      <c r="E493">
        <v>66</v>
      </c>
      <c r="F493" s="1" t="s">
        <v>101</v>
      </c>
      <c r="G493">
        <v>6</v>
      </c>
      <c r="H493">
        <v>1</v>
      </c>
      <c r="I493" s="2">
        <f t="shared" si="21"/>
        <v>0.19634399999999999</v>
      </c>
      <c r="J493">
        <f t="shared" si="22"/>
        <v>1.7073391304347825E-2</v>
      </c>
      <c r="K493">
        <f t="shared" si="23"/>
        <v>5.1278140506659702E-3</v>
      </c>
    </row>
    <row r="494" spans="1:11" x14ac:dyDescent="0.25">
      <c r="A494" s="1">
        <v>1973</v>
      </c>
      <c r="B494" s="1" t="s">
        <v>104</v>
      </c>
      <c r="C494" t="s">
        <v>9</v>
      </c>
      <c r="D494" s="1" t="s">
        <v>3</v>
      </c>
      <c r="E494">
        <v>66</v>
      </c>
      <c r="F494" s="1" t="s">
        <v>101</v>
      </c>
      <c r="G494">
        <v>10</v>
      </c>
      <c r="H494">
        <v>1</v>
      </c>
      <c r="I494" s="2">
        <f t="shared" si="21"/>
        <v>0.5454</v>
      </c>
      <c r="J494">
        <f t="shared" si="22"/>
        <v>4.7426086956521736E-2</v>
      </c>
      <c r="K494">
        <f t="shared" si="23"/>
        <v>1.4243927918516582E-2</v>
      </c>
    </row>
    <row r="495" spans="1:11" x14ac:dyDescent="0.25">
      <c r="A495" s="1">
        <v>1973</v>
      </c>
      <c r="B495" s="1" t="s">
        <v>104</v>
      </c>
      <c r="C495" t="s">
        <v>9</v>
      </c>
      <c r="D495" s="1" t="s">
        <v>3</v>
      </c>
      <c r="E495">
        <v>66</v>
      </c>
      <c r="F495" s="1" t="s">
        <v>101</v>
      </c>
      <c r="G495">
        <v>12</v>
      </c>
      <c r="H495">
        <v>1</v>
      </c>
      <c r="I495" s="2">
        <f t="shared" si="21"/>
        <v>0.78537599999999996</v>
      </c>
      <c r="J495">
        <f t="shared" si="22"/>
        <v>6.82935652173913E-2</v>
      </c>
      <c r="K495">
        <f t="shared" si="23"/>
        <v>2.0511256202663881E-2</v>
      </c>
    </row>
    <row r="496" spans="1:11" x14ac:dyDescent="0.25">
      <c r="A496" s="1">
        <v>1973</v>
      </c>
      <c r="B496" s="1" t="s">
        <v>104</v>
      </c>
      <c r="C496" t="s">
        <v>9</v>
      </c>
      <c r="D496" s="1" t="s">
        <v>3</v>
      </c>
      <c r="E496">
        <v>66</v>
      </c>
      <c r="F496" s="1" t="s">
        <v>101</v>
      </c>
      <c r="G496">
        <v>14</v>
      </c>
      <c r="H496">
        <v>4</v>
      </c>
      <c r="I496" s="2">
        <f t="shared" si="21"/>
        <v>4.2759359999999997</v>
      </c>
      <c r="J496">
        <f t="shared" si="22"/>
        <v>0.37182052173913044</v>
      </c>
      <c r="K496">
        <f t="shared" si="23"/>
        <v>0.11167239488117002</v>
      </c>
    </row>
    <row r="497" spans="1:11" x14ac:dyDescent="0.25">
      <c r="A497" s="1">
        <v>1973</v>
      </c>
      <c r="B497" s="1" t="s">
        <v>104</v>
      </c>
      <c r="C497" t="s">
        <v>9</v>
      </c>
      <c r="D497" s="1" t="s">
        <v>3</v>
      </c>
      <c r="E497">
        <v>66</v>
      </c>
      <c r="F497" s="1" t="s">
        <v>101</v>
      </c>
      <c r="G497">
        <v>16</v>
      </c>
      <c r="H497">
        <v>1</v>
      </c>
      <c r="I497" s="2">
        <f t="shared" si="21"/>
        <v>1.3962239999999999</v>
      </c>
      <c r="J497">
        <f t="shared" si="22"/>
        <v>0.12141078260869564</v>
      </c>
      <c r="K497">
        <f t="shared" si="23"/>
        <v>3.6464455471402452E-2</v>
      </c>
    </row>
    <row r="498" spans="1:11" x14ac:dyDescent="0.25">
      <c r="A498" s="1">
        <v>1973</v>
      </c>
      <c r="B498" s="1" t="s">
        <v>104</v>
      </c>
      <c r="C498" t="s">
        <v>9</v>
      </c>
      <c r="D498" s="1" t="s">
        <v>3</v>
      </c>
      <c r="E498">
        <v>66</v>
      </c>
      <c r="F498" s="1" t="s">
        <v>101</v>
      </c>
      <c r="G498">
        <v>18</v>
      </c>
      <c r="H498">
        <v>1</v>
      </c>
      <c r="I498" s="2">
        <f t="shared" si="21"/>
        <v>1.7670959999999998</v>
      </c>
      <c r="J498">
        <f t="shared" si="22"/>
        <v>0.15366052173913042</v>
      </c>
      <c r="K498">
        <f t="shared" si="23"/>
        <v>4.6150326455993727E-2</v>
      </c>
    </row>
    <row r="499" spans="1:11" x14ac:dyDescent="0.25">
      <c r="A499" s="1">
        <v>1973</v>
      </c>
      <c r="B499" s="1" t="s">
        <v>104</v>
      </c>
      <c r="C499" t="s">
        <v>9</v>
      </c>
      <c r="D499" s="1" t="s">
        <v>3</v>
      </c>
      <c r="E499">
        <v>71</v>
      </c>
      <c r="F499" s="1" t="s">
        <v>101</v>
      </c>
      <c r="G499">
        <v>6</v>
      </c>
      <c r="H499">
        <v>4</v>
      </c>
      <c r="I499" s="2">
        <f t="shared" si="21"/>
        <v>0.78537599999999996</v>
      </c>
      <c r="J499">
        <f t="shared" si="22"/>
        <v>6.82935652173913E-2</v>
      </c>
      <c r="K499">
        <f t="shared" si="23"/>
        <v>2.0511256202663881E-2</v>
      </c>
    </row>
    <row r="500" spans="1:11" x14ac:dyDescent="0.25">
      <c r="A500" s="1">
        <v>1973</v>
      </c>
      <c r="B500" s="1" t="s">
        <v>104</v>
      </c>
      <c r="C500" t="s">
        <v>9</v>
      </c>
      <c r="D500" s="1" t="s">
        <v>3</v>
      </c>
      <c r="E500">
        <v>71</v>
      </c>
      <c r="F500" s="1" t="s">
        <v>101</v>
      </c>
      <c r="G500">
        <v>8</v>
      </c>
      <c r="H500">
        <v>8</v>
      </c>
      <c r="I500" s="2">
        <f t="shared" si="21"/>
        <v>2.7924479999999998</v>
      </c>
      <c r="J500">
        <f t="shared" si="22"/>
        <v>0.24282156521739129</v>
      </c>
      <c r="K500">
        <f t="shared" si="23"/>
        <v>7.2928910942804903E-2</v>
      </c>
    </row>
    <row r="501" spans="1:11" x14ac:dyDescent="0.25">
      <c r="A501" s="1">
        <v>1973</v>
      </c>
      <c r="B501" s="1" t="s">
        <v>104</v>
      </c>
      <c r="C501" t="s">
        <v>9</v>
      </c>
      <c r="D501" s="1" t="s">
        <v>3</v>
      </c>
      <c r="E501">
        <v>71</v>
      </c>
      <c r="F501" s="1" t="s">
        <v>101</v>
      </c>
      <c r="G501">
        <v>10</v>
      </c>
      <c r="H501">
        <v>4</v>
      </c>
      <c r="I501" s="2">
        <f t="shared" si="21"/>
        <v>2.1816</v>
      </c>
      <c r="J501">
        <f t="shared" si="22"/>
        <v>0.18970434782608694</v>
      </c>
      <c r="K501">
        <f t="shared" si="23"/>
        <v>5.6975711674066329E-2</v>
      </c>
    </row>
    <row r="502" spans="1:11" x14ac:dyDescent="0.25">
      <c r="A502" s="1">
        <v>1973</v>
      </c>
      <c r="B502" s="1" t="s">
        <v>104</v>
      </c>
      <c r="C502" t="s">
        <v>9</v>
      </c>
      <c r="D502" s="1" t="s">
        <v>3</v>
      </c>
      <c r="E502">
        <v>76</v>
      </c>
      <c r="F502" s="1" t="s">
        <v>101</v>
      </c>
      <c r="G502">
        <v>6</v>
      </c>
      <c r="H502">
        <v>10</v>
      </c>
      <c r="I502" s="2">
        <f t="shared" si="21"/>
        <v>1.9634399999999999</v>
      </c>
      <c r="J502">
        <f t="shared" si="22"/>
        <v>0.17073391304347824</v>
      </c>
      <c r="K502">
        <f t="shared" si="23"/>
        <v>5.1278140506659693E-2</v>
      </c>
    </row>
    <row r="503" spans="1:11" x14ac:dyDescent="0.25">
      <c r="A503" s="1">
        <v>1973</v>
      </c>
      <c r="B503" s="1" t="s">
        <v>104</v>
      </c>
      <c r="C503" t="s">
        <v>9</v>
      </c>
      <c r="D503" s="1" t="s">
        <v>3</v>
      </c>
      <c r="E503">
        <v>76</v>
      </c>
      <c r="F503" s="1" t="s">
        <v>101</v>
      </c>
      <c r="G503">
        <v>8</v>
      </c>
      <c r="H503">
        <v>5</v>
      </c>
      <c r="I503" s="2">
        <f t="shared" si="21"/>
        <v>1.7452799999999999</v>
      </c>
      <c r="J503">
        <f t="shared" si="22"/>
        <v>0.15176347826086956</v>
      </c>
      <c r="K503">
        <f t="shared" si="23"/>
        <v>4.5580569339253064E-2</v>
      </c>
    </row>
    <row r="504" spans="1:11" x14ac:dyDescent="0.25">
      <c r="A504" s="1">
        <v>1973</v>
      </c>
      <c r="B504" s="1" t="s">
        <v>104</v>
      </c>
      <c r="C504" t="s">
        <v>9</v>
      </c>
      <c r="D504" s="1" t="s">
        <v>3</v>
      </c>
      <c r="E504">
        <v>76</v>
      </c>
      <c r="F504" s="1" t="s">
        <v>101</v>
      </c>
      <c r="G504">
        <v>10</v>
      </c>
      <c r="H504">
        <v>2</v>
      </c>
      <c r="I504" s="2">
        <f t="shared" si="21"/>
        <v>1.0908</v>
      </c>
      <c r="J504">
        <f t="shared" si="22"/>
        <v>9.4852173913043472E-2</v>
      </c>
      <c r="K504">
        <f t="shared" si="23"/>
        <v>2.8487855837033164E-2</v>
      </c>
    </row>
    <row r="505" spans="1:11" x14ac:dyDescent="0.25">
      <c r="A505" s="1">
        <v>1973</v>
      </c>
      <c r="B505" s="1" t="s">
        <v>104</v>
      </c>
      <c r="C505" t="s">
        <v>9</v>
      </c>
      <c r="D505" s="1" t="s">
        <v>3</v>
      </c>
      <c r="E505">
        <v>79</v>
      </c>
      <c r="F505" s="1" t="s">
        <v>101</v>
      </c>
      <c r="G505">
        <v>6</v>
      </c>
      <c r="H505">
        <v>169</v>
      </c>
      <c r="I505" s="2">
        <f t="shared" si="21"/>
        <v>33.182136</v>
      </c>
      <c r="J505">
        <f t="shared" si="22"/>
        <v>2.8854031304347827</v>
      </c>
      <c r="K505">
        <f t="shared" si="23"/>
        <v>0.86660057456254902</v>
      </c>
    </row>
    <row r="506" spans="1:11" x14ac:dyDescent="0.25">
      <c r="A506" s="1">
        <v>1973</v>
      </c>
      <c r="B506" s="1" t="s">
        <v>104</v>
      </c>
      <c r="C506" t="s">
        <v>9</v>
      </c>
      <c r="D506" s="1" t="s">
        <v>3</v>
      </c>
      <c r="E506">
        <v>79</v>
      </c>
      <c r="F506" s="1" t="s">
        <v>101</v>
      </c>
      <c r="G506">
        <v>8</v>
      </c>
      <c r="H506">
        <v>80</v>
      </c>
      <c r="I506" s="2">
        <f t="shared" si="21"/>
        <v>27.924479999999999</v>
      </c>
      <c r="J506">
        <f t="shared" si="22"/>
        <v>2.4282156521739129</v>
      </c>
      <c r="K506">
        <f t="shared" si="23"/>
        <v>0.72928910942804903</v>
      </c>
    </row>
    <row r="507" spans="1:11" x14ac:dyDescent="0.25">
      <c r="A507" s="1">
        <v>1973</v>
      </c>
      <c r="B507" s="1" t="s">
        <v>104</v>
      </c>
      <c r="C507" t="s">
        <v>9</v>
      </c>
      <c r="D507" s="1" t="s">
        <v>3</v>
      </c>
      <c r="E507">
        <v>79</v>
      </c>
      <c r="F507" s="1" t="s">
        <v>101</v>
      </c>
      <c r="G507">
        <v>10</v>
      </c>
      <c r="H507">
        <v>28</v>
      </c>
      <c r="I507" s="2">
        <f t="shared" si="21"/>
        <v>15.2712</v>
      </c>
      <c r="J507">
        <f t="shared" si="22"/>
        <v>1.3279304347826086</v>
      </c>
      <c r="K507">
        <f t="shared" si="23"/>
        <v>0.39882998171846434</v>
      </c>
    </row>
    <row r="508" spans="1:11" x14ac:dyDescent="0.25">
      <c r="A508" s="1">
        <v>1973</v>
      </c>
      <c r="B508" s="1" t="s">
        <v>104</v>
      </c>
      <c r="C508" t="s">
        <v>9</v>
      </c>
      <c r="D508" s="1" t="s">
        <v>3</v>
      </c>
      <c r="E508">
        <v>79</v>
      </c>
      <c r="F508" s="1" t="s">
        <v>101</v>
      </c>
      <c r="G508">
        <v>12</v>
      </c>
      <c r="H508">
        <v>15</v>
      </c>
      <c r="I508" s="2">
        <f t="shared" si="21"/>
        <v>11.78064</v>
      </c>
      <c r="J508">
        <f t="shared" si="22"/>
        <v>1.0244034782608695</v>
      </c>
      <c r="K508">
        <f t="shared" si="23"/>
        <v>0.30766884303995817</v>
      </c>
    </row>
    <row r="509" spans="1:11" x14ac:dyDescent="0.25">
      <c r="A509" s="1">
        <v>1973</v>
      </c>
      <c r="B509" s="1" t="s">
        <v>104</v>
      </c>
      <c r="C509" t="s">
        <v>9</v>
      </c>
      <c r="D509" s="1" t="s">
        <v>3</v>
      </c>
      <c r="E509">
        <v>79</v>
      </c>
      <c r="F509" s="1" t="s">
        <v>101</v>
      </c>
      <c r="G509">
        <v>14</v>
      </c>
      <c r="H509">
        <v>7</v>
      </c>
      <c r="I509" s="2">
        <f t="shared" si="21"/>
        <v>7.4828879999999991</v>
      </c>
      <c r="J509">
        <f t="shared" si="22"/>
        <v>0.65068591304347823</v>
      </c>
      <c r="K509">
        <f t="shared" si="23"/>
        <v>0.19542669104204752</v>
      </c>
    </row>
    <row r="510" spans="1:11" x14ac:dyDescent="0.25">
      <c r="A510" s="1">
        <v>1973</v>
      </c>
      <c r="B510" s="1" t="s">
        <v>104</v>
      </c>
      <c r="C510" t="s">
        <v>9</v>
      </c>
      <c r="D510" s="1" t="s">
        <v>3</v>
      </c>
      <c r="E510">
        <v>79</v>
      </c>
      <c r="F510" s="1" t="s">
        <v>101</v>
      </c>
      <c r="G510">
        <v>16</v>
      </c>
      <c r="H510">
        <v>3</v>
      </c>
      <c r="I510" s="2">
        <f t="shared" si="21"/>
        <v>4.1886719999999995</v>
      </c>
      <c r="J510">
        <f t="shared" si="22"/>
        <v>0.36423234782608693</v>
      </c>
      <c r="K510">
        <f t="shared" si="23"/>
        <v>0.10939336641420735</v>
      </c>
    </row>
    <row r="511" spans="1:11" x14ac:dyDescent="0.25">
      <c r="A511" s="1">
        <v>1973</v>
      </c>
      <c r="B511" s="1" t="s">
        <v>104</v>
      </c>
      <c r="C511" t="s">
        <v>9</v>
      </c>
      <c r="D511" s="1" t="s">
        <v>3</v>
      </c>
      <c r="E511">
        <v>85</v>
      </c>
      <c r="F511" s="1" t="s">
        <v>101</v>
      </c>
      <c r="G511">
        <v>10</v>
      </c>
      <c r="H511">
        <v>3</v>
      </c>
      <c r="I511" s="2">
        <f t="shared" si="21"/>
        <v>1.6362000000000001</v>
      </c>
      <c r="J511">
        <f t="shared" si="22"/>
        <v>0.14227826086956522</v>
      </c>
      <c r="K511">
        <f t="shared" si="23"/>
        <v>4.273178375554975E-2</v>
      </c>
    </row>
    <row r="512" spans="1:11" x14ac:dyDescent="0.25">
      <c r="A512" s="1">
        <v>1973</v>
      </c>
      <c r="B512" s="1" t="s">
        <v>104</v>
      </c>
      <c r="C512" t="s">
        <v>9</v>
      </c>
      <c r="D512" s="1" t="s">
        <v>3</v>
      </c>
      <c r="E512">
        <v>85</v>
      </c>
      <c r="F512" s="1" t="s">
        <v>101</v>
      </c>
      <c r="G512">
        <v>12</v>
      </c>
      <c r="H512">
        <v>5</v>
      </c>
      <c r="I512" s="2">
        <f t="shared" si="21"/>
        <v>3.9268799999999997</v>
      </c>
      <c r="J512">
        <f t="shared" si="22"/>
        <v>0.34146782608695647</v>
      </c>
      <c r="K512">
        <f t="shared" si="23"/>
        <v>0.10255628101331939</v>
      </c>
    </row>
    <row r="513" spans="1:11" x14ac:dyDescent="0.25">
      <c r="A513" s="1">
        <v>1973</v>
      </c>
      <c r="B513" s="1" t="s">
        <v>104</v>
      </c>
      <c r="C513" t="s">
        <v>9</v>
      </c>
      <c r="D513" s="1" t="s">
        <v>3</v>
      </c>
      <c r="E513">
        <v>85</v>
      </c>
      <c r="F513" s="1" t="s">
        <v>101</v>
      </c>
      <c r="G513">
        <v>14</v>
      </c>
      <c r="H513">
        <v>12</v>
      </c>
      <c r="I513" s="2">
        <f t="shared" si="21"/>
        <v>12.827807999999999</v>
      </c>
      <c r="J513">
        <f t="shared" si="22"/>
        <v>1.1154615652173911</v>
      </c>
      <c r="K513">
        <f t="shared" si="23"/>
        <v>0.33501718464350999</v>
      </c>
    </row>
    <row r="514" spans="1:11" x14ac:dyDescent="0.25">
      <c r="A514" s="1">
        <v>1973</v>
      </c>
      <c r="B514" s="1" t="s">
        <v>104</v>
      </c>
      <c r="C514" t="s">
        <v>9</v>
      </c>
      <c r="D514" s="1" t="s">
        <v>3</v>
      </c>
      <c r="E514">
        <v>85</v>
      </c>
      <c r="F514" s="1" t="s">
        <v>101</v>
      </c>
      <c r="G514">
        <v>16</v>
      </c>
      <c r="H514">
        <v>13</v>
      </c>
      <c r="I514" s="2">
        <f t="shared" si="21"/>
        <v>18.150911999999998</v>
      </c>
      <c r="J514">
        <f t="shared" si="22"/>
        <v>1.5783401739130434</v>
      </c>
      <c r="K514">
        <f t="shared" si="23"/>
        <v>0.4740379211282319</v>
      </c>
    </row>
    <row r="515" spans="1:11" x14ac:dyDescent="0.25">
      <c r="A515" s="1">
        <v>1973</v>
      </c>
      <c r="B515" s="1" t="s">
        <v>104</v>
      </c>
      <c r="C515" t="s">
        <v>9</v>
      </c>
      <c r="D515" s="1" t="s">
        <v>3</v>
      </c>
      <c r="E515">
        <v>85</v>
      </c>
      <c r="F515" s="1" t="s">
        <v>101</v>
      </c>
      <c r="G515">
        <v>18</v>
      </c>
      <c r="H515">
        <v>5</v>
      </c>
      <c r="I515" s="2">
        <f t="shared" ref="I515:I578" si="24">0.005454*G515^2*H515</f>
        <v>8.8354799999999987</v>
      </c>
      <c r="J515">
        <f t="shared" ref="J515:J578" si="25">I515/11.5</f>
        <v>0.76830260869565203</v>
      </c>
      <c r="K515">
        <f t="shared" ref="K515:K578" si="26">J515*(11.5/38.29)</f>
        <v>0.23075163227996862</v>
      </c>
    </row>
    <row r="516" spans="1:11" x14ac:dyDescent="0.25">
      <c r="A516" s="1">
        <v>1973</v>
      </c>
      <c r="B516" s="1" t="s">
        <v>104</v>
      </c>
      <c r="C516" t="s">
        <v>9</v>
      </c>
      <c r="D516" s="1" t="s">
        <v>3</v>
      </c>
      <c r="E516">
        <v>88</v>
      </c>
      <c r="F516" s="1" t="s">
        <v>101</v>
      </c>
      <c r="G516">
        <v>6</v>
      </c>
      <c r="H516">
        <v>3</v>
      </c>
      <c r="I516" s="2">
        <f t="shared" si="24"/>
        <v>0.589032</v>
      </c>
      <c r="J516">
        <f t="shared" si="25"/>
        <v>5.1220173913043475E-2</v>
      </c>
      <c r="K516">
        <f t="shared" si="26"/>
        <v>1.538344215199791E-2</v>
      </c>
    </row>
    <row r="517" spans="1:11" x14ac:dyDescent="0.25">
      <c r="A517" s="1">
        <v>1973</v>
      </c>
      <c r="B517" s="1" t="s">
        <v>104</v>
      </c>
      <c r="C517" t="s">
        <v>9</v>
      </c>
      <c r="D517" s="1" t="s">
        <v>3</v>
      </c>
      <c r="E517">
        <v>88</v>
      </c>
      <c r="F517" s="1" t="s">
        <v>101</v>
      </c>
      <c r="G517">
        <v>8</v>
      </c>
      <c r="H517">
        <v>1</v>
      </c>
      <c r="I517" s="2">
        <f t="shared" si="24"/>
        <v>0.34905599999999998</v>
      </c>
      <c r="J517">
        <f t="shared" si="25"/>
        <v>3.0352695652173911E-2</v>
      </c>
      <c r="K517">
        <f t="shared" si="26"/>
        <v>9.1161138678506129E-3</v>
      </c>
    </row>
    <row r="518" spans="1:11" x14ac:dyDescent="0.25">
      <c r="A518" s="1">
        <v>1973</v>
      </c>
      <c r="B518" s="1" t="s">
        <v>104</v>
      </c>
      <c r="C518" t="s">
        <v>9</v>
      </c>
      <c r="D518" s="1" t="s">
        <v>3</v>
      </c>
      <c r="E518">
        <v>91</v>
      </c>
      <c r="F518" s="1" t="s">
        <v>101</v>
      </c>
      <c r="G518">
        <v>6</v>
      </c>
      <c r="H518">
        <v>1</v>
      </c>
      <c r="I518" s="2">
        <f t="shared" si="24"/>
        <v>0.19634399999999999</v>
      </c>
      <c r="J518">
        <f t="shared" si="25"/>
        <v>1.7073391304347825E-2</v>
      </c>
      <c r="K518">
        <f t="shared" si="26"/>
        <v>5.1278140506659702E-3</v>
      </c>
    </row>
    <row r="519" spans="1:11" x14ac:dyDescent="0.25">
      <c r="A519" s="1">
        <v>1973</v>
      </c>
      <c r="B519" s="1" t="s">
        <v>104</v>
      </c>
      <c r="C519" t="s">
        <v>9</v>
      </c>
      <c r="D519" s="1" t="s">
        <v>3</v>
      </c>
      <c r="E519">
        <v>91</v>
      </c>
      <c r="F519" s="1" t="s">
        <v>101</v>
      </c>
      <c r="G519">
        <v>8</v>
      </c>
      <c r="H519">
        <v>2</v>
      </c>
      <c r="I519" s="2">
        <f t="shared" si="24"/>
        <v>0.69811199999999995</v>
      </c>
      <c r="J519">
        <f t="shared" si="25"/>
        <v>6.0705391304347822E-2</v>
      </c>
      <c r="K519">
        <f t="shared" si="26"/>
        <v>1.8232227735701226E-2</v>
      </c>
    </row>
    <row r="520" spans="1:11" x14ac:dyDescent="0.25">
      <c r="A520" s="1">
        <v>1973</v>
      </c>
      <c r="B520" s="1" t="s">
        <v>104</v>
      </c>
      <c r="C520" t="s">
        <v>9</v>
      </c>
      <c r="D520" s="1" t="s">
        <v>3</v>
      </c>
      <c r="E520">
        <v>91</v>
      </c>
      <c r="F520" s="1" t="s">
        <v>101</v>
      </c>
      <c r="G520">
        <v>10</v>
      </c>
      <c r="H520">
        <v>1</v>
      </c>
      <c r="I520" s="2">
        <f t="shared" si="24"/>
        <v>0.5454</v>
      </c>
      <c r="J520">
        <f t="shared" si="25"/>
        <v>4.7426086956521736E-2</v>
      </c>
      <c r="K520">
        <f t="shared" si="26"/>
        <v>1.4243927918516582E-2</v>
      </c>
    </row>
    <row r="521" spans="1:11" x14ac:dyDescent="0.25">
      <c r="A521" s="1">
        <v>1973</v>
      </c>
      <c r="B521" s="1" t="s">
        <v>104</v>
      </c>
      <c r="C521" t="s">
        <v>9</v>
      </c>
      <c r="D521" s="1" t="s">
        <v>3</v>
      </c>
      <c r="E521">
        <v>91</v>
      </c>
      <c r="F521" s="1" t="s">
        <v>101</v>
      </c>
      <c r="G521">
        <v>12</v>
      </c>
      <c r="H521">
        <v>1</v>
      </c>
      <c r="I521" s="2">
        <f t="shared" si="24"/>
        <v>0.78537599999999996</v>
      </c>
      <c r="J521">
        <f t="shared" si="25"/>
        <v>6.82935652173913E-2</v>
      </c>
      <c r="K521">
        <f t="shared" si="26"/>
        <v>2.0511256202663881E-2</v>
      </c>
    </row>
    <row r="522" spans="1:11" x14ac:dyDescent="0.25">
      <c r="A522" s="1">
        <v>1973</v>
      </c>
      <c r="B522" s="1" t="s">
        <v>104</v>
      </c>
      <c r="C522" t="s">
        <v>9</v>
      </c>
      <c r="D522" s="1" t="s">
        <v>5</v>
      </c>
      <c r="E522">
        <v>32</v>
      </c>
      <c r="F522" s="1" t="s">
        <v>101</v>
      </c>
      <c r="G522">
        <v>8</v>
      </c>
      <c r="H522">
        <v>1</v>
      </c>
      <c r="I522" s="2">
        <f t="shared" si="24"/>
        <v>0.34905599999999998</v>
      </c>
      <c r="J522">
        <f t="shared" si="25"/>
        <v>3.0352695652173911E-2</v>
      </c>
      <c r="K522">
        <f t="shared" si="26"/>
        <v>9.1161138678506129E-3</v>
      </c>
    </row>
    <row r="523" spans="1:11" x14ac:dyDescent="0.25">
      <c r="A523" s="1">
        <v>1973</v>
      </c>
      <c r="B523" s="1" t="s">
        <v>104</v>
      </c>
      <c r="C523" t="s">
        <v>9</v>
      </c>
      <c r="D523" s="1" t="s">
        <v>5</v>
      </c>
      <c r="E523">
        <v>32</v>
      </c>
      <c r="F523" s="1" t="s">
        <v>101</v>
      </c>
      <c r="G523">
        <v>16</v>
      </c>
      <c r="H523">
        <v>2</v>
      </c>
      <c r="I523" s="2">
        <f t="shared" si="24"/>
        <v>2.7924479999999998</v>
      </c>
      <c r="J523">
        <f t="shared" si="25"/>
        <v>0.24282156521739129</v>
      </c>
      <c r="K523">
        <f t="shared" si="26"/>
        <v>7.2928910942804903E-2</v>
      </c>
    </row>
    <row r="524" spans="1:11" x14ac:dyDescent="0.25">
      <c r="A524" s="1">
        <v>1973</v>
      </c>
      <c r="B524" s="1" t="s">
        <v>104</v>
      </c>
      <c r="C524" t="s">
        <v>9</v>
      </c>
      <c r="D524" s="1" t="s">
        <v>5</v>
      </c>
      <c r="E524">
        <v>34</v>
      </c>
      <c r="F524" s="1" t="s">
        <v>101</v>
      </c>
      <c r="G524">
        <v>6</v>
      </c>
      <c r="H524">
        <v>4</v>
      </c>
      <c r="I524" s="2">
        <f t="shared" si="24"/>
        <v>0.78537599999999996</v>
      </c>
      <c r="J524">
        <f t="shared" si="25"/>
        <v>6.82935652173913E-2</v>
      </c>
      <c r="K524">
        <f t="shared" si="26"/>
        <v>2.0511256202663881E-2</v>
      </c>
    </row>
    <row r="525" spans="1:11" x14ac:dyDescent="0.25">
      <c r="A525" s="1">
        <v>1973</v>
      </c>
      <c r="B525" s="1" t="s">
        <v>104</v>
      </c>
      <c r="C525" t="s">
        <v>9</v>
      </c>
      <c r="D525" s="1" t="s">
        <v>5</v>
      </c>
      <c r="E525">
        <v>38</v>
      </c>
      <c r="F525" s="1" t="s">
        <v>101</v>
      </c>
      <c r="G525">
        <v>6</v>
      </c>
      <c r="H525">
        <v>1</v>
      </c>
      <c r="I525" s="2">
        <f t="shared" si="24"/>
        <v>0.19634399999999999</v>
      </c>
      <c r="J525">
        <f t="shared" si="25"/>
        <v>1.7073391304347825E-2</v>
      </c>
      <c r="K525">
        <f t="shared" si="26"/>
        <v>5.1278140506659702E-3</v>
      </c>
    </row>
    <row r="526" spans="1:11" x14ac:dyDescent="0.25">
      <c r="A526" s="1">
        <v>1973</v>
      </c>
      <c r="B526" s="1" t="s">
        <v>104</v>
      </c>
      <c r="C526" t="s">
        <v>9</v>
      </c>
      <c r="D526" s="1" t="s">
        <v>5</v>
      </c>
      <c r="E526">
        <v>38</v>
      </c>
      <c r="F526" s="1" t="s">
        <v>101</v>
      </c>
      <c r="G526">
        <v>8</v>
      </c>
      <c r="H526">
        <v>1</v>
      </c>
      <c r="I526" s="2">
        <f t="shared" si="24"/>
        <v>0.34905599999999998</v>
      </c>
      <c r="J526">
        <f t="shared" si="25"/>
        <v>3.0352695652173911E-2</v>
      </c>
      <c r="K526">
        <f t="shared" si="26"/>
        <v>9.1161138678506129E-3</v>
      </c>
    </row>
    <row r="527" spans="1:11" x14ac:dyDescent="0.25">
      <c r="A527" s="1">
        <v>1973</v>
      </c>
      <c r="B527" s="1" t="s">
        <v>104</v>
      </c>
      <c r="C527" t="s">
        <v>9</v>
      </c>
      <c r="D527" s="1" t="s">
        <v>5</v>
      </c>
      <c r="E527">
        <v>38</v>
      </c>
      <c r="F527" s="1" t="s">
        <v>101</v>
      </c>
      <c r="G527">
        <v>12</v>
      </c>
      <c r="H527">
        <v>1</v>
      </c>
      <c r="I527" s="2">
        <f t="shared" si="24"/>
        <v>0.78537599999999996</v>
      </c>
      <c r="J527">
        <f t="shared" si="25"/>
        <v>6.82935652173913E-2</v>
      </c>
      <c r="K527">
        <f t="shared" si="26"/>
        <v>2.0511256202663881E-2</v>
      </c>
    </row>
    <row r="528" spans="1:11" x14ac:dyDescent="0.25">
      <c r="A528" s="1">
        <v>1973</v>
      </c>
      <c r="B528" s="1" t="s">
        <v>104</v>
      </c>
      <c r="C528" t="s">
        <v>9</v>
      </c>
      <c r="D528" s="1" t="s">
        <v>5</v>
      </c>
      <c r="E528">
        <v>38</v>
      </c>
      <c r="F528" s="1" t="s">
        <v>101</v>
      </c>
      <c r="G528">
        <v>14</v>
      </c>
      <c r="H528">
        <v>2</v>
      </c>
      <c r="I528" s="2">
        <f t="shared" si="24"/>
        <v>2.1379679999999999</v>
      </c>
      <c r="J528">
        <f t="shared" si="25"/>
        <v>0.18591026086956522</v>
      </c>
      <c r="K528">
        <f t="shared" si="26"/>
        <v>5.583619744058501E-2</v>
      </c>
    </row>
    <row r="529" spans="1:11" x14ac:dyDescent="0.25">
      <c r="A529" s="1">
        <v>1973</v>
      </c>
      <c r="B529" s="1" t="s">
        <v>104</v>
      </c>
      <c r="C529" t="s">
        <v>9</v>
      </c>
      <c r="D529" s="1" t="s">
        <v>5</v>
      </c>
      <c r="E529">
        <v>38</v>
      </c>
      <c r="F529" s="1" t="s">
        <v>101</v>
      </c>
      <c r="G529">
        <v>16</v>
      </c>
      <c r="H529">
        <v>1</v>
      </c>
      <c r="I529" s="2">
        <f t="shared" si="24"/>
        <v>1.3962239999999999</v>
      </c>
      <c r="J529">
        <f t="shared" si="25"/>
        <v>0.12141078260869564</v>
      </c>
      <c r="K529">
        <f t="shared" si="26"/>
        <v>3.6464455471402452E-2</v>
      </c>
    </row>
    <row r="530" spans="1:11" x14ac:dyDescent="0.25">
      <c r="A530" s="1">
        <v>1973</v>
      </c>
      <c r="B530" s="1" t="s">
        <v>104</v>
      </c>
      <c r="C530" t="s">
        <v>9</v>
      </c>
      <c r="D530" s="1" t="s">
        <v>5</v>
      </c>
      <c r="E530">
        <v>40</v>
      </c>
      <c r="F530" s="1" t="s">
        <v>101</v>
      </c>
      <c r="G530">
        <v>6</v>
      </c>
      <c r="H530">
        <v>1</v>
      </c>
      <c r="I530" s="2">
        <f t="shared" si="24"/>
        <v>0.19634399999999999</v>
      </c>
      <c r="J530">
        <f t="shared" si="25"/>
        <v>1.7073391304347825E-2</v>
      </c>
      <c r="K530">
        <f t="shared" si="26"/>
        <v>5.1278140506659702E-3</v>
      </c>
    </row>
    <row r="531" spans="1:11" x14ac:dyDescent="0.25">
      <c r="A531" s="1">
        <v>1973</v>
      </c>
      <c r="B531" s="1" t="s">
        <v>104</v>
      </c>
      <c r="C531" t="s">
        <v>9</v>
      </c>
      <c r="D531" s="1" t="s">
        <v>5</v>
      </c>
      <c r="E531">
        <v>41</v>
      </c>
      <c r="F531" s="1" t="s">
        <v>101</v>
      </c>
      <c r="G531">
        <v>10</v>
      </c>
      <c r="H531">
        <v>1</v>
      </c>
      <c r="I531" s="2">
        <f t="shared" si="24"/>
        <v>0.5454</v>
      </c>
      <c r="J531">
        <f t="shared" si="25"/>
        <v>4.7426086956521736E-2</v>
      </c>
      <c r="K531">
        <f t="shared" si="26"/>
        <v>1.4243927918516582E-2</v>
      </c>
    </row>
    <row r="532" spans="1:11" x14ac:dyDescent="0.25">
      <c r="A532" s="1">
        <v>1973</v>
      </c>
      <c r="B532" s="1" t="s">
        <v>104</v>
      </c>
      <c r="C532" t="s">
        <v>9</v>
      </c>
      <c r="D532" s="1" t="s">
        <v>5</v>
      </c>
      <c r="E532">
        <v>41</v>
      </c>
      <c r="F532" s="1" t="s">
        <v>101</v>
      </c>
      <c r="G532">
        <v>16</v>
      </c>
      <c r="H532">
        <v>1</v>
      </c>
      <c r="I532" s="2">
        <f t="shared" si="24"/>
        <v>1.3962239999999999</v>
      </c>
      <c r="J532">
        <f t="shared" si="25"/>
        <v>0.12141078260869564</v>
      </c>
      <c r="K532">
        <f t="shared" si="26"/>
        <v>3.6464455471402452E-2</v>
      </c>
    </row>
    <row r="533" spans="1:11" x14ac:dyDescent="0.25">
      <c r="A533" s="1">
        <v>1973</v>
      </c>
      <c r="B533" s="1" t="s">
        <v>104</v>
      </c>
      <c r="C533" t="s">
        <v>9</v>
      </c>
      <c r="D533" s="1" t="s">
        <v>5</v>
      </c>
      <c r="E533">
        <v>53</v>
      </c>
      <c r="F533" s="1" t="s">
        <v>101</v>
      </c>
      <c r="G533">
        <v>6</v>
      </c>
      <c r="H533">
        <v>1</v>
      </c>
      <c r="I533" s="2">
        <f t="shared" si="24"/>
        <v>0.19634399999999999</v>
      </c>
      <c r="J533">
        <f t="shared" si="25"/>
        <v>1.7073391304347825E-2</v>
      </c>
      <c r="K533">
        <f t="shared" si="26"/>
        <v>5.1278140506659702E-3</v>
      </c>
    </row>
    <row r="534" spans="1:11" x14ac:dyDescent="0.25">
      <c r="A534" s="1">
        <v>1973</v>
      </c>
      <c r="B534" s="1" t="s">
        <v>104</v>
      </c>
      <c r="C534" t="s">
        <v>9</v>
      </c>
      <c r="D534" s="1" t="s">
        <v>5</v>
      </c>
      <c r="E534">
        <v>54</v>
      </c>
      <c r="F534" s="1" t="s">
        <v>101</v>
      </c>
      <c r="G534">
        <v>6</v>
      </c>
      <c r="H534">
        <v>1</v>
      </c>
      <c r="I534" s="2">
        <f t="shared" si="24"/>
        <v>0.19634399999999999</v>
      </c>
      <c r="J534">
        <f t="shared" si="25"/>
        <v>1.7073391304347825E-2</v>
      </c>
      <c r="K534">
        <f t="shared" si="26"/>
        <v>5.1278140506659702E-3</v>
      </c>
    </row>
    <row r="535" spans="1:11" x14ac:dyDescent="0.25">
      <c r="A535" s="1">
        <v>1973</v>
      </c>
      <c r="B535" s="1" t="s">
        <v>104</v>
      </c>
      <c r="C535" t="s">
        <v>9</v>
      </c>
      <c r="D535" s="1" t="s">
        <v>5</v>
      </c>
      <c r="E535">
        <v>58</v>
      </c>
      <c r="F535" s="1" t="s">
        <v>101</v>
      </c>
      <c r="G535">
        <v>6</v>
      </c>
      <c r="H535">
        <v>5</v>
      </c>
      <c r="I535" s="2">
        <f t="shared" si="24"/>
        <v>0.98171999999999993</v>
      </c>
      <c r="J535">
        <f t="shared" si="25"/>
        <v>8.5366956521739118E-2</v>
      </c>
      <c r="K535">
        <f t="shared" si="26"/>
        <v>2.5639070253329847E-2</v>
      </c>
    </row>
    <row r="536" spans="1:11" x14ac:dyDescent="0.25">
      <c r="A536" s="1">
        <v>1973</v>
      </c>
      <c r="B536" s="1" t="s">
        <v>104</v>
      </c>
      <c r="C536" t="s">
        <v>9</v>
      </c>
      <c r="D536" s="1" t="s">
        <v>5</v>
      </c>
      <c r="E536">
        <v>71</v>
      </c>
      <c r="F536" s="1" t="s">
        <v>101</v>
      </c>
      <c r="G536">
        <v>6</v>
      </c>
      <c r="H536">
        <v>6</v>
      </c>
      <c r="I536" s="2">
        <f t="shared" si="24"/>
        <v>1.178064</v>
      </c>
      <c r="J536">
        <f t="shared" si="25"/>
        <v>0.10244034782608695</v>
      </c>
      <c r="K536">
        <f t="shared" si="26"/>
        <v>3.0766884303995819E-2</v>
      </c>
    </row>
    <row r="537" spans="1:11" x14ac:dyDescent="0.25">
      <c r="A537" s="1">
        <v>1973</v>
      </c>
      <c r="B537" s="1" t="s">
        <v>104</v>
      </c>
      <c r="C537" t="s">
        <v>9</v>
      </c>
      <c r="D537" s="1" t="s">
        <v>5</v>
      </c>
      <c r="E537">
        <v>71</v>
      </c>
      <c r="F537" s="1" t="s">
        <v>101</v>
      </c>
      <c r="G537">
        <v>8</v>
      </c>
      <c r="H537">
        <v>1</v>
      </c>
      <c r="I537" s="2">
        <f t="shared" si="24"/>
        <v>0.34905599999999998</v>
      </c>
      <c r="J537">
        <f t="shared" si="25"/>
        <v>3.0352695652173911E-2</v>
      </c>
      <c r="K537">
        <f t="shared" si="26"/>
        <v>9.1161138678506129E-3</v>
      </c>
    </row>
    <row r="538" spans="1:11" x14ac:dyDescent="0.25">
      <c r="A538" s="1">
        <v>1973</v>
      </c>
      <c r="B538" s="1" t="s">
        <v>104</v>
      </c>
      <c r="C538" t="s">
        <v>9</v>
      </c>
      <c r="D538" s="1" t="s">
        <v>5</v>
      </c>
      <c r="E538">
        <v>71</v>
      </c>
      <c r="F538" s="1" t="s">
        <v>101</v>
      </c>
      <c r="G538">
        <v>10</v>
      </c>
      <c r="H538">
        <v>1</v>
      </c>
      <c r="I538" s="2">
        <f t="shared" si="24"/>
        <v>0.5454</v>
      </c>
      <c r="J538">
        <f t="shared" si="25"/>
        <v>4.7426086956521736E-2</v>
      </c>
      <c r="K538">
        <f t="shared" si="26"/>
        <v>1.4243927918516582E-2</v>
      </c>
    </row>
    <row r="539" spans="1:11" x14ac:dyDescent="0.25">
      <c r="A539" s="1">
        <v>1973</v>
      </c>
      <c r="B539" s="1" t="s">
        <v>104</v>
      </c>
      <c r="C539" t="s">
        <v>9</v>
      </c>
      <c r="D539" s="1" t="s">
        <v>5</v>
      </c>
      <c r="E539">
        <v>79</v>
      </c>
      <c r="F539" s="1" t="s">
        <v>101</v>
      </c>
      <c r="G539">
        <v>6</v>
      </c>
      <c r="H539">
        <v>4</v>
      </c>
      <c r="I539" s="2">
        <f t="shared" si="24"/>
        <v>0.78537599999999996</v>
      </c>
      <c r="J539">
        <f t="shared" si="25"/>
        <v>6.82935652173913E-2</v>
      </c>
      <c r="K539">
        <f t="shared" si="26"/>
        <v>2.0511256202663881E-2</v>
      </c>
    </row>
    <row r="540" spans="1:11" x14ac:dyDescent="0.25">
      <c r="A540" s="1">
        <v>1973</v>
      </c>
      <c r="B540" s="1" t="s">
        <v>104</v>
      </c>
      <c r="C540" t="s">
        <v>9</v>
      </c>
      <c r="D540" s="1" t="s">
        <v>5</v>
      </c>
      <c r="E540">
        <v>79</v>
      </c>
      <c r="F540" s="1" t="s">
        <v>101</v>
      </c>
      <c r="G540">
        <v>12</v>
      </c>
      <c r="H540">
        <v>1</v>
      </c>
      <c r="I540" s="2">
        <f t="shared" si="24"/>
        <v>0.78537599999999996</v>
      </c>
      <c r="J540">
        <f t="shared" si="25"/>
        <v>6.82935652173913E-2</v>
      </c>
      <c r="K540">
        <f t="shared" si="26"/>
        <v>2.0511256202663881E-2</v>
      </c>
    </row>
    <row r="541" spans="1:11" x14ac:dyDescent="0.25">
      <c r="A541" s="1">
        <v>1973</v>
      </c>
      <c r="B541" s="1" t="s">
        <v>104</v>
      </c>
      <c r="C541" t="s">
        <v>9</v>
      </c>
      <c r="D541" s="1" t="s">
        <v>5</v>
      </c>
      <c r="E541">
        <v>79</v>
      </c>
      <c r="F541" s="1" t="s">
        <v>101</v>
      </c>
      <c r="G541">
        <v>16</v>
      </c>
      <c r="H541">
        <v>1</v>
      </c>
      <c r="I541" s="2">
        <f t="shared" si="24"/>
        <v>1.3962239999999999</v>
      </c>
      <c r="J541">
        <f t="shared" si="25"/>
        <v>0.12141078260869564</v>
      </c>
      <c r="K541">
        <f t="shared" si="26"/>
        <v>3.6464455471402452E-2</v>
      </c>
    </row>
    <row r="542" spans="1:11" x14ac:dyDescent="0.25">
      <c r="A542" s="1">
        <v>1973</v>
      </c>
      <c r="B542" s="1" t="s">
        <v>104</v>
      </c>
      <c r="C542" t="s">
        <v>9</v>
      </c>
      <c r="D542" s="1" t="s">
        <v>5</v>
      </c>
      <c r="E542">
        <v>84</v>
      </c>
      <c r="F542" s="1" t="s">
        <v>101</v>
      </c>
      <c r="G542">
        <v>14</v>
      </c>
      <c r="H542">
        <v>1</v>
      </c>
      <c r="I542" s="2">
        <f t="shared" si="24"/>
        <v>1.0689839999999999</v>
      </c>
      <c r="J542">
        <f t="shared" si="25"/>
        <v>9.295513043478261E-2</v>
      </c>
      <c r="K542">
        <f t="shared" si="26"/>
        <v>2.7918098720292505E-2</v>
      </c>
    </row>
    <row r="543" spans="1:11" x14ac:dyDescent="0.25">
      <c r="A543" s="1">
        <v>1973</v>
      </c>
      <c r="B543" s="1" t="s">
        <v>104</v>
      </c>
      <c r="C543" t="s">
        <v>9</v>
      </c>
      <c r="D543" s="1" t="s">
        <v>5</v>
      </c>
      <c r="E543">
        <v>85</v>
      </c>
      <c r="F543" s="1" t="s">
        <v>101</v>
      </c>
      <c r="G543">
        <v>8</v>
      </c>
      <c r="H543">
        <v>1</v>
      </c>
      <c r="I543" s="2">
        <f t="shared" si="24"/>
        <v>0.34905599999999998</v>
      </c>
      <c r="J543">
        <f t="shared" si="25"/>
        <v>3.0352695652173911E-2</v>
      </c>
      <c r="K543">
        <f t="shared" si="26"/>
        <v>9.1161138678506129E-3</v>
      </c>
    </row>
    <row r="544" spans="1:11" x14ac:dyDescent="0.25">
      <c r="A544" s="1">
        <v>1973</v>
      </c>
      <c r="B544" s="1" t="s">
        <v>104</v>
      </c>
      <c r="C544" t="s">
        <v>9</v>
      </c>
      <c r="D544" s="1" t="s">
        <v>5</v>
      </c>
      <c r="E544">
        <v>85</v>
      </c>
      <c r="F544" s="1" t="s">
        <v>101</v>
      </c>
      <c r="G544">
        <v>10</v>
      </c>
      <c r="H544">
        <v>1</v>
      </c>
      <c r="I544" s="2">
        <f t="shared" si="24"/>
        <v>0.5454</v>
      </c>
      <c r="J544">
        <f t="shared" si="25"/>
        <v>4.7426086956521736E-2</v>
      </c>
      <c r="K544">
        <f t="shared" si="26"/>
        <v>1.4243927918516582E-2</v>
      </c>
    </row>
    <row r="545" spans="1:11" x14ac:dyDescent="0.25">
      <c r="A545" s="1">
        <v>1973</v>
      </c>
      <c r="B545" s="1" t="s">
        <v>104</v>
      </c>
      <c r="C545" t="s">
        <v>9</v>
      </c>
      <c r="D545" s="1" t="s">
        <v>5</v>
      </c>
      <c r="E545">
        <v>85</v>
      </c>
      <c r="F545" s="1" t="s">
        <v>101</v>
      </c>
      <c r="G545">
        <v>12</v>
      </c>
      <c r="H545">
        <v>3</v>
      </c>
      <c r="I545" s="2">
        <f t="shared" si="24"/>
        <v>2.356128</v>
      </c>
      <c r="J545">
        <f t="shared" si="25"/>
        <v>0.2048806956521739</v>
      </c>
      <c r="K545">
        <f t="shared" si="26"/>
        <v>6.1533768607991639E-2</v>
      </c>
    </row>
    <row r="546" spans="1:11" x14ac:dyDescent="0.25">
      <c r="A546" s="1">
        <v>1973</v>
      </c>
      <c r="B546" s="1" t="s">
        <v>104</v>
      </c>
      <c r="C546" t="s">
        <v>9</v>
      </c>
      <c r="D546" s="1" t="s">
        <v>5</v>
      </c>
      <c r="E546">
        <v>85</v>
      </c>
      <c r="F546" s="1" t="s">
        <v>101</v>
      </c>
      <c r="G546">
        <v>14</v>
      </c>
      <c r="H546">
        <v>4</v>
      </c>
      <c r="I546" s="2">
        <f t="shared" si="24"/>
        <v>4.2759359999999997</v>
      </c>
      <c r="J546">
        <f t="shared" si="25"/>
        <v>0.37182052173913044</v>
      </c>
      <c r="K546">
        <f t="shared" si="26"/>
        <v>0.11167239488117002</v>
      </c>
    </row>
    <row r="547" spans="1:11" x14ac:dyDescent="0.25">
      <c r="A547" s="1">
        <v>1973</v>
      </c>
      <c r="B547" s="1" t="s">
        <v>104</v>
      </c>
      <c r="C547" t="s">
        <v>9</v>
      </c>
      <c r="D547" s="1" t="s">
        <v>5</v>
      </c>
      <c r="E547">
        <v>85</v>
      </c>
      <c r="F547" s="1" t="s">
        <v>101</v>
      </c>
      <c r="G547">
        <v>16</v>
      </c>
      <c r="H547">
        <v>4</v>
      </c>
      <c r="I547" s="2">
        <f t="shared" si="24"/>
        <v>5.5848959999999996</v>
      </c>
      <c r="J547">
        <f t="shared" si="25"/>
        <v>0.48564313043478258</v>
      </c>
      <c r="K547">
        <f t="shared" si="26"/>
        <v>0.14585782188560981</v>
      </c>
    </row>
    <row r="548" spans="1:11" x14ac:dyDescent="0.25">
      <c r="A548" s="1">
        <v>1973</v>
      </c>
      <c r="B548" s="1" t="s">
        <v>104</v>
      </c>
      <c r="C548" t="s">
        <v>9</v>
      </c>
      <c r="D548" s="1" t="s">
        <v>5</v>
      </c>
      <c r="E548">
        <v>85</v>
      </c>
      <c r="F548" s="1" t="s">
        <v>101</v>
      </c>
      <c r="G548">
        <v>18</v>
      </c>
      <c r="H548">
        <v>1</v>
      </c>
      <c r="I548" s="2">
        <f t="shared" si="24"/>
        <v>1.7670959999999998</v>
      </c>
      <c r="J548">
        <f t="shared" si="25"/>
        <v>0.15366052173913042</v>
      </c>
      <c r="K548">
        <f t="shared" si="26"/>
        <v>4.6150326455993727E-2</v>
      </c>
    </row>
    <row r="549" spans="1:11" x14ac:dyDescent="0.25">
      <c r="A549" s="1">
        <v>1977</v>
      </c>
      <c r="B549" s="1" t="s">
        <v>104</v>
      </c>
      <c r="C549" t="s">
        <v>9</v>
      </c>
      <c r="D549" s="1" t="s">
        <v>3</v>
      </c>
      <c r="E549">
        <v>11</v>
      </c>
      <c r="F549" s="1" t="s">
        <v>101</v>
      </c>
      <c r="G549">
        <v>6</v>
      </c>
      <c r="H549">
        <v>4</v>
      </c>
      <c r="I549" s="2">
        <f t="shared" si="24"/>
        <v>0.78537599999999996</v>
      </c>
      <c r="J549">
        <f t="shared" si="25"/>
        <v>6.82935652173913E-2</v>
      </c>
      <c r="K549">
        <f t="shared" si="26"/>
        <v>2.0511256202663881E-2</v>
      </c>
    </row>
    <row r="550" spans="1:11" x14ac:dyDescent="0.25">
      <c r="A550" s="1">
        <v>1977</v>
      </c>
      <c r="B550" s="1" t="s">
        <v>104</v>
      </c>
      <c r="C550" t="s">
        <v>9</v>
      </c>
      <c r="D550" s="1" t="s">
        <v>3</v>
      </c>
      <c r="E550">
        <v>17</v>
      </c>
      <c r="F550" s="1" t="s">
        <v>101</v>
      </c>
      <c r="G550">
        <v>6</v>
      </c>
      <c r="H550">
        <v>4</v>
      </c>
      <c r="I550" s="2">
        <f t="shared" si="24"/>
        <v>0.78537599999999996</v>
      </c>
      <c r="J550">
        <f t="shared" si="25"/>
        <v>6.82935652173913E-2</v>
      </c>
      <c r="K550">
        <f t="shared" si="26"/>
        <v>2.0511256202663881E-2</v>
      </c>
    </row>
    <row r="551" spans="1:11" x14ac:dyDescent="0.25">
      <c r="A551" s="1">
        <v>1977</v>
      </c>
      <c r="B551" s="1" t="s">
        <v>104</v>
      </c>
      <c r="C551" t="s">
        <v>9</v>
      </c>
      <c r="D551" s="1" t="s">
        <v>3</v>
      </c>
      <c r="E551">
        <v>17</v>
      </c>
      <c r="F551" s="1" t="s">
        <v>101</v>
      </c>
      <c r="G551">
        <v>8</v>
      </c>
      <c r="H551">
        <v>9</v>
      </c>
      <c r="I551" s="2">
        <f t="shared" si="24"/>
        <v>3.1415039999999999</v>
      </c>
      <c r="J551">
        <f t="shared" si="25"/>
        <v>0.2731742608695652</v>
      </c>
      <c r="K551">
        <f t="shared" si="26"/>
        <v>8.2045024810655523E-2</v>
      </c>
    </row>
    <row r="552" spans="1:11" x14ac:dyDescent="0.25">
      <c r="A552" s="1">
        <v>1977</v>
      </c>
      <c r="B552" s="1" t="s">
        <v>104</v>
      </c>
      <c r="C552" t="s">
        <v>9</v>
      </c>
      <c r="D552" s="1" t="s">
        <v>3</v>
      </c>
      <c r="E552">
        <v>17</v>
      </c>
      <c r="F552" s="1" t="s">
        <v>101</v>
      </c>
      <c r="G552">
        <v>12</v>
      </c>
      <c r="H552">
        <v>1</v>
      </c>
      <c r="I552" s="2">
        <f t="shared" si="24"/>
        <v>0.78537599999999996</v>
      </c>
      <c r="J552">
        <f t="shared" si="25"/>
        <v>6.82935652173913E-2</v>
      </c>
      <c r="K552">
        <f t="shared" si="26"/>
        <v>2.0511256202663881E-2</v>
      </c>
    </row>
    <row r="553" spans="1:11" x14ac:dyDescent="0.25">
      <c r="A553" s="1">
        <v>1977</v>
      </c>
      <c r="B553" s="1" t="s">
        <v>104</v>
      </c>
      <c r="C553" t="s">
        <v>9</v>
      </c>
      <c r="D553" s="1" t="s">
        <v>3</v>
      </c>
      <c r="E553">
        <v>21</v>
      </c>
      <c r="F553" s="1" t="s">
        <v>101</v>
      </c>
      <c r="G553">
        <v>6</v>
      </c>
      <c r="H553">
        <v>3</v>
      </c>
      <c r="I553" s="2">
        <f t="shared" si="24"/>
        <v>0.589032</v>
      </c>
      <c r="J553">
        <f t="shared" si="25"/>
        <v>5.1220173913043475E-2</v>
      </c>
      <c r="K553">
        <f t="shared" si="26"/>
        <v>1.538344215199791E-2</v>
      </c>
    </row>
    <row r="554" spans="1:11" x14ac:dyDescent="0.25">
      <c r="A554" s="1">
        <v>1977</v>
      </c>
      <c r="B554" s="1" t="s">
        <v>104</v>
      </c>
      <c r="C554" t="s">
        <v>9</v>
      </c>
      <c r="D554" s="1" t="s">
        <v>3</v>
      </c>
      <c r="E554">
        <v>21</v>
      </c>
      <c r="F554" s="1" t="s">
        <v>101</v>
      </c>
      <c r="G554">
        <v>8</v>
      </c>
      <c r="H554">
        <v>1</v>
      </c>
      <c r="I554" s="2">
        <f t="shared" si="24"/>
        <v>0.34905599999999998</v>
      </c>
      <c r="J554">
        <f t="shared" si="25"/>
        <v>3.0352695652173911E-2</v>
      </c>
      <c r="K554">
        <f t="shared" si="26"/>
        <v>9.1161138678506129E-3</v>
      </c>
    </row>
    <row r="555" spans="1:11" x14ac:dyDescent="0.25">
      <c r="A555" s="1">
        <v>1977</v>
      </c>
      <c r="B555" s="1" t="s">
        <v>104</v>
      </c>
      <c r="C555" t="s">
        <v>9</v>
      </c>
      <c r="D555" s="1" t="s">
        <v>3</v>
      </c>
      <c r="E555">
        <v>21</v>
      </c>
      <c r="F555" s="1" t="s">
        <v>101</v>
      </c>
      <c r="G555">
        <v>10</v>
      </c>
      <c r="H555">
        <v>1</v>
      </c>
      <c r="I555" s="2">
        <f t="shared" si="24"/>
        <v>0.5454</v>
      </c>
      <c r="J555">
        <f t="shared" si="25"/>
        <v>4.7426086956521736E-2</v>
      </c>
      <c r="K555">
        <f t="shared" si="26"/>
        <v>1.4243927918516582E-2</v>
      </c>
    </row>
    <row r="556" spans="1:11" x14ac:dyDescent="0.25">
      <c r="A556" s="1">
        <v>1977</v>
      </c>
      <c r="B556" s="1" t="s">
        <v>104</v>
      </c>
      <c r="C556" t="s">
        <v>9</v>
      </c>
      <c r="D556" s="1" t="s">
        <v>3</v>
      </c>
      <c r="E556">
        <v>21</v>
      </c>
      <c r="F556" s="1" t="s">
        <v>101</v>
      </c>
      <c r="G556">
        <v>12</v>
      </c>
      <c r="H556">
        <v>1</v>
      </c>
      <c r="I556" s="2">
        <f t="shared" si="24"/>
        <v>0.78537599999999996</v>
      </c>
      <c r="J556">
        <f t="shared" si="25"/>
        <v>6.82935652173913E-2</v>
      </c>
      <c r="K556">
        <f t="shared" si="26"/>
        <v>2.0511256202663881E-2</v>
      </c>
    </row>
    <row r="557" spans="1:11" x14ac:dyDescent="0.25">
      <c r="A557" s="1">
        <v>1977</v>
      </c>
      <c r="B557" s="1" t="s">
        <v>104</v>
      </c>
      <c r="C557" t="s">
        <v>9</v>
      </c>
      <c r="D557" s="1" t="s">
        <v>3</v>
      </c>
      <c r="E557">
        <v>21</v>
      </c>
      <c r="F557" s="1" t="s">
        <v>101</v>
      </c>
      <c r="G557">
        <v>18</v>
      </c>
      <c r="H557">
        <v>1</v>
      </c>
      <c r="I557" s="2">
        <f t="shared" si="24"/>
        <v>1.7670959999999998</v>
      </c>
      <c r="J557">
        <f t="shared" si="25"/>
        <v>0.15366052173913042</v>
      </c>
      <c r="K557">
        <f t="shared" si="26"/>
        <v>4.6150326455993727E-2</v>
      </c>
    </row>
    <row r="558" spans="1:11" x14ac:dyDescent="0.25">
      <c r="A558" s="1">
        <v>1977</v>
      </c>
      <c r="B558" s="1" t="s">
        <v>104</v>
      </c>
      <c r="C558" t="s">
        <v>9</v>
      </c>
      <c r="D558" s="1" t="s">
        <v>3</v>
      </c>
      <c r="E558">
        <v>21</v>
      </c>
      <c r="F558" s="1" t="s">
        <v>101</v>
      </c>
      <c r="G558">
        <v>20</v>
      </c>
      <c r="H558">
        <v>1</v>
      </c>
      <c r="I558" s="2">
        <f t="shared" si="24"/>
        <v>2.1816</v>
      </c>
      <c r="J558">
        <f t="shared" si="25"/>
        <v>0.18970434782608694</v>
      </c>
      <c r="K558">
        <f t="shared" si="26"/>
        <v>5.6975711674066329E-2</v>
      </c>
    </row>
    <row r="559" spans="1:11" x14ac:dyDescent="0.25">
      <c r="A559" s="1">
        <v>1977</v>
      </c>
      <c r="B559" s="1" t="s">
        <v>104</v>
      </c>
      <c r="C559" t="s">
        <v>9</v>
      </c>
      <c r="D559" s="1" t="s">
        <v>3</v>
      </c>
      <c r="E559">
        <v>25</v>
      </c>
      <c r="F559" s="1" t="s">
        <v>101</v>
      </c>
      <c r="G559">
        <v>18</v>
      </c>
      <c r="H559">
        <v>2</v>
      </c>
      <c r="I559" s="2">
        <f t="shared" si="24"/>
        <v>3.5341919999999996</v>
      </c>
      <c r="J559">
        <f t="shared" si="25"/>
        <v>0.30732104347826084</v>
      </c>
      <c r="K559">
        <f t="shared" si="26"/>
        <v>9.2300652911987455E-2</v>
      </c>
    </row>
    <row r="560" spans="1:11" x14ac:dyDescent="0.25">
      <c r="A560" s="1">
        <v>1977</v>
      </c>
      <c r="B560" s="1" t="s">
        <v>104</v>
      </c>
      <c r="C560" t="s">
        <v>9</v>
      </c>
      <c r="D560" s="1" t="s">
        <v>3</v>
      </c>
      <c r="E560">
        <v>29</v>
      </c>
      <c r="F560" s="1" t="s">
        <v>101</v>
      </c>
      <c r="G560">
        <v>6</v>
      </c>
      <c r="H560">
        <v>38</v>
      </c>
      <c r="I560" s="2">
        <f t="shared" si="24"/>
        <v>7.4610719999999997</v>
      </c>
      <c r="J560">
        <f t="shared" si="25"/>
        <v>0.64878886956521742</v>
      </c>
      <c r="K560">
        <f t="shared" si="26"/>
        <v>0.19485693392530687</v>
      </c>
    </row>
    <row r="561" spans="1:11" x14ac:dyDescent="0.25">
      <c r="A561" s="1">
        <v>1977</v>
      </c>
      <c r="B561" s="1" t="s">
        <v>104</v>
      </c>
      <c r="C561" t="s">
        <v>9</v>
      </c>
      <c r="D561" s="1" t="s">
        <v>3</v>
      </c>
      <c r="E561">
        <v>29</v>
      </c>
      <c r="F561" s="1" t="s">
        <v>101</v>
      </c>
      <c r="G561">
        <v>8</v>
      </c>
      <c r="H561">
        <v>28</v>
      </c>
      <c r="I561" s="2">
        <f t="shared" si="24"/>
        <v>9.7735679999999991</v>
      </c>
      <c r="J561">
        <f t="shared" si="25"/>
        <v>0.84987547826086951</v>
      </c>
      <c r="K561">
        <f t="shared" si="26"/>
        <v>0.25525118829981719</v>
      </c>
    </row>
    <row r="562" spans="1:11" x14ac:dyDescent="0.25">
      <c r="A562" s="1">
        <v>1977</v>
      </c>
      <c r="B562" s="1" t="s">
        <v>104</v>
      </c>
      <c r="C562" t="s">
        <v>9</v>
      </c>
      <c r="D562" s="1" t="s">
        <v>3</v>
      </c>
      <c r="E562">
        <v>29</v>
      </c>
      <c r="F562" s="1" t="s">
        <v>101</v>
      </c>
      <c r="G562">
        <v>10</v>
      </c>
      <c r="H562">
        <v>4</v>
      </c>
      <c r="I562" s="2">
        <f t="shared" si="24"/>
        <v>2.1816</v>
      </c>
      <c r="J562">
        <f t="shared" si="25"/>
        <v>0.18970434782608694</v>
      </c>
      <c r="K562">
        <f t="shared" si="26"/>
        <v>5.6975711674066329E-2</v>
      </c>
    </row>
    <row r="563" spans="1:11" x14ac:dyDescent="0.25">
      <c r="A563" s="1">
        <v>1977</v>
      </c>
      <c r="B563" s="1" t="s">
        <v>104</v>
      </c>
      <c r="C563" t="s">
        <v>9</v>
      </c>
      <c r="D563" s="1" t="s">
        <v>3</v>
      </c>
      <c r="E563">
        <v>29</v>
      </c>
      <c r="F563" s="1" t="s">
        <v>101</v>
      </c>
      <c r="G563">
        <v>12</v>
      </c>
      <c r="H563">
        <v>2</v>
      </c>
      <c r="I563" s="2">
        <f t="shared" si="24"/>
        <v>1.5707519999999999</v>
      </c>
      <c r="J563">
        <f t="shared" si="25"/>
        <v>0.1365871304347826</v>
      </c>
      <c r="K563">
        <f t="shared" si="26"/>
        <v>4.1022512405327761E-2</v>
      </c>
    </row>
    <row r="564" spans="1:11" x14ac:dyDescent="0.25">
      <c r="A564" s="1">
        <v>1977</v>
      </c>
      <c r="B564" s="1" t="s">
        <v>104</v>
      </c>
      <c r="C564" t="s">
        <v>9</v>
      </c>
      <c r="D564" s="1" t="s">
        <v>3</v>
      </c>
      <c r="E564">
        <v>32</v>
      </c>
      <c r="F564" s="1" t="s">
        <v>101</v>
      </c>
      <c r="G564">
        <v>6</v>
      </c>
      <c r="H564">
        <v>39</v>
      </c>
      <c r="I564" s="2">
        <f t="shared" si="24"/>
        <v>7.6574159999999996</v>
      </c>
      <c r="J564">
        <f t="shared" si="25"/>
        <v>0.66586226086956513</v>
      </c>
      <c r="K564">
        <f t="shared" si="26"/>
        <v>0.19998474797597279</v>
      </c>
    </row>
    <row r="565" spans="1:11" x14ac:dyDescent="0.25">
      <c r="A565" s="1">
        <v>1977</v>
      </c>
      <c r="B565" s="1" t="s">
        <v>104</v>
      </c>
      <c r="C565" t="s">
        <v>9</v>
      </c>
      <c r="D565" s="1" t="s">
        <v>3</v>
      </c>
      <c r="E565">
        <v>32</v>
      </c>
      <c r="F565" s="1" t="s">
        <v>101</v>
      </c>
      <c r="G565">
        <v>8</v>
      </c>
      <c r="H565">
        <v>7</v>
      </c>
      <c r="I565" s="2">
        <f t="shared" si="24"/>
        <v>2.4433919999999998</v>
      </c>
      <c r="J565">
        <f t="shared" si="25"/>
        <v>0.21246886956521738</v>
      </c>
      <c r="K565">
        <f t="shared" si="26"/>
        <v>6.3812797074954297E-2</v>
      </c>
    </row>
    <row r="566" spans="1:11" x14ac:dyDescent="0.25">
      <c r="A566" s="1">
        <v>1977</v>
      </c>
      <c r="B566" s="1" t="s">
        <v>104</v>
      </c>
      <c r="C566" t="s">
        <v>9</v>
      </c>
      <c r="D566" s="1" t="s">
        <v>3</v>
      </c>
      <c r="E566">
        <v>32</v>
      </c>
      <c r="F566" s="1" t="s">
        <v>101</v>
      </c>
      <c r="G566">
        <v>10</v>
      </c>
      <c r="H566">
        <v>1</v>
      </c>
      <c r="I566" s="2">
        <f t="shared" si="24"/>
        <v>0.5454</v>
      </c>
      <c r="J566">
        <f t="shared" si="25"/>
        <v>4.7426086956521736E-2</v>
      </c>
      <c r="K566">
        <f t="shared" si="26"/>
        <v>1.4243927918516582E-2</v>
      </c>
    </row>
    <row r="567" spans="1:11" x14ac:dyDescent="0.25">
      <c r="A567" s="1">
        <v>1977</v>
      </c>
      <c r="B567" s="1" t="s">
        <v>104</v>
      </c>
      <c r="C567" t="s">
        <v>9</v>
      </c>
      <c r="D567" s="1" t="s">
        <v>3</v>
      </c>
      <c r="E567">
        <v>32</v>
      </c>
      <c r="F567" s="1" t="s">
        <v>101</v>
      </c>
      <c r="G567">
        <v>12</v>
      </c>
      <c r="H567">
        <v>3</v>
      </c>
      <c r="I567" s="2">
        <f t="shared" si="24"/>
        <v>2.356128</v>
      </c>
      <c r="J567">
        <f t="shared" si="25"/>
        <v>0.2048806956521739</v>
      </c>
      <c r="K567">
        <f t="shared" si="26"/>
        <v>6.1533768607991639E-2</v>
      </c>
    </row>
    <row r="568" spans="1:11" x14ac:dyDescent="0.25">
      <c r="A568" s="1">
        <v>1977</v>
      </c>
      <c r="B568" s="1" t="s">
        <v>104</v>
      </c>
      <c r="C568" t="s">
        <v>9</v>
      </c>
      <c r="D568" s="1" t="s">
        <v>3</v>
      </c>
      <c r="E568">
        <v>32</v>
      </c>
      <c r="F568" s="1" t="s">
        <v>101</v>
      </c>
      <c r="G568">
        <v>14</v>
      </c>
      <c r="H568">
        <v>1</v>
      </c>
      <c r="I568" s="2">
        <f t="shared" si="24"/>
        <v>1.0689839999999999</v>
      </c>
      <c r="J568">
        <f t="shared" si="25"/>
        <v>9.295513043478261E-2</v>
      </c>
      <c r="K568">
        <f t="shared" si="26"/>
        <v>2.7918098720292505E-2</v>
      </c>
    </row>
    <row r="569" spans="1:11" x14ac:dyDescent="0.25">
      <c r="A569" s="1">
        <v>1977</v>
      </c>
      <c r="B569" s="1" t="s">
        <v>104</v>
      </c>
      <c r="C569" t="s">
        <v>9</v>
      </c>
      <c r="D569" s="1" t="s">
        <v>3</v>
      </c>
      <c r="E569">
        <v>32</v>
      </c>
      <c r="F569" s="1" t="s">
        <v>101</v>
      </c>
      <c r="G569">
        <v>16</v>
      </c>
      <c r="H569">
        <v>2</v>
      </c>
      <c r="I569" s="2">
        <f t="shared" si="24"/>
        <v>2.7924479999999998</v>
      </c>
      <c r="J569">
        <f t="shared" si="25"/>
        <v>0.24282156521739129</v>
      </c>
      <c r="K569">
        <f t="shared" si="26"/>
        <v>7.2928910942804903E-2</v>
      </c>
    </row>
    <row r="570" spans="1:11" x14ac:dyDescent="0.25">
      <c r="A570" s="1">
        <v>1977</v>
      </c>
      <c r="B570" s="1" t="s">
        <v>104</v>
      </c>
      <c r="C570" t="s">
        <v>9</v>
      </c>
      <c r="D570" s="1" t="s">
        <v>3</v>
      </c>
      <c r="E570">
        <v>34</v>
      </c>
      <c r="F570" s="1" t="s">
        <v>101</v>
      </c>
      <c r="G570">
        <v>6</v>
      </c>
      <c r="H570">
        <v>64</v>
      </c>
      <c r="I570" s="2">
        <f t="shared" si="24"/>
        <v>12.566015999999999</v>
      </c>
      <c r="J570">
        <f t="shared" si="25"/>
        <v>1.0926970434782608</v>
      </c>
      <c r="K570">
        <f t="shared" si="26"/>
        <v>0.32818009924262209</v>
      </c>
    </row>
    <row r="571" spans="1:11" x14ac:dyDescent="0.25">
      <c r="A571" s="1">
        <v>1977</v>
      </c>
      <c r="B571" s="1" t="s">
        <v>104</v>
      </c>
      <c r="C571" t="s">
        <v>9</v>
      </c>
      <c r="D571" s="1" t="s">
        <v>3</v>
      </c>
      <c r="E571">
        <v>34</v>
      </c>
      <c r="F571" s="1" t="s">
        <v>101</v>
      </c>
      <c r="G571">
        <v>8</v>
      </c>
      <c r="H571">
        <v>38</v>
      </c>
      <c r="I571" s="2">
        <f t="shared" si="24"/>
        <v>13.264127999999999</v>
      </c>
      <c r="J571">
        <f t="shared" si="25"/>
        <v>1.1534024347826086</v>
      </c>
      <c r="K571">
        <f t="shared" si="26"/>
        <v>0.3464123269783233</v>
      </c>
    </row>
    <row r="572" spans="1:11" x14ac:dyDescent="0.25">
      <c r="A572" s="1">
        <v>1977</v>
      </c>
      <c r="B572" s="1" t="s">
        <v>104</v>
      </c>
      <c r="C572" t="s">
        <v>9</v>
      </c>
      <c r="D572" s="1" t="s">
        <v>3</v>
      </c>
      <c r="E572">
        <v>34</v>
      </c>
      <c r="F572" s="1" t="s">
        <v>101</v>
      </c>
      <c r="G572">
        <v>10</v>
      </c>
      <c r="H572">
        <v>37</v>
      </c>
      <c r="I572" s="2">
        <f t="shared" si="24"/>
        <v>20.1798</v>
      </c>
      <c r="J572">
        <f t="shared" si="25"/>
        <v>1.7547652173913044</v>
      </c>
      <c r="K572">
        <f t="shared" si="26"/>
        <v>0.52702533298511367</v>
      </c>
    </row>
    <row r="573" spans="1:11" x14ac:dyDescent="0.25">
      <c r="A573" s="1">
        <v>1977</v>
      </c>
      <c r="B573" s="1" t="s">
        <v>104</v>
      </c>
      <c r="C573" t="s">
        <v>9</v>
      </c>
      <c r="D573" s="1" t="s">
        <v>3</v>
      </c>
      <c r="E573">
        <v>34</v>
      </c>
      <c r="F573" s="1" t="s">
        <v>101</v>
      </c>
      <c r="G573">
        <v>12</v>
      </c>
      <c r="H573">
        <v>16</v>
      </c>
      <c r="I573" s="2">
        <f t="shared" si="24"/>
        <v>12.566015999999999</v>
      </c>
      <c r="J573">
        <f t="shared" si="25"/>
        <v>1.0926970434782608</v>
      </c>
      <c r="K573">
        <f t="shared" si="26"/>
        <v>0.32818009924262209</v>
      </c>
    </row>
    <row r="574" spans="1:11" x14ac:dyDescent="0.25">
      <c r="A574" s="1">
        <v>1977</v>
      </c>
      <c r="B574" s="1" t="s">
        <v>104</v>
      </c>
      <c r="C574" t="s">
        <v>9</v>
      </c>
      <c r="D574" s="1" t="s">
        <v>3</v>
      </c>
      <c r="E574">
        <v>34</v>
      </c>
      <c r="F574" s="1" t="s">
        <v>101</v>
      </c>
      <c r="G574">
        <v>14</v>
      </c>
      <c r="H574">
        <v>14</v>
      </c>
      <c r="I574" s="2">
        <f t="shared" si="24"/>
        <v>14.965775999999998</v>
      </c>
      <c r="J574">
        <f t="shared" si="25"/>
        <v>1.3013718260869565</v>
      </c>
      <c r="K574">
        <f t="shared" si="26"/>
        <v>0.39085338208409504</v>
      </c>
    </row>
    <row r="575" spans="1:11" x14ac:dyDescent="0.25">
      <c r="A575" s="1">
        <v>1977</v>
      </c>
      <c r="B575" s="1" t="s">
        <v>104</v>
      </c>
      <c r="C575" t="s">
        <v>9</v>
      </c>
      <c r="D575" s="1" t="s">
        <v>3</v>
      </c>
      <c r="E575">
        <v>34</v>
      </c>
      <c r="F575" s="1" t="s">
        <v>101</v>
      </c>
      <c r="G575">
        <v>16</v>
      </c>
      <c r="H575">
        <v>9</v>
      </c>
      <c r="I575" s="2">
        <f t="shared" si="24"/>
        <v>12.566015999999999</v>
      </c>
      <c r="J575">
        <f t="shared" si="25"/>
        <v>1.0926970434782608</v>
      </c>
      <c r="K575">
        <f t="shared" si="26"/>
        <v>0.32818009924262209</v>
      </c>
    </row>
    <row r="576" spans="1:11" x14ac:dyDescent="0.25">
      <c r="A576" s="1">
        <v>1977</v>
      </c>
      <c r="B576" s="1" t="s">
        <v>104</v>
      </c>
      <c r="C576" t="s">
        <v>9</v>
      </c>
      <c r="D576" s="1" t="s">
        <v>3</v>
      </c>
      <c r="E576">
        <v>34</v>
      </c>
      <c r="F576" s="1" t="s">
        <v>101</v>
      </c>
      <c r="G576">
        <v>18</v>
      </c>
      <c r="H576">
        <v>6</v>
      </c>
      <c r="I576" s="2">
        <f t="shared" si="24"/>
        <v>10.602575999999999</v>
      </c>
      <c r="J576">
        <f t="shared" si="25"/>
        <v>0.92196313043478251</v>
      </c>
      <c r="K576">
        <f t="shared" si="26"/>
        <v>0.27690195873596235</v>
      </c>
    </row>
    <row r="577" spans="1:11" x14ac:dyDescent="0.25">
      <c r="A577" s="1">
        <v>1977</v>
      </c>
      <c r="B577" s="1" t="s">
        <v>104</v>
      </c>
      <c r="C577" t="s">
        <v>9</v>
      </c>
      <c r="D577" s="1" t="s">
        <v>3</v>
      </c>
      <c r="E577">
        <v>34</v>
      </c>
      <c r="F577" s="1" t="s">
        <v>101</v>
      </c>
      <c r="G577">
        <v>20</v>
      </c>
      <c r="H577">
        <v>2</v>
      </c>
      <c r="I577" s="2">
        <f t="shared" si="24"/>
        <v>4.3632</v>
      </c>
      <c r="J577">
        <f t="shared" si="25"/>
        <v>0.37940869565217389</v>
      </c>
      <c r="K577">
        <f t="shared" si="26"/>
        <v>0.11395142334813266</v>
      </c>
    </row>
    <row r="578" spans="1:11" x14ac:dyDescent="0.25">
      <c r="A578" s="1">
        <v>1977</v>
      </c>
      <c r="B578" s="1" t="s">
        <v>104</v>
      </c>
      <c r="C578" t="s">
        <v>9</v>
      </c>
      <c r="D578" s="1" t="s">
        <v>3</v>
      </c>
      <c r="E578">
        <v>38</v>
      </c>
      <c r="F578" s="1" t="s">
        <v>101</v>
      </c>
      <c r="G578">
        <v>6</v>
      </c>
      <c r="H578">
        <v>120</v>
      </c>
      <c r="I578" s="2">
        <f t="shared" si="24"/>
        <v>23.56128</v>
      </c>
      <c r="J578">
        <f t="shared" si="25"/>
        <v>2.0488069565217391</v>
      </c>
      <c r="K578">
        <f t="shared" si="26"/>
        <v>0.61533768607991635</v>
      </c>
    </row>
    <row r="579" spans="1:11" x14ac:dyDescent="0.25">
      <c r="A579" s="1">
        <v>1977</v>
      </c>
      <c r="B579" s="1" t="s">
        <v>104</v>
      </c>
      <c r="C579" t="s">
        <v>9</v>
      </c>
      <c r="D579" s="1" t="s">
        <v>3</v>
      </c>
      <c r="E579">
        <v>38</v>
      </c>
      <c r="F579" s="1" t="s">
        <v>101</v>
      </c>
      <c r="G579">
        <v>8</v>
      </c>
      <c r="H579">
        <v>129</v>
      </c>
      <c r="I579" s="2">
        <f t="shared" ref="I579:I642" si="27">0.005454*G579^2*H579</f>
        <v>45.028223999999994</v>
      </c>
      <c r="J579">
        <f t="shared" ref="J579:J642" si="28">I579/11.5</f>
        <v>3.9154977391304344</v>
      </c>
      <c r="K579">
        <f t="shared" ref="K579:K642" si="29">J579*(11.5/38.29)</f>
        <v>1.1759786889527291</v>
      </c>
    </row>
    <row r="580" spans="1:11" x14ac:dyDescent="0.25">
      <c r="A580" s="1">
        <v>1977</v>
      </c>
      <c r="B580" s="1" t="s">
        <v>104</v>
      </c>
      <c r="C580" t="s">
        <v>9</v>
      </c>
      <c r="D580" s="1" t="s">
        <v>3</v>
      </c>
      <c r="E580">
        <v>38</v>
      </c>
      <c r="F580" s="1" t="s">
        <v>101</v>
      </c>
      <c r="G580">
        <v>10</v>
      </c>
      <c r="H580">
        <v>168</v>
      </c>
      <c r="I580" s="2">
        <f t="shared" si="27"/>
        <v>91.627200000000002</v>
      </c>
      <c r="J580">
        <f t="shared" si="28"/>
        <v>7.9675826086956523</v>
      </c>
      <c r="K580">
        <f t="shared" si="29"/>
        <v>2.392979890310786</v>
      </c>
    </row>
    <row r="581" spans="1:11" x14ac:dyDescent="0.25">
      <c r="A581" s="1">
        <v>1977</v>
      </c>
      <c r="B581" s="1" t="s">
        <v>104</v>
      </c>
      <c r="C581" t="s">
        <v>9</v>
      </c>
      <c r="D581" s="1" t="s">
        <v>3</v>
      </c>
      <c r="E581">
        <v>38</v>
      </c>
      <c r="F581" s="1" t="s">
        <v>101</v>
      </c>
      <c r="G581">
        <v>12</v>
      </c>
      <c r="H581">
        <v>127</v>
      </c>
      <c r="I581" s="2">
        <f t="shared" si="27"/>
        <v>99.742751999999996</v>
      </c>
      <c r="J581">
        <f t="shared" si="28"/>
        <v>8.6732827826086947</v>
      </c>
      <c r="K581">
        <f t="shared" si="29"/>
        <v>2.6049295377383124</v>
      </c>
    </row>
    <row r="582" spans="1:11" x14ac:dyDescent="0.25">
      <c r="A582" s="1">
        <v>1977</v>
      </c>
      <c r="B582" s="1" t="s">
        <v>104</v>
      </c>
      <c r="C582" t="s">
        <v>9</v>
      </c>
      <c r="D582" s="1" t="s">
        <v>3</v>
      </c>
      <c r="E582">
        <v>38</v>
      </c>
      <c r="F582" s="1" t="s">
        <v>101</v>
      </c>
      <c r="G582">
        <v>14</v>
      </c>
      <c r="H582">
        <v>76</v>
      </c>
      <c r="I582" s="2">
        <f t="shared" si="27"/>
        <v>81.242784</v>
      </c>
      <c r="J582">
        <f t="shared" si="28"/>
        <v>7.0645899130434779</v>
      </c>
      <c r="K582">
        <f t="shared" si="29"/>
        <v>2.12177550274223</v>
      </c>
    </row>
    <row r="583" spans="1:11" x14ac:dyDescent="0.25">
      <c r="A583" s="1">
        <v>1977</v>
      </c>
      <c r="B583" s="1" t="s">
        <v>104</v>
      </c>
      <c r="C583" t="s">
        <v>9</v>
      </c>
      <c r="D583" s="1" t="s">
        <v>3</v>
      </c>
      <c r="E583">
        <v>38</v>
      </c>
      <c r="F583" s="1" t="s">
        <v>101</v>
      </c>
      <c r="G583">
        <v>16</v>
      </c>
      <c r="H583">
        <v>50</v>
      </c>
      <c r="I583" s="2">
        <f t="shared" si="27"/>
        <v>69.811199999999999</v>
      </c>
      <c r="J583">
        <f t="shared" si="28"/>
        <v>6.0705391304347822</v>
      </c>
      <c r="K583">
        <f t="shared" si="29"/>
        <v>1.8232227735701225</v>
      </c>
    </row>
    <row r="584" spans="1:11" x14ac:dyDescent="0.25">
      <c r="A584" s="1">
        <v>1977</v>
      </c>
      <c r="B584" s="1" t="s">
        <v>104</v>
      </c>
      <c r="C584" t="s">
        <v>9</v>
      </c>
      <c r="D584" s="1" t="s">
        <v>3</v>
      </c>
      <c r="E584">
        <v>38</v>
      </c>
      <c r="F584" s="1" t="s">
        <v>101</v>
      </c>
      <c r="G584">
        <v>18</v>
      </c>
      <c r="H584">
        <v>21</v>
      </c>
      <c r="I584" s="2">
        <f t="shared" si="27"/>
        <v>37.109015999999997</v>
      </c>
      <c r="J584">
        <f t="shared" si="28"/>
        <v>3.2268709565217391</v>
      </c>
      <c r="K584">
        <f t="shared" si="29"/>
        <v>0.96915685557586828</v>
      </c>
    </row>
    <row r="585" spans="1:11" x14ac:dyDescent="0.25">
      <c r="A585" s="1">
        <v>1977</v>
      </c>
      <c r="B585" s="1" t="s">
        <v>104</v>
      </c>
      <c r="C585" t="s">
        <v>9</v>
      </c>
      <c r="D585" s="1" t="s">
        <v>3</v>
      </c>
      <c r="E585">
        <v>38</v>
      </c>
      <c r="F585" s="1" t="s">
        <v>101</v>
      </c>
      <c r="G585">
        <v>20</v>
      </c>
      <c r="H585">
        <v>5</v>
      </c>
      <c r="I585" s="2">
        <f t="shared" si="27"/>
        <v>10.907999999999999</v>
      </c>
      <c r="J585">
        <f t="shared" si="28"/>
        <v>0.94852173913043469</v>
      </c>
      <c r="K585">
        <f t="shared" si="29"/>
        <v>0.28487855837033166</v>
      </c>
    </row>
    <row r="586" spans="1:11" x14ac:dyDescent="0.25">
      <c r="A586" s="1">
        <v>1977</v>
      </c>
      <c r="B586" s="1" t="s">
        <v>104</v>
      </c>
      <c r="C586" t="s">
        <v>9</v>
      </c>
      <c r="D586" s="1" t="s">
        <v>3</v>
      </c>
      <c r="E586">
        <v>40</v>
      </c>
      <c r="F586" s="1" t="s">
        <v>101</v>
      </c>
      <c r="G586">
        <v>6</v>
      </c>
      <c r="H586">
        <v>75</v>
      </c>
      <c r="I586" s="2">
        <f t="shared" si="27"/>
        <v>14.7258</v>
      </c>
      <c r="J586">
        <f t="shared" si="28"/>
        <v>1.2805043478260869</v>
      </c>
      <c r="K586">
        <f t="shared" si="29"/>
        <v>0.38458605379994776</v>
      </c>
    </row>
    <row r="587" spans="1:11" x14ac:dyDescent="0.25">
      <c r="A587" s="1">
        <v>1977</v>
      </c>
      <c r="B587" s="1" t="s">
        <v>104</v>
      </c>
      <c r="C587" t="s">
        <v>9</v>
      </c>
      <c r="D587" s="1" t="s">
        <v>3</v>
      </c>
      <c r="E587">
        <v>40</v>
      </c>
      <c r="F587" s="1" t="s">
        <v>101</v>
      </c>
      <c r="G587">
        <v>8</v>
      </c>
      <c r="H587">
        <v>56</v>
      </c>
      <c r="I587" s="2">
        <f t="shared" si="27"/>
        <v>19.547135999999998</v>
      </c>
      <c r="J587">
        <f t="shared" si="28"/>
        <v>1.699750956521739</v>
      </c>
      <c r="K587">
        <f t="shared" si="29"/>
        <v>0.51050237659963438</v>
      </c>
    </row>
    <row r="588" spans="1:11" x14ac:dyDescent="0.25">
      <c r="A588" s="1">
        <v>1977</v>
      </c>
      <c r="B588" s="1" t="s">
        <v>104</v>
      </c>
      <c r="C588" t="s">
        <v>9</v>
      </c>
      <c r="D588" s="1" t="s">
        <v>3</v>
      </c>
      <c r="E588">
        <v>40</v>
      </c>
      <c r="F588" s="1" t="s">
        <v>101</v>
      </c>
      <c r="G588">
        <v>10</v>
      </c>
      <c r="H588">
        <v>59</v>
      </c>
      <c r="I588" s="2">
        <f t="shared" si="27"/>
        <v>32.178600000000003</v>
      </c>
      <c r="J588">
        <f t="shared" si="28"/>
        <v>2.7981391304347829</v>
      </c>
      <c r="K588">
        <f t="shared" si="29"/>
        <v>0.84039174719247856</v>
      </c>
    </row>
    <row r="589" spans="1:11" x14ac:dyDescent="0.25">
      <c r="A589" s="1">
        <v>1977</v>
      </c>
      <c r="B589" s="1" t="s">
        <v>104</v>
      </c>
      <c r="C589" t="s">
        <v>9</v>
      </c>
      <c r="D589" s="1" t="s">
        <v>3</v>
      </c>
      <c r="E589">
        <v>40</v>
      </c>
      <c r="F589" s="1" t="s">
        <v>101</v>
      </c>
      <c r="G589">
        <v>12</v>
      </c>
      <c r="H589">
        <v>50</v>
      </c>
      <c r="I589" s="2">
        <f t="shared" si="27"/>
        <v>39.268799999999999</v>
      </c>
      <c r="J589">
        <f t="shared" si="28"/>
        <v>3.4146782608695649</v>
      </c>
      <c r="K589">
        <f t="shared" si="29"/>
        <v>1.0255628101331939</v>
      </c>
    </row>
    <row r="590" spans="1:11" x14ac:dyDescent="0.25">
      <c r="A590" s="1">
        <v>1977</v>
      </c>
      <c r="B590" s="1" t="s">
        <v>104</v>
      </c>
      <c r="C590" t="s">
        <v>9</v>
      </c>
      <c r="D590" s="1" t="s">
        <v>3</v>
      </c>
      <c r="E590">
        <v>40</v>
      </c>
      <c r="F590" s="1" t="s">
        <v>101</v>
      </c>
      <c r="G590">
        <v>14</v>
      </c>
      <c r="H590">
        <v>54</v>
      </c>
      <c r="I590" s="2">
        <f t="shared" si="27"/>
        <v>57.725135999999999</v>
      </c>
      <c r="J590">
        <f t="shared" si="28"/>
        <v>5.0195770434782609</v>
      </c>
      <c r="K590">
        <f t="shared" si="29"/>
        <v>1.5075773308957952</v>
      </c>
    </row>
    <row r="591" spans="1:11" x14ac:dyDescent="0.25">
      <c r="A591" s="1">
        <v>1977</v>
      </c>
      <c r="B591" s="1" t="s">
        <v>104</v>
      </c>
      <c r="C591" t="s">
        <v>9</v>
      </c>
      <c r="D591" s="1" t="s">
        <v>3</v>
      </c>
      <c r="E591">
        <v>40</v>
      </c>
      <c r="F591" s="1" t="s">
        <v>101</v>
      </c>
      <c r="G591">
        <v>16</v>
      </c>
      <c r="H591">
        <v>36</v>
      </c>
      <c r="I591" s="2">
        <f t="shared" si="27"/>
        <v>50.264063999999998</v>
      </c>
      <c r="J591">
        <f t="shared" si="28"/>
        <v>4.3707881739130432</v>
      </c>
      <c r="K591">
        <f t="shared" si="29"/>
        <v>1.3127203969704884</v>
      </c>
    </row>
    <row r="592" spans="1:11" x14ac:dyDescent="0.25">
      <c r="A592" s="1">
        <v>1977</v>
      </c>
      <c r="B592" s="1" t="s">
        <v>104</v>
      </c>
      <c r="C592" t="s">
        <v>9</v>
      </c>
      <c r="D592" s="1" t="s">
        <v>3</v>
      </c>
      <c r="E592">
        <v>40</v>
      </c>
      <c r="F592" s="1" t="s">
        <v>101</v>
      </c>
      <c r="G592">
        <v>18</v>
      </c>
      <c r="H592">
        <v>26</v>
      </c>
      <c r="I592" s="2">
        <f t="shared" si="27"/>
        <v>45.944495999999994</v>
      </c>
      <c r="J592">
        <f t="shared" si="28"/>
        <v>3.995173565217391</v>
      </c>
      <c r="K592">
        <f t="shared" si="29"/>
        <v>1.1999084878558368</v>
      </c>
    </row>
    <row r="593" spans="1:11" x14ac:dyDescent="0.25">
      <c r="A593" s="1">
        <v>1977</v>
      </c>
      <c r="B593" s="1" t="s">
        <v>104</v>
      </c>
      <c r="C593" t="s">
        <v>9</v>
      </c>
      <c r="D593" s="1" t="s">
        <v>3</v>
      </c>
      <c r="E593">
        <v>40</v>
      </c>
      <c r="F593" s="1" t="s">
        <v>101</v>
      </c>
      <c r="G593">
        <v>20</v>
      </c>
      <c r="H593">
        <v>15</v>
      </c>
      <c r="I593" s="2">
        <f t="shared" si="27"/>
        <v>32.723999999999997</v>
      </c>
      <c r="J593">
        <f t="shared" si="28"/>
        <v>2.8455652173913042</v>
      </c>
      <c r="K593">
        <f t="shared" si="29"/>
        <v>0.85463567511099492</v>
      </c>
    </row>
    <row r="594" spans="1:11" x14ac:dyDescent="0.25">
      <c r="A594" s="1">
        <v>1977</v>
      </c>
      <c r="B594" s="1" t="s">
        <v>104</v>
      </c>
      <c r="C594" t="s">
        <v>9</v>
      </c>
      <c r="D594" s="1" t="s">
        <v>3</v>
      </c>
      <c r="E594">
        <v>40</v>
      </c>
      <c r="F594" s="1" t="s">
        <v>101</v>
      </c>
      <c r="G594">
        <v>22</v>
      </c>
      <c r="H594">
        <v>2</v>
      </c>
      <c r="I594" s="2">
        <f t="shared" si="27"/>
        <v>5.2794719999999993</v>
      </c>
      <c r="J594">
        <f t="shared" si="28"/>
        <v>0.45908452173913039</v>
      </c>
      <c r="K594">
        <f t="shared" si="29"/>
        <v>0.13788122225124053</v>
      </c>
    </row>
    <row r="595" spans="1:11" x14ac:dyDescent="0.25">
      <c r="A595" s="1">
        <v>1977</v>
      </c>
      <c r="B595" s="1" t="s">
        <v>104</v>
      </c>
      <c r="C595" t="s">
        <v>9</v>
      </c>
      <c r="D595" s="1" t="s">
        <v>3</v>
      </c>
      <c r="E595">
        <v>41</v>
      </c>
      <c r="F595" s="1" t="s">
        <v>101</v>
      </c>
      <c r="G595">
        <v>6</v>
      </c>
      <c r="H595">
        <v>12</v>
      </c>
      <c r="I595" s="2">
        <f t="shared" si="27"/>
        <v>2.356128</v>
      </c>
      <c r="J595">
        <f t="shared" si="28"/>
        <v>0.2048806956521739</v>
      </c>
      <c r="K595">
        <f t="shared" si="29"/>
        <v>6.1533768607991639E-2</v>
      </c>
    </row>
    <row r="596" spans="1:11" x14ac:dyDescent="0.25">
      <c r="A596" s="1">
        <v>1977</v>
      </c>
      <c r="B596" s="1" t="s">
        <v>104</v>
      </c>
      <c r="C596" t="s">
        <v>9</v>
      </c>
      <c r="D596" s="1" t="s">
        <v>3</v>
      </c>
      <c r="E596">
        <v>41</v>
      </c>
      <c r="F596" s="1" t="s">
        <v>101</v>
      </c>
      <c r="G596">
        <v>8</v>
      </c>
      <c r="H596">
        <v>18</v>
      </c>
      <c r="I596" s="2">
        <f t="shared" si="27"/>
        <v>6.2830079999999997</v>
      </c>
      <c r="J596">
        <f t="shared" si="28"/>
        <v>0.5463485217391304</v>
      </c>
      <c r="K596">
        <f t="shared" si="29"/>
        <v>0.16409004962131105</v>
      </c>
    </row>
    <row r="597" spans="1:11" x14ac:dyDescent="0.25">
      <c r="A597" s="1">
        <v>1977</v>
      </c>
      <c r="B597" s="1" t="s">
        <v>104</v>
      </c>
      <c r="C597" t="s">
        <v>9</v>
      </c>
      <c r="D597" s="1" t="s">
        <v>3</v>
      </c>
      <c r="E597">
        <v>41</v>
      </c>
      <c r="F597" s="1" t="s">
        <v>101</v>
      </c>
      <c r="G597">
        <v>10</v>
      </c>
      <c r="H597">
        <v>21</v>
      </c>
      <c r="I597" s="2">
        <f t="shared" si="27"/>
        <v>11.4534</v>
      </c>
      <c r="J597">
        <f t="shared" si="28"/>
        <v>0.99594782608695653</v>
      </c>
      <c r="K597">
        <f t="shared" si="29"/>
        <v>0.29912248628884824</v>
      </c>
    </row>
    <row r="598" spans="1:11" x14ac:dyDescent="0.25">
      <c r="A598" s="1">
        <v>1977</v>
      </c>
      <c r="B598" s="1" t="s">
        <v>104</v>
      </c>
      <c r="C598" t="s">
        <v>9</v>
      </c>
      <c r="D598" s="1" t="s">
        <v>3</v>
      </c>
      <c r="E598">
        <v>41</v>
      </c>
      <c r="F598" s="1" t="s">
        <v>101</v>
      </c>
      <c r="G598">
        <v>12</v>
      </c>
      <c r="H598">
        <v>18</v>
      </c>
      <c r="I598" s="2">
        <f t="shared" si="27"/>
        <v>14.136768</v>
      </c>
      <c r="J598">
        <f t="shared" si="28"/>
        <v>1.2292841739130436</v>
      </c>
      <c r="K598">
        <f t="shared" si="29"/>
        <v>0.36920261164794987</v>
      </c>
    </row>
    <row r="599" spans="1:11" x14ac:dyDescent="0.25">
      <c r="A599" s="1">
        <v>1977</v>
      </c>
      <c r="B599" s="1" t="s">
        <v>104</v>
      </c>
      <c r="C599" t="s">
        <v>9</v>
      </c>
      <c r="D599" s="1" t="s">
        <v>3</v>
      </c>
      <c r="E599">
        <v>41</v>
      </c>
      <c r="F599" s="1" t="s">
        <v>101</v>
      </c>
      <c r="G599">
        <v>14</v>
      </c>
      <c r="H599">
        <v>23</v>
      </c>
      <c r="I599" s="2">
        <f t="shared" si="27"/>
        <v>24.586631999999998</v>
      </c>
      <c r="J599">
        <f t="shared" si="28"/>
        <v>2.1379679999999999</v>
      </c>
      <c r="K599">
        <f t="shared" si="29"/>
        <v>0.6421162705667276</v>
      </c>
    </row>
    <row r="600" spans="1:11" x14ac:dyDescent="0.25">
      <c r="A600" s="1">
        <v>1977</v>
      </c>
      <c r="B600" s="1" t="s">
        <v>104</v>
      </c>
      <c r="C600" t="s">
        <v>9</v>
      </c>
      <c r="D600" s="1" t="s">
        <v>3</v>
      </c>
      <c r="E600">
        <v>41</v>
      </c>
      <c r="F600" s="1" t="s">
        <v>101</v>
      </c>
      <c r="G600">
        <v>16</v>
      </c>
      <c r="H600">
        <v>21</v>
      </c>
      <c r="I600" s="2">
        <f t="shared" si="27"/>
        <v>29.320703999999999</v>
      </c>
      <c r="J600">
        <f t="shared" si="28"/>
        <v>2.5496264347826085</v>
      </c>
      <c r="K600">
        <f t="shared" si="29"/>
        <v>0.76575356489945146</v>
      </c>
    </row>
    <row r="601" spans="1:11" x14ac:dyDescent="0.25">
      <c r="A601" s="1">
        <v>1977</v>
      </c>
      <c r="B601" s="1" t="s">
        <v>104</v>
      </c>
      <c r="C601" t="s">
        <v>9</v>
      </c>
      <c r="D601" s="1" t="s">
        <v>3</v>
      </c>
      <c r="E601">
        <v>41</v>
      </c>
      <c r="F601" s="1" t="s">
        <v>101</v>
      </c>
      <c r="G601">
        <v>18</v>
      </c>
      <c r="H601">
        <v>15</v>
      </c>
      <c r="I601" s="2">
        <f t="shared" si="27"/>
        <v>26.506439999999998</v>
      </c>
      <c r="J601">
        <f t="shared" si="28"/>
        <v>2.3049078260869562</v>
      </c>
      <c r="K601">
        <f t="shared" si="29"/>
        <v>0.69225489683990582</v>
      </c>
    </row>
    <row r="602" spans="1:11" x14ac:dyDescent="0.25">
      <c r="A602" s="1">
        <v>1977</v>
      </c>
      <c r="B602" s="1" t="s">
        <v>104</v>
      </c>
      <c r="C602" t="s">
        <v>9</v>
      </c>
      <c r="D602" s="1" t="s">
        <v>3</v>
      </c>
      <c r="E602">
        <v>41</v>
      </c>
      <c r="F602" s="1" t="s">
        <v>101</v>
      </c>
      <c r="G602">
        <v>22</v>
      </c>
      <c r="H602">
        <v>1</v>
      </c>
      <c r="I602" s="2">
        <f t="shared" si="27"/>
        <v>2.6397359999999996</v>
      </c>
      <c r="J602">
        <f t="shared" si="28"/>
        <v>0.2295422608695652</v>
      </c>
      <c r="K602">
        <f t="shared" si="29"/>
        <v>6.8940611125620263E-2</v>
      </c>
    </row>
    <row r="603" spans="1:11" x14ac:dyDescent="0.25">
      <c r="A603" s="1">
        <v>1977</v>
      </c>
      <c r="B603" s="1" t="s">
        <v>104</v>
      </c>
      <c r="C603" t="s">
        <v>9</v>
      </c>
      <c r="D603" s="1" t="s">
        <v>3</v>
      </c>
      <c r="E603">
        <v>47</v>
      </c>
      <c r="F603" s="1" t="s">
        <v>101</v>
      </c>
      <c r="G603">
        <v>6</v>
      </c>
      <c r="H603">
        <v>1</v>
      </c>
      <c r="I603" s="2">
        <f t="shared" si="27"/>
        <v>0.19634399999999999</v>
      </c>
      <c r="J603">
        <f t="shared" si="28"/>
        <v>1.7073391304347825E-2</v>
      </c>
      <c r="K603">
        <f t="shared" si="29"/>
        <v>5.1278140506659702E-3</v>
      </c>
    </row>
    <row r="604" spans="1:11" x14ac:dyDescent="0.25">
      <c r="A604" s="1">
        <v>1977</v>
      </c>
      <c r="B604" s="1" t="s">
        <v>104</v>
      </c>
      <c r="C604" t="s">
        <v>9</v>
      </c>
      <c r="D604" s="1" t="s">
        <v>3</v>
      </c>
      <c r="E604">
        <v>47</v>
      </c>
      <c r="F604" s="1" t="s">
        <v>101</v>
      </c>
      <c r="G604">
        <v>10</v>
      </c>
      <c r="H604">
        <v>2</v>
      </c>
      <c r="I604" s="2">
        <f t="shared" si="27"/>
        <v>1.0908</v>
      </c>
      <c r="J604">
        <f t="shared" si="28"/>
        <v>9.4852173913043472E-2</v>
      </c>
      <c r="K604">
        <f t="shared" si="29"/>
        <v>2.8487855837033164E-2</v>
      </c>
    </row>
    <row r="605" spans="1:11" x14ac:dyDescent="0.25">
      <c r="A605" s="1">
        <v>1977</v>
      </c>
      <c r="B605" s="1" t="s">
        <v>104</v>
      </c>
      <c r="C605" t="s">
        <v>9</v>
      </c>
      <c r="D605" s="1" t="s">
        <v>3</v>
      </c>
      <c r="E605">
        <v>47</v>
      </c>
      <c r="F605" s="1" t="s">
        <v>101</v>
      </c>
      <c r="G605">
        <v>14</v>
      </c>
      <c r="H605">
        <v>1</v>
      </c>
      <c r="I605" s="2">
        <f t="shared" si="27"/>
        <v>1.0689839999999999</v>
      </c>
      <c r="J605">
        <f t="shared" si="28"/>
        <v>9.295513043478261E-2</v>
      </c>
      <c r="K605">
        <f t="shared" si="29"/>
        <v>2.7918098720292505E-2</v>
      </c>
    </row>
    <row r="606" spans="1:11" x14ac:dyDescent="0.25">
      <c r="A606" s="1">
        <v>1977</v>
      </c>
      <c r="B606" s="1" t="s">
        <v>104</v>
      </c>
      <c r="C606" t="s">
        <v>9</v>
      </c>
      <c r="D606" s="1" t="s">
        <v>3</v>
      </c>
      <c r="E606">
        <v>53</v>
      </c>
      <c r="F606" s="1" t="s">
        <v>101</v>
      </c>
      <c r="G606">
        <v>6</v>
      </c>
      <c r="H606">
        <v>18</v>
      </c>
      <c r="I606" s="2">
        <f t="shared" si="27"/>
        <v>3.534192</v>
      </c>
      <c r="J606">
        <f t="shared" si="28"/>
        <v>0.30732104347826089</v>
      </c>
      <c r="K606">
        <f t="shared" si="29"/>
        <v>9.2300652911987469E-2</v>
      </c>
    </row>
    <row r="607" spans="1:11" x14ac:dyDescent="0.25">
      <c r="A607" s="1">
        <v>1977</v>
      </c>
      <c r="B607" s="1" t="s">
        <v>104</v>
      </c>
      <c r="C607" t="s">
        <v>9</v>
      </c>
      <c r="D607" s="1" t="s">
        <v>3</v>
      </c>
      <c r="E607">
        <v>53</v>
      </c>
      <c r="F607" s="1" t="s">
        <v>101</v>
      </c>
      <c r="G607">
        <v>8</v>
      </c>
      <c r="H607">
        <v>10</v>
      </c>
      <c r="I607" s="2">
        <f t="shared" si="27"/>
        <v>3.4905599999999999</v>
      </c>
      <c r="J607">
        <f t="shared" si="28"/>
        <v>0.30352695652173911</v>
      </c>
      <c r="K607">
        <f t="shared" si="29"/>
        <v>9.1161138678506129E-2</v>
      </c>
    </row>
    <row r="608" spans="1:11" x14ac:dyDescent="0.25">
      <c r="A608" s="1">
        <v>1977</v>
      </c>
      <c r="B608" s="1" t="s">
        <v>104</v>
      </c>
      <c r="C608" t="s">
        <v>9</v>
      </c>
      <c r="D608" s="1" t="s">
        <v>3</v>
      </c>
      <c r="E608">
        <v>53</v>
      </c>
      <c r="F608" s="1" t="s">
        <v>101</v>
      </c>
      <c r="G608">
        <v>10</v>
      </c>
      <c r="H608">
        <v>3</v>
      </c>
      <c r="I608" s="2">
        <f t="shared" si="27"/>
        <v>1.6362000000000001</v>
      </c>
      <c r="J608">
        <f t="shared" si="28"/>
        <v>0.14227826086956522</v>
      </c>
      <c r="K608">
        <f t="shared" si="29"/>
        <v>4.273178375554975E-2</v>
      </c>
    </row>
    <row r="609" spans="1:11" x14ac:dyDescent="0.25">
      <c r="A609" s="1">
        <v>1977</v>
      </c>
      <c r="B609" s="1" t="s">
        <v>104</v>
      </c>
      <c r="C609" t="s">
        <v>9</v>
      </c>
      <c r="D609" s="1" t="s">
        <v>3</v>
      </c>
      <c r="E609">
        <v>53</v>
      </c>
      <c r="F609" s="1" t="s">
        <v>101</v>
      </c>
      <c r="G609">
        <v>12</v>
      </c>
      <c r="H609">
        <v>3</v>
      </c>
      <c r="I609" s="2">
        <f t="shared" si="27"/>
        <v>2.356128</v>
      </c>
      <c r="J609">
        <f t="shared" si="28"/>
        <v>0.2048806956521739</v>
      </c>
      <c r="K609">
        <f t="shared" si="29"/>
        <v>6.1533768607991639E-2</v>
      </c>
    </row>
    <row r="610" spans="1:11" x14ac:dyDescent="0.25">
      <c r="A610" s="1">
        <v>1977</v>
      </c>
      <c r="B610" s="1" t="s">
        <v>104</v>
      </c>
      <c r="C610" t="s">
        <v>9</v>
      </c>
      <c r="D610" s="1" t="s">
        <v>3</v>
      </c>
      <c r="E610">
        <v>53</v>
      </c>
      <c r="F610" s="1" t="s">
        <v>101</v>
      </c>
      <c r="G610">
        <v>14</v>
      </c>
      <c r="H610">
        <v>4</v>
      </c>
      <c r="I610" s="2">
        <f t="shared" si="27"/>
        <v>4.2759359999999997</v>
      </c>
      <c r="J610">
        <f t="shared" si="28"/>
        <v>0.37182052173913044</v>
      </c>
      <c r="K610">
        <f t="shared" si="29"/>
        <v>0.11167239488117002</v>
      </c>
    </row>
    <row r="611" spans="1:11" x14ac:dyDescent="0.25">
      <c r="A611" s="1">
        <v>1977</v>
      </c>
      <c r="B611" s="1" t="s">
        <v>104</v>
      </c>
      <c r="C611" t="s">
        <v>9</v>
      </c>
      <c r="D611" s="1" t="s">
        <v>3</v>
      </c>
      <c r="E611">
        <v>53</v>
      </c>
      <c r="F611" s="1" t="s">
        <v>101</v>
      </c>
      <c r="G611">
        <v>16</v>
      </c>
      <c r="H611">
        <v>1</v>
      </c>
      <c r="I611" s="2">
        <f t="shared" si="27"/>
        <v>1.3962239999999999</v>
      </c>
      <c r="J611">
        <f t="shared" si="28"/>
        <v>0.12141078260869564</v>
      </c>
      <c r="K611">
        <f t="shared" si="29"/>
        <v>3.6464455471402452E-2</v>
      </c>
    </row>
    <row r="612" spans="1:11" x14ac:dyDescent="0.25">
      <c r="A612" s="1">
        <v>1977</v>
      </c>
      <c r="B612" s="1" t="s">
        <v>104</v>
      </c>
      <c r="C612" t="s">
        <v>9</v>
      </c>
      <c r="D612" s="1" t="s">
        <v>3</v>
      </c>
      <c r="E612">
        <v>54</v>
      </c>
      <c r="F612" s="1" t="s">
        <v>101</v>
      </c>
      <c r="G612">
        <v>6</v>
      </c>
      <c r="H612">
        <v>3</v>
      </c>
      <c r="I612" s="2">
        <f t="shared" si="27"/>
        <v>0.589032</v>
      </c>
      <c r="J612">
        <f t="shared" si="28"/>
        <v>5.1220173913043475E-2</v>
      </c>
      <c r="K612">
        <f t="shared" si="29"/>
        <v>1.538344215199791E-2</v>
      </c>
    </row>
    <row r="613" spans="1:11" x14ac:dyDescent="0.25">
      <c r="A613" s="1">
        <v>1977</v>
      </c>
      <c r="B613" s="1" t="s">
        <v>104</v>
      </c>
      <c r="C613" t="s">
        <v>9</v>
      </c>
      <c r="D613" s="1" t="s">
        <v>3</v>
      </c>
      <c r="E613">
        <v>54</v>
      </c>
      <c r="F613" s="1" t="s">
        <v>101</v>
      </c>
      <c r="G613">
        <v>8</v>
      </c>
      <c r="H613">
        <v>1</v>
      </c>
      <c r="I613" s="2">
        <f t="shared" si="27"/>
        <v>0.34905599999999998</v>
      </c>
      <c r="J613">
        <f t="shared" si="28"/>
        <v>3.0352695652173911E-2</v>
      </c>
      <c r="K613">
        <f t="shared" si="29"/>
        <v>9.1161138678506129E-3</v>
      </c>
    </row>
    <row r="614" spans="1:11" x14ac:dyDescent="0.25">
      <c r="A614" s="1">
        <v>1977</v>
      </c>
      <c r="B614" s="1" t="s">
        <v>104</v>
      </c>
      <c r="C614" t="s">
        <v>9</v>
      </c>
      <c r="D614" s="1" t="s">
        <v>3</v>
      </c>
      <c r="E614">
        <v>56</v>
      </c>
      <c r="F614" s="1" t="s">
        <v>101</v>
      </c>
      <c r="G614">
        <v>6</v>
      </c>
      <c r="H614">
        <v>1</v>
      </c>
      <c r="I614" s="2">
        <f t="shared" si="27"/>
        <v>0.19634399999999999</v>
      </c>
      <c r="J614">
        <f t="shared" si="28"/>
        <v>1.7073391304347825E-2</v>
      </c>
      <c r="K614">
        <f t="shared" si="29"/>
        <v>5.1278140506659702E-3</v>
      </c>
    </row>
    <row r="615" spans="1:11" x14ac:dyDescent="0.25">
      <c r="A615" s="1">
        <v>1977</v>
      </c>
      <c r="B615" s="1" t="s">
        <v>104</v>
      </c>
      <c r="C615" t="s">
        <v>9</v>
      </c>
      <c r="D615" s="1" t="s">
        <v>3</v>
      </c>
      <c r="E615">
        <v>56</v>
      </c>
      <c r="F615" s="1" t="s">
        <v>101</v>
      </c>
      <c r="G615">
        <v>8</v>
      </c>
      <c r="H615">
        <v>5</v>
      </c>
      <c r="I615" s="2">
        <f t="shared" si="27"/>
        <v>1.7452799999999999</v>
      </c>
      <c r="J615">
        <f t="shared" si="28"/>
        <v>0.15176347826086956</v>
      </c>
      <c r="K615">
        <f t="shared" si="29"/>
        <v>4.5580569339253064E-2</v>
      </c>
    </row>
    <row r="616" spans="1:11" x14ac:dyDescent="0.25">
      <c r="A616" s="1">
        <v>1977</v>
      </c>
      <c r="B616" s="1" t="s">
        <v>104</v>
      </c>
      <c r="C616" t="s">
        <v>9</v>
      </c>
      <c r="D616" s="1" t="s">
        <v>3</v>
      </c>
      <c r="E616">
        <v>56</v>
      </c>
      <c r="F616" s="1" t="s">
        <v>101</v>
      </c>
      <c r="G616">
        <v>10</v>
      </c>
      <c r="H616">
        <v>8</v>
      </c>
      <c r="I616" s="2">
        <f t="shared" si="27"/>
        <v>4.3632</v>
      </c>
      <c r="J616">
        <f t="shared" si="28"/>
        <v>0.37940869565217389</v>
      </c>
      <c r="K616">
        <f t="shared" si="29"/>
        <v>0.11395142334813266</v>
      </c>
    </row>
    <row r="617" spans="1:11" x14ac:dyDescent="0.25">
      <c r="A617" s="1">
        <v>1977</v>
      </c>
      <c r="B617" s="1" t="s">
        <v>104</v>
      </c>
      <c r="C617" t="s">
        <v>9</v>
      </c>
      <c r="D617" s="1" t="s">
        <v>3</v>
      </c>
      <c r="E617">
        <v>56</v>
      </c>
      <c r="F617" s="1" t="s">
        <v>101</v>
      </c>
      <c r="G617">
        <v>12</v>
      </c>
      <c r="H617">
        <v>8</v>
      </c>
      <c r="I617" s="2">
        <f t="shared" si="27"/>
        <v>6.2830079999999997</v>
      </c>
      <c r="J617">
        <f t="shared" si="28"/>
        <v>0.5463485217391304</v>
      </c>
      <c r="K617">
        <f t="shared" si="29"/>
        <v>0.16409004962131105</v>
      </c>
    </row>
    <row r="618" spans="1:11" x14ac:dyDescent="0.25">
      <c r="A618" s="1">
        <v>1977</v>
      </c>
      <c r="B618" s="1" t="s">
        <v>104</v>
      </c>
      <c r="C618" t="s">
        <v>9</v>
      </c>
      <c r="D618" s="1" t="s">
        <v>3</v>
      </c>
      <c r="E618">
        <v>56</v>
      </c>
      <c r="F618" s="1" t="s">
        <v>101</v>
      </c>
      <c r="G618">
        <v>14</v>
      </c>
      <c r="H618">
        <v>4</v>
      </c>
      <c r="I618" s="2">
        <f t="shared" si="27"/>
        <v>4.2759359999999997</v>
      </c>
      <c r="J618">
        <f t="shared" si="28"/>
        <v>0.37182052173913044</v>
      </c>
      <c r="K618">
        <f t="shared" si="29"/>
        <v>0.11167239488117002</v>
      </c>
    </row>
    <row r="619" spans="1:11" x14ac:dyDescent="0.25">
      <c r="A619" s="1">
        <v>1977</v>
      </c>
      <c r="B619" s="1" t="s">
        <v>104</v>
      </c>
      <c r="C619" t="s">
        <v>9</v>
      </c>
      <c r="D619" s="1" t="s">
        <v>3</v>
      </c>
      <c r="E619">
        <v>56</v>
      </c>
      <c r="F619" s="1" t="s">
        <v>101</v>
      </c>
      <c r="G619">
        <v>16</v>
      </c>
      <c r="H619">
        <v>10</v>
      </c>
      <c r="I619" s="2">
        <f t="shared" si="27"/>
        <v>13.96224</v>
      </c>
      <c r="J619">
        <f t="shared" si="28"/>
        <v>1.2141078260869564</v>
      </c>
      <c r="K619">
        <f t="shared" si="29"/>
        <v>0.36464455471402452</v>
      </c>
    </row>
    <row r="620" spans="1:11" x14ac:dyDescent="0.25">
      <c r="A620" s="1">
        <v>1977</v>
      </c>
      <c r="B620" s="1" t="s">
        <v>104</v>
      </c>
      <c r="C620" t="s">
        <v>9</v>
      </c>
      <c r="D620" s="1" t="s">
        <v>3</v>
      </c>
      <c r="E620">
        <v>56</v>
      </c>
      <c r="F620" s="1" t="s">
        <v>101</v>
      </c>
      <c r="G620">
        <v>18</v>
      </c>
      <c r="H620">
        <v>5</v>
      </c>
      <c r="I620" s="2">
        <f t="shared" si="27"/>
        <v>8.8354799999999987</v>
      </c>
      <c r="J620">
        <f t="shared" si="28"/>
        <v>0.76830260869565203</v>
      </c>
      <c r="K620">
        <f t="shared" si="29"/>
        <v>0.23075163227996862</v>
      </c>
    </row>
    <row r="621" spans="1:11" x14ac:dyDescent="0.25">
      <c r="A621" s="1">
        <v>1977</v>
      </c>
      <c r="B621" s="1" t="s">
        <v>104</v>
      </c>
      <c r="C621" t="s">
        <v>9</v>
      </c>
      <c r="D621" s="1" t="s">
        <v>3</v>
      </c>
      <c r="E621">
        <v>56</v>
      </c>
      <c r="F621" s="1" t="s">
        <v>101</v>
      </c>
      <c r="G621">
        <v>20</v>
      </c>
      <c r="H621">
        <v>1</v>
      </c>
      <c r="I621" s="2">
        <f t="shared" si="27"/>
        <v>2.1816</v>
      </c>
      <c r="J621">
        <f t="shared" si="28"/>
        <v>0.18970434782608694</v>
      </c>
      <c r="K621">
        <f t="shared" si="29"/>
        <v>5.6975711674066329E-2</v>
      </c>
    </row>
    <row r="622" spans="1:11" x14ac:dyDescent="0.25">
      <c r="A622" s="1">
        <v>1977</v>
      </c>
      <c r="B622" s="1" t="s">
        <v>104</v>
      </c>
      <c r="C622" t="s">
        <v>9</v>
      </c>
      <c r="D622" s="1" t="s">
        <v>3</v>
      </c>
      <c r="E622">
        <v>58</v>
      </c>
      <c r="F622" s="1" t="s">
        <v>101</v>
      </c>
      <c r="G622">
        <v>6</v>
      </c>
      <c r="H622">
        <v>15</v>
      </c>
      <c r="I622" s="2">
        <f t="shared" si="27"/>
        <v>2.94516</v>
      </c>
      <c r="J622">
        <f t="shared" si="28"/>
        <v>0.25610086956521738</v>
      </c>
      <c r="K622">
        <f t="shared" si="29"/>
        <v>7.6917210759989543E-2</v>
      </c>
    </row>
    <row r="623" spans="1:11" x14ac:dyDescent="0.25">
      <c r="A623" s="1">
        <v>1977</v>
      </c>
      <c r="B623" s="1" t="s">
        <v>104</v>
      </c>
      <c r="C623" t="s">
        <v>9</v>
      </c>
      <c r="D623" s="1" t="s">
        <v>3</v>
      </c>
      <c r="E623">
        <v>58</v>
      </c>
      <c r="F623" s="1" t="s">
        <v>101</v>
      </c>
      <c r="G623">
        <v>8</v>
      </c>
      <c r="H623">
        <v>9</v>
      </c>
      <c r="I623" s="2">
        <f t="shared" si="27"/>
        <v>3.1415039999999999</v>
      </c>
      <c r="J623">
        <f t="shared" si="28"/>
        <v>0.2731742608695652</v>
      </c>
      <c r="K623">
        <f t="shared" si="29"/>
        <v>8.2045024810655523E-2</v>
      </c>
    </row>
    <row r="624" spans="1:11" x14ac:dyDescent="0.25">
      <c r="A624" s="1">
        <v>1977</v>
      </c>
      <c r="B624" s="1" t="s">
        <v>104</v>
      </c>
      <c r="C624" t="s">
        <v>9</v>
      </c>
      <c r="D624" s="1" t="s">
        <v>3</v>
      </c>
      <c r="E624">
        <v>63</v>
      </c>
      <c r="F624" s="1" t="s">
        <v>101</v>
      </c>
      <c r="G624">
        <v>6</v>
      </c>
      <c r="H624">
        <v>22</v>
      </c>
      <c r="I624" s="2">
        <f t="shared" si="27"/>
        <v>4.3195679999999994</v>
      </c>
      <c r="J624">
        <f t="shared" si="28"/>
        <v>0.37561460869565211</v>
      </c>
      <c r="K624">
        <f t="shared" si="29"/>
        <v>0.11281190911465132</v>
      </c>
    </row>
    <row r="625" spans="1:11" x14ac:dyDescent="0.25">
      <c r="A625" s="1">
        <v>1977</v>
      </c>
      <c r="B625" s="1" t="s">
        <v>104</v>
      </c>
      <c r="C625" t="s">
        <v>9</v>
      </c>
      <c r="D625" s="1" t="s">
        <v>3</v>
      </c>
      <c r="E625">
        <v>63</v>
      </c>
      <c r="F625" s="1" t="s">
        <v>101</v>
      </c>
      <c r="G625">
        <v>8</v>
      </c>
      <c r="H625">
        <v>2</v>
      </c>
      <c r="I625" s="2">
        <f t="shared" si="27"/>
        <v>0.69811199999999995</v>
      </c>
      <c r="J625">
        <f t="shared" si="28"/>
        <v>6.0705391304347822E-2</v>
      </c>
      <c r="K625">
        <f t="shared" si="29"/>
        <v>1.8232227735701226E-2</v>
      </c>
    </row>
    <row r="626" spans="1:11" x14ac:dyDescent="0.25">
      <c r="A626" s="1">
        <v>1977</v>
      </c>
      <c r="B626" s="1" t="s">
        <v>104</v>
      </c>
      <c r="C626" t="s">
        <v>9</v>
      </c>
      <c r="D626" s="1" t="s">
        <v>3</v>
      </c>
      <c r="E626">
        <v>66</v>
      </c>
      <c r="F626" s="1" t="s">
        <v>101</v>
      </c>
      <c r="G626">
        <v>6</v>
      </c>
      <c r="H626">
        <v>1</v>
      </c>
      <c r="I626" s="2">
        <f t="shared" si="27"/>
        <v>0.19634399999999999</v>
      </c>
      <c r="J626">
        <f t="shared" si="28"/>
        <v>1.7073391304347825E-2</v>
      </c>
      <c r="K626">
        <f t="shared" si="29"/>
        <v>5.1278140506659702E-3</v>
      </c>
    </row>
    <row r="627" spans="1:11" x14ac:dyDescent="0.25">
      <c r="A627" s="1">
        <v>1977</v>
      </c>
      <c r="B627" s="1" t="s">
        <v>104</v>
      </c>
      <c r="C627" t="s">
        <v>9</v>
      </c>
      <c r="D627" s="1" t="s">
        <v>3</v>
      </c>
      <c r="E627">
        <v>66</v>
      </c>
      <c r="F627" s="1" t="s">
        <v>101</v>
      </c>
      <c r="G627">
        <v>10</v>
      </c>
      <c r="H627">
        <v>1</v>
      </c>
      <c r="I627" s="2">
        <f t="shared" si="27"/>
        <v>0.5454</v>
      </c>
      <c r="J627">
        <f t="shared" si="28"/>
        <v>4.7426086956521736E-2</v>
      </c>
      <c r="K627">
        <f t="shared" si="29"/>
        <v>1.4243927918516582E-2</v>
      </c>
    </row>
    <row r="628" spans="1:11" x14ac:dyDescent="0.25">
      <c r="A628" s="1">
        <v>1977</v>
      </c>
      <c r="B628" s="1" t="s">
        <v>104</v>
      </c>
      <c r="C628" t="s">
        <v>9</v>
      </c>
      <c r="D628" s="1" t="s">
        <v>3</v>
      </c>
      <c r="E628">
        <v>66</v>
      </c>
      <c r="F628" s="1" t="s">
        <v>101</v>
      </c>
      <c r="G628">
        <v>12</v>
      </c>
      <c r="H628">
        <v>2</v>
      </c>
      <c r="I628" s="2">
        <f t="shared" si="27"/>
        <v>1.5707519999999999</v>
      </c>
      <c r="J628">
        <f t="shared" si="28"/>
        <v>0.1365871304347826</v>
      </c>
      <c r="K628">
        <f t="shared" si="29"/>
        <v>4.1022512405327761E-2</v>
      </c>
    </row>
    <row r="629" spans="1:11" x14ac:dyDescent="0.25">
      <c r="A629" s="1">
        <v>1977</v>
      </c>
      <c r="B629" s="1" t="s">
        <v>104</v>
      </c>
      <c r="C629" t="s">
        <v>9</v>
      </c>
      <c r="D629" s="1" t="s">
        <v>3</v>
      </c>
      <c r="E629">
        <v>66</v>
      </c>
      <c r="F629" s="1" t="s">
        <v>101</v>
      </c>
      <c r="G629">
        <v>14</v>
      </c>
      <c r="H629">
        <v>1</v>
      </c>
      <c r="I629" s="2">
        <f t="shared" si="27"/>
        <v>1.0689839999999999</v>
      </c>
      <c r="J629">
        <f t="shared" si="28"/>
        <v>9.295513043478261E-2</v>
      </c>
      <c r="K629">
        <f t="shared" si="29"/>
        <v>2.7918098720292505E-2</v>
      </c>
    </row>
    <row r="630" spans="1:11" x14ac:dyDescent="0.25">
      <c r="A630" s="1">
        <v>1977</v>
      </c>
      <c r="B630" s="1" t="s">
        <v>104</v>
      </c>
      <c r="C630" t="s">
        <v>9</v>
      </c>
      <c r="D630" s="1" t="s">
        <v>3</v>
      </c>
      <c r="E630">
        <v>66</v>
      </c>
      <c r="F630" s="1" t="s">
        <v>101</v>
      </c>
      <c r="G630">
        <v>16</v>
      </c>
      <c r="H630">
        <v>3</v>
      </c>
      <c r="I630" s="2">
        <f t="shared" si="27"/>
        <v>4.1886719999999995</v>
      </c>
      <c r="J630">
        <f t="shared" si="28"/>
        <v>0.36423234782608693</v>
      </c>
      <c r="K630">
        <f t="shared" si="29"/>
        <v>0.10939336641420735</v>
      </c>
    </row>
    <row r="631" spans="1:11" x14ac:dyDescent="0.25">
      <c r="A631" s="1">
        <v>1977</v>
      </c>
      <c r="B631" s="1" t="s">
        <v>104</v>
      </c>
      <c r="C631" t="s">
        <v>9</v>
      </c>
      <c r="D631" s="1" t="s">
        <v>3</v>
      </c>
      <c r="E631">
        <v>66</v>
      </c>
      <c r="F631" s="1" t="s">
        <v>101</v>
      </c>
      <c r="G631">
        <v>18</v>
      </c>
      <c r="H631">
        <v>1</v>
      </c>
      <c r="I631" s="2">
        <f t="shared" si="27"/>
        <v>1.7670959999999998</v>
      </c>
      <c r="J631">
        <f t="shared" si="28"/>
        <v>0.15366052173913042</v>
      </c>
      <c r="K631">
        <f t="shared" si="29"/>
        <v>4.6150326455993727E-2</v>
      </c>
    </row>
    <row r="632" spans="1:11" x14ac:dyDescent="0.25">
      <c r="A632" s="1">
        <v>1977</v>
      </c>
      <c r="B632" s="1" t="s">
        <v>104</v>
      </c>
      <c r="C632" t="s">
        <v>9</v>
      </c>
      <c r="D632" s="1" t="s">
        <v>3</v>
      </c>
      <c r="E632">
        <v>71</v>
      </c>
      <c r="F632" s="1" t="s">
        <v>101</v>
      </c>
      <c r="G632">
        <v>6</v>
      </c>
      <c r="H632">
        <v>3</v>
      </c>
      <c r="I632" s="2">
        <f t="shared" si="27"/>
        <v>0.589032</v>
      </c>
      <c r="J632">
        <f t="shared" si="28"/>
        <v>5.1220173913043475E-2</v>
      </c>
      <c r="K632">
        <f t="shared" si="29"/>
        <v>1.538344215199791E-2</v>
      </c>
    </row>
    <row r="633" spans="1:11" x14ac:dyDescent="0.25">
      <c r="A633" s="1">
        <v>1977</v>
      </c>
      <c r="B633" s="1" t="s">
        <v>104</v>
      </c>
      <c r="C633" t="s">
        <v>9</v>
      </c>
      <c r="D633" s="1" t="s">
        <v>3</v>
      </c>
      <c r="E633">
        <v>71</v>
      </c>
      <c r="F633" s="1" t="s">
        <v>101</v>
      </c>
      <c r="G633">
        <v>8</v>
      </c>
      <c r="H633">
        <v>6</v>
      </c>
      <c r="I633" s="2">
        <f t="shared" si="27"/>
        <v>2.0943359999999998</v>
      </c>
      <c r="J633">
        <f t="shared" si="28"/>
        <v>0.18211617391304347</v>
      </c>
      <c r="K633">
        <f t="shared" si="29"/>
        <v>5.4696683207103677E-2</v>
      </c>
    </row>
    <row r="634" spans="1:11" x14ac:dyDescent="0.25">
      <c r="A634" s="1">
        <v>1977</v>
      </c>
      <c r="B634" s="1" t="s">
        <v>104</v>
      </c>
      <c r="C634" t="s">
        <v>9</v>
      </c>
      <c r="D634" s="1" t="s">
        <v>3</v>
      </c>
      <c r="E634">
        <v>71</v>
      </c>
      <c r="F634" s="1" t="s">
        <v>101</v>
      </c>
      <c r="G634">
        <v>10</v>
      </c>
      <c r="H634">
        <v>4</v>
      </c>
      <c r="I634" s="2">
        <f t="shared" si="27"/>
        <v>2.1816</v>
      </c>
      <c r="J634">
        <f t="shared" si="28"/>
        <v>0.18970434782608694</v>
      </c>
      <c r="K634">
        <f t="shared" si="29"/>
        <v>5.6975711674066329E-2</v>
      </c>
    </row>
    <row r="635" spans="1:11" x14ac:dyDescent="0.25">
      <c r="A635" s="1">
        <v>1977</v>
      </c>
      <c r="B635" s="1" t="s">
        <v>104</v>
      </c>
      <c r="C635" t="s">
        <v>9</v>
      </c>
      <c r="D635" s="1" t="s">
        <v>3</v>
      </c>
      <c r="E635">
        <v>76</v>
      </c>
      <c r="F635" s="1" t="s">
        <v>101</v>
      </c>
      <c r="G635">
        <v>6</v>
      </c>
      <c r="H635">
        <v>9</v>
      </c>
      <c r="I635" s="2">
        <f t="shared" si="27"/>
        <v>1.767096</v>
      </c>
      <c r="J635">
        <f t="shared" si="28"/>
        <v>0.15366052173913045</v>
      </c>
      <c r="K635">
        <f t="shared" si="29"/>
        <v>4.6150326455993734E-2</v>
      </c>
    </row>
    <row r="636" spans="1:11" x14ac:dyDescent="0.25">
      <c r="A636" s="1">
        <v>1977</v>
      </c>
      <c r="B636" s="1" t="s">
        <v>104</v>
      </c>
      <c r="C636" t="s">
        <v>9</v>
      </c>
      <c r="D636" s="1" t="s">
        <v>3</v>
      </c>
      <c r="E636">
        <v>76</v>
      </c>
      <c r="F636" s="1" t="s">
        <v>101</v>
      </c>
      <c r="G636">
        <v>8</v>
      </c>
      <c r="H636">
        <v>3</v>
      </c>
      <c r="I636" s="2">
        <f t="shared" si="27"/>
        <v>1.0471679999999999</v>
      </c>
      <c r="J636">
        <f t="shared" si="28"/>
        <v>9.1058086956521733E-2</v>
      </c>
      <c r="K636">
        <f t="shared" si="29"/>
        <v>2.7348341603551839E-2</v>
      </c>
    </row>
    <row r="637" spans="1:11" x14ac:dyDescent="0.25">
      <c r="A637" s="1">
        <v>1977</v>
      </c>
      <c r="B637" s="1" t="s">
        <v>104</v>
      </c>
      <c r="C637" t="s">
        <v>9</v>
      </c>
      <c r="D637" s="1" t="s">
        <v>3</v>
      </c>
      <c r="E637">
        <v>76</v>
      </c>
      <c r="F637" s="1" t="s">
        <v>101</v>
      </c>
      <c r="G637">
        <v>10</v>
      </c>
      <c r="H637">
        <v>4</v>
      </c>
      <c r="I637" s="2">
        <f t="shared" si="27"/>
        <v>2.1816</v>
      </c>
      <c r="J637">
        <f t="shared" si="28"/>
        <v>0.18970434782608694</v>
      </c>
      <c r="K637">
        <f t="shared" si="29"/>
        <v>5.6975711674066329E-2</v>
      </c>
    </row>
    <row r="638" spans="1:11" x14ac:dyDescent="0.25">
      <c r="A638" s="1">
        <v>1977</v>
      </c>
      <c r="B638" s="1" t="s">
        <v>104</v>
      </c>
      <c r="C638" t="s">
        <v>9</v>
      </c>
      <c r="D638" s="1" t="s">
        <v>3</v>
      </c>
      <c r="E638">
        <v>79</v>
      </c>
      <c r="F638" s="1" t="s">
        <v>101</v>
      </c>
      <c r="G638">
        <v>6</v>
      </c>
      <c r="H638">
        <v>175</v>
      </c>
      <c r="I638" s="2">
        <f t="shared" si="27"/>
        <v>34.360199999999999</v>
      </c>
      <c r="J638">
        <f t="shared" si="28"/>
        <v>2.9878434782608694</v>
      </c>
      <c r="K638">
        <f t="shared" si="29"/>
        <v>0.89736745886654468</v>
      </c>
    </row>
    <row r="639" spans="1:11" x14ac:dyDescent="0.25">
      <c r="A639" s="1">
        <v>1977</v>
      </c>
      <c r="B639" s="1" t="s">
        <v>104</v>
      </c>
      <c r="C639" t="s">
        <v>9</v>
      </c>
      <c r="D639" s="1" t="s">
        <v>3</v>
      </c>
      <c r="E639">
        <v>79</v>
      </c>
      <c r="F639" s="1" t="s">
        <v>101</v>
      </c>
      <c r="G639">
        <v>8</v>
      </c>
      <c r="H639">
        <v>97</v>
      </c>
      <c r="I639" s="2">
        <f t="shared" si="27"/>
        <v>33.858432000000001</v>
      </c>
      <c r="J639">
        <f t="shared" si="28"/>
        <v>2.9442114782608697</v>
      </c>
      <c r="K639">
        <f t="shared" si="29"/>
        <v>0.88426304518150955</v>
      </c>
    </row>
    <row r="640" spans="1:11" x14ac:dyDescent="0.25">
      <c r="A640" s="1">
        <v>1977</v>
      </c>
      <c r="B640" s="1" t="s">
        <v>104</v>
      </c>
      <c r="C640" t="s">
        <v>9</v>
      </c>
      <c r="D640" s="1" t="s">
        <v>3</v>
      </c>
      <c r="E640">
        <v>79</v>
      </c>
      <c r="F640" s="1" t="s">
        <v>101</v>
      </c>
      <c r="G640">
        <v>10</v>
      </c>
      <c r="H640">
        <v>36</v>
      </c>
      <c r="I640" s="2">
        <f t="shared" si="27"/>
        <v>19.634399999999999</v>
      </c>
      <c r="J640">
        <f t="shared" si="28"/>
        <v>1.7073391304347825</v>
      </c>
      <c r="K640">
        <f t="shared" si="29"/>
        <v>0.51278140506659697</v>
      </c>
    </row>
    <row r="641" spans="1:11" x14ac:dyDescent="0.25">
      <c r="A641" s="1">
        <v>1977</v>
      </c>
      <c r="B641" s="1" t="s">
        <v>104</v>
      </c>
      <c r="C641" t="s">
        <v>9</v>
      </c>
      <c r="D641" s="1" t="s">
        <v>3</v>
      </c>
      <c r="E641">
        <v>79</v>
      </c>
      <c r="F641" s="1" t="s">
        <v>101</v>
      </c>
      <c r="G641">
        <v>12</v>
      </c>
      <c r="H641">
        <v>19</v>
      </c>
      <c r="I641" s="2">
        <f t="shared" si="27"/>
        <v>14.922143999999999</v>
      </c>
      <c r="J641">
        <f t="shared" si="28"/>
        <v>1.2975777391304348</v>
      </c>
      <c r="K641">
        <f t="shared" si="29"/>
        <v>0.38971386785061374</v>
      </c>
    </row>
    <row r="642" spans="1:11" x14ac:dyDescent="0.25">
      <c r="A642" s="1">
        <v>1977</v>
      </c>
      <c r="B642" s="1" t="s">
        <v>104</v>
      </c>
      <c r="C642" t="s">
        <v>9</v>
      </c>
      <c r="D642" s="1" t="s">
        <v>3</v>
      </c>
      <c r="E642">
        <v>79</v>
      </c>
      <c r="F642" s="1" t="s">
        <v>101</v>
      </c>
      <c r="G642">
        <v>14</v>
      </c>
      <c r="H642">
        <v>10</v>
      </c>
      <c r="I642" s="2">
        <f t="shared" si="27"/>
        <v>10.68984</v>
      </c>
      <c r="J642">
        <f t="shared" si="28"/>
        <v>0.92955130434782607</v>
      </c>
      <c r="K642">
        <f t="shared" si="29"/>
        <v>0.27918098720292506</v>
      </c>
    </row>
    <row r="643" spans="1:11" x14ac:dyDescent="0.25">
      <c r="A643" s="1">
        <v>1977</v>
      </c>
      <c r="B643" s="1" t="s">
        <v>104</v>
      </c>
      <c r="C643" t="s">
        <v>9</v>
      </c>
      <c r="D643" s="1" t="s">
        <v>3</v>
      </c>
      <c r="E643">
        <v>79</v>
      </c>
      <c r="F643" s="1" t="s">
        <v>101</v>
      </c>
      <c r="G643">
        <v>16</v>
      </c>
      <c r="H643">
        <v>5</v>
      </c>
      <c r="I643" s="2">
        <f t="shared" ref="I643:I706" si="30">0.005454*G643^2*H643</f>
        <v>6.9811199999999998</v>
      </c>
      <c r="J643">
        <f t="shared" ref="J643:J706" si="31">I643/11.5</f>
        <v>0.60705391304347822</v>
      </c>
      <c r="K643">
        <f t="shared" ref="K643:K706" si="32">J643*(11.5/38.29)</f>
        <v>0.18232227735701226</v>
      </c>
    </row>
    <row r="644" spans="1:11" x14ac:dyDescent="0.25">
      <c r="A644" s="1">
        <v>1977</v>
      </c>
      <c r="B644" s="1" t="s">
        <v>104</v>
      </c>
      <c r="C644" t="s">
        <v>9</v>
      </c>
      <c r="D644" s="1" t="s">
        <v>3</v>
      </c>
      <c r="E644">
        <v>79</v>
      </c>
      <c r="F644" s="1" t="s">
        <v>101</v>
      </c>
      <c r="G644">
        <v>18</v>
      </c>
      <c r="H644">
        <v>2</v>
      </c>
      <c r="I644" s="2">
        <f t="shared" si="30"/>
        <v>3.5341919999999996</v>
      </c>
      <c r="J644">
        <f t="shared" si="31"/>
        <v>0.30732104347826084</v>
      </c>
      <c r="K644">
        <f t="shared" si="32"/>
        <v>9.2300652911987455E-2</v>
      </c>
    </row>
    <row r="645" spans="1:11" x14ac:dyDescent="0.25">
      <c r="A645" s="1">
        <v>1977</v>
      </c>
      <c r="B645" s="1" t="s">
        <v>104</v>
      </c>
      <c r="C645" t="s">
        <v>9</v>
      </c>
      <c r="D645" s="1" t="s">
        <v>3</v>
      </c>
      <c r="E645">
        <v>85</v>
      </c>
      <c r="F645" s="1" t="s">
        <v>101</v>
      </c>
      <c r="G645">
        <v>10</v>
      </c>
      <c r="H645">
        <v>2</v>
      </c>
      <c r="I645" s="2">
        <f t="shared" si="30"/>
        <v>1.0908</v>
      </c>
      <c r="J645">
        <f t="shared" si="31"/>
        <v>9.4852173913043472E-2</v>
      </c>
      <c r="K645">
        <f t="shared" si="32"/>
        <v>2.8487855837033164E-2</v>
      </c>
    </row>
    <row r="646" spans="1:11" x14ac:dyDescent="0.25">
      <c r="A646" s="1">
        <v>1977</v>
      </c>
      <c r="B646" s="1" t="s">
        <v>104</v>
      </c>
      <c r="C646" t="s">
        <v>9</v>
      </c>
      <c r="D646" s="1" t="s">
        <v>3</v>
      </c>
      <c r="E646">
        <v>85</v>
      </c>
      <c r="F646" s="1" t="s">
        <v>101</v>
      </c>
      <c r="G646">
        <v>12</v>
      </c>
      <c r="H646">
        <v>3</v>
      </c>
      <c r="I646" s="2">
        <f t="shared" si="30"/>
        <v>2.356128</v>
      </c>
      <c r="J646">
        <f t="shared" si="31"/>
        <v>0.2048806956521739</v>
      </c>
      <c r="K646">
        <f t="shared" si="32"/>
        <v>6.1533768607991639E-2</v>
      </c>
    </row>
    <row r="647" spans="1:11" x14ac:dyDescent="0.25">
      <c r="A647" s="1">
        <v>1977</v>
      </c>
      <c r="B647" s="1" t="s">
        <v>104</v>
      </c>
      <c r="C647" t="s">
        <v>9</v>
      </c>
      <c r="D647" s="1" t="s">
        <v>3</v>
      </c>
      <c r="E647">
        <v>85</v>
      </c>
      <c r="F647" s="1" t="s">
        <v>101</v>
      </c>
      <c r="G647">
        <v>14</v>
      </c>
      <c r="H647">
        <v>12</v>
      </c>
      <c r="I647" s="2">
        <f t="shared" si="30"/>
        <v>12.827807999999999</v>
      </c>
      <c r="J647">
        <f t="shared" si="31"/>
        <v>1.1154615652173911</v>
      </c>
      <c r="K647">
        <f t="shared" si="32"/>
        <v>0.33501718464350999</v>
      </c>
    </row>
    <row r="648" spans="1:11" x14ac:dyDescent="0.25">
      <c r="A648" s="1">
        <v>1977</v>
      </c>
      <c r="B648" s="1" t="s">
        <v>104</v>
      </c>
      <c r="C648" t="s">
        <v>9</v>
      </c>
      <c r="D648" s="1" t="s">
        <v>3</v>
      </c>
      <c r="E648">
        <v>85</v>
      </c>
      <c r="F648" s="1" t="s">
        <v>101</v>
      </c>
      <c r="G648">
        <v>16</v>
      </c>
      <c r="H648">
        <v>13</v>
      </c>
      <c r="I648" s="2">
        <f t="shared" si="30"/>
        <v>18.150911999999998</v>
      </c>
      <c r="J648">
        <f t="shared" si="31"/>
        <v>1.5783401739130434</v>
      </c>
      <c r="K648">
        <f t="shared" si="32"/>
        <v>0.4740379211282319</v>
      </c>
    </row>
    <row r="649" spans="1:11" x14ac:dyDescent="0.25">
      <c r="A649" s="1">
        <v>1977</v>
      </c>
      <c r="B649" s="1" t="s">
        <v>104</v>
      </c>
      <c r="C649" t="s">
        <v>9</v>
      </c>
      <c r="D649" s="1" t="s">
        <v>3</v>
      </c>
      <c r="E649">
        <v>85</v>
      </c>
      <c r="F649" s="1" t="s">
        <v>101</v>
      </c>
      <c r="G649">
        <v>18</v>
      </c>
      <c r="H649">
        <v>7</v>
      </c>
      <c r="I649" s="2">
        <f t="shared" si="30"/>
        <v>12.369671999999998</v>
      </c>
      <c r="J649">
        <f t="shared" si="31"/>
        <v>1.0756236521739129</v>
      </c>
      <c r="K649">
        <f t="shared" si="32"/>
        <v>0.32305228519195606</v>
      </c>
    </row>
    <row r="650" spans="1:11" x14ac:dyDescent="0.25">
      <c r="A650" s="1">
        <v>1977</v>
      </c>
      <c r="B650" s="1" t="s">
        <v>104</v>
      </c>
      <c r="C650" t="s">
        <v>9</v>
      </c>
      <c r="D650" s="1" t="s">
        <v>3</v>
      </c>
      <c r="E650">
        <v>88</v>
      </c>
      <c r="F650" s="1" t="s">
        <v>101</v>
      </c>
      <c r="G650">
        <v>6</v>
      </c>
      <c r="H650">
        <v>2</v>
      </c>
      <c r="I650" s="2">
        <f t="shared" si="30"/>
        <v>0.39268799999999998</v>
      </c>
      <c r="J650">
        <f t="shared" si="31"/>
        <v>3.414678260869565E-2</v>
      </c>
      <c r="K650">
        <f t="shared" si="32"/>
        <v>1.025562810133194E-2</v>
      </c>
    </row>
    <row r="651" spans="1:11" x14ac:dyDescent="0.25">
      <c r="A651" s="1">
        <v>1977</v>
      </c>
      <c r="B651" s="1" t="s">
        <v>104</v>
      </c>
      <c r="C651" t="s">
        <v>9</v>
      </c>
      <c r="D651" s="1" t="s">
        <v>3</v>
      </c>
      <c r="E651">
        <v>88</v>
      </c>
      <c r="F651" s="1" t="s">
        <v>101</v>
      </c>
      <c r="G651">
        <v>10</v>
      </c>
      <c r="H651">
        <v>2</v>
      </c>
      <c r="I651" s="2">
        <f t="shared" si="30"/>
        <v>1.0908</v>
      </c>
      <c r="J651">
        <f t="shared" si="31"/>
        <v>9.4852173913043472E-2</v>
      </c>
      <c r="K651">
        <f t="shared" si="32"/>
        <v>2.8487855837033164E-2</v>
      </c>
    </row>
    <row r="652" spans="1:11" x14ac:dyDescent="0.25">
      <c r="A652" s="1">
        <v>1977</v>
      </c>
      <c r="B652" s="1" t="s">
        <v>104</v>
      </c>
      <c r="C652" t="s">
        <v>9</v>
      </c>
      <c r="D652" s="1" t="s">
        <v>3</v>
      </c>
      <c r="E652">
        <v>91</v>
      </c>
      <c r="F652" s="1" t="s">
        <v>101</v>
      </c>
      <c r="G652">
        <v>6</v>
      </c>
      <c r="H652">
        <v>1</v>
      </c>
      <c r="I652" s="2">
        <f t="shared" si="30"/>
        <v>0.19634399999999999</v>
      </c>
      <c r="J652">
        <f t="shared" si="31"/>
        <v>1.7073391304347825E-2</v>
      </c>
      <c r="K652">
        <f t="shared" si="32"/>
        <v>5.1278140506659702E-3</v>
      </c>
    </row>
    <row r="653" spans="1:11" x14ac:dyDescent="0.25">
      <c r="A653" s="1">
        <v>1977</v>
      </c>
      <c r="B653" s="1" t="s">
        <v>104</v>
      </c>
      <c r="C653" t="s">
        <v>9</v>
      </c>
      <c r="D653" s="1" t="s">
        <v>3</v>
      </c>
      <c r="E653">
        <v>91</v>
      </c>
      <c r="F653" s="1" t="s">
        <v>101</v>
      </c>
      <c r="G653">
        <v>8</v>
      </c>
      <c r="H653">
        <v>1</v>
      </c>
      <c r="I653" s="2">
        <f t="shared" si="30"/>
        <v>0.34905599999999998</v>
      </c>
      <c r="J653">
        <f t="shared" si="31"/>
        <v>3.0352695652173911E-2</v>
      </c>
      <c r="K653">
        <f t="shared" si="32"/>
        <v>9.1161138678506129E-3</v>
      </c>
    </row>
    <row r="654" spans="1:11" x14ac:dyDescent="0.25">
      <c r="A654" s="1">
        <v>1977</v>
      </c>
      <c r="B654" s="1" t="s">
        <v>104</v>
      </c>
      <c r="C654" t="s">
        <v>9</v>
      </c>
      <c r="D654" s="1" t="s">
        <v>3</v>
      </c>
      <c r="E654">
        <v>91</v>
      </c>
      <c r="F654" s="1" t="s">
        <v>101</v>
      </c>
      <c r="G654">
        <v>10</v>
      </c>
      <c r="H654">
        <v>2</v>
      </c>
      <c r="I654" s="2">
        <f t="shared" si="30"/>
        <v>1.0908</v>
      </c>
      <c r="J654">
        <f t="shared" si="31"/>
        <v>9.4852173913043472E-2</v>
      </c>
      <c r="K654">
        <f t="shared" si="32"/>
        <v>2.8487855837033164E-2</v>
      </c>
    </row>
    <row r="655" spans="1:11" x14ac:dyDescent="0.25">
      <c r="A655" s="1">
        <v>1977</v>
      </c>
      <c r="B655" s="1" t="s">
        <v>104</v>
      </c>
      <c r="C655" t="s">
        <v>9</v>
      </c>
      <c r="D655" s="1" t="s">
        <v>3</v>
      </c>
      <c r="E655">
        <v>91</v>
      </c>
      <c r="F655" s="1" t="s">
        <v>101</v>
      </c>
      <c r="G655">
        <v>12</v>
      </c>
      <c r="H655">
        <v>1</v>
      </c>
      <c r="I655" s="2">
        <f t="shared" si="30"/>
        <v>0.78537599999999996</v>
      </c>
      <c r="J655">
        <f t="shared" si="31"/>
        <v>6.82935652173913E-2</v>
      </c>
      <c r="K655">
        <f t="shared" si="32"/>
        <v>2.0511256202663881E-2</v>
      </c>
    </row>
    <row r="656" spans="1:11" x14ac:dyDescent="0.25">
      <c r="A656" s="1">
        <v>1977</v>
      </c>
      <c r="B656" s="1" t="s">
        <v>104</v>
      </c>
      <c r="C656" t="s">
        <v>9</v>
      </c>
      <c r="D656" s="1" t="s">
        <v>5</v>
      </c>
      <c r="E656">
        <v>32</v>
      </c>
      <c r="F656" s="1" t="s">
        <v>101</v>
      </c>
      <c r="G656">
        <v>10</v>
      </c>
      <c r="H656">
        <v>1</v>
      </c>
      <c r="I656" s="2">
        <f t="shared" si="30"/>
        <v>0.5454</v>
      </c>
      <c r="J656">
        <f t="shared" si="31"/>
        <v>4.7426086956521736E-2</v>
      </c>
      <c r="K656">
        <f t="shared" si="32"/>
        <v>1.4243927918516582E-2</v>
      </c>
    </row>
    <row r="657" spans="1:11" x14ac:dyDescent="0.25">
      <c r="A657" s="1">
        <v>1977</v>
      </c>
      <c r="B657" s="1" t="s">
        <v>104</v>
      </c>
      <c r="C657" t="s">
        <v>9</v>
      </c>
      <c r="D657" s="1" t="s">
        <v>5</v>
      </c>
      <c r="E657">
        <v>32</v>
      </c>
      <c r="F657" s="1" t="s">
        <v>101</v>
      </c>
      <c r="G657">
        <v>16</v>
      </c>
      <c r="H657">
        <v>2</v>
      </c>
      <c r="I657" s="2">
        <f t="shared" si="30"/>
        <v>2.7924479999999998</v>
      </c>
      <c r="J657">
        <f t="shared" si="31"/>
        <v>0.24282156521739129</v>
      </c>
      <c r="K657">
        <f t="shared" si="32"/>
        <v>7.2928910942804903E-2</v>
      </c>
    </row>
    <row r="658" spans="1:11" x14ac:dyDescent="0.25">
      <c r="A658" s="1">
        <v>1977</v>
      </c>
      <c r="B658" s="1" t="s">
        <v>104</v>
      </c>
      <c r="C658" t="s">
        <v>9</v>
      </c>
      <c r="D658" s="1" t="s">
        <v>5</v>
      </c>
      <c r="E658">
        <v>32</v>
      </c>
      <c r="F658" s="1" t="s">
        <v>101</v>
      </c>
      <c r="G658">
        <v>18</v>
      </c>
      <c r="H658">
        <v>1</v>
      </c>
      <c r="I658" s="2">
        <f t="shared" si="30"/>
        <v>1.7670959999999998</v>
      </c>
      <c r="J658">
        <f t="shared" si="31"/>
        <v>0.15366052173913042</v>
      </c>
      <c r="K658">
        <f t="shared" si="32"/>
        <v>4.6150326455993727E-2</v>
      </c>
    </row>
    <row r="659" spans="1:11" x14ac:dyDescent="0.25">
      <c r="A659" s="1">
        <v>1977</v>
      </c>
      <c r="B659" s="1" t="s">
        <v>104</v>
      </c>
      <c r="C659" t="s">
        <v>9</v>
      </c>
      <c r="D659" s="1" t="s">
        <v>5</v>
      </c>
      <c r="E659">
        <v>34</v>
      </c>
      <c r="F659" s="1" t="s">
        <v>101</v>
      </c>
      <c r="G659">
        <v>6</v>
      </c>
      <c r="H659">
        <v>1</v>
      </c>
      <c r="I659" s="2">
        <f t="shared" si="30"/>
        <v>0.19634399999999999</v>
      </c>
      <c r="J659">
        <f t="shared" si="31"/>
        <v>1.7073391304347825E-2</v>
      </c>
      <c r="K659">
        <f t="shared" si="32"/>
        <v>5.1278140506659702E-3</v>
      </c>
    </row>
    <row r="660" spans="1:11" x14ac:dyDescent="0.25">
      <c r="A660" s="1">
        <v>1977</v>
      </c>
      <c r="B660" s="1" t="s">
        <v>104</v>
      </c>
      <c r="C660" t="s">
        <v>9</v>
      </c>
      <c r="D660" s="1" t="s">
        <v>5</v>
      </c>
      <c r="E660">
        <v>38</v>
      </c>
      <c r="F660" s="1" t="s">
        <v>101</v>
      </c>
      <c r="G660">
        <v>6</v>
      </c>
      <c r="H660">
        <v>1</v>
      </c>
      <c r="I660" s="2">
        <f t="shared" si="30"/>
        <v>0.19634399999999999</v>
      </c>
      <c r="J660">
        <f t="shared" si="31"/>
        <v>1.7073391304347825E-2</v>
      </c>
      <c r="K660">
        <f t="shared" si="32"/>
        <v>5.1278140506659702E-3</v>
      </c>
    </row>
    <row r="661" spans="1:11" x14ac:dyDescent="0.25">
      <c r="A661" s="1">
        <v>1977</v>
      </c>
      <c r="B661" s="1" t="s">
        <v>104</v>
      </c>
      <c r="C661" t="s">
        <v>9</v>
      </c>
      <c r="D661" s="1" t="s">
        <v>5</v>
      </c>
      <c r="E661">
        <v>38</v>
      </c>
      <c r="F661" s="1" t="s">
        <v>101</v>
      </c>
      <c r="G661">
        <v>12</v>
      </c>
      <c r="H661">
        <v>1</v>
      </c>
      <c r="I661" s="2">
        <f t="shared" si="30"/>
        <v>0.78537599999999996</v>
      </c>
      <c r="J661">
        <f t="shared" si="31"/>
        <v>6.82935652173913E-2</v>
      </c>
      <c r="K661">
        <f t="shared" si="32"/>
        <v>2.0511256202663881E-2</v>
      </c>
    </row>
    <row r="662" spans="1:11" x14ac:dyDescent="0.25">
      <c r="A662" s="1">
        <v>1977</v>
      </c>
      <c r="B662" s="1" t="s">
        <v>104</v>
      </c>
      <c r="C662" t="s">
        <v>9</v>
      </c>
      <c r="D662" s="1" t="s">
        <v>5</v>
      </c>
      <c r="E662">
        <v>38</v>
      </c>
      <c r="F662" s="1" t="s">
        <v>101</v>
      </c>
      <c r="G662">
        <v>14</v>
      </c>
      <c r="H662">
        <v>1</v>
      </c>
      <c r="I662" s="2">
        <f t="shared" si="30"/>
        <v>1.0689839999999999</v>
      </c>
      <c r="J662">
        <f t="shared" si="31"/>
        <v>9.295513043478261E-2</v>
      </c>
      <c r="K662">
        <f t="shared" si="32"/>
        <v>2.7918098720292505E-2</v>
      </c>
    </row>
    <row r="663" spans="1:11" x14ac:dyDescent="0.25">
      <c r="A663" s="1">
        <v>1977</v>
      </c>
      <c r="B663" s="1" t="s">
        <v>104</v>
      </c>
      <c r="C663" t="s">
        <v>9</v>
      </c>
      <c r="D663" s="1" t="s">
        <v>5</v>
      </c>
      <c r="E663">
        <v>40</v>
      </c>
      <c r="F663" s="1" t="s">
        <v>101</v>
      </c>
      <c r="G663">
        <v>6</v>
      </c>
      <c r="H663">
        <v>1</v>
      </c>
      <c r="I663" s="2">
        <f t="shared" si="30"/>
        <v>0.19634399999999999</v>
      </c>
      <c r="J663">
        <f t="shared" si="31"/>
        <v>1.7073391304347825E-2</v>
      </c>
      <c r="K663">
        <f t="shared" si="32"/>
        <v>5.1278140506659702E-3</v>
      </c>
    </row>
    <row r="664" spans="1:11" x14ac:dyDescent="0.25">
      <c r="A664" s="1">
        <v>1977</v>
      </c>
      <c r="B664" s="1" t="s">
        <v>104</v>
      </c>
      <c r="C664" t="s">
        <v>9</v>
      </c>
      <c r="D664" s="1" t="s">
        <v>5</v>
      </c>
      <c r="E664">
        <v>40</v>
      </c>
      <c r="F664" s="1" t="s">
        <v>101</v>
      </c>
      <c r="G664">
        <v>16</v>
      </c>
      <c r="H664">
        <v>1</v>
      </c>
      <c r="I664" s="2">
        <f t="shared" si="30"/>
        <v>1.3962239999999999</v>
      </c>
      <c r="J664">
        <f t="shared" si="31"/>
        <v>0.12141078260869564</v>
      </c>
      <c r="K664">
        <f t="shared" si="32"/>
        <v>3.6464455471402452E-2</v>
      </c>
    </row>
    <row r="665" spans="1:11" x14ac:dyDescent="0.25">
      <c r="A665" s="1">
        <v>1977</v>
      </c>
      <c r="B665" s="1" t="s">
        <v>104</v>
      </c>
      <c r="C665" t="s">
        <v>9</v>
      </c>
      <c r="D665" s="1" t="s">
        <v>5</v>
      </c>
      <c r="E665">
        <v>40</v>
      </c>
      <c r="F665" s="1" t="s">
        <v>101</v>
      </c>
      <c r="G665">
        <v>22</v>
      </c>
      <c r="H665">
        <v>1</v>
      </c>
      <c r="I665" s="2">
        <f t="shared" si="30"/>
        <v>2.6397359999999996</v>
      </c>
      <c r="J665">
        <f t="shared" si="31"/>
        <v>0.2295422608695652</v>
      </c>
      <c r="K665">
        <f t="shared" si="32"/>
        <v>6.8940611125620263E-2</v>
      </c>
    </row>
    <row r="666" spans="1:11" x14ac:dyDescent="0.25">
      <c r="A666" s="1">
        <v>1977</v>
      </c>
      <c r="B666" s="1" t="s">
        <v>104</v>
      </c>
      <c r="C666" t="s">
        <v>9</v>
      </c>
      <c r="D666" s="1" t="s">
        <v>5</v>
      </c>
      <c r="E666">
        <v>41</v>
      </c>
      <c r="F666" s="1" t="s">
        <v>101</v>
      </c>
      <c r="G666">
        <v>16</v>
      </c>
      <c r="H666">
        <v>1</v>
      </c>
      <c r="I666" s="2">
        <f t="shared" si="30"/>
        <v>1.3962239999999999</v>
      </c>
      <c r="J666">
        <f t="shared" si="31"/>
        <v>0.12141078260869564</v>
      </c>
      <c r="K666">
        <f t="shared" si="32"/>
        <v>3.6464455471402452E-2</v>
      </c>
    </row>
    <row r="667" spans="1:11" x14ac:dyDescent="0.25">
      <c r="A667" s="1">
        <v>1977</v>
      </c>
      <c r="B667" s="1" t="s">
        <v>104</v>
      </c>
      <c r="C667" t="s">
        <v>9</v>
      </c>
      <c r="D667" s="1" t="s">
        <v>5</v>
      </c>
      <c r="E667">
        <v>54</v>
      </c>
      <c r="F667" s="1" t="s">
        <v>101</v>
      </c>
      <c r="G667">
        <v>6</v>
      </c>
      <c r="H667">
        <v>1</v>
      </c>
      <c r="I667" s="2">
        <f t="shared" si="30"/>
        <v>0.19634399999999999</v>
      </c>
      <c r="J667">
        <f t="shared" si="31"/>
        <v>1.7073391304347825E-2</v>
      </c>
      <c r="K667">
        <f t="shared" si="32"/>
        <v>5.1278140506659702E-3</v>
      </c>
    </row>
    <row r="668" spans="1:11" x14ac:dyDescent="0.25">
      <c r="A668" s="1">
        <v>1977</v>
      </c>
      <c r="B668" s="1" t="s">
        <v>104</v>
      </c>
      <c r="C668" t="s">
        <v>9</v>
      </c>
      <c r="D668" s="1" t="s">
        <v>5</v>
      </c>
      <c r="E668">
        <v>58</v>
      </c>
      <c r="F668" s="1" t="s">
        <v>101</v>
      </c>
      <c r="G668">
        <v>6</v>
      </c>
      <c r="H668">
        <v>3</v>
      </c>
      <c r="I668" s="2">
        <f t="shared" si="30"/>
        <v>0.589032</v>
      </c>
      <c r="J668">
        <f t="shared" si="31"/>
        <v>5.1220173913043475E-2</v>
      </c>
      <c r="K668">
        <f t="shared" si="32"/>
        <v>1.538344215199791E-2</v>
      </c>
    </row>
    <row r="669" spans="1:11" x14ac:dyDescent="0.25">
      <c r="A669" s="1">
        <v>1977</v>
      </c>
      <c r="B669" s="1" t="s">
        <v>104</v>
      </c>
      <c r="C669" t="s">
        <v>9</v>
      </c>
      <c r="D669" s="1" t="s">
        <v>5</v>
      </c>
      <c r="E669">
        <v>58</v>
      </c>
      <c r="F669" s="1" t="s">
        <v>101</v>
      </c>
      <c r="G669">
        <v>8</v>
      </c>
      <c r="H669">
        <v>1</v>
      </c>
      <c r="I669" s="2">
        <f t="shared" si="30"/>
        <v>0.34905599999999998</v>
      </c>
      <c r="J669">
        <f t="shared" si="31"/>
        <v>3.0352695652173911E-2</v>
      </c>
      <c r="K669">
        <f t="shared" si="32"/>
        <v>9.1161138678506129E-3</v>
      </c>
    </row>
    <row r="670" spans="1:11" x14ac:dyDescent="0.25">
      <c r="A670" s="1">
        <v>1977</v>
      </c>
      <c r="B670" s="1" t="s">
        <v>104</v>
      </c>
      <c r="C670" t="s">
        <v>9</v>
      </c>
      <c r="D670" s="1" t="s">
        <v>5</v>
      </c>
      <c r="E670">
        <v>71</v>
      </c>
      <c r="F670" s="1" t="s">
        <v>101</v>
      </c>
      <c r="G670">
        <v>6</v>
      </c>
      <c r="H670">
        <v>3</v>
      </c>
      <c r="I670" s="2">
        <f t="shared" si="30"/>
        <v>0.589032</v>
      </c>
      <c r="J670">
        <f t="shared" si="31"/>
        <v>5.1220173913043475E-2</v>
      </c>
      <c r="K670">
        <f t="shared" si="32"/>
        <v>1.538344215199791E-2</v>
      </c>
    </row>
    <row r="671" spans="1:11" x14ac:dyDescent="0.25">
      <c r="A671" s="1">
        <v>1977</v>
      </c>
      <c r="B671" s="1" t="s">
        <v>104</v>
      </c>
      <c r="C671" t="s">
        <v>9</v>
      </c>
      <c r="D671" s="1" t="s">
        <v>5</v>
      </c>
      <c r="E671">
        <v>71</v>
      </c>
      <c r="F671" s="1" t="s">
        <v>101</v>
      </c>
      <c r="G671">
        <v>8</v>
      </c>
      <c r="H671">
        <v>1</v>
      </c>
      <c r="I671" s="2">
        <f t="shared" si="30"/>
        <v>0.34905599999999998</v>
      </c>
      <c r="J671">
        <f t="shared" si="31"/>
        <v>3.0352695652173911E-2</v>
      </c>
      <c r="K671">
        <f t="shared" si="32"/>
        <v>9.1161138678506129E-3</v>
      </c>
    </row>
    <row r="672" spans="1:11" x14ac:dyDescent="0.25">
      <c r="A672" s="1">
        <v>1977</v>
      </c>
      <c r="B672" s="1" t="s">
        <v>104</v>
      </c>
      <c r="C672" t="s">
        <v>9</v>
      </c>
      <c r="D672" s="1" t="s">
        <v>5</v>
      </c>
      <c r="E672">
        <v>79</v>
      </c>
      <c r="F672" s="1" t="s">
        <v>101</v>
      </c>
      <c r="G672">
        <v>6</v>
      </c>
      <c r="H672">
        <v>2</v>
      </c>
      <c r="I672" s="2">
        <f t="shared" si="30"/>
        <v>0.39268799999999998</v>
      </c>
      <c r="J672">
        <f t="shared" si="31"/>
        <v>3.414678260869565E-2</v>
      </c>
      <c r="K672">
        <f t="shared" si="32"/>
        <v>1.025562810133194E-2</v>
      </c>
    </row>
    <row r="673" spans="1:11" x14ac:dyDescent="0.25">
      <c r="A673" s="1">
        <v>1977</v>
      </c>
      <c r="B673" s="1" t="s">
        <v>104</v>
      </c>
      <c r="C673" t="s">
        <v>9</v>
      </c>
      <c r="D673" s="1" t="s">
        <v>5</v>
      </c>
      <c r="E673">
        <v>79</v>
      </c>
      <c r="F673" s="1" t="s">
        <v>101</v>
      </c>
      <c r="G673">
        <v>12</v>
      </c>
      <c r="H673">
        <v>1</v>
      </c>
      <c r="I673" s="2">
        <f t="shared" si="30"/>
        <v>0.78537599999999996</v>
      </c>
      <c r="J673">
        <f t="shared" si="31"/>
        <v>6.82935652173913E-2</v>
      </c>
      <c r="K673">
        <f t="shared" si="32"/>
        <v>2.0511256202663881E-2</v>
      </c>
    </row>
    <row r="674" spans="1:11" x14ac:dyDescent="0.25">
      <c r="A674" s="1">
        <v>1977</v>
      </c>
      <c r="B674" s="1" t="s">
        <v>104</v>
      </c>
      <c r="C674" t="s">
        <v>9</v>
      </c>
      <c r="D674" s="1" t="s">
        <v>5</v>
      </c>
      <c r="E674">
        <v>79</v>
      </c>
      <c r="F674" s="1" t="s">
        <v>101</v>
      </c>
      <c r="G674">
        <v>16</v>
      </c>
      <c r="H674">
        <v>1</v>
      </c>
      <c r="I674" s="2">
        <f t="shared" si="30"/>
        <v>1.3962239999999999</v>
      </c>
      <c r="J674">
        <f t="shared" si="31"/>
        <v>0.12141078260869564</v>
      </c>
      <c r="K674">
        <f t="shared" si="32"/>
        <v>3.6464455471402452E-2</v>
      </c>
    </row>
    <row r="675" spans="1:11" x14ac:dyDescent="0.25">
      <c r="A675" s="1">
        <v>1977</v>
      </c>
      <c r="B675" s="1" t="s">
        <v>104</v>
      </c>
      <c r="C675" t="s">
        <v>9</v>
      </c>
      <c r="D675" s="1" t="s">
        <v>5</v>
      </c>
      <c r="E675">
        <v>85</v>
      </c>
      <c r="F675" s="1" t="s">
        <v>101</v>
      </c>
      <c r="G675">
        <v>8</v>
      </c>
      <c r="H675">
        <v>2</v>
      </c>
      <c r="I675" s="2">
        <f t="shared" si="30"/>
        <v>0.69811199999999995</v>
      </c>
      <c r="J675">
        <f t="shared" si="31"/>
        <v>6.0705391304347822E-2</v>
      </c>
      <c r="K675">
        <f t="shared" si="32"/>
        <v>1.8232227735701226E-2</v>
      </c>
    </row>
    <row r="676" spans="1:11" x14ac:dyDescent="0.25">
      <c r="A676" s="1">
        <v>1977</v>
      </c>
      <c r="B676" s="1" t="s">
        <v>104</v>
      </c>
      <c r="C676" t="s">
        <v>9</v>
      </c>
      <c r="D676" s="1" t="s">
        <v>5</v>
      </c>
      <c r="E676">
        <v>85</v>
      </c>
      <c r="F676" s="1" t="s">
        <v>101</v>
      </c>
      <c r="G676">
        <v>12</v>
      </c>
      <c r="H676">
        <v>4</v>
      </c>
      <c r="I676" s="2">
        <f t="shared" si="30"/>
        <v>3.1415039999999999</v>
      </c>
      <c r="J676">
        <f t="shared" si="31"/>
        <v>0.2731742608695652</v>
      </c>
      <c r="K676">
        <f t="shared" si="32"/>
        <v>8.2045024810655523E-2</v>
      </c>
    </row>
    <row r="677" spans="1:11" x14ac:dyDescent="0.25">
      <c r="A677" s="1">
        <v>1977</v>
      </c>
      <c r="B677" s="1" t="s">
        <v>104</v>
      </c>
      <c r="C677" t="s">
        <v>9</v>
      </c>
      <c r="D677" s="1" t="s">
        <v>5</v>
      </c>
      <c r="E677">
        <v>85</v>
      </c>
      <c r="F677" s="1" t="s">
        <v>101</v>
      </c>
      <c r="G677">
        <v>14</v>
      </c>
      <c r="H677">
        <v>5</v>
      </c>
      <c r="I677" s="2">
        <f t="shared" si="30"/>
        <v>5.3449200000000001</v>
      </c>
      <c r="J677">
        <f t="shared" si="31"/>
        <v>0.46477565217391303</v>
      </c>
      <c r="K677">
        <f t="shared" si="32"/>
        <v>0.13959049360146253</v>
      </c>
    </row>
    <row r="678" spans="1:11" x14ac:dyDescent="0.25">
      <c r="A678" s="1">
        <v>1977</v>
      </c>
      <c r="B678" s="1" t="s">
        <v>104</v>
      </c>
      <c r="C678" t="s">
        <v>9</v>
      </c>
      <c r="D678" s="1" t="s">
        <v>5</v>
      </c>
      <c r="E678">
        <v>85</v>
      </c>
      <c r="F678" s="1" t="s">
        <v>101</v>
      </c>
      <c r="G678">
        <v>16</v>
      </c>
      <c r="H678">
        <v>4</v>
      </c>
      <c r="I678" s="2">
        <f t="shared" si="30"/>
        <v>5.5848959999999996</v>
      </c>
      <c r="J678">
        <f t="shared" si="31"/>
        <v>0.48564313043478258</v>
      </c>
      <c r="K678">
        <f t="shared" si="32"/>
        <v>0.14585782188560981</v>
      </c>
    </row>
    <row r="679" spans="1:11" x14ac:dyDescent="0.25">
      <c r="A679" s="1">
        <v>1977</v>
      </c>
      <c r="B679" s="1" t="s">
        <v>104</v>
      </c>
      <c r="C679" t="s">
        <v>9</v>
      </c>
      <c r="D679" s="1" t="s">
        <v>5</v>
      </c>
      <c r="E679">
        <v>85</v>
      </c>
      <c r="F679" s="1" t="s">
        <v>101</v>
      </c>
      <c r="G679">
        <v>18</v>
      </c>
      <c r="H679">
        <v>1</v>
      </c>
      <c r="I679" s="2">
        <f t="shared" si="30"/>
        <v>1.7670959999999998</v>
      </c>
      <c r="J679">
        <f t="shared" si="31"/>
        <v>0.15366052173913042</v>
      </c>
      <c r="K679">
        <f t="shared" si="32"/>
        <v>4.6150326455993727E-2</v>
      </c>
    </row>
    <row r="680" spans="1:11" x14ac:dyDescent="0.25">
      <c r="A680" s="1">
        <v>1978</v>
      </c>
      <c r="B680" s="1" t="s">
        <v>104</v>
      </c>
      <c r="C680" t="s">
        <v>8</v>
      </c>
      <c r="D680" s="1" t="s">
        <v>3</v>
      </c>
      <c r="E680">
        <v>17</v>
      </c>
      <c r="F680" s="1" t="s">
        <v>101</v>
      </c>
      <c r="G680">
        <v>6</v>
      </c>
      <c r="H680">
        <v>1</v>
      </c>
      <c r="I680" s="2">
        <f t="shared" si="30"/>
        <v>0.19634399999999999</v>
      </c>
      <c r="J680">
        <f t="shared" si="31"/>
        <v>1.7073391304347825E-2</v>
      </c>
      <c r="K680">
        <f t="shared" si="32"/>
        <v>5.1278140506659702E-3</v>
      </c>
    </row>
    <row r="681" spans="1:11" x14ac:dyDescent="0.25">
      <c r="A681" s="1">
        <v>1978</v>
      </c>
      <c r="B681" s="1" t="s">
        <v>104</v>
      </c>
      <c r="C681" t="s">
        <v>8</v>
      </c>
      <c r="D681" s="1" t="s">
        <v>3</v>
      </c>
      <c r="E681">
        <v>21</v>
      </c>
      <c r="F681" s="1" t="s">
        <v>101</v>
      </c>
      <c r="G681">
        <v>20</v>
      </c>
      <c r="H681">
        <v>1</v>
      </c>
      <c r="I681" s="2">
        <f t="shared" si="30"/>
        <v>2.1816</v>
      </c>
      <c r="J681">
        <f t="shared" si="31"/>
        <v>0.18970434782608694</v>
      </c>
      <c r="K681">
        <f t="shared" si="32"/>
        <v>5.6975711674066329E-2</v>
      </c>
    </row>
    <row r="682" spans="1:11" x14ac:dyDescent="0.25">
      <c r="A682" s="1">
        <v>1978</v>
      </c>
      <c r="B682" s="1" t="s">
        <v>104</v>
      </c>
      <c r="C682" t="s">
        <v>8</v>
      </c>
      <c r="D682" s="1" t="s">
        <v>3</v>
      </c>
      <c r="E682">
        <v>32</v>
      </c>
      <c r="F682" s="1" t="s">
        <v>101</v>
      </c>
      <c r="G682">
        <v>6</v>
      </c>
      <c r="H682">
        <v>2</v>
      </c>
      <c r="I682" s="2">
        <f t="shared" si="30"/>
        <v>0.39268799999999998</v>
      </c>
      <c r="J682">
        <f t="shared" si="31"/>
        <v>3.414678260869565E-2</v>
      </c>
      <c r="K682">
        <f t="shared" si="32"/>
        <v>1.025562810133194E-2</v>
      </c>
    </row>
    <row r="683" spans="1:11" x14ac:dyDescent="0.25">
      <c r="A683" s="1">
        <v>1978</v>
      </c>
      <c r="B683" s="1" t="s">
        <v>104</v>
      </c>
      <c r="C683" t="s">
        <v>8</v>
      </c>
      <c r="D683" s="1" t="s">
        <v>3</v>
      </c>
      <c r="E683">
        <v>34</v>
      </c>
      <c r="F683" s="1" t="s">
        <v>101</v>
      </c>
      <c r="G683">
        <v>18</v>
      </c>
      <c r="H683">
        <v>3</v>
      </c>
      <c r="I683" s="2">
        <f t="shared" si="30"/>
        <v>5.3012879999999996</v>
      </c>
      <c r="J683">
        <f t="shared" si="31"/>
        <v>0.46098156521739125</v>
      </c>
      <c r="K683">
        <f t="shared" si="32"/>
        <v>0.13845097936798118</v>
      </c>
    </row>
    <row r="684" spans="1:11" x14ac:dyDescent="0.25">
      <c r="A684" s="1">
        <v>1978</v>
      </c>
      <c r="B684" s="1" t="s">
        <v>104</v>
      </c>
      <c r="C684" t="s">
        <v>8</v>
      </c>
      <c r="D684" s="1" t="s">
        <v>3</v>
      </c>
      <c r="E684">
        <v>34</v>
      </c>
      <c r="F684" s="1" t="s">
        <v>101</v>
      </c>
      <c r="G684">
        <v>20</v>
      </c>
      <c r="H684">
        <v>1</v>
      </c>
      <c r="I684" s="2">
        <f t="shared" si="30"/>
        <v>2.1816</v>
      </c>
      <c r="J684">
        <f t="shared" si="31"/>
        <v>0.18970434782608694</v>
      </c>
      <c r="K684">
        <f t="shared" si="32"/>
        <v>5.6975711674066329E-2</v>
      </c>
    </row>
    <row r="685" spans="1:11" x14ac:dyDescent="0.25">
      <c r="A685" s="1">
        <v>1978</v>
      </c>
      <c r="B685" s="1" t="s">
        <v>104</v>
      </c>
      <c r="C685" t="s">
        <v>8</v>
      </c>
      <c r="D685" s="1" t="s">
        <v>3</v>
      </c>
      <c r="E685">
        <v>38</v>
      </c>
      <c r="F685" s="1" t="s">
        <v>101</v>
      </c>
      <c r="G685">
        <v>6</v>
      </c>
      <c r="H685">
        <v>1</v>
      </c>
      <c r="I685" s="2">
        <f t="shared" si="30"/>
        <v>0.19634399999999999</v>
      </c>
      <c r="J685">
        <f t="shared" si="31"/>
        <v>1.7073391304347825E-2</v>
      </c>
      <c r="K685">
        <f t="shared" si="32"/>
        <v>5.1278140506659702E-3</v>
      </c>
    </row>
    <row r="686" spans="1:11" x14ac:dyDescent="0.25">
      <c r="A686" s="1">
        <v>1978</v>
      </c>
      <c r="B686" s="1" t="s">
        <v>104</v>
      </c>
      <c r="C686" t="s">
        <v>8</v>
      </c>
      <c r="D686" s="1" t="s">
        <v>3</v>
      </c>
      <c r="E686">
        <v>38</v>
      </c>
      <c r="F686" s="1" t="s">
        <v>101</v>
      </c>
      <c r="G686">
        <v>8</v>
      </c>
      <c r="H686">
        <v>2</v>
      </c>
      <c r="I686" s="2">
        <f t="shared" si="30"/>
        <v>0.69811199999999995</v>
      </c>
      <c r="J686">
        <f t="shared" si="31"/>
        <v>6.0705391304347822E-2</v>
      </c>
      <c r="K686">
        <f t="shared" si="32"/>
        <v>1.8232227735701226E-2</v>
      </c>
    </row>
    <row r="687" spans="1:11" x14ac:dyDescent="0.25">
      <c r="A687" s="1">
        <v>1978</v>
      </c>
      <c r="B687" s="1" t="s">
        <v>104</v>
      </c>
      <c r="C687" t="s">
        <v>8</v>
      </c>
      <c r="D687" s="1" t="s">
        <v>3</v>
      </c>
      <c r="E687">
        <v>38</v>
      </c>
      <c r="F687" s="1" t="s">
        <v>101</v>
      </c>
      <c r="G687">
        <v>12</v>
      </c>
      <c r="H687">
        <v>1</v>
      </c>
      <c r="I687" s="2">
        <f t="shared" si="30"/>
        <v>0.78537599999999996</v>
      </c>
      <c r="J687">
        <f t="shared" si="31"/>
        <v>6.82935652173913E-2</v>
      </c>
      <c r="K687">
        <f t="shared" si="32"/>
        <v>2.0511256202663881E-2</v>
      </c>
    </row>
    <row r="688" spans="1:11" x14ac:dyDescent="0.25">
      <c r="A688" s="1">
        <v>1978</v>
      </c>
      <c r="B688" s="1" t="s">
        <v>104</v>
      </c>
      <c r="C688" t="s">
        <v>8</v>
      </c>
      <c r="D688" s="1" t="s">
        <v>3</v>
      </c>
      <c r="E688">
        <v>38</v>
      </c>
      <c r="F688" s="1" t="s">
        <v>101</v>
      </c>
      <c r="G688">
        <v>18</v>
      </c>
      <c r="H688">
        <v>14</v>
      </c>
      <c r="I688" s="2">
        <f t="shared" si="30"/>
        <v>24.739343999999996</v>
      </c>
      <c r="J688">
        <f t="shared" si="31"/>
        <v>2.1512473043478257</v>
      </c>
      <c r="K688">
        <f t="shared" si="32"/>
        <v>0.64610457038391211</v>
      </c>
    </row>
    <row r="689" spans="1:11" x14ac:dyDescent="0.25">
      <c r="A689" s="1">
        <v>1978</v>
      </c>
      <c r="B689" s="1" t="s">
        <v>104</v>
      </c>
      <c r="C689" t="s">
        <v>8</v>
      </c>
      <c r="D689" s="1" t="s">
        <v>3</v>
      </c>
      <c r="E689">
        <v>38</v>
      </c>
      <c r="F689" s="1" t="s">
        <v>101</v>
      </c>
      <c r="G689">
        <v>20</v>
      </c>
      <c r="H689">
        <v>4</v>
      </c>
      <c r="I689" s="2">
        <f t="shared" si="30"/>
        <v>8.7263999999999999</v>
      </c>
      <c r="J689">
        <f t="shared" si="31"/>
        <v>0.75881739130434778</v>
      </c>
      <c r="K689">
        <f t="shared" si="32"/>
        <v>0.22790284669626532</v>
      </c>
    </row>
    <row r="690" spans="1:11" x14ac:dyDescent="0.25">
      <c r="A690" s="1">
        <v>1978</v>
      </c>
      <c r="B690" s="1" t="s">
        <v>104</v>
      </c>
      <c r="C690" t="s">
        <v>8</v>
      </c>
      <c r="D690" s="1" t="s">
        <v>3</v>
      </c>
      <c r="E690">
        <v>40</v>
      </c>
      <c r="F690" s="1" t="s">
        <v>101</v>
      </c>
      <c r="G690">
        <v>6</v>
      </c>
      <c r="H690">
        <v>3</v>
      </c>
      <c r="I690" s="2">
        <f t="shared" si="30"/>
        <v>0.589032</v>
      </c>
      <c r="J690">
        <f t="shared" si="31"/>
        <v>5.1220173913043475E-2</v>
      </c>
      <c r="K690">
        <f t="shared" si="32"/>
        <v>1.538344215199791E-2</v>
      </c>
    </row>
    <row r="691" spans="1:11" x14ac:dyDescent="0.25">
      <c r="A691" s="1">
        <v>1978</v>
      </c>
      <c r="B691" s="1" t="s">
        <v>104</v>
      </c>
      <c r="C691" t="s">
        <v>8</v>
      </c>
      <c r="D691" s="1" t="s">
        <v>3</v>
      </c>
      <c r="E691">
        <v>40</v>
      </c>
      <c r="F691" s="1" t="s">
        <v>101</v>
      </c>
      <c r="G691">
        <v>8</v>
      </c>
      <c r="H691">
        <v>3</v>
      </c>
      <c r="I691" s="2">
        <f t="shared" si="30"/>
        <v>1.0471679999999999</v>
      </c>
      <c r="J691">
        <f t="shared" si="31"/>
        <v>9.1058086956521733E-2</v>
      </c>
      <c r="K691">
        <f t="shared" si="32"/>
        <v>2.7348341603551839E-2</v>
      </c>
    </row>
    <row r="692" spans="1:11" x14ac:dyDescent="0.25">
      <c r="A692" s="1">
        <v>1978</v>
      </c>
      <c r="B692" s="1" t="s">
        <v>104</v>
      </c>
      <c r="C692" t="s">
        <v>8</v>
      </c>
      <c r="D692" s="1" t="s">
        <v>3</v>
      </c>
      <c r="E692">
        <v>40</v>
      </c>
      <c r="F692" s="1" t="s">
        <v>101</v>
      </c>
      <c r="G692">
        <v>10</v>
      </c>
      <c r="H692">
        <v>1</v>
      </c>
      <c r="I692" s="2">
        <f t="shared" si="30"/>
        <v>0.5454</v>
      </c>
      <c r="J692">
        <f t="shared" si="31"/>
        <v>4.7426086956521736E-2</v>
      </c>
      <c r="K692">
        <f t="shared" si="32"/>
        <v>1.4243927918516582E-2</v>
      </c>
    </row>
    <row r="693" spans="1:11" x14ac:dyDescent="0.25">
      <c r="A693" s="1">
        <v>1978</v>
      </c>
      <c r="B693" s="1" t="s">
        <v>104</v>
      </c>
      <c r="C693" t="s">
        <v>8</v>
      </c>
      <c r="D693" s="1" t="s">
        <v>3</v>
      </c>
      <c r="E693">
        <v>40</v>
      </c>
      <c r="F693" s="1" t="s">
        <v>101</v>
      </c>
      <c r="G693">
        <v>18</v>
      </c>
      <c r="H693">
        <v>11</v>
      </c>
      <c r="I693" s="2">
        <f t="shared" si="30"/>
        <v>19.438055999999996</v>
      </c>
      <c r="J693">
        <f t="shared" si="31"/>
        <v>1.6902657391304345</v>
      </c>
      <c r="K693">
        <f t="shared" si="32"/>
        <v>0.50765359101593099</v>
      </c>
    </row>
    <row r="694" spans="1:11" x14ac:dyDescent="0.25">
      <c r="A694" s="1">
        <v>1978</v>
      </c>
      <c r="B694" s="1" t="s">
        <v>104</v>
      </c>
      <c r="C694" t="s">
        <v>8</v>
      </c>
      <c r="D694" s="1" t="s">
        <v>3</v>
      </c>
      <c r="E694">
        <v>40</v>
      </c>
      <c r="F694" s="1" t="s">
        <v>101</v>
      </c>
      <c r="G694">
        <v>20</v>
      </c>
      <c r="H694">
        <v>9</v>
      </c>
      <c r="I694" s="2">
        <f t="shared" si="30"/>
        <v>19.634399999999999</v>
      </c>
      <c r="J694">
        <f t="shared" si="31"/>
        <v>1.7073391304347825</v>
      </c>
      <c r="K694">
        <f t="shared" si="32"/>
        <v>0.51278140506659697</v>
      </c>
    </row>
    <row r="695" spans="1:11" x14ac:dyDescent="0.25">
      <c r="A695" s="1">
        <v>1978</v>
      </c>
      <c r="B695" s="1" t="s">
        <v>104</v>
      </c>
      <c r="C695" t="s">
        <v>8</v>
      </c>
      <c r="D695" s="1" t="s">
        <v>3</v>
      </c>
      <c r="E695">
        <v>41</v>
      </c>
      <c r="F695" s="1" t="s">
        <v>101</v>
      </c>
      <c r="G695">
        <v>18</v>
      </c>
      <c r="H695">
        <v>11</v>
      </c>
      <c r="I695" s="2">
        <f t="shared" si="30"/>
        <v>19.438055999999996</v>
      </c>
      <c r="J695">
        <f t="shared" si="31"/>
        <v>1.6902657391304345</v>
      </c>
      <c r="K695">
        <f t="shared" si="32"/>
        <v>0.50765359101593099</v>
      </c>
    </row>
    <row r="696" spans="1:11" x14ac:dyDescent="0.25">
      <c r="A696" s="1">
        <v>1978</v>
      </c>
      <c r="B696" s="1" t="s">
        <v>104</v>
      </c>
      <c r="C696" t="s">
        <v>8</v>
      </c>
      <c r="D696" s="1" t="s">
        <v>3</v>
      </c>
      <c r="E696">
        <v>41</v>
      </c>
      <c r="F696" s="1" t="s">
        <v>101</v>
      </c>
      <c r="G696">
        <v>22</v>
      </c>
      <c r="H696">
        <v>1</v>
      </c>
      <c r="I696" s="2">
        <f t="shared" si="30"/>
        <v>2.6397359999999996</v>
      </c>
      <c r="J696">
        <f t="shared" si="31"/>
        <v>0.2295422608695652</v>
      </c>
      <c r="K696">
        <f t="shared" si="32"/>
        <v>6.8940611125620263E-2</v>
      </c>
    </row>
    <row r="697" spans="1:11" x14ac:dyDescent="0.25">
      <c r="A697" s="1">
        <v>1978</v>
      </c>
      <c r="B697" s="1" t="s">
        <v>104</v>
      </c>
      <c r="C697" t="s">
        <v>8</v>
      </c>
      <c r="D697" s="1" t="s">
        <v>3</v>
      </c>
      <c r="E697">
        <v>56</v>
      </c>
      <c r="F697" s="1" t="s">
        <v>101</v>
      </c>
      <c r="G697">
        <v>18</v>
      </c>
      <c r="H697">
        <v>5</v>
      </c>
      <c r="I697" s="2">
        <f t="shared" si="30"/>
        <v>8.8354799999999987</v>
      </c>
      <c r="J697">
        <f t="shared" si="31"/>
        <v>0.76830260869565203</v>
      </c>
      <c r="K697">
        <f t="shared" si="32"/>
        <v>0.23075163227996862</v>
      </c>
    </row>
    <row r="698" spans="1:11" x14ac:dyDescent="0.25">
      <c r="A698" s="1">
        <v>1978</v>
      </c>
      <c r="B698" s="1" t="s">
        <v>104</v>
      </c>
      <c r="C698" t="s">
        <v>8</v>
      </c>
      <c r="D698" s="1" t="s">
        <v>3</v>
      </c>
      <c r="E698">
        <v>56</v>
      </c>
      <c r="F698" s="1" t="s">
        <v>101</v>
      </c>
      <c r="G698">
        <v>20</v>
      </c>
      <c r="H698">
        <v>1</v>
      </c>
      <c r="I698" s="2">
        <f t="shared" si="30"/>
        <v>2.1816</v>
      </c>
      <c r="J698">
        <f t="shared" si="31"/>
        <v>0.18970434782608694</v>
      </c>
      <c r="K698">
        <f t="shared" si="32"/>
        <v>5.6975711674066329E-2</v>
      </c>
    </row>
    <row r="699" spans="1:11" x14ac:dyDescent="0.25">
      <c r="A699" s="1">
        <v>1978</v>
      </c>
      <c r="B699" s="1" t="s">
        <v>104</v>
      </c>
      <c r="C699" t="s">
        <v>8</v>
      </c>
      <c r="D699" s="1" t="s">
        <v>3</v>
      </c>
      <c r="E699">
        <v>79</v>
      </c>
      <c r="F699" s="1" t="s">
        <v>101</v>
      </c>
      <c r="G699">
        <v>6</v>
      </c>
      <c r="H699">
        <v>4</v>
      </c>
      <c r="I699" s="2">
        <f t="shared" si="30"/>
        <v>0.78537599999999996</v>
      </c>
      <c r="J699">
        <f t="shared" si="31"/>
        <v>6.82935652173913E-2</v>
      </c>
      <c r="K699">
        <f t="shared" si="32"/>
        <v>2.0511256202663881E-2</v>
      </c>
    </row>
    <row r="700" spans="1:11" x14ac:dyDescent="0.25">
      <c r="A700" s="1">
        <v>1978</v>
      </c>
      <c r="B700" s="1" t="s">
        <v>104</v>
      </c>
      <c r="C700" t="s">
        <v>8</v>
      </c>
      <c r="D700" s="1" t="s">
        <v>3</v>
      </c>
      <c r="E700">
        <v>79</v>
      </c>
      <c r="F700" s="1" t="s">
        <v>101</v>
      </c>
      <c r="G700">
        <v>8</v>
      </c>
      <c r="H700">
        <v>1</v>
      </c>
      <c r="I700" s="2">
        <f t="shared" si="30"/>
        <v>0.34905599999999998</v>
      </c>
      <c r="J700">
        <f t="shared" si="31"/>
        <v>3.0352695652173911E-2</v>
      </c>
      <c r="K700">
        <f t="shared" si="32"/>
        <v>9.1161138678506129E-3</v>
      </c>
    </row>
    <row r="701" spans="1:11" x14ac:dyDescent="0.25">
      <c r="A701" s="1">
        <v>1978</v>
      </c>
      <c r="B701" s="1" t="s">
        <v>104</v>
      </c>
      <c r="C701" t="s">
        <v>8</v>
      </c>
      <c r="D701" s="1" t="s">
        <v>3</v>
      </c>
      <c r="E701">
        <v>79</v>
      </c>
      <c r="F701" s="1" t="s">
        <v>101</v>
      </c>
      <c r="G701">
        <v>18</v>
      </c>
      <c r="H701">
        <v>1</v>
      </c>
      <c r="I701" s="2">
        <f t="shared" si="30"/>
        <v>1.7670959999999998</v>
      </c>
      <c r="J701">
        <f t="shared" si="31"/>
        <v>0.15366052173913042</v>
      </c>
      <c r="K701">
        <f t="shared" si="32"/>
        <v>4.6150326455993727E-2</v>
      </c>
    </row>
    <row r="702" spans="1:11" x14ac:dyDescent="0.25">
      <c r="A702" s="1">
        <v>1978</v>
      </c>
      <c r="B702" s="1" t="s">
        <v>104</v>
      </c>
      <c r="C702" t="s">
        <v>8</v>
      </c>
      <c r="D702" s="1" t="s">
        <v>3</v>
      </c>
      <c r="E702">
        <v>85</v>
      </c>
      <c r="F702" s="1" t="s">
        <v>101</v>
      </c>
      <c r="G702">
        <v>18</v>
      </c>
      <c r="H702">
        <v>5</v>
      </c>
      <c r="I702" s="2">
        <f t="shared" si="30"/>
        <v>8.8354799999999987</v>
      </c>
      <c r="J702">
        <f t="shared" si="31"/>
        <v>0.76830260869565203</v>
      </c>
      <c r="K702">
        <f t="shared" si="32"/>
        <v>0.23075163227996862</v>
      </c>
    </row>
    <row r="703" spans="1:11" x14ac:dyDescent="0.25">
      <c r="A703" s="1">
        <v>1978</v>
      </c>
      <c r="B703" s="1" t="s">
        <v>104</v>
      </c>
      <c r="C703" t="s">
        <v>8</v>
      </c>
      <c r="D703" s="1" t="s">
        <v>5</v>
      </c>
      <c r="E703">
        <v>32</v>
      </c>
      <c r="F703" s="1" t="s">
        <v>101</v>
      </c>
      <c r="G703">
        <v>18</v>
      </c>
      <c r="H703">
        <v>1</v>
      </c>
      <c r="I703" s="2">
        <f t="shared" si="30"/>
        <v>1.7670959999999998</v>
      </c>
      <c r="J703">
        <f t="shared" si="31"/>
        <v>0.15366052173913042</v>
      </c>
      <c r="K703">
        <f t="shared" si="32"/>
        <v>4.6150326455993727E-2</v>
      </c>
    </row>
    <row r="704" spans="1:11" x14ac:dyDescent="0.25">
      <c r="A704" s="1">
        <v>1978</v>
      </c>
      <c r="B704" s="1" t="s">
        <v>104</v>
      </c>
      <c r="C704" t="s">
        <v>8</v>
      </c>
      <c r="D704" s="1" t="s">
        <v>5</v>
      </c>
      <c r="E704">
        <v>40</v>
      </c>
      <c r="F704" s="1" t="s">
        <v>101</v>
      </c>
      <c r="G704">
        <v>22</v>
      </c>
      <c r="H704">
        <v>1</v>
      </c>
      <c r="I704" s="2">
        <f t="shared" si="30"/>
        <v>2.6397359999999996</v>
      </c>
      <c r="J704">
        <f t="shared" si="31"/>
        <v>0.2295422608695652</v>
      </c>
      <c r="K704">
        <f t="shared" si="32"/>
        <v>6.8940611125620263E-2</v>
      </c>
    </row>
    <row r="705" spans="1:11" x14ac:dyDescent="0.25">
      <c r="A705" s="1">
        <v>1978</v>
      </c>
      <c r="B705" s="1" t="s">
        <v>104</v>
      </c>
      <c r="C705" t="s">
        <v>8</v>
      </c>
      <c r="D705" s="1" t="s">
        <v>5</v>
      </c>
      <c r="E705">
        <v>85</v>
      </c>
      <c r="F705" s="1" t="s">
        <v>101</v>
      </c>
      <c r="G705">
        <v>18</v>
      </c>
      <c r="H705">
        <v>1</v>
      </c>
      <c r="I705" s="2">
        <f t="shared" si="30"/>
        <v>1.7670959999999998</v>
      </c>
      <c r="J705">
        <f t="shared" si="31"/>
        <v>0.15366052173913042</v>
      </c>
      <c r="K705">
        <f t="shared" si="32"/>
        <v>4.6150326455993727E-2</v>
      </c>
    </row>
    <row r="706" spans="1:11" x14ac:dyDescent="0.25">
      <c r="A706" s="1">
        <v>1978</v>
      </c>
      <c r="B706" s="1" t="s">
        <v>104</v>
      </c>
      <c r="C706" t="s">
        <v>7</v>
      </c>
      <c r="D706" s="1" t="s">
        <v>3</v>
      </c>
      <c r="E706">
        <v>11</v>
      </c>
      <c r="F706" s="1" t="s">
        <v>101</v>
      </c>
      <c r="G706">
        <v>6</v>
      </c>
      <c r="H706">
        <v>4</v>
      </c>
      <c r="I706" s="2">
        <f t="shared" si="30"/>
        <v>0.78537599999999996</v>
      </c>
      <c r="J706">
        <f t="shared" si="31"/>
        <v>6.82935652173913E-2</v>
      </c>
      <c r="K706">
        <f t="shared" si="32"/>
        <v>2.0511256202663881E-2</v>
      </c>
    </row>
    <row r="707" spans="1:11" x14ac:dyDescent="0.25">
      <c r="A707" s="1">
        <v>1978</v>
      </c>
      <c r="B707" s="1" t="s">
        <v>104</v>
      </c>
      <c r="C707" t="s">
        <v>7</v>
      </c>
      <c r="D707" s="1" t="s">
        <v>3</v>
      </c>
      <c r="E707">
        <v>17</v>
      </c>
      <c r="F707" s="1" t="s">
        <v>101</v>
      </c>
      <c r="G707">
        <v>6</v>
      </c>
      <c r="H707">
        <v>3</v>
      </c>
      <c r="I707" s="2">
        <f t="shared" ref="I707:I770" si="33">0.005454*G707^2*H707</f>
        <v>0.589032</v>
      </c>
      <c r="J707">
        <f t="shared" ref="J707:J770" si="34">I707/11.5</f>
        <v>5.1220173913043475E-2</v>
      </c>
      <c r="K707">
        <f t="shared" ref="K707:K770" si="35">J707*(11.5/38.29)</f>
        <v>1.538344215199791E-2</v>
      </c>
    </row>
    <row r="708" spans="1:11" x14ac:dyDescent="0.25">
      <c r="A708" s="1">
        <v>1978</v>
      </c>
      <c r="B708" s="1" t="s">
        <v>104</v>
      </c>
      <c r="C708" t="s">
        <v>7</v>
      </c>
      <c r="D708" s="1" t="s">
        <v>3</v>
      </c>
      <c r="E708">
        <v>17</v>
      </c>
      <c r="F708" s="1" t="s">
        <v>101</v>
      </c>
      <c r="G708">
        <v>8</v>
      </c>
      <c r="H708">
        <v>9</v>
      </c>
      <c r="I708" s="2">
        <f t="shared" si="33"/>
        <v>3.1415039999999999</v>
      </c>
      <c r="J708">
        <f t="shared" si="34"/>
        <v>0.2731742608695652</v>
      </c>
      <c r="K708">
        <f t="shared" si="35"/>
        <v>8.2045024810655523E-2</v>
      </c>
    </row>
    <row r="709" spans="1:11" x14ac:dyDescent="0.25">
      <c r="A709" s="1">
        <v>1978</v>
      </c>
      <c r="B709" s="1" t="s">
        <v>104</v>
      </c>
      <c r="C709" t="s">
        <v>7</v>
      </c>
      <c r="D709" s="1" t="s">
        <v>3</v>
      </c>
      <c r="E709">
        <v>17</v>
      </c>
      <c r="F709" s="1" t="s">
        <v>101</v>
      </c>
      <c r="G709">
        <v>12</v>
      </c>
      <c r="H709">
        <v>1</v>
      </c>
      <c r="I709" s="2">
        <f t="shared" si="33"/>
        <v>0.78537599999999996</v>
      </c>
      <c r="J709">
        <f t="shared" si="34"/>
        <v>6.82935652173913E-2</v>
      </c>
      <c r="K709">
        <f t="shared" si="35"/>
        <v>2.0511256202663881E-2</v>
      </c>
    </row>
    <row r="710" spans="1:11" x14ac:dyDescent="0.25">
      <c r="A710" s="1">
        <v>1978</v>
      </c>
      <c r="B710" s="1" t="s">
        <v>104</v>
      </c>
      <c r="C710" t="s">
        <v>7</v>
      </c>
      <c r="D710" s="1" t="s">
        <v>3</v>
      </c>
      <c r="E710">
        <v>21</v>
      </c>
      <c r="F710" s="1" t="s">
        <v>101</v>
      </c>
      <c r="G710">
        <v>6</v>
      </c>
      <c r="H710">
        <v>3</v>
      </c>
      <c r="I710" s="2">
        <f t="shared" si="33"/>
        <v>0.589032</v>
      </c>
      <c r="J710">
        <f t="shared" si="34"/>
        <v>5.1220173913043475E-2</v>
      </c>
      <c r="K710">
        <f t="shared" si="35"/>
        <v>1.538344215199791E-2</v>
      </c>
    </row>
    <row r="711" spans="1:11" x14ac:dyDescent="0.25">
      <c r="A711" s="1">
        <v>1978</v>
      </c>
      <c r="B711" s="1" t="s">
        <v>104</v>
      </c>
      <c r="C711" t="s">
        <v>7</v>
      </c>
      <c r="D711" s="1" t="s">
        <v>3</v>
      </c>
      <c r="E711">
        <v>21</v>
      </c>
      <c r="F711" s="1" t="s">
        <v>101</v>
      </c>
      <c r="G711">
        <v>8</v>
      </c>
      <c r="H711">
        <v>1</v>
      </c>
      <c r="I711" s="2">
        <f t="shared" si="33"/>
        <v>0.34905599999999998</v>
      </c>
      <c r="J711">
        <f t="shared" si="34"/>
        <v>3.0352695652173911E-2</v>
      </c>
      <c r="K711">
        <f t="shared" si="35"/>
        <v>9.1161138678506129E-3</v>
      </c>
    </row>
    <row r="712" spans="1:11" x14ac:dyDescent="0.25">
      <c r="A712" s="1">
        <v>1978</v>
      </c>
      <c r="B712" s="1" t="s">
        <v>104</v>
      </c>
      <c r="C712" t="s">
        <v>7</v>
      </c>
      <c r="D712" s="1" t="s">
        <v>3</v>
      </c>
      <c r="E712">
        <v>21</v>
      </c>
      <c r="F712" s="1" t="s">
        <v>101</v>
      </c>
      <c r="G712">
        <v>10</v>
      </c>
      <c r="H712">
        <v>1</v>
      </c>
      <c r="I712" s="2">
        <f t="shared" si="33"/>
        <v>0.5454</v>
      </c>
      <c r="J712">
        <f t="shared" si="34"/>
        <v>4.7426086956521736E-2</v>
      </c>
      <c r="K712">
        <f t="shared" si="35"/>
        <v>1.4243927918516582E-2</v>
      </c>
    </row>
    <row r="713" spans="1:11" x14ac:dyDescent="0.25">
      <c r="A713" s="1">
        <v>1978</v>
      </c>
      <c r="B713" s="1" t="s">
        <v>104</v>
      </c>
      <c r="C713" t="s">
        <v>7</v>
      </c>
      <c r="D713" s="1" t="s">
        <v>3</v>
      </c>
      <c r="E713">
        <v>21</v>
      </c>
      <c r="F713" s="1" t="s">
        <v>101</v>
      </c>
      <c r="G713">
        <v>12</v>
      </c>
      <c r="H713">
        <v>1</v>
      </c>
      <c r="I713" s="2">
        <f t="shared" si="33"/>
        <v>0.78537599999999996</v>
      </c>
      <c r="J713">
        <f t="shared" si="34"/>
        <v>6.82935652173913E-2</v>
      </c>
      <c r="K713">
        <f t="shared" si="35"/>
        <v>2.0511256202663881E-2</v>
      </c>
    </row>
    <row r="714" spans="1:11" x14ac:dyDescent="0.25">
      <c r="A714" s="1">
        <v>1978</v>
      </c>
      <c r="B714" s="1" t="s">
        <v>104</v>
      </c>
      <c r="C714" t="s">
        <v>7</v>
      </c>
      <c r="D714" s="1" t="s">
        <v>3</v>
      </c>
      <c r="E714">
        <v>21</v>
      </c>
      <c r="F714" s="1" t="s">
        <v>101</v>
      </c>
      <c r="G714">
        <v>18</v>
      </c>
      <c r="H714">
        <v>1</v>
      </c>
      <c r="I714" s="2">
        <f t="shared" si="33"/>
        <v>1.7670959999999998</v>
      </c>
      <c r="J714">
        <f t="shared" si="34"/>
        <v>0.15366052173913042</v>
      </c>
      <c r="K714">
        <f t="shared" si="35"/>
        <v>4.6150326455993727E-2</v>
      </c>
    </row>
    <row r="715" spans="1:11" x14ac:dyDescent="0.25">
      <c r="A715" s="1">
        <v>1978</v>
      </c>
      <c r="B715" s="1" t="s">
        <v>104</v>
      </c>
      <c r="C715" t="s">
        <v>7</v>
      </c>
      <c r="D715" s="1" t="s">
        <v>3</v>
      </c>
      <c r="E715">
        <v>25</v>
      </c>
      <c r="F715" s="1" t="s">
        <v>101</v>
      </c>
      <c r="G715">
        <v>18</v>
      </c>
      <c r="H715">
        <v>2</v>
      </c>
      <c r="I715" s="2">
        <f t="shared" si="33"/>
        <v>3.5341919999999996</v>
      </c>
      <c r="J715">
        <f t="shared" si="34"/>
        <v>0.30732104347826084</v>
      </c>
      <c r="K715">
        <f t="shared" si="35"/>
        <v>9.2300652911987455E-2</v>
      </c>
    </row>
    <row r="716" spans="1:11" x14ac:dyDescent="0.25">
      <c r="A716" s="1">
        <v>1978</v>
      </c>
      <c r="B716" s="1" t="s">
        <v>104</v>
      </c>
      <c r="C716" t="s">
        <v>7</v>
      </c>
      <c r="D716" s="1" t="s">
        <v>3</v>
      </c>
      <c r="E716">
        <v>29</v>
      </c>
      <c r="F716" s="1" t="s">
        <v>101</v>
      </c>
      <c r="G716">
        <v>6</v>
      </c>
      <c r="H716">
        <v>38</v>
      </c>
      <c r="I716" s="2">
        <f t="shared" si="33"/>
        <v>7.4610719999999997</v>
      </c>
      <c r="J716">
        <f t="shared" si="34"/>
        <v>0.64878886956521742</v>
      </c>
      <c r="K716">
        <f t="shared" si="35"/>
        <v>0.19485693392530687</v>
      </c>
    </row>
    <row r="717" spans="1:11" x14ac:dyDescent="0.25">
      <c r="A717" s="1">
        <v>1978</v>
      </c>
      <c r="B717" s="1" t="s">
        <v>104</v>
      </c>
      <c r="C717" t="s">
        <v>7</v>
      </c>
      <c r="D717" s="1" t="s">
        <v>3</v>
      </c>
      <c r="E717">
        <v>29</v>
      </c>
      <c r="F717" s="1" t="s">
        <v>101</v>
      </c>
      <c r="G717">
        <v>8</v>
      </c>
      <c r="H717">
        <v>28</v>
      </c>
      <c r="I717" s="2">
        <f t="shared" si="33"/>
        <v>9.7735679999999991</v>
      </c>
      <c r="J717">
        <f t="shared" si="34"/>
        <v>0.84987547826086951</v>
      </c>
      <c r="K717">
        <f t="shared" si="35"/>
        <v>0.25525118829981719</v>
      </c>
    </row>
    <row r="718" spans="1:11" x14ac:dyDescent="0.25">
      <c r="A718" s="1">
        <v>1978</v>
      </c>
      <c r="B718" s="1" t="s">
        <v>104</v>
      </c>
      <c r="C718" t="s">
        <v>7</v>
      </c>
      <c r="D718" s="1" t="s">
        <v>3</v>
      </c>
      <c r="E718">
        <v>29</v>
      </c>
      <c r="F718" s="1" t="s">
        <v>101</v>
      </c>
      <c r="G718">
        <v>10</v>
      </c>
      <c r="H718">
        <v>4</v>
      </c>
      <c r="I718" s="2">
        <f t="shared" si="33"/>
        <v>2.1816</v>
      </c>
      <c r="J718">
        <f t="shared" si="34"/>
        <v>0.18970434782608694</v>
      </c>
      <c r="K718">
        <f t="shared" si="35"/>
        <v>5.6975711674066329E-2</v>
      </c>
    </row>
    <row r="719" spans="1:11" x14ac:dyDescent="0.25">
      <c r="A719" s="1">
        <v>1978</v>
      </c>
      <c r="B719" s="1" t="s">
        <v>104</v>
      </c>
      <c r="C719" t="s">
        <v>7</v>
      </c>
      <c r="D719" s="1" t="s">
        <v>3</v>
      </c>
      <c r="E719">
        <v>29</v>
      </c>
      <c r="F719" s="1" t="s">
        <v>101</v>
      </c>
      <c r="G719">
        <v>12</v>
      </c>
      <c r="H719">
        <v>2</v>
      </c>
      <c r="I719" s="2">
        <f t="shared" si="33"/>
        <v>1.5707519999999999</v>
      </c>
      <c r="J719">
        <f t="shared" si="34"/>
        <v>0.1365871304347826</v>
      </c>
      <c r="K719">
        <f t="shared" si="35"/>
        <v>4.1022512405327761E-2</v>
      </c>
    </row>
    <row r="720" spans="1:11" x14ac:dyDescent="0.25">
      <c r="A720" s="1">
        <v>1978</v>
      </c>
      <c r="B720" s="1" t="s">
        <v>104</v>
      </c>
      <c r="C720" t="s">
        <v>7</v>
      </c>
      <c r="D720" s="1" t="s">
        <v>3</v>
      </c>
      <c r="E720">
        <v>32</v>
      </c>
      <c r="F720" s="1" t="s">
        <v>101</v>
      </c>
      <c r="G720">
        <v>6</v>
      </c>
      <c r="H720">
        <v>37</v>
      </c>
      <c r="I720" s="2">
        <f t="shared" si="33"/>
        <v>7.2647279999999999</v>
      </c>
      <c r="J720">
        <f t="shared" si="34"/>
        <v>0.6317154782608696</v>
      </c>
      <c r="K720">
        <f t="shared" si="35"/>
        <v>0.18972911987464092</v>
      </c>
    </row>
    <row r="721" spans="1:11" x14ac:dyDescent="0.25">
      <c r="A721" s="1">
        <v>1978</v>
      </c>
      <c r="B721" s="1" t="s">
        <v>104</v>
      </c>
      <c r="C721" t="s">
        <v>7</v>
      </c>
      <c r="D721" s="1" t="s">
        <v>3</v>
      </c>
      <c r="E721">
        <v>32</v>
      </c>
      <c r="F721" s="1" t="s">
        <v>101</v>
      </c>
      <c r="G721">
        <v>8</v>
      </c>
      <c r="H721">
        <v>7</v>
      </c>
      <c r="I721" s="2">
        <f t="shared" si="33"/>
        <v>2.4433919999999998</v>
      </c>
      <c r="J721">
        <f t="shared" si="34"/>
        <v>0.21246886956521738</v>
      </c>
      <c r="K721">
        <f t="shared" si="35"/>
        <v>6.3812797074954297E-2</v>
      </c>
    </row>
    <row r="722" spans="1:11" x14ac:dyDescent="0.25">
      <c r="A722" s="1">
        <v>1978</v>
      </c>
      <c r="B722" s="1" t="s">
        <v>104</v>
      </c>
      <c r="C722" t="s">
        <v>7</v>
      </c>
      <c r="D722" s="1" t="s">
        <v>3</v>
      </c>
      <c r="E722">
        <v>32</v>
      </c>
      <c r="F722" s="1" t="s">
        <v>101</v>
      </c>
      <c r="G722">
        <v>10</v>
      </c>
      <c r="H722">
        <v>1</v>
      </c>
      <c r="I722" s="2">
        <f t="shared" si="33"/>
        <v>0.5454</v>
      </c>
      <c r="J722">
        <f t="shared" si="34"/>
        <v>4.7426086956521736E-2</v>
      </c>
      <c r="K722">
        <f t="shared" si="35"/>
        <v>1.4243927918516582E-2</v>
      </c>
    </row>
    <row r="723" spans="1:11" x14ac:dyDescent="0.25">
      <c r="A723" s="1">
        <v>1978</v>
      </c>
      <c r="B723" s="1" t="s">
        <v>104</v>
      </c>
      <c r="C723" t="s">
        <v>7</v>
      </c>
      <c r="D723" s="1" t="s">
        <v>3</v>
      </c>
      <c r="E723">
        <v>32</v>
      </c>
      <c r="F723" s="1" t="s">
        <v>101</v>
      </c>
      <c r="G723">
        <v>12</v>
      </c>
      <c r="H723">
        <v>3</v>
      </c>
      <c r="I723" s="2">
        <f t="shared" si="33"/>
        <v>2.356128</v>
      </c>
      <c r="J723">
        <f t="shared" si="34"/>
        <v>0.2048806956521739</v>
      </c>
      <c r="K723">
        <f t="shared" si="35"/>
        <v>6.1533768607991639E-2</v>
      </c>
    </row>
    <row r="724" spans="1:11" x14ac:dyDescent="0.25">
      <c r="A724" s="1">
        <v>1978</v>
      </c>
      <c r="B724" s="1" t="s">
        <v>104</v>
      </c>
      <c r="C724" t="s">
        <v>7</v>
      </c>
      <c r="D724" s="1" t="s">
        <v>3</v>
      </c>
      <c r="E724">
        <v>32</v>
      </c>
      <c r="F724" s="1" t="s">
        <v>101</v>
      </c>
      <c r="G724">
        <v>14</v>
      </c>
      <c r="H724">
        <v>1</v>
      </c>
      <c r="I724" s="2">
        <f t="shared" si="33"/>
        <v>1.0689839999999999</v>
      </c>
      <c r="J724">
        <f t="shared" si="34"/>
        <v>9.295513043478261E-2</v>
      </c>
      <c r="K724">
        <f t="shared" si="35"/>
        <v>2.7918098720292505E-2</v>
      </c>
    </row>
    <row r="725" spans="1:11" x14ac:dyDescent="0.25">
      <c r="A725" s="1">
        <v>1978</v>
      </c>
      <c r="B725" s="1" t="s">
        <v>104</v>
      </c>
      <c r="C725" t="s">
        <v>7</v>
      </c>
      <c r="D725" s="1" t="s">
        <v>3</v>
      </c>
      <c r="E725">
        <v>32</v>
      </c>
      <c r="F725" s="1" t="s">
        <v>101</v>
      </c>
      <c r="G725">
        <v>16</v>
      </c>
      <c r="H725">
        <v>2</v>
      </c>
      <c r="I725" s="2">
        <f t="shared" si="33"/>
        <v>2.7924479999999998</v>
      </c>
      <c r="J725">
        <f t="shared" si="34"/>
        <v>0.24282156521739129</v>
      </c>
      <c r="K725">
        <f t="shared" si="35"/>
        <v>7.2928910942804903E-2</v>
      </c>
    </row>
    <row r="726" spans="1:11" x14ac:dyDescent="0.25">
      <c r="A726" s="1">
        <v>1978</v>
      </c>
      <c r="B726" s="1" t="s">
        <v>104</v>
      </c>
      <c r="C726" t="s">
        <v>7</v>
      </c>
      <c r="D726" s="1" t="s">
        <v>3</v>
      </c>
      <c r="E726">
        <v>34</v>
      </c>
      <c r="F726" s="1" t="s">
        <v>101</v>
      </c>
      <c r="G726">
        <v>6</v>
      </c>
      <c r="H726">
        <v>64</v>
      </c>
      <c r="I726" s="2">
        <f t="shared" si="33"/>
        <v>12.566015999999999</v>
      </c>
      <c r="J726">
        <f t="shared" si="34"/>
        <v>1.0926970434782608</v>
      </c>
      <c r="K726">
        <f t="shared" si="35"/>
        <v>0.32818009924262209</v>
      </c>
    </row>
    <row r="727" spans="1:11" x14ac:dyDescent="0.25">
      <c r="A727" s="1">
        <v>1978</v>
      </c>
      <c r="B727" s="1" t="s">
        <v>104</v>
      </c>
      <c r="C727" t="s">
        <v>7</v>
      </c>
      <c r="D727" s="1" t="s">
        <v>3</v>
      </c>
      <c r="E727">
        <v>34</v>
      </c>
      <c r="F727" s="1" t="s">
        <v>101</v>
      </c>
      <c r="G727">
        <v>8</v>
      </c>
      <c r="H727">
        <v>38</v>
      </c>
      <c r="I727" s="2">
        <f t="shared" si="33"/>
        <v>13.264127999999999</v>
      </c>
      <c r="J727">
        <f t="shared" si="34"/>
        <v>1.1534024347826086</v>
      </c>
      <c r="K727">
        <f t="shared" si="35"/>
        <v>0.3464123269783233</v>
      </c>
    </row>
    <row r="728" spans="1:11" x14ac:dyDescent="0.25">
      <c r="A728" s="1">
        <v>1978</v>
      </c>
      <c r="B728" s="1" t="s">
        <v>104</v>
      </c>
      <c r="C728" t="s">
        <v>7</v>
      </c>
      <c r="D728" s="1" t="s">
        <v>3</v>
      </c>
      <c r="E728">
        <v>34</v>
      </c>
      <c r="F728" s="1" t="s">
        <v>101</v>
      </c>
      <c r="G728">
        <v>10</v>
      </c>
      <c r="H728">
        <v>37</v>
      </c>
      <c r="I728" s="2">
        <f t="shared" si="33"/>
        <v>20.1798</v>
      </c>
      <c r="J728">
        <f t="shared" si="34"/>
        <v>1.7547652173913044</v>
      </c>
      <c r="K728">
        <f t="shared" si="35"/>
        <v>0.52702533298511367</v>
      </c>
    </row>
    <row r="729" spans="1:11" x14ac:dyDescent="0.25">
      <c r="A729" s="1">
        <v>1978</v>
      </c>
      <c r="B729" s="1" t="s">
        <v>104</v>
      </c>
      <c r="C729" t="s">
        <v>7</v>
      </c>
      <c r="D729" s="1" t="s">
        <v>3</v>
      </c>
      <c r="E729">
        <v>34</v>
      </c>
      <c r="F729" s="1" t="s">
        <v>101</v>
      </c>
      <c r="G729">
        <v>12</v>
      </c>
      <c r="H729">
        <v>16</v>
      </c>
      <c r="I729" s="2">
        <f t="shared" si="33"/>
        <v>12.566015999999999</v>
      </c>
      <c r="J729">
        <f t="shared" si="34"/>
        <v>1.0926970434782608</v>
      </c>
      <c r="K729">
        <f t="shared" si="35"/>
        <v>0.32818009924262209</v>
      </c>
    </row>
    <row r="730" spans="1:11" x14ac:dyDescent="0.25">
      <c r="A730" s="1">
        <v>1978</v>
      </c>
      <c r="B730" s="1" t="s">
        <v>104</v>
      </c>
      <c r="C730" t="s">
        <v>7</v>
      </c>
      <c r="D730" s="1" t="s">
        <v>3</v>
      </c>
      <c r="E730">
        <v>34</v>
      </c>
      <c r="F730" s="1" t="s">
        <v>101</v>
      </c>
      <c r="G730">
        <v>14</v>
      </c>
      <c r="H730">
        <v>14</v>
      </c>
      <c r="I730" s="2">
        <f t="shared" si="33"/>
        <v>14.965775999999998</v>
      </c>
      <c r="J730">
        <f t="shared" si="34"/>
        <v>1.3013718260869565</v>
      </c>
      <c r="K730">
        <f t="shared" si="35"/>
        <v>0.39085338208409504</v>
      </c>
    </row>
    <row r="731" spans="1:11" x14ac:dyDescent="0.25">
      <c r="A731" s="1">
        <v>1978</v>
      </c>
      <c r="B731" s="1" t="s">
        <v>104</v>
      </c>
      <c r="C731" t="s">
        <v>7</v>
      </c>
      <c r="D731" s="1" t="s">
        <v>3</v>
      </c>
      <c r="E731">
        <v>34</v>
      </c>
      <c r="F731" s="1" t="s">
        <v>101</v>
      </c>
      <c r="G731">
        <v>16</v>
      </c>
      <c r="H731">
        <v>9</v>
      </c>
      <c r="I731" s="2">
        <f t="shared" si="33"/>
        <v>12.566015999999999</v>
      </c>
      <c r="J731">
        <f t="shared" si="34"/>
        <v>1.0926970434782608</v>
      </c>
      <c r="K731">
        <f t="shared" si="35"/>
        <v>0.32818009924262209</v>
      </c>
    </row>
    <row r="732" spans="1:11" x14ac:dyDescent="0.25">
      <c r="A732" s="1">
        <v>1978</v>
      </c>
      <c r="B732" s="1" t="s">
        <v>104</v>
      </c>
      <c r="C732" t="s">
        <v>7</v>
      </c>
      <c r="D732" s="1" t="s">
        <v>3</v>
      </c>
      <c r="E732">
        <v>34</v>
      </c>
      <c r="F732" s="1" t="s">
        <v>101</v>
      </c>
      <c r="G732">
        <v>18</v>
      </c>
      <c r="H732">
        <v>3</v>
      </c>
      <c r="I732" s="2">
        <f t="shared" si="33"/>
        <v>5.3012879999999996</v>
      </c>
      <c r="J732">
        <f t="shared" si="34"/>
        <v>0.46098156521739125</v>
      </c>
      <c r="K732">
        <f t="shared" si="35"/>
        <v>0.13845097936798118</v>
      </c>
    </row>
    <row r="733" spans="1:11" x14ac:dyDescent="0.25">
      <c r="A733" s="1">
        <v>1978</v>
      </c>
      <c r="B733" s="1" t="s">
        <v>104</v>
      </c>
      <c r="C733" t="s">
        <v>7</v>
      </c>
      <c r="D733" s="1" t="s">
        <v>3</v>
      </c>
      <c r="E733">
        <v>34</v>
      </c>
      <c r="F733" s="1" t="s">
        <v>101</v>
      </c>
      <c r="G733">
        <v>20</v>
      </c>
      <c r="H733">
        <v>1</v>
      </c>
      <c r="I733" s="2">
        <f t="shared" si="33"/>
        <v>2.1816</v>
      </c>
      <c r="J733">
        <f t="shared" si="34"/>
        <v>0.18970434782608694</v>
      </c>
      <c r="K733">
        <f t="shared" si="35"/>
        <v>5.6975711674066329E-2</v>
      </c>
    </row>
    <row r="734" spans="1:11" x14ac:dyDescent="0.25">
      <c r="A734" s="1">
        <v>1978</v>
      </c>
      <c r="B734" s="1" t="s">
        <v>104</v>
      </c>
      <c r="C734" t="s">
        <v>7</v>
      </c>
      <c r="D734" s="1" t="s">
        <v>3</v>
      </c>
      <c r="E734">
        <v>38</v>
      </c>
      <c r="F734" s="1" t="s">
        <v>101</v>
      </c>
      <c r="G734">
        <v>6</v>
      </c>
      <c r="H734">
        <v>119</v>
      </c>
      <c r="I734" s="2">
        <f t="shared" si="33"/>
        <v>23.364936</v>
      </c>
      <c r="J734">
        <f t="shared" si="34"/>
        <v>2.0317335652173911</v>
      </c>
      <c r="K734">
        <f t="shared" si="35"/>
        <v>0.61020987202925037</v>
      </c>
    </row>
    <row r="735" spans="1:11" x14ac:dyDescent="0.25">
      <c r="A735" s="1">
        <v>1978</v>
      </c>
      <c r="B735" s="1" t="s">
        <v>104</v>
      </c>
      <c r="C735" t="s">
        <v>7</v>
      </c>
      <c r="D735" s="1" t="s">
        <v>3</v>
      </c>
      <c r="E735">
        <v>38</v>
      </c>
      <c r="F735" s="1" t="s">
        <v>101</v>
      </c>
      <c r="G735">
        <v>8</v>
      </c>
      <c r="H735">
        <v>127</v>
      </c>
      <c r="I735" s="2">
        <f t="shared" si="33"/>
        <v>44.330112</v>
      </c>
      <c r="J735">
        <f t="shared" si="34"/>
        <v>3.8547923478260868</v>
      </c>
      <c r="K735">
        <f t="shared" si="35"/>
        <v>1.1577464612170278</v>
      </c>
    </row>
    <row r="736" spans="1:11" x14ac:dyDescent="0.25">
      <c r="A736" s="1">
        <v>1978</v>
      </c>
      <c r="B736" s="1" t="s">
        <v>104</v>
      </c>
      <c r="C736" t="s">
        <v>7</v>
      </c>
      <c r="D736" s="1" t="s">
        <v>3</v>
      </c>
      <c r="E736">
        <v>38</v>
      </c>
      <c r="F736" s="1" t="s">
        <v>101</v>
      </c>
      <c r="G736">
        <v>10</v>
      </c>
      <c r="H736">
        <v>168</v>
      </c>
      <c r="I736" s="2">
        <f t="shared" si="33"/>
        <v>91.627200000000002</v>
      </c>
      <c r="J736">
        <f t="shared" si="34"/>
        <v>7.9675826086956523</v>
      </c>
      <c r="K736">
        <f t="shared" si="35"/>
        <v>2.392979890310786</v>
      </c>
    </row>
    <row r="737" spans="1:11" x14ac:dyDescent="0.25">
      <c r="A737" s="1">
        <v>1978</v>
      </c>
      <c r="B737" s="1" t="s">
        <v>104</v>
      </c>
      <c r="C737" t="s">
        <v>7</v>
      </c>
      <c r="D737" s="1" t="s">
        <v>3</v>
      </c>
      <c r="E737">
        <v>38</v>
      </c>
      <c r="F737" s="1" t="s">
        <v>101</v>
      </c>
      <c r="G737">
        <v>12</v>
      </c>
      <c r="H737">
        <v>126</v>
      </c>
      <c r="I737" s="2">
        <f t="shared" si="33"/>
        <v>98.957375999999996</v>
      </c>
      <c r="J737">
        <f t="shared" si="34"/>
        <v>8.6049892173913047</v>
      </c>
      <c r="K737">
        <f t="shared" si="35"/>
        <v>2.5844182815356489</v>
      </c>
    </row>
    <row r="738" spans="1:11" x14ac:dyDescent="0.25">
      <c r="A738" s="1">
        <v>1978</v>
      </c>
      <c r="B738" s="1" t="s">
        <v>104</v>
      </c>
      <c r="C738" t="s">
        <v>7</v>
      </c>
      <c r="D738" s="1" t="s">
        <v>3</v>
      </c>
      <c r="E738">
        <v>38</v>
      </c>
      <c r="F738" s="1" t="s">
        <v>101</v>
      </c>
      <c r="G738">
        <v>14</v>
      </c>
      <c r="H738">
        <v>76</v>
      </c>
      <c r="I738" s="2">
        <f t="shared" si="33"/>
        <v>81.242784</v>
      </c>
      <c r="J738">
        <f t="shared" si="34"/>
        <v>7.0645899130434779</v>
      </c>
      <c r="K738">
        <f t="shared" si="35"/>
        <v>2.12177550274223</v>
      </c>
    </row>
    <row r="739" spans="1:11" x14ac:dyDescent="0.25">
      <c r="A739" s="1">
        <v>1978</v>
      </c>
      <c r="B739" s="1" t="s">
        <v>104</v>
      </c>
      <c r="C739" t="s">
        <v>7</v>
      </c>
      <c r="D739" s="1" t="s">
        <v>3</v>
      </c>
      <c r="E739">
        <v>38</v>
      </c>
      <c r="F739" s="1" t="s">
        <v>101</v>
      </c>
      <c r="G739">
        <v>16</v>
      </c>
      <c r="H739">
        <v>50</v>
      </c>
      <c r="I739" s="2">
        <f t="shared" si="33"/>
        <v>69.811199999999999</v>
      </c>
      <c r="J739">
        <f t="shared" si="34"/>
        <v>6.0705391304347822</v>
      </c>
      <c r="K739">
        <f t="shared" si="35"/>
        <v>1.8232227735701225</v>
      </c>
    </row>
    <row r="740" spans="1:11" x14ac:dyDescent="0.25">
      <c r="A740" s="1">
        <v>1978</v>
      </c>
      <c r="B740" s="1" t="s">
        <v>104</v>
      </c>
      <c r="C740" t="s">
        <v>7</v>
      </c>
      <c r="D740" s="1" t="s">
        <v>3</v>
      </c>
      <c r="E740">
        <v>38</v>
      </c>
      <c r="F740" s="1" t="s">
        <v>101</v>
      </c>
      <c r="G740">
        <v>18</v>
      </c>
      <c r="H740">
        <v>7</v>
      </c>
      <c r="I740" s="2">
        <f t="shared" si="33"/>
        <v>12.369671999999998</v>
      </c>
      <c r="J740">
        <f t="shared" si="34"/>
        <v>1.0756236521739129</v>
      </c>
      <c r="K740">
        <f t="shared" si="35"/>
        <v>0.32305228519195606</v>
      </c>
    </row>
    <row r="741" spans="1:11" x14ac:dyDescent="0.25">
      <c r="A741" s="1">
        <v>1978</v>
      </c>
      <c r="B741" s="1" t="s">
        <v>104</v>
      </c>
      <c r="C741" t="s">
        <v>7</v>
      </c>
      <c r="D741" s="1" t="s">
        <v>3</v>
      </c>
      <c r="E741">
        <v>38</v>
      </c>
      <c r="F741" s="1" t="s">
        <v>101</v>
      </c>
      <c r="G741">
        <v>20</v>
      </c>
      <c r="H741">
        <v>1</v>
      </c>
      <c r="I741" s="2">
        <f t="shared" si="33"/>
        <v>2.1816</v>
      </c>
      <c r="J741">
        <f t="shared" si="34"/>
        <v>0.18970434782608694</v>
      </c>
      <c r="K741">
        <f t="shared" si="35"/>
        <v>5.6975711674066329E-2</v>
      </c>
    </row>
    <row r="742" spans="1:11" x14ac:dyDescent="0.25">
      <c r="A742" s="1">
        <v>1978</v>
      </c>
      <c r="B742" s="1" t="s">
        <v>104</v>
      </c>
      <c r="C742" t="s">
        <v>7</v>
      </c>
      <c r="D742" s="1" t="s">
        <v>3</v>
      </c>
      <c r="E742">
        <v>40</v>
      </c>
      <c r="F742" s="1" t="s">
        <v>101</v>
      </c>
      <c r="G742">
        <v>6</v>
      </c>
      <c r="H742">
        <v>72</v>
      </c>
      <c r="I742" s="2">
        <f t="shared" si="33"/>
        <v>14.136768</v>
      </c>
      <c r="J742">
        <f t="shared" si="34"/>
        <v>1.2292841739130436</v>
      </c>
      <c r="K742">
        <f t="shared" si="35"/>
        <v>0.36920261164794987</v>
      </c>
    </row>
    <row r="743" spans="1:11" x14ac:dyDescent="0.25">
      <c r="A743" s="1">
        <v>1978</v>
      </c>
      <c r="B743" s="1" t="s">
        <v>104</v>
      </c>
      <c r="C743" t="s">
        <v>7</v>
      </c>
      <c r="D743" s="1" t="s">
        <v>3</v>
      </c>
      <c r="E743">
        <v>40</v>
      </c>
      <c r="F743" s="1" t="s">
        <v>101</v>
      </c>
      <c r="G743">
        <v>8</v>
      </c>
      <c r="H743">
        <v>53</v>
      </c>
      <c r="I743" s="2">
        <f t="shared" si="33"/>
        <v>18.499967999999999</v>
      </c>
      <c r="J743">
        <f t="shared" si="34"/>
        <v>1.6086928695652174</v>
      </c>
      <c r="K743">
        <f t="shared" si="35"/>
        <v>0.4831540349960825</v>
      </c>
    </row>
    <row r="744" spans="1:11" x14ac:dyDescent="0.25">
      <c r="A744" s="1">
        <v>1978</v>
      </c>
      <c r="B744" s="1" t="s">
        <v>104</v>
      </c>
      <c r="C744" t="s">
        <v>7</v>
      </c>
      <c r="D744" s="1" t="s">
        <v>3</v>
      </c>
      <c r="E744">
        <v>40</v>
      </c>
      <c r="F744" s="1" t="s">
        <v>101</v>
      </c>
      <c r="G744">
        <v>10</v>
      </c>
      <c r="H744">
        <v>58</v>
      </c>
      <c r="I744" s="2">
        <f t="shared" si="33"/>
        <v>31.633199999999999</v>
      </c>
      <c r="J744">
        <f t="shared" si="34"/>
        <v>2.7507130434782607</v>
      </c>
      <c r="K744">
        <f t="shared" si="35"/>
        <v>0.82614781927396186</v>
      </c>
    </row>
    <row r="745" spans="1:11" x14ac:dyDescent="0.25">
      <c r="A745" s="1">
        <v>1978</v>
      </c>
      <c r="B745" s="1" t="s">
        <v>104</v>
      </c>
      <c r="C745" t="s">
        <v>7</v>
      </c>
      <c r="D745" s="1" t="s">
        <v>3</v>
      </c>
      <c r="E745">
        <v>40</v>
      </c>
      <c r="F745" s="1" t="s">
        <v>101</v>
      </c>
      <c r="G745">
        <v>12</v>
      </c>
      <c r="H745">
        <v>50</v>
      </c>
      <c r="I745" s="2">
        <f t="shared" si="33"/>
        <v>39.268799999999999</v>
      </c>
      <c r="J745">
        <f t="shared" si="34"/>
        <v>3.4146782608695649</v>
      </c>
      <c r="K745">
        <f t="shared" si="35"/>
        <v>1.0255628101331939</v>
      </c>
    </row>
    <row r="746" spans="1:11" x14ac:dyDescent="0.25">
      <c r="A746" s="1">
        <v>1978</v>
      </c>
      <c r="B746" s="1" t="s">
        <v>104</v>
      </c>
      <c r="C746" t="s">
        <v>7</v>
      </c>
      <c r="D746" s="1" t="s">
        <v>3</v>
      </c>
      <c r="E746">
        <v>40</v>
      </c>
      <c r="F746" s="1" t="s">
        <v>101</v>
      </c>
      <c r="G746">
        <v>14</v>
      </c>
      <c r="H746">
        <v>54</v>
      </c>
      <c r="I746" s="2">
        <f t="shared" si="33"/>
        <v>57.725135999999999</v>
      </c>
      <c r="J746">
        <f t="shared" si="34"/>
        <v>5.0195770434782609</v>
      </c>
      <c r="K746">
        <f t="shared" si="35"/>
        <v>1.5075773308957952</v>
      </c>
    </row>
    <row r="747" spans="1:11" x14ac:dyDescent="0.25">
      <c r="A747" s="1">
        <v>1978</v>
      </c>
      <c r="B747" s="1" t="s">
        <v>104</v>
      </c>
      <c r="C747" t="s">
        <v>7</v>
      </c>
      <c r="D747" s="1" t="s">
        <v>3</v>
      </c>
      <c r="E747">
        <v>40</v>
      </c>
      <c r="F747" s="1" t="s">
        <v>101</v>
      </c>
      <c r="G747">
        <v>16</v>
      </c>
      <c r="H747">
        <v>36</v>
      </c>
      <c r="I747" s="2">
        <f t="shared" si="33"/>
        <v>50.264063999999998</v>
      </c>
      <c r="J747">
        <f t="shared" si="34"/>
        <v>4.3707881739130432</v>
      </c>
      <c r="K747">
        <f t="shared" si="35"/>
        <v>1.3127203969704884</v>
      </c>
    </row>
    <row r="748" spans="1:11" x14ac:dyDescent="0.25">
      <c r="A748" s="1">
        <v>1978</v>
      </c>
      <c r="B748" s="1" t="s">
        <v>104</v>
      </c>
      <c r="C748" t="s">
        <v>7</v>
      </c>
      <c r="D748" s="1" t="s">
        <v>3</v>
      </c>
      <c r="E748">
        <v>40</v>
      </c>
      <c r="F748" s="1" t="s">
        <v>101</v>
      </c>
      <c r="G748">
        <v>18</v>
      </c>
      <c r="H748">
        <v>15</v>
      </c>
      <c r="I748" s="2">
        <f t="shared" si="33"/>
        <v>26.506439999999998</v>
      </c>
      <c r="J748">
        <f t="shared" si="34"/>
        <v>2.3049078260869562</v>
      </c>
      <c r="K748">
        <f t="shared" si="35"/>
        <v>0.69225489683990582</v>
      </c>
    </row>
    <row r="749" spans="1:11" x14ac:dyDescent="0.25">
      <c r="A749" s="1">
        <v>1978</v>
      </c>
      <c r="B749" s="1" t="s">
        <v>104</v>
      </c>
      <c r="C749" t="s">
        <v>7</v>
      </c>
      <c r="D749" s="1" t="s">
        <v>3</v>
      </c>
      <c r="E749">
        <v>40</v>
      </c>
      <c r="F749" s="1" t="s">
        <v>101</v>
      </c>
      <c r="G749">
        <v>20</v>
      </c>
      <c r="H749">
        <v>6</v>
      </c>
      <c r="I749" s="2">
        <f t="shared" si="33"/>
        <v>13.089600000000001</v>
      </c>
      <c r="J749">
        <f t="shared" si="34"/>
        <v>1.1382260869565217</v>
      </c>
      <c r="K749">
        <f t="shared" si="35"/>
        <v>0.341854270044398</v>
      </c>
    </row>
    <row r="750" spans="1:11" x14ac:dyDescent="0.25">
      <c r="A750" s="1">
        <v>1978</v>
      </c>
      <c r="B750" s="1" t="s">
        <v>104</v>
      </c>
      <c r="C750" t="s">
        <v>7</v>
      </c>
      <c r="D750" s="1" t="s">
        <v>3</v>
      </c>
      <c r="E750">
        <v>40</v>
      </c>
      <c r="F750" s="1" t="s">
        <v>101</v>
      </c>
      <c r="G750">
        <v>22</v>
      </c>
      <c r="H750">
        <v>2</v>
      </c>
      <c r="I750" s="2">
        <f t="shared" si="33"/>
        <v>5.2794719999999993</v>
      </c>
      <c r="J750">
        <f t="shared" si="34"/>
        <v>0.45908452173913039</v>
      </c>
      <c r="K750">
        <f t="shared" si="35"/>
        <v>0.13788122225124053</v>
      </c>
    </row>
    <row r="751" spans="1:11" x14ac:dyDescent="0.25">
      <c r="A751" s="1">
        <v>1978</v>
      </c>
      <c r="B751" s="1" t="s">
        <v>104</v>
      </c>
      <c r="C751" t="s">
        <v>7</v>
      </c>
      <c r="D751" s="1" t="s">
        <v>3</v>
      </c>
      <c r="E751">
        <v>41</v>
      </c>
      <c r="F751" s="1" t="s">
        <v>101</v>
      </c>
      <c r="G751">
        <v>6</v>
      </c>
      <c r="H751">
        <v>12</v>
      </c>
      <c r="I751" s="2">
        <f t="shared" si="33"/>
        <v>2.356128</v>
      </c>
      <c r="J751">
        <f t="shared" si="34"/>
        <v>0.2048806956521739</v>
      </c>
      <c r="K751">
        <f t="shared" si="35"/>
        <v>6.1533768607991639E-2</v>
      </c>
    </row>
    <row r="752" spans="1:11" x14ac:dyDescent="0.25">
      <c r="A752" s="1">
        <v>1978</v>
      </c>
      <c r="B752" s="1" t="s">
        <v>104</v>
      </c>
      <c r="C752" t="s">
        <v>7</v>
      </c>
      <c r="D752" s="1" t="s">
        <v>3</v>
      </c>
      <c r="E752">
        <v>41</v>
      </c>
      <c r="F752" s="1" t="s">
        <v>101</v>
      </c>
      <c r="G752">
        <v>8</v>
      </c>
      <c r="H752">
        <v>18</v>
      </c>
      <c r="I752" s="2">
        <f t="shared" si="33"/>
        <v>6.2830079999999997</v>
      </c>
      <c r="J752">
        <f t="shared" si="34"/>
        <v>0.5463485217391304</v>
      </c>
      <c r="K752">
        <f t="shared" si="35"/>
        <v>0.16409004962131105</v>
      </c>
    </row>
    <row r="753" spans="1:11" x14ac:dyDescent="0.25">
      <c r="A753" s="1">
        <v>1978</v>
      </c>
      <c r="B753" s="1" t="s">
        <v>104</v>
      </c>
      <c r="C753" t="s">
        <v>7</v>
      </c>
      <c r="D753" s="1" t="s">
        <v>3</v>
      </c>
      <c r="E753">
        <v>41</v>
      </c>
      <c r="F753" s="1" t="s">
        <v>101</v>
      </c>
      <c r="G753">
        <v>10</v>
      </c>
      <c r="H753">
        <v>21</v>
      </c>
      <c r="I753" s="2">
        <f t="shared" si="33"/>
        <v>11.4534</v>
      </c>
      <c r="J753">
        <f t="shared" si="34"/>
        <v>0.99594782608695653</v>
      </c>
      <c r="K753">
        <f t="shared" si="35"/>
        <v>0.29912248628884824</v>
      </c>
    </row>
    <row r="754" spans="1:11" x14ac:dyDescent="0.25">
      <c r="A754" s="1">
        <v>1978</v>
      </c>
      <c r="B754" s="1" t="s">
        <v>104</v>
      </c>
      <c r="C754" t="s">
        <v>7</v>
      </c>
      <c r="D754" s="1" t="s">
        <v>3</v>
      </c>
      <c r="E754">
        <v>41</v>
      </c>
      <c r="F754" s="1" t="s">
        <v>101</v>
      </c>
      <c r="G754">
        <v>12</v>
      </c>
      <c r="H754">
        <v>18</v>
      </c>
      <c r="I754" s="2">
        <f t="shared" si="33"/>
        <v>14.136768</v>
      </c>
      <c r="J754">
        <f t="shared" si="34"/>
        <v>1.2292841739130436</v>
      </c>
      <c r="K754">
        <f t="shared" si="35"/>
        <v>0.36920261164794987</v>
      </c>
    </row>
    <row r="755" spans="1:11" x14ac:dyDescent="0.25">
      <c r="A755" s="1">
        <v>1978</v>
      </c>
      <c r="B755" s="1" t="s">
        <v>104</v>
      </c>
      <c r="C755" t="s">
        <v>7</v>
      </c>
      <c r="D755" s="1" t="s">
        <v>3</v>
      </c>
      <c r="E755">
        <v>41</v>
      </c>
      <c r="F755" s="1" t="s">
        <v>101</v>
      </c>
      <c r="G755">
        <v>14</v>
      </c>
      <c r="H755">
        <v>23</v>
      </c>
      <c r="I755" s="2">
        <f t="shared" si="33"/>
        <v>24.586631999999998</v>
      </c>
      <c r="J755">
        <f t="shared" si="34"/>
        <v>2.1379679999999999</v>
      </c>
      <c r="K755">
        <f t="shared" si="35"/>
        <v>0.6421162705667276</v>
      </c>
    </row>
    <row r="756" spans="1:11" x14ac:dyDescent="0.25">
      <c r="A756" s="1">
        <v>1978</v>
      </c>
      <c r="B756" s="1" t="s">
        <v>104</v>
      </c>
      <c r="C756" t="s">
        <v>7</v>
      </c>
      <c r="D756" s="1" t="s">
        <v>3</v>
      </c>
      <c r="E756">
        <v>41</v>
      </c>
      <c r="F756" s="1" t="s">
        <v>101</v>
      </c>
      <c r="G756">
        <v>16</v>
      </c>
      <c r="H756">
        <v>21</v>
      </c>
      <c r="I756" s="2">
        <f t="shared" si="33"/>
        <v>29.320703999999999</v>
      </c>
      <c r="J756">
        <f t="shared" si="34"/>
        <v>2.5496264347826085</v>
      </c>
      <c r="K756">
        <f t="shared" si="35"/>
        <v>0.76575356489945146</v>
      </c>
    </row>
    <row r="757" spans="1:11" x14ac:dyDescent="0.25">
      <c r="A757" s="1">
        <v>1978</v>
      </c>
      <c r="B757" s="1" t="s">
        <v>104</v>
      </c>
      <c r="C757" t="s">
        <v>7</v>
      </c>
      <c r="D757" s="1" t="s">
        <v>3</v>
      </c>
      <c r="E757">
        <v>41</v>
      </c>
      <c r="F757" s="1" t="s">
        <v>101</v>
      </c>
      <c r="G757">
        <v>18</v>
      </c>
      <c r="H757">
        <v>4</v>
      </c>
      <c r="I757" s="2">
        <f t="shared" si="33"/>
        <v>7.0683839999999991</v>
      </c>
      <c r="J757">
        <f t="shared" si="34"/>
        <v>0.61464208695652167</v>
      </c>
      <c r="K757">
        <f t="shared" si="35"/>
        <v>0.18460130582397491</v>
      </c>
    </row>
    <row r="758" spans="1:11" x14ac:dyDescent="0.25">
      <c r="A758" s="1">
        <v>1978</v>
      </c>
      <c r="B758" s="1" t="s">
        <v>104</v>
      </c>
      <c r="C758" t="s">
        <v>7</v>
      </c>
      <c r="D758" s="1" t="s">
        <v>3</v>
      </c>
      <c r="E758">
        <v>47</v>
      </c>
      <c r="F758" s="1" t="s">
        <v>101</v>
      </c>
      <c r="G758">
        <v>6</v>
      </c>
      <c r="H758">
        <v>1</v>
      </c>
      <c r="I758" s="2">
        <f t="shared" si="33"/>
        <v>0.19634399999999999</v>
      </c>
      <c r="J758">
        <f t="shared" si="34"/>
        <v>1.7073391304347825E-2</v>
      </c>
      <c r="K758">
        <f t="shared" si="35"/>
        <v>5.1278140506659702E-3</v>
      </c>
    </row>
    <row r="759" spans="1:11" x14ac:dyDescent="0.25">
      <c r="A759" s="1">
        <v>1978</v>
      </c>
      <c r="B759" s="1" t="s">
        <v>104</v>
      </c>
      <c r="C759" t="s">
        <v>7</v>
      </c>
      <c r="D759" s="1" t="s">
        <v>3</v>
      </c>
      <c r="E759">
        <v>47</v>
      </c>
      <c r="F759" s="1" t="s">
        <v>101</v>
      </c>
      <c r="G759">
        <v>10</v>
      </c>
      <c r="H759">
        <v>2</v>
      </c>
      <c r="I759" s="2">
        <f t="shared" si="33"/>
        <v>1.0908</v>
      </c>
      <c r="J759">
        <f t="shared" si="34"/>
        <v>9.4852173913043472E-2</v>
      </c>
      <c r="K759">
        <f t="shared" si="35"/>
        <v>2.8487855837033164E-2</v>
      </c>
    </row>
    <row r="760" spans="1:11" x14ac:dyDescent="0.25">
      <c r="A760" s="1">
        <v>1978</v>
      </c>
      <c r="B760" s="1" t="s">
        <v>104</v>
      </c>
      <c r="C760" t="s">
        <v>7</v>
      </c>
      <c r="D760" s="1" t="s">
        <v>3</v>
      </c>
      <c r="E760">
        <v>47</v>
      </c>
      <c r="F760" s="1" t="s">
        <v>101</v>
      </c>
      <c r="G760">
        <v>14</v>
      </c>
      <c r="H760">
        <v>1</v>
      </c>
      <c r="I760" s="2">
        <f t="shared" si="33"/>
        <v>1.0689839999999999</v>
      </c>
      <c r="J760">
        <f t="shared" si="34"/>
        <v>9.295513043478261E-2</v>
      </c>
      <c r="K760">
        <f t="shared" si="35"/>
        <v>2.7918098720292505E-2</v>
      </c>
    </row>
    <row r="761" spans="1:11" x14ac:dyDescent="0.25">
      <c r="A761" s="1">
        <v>1978</v>
      </c>
      <c r="B761" s="1" t="s">
        <v>104</v>
      </c>
      <c r="C761" t="s">
        <v>7</v>
      </c>
      <c r="D761" s="1" t="s">
        <v>3</v>
      </c>
      <c r="E761">
        <v>53</v>
      </c>
      <c r="F761" s="1" t="s">
        <v>101</v>
      </c>
      <c r="G761">
        <v>6</v>
      </c>
      <c r="H761">
        <v>18</v>
      </c>
      <c r="I761" s="2">
        <f t="shared" si="33"/>
        <v>3.534192</v>
      </c>
      <c r="J761">
        <f t="shared" si="34"/>
        <v>0.30732104347826089</v>
      </c>
      <c r="K761">
        <f t="shared" si="35"/>
        <v>9.2300652911987469E-2</v>
      </c>
    </row>
    <row r="762" spans="1:11" x14ac:dyDescent="0.25">
      <c r="A762" s="1">
        <v>1978</v>
      </c>
      <c r="B762" s="1" t="s">
        <v>104</v>
      </c>
      <c r="C762" t="s">
        <v>7</v>
      </c>
      <c r="D762" s="1" t="s">
        <v>3</v>
      </c>
      <c r="E762">
        <v>53</v>
      </c>
      <c r="F762" s="1" t="s">
        <v>101</v>
      </c>
      <c r="G762">
        <v>8</v>
      </c>
      <c r="H762">
        <v>10</v>
      </c>
      <c r="I762" s="2">
        <f t="shared" si="33"/>
        <v>3.4905599999999999</v>
      </c>
      <c r="J762">
        <f t="shared" si="34"/>
        <v>0.30352695652173911</v>
      </c>
      <c r="K762">
        <f t="shared" si="35"/>
        <v>9.1161138678506129E-2</v>
      </c>
    </row>
    <row r="763" spans="1:11" x14ac:dyDescent="0.25">
      <c r="A763" s="1">
        <v>1978</v>
      </c>
      <c r="B763" s="1" t="s">
        <v>104</v>
      </c>
      <c r="C763" t="s">
        <v>7</v>
      </c>
      <c r="D763" s="1" t="s">
        <v>3</v>
      </c>
      <c r="E763">
        <v>53</v>
      </c>
      <c r="F763" s="1" t="s">
        <v>101</v>
      </c>
      <c r="G763">
        <v>10</v>
      </c>
      <c r="H763">
        <v>3</v>
      </c>
      <c r="I763" s="2">
        <f t="shared" si="33"/>
        <v>1.6362000000000001</v>
      </c>
      <c r="J763">
        <f t="shared" si="34"/>
        <v>0.14227826086956522</v>
      </c>
      <c r="K763">
        <f t="shared" si="35"/>
        <v>4.273178375554975E-2</v>
      </c>
    </row>
    <row r="764" spans="1:11" x14ac:dyDescent="0.25">
      <c r="A764" s="1">
        <v>1978</v>
      </c>
      <c r="B764" s="1" t="s">
        <v>104</v>
      </c>
      <c r="C764" t="s">
        <v>7</v>
      </c>
      <c r="D764" s="1" t="s">
        <v>3</v>
      </c>
      <c r="E764">
        <v>53</v>
      </c>
      <c r="F764" s="1" t="s">
        <v>101</v>
      </c>
      <c r="G764">
        <v>12</v>
      </c>
      <c r="H764">
        <v>3</v>
      </c>
      <c r="I764" s="2">
        <f t="shared" si="33"/>
        <v>2.356128</v>
      </c>
      <c r="J764">
        <f t="shared" si="34"/>
        <v>0.2048806956521739</v>
      </c>
      <c r="K764">
        <f t="shared" si="35"/>
        <v>6.1533768607991639E-2</v>
      </c>
    </row>
    <row r="765" spans="1:11" x14ac:dyDescent="0.25">
      <c r="A765" s="1">
        <v>1978</v>
      </c>
      <c r="B765" s="1" t="s">
        <v>104</v>
      </c>
      <c r="C765" t="s">
        <v>7</v>
      </c>
      <c r="D765" s="1" t="s">
        <v>3</v>
      </c>
      <c r="E765">
        <v>53</v>
      </c>
      <c r="F765" s="1" t="s">
        <v>101</v>
      </c>
      <c r="G765">
        <v>14</v>
      </c>
      <c r="H765">
        <v>4</v>
      </c>
      <c r="I765" s="2">
        <f t="shared" si="33"/>
        <v>4.2759359999999997</v>
      </c>
      <c r="J765">
        <f t="shared" si="34"/>
        <v>0.37182052173913044</v>
      </c>
      <c r="K765">
        <f t="shared" si="35"/>
        <v>0.11167239488117002</v>
      </c>
    </row>
    <row r="766" spans="1:11" x14ac:dyDescent="0.25">
      <c r="A766" s="1">
        <v>1978</v>
      </c>
      <c r="B766" s="1" t="s">
        <v>104</v>
      </c>
      <c r="C766" t="s">
        <v>7</v>
      </c>
      <c r="D766" s="1" t="s">
        <v>3</v>
      </c>
      <c r="E766">
        <v>53</v>
      </c>
      <c r="F766" s="1" t="s">
        <v>101</v>
      </c>
      <c r="G766">
        <v>16</v>
      </c>
      <c r="H766">
        <v>1</v>
      </c>
      <c r="I766" s="2">
        <f t="shared" si="33"/>
        <v>1.3962239999999999</v>
      </c>
      <c r="J766">
        <f t="shared" si="34"/>
        <v>0.12141078260869564</v>
      </c>
      <c r="K766">
        <f t="shared" si="35"/>
        <v>3.6464455471402452E-2</v>
      </c>
    </row>
    <row r="767" spans="1:11" x14ac:dyDescent="0.25">
      <c r="A767" s="1">
        <v>1978</v>
      </c>
      <c r="B767" s="1" t="s">
        <v>104</v>
      </c>
      <c r="C767" t="s">
        <v>7</v>
      </c>
      <c r="D767" s="1" t="s">
        <v>3</v>
      </c>
      <c r="E767">
        <v>54</v>
      </c>
      <c r="F767" s="1" t="s">
        <v>101</v>
      </c>
      <c r="G767">
        <v>6</v>
      </c>
      <c r="H767">
        <v>3</v>
      </c>
      <c r="I767" s="2">
        <f t="shared" si="33"/>
        <v>0.589032</v>
      </c>
      <c r="J767">
        <f t="shared" si="34"/>
        <v>5.1220173913043475E-2</v>
      </c>
      <c r="K767">
        <f t="shared" si="35"/>
        <v>1.538344215199791E-2</v>
      </c>
    </row>
    <row r="768" spans="1:11" x14ac:dyDescent="0.25">
      <c r="A768" s="1">
        <v>1978</v>
      </c>
      <c r="B768" s="1" t="s">
        <v>104</v>
      </c>
      <c r="C768" t="s">
        <v>7</v>
      </c>
      <c r="D768" s="1" t="s">
        <v>3</v>
      </c>
      <c r="E768">
        <v>54</v>
      </c>
      <c r="F768" s="1" t="s">
        <v>101</v>
      </c>
      <c r="G768">
        <v>8</v>
      </c>
      <c r="H768">
        <v>1</v>
      </c>
      <c r="I768" s="2">
        <f t="shared" si="33"/>
        <v>0.34905599999999998</v>
      </c>
      <c r="J768">
        <f t="shared" si="34"/>
        <v>3.0352695652173911E-2</v>
      </c>
      <c r="K768">
        <f t="shared" si="35"/>
        <v>9.1161138678506129E-3</v>
      </c>
    </row>
    <row r="769" spans="1:11" x14ac:dyDescent="0.25">
      <c r="A769" s="1">
        <v>1978</v>
      </c>
      <c r="B769" s="1" t="s">
        <v>104</v>
      </c>
      <c r="C769" t="s">
        <v>7</v>
      </c>
      <c r="D769" s="1" t="s">
        <v>3</v>
      </c>
      <c r="E769">
        <v>56</v>
      </c>
      <c r="F769" s="1" t="s">
        <v>101</v>
      </c>
      <c r="G769">
        <v>6</v>
      </c>
      <c r="H769">
        <v>1</v>
      </c>
      <c r="I769" s="2">
        <f t="shared" si="33"/>
        <v>0.19634399999999999</v>
      </c>
      <c r="J769">
        <f t="shared" si="34"/>
        <v>1.7073391304347825E-2</v>
      </c>
      <c r="K769">
        <f t="shared" si="35"/>
        <v>5.1278140506659702E-3</v>
      </c>
    </row>
    <row r="770" spans="1:11" x14ac:dyDescent="0.25">
      <c r="A770" s="1">
        <v>1978</v>
      </c>
      <c r="B770" s="1" t="s">
        <v>104</v>
      </c>
      <c r="C770" t="s">
        <v>7</v>
      </c>
      <c r="D770" s="1" t="s">
        <v>3</v>
      </c>
      <c r="E770">
        <v>56</v>
      </c>
      <c r="F770" s="1" t="s">
        <v>101</v>
      </c>
      <c r="G770">
        <v>8</v>
      </c>
      <c r="H770">
        <v>5</v>
      </c>
      <c r="I770" s="2">
        <f t="shared" si="33"/>
        <v>1.7452799999999999</v>
      </c>
      <c r="J770">
        <f t="shared" si="34"/>
        <v>0.15176347826086956</v>
      </c>
      <c r="K770">
        <f t="shared" si="35"/>
        <v>4.5580569339253064E-2</v>
      </c>
    </row>
    <row r="771" spans="1:11" x14ac:dyDescent="0.25">
      <c r="A771" s="1">
        <v>1978</v>
      </c>
      <c r="B771" s="1" t="s">
        <v>104</v>
      </c>
      <c r="C771" t="s">
        <v>7</v>
      </c>
      <c r="D771" s="1" t="s">
        <v>3</v>
      </c>
      <c r="E771">
        <v>56</v>
      </c>
      <c r="F771" s="1" t="s">
        <v>101</v>
      </c>
      <c r="G771">
        <v>10</v>
      </c>
      <c r="H771">
        <v>8</v>
      </c>
      <c r="I771" s="2">
        <f t="shared" ref="I771:I834" si="36">0.005454*G771^2*H771</f>
        <v>4.3632</v>
      </c>
      <c r="J771">
        <f t="shared" ref="J771:J834" si="37">I771/11.5</f>
        <v>0.37940869565217389</v>
      </c>
      <c r="K771">
        <f t="shared" ref="K771:K834" si="38">J771*(11.5/38.29)</f>
        <v>0.11395142334813266</v>
      </c>
    </row>
    <row r="772" spans="1:11" x14ac:dyDescent="0.25">
      <c r="A772" s="1">
        <v>1978</v>
      </c>
      <c r="B772" s="1" t="s">
        <v>104</v>
      </c>
      <c r="C772" t="s">
        <v>7</v>
      </c>
      <c r="D772" s="1" t="s">
        <v>3</v>
      </c>
      <c r="E772">
        <v>56</v>
      </c>
      <c r="F772" s="1" t="s">
        <v>101</v>
      </c>
      <c r="G772">
        <v>12</v>
      </c>
      <c r="H772">
        <v>8</v>
      </c>
      <c r="I772" s="2">
        <f t="shared" si="36"/>
        <v>6.2830079999999997</v>
      </c>
      <c r="J772">
        <f t="shared" si="37"/>
        <v>0.5463485217391304</v>
      </c>
      <c r="K772">
        <f t="shared" si="38"/>
        <v>0.16409004962131105</v>
      </c>
    </row>
    <row r="773" spans="1:11" x14ac:dyDescent="0.25">
      <c r="A773" s="1">
        <v>1978</v>
      </c>
      <c r="B773" s="1" t="s">
        <v>104</v>
      </c>
      <c r="C773" t="s">
        <v>7</v>
      </c>
      <c r="D773" s="1" t="s">
        <v>3</v>
      </c>
      <c r="E773">
        <v>56</v>
      </c>
      <c r="F773" s="1" t="s">
        <v>101</v>
      </c>
      <c r="G773">
        <v>14</v>
      </c>
      <c r="H773">
        <v>4</v>
      </c>
      <c r="I773" s="2">
        <f t="shared" si="36"/>
        <v>4.2759359999999997</v>
      </c>
      <c r="J773">
        <f t="shared" si="37"/>
        <v>0.37182052173913044</v>
      </c>
      <c r="K773">
        <f t="shared" si="38"/>
        <v>0.11167239488117002</v>
      </c>
    </row>
    <row r="774" spans="1:11" x14ac:dyDescent="0.25">
      <c r="A774" s="1">
        <v>1978</v>
      </c>
      <c r="B774" s="1" t="s">
        <v>104</v>
      </c>
      <c r="C774" t="s">
        <v>7</v>
      </c>
      <c r="D774" s="1" t="s">
        <v>3</v>
      </c>
      <c r="E774">
        <v>56</v>
      </c>
      <c r="F774" s="1" t="s">
        <v>101</v>
      </c>
      <c r="G774">
        <v>16</v>
      </c>
      <c r="H774">
        <v>10</v>
      </c>
      <c r="I774" s="2">
        <f t="shared" si="36"/>
        <v>13.96224</v>
      </c>
      <c r="J774">
        <f t="shared" si="37"/>
        <v>1.2141078260869564</v>
      </c>
      <c r="K774">
        <f t="shared" si="38"/>
        <v>0.36464455471402452</v>
      </c>
    </row>
    <row r="775" spans="1:11" x14ac:dyDescent="0.25">
      <c r="A775" s="1">
        <v>1978</v>
      </c>
      <c r="B775" s="1" t="s">
        <v>104</v>
      </c>
      <c r="C775" t="s">
        <v>7</v>
      </c>
      <c r="D775" s="1" t="s">
        <v>3</v>
      </c>
      <c r="E775">
        <v>58</v>
      </c>
      <c r="F775" s="1" t="s">
        <v>101</v>
      </c>
      <c r="G775">
        <v>6</v>
      </c>
      <c r="H775">
        <v>15</v>
      </c>
      <c r="I775" s="2">
        <f t="shared" si="36"/>
        <v>2.94516</v>
      </c>
      <c r="J775">
        <f t="shared" si="37"/>
        <v>0.25610086956521738</v>
      </c>
      <c r="K775">
        <f t="shared" si="38"/>
        <v>7.6917210759989543E-2</v>
      </c>
    </row>
    <row r="776" spans="1:11" x14ac:dyDescent="0.25">
      <c r="A776" s="1">
        <v>1978</v>
      </c>
      <c r="B776" s="1" t="s">
        <v>104</v>
      </c>
      <c r="C776" t="s">
        <v>7</v>
      </c>
      <c r="D776" s="1" t="s">
        <v>3</v>
      </c>
      <c r="E776">
        <v>58</v>
      </c>
      <c r="F776" s="1" t="s">
        <v>101</v>
      </c>
      <c r="G776">
        <v>8</v>
      </c>
      <c r="H776">
        <v>9</v>
      </c>
      <c r="I776" s="2">
        <f t="shared" si="36"/>
        <v>3.1415039999999999</v>
      </c>
      <c r="J776">
        <f t="shared" si="37"/>
        <v>0.2731742608695652</v>
      </c>
      <c r="K776">
        <f t="shared" si="38"/>
        <v>8.2045024810655523E-2</v>
      </c>
    </row>
    <row r="777" spans="1:11" x14ac:dyDescent="0.25">
      <c r="A777" s="1">
        <v>1978</v>
      </c>
      <c r="B777" s="1" t="s">
        <v>104</v>
      </c>
      <c r="C777" t="s">
        <v>7</v>
      </c>
      <c r="D777" s="1" t="s">
        <v>3</v>
      </c>
      <c r="E777">
        <v>63</v>
      </c>
      <c r="F777" s="1" t="s">
        <v>101</v>
      </c>
      <c r="G777">
        <v>6</v>
      </c>
      <c r="H777">
        <v>22</v>
      </c>
      <c r="I777" s="2">
        <f t="shared" si="36"/>
        <v>4.3195679999999994</v>
      </c>
      <c r="J777">
        <f t="shared" si="37"/>
        <v>0.37561460869565211</v>
      </c>
      <c r="K777">
        <f t="shared" si="38"/>
        <v>0.11281190911465132</v>
      </c>
    </row>
    <row r="778" spans="1:11" x14ac:dyDescent="0.25">
      <c r="A778" s="1">
        <v>1978</v>
      </c>
      <c r="B778" s="1" t="s">
        <v>104</v>
      </c>
      <c r="C778" t="s">
        <v>7</v>
      </c>
      <c r="D778" s="1" t="s">
        <v>3</v>
      </c>
      <c r="E778">
        <v>63</v>
      </c>
      <c r="F778" s="1" t="s">
        <v>101</v>
      </c>
      <c r="G778">
        <v>8</v>
      </c>
      <c r="H778">
        <v>2</v>
      </c>
      <c r="I778" s="2">
        <f t="shared" si="36"/>
        <v>0.69811199999999995</v>
      </c>
      <c r="J778">
        <f t="shared" si="37"/>
        <v>6.0705391304347822E-2</v>
      </c>
      <c r="K778">
        <f t="shared" si="38"/>
        <v>1.8232227735701226E-2</v>
      </c>
    </row>
    <row r="779" spans="1:11" x14ac:dyDescent="0.25">
      <c r="A779" s="1">
        <v>1978</v>
      </c>
      <c r="B779" s="1" t="s">
        <v>104</v>
      </c>
      <c r="C779" t="s">
        <v>7</v>
      </c>
      <c r="D779" s="1" t="s">
        <v>3</v>
      </c>
      <c r="E779">
        <v>66</v>
      </c>
      <c r="F779" s="1" t="s">
        <v>101</v>
      </c>
      <c r="G779">
        <v>6</v>
      </c>
      <c r="H779">
        <v>1</v>
      </c>
      <c r="I779" s="2">
        <f t="shared" si="36"/>
        <v>0.19634399999999999</v>
      </c>
      <c r="J779">
        <f t="shared" si="37"/>
        <v>1.7073391304347825E-2</v>
      </c>
      <c r="K779">
        <f t="shared" si="38"/>
        <v>5.1278140506659702E-3</v>
      </c>
    </row>
    <row r="780" spans="1:11" x14ac:dyDescent="0.25">
      <c r="A780" s="1">
        <v>1978</v>
      </c>
      <c r="B780" s="1" t="s">
        <v>104</v>
      </c>
      <c r="C780" t="s">
        <v>7</v>
      </c>
      <c r="D780" s="1" t="s">
        <v>3</v>
      </c>
      <c r="E780">
        <v>66</v>
      </c>
      <c r="F780" s="1" t="s">
        <v>101</v>
      </c>
      <c r="G780">
        <v>10</v>
      </c>
      <c r="H780">
        <v>1</v>
      </c>
      <c r="I780" s="2">
        <f t="shared" si="36"/>
        <v>0.5454</v>
      </c>
      <c r="J780">
        <f t="shared" si="37"/>
        <v>4.7426086956521736E-2</v>
      </c>
      <c r="K780">
        <f t="shared" si="38"/>
        <v>1.4243927918516582E-2</v>
      </c>
    </row>
    <row r="781" spans="1:11" x14ac:dyDescent="0.25">
      <c r="A781" s="1">
        <v>1978</v>
      </c>
      <c r="B781" s="1" t="s">
        <v>104</v>
      </c>
      <c r="C781" t="s">
        <v>7</v>
      </c>
      <c r="D781" s="1" t="s">
        <v>3</v>
      </c>
      <c r="E781">
        <v>66</v>
      </c>
      <c r="F781" s="1" t="s">
        <v>101</v>
      </c>
      <c r="G781">
        <v>12</v>
      </c>
      <c r="H781">
        <v>2</v>
      </c>
      <c r="I781" s="2">
        <f t="shared" si="36"/>
        <v>1.5707519999999999</v>
      </c>
      <c r="J781">
        <f t="shared" si="37"/>
        <v>0.1365871304347826</v>
      </c>
      <c r="K781">
        <f t="shared" si="38"/>
        <v>4.1022512405327761E-2</v>
      </c>
    </row>
    <row r="782" spans="1:11" x14ac:dyDescent="0.25">
      <c r="A782" s="1">
        <v>1978</v>
      </c>
      <c r="B782" s="1" t="s">
        <v>104</v>
      </c>
      <c r="C782" t="s">
        <v>7</v>
      </c>
      <c r="D782" s="1" t="s">
        <v>3</v>
      </c>
      <c r="E782">
        <v>66</v>
      </c>
      <c r="F782" s="1" t="s">
        <v>101</v>
      </c>
      <c r="G782">
        <v>14</v>
      </c>
      <c r="H782">
        <v>1</v>
      </c>
      <c r="I782" s="2">
        <f t="shared" si="36"/>
        <v>1.0689839999999999</v>
      </c>
      <c r="J782">
        <f t="shared" si="37"/>
        <v>9.295513043478261E-2</v>
      </c>
      <c r="K782">
        <f t="shared" si="38"/>
        <v>2.7918098720292505E-2</v>
      </c>
    </row>
    <row r="783" spans="1:11" x14ac:dyDescent="0.25">
      <c r="A783" s="1">
        <v>1978</v>
      </c>
      <c r="B783" s="1" t="s">
        <v>104</v>
      </c>
      <c r="C783" t="s">
        <v>7</v>
      </c>
      <c r="D783" s="1" t="s">
        <v>3</v>
      </c>
      <c r="E783">
        <v>66</v>
      </c>
      <c r="F783" s="1" t="s">
        <v>101</v>
      </c>
      <c r="G783">
        <v>16</v>
      </c>
      <c r="H783">
        <v>3</v>
      </c>
      <c r="I783" s="2">
        <f t="shared" si="36"/>
        <v>4.1886719999999995</v>
      </c>
      <c r="J783">
        <f t="shared" si="37"/>
        <v>0.36423234782608693</v>
      </c>
      <c r="K783">
        <f t="shared" si="38"/>
        <v>0.10939336641420735</v>
      </c>
    </row>
    <row r="784" spans="1:11" x14ac:dyDescent="0.25">
      <c r="A784" s="1">
        <v>1978</v>
      </c>
      <c r="B784" s="1" t="s">
        <v>104</v>
      </c>
      <c r="C784" t="s">
        <v>7</v>
      </c>
      <c r="D784" s="1" t="s">
        <v>3</v>
      </c>
      <c r="E784">
        <v>66</v>
      </c>
      <c r="F784" s="1" t="s">
        <v>101</v>
      </c>
      <c r="G784">
        <v>18</v>
      </c>
      <c r="H784">
        <v>1</v>
      </c>
      <c r="I784" s="2">
        <f t="shared" si="36"/>
        <v>1.7670959999999998</v>
      </c>
      <c r="J784">
        <f t="shared" si="37"/>
        <v>0.15366052173913042</v>
      </c>
      <c r="K784">
        <f t="shared" si="38"/>
        <v>4.6150326455993727E-2</v>
      </c>
    </row>
    <row r="785" spans="1:11" x14ac:dyDescent="0.25">
      <c r="A785" s="1">
        <v>1978</v>
      </c>
      <c r="B785" s="1" t="s">
        <v>104</v>
      </c>
      <c r="C785" t="s">
        <v>7</v>
      </c>
      <c r="D785" s="1" t="s">
        <v>3</v>
      </c>
      <c r="E785">
        <v>71</v>
      </c>
      <c r="F785" s="1" t="s">
        <v>101</v>
      </c>
      <c r="G785">
        <v>6</v>
      </c>
      <c r="H785">
        <v>3</v>
      </c>
      <c r="I785" s="2">
        <f t="shared" si="36"/>
        <v>0.589032</v>
      </c>
      <c r="J785">
        <f t="shared" si="37"/>
        <v>5.1220173913043475E-2</v>
      </c>
      <c r="K785">
        <f t="shared" si="38"/>
        <v>1.538344215199791E-2</v>
      </c>
    </row>
    <row r="786" spans="1:11" x14ac:dyDescent="0.25">
      <c r="A786" s="1">
        <v>1978</v>
      </c>
      <c r="B786" s="1" t="s">
        <v>104</v>
      </c>
      <c r="C786" t="s">
        <v>7</v>
      </c>
      <c r="D786" s="1" t="s">
        <v>3</v>
      </c>
      <c r="E786">
        <v>71</v>
      </c>
      <c r="F786" s="1" t="s">
        <v>101</v>
      </c>
      <c r="G786">
        <v>8</v>
      </c>
      <c r="H786">
        <v>6</v>
      </c>
      <c r="I786" s="2">
        <f t="shared" si="36"/>
        <v>2.0943359999999998</v>
      </c>
      <c r="J786">
        <f t="shared" si="37"/>
        <v>0.18211617391304347</v>
      </c>
      <c r="K786">
        <f t="shared" si="38"/>
        <v>5.4696683207103677E-2</v>
      </c>
    </row>
    <row r="787" spans="1:11" x14ac:dyDescent="0.25">
      <c r="A787" s="1">
        <v>1978</v>
      </c>
      <c r="B787" s="1" t="s">
        <v>104</v>
      </c>
      <c r="C787" t="s">
        <v>7</v>
      </c>
      <c r="D787" s="1" t="s">
        <v>3</v>
      </c>
      <c r="E787">
        <v>71</v>
      </c>
      <c r="F787" s="1" t="s">
        <v>101</v>
      </c>
      <c r="G787">
        <v>10</v>
      </c>
      <c r="H787">
        <v>4</v>
      </c>
      <c r="I787" s="2">
        <f t="shared" si="36"/>
        <v>2.1816</v>
      </c>
      <c r="J787">
        <f t="shared" si="37"/>
        <v>0.18970434782608694</v>
      </c>
      <c r="K787">
        <f t="shared" si="38"/>
        <v>5.6975711674066329E-2</v>
      </c>
    </row>
    <row r="788" spans="1:11" x14ac:dyDescent="0.25">
      <c r="A788" s="1">
        <v>1978</v>
      </c>
      <c r="B788" s="1" t="s">
        <v>104</v>
      </c>
      <c r="C788" t="s">
        <v>7</v>
      </c>
      <c r="D788" s="1" t="s">
        <v>3</v>
      </c>
      <c r="E788">
        <v>76</v>
      </c>
      <c r="F788" s="1" t="s">
        <v>101</v>
      </c>
      <c r="G788">
        <v>6</v>
      </c>
      <c r="H788">
        <v>9</v>
      </c>
      <c r="I788" s="2">
        <f t="shared" si="36"/>
        <v>1.767096</v>
      </c>
      <c r="J788">
        <f t="shared" si="37"/>
        <v>0.15366052173913045</v>
      </c>
      <c r="K788">
        <f t="shared" si="38"/>
        <v>4.6150326455993734E-2</v>
      </c>
    </row>
    <row r="789" spans="1:11" x14ac:dyDescent="0.25">
      <c r="A789" s="1">
        <v>1978</v>
      </c>
      <c r="B789" s="1" t="s">
        <v>104</v>
      </c>
      <c r="C789" t="s">
        <v>7</v>
      </c>
      <c r="D789" s="1" t="s">
        <v>3</v>
      </c>
      <c r="E789">
        <v>76</v>
      </c>
      <c r="F789" s="1" t="s">
        <v>101</v>
      </c>
      <c r="G789">
        <v>8</v>
      </c>
      <c r="H789">
        <v>3</v>
      </c>
      <c r="I789" s="2">
        <f t="shared" si="36"/>
        <v>1.0471679999999999</v>
      </c>
      <c r="J789">
        <f t="shared" si="37"/>
        <v>9.1058086956521733E-2</v>
      </c>
      <c r="K789">
        <f t="shared" si="38"/>
        <v>2.7348341603551839E-2</v>
      </c>
    </row>
    <row r="790" spans="1:11" x14ac:dyDescent="0.25">
      <c r="A790" s="1">
        <v>1978</v>
      </c>
      <c r="B790" s="1" t="s">
        <v>104</v>
      </c>
      <c r="C790" t="s">
        <v>7</v>
      </c>
      <c r="D790" s="1" t="s">
        <v>3</v>
      </c>
      <c r="E790">
        <v>76</v>
      </c>
      <c r="F790" s="1" t="s">
        <v>101</v>
      </c>
      <c r="G790">
        <v>10</v>
      </c>
      <c r="H790">
        <v>4</v>
      </c>
      <c r="I790" s="2">
        <f t="shared" si="36"/>
        <v>2.1816</v>
      </c>
      <c r="J790">
        <f t="shared" si="37"/>
        <v>0.18970434782608694</v>
      </c>
      <c r="K790">
        <f t="shared" si="38"/>
        <v>5.6975711674066329E-2</v>
      </c>
    </row>
    <row r="791" spans="1:11" x14ac:dyDescent="0.25">
      <c r="A791" s="1">
        <v>1978</v>
      </c>
      <c r="B791" s="1" t="s">
        <v>104</v>
      </c>
      <c r="C791" t="s">
        <v>7</v>
      </c>
      <c r="D791" s="1" t="s">
        <v>3</v>
      </c>
      <c r="E791">
        <v>79</v>
      </c>
      <c r="F791" s="1" t="s">
        <v>101</v>
      </c>
      <c r="G791">
        <v>6</v>
      </c>
      <c r="H791">
        <v>171</v>
      </c>
      <c r="I791" s="2">
        <f t="shared" si="36"/>
        <v>33.574824</v>
      </c>
      <c r="J791">
        <f t="shared" si="37"/>
        <v>2.9195499130434781</v>
      </c>
      <c r="K791">
        <f t="shared" si="38"/>
        <v>0.87685620266388087</v>
      </c>
    </row>
    <row r="792" spans="1:11" x14ac:dyDescent="0.25">
      <c r="A792" s="1">
        <v>1978</v>
      </c>
      <c r="B792" s="1" t="s">
        <v>104</v>
      </c>
      <c r="C792" t="s">
        <v>7</v>
      </c>
      <c r="D792" s="1" t="s">
        <v>3</v>
      </c>
      <c r="E792">
        <v>79</v>
      </c>
      <c r="F792" s="1" t="s">
        <v>101</v>
      </c>
      <c r="G792">
        <v>8</v>
      </c>
      <c r="H792">
        <v>96</v>
      </c>
      <c r="I792" s="2">
        <f t="shared" si="36"/>
        <v>33.509375999999996</v>
      </c>
      <c r="J792">
        <f t="shared" si="37"/>
        <v>2.9138587826086955</v>
      </c>
      <c r="K792">
        <f t="shared" si="38"/>
        <v>0.87514693131365884</v>
      </c>
    </row>
    <row r="793" spans="1:11" x14ac:dyDescent="0.25">
      <c r="A793" s="1">
        <v>1978</v>
      </c>
      <c r="B793" s="1" t="s">
        <v>104</v>
      </c>
      <c r="C793" t="s">
        <v>7</v>
      </c>
      <c r="D793" s="1" t="s">
        <v>3</v>
      </c>
      <c r="E793">
        <v>79</v>
      </c>
      <c r="F793" s="1" t="s">
        <v>101</v>
      </c>
      <c r="G793">
        <v>10</v>
      </c>
      <c r="H793">
        <v>36</v>
      </c>
      <c r="I793" s="2">
        <f t="shared" si="36"/>
        <v>19.634399999999999</v>
      </c>
      <c r="J793">
        <f t="shared" si="37"/>
        <v>1.7073391304347825</v>
      </c>
      <c r="K793">
        <f t="shared" si="38"/>
        <v>0.51278140506659697</v>
      </c>
    </row>
    <row r="794" spans="1:11" x14ac:dyDescent="0.25">
      <c r="A794" s="1">
        <v>1978</v>
      </c>
      <c r="B794" s="1" t="s">
        <v>104</v>
      </c>
      <c r="C794" t="s">
        <v>7</v>
      </c>
      <c r="D794" s="1" t="s">
        <v>3</v>
      </c>
      <c r="E794">
        <v>79</v>
      </c>
      <c r="F794" s="1" t="s">
        <v>101</v>
      </c>
      <c r="G794">
        <v>12</v>
      </c>
      <c r="H794">
        <v>19</v>
      </c>
      <c r="I794" s="2">
        <f t="shared" si="36"/>
        <v>14.922143999999999</v>
      </c>
      <c r="J794">
        <f t="shared" si="37"/>
        <v>1.2975777391304348</v>
      </c>
      <c r="K794">
        <f t="shared" si="38"/>
        <v>0.38971386785061374</v>
      </c>
    </row>
    <row r="795" spans="1:11" x14ac:dyDescent="0.25">
      <c r="A795" s="1">
        <v>1978</v>
      </c>
      <c r="B795" s="1" t="s">
        <v>104</v>
      </c>
      <c r="C795" t="s">
        <v>7</v>
      </c>
      <c r="D795" s="1" t="s">
        <v>3</v>
      </c>
      <c r="E795">
        <v>79</v>
      </c>
      <c r="F795" s="1" t="s">
        <v>101</v>
      </c>
      <c r="G795">
        <v>14</v>
      </c>
      <c r="H795">
        <v>10</v>
      </c>
      <c r="I795" s="2">
        <f t="shared" si="36"/>
        <v>10.68984</v>
      </c>
      <c r="J795">
        <f t="shared" si="37"/>
        <v>0.92955130434782607</v>
      </c>
      <c r="K795">
        <f t="shared" si="38"/>
        <v>0.27918098720292506</v>
      </c>
    </row>
    <row r="796" spans="1:11" x14ac:dyDescent="0.25">
      <c r="A796" s="1">
        <v>1978</v>
      </c>
      <c r="B796" s="1" t="s">
        <v>104</v>
      </c>
      <c r="C796" t="s">
        <v>7</v>
      </c>
      <c r="D796" s="1" t="s">
        <v>3</v>
      </c>
      <c r="E796">
        <v>79</v>
      </c>
      <c r="F796" s="1" t="s">
        <v>101</v>
      </c>
      <c r="G796">
        <v>16</v>
      </c>
      <c r="H796">
        <v>5</v>
      </c>
      <c r="I796" s="2">
        <f t="shared" si="36"/>
        <v>6.9811199999999998</v>
      </c>
      <c r="J796">
        <f t="shared" si="37"/>
        <v>0.60705391304347822</v>
      </c>
      <c r="K796">
        <f t="shared" si="38"/>
        <v>0.18232227735701226</v>
      </c>
    </row>
    <row r="797" spans="1:11" x14ac:dyDescent="0.25">
      <c r="A797" s="1">
        <v>1978</v>
      </c>
      <c r="B797" s="1" t="s">
        <v>104</v>
      </c>
      <c r="C797" t="s">
        <v>7</v>
      </c>
      <c r="D797" s="1" t="s">
        <v>3</v>
      </c>
      <c r="E797">
        <v>79</v>
      </c>
      <c r="F797" s="1" t="s">
        <v>101</v>
      </c>
      <c r="G797">
        <v>18</v>
      </c>
      <c r="H797">
        <v>1</v>
      </c>
      <c r="I797" s="2">
        <f t="shared" si="36"/>
        <v>1.7670959999999998</v>
      </c>
      <c r="J797">
        <f t="shared" si="37"/>
        <v>0.15366052173913042</v>
      </c>
      <c r="K797">
        <f t="shared" si="38"/>
        <v>4.6150326455993727E-2</v>
      </c>
    </row>
    <row r="798" spans="1:11" x14ac:dyDescent="0.25">
      <c r="A798" s="1">
        <v>1978</v>
      </c>
      <c r="B798" s="1" t="s">
        <v>104</v>
      </c>
      <c r="C798" t="s">
        <v>7</v>
      </c>
      <c r="D798" s="1" t="s">
        <v>3</v>
      </c>
      <c r="E798">
        <v>85</v>
      </c>
      <c r="F798" s="1" t="s">
        <v>101</v>
      </c>
      <c r="G798">
        <v>10</v>
      </c>
      <c r="H798">
        <v>2</v>
      </c>
      <c r="I798" s="2">
        <f t="shared" si="36"/>
        <v>1.0908</v>
      </c>
      <c r="J798">
        <f t="shared" si="37"/>
        <v>9.4852173913043472E-2</v>
      </c>
      <c r="K798">
        <f t="shared" si="38"/>
        <v>2.8487855837033164E-2</v>
      </c>
    </row>
    <row r="799" spans="1:11" x14ac:dyDescent="0.25">
      <c r="A799" s="1">
        <v>1978</v>
      </c>
      <c r="B799" s="1" t="s">
        <v>104</v>
      </c>
      <c r="C799" t="s">
        <v>7</v>
      </c>
      <c r="D799" s="1" t="s">
        <v>3</v>
      </c>
      <c r="E799">
        <v>85</v>
      </c>
      <c r="F799" s="1" t="s">
        <v>101</v>
      </c>
      <c r="G799">
        <v>12</v>
      </c>
      <c r="H799">
        <v>3</v>
      </c>
      <c r="I799" s="2">
        <f t="shared" si="36"/>
        <v>2.356128</v>
      </c>
      <c r="J799">
        <f t="shared" si="37"/>
        <v>0.2048806956521739</v>
      </c>
      <c r="K799">
        <f t="shared" si="38"/>
        <v>6.1533768607991639E-2</v>
      </c>
    </row>
    <row r="800" spans="1:11" x14ac:dyDescent="0.25">
      <c r="A800" s="1">
        <v>1978</v>
      </c>
      <c r="B800" s="1" t="s">
        <v>104</v>
      </c>
      <c r="C800" t="s">
        <v>7</v>
      </c>
      <c r="D800" s="1" t="s">
        <v>3</v>
      </c>
      <c r="E800">
        <v>85</v>
      </c>
      <c r="F800" s="1" t="s">
        <v>101</v>
      </c>
      <c r="G800">
        <v>14</v>
      </c>
      <c r="H800">
        <v>12</v>
      </c>
      <c r="I800" s="2">
        <f t="shared" si="36"/>
        <v>12.827807999999999</v>
      </c>
      <c r="J800">
        <f t="shared" si="37"/>
        <v>1.1154615652173911</v>
      </c>
      <c r="K800">
        <f t="shared" si="38"/>
        <v>0.33501718464350999</v>
      </c>
    </row>
    <row r="801" spans="1:11" x14ac:dyDescent="0.25">
      <c r="A801" s="1">
        <v>1978</v>
      </c>
      <c r="B801" s="1" t="s">
        <v>104</v>
      </c>
      <c r="C801" t="s">
        <v>7</v>
      </c>
      <c r="D801" s="1" t="s">
        <v>3</v>
      </c>
      <c r="E801">
        <v>85</v>
      </c>
      <c r="F801" s="1" t="s">
        <v>101</v>
      </c>
      <c r="G801">
        <v>16</v>
      </c>
      <c r="H801">
        <v>13</v>
      </c>
      <c r="I801" s="2">
        <f t="shared" si="36"/>
        <v>18.150911999999998</v>
      </c>
      <c r="J801">
        <f t="shared" si="37"/>
        <v>1.5783401739130434</v>
      </c>
      <c r="K801">
        <f t="shared" si="38"/>
        <v>0.4740379211282319</v>
      </c>
    </row>
    <row r="802" spans="1:11" x14ac:dyDescent="0.25">
      <c r="A802" s="1">
        <v>1978</v>
      </c>
      <c r="B802" s="1" t="s">
        <v>104</v>
      </c>
      <c r="C802" t="s">
        <v>7</v>
      </c>
      <c r="D802" s="1" t="s">
        <v>3</v>
      </c>
      <c r="E802">
        <v>85</v>
      </c>
      <c r="F802" s="1" t="s">
        <v>101</v>
      </c>
      <c r="G802">
        <v>18</v>
      </c>
      <c r="H802">
        <v>2</v>
      </c>
      <c r="I802" s="2">
        <f t="shared" si="36"/>
        <v>3.5341919999999996</v>
      </c>
      <c r="J802">
        <f t="shared" si="37"/>
        <v>0.30732104347826084</v>
      </c>
      <c r="K802">
        <f t="shared" si="38"/>
        <v>9.2300652911987455E-2</v>
      </c>
    </row>
    <row r="803" spans="1:11" x14ac:dyDescent="0.25">
      <c r="A803" s="1">
        <v>1978</v>
      </c>
      <c r="B803" s="1" t="s">
        <v>104</v>
      </c>
      <c r="C803" t="s">
        <v>7</v>
      </c>
      <c r="D803" s="1" t="s">
        <v>3</v>
      </c>
      <c r="E803">
        <v>88</v>
      </c>
      <c r="F803" s="1" t="s">
        <v>101</v>
      </c>
      <c r="G803">
        <v>6</v>
      </c>
      <c r="H803">
        <v>2</v>
      </c>
      <c r="I803" s="2">
        <f t="shared" si="36"/>
        <v>0.39268799999999998</v>
      </c>
      <c r="J803">
        <f t="shared" si="37"/>
        <v>3.414678260869565E-2</v>
      </c>
      <c r="K803">
        <f t="shared" si="38"/>
        <v>1.025562810133194E-2</v>
      </c>
    </row>
    <row r="804" spans="1:11" x14ac:dyDescent="0.25">
      <c r="A804" s="1">
        <v>1978</v>
      </c>
      <c r="B804" s="1" t="s">
        <v>104</v>
      </c>
      <c r="C804" t="s">
        <v>7</v>
      </c>
      <c r="D804" s="1" t="s">
        <v>3</v>
      </c>
      <c r="E804">
        <v>88</v>
      </c>
      <c r="F804" s="1" t="s">
        <v>101</v>
      </c>
      <c r="G804">
        <v>10</v>
      </c>
      <c r="H804">
        <v>2</v>
      </c>
      <c r="I804" s="2">
        <f t="shared" si="36"/>
        <v>1.0908</v>
      </c>
      <c r="J804">
        <f t="shared" si="37"/>
        <v>9.4852173913043472E-2</v>
      </c>
      <c r="K804">
        <f t="shared" si="38"/>
        <v>2.8487855837033164E-2</v>
      </c>
    </row>
    <row r="805" spans="1:11" x14ac:dyDescent="0.25">
      <c r="A805" s="1">
        <v>1978</v>
      </c>
      <c r="B805" s="1" t="s">
        <v>104</v>
      </c>
      <c r="C805" t="s">
        <v>7</v>
      </c>
      <c r="D805" s="1" t="s">
        <v>3</v>
      </c>
      <c r="E805">
        <v>91</v>
      </c>
      <c r="F805" s="1" t="s">
        <v>101</v>
      </c>
      <c r="G805">
        <v>6</v>
      </c>
      <c r="H805">
        <v>1</v>
      </c>
      <c r="I805" s="2">
        <f t="shared" si="36"/>
        <v>0.19634399999999999</v>
      </c>
      <c r="J805">
        <f t="shared" si="37"/>
        <v>1.7073391304347825E-2</v>
      </c>
      <c r="K805">
        <f t="shared" si="38"/>
        <v>5.1278140506659702E-3</v>
      </c>
    </row>
    <row r="806" spans="1:11" x14ac:dyDescent="0.25">
      <c r="A806" s="1">
        <v>1978</v>
      </c>
      <c r="B806" s="1" t="s">
        <v>104</v>
      </c>
      <c r="C806" t="s">
        <v>7</v>
      </c>
      <c r="D806" s="1" t="s">
        <v>3</v>
      </c>
      <c r="E806">
        <v>91</v>
      </c>
      <c r="F806" s="1" t="s">
        <v>101</v>
      </c>
      <c r="G806">
        <v>8</v>
      </c>
      <c r="H806">
        <v>1</v>
      </c>
      <c r="I806" s="2">
        <f t="shared" si="36"/>
        <v>0.34905599999999998</v>
      </c>
      <c r="J806">
        <f t="shared" si="37"/>
        <v>3.0352695652173911E-2</v>
      </c>
      <c r="K806">
        <f t="shared" si="38"/>
        <v>9.1161138678506129E-3</v>
      </c>
    </row>
    <row r="807" spans="1:11" x14ac:dyDescent="0.25">
      <c r="A807" s="1">
        <v>1978</v>
      </c>
      <c r="B807" s="1" t="s">
        <v>104</v>
      </c>
      <c r="C807" t="s">
        <v>7</v>
      </c>
      <c r="D807" s="1" t="s">
        <v>3</v>
      </c>
      <c r="E807">
        <v>91</v>
      </c>
      <c r="F807" s="1" t="s">
        <v>101</v>
      </c>
      <c r="G807">
        <v>10</v>
      </c>
      <c r="H807">
        <v>2</v>
      </c>
      <c r="I807" s="2">
        <f t="shared" si="36"/>
        <v>1.0908</v>
      </c>
      <c r="J807">
        <f t="shared" si="37"/>
        <v>9.4852173913043472E-2</v>
      </c>
      <c r="K807">
        <f t="shared" si="38"/>
        <v>2.8487855837033164E-2</v>
      </c>
    </row>
    <row r="808" spans="1:11" x14ac:dyDescent="0.25">
      <c r="A808" s="1">
        <v>1978</v>
      </c>
      <c r="B808" s="1" t="s">
        <v>104</v>
      </c>
      <c r="C808" t="s">
        <v>7</v>
      </c>
      <c r="D808" s="1" t="s">
        <v>3</v>
      </c>
      <c r="E808">
        <v>91</v>
      </c>
      <c r="F808" s="1" t="s">
        <v>101</v>
      </c>
      <c r="G808">
        <v>12</v>
      </c>
      <c r="H808">
        <v>1</v>
      </c>
      <c r="I808" s="2">
        <f t="shared" si="36"/>
        <v>0.78537599999999996</v>
      </c>
      <c r="J808">
        <f t="shared" si="37"/>
        <v>6.82935652173913E-2</v>
      </c>
      <c r="K808">
        <f t="shared" si="38"/>
        <v>2.0511256202663881E-2</v>
      </c>
    </row>
    <row r="809" spans="1:11" x14ac:dyDescent="0.25">
      <c r="A809" s="1">
        <v>1978</v>
      </c>
      <c r="B809" s="1" t="s">
        <v>104</v>
      </c>
      <c r="C809" t="s">
        <v>7</v>
      </c>
      <c r="D809" s="1" t="s">
        <v>5</v>
      </c>
      <c r="E809">
        <v>32</v>
      </c>
      <c r="F809" s="1" t="s">
        <v>101</v>
      </c>
      <c r="G809">
        <v>10</v>
      </c>
      <c r="H809">
        <v>1</v>
      </c>
      <c r="I809" s="2">
        <f t="shared" si="36"/>
        <v>0.5454</v>
      </c>
      <c r="J809">
        <f t="shared" si="37"/>
        <v>4.7426086956521736E-2</v>
      </c>
      <c r="K809">
        <f t="shared" si="38"/>
        <v>1.4243927918516582E-2</v>
      </c>
    </row>
    <row r="810" spans="1:11" x14ac:dyDescent="0.25">
      <c r="A810" s="1">
        <v>1978</v>
      </c>
      <c r="B810" s="1" t="s">
        <v>104</v>
      </c>
      <c r="C810" t="s">
        <v>7</v>
      </c>
      <c r="D810" s="1" t="s">
        <v>5</v>
      </c>
      <c r="E810">
        <v>32</v>
      </c>
      <c r="F810" s="1" t="s">
        <v>101</v>
      </c>
      <c r="G810">
        <v>16</v>
      </c>
      <c r="H810">
        <v>2</v>
      </c>
      <c r="I810" s="2">
        <f t="shared" si="36"/>
        <v>2.7924479999999998</v>
      </c>
      <c r="J810">
        <f t="shared" si="37"/>
        <v>0.24282156521739129</v>
      </c>
      <c r="K810">
        <f t="shared" si="38"/>
        <v>7.2928910942804903E-2</v>
      </c>
    </row>
    <row r="811" spans="1:11" x14ac:dyDescent="0.25">
      <c r="A811" s="1">
        <v>1978</v>
      </c>
      <c r="B811" s="1" t="s">
        <v>104</v>
      </c>
      <c r="C811" t="s">
        <v>7</v>
      </c>
      <c r="D811" s="1" t="s">
        <v>5</v>
      </c>
      <c r="E811">
        <v>34</v>
      </c>
      <c r="F811" s="1" t="s">
        <v>101</v>
      </c>
      <c r="G811">
        <v>6</v>
      </c>
      <c r="H811">
        <v>1</v>
      </c>
      <c r="I811" s="2">
        <f t="shared" si="36"/>
        <v>0.19634399999999999</v>
      </c>
      <c r="J811">
        <f t="shared" si="37"/>
        <v>1.7073391304347825E-2</v>
      </c>
      <c r="K811">
        <f t="shared" si="38"/>
        <v>5.1278140506659702E-3</v>
      </c>
    </row>
    <row r="812" spans="1:11" x14ac:dyDescent="0.25">
      <c r="A812" s="1">
        <v>1978</v>
      </c>
      <c r="B812" s="1" t="s">
        <v>104</v>
      </c>
      <c r="C812" t="s">
        <v>7</v>
      </c>
      <c r="D812" s="1" t="s">
        <v>5</v>
      </c>
      <c r="E812">
        <v>38</v>
      </c>
      <c r="F812" s="1" t="s">
        <v>101</v>
      </c>
      <c r="G812">
        <v>6</v>
      </c>
      <c r="H812">
        <v>1</v>
      </c>
      <c r="I812" s="2">
        <f t="shared" si="36"/>
        <v>0.19634399999999999</v>
      </c>
      <c r="J812">
        <f t="shared" si="37"/>
        <v>1.7073391304347825E-2</v>
      </c>
      <c r="K812">
        <f t="shared" si="38"/>
        <v>5.1278140506659702E-3</v>
      </c>
    </row>
    <row r="813" spans="1:11" x14ac:dyDescent="0.25">
      <c r="A813" s="1">
        <v>1978</v>
      </c>
      <c r="B813" s="1" t="s">
        <v>104</v>
      </c>
      <c r="C813" t="s">
        <v>7</v>
      </c>
      <c r="D813" s="1" t="s">
        <v>5</v>
      </c>
      <c r="E813">
        <v>38</v>
      </c>
      <c r="F813" s="1" t="s">
        <v>101</v>
      </c>
      <c r="G813">
        <v>12</v>
      </c>
      <c r="H813">
        <v>1</v>
      </c>
      <c r="I813" s="2">
        <f t="shared" si="36"/>
        <v>0.78537599999999996</v>
      </c>
      <c r="J813">
        <f t="shared" si="37"/>
        <v>6.82935652173913E-2</v>
      </c>
      <c r="K813">
        <f t="shared" si="38"/>
        <v>2.0511256202663881E-2</v>
      </c>
    </row>
    <row r="814" spans="1:11" x14ac:dyDescent="0.25">
      <c r="A814" s="1">
        <v>1978</v>
      </c>
      <c r="B814" s="1" t="s">
        <v>104</v>
      </c>
      <c r="C814" t="s">
        <v>7</v>
      </c>
      <c r="D814" s="1" t="s">
        <v>5</v>
      </c>
      <c r="E814">
        <v>38</v>
      </c>
      <c r="F814" s="1" t="s">
        <v>101</v>
      </c>
      <c r="G814">
        <v>14</v>
      </c>
      <c r="H814">
        <v>1</v>
      </c>
      <c r="I814" s="2">
        <f t="shared" si="36"/>
        <v>1.0689839999999999</v>
      </c>
      <c r="J814">
        <f t="shared" si="37"/>
        <v>9.295513043478261E-2</v>
      </c>
      <c r="K814">
        <f t="shared" si="38"/>
        <v>2.7918098720292505E-2</v>
      </c>
    </row>
    <row r="815" spans="1:11" x14ac:dyDescent="0.25">
      <c r="A815" s="1">
        <v>1978</v>
      </c>
      <c r="B815" s="1" t="s">
        <v>104</v>
      </c>
      <c r="C815" t="s">
        <v>7</v>
      </c>
      <c r="D815" s="1" t="s">
        <v>5</v>
      </c>
      <c r="E815">
        <v>40</v>
      </c>
      <c r="F815" s="1" t="s">
        <v>101</v>
      </c>
      <c r="G815">
        <v>6</v>
      </c>
      <c r="H815">
        <v>1</v>
      </c>
      <c r="I815" s="2">
        <f t="shared" si="36"/>
        <v>0.19634399999999999</v>
      </c>
      <c r="J815">
        <f t="shared" si="37"/>
        <v>1.7073391304347825E-2</v>
      </c>
      <c r="K815">
        <f t="shared" si="38"/>
        <v>5.1278140506659702E-3</v>
      </c>
    </row>
    <row r="816" spans="1:11" x14ac:dyDescent="0.25">
      <c r="A816" s="1">
        <v>1978</v>
      </c>
      <c r="B816" s="1" t="s">
        <v>104</v>
      </c>
      <c r="C816" t="s">
        <v>7</v>
      </c>
      <c r="D816" s="1" t="s">
        <v>5</v>
      </c>
      <c r="E816">
        <v>40</v>
      </c>
      <c r="F816" s="1" t="s">
        <v>101</v>
      </c>
      <c r="G816">
        <v>16</v>
      </c>
      <c r="H816">
        <v>1</v>
      </c>
      <c r="I816" s="2">
        <f t="shared" si="36"/>
        <v>1.3962239999999999</v>
      </c>
      <c r="J816">
        <f t="shared" si="37"/>
        <v>0.12141078260869564</v>
      </c>
      <c r="K816">
        <f t="shared" si="38"/>
        <v>3.6464455471402452E-2</v>
      </c>
    </row>
    <row r="817" spans="1:11" x14ac:dyDescent="0.25">
      <c r="A817" s="1">
        <v>1978</v>
      </c>
      <c r="B817" s="1" t="s">
        <v>104</v>
      </c>
      <c r="C817" t="s">
        <v>7</v>
      </c>
      <c r="D817" s="1" t="s">
        <v>5</v>
      </c>
      <c r="E817">
        <v>41</v>
      </c>
      <c r="F817" s="1" t="s">
        <v>101</v>
      </c>
      <c r="G817">
        <v>16</v>
      </c>
      <c r="H817">
        <v>1</v>
      </c>
      <c r="I817" s="2">
        <f t="shared" si="36"/>
        <v>1.3962239999999999</v>
      </c>
      <c r="J817">
        <f t="shared" si="37"/>
        <v>0.12141078260869564</v>
      </c>
      <c r="K817">
        <f t="shared" si="38"/>
        <v>3.6464455471402452E-2</v>
      </c>
    </row>
    <row r="818" spans="1:11" x14ac:dyDescent="0.25">
      <c r="A818" s="1">
        <v>1978</v>
      </c>
      <c r="B818" s="1" t="s">
        <v>104</v>
      </c>
      <c r="C818" t="s">
        <v>7</v>
      </c>
      <c r="D818" s="1" t="s">
        <v>5</v>
      </c>
      <c r="E818">
        <v>54</v>
      </c>
      <c r="F818" s="1" t="s">
        <v>101</v>
      </c>
      <c r="G818">
        <v>6</v>
      </c>
      <c r="H818">
        <v>1</v>
      </c>
      <c r="I818" s="2">
        <f t="shared" si="36"/>
        <v>0.19634399999999999</v>
      </c>
      <c r="J818">
        <f t="shared" si="37"/>
        <v>1.7073391304347825E-2</v>
      </c>
      <c r="K818">
        <f t="shared" si="38"/>
        <v>5.1278140506659702E-3</v>
      </c>
    </row>
    <row r="819" spans="1:11" x14ac:dyDescent="0.25">
      <c r="A819" s="1">
        <v>1978</v>
      </c>
      <c r="B819" s="1" t="s">
        <v>104</v>
      </c>
      <c r="C819" t="s">
        <v>7</v>
      </c>
      <c r="D819" s="1" t="s">
        <v>5</v>
      </c>
      <c r="E819">
        <v>58</v>
      </c>
      <c r="F819" s="1" t="s">
        <v>101</v>
      </c>
      <c r="G819">
        <v>6</v>
      </c>
      <c r="H819">
        <v>3</v>
      </c>
      <c r="I819" s="2">
        <f t="shared" si="36"/>
        <v>0.589032</v>
      </c>
      <c r="J819">
        <f t="shared" si="37"/>
        <v>5.1220173913043475E-2</v>
      </c>
      <c r="K819">
        <f t="shared" si="38"/>
        <v>1.538344215199791E-2</v>
      </c>
    </row>
    <row r="820" spans="1:11" x14ac:dyDescent="0.25">
      <c r="A820" s="1">
        <v>1978</v>
      </c>
      <c r="B820" s="1" t="s">
        <v>104</v>
      </c>
      <c r="C820" t="s">
        <v>7</v>
      </c>
      <c r="D820" s="1" t="s">
        <v>5</v>
      </c>
      <c r="E820">
        <v>58</v>
      </c>
      <c r="F820" s="1" t="s">
        <v>101</v>
      </c>
      <c r="G820">
        <v>8</v>
      </c>
      <c r="H820">
        <v>1</v>
      </c>
      <c r="I820" s="2">
        <f t="shared" si="36"/>
        <v>0.34905599999999998</v>
      </c>
      <c r="J820">
        <f t="shared" si="37"/>
        <v>3.0352695652173911E-2</v>
      </c>
      <c r="K820">
        <f t="shared" si="38"/>
        <v>9.1161138678506129E-3</v>
      </c>
    </row>
    <row r="821" spans="1:11" x14ac:dyDescent="0.25">
      <c r="A821" s="1">
        <v>1978</v>
      </c>
      <c r="B821" s="1" t="s">
        <v>104</v>
      </c>
      <c r="C821" t="s">
        <v>7</v>
      </c>
      <c r="D821" s="1" t="s">
        <v>5</v>
      </c>
      <c r="E821">
        <v>71</v>
      </c>
      <c r="F821" s="1" t="s">
        <v>101</v>
      </c>
      <c r="G821">
        <v>6</v>
      </c>
      <c r="H821">
        <v>3</v>
      </c>
      <c r="I821" s="2">
        <f t="shared" si="36"/>
        <v>0.589032</v>
      </c>
      <c r="J821">
        <f t="shared" si="37"/>
        <v>5.1220173913043475E-2</v>
      </c>
      <c r="K821">
        <f t="shared" si="38"/>
        <v>1.538344215199791E-2</v>
      </c>
    </row>
    <row r="822" spans="1:11" x14ac:dyDescent="0.25">
      <c r="A822" s="1">
        <v>1978</v>
      </c>
      <c r="B822" s="1" t="s">
        <v>104</v>
      </c>
      <c r="C822" t="s">
        <v>7</v>
      </c>
      <c r="D822" s="1" t="s">
        <v>5</v>
      </c>
      <c r="E822">
        <v>71</v>
      </c>
      <c r="F822" s="1" t="s">
        <v>101</v>
      </c>
      <c r="G822">
        <v>8</v>
      </c>
      <c r="H822">
        <v>1</v>
      </c>
      <c r="I822" s="2">
        <f t="shared" si="36"/>
        <v>0.34905599999999998</v>
      </c>
      <c r="J822">
        <f t="shared" si="37"/>
        <v>3.0352695652173911E-2</v>
      </c>
      <c r="K822">
        <f t="shared" si="38"/>
        <v>9.1161138678506129E-3</v>
      </c>
    </row>
    <row r="823" spans="1:11" x14ac:dyDescent="0.25">
      <c r="A823" s="1">
        <v>1978</v>
      </c>
      <c r="B823" s="1" t="s">
        <v>104</v>
      </c>
      <c r="C823" t="s">
        <v>7</v>
      </c>
      <c r="D823" s="1" t="s">
        <v>5</v>
      </c>
      <c r="E823">
        <v>79</v>
      </c>
      <c r="F823" s="1" t="s">
        <v>101</v>
      </c>
      <c r="G823">
        <v>6</v>
      </c>
      <c r="H823">
        <v>2</v>
      </c>
      <c r="I823" s="2">
        <f t="shared" si="36"/>
        <v>0.39268799999999998</v>
      </c>
      <c r="J823">
        <f t="shared" si="37"/>
        <v>3.414678260869565E-2</v>
      </c>
      <c r="K823">
        <f t="shared" si="38"/>
        <v>1.025562810133194E-2</v>
      </c>
    </row>
    <row r="824" spans="1:11" x14ac:dyDescent="0.25">
      <c r="A824" s="1">
        <v>1978</v>
      </c>
      <c r="B824" s="1" t="s">
        <v>104</v>
      </c>
      <c r="C824" t="s">
        <v>7</v>
      </c>
      <c r="D824" s="1" t="s">
        <v>5</v>
      </c>
      <c r="E824">
        <v>79</v>
      </c>
      <c r="F824" s="1" t="s">
        <v>101</v>
      </c>
      <c r="G824">
        <v>12</v>
      </c>
      <c r="H824">
        <v>1</v>
      </c>
      <c r="I824" s="2">
        <f t="shared" si="36"/>
        <v>0.78537599999999996</v>
      </c>
      <c r="J824">
        <f t="shared" si="37"/>
        <v>6.82935652173913E-2</v>
      </c>
      <c r="K824">
        <f t="shared" si="38"/>
        <v>2.0511256202663881E-2</v>
      </c>
    </row>
    <row r="825" spans="1:11" x14ac:dyDescent="0.25">
      <c r="A825" s="1">
        <v>1978</v>
      </c>
      <c r="B825" s="1" t="s">
        <v>104</v>
      </c>
      <c r="C825" t="s">
        <v>7</v>
      </c>
      <c r="D825" s="1" t="s">
        <v>5</v>
      </c>
      <c r="E825">
        <v>79</v>
      </c>
      <c r="F825" s="1" t="s">
        <v>101</v>
      </c>
      <c r="G825">
        <v>16</v>
      </c>
      <c r="H825">
        <v>1</v>
      </c>
      <c r="I825" s="2">
        <f t="shared" si="36"/>
        <v>1.3962239999999999</v>
      </c>
      <c r="J825">
        <f t="shared" si="37"/>
        <v>0.12141078260869564</v>
      </c>
      <c r="K825">
        <f t="shared" si="38"/>
        <v>3.6464455471402452E-2</v>
      </c>
    </row>
    <row r="826" spans="1:11" x14ac:dyDescent="0.25">
      <c r="A826" s="1">
        <v>1978</v>
      </c>
      <c r="B826" s="1" t="s">
        <v>104</v>
      </c>
      <c r="C826" t="s">
        <v>7</v>
      </c>
      <c r="D826" s="1" t="s">
        <v>5</v>
      </c>
      <c r="E826">
        <v>85</v>
      </c>
      <c r="F826" s="1" t="s">
        <v>101</v>
      </c>
      <c r="G826">
        <v>8</v>
      </c>
      <c r="H826">
        <v>2</v>
      </c>
      <c r="I826" s="2">
        <f t="shared" si="36"/>
        <v>0.69811199999999995</v>
      </c>
      <c r="J826">
        <f t="shared" si="37"/>
        <v>6.0705391304347822E-2</v>
      </c>
      <c r="K826">
        <f t="shared" si="38"/>
        <v>1.8232227735701226E-2</v>
      </c>
    </row>
    <row r="827" spans="1:11" x14ac:dyDescent="0.25">
      <c r="A827" s="1">
        <v>1978</v>
      </c>
      <c r="B827" s="1" t="s">
        <v>104</v>
      </c>
      <c r="C827" t="s">
        <v>7</v>
      </c>
      <c r="D827" s="1" t="s">
        <v>5</v>
      </c>
      <c r="E827">
        <v>85</v>
      </c>
      <c r="F827" s="1" t="s">
        <v>101</v>
      </c>
      <c r="G827">
        <v>12</v>
      </c>
      <c r="H827">
        <v>4</v>
      </c>
      <c r="I827" s="2">
        <f t="shared" si="36"/>
        <v>3.1415039999999999</v>
      </c>
      <c r="J827">
        <f t="shared" si="37"/>
        <v>0.2731742608695652</v>
      </c>
      <c r="K827">
        <f t="shared" si="38"/>
        <v>8.2045024810655523E-2</v>
      </c>
    </row>
    <row r="828" spans="1:11" x14ac:dyDescent="0.25">
      <c r="A828" s="1">
        <v>1978</v>
      </c>
      <c r="B828" s="1" t="s">
        <v>104</v>
      </c>
      <c r="C828" t="s">
        <v>7</v>
      </c>
      <c r="D828" s="1" t="s">
        <v>5</v>
      </c>
      <c r="E828">
        <v>85</v>
      </c>
      <c r="F828" s="1" t="s">
        <v>101</v>
      </c>
      <c r="G828">
        <v>14</v>
      </c>
      <c r="H828">
        <v>5</v>
      </c>
      <c r="I828" s="2">
        <f t="shared" si="36"/>
        <v>5.3449200000000001</v>
      </c>
      <c r="J828">
        <f t="shared" si="37"/>
        <v>0.46477565217391303</v>
      </c>
      <c r="K828">
        <f t="shared" si="38"/>
        <v>0.13959049360146253</v>
      </c>
    </row>
    <row r="829" spans="1:11" x14ac:dyDescent="0.25">
      <c r="A829" s="1">
        <v>1978</v>
      </c>
      <c r="B829" s="1" t="s">
        <v>104</v>
      </c>
      <c r="C829" t="s">
        <v>7</v>
      </c>
      <c r="D829" s="1" t="s">
        <v>5</v>
      </c>
      <c r="E829">
        <v>85</v>
      </c>
      <c r="F829" s="1" t="s">
        <v>101</v>
      </c>
      <c r="G829">
        <v>16</v>
      </c>
      <c r="H829">
        <v>4</v>
      </c>
      <c r="I829" s="2">
        <f t="shared" si="36"/>
        <v>5.5848959999999996</v>
      </c>
      <c r="J829">
        <f t="shared" si="37"/>
        <v>0.48564313043478258</v>
      </c>
      <c r="K829">
        <f t="shared" si="38"/>
        <v>0.14585782188560981</v>
      </c>
    </row>
    <row r="830" spans="1:11" x14ac:dyDescent="0.25">
      <c r="A830" s="1">
        <v>1996</v>
      </c>
      <c r="B830" s="1" t="s">
        <v>104</v>
      </c>
      <c r="C830" t="s">
        <v>9</v>
      </c>
      <c r="D830" s="1" t="s">
        <v>3</v>
      </c>
      <c r="E830">
        <v>11</v>
      </c>
      <c r="F830" s="1" t="s">
        <v>101</v>
      </c>
      <c r="G830">
        <v>6</v>
      </c>
      <c r="H830">
        <v>3</v>
      </c>
      <c r="I830" s="2">
        <f t="shared" si="36"/>
        <v>0.589032</v>
      </c>
      <c r="J830">
        <f t="shared" si="37"/>
        <v>5.1220173913043475E-2</v>
      </c>
      <c r="K830">
        <f t="shared" si="38"/>
        <v>1.538344215199791E-2</v>
      </c>
    </row>
    <row r="831" spans="1:11" x14ac:dyDescent="0.25">
      <c r="A831" s="1">
        <v>1996</v>
      </c>
      <c r="B831" s="1" t="s">
        <v>104</v>
      </c>
      <c r="C831" t="s">
        <v>9</v>
      </c>
      <c r="D831" s="1" t="s">
        <v>3</v>
      </c>
      <c r="E831">
        <v>11</v>
      </c>
      <c r="F831" s="1" t="s">
        <v>101</v>
      </c>
      <c r="G831">
        <v>8</v>
      </c>
      <c r="H831">
        <v>2</v>
      </c>
      <c r="I831" s="2">
        <f t="shared" si="36"/>
        <v>0.69811199999999995</v>
      </c>
      <c r="J831">
        <f t="shared" si="37"/>
        <v>6.0705391304347822E-2</v>
      </c>
      <c r="K831">
        <f t="shared" si="38"/>
        <v>1.8232227735701226E-2</v>
      </c>
    </row>
    <row r="832" spans="1:11" x14ac:dyDescent="0.25">
      <c r="A832" s="1">
        <v>1996</v>
      </c>
      <c r="B832" s="1" t="s">
        <v>104</v>
      </c>
      <c r="C832" t="s">
        <v>9</v>
      </c>
      <c r="D832" s="1" t="s">
        <v>3</v>
      </c>
      <c r="E832">
        <v>11</v>
      </c>
      <c r="F832" s="1" t="s">
        <v>101</v>
      </c>
      <c r="G832">
        <v>10</v>
      </c>
      <c r="H832">
        <v>3</v>
      </c>
      <c r="I832" s="2">
        <f t="shared" si="36"/>
        <v>1.6362000000000001</v>
      </c>
      <c r="J832">
        <f t="shared" si="37"/>
        <v>0.14227826086956522</v>
      </c>
      <c r="K832">
        <f t="shared" si="38"/>
        <v>4.273178375554975E-2</v>
      </c>
    </row>
    <row r="833" spans="1:11" x14ac:dyDescent="0.25">
      <c r="A833" s="1">
        <v>1996</v>
      </c>
      <c r="B833" s="1" t="s">
        <v>104</v>
      </c>
      <c r="C833" t="s">
        <v>9</v>
      </c>
      <c r="D833" s="1" t="s">
        <v>3</v>
      </c>
      <c r="E833">
        <v>21</v>
      </c>
      <c r="F833" s="1" t="s">
        <v>101</v>
      </c>
      <c r="G833">
        <v>6</v>
      </c>
      <c r="H833">
        <v>3</v>
      </c>
      <c r="I833" s="2">
        <f t="shared" si="36"/>
        <v>0.589032</v>
      </c>
      <c r="J833">
        <f t="shared" si="37"/>
        <v>5.1220173913043475E-2</v>
      </c>
      <c r="K833">
        <f t="shared" si="38"/>
        <v>1.538344215199791E-2</v>
      </c>
    </row>
    <row r="834" spans="1:11" x14ac:dyDescent="0.25">
      <c r="A834" s="1">
        <v>1996</v>
      </c>
      <c r="B834" s="1" t="s">
        <v>104</v>
      </c>
      <c r="C834" t="s">
        <v>9</v>
      </c>
      <c r="D834" s="1" t="s">
        <v>3</v>
      </c>
      <c r="E834">
        <v>21</v>
      </c>
      <c r="F834" s="1" t="s">
        <v>101</v>
      </c>
      <c r="G834">
        <v>8</v>
      </c>
      <c r="H834">
        <v>1</v>
      </c>
      <c r="I834" s="2">
        <f t="shared" si="36"/>
        <v>0.34905599999999998</v>
      </c>
      <c r="J834">
        <f t="shared" si="37"/>
        <v>3.0352695652173911E-2</v>
      </c>
      <c r="K834">
        <f t="shared" si="38"/>
        <v>9.1161138678506129E-3</v>
      </c>
    </row>
    <row r="835" spans="1:11" x14ac:dyDescent="0.25">
      <c r="A835" s="1">
        <v>1996</v>
      </c>
      <c r="B835" s="1" t="s">
        <v>104</v>
      </c>
      <c r="C835" t="s">
        <v>9</v>
      </c>
      <c r="D835" s="1" t="s">
        <v>3</v>
      </c>
      <c r="E835">
        <v>29</v>
      </c>
      <c r="F835" s="1" t="s">
        <v>101</v>
      </c>
      <c r="G835">
        <v>6</v>
      </c>
      <c r="H835">
        <v>34</v>
      </c>
      <c r="I835" s="2">
        <f t="shared" ref="I835:I898" si="39">0.005454*G835^2*H835</f>
        <v>6.6756959999999994</v>
      </c>
      <c r="J835">
        <f t="shared" ref="J835:J898" si="40">I835/11.5</f>
        <v>0.58049530434782604</v>
      </c>
      <c r="K835">
        <f t="shared" ref="K835:K898" si="41">J835*(11.5/38.29)</f>
        <v>0.17434567772264298</v>
      </c>
    </row>
    <row r="836" spans="1:11" x14ac:dyDescent="0.25">
      <c r="A836" s="1">
        <v>1996</v>
      </c>
      <c r="B836" s="1" t="s">
        <v>104</v>
      </c>
      <c r="C836" t="s">
        <v>9</v>
      </c>
      <c r="D836" s="1" t="s">
        <v>3</v>
      </c>
      <c r="E836">
        <v>29</v>
      </c>
      <c r="F836" s="1" t="s">
        <v>101</v>
      </c>
      <c r="G836">
        <v>8</v>
      </c>
      <c r="H836">
        <v>24</v>
      </c>
      <c r="I836" s="2">
        <f t="shared" si="39"/>
        <v>8.377343999999999</v>
      </c>
      <c r="J836">
        <f t="shared" si="40"/>
        <v>0.72846469565217387</v>
      </c>
      <c r="K836">
        <f t="shared" si="41"/>
        <v>0.21878673282841471</v>
      </c>
    </row>
    <row r="837" spans="1:11" x14ac:dyDescent="0.25">
      <c r="A837" s="1">
        <v>1996</v>
      </c>
      <c r="B837" s="1" t="s">
        <v>104</v>
      </c>
      <c r="C837" t="s">
        <v>9</v>
      </c>
      <c r="D837" s="1" t="s">
        <v>3</v>
      </c>
      <c r="E837">
        <v>29</v>
      </c>
      <c r="F837" s="1" t="s">
        <v>101</v>
      </c>
      <c r="G837">
        <v>10</v>
      </c>
      <c r="H837">
        <v>17</v>
      </c>
      <c r="I837" s="2">
        <f t="shared" si="39"/>
        <v>9.2718000000000007</v>
      </c>
      <c r="J837">
        <f t="shared" si="40"/>
        <v>0.80624347826086962</v>
      </c>
      <c r="K837">
        <f t="shared" si="41"/>
        <v>0.24214677461478193</v>
      </c>
    </row>
    <row r="838" spans="1:11" x14ac:dyDescent="0.25">
      <c r="A838" s="1">
        <v>1996</v>
      </c>
      <c r="B838" s="1" t="s">
        <v>104</v>
      </c>
      <c r="C838" t="s">
        <v>9</v>
      </c>
      <c r="D838" s="1" t="s">
        <v>3</v>
      </c>
      <c r="E838">
        <v>29</v>
      </c>
      <c r="F838" s="1" t="s">
        <v>101</v>
      </c>
      <c r="G838">
        <v>12</v>
      </c>
      <c r="H838">
        <v>6</v>
      </c>
      <c r="I838" s="2">
        <f t="shared" si="39"/>
        <v>4.712256</v>
      </c>
      <c r="J838">
        <f t="shared" si="40"/>
        <v>0.4097613913043478</v>
      </c>
      <c r="K838">
        <f t="shared" si="41"/>
        <v>0.12306753721598328</v>
      </c>
    </row>
    <row r="839" spans="1:11" x14ac:dyDescent="0.25">
      <c r="A839" s="1">
        <v>1996</v>
      </c>
      <c r="B839" s="1" t="s">
        <v>104</v>
      </c>
      <c r="C839" t="s">
        <v>9</v>
      </c>
      <c r="D839" s="1" t="s">
        <v>3</v>
      </c>
      <c r="E839">
        <v>29</v>
      </c>
      <c r="F839" s="1" t="s">
        <v>101</v>
      </c>
      <c r="G839">
        <v>14</v>
      </c>
      <c r="H839">
        <v>3</v>
      </c>
      <c r="I839" s="2">
        <f t="shared" si="39"/>
        <v>3.2069519999999998</v>
      </c>
      <c r="J839">
        <f t="shared" si="40"/>
        <v>0.27886539130434779</v>
      </c>
      <c r="K839">
        <f t="shared" si="41"/>
        <v>8.3754296160877498E-2</v>
      </c>
    </row>
    <row r="840" spans="1:11" x14ac:dyDescent="0.25">
      <c r="A840" s="1">
        <v>1996</v>
      </c>
      <c r="B840" s="1" t="s">
        <v>104</v>
      </c>
      <c r="C840" t="s">
        <v>9</v>
      </c>
      <c r="D840" s="1" t="s">
        <v>3</v>
      </c>
      <c r="E840">
        <v>32</v>
      </c>
      <c r="F840" s="1" t="s">
        <v>101</v>
      </c>
      <c r="G840">
        <v>6</v>
      </c>
      <c r="H840">
        <v>108</v>
      </c>
      <c r="I840" s="2">
        <f t="shared" si="39"/>
        <v>21.205151999999998</v>
      </c>
      <c r="J840">
        <f t="shared" si="40"/>
        <v>1.843926260869565</v>
      </c>
      <c r="K840">
        <f t="shared" si="41"/>
        <v>0.5538039174719247</v>
      </c>
    </row>
    <row r="841" spans="1:11" x14ac:dyDescent="0.25">
      <c r="A841" s="1">
        <v>1996</v>
      </c>
      <c r="B841" s="1" t="s">
        <v>104</v>
      </c>
      <c r="C841" t="s">
        <v>9</v>
      </c>
      <c r="D841" s="1" t="s">
        <v>3</v>
      </c>
      <c r="E841">
        <v>32</v>
      </c>
      <c r="F841" s="1" t="s">
        <v>101</v>
      </c>
      <c r="G841">
        <v>8</v>
      </c>
      <c r="H841">
        <v>25</v>
      </c>
      <c r="I841" s="2">
        <f t="shared" si="39"/>
        <v>8.7263999999999999</v>
      </c>
      <c r="J841">
        <f t="shared" si="40"/>
        <v>0.75881739130434778</v>
      </c>
      <c r="K841">
        <f t="shared" si="41"/>
        <v>0.22790284669626532</v>
      </c>
    </row>
    <row r="842" spans="1:11" x14ac:dyDescent="0.25">
      <c r="A842" s="1">
        <v>1996</v>
      </c>
      <c r="B842" s="1" t="s">
        <v>104</v>
      </c>
      <c r="C842" t="s">
        <v>9</v>
      </c>
      <c r="D842" s="1" t="s">
        <v>3</v>
      </c>
      <c r="E842">
        <v>32</v>
      </c>
      <c r="F842" s="1" t="s">
        <v>101</v>
      </c>
      <c r="G842">
        <v>10</v>
      </c>
      <c r="H842">
        <v>10</v>
      </c>
      <c r="I842" s="2">
        <f t="shared" si="39"/>
        <v>5.4539999999999997</v>
      </c>
      <c r="J842">
        <f t="shared" si="40"/>
        <v>0.47426086956521735</v>
      </c>
      <c r="K842">
        <f t="shared" si="41"/>
        <v>0.14243927918516583</v>
      </c>
    </row>
    <row r="843" spans="1:11" x14ac:dyDescent="0.25">
      <c r="A843" s="1">
        <v>1996</v>
      </c>
      <c r="B843" s="1" t="s">
        <v>104</v>
      </c>
      <c r="C843" t="s">
        <v>9</v>
      </c>
      <c r="D843" s="1" t="s">
        <v>3</v>
      </c>
      <c r="E843">
        <v>32</v>
      </c>
      <c r="F843" s="1" t="s">
        <v>101</v>
      </c>
      <c r="G843">
        <v>12</v>
      </c>
      <c r="H843">
        <v>5</v>
      </c>
      <c r="I843" s="2">
        <f t="shared" si="39"/>
        <v>3.9268799999999997</v>
      </c>
      <c r="J843">
        <f t="shared" si="40"/>
        <v>0.34146782608695647</v>
      </c>
      <c r="K843">
        <f t="shared" si="41"/>
        <v>0.10255628101331939</v>
      </c>
    </row>
    <row r="844" spans="1:11" x14ac:dyDescent="0.25">
      <c r="A844" s="1">
        <v>1996</v>
      </c>
      <c r="B844" s="1" t="s">
        <v>104</v>
      </c>
      <c r="C844" t="s">
        <v>9</v>
      </c>
      <c r="D844" s="1" t="s">
        <v>3</v>
      </c>
      <c r="E844">
        <v>32</v>
      </c>
      <c r="F844" s="1" t="s">
        <v>101</v>
      </c>
      <c r="G844">
        <v>16</v>
      </c>
      <c r="H844">
        <v>1</v>
      </c>
      <c r="I844" s="2">
        <f t="shared" si="39"/>
        <v>1.3962239999999999</v>
      </c>
      <c r="J844">
        <f t="shared" si="40"/>
        <v>0.12141078260869564</v>
      </c>
      <c r="K844">
        <f t="shared" si="41"/>
        <v>3.6464455471402452E-2</v>
      </c>
    </row>
    <row r="845" spans="1:11" x14ac:dyDescent="0.25">
      <c r="A845" s="1">
        <v>1996</v>
      </c>
      <c r="B845" s="1" t="s">
        <v>104</v>
      </c>
      <c r="C845" t="s">
        <v>9</v>
      </c>
      <c r="D845" s="1" t="s">
        <v>3</v>
      </c>
      <c r="E845">
        <v>32</v>
      </c>
      <c r="F845" s="1" t="s">
        <v>101</v>
      </c>
      <c r="G845">
        <v>18</v>
      </c>
      <c r="H845">
        <v>1</v>
      </c>
      <c r="I845" s="2">
        <f t="shared" si="39"/>
        <v>1.7670959999999998</v>
      </c>
      <c r="J845">
        <f t="shared" si="40"/>
        <v>0.15366052173913042</v>
      </c>
      <c r="K845">
        <f t="shared" si="41"/>
        <v>4.6150326455993727E-2</v>
      </c>
    </row>
    <row r="846" spans="1:11" x14ac:dyDescent="0.25">
      <c r="A846" s="1">
        <v>1996</v>
      </c>
      <c r="B846" s="1" t="s">
        <v>104</v>
      </c>
      <c r="C846" t="s">
        <v>9</v>
      </c>
      <c r="D846" s="1" t="s">
        <v>3</v>
      </c>
      <c r="E846">
        <v>32</v>
      </c>
      <c r="F846" s="1" t="s">
        <v>101</v>
      </c>
      <c r="G846">
        <v>20</v>
      </c>
      <c r="H846">
        <v>1</v>
      </c>
      <c r="I846" s="2">
        <f t="shared" si="39"/>
        <v>2.1816</v>
      </c>
      <c r="J846">
        <f t="shared" si="40"/>
        <v>0.18970434782608694</v>
      </c>
      <c r="K846">
        <f t="shared" si="41"/>
        <v>5.6975711674066329E-2</v>
      </c>
    </row>
    <row r="847" spans="1:11" x14ac:dyDescent="0.25">
      <c r="A847" s="1">
        <v>1996</v>
      </c>
      <c r="B847" s="1" t="s">
        <v>104</v>
      </c>
      <c r="C847" t="s">
        <v>9</v>
      </c>
      <c r="D847" s="1" t="s">
        <v>3</v>
      </c>
      <c r="E847">
        <v>34</v>
      </c>
      <c r="F847" s="1" t="s">
        <v>101</v>
      </c>
      <c r="G847">
        <v>6</v>
      </c>
      <c r="H847">
        <v>24</v>
      </c>
      <c r="I847" s="2">
        <f t="shared" si="39"/>
        <v>4.712256</v>
      </c>
      <c r="J847">
        <f t="shared" si="40"/>
        <v>0.4097613913043478</v>
      </c>
      <c r="K847">
        <f t="shared" si="41"/>
        <v>0.12306753721598328</v>
      </c>
    </row>
    <row r="848" spans="1:11" x14ac:dyDescent="0.25">
      <c r="A848" s="1">
        <v>1996</v>
      </c>
      <c r="B848" s="1" t="s">
        <v>104</v>
      </c>
      <c r="C848" t="s">
        <v>9</v>
      </c>
      <c r="D848" s="1" t="s">
        <v>3</v>
      </c>
      <c r="E848">
        <v>34</v>
      </c>
      <c r="F848" s="1" t="s">
        <v>101</v>
      </c>
      <c r="G848">
        <v>8</v>
      </c>
      <c r="H848">
        <v>27</v>
      </c>
      <c r="I848" s="2">
        <f t="shared" si="39"/>
        <v>9.424512</v>
      </c>
      <c r="J848">
        <f t="shared" si="40"/>
        <v>0.8195227826086956</v>
      </c>
      <c r="K848">
        <f t="shared" si="41"/>
        <v>0.24613507443196656</v>
      </c>
    </row>
    <row r="849" spans="1:11" x14ac:dyDescent="0.25">
      <c r="A849" s="1">
        <v>1996</v>
      </c>
      <c r="B849" s="1" t="s">
        <v>104</v>
      </c>
      <c r="C849" t="s">
        <v>9</v>
      </c>
      <c r="D849" s="1" t="s">
        <v>3</v>
      </c>
      <c r="E849">
        <v>34</v>
      </c>
      <c r="F849" s="1" t="s">
        <v>101</v>
      </c>
      <c r="G849">
        <v>10</v>
      </c>
      <c r="H849">
        <v>21</v>
      </c>
      <c r="I849" s="2">
        <f t="shared" si="39"/>
        <v>11.4534</v>
      </c>
      <c r="J849">
        <f t="shared" si="40"/>
        <v>0.99594782608695653</v>
      </c>
      <c r="K849">
        <f t="shared" si="41"/>
        <v>0.29912248628884824</v>
      </c>
    </row>
    <row r="850" spans="1:11" x14ac:dyDescent="0.25">
      <c r="A850" s="1">
        <v>1996</v>
      </c>
      <c r="B850" s="1" t="s">
        <v>104</v>
      </c>
      <c r="C850" t="s">
        <v>9</v>
      </c>
      <c r="D850" s="1" t="s">
        <v>3</v>
      </c>
      <c r="E850">
        <v>34</v>
      </c>
      <c r="F850" s="1" t="s">
        <v>101</v>
      </c>
      <c r="G850">
        <v>12</v>
      </c>
      <c r="H850">
        <v>26</v>
      </c>
      <c r="I850" s="2">
        <f t="shared" si="39"/>
        <v>20.419775999999999</v>
      </c>
      <c r="J850">
        <f t="shared" si="40"/>
        <v>1.7756326956521737</v>
      </c>
      <c r="K850">
        <f t="shared" si="41"/>
        <v>0.53329266126926089</v>
      </c>
    </row>
    <row r="851" spans="1:11" x14ac:dyDescent="0.25">
      <c r="A851" s="1">
        <v>1996</v>
      </c>
      <c r="B851" s="1" t="s">
        <v>104</v>
      </c>
      <c r="C851" t="s">
        <v>9</v>
      </c>
      <c r="D851" s="1" t="s">
        <v>3</v>
      </c>
      <c r="E851">
        <v>34</v>
      </c>
      <c r="F851" s="1" t="s">
        <v>101</v>
      </c>
      <c r="G851">
        <v>14</v>
      </c>
      <c r="H851">
        <v>15</v>
      </c>
      <c r="I851" s="2">
        <f t="shared" si="39"/>
        <v>16.034759999999999</v>
      </c>
      <c r="J851">
        <f t="shared" si="40"/>
        <v>1.3943269565217391</v>
      </c>
      <c r="K851">
        <f t="shared" si="41"/>
        <v>0.41877148080438753</v>
      </c>
    </row>
    <row r="852" spans="1:11" x14ac:dyDescent="0.25">
      <c r="A852" s="1">
        <v>1996</v>
      </c>
      <c r="B852" s="1" t="s">
        <v>104</v>
      </c>
      <c r="C852" t="s">
        <v>9</v>
      </c>
      <c r="D852" s="1" t="s">
        <v>3</v>
      </c>
      <c r="E852">
        <v>34</v>
      </c>
      <c r="F852" s="1" t="s">
        <v>101</v>
      </c>
      <c r="G852">
        <v>16</v>
      </c>
      <c r="H852">
        <v>17</v>
      </c>
      <c r="I852" s="2">
        <f t="shared" si="39"/>
        <v>23.735807999999999</v>
      </c>
      <c r="J852">
        <f t="shared" si="40"/>
        <v>2.063983304347826</v>
      </c>
      <c r="K852">
        <f t="shared" si="41"/>
        <v>0.61989574301384165</v>
      </c>
    </row>
    <row r="853" spans="1:11" x14ac:dyDescent="0.25">
      <c r="A853" s="1">
        <v>1996</v>
      </c>
      <c r="B853" s="1" t="s">
        <v>104</v>
      </c>
      <c r="C853" t="s">
        <v>9</v>
      </c>
      <c r="D853" s="1" t="s">
        <v>3</v>
      </c>
      <c r="E853">
        <v>34</v>
      </c>
      <c r="F853" s="1" t="s">
        <v>101</v>
      </c>
      <c r="G853">
        <v>18</v>
      </c>
      <c r="H853">
        <v>7</v>
      </c>
      <c r="I853" s="2">
        <f t="shared" si="39"/>
        <v>12.369671999999998</v>
      </c>
      <c r="J853">
        <f t="shared" si="40"/>
        <v>1.0756236521739129</v>
      </c>
      <c r="K853">
        <f t="shared" si="41"/>
        <v>0.32305228519195606</v>
      </c>
    </row>
    <row r="854" spans="1:11" x14ac:dyDescent="0.25">
      <c r="A854" s="1">
        <v>1996</v>
      </c>
      <c r="B854" s="1" t="s">
        <v>104</v>
      </c>
      <c r="C854" t="s">
        <v>9</v>
      </c>
      <c r="D854" s="1" t="s">
        <v>3</v>
      </c>
      <c r="E854">
        <v>34</v>
      </c>
      <c r="F854" s="1" t="s">
        <v>101</v>
      </c>
      <c r="G854">
        <v>20</v>
      </c>
      <c r="H854">
        <v>5</v>
      </c>
      <c r="I854" s="2">
        <f t="shared" si="39"/>
        <v>10.907999999999999</v>
      </c>
      <c r="J854">
        <f t="shared" si="40"/>
        <v>0.94852173913043469</v>
      </c>
      <c r="K854">
        <f t="shared" si="41"/>
        <v>0.28487855837033166</v>
      </c>
    </row>
    <row r="855" spans="1:11" x14ac:dyDescent="0.25">
      <c r="A855" s="1">
        <v>1996</v>
      </c>
      <c r="B855" s="1" t="s">
        <v>104</v>
      </c>
      <c r="C855" t="s">
        <v>9</v>
      </c>
      <c r="D855" s="1" t="s">
        <v>3</v>
      </c>
      <c r="E855">
        <v>34</v>
      </c>
      <c r="F855" s="1" t="s">
        <v>101</v>
      </c>
      <c r="G855">
        <v>24</v>
      </c>
      <c r="H855">
        <v>1</v>
      </c>
      <c r="I855" s="2">
        <f t="shared" si="39"/>
        <v>3.1415039999999999</v>
      </c>
      <c r="J855">
        <f t="shared" si="40"/>
        <v>0.2731742608695652</v>
      </c>
      <c r="K855">
        <f t="shared" si="41"/>
        <v>8.2045024810655523E-2</v>
      </c>
    </row>
    <row r="856" spans="1:11" x14ac:dyDescent="0.25">
      <c r="A856" s="1">
        <v>1996</v>
      </c>
      <c r="B856" s="1" t="s">
        <v>104</v>
      </c>
      <c r="C856" t="s">
        <v>9</v>
      </c>
      <c r="D856" s="1" t="s">
        <v>3</v>
      </c>
      <c r="E856">
        <v>38</v>
      </c>
      <c r="F856" s="1" t="s">
        <v>101</v>
      </c>
      <c r="G856">
        <v>6</v>
      </c>
      <c r="H856">
        <v>55</v>
      </c>
      <c r="I856" s="2">
        <f t="shared" si="39"/>
        <v>10.798919999999999</v>
      </c>
      <c r="J856">
        <f t="shared" si="40"/>
        <v>0.93903652173913033</v>
      </c>
      <c r="K856">
        <f t="shared" si="41"/>
        <v>0.28202977278662833</v>
      </c>
    </row>
    <row r="857" spans="1:11" x14ac:dyDescent="0.25">
      <c r="A857" s="1">
        <v>1996</v>
      </c>
      <c r="B857" s="1" t="s">
        <v>104</v>
      </c>
      <c r="C857" t="s">
        <v>9</v>
      </c>
      <c r="D857" s="1" t="s">
        <v>3</v>
      </c>
      <c r="E857">
        <v>38</v>
      </c>
      <c r="F857" s="1" t="s">
        <v>101</v>
      </c>
      <c r="G857">
        <v>8</v>
      </c>
      <c r="H857">
        <v>70</v>
      </c>
      <c r="I857" s="2">
        <f t="shared" si="39"/>
        <v>24.433919999999997</v>
      </c>
      <c r="J857">
        <f t="shared" si="40"/>
        <v>2.1246886956521736</v>
      </c>
      <c r="K857">
        <f t="shared" si="41"/>
        <v>0.63812797074954286</v>
      </c>
    </row>
    <row r="858" spans="1:11" x14ac:dyDescent="0.25">
      <c r="A858" s="1">
        <v>1996</v>
      </c>
      <c r="B858" s="1" t="s">
        <v>104</v>
      </c>
      <c r="C858" t="s">
        <v>9</v>
      </c>
      <c r="D858" s="1" t="s">
        <v>3</v>
      </c>
      <c r="E858">
        <v>38</v>
      </c>
      <c r="F858" s="1" t="s">
        <v>101</v>
      </c>
      <c r="G858">
        <v>10</v>
      </c>
      <c r="H858">
        <v>87</v>
      </c>
      <c r="I858" s="2">
        <f t="shared" si="39"/>
        <v>47.449799999999996</v>
      </c>
      <c r="J858">
        <f t="shared" si="40"/>
        <v>4.1260695652173913</v>
      </c>
      <c r="K858">
        <f t="shared" si="41"/>
        <v>1.2392217289109428</v>
      </c>
    </row>
    <row r="859" spans="1:11" x14ac:dyDescent="0.25">
      <c r="A859" s="1">
        <v>1996</v>
      </c>
      <c r="B859" s="1" t="s">
        <v>104</v>
      </c>
      <c r="C859" t="s">
        <v>9</v>
      </c>
      <c r="D859" s="1" t="s">
        <v>3</v>
      </c>
      <c r="E859">
        <v>38</v>
      </c>
      <c r="F859" s="1" t="s">
        <v>101</v>
      </c>
      <c r="G859">
        <v>12</v>
      </c>
      <c r="H859">
        <v>136</v>
      </c>
      <c r="I859" s="2">
        <f t="shared" si="39"/>
        <v>106.81113599999999</v>
      </c>
      <c r="J859">
        <f t="shared" si="40"/>
        <v>9.2879248695652166</v>
      </c>
      <c r="K859">
        <f t="shared" si="41"/>
        <v>2.7895308435622876</v>
      </c>
    </row>
    <row r="860" spans="1:11" x14ac:dyDescent="0.25">
      <c r="A860" s="1">
        <v>1996</v>
      </c>
      <c r="B860" s="1" t="s">
        <v>104</v>
      </c>
      <c r="C860" t="s">
        <v>9</v>
      </c>
      <c r="D860" s="1" t="s">
        <v>3</v>
      </c>
      <c r="E860">
        <v>38</v>
      </c>
      <c r="F860" s="1" t="s">
        <v>101</v>
      </c>
      <c r="G860">
        <v>14</v>
      </c>
      <c r="H860">
        <v>81</v>
      </c>
      <c r="I860" s="2">
        <f t="shared" si="39"/>
        <v>86.587703999999988</v>
      </c>
      <c r="J860">
        <f t="shared" si="40"/>
        <v>7.5293655652173905</v>
      </c>
      <c r="K860">
        <f t="shared" si="41"/>
        <v>2.2613659963436925</v>
      </c>
    </row>
    <row r="861" spans="1:11" x14ac:dyDescent="0.25">
      <c r="A861" s="1">
        <v>1996</v>
      </c>
      <c r="B861" s="1" t="s">
        <v>104</v>
      </c>
      <c r="C861" t="s">
        <v>9</v>
      </c>
      <c r="D861" s="1" t="s">
        <v>3</v>
      </c>
      <c r="E861">
        <v>38</v>
      </c>
      <c r="F861" s="1" t="s">
        <v>101</v>
      </c>
      <c r="G861">
        <v>16</v>
      </c>
      <c r="H861">
        <v>73</v>
      </c>
      <c r="I861" s="2">
        <f t="shared" si="39"/>
        <v>101.924352</v>
      </c>
      <c r="J861">
        <f t="shared" si="40"/>
        <v>8.8629871304347834</v>
      </c>
      <c r="K861">
        <f t="shared" si="41"/>
        <v>2.6619052494123792</v>
      </c>
    </row>
    <row r="862" spans="1:11" x14ac:dyDescent="0.25">
      <c r="A862" s="1">
        <v>1996</v>
      </c>
      <c r="B862" s="1" t="s">
        <v>104</v>
      </c>
      <c r="C862" t="s">
        <v>9</v>
      </c>
      <c r="D862" s="1" t="s">
        <v>3</v>
      </c>
      <c r="E862">
        <v>38</v>
      </c>
      <c r="F862" s="1" t="s">
        <v>101</v>
      </c>
      <c r="G862">
        <v>18</v>
      </c>
      <c r="H862">
        <v>42</v>
      </c>
      <c r="I862" s="2">
        <f t="shared" si="39"/>
        <v>74.218031999999994</v>
      </c>
      <c r="J862">
        <f t="shared" si="40"/>
        <v>6.4537419130434781</v>
      </c>
      <c r="K862">
        <f t="shared" si="41"/>
        <v>1.9383137111517366</v>
      </c>
    </row>
    <row r="863" spans="1:11" x14ac:dyDescent="0.25">
      <c r="A863" s="1">
        <v>1996</v>
      </c>
      <c r="B863" s="1" t="s">
        <v>104</v>
      </c>
      <c r="C863" t="s">
        <v>9</v>
      </c>
      <c r="D863" s="1" t="s">
        <v>3</v>
      </c>
      <c r="E863">
        <v>38</v>
      </c>
      <c r="F863" s="1" t="s">
        <v>101</v>
      </c>
      <c r="G863">
        <v>20</v>
      </c>
      <c r="H863">
        <v>18</v>
      </c>
      <c r="I863" s="2">
        <f t="shared" si="39"/>
        <v>39.268799999999999</v>
      </c>
      <c r="J863">
        <f t="shared" si="40"/>
        <v>3.4146782608695649</v>
      </c>
      <c r="K863">
        <f t="shared" si="41"/>
        <v>1.0255628101331939</v>
      </c>
    </row>
    <row r="864" spans="1:11" x14ac:dyDescent="0.25">
      <c r="A864" s="1">
        <v>1996</v>
      </c>
      <c r="B864" s="1" t="s">
        <v>104</v>
      </c>
      <c r="C864" t="s">
        <v>9</v>
      </c>
      <c r="D864" s="1" t="s">
        <v>3</v>
      </c>
      <c r="E864">
        <v>38</v>
      </c>
      <c r="F864" s="1" t="s">
        <v>101</v>
      </c>
      <c r="G864">
        <v>22</v>
      </c>
      <c r="H864">
        <v>1</v>
      </c>
      <c r="I864" s="2">
        <f t="shared" si="39"/>
        <v>2.6397359999999996</v>
      </c>
      <c r="J864">
        <f t="shared" si="40"/>
        <v>0.2295422608695652</v>
      </c>
      <c r="K864">
        <f t="shared" si="41"/>
        <v>6.8940611125620263E-2</v>
      </c>
    </row>
    <row r="865" spans="1:11" x14ac:dyDescent="0.25">
      <c r="A865" s="1">
        <v>1996</v>
      </c>
      <c r="B865" s="1" t="s">
        <v>104</v>
      </c>
      <c r="C865" t="s">
        <v>9</v>
      </c>
      <c r="D865" s="1" t="s">
        <v>3</v>
      </c>
      <c r="E865">
        <v>38</v>
      </c>
      <c r="F865" s="1" t="s">
        <v>101</v>
      </c>
      <c r="G865">
        <v>24</v>
      </c>
      <c r="H865">
        <v>1</v>
      </c>
      <c r="I865" s="2">
        <f t="shared" si="39"/>
        <v>3.1415039999999999</v>
      </c>
      <c r="J865">
        <f t="shared" si="40"/>
        <v>0.2731742608695652</v>
      </c>
      <c r="K865">
        <f t="shared" si="41"/>
        <v>8.2045024810655523E-2</v>
      </c>
    </row>
    <row r="866" spans="1:11" x14ac:dyDescent="0.25">
      <c r="A866" s="1">
        <v>1996</v>
      </c>
      <c r="B866" s="1" t="s">
        <v>104</v>
      </c>
      <c r="C866" t="s">
        <v>9</v>
      </c>
      <c r="D866" s="1" t="s">
        <v>3</v>
      </c>
      <c r="E866">
        <v>40</v>
      </c>
      <c r="F866" s="1" t="s">
        <v>101</v>
      </c>
      <c r="G866">
        <v>6</v>
      </c>
      <c r="H866">
        <v>39</v>
      </c>
      <c r="I866" s="2">
        <f t="shared" si="39"/>
        <v>7.6574159999999996</v>
      </c>
      <c r="J866">
        <f t="shared" si="40"/>
        <v>0.66586226086956513</v>
      </c>
      <c r="K866">
        <f t="shared" si="41"/>
        <v>0.19998474797597279</v>
      </c>
    </row>
    <row r="867" spans="1:11" x14ac:dyDescent="0.25">
      <c r="A867" s="1">
        <v>1996</v>
      </c>
      <c r="B867" s="1" t="s">
        <v>104</v>
      </c>
      <c r="C867" t="s">
        <v>9</v>
      </c>
      <c r="D867" s="1" t="s">
        <v>3</v>
      </c>
      <c r="E867">
        <v>40</v>
      </c>
      <c r="F867" s="1" t="s">
        <v>101</v>
      </c>
      <c r="G867">
        <v>8</v>
      </c>
      <c r="H867">
        <v>29</v>
      </c>
      <c r="I867" s="2">
        <f t="shared" si="39"/>
        <v>10.122624</v>
      </c>
      <c r="J867">
        <f t="shared" si="40"/>
        <v>0.88022817391304353</v>
      </c>
      <c r="K867">
        <f t="shared" si="41"/>
        <v>0.26436730216766779</v>
      </c>
    </row>
    <row r="868" spans="1:11" x14ac:dyDescent="0.25">
      <c r="A868" s="1">
        <v>1996</v>
      </c>
      <c r="B868" s="1" t="s">
        <v>104</v>
      </c>
      <c r="C868" t="s">
        <v>9</v>
      </c>
      <c r="D868" s="1" t="s">
        <v>3</v>
      </c>
      <c r="E868">
        <v>40</v>
      </c>
      <c r="F868" s="1" t="s">
        <v>101</v>
      </c>
      <c r="G868">
        <v>10</v>
      </c>
      <c r="H868">
        <v>35</v>
      </c>
      <c r="I868" s="2">
        <f t="shared" si="39"/>
        <v>19.088999999999999</v>
      </c>
      <c r="J868">
        <f t="shared" si="40"/>
        <v>1.6599130434782607</v>
      </c>
      <c r="K868">
        <f t="shared" si="41"/>
        <v>0.49853747714808039</v>
      </c>
    </row>
    <row r="869" spans="1:11" x14ac:dyDescent="0.25">
      <c r="A869" s="1">
        <v>1996</v>
      </c>
      <c r="B869" s="1" t="s">
        <v>104</v>
      </c>
      <c r="C869" t="s">
        <v>9</v>
      </c>
      <c r="D869" s="1" t="s">
        <v>3</v>
      </c>
      <c r="E869">
        <v>40</v>
      </c>
      <c r="F869" s="1" t="s">
        <v>101</v>
      </c>
      <c r="G869">
        <v>12</v>
      </c>
      <c r="H869">
        <v>42</v>
      </c>
      <c r="I869" s="2">
        <f t="shared" si="39"/>
        <v>32.985791999999996</v>
      </c>
      <c r="J869">
        <f t="shared" si="40"/>
        <v>2.8683297391304343</v>
      </c>
      <c r="K869">
        <f t="shared" si="41"/>
        <v>0.86147276051188282</v>
      </c>
    </row>
    <row r="870" spans="1:11" x14ac:dyDescent="0.25">
      <c r="A870" s="1">
        <v>1996</v>
      </c>
      <c r="B870" s="1" t="s">
        <v>104</v>
      </c>
      <c r="C870" t="s">
        <v>9</v>
      </c>
      <c r="D870" s="1" t="s">
        <v>3</v>
      </c>
      <c r="E870">
        <v>40</v>
      </c>
      <c r="F870" s="1" t="s">
        <v>101</v>
      </c>
      <c r="G870">
        <v>14</v>
      </c>
      <c r="H870">
        <v>44</v>
      </c>
      <c r="I870" s="2">
        <f t="shared" si="39"/>
        <v>47.035295999999995</v>
      </c>
      <c r="J870">
        <f t="shared" si="40"/>
        <v>4.090025739130434</v>
      </c>
      <c r="K870">
        <f t="shared" si="41"/>
        <v>1.22839634369287</v>
      </c>
    </row>
    <row r="871" spans="1:11" x14ac:dyDescent="0.25">
      <c r="A871" s="1">
        <v>1996</v>
      </c>
      <c r="B871" s="1" t="s">
        <v>104</v>
      </c>
      <c r="C871" t="s">
        <v>9</v>
      </c>
      <c r="D871" s="1" t="s">
        <v>3</v>
      </c>
      <c r="E871">
        <v>40</v>
      </c>
      <c r="F871" s="1" t="s">
        <v>101</v>
      </c>
      <c r="G871">
        <v>16</v>
      </c>
      <c r="H871">
        <v>43</v>
      </c>
      <c r="I871" s="2">
        <f t="shared" si="39"/>
        <v>60.037631999999995</v>
      </c>
      <c r="J871">
        <f t="shared" si="40"/>
        <v>5.2206636521739123</v>
      </c>
      <c r="K871">
        <f t="shared" si="41"/>
        <v>1.5679715852703053</v>
      </c>
    </row>
    <row r="872" spans="1:11" x14ac:dyDescent="0.25">
      <c r="A872" s="1">
        <v>1996</v>
      </c>
      <c r="B872" s="1" t="s">
        <v>104</v>
      </c>
      <c r="C872" t="s">
        <v>9</v>
      </c>
      <c r="D872" s="1" t="s">
        <v>3</v>
      </c>
      <c r="E872">
        <v>40</v>
      </c>
      <c r="F872" s="1" t="s">
        <v>101</v>
      </c>
      <c r="G872">
        <v>18</v>
      </c>
      <c r="H872">
        <v>49</v>
      </c>
      <c r="I872" s="2">
        <f t="shared" si="39"/>
        <v>86.587703999999988</v>
      </c>
      <c r="J872">
        <f t="shared" si="40"/>
        <v>7.5293655652173905</v>
      </c>
      <c r="K872">
        <f t="shared" si="41"/>
        <v>2.2613659963436925</v>
      </c>
    </row>
    <row r="873" spans="1:11" x14ac:dyDescent="0.25">
      <c r="A873" s="1">
        <v>1996</v>
      </c>
      <c r="B873" s="1" t="s">
        <v>104</v>
      </c>
      <c r="C873" t="s">
        <v>9</v>
      </c>
      <c r="D873" s="1" t="s">
        <v>3</v>
      </c>
      <c r="E873">
        <v>40</v>
      </c>
      <c r="F873" s="1" t="s">
        <v>101</v>
      </c>
      <c r="G873">
        <v>20</v>
      </c>
      <c r="H873">
        <v>26</v>
      </c>
      <c r="I873" s="2">
        <f t="shared" si="39"/>
        <v>56.721600000000002</v>
      </c>
      <c r="J873">
        <f t="shared" si="40"/>
        <v>4.9323130434782607</v>
      </c>
      <c r="K873">
        <f t="shared" si="41"/>
        <v>1.4813685035257247</v>
      </c>
    </row>
    <row r="874" spans="1:11" x14ac:dyDescent="0.25">
      <c r="A874" s="1">
        <v>1996</v>
      </c>
      <c r="B874" s="1" t="s">
        <v>104</v>
      </c>
      <c r="C874" t="s">
        <v>9</v>
      </c>
      <c r="D874" s="1" t="s">
        <v>3</v>
      </c>
      <c r="E874">
        <v>40</v>
      </c>
      <c r="F874" s="1" t="s">
        <v>101</v>
      </c>
      <c r="G874">
        <v>22</v>
      </c>
      <c r="H874">
        <v>20</v>
      </c>
      <c r="I874" s="2">
        <f t="shared" si="39"/>
        <v>52.794719999999991</v>
      </c>
      <c r="J874">
        <f t="shared" si="40"/>
        <v>4.5908452173913039</v>
      </c>
      <c r="K874">
        <f t="shared" si="41"/>
        <v>1.3788122225124051</v>
      </c>
    </row>
    <row r="875" spans="1:11" x14ac:dyDescent="0.25">
      <c r="A875" s="1">
        <v>1996</v>
      </c>
      <c r="B875" s="1" t="s">
        <v>104</v>
      </c>
      <c r="C875" t="s">
        <v>9</v>
      </c>
      <c r="D875" s="1" t="s">
        <v>3</v>
      </c>
      <c r="E875">
        <v>40</v>
      </c>
      <c r="F875" s="1" t="s">
        <v>101</v>
      </c>
      <c r="G875">
        <v>24</v>
      </c>
      <c r="H875">
        <v>8</v>
      </c>
      <c r="I875" s="2">
        <f t="shared" si="39"/>
        <v>25.132031999999999</v>
      </c>
      <c r="J875">
        <f t="shared" si="40"/>
        <v>2.1853940869565216</v>
      </c>
      <c r="K875">
        <f t="shared" si="41"/>
        <v>0.65636019848524418</v>
      </c>
    </row>
    <row r="876" spans="1:11" x14ac:dyDescent="0.25">
      <c r="A876" s="1">
        <v>1996</v>
      </c>
      <c r="B876" s="1" t="s">
        <v>104</v>
      </c>
      <c r="C876" t="s">
        <v>9</v>
      </c>
      <c r="D876" s="1" t="s">
        <v>3</v>
      </c>
      <c r="E876">
        <v>40</v>
      </c>
      <c r="F876" s="1" t="s">
        <v>101</v>
      </c>
      <c r="G876">
        <v>26</v>
      </c>
      <c r="H876">
        <v>4</v>
      </c>
      <c r="I876" s="2">
        <f t="shared" si="39"/>
        <v>14.747615999999999</v>
      </c>
      <c r="J876">
        <f t="shared" si="40"/>
        <v>1.2824013913043477</v>
      </c>
      <c r="K876">
        <f t="shared" si="41"/>
        <v>0.38515581091668838</v>
      </c>
    </row>
    <row r="877" spans="1:11" x14ac:dyDescent="0.25">
      <c r="A877" s="1">
        <v>1996</v>
      </c>
      <c r="B877" s="1" t="s">
        <v>104</v>
      </c>
      <c r="C877" t="s">
        <v>9</v>
      </c>
      <c r="D877" s="1" t="s">
        <v>3</v>
      </c>
      <c r="E877">
        <v>40</v>
      </c>
      <c r="F877" s="1" t="s">
        <v>101</v>
      </c>
      <c r="G877">
        <v>28</v>
      </c>
      <c r="H877">
        <v>1</v>
      </c>
      <c r="I877" s="2">
        <f t="shared" si="39"/>
        <v>4.2759359999999997</v>
      </c>
      <c r="J877">
        <f t="shared" si="40"/>
        <v>0.37182052173913044</v>
      </c>
      <c r="K877">
        <f t="shared" si="41"/>
        <v>0.11167239488117002</v>
      </c>
    </row>
    <row r="878" spans="1:11" x14ac:dyDescent="0.25">
      <c r="A878" s="1">
        <v>1996</v>
      </c>
      <c r="B878" s="1" t="s">
        <v>104</v>
      </c>
      <c r="C878" t="s">
        <v>9</v>
      </c>
      <c r="D878" s="1" t="s">
        <v>3</v>
      </c>
      <c r="E878">
        <v>41</v>
      </c>
      <c r="F878" s="1" t="s">
        <v>101</v>
      </c>
      <c r="G878">
        <v>6</v>
      </c>
      <c r="H878">
        <v>2</v>
      </c>
      <c r="I878" s="2">
        <f t="shared" si="39"/>
        <v>0.39268799999999998</v>
      </c>
      <c r="J878">
        <f t="shared" si="40"/>
        <v>3.414678260869565E-2</v>
      </c>
      <c r="K878">
        <f t="shared" si="41"/>
        <v>1.025562810133194E-2</v>
      </c>
    </row>
    <row r="879" spans="1:11" x14ac:dyDescent="0.25">
      <c r="A879" s="1">
        <v>1996</v>
      </c>
      <c r="B879" s="1" t="s">
        <v>104</v>
      </c>
      <c r="C879" t="s">
        <v>9</v>
      </c>
      <c r="D879" s="1" t="s">
        <v>3</v>
      </c>
      <c r="E879">
        <v>41</v>
      </c>
      <c r="F879" s="1" t="s">
        <v>101</v>
      </c>
      <c r="G879">
        <v>8</v>
      </c>
      <c r="H879">
        <v>7</v>
      </c>
      <c r="I879" s="2">
        <f t="shared" si="39"/>
        <v>2.4433919999999998</v>
      </c>
      <c r="J879">
        <f t="shared" si="40"/>
        <v>0.21246886956521738</v>
      </c>
      <c r="K879">
        <f t="shared" si="41"/>
        <v>6.3812797074954297E-2</v>
      </c>
    </row>
    <row r="880" spans="1:11" x14ac:dyDescent="0.25">
      <c r="A880" s="1">
        <v>1996</v>
      </c>
      <c r="B880" s="1" t="s">
        <v>104</v>
      </c>
      <c r="C880" t="s">
        <v>9</v>
      </c>
      <c r="D880" s="1" t="s">
        <v>3</v>
      </c>
      <c r="E880">
        <v>41</v>
      </c>
      <c r="F880" s="1" t="s">
        <v>101</v>
      </c>
      <c r="G880">
        <v>10</v>
      </c>
      <c r="H880">
        <v>8</v>
      </c>
      <c r="I880" s="2">
        <f t="shared" si="39"/>
        <v>4.3632</v>
      </c>
      <c r="J880">
        <f t="shared" si="40"/>
        <v>0.37940869565217389</v>
      </c>
      <c r="K880">
        <f t="shared" si="41"/>
        <v>0.11395142334813266</v>
      </c>
    </row>
    <row r="881" spans="1:11" x14ac:dyDescent="0.25">
      <c r="A881" s="1">
        <v>1996</v>
      </c>
      <c r="B881" s="1" t="s">
        <v>104</v>
      </c>
      <c r="C881" t="s">
        <v>9</v>
      </c>
      <c r="D881" s="1" t="s">
        <v>3</v>
      </c>
      <c r="E881">
        <v>41</v>
      </c>
      <c r="F881" s="1" t="s">
        <v>101</v>
      </c>
      <c r="G881">
        <v>12</v>
      </c>
      <c r="H881">
        <v>6</v>
      </c>
      <c r="I881" s="2">
        <f t="shared" si="39"/>
        <v>4.712256</v>
      </c>
      <c r="J881">
        <f t="shared" si="40"/>
        <v>0.4097613913043478</v>
      </c>
      <c r="K881">
        <f t="shared" si="41"/>
        <v>0.12306753721598328</v>
      </c>
    </row>
    <row r="882" spans="1:11" x14ac:dyDescent="0.25">
      <c r="A882" s="1">
        <v>1996</v>
      </c>
      <c r="B882" s="1" t="s">
        <v>104</v>
      </c>
      <c r="C882" t="s">
        <v>9</v>
      </c>
      <c r="D882" s="1" t="s">
        <v>3</v>
      </c>
      <c r="E882">
        <v>41</v>
      </c>
      <c r="F882" s="1" t="s">
        <v>101</v>
      </c>
      <c r="G882">
        <v>14</v>
      </c>
      <c r="H882">
        <v>11</v>
      </c>
      <c r="I882" s="2">
        <f t="shared" si="39"/>
        <v>11.758823999999999</v>
      </c>
      <c r="J882">
        <f t="shared" si="40"/>
        <v>1.0225064347826085</v>
      </c>
      <c r="K882">
        <f t="shared" si="41"/>
        <v>0.3070990859232175</v>
      </c>
    </row>
    <row r="883" spans="1:11" x14ac:dyDescent="0.25">
      <c r="A883" s="1">
        <v>1996</v>
      </c>
      <c r="B883" s="1" t="s">
        <v>104</v>
      </c>
      <c r="C883" t="s">
        <v>9</v>
      </c>
      <c r="D883" s="1" t="s">
        <v>3</v>
      </c>
      <c r="E883">
        <v>41</v>
      </c>
      <c r="F883" s="1" t="s">
        <v>101</v>
      </c>
      <c r="G883">
        <v>16</v>
      </c>
      <c r="H883">
        <v>16</v>
      </c>
      <c r="I883" s="2">
        <f t="shared" si="39"/>
        <v>22.339583999999999</v>
      </c>
      <c r="J883">
        <f t="shared" si="40"/>
        <v>1.9425725217391303</v>
      </c>
      <c r="K883">
        <f t="shared" si="41"/>
        <v>0.58343128754243923</v>
      </c>
    </row>
    <row r="884" spans="1:11" x14ac:dyDescent="0.25">
      <c r="A884" s="1">
        <v>1996</v>
      </c>
      <c r="B884" s="1" t="s">
        <v>104</v>
      </c>
      <c r="C884" t="s">
        <v>9</v>
      </c>
      <c r="D884" s="1" t="s">
        <v>3</v>
      </c>
      <c r="E884">
        <v>41</v>
      </c>
      <c r="F884" s="1" t="s">
        <v>101</v>
      </c>
      <c r="G884">
        <v>18</v>
      </c>
      <c r="H884">
        <v>13</v>
      </c>
      <c r="I884" s="2">
        <f t="shared" si="39"/>
        <v>22.972247999999997</v>
      </c>
      <c r="J884">
        <f t="shared" si="40"/>
        <v>1.9975867826086955</v>
      </c>
      <c r="K884">
        <f t="shared" si="41"/>
        <v>0.59995424392791841</v>
      </c>
    </row>
    <row r="885" spans="1:11" x14ac:dyDescent="0.25">
      <c r="A885" s="1">
        <v>1996</v>
      </c>
      <c r="B885" s="1" t="s">
        <v>104</v>
      </c>
      <c r="C885" t="s">
        <v>9</v>
      </c>
      <c r="D885" s="1" t="s">
        <v>3</v>
      </c>
      <c r="E885">
        <v>41</v>
      </c>
      <c r="F885" s="1" t="s">
        <v>101</v>
      </c>
      <c r="G885">
        <v>20</v>
      </c>
      <c r="H885">
        <v>6</v>
      </c>
      <c r="I885" s="2">
        <f t="shared" si="39"/>
        <v>13.089600000000001</v>
      </c>
      <c r="J885">
        <f t="shared" si="40"/>
        <v>1.1382260869565217</v>
      </c>
      <c r="K885">
        <f t="shared" si="41"/>
        <v>0.341854270044398</v>
      </c>
    </row>
    <row r="886" spans="1:11" x14ac:dyDescent="0.25">
      <c r="A886" s="1">
        <v>1996</v>
      </c>
      <c r="B886" s="1" t="s">
        <v>104</v>
      </c>
      <c r="C886" t="s">
        <v>9</v>
      </c>
      <c r="D886" s="1" t="s">
        <v>3</v>
      </c>
      <c r="E886">
        <v>41</v>
      </c>
      <c r="F886" s="1" t="s">
        <v>101</v>
      </c>
      <c r="G886">
        <v>22</v>
      </c>
      <c r="H886">
        <v>1</v>
      </c>
      <c r="I886" s="2">
        <f t="shared" si="39"/>
        <v>2.6397359999999996</v>
      </c>
      <c r="J886">
        <f t="shared" si="40"/>
        <v>0.2295422608695652</v>
      </c>
      <c r="K886">
        <f t="shared" si="41"/>
        <v>6.8940611125620263E-2</v>
      </c>
    </row>
    <row r="887" spans="1:11" x14ac:dyDescent="0.25">
      <c r="A887" s="1">
        <v>1996</v>
      </c>
      <c r="B887" s="1" t="s">
        <v>104</v>
      </c>
      <c r="C887" t="s">
        <v>9</v>
      </c>
      <c r="D887" s="1" t="s">
        <v>3</v>
      </c>
      <c r="E887">
        <v>47</v>
      </c>
      <c r="F887" s="1" t="s">
        <v>101</v>
      </c>
      <c r="G887">
        <v>16</v>
      </c>
      <c r="H887">
        <v>1</v>
      </c>
      <c r="I887" s="2">
        <f t="shared" si="39"/>
        <v>1.3962239999999999</v>
      </c>
      <c r="J887">
        <f t="shared" si="40"/>
        <v>0.12141078260869564</v>
      </c>
      <c r="K887">
        <f t="shared" si="41"/>
        <v>3.6464455471402452E-2</v>
      </c>
    </row>
    <row r="888" spans="1:11" x14ac:dyDescent="0.25">
      <c r="A888" s="1">
        <v>1996</v>
      </c>
      <c r="B888" s="1" t="s">
        <v>104</v>
      </c>
      <c r="C888" t="s">
        <v>9</v>
      </c>
      <c r="D888" s="1" t="s">
        <v>3</v>
      </c>
      <c r="E888">
        <v>53</v>
      </c>
      <c r="F888" s="1" t="s">
        <v>101</v>
      </c>
      <c r="G888">
        <v>6</v>
      </c>
      <c r="H888">
        <v>8</v>
      </c>
      <c r="I888" s="2">
        <f t="shared" si="39"/>
        <v>1.5707519999999999</v>
      </c>
      <c r="J888">
        <f t="shared" si="40"/>
        <v>0.1365871304347826</v>
      </c>
      <c r="K888">
        <f t="shared" si="41"/>
        <v>4.1022512405327761E-2</v>
      </c>
    </row>
    <row r="889" spans="1:11" x14ac:dyDescent="0.25">
      <c r="A889" s="1">
        <v>1996</v>
      </c>
      <c r="B889" s="1" t="s">
        <v>104</v>
      </c>
      <c r="C889" t="s">
        <v>9</v>
      </c>
      <c r="D889" s="1" t="s">
        <v>3</v>
      </c>
      <c r="E889">
        <v>53</v>
      </c>
      <c r="F889" s="1" t="s">
        <v>101</v>
      </c>
      <c r="G889">
        <v>8</v>
      </c>
      <c r="H889">
        <v>8</v>
      </c>
      <c r="I889" s="2">
        <f t="shared" si="39"/>
        <v>2.7924479999999998</v>
      </c>
      <c r="J889">
        <f t="shared" si="40"/>
        <v>0.24282156521739129</v>
      </c>
      <c r="K889">
        <f t="shared" si="41"/>
        <v>7.2928910942804903E-2</v>
      </c>
    </row>
    <row r="890" spans="1:11" x14ac:dyDescent="0.25">
      <c r="A890" s="1">
        <v>1996</v>
      </c>
      <c r="B890" s="1" t="s">
        <v>104</v>
      </c>
      <c r="C890" t="s">
        <v>9</v>
      </c>
      <c r="D890" s="1" t="s">
        <v>3</v>
      </c>
      <c r="E890">
        <v>53</v>
      </c>
      <c r="F890" s="1" t="s">
        <v>101</v>
      </c>
      <c r="G890">
        <v>10</v>
      </c>
      <c r="H890">
        <v>10</v>
      </c>
      <c r="I890" s="2">
        <f t="shared" si="39"/>
        <v>5.4539999999999997</v>
      </c>
      <c r="J890">
        <f t="shared" si="40"/>
        <v>0.47426086956521735</v>
      </c>
      <c r="K890">
        <f t="shared" si="41"/>
        <v>0.14243927918516583</v>
      </c>
    </row>
    <row r="891" spans="1:11" x14ac:dyDescent="0.25">
      <c r="A891" s="1">
        <v>1996</v>
      </c>
      <c r="B891" s="1" t="s">
        <v>104</v>
      </c>
      <c r="C891" t="s">
        <v>9</v>
      </c>
      <c r="D891" s="1" t="s">
        <v>3</v>
      </c>
      <c r="E891">
        <v>53</v>
      </c>
      <c r="F891" s="1" t="s">
        <v>101</v>
      </c>
      <c r="G891">
        <v>12</v>
      </c>
      <c r="H891">
        <v>4</v>
      </c>
      <c r="I891" s="2">
        <f t="shared" si="39"/>
        <v>3.1415039999999999</v>
      </c>
      <c r="J891">
        <f t="shared" si="40"/>
        <v>0.2731742608695652</v>
      </c>
      <c r="K891">
        <f t="shared" si="41"/>
        <v>8.2045024810655523E-2</v>
      </c>
    </row>
    <row r="892" spans="1:11" x14ac:dyDescent="0.25">
      <c r="A892" s="1">
        <v>1996</v>
      </c>
      <c r="B892" s="1" t="s">
        <v>104</v>
      </c>
      <c r="C892" t="s">
        <v>9</v>
      </c>
      <c r="D892" s="1" t="s">
        <v>3</v>
      </c>
      <c r="E892">
        <v>53</v>
      </c>
      <c r="F892" s="1" t="s">
        <v>101</v>
      </c>
      <c r="G892">
        <v>14</v>
      </c>
      <c r="H892">
        <v>3</v>
      </c>
      <c r="I892" s="2">
        <f t="shared" si="39"/>
        <v>3.2069519999999998</v>
      </c>
      <c r="J892">
        <f t="shared" si="40"/>
        <v>0.27886539130434779</v>
      </c>
      <c r="K892">
        <f t="shared" si="41"/>
        <v>8.3754296160877498E-2</v>
      </c>
    </row>
    <row r="893" spans="1:11" x14ac:dyDescent="0.25">
      <c r="A893" s="1">
        <v>1996</v>
      </c>
      <c r="B893" s="1" t="s">
        <v>104</v>
      </c>
      <c r="C893" t="s">
        <v>9</v>
      </c>
      <c r="D893" s="1" t="s">
        <v>3</v>
      </c>
      <c r="E893">
        <v>53</v>
      </c>
      <c r="F893" s="1" t="s">
        <v>101</v>
      </c>
      <c r="G893">
        <v>18</v>
      </c>
      <c r="H893">
        <v>4</v>
      </c>
      <c r="I893" s="2">
        <f t="shared" si="39"/>
        <v>7.0683839999999991</v>
      </c>
      <c r="J893">
        <f t="shared" si="40"/>
        <v>0.61464208695652167</v>
      </c>
      <c r="K893">
        <f t="shared" si="41"/>
        <v>0.18460130582397491</v>
      </c>
    </row>
    <row r="894" spans="1:11" x14ac:dyDescent="0.25">
      <c r="A894" s="1">
        <v>1996</v>
      </c>
      <c r="B894" s="1" t="s">
        <v>104</v>
      </c>
      <c r="C894" t="s">
        <v>9</v>
      </c>
      <c r="D894" s="1" t="s">
        <v>3</v>
      </c>
      <c r="E894">
        <v>54</v>
      </c>
      <c r="F894" s="1" t="s">
        <v>101</v>
      </c>
      <c r="G894">
        <v>6</v>
      </c>
      <c r="H894">
        <v>3</v>
      </c>
      <c r="I894" s="2">
        <f t="shared" si="39"/>
        <v>0.589032</v>
      </c>
      <c r="J894">
        <f t="shared" si="40"/>
        <v>5.1220173913043475E-2</v>
      </c>
      <c r="K894">
        <f t="shared" si="41"/>
        <v>1.538344215199791E-2</v>
      </c>
    </row>
    <row r="895" spans="1:11" x14ac:dyDescent="0.25">
      <c r="A895" s="1">
        <v>1996</v>
      </c>
      <c r="B895" s="1" t="s">
        <v>104</v>
      </c>
      <c r="C895" t="s">
        <v>9</v>
      </c>
      <c r="D895" s="1" t="s">
        <v>3</v>
      </c>
      <c r="E895">
        <v>54</v>
      </c>
      <c r="F895" s="1" t="s">
        <v>101</v>
      </c>
      <c r="G895">
        <v>8</v>
      </c>
      <c r="H895">
        <v>1</v>
      </c>
      <c r="I895" s="2">
        <f t="shared" si="39"/>
        <v>0.34905599999999998</v>
      </c>
      <c r="J895">
        <f t="shared" si="40"/>
        <v>3.0352695652173911E-2</v>
      </c>
      <c r="K895">
        <f t="shared" si="41"/>
        <v>9.1161138678506129E-3</v>
      </c>
    </row>
    <row r="896" spans="1:11" x14ac:dyDescent="0.25">
      <c r="A896" s="1">
        <v>1996</v>
      </c>
      <c r="B896" s="1" t="s">
        <v>104</v>
      </c>
      <c r="C896" t="s">
        <v>9</v>
      </c>
      <c r="D896" s="1" t="s">
        <v>3</v>
      </c>
      <c r="E896">
        <v>56</v>
      </c>
      <c r="F896" s="1" t="s">
        <v>101</v>
      </c>
      <c r="G896">
        <v>6</v>
      </c>
      <c r="H896">
        <v>2</v>
      </c>
      <c r="I896" s="2">
        <f t="shared" si="39"/>
        <v>0.39268799999999998</v>
      </c>
      <c r="J896">
        <f t="shared" si="40"/>
        <v>3.414678260869565E-2</v>
      </c>
      <c r="K896">
        <f t="shared" si="41"/>
        <v>1.025562810133194E-2</v>
      </c>
    </row>
    <row r="897" spans="1:11" x14ac:dyDescent="0.25">
      <c r="A897" s="1">
        <v>1996</v>
      </c>
      <c r="B897" s="1" t="s">
        <v>104</v>
      </c>
      <c r="C897" t="s">
        <v>9</v>
      </c>
      <c r="D897" s="1" t="s">
        <v>3</v>
      </c>
      <c r="E897">
        <v>56</v>
      </c>
      <c r="F897" s="1" t="s">
        <v>101</v>
      </c>
      <c r="G897">
        <v>8</v>
      </c>
      <c r="H897">
        <v>1</v>
      </c>
      <c r="I897" s="2">
        <f t="shared" si="39"/>
        <v>0.34905599999999998</v>
      </c>
      <c r="J897">
        <f t="shared" si="40"/>
        <v>3.0352695652173911E-2</v>
      </c>
      <c r="K897">
        <f t="shared" si="41"/>
        <v>9.1161138678506129E-3</v>
      </c>
    </row>
    <row r="898" spans="1:11" x14ac:dyDescent="0.25">
      <c r="A898" s="1">
        <v>1996</v>
      </c>
      <c r="B898" s="1" t="s">
        <v>104</v>
      </c>
      <c r="C898" t="s">
        <v>9</v>
      </c>
      <c r="D898" s="1" t="s">
        <v>3</v>
      </c>
      <c r="E898">
        <v>56</v>
      </c>
      <c r="F898" s="1" t="s">
        <v>101</v>
      </c>
      <c r="G898">
        <v>10</v>
      </c>
      <c r="H898">
        <v>4</v>
      </c>
      <c r="I898" s="2">
        <f t="shared" si="39"/>
        <v>2.1816</v>
      </c>
      <c r="J898">
        <f t="shared" si="40"/>
        <v>0.18970434782608694</v>
      </c>
      <c r="K898">
        <f t="shared" si="41"/>
        <v>5.6975711674066329E-2</v>
      </c>
    </row>
    <row r="899" spans="1:11" x14ac:dyDescent="0.25">
      <c r="A899" s="1">
        <v>1996</v>
      </c>
      <c r="B899" s="1" t="s">
        <v>104</v>
      </c>
      <c r="C899" t="s">
        <v>9</v>
      </c>
      <c r="D899" s="1" t="s">
        <v>3</v>
      </c>
      <c r="E899">
        <v>56</v>
      </c>
      <c r="F899" s="1" t="s">
        <v>101</v>
      </c>
      <c r="G899">
        <v>12</v>
      </c>
      <c r="H899">
        <v>9</v>
      </c>
      <c r="I899" s="2">
        <f t="shared" ref="I899:I962" si="42">0.005454*G899^2*H899</f>
        <v>7.068384</v>
      </c>
      <c r="J899">
        <f t="shared" ref="J899:J962" si="43">I899/11.5</f>
        <v>0.61464208695652178</v>
      </c>
      <c r="K899">
        <f t="shared" ref="K899:K962" si="44">J899*(11.5/38.29)</f>
        <v>0.18460130582397494</v>
      </c>
    </row>
    <row r="900" spans="1:11" x14ac:dyDescent="0.25">
      <c r="A900" s="1">
        <v>1996</v>
      </c>
      <c r="B900" s="1" t="s">
        <v>104</v>
      </c>
      <c r="C900" t="s">
        <v>9</v>
      </c>
      <c r="D900" s="1" t="s">
        <v>3</v>
      </c>
      <c r="E900">
        <v>56</v>
      </c>
      <c r="F900" s="1" t="s">
        <v>101</v>
      </c>
      <c r="G900">
        <v>14</v>
      </c>
      <c r="H900">
        <v>3</v>
      </c>
      <c r="I900" s="2">
        <f t="shared" si="42"/>
        <v>3.2069519999999998</v>
      </c>
      <c r="J900">
        <f t="shared" si="43"/>
        <v>0.27886539130434779</v>
      </c>
      <c r="K900">
        <f t="shared" si="44"/>
        <v>8.3754296160877498E-2</v>
      </c>
    </row>
    <row r="901" spans="1:11" x14ac:dyDescent="0.25">
      <c r="A901" s="1">
        <v>1996</v>
      </c>
      <c r="B901" s="1" t="s">
        <v>104</v>
      </c>
      <c r="C901" t="s">
        <v>9</v>
      </c>
      <c r="D901" s="1" t="s">
        <v>3</v>
      </c>
      <c r="E901">
        <v>56</v>
      </c>
      <c r="F901" s="1" t="s">
        <v>101</v>
      </c>
      <c r="G901">
        <v>16</v>
      </c>
      <c r="H901">
        <v>4</v>
      </c>
      <c r="I901" s="2">
        <f t="shared" si="42"/>
        <v>5.5848959999999996</v>
      </c>
      <c r="J901">
        <f t="shared" si="43"/>
        <v>0.48564313043478258</v>
      </c>
      <c r="K901">
        <f t="shared" si="44"/>
        <v>0.14585782188560981</v>
      </c>
    </row>
    <row r="902" spans="1:11" x14ac:dyDescent="0.25">
      <c r="A902" s="1">
        <v>1996</v>
      </c>
      <c r="B902" s="1" t="s">
        <v>104</v>
      </c>
      <c r="C902" t="s">
        <v>9</v>
      </c>
      <c r="D902" s="1" t="s">
        <v>3</v>
      </c>
      <c r="E902">
        <v>56</v>
      </c>
      <c r="F902" s="1" t="s">
        <v>101</v>
      </c>
      <c r="G902">
        <v>18</v>
      </c>
      <c r="H902">
        <v>5</v>
      </c>
      <c r="I902" s="2">
        <f t="shared" si="42"/>
        <v>8.8354799999999987</v>
      </c>
      <c r="J902">
        <f t="shared" si="43"/>
        <v>0.76830260869565203</v>
      </c>
      <c r="K902">
        <f t="shared" si="44"/>
        <v>0.23075163227996862</v>
      </c>
    </row>
    <row r="903" spans="1:11" x14ac:dyDescent="0.25">
      <c r="A903" s="1">
        <v>1996</v>
      </c>
      <c r="B903" s="1" t="s">
        <v>104</v>
      </c>
      <c r="C903" t="s">
        <v>9</v>
      </c>
      <c r="D903" s="1" t="s">
        <v>3</v>
      </c>
      <c r="E903">
        <v>56</v>
      </c>
      <c r="F903" s="1" t="s">
        <v>101</v>
      </c>
      <c r="G903">
        <v>20</v>
      </c>
      <c r="H903">
        <v>7</v>
      </c>
      <c r="I903" s="2">
        <f t="shared" si="42"/>
        <v>15.2712</v>
      </c>
      <c r="J903">
        <f t="shared" si="43"/>
        <v>1.3279304347826086</v>
      </c>
      <c r="K903">
        <f t="shared" si="44"/>
        <v>0.39882998171846434</v>
      </c>
    </row>
    <row r="904" spans="1:11" x14ac:dyDescent="0.25">
      <c r="A904" s="1">
        <v>1996</v>
      </c>
      <c r="B904" s="1" t="s">
        <v>104</v>
      </c>
      <c r="C904" t="s">
        <v>9</v>
      </c>
      <c r="D904" s="1" t="s">
        <v>3</v>
      </c>
      <c r="E904">
        <v>58</v>
      </c>
      <c r="F904" s="1" t="s">
        <v>101</v>
      </c>
      <c r="G904">
        <v>6</v>
      </c>
      <c r="H904">
        <v>2</v>
      </c>
      <c r="I904" s="2">
        <f t="shared" si="42"/>
        <v>0.39268799999999998</v>
      </c>
      <c r="J904">
        <f t="shared" si="43"/>
        <v>3.414678260869565E-2</v>
      </c>
      <c r="K904">
        <f t="shared" si="44"/>
        <v>1.025562810133194E-2</v>
      </c>
    </row>
    <row r="905" spans="1:11" x14ac:dyDescent="0.25">
      <c r="A905" s="1">
        <v>1996</v>
      </c>
      <c r="B905" s="1" t="s">
        <v>104</v>
      </c>
      <c r="C905" t="s">
        <v>9</v>
      </c>
      <c r="D905" s="1" t="s">
        <v>3</v>
      </c>
      <c r="E905">
        <v>58</v>
      </c>
      <c r="F905" s="1" t="s">
        <v>101</v>
      </c>
      <c r="G905">
        <v>8</v>
      </c>
      <c r="H905">
        <v>4</v>
      </c>
      <c r="I905" s="2">
        <f t="shared" si="42"/>
        <v>1.3962239999999999</v>
      </c>
      <c r="J905">
        <f t="shared" si="43"/>
        <v>0.12141078260869564</v>
      </c>
      <c r="K905">
        <f t="shared" si="44"/>
        <v>3.6464455471402452E-2</v>
      </c>
    </row>
    <row r="906" spans="1:11" x14ac:dyDescent="0.25">
      <c r="A906" s="1">
        <v>1996</v>
      </c>
      <c r="B906" s="1" t="s">
        <v>104</v>
      </c>
      <c r="C906" t="s">
        <v>9</v>
      </c>
      <c r="D906" s="1" t="s">
        <v>3</v>
      </c>
      <c r="E906">
        <v>58</v>
      </c>
      <c r="F906" s="1" t="s">
        <v>101</v>
      </c>
      <c r="G906">
        <v>10</v>
      </c>
      <c r="H906">
        <v>2</v>
      </c>
      <c r="I906" s="2">
        <f t="shared" si="42"/>
        <v>1.0908</v>
      </c>
      <c r="J906">
        <f t="shared" si="43"/>
        <v>9.4852173913043472E-2</v>
      </c>
      <c r="K906">
        <f t="shared" si="44"/>
        <v>2.8487855837033164E-2</v>
      </c>
    </row>
    <row r="907" spans="1:11" x14ac:dyDescent="0.25">
      <c r="A907" s="1">
        <v>1996</v>
      </c>
      <c r="B907" s="1" t="s">
        <v>104</v>
      </c>
      <c r="C907" t="s">
        <v>9</v>
      </c>
      <c r="D907" s="1" t="s">
        <v>3</v>
      </c>
      <c r="E907">
        <v>63</v>
      </c>
      <c r="F907" s="1" t="s">
        <v>101</v>
      </c>
      <c r="G907">
        <v>6</v>
      </c>
      <c r="H907">
        <v>36</v>
      </c>
      <c r="I907" s="2">
        <f t="shared" si="42"/>
        <v>7.068384</v>
      </c>
      <c r="J907">
        <f t="shared" si="43"/>
        <v>0.61464208695652178</v>
      </c>
      <c r="K907">
        <f t="shared" si="44"/>
        <v>0.18460130582397494</v>
      </c>
    </row>
    <row r="908" spans="1:11" x14ac:dyDescent="0.25">
      <c r="A908" s="1">
        <v>1996</v>
      </c>
      <c r="B908" s="1" t="s">
        <v>104</v>
      </c>
      <c r="C908" t="s">
        <v>9</v>
      </c>
      <c r="D908" s="1" t="s">
        <v>3</v>
      </c>
      <c r="E908">
        <v>63</v>
      </c>
      <c r="F908" s="1" t="s">
        <v>101</v>
      </c>
      <c r="G908">
        <v>8</v>
      </c>
      <c r="H908">
        <v>2</v>
      </c>
      <c r="I908" s="2">
        <f t="shared" si="42"/>
        <v>0.69811199999999995</v>
      </c>
      <c r="J908">
        <f t="shared" si="43"/>
        <v>6.0705391304347822E-2</v>
      </c>
      <c r="K908">
        <f t="shared" si="44"/>
        <v>1.8232227735701226E-2</v>
      </c>
    </row>
    <row r="909" spans="1:11" x14ac:dyDescent="0.25">
      <c r="A909" s="1">
        <v>1996</v>
      </c>
      <c r="B909" s="1" t="s">
        <v>104</v>
      </c>
      <c r="C909" t="s">
        <v>9</v>
      </c>
      <c r="D909" s="1" t="s">
        <v>3</v>
      </c>
      <c r="E909">
        <v>63</v>
      </c>
      <c r="F909" s="1" t="s">
        <v>101</v>
      </c>
      <c r="G909">
        <v>10</v>
      </c>
      <c r="H909">
        <v>1</v>
      </c>
      <c r="I909" s="2">
        <f t="shared" si="42"/>
        <v>0.5454</v>
      </c>
      <c r="J909">
        <f t="shared" si="43"/>
        <v>4.7426086956521736E-2</v>
      </c>
      <c r="K909">
        <f t="shared" si="44"/>
        <v>1.4243927918516582E-2</v>
      </c>
    </row>
    <row r="910" spans="1:11" x14ac:dyDescent="0.25">
      <c r="A910" s="1">
        <v>1996</v>
      </c>
      <c r="B910" s="1" t="s">
        <v>104</v>
      </c>
      <c r="C910" t="s">
        <v>9</v>
      </c>
      <c r="D910" s="1" t="s">
        <v>3</v>
      </c>
      <c r="E910">
        <v>66</v>
      </c>
      <c r="F910" s="1" t="s">
        <v>101</v>
      </c>
      <c r="G910">
        <v>6</v>
      </c>
      <c r="H910">
        <v>1</v>
      </c>
      <c r="I910" s="2">
        <f t="shared" si="42"/>
        <v>0.19634399999999999</v>
      </c>
      <c r="J910">
        <f t="shared" si="43"/>
        <v>1.7073391304347825E-2</v>
      </c>
      <c r="K910">
        <f t="shared" si="44"/>
        <v>5.1278140506659702E-3</v>
      </c>
    </row>
    <row r="911" spans="1:11" x14ac:dyDescent="0.25">
      <c r="A911" s="1">
        <v>1996</v>
      </c>
      <c r="B911" s="1" t="s">
        <v>104</v>
      </c>
      <c r="C911" t="s">
        <v>9</v>
      </c>
      <c r="D911" s="1" t="s">
        <v>3</v>
      </c>
      <c r="E911">
        <v>66</v>
      </c>
      <c r="F911" s="1" t="s">
        <v>101</v>
      </c>
      <c r="G911">
        <v>8</v>
      </c>
      <c r="H911">
        <v>1</v>
      </c>
      <c r="I911" s="2">
        <f t="shared" si="42"/>
        <v>0.34905599999999998</v>
      </c>
      <c r="J911">
        <f t="shared" si="43"/>
        <v>3.0352695652173911E-2</v>
      </c>
      <c r="K911">
        <f t="shared" si="44"/>
        <v>9.1161138678506129E-3</v>
      </c>
    </row>
    <row r="912" spans="1:11" x14ac:dyDescent="0.25">
      <c r="A912" s="1">
        <v>1996</v>
      </c>
      <c r="B912" s="1" t="s">
        <v>104</v>
      </c>
      <c r="C912" t="s">
        <v>9</v>
      </c>
      <c r="D912" s="1" t="s">
        <v>3</v>
      </c>
      <c r="E912">
        <v>66</v>
      </c>
      <c r="F912" s="1" t="s">
        <v>101</v>
      </c>
      <c r="G912">
        <v>10</v>
      </c>
      <c r="H912">
        <v>1</v>
      </c>
      <c r="I912" s="2">
        <f t="shared" si="42"/>
        <v>0.5454</v>
      </c>
      <c r="J912">
        <f t="shared" si="43"/>
        <v>4.7426086956521736E-2</v>
      </c>
      <c r="K912">
        <f t="shared" si="44"/>
        <v>1.4243927918516582E-2</v>
      </c>
    </row>
    <row r="913" spans="1:11" x14ac:dyDescent="0.25">
      <c r="A913" s="1">
        <v>1996</v>
      </c>
      <c r="B913" s="1" t="s">
        <v>104</v>
      </c>
      <c r="C913" t="s">
        <v>9</v>
      </c>
      <c r="D913" s="1" t="s">
        <v>3</v>
      </c>
      <c r="E913">
        <v>66</v>
      </c>
      <c r="F913" s="1" t="s">
        <v>101</v>
      </c>
      <c r="G913">
        <v>12</v>
      </c>
      <c r="H913">
        <v>2</v>
      </c>
      <c r="I913" s="2">
        <f t="shared" si="42"/>
        <v>1.5707519999999999</v>
      </c>
      <c r="J913">
        <f t="shared" si="43"/>
        <v>0.1365871304347826</v>
      </c>
      <c r="K913">
        <f t="shared" si="44"/>
        <v>4.1022512405327761E-2</v>
      </c>
    </row>
    <row r="914" spans="1:11" x14ac:dyDescent="0.25">
      <c r="A914" s="1">
        <v>1996</v>
      </c>
      <c r="B914" s="1" t="s">
        <v>104</v>
      </c>
      <c r="C914" t="s">
        <v>9</v>
      </c>
      <c r="D914" s="1" t="s">
        <v>3</v>
      </c>
      <c r="E914">
        <v>66</v>
      </c>
      <c r="F914" s="1" t="s">
        <v>101</v>
      </c>
      <c r="G914">
        <v>14</v>
      </c>
      <c r="H914">
        <v>1</v>
      </c>
      <c r="I914" s="2">
        <f t="shared" si="42"/>
        <v>1.0689839999999999</v>
      </c>
      <c r="J914">
        <f t="shared" si="43"/>
        <v>9.295513043478261E-2</v>
      </c>
      <c r="K914">
        <f t="shared" si="44"/>
        <v>2.7918098720292505E-2</v>
      </c>
    </row>
    <row r="915" spans="1:11" x14ac:dyDescent="0.25">
      <c r="A915" s="1">
        <v>1996</v>
      </c>
      <c r="B915" s="1" t="s">
        <v>104</v>
      </c>
      <c r="C915" t="s">
        <v>9</v>
      </c>
      <c r="D915" s="1" t="s">
        <v>3</v>
      </c>
      <c r="E915">
        <v>66</v>
      </c>
      <c r="F915" s="1" t="s">
        <v>101</v>
      </c>
      <c r="G915">
        <v>16</v>
      </c>
      <c r="H915">
        <v>1</v>
      </c>
      <c r="I915" s="2">
        <f t="shared" si="42"/>
        <v>1.3962239999999999</v>
      </c>
      <c r="J915">
        <f t="shared" si="43"/>
        <v>0.12141078260869564</v>
      </c>
      <c r="K915">
        <f t="shared" si="44"/>
        <v>3.6464455471402452E-2</v>
      </c>
    </row>
    <row r="916" spans="1:11" x14ac:dyDescent="0.25">
      <c r="A916" s="1">
        <v>1996</v>
      </c>
      <c r="B916" s="1" t="s">
        <v>104</v>
      </c>
      <c r="C916" t="s">
        <v>9</v>
      </c>
      <c r="D916" s="1" t="s">
        <v>3</v>
      </c>
      <c r="E916">
        <v>66</v>
      </c>
      <c r="F916" s="1" t="s">
        <v>101</v>
      </c>
      <c r="G916">
        <v>18</v>
      </c>
      <c r="H916">
        <v>1</v>
      </c>
      <c r="I916" s="2">
        <f t="shared" si="42"/>
        <v>1.7670959999999998</v>
      </c>
      <c r="J916">
        <f t="shared" si="43"/>
        <v>0.15366052173913042</v>
      </c>
      <c r="K916">
        <f t="shared" si="44"/>
        <v>4.6150326455993727E-2</v>
      </c>
    </row>
    <row r="917" spans="1:11" x14ac:dyDescent="0.25">
      <c r="A917" s="1">
        <v>1996</v>
      </c>
      <c r="B917" s="1" t="s">
        <v>104</v>
      </c>
      <c r="C917" t="s">
        <v>9</v>
      </c>
      <c r="D917" s="1" t="s">
        <v>3</v>
      </c>
      <c r="E917">
        <v>66</v>
      </c>
      <c r="F917" s="1" t="s">
        <v>101</v>
      </c>
      <c r="G917">
        <v>20</v>
      </c>
      <c r="H917">
        <v>2</v>
      </c>
      <c r="I917" s="2">
        <f t="shared" si="42"/>
        <v>4.3632</v>
      </c>
      <c r="J917">
        <f t="shared" si="43"/>
        <v>0.37940869565217389</v>
      </c>
      <c r="K917">
        <f t="shared" si="44"/>
        <v>0.11395142334813266</v>
      </c>
    </row>
    <row r="918" spans="1:11" x14ac:dyDescent="0.25">
      <c r="A918" s="1">
        <v>1996</v>
      </c>
      <c r="B918" s="1" t="s">
        <v>104</v>
      </c>
      <c r="C918" t="s">
        <v>9</v>
      </c>
      <c r="D918" s="1" t="s">
        <v>3</v>
      </c>
      <c r="E918">
        <v>66</v>
      </c>
      <c r="F918" s="1" t="s">
        <v>101</v>
      </c>
      <c r="G918">
        <v>22</v>
      </c>
      <c r="H918">
        <v>1</v>
      </c>
      <c r="I918" s="2">
        <f t="shared" si="42"/>
        <v>2.6397359999999996</v>
      </c>
      <c r="J918">
        <f t="shared" si="43"/>
        <v>0.2295422608695652</v>
      </c>
      <c r="K918">
        <f t="shared" si="44"/>
        <v>6.8940611125620263E-2</v>
      </c>
    </row>
    <row r="919" spans="1:11" x14ac:dyDescent="0.25">
      <c r="A919" s="1">
        <v>1996</v>
      </c>
      <c r="B919" s="1" t="s">
        <v>104</v>
      </c>
      <c r="C919" t="s">
        <v>9</v>
      </c>
      <c r="D919" s="1" t="s">
        <v>3</v>
      </c>
      <c r="E919">
        <v>66</v>
      </c>
      <c r="F919" s="1" t="s">
        <v>101</v>
      </c>
      <c r="G919">
        <v>24</v>
      </c>
      <c r="H919">
        <v>1</v>
      </c>
      <c r="I919" s="2">
        <f t="shared" si="42"/>
        <v>3.1415039999999999</v>
      </c>
      <c r="J919">
        <f t="shared" si="43"/>
        <v>0.2731742608695652</v>
      </c>
      <c r="K919">
        <f t="shared" si="44"/>
        <v>8.2045024810655523E-2</v>
      </c>
    </row>
    <row r="920" spans="1:11" x14ac:dyDescent="0.25">
      <c r="A920" s="1">
        <v>1996</v>
      </c>
      <c r="B920" s="1" t="s">
        <v>104</v>
      </c>
      <c r="C920" t="s">
        <v>9</v>
      </c>
      <c r="D920" s="1" t="s">
        <v>3</v>
      </c>
      <c r="E920">
        <v>71</v>
      </c>
      <c r="F920" s="1" t="s">
        <v>101</v>
      </c>
      <c r="G920">
        <v>8</v>
      </c>
      <c r="H920">
        <v>1</v>
      </c>
      <c r="I920" s="2">
        <f t="shared" si="42"/>
        <v>0.34905599999999998</v>
      </c>
      <c r="J920">
        <f t="shared" si="43"/>
        <v>3.0352695652173911E-2</v>
      </c>
      <c r="K920">
        <f t="shared" si="44"/>
        <v>9.1161138678506129E-3</v>
      </c>
    </row>
    <row r="921" spans="1:11" x14ac:dyDescent="0.25">
      <c r="A921" s="1">
        <v>1996</v>
      </c>
      <c r="B921" s="1" t="s">
        <v>104</v>
      </c>
      <c r="C921" t="s">
        <v>9</v>
      </c>
      <c r="D921" s="1" t="s">
        <v>3</v>
      </c>
      <c r="E921">
        <v>76</v>
      </c>
      <c r="F921" s="1" t="s">
        <v>101</v>
      </c>
      <c r="G921">
        <v>6</v>
      </c>
      <c r="H921">
        <v>10</v>
      </c>
      <c r="I921" s="2">
        <f t="shared" si="42"/>
        <v>1.9634399999999999</v>
      </c>
      <c r="J921">
        <f t="shared" si="43"/>
        <v>0.17073391304347824</v>
      </c>
      <c r="K921">
        <f t="shared" si="44"/>
        <v>5.1278140506659693E-2</v>
      </c>
    </row>
    <row r="922" spans="1:11" x14ac:dyDescent="0.25">
      <c r="A922" s="1">
        <v>1996</v>
      </c>
      <c r="B922" s="1" t="s">
        <v>104</v>
      </c>
      <c r="C922" t="s">
        <v>9</v>
      </c>
      <c r="D922" s="1" t="s">
        <v>3</v>
      </c>
      <c r="E922">
        <v>76</v>
      </c>
      <c r="F922" s="1" t="s">
        <v>101</v>
      </c>
      <c r="G922">
        <v>8</v>
      </c>
      <c r="H922">
        <v>7</v>
      </c>
      <c r="I922" s="2">
        <f t="shared" si="42"/>
        <v>2.4433919999999998</v>
      </c>
      <c r="J922">
        <f t="shared" si="43"/>
        <v>0.21246886956521738</v>
      </c>
      <c r="K922">
        <f t="shared" si="44"/>
        <v>6.3812797074954297E-2</v>
      </c>
    </row>
    <row r="923" spans="1:11" x14ac:dyDescent="0.25">
      <c r="A923" s="1">
        <v>1996</v>
      </c>
      <c r="B923" s="1" t="s">
        <v>104</v>
      </c>
      <c r="C923" t="s">
        <v>9</v>
      </c>
      <c r="D923" s="1" t="s">
        <v>3</v>
      </c>
      <c r="E923">
        <v>76</v>
      </c>
      <c r="F923" s="1" t="s">
        <v>101</v>
      </c>
      <c r="G923">
        <v>10</v>
      </c>
      <c r="H923">
        <v>2</v>
      </c>
      <c r="I923" s="2">
        <f t="shared" si="42"/>
        <v>1.0908</v>
      </c>
      <c r="J923">
        <f t="shared" si="43"/>
        <v>9.4852173913043472E-2</v>
      </c>
      <c r="K923">
        <f t="shared" si="44"/>
        <v>2.8487855837033164E-2</v>
      </c>
    </row>
    <row r="924" spans="1:11" x14ac:dyDescent="0.25">
      <c r="A924" s="1">
        <v>1996</v>
      </c>
      <c r="B924" s="1" t="s">
        <v>104</v>
      </c>
      <c r="C924" t="s">
        <v>9</v>
      </c>
      <c r="D924" s="1" t="s">
        <v>3</v>
      </c>
      <c r="E924">
        <v>76</v>
      </c>
      <c r="F924" s="1" t="s">
        <v>101</v>
      </c>
      <c r="G924">
        <v>12</v>
      </c>
      <c r="H924">
        <v>2</v>
      </c>
      <c r="I924" s="2">
        <f t="shared" si="42"/>
        <v>1.5707519999999999</v>
      </c>
      <c r="J924">
        <f t="shared" si="43"/>
        <v>0.1365871304347826</v>
      </c>
      <c r="K924">
        <f t="shared" si="44"/>
        <v>4.1022512405327761E-2</v>
      </c>
    </row>
    <row r="925" spans="1:11" x14ac:dyDescent="0.25">
      <c r="A925" s="1">
        <v>1996</v>
      </c>
      <c r="B925" s="1" t="s">
        <v>104</v>
      </c>
      <c r="C925" t="s">
        <v>9</v>
      </c>
      <c r="D925" s="1" t="s">
        <v>3</v>
      </c>
      <c r="E925">
        <v>76</v>
      </c>
      <c r="F925" s="1" t="s">
        <v>101</v>
      </c>
      <c r="G925">
        <v>14</v>
      </c>
      <c r="H925">
        <v>1</v>
      </c>
      <c r="I925" s="2">
        <f t="shared" si="42"/>
        <v>1.0689839999999999</v>
      </c>
      <c r="J925">
        <f t="shared" si="43"/>
        <v>9.295513043478261E-2</v>
      </c>
      <c r="K925">
        <f t="shared" si="44"/>
        <v>2.7918098720292505E-2</v>
      </c>
    </row>
    <row r="926" spans="1:11" x14ac:dyDescent="0.25">
      <c r="A926" s="1">
        <v>1996</v>
      </c>
      <c r="B926" s="1" t="s">
        <v>104</v>
      </c>
      <c r="C926" t="s">
        <v>9</v>
      </c>
      <c r="D926" s="1" t="s">
        <v>3</v>
      </c>
      <c r="E926">
        <v>79</v>
      </c>
      <c r="F926" s="1" t="s">
        <v>101</v>
      </c>
      <c r="G926">
        <v>6</v>
      </c>
      <c r="H926">
        <v>187</v>
      </c>
      <c r="I926" s="2">
        <f t="shared" si="42"/>
        <v>36.716327999999997</v>
      </c>
      <c r="J926">
        <f t="shared" si="43"/>
        <v>3.1927241739130432</v>
      </c>
      <c r="K926">
        <f t="shared" si="44"/>
        <v>0.95890122747453632</v>
      </c>
    </row>
    <row r="927" spans="1:11" x14ac:dyDescent="0.25">
      <c r="A927" s="1">
        <v>1996</v>
      </c>
      <c r="B927" s="1" t="s">
        <v>104</v>
      </c>
      <c r="C927" t="s">
        <v>9</v>
      </c>
      <c r="D927" s="1" t="s">
        <v>3</v>
      </c>
      <c r="E927">
        <v>79</v>
      </c>
      <c r="F927" s="1" t="s">
        <v>101</v>
      </c>
      <c r="G927">
        <v>8</v>
      </c>
      <c r="H927">
        <v>132</v>
      </c>
      <c r="I927" s="2">
        <f t="shared" si="42"/>
        <v>46.075391999999994</v>
      </c>
      <c r="J927">
        <f t="shared" si="43"/>
        <v>4.0065558260869558</v>
      </c>
      <c r="K927">
        <f t="shared" si="44"/>
        <v>1.2033270305562809</v>
      </c>
    </row>
    <row r="928" spans="1:11" x14ac:dyDescent="0.25">
      <c r="A928" s="1">
        <v>1996</v>
      </c>
      <c r="B928" s="1" t="s">
        <v>104</v>
      </c>
      <c r="C928" t="s">
        <v>9</v>
      </c>
      <c r="D928" s="1" t="s">
        <v>3</v>
      </c>
      <c r="E928">
        <v>79</v>
      </c>
      <c r="F928" s="1" t="s">
        <v>101</v>
      </c>
      <c r="G928">
        <v>10</v>
      </c>
      <c r="H928">
        <v>77</v>
      </c>
      <c r="I928" s="2">
        <f t="shared" si="42"/>
        <v>41.995800000000003</v>
      </c>
      <c r="J928">
        <f t="shared" si="43"/>
        <v>3.651808695652174</v>
      </c>
      <c r="K928">
        <f t="shared" si="44"/>
        <v>1.096782449725777</v>
      </c>
    </row>
    <row r="929" spans="1:11" x14ac:dyDescent="0.25">
      <c r="A929" s="1">
        <v>1996</v>
      </c>
      <c r="B929" s="1" t="s">
        <v>104</v>
      </c>
      <c r="C929" t="s">
        <v>9</v>
      </c>
      <c r="D929" s="1" t="s">
        <v>3</v>
      </c>
      <c r="E929">
        <v>79</v>
      </c>
      <c r="F929" s="1" t="s">
        <v>101</v>
      </c>
      <c r="G929">
        <v>12</v>
      </c>
      <c r="H929">
        <v>42</v>
      </c>
      <c r="I929" s="2">
        <f t="shared" si="42"/>
        <v>32.985791999999996</v>
      </c>
      <c r="J929">
        <f t="shared" si="43"/>
        <v>2.8683297391304343</v>
      </c>
      <c r="K929">
        <f t="shared" si="44"/>
        <v>0.86147276051188282</v>
      </c>
    </row>
    <row r="930" spans="1:11" x14ac:dyDescent="0.25">
      <c r="A930" s="1">
        <v>1996</v>
      </c>
      <c r="B930" s="1" t="s">
        <v>104</v>
      </c>
      <c r="C930" t="s">
        <v>9</v>
      </c>
      <c r="D930" s="1" t="s">
        <v>3</v>
      </c>
      <c r="E930">
        <v>79</v>
      </c>
      <c r="F930" s="1" t="s">
        <v>101</v>
      </c>
      <c r="G930">
        <v>14</v>
      </c>
      <c r="H930">
        <v>16</v>
      </c>
      <c r="I930" s="2">
        <f t="shared" si="42"/>
        <v>17.103743999999999</v>
      </c>
      <c r="J930">
        <f t="shared" si="43"/>
        <v>1.4872820869565218</v>
      </c>
      <c r="K930">
        <f t="shared" si="44"/>
        <v>0.44668957952468008</v>
      </c>
    </row>
    <row r="931" spans="1:11" x14ac:dyDescent="0.25">
      <c r="A931" s="1">
        <v>1996</v>
      </c>
      <c r="B931" s="1" t="s">
        <v>104</v>
      </c>
      <c r="C931" t="s">
        <v>9</v>
      </c>
      <c r="D931" s="1" t="s">
        <v>3</v>
      </c>
      <c r="E931">
        <v>79</v>
      </c>
      <c r="F931" s="1" t="s">
        <v>101</v>
      </c>
      <c r="G931">
        <v>16</v>
      </c>
      <c r="H931">
        <v>14</v>
      </c>
      <c r="I931" s="2">
        <f t="shared" si="42"/>
        <v>19.547135999999998</v>
      </c>
      <c r="J931">
        <f t="shared" si="43"/>
        <v>1.699750956521739</v>
      </c>
      <c r="K931">
        <f t="shared" si="44"/>
        <v>0.51050237659963438</v>
      </c>
    </row>
    <row r="932" spans="1:11" x14ac:dyDescent="0.25">
      <c r="A932" s="1">
        <v>1996</v>
      </c>
      <c r="B932" s="1" t="s">
        <v>104</v>
      </c>
      <c r="C932" t="s">
        <v>9</v>
      </c>
      <c r="D932" s="1" t="s">
        <v>3</v>
      </c>
      <c r="E932">
        <v>79</v>
      </c>
      <c r="F932" s="1" t="s">
        <v>101</v>
      </c>
      <c r="G932">
        <v>18</v>
      </c>
      <c r="H932">
        <v>9</v>
      </c>
      <c r="I932" s="2">
        <f t="shared" si="42"/>
        <v>15.903863999999999</v>
      </c>
      <c r="J932">
        <f t="shared" si="43"/>
        <v>1.3829446956521738</v>
      </c>
      <c r="K932">
        <f t="shared" si="44"/>
        <v>0.41535293810394353</v>
      </c>
    </row>
    <row r="933" spans="1:11" x14ac:dyDescent="0.25">
      <c r="A933" s="1">
        <v>1996</v>
      </c>
      <c r="B933" s="1" t="s">
        <v>104</v>
      </c>
      <c r="C933" t="s">
        <v>9</v>
      </c>
      <c r="D933" s="1" t="s">
        <v>3</v>
      </c>
      <c r="E933">
        <v>79</v>
      </c>
      <c r="F933" s="1" t="s">
        <v>101</v>
      </c>
      <c r="G933">
        <v>20</v>
      </c>
      <c r="H933">
        <v>6</v>
      </c>
      <c r="I933" s="2">
        <f t="shared" si="42"/>
        <v>13.089600000000001</v>
      </c>
      <c r="J933">
        <f t="shared" si="43"/>
        <v>1.1382260869565217</v>
      </c>
      <c r="K933">
        <f t="shared" si="44"/>
        <v>0.341854270044398</v>
      </c>
    </row>
    <row r="934" spans="1:11" x14ac:dyDescent="0.25">
      <c r="A934" s="1">
        <v>1996</v>
      </c>
      <c r="B934" s="1" t="s">
        <v>104</v>
      </c>
      <c r="C934" t="s">
        <v>9</v>
      </c>
      <c r="D934" s="1" t="s">
        <v>3</v>
      </c>
      <c r="E934">
        <v>79</v>
      </c>
      <c r="F934" s="1" t="s">
        <v>101</v>
      </c>
      <c r="G934">
        <v>24</v>
      </c>
      <c r="H934">
        <v>1</v>
      </c>
      <c r="I934" s="2">
        <f t="shared" si="42"/>
        <v>3.1415039999999999</v>
      </c>
      <c r="J934">
        <f t="shared" si="43"/>
        <v>0.2731742608695652</v>
      </c>
      <c r="K934">
        <f t="shared" si="44"/>
        <v>8.2045024810655523E-2</v>
      </c>
    </row>
    <row r="935" spans="1:11" x14ac:dyDescent="0.25">
      <c r="A935" s="1">
        <v>1996</v>
      </c>
      <c r="B935" s="1" t="s">
        <v>104</v>
      </c>
      <c r="C935" t="s">
        <v>9</v>
      </c>
      <c r="D935" s="1" t="s">
        <v>3</v>
      </c>
      <c r="E935">
        <v>85</v>
      </c>
      <c r="F935" s="1" t="s">
        <v>101</v>
      </c>
      <c r="G935">
        <v>6</v>
      </c>
      <c r="H935">
        <v>6</v>
      </c>
      <c r="I935" s="2">
        <f t="shared" si="42"/>
        <v>1.178064</v>
      </c>
      <c r="J935">
        <f t="shared" si="43"/>
        <v>0.10244034782608695</v>
      </c>
      <c r="K935">
        <f t="shared" si="44"/>
        <v>3.0766884303995819E-2</v>
      </c>
    </row>
    <row r="936" spans="1:11" x14ac:dyDescent="0.25">
      <c r="A936" s="1">
        <v>1996</v>
      </c>
      <c r="B936" s="1" t="s">
        <v>104</v>
      </c>
      <c r="C936" t="s">
        <v>9</v>
      </c>
      <c r="D936" s="1" t="s">
        <v>3</v>
      </c>
      <c r="E936">
        <v>85</v>
      </c>
      <c r="F936" s="1" t="s">
        <v>101</v>
      </c>
      <c r="G936">
        <v>12</v>
      </c>
      <c r="H936">
        <v>2</v>
      </c>
      <c r="I936" s="2">
        <f t="shared" si="42"/>
        <v>1.5707519999999999</v>
      </c>
      <c r="J936">
        <f t="shared" si="43"/>
        <v>0.1365871304347826</v>
      </c>
      <c r="K936">
        <f t="shared" si="44"/>
        <v>4.1022512405327761E-2</v>
      </c>
    </row>
    <row r="937" spans="1:11" x14ac:dyDescent="0.25">
      <c r="A937" s="1">
        <v>1996</v>
      </c>
      <c r="B937" s="1" t="s">
        <v>104</v>
      </c>
      <c r="C937" t="s">
        <v>9</v>
      </c>
      <c r="D937" s="1" t="s">
        <v>3</v>
      </c>
      <c r="E937">
        <v>85</v>
      </c>
      <c r="F937" s="1" t="s">
        <v>101</v>
      </c>
      <c r="G937">
        <v>14</v>
      </c>
      <c r="H937">
        <v>3</v>
      </c>
      <c r="I937" s="2">
        <f t="shared" si="42"/>
        <v>3.2069519999999998</v>
      </c>
      <c r="J937">
        <f t="shared" si="43"/>
        <v>0.27886539130434779</v>
      </c>
      <c r="K937">
        <f t="shared" si="44"/>
        <v>8.3754296160877498E-2</v>
      </c>
    </row>
    <row r="938" spans="1:11" x14ac:dyDescent="0.25">
      <c r="A938" s="1">
        <v>1996</v>
      </c>
      <c r="B938" s="1" t="s">
        <v>104</v>
      </c>
      <c r="C938" t="s">
        <v>9</v>
      </c>
      <c r="D938" s="1" t="s">
        <v>3</v>
      </c>
      <c r="E938">
        <v>85</v>
      </c>
      <c r="F938" s="1" t="s">
        <v>101</v>
      </c>
      <c r="G938">
        <v>16</v>
      </c>
      <c r="H938">
        <v>8</v>
      </c>
      <c r="I938" s="2">
        <f t="shared" si="42"/>
        <v>11.169791999999999</v>
      </c>
      <c r="J938">
        <f t="shared" si="43"/>
        <v>0.97128626086956515</v>
      </c>
      <c r="K938">
        <f t="shared" si="44"/>
        <v>0.29171564377121961</v>
      </c>
    </row>
    <row r="939" spans="1:11" x14ac:dyDescent="0.25">
      <c r="A939" s="1">
        <v>1996</v>
      </c>
      <c r="B939" s="1" t="s">
        <v>104</v>
      </c>
      <c r="C939" t="s">
        <v>9</v>
      </c>
      <c r="D939" s="1" t="s">
        <v>3</v>
      </c>
      <c r="E939">
        <v>85</v>
      </c>
      <c r="F939" s="1" t="s">
        <v>101</v>
      </c>
      <c r="G939">
        <v>18</v>
      </c>
      <c r="H939">
        <v>10</v>
      </c>
      <c r="I939" s="2">
        <f t="shared" si="42"/>
        <v>17.670959999999997</v>
      </c>
      <c r="J939">
        <f t="shared" si="43"/>
        <v>1.5366052173913041</v>
      </c>
      <c r="K939">
        <f t="shared" si="44"/>
        <v>0.46150326455993723</v>
      </c>
    </row>
    <row r="940" spans="1:11" x14ac:dyDescent="0.25">
      <c r="A940" s="1">
        <v>1996</v>
      </c>
      <c r="B940" s="1" t="s">
        <v>104</v>
      </c>
      <c r="C940" t="s">
        <v>9</v>
      </c>
      <c r="D940" s="1" t="s">
        <v>3</v>
      </c>
      <c r="E940">
        <v>85</v>
      </c>
      <c r="F940" s="1" t="s">
        <v>101</v>
      </c>
      <c r="G940">
        <v>20</v>
      </c>
      <c r="H940">
        <v>1</v>
      </c>
      <c r="I940" s="2">
        <f t="shared" si="42"/>
        <v>2.1816</v>
      </c>
      <c r="J940">
        <f t="shared" si="43"/>
        <v>0.18970434782608694</v>
      </c>
      <c r="K940">
        <f t="shared" si="44"/>
        <v>5.6975711674066329E-2</v>
      </c>
    </row>
    <row r="941" spans="1:11" x14ac:dyDescent="0.25">
      <c r="A941" s="1">
        <v>1996</v>
      </c>
      <c r="B941" s="1" t="s">
        <v>104</v>
      </c>
      <c r="C941" t="s">
        <v>9</v>
      </c>
      <c r="D941" s="1" t="s">
        <v>3</v>
      </c>
      <c r="E941">
        <v>88</v>
      </c>
      <c r="F941" s="1" t="s">
        <v>101</v>
      </c>
      <c r="G941">
        <v>8</v>
      </c>
      <c r="H941">
        <v>1</v>
      </c>
      <c r="I941" s="2">
        <f t="shared" si="42"/>
        <v>0.34905599999999998</v>
      </c>
      <c r="J941">
        <f t="shared" si="43"/>
        <v>3.0352695652173911E-2</v>
      </c>
      <c r="K941">
        <f t="shared" si="44"/>
        <v>9.1161138678506129E-3</v>
      </c>
    </row>
    <row r="942" spans="1:11" x14ac:dyDescent="0.25">
      <c r="A942" s="1">
        <v>1996</v>
      </c>
      <c r="B942" s="1" t="s">
        <v>104</v>
      </c>
      <c r="C942" t="s">
        <v>9</v>
      </c>
      <c r="D942" s="1" t="s">
        <v>3</v>
      </c>
      <c r="E942">
        <v>88</v>
      </c>
      <c r="F942" s="1" t="s">
        <v>101</v>
      </c>
      <c r="G942">
        <v>10</v>
      </c>
      <c r="H942">
        <v>1</v>
      </c>
      <c r="I942" s="2">
        <f t="shared" si="42"/>
        <v>0.5454</v>
      </c>
      <c r="J942">
        <f t="shared" si="43"/>
        <v>4.7426086956521736E-2</v>
      </c>
      <c r="K942">
        <f t="shared" si="44"/>
        <v>1.4243927918516582E-2</v>
      </c>
    </row>
    <row r="943" spans="1:11" x14ac:dyDescent="0.25">
      <c r="A943" s="1">
        <v>1996</v>
      </c>
      <c r="B943" s="1" t="s">
        <v>104</v>
      </c>
      <c r="C943" t="s">
        <v>9</v>
      </c>
      <c r="D943" s="1" t="s">
        <v>3</v>
      </c>
      <c r="E943">
        <v>88</v>
      </c>
      <c r="F943" s="1" t="s">
        <v>101</v>
      </c>
      <c r="G943">
        <v>12</v>
      </c>
      <c r="H943">
        <v>1</v>
      </c>
      <c r="I943" s="2">
        <f t="shared" si="42"/>
        <v>0.78537599999999996</v>
      </c>
      <c r="J943">
        <f t="shared" si="43"/>
        <v>6.82935652173913E-2</v>
      </c>
      <c r="K943">
        <f t="shared" si="44"/>
        <v>2.0511256202663881E-2</v>
      </c>
    </row>
    <row r="944" spans="1:11" x14ac:dyDescent="0.25">
      <c r="A944" s="1">
        <v>1996</v>
      </c>
      <c r="B944" s="1" t="s">
        <v>104</v>
      </c>
      <c r="C944" t="s">
        <v>9</v>
      </c>
      <c r="D944" s="1" t="s">
        <v>3</v>
      </c>
      <c r="E944">
        <v>91</v>
      </c>
      <c r="F944" s="1" t="s">
        <v>101</v>
      </c>
      <c r="G944">
        <v>6</v>
      </c>
      <c r="H944">
        <v>1</v>
      </c>
      <c r="I944" s="2">
        <f t="shared" si="42"/>
        <v>0.19634399999999999</v>
      </c>
      <c r="J944">
        <f t="shared" si="43"/>
        <v>1.7073391304347825E-2</v>
      </c>
      <c r="K944">
        <f t="shared" si="44"/>
        <v>5.1278140506659702E-3</v>
      </c>
    </row>
    <row r="945" spans="1:11" x14ac:dyDescent="0.25">
      <c r="A945" s="1">
        <v>1996</v>
      </c>
      <c r="B945" s="1" t="s">
        <v>104</v>
      </c>
      <c r="C945" t="s">
        <v>9</v>
      </c>
      <c r="D945" s="1" t="s">
        <v>3</v>
      </c>
      <c r="E945">
        <v>91</v>
      </c>
      <c r="F945" s="1" t="s">
        <v>101</v>
      </c>
      <c r="G945">
        <v>8</v>
      </c>
      <c r="H945">
        <v>1</v>
      </c>
      <c r="I945" s="2">
        <f t="shared" si="42"/>
        <v>0.34905599999999998</v>
      </c>
      <c r="J945">
        <f t="shared" si="43"/>
        <v>3.0352695652173911E-2</v>
      </c>
      <c r="K945">
        <f t="shared" si="44"/>
        <v>9.1161138678506129E-3</v>
      </c>
    </row>
    <row r="946" spans="1:11" x14ac:dyDescent="0.25">
      <c r="A946" s="1">
        <v>1996</v>
      </c>
      <c r="B946" s="1" t="s">
        <v>104</v>
      </c>
      <c r="C946" t="s">
        <v>9</v>
      </c>
      <c r="D946" s="1" t="s">
        <v>3</v>
      </c>
      <c r="E946">
        <v>91</v>
      </c>
      <c r="F946" s="1" t="s">
        <v>101</v>
      </c>
      <c r="G946">
        <v>10</v>
      </c>
      <c r="H946">
        <v>1</v>
      </c>
      <c r="I946" s="2">
        <f t="shared" si="42"/>
        <v>0.5454</v>
      </c>
      <c r="J946">
        <f t="shared" si="43"/>
        <v>4.7426086956521736E-2</v>
      </c>
      <c r="K946">
        <f t="shared" si="44"/>
        <v>1.4243927918516582E-2</v>
      </c>
    </row>
    <row r="947" spans="1:11" x14ac:dyDescent="0.25">
      <c r="A947" s="1">
        <v>1996</v>
      </c>
      <c r="B947" s="1" t="s">
        <v>104</v>
      </c>
      <c r="C947" t="s">
        <v>9</v>
      </c>
      <c r="D947" s="1" t="s">
        <v>3</v>
      </c>
      <c r="E947">
        <v>91</v>
      </c>
      <c r="F947" s="1" t="s">
        <v>101</v>
      </c>
      <c r="G947">
        <v>12</v>
      </c>
      <c r="H947">
        <v>1</v>
      </c>
      <c r="I947" s="2">
        <f t="shared" si="42"/>
        <v>0.78537599999999996</v>
      </c>
      <c r="J947">
        <f t="shared" si="43"/>
        <v>6.82935652173913E-2</v>
      </c>
      <c r="K947">
        <f t="shared" si="44"/>
        <v>2.0511256202663881E-2</v>
      </c>
    </row>
    <row r="948" spans="1:11" x14ac:dyDescent="0.25">
      <c r="A948" s="1">
        <v>1996</v>
      </c>
      <c r="B948" s="1" t="s">
        <v>104</v>
      </c>
      <c r="C948" t="s">
        <v>9</v>
      </c>
      <c r="D948" s="1" t="s">
        <v>3</v>
      </c>
      <c r="E948">
        <v>91</v>
      </c>
      <c r="F948" s="1" t="s">
        <v>101</v>
      </c>
      <c r="G948">
        <v>16</v>
      </c>
      <c r="H948">
        <v>1</v>
      </c>
      <c r="I948" s="2">
        <f t="shared" si="42"/>
        <v>1.3962239999999999</v>
      </c>
      <c r="J948">
        <f t="shared" si="43"/>
        <v>0.12141078260869564</v>
      </c>
      <c r="K948">
        <f t="shared" si="44"/>
        <v>3.6464455471402452E-2</v>
      </c>
    </row>
    <row r="949" spans="1:11" x14ac:dyDescent="0.25">
      <c r="A949" s="1">
        <v>1996</v>
      </c>
      <c r="B949" s="1" t="s">
        <v>104</v>
      </c>
      <c r="C949" t="s">
        <v>9</v>
      </c>
      <c r="D949" s="1" t="s">
        <v>5</v>
      </c>
      <c r="E949">
        <v>29</v>
      </c>
      <c r="F949" s="1" t="s">
        <v>101</v>
      </c>
      <c r="G949">
        <v>10</v>
      </c>
      <c r="H949">
        <v>1</v>
      </c>
      <c r="I949" s="2">
        <f t="shared" si="42"/>
        <v>0.5454</v>
      </c>
      <c r="J949">
        <f t="shared" si="43"/>
        <v>4.7426086956521736E-2</v>
      </c>
      <c r="K949">
        <f t="shared" si="44"/>
        <v>1.4243927918516582E-2</v>
      </c>
    </row>
    <row r="950" spans="1:11" x14ac:dyDescent="0.25">
      <c r="A950" s="1">
        <v>1996</v>
      </c>
      <c r="B950" s="1" t="s">
        <v>104</v>
      </c>
      <c r="C950" t="s">
        <v>9</v>
      </c>
      <c r="D950" s="1" t="s">
        <v>5</v>
      </c>
      <c r="E950">
        <v>32</v>
      </c>
      <c r="F950" s="1" t="s">
        <v>101</v>
      </c>
      <c r="G950">
        <v>6</v>
      </c>
      <c r="H950">
        <v>2</v>
      </c>
      <c r="I950" s="2">
        <f t="shared" si="42"/>
        <v>0.39268799999999998</v>
      </c>
      <c r="J950">
        <f t="shared" si="43"/>
        <v>3.414678260869565E-2</v>
      </c>
      <c r="K950">
        <f t="shared" si="44"/>
        <v>1.025562810133194E-2</v>
      </c>
    </row>
    <row r="951" spans="1:11" x14ac:dyDescent="0.25">
      <c r="A951" s="1">
        <v>1996</v>
      </c>
      <c r="B951" s="1" t="s">
        <v>104</v>
      </c>
      <c r="C951" t="s">
        <v>9</v>
      </c>
      <c r="D951" s="1" t="s">
        <v>5</v>
      </c>
      <c r="E951">
        <v>32</v>
      </c>
      <c r="F951" s="1" t="s">
        <v>101</v>
      </c>
      <c r="G951">
        <v>8</v>
      </c>
      <c r="H951">
        <v>1</v>
      </c>
      <c r="I951" s="2">
        <f t="shared" si="42"/>
        <v>0.34905599999999998</v>
      </c>
      <c r="J951">
        <f t="shared" si="43"/>
        <v>3.0352695652173911E-2</v>
      </c>
      <c r="K951">
        <f t="shared" si="44"/>
        <v>9.1161138678506129E-3</v>
      </c>
    </row>
    <row r="952" spans="1:11" x14ac:dyDescent="0.25">
      <c r="A952" s="1">
        <v>1996</v>
      </c>
      <c r="B952" s="1" t="s">
        <v>104</v>
      </c>
      <c r="C952" t="s">
        <v>9</v>
      </c>
      <c r="D952" s="1" t="s">
        <v>5</v>
      </c>
      <c r="E952">
        <v>32</v>
      </c>
      <c r="F952" s="1" t="s">
        <v>101</v>
      </c>
      <c r="G952">
        <v>16</v>
      </c>
      <c r="H952">
        <v>1</v>
      </c>
      <c r="I952" s="2">
        <f t="shared" si="42"/>
        <v>1.3962239999999999</v>
      </c>
      <c r="J952">
        <f t="shared" si="43"/>
        <v>0.12141078260869564</v>
      </c>
      <c r="K952">
        <f t="shared" si="44"/>
        <v>3.6464455471402452E-2</v>
      </c>
    </row>
    <row r="953" spans="1:11" x14ac:dyDescent="0.25">
      <c r="A953" s="1">
        <v>1996</v>
      </c>
      <c r="B953" s="1" t="s">
        <v>104</v>
      </c>
      <c r="C953" t="s">
        <v>9</v>
      </c>
      <c r="D953" s="1" t="s">
        <v>5</v>
      </c>
      <c r="E953">
        <v>32</v>
      </c>
      <c r="F953" s="1" t="s">
        <v>101</v>
      </c>
      <c r="G953">
        <v>18</v>
      </c>
      <c r="H953">
        <v>1</v>
      </c>
      <c r="I953" s="2">
        <f t="shared" si="42"/>
        <v>1.7670959999999998</v>
      </c>
      <c r="J953">
        <f t="shared" si="43"/>
        <v>0.15366052173913042</v>
      </c>
      <c r="K953">
        <f t="shared" si="44"/>
        <v>4.6150326455993727E-2</v>
      </c>
    </row>
    <row r="954" spans="1:11" x14ac:dyDescent="0.25">
      <c r="A954" s="1">
        <v>1996</v>
      </c>
      <c r="B954" s="1" t="s">
        <v>104</v>
      </c>
      <c r="C954" t="s">
        <v>9</v>
      </c>
      <c r="D954" s="1" t="s">
        <v>5</v>
      </c>
      <c r="E954">
        <v>34</v>
      </c>
      <c r="F954" s="1" t="s">
        <v>101</v>
      </c>
      <c r="G954">
        <v>8</v>
      </c>
      <c r="H954">
        <v>2</v>
      </c>
      <c r="I954" s="2">
        <f t="shared" si="42"/>
        <v>0.69811199999999995</v>
      </c>
      <c r="J954">
        <f t="shared" si="43"/>
        <v>6.0705391304347822E-2</v>
      </c>
      <c r="K954">
        <f t="shared" si="44"/>
        <v>1.8232227735701226E-2</v>
      </c>
    </row>
    <row r="955" spans="1:11" x14ac:dyDescent="0.25">
      <c r="A955" s="1">
        <v>1996</v>
      </c>
      <c r="B955" s="1" t="s">
        <v>104</v>
      </c>
      <c r="C955" t="s">
        <v>9</v>
      </c>
      <c r="D955" s="1" t="s">
        <v>5</v>
      </c>
      <c r="E955">
        <v>38</v>
      </c>
      <c r="F955" s="1" t="s">
        <v>101</v>
      </c>
      <c r="G955">
        <v>6</v>
      </c>
      <c r="H955">
        <v>1</v>
      </c>
      <c r="I955" s="2">
        <f t="shared" si="42"/>
        <v>0.19634399999999999</v>
      </c>
      <c r="J955">
        <f t="shared" si="43"/>
        <v>1.7073391304347825E-2</v>
      </c>
      <c r="K955">
        <f t="shared" si="44"/>
        <v>5.1278140506659702E-3</v>
      </c>
    </row>
    <row r="956" spans="1:11" x14ac:dyDescent="0.25">
      <c r="A956" s="1">
        <v>1996</v>
      </c>
      <c r="B956" s="1" t="s">
        <v>104</v>
      </c>
      <c r="C956" t="s">
        <v>9</v>
      </c>
      <c r="D956" s="1" t="s">
        <v>5</v>
      </c>
      <c r="E956">
        <v>38</v>
      </c>
      <c r="F956" s="1" t="s">
        <v>101</v>
      </c>
      <c r="G956">
        <v>10</v>
      </c>
      <c r="H956">
        <v>1</v>
      </c>
      <c r="I956" s="2">
        <f t="shared" si="42"/>
        <v>0.5454</v>
      </c>
      <c r="J956">
        <f t="shared" si="43"/>
        <v>4.7426086956521736E-2</v>
      </c>
      <c r="K956">
        <f t="shared" si="44"/>
        <v>1.4243927918516582E-2</v>
      </c>
    </row>
    <row r="957" spans="1:11" x14ac:dyDescent="0.25">
      <c r="A957" s="1">
        <v>1996</v>
      </c>
      <c r="B957" s="1" t="s">
        <v>104</v>
      </c>
      <c r="C957" t="s">
        <v>9</v>
      </c>
      <c r="D957" s="1" t="s">
        <v>5</v>
      </c>
      <c r="E957">
        <v>38</v>
      </c>
      <c r="F957" s="1" t="s">
        <v>101</v>
      </c>
      <c r="G957">
        <v>14</v>
      </c>
      <c r="H957">
        <v>1</v>
      </c>
      <c r="I957" s="2">
        <f t="shared" si="42"/>
        <v>1.0689839999999999</v>
      </c>
      <c r="J957">
        <f t="shared" si="43"/>
        <v>9.295513043478261E-2</v>
      </c>
      <c r="K957">
        <f t="shared" si="44"/>
        <v>2.7918098720292505E-2</v>
      </c>
    </row>
    <row r="958" spans="1:11" x14ac:dyDescent="0.25">
      <c r="A958" s="1">
        <v>1996</v>
      </c>
      <c r="B958" s="1" t="s">
        <v>104</v>
      </c>
      <c r="C958" t="s">
        <v>9</v>
      </c>
      <c r="D958" s="1" t="s">
        <v>5</v>
      </c>
      <c r="E958">
        <v>38</v>
      </c>
      <c r="F958" s="1" t="s">
        <v>101</v>
      </c>
      <c r="G958">
        <v>18</v>
      </c>
      <c r="H958">
        <v>2</v>
      </c>
      <c r="I958" s="2">
        <f t="shared" si="42"/>
        <v>3.5341919999999996</v>
      </c>
      <c r="J958">
        <f t="shared" si="43"/>
        <v>0.30732104347826084</v>
      </c>
      <c r="K958">
        <f t="shared" si="44"/>
        <v>9.2300652911987455E-2</v>
      </c>
    </row>
    <row r="959" spans="1:11" x14ac:dyDescent="0.25">
      <c r="A959" s="1">
        <v>1996</v>
      </c>
      <c r="B959" s="1" t="s">
        <v>104</v>
      </c>
      <c r="C959" t="s">
        <v>9</v>
      </c>
      <c r="D959" s="1" t="s">
        <v>5</v>
      </c>
      <c r="E959">
        <v>40</v>
      </c>
      <c r="F959" s="1" t="s">
        <v>101</v>
      </c>
      <c r="G959">
        <v>14</v>
      </c>
      <c r="H959">
        <v>1</v>
      </c>
      <c r="I959" s="2">
        <f t="shared" si="42"/>
        <v>1.0689839999999999</v>
      </c>
      <c r="J959">
        <f t="shared" si="43"/>
        <v>9.295513043478261E-2</v>
      </c>
      <c r="K959">
        <f t="shared" si="44"/>
        <v>2.7918098720292505E-2</v>
      </c>
    </row>
    <row r="960" spans="1:11" x14ac:dyDescent="0.25">
      <c r="A960" s="1">
        <v>1996</v>
      </c>
      <c r="B960" s="1" t="s">
        <v>104</v>
      </c>
      <c r="C960" t="s">
        <v>9</v>
      </c>
      <c r="D960" s="1" t="s">
        <v>5</v>
      </c>
      <c r="E960">
        <v>41</v>
      </c>
      <c r="F960" s="1" t="s">
        <v>101</v>
      </c>
      <c r="G960">
        <v>6</v>
      </c>
      <c r="H960">
        <v>1</v>
      </c>
      <c r="I960" s="2">
        <f t="shared" si="42"/>
        <v>0.19634399999999999</v>
      </c>
      <c r="J960">
        <f t="shared" si="43"/>
        <v>1.7073391304347825E-2</v>
      </c>
      <c r="K960">
        <f t="shared" si="44"/>
        <v>5.1278140506659702E-3</v>
      </c>
    </row>
    <row r="961" spans="1:11" x14ac:dyDescent="0.25">
      <c r="A961" s="1">
        <v>1996</v>
      </c>
      <c r="B961" s="1" t="s">
        <v>104</v>
      </c>
      <c r="C961" t="s">
        <v>9</v>
      </c>
      <c r="D961" s="1" t="s">
        <v>5</v>
      </c>
      <c r="E961">
        <v>41</v>
      </c>
      <c r="F961" s="1" t="s">
        <v>101</v>
      </c>
      <c r="G961">
        <v>12</v>
      </c>
      <c r="H961">
        <v>1</v>
      </c>
      <c r="I961" s="2">
        <f t="shared" si="42"/>
        <v>0.78537599999999996</v>
      </c>
      <c r="J961">
        <f t="shared" si="43"/>
        <v>6.82935652173913E-2</v>
      </c>
      <c r="K961">
        <f t="shared" si="44"/>
        <v>2.0511256202663881E-2</v>
      </c>
    </row>
    <row r="962" spans="1:11" x14ac:dyDescent="0.25">
      <c r="A962" s="1">
        <v>1996</v>
      </c>
      <c r="B962" s="1" t="s">
        <v>104</v>
      </c>
      <c r="C962" t="s">
        <v>9</v>
      </c>
      <c r="D962" s="1" t="s">
        <v>5</v>
      </c>
      <c r="E962">
        <v>53</v>
      </c>
      <c r="F962" s="1" t="s">
        <v>101</v>
      </c>
      <c r="G962">
        <v>10</v>
      </c>
      <c r="H962">
        <v>1</v>
      </c>
      <c r="I962" s="2">
        <f t="shared" si="42"/>
        <v>0.5454</v>
      </c>
      <c r="J962">
        <f t="shared" si="43"/>
        <v>4.7426086956521736E-2</v>
      </c>
      <c r="K962">
        <f t="shared" si="44"/>
        <v>1.4243927918516582E-2</v>
      </c>
    </row>
    <row r="963" spans="1:11" x14ac:dyDescent="0.25">
      <c r="A963" s="1">
        <v>1996</v>
      </c>
      <c r="B963" s="1" t="s">
        <v>104</v>
      </c>
      <c r="C963" t="s">
        <v>9</v>
      </c>
      <c r="D963" s="1" t="s">
        <v>5</v>
      </c>
      <c r="E963">
        <v>58</v>
      </c>
      <c r="F963" s="1" t="s">
        <v>101</v>
      </c>
      <c r="G963">
        <v>6</v>
      </c>
      <c r="H963">
        <v>3</v>
      </c>
      <c r="I963" s="2">
        <f t="shared" ref="I963:I1026" si="45">0.005454*G963^2*H963</f>
        <v>0.589032</v>
      </c>
      <c r="J963">
        <f t="shared" ref="J963:J1026" si="46">I963/11.5</f>
        <v>5.1220173913043475E-2</v>
      </c>
      <c r="K963">
        <f t="shared" ref="K963:K1026" si="47">J963*(11.5/38.29)</f>
        <v>1.538344215199791E-2</v>
      </c>
    </row>
    <row r="964" spans="1:11" x14ac:dyDescent="0.25">
      <c r="A964" s="1">
        <v>1996</v>
      </c>
      <c r="B964" s="1" t="s">
        <v>104</v>
      </c>
      <c r="C964" t="s">
        <v>9</v>
      </c>
      <c r="D964" s="1" t="s">
        <v>5</v>
      </c>
      <c r="E964">
        <v>58</v>
      </c>
      <c r="F964" s="1" t="s">
        <v>101</v>
      </c>
      <c r="G964">
        <v>8</v>
      </c>
      <c r="H964">
        <v>2</v>
      </c>
      <c r="I964" s="2">
        <f t="shared" si="45"/>
        <v>0.69811199999999995</v>
      </c>
      <c r="J964">
        <f t="shared" si="46"/>
        <v>6.0705391304347822E-2</v>
      </c>
      <c r="K964">
        <f t="shared" si="47"/>
        <v>1.8232227735701226E-2</v>
      </c>
    </row>
    <row r="965" spans="1:11" x14ac:dyDescent="0.25">
      <c r="A965" s="1">
        <v>1996</v>
      </c>
      <c r="B965" s="1" t="s">
        <v>104</v>
      </c>
      <c r="C965" t="s">
        <v>9</v>
      </c>
      <c r="D965" s="1" t="s">
        <v>5</v>
      </c>
      <c r="E965">
        <v>63</v>
      </c>
      <c r="F965" s="1" t="s">
        <v>101</v>
      </c>
      <c r="G965">
        <v>6</v>
      </c>
      <c r="H965">
        <v>17</v>
      </c>
      <c r="I965" s="2">
        <f t="shared" si="45"/>
        <v>3.3378479999999997</v>
      </c>
      <c r="J965">
        <f t="shared" si="46"/>
        <v>0.29024765217391302</v>
      </c>
      <c r="K965">
        <f t="shared" si="47"/>
        <v>8.7172838861321489E-2</v>
      </c>
    </row>
    <row r="966" spans="1:11" x14ac:dyDescent="0.25">
      <c r="A966" s="1">
        <v>1996</v>
      </c>
      <c r="B966" s="1" t="s">
        <v>104</v>
      </c>
      <c r="C966" t="s">
        <v>9</v>
      </c>
      <c r="D966" s="1" t="s">
        <v>5</v>
      </c>
      <c r="E966">
        <v>71</v>
      </c>
      <c r="F966" s="1" t="s">
        <v>101</v>
      </c>
      <c r="G966">
        <v>8</v>
      </c>
      <c r="H966">
        <v>2</v>
      </c>
      <c r="I966" s="2">
        <f t="shared" si="45"/>
        <v>0.69811199999999995</v>
      </c>
      <c r="J966">
        <f t="shared" si="46"/>
        <v>6.0705391304347822E-2</v>
      </c>
      <c r="K966">
        <f t="shared" si="47"/>
        <v>1.8232227735701226E-2</v>
      </c>
    </row>
    <row r="967" spans="1:11" x14ac:dyDescent="0.25">
      <c r="A967" s="1">
        <v>1996</v>
      </c>
      <c r="B967" s="1" t="s">
        <v>104</v>
      </c>
      <c r="C967" t="s">
        <v>9</v>
      </c>
      <c r="D967" s="1" t="s">
        <v>5</v>
      </c>
      <c r="E967">
        <v>71</v>
      </c>
      <c r="F967" s="1" t="s">
        <v>101</v>
      </c>
      <c r="G967">
        <v>12</v>
      </c>
      <c r="H967">
        <v>1</v>
      </c>
      <c r="I967" s="2">
        <f t="shared" si="45"/>
        <v>0.78537599999999996</v>
      </c>
      <c r="J967">
        <f t="shared" si="46"/>
        <v>6.82935652173913E-2</v>
      </c>
      <c r="K967">
        <f t="shared" si="47"/>
        <v>2.0511256202663881E-2</v>
      </c>
    </row>
    <row r="968" spans="1:11" x14ac:dyDescent="0.25">
      <c r="A968" s="1">
        <v>1996</v>
      </c>
      <c r="B968" s="1" t="s">
        <v>104</v>
      </c>
      <c r="C968" t="s">
        <v>9</v>
      </c>
      <c r="D968" s="1" t="s">
        <v>5</v>
      </c>
      <c r="E968">
        <v>76</v>
      </c>
      <c r="F968" s="1" t="s">
        <v>101</v>
      </c>
      <c r="G968">
        <v>18</v>
      </c>
      <c r="H968">
        <v>1</v>
      </c>
      <c r="I968" s="2">
        <f t="shared" si="45"/>
        <v>1.7670959999999998</v>
      </c>
      <c r="J968">
        <f t="shared" si="46"/>
        <v>0.15366052173913042</v>
      </c>
      <c r="K968">
        <f t="shared" si="47"/>
        <v>4.6150326455993727E-2</v>
      </c>
    </row>
    <row r="969" spans="1:11" x14ac:dyDescent="0.25">
      <c r="A969" s="1">
        <v>1996</v>
      </c>
      <c r="B969" s="1" t="s">
        <v>104</v>
      </c>
      <c r="C969" t="s">
        <v>9</v>
      </c>
      <c r="D969" s="1" t="s">
        <v>5</v>
      </c>
      <c r="E969">
        <v>79</v>
      </c>
      <c r="F969" s="1" t="s">
        <v>101</v>
      </c>
      <c r="G969">
        <v>6</v>
      </c>
      <c r="H969">
        <v>20</v>
      </c>
      <c r="I969" s="2">
        <f t="shared" si="45"/>
        <v>3.9268799999999997</v>
      </c>
      <c r="J969">
        <f t="shared" si="46"/>
        <v>0.34146782608695647</v>
      </c>
      <c r="K969">
        <f t="shared" si="47"/>
        <v>0.10255628101331939</v>
      </c>
    </row>
    <row r="970" spans="1:11" x14ac:dyDescent="0.25">
      <c r="A970" s="1">
        <v>1996</v>
      </c>
      <c r="B970" s="1" t="s">
        <v>104</v>
      </c>
      <c r="C970" t="s">
        <v>9</v>
      </c>
      <c r="D970" s="1" t="s">
        <v>5</v>
      </c>
      <c r="E970">
        <v>79</v>
      </c>
      <c r="F970" s="1" t="s">
        <v>101</v>
      </c>
      <c r="G970">
        <v>8</v>
      </c>
      <c r="H970">
        <v>7</v>
      </c>
      <c r="I970" s="2">
        <f t="shared" si="45"/>
        <v>2.4433919999999998</v>
      </c>
      <c r="J970">
        <f t="shared" si="46"/>
        <v>0.21246886956521738</v>
      </c>
      <c r="K970">
        <f t="shared" si="47"/>
        <v>6.3812797074954297E-2</v>
      </c>
    </row>
    <row r="971" spans="1:11" x14ac:dyDescent="0.25">
      <c r="A971" s="1">
        <v>1996</v>
      </c>
      <c r="B971" s="1" t="s">
        <v>104</v>
      </c>
      <c r="C971" t="s">
        <v>9</v>
      </c>
      <c r="D971" s="1" t="s">
        <v>5</v>
      </c>
      <c r="E971">
        <v>79</v>
      </c>
      <c r="F971" s="1" t="s">
        <v>101</v>
      </c>
      <c r="G971">
        <v>10</v>
      </c>
      <c r="H971">
        <v>4</v>
      </c>
      <c r="I971" s="2">
        <f t="shared" si="45"/>
        <v>2.1816</v>
      </c>
      <c r="J971">
        <f t="shared" si="46"/>
        <v>0.18970434782608694</v>
      </c>
      <c r="K971">
        <f t="shared" si="47"/>
        <v>5.6975711674066329E-2</v>
      </c>
    </row>
    <row r="972" spans="1:11" x14ac:dyDescent="0.25">
      <c r="A972" s="1">
        <v>1996</v>
      </c>
      <c r="B972" s="1" t="s">
        <v>104</v>
      </c>
      <c r="C972" t="s">
        <v>9</v>
      </c>
      <c r="D972" s="1" t="s">
        <v>5</v>
      </c>
      <c r="E972">
        <v>79</v>
      </c>
      <c r="F972" s="1" t="s">
        <v>101</v>
      </c>
      <c r="G972">
        <v>12</v>
      </c>
      <c r="H972">
        <v>2</v>
      </c>
      <c r="I972" s="2">
        <f t="shared" si="45"/>
        <v>1.5707519999999999</v>
      </c>
      <c r="J972">
        <f t="shared" si="46"/>
        <v>0.1365871304347826</v>
      </c>
      <c r="K972">
        <f t="shared" si="47"/>
        <v>4.1022512405327761E-2</v>
      </c>
    </row>
    <row r="973" spans="1:11" x14ac:dyDescent="0.25">
      <c r="A973" s="1">
        <v>1996</v>
      </c>
      <c r="B973" s="1" t="s">
        <v>104</v>
      </c>
      <c r="C973" t="s">
        <v>9</v>
      </c>
      <c r="D973" s="1" t="s">
        <v>5</v>
      </c>
      <c r="E973">
        <v>79</v>
      </c>
      <c r="F973" s="1" t="s">
        <v>101</v>
      </c>
      <c r="G973">
        <v>16</v>
      </c>
      <c r="H973">
        <v>1</v>
      </c>
      <c r="I973" s="2">
        <f t="shared" si="45"/>
        <v>1.3962239999999999</v>
      </c>
      <c r="J973">
        <f t="shared" si="46"/>
        <v>0.12141078260869564</v>
      </c>
      <c r="K973">
        <f t="shared" si="47"/>
        <v>3.6464455471402452E-2</v>
      </c>
    </row>
    <row r="974" spans="1:11" x14ac:dyDescent="0.25">
      <c r="A974" s="1">
        <v>1996</v>
      </c>
      <c r="B974" s="1" t="s">
        <v>104</v>
      </c>
      <c r="C974" t="s">
        <v>9</v>
      </c>
      <c r="D974" s="1" t="s">
        <v>5</v>
      </c>
      <c r="E974">
        <v>85</v>
      </c>
      <c r="F974" s="1" t="s">
        <v>101</v>
      </c>
      <c r="G974">
        <v>6</v>
      </c>
      <c r="H974">
        <v>3</v>
      </c>
      <c r="I974" s="2">
        <f t="shared" si="45"/>
        <v>0.589032</v>
      </c>
      <c r="J974">
        <f t="shared" si="46"/>
        <v>5.1220173913043475E-2</v>
      </c>
      <c r="K974">
        <f t="shared" si="47"/>
        <v>1.538344215199791E-2</v>
      </c>
    </row>
    <row r="975" spans="1:11" x14ac:dyDescent="0.25">
      <c r="A975" s="1">
        <v>1996</v>
      </c>
      <c r="B975" s="1" t="s">
        <v>104</v>
      </c>
      <c r="C975" t="s">
        <v>9</v>
      </c>
      <c r="D975" s="1" t="s">
        <v>5</v>
      </c>
      <c r="E975">
        <v>85</v>
      </c>
      <c r="F975" s="1" t="s">
        <v>101</v>
      </c>
      <c r="G975">
        <v>10</v>
      </c>
      <c r="H975">
        <v>2</v>
      </c>
      <c r="I975" s="2">
        <f t="shared" si="45"/>
        <v>1.0908</v>
      </c>
      <c r="J975">
        <f t="shared" si="46"/>
        <v>9.4852173913043472E-2</v>
      </c>
      <c r="K975">
        <f t="shared" si="47"/>
        <v>2.8487855837033164E-2</v>
      </c>
    </row>
    <row r="976" spans="1:11" x14ac:dyDescent="0.25">
      <c r="A976" s="1">
        <v>1996</v>
      </c>
      <c r="B976" s="1" t="s">
        <v>104</v>
      </c>
      <c r="C976" t="s">
        <v>9</v>
      </c>
      <c r="D976" s="1" t="s">
        <v>5</v>
      </c>
      <c r="E976">
        <v>85</v>
      </c>
      <c r="F976" s="1" t="s">
        <v>101</v>
      </c>
      <c r="G976">
        <v>12</v>
      </c>
      <c r="H976">
        <v>3</v>
      </c>
      <c r="I976" s="2">
        <f t="shared" si="45"/>
        <v>2.356128</v>
      </c>
      <c r="J976">
        <f t="shared" si="46"/>
        <v>0.2048806956521739</v>
      </c>
      <c r="K976">
        <f t="shared" si="47"/>
        <v>6.1533768607991639E-2</v>
      </c>
    </row>
    <row r="977" spans="1:11" x14ac:dyDescent="0.25">
      <c r="A977" s="1">
        <v>1996</v>
      </c>
      <c r="B977" s="1" t="s">
        <v>104</v>
      </c>
      <c r="C977" t="s">
        <v>9</v>
      </c>
      <c r="D977" s="1" t="s">
        <v>5</v>
      </c>
      <c r="E977">
        <v>85</v>
      </c>
      <c r="F977" s="1" t="s">
        <v>101</v>
      </c>
      <c r="G977">
        <v>14</v>
      </c>
      <c r="H977">
        <v>6</v>
      </c>
      <c r="I977" s="2">
        <f t="shared" si="45"/>
        <v>6.4139039999999996</v>
      </c>
      <c r="J977">
        <f t="shared" si="46"/>
        <v>0.55773078260869557</v>
      </c>
      <c r="K977">
        <f t="shared" si="47"/>
        <v>0.167508592321755</v>
      </c>
    </row>
    <row r="978" spans="1:11" x14ac:dyDescent="0.25">
      <c r="A978" s="1">
        <v>1996</v>
      </c>
      <c r="B978" s="1" t="s">
        <v>104</v>
      </c>
      <c r="C978" t="s">
        <v>9</v>
      </c>
      <c r="D978" s="1" t="s">
        <v>5</v>
      </c>
      <c r="E978">
        <v>85</v>
      </c>
      <c r="F978" s="1" t="s">
        <v>101</v>
      </c>
      <c r="G978">
        <v>16</v>
      </c>
      <c r="H978">
        <v>4</v>
      </c>
      <c r="I978" s="2">
        <f t="shared" si="45"/>
        <v>5.5848959999999996</v>
      </c>
      <c r="J978">
        <f t="shared" si="46"/>
        <v>0.48564313043478258</v>
      </c>
      <c r="K978">
        <f t="shared" si="47"/>
        <v>0.14585782188560981</v>
      </c>
    </row>
    <row r="979" spans="1:11" x14ac:dyDescent="0.25">
      <c r="A979" s="1">
        <v>1996</v>
      </c>
      <c r="B979" s="1" t="s">
        <v>104</v>
      </c>
      <c r="C979" t="s">
        <v>9</v>
      </c>
      <c r="D979" s="1" t="s">
        <v>5</v>
      </c>
      <c r="E979">
        <v>85</v>
      </c>
      <c r="F979" s="1" t="s">
        <v>101</v>
      </c>
      <c r="G979">
        <v>18</v>
      </c>
      <c r="H979">
        <v>4</v>
      </c>
      <c r="I979" s="2">
        <f t="shared" si="45"/>
        <v>7.0683839999999991</v>
      </c>
      <c r="J979">
        <f t="shared" si="46"/>
        <v>0.61464208695652167</v>
      </c>
      <c r="K979">
        <f t="shared" si="47"/>
        <v>0.18460130582397491</v>
      </c>
    </row>
    <row r="980" spans="1:11" x14ac:dyDescent="0.25">
      <c r="A980" s="1">
        <v>1996</v>
      </c>
      <c r="B980" s="1" t="s">
        <v>104</v>
      </c>
      <c r="C980" t="s">
        <v>9</v>
      </c>
      <c r="D980" s="1" t="s">
        <v>5</v>
      </c>
      <c r="E980">
        <v>88</v>
      </c>
      <c r="F980" s="1" t="s">
        <v>101</v>
      </c>
      <c r="G980">
        <v>6</v>
      </c>
      <c r="H980">
        <v>1</v>
      </c>
      <c r="I980" s="2">
        <f t="shared" si="45"/>
        <v>0.19634399999999999</v>
      </c>
      <c r="J980">
        <f t="shared" si="46"/>
        <v>1.7073391304347825E-2</v>
      </c>
      <c r="K980">
        <f t="shared" si="47"/>
        <v>5.1278140506659702E-3</v>
      </c>
    </row>
    <row r="981" spans="1:11" x14ac:dyDescent="0.25">
      <c r="A981" s="1">
        <v>1997</v>
      </c>
      <c r="B981" s="1" t="s">
        <v>104</v>
      </c>
      <c r="C981" t="s">
        <v>8</v>
      </c>
      <c r="D981" s="1" t="s">
        <v>3</v>
      </c>
      <c r="E981">
        <v>29</v>
      </c>
      <c r="F981" s="1" t="s">
        <v>101</v>
      </c>
      <c r="G981">
        <v>6</v>
      </c>
      <c r="H981">
        <v>1</v>
      </c>
      <c r="I981" s="2">
        <f t="shared" si="45"/>
        <v>0.19634399999999999</v>
      </c>
      <c r="J981">
        <f t="shared" si="46"/>
        <v>1.7073391304347825E-2</v>
      </c>
      <c r="K981">
        <f t="shared" si="47"/>
        <v>5.1278140506659702E-3</v>
      </c>
    </row>
    <row r="982" spans="1:11" x14ac:dyDescent="0.25">
      <c r="A982" s="1">
        <v>1997</v>
      </c>
      <c r="B982" s="1" t="s">
        <v>104</v>
      </c>
      <c r="C982" t="s">
        <v>8</v>
      </c>
      <c r="D982" s="1" t="s">
        <v>3</v>
      </c>
      <c r="E982">
        <v>29</v>
      </c>
      <c r="F982" s="1" t="s">
        <v>101</v>
      </c>
      <c r="G982">
        <v>8</v>
      </c>
      <c r="H982">
        <v>1</v>
      </c>
      <c r="I982" s="2">
        <f t="shared" si="45"/>
        <v>0.34905599999999998</v>
      </c>
      <c r="J982">
        <f t="shared" si="46"/>
        <v>3.0352695652173911E-2</v>
      </c>
      <c r="K982">
        <f t="shared" si="47"/>
        <v>9.1161138678506129E-3</v>
      </c>
    </row>
    <row r="983" spans="1:11" x14ac:dyDescent="0.25">
      <c r="A983" s="1">
        <v>1997</v>
      </c>
      <c r="B983" s="1" t="s">
        <v>104</v>
      </c>
      <c r="C983" t="s">
        <v>8</v>
      </c>
      <c r="D983" s="1" t="s">
        <v>3</v>
      </c>
      <c r="E983">
        <v>32</v>
      </c>
      <c r="F983" s="1" t="s">
        <v>101</v>
      </c>
      <c r="G983">
        <v>6</v>
      </c>
      <c r="H983">
        <v>8</v>
      </c>
      <c r="I983" s="2">
        <f t="shared" si="45"/>
        <v>1.5707519999999999</v>
      </c>
      <c r="J983">
        <f t="shared" si="46"/>
        <v>0.1365871304347826</v>
      </c>
      <c r="K983">
        <f t="shared" si="47"/>
        <v>4.1022512405327761E-2</v>
      </c>
    </row>
    <row r="984" spans="1:11" x14ac:dyDescent="0.25">
      <c r="A984" s="1">
        <v>1997</v>
      </c>
      <c r="B984" s="1" t="s">
        <v>104</v>
      </c>
      <c r="C984" t="s">
        <v>8</v>
      </c>
      <c r="D984" s="1" t="s">
        <v>3</v>
      </c>
      <c r="E984">
        <v>32</v>
      </c>
      <c r="F984" s="1" t="s">
        <v>101</v>
      </c>
      <c r="G984">
        <v>8</v>
      </c>
      <c r="H984">
        <v>1</v>
      </c>
      <c r="I984" s="2">
        <f t="shared" si="45"/>
        <v>0.34905599999999998</v>
      </c>
      <c r="J984">
        <f t="shared" si="46"/>
        <v>3.0352695652173911E-2</v>
      </c>
      <c r="K984">
        <f t="shared" si="47"/>
        <v>9.1161138678506129E-3</v>
      </c>
    </row>
    <row r="985" spans="1:11" x14ac:dyDescent="0.25">
      <c r="A985" s="1">
        <v>1997</v>
      </c>
      <c r="B985" s="1" t="s">
        <v>104</v>
      </c>
      <c r="C985" t="s">
        <v>8</v>
      </c>
      <c r="D985" s="1" t="s">
        <v>3</v>
      </c>
      <c r="E985">
        <v>32</v>
      </c>
      <c r="F985" s="1" t="s">
        <v>101</v>
      </c>
      <c r="G985">
        <v>18</v>
      </c>
      <c r="H985">
        <v>1</v>
      </c>
      <c r="I985" s="2">
        <f t="shared" si="45"/>
        <v>1.7670959999999998</v>
      </c>
      <c r="J985">
        <f t="shared" si="46"/>
        <v>0.15366052173913042</v>
      </c>
      <c r="K985">
        <f t="shared" si="47"/>
        <v>4.6150326455993727E-2</v>
      </c>
    </row>
    <row r="986" spans="1:11" x14ac:dyDescent="0.25">
      <c r="A986" s="1">
        <v>1997</v>
      </c>
      <c r="B986" s="1" t="s">
        <v>104</v>
      </c>
      <c r="C986" t="s">
        <v>8</v>
      </c>
      <c r="D986" s="1" t="s">
        <v>3</v>
      </c>
      <c r="E986">
        <v>32</v>
      </c>
      <c r="F986" s="1" t="s">
        <v>101</v>
      </c>
      <c r="G986">
        <v>20</v>
      </c>
      <c r="H986">
        <v>1</v>
      </c>
      <c r="I986" s="2">
        <f t="shared" si="45"/>
        <v>2.1816</v>
      </c>
      <c r="J986">
        <f t="shared" si="46"/>
        <v>0.18970434782608694</v>
      </c>
      <c r="K986">
        <f t="shared" si="47"/>
        <v>5.6975711674066329E-2</v>
      </c>
    </row>
    <row r="987" spans="1:11" x14ac:dyDescent="0.25">
      <c r="A987" s="1">
        <v>1997</v>
      </c>
      <c r="B987" s="1" t="s">
        <v>104</v>
      </c>
      <c r="C987" t="s">
        <v>8</v>
      </c>
      <c r="D987" s="1" t="s">
        <v>3</v>
      </c>
      <c r="E987">
        <v>34</v>
      </c>
      <c r="F987" s="1" t="s">
        <v>101</v>
      </c>
      <c r="G987">
        <v>8</v>
      </c>
      <c r="H987">
        <v>1</v>
      </c>
      <c r="I987" s="2">
        <f t="shared" si="45"/>
        <v>0.34905599999999998</v>
      </c>
      <c r="J987">
        <f t="shared" si="46"/>
        <v>3.0352695652173911E-2</v>
      </c>
      <c r="K987">
        <f t="shared" si="47"/>
        <v>9.1161138678506129E-3</v>
      </c>
    </row>
    <row r="988" spans="1:11" x14ac:dyDescent="0.25">
      <c r="A988" s="1">
        <v>1997</v>
      </c>
      <c r="B988" s="1" t="s">
        <v>104</v>
      </c>
      <c r="C988" t="s">
        <v>8</v>
      </c>
      <c r="D988" s="1" t="s">
        <v>3</v>
      </c>
      <c r="E988">
        <v>34</v>
      </c>
      <c r="F988" s="1" t="s">
        <v>101</v>
      </c>
      <c r="G988">
        <v>12</v>
      </c>
      <c r="H988">
        <v>1</v>
      </c>
      <c r="I988" s="2">
        <f t="shared" si="45"/>
        <v>0.78537599999999996</v>
      </c>
      <c r="J988">
        <f t="shared" si="46"/>
        <v>6.82935652173913E-2</v>
      </c>
      <c r="K988">
        <f t="shared" si="47"/>
        <v>2.0511256202663881E-2</v>
      </c>
    </row>
    <row r="989" spans="1:11" x14ac:dyDescent="0.25">
      <c r="A989" s="1">
        <v>1997</v>
      </c>
      <c r="B989" s="1" t="s">
        <v>104</v>
      </c>
      <c r="C989" t="s">
        <v>8</v>
      </c>
      <c r="D989" s="1" t="s">
        <v>3</v>
      </c>
      <c r="E989">
        <v>34</v>
      </c>
      <c r="F989" s="1" t="s">
        <v>101</v>
      </c>
      <c r="G989">
        <v>14</v>
      </c>
      <c r="H989">
        <v>2</v>
      </c>
      <c r="I989" s="2">
        <f t="shared" si="45"/>
        <v>2.1379679999999999</v>
      </c>
      <c r="J989">
        <f t="shared" si="46"/>
        <v>0.18591026086956522</v>
      </c>
      <c r="K989">
        <f t="shared" si="47"/>
        <v>5.583619744058501E-2</v>
      </c>
    </row>
    <row r="990" spans="1:11" x14ac:dyDescent="0.25">
      <c r="A990" s="1">
        <v>1997</v>
      </c>
      <c r="B990" s="1" t="s">
        <v>104</v>
      </c>
      <c r="C990" t="s">
        <v>8</v>
      </c>
      <c r="D990" s="1" t="s">
        <v>3</v>
      </c>
      <c r="E990">
        <v>34</v>
      </c>
      <c r="F990" s="1" t="s">
        <v>101</v>
      </c>
      <c r="G990">
        <v>18</v>
      </c>
      <c r="H990">
        <v>7</v>
      </c>
      <c r="I990" s="2">
        <f t="shared" si="45"/>
        <v>12.369671999999998</v>
      </c>
      <c r="J990">
        <f t="shared" si="46"/>
        <v>1.0756236521739129</v>
      </c>
      <c r="K990">
        <f t="shared" si="47"/>
        <v>0.32305228519195606</v>
      </c>
    </row>
    <row r="991" spans="1:11" x14ac:dyDescent="0.25">
      <c r="A991" s="1">
        <v>1997</v>
      </c>
      <c r="B991" s="1" t="s">
        <v>104</v>
      </c>
      <c r="C991" t="s">
        <v>8</v>
      </c>
      <c r="D991" s="1" t="s">
        <v>3</v>
      </c>
      <c r="E991">
        <v>34</v>
      </c>
      <c r="F991" s="1" t="s">
        <v>101</v>
      </c>
      <c r="G991">
        <v>20</v>
      </c>
      <c r="H991">
        <v>5</v>
      </c>
      <c r="I991" s="2">
        <f t="shared" si="45"/>
        <v>10.907999999999999</v>
      </c>
      <c r="J991">
        <f t="shared" si="46"/>
        <v>0.94852173913043469</v>
      </c>
      <c r="K991">
        <f t="shared" si="47"/>
        <v>0.28487855837033166</v>
      </c>
    </row>
    <row r="992" spans="1:11" x14ac:dyDescent="0.25">
      <c r="A992" s="1">
        <v>1997</v>
      </c>
      <c r="B992" s="1" t="s">
        <v>104</v>
      </c>
      <c r="C992" t="s">
        <v>8</v>
      </c>
      <c r="D992" s="1" t="s">
        <v>3</v>
      </c>
      <c r="E992">
        <v>34</v>
      </c>
      <c r="F992" s="1" t="s">
        <v>101</v>
      </c>
      <c r="G992">
        <v>24</v>
      </c>
      <c r="H992">
        <v>1</v>
      </c>
      <c r="I992" s="2">
        <f t="shared" si="45"/>
        <v>3.1415039999999999</v>
      </c>
      <c r="J992">
        <f t="shared" si="46"/>
        <v>0.2731742608695652</v>
      </c>
      <c r="K992">
        <f t="shared" si="47"/>
        <v>8.2045024810655523E-2</v>
      </c>
    </row>
    <row r="993" spans="1:11" x14ac:dyDescent="0.25">
      <c r="A993" s="1">
        <v>1997</v>
      </c>
      <c r="B993" s="1" t="s">
        <v>104</v>
      </c>
      <c r="C993" t="s">
        <v>8</v>
      </c>
      <c r="D993" s="1" t="s">
        <v>3</v>
      </c>
      <c r="E993">
        <v>38</v>
      </c>
      <c r="F993" s="1" t="s">
        <v>101</v>
      </c>
      <c r="G993">
        <v>6</v>
      </c>
      <c r="H993">
        <v>4</v>
      </c>
      <c r="I993" s="2">
        <f t="shared" si="45"/>
        <v>0.78537599999999996</v>
      </c>
      <c r="J993">
        <f t="shared" si="46"/>
        <v>6.82935652173913E-2</v>
      </c>
      <c r="K993">
        <f t="shared" si="47"/>
        <v>2.0511256202663881E-2</v>
      </c>
    </row>
    <row r="994" spans="1:11" x14ac:dyDescent="0.25">
      <c r="A994" s="1">
        <v>1997</v>
      </c>
      <c r="B994" s="1" t="s">
        <v>104</v>
      </c>
      <c r="C994" t="s">
        <v>8</v>
      </c>
      <c r="D994" s="1" t="s">
        <v>3</v>
      </c>
      <c r="E994">
        <v>38</v>
      </c>
      <c r="F994" s="1" t="s">
        <v>101</v>
      </c>
      <c r="G994">
        <v>8</v>
      </c>
      <c r="H994">
        <v>7</v>
      </c>
      <c r="I994" s="2">
        <f t="shared" si="45"/>
        <v>2.4433919999999998</v>
      </c>
      <c r="J994">
        <f t="shared" si="46"/>
        <v>0.21246886956521738</v>
      </c>
      <c r="K994">
        <f t="shared" si="47"/>
        <v>6.3812797074954297E-2</v>
      </c>
    </row>
    <row r="995" spans="1:11" x14ac:dyDescent="0.25">
      <c r="A995" s="1">
        <v>1997</v>
      </c>
      <c r="B995" s="1" t="s">
        <v>104</v>
      </c>
      <c r="C995" t="s">
        <v>8</v>
      </c>
      <c r="D995" s="1" t="s">
        <v>3</v>
      </c>
      <c r="E995">
        <v>38</v>
      </c>
      <c r="F995" s="1" t="s">
        <v>101</v>
      </c>
      <c r="G995">
        <v>12</v>
      </c>
      <c r="H995">
        <v>8</v>
      </c>
      <c r="I995" s="2">
        <f t="shared" si="45"/>
        <v>6.2830079999999997</v>
      </c>
      <c r="J995">
        <f t="shared" si="46"/>
        <v>0.5463485217391304</v>
      </c>
      <c r="K995">
        <f t="shared" si="47"/>
        <v>0.16409004962131105</v>
      </c>
    </row>
    <row r="996" spans="1:11" x14ac:dyDescent="0.25">
      <c r="A996" s="1">
        <v>1997</v>
      </c>
      <c r="B996" s="1" t="s">
        <v>104</v>
      </c>
      <c r="C996" t="s">
        <v>8</v>
      </c>
      <c r="D996" s="1" t="s">
        <v>3</v>
      </c>
      <c r="E996">
        <v>38</v>
      </c>
      <c r="F996" s="1" t="s">
        <v>101</v>
      </c>
      <c r="G996">
        <v>14</v>
      </c>
      <c r="H996">
        <v>3</v>
      </c>
      <c r="I996" s="2">
        <f t="shared" si="45"/>
        <v>3.2069519999999998</v>
      </c>
      <c r="J996">
        <f t="shared" si="46"/>
        <v>0.27886539130434779</v>
      </c>
      <c r="K996">
        <f t="shared" si="47"/>
        <v>8.3754296160877498E-2</v>
      </c>
    </row>
    <row r="997" spans="1:11" x14ac:dyDescent="0.25">
      <c r="A997" s="1">
        <v>1997</v>
      </c>
      <c r="B997" s="1" t="s">
        <v>104</v>
      </c>
      <c r="C997" t="s">
        <v>8</v>
      </c>
      <c r="D997" s="1" t="s">
        <v>3</v>
      </c>
      <c r="E997">
        <v>38</v>
      </c>
      <c r="F997" s="1" t="s">
        <v>101</v>
      </c>
      <c r="G997">
        <v>16</v>
      </c>
      <c r="H997">
        <v>2</v>
      </c>
      <c r="I997" s="2">
        <f t="shared" si="45"/>
        <v>2.7924479999999998</v>
      </c>
      <c r="J997">
        <f t="shared" si="46"/>
        <v>0.24282156521739129</v>
      </c>
      <c r="K997">
        <f t="shared" si="47"/>
        <v>7.2928910942804903E-2</v>
      </c>
    </row>
    <row r="998" spans="1:11" x14ac:dyDescent="0.25">
      <c r="A998" s="1">
        <v>1997</v>
      </c>
      <c r="B998" s="1" t="s">
        <v>104</v>
      </c>
      <c r="C998" t="s">
        <v>8</v>
      </c>
      <c r="D998" s="1" t="s">
        <v>3</v>
      </c>
      <c r="E998">
        <v>38</v>
      </c>
      <c r="F998" s="1" t="s">
        <v>101</v>
      </c>
      <c r="G998">
        <v>18</v>
      </c>
      <c r="H998">
        <v>42</v>
      </c>
      <c r="I998" s="2">
        <f t="shared" si="45"/>
        <v>74.218031999999994</v>
      </c>
      <c r="J998">
        <f t="shared" si="46"/>
        <v>6.4537419130434781</v>
      </c>
      <c r="K998">
        <f t="shared" si="47"/>
        <v>1.9383137111517366</v>
      </c>
    </row>
    <row r="999" spans="1:11" x14ac:dyDescent="0.25">
      <c r="A999" s="1">
        <v>1997</v>
      </c>
      <c r="B999" s="1" t="s">
        <v>104</v>
      </c>
      <c r="C999" t="s">
        <v>8</v>
      </c>
      <c r="D999" s="1" t="s">
        <v>3</v>
      </c>
      <c r="E999">
        <v>38</v>
      </c>
      <c r="F999" s="1" t="s">
        <v>101</v>
      </c>
      <c r="G999">
        <v>20</v>
      </c>
      <c r="H999">
        <v>18</v>
      </c>
      <c r="I999" s="2">
        <f t="shared" si="45"/>
        <v>39.268799999999999</v>
      </c>
      <c r="J999">
        <f t="shared" si="46"/>
        <v>3.4146782608695649</v>
      </c>
      <c r="K999">
        <f t="shared" si="47"/>
        <v>1.0255628101331939</v>
      </c>
    </row>
    <row r="1000" spans="1:11" x14ac:dyDescent="0.25">
      <c r="A1000" s="1">
        <v>1997</v>
      </c>
      <c r="B1000" s="1" t="s">
        <v>104</v>
      </c>
      <c r="C1000" t="s">
        <v>8</v>
      </c>
      <c r="D1000" s="1" t="s">
        <v>3</v>
      </c>
      <c r="E1000">
        <v>38</v>
      </c>
      <c r="F1000" s="1" t="s">
        <v>101</v>
      </c>
      <c r="G1000">
        <v>22</v>
      </c>
      <c r="H1000">
        <v>1</v>
      </c>
      <c r="I1000" s="2">
        <f t="shared" si="45"/>
        <v>2.6397359999999996</v>
      </c>
      <c r="J1000">
        <f t="shared" si="46"/>
        <v>0.2295422608695652</v>
      </c>
      <c r="K1000">
        <f t="shared" si="47"/>
        <v>6.8940611125620263E-2</v>
      </c>
    </row>
    <row r="1001" spans="1:11" x14ac:dyDescent="0.25">
      <c r="A1001" s="1">
        <v>1997</v>
      </c>
      <c r="B1001" s="1" t="s">
        <v>104</v>
      </c>
      <c r="C1001" t="s">
        <v>8</v>
      </c>
      <c r="D1001" s="1" t="s">
        <v>3</v>
      </c>
      <c r="E1001">
        <v>38</v>
      </c>
      <c r="F1001" s="1" t="s">
        <v>101</v>
      </c>
      <c r="G1001">
        <v>24</v>
      </c>
      <c r="H1001">
        <v>1</v>
      </c>
      <c r="I1001" s="2">
        <f t="shared" si="45"/>
        <v>3.1415039999999999</v>
      </c>
      <c r="J1001">
        <f t="shared" si="46"/>
        <v>0.2731742608695652</v>
      </c>
      <c r="K1001">
        <f t="shared" si="47"/>
        <v>8.2045024810655523E-2</v>
      </c>
    </row>
    <row r="1002" spans="1:11" x14ac:dyDescent="0.25">
      <c r="A1002" s="1">
        <v>1997</v>
      </c>
      <c r="B1002" s="1" t="s">
        <v>104</v>
      </c>
      <c r="C1002" t="s">
        <v>8</v>
      </c>
      <c r="D1002" s="1" t="s">
        <v>3</v>
      </c>
      <c r="E1002">
        <v>40</v>
      </c>
      <c r="F1002" s="1" t="s">
        <v>101</v>
      </c>
      <c r="G1002">
        <v>6</v>
      </c>
      <c r="H1002">
        <v>2</v>
      </c>
      <c r="I1002" s="2">
        <f t="shared" si="45"/>
        <v>0.39268799999999998</v>
      </c>
      <c r="J1002">
        <f t="shared" si="46"/>
        <v>3.414678260869565E-2</v>
      </c>
      <c r="K1002">
        <f t="shared" si="47"/>
        <v>1.025562810133194E-2</v>
      </c>
    </row>
    <row r="1003" spans="1:11" x14ac:dyDescent="0.25">
      <c r="A1003" s="1">
        <v>1997</v>
      </c>
      <c r="B1003" s="1" t="s">
        <v>104</v>
      </c>
      <c r="C1003" t="s">
        <v>8</v>
      </c>
      <c r="D1003" s="1" t="s">
        <v>3</v>
      </c>
      <c r="E1003">
        <v>40</v>
      </c>
      <c r="F1003" s="1" t="s">
        <v>101</v>
      </c>
      <c r="G1003">
        <v>8</v>
      </c>
      <c r="H1003">
        <v>1</v>
      </c>
      <c r="I1003" s="2">
        <f t="shared" si="45"/>
        <v>0.34905599999999998</v>
      </c>
      <c r="J1003">
        <f t="shared" si="46"/>
        <v>3.0352695652173911E-2</v>
      </c>
      <c r="K1003">
        <f t="shared" si="47"/>
        <v>9.1161138678506129E-3</v>
      </c>
    </row>
    <row r="1004" spans="1:11" x14ac:dyDescent="0.25">
      <c r="A1004" s="1">
        <v>1997</v>
      </c>
      <c r="B1004" s="1" t="s">
        <v>104</v>
      </c>
      <c r="C1004" t="s">
        <v>8</v>
      </c>
      <c r="D1004" s="1" t="s">
        <v>3</v>
      </c>
      <c r="E1004">
        <v>40</v>
      </c>
      <c r="F1004" s="1" t="s">
        <v>101</v>
      </c>
      <c r="G1004">
        <v>10</v>
      </c>
      <c r="H1004">
        <v>1</v>
      </c>
      <c r="I1004" s="2">
        <f t="shared" si="45"/>
        <v>0.5454</v>
      </c>
      <c r="J1004">
        <f t="shared" si="46"/>
        <v>4.7426086956521736E-2</v>
      </c>
      <c r="K1004">
        <f t="shared" si="47"/>
        <v>1.4243927918516582E-2</v>
      </c>
    </row>
    <row r="1005" spans="1:11" x14ac:dyDescent="0.25">
      <c r="A1005" s="1">
        <v>1997</v>
      </c>
      <c r="B1005" s="1" t="s">
        <v>104</v>
      </c>
      <c r="C1005" t="s">
        <v>8</v>
      </c>
      <c r="D1005" s="1" t="s">
        <v>3</v>
      </c>
      <c r="E1005">
        <v>40</v>
      </c>
      <c r="F1005" s="1" t="s">
        <v>101</v>
      </c>
      <c r="G1005">
        <v>12</v>
      </c>
      <c r="H1005">
        <v>1</v>
      </c>
      <c r="I1005" s="2">
        <f t="shared" si="45"/>
        <v>0.78537599999999996</v>
      </c>
      <c r="J1005">
        <f t="shared" si="46"/>
        <v>6.82935652173913E-2</v>
      </c>
      <c r="K1005">
        <f t="shared" si="47"/>
        <v>2.0511256202663881E-2</v>
      </c>
    </row>
    <row r="1006" spans="1:11" x14ac:dyDescent="0.25">
      <c r="A1006" s="1">
        <v>1997</v>
      </c>
      <c r="B1006" s="1" t="s">
        <v>104</v>
      </c>
      <c r="C1006" t="s">
        <v>8</v>
      </c>
      <c r="D1006" s="1" t="s">
        <v>3</v>
      </c>
      <c r="E1006">
        <v>40</v>
      </c>
      <c r="F1006" s="1" t="s">
        <v>101</v>
      </c>
      <c r="G1006">
        <v>18</v>
      </c>
      <c r="H1006">
        <v>49</v>
      </c>
      <c r="I1006" s="2">
        <f t="shared" si="45"/>
        <v>86.587703999999988</v>
      </c>
      <c r="J1006">
        <f t="shared" si="46"/>
        <v>7.5293655652173905</v>
      </c>
      <c r="K1006">
        <f t="shared" si="47"/>
        <v>2.2613659963436925</v>
      </c>
    </row>
    <row r="1007" spans="1:11" x14ac:dyDescent="0.25">
      <c r="A1007" s="1">
        <v>1997</v>
      </c>
      <c r="B1007" s="1" t="s">
        <v>104</v>
      </c>
      <c r="C1007" t="s">
        <v>8</v>
      </c>
      <c r="D1007" s="1" t="s">
        <v>3</v>
      </c>
      <c r="E1007">
        <v>40</v>
      </c>
      <c r="F1007" s="1" t="s">
        <v>101</v>
      </c>
      <c r="G1007">
        <v>20</v>
      </c>
      <c r="H1007">
        <v>26</v>
      </c>
      <c r="I1007" s="2">
        <f t="shared" si="45"/>
        <v>56.721600000000002</v>
      </c>
      <c r="J1007">
        <f t="shared" si="46"/>
        <v>4.9323130434782607</v>
      </c>
      <c r="K1007">
        <f t="shared" si="47"/>
        <v>1.4813685035257247</v>
      </c>
    </row>
    <row r="1008" spans="1:11" x14ac:dyDescent="0.25">
      <c r="A1008" s="1">
        <v>1997</v>
      </c>
      <c r="B1008" s="1" t="s">
        <v>104</v>
      </c>
      <c r="C1008" t="s">
        <v>8</v>
      </c>
      <c r="D1008" s="1" t="s">
        <v>3</v>
      </c>
      <c r="E1008">
        <v>40</v>
      </c>
      <c r="F1008" s="1" t="s">
        <v>101</v>
      </c>
      <c r="G1008">
        <v>22</v>
      </c>
      <c r="H1008">
        <v>20</v>
      </c>
      <c r="I1008" s="2">
        <f t="shared" si="45"/>
        <v>52.794719999999991</v>
      </c>
      <c r="J1008">
        <f t="shared" si="46"/>
        <v>4.5908452173913039</v>
      </c>
      <c r="K1008">
        <f t="shared" si="47"/>
        <v>1.3788122225124051</v>
      </c>
    </row>
    <row r="1009" spans="1:11" x14ac:dyDescent="0.25">
      <c r="A1009" s="1">
        <v>1997</v>
      </c>
      <c r="B1009" s="1" t="s">
        <v>104</v>
      </c>
      <c r="C1009" t="s">
        <v>8</v>
      </c>
      <c r="D1009" s="1" t="s">
        <v>3</v>
      </c>
      <c r="E1009">
        <v>40</v>
      </c>
      <c r="F1009" s="1" t="s">
        <v>101</v>
      </c>
      <c r="G1009">
        <v>24</v>
      </c>
      <c r="H1009">
        <v>8</v>
      </c>
      <c r="I1009" s="2">
        <f t="shared" si="45"/>
        <v>25.132031999999999</v>
      </c>
      <c r="J1009">
        <f t="shared" si="46"/>
        <v>2.1853940869565216</v>
      </c>
      <c r="K1009">
        <f t="shared" si="47"/>
        <v>0.65636019848524418</v>
      </c>
    </row>
    <row r="1010" spans="1:11" x14ac:dyDescent="0.25">
      <c r="A1010" s="1">
        <v>1997</v>
      </c>
      <c r="B1010" s="1" t="s">
        <v>104</v>
      </c>
      <c r="C1010" t="s">
        <v>8</v>
      </c>
      <c r="D1010" s="1" t="s">
        <v>3</v>
      </c>
      <c r="E1010">
        <v>40</v>
      </c>
      <c r="F1010" s="1" t="s">
        <v>101</v>
      </c>
      <c r="G1010">
        <v>26</v>
      </c>
      <c r="H1010">
        <v>4</v>
      </c>
      <c r="I1010" s="2">
        <f t="shared" si="45"/>
        <v>14.747615999999999</v>
      </c>
      <c r="J1010">
        <f t="shared" si="46"/>
        <v>1.2824013913043477</v>
      </c>
      <c r="K1010">
        <f t="shared" si="47"/>
        <v>0.38515581091668838</v>
      </c>
    </row>
    <row r="1011" spans="1:11" x14ac:dyDescent="0.25">
      <c r="A1011" s="1">
        <v>1997</v>
      </c>
      <c r="B1011" s="1" t="s">
        <v>104</v>
      </c>
      <c r="C1011" t="s">
        <v>8</v>
      </c>
      <c r="D1011" s="1" t="s">
        <v>3</v>
      </c>
      <c r="E1011">
        <v>40</v>
      </c>
      <c r="F1011" s="1" t="s">
        <v>101</v>
      </c>
      <c r="G1011">
        <v>28</v>
      </c>
      <c r="H1011">
        <v>1</v>
      </c>
      <c r="I1011" s="2">
        <f t="shared" si="45"/>
        <v>4.2759359999999997</v>
      </c>
      <c r="J1011">
        <f t="shared" si="46"/>
        <v>0.37182052173913044</v>
      </c>
      <c r="K1011">
        <f t="shared" si="47"/>
        <v>0.11167239488117002</v>
      </c>
    </row>
    <row r="1012" spans="1:11" x14ac:dyDescent="0.25">
      <c r="A1012" s="1">
        <v>1997</v>
      </c>
      <c r="B1012" s="1" t="s">
        <v>104</v>
      </c>
      <c r="C1012" t="s">
        <v>8</v>
      </c>
      <c r="D1012" s="1" t="s">
        <v>3</v>
      </c>
      <c r="E1012">
        <v>41</v>
      </c>
      <c r="F1012" s="1" t="s">
        <v>101</v>
      </c>
      <c r="G1012">
        <v>16</v>
      </c>
      <c r="H1012">
        <v>2</v>
      </c>
      <c r="I1012" s="2">
        <f t="shared" si="45"/>
        <v>2.7924479999999998</v>
      </c>
      <c r="J1012">
        <f t="shared" si="46"/>
        <v>0.24282156521739129</v>
      </c>
      <c r="K1012">
        <f t="shared" si="47"/>
        <v>7.2928910942804903E-2</v>
      </c>
    </row>
    <row r="1013" spans="1:11" x14ac:dyDescent="0.25">
      <c r="A1013" s="1">
        <v>1997</v>
      </c>
      <c r="B1013" s="1" t="s">
        <v>104</v>
      </c>
      <c r="C1013" t="s">
        <v>8</v>
      </c>
      <c r="D1013" s="1" t="s">
        <v>3</v>
      </c>
      <c r="E1013">
        <v>41</v>
      </c>
      <c r="F1013" s="1" t="s">
        <v>101</v>
      </c>
      <c r="G1013">
        <v>18</v>
      </c>
      <c r="H1013">
        <v>13</v>
      </c>
      <c r="I1013" s="2">
        <f t="shared" si="45"/>
        <v>22.972247999999997</v>
      </c>
      <c r="J1013">
        <f t="shared" si="46"/>
        <v>1.9975867826086955</v>
      </c>
      <c r="K1013">
        <f t="shared" si="47"/>
        <v>0.59995424392791841</v>
      </c>
    </row>
    <row r="1014" spans="1:11" x14ac:dyDescent="0.25">
      <c r="A1014" s="1">
        <v>1997</v>
      </c>
      <c r="B1014" s="1" t="s">
        <v>104</v>
      </c>
      <c r="C1014" t="s">
        <v>8</v>
      </c>
      <c r="D1014" s="1" t="s">
        <v>3</v>
      </c>
      <c r="E1014">
        <v>41</v>
      </c>
      <c r="F1014" s="1" t="s">
        <v>101</v>
      </c>
      <c r="G1014">
        <v>20</v>
      </c>
      <c r="H1014">
        <v>6</v>
      </c>
      <c r="I1014" s="2">
        <f t="shared" si="45"/>
        <v>13.089600000000001</v>
      </c>
      <c r="J1014">
        <f t="shared" si="46"/>
        <v>1.1382260869565217</v>
      </c>
      <c r="K1014">
        <f t="shared" si="47"/>
        <v>0.341854270044398</v>
      </c>
    </row>
    <row r="1015" spans="1:11" x14ac:dyDescent="0.25">
      <c r="A1015" s="1">
        <v>1997</v>
      </c>
      <c r="B1015" s="1" t="s">
        <v>104</v>
      </c>
      <c r="C1015" t="s">
        <v>8</v>
      </c>
      <c r="D1015" s="1" t="s">
        <v>3</v>
      </c>
      <c r="E1015">
        <v>41</v>
      </c>
      <c r="F1015" s="1" t="s">
        <v>101</v>
      </c>
      <c r="G1015">
        <v>22</v>
      </c>
      <c r="H1015">
        <v>1</v>
      </c>
      <c r="I1015" s="2">
        <f t="shared" si="45"/>
        <v>2.6397359999999996</v>
      </c>
      <c r="J1015">
        <f t="shared" si="46"/>
        <v>0.2295422608695652</v>
      </c>
      <c r="K1015">
        <f t="shared" si="47"/>
        <v>6.8940611125620263E-2</v>
      </c>
    </row>
    <row r="1016" spans="1:11" x14ac:dyDescent="0.25">
      <c r="A1016" s="1">
        <v>1997</v>
      </c>
      <c r="B1016" s="1" t="s">
        <v>104</v>
      </c>
      <c r="C1016" t="s">
        <v>8</v>
      </c>
      <c r="D1016" s="1" t="s">
        <v>3</v>
      </c>
      <c r="E1016">
        <v>53</v>
      </c>
      <c r="F1016" s="1" t="s">
        <v>101</v>
      </c>
      <c r="G1016">
        <v>6</v>
      </c>
      <c r="H1016">
        <v>2</v>
      </c>
      <c r="I1016" s="2">
        <f t="shared" si="45"/>
        <v>0.39268799999999998</v>
      </c>
      <c r="J1016">
        <f t="shared" si="46"/>
        <v>3.414678260869565E-2</v>
      </c>
      <c r="K1016">
        <f t="shared" si="47"/>
        <v>1.025562810133194E-2</v>
      </c>
    </row>
    <row r="1017" spans="1:11" x14ac:dyDescent="0.25">
      <c r="A1017" s="1">
        <v>1997</v>
      </c>
      <c r="B1017" s="1" t="s">
        <v>104</v>
      </c>
      <c r="C1017" t="s">
        <v>8</v>
      </c>
      <c r="D1017" s="1" t="s">
        <v>3</v>
      </c>
      <c r="E1017">
        <v>53</v>
      </c>
      <c r="F1017" s="1" t="s">
        <v>101</v>
      </c>
      <c r="G1017">
        <v>12</v>
      </c>
      <c r="H1017">
        <v>1</v>
      </c>
      <c r="I1017" s="2">
        <f t="shared" si="45"/>
        <v>0.78537599999999996</v>
      </c>
      <c r="J1017">
        <f t="shared" si="46"/>
        <v>6.82935652173913E-2</v>
      </c>
      <c r="K1017">
        <f t="shared" si="47"/>
        <v>2.0511256202663881E-2</v>
      </c>
    </row>
    <row r="1018" spans="1:11" x14ac:dyDescent="0.25">
      <c r="A1018" s="1">
        <v>1997</v>
      </c>
      <c r="B1018" s="1" t="s">
        <v>104</v>
      </c>
      <c r="C1018" t="s">
        <v>8</v>
      </c>
      <c r="D1018" s="1" t="s">
        <v>3</v>
      </c>
      <c r="E1018">
        <v>53</v>
      </c>
      <c r="F1018" s="1" t="s">
        <v>101</v>
      </c>
      <c r="G1018">
        <v>14</v>
      </c>
      <c r="H1018">
        <v>2</v>
      </c>
      <c r="I1018" s="2">
        <f t="shared" si="45"/>
        <v>2.1379679999999999</v>
      </c>
      <c r="J1018">
        <f t="shared" si="46"/>
        <v>0.18591026086956522</v>
      </c>
      <c r="K1018">
        <f t="shared" si="47"/>
        <v>5.583619744058501E-2</v>
      </c>
    </row>
    <row r="1019" spans="1:11" x14ac:dyDescent="0.25">
      <c r="A1019" s="1">
        <v>1997</v>
      </c>
      <c r="B1019" s="1" t="s">
        <v>104</v>
      </c>
      <c r="C1019" t="s">
        <v>8</v>
      </c>
      <c r="D1019" s="1" t="s">
        <v>3</v>
      </c>
      <c r="E1019">
        <v>53</v>
      </c>
      <c r="F1019" s="1" t="s">
        <v>101</v>
      </c>
      <c r="G1019">
        <v>18</v>
      </c>
      <c r="H1019">
        <v>4</v>
      </c>
      <c r="I1019" s="2">
        <f t="shared" si="45"/>
        <v>7.0683839999999991</v>
      </c>
      <c r="J1019">
        <f t="shared" si="46"/>
        <v>0.61464208695652167</v>
      </c>
      <c r="K1019">
        <f t="shared" si="47"/>
        <v>0.18460130582397491</v>
      </c>
    </row>
    <row r="1020" spans="1:11" x14ac:dyDescent="0.25">
      <c r="A1020" s="1">
        <v>1997</v>
      </c>
      <c r="B1020" s="1" t="s">
        <v>104</v>
      </c>
      <c r="C1020" t="s">
        <v>8</v>
      </c>
      <c r="D1020" s="1" t="s">
        <v>3</v>
      </c>
      <c r="E1020">
        <v>56</v>
      </c>
      <c r="F1020" s="1" t="s">
        <v>101</v>
      </c>
      <c r="G1020">
        <v>8</v>
      </c>
      <c r="H1020">
        <v>1</v>
      </c>
      <c r="I1020" s="2">
        <f t="shared" si="45"/>
        <v>0.34905599999999998</v>
      </c>
      <c r="J1020">
        <f t="shared" si="46"/>
        <v>3.0352695652173911E-2</v>
      </c>
      <c r="K1020">
        <f t="shared" si="47"/>
        <v>9.1161138678506129E-3</v>
      </c>
    </row>
    <row r="1021" spans="1:11" x14ac:dyDescent="0.25">
      <c r="A1021" s="1">
        <v>1997</v>
      </c>
      <c r="B1021" s="1" t="s">
        <v>104</v>
      </c>
      <c r="C1021" t="s">
        <v>8</v>
      </c>
      <c r="D1021" s="1" t="s">
        <v>3</v>
      </c>
      <c r="E1021">
        <v>56</v>
      </c>
      <c r="F1021" s="1" t="s">
        <v>101</v>
      </c>
      <c r="G1021">
        <v>10</v>
      </c>
      <c r="H1021">
        <v>1</v>
      </c>
      <c r="I1021" s="2">
        <f t="shared" si="45"/>
        <v>0.5454</v>
      </c>
      <c r="J1021">
        <f t="shared" si="46"/>
        <v>4.7426086956521736E-2</v>
      </c>
      <c r="K1021">
        <f t="shared" si="47"/>
        <v>1.4243927918516582E-2</v>
      </c>
    </row>
    <row r="1022" spans="1:11" x14ac:dyDescent="0.25">
      <c r="A1022" s="1">
        <v>1997</v>
      </c>
      <c r="B1022" s="1" t="s">
        <v>104</v>
      </c>
      <c r="C1022" t="s">
        <v>8</v>
      </c>
      <c r="D1022" s="1" t="s">
        <v>3</v>
      </c>
      <c r="E1022">
        <v>56</v>
      </c>
      <c r="F1022" s="1" t="s">
        <v>101</v>
      </c>
      <c r="G1022">
        <v>16</v>
      </c>
      <c r="H1022">
        <v>1</v>
      </c>
      <c r="I1022" s="2">
        <f t="shared" si="45"/>
        <v>1.3962239999999999</v>
      </c>
      <c r="J1022">
        <f t="shared" si="46"/>
        <v>0.12141078260869564</v>
      </c>
      <c r="K1022">
        <f t="shared" si="47"/>
        <v>3.6464455471402452E-2</v>
      </c>
    </row>
    <row r="1023" spans="1:11" x14ac:dyDescent="0.25">
      <c r="A1023" s="1">
        <v>1997</v>
      </c>
      <c r="B1023" s="1" t="s">
        <v>104</v>
      </c>
      <c r="C1023" t="s">
        <v>8</v>
      </c>
      <c r="D1023" s="1" t="s">
        <v>3</v>
      </c>
      <c r="E1023">
        <v>56</v>
      </c>
      <c r="F1023" s="1" t="s">
        <v>101</v>
      </c>
      <c r="G1023">
        <v>18</v>
      </c>
      <c r="H1023">
        <v>5</v>
      </c>
      <c r="I1023" s="2">
        <f t="shared" si="45"/>
        <v>8.8354799999999987</v>
      </c>
      <c r="J1023">
        <f t="shared" si="46"/>
        <v>0.76830260869565203</v>
      </c>
      <c r="K1023">
        <f t="shared" si="47"/>
        <v>0.23075163227996862</v>
      </c>
    </row>
    <row r="1024" spans="1:11" x14ac:dyDescent="0.25">
      <c r="A1024" s="1">
        <v>1997</v>
      </c>
      <c r="B1024" s="1" t="s">
        <v>104</v>
      </c>
      <c r="C1024" t="s">
        <v>8</v>
      </c>
      <c r="D1024" s="1" t="s">
        <v>3</v>
      </c>
      <c r="E1024">
        <v>56</v>
      </c>
      <c r="F1024" s="1" t="s">
        <v>101</v>
      </c>
      <c r="G1024">
        <v>20</v>
      </c>
      <c r="H1024">
        <v>7</v>
      </c>
      <c r="I1024" s="2">
        <f t="shared" si="45"/>
        <v>15.2712</v>
      </c>
      <c r="J1024">
        <f t="shared" si="46"/>
        <v>1.3279304347826086</v>
      </c>
      <c r="K1024">
        <f t="shared" si="47"/>
        <v>0.39882998171846434</v>
      </c>
    </row>
    <row r="1025" spans="1:11" x14ac:dyDescent="0.25">
      <c r="A1025" s="1">
        <v>1997</v>
      </c>
      <c r="B1025" s="1" t="s">
        <v>104</v>
      </c>
      <c r="C1025" t="s">
        <v>8</v>
      </c>
      <c r="D1025" s="1" t="s">
        <v>3</v>
      </c>
      <c r="E1025">
        <v>58</v>
      </c>
      <c r="F1025" s="1" t="s">
        <v>101</v>
      </c>
      <c r="G1025">
        <v>6</v>
      </c>
      <c r="H1025">
        <v>1</v>
      </c>
      <c r="I1025" s="2">
        <f t="shared" si="45"/>
        <v>0.19634399999999999</v>
      </c>
      <c r="J1025">
        <f t="shared" si="46"/>
        <v>1.7073391304347825E-2</v>
      </c>
      <c r="K1025">
        <f t="shared" si="47"/>
        <v>5.1278140506659702E-3</v>
      </c>
    </row>
    <row r="1026" spans="1:11" x14ac:dyDescent="0.25">
      <c r="A1026" s="1">
        <v>1997</v>
      </c>
      <c r="B1026" s="1" t="s">
        <v>104</v>
      </c>
      <c r="C1026" t="s">
        <v>8</v>
      </c>
      <c r="D1026" s="1" t="s">
        <v>3</v>
      </c>
      <c r="E1026">
        <v>58</v>
      </c>
      <c r="F1026" s="1" t="s">
        <v>101</v>
      </c>
      <c r="G1026">
        <v>10</v>
      </c>
      <c r="H1026">
        <v>1</v>
      </c>
      <c r="I1026" s="2">
        <f t="shared" si="45"/>
        <v>0.5454</v>
      </c>
      <c r="J1026">
        <f t="shared" si="46"/>
        <v>4.7426086956521736E-2</v>
      </c>
      <c r="K1026">
        <f t="shared" si="47"/>
        <v>1.4243927918516582E-2</v>
      </c>
    </row>
    <row r="1027" spans="1:11" x14ac:dyDescent="0.25">
      <c r="A1027" s="1">
        <v>1997</v>
      </c>
      <c r="B1027" s="1" t="s">
        <v>104</v>
      </c>
      <c r="C1027" t="s">
        <v>8</v>
      </c>
      <c r="D1027" s="1" t="s">
        <v>3</v>
      </c>
      <c r="E1027">
        <v>66</v>
      </c>
      <c r="F1027" s="1" t="s">
        <v>101</v>
      </c>
      <c r="G1027">
        <v>18</v>
      </c>
      <c r="H1027">
        <v>1</v>
      </c>
      <c r="I1027" s="2">
        <f t="shared" ref="I1027:I1090" si="48">0.005454*G1027^2*H1027</f>
        <v>1.7670959999999998</v>
      </c>
      <c r="J1027">
        <f t="shared" ref="J1027:J1090" si="49">I1027/11.5</f>
        <v>0.15366052173913042</v>
      </c>
      <c r="K1027">
        <f t="shared" ref="K1027:K1090" si="50">J1027*(11.5/38.29)</f>
        <v>4.6150326455993727E-2</v>
      </c>
    </row>
    <row r="1028" spans="1:11" x14ac:dyDescent="0.25">
      <c r="A1028" s="1">
        <v>1997</v>
      </c>
      <c r="B1028" s="1" t="s">
        <v>104</v>
      </c>
      <c r="C1028" t="s">
        <v>8</v>
      </c>
      <c r="D1028" s="1" t="s">
        <v>3</v>
      </c>
      <c r="E1028">
        <v>66</v>
      </c>
      <c r="F1028" s="1" t="s">
        <v>101</v>
      </c>
      <c r="G1028">
        <v>20</v>
      </c>
      <c r="H1028">
        <v>2</v>
      </c>
      <c r="I1028" s="2">
        <f t="shared" si="48"/>
        <v>4.3632</v>
      </c>
      <c r="J1028">
        <f t="shared" si="49"/>
        <v>0.37940869565217389</v>
      </c>
      <c r="K1028">
        <f t="shared" si="50"/>
        <v>0.11395142334813266</v>
      </c>
    </row>
    <row r="1029" spans="1:11" x14ac:dyDescent="0.25">
      <c r="A1029" s="1">
        <v>1997</v>
      </c>
      <c r="B1029" s="1" t="s">
        <v>104</v>
      </c>
      <c r="C1029" t="s">
        <v>8</v>
      </c>
      <c r="D1029" s="1" t="s">
        <v>3</v>
      </c>
      <c r="E1029">
        <v>66</v>
      </c>
      <c r="F1029" s="1" t="s">
        <v>101</v>
      </c>
      <c r="G1029">
        <v>22</v>
      </c>
      <c r="H1029">
        <v>1</v>
      </c>
      <c r="I1029" s="2">
        <f t="shared" si="48"/>
        <v>2.6397359999999996</v>
      </c>
      <c r="J1029">
        <f t="shared" si="49"/>
        <v>0.2295422608695652</v>
      </c>
      <c r="K1029">
        <f t="shared" si="50"/>
        <v>6.8940611125620263E-2</v>
      </c>
    </row>
    <row r="1030" spans="1:11" x14ac:dyDescent="0.25">
      <c r="A1030" s="1">
        <v>1997</v>
      </c>
      <c r="B1030" s="1" t="s">
        <v>104</v>
      </c>
      <c r="C1030" t="s">
        <v>8</v>
      </c>
      <c r="D1030" s="1" t="s">
        <v>3</v>
      </c>
      <c r="E1030">
        <v>66</v>
      </c>
      <c r="F1030" s="1" t="s">
        <v>101</v>
      </c>
      <c r="G1030">
        <v>24</v>
      </c>
      <c r="H1030">
        <v>1</v>
      </c>
      <c r="I1030" s="2">
        <f t="shared" si="48"/>
        <v>3.1415039999999999</v>
      </c>
      <c r="J1030">
        <f t="shared" si="49"/>
        <v>0.2731742608695652</v>
      </c>
      <c r="K1030">
        <f t="shared" si="50"/>
        <v>8.2045024810655523E-2</v>
      </c>
    </row>
    <row r="1031" spans="1:11" x14ac:dyDescent="0.25">
      <c r="A1031" s="1">
        <v>1997</v>
      </c>
      <c r="B1031" s="1" t="s">
        <v>104</v>
      </c>
      <c r="C1031" t="s">
        <v>8</v>
      </c>
      <c r="D1031" s="1" t="s">
        <v>3</v>
      </c>
      <c r="E1031">
        <v>79</v>
      </c>
      <c r="F1031" s="1" t="s">
        <v>101</v>
      </c>
      <c r="G1031">
        <v>6</v>
      </c>
      <c r="H1031">
        <v>5</v>
      </c>
      <c r="I1031" s="2">
        <f t="shared" si="48"/>
        <v>0.98171999999999993</v>
      </c>
      <c r="J1031">
        <f t="shared" si="49"/>
        <v>8.5366956521739118E-2</v>
      </c>
      <c r="K1031">
        <f t="shared" si="50"/>
        <v>2.5639070253329847E-2</v>
      </c>
    </row>
    <row r="1032" spans="1:11" x14ac:dyDescent="0.25">
      <c r="A1032" s="1">
        <v>1997</v>
      </c>
      <c r="B1032" s="1" t="s">
        <v>104</v>
      </c>
      <c r="C1032" t="s">
        <v>8</v>
      </c>
      <c r="D1032" s="1" t="s">
        <v>3</v>
      </c>
      <c r="E1032">
        <v>79</v>
      </c>
      <c r="F1032" s="1" t="s">
        <v>101</v>
      </c>
      <c r="G1032">
        <v>8</v>
      </c>
      <c r="H1032">
        <v>10</v>
      </c>
      <c r="I1032" s="2">
        <f t="shared" si="48"/>
        <v>3.4905599999999999</v>
      </c>
      <c r="J1032">
        <f t="shared" si="49"/>
        <v>0.30352695652173911</v>
      </c>
      <c r="K1032">
        <f t="shared" si="50"/>
        <v>9.1161138678506129E-2</v>
      </c>
    </row>
    <row r="1033" spans="1:11" x14ac:dyDescent="0.25">
      <c r="A1033" s="1">
        <v>1997</v>
      </c>
      <c r="B1033" s="1" t="s">
        <v>104</v>
      </c>
      <c r="C1033" t="s">
        <v>8</v>
      </c>
      <c r="D1033" s="1" t="s">
        <v>3</v>
      </c>
      <c r="E1033">
        <v>79</v>
      </c>
      <c r="F1033" s="1" t="s">
        <v>101</v>
      </c>
      <c r="G1033">
        <v>12</v>
      </c>
      <c r="H1033">
        <v>2</v>
      </c>
      <c r="I1033" s="2">
        <f t="shared" si="48"/>
        <v>1.5707519999999999</v>
      </c>
      <c r="J1033">
        <f t="shared" si="49"/>
        <v>0.1365871304347826</v>
      </c>
      <c r="K1033">
        <f t="shared" si="50"/>
        <v>4.1022512405327761E-2</v>
      </c>
    </row>
    <row r="1034" spans="1:11" x14ac:dyDescent="0.25">
      <c r="A1034" s="1">
        <v>1997</v>
      </c>
      <c r="B1034" s="1" t="s">
        <v>104</v>
      </c>
      <c r="C1034" t="s">
        <v>8</v>
      </c>
      <c r="D1034" s="1" t="s">
        <v>3</v>
      </c>
      <c r="E1034">
        <v>79</v>
      </c>
      <c r="F1034" s="1" t="s">
        <v>101</v>
      </c>
      <c r="G1034">
        <v>14</v>
      </c>
      <c r="H1034">
        <v>1</v>
      </c>
      <c r="I1034" s="2">
        <f t="shared" si="48"/>
        <v>1.0689839999999999</v>
      </c>
      <c r="J1034">
        <f t="shared" si="49"/>
        <v>9.295513043478261E-2</v>
      </c>
      <c r="K1034">
        <f t="shared" si="50"/>
        <v>2.7918098720292505E-2</v>
      </c>
    </row>
    <row r="1035" spans="1:11" x14ac:dyDescent="0.25">
      <c r="A1035" s="1">
        <v>1997</v>
      </c>
      <c r="B1035" s="1" t="s">
        <v>104</v>
      </c>
      <c r="C1035" t="s">
        <v>8</v>
      </c>
      <c r="D1035" s="1" t="s">
        <v>3</v>
      </c>
      <c r="E1035">
        <v>79</v>
      </c>
      <c r="F1035" s="1" t="s">
        <v>101</v>
      </c>
      <c r="G1035">
        <v>18</v>
      </c>
      <c r="H1035">
        <v>9</v>
      </c>
      <c r="I1035" s="2">
        <f t="shared" si="48"/>
        <v>15.903863999999999</v>
      </c>
      <c r="J1035">
        <f t="shared" si="49"/>
        <v>1.3829446956521738</v>
      </c>
      <c r="K1035">
        <f t="shared" si="50"/>
        <v>0.41535293810394353</v>
      </c>
    </row>
    <row r="1036" spans="1:11" x14ac:dyDescent="0.25">
      <c r="A1036" s="1">
        <v>1997</v>
      </c>
      <c r="B1036" s="1" t="s">
        <v>104</v>
      </c>
      <c r="C1036" t="s">
        <v>8</v>
      </c>
      <c r="D1036" s="1" t="s">
        <v>3</v>
      </c>
      <c r="E1036">
        <v>79</v>
      </c>
      <c r="F1036" s="1" t="s">
        <v>101</v>
      </c>
      <c r="G1036">
        <v>20</v>
      </c>
      <c r="H1036">
        <v>6</v>
      </c>
      <c r="I1036" s="2">
        <f t="shared" si="48"/>
        <v>13.089600000000001</v>
      </c>
      <c r="J1036">
        <f t="shared" si="49"/>
        <v>1.1382260869565217</v>
      </c>
      <c r="K1036">
        <f t="shared" si="50"/>
        <v>0.341854270044398</v>
      </c>
    </row>
    <row r="1037" spans="1:11" x14ac:dyDescent="0.25">
      <c r="A1037" s="1">
        <v>1997</v>
      </c>
      <c r="B1037" s="1" t="s">
        <v>104</v>
      </c>
      <c r="C1037" t="s">
        <v>8</v>
      </c>
      <c r="D1037" s="1" t="s">
        <v>3</v>
      </c>
      <c r="E1037">
        <v>79</v>
      </c>
      <c r="F1037" s="1" t="s">
        <v>101</v>
      </c>
      <c r="G1037">
        <v>24</v>
      </c>
      <c r="H1037">
        <v>1</v>
      </c>
      <c r="I1037" s="2">
        <f t="shared" si="48"/>
        <v>3.1415039999999999</v>
      </c>
      <c r="J1037">
        <f t="shared" si="49"/>
        <v>0.2731742608695652</v>
      </c>
      <c r="K1037">
        <f t="shared" si="50"/>
        <v>8.2045024810655523E-2</v>
      </c>
    </row>
    <row r="1038" spans="1:11" x14ac:dyDescent="0.25">
      <c r="A1038" s="1">
        <v>1997</v>
      </c>
      <c r="B1038" s="1" t="s">
        <v>104</v>
      </c>
      <c r="C1038" t="s">
        <v>8</v>
      </c>
      <c r="D1038" s="1" t="s">
        <v>3</v>
      </c>
      <c r="E1038">
        <v>85</v>
      </c>
      <c r="F1038" s="1" t="s">
        <v>101</v>
      </c>
      <c r="G1038">
        <v>16</v>
      </c>
      <c r="H1038">
        <v>1</v>
      </c>
      <c r="I1038" s="2">
        <f t="shared" si="48"/>
        <v>1.3962239999999999</v>
      </c>
      <c r="J1038">
        <f t="shared" si="49"/>
        <v>0.12141078260869564</v>
      </c>
      <c r="K1038">
        <f t="shared" si="50"/>
        <v>3.6464455471402452E-2</v>
      </c>
    </row>
    <row r="1039" spans="1:11" x14ac:dyDescent="0.25">
      <c r="A1039" s="1">
        <v>1997</v>
      </c>
      <c r="B1039" s="1" t="s">
        <v>104</v>
      </c>
      <c r="C1039" t="s">
        <v>8</v>
      </c>
      <c r="D1039" s="1" t="s">
        <v>3</v>
      </c>
      <c r="E1039">
        <v>85</v>
      </c>
      <c r="F1039" s="1" t="s">
        <v>101</v>
      </c>
      <c r="G1039">
        <v>18</v>
      </c>
      <c r="H1039">
        <v>9</v>
      </c>
      <c r="I1039" s="2">
        <f t="shared" si="48"/>
        <v>15.903863999999999</v>
      </c>
      <c r="J1039">
        <f t="shared" si="49"/>
        <v>1.3829446956521738</v>
      </c>
      <c r="K1039">
        <f t="shared" si="50"/>
        <v>0.41535293810394353</v>
      </c>
    </row>
    <row r="1040" spans="1:11" x14ac:dyDescent="0.25">
      <c r="A1040" s="1">
        <v>1997</v>
      </c>
      <c r="B1040" s="1" t="s">
        <v>104</v>
      </c>
      <c r="C1040" t="s">
        <v>8</v>
      </c>
      <c r="D1040" s="1" t="s">
        <v>3</v>
      </c>
      <c r="E1040">
        <v>85</v>
      </c>
      <c r="F1040" s="1" t="s">
        <v>101</v>
      </c>
      <c r="G1040">
        <v>20</v>
      </c>
      <c r="H1040">
        <v>1</v>
      </c>
      <c r="I1040" s="2">
        <f t="shared" si="48"/>
        <v>2.1816</v>
      </c>
      <c r="J1040">
        <f t="shared" si="49"/>
        <v>0.18970434782608694</v>
      </c>
      <c r="K1040">
        <f t="shared" si="50"/>
        <v>5.6975711674066329E-2</v>
      </c>
    </row>
    <row r="1041" spans="1:11" x14ac:dyDescent="0.25">
      <c r="A1041" s="1">
        <v>1997</v>
      </c>
      <c r="B1041" s="1" t="s">
        <v>104</v>
      </c>
      <c r="C1041" t="s">
        <v>8</v>
      </c>
      <c r="D1041" s="1" t="s">
        <v>3</v>
      </c>
      <c r="E1041">
        <v>91</v>
      </c>
      <c r="F1041" s="1" t="s">
        <v>101</v>
      </c>
      <c r="G1041">
        <v>8</v>
      </c>
      <c r="H1041">
        <v>1</v>
      </c>
      <c r="I1041" s="2">
        <f t="shared" si="48"/>
        <v>0.34905599999999998</v>
      </c>
      <c r="J1041">
        <f t="shared" si="49"/>
        <v>3.0352695652173911E-2</v>
      </c>
      <c r="K1041">
        <f t="shared" si="50"/>
        <v>9.1161138678506129E-3</v>
      </c>
    </row>
    <row r="1042" spans="1:11" x14ac:dyDescent="0.25">
      <c r="A1042" s="1">
        <v>1997</v>
      </c>
      <c r="B1042" s="1" t="s">
        <v>104</v>
      </c>
      <c r="C1042" t="s">
        <v>8</v>
      </c>
      <c r="D1042" s="1" t="s">
        <v>3</v>
      </c>
      <c r="E1042">
        <v>91</v>
      </c>
      <c r="F1042" s="1" t="s">
        <v>101</v>
      </c>
      <c r="G1042">
        <v>12</v>
      </c>
      <c r="H1042">
        <v>1</v>
      </c>
      <c r="I1042" s="2">
        <f t="shared" si="48"/>
        <v>0.78537599999999996</v>
      </c>
      <c r="J1042">
        <f t="shared" si="49"/>
        <v>6.82935652173913E-2</v>
      </c>
      <c r="K1042">
        <f t="shared" si="50"/>
        <v>2.0511256202663881E-2</v>
      </c>
    </row>
    <row r="1043" spans="1:11" x14ac:dyDescent="0.25">
      <c r="A1043" s="1">
        <v>1997</v>
      </c>
      <c r="B1043" s="1" t="s">
        <v>104</v>
      </c>
      <c r="C1043" t="s">
        <v>8</v>
      </c>
      <c r="D1043" s="1" t="s">
        <v>3</v>
      </c>
      <c r="E1043">
        <v>91</v>
      </c>
      <c r="F1043" s="1" t="s">
        <v>101</v>
      </c>
      <c r="G1043">
        <v>16</v>
      </c>
      <c r="H1043">
        <v>1</v>
      </c>
      <c r="I1043" s="2">
        <f t="shared" si="48"/>
        <v>1.3962239999999999</v>
      </c>
      <c r="J1043">
        <f t="shared" si="49"/>
        <v>0.12141078260869564</v>
      </c>
      <c r="K1043">
        <f t="shared" si="50"/>
        <v>3.6464455471402452E-2</v>
      </c>
    </row>
    <row r="1044" spans="1:11" x14ac:dyDescent="0.25">
      <c r="A1044" s="1">
        <v>1997</v>
      </c>
      <c r="B1044" s="1" t="s">
        <v>104</v>
      </c>
      <c r="C1044" t="s">
        <v>8</v>
      </c>
      <c r="D1044" s="1" t="s">
        <v>5</v>
      </c>
      <c r="E1044">
        <v>32</v>
      </c>
      <c r="F1044" s="1" t="s">
        <v>101</v>
      </c>
      <c r="G1044">
        <v>18</v>
      </c>
      <c r="H1044">
        <v>1</v>
      </c>
      <c r="I1044" s="2">
        <f t="shared" si="48"/>
        <v>1.7670959999999998</v>
      </c>
      <c r="J1044">
        <f t="shared" si="49"/>
        <v>0.15366052173913042</v>
      </c>
      <c r="K1044">
        <f t="shared" si="50"/>
        <v>4.6150326455993727E-2</v>
      </c>
    </row>
    <row r="1045" spans="1:11" x14ac:dyDescent="0.25">
      <c r="A1045" s="1">
        <v>1997</v>
      </c>
      <c r="B1045" s="1" t="s">
        <v>104</v>
      </c>
      <c r="C1045" t="s">
        <v>8</v>
      </c>
      <c r="D1045" s="1" t="s">
        <v>5</v>
      </c>
      <c r="E1045">
        <v>38</v>
      </c>
      <c r="F1045" s="1" t="s">
        <v>101</v>
      </c>
      <c r="G1045">
        <v>18</v>
      </c>
      <c r="H1045">
        <v>2</v>
      </c>
      <c r="I1045" s="2">
        <f t="shared" si="48"/>
        <v>3.5341919999999996</v>
      </c>
      <c r="J1045">
        <f t="shared" si="49"/>
        <v>0.30732104347826084</v>
      </c>
      <c r="K1045">
        <f t="shared" si="50"/>
        <v>9.2300652911987455E-2</v>
      </c>
    </row>
    <row r="1046" spans="1:11" x14ac:dyDescent="0.25">
      <c r="A1046" s="1">
        <v>1997</v>
      </c>
      <c r="B1046" s="1" t="s">
        <v>104</v>
      </c>
      <c r="C1046" t="s">
        <v>8</v>
      </c>
      <c r="D1046" s="1" t="s">
        <v>5</v>
      </c>
      <c r="E1046">
        <v>76</v>
      </c>
      <c r="F1046" s="1" t="s">
        <v>101</v>
      </c>
      <c r="G1046">
        <v>18</v>
      </c>
      <c r="H1046">
        <v>1</v>
      </c>
      <c r="I1046" s="2">
        <f t="shared" si="48"/>
        <v>1.7670959999999998</v>
      </c>
      <c r="J1046">
        <f t="shared" si="49"/>
        <v>0.15366052173913042</v>
      </c>
      <c r="K1046">
        <f t="shared" si="50"/>
        <v>4.6150326455993727E-2</v>
      </c>
    </row>
    <row r="1047" spans="1:11" x14ac:dyDescent="0.25">
      <c r="A1047" s="1">
        <v>1997</v>
      </c>
      <c r="B1047" s="1" t="s">
        <v>104</v>
      </c>
      <c r="C1047" t="s">
        <v>8</v>
      </c>
      <c r="D1047" s="1" t="s">
        <v>5</v>
      </c>
      <c r="E1047">
        <v>85</v>
      </c>
      <c r="F1047" s="1" t="s">
        <v>101</v>
      </c>
      <c r="G1047">
        <v>18</v>
      </c>
      <c r="H1047">
        <v>4</v>
      </c>
      <c r="I1047" s="2">
        <f t="shared" si="48"/>
        <v>7.0683839999999991</v>
      </c>
      <c r="J1047">
        <f t="shared" si="49"/>
        <v>0.61464208695652167</v>
      </c>
      <c r="K1047">
        <f t="shared" si="50"/>
        <v>0.18460130582397491</v>
      </c>
    </row>
    <row r="1048" spans="1:11" x14ac:dyDescent="0.25">
      <c r="A1048" s="1">
        <v>1997</v>
      </c>
      <c r="B1048" s="1" t="s">
        <v>104</v>
      </c>
      <c r="C1048" t="s">
        <v>7</v>
      </c>
      <c r="D1048" s="1" t="s">
        <v>3</v>
      </c>
      <c r="E1048">
        <v>11</v>
      </c>
      <c r="F1048" s="1" t="s">
        <v>101</v>
      </c>
      <c r="G1048">
        <v>6</v>
      </c>
      <c r="H1048">
        <v>3</v>
      </c>
      <c r="I1048" s="2">
        <f t="shared" si="48"/>
        <v>0.589032</v>
      </c>
      <c r="J1048">
        <f t="shared" si="49"/>
        <v>5.1220173913043475E-2</v>
      </c>
      <c r="K1048">
        <f t="shared" si="50"/>
        <v>1.538344215199791E-2</v>
      </c>
    </row>
    <row r="1049" spans="1:11" x14ac:dyDescent="0.25">
      <c r="A1049" s="1">
        <v>1997</v>
      </c>
      <c r="B1049" s="1" t="s">
        <v>104</v>
      </c>
      <c r="C1049" t="s">
        <v>7</v>
      </c>
      <c r="D1049" s="1" t="s">
        <v>3</v>
      </c>
      <c r="E1049">
        <v>11</v>
      </c>
      <c r="F1049" s="1" t="s">
        <v>101</v>
      </c>
      <c r="G1049">
        <v>8</v>
      </c>
      <c r="H1049">
        <v>2</v>
      </c>
      <c r="I1049" s="2">
        <f t="shared" si="48"/>
        <v>0.69811199999999995</v>
      </c>
      <c r="J1049">
        <f t="shared" si="49"/>
        <v>6.0705391304347822E-2</v>
      </c>
      <c r="K1049">
        <f t="shared" si="50"/>
        <v>1.8232227735701226E-2</v>
      </c>
    </row>
    <row r="1050" spans="1:11" x14ac:dyDescent="0.25">
      <c r="A1050" s="1">
        <v>1997</v>
      </c>
      <c r="B1050" s="1" t="s">
        <v>104</v>
      </c>
      <c r="C1050" t="s">
        <v>7</v>
      </c>
      <c r="D1050" s="1" t="s">
        <v>3</v>
      </c>
      <c r="E1050">
        <v>11</v>
      </c>
      <c r="F1050" s="1" t="s">
        <v>101</v>
      </c>
      <c r="G1050">
        <v>10</v>
      </c>
      <c r="H1050">
        <v>3</v>
      </c>
      <c r="I1050" s="2">
        <f t="shared" si="48"/>
        <v>1.6362000000000001</v>
      </c>
      <c r="J1050">
        <f t="shared" si="49"/>
        <v>0.14227826086956522</v>
      </c>
      <c r="K1050">
        <f t="shared" si="50"/>
        <v>4.273178375554975E-2</v>
      </c>
    </row>
    <row r="1051" spans="1:11" x14ac:dyDescent="0.25">
      <c r="A1051" s="1">
        <v>1997</v>
      </c>
      <c r="B1051" s="1" t="s">
        <v>104</v>
      </c>
      <c r="C1051" t="s">
        <v>7</v>
      </c>
      <c r="D1051" s="1" t="s">
        <v>3</v>
      </c>
      <c r="E1051">
        <v>21</v>
      </c>
      <c r="F1051" s="1" t="s">
        <v>101</v>
      </c>
      <c r="G1051">
        <v>6</v>
      </c>
      <c r="H1051">
        <v>3</v>
      </c>
      <c r="I1051" s="2">
        <f t="shared" si="48"/>
        <v>0.589032</v>
      </c>
      <c r="J1051">
        <f t="shared" si="49"/>
        <v>5.1220173913043475E-2</v>
      </c>
      <c r="K1051">
        <f t="shared" si="50"/>
        <v>1.538344215199791E-2</v>
      </c>
    </row>
    <row r="1052" spans="1:11" x14ac:dyDescent="0.25">
      <c r="A1052" s="1">
        <v>1997</v>
      </c>
      <c r="B1052" s="1" t="s">
        <v>104</v>
      </c>
      <c r="C1052" t="s">
        <v>7</v>
      </c>
      <c r="D1052" s="1" t="s">
        <v>3</v>
      </c>
      <c r="E1052">
        <v>21</v>
      </c>
      <c r="F1052" s="1" t="s">
        <v>101</v>
      </c>
      <c r="G1052">
        <v>8</v>
      </c>
      <c r="H1052">
        <v>1</v>
      </c>
      <c r="I1052" s="2">
        <f t="shared" si="48"/>
        <v>0.34905599999999998</v>
      </c>
      <c r="J1052">
        <f t="shared" si="49"/>
        <v>3.0352695652173911E-2</v>
      </c>
      <c r="K1052">
        <f t="shared" si="50"/>
        <v>9.1161138678506129E-3</v>
      </c>
    </row>
    <row r="1053" spans="1:11" x14ac:dyDescent="0.25">
      <c r="A1053" s="1">
        <v>1997</v>
      </c>
      <c r="B1053" s="1" t="s">
        <v>104</v>
      </c>
      <c r="C1053" t="s">
        <v>7</v>
      </c>
      <c r="D1053" s="1" t="s">
        <v>3</v>
      </c>
      <c r="E1053">
        <v>29</v>
      </c>
      <c r="F1053" s="1" t="s">
        <v>101</v>
      </c>
      <c r="G1053">
        <v>6</v>
      </c>
      <c r="H1053">
        <v>33</v>
      </c>
      <c r="I1053" s="2">
        <f t="shared" si="48"/>
        <v>6.4793519999999996</v>
      </c>
      <c r="J1053">
        <f t="shared" si="49"/>
        <v>0.56342191304347822</v>
      </c>
      <c r="K1053">
        <f t="shared" si="50"/>
        <v>0.169217863671977</v>
      </c>
    </row>
    <row r="1054" spans="1:11" x14ac:dyDescent="0.25">
      <c r="A1054" s="1">
        <v>1997</v>
      </c>
      <c r="B1054" s="1" t="s">
        <v>104</v>
      </c>
      <c r="C1054" t="s">
        <v>7</v>
      </c>
      <c r="D1054" s="1" t="s">
        <v>3</v>
      </c>
      <c r="E1054">
        <v>29</v>
      </c>
      <c r="F1054" s="1" t="s">
        <v>101</v>
      </c>
      <c r="G1054">
        <v>8</v>
      </c>
      <c r="H1054">
        <v>23</v>
      </c>
      <c r="I1054" s="2">
        <f t="shared" si="48"/>
        <v>8.0282879999999999</v>
      </c>
      <c r="J1054">
        <f t="shared" si="49"/>
        <v>0.69811199999999995</v>
      </c>
      <c r="K1054">
        <f t="shared" si="50"/>
        <v>0.2096706189605641</v>
      </c>
    </row>
    <row r="1055" spans="1:11" x14ac:dyDescent="0.25">
      <c r="A1055" s="1">
        <v>1997</v>
      </c>
      <c r="B1055" s="1" t="s">
        <v>104</v>
      </c>
      <c r="C1055" t="s">
        <v>7</v>
      </c>
      <c r="D1055" s="1" t="s">
        <v>3</v>
      </c>
      <c r="E1055">
        <v>29</v>
      </c>
      <c r="F1055" s="1" t="s">
        <v>101</v>
      </c>
      <c r="G1055">
        <v>10</v>
      </c>
      <c r="H1055">
        <v>17</v>
      </c>
      <c r="I1055" s="2">
        <f t="shared" si="48"/>
        <v>9.2718000000000007</v>
      </c>
      <c r="J1055">
        <f t="shared" si="49"/>
        <v>0.80624347826086962</v>
      </c>
      <c r="K1055">
        <f t="shared" si="50"/>
        <v>0.24214677461478193</v>
      </c>
    </row>
    <row r="1056" spans="1:11" x14ac:dyDescent="0.25">
      <c r="A1056" s="1">
        <v>1997</v>
      </c>
      <c r="B1056" s="1" t="s">
        <v>104</v>
      </c>
      <c r="C1056" t="s">
        <v>7</v>
      </c>
      <c r="D1056" s="1" t="s">
        <v>3</v>
      </c>
      <c r="E1056">
        <v>29</v>
      </c>
      <c r="F1056" s="1" t="s">
        <v>101</v>
      </c>
      <c r="G1056">
        <v>12</v>
      </c>
      <c r="H1056">
        <v>6</v>
      </c>
      <c r="I1056" s="2">
        <f t="shared" si="48"/>
        <v>4.712256</v>
      </c>
      <c r="J1056">
        <f t="shared" si="49"/>
        <v>0.4097613913043478</v>
      </c>
      <c r="K1056">
        <f t="shared" si="50"/>
        <v>0.12306753721598328</v>
      </c>
    </row>
    <row r="1057" spans="1:11" x14ac:dyDescent="0.25">
      <c r="A1057" s="1">
        <v>1997</v>
      </c>
      <c r="B1057" s="1" t="s">
        <v>104</v>
      </c>
      <c r="C1057" t="s">
        <v>7</v>
      </c>
      <c r="D1057" s="1" t="s">
        <v>3</v>
      </c>
      <c r="E1057">
        <v>29</v>
      </c>
      <c r="F1057" s="1" t="s">
        <v>101</v>
      </c>
      <c r="G1057">
        <v>14</v>
      </c>
      <c r="H1057">
        <v>3</v>
      </c>
      <c r="I1057" s="2">
        <f t="shared" si="48"/>
        <v>3.2069519999999998</v>
      </c>
      <c r="J1057">
        <f t="shared" si="49"/>
        <v>0.27886539130434779</v>
      </c>
      <c r="K1057">
        <f t="shared" si="50"/>
        <v>8.3754296160877498E-2</v>
      </c>
    </row>
    <row r="1058" spans="1:11" x14ac:dyDescent="0.25">
      <c r="A1058" s="1">
        <v>1997</v>
      </c>
      <c r="B1058" s="1" t="s">
        <v>104</v>
      </c>
      <c r="C1058" t="s">
        <v>7</v>
      </c>
      <c r="D1058" s="1" t="s">
        <v>3</v>
      </c>
      <c r="E1058">
        <v>32</v>
      </c>
      <c r="F1058" s="1" t="s">
        <v>101</v>
      </c>
      <c r="G1058">
        <v>6</v>
      </c>
      <c r="H1058">
        <v>100</v>
      </c>
      <c r="I1058" s="2">
        <f t="shared" si="48"/>
        <v>19.634399999999999</v>
      </c>
      <c r="J1058">
        <f t="shared" si="49"/>
        <v>1.7073391304347825</v>
      </c>
      <c r="K1058">
        <f t="shared" si="50"/>
        <v>0.51278140506659697</v>
      </c>
    </row>
    <row r="1059" spans="1:11" x14ac:dyDescent="0.25">
      <c r="A1059" s="1">
        <v>1997</v>
      </c>
      <c r="B1059" s="1" t="s">
        <v>104</v>
      </c>
      <c r="C1059" t="s">
        <v>7</v>
      </c>
      <c r="D1059" s="1" t="s">
        <v>3</v>
      </c>
      <c r="E1059">
        <v>32</v>
      </c>
      <c r="F1059" s="1" t="s">
        <v>101</v>
      </c>
      <c r="G1059">
        <v>8</v>
      </c>
      <c r="H1059">
        <v>24</v>
      </c>
      <c r="I1059" s="2">
        <f t="shared" si="48"/>
        <v>8.377343999999999</v>
      </c>
      <c r="J1059">
        <f t="shared" si="49"/>
        <v>0.72846469565217387</v>
      </c>
      <c r="K1059">
        <f t="shared" si="50"/>
        <v>0.21878673282841471</v>
      </c>
    </row>
    <row r="1060" spans="1:11" x14ac:dyDescent="0.25">
      <c r="A1060" s="1">
        <v>1997</v>
      </c>
      <c r="B1060" s="1" t="s">
        <v>104</v>
      </c>
      <c r="C1060" t="s">
        <v>7</v>
      </c>
      <c r="D1060" s="1" t="s">
        <v>3</v>
      </c>
      <c r="E1060">
        <v>32</v>
      </c>
      <c r="F1060" s="1" t="s">
        <v>101</v>
      </c>
      <c r="G1060">
        <v>10</v>
      </c>
      <c r="H1060">
        <v>10</v>
      </c>
      <c r="I1060" s="2">
        <f t="shared" si="48"/>
        <v>5.4539999999999997</v>
      </c>
      <c r="J1060">
        <f t="shared" si="49"/>
        <v>0.47426086956521735</v>
      </c>
      <c r="K1060">
        <f t="shared" si="50"/>
        <v>0.14243927918516583</v>
      </c>
    </row>
    <row r="1061" spans="1:11" x14ac:dyDescent="0.25">
      <c r="A1061" s="1">
        <v>1997</v>
      </c>
      <c r="B1061" s="1" t="s">
        <v>104</v>
      </c>
      <c r="C1061" t="s">
        <v>7</v>
      </c>
      <c r="D1061" s="1" t="s">
        <v>3</v>
      </c>
      <c r="E1061">
        <v>32</v>
      </c>
      <c r="F1061" s="1" t="s">
        <v>101</v>
      </c>
      <c r="G1061">
        <v>12</v>
      </c>
      <c r="H1061">
        <v>5</v>
      </c>
      <c r="I1061" s="2">
        <f t="shared" si="48"/>
        <v>3.9268799999999997</v>
      </c>
      <c r="J1061">
        <f t="shared" si="49"/>
        <v>0.34146782608695647</v>
      </c>
      <c r="K1061">
        <f t="shared" si="50"/>
        <v>0.10255628101331939</v>
      </c>
    </row>
    <row r="1062" spans="1:11" x14ac:dyDescent="0.25">
      <c r="A1062" s="1">
        <v>1997</v>
      </c>
      <c r="B1062" s="1" t="s">
        <v>104</v>
      </c>
      <c r="C1062" t="s">
        <v>7</v>
      </c>
      <c r="D1062" s="1" t="s">
        <v>3</v>
      </c>
      <c r="E1062">
        <v>32</v>
      </c>
      <c r="F1062" s="1" t="s">
        <v>101</v>
      </c>
      <c r="G1062">
        <v>16</v>
      </c>
      <c r="H1062">
        <v>1</v>
      </c>
      <c r="I1062" s="2">
        <f t="shared" si="48"/>
        <v>1.3962239999999999</v>
      </c>
      <c r="J1062">
        <f t="shared" si="49"/>
        <v>0.12141078260869564</v>
      </c>
      <c r="K1062">
        <f t="shared" si="50"/>
        <v>3.6464455471402452E-2</v>
      </c>
    </row>
    <row r="1063" spans="1:11" x14ac:dyDescent="0.25">
      <c r="A1063" s="1">
        <v>1997</v>
      </c>
      <c r="B1063" s="1" t="s">
        <v>104</v>
      </c>
      <c r="C1063" t="s">
        <v>7</v>
      </c>
      <c r="D1063" s="1" t="s">
        <v>3</v>
      </c>
      <c r="E1063">
        <v>34</v>
      </c>
      <c r="F1063" s="1" t="s">
        <v>101</v>
      </c>
      <c r="G1063">
        <v>6</v>
      </c>
      <c r="H1063">
        <v>24</v>
      </c>
      <c r="I1063" s="2">
        <f t="shared" si="48"/>
        <v>4.712256</v>
      </c>
      <c r="J1063">
        <f t="shared" si="49"/>
        <v>0.4097613913043478</v>
      </c>
      <c r="K1063">
        <f t="shared" si="50"/>
        <v>0.12306753721598328</v>
      </c>
    </row>
    <row r="1064" spans="1:11" x14ac:dyDescent="0.25">
      <c r="A1064" s="1">
        <v>1997</v>
      </c>
      <c r="B1064" s="1" t="s">
        <v>104</v>
      </c>
      <c r="C1064" t="s">
        <v>7</v>
      </c>
      <c r="D1064" s="1" t="s">
        <v>3</v>
      </c>
      <c r="E1064">
        <v>34</v>
      </c>
      <c r="F1064" s="1" t="s">
        <v>101</v>
      </c>
      <c r="G1064">
        <v>8</v>
      </c>
      <c r="H1064">
        <v>26</v>
      </c>
      <c r="I1064" s="2">
        <f t="shared" si="48"/>
        <v>9.0754559999999991</v>
      </c>
      <c r="J1064">
        <f t="shared" si="49"/>
        <v>0.78917008695652169</v>
      </c>
      <c r="K1064">
        <f t="shared" si="50"/>
        <v>0.23701896056411595</v>
      </c>
    </row>
    <row r="1065" spans="1:11" x14ac:dyDescent="0.25">
      <c r="A1065" s="1">
        <v>1997</v>
      </c>
      <c r="B1065" s="1" t="s">
        <v>104</v>
      </c>
      <c r="C1065" t="s">
        <v>7</v>
      </c>
      <c r="D1065" s="1" t="s">
        <v>3</v>
      </c>
      <c r="E1065">
        <v>34</v>
      </c>
      <c r="F1065" s="1" t="s">
        <v>101</v>
      </c>
      <c r="G1065">
        <v>10</v>
      </c>
      <c r="H1065">
        <v>21</v>
      </c>
      <c r="I1065" s="2">
        <f t="shared" si="48"/>
        <v>11.4534</v>
      </c>
      <c r="J1065">
        <f t="shared" si="49"/>
        <v>0.99594782608695653</v>
      </c>
      <c r="K1065">
        <f t="shared" si="50"/>
        <v>0.29912248628884824</v>
      </c>
    </row>
    <row r="1066" spans="1:11" x14ac:dyDescent="0.25">
      <c r="A1066" s="1">
        <v>1997</v>
      </c>
      <c r="B1066" s="1" t="s">
        <v>104</v>
      </c>
      <c r="C1066" t="s">
        <v>7</v>
      </c>
      <c r="D1066" s="1" t="s">
        <v>3</v>
      </c>
      <c r="E1066">
        <v>34</v>
      </c>
      <c r="F1066" s="1" t="s">
        <v>101</v>
      </c>
      <c r="G1066">
        <v>12</v>
      </c>
      <c r="H1066">
        <v>25</v>
      </c>
      <c r="I1066" s="2">
        <f t="shared" si="48"/>
        <v>19.634399999999999</v>
      </c>
      <c r="J1066">
        <f t="shared" si="49"/>
        <v>1.7073391304347825</v>
      </c>
      <c r="K1066">
        <f t="shared" si="50"/>
        <v>0.51278140506659697</v>
      </c>
    </row>
    <row r="1067" spans="1:11" x14ac:dyDescent="0.25">
      <c r="A1067" s="1">
        <v>1997</v>
      </c>
      <c r="B1067" s="1" t="s">
        <v>104</v>
      </c>
      <c r="C1067" t="s">
        <v>7</v>
      </c>
      <c r="D1067" s="1" t="s">
        <v>3</v>
      </c>
      <c r="E1067">
        <v>34</v>
      </c>
      <c r="F1067" s="1" t="s">
        <v>101</v>
      </c>
      <c r="G1067">
        <v>14</v>
      </c>
      <c r="H1067">
        <v>13</v>
      </c>
      <c r="I1067" s="2">
        <f t="shared" si="48"/>
        <v>13.896792</v>
      </c>
      <c r="J1067">
        <f t="shared" si="49"/>
        <v>1.2084166956521738</v>
      </c>
      <c r="K1067">
        <f t="shared" si="50"/>
        <v>0.36293528336380254</v>
      </c>
    </row>
    <row r="1068" spans="1:11" x14ac:dyDescent="0.25">
      <c r="A1068" s="1">
        <v>1997</v>
      </c>
      <c r="B1068" s="1" t="s">
        <v>104</v>
      </c>
      <c r="C1068" t="s">
        <v>7</v>
      </c>
      <c r="D1068" s="1" t="s">
        <v>3</v>
      </c>
      <c r="E1068">
        <v>34</v>
      </c>
      <c r="F1068" s="1" t="s">
        <v>101</v>
      </c>
      <c r="G1068">
        <v>16</v>
      </c>
      <c r="H1068">
        <v>17</v>
      </c>
      <c r="I1068" s="2">
        <f t="shared" si="48"/>
        <v>23.735807999999999</v>
      </c>
      <c r="J1068">
        <f t="shared" si="49"/>
        <v>2.063983304347826</v>
      </c>
      <c r="K1068">
        <f t="shared" si="50"/>
        <v>0.61989574301384165</v>
      </c>
    </row>
    <row r="1069" spans="1:11" x14ac:dyDescent="0.25">
      <c r="A1069" s="1">
        <v>1997</v>
      </c>
      <c r="B1069" s="1" t="s">
        <v>104</v>
      </c>
      <c r="C1069" t="s">
        <v>7</v>
      </c>
      <c r="D1069" s="1" t="s">
        <v>3</v>
      </c>
      <c r="E1069">
        <v>38</v>
      </c>
      <c r="F1069" s="1" t="s">
        <v>101</v>
      </c>
      <c r="G1069">
        <v>6</v>
      </c>
      <c r="H1069">
        <v>51</v>
      </c>
      <c r="I1069" s="2">
        <f t="shared" si="48"/>
        <v>10.013544</v>
      </c>
      <c r="J1069">
        <f t="shared" si="49"/>
        <v>0.87074295652173905</v>
      </c>
      <c r="K1069">
        <f t="shared" si="50"/>
        <v>0.26151851658396447</v>
      </c>
    </row>
    <row r="1070" spans="1:11" x14ac:dyDescent="0.25">
      <c r="A1070" s="1">
        <v>1997</v>
      </c>
      <c r="B1070" s="1" t="s">
        <v>104</v>
      </c>
      <c r="C1070" t="s">
        <v>7</v>
      </c>
      <c r="D1070" s="1" t="s">
        <v>3</v>
      </c>
      <c r="E1070">
        <v>38</v>
      </c>
      <c r="F1070" s="1" t="s">
        <v>101</v>
      </c>
      <c r="G1070">
        <v>8</v>
      </c>
      <c r="H1070">
        <v>63</v>
      </c>
      <c r="I1070" s="2">
        <f t="shared" si="48"/>
        <v>21.990527999999998</v>
      </c>
      <c r="J1070">
        <f t="shared" si="49"/>
        <v>1.9122198260869563</v>
      </c>
      <c r="K1070">
        <f t="shared" si="50"/>
        <v>0.57431517367458862</v>
      </c>
    </row>
    <row r="1071" spans="1:11" x14ac:dyDescent="0.25">
      <c r="A1071" s="1">
        <v>1997</v>
      </c>
      <c r="B1071" s="1" t="s">
        <v>104</v>
      </c>
      <c r="C1071" t="s">
        <v>7</v>
      </c>
      <c r="D1071" s="1" t="s">
        <v>3</v>
      </c>
      <c r="E1071">
        <v>38</v>
      </c>
      <c r="F1071" s="1" t="s">
        <v>101</v>
      </c>
      <c r="G1071">
        <v>10</v>
      </c>
      <c r="H1071">
        <v>87</v>
      </c>
      <c r="I1071" s="2">
        <f t="shared" si="48"/>
        <v>47.449799999999996</v>
      </c>
      <c r="J1071">
        <f t="shared" si="49"/>
        <v>4.1260695652173913</v>
      </c>
      <c r="K1071">
        <f t="shared" si="50"/>
        <v>1.2392217289109428</v>
      </c>
    </row>
    <row r="1072" spans="1:11" x14ac:dyDescent="0.25">
      <c r="A1072" s="1">
        <v>1997</v>
      </c>
      <c r="B1072" s="1" t="s">
        <v>104</v>
      </c>
      <c r="C1072" t="s">
        <v>7</v>
      </c>
      <c r="D1072" s="1" t="s">
        <v>3</v>
      </c>
      <c r="E1072">
        <v>38</v>
      </c>
      <c r="F1072" s="1" t="s">
        <v>101</v>
      </c>
      <c r="G1072">
        <v>12</v>
      </c>
      <c r="H1072">
        <v>128</v>
      </c>
      <c r="I1072" s="2">
        <f t="shared" si="48"/>
        <v>100.528128</v>
      </c>
      <c r="J1072">
        <f t="shared" si="49"/>
        <v>8.7415763478260864</v>
      </c>
      <c r="K1072">
        <f t="shared" si="50"/>
        <v>2.6254407939409767</v>
      </c>
    </row>
    <row r="1073" spans="1:11" x14ac:dyDescent="0.25">
      <c r="A1073" s="1">
        <v>1997</v>
      </c>
      <c r="B1073" s="1" t="s">
        <v>104</v>
      </c>
      <c r="C1073" t="s">
        <v>7</v>
      </c>
      <c r="D1073" s="1" t="s">
        <v>3</v>
      </c>
      <c r="E1073">
        <v>38</v>
      </c>
      <c r="F1073" s="1" t="s">
        <v>101</v>
      </c>
      <c r="G1073">
        <v>14</v>
      </c>
      <c r="H1073">
        <v>78</v>
      </c>
      <c r="I1073" s="2">
        <f t="shared" si="48"/>
        <v>83.380752000000001</v>
      </c>
      <c r="J1073">
        <f t="shared" si="49"/>
        <v>7.2505001739130437</v>
      </c>
      <c r="K1073">
        <f t="shared" si="50"/>
        <v>2.1776117001828155</v>
      </c>
    </row>
    <row r="1074" spans="1:11" x14ac:dyDescent="0.25">
      <c r="A1074" s="1">
        <v>1997</v>
      </c>
      <c r="B1074" s="1" t="s">
        <v>104</v>
      </c>
      <c r="C1074" t="s">
        <v>7</v>
      </c>
      <c r="D1074" s="1" t="s">
        <v>3</v>
      </c>
      <c r="E1074">
        <v>38</v>
      </c>
      <c r="F1074" s="1" t="s">
        <v>101</v>
      </c>
      <c r="G1074">
        <v>16</v>
      </c>
      <c r="H1074">
        <v>71</v>
      </c>
      <c r="I1074" s="2">
        <f t="shared" si="48"/>
        <v>99.131903999999992</v>
      </c>
      <c r="J1074">
        <f t="shared" si="49"/>
        <v>8.6201655652173912</v>
      </c>
      <c r="K1074">
        <f t="shared" si="50"/>
        <v>2.5889763384695743</v>
      </c>
    </row>
    <row r="1075" spans="1:11" x14ac:dyDescent="0.25">
      <c r="A1075" s="1">
        <v>1997</v>
      </c>
      <c r="B1075" s="1" t="s">
        <v>104</v>
      </c>
      <c r="C1075" t="s">
        <v>7</v>
      </c>
      <c r="D1075" s="1" t="s">
        <v>3</v>
      </c>
      <c r="E1075">
        <v>40</v>
      </c>
      <c r="F1075" s="1" t="s">
        <v>101</v>
      </c>
      <c r="G1075">
        <v>6</v>
      </c>
      <c r="H1075">
        <v>37</v>
      </c>
      <c r="I1075" s="2">
        <f t="shared" si="48"/>
        <v>7.2647279999999999</v>
      </c>
      <c r="J1075">
        <f t="shared" si="49"/>
        <v>0.6317154782608696</v>
      </c>
      <c r="K1075">
        <f t="shared" si="50"/>
        <v>0.18972911987464092</v>
      </c>
    </row>
    <row r="1076" spans="1:11" x14ac:dyDescent="0.25">
      <c r="A1076" s="1">
        <v>1997</v>
      </c>
      <c r="B1076" s="1" t="s">
        <v>104</v>
      </c>
      <c r="C1076" t="s">
        <v>7</v>
      </c>
      <c r="D1076" s="1" t="s">
        <v>3</v>
      </c>
      <c r="E1076">
        <v>40</v>
      </c>
      <c r="F1076" s="1" t="s">
        <v>101</v>
      </c>
      <c r="G1076">
        <v>8</v>
      </c>
      <c r="H1076">
        <v>28</v>
      </c>
      <c r="I1076" s="2">
        <f t="shared" si="48"/>
        <v>9.7735679999999991</v>
      </c>
      <c r="J1076">
        <f t="shared" si="49"/>
        <v>0.84987547826086951</v>
      </c>
      <c r="K1076">
        <f t="shared" si="50"/>
        <v>0.25525118829981719</v>
      </c>
    </row>
    <row r="1077" spans="1:11" x14ac:dyDescent="0.25">
      <c r="A1077" s="1">
        <v>1997</v>
      </c>
      <c r="B1077" s="1" t="s">
        <v>104</v>
      </c>
      <c r="C1077" t="s">
        <v>7</v>
      </c>
      <c r="D1077" s="1" t="s">
        <v>3</v>
      </c>
      <c r="E1077">
        <v>40</v>
      </c>
      <c r="F1077" s="1" t="s">
        <v>101</v>
      </c>
      <c r="G1077">
        <v>10</v>
      </c>
      <c r="H1077">
        <v>34</v>
      </c>
      <c r="I1077" s="2">
        <f t="shared" si="48"/>
        <v>18.543600000000001</v>
      </c>
      <c r="J1077">
        <f t="shared" si="49"/>
        <v>1.6124869565217392</v>
      </c>
      <c r="K1077">
        <f t="shared" si="50"/>
        <v>0.48429354922956386</v>
      </c>
    </row>
    <row r="1078" spans="1:11" x14ac:dyDescent="0.25">
      <c r="A1078" s="1">
        <v>1997</v>
      </c>
      <c r="B1078" s="1" t="s">
        <v>104</v>
      </c>
      <c r="C1078" t="s">
        <v>7</v>
      </c>
      <c r="D1078" s="1" t="s">
        <v>3</v>
      </c>
      <c r="E1078">
        <v>40</v>
      </c>
      <c r="F1078" s="1" t="s">
        <v>101</v>
      </c>
      <c r="G1078">
        <v>12</v>
      </c>
      <c r="H1078">
        <v>41</v>
      </c>
      <c r="I1078" s="2">
        <f t="shared" si="48"/>
        <v>32.200415999999997</v>
      </c>
      <c r="J1078">
        <f t="shared" si="49"/>
        <v>2.800036173913043</v>
      </c>
      <c r="K1078">
        <f t="shared" si="50"/>
        <v>0.84096150430921901</v>
      </c>
    </row>
    <row r="1079" spans="1:11" x14ac:dyDescent="0.25">
      <c r="A1079" s="1">
        <v>1997</v>
      </c>
      <c r="B1079" s="1" t="s">
        <v>104</v>
      </c>
      <c r="C1079" t="s">
        <v>7</v>
      </c>
      <c r="D1079" s="1" t="s">
        <v>3</v>
      </c>
      <c r="E1079">
        <v>40</v>
      </c>
      <c r="F1079" s="1" t="s">
        <v>101</v>
      </c>
      <c r="G1079">
        <v>14</v>
      </c>
      <c r="H1079">
        <v>44</v>
      </c>
      <c r="I1079" s="2">
        <f t="shared" si="48"/>
        <v>47.035295999999995</v>
      </c>
      <c r="J1079">
        <f t="shared" si="49"/>
        <v>4.090025739130434</v>
      </c>
      <c r="K1079">
        <f t="shared" si="50"/>
        <v>1.22839634369287</v>
      </c>
    </row>
    <row r="1080" spans="1:11" x14ac:dyDescent="0.25">
      <c r="A1080" s="1">
        <v>1997</v>
      </c>
      <c r="B1080" s="1" t="s">
        <v>104</v>
      </c>
      <c r="C1080" t="s">
        <v>7</v>
      </c>
      <c r="D1080" s="1" t="s">
        <v>3</v>
      </c>
      <c r="E1080">
        <v>40</v>
      </c>
      <c r="F1080" s="1" t="s">
        <v>101</v>
      </c>
      <c r="G1080">
        <v>16</v>
      </c>
      <c r="H1080">
        <v>43</v>
      </c>
      <c r="I1080" s="2">
        <f t="shared" si="48"/>
        <v>60.037631999999995</v>
      </c>
      <c r="J1080">
        <f t="shared" si="49"/>
        <v>5.2206636521739123</v>
      </c>
      <c r="K1080">
        <f t="shared" si="50"/>
        <v>1.5679715852703053</v>
      </c>
    </row>
    <row r="1081" spans="1:11" x14ac:dyDescent="0.25">
      <c r="A1081" s="1">
        <v>1997</v>
      </c>
      <c r="B1081" s="1" t="s">
        <v>104</v>
      </c>
      <c r="C1081" t="s">
        <v>7</v>
      </c>
      <c r="D1081" s="1" t="s">
        <v>3</v>
      </c>
      <c r="E1081">
        <v>41</v>
      </c>
      <c r="F1081" s="1" t="s">
        <v>101</v>
      </c>
      <c r="G1081">
        <v>6</v>
      </c>
      <c r="H1081">
        <v>2</v>
      </c>
      <c r="I1081" s="2">
        <f t="shared" si="48"/>
        <v>0.39268799999999998</v>
      </c>
      <c r="J1081">
        <f t="shared" si="49"/>
        <v>3.414678260869565E-2</v>
      </c>
      <c r="K1081">
        <f t="shared" si="50"/>
        <v>1.025562810133194E-2</v>
      </c>
    </row>
    <row r="1082" spans="1:11" x14ac:dyDescent="0.25">
      <c r="A1082" s="1">
        <v>1997</v>
      </c>
      <c r="B1082" s="1" t="s">
        <v>104</v>
      </c>
      <c r="C1082" t="s">
        <v>7</v>
      </c>
      <c r="D1082" s="1" t="s">
        <v>3</v>
      </c>
      <c r="E1082">
        <v>41</v>
      </c>
      <c r="F1082" s="1" t="s">
        <v>101</v>
      </c>
      <c r="G1082">
        <v>8</v>
      </c>
      <c r="H1082">
        <v>7</v>
      </c>
      <c r="I1082" s="2">
        <f t="shared" si="48"/>
        <v>2.4433919999999998</v>
      </c>
      <c r="J1082">
        <f t="shared" si="49"/>
        <v>0.21246886956521738</v>
      </c>
      <c r="K1082">
        <f t="shared" si="50"/>
        <v>6.3812797074954297E-2</v>
      </c>
    </row>
    <row r="1083" spans="1:11" x14ac:dyDescent="0.25">
      <c r="A1083" s="1">
        <v>1997</v>
      </c>
      <c r="B1083" s="1" t="s">
        <v>104</v>
      </c>
      <c r="C1083" t="s">
        <v>7</v>
      </c>
      <c r="D1083" s="1" t="s">
        <v>3</v>
      </c>
      <c r="E1083">
        <v>41</v>
      </c>
      <c r="F1083" s="1" t="s">
        <v>101</v>
      </c>
      <c r="G1083">
        <v>10</v>
      </c>
      <c r="H1083">
        <v>8</v>
      </c>
      <c r="I1083" s="2">
        <f t="shared" si="48"/>
        <v>4.3632</v>
      </c>
      <c r="J1083">
        <f t="shared" si="49"/>
        <v>0.37940869565217389</v>
      </c>
      <c r="K1083">
        <f t="shared" si="50"/>
        <v>0.11395142334813266</v>
      </c>
    </row>
    <row r="1084" spans="1:11" x14ac:dyDescent="0.25">
      <c r="A1084" s="1">
        <v>1997</v>
      </c>
      <c r="B1084" s="1" t="s">
        <v>104</v>
      </c>
      <c r="C1084" t="s">
        <v>7</v>
      </c>
      <c r="D1084" s="1" t="s">
        <v>3</v>
      </c>
      <c r="E1084">
        <v>41</v>
      </c>
      <c r="F1084" s="1" t="s">
        <v>101</v>
      </c>
      <c r="G1084">
        <v>12</v>
      </c>
      <c r="H1084">
        <v>6</v>
      </c>
      <c r="I1084" s="2">
        <f t="shared" si="48"/>
        <v>4.712256</v>
      </c>
      <c r="J1084">
        <f t="shared" si="49"/>
        <v>0.4097613913043478</v>
      </c>
      <c r="K1084">
        <f t="shared" si="50"/>
        <v>0.12306753721598328</v>
      </c>
    </row>
    <row r="1085" spans="1:11" x14ac:dyDescent="0.25">
      <c r="A1085" s="1">
        <v>1997</v>
      </c>
      <c r="B1085" s="1" t="s">
        <v>104</v>
      </c>
      <c r="C1085" t="s">
        <v>7</v>
      </c>
      <c r="D1085" s="1" t="s">
        <v>3</v>
      </c>
      <c r="E1085">
        <v>41</v>
      </c>
      <c r="F1085" s="1" t="s">
        <v>101</v>
      </c>
      <c r="G1085">
        <v>14</v>
      </c>
      <c r="H1085">
        <v>11</v>
      </c>
      <c r="I1085" s="2">
        <f t="shared" si="48"/>
        <v>11.758823999999999</v>
      </c>
      <c r="J1085">
        <f t="shared" si="49"/>
        <v>1.0225064347826085</v>
      </c>
      <c r="K1085">
        <f t="shared" si="50"/>
        <v>0.3070990859232175</v>
      </c>
    </row>
    <row r="1086" spans="1:11" x14ac:dyDescent="0.25">
      <c r="A1086" s="1">
        <v>1997</v>
      </c>
      <c r="B1086" s="1" t="s">
        <v>104</v>
      </c>
      <c r="C1086" t="s">
        <v>7</v>
      </c>
      <c r="D1086" s="1" t="s">
        <v>3</v>
      </c>
      <c r="E1086">
        <v>41</v>
      </c>
      <c r="F1086" s="1" t="s">
        <v>101</v>
      </c>
      <c r="G1086">
        <v>16</v>
      </c>
      <c r="H1086">
        <v>14</v>
      </c>
      <c r="I1086" s="2">
        <f t="shared" si="48"/>
        <v>19.547135999999998</v>
      </c>
      <c r="J1086">
        <f t="shared" si="49"/>
        <v>1.699750956521739</v>
      </c>
      <c r="K1086">
        <f t="shared" si="50"/>
        <v>0.51050237659963438</v>
      </c>
    </row>
    <row r="1087" spans="1:11" x14ac:dyDescent="0.25">
      <c r="A1087" s="1">
        <v>1997</v>
      </c>
      <c r="B1087" s="1" t="s">
        <v>104</v>
      </c>
      <c r="C1087" t="s">
        <v>7</v>
      </c>
      <c r="D1087" s="1" t="s">
        <v>3</v>
      </c>
      <c r="E1087">
        <v>47</v>
      </c>
      <c r="F1087" s="1" t="s">
        <v>101</v>
      </c>
      <c r="G1087">
        <v>16</v>
      </c>
      <c r="H1087">
        <v>1</v>
      </c>
      <c r="I1087" s="2">
        <f t="shared" si="48"/>
        <v>1.3962239999999999</v>
      </c>
      <c r="J1087">
        <f t="shared" si="49"/>
        <v>0.12141078260869564</v>
      </c>
      <c r="K1087">
        <f t="shared" si="50"/>
        <v>3.6464455471402452E-2</v>
      </c>
    </row>
    <row r="1088" spans="1:11" x14ac:dyDescent="0.25">
      <c r="A1088" s="1">
        <v>1997</v>
      </c>
      <c r="B1088" s="1" t="s">
        <v>104</v>
      </c>
      <c r="C1088" t="s">
        <v>7</v>
      </c>
      <c r="D1088" s="1" t="s">
        <v>3</v>
      </c>
      <c r="E1088">
        <v>53</v>
      </c>
      <c r="F1088" s="1" t="s">
        <v>101</v>
      </c>
      <c r="G1088">
        <v>6</v>
      </c>
      <c r="H1088">
        <v>6</v>
      </c>
      <c r="I1088" s="2">
        <f t="shared" si="48"/>
        <v>1.178064</v>
      </c>
      <c r="J1088">
        <f t="shared" si="49"/>
        <v>0.10244034782608695</v>
      </c>
      <c r="K1088">
        <f t="shared" si="50"/>
        <v>3.0766884303995819E-2</v>
      </c>
    </row>
    <row r="1089" spans="1:11" x14ac:dyDescent="0.25">
      <c r="A1089" s="1">
        <v>1997</v>
      </c>
      <c r="B1089" s="1" t="s">
        <v>104</v>
      </c>
      <c r="C1089" t="s">
        <v>7</v>
      </c>
      <c r="D1089" s="1" t="s">
        <v>3</v>
      </c>
      <c r="E1089">
        <v>53</v>
      </c>
      <c r="F1089" s="1" t="s">
        <v>101</v>
      </c>
      <c r="G1089">
        <v>8</v>
      </c>
      <c r="H1089">
        <v>8</v>
      </c>
      <c r="I1089" s="2">
        <f t="shared" si="48"/>
        <v>2.7924479999999998</v>
      </c>
      <c r="J1089">
        <f t="shared" si="49"/>
        <v>0.24282156521739129</v>
      </c>
      <c r="K1089">
        <f t="shared" si="50"/>
        <v>7.2928910942804903E-2</v>
      </c>
    </row>
    <row r="1090" spans="1:11" x14ac:dyDescent="0.25">
      <c r="A1090" s="1">
        <v>1997</v>
      </c>
      <c r="B1090" s="1" t="s">
        <v>104</v>
      </c>
      <c r="C1090" t="s">
        <v>7</v>
      </c>
      <c r="D1090" s="1" t="s">
        <v>3</v>
      </c>
      <c r="E1090">
        <v>53</v>
      </c>
      <c r="F1090" s="1" t="s">
        <v>101</v>
      </c>
      <c r="G1090">
        <v>10</v>
      </c>
      <c r="H1090">
        <v>10</v>
      </c>
      <c r="I1090" s="2">
        <f t="shared" si="48"/>
        <v>5.4539999999999997</v>
      </c>
      <c r="J1090">
        <f t="shared" si="49"/>
        <v>0.47426086956521735</v>
      </c>
      <c r="K1090">
        <f t="shared" si="50"/>
        <v>0.14243927918516583</v>
      </c>
    </row>
    <row r="1091" spans="1:11" x14ac:dyDescent="0.25">
      <c r="A1091" s="1">
        <v>1997</v>
      </c>
      <c r="B1091" s="1" t="s">
        <v>104</v>
      </c>
      <c r="C1091" t="s">
        <v>7</v>
      </c>
      <c r="D1091" s="1" t="s">
        <v>3</v>
      </c>
      <c r="E1091">
        <v>53</v>
      </c>
      <c r="F1091" s="1" t="s">
        <v>101</v>
      </c>
      <c r="G1091">
        <v>12</v>
      </c>
      <c r="H1091">
        <v>3</v>
      </c>
      <c r="I1091" s="2">
        <f t="shared" ref="I1091:I1154" si="51">0.005454*G1091^2*H1091</f>
        <v>2.356128</v>
      </c>
      <c r="J1091">
        <f t="shared" ref="J1091:J1154" si="52">I1091/11.5</f>
        <v>0.2048806956521739</v>
      </c>
      <c r="K1091">
        <f t="shared" ref="K1091:K1154" si="53">J1091*(11.5/38.29)</f>
        <v>6.1533768607991639E-2</v>
      </c>
    </row>
    <row r="1092" spans="1:11" x14ac:dyDescent="0.25">
      <c r="A1092" s="1">
        <v>1997</v>
      </c>
      <c r="B1092" s="1" t="s">
        <v>104</v>
      </c>
      <c r="C1092" t="s">
        <v>7</v>
      </c>
      <c r="D1092" s="1" t="s">
        <v>3</v>
      </c>
      <c r="E1092">
        <v>53</v>
      </c>
      <c r="F1092" s="1" t="s">
        <v>101</v>
      </c>
      <c r="G1092">
        <v>14</v>
      </c>
      <c r="H1092">
        <v>1</v>
      </c>
      <c r="I1092" s="2">
        <f t="shared" si="51"/>
        <v>1.0689839999999999</v>
      </c>
      <c r="J1092">
        <f t="shared" si="52"/>
        <v>9.295513043478261E-2</v>
      </c>
      <c r="K1092">
        <f t="shared" si="53"/>
        <v>2.7918098720292505E-2</v>
      </c>
    </row>
    <row r="1093" spans="1:11" x14ac:dyDescent="0.25">
      <c r="A1093" s="1">
        <v>1997</v>
      </c>
      <c r="B1093" s="1" t="s">
        <v>104</v>
      </c>
      <c r="C1093" t="s">
        <v>7</v>
      </c>
      <c r="D1093" s="1" t="s">
        <v>3</v>
      </c>
      <c r="E1093">
        <v>54</v>
      </c>
      <c r="F1093" s="1" t="s">
        <v>101</v>
      </c>
      <c r="G1093">
        <v>6</v>
      </c>
      <c r="H1093">
        <v>3</v>
      </c>
      <c r="I1093" s="2">
        <f t="shared" si="51"/>
        <v>0.589032</v>
      </c>
      <c r="J1093">
        <f t="shared" si="52"/>
        <v>5.1220173913043475E-2</v>
      </c>
      <c r="K1093">
        <f t="shared" si="53"/>
        <v>1.538344215199791E-2</v>
      </c>
    </row>
    <row r="1094" spans="1:11" x14ac:dyDescent="0.25">
      <c r="A1094" s="1">
        <v>1997</v>
      </c>
      <c r="B1094" s="1" t="s">
        <v>104</v>
      </c>
      <c r="C1094" t="s">
        <v>7</v>
      </c>
      <c r="D1094" s="1" t="s">
        <v>3</v>
      </c>
      <c r="E1094">
        <v>54</v>
      </c>
      <c r="F1094" s="1" t="s">
        <v>101</v>
      </c>
      <c r="G1094">
        <v>8</v>
      </c>
      <c r="H1094">
        <v>1</v>
      </c>
      <c r="I1094" s="2">
        <f t="shared" si="51"/>
        <v>0.34905599999999998</v>
      </c>
      <c r="J1094">
        <f t="shared" si="52"/>
        <v>3.0352695652173911E-2</v>
      </c>
      <c r="K1094">
        <f t="shared" si="53"/>
        <v>9.1161138678506129E-3</v>
      </c>
    </row>
    <row r="1095" spans="1:11" x14ac:dyDescent="0.25">
      <c r="A1095" s="1">
        <v>1997</v>
      </c>
      <c r="B1095" s="1" t="s">
        <v>104</v>
      </c>
      <c r="C1095" t="s">
        <v>7</v>
      </c>
      <c r="D1095" s="1" t="s">
        <v>3</v>
      </c>
      <c r="E1095">
        <v>56</v>
      </c>
      <c r="F1095" s="1" t="s">
        <v>101</v>
      </c>
      <c r="G1095">
        <v>6</v>
      </c>
      <c r="H1095">
        <v>2</v>
      </c>
      <c r="I1095" s="2">
        <f t="shared" si="51"/>
        <v>0.39268799999999998</v>
      </c>
      <c r="J1095">
        <f t="shared" si="52"/>
        <v>3.414678260869565E-2</v>
      </c>
      <c r="K1095">
        <f t="shared" si="53"/>
        <v>1.025562810133194E-2</v>
      </c>
    </row>
    <row r="1096" spans="1:11" x14ac:dyDescent="0.25">
      <c r="A1096" s="1">
        <v>1997</v>
      </c>
      <c r="B1096" s="1" t="s">
        <v>104</v>
      </c>
      <c r="C1096" t="s">
        <v>7</v>
      </c>
      <c r="D1096" s="1" t="s">
        <v>3</v>
      </c>
      <c r="E1096">
        <v>56</v>
      </c>
      <c r="F1096" s="1" t="s">
        <v>101</v>
      </c>
      <c r="G1096">
        <v>10</v>
      </c>
      <c r="H1096">
        <v>3</v>
      </c>
      <c r="I1096" s="2">
        <f t="shared" si="51"/>
        <v>1.6362000000000001</v>
      </c>
      <c r="J1096">
        <f t="shared" si="52"/>
        <v>0.14227826086956522</v>
      </c>
      <c r="K1096">
        <f t="shared" si="53"/>
        <v>4.273178375554975E-2</v>
      </c>
    </row>
    <row r="1097" spans="1:11" x14ac:dyDescent="0.25">
      <c r="A1097" s="1">
        <v>1997</v>
      </c>
      <c r="B1097" s="1" t="s">
        <v>104</v>
      </c>
      <c r="C1097" t="s">
        <v>7</v>
      </c>
      <c r="D1097" s="1" t="s">
        <v>3</v>
      </c>
      <c r="E1097">
        <v>56</v>
      </c>
      <c r="F1097" s="1" t="s">
        <v>101</v>
      </c>
      <c r="G1097">
        <v>12</v>
      </c>
      <c r="H1097">
        <v>9</v>
      </c>
      <c r="I1097" s="2">
        <f t="shared" si="51"/>
        <v>7.068384</v>
      </c>
      <c r="J1097">
        <f t="shared" si="52"/>
        <v>0.61464208695652178</v>
      </c>
      <c r="K1097">
        <f t="shared" si="53"/>
        <v>0.18460130582397494</v>
      </c>
    </row>
    <row r="1098" spans="1:11" x14ac:dyDescent="0.25">
      <c r="A1098" s="1">
        <v>1997</v>
      </c>
      <c r="B1098" s="1" t="s">
        <v>104</v>
      </c>
      <c r="C1098" t="s">
        <v>7</v>
      </c>
      <c r="D1098" s="1" t="s">
        <v>3</v>
      </c>
      <c r="E1098">
        <v>56</v>
      </c>
      <c r="F1098" s="1" t="s">
        <v>101</v>
      </c>
      <c r="G1098">
        <v>14</v>
      </c>
      <c r="H1098">
        <v>3</v>
      </c>
      <c r="I1098" s="2">
        <f t="shared" si="51"/>
        <v>3.2069519999999998</v>
      </c>
      <c r="J1098">
        <f t="shared" si="52"/>
        <v>0.27886539130434779</v>
      </c>
      <c r="K1098">
        <f t="shared" si="53"/>
        <v>8.3754296160877498E-2</v>
      </c>
    </row>
    <row r="1099" spans="1:11" x14ac:dyDescent="0.25">
      <c r="A1099" s="1">
        <v>1997</v>
      </c>
      <c r="B1099" s="1" t="s">
        <v>104</v>
      </c>
      <c r="C1099" t="s">
        <v>7</v>
      </c>
      <c r="D1099" s="1" t="s">
        <v>3</v>
      </c>
      <c r="E1099">
        <v>56</v>
      </c>
      <c r="F1099" s="1" t="s">
        <v>101</v>
      </c>
      <c r="G1099">
        <v>16</v>
      </c>
      <c r="H1099">
        <v>3</v>
      </c>
      <c r="I1099" s="2">
        <f t="shared" si="51"/>
        <v>4.1886719999999995</v>
      </c>
      <c r="J1099">
        <f t="shared" si="52"/>
        <v>0.36423234782608693</v>
      </c>
      <c r="K1099">
        <f t="shared" si="53"/>
        <v>0.10939336641420735</v>
      </c>
    </row>
    <row r="1100" spans="1:11" x14ac:dyDescent="0.25">
      <c r="A1100" s="1">
        <v>1997</v>
      </c>
      <c r="B1100" s="1" t="s">
        <v>104</v>
      </c>
      <c r="C1100" t="s">
        <v>7</v>
      </c>
      <c r="D1100" s="1" t="s">
        <v>3</v>
      </c>
      <c r="E1100">
        <v>58</v>
      </c>
      <c r="F1100" s="1" t="s">
        <v>101</v>
      </c>
      <c r="G1100">
        <v>6</v>
      </c>
      <c r="H1100">
        <v>1</v>
      </c>
      <c r="I1100" s="2">
        <f t="shared" si="51"/>
        <v>0.19634399999999999</v>
      </c>
      <c r="J1100">
        <f t="shared" si="52"/>
        <v>1.7073391304347825E-2</v>
      </c>
      <c r="K1100">
        <f t="shared" si="53"/>
        <v>5.1278140506659702E-3</v>
      </c>
    </row>
    <row r="1101" spans="1:11" x14ac:dyDescent="0.25">
      <c r="A1101" s="1">
        <v>1997</v>
      </c>
      <c r="B1101" s="1" t="s">
        <v>104</v>
      </c>
      <c r="C1101" t="s">
        <v>7</v>
      </c>
      <c r="D1101" s="1" t="s">
        <v>3</v>
      </c>
      <c r="E1101">
        <v>58</v>
      </c>
      <c r="F1101" s="1" t="s">
        <v>101</v>
      </c>
      <c r="G1101">
        <v>8</v>
      </c>
      <c r="H1101">
        <v>4</v>
      </c>
      <c r="I1101" s="2">
        <f t="shared" si="51"/>
        <v>1.3962239999999999</v>
      </c>
      <c r="J1101">
        <f t="shared" si="52"/>
        <v>0.12141078260869564</v>
      </c>
      <c r="K1101">
        <f t="shared" si="53"/>
        <v>3.6464455471402452E-2</v>
      </c>
    </row>
    <row r="1102" spans="1:11" x14ac:dyDescent="0.25">
      <c r="A1102" s="1">
        <v>1997</v>
      </c>
      <c r="B1102" s="1" t="s">
        <v>104</v>
      </c>
      <c r="C1102" t="s">
        <v>7</v>
      </c>
      <c r="D1102" s="1" t="s">
        <v>3</v>
      </c>
      <c r="E1102">
        <v>58</v>
      </c>
      <c r="F1102" s="1" t="s">
        <v>101</v>
      </c>
      <c r="G1102">
        <v>10</v>
      </c>
      <c r="H1102">
        <v>1</v>
      </c>
      <c r="I1102" s="2">
        <f t="shared" si="51"/>
        <v>0.5454</v>
      </c>
      <c r="J1102">
        <f t="shared" si="52"/>
        <v>4.7426086956521736E-2</v>
      </c>
      <c r="K1102">
        <f t="shared" si="53"/>
        <v>1.4243927918516582E-2</v>
      </c>
    </row>
    <row r="1103" spans="1:11" x14ac:dyDescent="0.25">
      <c r="A1103" s="1">
        <v>1997</v>
      </c>
      <c r="B1103" s="1" t="s">
        <v>104</v>
      </c>
      <c r="C1103" t="s">
        <v>7</v>
      </c>
      <c r="D1103" s="1" t="s">
        <v>3</v>
      </c>
      <c r="E1103">
        <v>63</v>
      </c>
      <c r="F1103" s="1" t="s">
        <v>101</v>
      </c>
      <c r="G1103">
        <v>6</v>
      </c>
      <c r="H1103">
        <v>36</v>
      </c>
      <c r="I1103" s="2">
        <f t="shared" si="51"/>
        <v>7.068384</v>
      </c>
      <c r="J1103">
        <f t="shared" si="52"/>
        <v>0.61464208695652178</v>
      </c>
      <c r="K1103">
        <f t="shared" si="53"/>
        <v>0.18460130582397494</v>
      </c>
    </row>
    <row r="1104" spans="1:11" x14ac:dyDescent="0.25">
      <c r="A1104" s="1">
        <v>1997</v>
      </c>
      <c r="B1104" s="1" t="s">
        <v>104</v>
      </c>
      <c r="C1104" t="s">
        <v>7</v>
      </c>
      <c r="D1104" s="1" t="s">
        <v>3</v>
      </c>
      <c r="E1104">
        <v>63</v>
      </c>
      <c r="F1104" s="1" t="s">
        <v>101</v>
      </c>
      <c r="G1104">
        <v>8</v>
      </c>
      <c r="H1104">
        <v>2</v>
      </c>
      <c r="I1104" s="2">
        <f t="shared" si="51"/>
        <v>0.69811199999999995</v>
      </c>
      <c r="J1104">
        <f t="shared" si="52"/>
        <v>6.0705391304347822E-2</v>
      </c>
      <c r="K1104">
        <f t="shared" si="53"/>
        <v>1.8232227735701226E-2</v>
      </c>
    </row>
    <row r="1105" spans="1:11" x14ac:dyDescent="0.25">
      <c r="A1105" s="1">
        <v>1997</v>
      </c>
      <c r="B1105" s="1" t="s">
        <v>104</v>
      </c>
      <c r="C1105" t="s">
        <v>7</v>
      </c>
      <c r="D1105" s="1" t="s">
        <v>3</v>
      </c>
      <c r="E1105">
        <v>63</v>
      </c>
      <c r="F1105" s="1" t="s">
        <v>101</v>
      </c>
      <c r="G1105">
        <v>10</v>
      </c>
      <c r="H1105">
        <v>1</v>
      </c>
      <c r="I1105" s="2">
        <f t="shared" si="51"/>
        <v>0.5454</v>
      </c>
      <c r="J1105">
        <f t="shared" si="52"/>
        <v>4.7426086956521736E-2</v>
      </c>
      <c r="K1105">
        <f t="shared" si="53"/>
        <v>1.4243927918516582E-2</v>
      </c>
    </row>
    <row r="1106" spans="1:11" x14ac:dyDescent="0.25">
      <c r="A1106" s="1">
        <v>1997</v>
      </c>
      <c r="B1106" s="1" t="s">
        <v>104</v>
      </c>
      <c r="C1106" t="s">
        <v>7</v>
      </c>
      <c r="D1106" s="1" t="s">
        <v>3</v>
      </c>
      <c r="E1106">
        <v>66</v>
      </c>
      <c r="F1106" s="1" t="s">
        <v>101</v>
      </c>
      <c r="G1106">
        <v>6</v>
      </c>
      <c r="H1106">
        <v>1</v>
      </c>
      <c r="I1106" s="2">
        <f t="shared" si="51"/>
        <v>0.19634399999999999</v>
      </c>
      <c r="J1106">
        <f t="shared" si="52"/>
        <v>1.7073391304347825E-2</v>
      </c>
      <c r="K1106">
        <f t="shared" si="53"/>
        <v>5.1278140506659702E-3</v>
      </c>
    </row>
    <row r="1107" spans="1:11" x14ac:dyDescent="0.25">
      <c r="A1107" s="1">
        <v>1997</v>
      </c>
      <c r="B1107" s="1" t="s">
        <v>104</v>
      </c>
      <c r="C1107" t="s">
        <v>7</v>
      </c>
      <c r="D1107" s="1" t="s">
        <v>3</v>
      </c>
      <c r="E1107">
        <v>66</v>
      </c>
      <c r="F1107" s="1" t="s">
        <v>101</v>
      </c>
      <c r="G1107">
        <v>8</v>
      </c>
      <c r="H1107">
        <v>1</v>
      </c>
      <c r="I1107" s="2">
        <f t="shared" si="51"/>
        <v>0.34905599999999998</v>
      </c>
      <c r="J1107">
        <f t="shared" si="52"/>
        <v>3.0352695652173911E-2</v>
      </c>
      <c r="K1107">
        <f t="shared" si="53"/>
        <v>9.1161138678506129E-3</v>
      </c>
    </row>
    <row r="1108" spans="1:11" x14ac:dyDescent="0.25">
      <c r="A1108" s="1">
        <v>1997</v>
      </c>
      <c r="B1108" s="1" t="s">
        <v>104</v>
      </c>
      <c r="C1108" t="s">
        <v>7</v>
      </c>
      <c r="D1108" s="1" t="s">
        <v>3</v>
      </c>
      <c r="E1108">
        <v>66</v>
      </c>
      <c r="F1108" s="1" t="s">
        <v>101</v>
      </c>
      <c r="G1108">
        <v>10</v>
      </c>
      <c r="H1108">
        <v>1</v>
      </c>
      <c r="I1108" s="2">
        <f t="shared" si="51"/>
        <v>0.5454</v>
      </c>
      <c r="J1108">
        <f t="shared" si="52"/>
        <v>4.7426086956521736E-2</v>
      </c>
      <c r="K1108">
        <f t="shared" si="53"/>
        <v>1.4243927918516582E-2</v>
      </c>
    </row>
    <row r="1109" spans="1:11" x14ac:dyDescent="0.25">
      <c r="A1109" s="1">
        <v>1997</v>
      </c>
      <c r="B1109" s="1" t="s">
        <v>104</v>
      </c>
      <c r="C1109" t="s">
        <v>7</v>
      </c>
      <c r="D1109" s="1" t="s">
        <v>3</v>
      </c>
      <c r="E1109">
        <v>66</v>
      </c>
      <c r="F1109" s="1" t="s">
        <v>101</v>
      </c>
      <c r="G1109">
        <v>12</v>
      </c>
      <c r="H1109">
        <v>2</v>
      </c>
      <c r="I1109" s="2">
        <f t="shared" si="51"/>
        <v>1.5707519999999999</v>
      </c>
      <c r="J1109">
        <f t="shared" si="52"/>
        <v>0.1365871304347826</v>
      </c>
      <c r="K1109">
        <f t="shared" si="53"/>
        <v>4.1022512405327761E-2</v>
      </c>
    </row>
    <row r="1110" spans="1:11" x14ac:dyDescent="0.25">
      <c r="A1110" s="1">
        <v>1997</v>
      </c>
      <c r="B1110" s="1" t="s">
        <v>104</v>
      </c>
      <c r="C1110" t="s">
        <v>7</v>
      </c>
      <c r="D1110" s="1" t="s">
        <v>3</v>
      </c>
      <c r="E1110">
        <v>66</v>
      </c>
      <c r="F1110" s="1" t="s">
        <v>101</v>
      </c>
      <c r="G1110">
        <v>14</v>
      </c>
      <c r="H1110">
        <v>1</v>
      </c>
      <c r="I1110" s="2">
        <f t="shared" si="51"/>
        <v>1.0689839999999999</v>
      </c>
      <c r="J1110">
        <f t="shared" si="52"/>
        <v>9.295513043478261E-2</v>
      </c>
      <c r="K1110">
        <f t="shared" si="53"/>
        <v>2.7918098720292505E-2</v>
      </c>
    </row>
    <row r="1111" spans="1:11" x14ac:dyDescent="0.25">
      <c r="A1111" s="1">
        <v>1997</v>
      </c>
      <c r="B1111" s="1" t="s">
        <v>104</v>
      </c>
      <c r="C1111" t="s">
        <v>7</v>
      </c>
      <c r="D1111" s="1" t="s">
        <v>3</v>
      </c>
      <c r="E1111">
        <v>66</v>
      </c>
      <c r="F1111" s="1" t="s">
        <v>101</v>
      </c>
      <c r="G1111">
        <v>16</v>
      </c>
      <c r="H1111">
        <v>1</v>
      </c>
      <c r="I1111" s="2">
        <f t="shared" si="51"/>
        <v>1.3962239999999999</v>
      </c>
      <c r="J1111">
        <f t="shared" si="52"/>
        <v>0.12141078260869564</v>
      </c>
      <c r="K1111">
        <f t="shared" si="53"/>
        <v>3.6464455471402452E-2</v>
      </c>
    </row>
    <row r="1112" spans="1:11" x14ac:dyDescent="0.25">
      <c r="A1112" s="1">
        <v>1997</v>
      </c>
      <c r="B1112" s="1" t="s">
        <v>104</v>
      </c>
      <c r="C1112" t="s">
        <v>7</v>
      </c>
      <c r="D1112" s="1" t="s">
        <v>3</v>
      </c>
      <c r="E1112">
        <v>71</v>
      </c>
      <c r="F1112" s="1" t="s">
        <v>101</v>
      </c>
      <c r="G1112">
        <v>8</v>
      </c>
      <c r="H1112">
        <v>1</v>
      </c>
      <c r="I1112" s="2">
        <f t="shared" si="51"/>
        <v>0.34905599999999998</v>
      </c>
      <c r="J1112">
        <f t="shared" si="52"/>
        <v>3.0352695652173911E-2</v>
      </c>
      <c r="K1112">
        <f t="shared" si="53"/>
        <v>9.1161138678506129E-3</v>
      </c>
    </row>
    <row r="1113" spans="1:11" x14ac:dyDescent="0.25">
      <c r="A1113" s="1">
        <v>1997</v>
      </c>
      <c r="B1113" s="1" t="s">
        <v>104</v>
      </c>
      <c r="C1113" t="s">
        <v>7</v>
      </c>
      <c r="D1113" s="1" t="s">
        <v>3</v>
      </c>
      <c r="E1113">
        <v>76</v>
      </c>
      <c r="F1113" s="1" t="s">
        <v>101</v>
      </c>
      <c r="G1113">
        <v>6</v>
      </c>
      <c r="H1113">
        <v>10</v>
      </c>
      <c r="I1113" s="2">
        <f t="shared" si="51"/>
        <v>1.9634399999999999</v>
      </c>
      <c r="J1113">
        <f t="shared" si="52"/>
        <v>0.17073391304347824</v>
      </c>
      <c r="K1113">
        <f t="shared" si="53"/>
        <v>5.1278140506659693E-2</v>
      </c>
    </row>
    <row r="1114" spans="1:11" x14ac:dyDescent="0.25">
      <c r="A1114" s="1">
        <v>1997</v>
      </c>
      <c r="B1114" s="1" t="s">
        <v>104</v>
      </c>
      <c r="C1114" t="s">
        <v>7</v>
      </c>
      <c r="D1114" s="1" t="s">
        <v>3</v>
      </c>
      <c r="E1114">
        <v>76</v>
      </c>
      <c r="F1114" s="1" t="s">
        <v>101</v>
      </c>
      <c r="G1114">
        <v>8</v>
      </c>
      <c r="H1114">
        <v>7</v>
      </c>
      <c r="I1114" s="2">
        <f t="shared" si="51"/>
        <v>2.4433919999999998</v>
      </c>
      <c r="J1114">
        <f t="shared" si="52"/>
        <v>0.21246886956521738</v>
      </c>
      <c r="K1114">
        <f t="shared" si="53"/>
        <v>6.3812797074954297E-2</v>
      </c>
    </row>
    <row r="1115" spans="1:11" x14ac:dyDescent="0.25">
      <c r="A1115" s="1">
        <v>1997</v>
      </c>
      <c r="B1115" s="1" t="s">
        <v>104</v>
      </c>
      <c r="C1115" t="s">
        <v>7</v>
      </c>
      <c r="D1115" s="1" t="s">
        <v>3</v>
      </c>
      <c r="E1115">
        <v>76</v>
      </c>
      <c r="F1115" s="1" t="s">
        <v>101</v>
      </c>
      <c r="G1115">
        <v>10</v>
      </c>
      <c r="H1115">
        <v>2</v>
      </c>
      <c r="I1115" s="2">
        <f t="shared" si="51"/>
        <v>1.0908</v>
      </c>
      <c r="J1115">
        <f t="shared" si="52"/>
        <v>9.4852173913043472E-2</v>
      </c>
      <c r="K1115">
        <f t="shared" si="53"/>
        <v>2.8487855837033164E-2</v>
      </c>
    </row>
    <row r="1116" spans="1:11" x14ac:dyDescent="0.25">
      <c r="A1116" s="1">
        <v>1997</v>
      </c>
      <c r="B1116" s="1" t="s">
        <v>104</v>
      </c>
      <c r="C1116" t="s">
        <v>7</v>
      </c>
      <c r="D1116" s="1" t="s">
        <v>3</v>
      </c>
      <c r="E1116">
        <v>76</v>
      </c>
      <c r="F1116" s="1" t="s">
        <v>101</v>
      </c>
      <c r="G1116">
        <v>12</v>
      </c>
      <c r="H1116">
        <v>2</v>
      </c>
      <c r="I1116" s="2">
        <f t="shared" si="51"/>
        <v>1.5707519999999999</v>
      </c>
      <c r="J1116">
        <f t="shared" si="52"/>
        <v>0.1365871304347826</v>
      </c>
      <c r="K1116">
        <f t="shared" si="53"/>
        <v>4.1022512405327761E-2</v>
      </c>
    </row>
    <row r="1117" spans="1:11" x14ac:dyDescent="0.25">
      <c r="A1117" s="1">
        <v>1997</v>
      </c>
      <c r="B1117" s="1" t="s">
        <v>104</v>
      </c>
      <c r="C1117" t="s">
        <v>7</v>
      </c>
      <c r="D1117" s="1" t="s">
        <v>3</v>
      </c>
      <c r="E1117">
        <v>76</v>
      </c>
      <c r="F1117" s="1" t="s">
        <v>101</v>
      </c>
      <c r="G1117">
        <v>14</v>
      </c>
      <c r="H1117">
        <v>1</v>
      </c>
      <c r="I1117" s="2">
        <f t="shared" si="51"/>
        <v>1.0689839999999999</v>
      </c>
      <c r="J1117">
        <f t="shared" si="52"/>
        <v>9.295513043478261E-2</v>
      </c>
      <c r="K1117">
        <f t="shared" si="53"/>
        <v>2.7918098720292505E-2</v>
      </c>
    </row>
    <row r="1118" spans="1:11" x14ac:dyDescent="0.25">
      <c r="A1118" s="1">
        <v>1997</v>
      </c>
      <c r="B1118" s="1" t="s">
        <v>104</v>
      </c>
      <c r="C1118" t="s">
        <v>7</v>
      </c>
      <c r="D1118" s="1" t="s">
        <v>3</v>
      </c>
      <c r="E1118">
        <v>79</v>
      </c>
      <c r="F1118" s="1" t="s">
        <v>101</v>
      </c>
      <c r="G1118">
        <v>6</v>
      </c>
      <c r="H1118">
        <v>182</v>
      </c>
      <c r="I1118" s="2">
        <f t="shared" si="51"/>
        <v>35.734608000000001</v>
      </c>
      <c r="J1118">
        <f t="shared" si="52"/>
        <v>3.1073572173913044</v>
      </c>
      <c r="K1118">
        <f t="shared" si="53"/>
        <v>0.93326215722120653</v>
      </c>
    </row>
    <row r="1119" spans="1:11" x14ac:dyDescent="0.25">
      <c r="A1119" s="1">
        <v>1997</v>
      </c>
      <c r="B1119" s="1" t="s">
        <v>104</v>
      </c>
      <c r="C1119" t="s">
        <v>7</v>
      </c>
      <c r="D1119" s="1" t="s">
        <v>3</v>
      </c>
      <c r="E1119">
        <v>79</v>
      </c>
      <c r="F1119" s="1" t="s">
        <v>101</v>
      </c>
      <c r="G1119">
        <v>8</v>
      </c>
      <c r="H1119">
        <v>122</v>
      </c>
      <c r="I1119" s="2">
        <f t="shared" si="51"/>
        <v>42.584831999999999</v>
      </c>
      <c r="J1119">
        <f t="shared" si="52"/>
        <v>3.7030288695652174</v>
      </c>
      <c r="K1119">
        <f t="shared" si="53"/>
        <v>1.1121658918777748</v>
      </c>
    </row>
    <row r="1120" spans="1:11" x14ac:dyDescent="0.25">
      <c r="A1120" s="1">
        <v>1997</v>
      </c>
      <c r="B1120" s="1" t="s">
        <v>104</v>
      </c>
      <c r="C1120" t="s">
        <v>7</v>
      </c>
      <c r="D1120" s="1" t="s">
        <v>3</v>
      </c>
      <c r="E1120">
        <v>79</v>
      </c>
      <c r="F1120" s="1" t="s">
        <v>101</v>
      </c>
      <c r="G1120">
        <v>10</v>
      </c>
      <c r="H1120">
        <v>77</v>
      </c>
      <c r="I1120" s="2">
        <f t="shared" si="51"/>
        <v>41.995800000000003</v>
      </c>
      <c r="J1120">
        <f t="shared" si="52"/>
        <v>3.651808695652174</v>
      </c>
      <c r="K1120">
        <f t="shared" si="53"/>
        <v>1.096782449725777</v>
      </c>
    </row>
    <row r="1121" spans="1:11" x14ac:dyDescent="0.25">
      <c r="A1121" s="1">
        <v>1997</v>
      </c>
      <c r="B1121" s="1" t="s">
        <v>104</v>
      </c>
      <c r="C1121" t="s">
        <v>7</v>
      </c>
      <c r="D1121" s="1" t="s">
        <v>3</v>
      </c>
      <c r="E1121">
        <v>79</v>
      </c>
      <c r="F1121" s="1" t="s">
        <v>101</v>
      </c>
      <c r="G1121">
        <v>12</v>
      </c>
      <c r="H1121">
        <v>40</v>
      </c>
      <c r="I1121" s="2">
        <f t="shared" si="51"/>
        <v>31.415039999999998</v>
      </c>
      <c r="J1121">
        <f t="shared" si="52"/>
        <v>2.7317426086956518</v>
      </c>
      <c r="K1121">
        <f t="shared" si="53"/>
        <v>0.82045024810655509</v>
      </c>
    </row>
    <row r="1122" spans="1:11" x14ac:dyDescent="0.25">
      <c r="A1122" s="1">
        <v>1997</v>
      </c>
      <c r="B1122" s="1" t="s">
        <v>104</v>
      </c>
      <c r="C1122" t="s">
        <v>7</v>
      </c>
      <c r="D1122" s="1" t="s">
        <v>3</v>
      </c>
      <c r="E1122">
        <v>79</v>
      </c>
      <c r="F1122" s="1" t="s">
        <v>101</v>
      </c>
      <c r="G1122">
        <v>14</v>
      </c>
      <c r="H1122">
        <v>15</v>
      </c>
      <c r="I1122" s="2">
        <f t="shared" si="51"/>
        <v>16.034759999999999</v>
      </c>
      <c r="J1122">
        <f t="shared" si="52"/>
        <v>1.3943269565217391</v>
      </c>
      <c r="K1122">
        <f t="shared" si="53"/>
        <v>0.41877148080438753</v>
      </c>
    </row>
    <row r="1123" spans="1:11" x14ac:dyDescent="0.25">
      <c r="A1123" s="1">
        <v>1997</v>
      </c>
      <c r="B1123" s="1" t="s">
        <v>104</v>
      </c>
      <c r="C1123" t="s">
        <v>7</v>
      </c>
      <c r="D1123" s="1" t="s">
        <v>3</v>
      </c>
      <c r="E1123">
        <v>79</v>
      </c>
      <c r="F1123" s="1" t="s">
        <v>101</v>
      </c>
      <c r="G1123">
        <v>16</v>
      </c>
      <c r="H1123">
        <v>14</v>
      </c>
      <c r="I1123" s="2">
        <f t="shared" si="51"/>
        <v>19.547135999999998</v>
      </c>
      <c r="J1123">
        <f t="shared" si="52"/>
        <v>1.699750956521739</v>
      </c>
      <c r="K1123">
        <f t="shared" si="53"/>
        <v>0.51050237659963438</v>
      </c>
    </row>
    <row r="1124" spans="1:11" x14ac:dyDescent="0.25">
      <c r="A1124" s="1">
        <v>1997</v>
      </c>
      <c r="B1124" s="1" t="s">
        <v>104</v>
      </c>
      <c r="C1124" t="s">
        <v>7</v>
      </c>
      <c r="D1124" s="1" t="s">
        <v>3</v>
      </c>
      <c r="E1124">
        <v>85</v>
      </c>
      <c r="F1124" s="1" t="s">
        <v>101</v>
      </c>
      <c r="G1124">
        <v>6</v>
      </c>
      <c r="H1124">
        <v>6</v>
      </c>
      <c r="I1124" s="2">
        <f t="shared" si="51"/>
        <v>1.178064</v>
      </c>
      <c r="J1124">
        <f t="shared" si="52"/>
        <v>0.10244034782608695</v>
      </c>
      <c r="K1124">
        <f t="shared" si="53"/>
        <v>3.0766884303995819E-2</v>
      </c>
    </row>
    <row r="1125" spans="1:11" x14ac:dyDescent="0.25">
      <c r="A1125" s="1">
        <v>1997</v>
      </c>
      <c r="B1125" s="1" t="s">
        <v>104</v>
      </c>
      <c r="C1125" t="s">
        <v>7</v>
      </c>
      <c r="D1125" s="1" t="s">
        <v>3</v>
      </c>
      <c r="E1125">
        <v>85</v>
      </c>
      <c r="F1125" s="1" t="s">
        <v>101</v>
      </c>
      <c r="G1125">
        <v>12</v>
      </c>
      <c r="H1125">
        <v>2</v>
      </c>
      <c r="I1125" s="2">
        <f t="shared" si="51"/>
        <v>1.5707519999999999</v>
      </c>
      <c r="J1125">
        <f t="shared" si="52"/>
        <v>0.1365871304347826</v>
      </c>
      <c r="K1125">
        <f t="shared" si="53"/>
        <v>4.1022512405327761E-2</v>
      </c>
    </row>
    <row r="1126" spans="1:11" x14ac:dyDescent="0.25">
      <c r="A1126" s="1">
        <v>1997</v>
      </c>
      <c r="B1126" s="1" t="s">
        <v>104</v>
      </c>
      <c r="C1126" t="s">
        <v>7</v>
      </c>
      <c r="D1126" s="1" t="s">
        <v>3</v>
      </c>
      <c r="E1126">
        <v>85</v>
      </c>
      <c r="F1126" s="1" t="s">
        <v>101</v>
      </c>
      <c r="G1126">
        <v>14</v>
      </c>
      <c r="H1126">
        <v>3</v>
      </c>
      <c r="I1126" s="2">
        <f t="shared" si="51"/>
        <v>3.2069519999999998</v>
      </c>
      <c r="J1126">
        <f t="shared" si="52"/>
        <v>0.27886539130434779</v>
      </c>
      <c r="K1126">
        <f t="shared" si="53"/>
        <v>8.3754296160877498E-2</v>
      </c>
    </row>
    <row r="1127" spans="1:11" x14ac:dyDescent="0.25">
      <c r="A1127" s="1">
        <v>1997</v>
      </c>
      <c r="B1127" s="1" t="s">
        <v>104</v>
      </c>
      <c r="C1127" t="s">
        <v>7</v>
      </c>
      <c r="D1127" s="1" t="s">
        <v>3</v>
      </c>
      <c r="E1127">
        <v>85</v>
      </c>
      <c r="F1127" s="1" t="s">
        <v>101</v>
      </c>
      <c r="G1127">
        <v>16</v>
      </c>
      <c r="H1127">
        <v>7</v>
      </c>
      <c r="I1127" s="2">
        <f t="shared" si="51"/>
        <v>9.7735679999999991</v>
      </c>
      <c r="J1127">
        <f t="shared" si="52"/>
        <v>0.84987547826086951</v>
      </c>
      <c r="K1127">
        <f t="shared" si="53"/>
        <v>0.25525118829981719</v>
      </c>
    </row>
    <row r="1128" spans="1:11" x14ac:dyDescent="0.25">
      <c r="A1128" s="1">
        <v>1997</v>
      </c>
      <c r="B1128" s="1" t="s">
        <v>104</v>
      </c>
      <c r="C1128" t="s">
        <v>7</v>
      </c>
      <c r="D1128" s="1" t="s">
        <v>3</v>
      </c>
      <c r="E1128">
        <v>85</v>
      </c>
      <c r="F1128" s="1" t="s">
        <v>101</v>
      </c>
      <c r="G1128">
        <v>18</v>
      </c>
      <c r="H1128">
        <v>1</v>
      </c>
      <c r="I1128" s="2">
        <f t="shared" si="51"/>
        <v>1.7670959999999998</v>
      </c>
      <c r="J1128">
        <f t="shared" si="52"/>
        <v>0.15366052173913042</v>
      </c>
      <c r="K1128">
        <f t="shared" si="53"/>
        <v>4.6150326455993727E-2</v>
      </c>
    </row>
    <row r="1129" spans="1:11" x14ac:dyDescent="0.25">
      <c r="A1129" s="1">
        <v>1997</v>
      </c>
      <c r="B1129" s="1" t="s">
        <v>104</v>
      </c>
      <c r="C1129" t="s">
        <v>7</v>
      </c>
      <c r="D1129" s="1" t="s">
        <v>3</v>
      </c>
      <c r="E1129">
        <v>88</v>
      </c>
      <c r="F1129" s="1" t="s">
        <v>101</v>
      </c>
      <c r="G1129">
        <v>8</v>
      </c>
      <c r="H1129">
        <v>1</v>
      </c>
      <c r="I1129" s="2">
        <f t="shared" si="51"/>
        <v>0.34905599999999998</v>
      </c>
      <c r="J1129">
        <f t="shared" si="52"/>
        <v>3.0352695652173911E-2</v>
      </c>
      <c r="K1129">
        <f t="shared" si="53"/>
        <v>9.1161138678506129E-3</v>
      </c>
    </row>
    <row r="1130" spans="1:11" x14ac:dyDescent="0.25">
      <c r="A1130" s="1">
        <v>1997</v>
      </c>
      <c r="B1130" s="1" t="s">
        <v>104</v>
      </c>
      <c r="C1130" t="s">
        <v>7</v>
      </c>
      <c r="D1130" s="1" t="s">
        <v>3</v>
      </c>
      <c r="E1130">
        <v>88</v>
      </c>
      <c r="F1130" s="1" t="s">
        <v>101</v>
      </c>
      <c r="G1130">
        <v>10</v>
      </c>
      <c r="H1130">
        <v>1</v>
      </c>
      <c r="I1130" s="2">
        <f t="shared" si="51"/>
        <v>0.5454</v>
      </c>
      <c r="J1130">
        <f t="shared" si="52"/>
        <v>4.7426086956521736E-2</v>
      </c>
      <c r="K1130">
        <f t="shared" si="53"/>
        <v>1.4243927918516582E-2</v>
      </c>
    </row>
    <row r="1131" spans="1:11" x14ac:dyDescent="0.25">
      <c r="A1131" s="1">
        <v>1997</v>
      </c>
      <c r="B1131" s="1" t="s">
        <v>104</v>
      </c>
      <c r="C1131" t="s">
        <v>7</v>
      </c>
      <c r="D1131" s="1" t="s">
        <v>3</v>
      </c>
      <c r="E1131">
        <v>88</v>
      </c>
      <c r="F1131" s="1" t="s">
        <v>101</v>
      </c>
      <c r="G1131">
        <v>12</v>
      </c>
      <c r="H1131">
        <v>1</v>
      </c>
      <c r="I1131" s="2">
        <f t="shared" si="51"/>
        <v>0.78537599999999996</v>
      </c>
      <c r="J1131">
        <f t="shared" si="52"/>
        <v>6.82935652173913E-2</v>
      </c>
      <c r="K1131">
        <f t="shared" si="53"/>
        <v>2.0511256202663881E-2</v>
      </c>
    </row>
    <row r="1132" spans="1:11" x14ac:dyDescent="0.25">
      <c r="A1132" s="1">
        <v>1997</v>
      </c>
      <c r="B1132" s="1" t="s">
        <v>104</v>
      </c>
      <c r="C1132" t="s">
        <v>7</v>
      </c>
      <c r="D1132" s="1" t="s">
        <v>3</v>
      </c>
      <c r="E1132">
        <v>91</v>
      </c>
      <c r="F1132" s="1" t="s">
        <v>101</v>
      </c>
      <c r="G1132">
        <v>6</v>
      </c>
      <c r="H1132">
        <v>1</v>
      </c>
      <c r="I1132" s="2">
        <f t="shared" si="51"/>
        <v>0.19634399999999999</v>
      </c>
      <c r="J1132">
        <f t="shared" si="52"/>
        <v>1.7073391304347825E-2</v>
      </c>
      <c r="K1132">
        <f t="shared" si="53"/>
        <v>5.1278140506659702E-3</v>
      </c>
    </row>
    <row r="1133" spans="1:11" x14ac:dyDescent="0.25">
      <c r="A1133" s="1">
        <v>1997</v>
      </c>
      <c r="B1133" s="1" t="s">
        <v>104</v>
      </c>
      <c r="C1133" t="s">
        <v>7</v>
      </c>
      <c r="D1133" s="1" t="s">
        <v>3</v>
      </c>
      <c r="E1133">
        <v>91</v>
      </c>
      <c r="F1133" s="1" t="s">
        <v>101</v>
      </c>
      <c r="G1133">
        <v>10</v>
      </c>
      <c r="H1133">
        <v>1</v>
      </c>
      <c r="I1133" s="2">
        <f t="shared" si="51"/>
        <v>0.5454</v>
      </c>
      <c r="J1133">
        <f t="shared" si="52"/>
        <v>4.7426086956521736E-2</v>
      </c>
      <c r="K1133">
        <f t="shared" si="53"/>
        <v>1.4243927918516582E-2</v>
      </c>
    </row>
    <row r="1134" spans="1:11" x14ac:dyDescent="0.25">
      <c r="A1134" s="1">
        <v>1997</v>
      </c>
      <c r="B1134" s="1" t="s">
        <v>104</v>
      </c>
      <c r="C1134" t="s">
        <v>7</v>
      </c>
      <c r="D1134" s="1" t="s">
        <v>5</v>
      </c>
      <c r="E1134">
        <v>29</v>
      </c>
      <c r="F1134" s="1" t="s">
        <v>101</v>
      </c>
      <c r="G1134">
        <v>10</v>
      </c>
      <c r="H1134">
        <v>1</v>
      </c>
      <c r="I1134" s="2">
        <f t="shared" si="51"/>
        <v>0.5454</v>
      </c>
      <c r="J1134">
        <f t="shared" si="52"/>
        <v>4.7426086956521736E-2</v>
      </c>
      <c r="K1134">
        <f t="shared" si="53"/>
        <v>1.4243927918516582E-2</v>
      </c>
    </row>
    <row r="1135" spans="1:11" x14ac:dyDescent="0.25">
      <c r="A1135" s="1">
        <v>1997</v>
      </c>
      <c r="B1135" s="1" t="s">
        <v>104</v>
      </c>
      <c r="C1135" t="s">
        <v>7</v>
      </c>
      <c r="D1135" s="1" t="s">
        <v>5</v>
      </c>
      <c r="E1135">
        <v>32</v>
      </c>
      <c r="F1135" s="1" t="s">
        <v>101</v>
      </c>
      <c r="G1135">
        <v>6</v>
      </c>
      <c r="H1135">
        <v>2</v>
      </c>
      <c r="I1135" s="2">
        <f t="shared" si="51"/>
        <v>0.39268799999999998</v>
      </c>
      <c r="J1135">
        <f t="shared" si="52"/>
        <v>3.414678260869565E-2</v>
      </c>
      <c r="K1135">
        <f t="shared" si="53"/>
        <v>1.025562810133194E-2</v>
      </c>
    </row>
    <row r="1136" spans="1:11" x14ac:dyDescent="0.25">
      <c r="A1136" s="1">
        <v>1997</v>
      </c>
      <c r="B1136" s="1" t="s">
        <v>104</v>
      </c>
      <c r="C1136" t="s">
        <v>7</v>
      </c>
      <c r="D1136" s="1" t="s">
        <v>5</v>
      </c>
      <c r="E1136">
        <v>32</v>
      </c>
      <c r="F1136" s="1" t="s">
        <v>101</v>
      </c>
      <c r="G1136">
        <v>8</v>
      </c>
      <c r="H1136">
        <v>1</v>
      </c>
      <c r="I1136" s="2">
        <f t="shared" si="51"/>
        <v>0.34905599999999998</v>
      </c>
      <c r="J1136">
        <f t="shared" si="52"/>
        <v>3.0352695652173911E-2</v>
      </c>
      <c r="K1136">
        <f t="shared" si="53"/>
        <v>9.1161138678506129E-3</v>
      </c>
    </row>
    <row r="1137" spans="1:11" x14ac:dyDescent="0.25">
      <c r="A1137" s="1">
        <v>1997</v>
      </c>
      <c r="B1137" s="1" t="s">
        <v>104</v>
      </c>
      <c r="C1137" t="s">
        <v>7</v>
      </c>
      <c r="D1137" s="1" t="s">
        <v>5</v>
      </c>
      <c r="E1137">
        <v>32</v>
      </c>
      <c r="F1137" s="1" t="s">
        <v>101</v>
      </c>
      <c r="G1137">
        <v>16</v>
      </c>
      <c r="H1137">
        <v>1</v>
      </c>
      <c r="I1137" s="2">
        <f t="shared" si="51"/>
        <v>1.3962239999999999</v>
      </c>
      <c r="J1137">
        <f t="shared" si="52"/>
        <v>0.12141078260869564</v>
      </c>
      <c r="K1137">
        <f t="shared" si="53"/>
        <v>3.6464455471402452E-2</v>
      </c>
    </row>
    <row r="1138" spans="1:11" x14ac:dyDescent="0.25">
      <c r="A1138" s="1">
        <v>1997</v>
      </c>
      <c r="B1138" s="1" t="s">
        <v>104</v>
      </c>
      <c r="C1138" t="s">
        <v>7</v>
      </c>
      <c r="D1138" s="1" t="s">
        <v>5</v>
      </c>
      <c r="E1138">
        <v>34</v>
      </c>
      <c r="F1138" s="1" t="s">
        <v>101</v>
      </c>
      <c r="G1138">
        <v>8</v>
      </c>
      <c r="H1138">
        <v>2</v>
      </c>
      <c r="I1138" s="2">
        <f t="shared" si="51"/>
        <v>0.69811199999999995</v>
      </c>
      <c r="J1138">
        <f t="shared" si="52"/>
        <v>6.0705391304347822E-2</v>
      </c>
      <c r="K1138">
        <f t="shared" si="53"/>
        <v>1.8232227735701226E-2</v>
      </c>
    </row>
    <row r="1139" spans="1:11" x14ac:dyDescent="0.25">
      <c r="A1139" s="1">
        <v>1997</v>
      </c>
      <c r="B1139" s="1" t="s">
        <v>104</v>
      </c>
      <c r="C1139" t="s">
        <v>7</v>
      </c>
      <c r="D1139" s="1" t="s">
        <v>5</v>
      </c>
      <c r="E1139">
        <v>38</v>
      </c>
      <c r="F1139" s="1" t="s">
        <v>101</v>
      </c>
      <c r="G1139">
        <v>6</v>
      </c>
      <c r="H1139">
        <v>1</v>
      </c>
      <c r="I1139" s="2">
        <f t="shared" si="51"/>
        <v>0.19634399999999999</v>
      </c>
      <c r="J1139">
        <f t="shared" si="52"/>
        <v>1.7073391304347825E-2</v>
      </c>
      <c r="K1139">
        <f t="shared" si="53"/>
        <v>5.1278140506659702E-3</v>
      </c>
    </row>
    <row r="1140" spans="1:11" x14ac:dyDescent="0.25">
      <c r="A1140" s="1">
        <v>1997</v>
      </c>
      <c r="B1140" s="1" t="s">
        <v>104</v>
      </c>
      <c r="C1140" t="s">
        <v>7</v>
      </c>
      <c r="D1140" s="1" t="s">
        <v>5</v>
      </c>
      <c r="E1140">
        <v>38</v>
      </c>
      <c r="F1140" s="1" t="s">
        <v>101</v>
      </c>
      <c r="G1140">
        <v>10</v>
      </c>
      <c r="H1140">
        <v>1</v>
      </c>
      <c r="I1140" s="2">
        <f t="shared" si="51"/>
        <v>0.5454</v>
      </c>
      <c r="J1140">
        <f t="shared" si="52"/>
        <v>4.7426086956521736E-2</v>
      </c>
      <c r="K1140">
        <f t="shared" si="53"/>
        <v>1.4243927918516582E-2</v>
      </c>
    </row>
    <row r="1141" spans="1:11" x14ac:dyDescent="0.25">
      <c r="A1141" s="1">
        <v>1997</v>
      </c>
      <c r="B1141" s="1" t="s">
        <v>104</v>
      </c>
      <c r="C1141" t="s">
        <v>7</v>
      </c>
      <c r="D1141" s="1" t="s">
        <v>5</v>
      </c>
      <c r="E1141">
        <v>38</v>
      </c>
      <c r="F1141" s="1" t="s">
        <v>101</v>
      </c>
      <c r="G1141">
        <v>14</v>
      </c>
      <c r="H1141">
        <v>1</v>
      </c>
      <c r="I1141" s="2">
        <f t="shared" si="51"/>
        <v>1.0689839999999999</v>
      </c>
      <c r="J1141">
        <f t="shared" si="52"/>
        <v>9.295513043478261E-2</v>
      </c>
      <c r="K1141">
        <f t="shared" si="53"/>
        <v>2.7918098720292505E-2</v>
      </c>
    </row>
    <row r="1142" spans="1:11" x14ac:dyDescent="0.25">
      <c r="A1142" s="1">
        <v>1997</v>
      </c>
      <c r="B1142" s="1" t="s">
        <v>104</v>
      </c>
      <c r="C1142" t="s">
        <v>7</v>
      </c>
      <c r="D1142" s="1" t="s">
        <v>5</v>
      </c>
      <c r="E1142">
        <v>40</v>
      </c>
      <c r="F1142" s="1" t="s">
        <v>101</v>
      </c>
      <c r="G1142">
        <v>14</v>
      </c>
      <c r="H1142">
        <v>1</v>
      </c>
      <c r="I1142" s="2">
        <f t="shared" si="51"/>
        <v>1.0689839999999999</v>
      </c>
      <c r="J1142">
        <f t="shared" si="52"/>
        <v>9.295513043478261E-2</v>
      </c>
      <c r="K1142">
        <f t="shared" si="53"/>
        <v>2.7918098720292505E-2</v>
      </c>
    </row>
    <row r="1143" spans="1:11" x14ac:dyDescent="0.25">
      <c r="A1143" s="1">
        <v>1997</v>
      </c>
      <c r="B1143" s="1" t="s">
        <v>104</v>
      </c>
      <c r="C1143" t="s">
        <v>7</v>
      </c>
      <c r="D1143" s="1" t="s">
        <v>5</v>
      </c>
      <c r="E1143">
        <v>41</v>
      </c>
      <c r="F1143" s="1" t="s">
        <v>101</v>
      </c>
      <c r="G1143">
        <v>6</v>
      </c>
      <c r="H1143">
        <v>1</v>
      </c>
      <c r="I1143" s="2">
        <f t="shared" si="51"/>
        <v>0.19634399999999999</v>
      </c>
      <c r="J1143">
        <f t="shared" si="52"/>
        <v>1.7073391304347825E-2</v>
      </c>
      <c r="K1143">
        <f t="shared" si="53"/>
        <v>5.1278140506659702E-3</v>
      </c>
    </row>
    <row r="1144" spans="1:11" x14ac:dyDescent="0.25">
      <c r="A1144" s="1">
        <v>1997</v>
      </c>
      <c r="B1144" s="1" t="s">
        <v>104</v>
      </c>
      <c r="C1144" t="s">
        <v>7</v>
      </c>
      <c r="D1144" s="1" t="s">
        <v>5</v>
      </c>
      <c r="E1144">
        <v>41</v>
      </c>
      <c r="F1144" s="1" t="s">
        <v>101</v>
      </c>
      <c r="G1144">
        <v>12</v>
      </c>
      <c r="H1144">
        <v>1</v>
      </c>
      <c r="I1144" s="2">
        <f t="shared" si="51"/>
        <v>0.78537599999999996</v>
      </c>
      <c r="J1144">
        <f t="shared" si="52"/>
        <v>6.82935652173913E-2</v>
      </c>
      <c r="K1144">
        <f t="shared" si="53"/>
        <v>2.0511256202663881E-2</v>
      </c>
    </row>
    <row r="1145" spans="1:11" x14ac:dyDescent="0.25">
      <c r="A1145" s="1">
        <v>1997</v>
      </c>
      <c r="B1145" s="1" t="s">
        <v>104</v>
      </c>
      <c r="C1145" t="s">
        <v>7</v>
      </c>
      <c r="D1145" s="1" t="s">
        <v>5</v>
      </c>
      <c r="E1145">
        <v>53</v>
      </c>
      <c r="F1145" s="1" t="s">
        <v>101</v>
      </c>
      <c r="G1145">
        <v>10</v>
      </c>
      <c r="H1145">
        <v>1</v>
      </c>
      <c r="I1145" s="2">
        <f t="shared" si="51"/>
        <v>0.5454</v>
      </c>
      <c r="J1145">
        <f t="shared" si="52"/>
        <v>4.7426086956521736E-2</v>
      </c>
      <c r="K1145">
        <f t="shared" si="53"/>
        <v>1.4243927918516582E-2</v>
      </c>
    </row>
    <row r="1146" spans="1:11" x14ac:dyDescent="0.25">
      <c r="A1146" s="1">
        <v>1997</v>
      </c>
      <c r="B1146" s="1" t="s">
        <v>104</v>
      </c>
      <c r="C1146" t="s">
        <v>7</v>
      </c>
      <c r="D1146" s="1" t="s">
        <v>5</v>
      </c>
      <c r="E1146">
        <v>58</v>
      </c>
      <c r="F1146" s="1" t="s">
        <v>101</v>
      </c>
      <c r="G1146">
        <v>6</v>
      </c>
      <c r="H1146">
        <v>3</v>
      </c>
      <c r="I1146" s="2">
        <f t="shared" si="51"/>
        <v>0.589032</v>
      </c>
      <c r="J1146">
        <f t="shared" si="52"/>
        <v>5.1220173913043475E-2</v>
      </c>
      <c r="K1146">
        <f t="shared" si="53"/>
        <v>1.538344215199791E-2</v>
      </c>
    </row>
    <row r="1147" spans="1:11" x14ac:dyDescent="0.25">
      <c r="A1147" s="1">
        <v>1997</v>
      </c>
      <c r="B1147" s="1" t="s">
        <v>104</v>
      </c>
      <c r="C1147" t="s">
        <v>7</v>
      </c>
      <c r="D1147" s="1" t="s">
        <v>5</v>
      </c>
      <c r="E1147">
        <v>58</v>
      </c>
      <c r="F1147" s="1" t="s">
        <v>101</v>
      </c>
      <c r="G1147">
        <v>8</v>
      </c>
      <c r="H1147">
        <v>2</v>
      </c>
      <c r="I1147" s="2">
        <f t="shared" si="51"/>
        <v>0.69811199999999995</v>
      </c>
      <c r="J1147">
        <f t="shared" si="52"/>
        <v>6.0705391304347822E-2</v>
      </c>
      <c r="K1147">
        <f t="shared" si="53"/>
        <v>1.8232227735701226E-2</v>
      </c>
    </row>
    <row r="1148" spans="1:11" x14ac:dyDescent="0.25">
      <c r="A1148" s="1">
        <v>1997</v>
      </c>
      <c r="B1148" s="1" t="s">
        <v>104</v>
      </c>
      <c r="C1148" t="s">
        <v>7</v>
      </c>
      <c r="D1148" s="1" t="s">
        <v>5</v>
      </c>
      <c r="E1148">
        <v>63</v>
      </c>
      <c r="F1148" s="1" t="s">
        <v>101</v>
      </c>
      <c r="G1148">
        <v>6</v>
      </c>
      <c r="H1148">
        <v>17</v>
      </c>
      <c r="I1148" s="2">
        <f t="shared" si="51"/>
        <v>3.3378479999999997</v>
      </c>
      <c r="J1148">
        <f t="shared" si="52"/>
        <v>0.29024765217391302</v>
      </c>
      <c r="K1148">
        <f t="shared" si="53"/>
        <v>8.7172838861321489E-2</v>
      </c>
    </row>
    <row r="1149" spans="1:11" x14ac:dyDescent="0.25">
      <c r="A1149" s="1">
        <v>1997</v>
      </c>
      <c r="B1149" s="1" t="s">
        <v>104</v>
      </c>
      <c r="C1149" t="s">
        <v>7</v>
      </c>
      <c r="D1149" s="1" t="s">
        <v>5</v>
      </c>
      <c r="E1149">
        <v>71</v>
      </c>
      <c r="F1149" s="1" t="s">
        <v>101</v>
      </c>
      <c r="G1149">
        <v>8</v>
      </c>
      <c r="H1149">
        <v>2</v>
      </c>
      <c r="I1149" s="2">
        <f t="shared" si="51"/>
        <v>0.69811199999999995</v>
      </c>
      <c r="J1149">
        <f t="shared" si="52"/>
        <v>6.0705391304347822E-2</v>
      </c>
      <c r="K1149">
        <f t="shared" si="53"/>
        <v>1.8232227735701226E-2</v>
      </c>
    </row>
    <row r="1150" spans="1:11" x14ac:dyDescent="0.25">
      <c r="A1150" s="1">
        <v>1997</v>
      </c>
      <c r="B1150" s="1" t="s">
        <v>104</v>
      </c>
      <c r="C1150" t="s">
        <v>7</v>
      </c>
      <c r="D1150" s="1" t="s">
        <v>5</v>
      </c>
      <c r="E1150">
        <v>71</v>
      </c>
      <c r="F1150" s="1" t="s">
        <v>101</v>
      </c>
      <c r="G1150">
        <v>12</v>
      </c>
      <c r="H1150">
        <v>1</v>
      </c>
      <c r="I1150" s="2">
        <f t="shared" si="51"/>
        <v>0.78537599999999996</v>
      </c>
      <c r="J1150">
        <f t="shared" si="52"/>
        <v>6.82935652173913E-2</v>
      </c>
      <c r="K1150">
        <f t="shared" si="53"/>
        <v>2.0511256202663881E-2</v>
      </c>
    </row>
    <row r="1151" spans="1:11" x14ac:dyDescent="0.25">
      <c r="A1151" s="1">
        <v>1997</v>
      </c>
      <c r="B1151" s="1" t="s">
        <v>104</v>
      </c>
      <c r="C1151" t="s">
        <v>7</v>
      </c>
      <c r="D1151" s="1" t="s">
        <v>5</v>
      </c>
      <c r="E1151">
        <v>79</v>
      </c>
      <c r="F1151" s="1" t="s">
        <v>101</v>
      </c>
      <c r="G1151">
        <v>6</v>
      </c>
      <c r="H1151">
        <v>20</v>
      </c>
      <c r="I1151" s="2">
        <f t="shared" si="51"/>
        <v>3.9268799999999997</v>
      </c>
      <c r="J1151">
        <f t="shared" si="52"/>
        <v>0.34146782608695647</v>
      </c>
      <c r="K1151">
        <f t="shared" si="53"/>
        <v>0.10255628101331939</v>
      </c>
    </row>
    <row r="1152" spans="1:11" x14ac:dyDescent="0.25">
      <c r="A1152" s="1">
        <v>1997</v>
      </c>
      <c r="B1152" s="1" t="s">
        <v>104</v>
      </c>
      <c r="C1152" t="s">
        <v>7</v>
      </c>
      <c r="D1152" s="1" t="s">
        <v>5</v>
      </c>
      <c r="E1152">
        <v>79</v>
      </c>
      <c r="F1152" s="1" t="s">
        <v>101</v>
      </c>
      <c r="G1152">
        <v>8</v>
      </c>
      <c r="H1152">
        <v>7</v>
      </c>
      <c r="I1152" s="2">
        <f t="shared" si="51"/>
        <v>2.4433919999999998</v>
      </c>
      <c r="J1152">
        <f t="shared" si="52"/>
        <v>0.21246886956521738</v>
      </c>
      <c r="K1152">
        <f t="shared" si="53"/>
        <v>6.3812797074954297E-2</v>
      </c>
    </row>
    <row r="1153" spans="1:11" x14ac:dyDescent="0.25">
      <c r="A1153" s="1">
        <v>1997</v>
      </c>
      <c r="B1153" s="1" t="s">
        <v>104</v>
      </c>
      <c r="C1153" t="s">
        <v>7</v>
      </c>
      <c r="D1153" s="1" t="s">
        <v>5</v>
      </c>
      <c r="E1153">
        <v>79</v>
      </c>
      <c r="F1153" s="1" t="s">
        <v>101</v>
      </c>
      <c r="G1153">
        <v>10</v>
      </c>
      <c r="H1153">
        <v>4</v>
      </c>
      <c r="I1153" s="2">
        <f t="shared" si="51"/>
        <v>2.1816</v>
      </c>
      <c r="J1153">
        <f t="shared" si="52"/>
        <v>0.18970434782608694</v>
      </c>
      <c r="K1153">
        <f t="shared" si="53"/>
        <v>5.6975711674066329E-2</v>
      </c>
    </row>
    <row r="1154" spans="1:11" x14ac:dyDescent="0.25">
      <c r="A1154" s="1">
        <v>1997</v>
      </c>
      <c r="B1154" s="1" t="s">
        <v>104</v>
      </c>
      <c r="C1154" t="s">
        <v>7</v>
      </c>
      <c r="D1154" s="1" t="s">
        <v>5</v>
      </c>
      <c r="E1154">
        <v>79</v>
      </c>
      <c r="F1154" s="1" t="s">
        <v>101</v>
      </c>
      <c r="G1154">
        <v>12</v>
      </c>
      <c r="H1154">
        <v>2</v>
      </c>
      <c r="I1154" s="2">
        <f t="shared" si="51"/>
        <v>1.5707519999999999</v>
      </c>
      <c r="J1154">
        <f t="shared" si="52"/>
        <v>0.1365871304347826</v>
      </c>
      <c r="K1154">
        <f t="shared" si="53"/>
        <v>4.1022512405327761E-2</v>
      </c>
    </row>
    <row r="1155" spans="1:11" x14ac:dyDescent="0.25">
      <c r="A1155" s="1">
        <v>1997</v>
      </c>
      <c r="B1155" s="1" t="s">
        <v>104</v>
      </c>
      <c r="C1155" t="s">
        <v>7</v>
      </c>
      <c r="D1155" s="1" t="s">
        <v>5</v>
      </c>
      <c r="E1155">
        <v>79</v>
      </c>
      <c r="F1155" s="1" t="s">
        <v>101</v>
      </c>
      <c r="G1155">
        <v>16</v>
      </c>
      <c r="H1155">
        <v>1</v>
      </c>
      <c r="I1155" s="2">
        <f t="shared" ref="I1155:I1218" si="54">0.005454*G1155^2*H1155</f>
        <v>1.3962239999999999</v>
      </c>
      <c r="J1155">
        <f t="shared" ref="J1155:J1218" si="55">I1155/11.5</f>
        <v>0.12141078260869564</v>
      </c>
      <c r="K1155">
        <f t="shared" ref="K1155:K1218" si="56">J1155*(11.5/38.29)</f>
        <v>3.6464455471402452E-2</v>
      </c>
    </row>
    <row r="1156" spans="1:11" x14ac:dyDescent="0.25">
      <c r="A1156" s="1">
        <v>1997</v>
      </c>
      <c r="B1156" s="1" t="s">
        <v>104</v>
      </c>
      <c r="C1156" t="s">
        <v>7</v>
      </c>
      <c r="D1156" s="1" t="s">
        <v>5</v>
      </c>
      <c r="E1156">
        <v>85</v>
      </c>
      <c r="F1156" s="1" t="s">
        <v>101</v>
      </c>
      <c r="G1156">
        <v>6</v>
      </c>
      <c r="H1156">
        <v>3</v>
      </c>
      <c r="I1156" s="2">
        <f t="shared" si="54"/>
        <v>0.589032</v>
      </c>
      <c r="J1156">
        <f t="shared" si="55"/>
        <v>5.1220173913043475E-2</v>
      </c>
      <c r="K1156">
        <f t="shared" si="56"/>
        <v>1.538344215199791E-2</v>
      </c>
    </row>
    <row r="1157" spans="1:11" x14ac:dyDescent="0.25">
      <c r="A1157" s="1">
        <v>1997</v>
      </c>
      <c r="B1157" s="1" t="s">
        <v>104</v>
      </c>
      <c r="C1157" t="s">
        <v>7</v>
      </c>
      <c r="D1157" s="1" t="s">
        <v>5</v>
      </c>
      <c r="E1157">
        <v>85</v>
      </c>
      <c r="F1157" s="1" t="s">
        <v>101</v>
      </c>
      <c r="G1157">
        <v>10</v>
      </c>
      <c r="H1157">
        <v>2</v>
      </c>
      <c r="I1157" s="2">
        <f t="shared" si="54"/>
        <v>1.0908</v>
      </c>
      <c r="J1157">
        <f t="shared" si="55"/>
        <v>9.4852173913043472E-2</v>
      </c>
      <c r="K1157">
        <f t="shared" si="56"/>
        <v>2.8487855837033164E-2</v>
      </c>
    </row>
    <row r="1158" spans="1:11" x14ac:dyDescent="0.25">
      <c r="A1158" s="1">
        <v>1997</v>
      </c>
      <c r="B1158" s="1" t="s">
        <v>104</v>
      </c>
      <c r="C1158" t="s">
        <v>7</v>
      </c>
      <c r="D1158" s="1" t="s">
        <v>5</v>
      </c>
      <c r="E1158">
        <v>85</v>
      </c>
      <c r="F1158" s="1" t="s">
        <v>101</v>
      </c>
      <c r="G1158">
        <v>12</v>
      </c>
      <c r="H1158">
        <v>3</v>
      </c>
      <c r="I1158" s="2">
        <f t="shared" si="54"/>
        <v>2.356128</v>
      </c>
      <c r="J1158">
        <f t="shared" si="55"/>
        <v>0.2048806956521739</v>
      </c>
      <c r="K1158">
        <f t="shared" si="56"/>
        <v>6.1533768607991639E-2</v>
      </c>
    </row>
    <row r="1159" spans="1:11" x14ac:dyDescent="0.25">
      <c r="A1159" s="1">
        <v>1997</v>
      </c>
      <c r="B1159" s="1" t="s">
        <v>104</v>
      </c>
      <c r="C1159" t="s">
        <v>7</v>
      </c>
      <c r="D1159" s="1" t="s">
        <v>5</v>
      </c>
      <c r="E1159">
        <v>85</v>
      </c>
      <c r="F1159" s="1" t="s">
        <v>101</v>
      </c>
      <c r="G1159">
        <v>14</v>
      </c>
      <c r="H1159">
        <v>6</v>
      </c>
      <c r="I1159" s="2">
        <f t="shared" si="54"/>
        <v>6.4139039999999996</v>
      </c>
      <c r="J1159">
        <f t="shared" si="55"/>
        <v>0.55773078260869557</v>
      </c>
      <c r="K1159">
        <f t="shared" si="56"/>
        <v>0.167508592321755</v>
      </c>
    </row>
    <row r="1160" spans="1:11" x14ac:dyDescent="0.25">
      <c r="A1160" s="1">
        <v>1997</v>
      </c>
      <c r="B1160" s="1" t="s">
        <v>104</v>
      </c>
      <c r="C1160" t="s">
        <v>7</v>
      </c>
      <c r="D1160" s="1" t="s">
        <v>5</v>
      </c>
      <c r="E1160">
        <v>85</v>
      </c>
      <c r="F1160" s="1" t="s">
        <v>101</v>
      </c>
      <c r="G1160">
        <v>16</v>
      </c>
      <c r="H1160">
        <v>4</v>
      </c>
      <c r="I1160" s="2">
        <f t="shared" si="54"/>
        <v>5.5848959999999996</v>
      </c>
      <c r="J1160">
        <f t="shared" si="55"/>
        <v>0.48564313043478258</v>
      </c>
      <c r="K1160">
        <f t="shared" si="56"/>
        <v>0.14585782188560981</v>
      </c>
    </row>
    <row r="1161" spans="1:11" x14ac:dyDescent="0.25">
      <c r="A1161" s="1">
        <v>1997</v>
      </c>
      <c r="B1161" s="1" t="s">
        <v>104</v>
      </c>
      <c r="C1161" t="s">
        <v>7</v>
      </c>
      <c r="D1161" s="1" t="s">
        <v>5</v>
      </c>
      <c r="E1161">
        <v>88</v>
      </c>
      <c r="F1161" s="1" t="s">
        <v>101</v>
      </c>
      <c r="G1161">
        <v>6</v>
      </c>
      <c r="H1161">
        <v>1</v>
      </c>
      <c r="I1161" s="2">
        <f t="shared" si="54"/>
        <v>0.19634399999999999</v>
      </c>
      <c r="J1161">
        <f t="shared" si="55"/>
        <v>1.7073391304347825E-2</v>
      </c>
      <c r="K1161">
        <f t="shared" si="56"/>
        <v>5.1278140506659702E-3</v>
      </c>
    </row>
    <row r="1162" spans="1:11" x14ac:dyDescent="0.25">
      <c r="A1162" s="1">
        <v>2015</v>
      </c>
      <c r="B1162" s="1" t="s">
        <v>104</v>
      </c>
      <c r="C1162" t="s">
        <v>9</v>
      </c>
      <c r="D1162" s="1" t="s">
        <v>3</v>
      </c>
      <c r="E1162">
        <v>11</v>
      </c>
      <c r="F1162" s="1" t="s">
        <v>101</v>
      </c>
      <c r="G1162">
        <v>6</v>
      </c>
      <c r="H1162">
        <v>2</v>
      </c>
      <c r="I1162" s="2">
        <f t="shared" si="54"/>
        <v>0.39268799999999998</v>
      </c>
      <c r="J1162">
        <f t="shared" si="55"/>
        <v>3.414678260869565E-2</v>
      </c>
      <c r="K1162">
        <f t="shared" si="56"/>
        <v>1.025562810133194E-2</v>
      </c>
    </row>
    <row r="1163" spans="1:11" x14ac:dyDescent="0.25">
      <c r="A1163" s="1">
        <v>2015</v>
      </c>
      <c r="B1163" s="1" t="s">
        <v>104</v>
      </c>
      <c r="C1163" t="s">
        <v>9</v>
      </c>
      <c r="D1163" s="1" t="s">
        <v>3</v>
      </c>
      <c r="E1163">
        <v>11</v>
      </c>
      <c r="F1163" s="1" t="s">
        <v>101</v>
      </c>
      <c r="G1163">
        <v>8</v>
      </c>
      <c r="H1163">
        <v>1</v>
      </c>
      <c r="I1163" s="2">
        <f t="shared" si="54"/>
        <v>0.34905599999999998</v>
      </c>
      <c r="J1163">
        <f t="shared" si="55"/>
        <v>3.0352695652173911E-2</v>
      </c>
      <c r="K1163">
        <f t="shared" si="56"/>
        <v>9.1161138678506129E-3</v>
      </c>
    </row>
    <row r="1164" spans="1:11" x14ac:dyDescent="0.25">
      <c r="A1164" s="1">
        <v>2015</v>
      </c>
      <c r="B1164" s="1" t="s">
        <v>104</v>
      </c>
      <c r="C1164" t="s">
        <v>9</v>
      </c>
      <c r="D1164" s="1" t="s">
        <v>3</v>
      </c>
      <c r="E1164">
        <v>11</v>
      </c>
      <c r="F1164" s="1" t="s">
        <v>101</v>
      </c>
      <c r="G1164">
        <v>10</v>
      </c>
      <c r="H1164">
        <v>2</v>
      </c>
      <c r="I1164" s="2">
        <f t="shared" si="54"/>
        <v>1.0908</v>
      </c>
      <c r="J1164">
        <f t="shared" si="55"/>
        <v>9.4852173913043472E-2</v>
      </c>
      <c r="K1164">
        <f t="shared" si="56"/>
        <v>2.8487855837033164E-2</v>
      </c>
    </row>
    <row r="1165" spans="1:11" x14ac:dyDescent="0.25">
      <c r="A1165" s="1">
        <v>2015</v>
      </c>
      <c r="B1165" s="1" t="s">
        <v>104</v>
      </c>
      <c r="C1165" t="s">
        <v>9</v>
      </c>
      <c r="D1165" s="1" t="s">
        <v>3</v>
      </c>
      <c r="E1165">
        <v>11</v>
      </c>
      <c r="F1165" s="1" t="s">
        <v>101</v>
      </c>
      <c r="G1165">
        <v>12</v>
      </c>
      <c r="H1165">
        <v>1</v>
      </c>
      <c r="I1165" s="2">
        <f t="shared" si="54"/>
        <v>0.78537599999999996</v>
      </c>
      <c r="J1165">
        <f t="shared" si="55"/>
        <v>6.82935652173913E-2</v>
      </c>
      <c r="K1165">
        <f t="shared" si="56"/>
        <v>2.0511256202663881E-2</v>
      </c>
    </row>
    <row r="1166" spans="1:11" x14ac:dyDescent="0.25">
      <c r="A1166" s="1">
        <v>2015</v>
      </c>
      <c r="B1166" s="1" t="s">
        <v>104</v>
      </c>
      <c r="C1166" t="s">
        <v>9</v>
      </c>
      <c r="D1166" s="1" t="s">
        <v>3</v>
      </c>
      <c r="E1166">
        <v>11</v>
      </c>
      <c r="F1166" s="1" t="s">
        <v>101</v>
      </c>
      <c r="G1166">
        <v>14</v>
      </c>
      <c r="H1166">
        <v>1</v>
      </c>
      <c r="I1166" s="2">
        <f t="shared" si="54"/>
        <v>1.0689839999999999</v>
      </c>
      <c r="J1166">
        <f t="shared" si="55"/>
        <v>9.295513043478261E-2</v>
      </c>
      <c r="K1166">
        <f t="shared" si="56"/>
        <v>2.7918098720292505E-2</v>
      </c>
    </row>
    <row r="1167" spans="1:11" x14ac:dyDescent="0.25">
      <c r="A1167" s="1">
        <v>2015</v>
      </c>
      <c r="B1167" s="1" t="s">
        <v>104</v>
      </c>
      <c r="C1167" t="s">
        <v>9</v>
      </c>
      <c r="D1167" s="1" t="s">
        <v>3</v>
      </c>
      <c r="E1167">
        <v>11</v>
      </c>
      <c r="F1167" s="1" t="s">
        <v>101</v>
      </c>
      <c r="G1167">
        <v>16</v>
      </c>
      <c r="H1167">
        <v>1</v>
      </c>
      <c r="I1167" s="2">
        <f t="shared" si="54"/>
        <v>1.3962239999999999</v>
      </c>
      <c r="J1167">
        <f t="shared" si="55"/>
        <v>0.12141078260869564</v>
      </c>
      <c r="K1167">
        <f t="shared" si="56"/>
        <v>3.6464455471402452E-2</v>
      </c>
    </row>
    <row r="1168" spans="1:11" x14ac:dyDescent="0.25">
      <c r="A1168" s="1">
        <v>2015</v>
      </c>
      <c r="B1168" s="1" t="s">
        <v>104</v>
      </c>
      <c r="C1168" t="s">
        <v>9</v>
      </c>
      <c r="D1168" s="1" t="s">
        <v>3</v>
      </c>
      <c r="E1168">
        <v>21</v>
      </c>
      <c r="F1168" s="1" t="s">
        <v>101</v>
      </c>
      <c r="G1168">
        <v>8</v>
      </c>
      <c r="H1168">
        <v>3</v>
      </c>
      <c r="I1168" s="2">
        <f t="shared" si="54"/>
        <v>1.0471679999999999</v>
      </c>
      <c r="J1168">
        <f t="shared" si="55"/>
        <v>9.1058086956521733E-2</v>
      </c>
      <c r="K1168">
        <f t="shared" si="56"/>
        <v>2.7348341603551839E-2</v>
      </c>
    </row>
    <row r="1169" spans="1:11" x14ac:dyDescent="0.25">
      <c r="A1169" s="1">
        <v>2015</v>
      </c>
      <c r="B1169" s="1" t="s">
        <v>104</v>
      </c>
      <c r="C1169" t="s">
        <v>9</v>
      </c>
      <c r="D1169" s="1" t="s">
        <v>3</v>
      </c>
      <c r="E1169">
        <v>28</v>
      </c>
      <c r="F1169" s="1" t="s">
        <v>101</v>
      </c>
      <c r="G1169">
        <v>6</v>
      </c>
      <c r="H1169">
        <v>1</v>
      </c>
      <c r="I1169" s="2">
        <f t="shared" si="54"/>
        <v>0.19634399999999999</v>
      </c>
      <c r="J1169">
        <f t="shared" si="55"/>
        <v>1.7073391304347825E-2</v>
      </c>
      <c r="K1169">
        <f t="shared" si="56"/>
        <v>5.1278140506659702E-3</v>
      </c>
    </row>
    <row r="1170" spans="1:11" x14ac:dyDescent="0.25">
      <c r="A1170" s="1">
        <v>2015</v>
      </c>
      <c r="B1170" s="1" t="s">
        <v>104</v>
      </c>
      <c r="C1170" t="s">
        <v>9</v>
      </c>
      <c r="D1170" s="1" t="s">
        <v>3</v>
      </c>
      <c r="E1170">
        <v>29</v>
      </c>
      <c r="F1170" s="1" t="s">
        <v>101</v>
      </c>
      <c r="G1170">
        <v>6</v>
      </c>
      <c r="H1170">
        <v>34</v>
      </c>
      <c r="I1170" s="2">
        <f t="shared" si="54"/>
        <v>6.6756959999999994</v>
      </c>
      <c r="J1170">
        <f t="shared" si="55"/>
        <v>0.58049530434782604</v>
      </c>
      <c r="K1170">
        <f t="shared" si="56"/>
        <v>0.17434567772264298</v>
      </c>
    </row>
    <row r="1171" spans="1:11" x14ac:dyDescent="0.25">
      <c r="A1171" s="1">
        <v>2015</v>
      </c>
      <c r="B1171" s="1" t="s">
        <v>104</v>
      </c>
      <c r="C1171" t="s">
        <v>9</v>
      </c>
      <c r="D1171" s="1" t="s">
        <v>3</v>
      </c>
      <c r="E1171">
        <v>29</v>
      </c>
      <c r="F1171" s="1" t="s">
        <v>101</v>
      </c>
      <c r="G1171">
        <v>8</v>
      </c>
      <c r="H1171">
        <v>24</v>
      </c>
      <c r="I1171" s="2">
        <f t="shared" si="54"/>
        <v>8.377343999999999</v>
      </c>
      <c r="J1171">
        <f t="shared" si="55"/>
        <v>0.72846469565217387</v>
      </c>
      <c r="K1171">
        <f t="shared" si="56"/>
        <v>0.21878673282841471</v>
      </c>
    </row>
    <row r="1172" spans="1:11" x14ac:dyDescent="0.25">
      <c r="A1172" s="1">
        <v>2015</v>
      </c>
      <c r="B1172" s="1" t="s">
        <v>104</v>
      </c>
      <c r="C1172" t="s">
        <v>9</v>
      </c>
      <c r="D1172" s="1" t="s">
        <v>3</v>
      </c>
      <c r="E1172">
        <v>29</v>
      </c>
      <c r="F1172" s="1" t="s">
        <v>101</v>
      </c>
      <c r="G1172">
        <v>10</v>
      </c>
      <c r="H1172">
        <v>25</v>
      </c>
      <c r="I1172" s="2">
        <f t="shared" si="54"/>
        <v>13.635</v>
      </c>
      <c r="J1172">
        <f t="shared" si="55"/>
        <v>1.1856521739130435</v>
      </c>
      <c r="K1172">
        <f t="shared" si="56"/>
        <v>0.35609819796291459</v>
      </c>
    </row>
    <row r="1173" spans="1:11" x14ac:dyDescent="0.25">
      <c r="A1173" s="1">
        <v>2015</v>
      </c>
      <c r="B1173" s="1" t="s">
        <v>104</v>
      </c>
      <c r="C1173" t="s">
        <v>9</v>
      </c>
      <c r="D1173" s="1" t="s">
        <v>3</v>
      </c>
      <c r="E1173">
        <v>29</v>
      </c>
      <c r="F1173" s="1" t="s">
        <v>101</v>
      </c>
      <c r="G1173">
        <v>12</v>
      </c>
      <c r="H1173">
        <v>16</v>
      </c>
      <c r="I1173" s="2">
        <f t="shared" si="54"/>
        <v>12.566015999999999</v>
      </c>
      <c r="J1173">
        <f t="shared" si="55"/>
        <v>1.0926970434782608</v>
      </c>
      <c r="K1173">
        <f t="shared" si="56"/>
        <v>0.32818009924262209</v>
      </c>
    </row>
    <row r="1174" spans="1:11" x14ac:dyDescent="0.25">
      <c r="A1174" s="1">
        <v>2015</v>
      </c>
      <c r="B1174" s="1" t="s">
        <v>104</v>
      </c>
      <c r="C1174" t="s">
        <v>9</v>
      </c>
      <c r="D1174" s="1" t="s">
        <v>3</v>
      </c>
      <c r="E1174">
        <v>29</v>
      </c>
      <c r="F1174" s="1" t="s">
        <v>101</v>
      </c>
      <c r="G1174">
        <v>14</v>
      </c>
      <c r="H1174">
        <v>4</v>
      </c>
      <c r="I1174" s="2">
        <f t="shared" si="54"/>
        <v>4.2759359999999997</v>
      </c>
      <c r="J1174">
        <f t="shared" si="55"/>
        <v>0.37182052173913044</v>
      </c>
      <c r="K1174">
        <f t="shared" si="56"/>
        <v>0.11167239488117002</v>
      </c>
    </row>
    <row r="1175" spans="1:11" x14ac:dyDescent="0.25">
      <c r="A1175" s="1">
        <v>2015</v>
      </c>
      <c r="B1175" s="1" t="s">
        <v>104</v>
      </c>
      <c r="C1175" t="s">
        <v>9</v>
      </c>
      <c r="D1175" s="1" t="s">
        <v>3</v>
      </c>
      <c r="E1175">
        <v>29</v>
      </c>
      <c r="F1175" s="1" t="s">
        <v>101</v>
      </c>
      <c r="G1175">
        <v>16</v>
      </c>
      <c r="H1175">
        <v>3</v>
      </c>
      <c r="I1175" s="2">
        <f t="shared" si="54"/>
        <v>4.1886719999999995</v>
      </c>
      <c r="J1175">
        <f t="shared" si="55"/>
        <v>0.36423234782608693</v>
      </c>
      <c r="K1175">
        <f t="shared" si="56"/>
        <v>0.10939336641420735</v>
      </c>
    </row>
    <row r="1176" spans="1:11" x14ac:dyDescent="0.25">
      <c r="A1176" s="1">
        <v>2015</v>
      </c>
      <c r="B1176" s="1" t="s">
        <v>104</v>
      </c>
      <c r="C1176" t="s">
        <v>9</v>
      </c>
      <c r="D1176" s="1" t="s">
        <v>3</v>
      </c>
      <c r="E1176">
        <v>29</v>
      </c>
      <c r="F1176" s="1" t="s">
        <v>101</v>
      </c>
      <c r="G1176">
        <v>18</v>
      </c>
      <c r="H1176">
        <v>1</v>
      </c>
      <c r="I1176" s="2">
        <f t="shared" si="54"/>
        <v>1.7670959999999998</v>
      </c>
      <c r="J1176">
        <f t="shared" si="55"/>
        <v>0.15366052173913042</v>
      </c>
      <c r="K1176">
        <f t="shared" si="56"/>
        <v>4.6150326455993727E-2</v>
      </c>
    </row>
    <row r="1177" spans="1:11" x14ac:dyDescent="0.25">
      <c r="A1177" s="1">
        <v>2015</v>
      </c>
      <c r="B1177" s="1" t="s">
        <v>104</v>
      </c>
      <c r="C1177" t="s">
        <v>9</v>
      </c>
      <c r="D1177" s="1" t="s">
        <v>3</v>
      </c>
      <c r="E1177">
        <v>32</v>
      </c>
      <c r="F1177" s="1" t="s">
        <v>101</v>
      </c>
      <c r="G1177">
        <v>6</v>
      </c>
      <c r="H1177">
        <v>191</v>
      </c>
      <c r="I1177" s="2">
        <f t="shared" si="54"/>
        <v>37.501703999999997</v>
      </c>
      <c r="J1177">
        <f t="shared" si="55"/>
        <v>3.2610177391304345</v>
      </c>
      <c r="K1177">
        <f t="shared" si="56"/>
        <v>0.97941248367720024</v>
      </c>
    </row>
    <row r="1178" spans="1:11" x14ac:dyDescent="0.25">
      <c r="A1178" s="1">
        <v>2015</v>
      </c>
      <c r="B1178" s="1" t="s">
        <v>104</v>
      </c>
      <c r="C1178" t="s">
        <v>9</v>
      </c>
      <c r="D1178" s="1" t="s">
        <v>3</v>
      </c>
      <c r="E1178">
        <v>32</v>
      </c>
      <c r="F1178" s="1" t="s">
        <v>101</v>
      </c>
      <c r="G1178">
        <v>8</v>
      </c>
      <c r="H1178">
        <v>89</v>
      </c>
      <c r="I1178" s="2">
        <f t="shared" si="54"/>
        <v>31.065983999999997</v>
      </c>
      <c r="J1178">
        <f t="shared" si="55"/>
        <v>2.701389913043478</v>
      </c>
      <c r="K1178">
        <f t="shared" si="56"/>
        <v>0.81133413423870449</v>
      </c>
    </row>
    <row r="1179" spans="1:11" x14ac:dyDescent="0.25">
      <c r="A1179" s="1">
        <v>2015</v>
      </c>
      <c r="B1179" s="1" t="s">
        <v>104</v>
      </c>
      <c r="C1179" t="s">
        <v>9</v>
      </c>
      <c r="D1179" s="1" t="s">
        <v>3</v>
      </c>
      <c r="E1179">
        <v>32</v>
      </c>
      <c r="F1179" s="1" t="s">
        <v>101</v>
      </c>
      <c r="G1179">
        <v>10</v>
      </c>
      <c r="H1179">
        <v>35</v>
      </c>
      <c r="I1179" s="2">
        <f t="shared" si="54"/>
        <v>19.088999999999999</v>
      </c>
      <c r="J1179">
        <f t="shared" si="55"/>
        <v>1.6599130434782607</v>
      </c>
      <c r="K1179">
        <f t="shared" si="56"/>
        <v>0.49853747714808039</v>
      </c>
    </row>
    <row r="1180" spans="1:11" x14ac:dyDescent="0.25">
      <c r="A1180" s="1">
        <v>2015</v>
      </c>
      <c r="B1180" s="1" t="s">
        <v>104</v>
      </c>
      <c r="C1180" t="s">
        <v>9</v>
      </c>
      <c r="D1180" s="1" t="s">
        <v>3</v>
      </c>
      <c r="E1180">
        <v>32</v>
      </c>
      <c r="F1180" s="1" t="s">
        <v>101</v>
      </c>
      <c r="G1180">
        <v>12</v>
      </c>
      <c r="H1180">
        <v>10</v>
      </c>
      <c r="I1180" s="2">
        <f t="shared" si="54"/>
        <v>7.8537599999999994</v>
      </c>
      <c r="J1180">
        <f t="shared" si="55"/>
        <v>0.68293565217391294</v>
      </c>
      <c r="K1180">
        <f t="shared" si="56"/>
        <v>0.20511256202663877</v>
      </c>
    </row>
    <row r="1181" spans="1:11" x14ac:dyDescent="0.25">
      <c r="A1181" s="1">
        <v>2015</v>
      </c>
      <c r="B1181" s="1" t="s">
        <v>104</v>
      </c>
      <c r="C1181" t="s">
        <v>9</v>
      </c>
      <c r="D1181" s="1" t="s">
        <v>3</v>
      </c>
      <c r="E1181">
        <v>32</v>
      </c>
      <c r="F1181" s="1" t="s">
        <v>101</v>
      </c>
      <c r="G1181">
        <v>14</v>
      </c>
      <c r="H1181">
        <v>6</v>
      </c>
      <c r="I1181" s="2">
        <f t="shared" si="54"/>
        <v>6.4139039999999996</v>
      </c>
      <c r="J1181">
        <f t="shared" si="55"/>
        <v>0.55773078260869557</v>
      </c>
      <c r="K1181">
        <f t="shared" si="56"/>
        <v>0.167508592321755</v>
      </c>
    </row>
    <row r="1182" spans="1:11" x14ac:dyDescent="0.25">
      <c r="A1182" s="1">
        <v>2015</v>
      </c>
      <c r="B1182" s="1" t="s">
        <v>104</v>
      </c>
      <c r="C1182" t="s">
        <v>9</v>
      </c>
      <c r="D1182" s="1" t="s">
        <v>3</v>
      </c>
      <c r="E1182">
        <v>32</v>
      </c>
      <c r="F1182" s="1" t="s">
        <v>101</v>
      </c>
      <c r="G1182">
        <v>16</v>
      </c>
      <c r="H1182">
        <v>3</v>
      </c>
      <c r="I1182" s="2">
        <f t="shared" si="54"/>
        <v>4.1886719999999995</v>
      </c>
      <c r="J1182">
        <f t="shared" si="55"/>
        <v>0.36423234782608693</v>
      </c>
      <c r="K1182">
        <f t="shared" si="56"/>
        <v>0.10939336641420735</v>
      </c>
    </row>
    <row r="1183" spans="1:11" x14ac:dyDescent="0.25">
      <c r="A1183" s="1">
        <v>2015</v>
      </c>
      <c r="B1183" s="1" t="s">
        <v>104</v>
      </c>
      <c r="C1183" t="s">
        <v>9</v>
      </c>
      <c r="D1183" s="1" t="s">
        <v>3</v>
      </c>
      <c r="E1183">
        <v>34</v>
      </c>
      <c r="F1183" s="1" t="s">
        <v>101</v>
      </c>
      <c r="G1183">
        <v>6</v>
      </c>
      <c r="H1183">
        <v>11</v>
      </c>
      <c r="I1183" s="2">
        <f t="shared" si="54"/>
        <v>2.1597839999999997</v>
      </c>
      <c r="J1183">
        <f t="shared" si="55"/>
        <v>0.18780730434782605</v>
      </c>
      <c r="K1183">
        <f t="shared" si="56"/>
        <v>5.6405954557325659E-2</v>
      </c>
    </row>
    <row r="1184" spans="1:11" x14ac:dyDescent="0.25">
      <c r="A1184" s="1">
        <v>2015</v>
      </c>
      <c r="B1184" s="1" t="s">
        <v>104</v>
      </c>
      <c r="C1184" t="s">
        <v>9</v>
      </c>
      <c r="D1184" s="1" t="s">
        <v>3</v>
      </c>
      <c r="E1184">
        <v>34</v>
      </c>
      <c r="F1184" s="1" t="s">
        <v>101</v>
      </c>
      <c r="G1184">
        <v>8</v>
      </c>
      <c r="H1184">
        <v>12</v>
      </c>
      <c r="I1184" s="2">
        <f t="shared" si="54"/>
        <v>4.1886719999999995</v>
      </c>
      <c r="J1184">
        <f t="shared" si="55"/>
        <v>0.36423234782608693</v>
      </c>
      <c r="K1184">
        <f t="shared" si="56"/>
        <v>0.10939336641420735</v>
      </c>
    </row>
    <row r="1185" spans="1:11" x14ac:dyDescent="0.25">
      <c r="A1185" s="1">
        <v>2015</v>
      </c>
      <c r="B1185" s="1" t="s">
        <v>104</v>
      </c>
      <c r="C1185" t="s">
        <v>9</v>
      </c>
      <c r="D1185" s="1" t="s">
        <v>3</v>
      </c>
      <c r="E1185">
        <v>34</v>
      </c>
      <c r="F1185" s="1" t="s">
        <v>101</v>
      </c>
      <c r="G1185">
        <v>10</v>
      </c>
      <c r="H1185">
        <v>18</v>
      </c>
      <c r="I1185" s="2">
        <f t="shared" si="54"/>
        <v>9.8171999999999997</v>
      </c>
      <c r="J1185">
        <f t="shared" si="55"/>
        <v>0.85366956521739124</v>
      </c>
      <c r="K1185">
        <f t="shared" si="56"/>
        <v>0.25639070253329849</v>
      </c>
    </row>
    <row r="1186" spans="1:11" x14ac:dyDescent="0.25">
      <c r="A1186" s="1">
        <v>2015</v>
      </c>
      <c r="B1186" s="1" t="s">
        <v>104</v>
      </c>
      <c r="C1186" t="s">
        <v>9</v>
      </c>
      <c r="D1186" s="1" t="s">
        <v>3</v>
      </c>
      <c r="E1186">
        <v>34</v>
      </c>
      <c r="F1186" s="1" t="s">
        <v>101</v>
      </c>
      <c r="G1186">
        <v>12</v>
      </c>
      <c r="H1186">
        <v>13</v>
      </c>
      <c r="I1186" s="2">
        <f t="shared" si="54"/>
        <v>10.209887999999999</v>
      </c>
      <c r="J1186">
        <f t="shared" si="55"/>
        <v>0.88781634782608687</v>
      </c>
      <c r="K1186">
        <f t="shared" si="56"/>
        <v>0.26664633063463045</v>
      </c>
    </row>
    <row r="1187" spans="1:11" x14ac:dyDescent="0.25">
      <c r="A1187" s="1">
        <v>2015</v>
      </c>
      <c r="B1187" s="1" t="s">
        <v>104</v>
      </c>
      <c r="C1187" t="s">
        <v>9</v>
      </c>
      <c r="D1187" s="1" t="s">
        <v>3</v>
      </c>
      <c r="E1187">
        <v>34</v>
      </c>
      <c r="F1187" s="1" t="s">
        <v>101</v>
      </c>
      <c r="G1187">
        <v>14</v>
      </c>
      <c r="H1187">
        <v>19</v>
      </c>
      <c r="I1187" s="2">
        <f t="shared" si="54"/>
        <v>20.310696</v>
      </c>
      <c r="J1187">
        <f t="shared" si="55"/>
        <v>1.7661474782608695</v>
      </c>
      <c r="K1187">
        <f t="shared" si="56"/>
        <v>0.53044387568555751</v>
      </c>
    </row>
    <row r="1188" spans="1:11" x14ac:dyDescent="0.25">
      <c r="A1188" s="1">
        <v>2015</v>
      </c>
      <c r="B1188" s="1" t="s">
        <v>104</v>
      </c>
      <c r="C1188" t="s">
        <v>9</v>
      </c>
      <c r="D1188" s="1" t="s">
        <v>3</v>
      </c>
      <c r="E1188">
        <v>34</v>
      </c>
      <c r="F1188" s="1" t="s">
        <v>101</v>
      </c>
      <c r="G1188">
        <v>16</v>
      </c>
      <c r="H1188">
        <v>16</v>
      </c>
      <c r="I1188" s="2">
        <f t="shared" si="54"/>
        <v>22.339583999999999</v>
      </c>
      <c r="J1188">
        <f t="shared" si="55"/>
        <v>1.9425725217391303</v>
      </c>
      <c r="K1188">
        <f t="shared" si="56"/>
        <v>0.58343128754243923</v>
      </c>
    </row>
    <row r="1189" spans="1:11" x14ac:dyDescent="0.25">
      <c r="A1189" s="1">
        <v>2015</v>
      </c>
      <c r="B1189" s="1" t="s">
        <v>104</v>
      </c>
      <c r="C1189" t="s">
        <v>9</v>
      </c>
      <c r="D1189" s="1" t="s">
        <v>3</v>
      </c>
      <c r="E1189">
        <v>34</v>
      </c>
      <c r="F1189" s="1" t="s">
        <v>101</v>
      </c>
      <c r="G1189">
        <v>18</v>
      </c>
      <c r="H1189">
        <v>12</v>
      </c>
      <c r="I1189" s="2">
        <f t="shared" si="54"/>
        <v>21.205151999999998</v>
      </c>
      <c r="J1189">
        <f t="shared" si="55"/>
        <v>1.843926260869565</v>
      </c>
      <c r="K1189">
        <f t="shared" si="56"/>
        <v>0.5538039174719247</v>
      </c>
    </row>
    <row r="1190" spans="1:11" x14ac:dyDescent="0.25">
      <c r="A1190" s="1">
        <v>2015</v>
      </c>
      <c r="B1190" s="1" t="s">
        <v>104</v>
      </c>
      <c r="C1190" t="s">
        <v>9</v>
      </c>
      <c r="D1190" s="1" t="s">
        <v>3</v>
      </c>
      <c r="E1190">
        <v>34</v>
      </c>
      <c r="F1190" s="1" t="s">
        <v>101</v>
      </c>
      <c r="G1190">
        <v>20</v>
      </c>
      <c r="H1190">
        <v>3</v>
      </c>
      <c r="I1190" s="2">
        <f t="shared" si="54"/>
        <v>6.5448000000000004</v>
      </c>
      <c r="J1190">
        <f t="shared" si="55"/>
        <v>0.56911304347826086</v>
      </c>
      <c r="K1190">
        <f t="shared" si="56"/>
        <v>0.170927135022199</v>
      </c>
    </row>
    <row r="1191" spans="1:11" x14ac:dyDescent="0.25">
      <c r="A1191" s="1">
        <v>2015</v>
      </c>
      <c r="B1191" s="1" t="s">
        <v>104</v>
      </c>
      <c r="C1191" t="s">
        <v>9</v>
      </c>
      <c r="D1191" s="1" t="s">
        <v>3</v>
      </c>
      <c r="E1191">
        <v>38</v>
      </c>
      <c r="F1191" s="1" t="s">
        <v>101</v>
      </c>
      <c r="G1191">
        <v>6</v>
      </c>
      <c r="H1191">
        <v>13</v>
      </c>
      <c r="I1191" s="2">
        <f t="shared" si="54"/>
        <v>2.5524719999999999</v>
      </c>
      <c r="J1191">
        <f t="shared" si="55"/>
        <v>0.22195408695652172</v>
      </c>
      <c r="K1191">
        <f t="shared" si="56"/>
        <v>6.6661582658657612E-2</v>
      </c>
    </row>
    <row r="1192" spans="1:11" x14ac:dyDescent="0.25">
      <c r="A1192" s="1">
        <v>2015</v>
      </c>
      <c r="B1192" s="1" t="s">
        <v>104</v>
      </c>
      <c r="C1192" t="s">
        <v>9</v>
      </c>
      <c r="D1192" s="1" t="s">
        <v>3</v>
      </c>
      <c r="E1192">
        <v>38</v>
      </c>
      <c r="F1192" s="1" t="s">
        <v>101</v>
      </c>
      <c r="G1192">
        <v>8</v>
      </c>
      <c r="H1192">
        <v>29</v>
      </c>
      <c r="I1192" s="2">
        <f t="shared" si="54"/>
        <v>10.122624</v>
      </c>
      <c r="J1192">
        <f t="shared" si="55"/>
        <v>0.88022817391304353</v>
      </c>
      <c r="K1192">
        <f t="shared" si="56"/>
        <v>0.26436730216766779</v>
      </c>
    </row>
    <row r="1193" spans="1:11" x14ac:dyDescent="0.25">
      <c r="A1193" s="1">
        <v>2015</v>
      </c>
      <c r="B1193" s="1" t="s">
        <v>104</v>
      </c>
      <c r="C1193" t="s">
        <v>9</v>
      </c>
      <c r="D1193" s="1" t="s">
        <v>3</v>
      </c>
      <c r="E1193">
        <v>38</v>
      </c>
      <c r="F1193" s="1" t="s">
        <v>101</v>
      </c>
      <c r="G1193">
        <v>10</v>
      </c>
      <c r="H1193">
        <v>55</v>
      </c>
      <c r="I1193" s="2">
        <f t="shared" si="54"/>
        <v>29.997</v>
      </c>
      <c r="J1193">
        <f t="shared" si="55"/>
        <v>2.6084347826086955</v>
      </c>
      <c r="K1193">
        <f t="shared" si="56"/>
        <v>0.7834160355184121</v>
      </c>
    </row>
    <row r="1194" spans="1:11" x14ac:dyDescent="0.25">
      <c r="A1194" s="1">
        <v>2015</v>
      </c>
      <c r="B1194" s="1" t="s">
        <v>104</v>
      </c>
      <c r="C1194" t="s">
        <v>9</v>
      </c>
      <c r="D1194" s="1" t="s">
        <v>3</v>
      </c>
      <c r="E1194">
        <v>38</v>
      </c>
      <c r="F1194" s="1" t="s">
        <v>101</v>
      </c>
      <c r="G1194">
        <v>12</v>
      </c>
      <c r="H1194">
        <v>85</v>
      </c>
      <c r="I1194" s="2">
        <f t="shared" si="54"/>
        <v>66.756959999999992</v>
      </c>
      <c r="J1194">
        <f t="shared" si="55"/>
        <v>5.8049530434782604</v>
      </c>
      <c r="K1194">
        <f t="shared" si="56"/>
        <v>1.7434567772264298</v>
      </c>
    </row>
    <row r="1195" spans="1:11" x14ac:dyDescent="0.25">
      <c r="A1195" s="1">
        <v>2015</v>
      </c>
      <c r="B1195" s="1" t="s">
        <v>104</v>
      </c>
      <c r="C1195" t="s">
        <v>9</v>
      </c>
      <c r="D1195" s="1" t="s">
        <v>3</v>
      </c>
      <c r="E1195">
        <v>38</v>
      </c>
      <c r="F1195" s="1" t="s">
        <v>101</v>
      </c>
      <c r="G1195">
        <v>14</v>
      </c>
      <c r="H1195">
        <v>97</v>
      </c>
      <c r="I1195" s="2">
        <f t="shared" si="54"/>
        <v>103.69144799999999</v>
      </c>
      <c r="J1195">
        <f t="shared" si="55"/>
        <v>9.0166476521739121</v>
      </c>
      <c r="K1195">
        <f t="shared" si="56"/>
        <v>2.7080555758683724</v>
      </c>
    </row>
    <row r="1196" spans="1:11" x14ac:dyDescent="0.25">
      <c r="A1196" s="1">
        <v>2015</v>
      </c>
      <c r="B1196" s="1" t="s">
        <v>104</v>
      </c>
      <c r="C1196" t="s">
        <v>9</v>
      </c>
      <c r="D1196" s="1" t="s">
        <v>3</v>
      </c>
      <c r="E1196">
        <v>38</v>
      </c>
      <c r="F1196" s="1" t="s">
        <v>101</v>
      </c>
      <c r="G1196">
        <v>16</v>
      </c>
      <c r="H1196">
        <v>78</v>
      </c>
      <c r="I1196" s="2">
        <f t="shared" si="54"/>
        <v>108.90547199999999</v>
      </c>
      <c r="J1196">
        <f t="shared" si="55"/>
        <v>9.4700410434782594</v>
      </c>
      <c r="K1196">
        <f t="shared" si="56"/>
        <v>2.8442275267693908</v>
      </c>
    </row>
    <row r="1197" spans="1:11" x14ac:dyDescent="0.25">
      <c r="A1197" s="1">
        <v>2015</v>
      </c>
      <c r="B1197" s="1" t="s">
        <v>104</v>
      </c>
      <c r="C1197" t="s">
        <v>9</v>
      </c>
      <c r="D1197" s="1" t="s">
        <v>3</v>
      </c>
      <c r="E1197">
        <v>38</v>
      </c>
      <c r="F1197" s="1" t="s">
        <v>101</v>
      </c>
      <c r="G1197">
        <v>18</v>
      </c>
      <c r="H1197">
        <v>45</v>
      </c>
      <c r="I1197" s="2">
        <f t="shared" si="54"/>
        <v>79.519319999999993</v>
      </c>
      <c r="J1197">
        <f t="shared" si="55"/>
        <v>6.9147234782608686</v>
      </c>
      <c r="K1197">
        <f t="shared" si="56"/>
        <v>2.0767646905197177</v>
      </c>
    </row>
    <row r="1198" spans="1:11" x14ac:dyDescent="0.25">
      <c r="A1198" s="1">
        <v>2015</v>
      </c>
      <c r="B1198" s="1" t="s">
        <v>104</v>
      </c>
      <c r="C1198" t="s">
        <v>9</v>
      </c>
      <c r="D1198" s="1" t="s">
        <v>3</v>
      </c>
      <c r="E1198">
        <v>38</v>
      </c>
      <c r="F1198" s="1" t="s">
        <v>101</v>
      </c>
      <c r="G1198">
        <v>20</v>
      </c>
      <c r="H1198">
        <v>12</v>
      </c>
      <c r="I1198" s="2">
        <f t="shared" si="54"/>
        <v>26.179200000000002</v>
      </c>
      <c r="J1198">
        <f t="shared" si="55"/>
        <v>2.2764521739130434</v>
      </c>
      <c r="K1198">
        <f t="shared" si="56"/>
        <v>0.683708540088796</v>
      </c>
    </row>
    <row r="1199" spans="1:11" x14ac:dyDescent="0.25">
      <c r="A1199" s="1">
        <v>2015</v>
      </c>
      <c r="B1199" s="1" t="s">
        <v>104</v>
      </c>
      <c r="C1199" t="s">
        <v>9</v>
      </c>
      <c r="D1199" s="1" t="s">
        <v>3</v>
      </c>
      <c r="E1199">
        <v>40</v>
      </c>
      <c r="F1199" s="1" t="s">
        <v>101</v>
      </c>
      <c r="G1199">
        <v>6</v>
      </c>
      <c r="H1199">
        <v>14</v>
      </c>
      <c r="I1199" s="2">
        <f t="shared" si="54"/>
        <v>2.7488159999999997</v>
      </c>
      <c r="J1199">
        <f t="shared" si="55"/>
        <v>0.23902747826086954</v>
      </c>
      <c r="K1199">
        <f t="shared" si="56"/>
        <v>7.1789396709323577E-2</v>
      </c>
    </row>
    <row r="1200" spans="1:11" x14ac:dyDescent="0.25">
      <c r="A1200" s="1">
        <v>2015</v>
      </c>
      <c r="B1200" s="1" t="s">
        <v>104</v>
      </c>
      <c r="C1200" t="s">
        <v>9</v>
      </c>
      <c r="D1200" s="1" t="s">
        <v>3</v>
      </c>
      <c r="E1200">
        <v>40</v>
      </c>
      <c r="F1200" s="1" t="s">
        <v>101</v>
      </c>
      <c r="G1200">
        <v>8</v>
      </c>
      <c r="H1200">
        <v>19</v>
      </c>
      <c r="I1200" s="2">
        <f t="shared" si="54"/>
        <v>6.6320639999999997</v>
      </c>
      <c r="J1200">
        <f t="shared" si="55"/>
        <v>0.57670121739130431</v>
      </c>
      <c r="K1200">
        <f t="shared" si="56"/>
        <v>0.17320616348916165</v>
      </c>
    </row>
    <row r="1201" spans="1:11" x14ac:dyDescent="0.25">
      <c r="A1201" s="1">
        <v>2015</v>
      </c>
      <c r="B1201" s="1" t="s">
        <v>104</v>
      </c>
      <c r="C1201" t="s">
        <v>9</v>
      </c>
      <c r="D1201" s="1" t="s">
        <v>3</v>
      </c>
      <c r="E1201">
        <v>40</v>
      </c>
      <c r="F1201" s="1" t="s">
        <v>101</v>
      </c>
      <c r="G1201">
        <v>10</v>
      </c>
      <c r="H1201">
        <v>18</v>
      </c>
      <c r="I1201" s="2">
        <f t="shared" si="54"/>
        <v>9.8171999999999997</v>
      </c>
      <c r="J1201">
        <f t="shared" si="55"/>
        <v>0.85366956521739124</v>
      </c>
      <c r="K1201">
        <f t="shared" si="56"/>
        <v>0.25639070253329849</v>
      </c>
    </row>
    <row r="1202" spans="1:11" x14ac:dyDescent="0.25">
      <c r="A1202" s="1">
        <v>2015</v>
      </c>
      <c r="B1202" s="1" t="s">
        <v>104</v>
      </c>
      <c r="C1202" t="s">
        <v>9</v>
      </c>
      <c r="D1202" s="1" t="s">
        <v>3</v>
      </c>
      <c r="E1202">
        <v>40</v>
      </c>
      <c r="F1202" s="1" t="s">
        <v>101</v>
      </c>
      <c r="G1202">
        <v>12</v>
      </c>
      <c r="H1202">
        <v>22</v>
      </c>
      <c r="I1202" s="2">
        <f t="shared" si="54"/>
        <v>17.278271999999998</v>
      </c>
      <c r="J1202">
        <f t="shared" si="55"/>
        <v>1.5024584347826084</v>
      </c>
      <c r="K1202">
        <f t="shared" si="56"/>
        <v>0.45124763645860527</v>
      </c>
    </row>
    <row r="1203" spans="1:11" x14ac:dyDescent="0.25">
      <c r="A1203" s="1">
        <v>2015</v>
      </c>
      <c r="B1203" s="1" t="s">
        <v>104</v>
      </c>
      <c r="C1203" t="s">
        <v>9</v>
      </c>
      <c r="D1203" s="1" t="s">
        <v>3</v>
      </c>
      <c r="E1203">
        <v>40</v>
      </c>
      <c r="F1203" s="1" t="s">
        <v>101</v>
      </c>
      <c r="G1203">
        <v>14</v>
      </c>
      <c r="H1203">
        <v>28</v>
      </c>
      <c r="I1203" s="2">
        <f t="shared" si="54"/>
        <v>29.931551999999996</v>
      </c>
      <c r="J1203">
        <f t="shared" si="55"/>
        <v>2.6027436521739129</v>
      </c>
      <c r="K1203">
        <f t="shared" si="56"/>
        <v>0.78170676416819007</v>
      </c>
    </row>
    <row r="1204" spans="1:11" x14ac:dyDescent="0.25">
      <c r="A1204" s="1">
        <v>2015</v>
      </c>
      <c r="B1204" s="1" t="s">
        <v>104</v>
      </c>
      <c r="C1204" t="s">
        <v>9</v>
      </c>
      <c r="D1204" s="1" t="s">
        <v>3</v>
      </c>
      <c r="E1204">
        <v>40</v>
      </c>
      <c r="F1204" s="1" t="s">
        <v>101</v>
      </c>
      <c r="G1204">
        <v>16</v>
      </c>
      <c r="H1204">
        <v>38</v>
      </c>
      <c r="I1204" s="2">
        <f t="shared" si="54"/>
        <v>53.056511999999998</v>
      </c>
      <c r="J1204">
        <f t="shared" si="55"/>
        <v>4.6136097391304345</v>
      </c>
      <c r="K1204">
        <f t="shared" si="56"/>
        <v>1.3856493079132932</v>
      </c>
    </row>
    <row r="1205" spans="1:11" x14ac:dyDescent="0.25">
      <c r="A1205" s="1">
        <v>2015</v>
      </c>
      <c r="B1205" s="1" t="s">
        <v>104</v>
      </c>
      <c r="C1205" t="s">
        <v>9</v>
      </c>
      <c r="D1205" s="1" t="s">
        <v>3</v>
      </c>
      <c r="E1205">
        <v>40</v>
      </c>
      <c r="F1205" s="1" t="s">
        <v>101</v>
      </c>
      <c r="G1205">
        <v>18</v>
      </c>
      <c r="H1205">
        <v>36</v>
      </c>
      <c r="I1205" s="2">
        <f t="shared" si="54"/>
        <v>63.615455999999995</v>
      </c>
      <c r="J1205">
        <f t="shared" si="55"/>
        <v>5.5317787826086953</v>
      </c>
      <c r="K1205">
        <f t="shared" si="56"/>
        <v>1.6614117524157741</v>
      </c>
    </row>
    <row r="1206" spans="1:11" x14ac:dyDescent="0.25">
      <c r="A1206" s="1">
        <v>2015</v>
      </c>
      <c r="B1206" s="1" t="s">
        <v>104</v>
      </c>
      <c r="C1206" t="s">
        <v>9</v>
      </c>
      <c r="D1206" s="1" t="s">
        <v>3</v>
      </c>
      <c r="E1206">
        <v>40</v>
      </c>
      <c r="F1206" s="1" t="s">
        <v>101</v>
      </c>
      <c r="G1206">
        <v>20</v>
      </c>
      <c r="H1206">
        <v>30</v>
      </c>
      <c r="I1206" s="2">
        <f t="shared" si="54"/>
        <v>65.447999999999993</v>
      </c>
      <c r="J1206">
        <f t="shared" si="55"/>
        <v>5.6911304347826084</v>
      </c>
      <c r="K1206">
        <f t="shared" si="56"/>
        <v>1.7092713502219898</v>
      </c>
    </row>
    <row r="1207" spans="1:11" x14ac:dyDescent="0.25">
      <c r="A1207" s="1">
        <v>2015</v>
      </c>
      <c r="B1207" s="1" t="s">
        <v>104</v>
      </c>
      <c r="C1207" t="s">
        <v>9</v>
      </c>
      <c r="D1207" s="1" t="s">
        <v>3</v>
      </c>
      <c r="E1207">
        <v>40</v>
      </c>
      <c r="F1207" s="1" t="s">
        <v>101</v>
      </c>
      <c r="G1207">
        <v>22</v>
      </c>
      <c r="H1207">
        <v>7</v>
      </c>
      <c r="I1207" s="2">
        <f t="shared" si="54"/>
        <v>18.478151999999998</v>
      </c>
      <c r="J1207">
        <f t="shared" si="55"/>
        <v>1.6067958260869564</v>
      </c>
      <c r="K1207">
        <f t="shared" si="56"/>
        <v>0.48258427787934183</v>
      </c>
    </row>
    <row r="1208" spans="1:11" x14ac:dyDescent="0.25">
      <c r="A1208" s="1">
        <v>2015</v>
      </c>
      <c r="B1208" s="1" t="s">
        <v>104</v>
      </c>
      <c r="C1208" t="s">
        <v>9</v>
      </c>
      <c r="D1208" s="1" t="s">
        <v>3</v>
      </c>
      <c r="E1208">
        <v>41</v>
      </c>
      <c r="F1208" s="1" t="s">
        <v>101</v>
      </c>
      <c r="G1208">
        <v>6</v>
      </c>
      <c r="H1208">
        <v>1</v>
      </c>
      <c r="I1208" s="2">
        <f t="shared" si="54"/>
        <v>0.19634399999999999</v>
      </c>
      <c r="J1208">
        <f t="shared" si="55"/>
        <v>1.7073391304347825E-2</v>
      </c>
      <c r="K1208">
        <f t="shared" si="56"/>
        <v>5.1278140506659702E-3</v>
      </c>
    </row>
    <row r="1209" spans="1:11" x14ac:dyDescent="0.25">
      <c r="A1209" s="1">
        <v>2015</v>
      </c>
      <c r="B1209" s="1" t="s">
        <v>104</v>
      </c>
      <c r="C1209" t="s">
        <v>9</v>
      </c>
      <c r="D1209" s="1" t="s">
        <v>3</v>
      </c>
      <c r="E1209">
        <v>41</v>
      </c>
      <c r="F1209" s="1" t="s">
        <v>101</v>
      </c>
      <c r="G1209">
        <v>8</v>
      </c>
      <c r="H1209">
        <v>3</v>
      </c>
      <c r="I1209" s="2">
        <f t="shared" si="54"/>
        <v>1.0471679999999999</v>
      </c>
      <c r="J1209">
        <f t="shared" si="55"/>
        <v>9.1058086956521733E-2</v>
      </c>
      <c r="K1209">
        <f t="shared" si="56"/>
        <v>2.7348341603551839E-2</v>
      </c>
    </row>
    <row r="1210" spans="1:11" x14ac:dyDescent="0.25">
      <c r="A1210" s="1">
        <v>2015</v>
      </c>
      <c r="B1210" s="1" t="s">
        <v>104</v>
      </c>
      <c r="C1210" t="s">
        <v>9</v>
      </c>
      <c r="D1210" s="1" t="s">
        <v>3</v>
      </c>
      <c r="E1210">
        <v>41</v>
      </c>
      <c r="F1210" s="1" t="s">
        <v>101</v>
      </c>
      <c r="G1210">
        <v>10</v>
      </c>
      <c r="H1210">
        <v>3</v>
      </c>
      <c r="I1210" s="2">
        <f t="shared" si="54"/>
        <v>1.6362000000000001</v>
      </c>
      <c r="J1210">
        <f t="shared" si="55"/>
        <v>0.14227826086956522</v>
      </c>
      <c r="K1210">
        <f t="shared" si="56"/>
        <v>4.273178375554975E-2</v>
      </c>
    </row>
    <row r="1211" spans="1:11" x14ac:dyDescent="0.25">
      <c r="A1211" s="1">
        <v>2015</v>
      </c>
      <c r="B1211" s="1" t="s">
        <v>104</v>
      </c>
      <c r="C1211" t="s">
        <v>9</v>
      </c>
      <c r="D1211" s="1" t="s">
        <v>3</v>
      </c>
      <c r="E1211">
        <v>41</v>
      </c>
      <c r="F1211" s="1" t="s">
        <v>101</v>
      </c>
      <c r="G1211">
        <v>12</v>
      </c>
      <c r="H1211">
        <v>4</v>
      </c>
      <c r="I1211" s="2">
        <f t="shared" si="54"/>
        <v>3.1415039999999999</v>
      </c>
      <c r="J1211">
        <f t="shared" si="55"/>
        <v>0.2731742608695652</v>
      </c>
      <c r="K1211">
        <f t="shared" si="56"/>
        <v>8.2045024810655523E-2</v>
      </c>
    </row>
    <row r="1212" spans="1:11" x14ac:dyDescent="0.25">
      <c r="A1212" s="1">
        <v>2015</v>
      </c>
      <c r="B1212" s="1" t="s">
        <v>104</v>
      </c>
      <c r="C1212" t="s">
        <v>9</v>
      </c>
      <c r="D1212" s="1" t="s">
        <v>3</v>
      </c>
      <c r="E1212">
        <v>41</v>
      </c>
      <c r="F1212" s="1" t="s">
        <v>101</v>
      </c>
      <c r="G1212">
        <v>14</v>
      </c>
      <c r="H1212">
        <v>7</v>
      </c>
      <c r="I1212" s="2">
        <f t="shared" si="54"/>
        <v>7.4828879999999991</v>
      </c>
      <c r="J1212">
        <f t="shared" si="55"/>
        <v>0.65068591304347823</v>
      </c>
      <c r="K1212">
        <f t="shared" si="56"/>
        <v>0.19542669104204752</v>
      </c>
    </row>
    <row r="1213" spans="1:11" x14ac:dyDescent="0.25">
      <c r="A1213" s="1">
        <v>2015</v>
      </c>
      <c r="B1213" s="1" t="s">
        <v>104</v>
      </c>
      <c r="C1213" t="s">
        <v>9</v>
      </c>
      <c r="D1213" s="1" t="s">
        <v>3</v>
      </c>
      <c r="E1213">
        <v>41</v>
      </c>
      <c r="F1213" s="1" t="s">
        <v>101</v>
      </c>
      <c r="G1213">
        <v>16</v>
      </c>
      <c r="H1213">
        <v>6</v>
      </c>
      <c r="I1213" s="2">
        <f t="shared" si="54"/>
        <v>8.377343999999999</v>
      </c>
      <c r="J1213">
        <f t="shared" si="55"/>
        <v>0.72846469565217387</v>
      </c>
      <c r="K1213">
        <f t="shared" si="56"/>
        <v>0.21878673282841471</v>
      </c>
    </row>
    <row r="1214" spans="1:11" x14ac:dyDescent="0.25">
      <c r="A1214" s="1">
        <v>2015</v>
      </c>
      <c r="B1214" s="1" t="s">
        <v>104</v>
      </c>
      <c r="C1214" t="s">
        <v>9</v>
      </c>
      <c r="D1214" s="1" t="s">
        <v>3</v>
      </c>
      <c r="E1214">
        <v>41</v>
      </c>
      <c r="F1214" s="1" t="s">
        <v>101</v>
      </c>
      <c r="G1214">
        <v>18</v>
      </c>
      <c r="H1214">
        <v>15</v>
      </c>
      <c r="I1214" s="2">
        <f t="shared" si="54"/>
        <v>26.506439999999998</v>
      </c>
      <c r="J1214">
        <f t="shared" si="55"/>
        <v>2.3049078260869562</v>
      </c>
      <c r="K1214">
        <f t="shared" si="56"/>
        <v>0.69225489683990582</v>
      </c>
    </row>
    <row r="1215" spans="1:11" x14ac:dyDescent="0.25">
      <c r="A1215" s="1">
        <v>2015</v>
      </c>
      <c r="B1215" s="1" t="s">
        <v>104</v>
      </c>
      <c r="C1215" t="s">
        <v>9</v>
      </c>
      <c r="D1215" s="1" t="s">
        <v>3</v>
      </c>
      <c r="E1215">
        <v>47</v>
      </c>
      <c r="F1215" s="1" t="s">
        <v>101</v>
      </c>
      <c r="G1215">
        <v>12</v>
      </c>
      <c r="H1215">
        <v>1</v>
      </c>
      <c r="I1215" s="2">
        <f t="shared" si="54"/>
        <v>0.78537599999999996</v>
      </c>
      <c r="J1215">
        <f t="shared" si="55"/>
        <v>6.82935652173913E-2</v>
      </c>
      <c r="K1215">
        <f t="shared" si="56"/>
        <v>2.0511256202663881E-2</v>
      </c>
    </row>
    <row r="1216" spans="1:11" x14ac:dyDescent="0.25">
      <c r="A1216" s="1">
        <v>2015</v>
      </c>
      <c r="B1216" s="1" t="s">
        <v>104</v>
      </c>
      <c r="C1216" t="s">
        <v>9</v>
      </c>
      <c r="D1216" s="1" t="s">
        <v>3</v>
      </c>
      <c r="E1216">
        <v>47</v>
      </c>
      <c r="F1216" s="1" t="s">
        <v>101</v>
      </c>
      <c r="G1216">
        <v>16</v>
      </c>
      <c r="H1216">
        <v>3</v>
      </c>
      <c r="I1216" s="2">
        <f t="shared" si="54"/>
        <v>4.1886719999999995</v>
      </c>
      <c r="J1216">
        <f t="shared" si="55"/>
        <v>0.36423234782608693</v>
      </c>
      <c r="K1216">
        <f t="shared" si="56"/>
        <v>0.10939336641420735</v>
      </c>
    </row>
    <row r="1217" spans="1:11" x14ac:dyDescent="0.25">
      <c r="A1217" s="1">
        <v>2015</v>
      </c>
      <c r="B1217" s="1" t="s">
        <v>104</v>
      </c>
      <c r="C1217" t="s">
        <v>9</v>
      </c>
      <c r="D1217" s="1" t="s">
        <v>3</v>
      </c>
      <c r="E1217">
        <v>52</v>
      </c>
      <c r="F1217" s="1" t="s">
        <v>101</v>
      </c>
      <c r="G1217">
        <v>8</v>
      </c>
      <c r="H1217">
        <v>1</v>
      </c>
      <c r="I1217" s="2">
        <f t="shared" si="54"/>
        <v>0.34905599999999998</v>
      </c>
      <c r="J1217">
        <f t="shared" si="55"/>
        <v>3.0352695652173911E-2</v>
      </c>
      <c r="K1217">
        <f t="shared" si="56"/>
        <v>9.1161138678506129E-3</v>
      </c>
    </row>
    <row r="1218" spans="1:11" x14ac:dyDescent="0.25">
      <c r="A1218" s="1">
        <v>2015</v>
      </c>
      <c r="B1218" s="1" t="s">
        <v>104</v>
      </c>
      <c r="C1218" t="s">
        <v>9</v>
      </c>
      <c r="D1218" s="1" t="s">
        <v>3</v>
      </c>
      <c r="E1218">
        <v>52</v>
      </c>
      <c r="F1218" s="1" t="s">
        <v>101</v>
      </c>
      <c r="G1218">
        <v>10</v>
      </c>
      <c r="H1218">
        <v>1</v>
      </c>
      <c r="I1218" s="2">
        <f t="shared" si="54"/>
        <v>0.5454</v>
      </c>
      <c r="J1218">
        <f t="shared" si="55"/>
        <v>4.7426086956521736E-2</v>
      </c>
      <c r="K1218">
        <f t="shared" si="56"/>
        <v>1.4243927918516582E-2</v>
      </c>
    </row>
    <row r="1219" spans="1:11" x14ac:dyDescent="0.25">
      <c r="A1219" s="1">
        <v>2015</v>
      </c>
      <c r="B1219" s="1" t="s">
        <v>104</v>
      </c>
      <c r="C1219" t="s">
        <v>9</v>
      </c>
      <c r="D1219" s="1" t="s">
        <v>3</v>
      </c>
      <c r="E1219">
        <v>53</v>
      </c>
      <c r="F1219" s="1" t="s">
        <v>101</v>
      </c>
      <c r="G1219">
        <v>6</v>
      </c>
      <c r="H1219">
        <v>5</v>
      </c>
      <c r="I1219" s="2">
        <f t="shared" ref="I1219:I1282" si="57">0.005454*G1219^2*H1219</f>
        <v>0.98171999999999993</v>
      </c>
      <c r="J1219">
        <f t="shared" ref="J1219:J1282" si="58">I1219/11.5</f>
        <v>8.5366956521739118E-2</v>
      </c>
      <c r="K1219">
        <f t="shared" ref="K1219:K1282" si="59">J1219*(11.5/38.29)</f>
        <v>2.5639070253329847E-2</v>
      </c>
    </row>
    <row r="1220" spans="1:11" x14ac:dyDescent="0.25">
      <c r="A1220" s="1">
        <v>2015</v>
      </c>
      <c r="B1220" s="1" t="s">
        <v>104</v>
      </c>
      <c r="C1220" t="s">
        <v>9</v>
      </c>
      <c r="D1220" s="1" t="s">
        <v>3</v>
      </c>
      <c r="E1220">
        <v>53</v>
      </c>
      <c r="F1220" s="1" t="s">
        <v>101</v>
      </c>
      <c r="G1220">
        <v>8</v>
      </c>
      <c r="H1220">
        <v>5</v>
      </c>
      <c r="I1220" s="2">
        <f t="shared" si="57"/>
        <v>1.7452799999999999</v>
      </c>
      <c r="J1220">
        <f t="shared" si="58"/>
        <v>0.15176347826086956</v>
      </c>
      <c r="K1220">
        <f t="shared" si="59"/>
        <v>4.5580569339253064E-2</v>
      </c>
    </row>
    <row r="1221" spans="1:11" x14ac:dyDescent="0.25">
      <c r="A1221" s="1">
        <v>2015</v>
      </c>
      <c r="B1221" s="1" t="s">
        <v>104</v>
      </c>
      <c r="C1221" t="s">
        <v>9</v>
      </c>
      <c r="D1221" s="1" t="s">
        <v>3</v>
      </c>
      <c r="E1221">
        <v>53</v>
      </c>
      <c r="F1221" s="1" t="s">
        <v>101</v>
      </c>
      <c r="G1221">
        <v>10</v>
      </c>
      <c r="H1221">
        <v>8</v>
      </c>
      <c r="I1221" s="2">
        <f t="shared" si="57"/>
        <v>4.3632</v>
      </c>
      <c r="J1221">
        <f t="shared" si="58"/>
        <v>0.37940869565217389</v>
      </c>
      <c r="K1221">
        <f t="shared" si="59"/>
        <v>0.11395142334813266</v>
      </c>
    </row>
    <row r="1222" spans="1:11" x14ac:dyDescent="0.25">
      <c r="A1222" s="1">
        <v>2015</v>
      </c>
      <c r="B1222" s="1" t="s">
        <v>104</v>
      </c>
      <c r="C1222" t="s">
        <v>9</v>
      </c>
      <c r="D1222" s="1" t="s">
        <v>3</v>
      </c>
      <c r="E1222">
        <v>53</v>
      </c>
      <c r="F1222" s="1" t="s">
        <v>101</v>
      </c>
      <c r="G1222">
        <v>12</v>
      </c>
      <c r="H1222">
        <v>8</v>
      </c>
      <c r="I1222" s="2">
        <f t="shared" si="57"/>
        <v>6.2830079999999997</v>
      </c>
      <c r="J1222">
        <f t="shared" si="58"/>
        <v>0.5463485217391304</v>
      </c>
      <c r="K1222">
        <f t="shared" si="59"/>
        <v>0.16409004962131105</v>
      </c>
    </row>
    <row r="1223" spans="1:11" x14ac:dyDescent="0.25">
      <c r="A1223" s="1">
        <v>2015</v>
      </c>
      <c r="B1223" s="1" t="s">
        <v>104</v>
      </c>
      <c r="C1223" t="s">
        <v>9</v>
      </c>
      <c r="D1223" s="1" t="s">
        <v>3</v>
      </c>
      <c r="E1223">
        <v>53</v>
      </c>
      <c r="F1223" s="1" t="s">
        <v>101</v>
      </c>
      <c r="G1223">
        <v>14</v>
      </c>
      <c r="H1223">
        <v>3</v>
      </c>
      <c r="I1223" s="2">
        <f t="shared" si="57"/>
        <v>3.2069519999999998</v>
      </c>
      <c r="J1223">
        <f t="shared" si="58"/>
        <v>0.27886539130434779</v>
      </c>
      <c r="K1223">
        <f t="shared" si="59"/>
        <v>8.3754296160877498E-2</v>
      </c>
    </row>
    <row r="1224" spans="1:11" x14ac:dyDescent="0.25">
      <c r="A1224" s="1">
        <v>2015</v>
      </c>
      <c r="B1224" s="1" t="s">
        <v>104</v>
      </c>
      <c r="C1224" t="s">
        <v>9</v>
      </c>
      <c r="D1224" s="1" t="s">
        <v>3</v>
      </c>
      <c r="E1224">
        <v>53</v>
      </c>
      <c r="F1224" s="1" t="s">
        <v>101</v>
      </c>
      <c r="G1224">
        <v>16</v>
      </c>
      <c r="H1224">
        <v>1</v>
      </c>
      <c r="I1224" s="2">
        <f t="shared" si="57"/>
        <v>1.3962239999999999</v>
      </c>
      <c r="J1224">
        <f t="shared" si="58"/>
        <v>0.12141078260869564</v>
      </c>
      <c r="K1224">
        <f t="shared" si="59"/>
        <v>3.6464455471402452E-2</v>
      </c>
    </row>
    <row r="1225" spans="1:11" x14ac:dyDescent="0.25">
      <c r="A1225" s="1">
        <v>2015</v>
      </c>
      <c r="B1225" s="1" t="s">
        <v>104</v>
      </c>
      <c r="C1225" t="s">
        <v>9</v>
      </c>
      <c r="D1225" s="1" t="s">
        <v>3</v>
      </c>
      <c r="E1225">
        <v>53</v>
      </c>
      <c r="F1225" s="1" t="s">
        <v>101</v>
      </c>
      <c r="G1225">
        <v>18</v>
      </c>
      <c r="H1225">
        <v>1</v>
      </c>
      <c r="I1225" s="2">
        <f t="shared" si="57"/>
        <v>1.7670959999999998</v>
      </c>
      <c r="J1225">
        <f t="shared" si="58"/>
        <v>0.15366052173913042</v>
      </c>
      <c r="K1225">
        <f t="shared" si="59"/>
        <v>4.6150326455993727E-2</v>
      </c>
    </row>
    <row r="1226" spans="1:11" x14ac:dyDescent="0.25">
      <c r="A1226" s="1">
        <v>2015</v>
      </c>
      <c r="B1226" s="1" t="s">
        <v>104</v>
      </c>
      <c r="C1226" t="s">
        <v>9</v>
      </c>
      <c r="D1226" s="1" t="s">
        <v>3</v>
      </c>
      <c r="E1226">
        <v>54</v>
      </c>
      <c r="F1226" s="1" t="s">
        <v>101</v>
      </c>
      <c r="G1226">
        <v>6</v>
      </c>
      <c r="H1226">
        <v>2</v>
      </c>
      <c r="I1226" s="2">
        <f t="shared" si="57"/>
        <v>0.39268799999999998</v>
      </c>
      <c r="J1226">
        <f t="shared" si="58"/>
        <v>3.414678260869565E-2</v>
      </c>
      <c r="K1226">
        <f t="shared" si="59"/>
        <v>1.025562810133194E-2</v>
      </c>
    </row>
    <row r="1227" spans="1:11" x14ac:dyDescent="0.25">
      <c r="A1227" s="1">
        <v>2015</v>
      </c>
      <c r="B1227" s="1" t="s">
        <v>104</v>
      </c>
      <c r="C1227" t="s">
        <v>9</v>
      </c>
      <c r="D1227" s="1" t="s">
        <v>3</v>
      </c>
      <c r="E1227">
        <v>54</v>
      </c>
      <c r="F1227" s="1" t="s">
        <v>101</v>
      </c>
      <c r="G1227">
        <v>8</v>
      </c>
      <c r="H1227">
        <v>3</v>
      </c>
      <c r="I1227" s="2">
        <f t="shared" si="57"/>
        <v>1.0471679999999999</v>
      </c>
      <c r="J1227">
        <f t="shared" si="58"/>
        <v>9.1058086956521733E-2</v>
      </c>
      <c r="K1227">
        <f t="shared" si="59"/>
        <v>2.7348341603551839E-2</v>
      </c>
    </row>
    <row r="1228" spans="1:11" x14ac:dyDescent="0.25">
      <c r="A1228" s="1">
        <v>2015</v>
      </c>
      <c r="B1228" s="1" t="s">
        <v>104</v>
      </c>
      <c r="C1228" t="s">
        <v>9</v>
      </c>
      <c r="D1228" s="1" t="s">
        <v>3</v>
      </c>
      <c r="E1228">
        <v>56</v>
      </c>
      <c r="F1228" s="1" t="s">
        <v>101</v>
      </c>
      <c r="G1228">
        <v>6</v>
      </c>
      <c r="H1228">
        <v>1</v>
      </c>
      <c r="I1228" s="2">
        <f t="shared" si="57"/>
        <v>0.19634399999999999</v>
      </c>
      <c r="J1228">
        <f t="shared" si="58"/>
        <v>1.7073391304347825E-2</v>
      </c>
      <c r="K1228">
        <f t="shared" si="59"/>
        <v>5.1278140506659702E-3</v>
      </c>
    </row>
    <row r="1229" spans="1:11" x14ac:dyDescent="0.25">
      <c r="A1229" s="1">
        <v>2015</v>
      </c>
      <c r="B1229" s="1" t="s">
        <v>104</v>
      </c>
      <c r="C1229" t="s">
        <v>9</v>
      </c>
      <c r="D1229" s="1" t="s">
        <v>3</v>
      </c>
      <c r="E1229">
        <v>56</v>
      </c>
      <c r="F1229" s="1" t="s">
        <v>101</v>
      </c>
      <c r="G1229">
        <v>10</v>
      </c>
      <c r="H1229">
        <v>1</v>
      </c>
      <c r="I1229" s="2">
        <f t="shared" si="57"/>
        <v>0.5454</v>
      </c>
      <c r="J1229">
        <f t="shared" si="58"/>
        <v>4.7426086956521736E-2</v>
      </c>
      <c r="K1229">
        <f t="shared" si="59"/>
        <v>1.4243927918516582E-2</v>
      </c>
    </row>
    <row r="1230" spans="1:11" x14ac:dyDescent="0.25">
      <c r="A1230" s="1">
        <v>2015</v>
      </c>
      <c r="B1230" s="1" t="s">
        <v>104</v>
      </c>
      <c r="C1230" t="s">
        <v>9</v>
      </c>
      <c r="D1230" s="1" t="s">
        <v>3</v>
      </c>
      <c r="E1230">
        <v>56</v>
      </c>
      <c r="F1230" s="1" t="s">
        <v>101</v>
      </c>
      <c r="G1230">
        <v>12</v>
      </c>
      <c r="H1230">
        <v>4</v>
      </c>
      <c r="I1230" s="2">
        <f t="shared" si="57"/>
        <v>3.1415039999999999</v>
      </c>
      <c r="J1230">
        <f t="shared" si="58"/>
        <v>0.2731742608695652</v>
      </c>
      <c r="K1230">
        <f t="shared" si="59"/>
        <v>8.2045024810655523E-2</v>
      </c>
    </row>
    <row r="1231" spans="1:11" x14ac:dyDescent="0.25">
      <c r="A1231" s="1">
        <v>2015</v>
      </c>
      <c r="B1231" s="1" t="s">
        <v>104</v>
      </c>
      <c r="C1231" t="s">
        <v>9</v>
      </c>
      <c r="D1231" s="1" t="s">
        <v>3</v>
      </c>
      <c r="E1231">
        <v>56</v>
      </c>
      <c r="F1231" s="1" t="s">
        <v>101</v>
      </c>
      <c r="G1231">
        <v>14</v>
      </c>
      <c r="H1231">
        <v>4</v>
      </c>
      <c r="I1231" s="2">
        <f t="shared" si="57"/>
        <v>4.2759359999999997</v>
      </c>
      <c r="J1231">
        <f t="shared" si="58"/>
        <v>0.37182052173913044</v>
      </c>
      <c r="K1231">
        <f t="shared" si="59"/>
        <v>0.11167239488117002</v>
      </c>
    </row>
    <row r="1232" spans="1:11" x14ac:dyDescent="0.25">
      <c r="A1232" s="1">
        <v>2015</v>
      </c>
      <c r="B1232" s="1" t="s">
        <v>104</v>
      </c>
      <c r="C1232" t="s">
        <v>9</v>
      </c>
      <c r="D1232" s="1" t="s">
        <v>3</v>
      </c>
      <c r="E1232">
        <v>56</v>
      </c>
      <c r="F1232" s="1" t="s">
        <v>101</v>
      </c>
      <c r="G1232">
        <v>16</v>
      </c>
      <c r="H1232">
        <v>3</v>
      </c>
      <c r="I1232" s="2">
        <f t="shared" si="57"/>
        <v>4.1886719999999995</v>
      </c>
      <c r="J1232">
        <f t="shared" si="58"/>
        <v>0.36423234782608693</v>
      </c>
      <c r="K1232">
        <f t="shared" si="59"/>
        <v>0.10939336641420735</v>
      </c>
    </row>
    <row r="1233" spans="1:11" x14ac:dyDescent="0.25">
      <c r="A1233" s="1">
        <v>2015</v>
      </c>
      <c r="B1233" s="1" t="s">
        <v>104</v>
      </c>
      <c r="C1233" t="s">
        <v>9</v>
      </c>
      <c r="D1233" s="1" t="s">
        <v>3</v>
      </c>
      <c r="E1233">
        <v>56</v>
      </c>
      <c r="F1233" s="1" t="s">
        <v>101</v>
      </c>
      <c r="G1233">
        <v>18</v>
      </c>
      <c r="H1233">
        <v>4</v>
      </c>
      <c r="I1233" s="2">
        <f t="shared" si="57"/>
        <v>7.0683839999999991</v>
      </c>
      <c r="J1233">
        <f t="shared" si="58"/>
        <v>0.61464208695652167</v>
      </c>
      <c r="K1233">
        <f t="shared" si="59"/>
        <v>0.18460130582397491</v>
      </c>
    </row>
    <row r="1234" spans="1:11" x14ac:dyDescent="0.25">
      <c r="A1234" s="1">
        <v>2015</v>
      </c>
      <c r="B1234" s="1" t="s">
        <v>104</v>
      </c>
      <c r="C1234" t="s">
        <v>9</v>
      </c>
      <c r="D1234" s="1" t="s">
        <v>3</v>
      </c>
      <c r="E1234">
        <v>56</v>
      </c>
      <c r="F1234" s="1" t="s">
        <v>101</v>
      </c>
      <c r="G1234">
        <v>20</v>
      </c>
      <c r="H1234">
        <v>1</v>
      </c>
      <c r="I1234" s="2">
        <f t="shared" si="57"/>
        <v>2.1816</v>
      </c>
      <c r="J1234">
        <f t="shared" si="58"/>
        <v>0.18970434782608694</v>
      </c>
      <c r="K1234">
        <f t="shared" si="59"/>
        <v>5.6975711674066329E-2</v>
      </c>
    </row>
    <row r="1235" spans="1:11" x14ac:dyDescent="0.25">
      <c r="A1235" s="1">
        <v>2015</v>
      </c>
      <c r="B1235" s="1" t="s">
        <v>104</v>
      </c>
      <c r="C1235" t="s">
        <v>9</v>
      </c>
      <c r="D1235" s="1" t="s">
        <v>3</v>
      </c>
      <c r="E1235">
        <v>56</v>
      </c>
      <c r="F1235" s="1" t="s">
        <v>101</v>
      </c>
      <c r="G1235">
        <v>22</v>
      </c>
      <c r="H1235">
        <v>1</v>
      </c>
      <c r="I1235" s="2">
        <f t="shared" si="57"/>
        <v>2.6397359999999996</v>
      </c>
      <c r="J1235">
        <f t="shared" si="58"/>
        <v>0.2295422608695652</v>
      </c>
      <c r="K1235">
        <f t="shared" si="59"/>
        <v>6.8940611125620263E-2</v>
      </c>
    </row>
    <row r="1236" spans="1:11" x14ac:dyDescent="0.25">
      <c r="A1236" s="1">
        <v>2015</v>
      </c>
      <c r="B1236" s="1" t="s">
        <v>104</v>
      </c>
      <c r="C1236" t="s">
        <v>9</v>
      </c>
      <c r="D1236" s="1" t="s">
        <v>3</v>
      </c>
      <c r="E1236">
        <v>63</v>
      </c>
      <c r="F1236" s="1" t="s">
        <v>101</v>
      </c>
      <c r="G1236">
        <v>6</v>
      </c>
      <c r="H1236">
        <v>37</v>
      </c>
      <c r="I1236" s="2">
        <f t="shared" si="57"/>
        <v>7.2647279999999999</v>
      </c>
      <c r="J1236">
        <f t="shared" si="58"/>
        <v>0.6317154782608696</v>
      </c>
      <c r="K1236">
        <f t="shared" si="59"/>
        <v>0.18972911987464092</v>
      </c>
    </row>
    <row r="1237" spans="1:11" x14ac:dyDescent="0.25">
      <c r="A1237" s="1">
        <v>2015</v>
      </c>
      <c r="B1237" s="1" t="s">
        <v>104</v>
      </c>
      <c r="C1237" t="s">
        <v>9</v>
      </c>
      <c r="D1237" s="1" t="s">
        <v>3</v>
      </c>
      <c r="E1237">
        <v>63</v>
      </c>
      <c r="F1237" s="1" t="s">
        <v>101</v>
      </c>
      <c r="G1237">
        <v>8</v>
      </c>
      <c r="H1237">
        <v>6</v>
      </c>
      <c r="I1237" s="2">
        <f t="shared" si="57"/>
        <v>2.0943359999999998</v>
      </c>
      <c r="J1237">
        <f t="shared" si="58"/>
        <v>0.18211617391304347</v>
      </c>
      <c r="K1237">
        <f t="shared" si="59"/>
        <v>5.4696683207103677E-2</v>
      </c>
    </row>
    <row r="1238" spans="1:11" x14ac:dyDescent="0.25">
      <c r="A1238" s="1">
        <v>2015</v>
      </c>
      <c r="B1238" s="1" t="s">
        <v>104</v>
      </c>
      <c r="C1238" t="s">
        <v>9</v>
      </c>
      <c r="D1238" s="1" t="s">
        <v>3</v>
      </c>
      <c r="E1238">
        <v>63</v>
      </c>
      <c r="F1238" s="1" t="s">
        <v>101</v>
      </c>
      <c r="G1238">
        <v>10</v>
      </c>
      <c r="H1238">
        <v>3</v>
      </c>
      <c r="I1238" s="2">
        <f t="shared" si="57"/>
        <v>1.6362000000000001</v>
      </c>
      <c r="J1238">
        <f t="shared" si="58"/>
        <v>0.14227826086956522</v>
      </c>
      <c r="K1238">
        <f t="shared" si="59"/>
        <v>4.273178375554975E-2</v>
      </c>
    </row>
    <row r="1239" spans="1:11" x14ac:dyDescent="0.25">
      <c r="A1239" s="1">
        <v>2015</v>
      </c>
      <c r="B1239" s="1" t="s">
        <v>104</v>
      </c>
      <c r="C1239" t="s">
        <v>9</v>
      </c>
      <c r="D1239" s="1" t="s">
        <v>3</v>
      </c>
      <c r="E1239">
        <v>65</v>
      </c>
      <c r="F1239" s="1" t="s">
        <v>101</v>
      </c>
      <c r="G1239">
        <v>6</v>
      </c>
      <c r="H1239">
        <v>1</v>
      </c>
      <c r="I1239" s="2">
        <f t="shared" si="57"/>
        <v>0.19634399999999999</v>
      </c>
      <c r="J1239">
        <f t="shared" si="58"/>
        <v>1.7073391304347825E-2</v>
      </c>
      <c r="K1239">
        <f t="shared" si="59"/>
        <v>5.1278140506659702E-3</v>
      </c>
    </row>
    <row r="1240" spans="1:11" x14ac:dyDescent="0.25">
      <c r="A1240" s="1">
        <v>2015</v>
      </c>
      <c r="B1240" s="1" t="s">
        <v>104</v>
      </c>
      <c r="C1240" t="s">
        <v>9</v>
      </c>
      <c r="D1240" s="1" t="s">
        <v>3</v>
      </c>
      <c r="E1240">
        <v>65</v>
      </c>
      <c r="F1240" s="1" t="s">
        <v>101</v>
      </c>
      <c r="G1240">
        <v>8</v>
      </c>
      <c r="H1240">
        <v>1</v>
      </c>
      <c r="I1240" s="2">
        <f t="shared" si="57"/>
        <v>0.34905599999999998</v>
      </c>
      <c r="J1240">
        <f t="shared" si="58"/>
        <v>3.0352695652173911E-2</v>
      </c>
      <c r="K1240">
        <f t="shared" si="59"/>
        <v>9.1161138678506129E-3</v>
      </c>
    </row>
    <row r="1241" spans="1:11" x14ac:dyDescent="0.25">
      <c r="A1241" s="1">
        <v>2015</v>
      </c>
      <c r="B1241" s="1" t="s">
        <v>104</v>
      </c>
      <c r="C1241" t="s">
        <v>9</v>
      </c>
      <c r="D1241" s="1" t="s">
        <v>3</v>
      </c>
      <c r="E1241">
        <v>66</v>
      </c>
      <c r="F1241" s="1" t="s">
        <v>101</v>
      </c>
      <c r="G1241">
        <v>6</v>
      </c>
      <c r="H1241">
        <v>1</v>
      </c>
      <c r="I1241" s="2">
        <f t="shared" si="57"/>
        <v>0.19634399999999999</v>
      </c>
      <c r="J1241">
        <f t="shared" si="58"/>
        <v>1.7073391304347825E-2</v>
      </c>
      <c r="K1241">
        <f t="shared" si="59"/>
        <v>5.1278140506659702E-3</v>
      </c>
    </row>
    <row r="1242" spans="1:11" x14ac:dyDescent="0.25">
      <c r="A1242" s="1">
        <v>2015</v>
      </c>
      <c r="B1242" s="1" t="s">
        <v>104</v>
      </c>
      <c r="C1242" t="s">
        <v>9</v>
      </c>
      <c r="D1242" s="1" t="s">
        <v>3</v>
      </c>
      <c r="E1242">
        <v>66</v>
      </c>
      <c r="F1242" s="1" t="s">
        <v>101</v>
      </c>
      <c r="G1242">
        <v>12</v>
      </c>
      <c r="H1242">
        <v>1</v>
      </c>
      <c r="I1242" s="2">
        <f t="shared" si="57"/>
        <v>0.78537599999999996</v>
      </c>
      <c r="J1242">
        <f t="shared" si="58"/>
        <v>6.82935652173913E-2</v>
      </c>
      <c r="K1242">
        <f t="shared" si="59"/>
        <v>2.0511256202663881E-2</v>
      </c>
    </row>
    <row r="1243" spans="1:11" x14ac:dyDescent="0.25">
      <c r="A1243" s="1">
        <v>2015</v>
      </c>
      <c r="B1243" s="1" t="s">
        <v>104</v>
      </c>
      <c r="C1243" t="s">
        <v>9</v>
      </c>
      <c r="D1243" s="1" t="s">
        <v>3</v>
      </c>
      <c r="E1243">
        <v>66</v>
      </c>
      <c r="F1243" s="1" t="s">
        <v>101</v>
      </c>
      <c r="G1243">
        <v>14</v>
      </c>
      <c r="H1243">
        <v>1</v>
      </c>
      <c r="I1243" s="2">
        <f t="shared" si="57"/>
        <v>1.0689839999999999</v>
      </c>
      <c r="J1243">
        <f t="shared" si="58"/>
        <v>9.295513043478261E-2</v>
      </c>
      <c r="K1243">
        <f t="shared" si="59"/>
        <v>2.7918098720292505E-2</v>
      </c>
    </row>
    <row r="1244" spans="1:11" x14ac:dyDescent="0.25">
      <c r="A1244" s="1">
        <v>2015</v>
      </c>
      <c r="B1244" s="1" t="s">
        <v>104</v>
      </c>
      <c r="C1244" t="s">
        <v>9</v>
      </c>
      <c r="D1244" s="1" t="s">
        <v>3</v>
      </c>
      <c r="E1244">
        <v>66</v>
      </c>
      <c r="F1244" s="1" t="s">
        <v>101</v>
      </c>
      <c r="G1244">
        <v>16</v>
      </c>
      <c r="H1244">
        <v>2</v>
      </c>
      <c r="I1244" s="2">
        <f t="shared" si="57"/>
        <v>2.7924479999999998</v>
      </c>
      <c r="J1244">
        <f t="shared" si="58"/>
        <v>0.24282156521739129</v>
      </c>
      <c r="K1244">
        <f t="shared" si="59"/>
        <v>7.2928910942804903E-2</v>
      </c>
    </row>
    <row r="1245" spans="1:11" x14ac:dyDescent="0.25">
      <c r="A1245" s="1">
        <v>2015</v>
      </c>
      <c r="B1245" s="1" t="s">
        <v>104</v>
      </c>
      <c r="C1245" t="s">
        <v>9</v>
      </c>
      <c r="D1245" s="1" t="s">
        <v>3</v>
      </c>
      <c r="E1245">
        <v>66</v>
      </c>
      <c r="F1245" s="1" t="s">
        <v>101</v>
      </c>
      <c r="G1245">
        <v>18</v>
      </c>
      <c r="H1245">
        <v>2</v>
      </c>
      <c r="I1245" s="2">
        <f t="shared" si="57"/>
        <v>3.5341919999999996</v>
      </c>
      <c r="J1245">
        <f t="shared" si="58"/>
        <v>0.30732104347826084</v>
      </c>
      <c r="K1245">
        <f t="shared" si="59"/>
        <v>9.2300652911987455E-2</v>
      </c>
    </row>
    <row r="1246" spans="1:11" x14ac:dyDescent="0.25">
      <c r="A1246" s="1">
        <v>2015</v>
      </c>
      <c r="B1246" s="1" t="s">
        <v>104</v>
      </c>
      <c r="C1246" t="s">
        <v>9</v>
      </c>
      <c r="D1246" s="1" t="s">
        <v>3</v>
      </c>
      <c r="E1246">
        <v>71</v>
      </c>
      <c r="F1246" s="1" t="s">
        <v>101</v>
      </c>
      <c r="G1246">
        <v>10</v>
      </c>
      <c r="H1246">
        <v>1</v>
      </c>
      <c r="I1246" s="2">
        <f t="shared" si="57"/>
        <v>0.5454</v>
      </c>
      <c r="J1246">
        <f t="shared" si="58"/>
        <v>4.7426086956521736E-2</v>
      </c>
      <c r="K1246">
        <f t="shared" si="59"/>
        <v>1.4243927918516582E-2</v>
      </c>
    </row>
    <row r="1247" spans="1:11" x14ac:dyDescent="0.25">
      <c r="A1247" s="1">
        <v>2015</v>
      </c>
      <c r="B1247" s="1" t="s">
        <v>104</v>
      </c>
      <c r="C1247" t="s">
        <v>9</v>
      </c>
      <c r="D1247" s="1" t="s">
        <v>3</v>
      </c>
      <c r="E1247">
        <v>76</v>
      </c>
      <c r="F1247" s="1" t="s">
        <v>101</v>
      </c>
      <c r="G1247">
        <v>6</v>
      </c>
      <c r="H1247">
        <v>13</v>
      </c>
      <c r="I1247" s="2">
        <f t="shared" si="57"/>
        <v>2.5524719999999999</v>
      </c>
      <c r="J1247">
        <f t="shared" si="58"/>
        <v>0.22195408695652172</v>
      </c>
      <c r="K1247">
        <f t="shared" si="59"/>
        <v>6.6661582658657612E-2</v>
      </c>
    </row>
    <row r="1248" spans="1:11" x14ac:dyDescent="0.25">
      <c r="A1248" s="1">
        <v>2015</v>
      </c>
      <c r="B1248" s="1" t="s">
        <v>104</v>
      </c>
      <c r="C1248" t="s">
        <v>9</v>
      </c>
      <c r="D1248" s="1" t="s">
        <v>3</v>
      </c>
      <c r="E1248">
        <v>76</v>
      </c>
      <c r="F1248" s="1" t="s">
        <v>101</v>
      </c>
      <c r="G1248">
        <v>8</v>
      </c>
      <c r="H1248">
        <v>11</v>
      </c>
      <c r="I1248" s="2">
        <f t="shared" si="57"/>
        <v>3.8396159999999999</v>
      </c>
      <c r="J1248">
        <f t="shared" si="58"/>
        <v>0.33387965217391302</v>
      </c>
      <c r="K1248">
        <f t="shared" si="59"/>
        <v>0.10027725254635675</v>
      </c>
    </row>
    <row r="1249" spans="1:11" x14ac:dyDescent="0.25">
      <c r="A1249" s="1">
        <v>2015</v>
      </c>
      <c r="B1249" s="1" t="s">
        <v>104</v>
      </c>
      <c r="C1249" t="s">
        <v>9</v>
      </c>
      <c r="D1249" s="1" t="s">
        <v>3</v>
      </c>
      <c r="E1249">
        <v>76</v>
      </c>
      <c r="F1249" s="1" t="s">
        <v>101</v>
      </c>
      <c r="G1249">
        <v>10</v>
      </c>
      <c r="H1249">
        <v>5</v>
      </c>
      <c r="I1249" s="2">
        <f t="shared" si="57"/>
        <v>2.7269999999999999</v>
      </c>
      <c r="J1249">
        <f t="shared" si="58"/>
        <v>0.23713043478260867</v>
      </c>
      <c r="K1249">
        <f t="shared" si="59"/>
        <v>7.1219639592582915E-2</v>
      </c>
    </row>
    <row r="1250" spans="1:11" x14ac:dyDescent="0.25">
      <c r="A1250" s="1">
        <v>2015</v>
      </c>
      <c r="B1250" s="1" t="s">
        <v>104</v>
      </c>
      <c r="C1250" t="s">
        <v>9</v>
      </c>
      <c r="D1250" s="1" t="s">
        <v>3</v>
      </c>
      <c r="E1250">
        <v>76</v>
      </c>
      <c r="F1250" s="1" t="s">
        <v>101</v>
      </c>
      <c r="G1250">
        <v>12</v>
      </c>
      <c r="H1250">
        <v>3</v>
      </c>
      <c r="I1250" s="2">
        <f t="shared" si="57"/>
        <v>2.356128</v>
      </c>
      <c r="J1250">
        <f t="shared" si="58"/>
        <v>0.2048806956521739</v>
      </c>
      <c r="K1250">
        <f t="shared" si="59"/>
        <v>6.1533768607991639E-2</v>
      </c>
    </row>
    <row r="1251" spans="1:11" x14ac:dyDescent="0.25">
      <c r="A1251" s="1">
        <v>2015</v>
      </c>
      <c r="B1251" s="1" t="s">
        <v>104</v>
      </c>
      <c r="C1251" t="s">
        <v>9</v>
      </c>
      <c r="D1251" s="1" t="s">
        <v>3</v>
      </c>
      <c r="E1251">
        <v>76</v>
      </c>
      <c r="F1251" s="1" t="s">
        <v>101</v>
      </c>
      <c r="G1251">
        <v>14</v>
      </c>
      <c r="H1251">
        <v>1</v>
      </c>
      <c r="I1251" s="2">
        <f t="shared" si="57"/>
        <v>1.0689839999999999</v>
      </c>
      <c r="J1251">
        <f t="shared" si="58"/>
        <v>9.295513043478261E-2</v>
      </c>
      <c r="K1251">
        <f t="shared" si="59"/>
        <v>2.7918098720292505E-2</v>
      </c>
    </row>
    <row r="1252" spans="1:11" x14ac:dyDescent="0.25">
      <c r="A1252" s="1">
        <v>2015</v>
      </c>
      <c r="B1252" s="1" t="s">
        <v>104</v>
      </c>
      <c r="C1252" t="s">
        <v>9</v>
      </c>
      <c r="D1252" s="1" t="s">
        <v>3</v>
      </c>
      <c r="E1252">
        <v>76</v>
      </c>
      <c r="F1252" s="1" t="s">
        <v>101</v>
      </c>
      <c r="G1252">
        <v>16</v>
      </c>
      <c r="H1252">
        <v>1</v>
      </c>
      <c r="I1252" s="2">
        <f t="shared" si="57"/>
        <v>1.3962239999999999</v>
      </c>
      <c r="J1252">
        <f t="shared" si="58"/>
        <v>0.12141078260869564</v>
      </c>
      <c r="K1252">
        <f t="shared" si="59"/>
        <v>3.6464455471402452E-2</v>
      </c>
    </row>
    <row r="1253" spans="1:11" x14ac:dyDescent="0.25">
      <c r="A1253" s="1">
        <v>2015</v>
      </c>
      <c r="B1253" s="1" t="s">
        <v>104</v>
      </c>
      <c r="C1253" t="s">
        <v>9</v>
      </c>
      <c r="D1253" s="1" t="s">
        <v>3</v>
      </c>
      <c r="E1253">
        <v>76</v>
      </c>
      <c r="F1253" s="1" t="s">
        <v>101</v>
      </c>
      <c r="G1253">
        <v>18</v>
      </c>
      <c r="H1253">
        <v>1</v>
      </c>
      <c r="I1253" s="2">
        <f t="shared" si="57"/>
        <v>1.7670959999999998</v>
      </c>
      <c r="J1253">
        <f t="shared" si="58"/>
        <v>0.15366052173913042</v>
      </c>
      <c r="K1253">
        <f t="shared" si="59"/>
        <v>4.6150326455993727E-2</v>
      </c>
    </row>
    <row r="1254" spans="1:11" x14ac:dyDescent="0.25">
      <c r="A1254" s="1">
        <v>2015</v>
      </c>
      <c r="B1254" s="1" t="s">
        <v>104</v>
      </c>
      <c r="C1254" t="s">
        <v>9</v>
      </c>
      <c r="D1254" s="1" t="s">
        <v>3</v>
      </c>
      <c r="E1254">
        <v>79</v>
      </c>
      <c r="F1254" s="1" t="s">
        <v>101</v>
      </c>
      <c r="G1254">
        <v>6</v>
      </c>
      <c r="H1254">
        <v>131</v>
      </c>
      <c r="I1254" s="2">
        <f t="shared" si="57"/>
        <v>25.721063999999998</v>
      </c>
      <c r="J1254">
        <f t="shared" si="58"/>
        <v>2.2366142608695649</v>
      </c>
      <c r="K1254">
        <f t="shared" si="59"/>
        <v>0.67174364063724201</v>
      </c>
    </row>
    <row r="1255" spans="1:11" x14ac:dyDescent="0.25">
      <c r="A1255" s="1">
        <v>2015</v>
      </c>
      <c r="B1255" s="1" t="s">
        <v>104</v>
      </c>
      <c r="C1255" t="s">
        <v>9</v>
      </c>
      <c r="D1255" s="1" t="s">
        <v>3</v>
      </c>
      <c r="E1255">
        <v>79</v>
      </c>
      <c r="F1255" s="1" t="s">
        <v>101</v>
      </c>
      <c r="G1255">
        <v>8</v>
      </c>
      <c r="H1255">
        <v>118</v>
      </c>
      <c r="I1255" s="2">
        <f t="shared" si="57"/>
        <v>41.188607999999995</v>
      </c>
      <c r="J1255">
        <f t="shared" si="58"/>
        <v>3.5816180869565213</v>
      </c>
      <c r="K1255">
        <f t="shared" si="59"/>
        <v>1.0757014364063722</v>
      </c>
    </row>
    <row r="1256" spans="1:11" x14ac:dyDescent="0.25">
      <c r="A1256" s="1">
        <v>2015</v>
      </c>
      <c r="B1256" s="1" t="s">
        <v>104</v>
      </c>
      <c r="C1256" t="s">
        <v>9</v>
      </c>
      <c r="D1256" s="1" t="s">
        <v>3</v>
      </c>
      <c r="E1256">
        <v>79</v>
      </c>
      <c r="F1256" s="1" t="s">
        <v>101</v>
      </c>
      <c r="G1256">
        <v>10</v>
      </c>
      <c r="H1256">
        <v>101</v>
      </c>
      <c r="I1256" s="2">
        <f t="shared" si="57"/>
        <v>55.0854</v>
      </c>
      <c r="J1256">
        <f t="shared" si="58"/>
        <v>4.7900347826086955</v>
      </c>
      <c r="K1256">
        <f t="shared" si="59"/>
        <v>1.4386367197701748</v>
      </c>
    </row>
    <row r="1257" spans="1:11" x14ac:dyDescent="0.25">
      <c r="A1257" s="1">
        <v>2015</v>
      </c>
      <c r="B1257" s="1" t="s">
        <v>104</v>
      </c>
      <c r="C1257" t="s">
        <v>9</v>
      </c>
      <c r="D1257" s="1" t="s">
        <v>3</v>
      </c>
      <c r="E1257">
        <v>79</v>
      </c>
      <c r="F1257" s="1" t="s">
        <v>101</v>
      </c>
      <c r="G1257">
        <v>12</v>
      </c>
      <c r="H1257">
        <v>81</v>
      </c>
      <c r="I1257" s="2">
        <f t="shared" si="57"/>
        <v>63.615455999999995</v>
      </c>
      <c r="J1257">
        <f t="shared" si="58"/>
        <v>5.5317787826086953</v>
      </c>
      <c r="K1257">
        <f t="shared" si="59"/>
        <v>1.6614117524157741</v>
      </c>
    </row>
    <row r="1258" spans="1:11" x14ac:dyDescent="0.25">
      <c r="A1258" s="1">
        <v>2015</v>
      </c>
      <c r="B1258" s="1" t="s">
        <v>104</v>
      </c>
      <c r="C1258" t="s">
        <v>9</v>
      </c>
      <c r="D1258" s="1" t="s">
        <v>3</v>
      </c>
      <c r="E1258">
        <v>79</v>
      </c>
      <c r="F1258" s="1" t="s">
        <v>101</v>
      </c>
      <c r="G1258">
        <v>14</v>
      </c>
      <c r="H1258">
        <v>37</v>
      </c>
      <c r="I1258" s="2">
        <f t="shared" si="57"/>
        <v>39.552408</v>
      </c>
      <c r="J1258">
        <f t="shared" si="58"/>
        <v>3.4393398260869565</v>
      </c>
      <c r="K1258">
        <f t="shared" si="59"/>
        <v>1.0329696526508227</v>
      </c>
    </row>
    <row r="1259" spans="1:11" x14ac:dyDescent="0.25">
      <c r="A1259" s="1">
        <v>2015</v>
      </c>
      <c r="B1259" s="1" t="s">
        <v>104</v>
      </c>
      <c r="C1259" t="s">
        <v>9</v>
      </c>
      <c r="D1259" s="1" t="s">
        <v>3</v>
      </c>
      <c r="E1259">
        <v>79</v>
      </c>
      <c r="F1259" s="1" t="s">
        <v>101</v>
      </c>
      <c r="G1259">
        <v>16</v>
      </c>
      <c r="H1259">
        <v>26</v>
      </c>
      <c r="I1259" s="2">
        <f t="shared" si="57"/>
        <v>36.301823999999996</v>
      </c>
      <c r="J1259">
        <f t="shared" si="58"/>
        <v>3.1566803478260868</v>
      </c>
      <c r="K1259">
        <f t="shared" si="59"/>
        <v>0.9480758422564638</v>
      </c>
    </row>
    <row r="1260" spans="1:11" x14ac:dyDescent="0.25">
      <c r="A1260" s="1">
        <v>2015</v>
      </c>
      <c r="B1260" s="1" t="s">
        <v>104</v>
      </c>
      <c r="C1260" t="s">
        <v>9</v>
      </c>
      <c r="D1260" s="1" t="s">
        <v>3</v>
      </c>
      <c r="E1260">
        <v>79</v>
      </c>
      <c r="F1260" s="1" t="s">
        <v>101</v>
      </c>
      <c r="G1260">
        <v>18</v>
      </c>
      <c r="H1260">
        <v>13</v>
      </c>
      <c r="I1260" s="2">
        <f t="shared" si="57"/>
        <v>22.972247999999997</v>
      </c>
      <c r="J1260">
        <f t="shared" si="58"/>
        <v>1.9975867826086955</v>
      </c>
      <c r="K1260">
        <f t="shared" si="59"/>
        <v>0.59995424392791841</v>
      </c>
    </row>
    <row r="1261" spans="1:11" x14ac:dyDescent="0.25">
      <c r="A1261" s="1">
        <v>2015</v>
      </c>
      <c r="B1261" s="1" t="s">
        <v>104</v>
      </c>
      <c r="C1261" t="s">
        <v>9</v>
      </c>
      <c r="D1261" s="1" t="s">
        <v>3</v>
      </c>
      <c r="E1261">
        <v>79</v>
      </c>
      <c r="F1261" s="1" t="s">
        <v>101</v>
      </c>
      <c r="G1261">
        <v>20</v>
      </c>
      <c r="H1261">
        <v>1</v>
      </c>
      <c r="I1261" s="2">
        <f t="shared" si="57"/>
        <v>2.1816</v>
      </c>
      <c r="J1261">
        <f t="shared" si="58"/>
        <v>0.18970434782608694</v>
      </c>
      <c r="K1261">
        <f t="shared" si="59"/>
        <v>5.6975711674066329E-2</v>
      </c>
    </row>
    <row r="1262" spans="1:11" x14ac:dyDescent="0.25">
      <c r="A1262" s="1">
        <v>2015</v>
      </c>
      <c r="B1262" s="1" t="s">
        <v>104</v>
      </c>
      <c r="C1262" t="s">
        <v>9</v>
      </c>
      <c r="D1262" s="1" t="s">
        <v>3</v>
      </c>
      <c r="E1262">
        <v>84</v>
      </c>
      <c r="F1262" s="1" t="s">
        <v>101</v>
      </c>
      <c r="G1262">
        <v>6</v>
      </c>
      <c r="H1262">
        <v>1</v>
      </c>
      <c r="I1262" s="2">
        <f t="shared" si="57"/>
        <v>0.19634399999999999</v>
      </c>
      <c r="J1262">
        <f t="shared" si="58"/>
        <v>1.7073391304347825E-2</v>
      </c>
      <c r="K1262">
        <f t="shared" si="59"/>
        <v>5.1278140506659702E-3</v>
      </c>
    </row>
    <row r="1263" spans="1:11" x14ac:dyDescent="0.25">
      <c r="A1263" s="1">
        <v>2015</v>
      </c>
      <c r="B1263" s="1" t="s">
        <v>104</v>
      </c>
      <c r="C1263" t="s">
        <v>9</v>
      </c>
      <c r="D1263" s="1" t="s">
        <v>3</v>
      </c>
      <c r="E1263">
        <v>85</v>
      </c>
      <c r="F1263" s="1" t="s">
        <v>101</v>
      </c>
      <c r="G1263">
        <v>6</v>
      </c>
      <c r="H1263">
        <v>14</v>
      </c>
      <c r="I1263" s="2">
        <f t="shared" si="57"/>
        <v>2.7488159999999997</v>
      </c>
      <c r="J1263">
        <f t="shared" si="58"/>
        <v>0.23902747826086954</v>
      </c>
      <c r="K1263">
        <f t="shared" si="59"/>
        <v>7.1789396709323577E-2</v>
      </c>
    </row>
    <row r="1264" spans="1:11" x14ac:dyDescent="0.25">
      <c r="A1264" s="1">
        <v>2015</v>
      </c>
      <c r="B1264" s="1" t="s">
        <v>104</v>
      </c>
      <c r="C1264" t="s">
        <v>9</v>
      </c>
      <c r="D1264" s="1" t="s">
        <v>3</v>
      </c>
      <c r="E1264">
        <v>85</v>
      </c>
      <c r="F1264" s="1" t="s">
        <v>101</v>
      </c>
      <c r="G1264">
        <v>8</v>
      </c>
      <c r="H1264">
        <v>1</v>
      </c>
      <c r="I1264" s="2">
        <f t="shared" si="57"/>
        <v>0.34905599999999998</v>
      </c>
      <c r="J1264">
        <f t="shared" si="58"/>
        <v>3.0352695652173911E-2</v>
      </c>
      <c r="K1264">
        <f t="shared" si="59"/>
        <v>9.1161138678506129E-3</v>
      </c>
    </row>
    <row r="1265" spans="1:11" x14ac:dyDescent="0.25">
      <c r="A1265" s="1">
        <v>2015</v>
      </c>
      <c r="B1265" s="1" t="s">
        <v>104</v>
      </c>
      <c r="C1265" t="s">
        <v>9</v>
      </c>
      <c r="D1265" s="1" t="s">
        <v>3</v>
      </c>
      <c r="E1265">
        <v>85</v>
      </c>
      <c r="F1265" s="1" t="s">
        <v>101</v>
      </c>
      <c r="G1265">
        <v>14</v>
      </c>
      <c r="H1265">
        <v>4</v>
      </c>
      <c r="I1265" s="2">
        <f t="shared" si="57"/>
        <v>4.2759359999999997</v>
      </c>
      <c r="J1265">
        <f t="shared" si="58"/>
        <v>0.37182052173913044</v>
      </c>
      <c r="K1265">
        <f t="shared" si="59"/>
        <v>0.11167239488117002</v>
      </c>
    </row>
    <row r="1266" spans="1:11" x14ac:dyDescent="0.25">
      <c r="A1266" s="1">
        <v>2015</v>
      </c>
      <c r="B1266" s="1" t="s">
        <v>104</v>
      </c>
      <c r="C1266" t="s">
        <v>9</v>
      </c>
      <c r="D1266" s="1" t="s">
        <v>3</v>
      </c>
      <c r="E1266">
        <v>85</v>
      </c>
      <c r="F1266" s="1" t="s">
        <v>101</v>
      </c>
      <c r="G1266">
        <v>16</v>
      </c>
      <c r="H1266">
        <v>5</v>
      </c>
      <c r="I1266" s="2">
        <f t="shared" si="57"/>
        <v>6.9811199999999998</v>
      </c>
      <c r="J1266">
        <f t="shared" si="58"/>
        <v>0.60705391304347822</v>
      </c>
      <c r="K1266">
        <f t="shared" si="59"/>
        <v>0.18232227735701226</v>
      </c>
    </row>
    <row r="1267" spans="1:11" x14ac:dyDescent="0.25">
      <c r="A1267" s="1">
        <v>2015</v>
      </c>
      <c r="B1267" s="1" t="s">
        <v>104</v>
      </c>
      <c r="C1267" t="s">
        <v>9</v>
      </c>
      <c r="D1267" s="1" t="s">
        <v>3</v>
      </c>
      <c r="E1267">
        <v>85</v>
      </c>
      <c r="F1267" s="1" t="s">
        <v>101</v>
      </c>
      <c r="G1267">
        <v>18</v>
      </c>
      <c r="H1267">
        <v>2</v>
      </c>
      <c r="I1267" s="2">
        <f t="shared" si="57"/>
        <v>3.5341919999999996</v>
      </c>
      <c r="J1267">
        <f t="shared" si="58"/>
        <v>0.30732104347826084</v>
      </c>
      <c r="K1267">
        <f t="shared" si="59"/>
        <v>9.2300652911987455E-2</v>
      </c>
    </row>
    <row r="1268" spans="1:11" x14ac:dyDescent="0.25">
      <c r="A1268" s="1">
        <v>2015</v>
      </c>
      <c r="B1268" s="1" t="s">
        <v>104</v>
      </c>
      <c r="C1268" t="s">
        <v>9</v>
      </c>
      <c r="D1268" s="1" t="s">
        <v>3</v>
      </c>
      <c r="E1268">
        <v>88</v>
      </c>
      <c r="F1268" s="1" t="s">
        <v>101</v>
      </c>
      <c r="G1268">
        <v>6</v>
      </c>
      <c r="H1268">
        <v>2</v>
      </c>
      <c r="I1268" s="2">
        <f t="shared" si="57"/>
        <v>0.39268799999999998</v>
      </c>
      <c r="J1268">
        <f t="shared" si="58"/>
        <v>3.414678260869565E-2</v>
      </c>
      <c r="K1268">
        <f t="shared" si="59"/>
        <v>1.025562810133194E-2</v>
      </c>
    </row>
    <row r="1269" spans="1:11" x14ac:dyDescent="0.25">
      <c r="A1269" s="1">
        <v>2015</v>
      </c>
      <c r="B1269" s="1" t="s">
        <v>104</v>
      </c>
      <c r="C1269" t="s">
        <v>9</v>
      </c>
      <c r="D1269" s="1" t="s">
        <v>3</v>
      </c>
      <c r="E1269">
        <v>88</v>
      </c>
      <c r="F1269" s="1" t="s">
        <v>101</v>
      </c>
      <c r="G1269">
        <v>10</v>
      </c>
      <c r="H1269">
        <v>2</v>
      </c>
      <c r="I1269" s="2">
        <f t="shared" si="57"/>
        <v>1.0908</v>
      </c>
      <c r="J1269">
        <f t="shared" si="58"/>
        <v>9.4852173913043472E-2</v>
      </c>
      <c r="K1269">
        <f t="shared" si="59"/>
        <v>2.8487855837033164E-2</v>
      </c>
    </row>
    <row r="1270" spans="1:11" x14ac:dyDescent="0.25">
      <c r="A1270" s="1">
        <v>2015</v>
      </c>
      <c r="B1270" s="1" t="s">
        <v>104</v>
      </c>
      <c r="C1270" t="s">
        <v>9</v>
      </c>
      <c r="D1270" s="1" t="s">
        <v>3</v>
      </c>
      <c r="E1270">
        <v>88</v>
      </c>
      <c r="F1270" s="1" t="s">
        <v>101</v>
      </c>
      <c r="G1270">
        <v>12</v>
      </c>
      <c r="H1270">
        <v>1</v>
      </c>
      <c r="I1270" s="2">
        <f t="shared" si="57"/>
        <v>0.78537599999999996</v>
      </c>
      <c r="J1270">
        <f t="shared" si="58"/>
        <v>6.82935652173913E-2</v>
      </c>
      <c r="K1270">
        <f t="shared" si="59"/>
        <v>2.0511256202663881E-2</v>
      </c>
    </row>
    <row r="1271" spans="1:11" x14ac:dyDescent="0.25">
      <c r="A1271" s="1">
        <v>2015</v>
      </c>
      <c r="B1271" s="1" t="s">
        <v>104</v>
      </c>
      <c r="C1271" t="s">
        <v>9</v>
      </c>
      <c r="D1271" s="1" t="s">
        <v>3</v>
      </c>
      <c r="E1271">
        <v>91</v>
      </c>
      <c r="F1271" s="1" t="s">
        <v>101</v>
      </c>
      <c r="G1271">
        <v>8</v>
      </c>
      <c r="H1271">
        <v>1</v>
      </c>
      <c r="I1271" s="2">
        <f t="shared" si="57"/>
        <v>0.34905599999999998</v>
      </c>
      <c r="J1271">
        <f t="shared" si="58"/>
        <v>3.0352695652173911E-2</v>
      </c>
      <c r="K1271">
        <f t="shared" si="59"/>
        <v>9.1161138678506129E-3</v>
      </c>
    </row>
    <row r="1272" spans="1:11" x14ac:dyDescent="0.25">
      <c r="A1272" s="1">
        <v>2015</v>
      </c>
      <c r="B1272" s="1" t="s">
        <v>104</v>
      </c>
      <c r="C1272" t="s">
        <v>9</v>
      </c>
      <c r="D1272" s="1" t="s">
        <v>3</v>
      </c>
      <c r="E1272">
        <v>91</v>
      </c>
      <c r="F1272" s="1" t="s">
        <v>101</v>
      </c>
      <c r="G1272">
        <v>10</v>
      </c>
      <c r="H1272">
        <v>1</v>
      </c>
      <c r="I1272" s="2">
        <f t="shared" si="57"/>
        <v>0.5454</v>
      </c>
      <c r="J1272">
        <f t="shared" si="58"/>
        <v>4.7426086956521736E-2</v>
      </c>
      <c r="K1272">
        <f t="shared" si="59"/>
        <v>1.4243927918516582E-2</v>
      </c>
    </row>
    <row r="1273" spans="1:11" x14ac:dyDescent="0.25">
      <c r="A1273" s="1">
        <v>2015</v>
      </c>
      <c r="B1273" s="1" t="s">
        <v>104</v>
      </c>
      <c r="C1273" t="s">
        <v>9</v>
      </c>
      <c r="D1273" s="1" t="s">
        <v>3</v>
      </c>
      <c r="E1273">
        <v>91</v>
      </c>
      <c r="F1273" s="1" t="s">
        <v>101</v>
      </c>
      <c r="G1273">
        <v>14</v>
      </c>
      <c r="H1273">
        <v>1</v>
      </c>
      <c r="I1273" s="2">
        <f t="shared" si="57"/>
        <v>1.0689839999999999</v>
      </c>
      <c r="J1273">
        <f t="shared" si="58"/>
        <v>9.295513043478261E-2</v>
      </c>
      <c r="K1273">
        <f t="shared" si="59"/>
        <v>2.7918098720292505E-2</v>
      </c>
    </row>
    <row r="1274" spans="1:11" x14ac:dyDescent="0.25">
      <c r="A1274" s="1">
        <v>2015</v>
      </c>
      <c r="B1274" s="1" t="s">
        <v>104</v>
      </c>
      <c r="C1274" t="s">
        <v>9</v>
      </c>
      <c r="D1274" s="1" t="s">
        <v>3</v>
      </c>
      <c r="E1274">
        <v>91</v>
      </c>
      <c r="F1274" s="1" t="s">
        <v>101</v>
      </c>
      <c r="G1274">
        <v>16</v>
      </c>
      <c r="H1274">
        <v>1</v>
      </c>
      <c r="I1274" s="2">
        <f t="shared" si="57"/>
        <v>1.3962239999999999</v>
      </c>
      <c r="J1274">
        <f t="shared" si="58"/>
        <v>0.12141078260869564</v>
      </c>
      <c r="K1274">
        <f t="shared" si="59"/>
        <v>3.6464455471402452E-2</v>
      </c>
    </row>
    <row r="1275" spans="1:11" x14ac:dyDescent="0.25">
      <c r="A1275" s="1">
        <v>2015</v>
      </c>
      <c r="B1275" s="1" t="s">
        <v>104</v>
      </c>
      <c r="C1275" t="s">
        <v>9</v>
      </c>
      <c r="D1275" s="1" t="s">
        <v>5</v>
      </c>
      <c r="E1275">
        <v>32</v>
      </c>
      <c r="F1275" s="1" t="s">
        <v>101</v>
      </c>
      <c r="G1275">
        <v>6</v>
      </c>
      <c r="H1275">
        <v>11</v>
      </c>
      <c r="I1275" s="2">
        <f t="shared" si="57"/>
        <v>2.1597839999999997</v>
      </c>
      <c r="J1275">
        <f t="shared" si="58"/>
        <v>0.18780730434782605</v>
      </c>
      <c r="K1275">
        <f t="shared" si="59"/>
        <v>5.6405954557325659E-2</v>
      </c>
    </row>
    <row r="1276" spans="1:11" x14ac:dyDescent="0.25">
      <c r="A1276" s="1">
        <v>2015</v>
      </c>
      <c r="B1276" s="1" t="s">
        <v>104</v>
      </c>
      <c r="C1276" t="s">
        <v>9</v>
      </c>
      <c r="D1276" s="1" t="s">
        <v>5</v>
      </c>
      <c r="E1276">
        <v>32</v>
      </c>
      <c r="F1276" s="1" t="s">
        <v>101</v>
      </c>
      <c r="G1276">
        <v>8</v>
      </c>
      <c r="H1276">
        <v>2</v>
      </c>
      <c r="I1276" s="2">
        <f t="shared" si="57"/>
        <v>0.69811199999999995</v>
      </c>
      <c r="J1276">
        <f t="shared" si="58"/>
        <v>6.0705391304347822E-2</v>
      </c>
      <c r="K1276">
        <f t="shared" si="59"/>
        <v>1.8232227735701226E-2</v>
      </c>
    </row>
    <row r="1277" spans="1:11" x14ac:dyDescent="0.25">
      <c r="A1277" s="1">
        <v>2015</v>
      </c>
      <c r="B1277" s="1" t="s">
        <v>104</v>
      </c>
      <c r="C1277" t="s">
        <v>9</v>
      </c>
      <c r="D1277" s="1" t="s">
        <v>5</v>
      </c>
      <c r="E1277">
        <v>32</v>
      </c>
      <c r="F1277" s="1" t="s">
        <v>101</v>
      </c>
      <c r="G1277">
        <v>10</v>
      </c>
      <c r="H1277">
        <v>1</v>
      </c>
      <c r="I1277" s="2">
        <f t="shared" si="57"/>
        <v>0.5454</v>
      </c>
      <c r="J1277">
        <f t="shared" si="58"/>
        <v>4.7426086956521736E-2</v>
      </c>
      <c r="K1277">
        <f t="shared" si="59"/>
        <v>1.4243927918516582E-2</v>
      </c>
    </row>
    <row r="1278" spans="1:11" x14ac:dyDescent="0.25">
      <c r="A1278" s="1">
        <v>2015</v>
      </c>
      <c r="B1278" s="1" t="s">
        <v>104</v>
      </c>
      <c r="C1278" t="s">
        <v>9</v>
      </c>
      <c r="D1278" s="1" t="s">
        <v>5</v>
      </c>
      <c r="E1278">
        <v>32</v>
      </c>
      <c r="F1278" s="1" t="s">
        <v>101</v>
      </c>
      <c r="G1278">
        <v>14</v>
      </c>
      <c r="H1278">
        <v>1</v>
      </c>
      <c r="I1278" s="2">
        <f t="shared" si="57"/>
        <v>1.0689839999999999</v>
      </c>
      <c r="J1278">
        <f t="shared" si="58"/>
        <v>9.295513043478261E-2</v>
      </c>
      <c r="K1278">
        <f t="shared" si="59"/>
        <v>2.7918098720292505E-2</v>
      </c>
    </row>
    <row r="1279" spans="1:11" x14ac:dyDescent="0.25">
      <c r="A1279" s="1">
        <v>2015</v>
      </c>
      <c r="B1279" s="1" t="s">
        <v>104</v>
      </c>
      <c r="C1279" t="s">
        <v>9</v>
      </c>
      <c r="D1279" s="1" t="s">
        <v>5</v>
      </c>
      <c r="E1279">
        <v>34</v>
      </c>
      <c r="F1279" s="1" t="s">
        <v>101</v>
      </c>
      <c r="G1279">
        <v>6</v>
      </c>
      <c r="H1279">
        <v>2</v>
      </c>
      <c r="I1279" s="2">
        <f t="shared" si="57"/>
        <v>0.39268799999999998</v>
      </c>
      <c r="J1279">
        <f t="shared" si="58"/>
        <v>3.414678260869565E-2</v>
      </c>
      <c r="K1279">
        <f t="shared" si="59"/>
        <v>1.025562810133194E-2</v>
      </c>
    </row>
    <row r="1280" spans="1:11" x14ac:dyDescent="0.25">
      <c r="A1280" s="1">
        <v>2015</v>
      </c>
      <c r="B1280" s="1" t="s">
        <v>104</v>
      </c>
      <c r="C1280" t="s">
        <v>9</v>
      </c>
      <c r="D1280" s="1" t="s">
        <v>5</v>
      </c>
      <c r="E1280">
        <v>34</v>
      </c>
      <c r="F1280" s="1" t="s">
        <v>101</v>
      </c>
      <c r="G1280">
        <v>8</v>
      </c>
      <c r="H1280">
        <v>1</v>
      </c>
      <c r="I1280" s="2">
        <f t="shared" si="57"/>
        <v>0.34905599999999998</v>
      </c>
      <c r="J1280">
        <f t="shared" si="58"/>
        <v>3.0352695652173911E-2</v>
      </c>
      <c r="K1280">
        <f t="shared" si="59"/>
        <v>9.1161138678506129E-3</v>
      </c>
    </row>
    <row r="1281" spans="1:11" x14ac:dyDescent="0.25">
      <c r="A1281" s="1">
        <v>2015</v>
      </c>
      <c r="B1281" s="1" t="s">
        <v>104</v>
      </c>
      <c r="C1281" t="s">
        <v>9</v>
      </c>
      <c r="D1281" s="1" t="s">
        <v>5</v>
      </c>
      <c r="E1281">
        <v>38</v>
      </c>
      <c r="F1281" s="1" t="s">
        <v>101</v>
      </c>
      <c r="G1281">
        <v>6</v>
      </c>
      <c r="H1281">
        <v>1</v>
      </c>
      <c r="I1281" s="2">
        <f t="shared" si="57"/>
        <v>0.19634399999999999</v>
      </c>
      <c r="J1281">
        <f t="shared" si="58"/>
        <v>1.7073391304347825E-2</v>
      </c>
      <c r="K1281">
        <f t="shared" si="59"/>
        <v>5.1278140506659702E-3</v>
      </c>
    </row>
    <row r="1282" spans="1:11" x14ac:dyDescent="0.25">
      <c r="A1282" s="1">
        <v>2015</v>
      </c>
      <c r="B1282" s="1" t="s">
        <v>104</v>
      </c>
      <c r="C1282" t="s">
        <v>9</v>
      </c>
      <c r="D1282" s="1" t="s">
        <v>5</v>
      </c>
      <c r="E1282">
        <v>38</v>
      </c>
      <c r="F1282" s="1" t="s">
        <v>101</v>
      </c>
      <c r="G1282">
        <v>8</v>
      </c>
      <c r="H1282">
        <v>1</v>
      </c>
      <c r="I1282" s="2">
        <f t="shared" si="57"/>
        <v>0.34905599999999998</v>
      </c>
      <c r="J1282">
        <f t="shared" si="58"/>
        <v>3.0352695652173911E-2</v>
      </c>
      <c r="K1282">
        <f t="shared" si="59"/>
        <v>9.1161138678506129E-3</v>
      </c>
    </row>
    <row r="1283" spans="1:11" x14ac:dyDescent="0.25">
      <c r="A1283" s="1">
        <v>2015</v>
      </c>
      <c r="B1283" s="1" t="s">
        <v>104</v>
      </c>
      <c r="C1283" t="s">
        <v>9</v>
      </c>
      <c r="D1283" s="1" t="s">
        <v>5</v>
      </c>
      <c r="E1283">
        <v>40</v>
      </c>
      <c r="F1283" s="1" t="s">
        <v>101</v>
      </c>
      <c r="G1283">
        <v>12</v>
      </c>
      <c r="H1283">
        <v>2</v>
      </c>
      <c r="I1283" s="2">
        <f t="shared" ref="I1283:I1346" si="60">0.005454*G1283^2*H1283</f>
        <v>1.5707519999999999</v>
      </c>
      <c r="J1283">
        <f t="shared" ref="J1283:J1346" si="61">I1283/11.5</f>
        <v>0.1365871304347826</v>
      </c>
      <c r="K1283">
        <f t="shared" ref="K1283:K1346" si="62">J1283*(11.5/38.29)</f>
        <v>4.1022512405327761E-2</v>
      </c>
    </row>
    <row r="1284" spans="1:11" x14ac:dyDescent="0.25">
      <c r="A1284" s="1">
        <v>2015</v>
      </c>
      <c r="B1284" s="1" t="s">
        <v>104</v>
      </c>
      <c r="C1284" t="s">
        <v>9</v>
      </c>
      <c r="D1284" s="1" t="s">
        <v>5</v>
      </c>
      <c r="E1284">
        <v>41</v>
      </c>
      <c r="F1284" s="1" t="s">
        <v>101</v>
      </c>
      <c r="G1284">
        <v>16</v>
      </c>
      <c r="H1284">
        <v>1</v>
      </c>
      <c r="I1284" s="2">
        <f t="shared" si="60"/>
        <v>1.3962239999999999</v>
      </c>
      <c r="J1284">
        <f t="shared" si="61"/>
        <v>0.12141078260869564</v>
      </c>
      <c r="K1284">
        <f t="shared" si="62"/>
        <v>3.6464455471402452E-2</v>
      </c>
    </row>
    <row r="1285" spans="1:11" x14ac:dyDescent="0.25">
      <c r="A1285" s="1">
        <v>2015</v>
      </c>
      <c r="B1285" s="1" t="s">
        <v>104</v>
      </c>
      <c r="C1285" t="s">
        <v>9</v>
      </c>
      <c r="D1285" s="1" t="s">
        <v>5</v>
      </c>
      <c r="E1285">
        <v>41</v>
      </c>
      <c r="F1285" s="1" t="s">
        <v>101</v>
      </c>
      <c r="G1285">
        <v>18</v>
      </c>
      <c r="H1285">
        <v>1</v>
      </c>
      <c r="I1285" s="2">
        <f t="shared" si="60"/>
        <v>1.7670959999999998</v>
      </c>
      <c r="J1285">
        <f t="shared" si="61"/>
        <v>0.15366052173913042</v>
      </c>
      <c r="K1285">
        <f t="shared" si="62"/>
        <v>4.6150326455993727E-2</v>
      </c>
    </row>
    <row r="1286" spans="1:11" x14ac:dyDescent="0.25">
      <c r="A1286" s="1">
        <v>2015</v>
      </c>
      <c r="B1286" s="1" t="s">
        <v>104</v>
      </c>
      <c r="C1286" t="s">
        <v>9</v>
      </c>
      <c r="D1286" s="1" t="s">
        <v>5</v>
      </c>
      <c r="E1286">
        <v>53</v>
      </c>
      <c r="F1286" s="1" t="s">
        <v>101</v>
      </c>
      <c r="G1286">
        <v>6</v>
      </c>
      <c r="H1286">
        <v>2</v>
      </c>
      <c r="I1286" s="2">
        <f t="shared" si="60"/>
        <v>0.39268799999999998</v>
      </c>
      <c r="J1286">
        <f t="shared" si="61"/>
        <v>3.414678260869565E-2</v>
      </c>
      <c r="K1286">
        <f t="shared" si="62"/>
        <v>1.025562810133194E-2</v>
      </c>
    </row>
    <row r="1287" spans="1:11" x14ac:dyDescent="0.25">
      <c r="A1287" s="1">
        <v>2015</v>
      </c>
      <c r="B1287" s="1" t="s">
        <v>104</v>
      </c>
      <c r="C1287" t="s">
        <v>9</v>
      </c>
      <c r="D1287" s="1" t="s">
        <v>5</v>
      </c>
      <c r="E1287">
        <v>53</v>
      </c>
      <c r="F1287" s="1" t="s">
        <v>101</v>
      </c>
      <c r="G1287">
        <v>10</v>
      </c>
      <c r="H1287">
        <v>1</v>
      </c>
      <c r="I1287" s="2">
        <f t="shared" si="60"/>
        <v>0.5454</v>
      </c>
      <c r="J1287">
        <f t="shared" si="61"/>
        <v>4.7426086956521736E-2</v>
      </c>
      <c r="K1287">
        <f t="shared" si="62"/>
        <v>1.4243927918516582E-2</v>
      </c>
    </row>
    <row r="1288" spans="1:11" x14ac:dyDescent="0.25">
      <c r="A1288" s="1">
        <v>2015</v>
      </c>
      <c r="B1288" s="1" t="s">
        <v>104</v>
      </c>
      <c r="C1288" t="s">
        <v>9</v>
      </c>
      <c r="D1288" s="1" t="s">
        <v>5</v>
      </c>
      <c r="E1288">
        <v>58</v>
      </c>
      <c r="F1288" s="1" t="s">
        <v>101</v>
      </c>
      <c r="G1288">
        <v>8</v>
      </c>
      <c r="H1288">
        <v>2</v>
      </c>
      <c r="I1288" s="2">
        <f t="shared" si="60"/>
        <v>0.69811199999999995</v>
      </c>
      <c r="J1288">
        <f t="shared" si="61"/>
        <v>6.0705391304347822E-2</v>
      </c>
      <c r="K1288">
        <f t="shared" si="62"/>
        <v>1.8232227735701226E-2</v>
      </c>
    </row>
    <row r="1289" spans="1:11" x14ac:dyDescent="0.25">
      <c r="A1289" s="1">
        <v>2015</v>
      </c>
      <c r="B1289" s="1" t="s">
        <v>104</v>
      </c>
      <c r="C1289" t="s">
        <v>9</v>
      </c>
      <c r="D1289" s="1" t="s">
        <v>5</v>
      </c>
      <c r="E1289">
        <v>76</v>
      </c>
      <c r="F1289" s="1" t="s">
        <v>101</v>
      </c>
      <c r="G1289">
        <v>8</v>
      </c>
      <c r="H1289">
        <v>1</v>
      </c>
      <c r="I1289" s="2">
        <f t="shared" si="60"/>
        <v>0.34905599999999998</v>
      </c>
      <c r="J1289">
        <f t="shared" si="61"/>
        <v>3.0352695652173911E-2</v>
      </c>
      <c r="K1289">
        <f t="shared" si="62"/>
        <v>9.1161138678506129E-3</v>
      </c>
    </row>
    <row r="1290" spans="1:11" x14ac:dyDescent="0.25">
      <c r="A1290" s="1">
        <v>2015</v>
      </c>
      <c r="B1290" s="1" t="s">
        <v>104</v>
      </c>
      <c r="C1290" t="s">
        <v>9</v>
      </c>
      <c r="D1290" s="1" t="s">
        <v>5</v>
      </c>
      <c r="E1290">
        <v>76</v>
      </c>
      <c r="F1290" s="1" t="s">
        <v>101</v>
      </c>
      <c r="G1290">
        <v>10</v>
      </c>
      <c r="H1290">
        <v>1</v>
      </c>
      <c r="I1290" s="2">
        <f t="shared" si="60"/>
        <v>0.5454</v>
      </c>
      <c r="J1290">
        <f t="shared" si="61"/>
        <v>4.7426086956521736E-2</v>
      </c>
      <c r="K1290">
        <f t="shared" si="62"/>
        <v>1.4243927918516582E-2</v>
      </c>
    </row>
    <row r="1291" spans="1:11" x14ac:dyDescent="0.25">
      <c r="A1291" s="1">
        <v>2015</v>
      </c>
      <c r="B1291" s="1" t="s">
        <v>104</v>
      </c>
      <c r="C1291" t="s">
        <v>9</v>
      </c>
      <c r="D1291" s="1" t="s">
        <v>5</v>
      </c>
      <c r="E1291">
        <v>79</v>
      </c>
      <c r="F1291" s="1" t="s">
        <v>101</v>
      </c>
      <c r="G1291">
        <v>6</v>
      </c>
      <c r="H1291">
        <v>14</v>
      </c>
      <c r="I1291" s="2">
        <f t="shared" si="60"/>
        <v>2.7488159999999997</v>
      </c>
      <c r="J1291">
        <f t="shared" si="61"/>
        <v>0.23902747826086954</v>
      </c>
      <c r="K1291">
        <f t="shared" si="62"/>
        <v>7.1789396709323577E-2</v>
      </c>
    </row>
    <row r="1292" spans="1:11" x14ac:dyDescent="0.25">
      <c r="A1292" s="1">
        <v>2015</v>
      </c>
      <c r="B1292" s="1" t="s">
        <v>104</v>
      </c>
      <c r="C1292" t="s">
        <v>9</v>
      </c>
      <c r="D1292" s="1" t="s">
        <v>5</v>
      </c>
      <c r="E1292">
        <v>79</v>
      </c>
      <c r="F1292" s="1" t="s">
        <v>101</v>
      </c>
      <c r="G1292">
        <v>8</v>
      </c>
      <c r="H1292">
        <v>9</v>
      </c>
      <c r="I1292" s="2">
        <f t="shared" si="60"/>
        <v>3.1415039999999999</v>
      </c>
      <c r="J1292">
        <f t="shared" si="61"/>
        <v>0.2731742608695652</v>
      </c>
      <c r="K1292">
        <f t="shared" si="62"/>
        <v>8.2045024810655523E-2</v>
      </c>
    </row>
    <row r="1293" spans="1:11" x14ac:dyDescent="0.25">
      <c r="A1293" s="1">
        <v>2015</v>
      </c>
      <c r="B1293" s="1" t="s">
        <v>104</v>
      </c>
      <c r="C1293" t="s">
        <v>9</v>
      </c>
      <c r="D1293" s="1" t="s">
        <v>5</v>
      </c>
      <c r="E1293">
        <v>79</v>
      </c>
      <c r="F1293" s="1" t="s">
        <v>101</v>
      </c>
      <c r="G1293">
        <v>10</v>
      </c>
      <c r="H1293">
        <v>3</v>
      </c>
      <c r="I1293" s="2">
        <f t="shared" si="60"/>
        <v>1.6362000000000001</v>
      </c>
      <c r="J1293">
        <f t="shared" si="61"/>
        <v>0.14227826086956522</v>
      </c>
      <c r="K1293">
        <f t="shared" si="62"/>
        <v>4.273178375554975E-2</v>
      </c>
    </row>
    <row r="1294" spans="1:11" x14ac:dyDescent="0.25">
      <c r="A1294" s="1">
        <v>2015</v>
      </c>
      <c r="B1294" s="1" t="s">
        <v>104</v>
      </c>
      <c r="C1294" t="s">
        <v>9</v>
      </c>
      <c r="D1294" s="1" t="s">
        <v>5</v>
      </c>
      <c r="E1294">
        <v>79</v>
      </c>
      <c r="F1294" s="1" t="s">
        <v>101</v>
      </c>
      <c r="G1294">
        <v>12</v>
      </c>
      <c r="H1294">
        <v>2</v>
      </c>
      <c r="I1294" s="2">
        <f t="shared" si="60"/>
        <v>1.5707519999999999</v>
      </c>
      <c r="J1294">
        <f t="shared" si="61"/>
        <v>0.1365871304347826</v>
      </c>
      <c r="K1294">
        <f t="shared" si="62"/>
        <v>4.1022512405327761E-2</v>
      </c>
    </row>
    <row r="1295" spans="1:11" x14ac:dyDescent="0.25">
      <c r="A1295" s="1">
        <v>2015</v>
      </c>
      <c r="B1295" s="1" t="s">
        <v>104</v>
      </c>
      <c r="C1295" t="s">
        <v>9</v>
      </c>
      <c r="D1295" s="1" t="s">
        <v>5</v>
      </c>
      <c r="E1295">
        <v>79</v>
      </c>
      <c r="F1295" s="1" t="s">
        <v>101</v>
      </c>
      <c r="G1295">
        <v>14</v>
      </c>
      <c r="H1295">
        <v>1</v>
      </c>
      <c r="I1295" s="2">
        <f t="shared" si="60"/>
        <v>1.0689839999999999</v>
      </c>
      <c r="J1295">
        <f t="shared" si="61"/>
        <v>9.295513043478261E-2</v>
      </c>
      <c r="K1295">
        <f t="shared" si="62"/>
        <v>2.7918098720292505E-2</v>
      </c>
    </row>
    <row r="1296" spans="1:11" x14ac:dyDescent="0.25">
      <c r="A1296" s="1">
        <v>2015</v>
      </c>
      <c r="B1296" s="1" t="s">
        <v>104</v>
      </c>
      <c r="C1296" t="s">
        <v>9</v>
      </c>
      <c r="D1296" s="1" t="s">
        <v>5</v>
      </c>
      <c r="E1296">
        <v>79</v>
      </c>
      <c r="F1296" s="1" t="s">
        <v>101</v>
      </c>
      <c r="G1296">
        <v>16</v>
      </c>
      <c r="H1296">
        <v>3</v>
      </c>
      <c r="I1296" s="2">
        <f t="shared" si="60"/>
        <v>4.1886719999999995</v>
      </c>
      <c r="J1296">
        <f t="shared" si="61"/>
        <v>0.36423234782608693</v>
      </c>
      <c r="K1296">
        <f t="shared" si="62"/>
        <v>0.10939336641420735</v>
      </c>
    </row>
    <row r="1297" spans="1:11" x14ac:dyDescent="0.25">
      <c r="A1297" s="1">
        <v>2015</v>
      </c>
      <c r="B1297" s="1" t="s">
        <v>104</v>
      </c>
      <c r="C1297" t="s">
        <v>9</v>
      </c>
      <c r="D1297" s="1" t="s">
        <v>5</v>
      </c>
      <c r="E1297">
        <v>79</v>
      </c>
      <c r="F1297" s="1" t="s">
        <v>101</v>
      </c>
      <c r="G1297">
        <v>18</v>
      </c>
      <c r="H1297">
        <v>1</v>
      </c>
      <c r="I1297" s="2">
        <f t="shared" si="60"/>
        <v>1.7670959999999998</v>
      </c>
      <c r="J1297">
        <f t="shared" si="61"/>
        <v>0.15366052173913042</v>
      </c>
      <c r="K1297">
        <f t="shared" si="62"/>
        <v>4.6150326455993727E-2</v>
      </c>
    </row>
    <row r="1298" spans="1:11" x14ac:dyDescent="0.25">
      <c r="A1298" s="1">
        <v>2015</v>
      </c>
      <c r="B1298" s="1" t="s">
        <v>104</v>
      </c>
      <c r="C1298" t="s">
        <v>9</v>
      </c>
      <c r="D1298" s="1" t="s">
        <v>5</v>
      </c>
      <c r="E1298">
        <v>85</v>
      </c>
      <c r="F1298" s="1" t="s">
        <v>101</v>
      </c>
      <c r="G1298">
        <v>6</v>
      </c>
      <c r="H1298">
        <v>2</v>
      </c>
      <c r="I1298" s="2">
        <f t="shared" si="60"/>
        <v>0.39268799999999998</v>
      </c>
      <c r="J1298">
        <f t="shared" si="61"/>
        <v>3.414678260869565E-2</v>
      </c>
      <c r="K1298">
        <f t="shared" si="62"/>
        <v>1.025562810133194E-2</v>
      </c>
    </row>
    <row r="1299" spans="1:11" x14ac:dyDescent="0.25">
      <c r="A1299" s="1">
        <v>2015</v>
      </c>
      <c r="B1299" s="1" t="s">
        <v>104</v>
      </c>
      <c r="C1299" t="s">
        <v>9</v>
      </c>
      <c r="D1299" s="1" t="s">
        <v>5</v>
      </c>
      <c r="E1299">
        <v>85</v>
      </c>
      <c r="F1299" s="1" t="s">
        <v>101</v>
      </c>
      <c r="G1299">
        <v>14</v>
      </c>
      <c r="H1299">
        <v>1</v>
      </c>
      <c r="I1299" s="2">
        <f t="shared" si="60"/>
        <v>1.0689839999999999</v>
      </c>
      <c r="J1299">
        <f t="shared" si="61"/>
        <v>9.295513043478261E-2</v>
      </c>
      <c r="K1299">
        <f t="shared" si="62"/>
        <v>2.7918098720292505E-2</v>
      </c>
    </row>
    <row r="1300" spans="1:11" x14ac:dyDescent="0.25">
      <c r="A1300" s="1">
        <v>2015</v>
      </c>
      <c r="B1300" s="1" t="s">
        <v>104</v>
      </c>
      <c r="C1300" t="s">
        <v>9</v>
      </c>
      <c r="D1300" s="1" t="s">
        <v>5</v>
      </c>
      <c r="E1300">
        <v>85</v>
      </c>
      <c r="F1300" s="1" t="s">
        <v>101</v>
      </c>
      <c r="G1300">
        <v>18</v>
      </c>
      <c r="H1300">
        <v>1</v>
      </c>
      <c r="I1300" s="2">
        <f t="shared" si="60"/>
        <v>1.7670959999999998</v>
      </c>
      <c r="J1300">
        <f t="shared" si="61"/>
        <v>0.15366052173913042</v>
      </c>
      <c r="K1300">
        <f t="shared" si="62"/>
        <v>4.6150326455993727E-2</v>
      </c>
    </row>
    <row r="1301" spans="1:11" x14ac:dyDescent="0.25">
      <c r="A1301" s="1">
        <v>2017</v>
      </c>
      <c r="B1301" s="1" t="s">
        <v>104</v>
      </c>
      <c r="C1301" t="s">
        <v>8</v>
      </c>
      <c r="D1301" s="1" t="s">
        <v>3</v>
      </c>
      <c r="E1301">
        <v>21</v>
      </c>
      <c r="F1301" s="1" t="s">
        <v>101</v>
      </c>
      <c r="G1301">
        <v>10</v>
      </c>
      <c r="H1301">
        <v>1</v>
      </c>
      <c r="I1301" s="2">
        <f t="shared" si="60"/>
        <v>0.5454</v>
      </c>
      <c r="J1301">
        <f t="shared" si="61"/>
        <v>4.7426086956521736E-2</v>
      </c>
      <c r="K1301">
        <f t="shared" si="62"/>
        <v>1.4243927918516582E-2</v>
      </c>
    </row>
    <row r="1302" spans="1:11" x14ac:dyDescent="0.25">
      <c r="A1302" s="1">
        <v>2017</v>
      </c>
      <c r="B1302" s="1" t="s">
        <v>104</v>
      </c>
      <c r="C1302" t="s">
        <v>8</v>
      </c>
      <c r="D1302" s="1" t="s">
        <v>3</v>
      </c>
      <c r="E1302">
        <v>21</v>
      </c>
      <c r="F1302" s="1" t="s">
        <v>101</v>
      </c>
      <c r="G1302">
        <v>12</v>
      </c>
      <c r="H1302">
        <v>1</v>
      </c>
      <c r="I1302" s="2">
        <f t="shared" si="60"/>
        <v>0.78537599999999996</v>
      </c>
      <c r="J1302">
        <f t="shared" si="61"/>
        <v>6.82935652173913E-2</v>
      </c>
      <c r="K1302">
        <f t="shared" si="62"/>
        <v>2.0511256202663881E-2</v>
      </c>
    </row>
    <row r="1303" spans="1:11" x14ac:dyDescent="0.25">
      <c r="A1303" s="1">
        <v>2017</v>
      </c>
      <c r="B1303" s="1" t="s">
        <v>104</v>
      </c>
      <c r="C1303" t="s">
        <v>8</v>
      </c>
      <c r="D1303" s="1" t="s">
        <v>3</v>
      </c>
      <c r="E1303">
        <v>29</v>
      </c>
      <c r="F1303" s="1" t="s">
        <v>101</v>
      </c>
      <c r="G1303">
        <v>6</v>
      </c>
      <c r="H1303">
        <v>3</v>
      </c>
      <c r="I1303" s="2">
        <f t="shared" si="60"/>
        <v>0.589032</v>
      </c>
      <c r="J1303">
        <f t="shared" si="61"/>
        <v>5.1220173913043475E-2</v>
      </c>
      <c r="K1303">
        <f t="shared" si="62"/>
        <v>1.538344215199791E-2</v>
      </c>
    </row>
    <row r="1304" spans="1:11" x14ac:dyDescent="0.25">
      <c r="A1304" s="1">
        <v>2017</v>
      </c>
      <c r="B1304" s="1" t="s">
        <v>104</v>
      </c>
      <c r="C1304" t="s">
        <v>8</v>
      </c>
      <c r="D1304" s="1" t="s">
        <v>3</v>
      </c>
      <c r="E1304">
        <v>29</v>
      </c>
      <c r="F1304" s="1" t="s">
        <v>101</v>
      </c>
      <c r="G1304">
        <v>18</v>
      </c>
      <c r="H1304">
        <v>1</v>
      </c>
      <c r="I1304" s="2">
        <f t="shared" si="60"/>
        <v>1.7670959999999998</v>
      </c>
      <c r="J1304">
        <f t="shared" si="61"/>
        <v>0.15366052173913042</v>
      </c>
      <c r="K1304">
        <f t="shared" si="62"/>
        <v>4.6150326455993727E-2</v>
      </c>
    </row>
    <row r="1305" spans="1:11" x14ac:dyDescent="0.25">
      <c r="A1305" s="1">
        <v>2017</v>
      </c>
      <c r="B1305" s="1" t="s">
        <v>104</v>
      </c>
      <c r="C1305" t="s">
        <v>8</v>
      </c>
      <c r="D1305" s="1" t="s">
        <v>3</v>
      </c>
      <c r="E1305">
        <v>32</v>
      </c>
      <c r="F1305" s="1" t="s">
        <v>101</v>
      </c>
      <c r="G1305">
        <v>6</v>
      </c>
      <c r="H1305">
        <v>22</v>
      </c>
      <c r="I1305" s="2">
        <f t="shared" si="60"/>
        <v>4.3195679999999994</v>
      </c>
      <c r="J1305">
        <f t="shared" si="61"/>
        <v>0.37561460869565211</v>
      </c>
      <c r="K1305">
        <f t="shared" si="62"/>
        <v>0.11281190911465132</v>
      </c>
    </row>
    <row r="1306" spans="1:11" x14ac:dyDescent="0.25">
      <c r="A1306" s="1">
        <v>2017</v>
      </c>
      <c r="B1306" s="1" t="s">
        <v>104</v>
      </c>
      <c r="C1306" t="s">
        <v>8</v>
      </c>
      <c r="D1306" s="1" t="s">
        <v>3</v>
      </c>
      <c r="E1306">
        <v>32</v>
      </c>
      <c r="F1306" s="1" t="s">
        <v>101</v>
      </c>
      <c r="G1306">
        <v>8</v>
      </c>
      <c r="H1306">
        <v>7</v>
      </c>
      <c r="I1306" s="2">
        <f t="shared" si="60"/>
        <v>2.4433919999999998</v>
      </c>
      <c r="J1306">
        <f t="shared" si="61"/>
        <v>0.21246886956521738</v>
      </c>
      <c r="K1306">
        <f t="shared" si="62"/>
        <v>6.3812797074954297E-2</v>
      </c>
    </row>
    <row r="1307" spans="1:11" x14ac:dyDescent="0.25">
      <c r="A1307" s="1">
        <v>2017</v>
      </c>
      <c r="B1307" s="1" t="s">
        <v>104</v>
      </c>
      <c r="C1307" t="s">
        <v>8</v>
      </c>
      <c r="D1307" s="1" t="s">
        <v>3</v>
      </c>
      <c r="E1307">
        <v>32</v>
      </c>
      <c r="F1307" s="1" t="s">
        <v>101</v>
      </c>
      <c r="G1307">
        <v>10</v>
      </c>
      <c r="H1307">
        <v>2</v>
      </c>
      <c r="I1307" s="2">
        <f t="shared" si="60"/>
        <v>1.0908</v>
      </c>
      <c r="J1307">
        <f t="shared" si="61"/>
        <v>9.4852173913043472E-2</v>
      </c>
      <c r="K1307">
        <f t="shared" si="62"/>
        <v>2.8487855837033164E-2</v>
      </c>
    </row>
    <row r="1308" spans="1:11" x14ac:dyDescent="0.25">
      <c r="A1308" s="1">
        <v>2017</v>
      </c>
      <c r="B1308" s="1" t="s">
        <v>104</v>
      </c>
      <c r="C1308" t="s">
        <v>8</v>
      </c>
      <c r="D1308" s="1" t="s">
        <v>3</v>
      </c>
      <c r="E1308">
        <v>34</v>
      </c>
      <c r="F1308" s="1" t="s">
        <v>101</v>
      </c>
      <c r="G1308">
        <v>6</v>
      </c>
      <c r="H1308">
        <v>2</v>
      </c>
      <c r="I1308" s="2">
        <f t="shared" si="60"/>
        <v>0.39268799999999998</v>
      </c>
      <c r="J1308">
        <f t="shared" si="61"/>
        <v>3.414678260869565E-2</v>
      </c>
      <c r="K1308">
        <f t="shared" si="62"/>
        <v>1.025562810133194E-2</v>
      </c>
    </row>
    <row r="1309" spans="1:11" x14ac:dyDescent="0.25">
      <c r="A1309" s="1">
        <v>2017</v>
      </c>
      <c r="B1309" s="1" t="s">
        <v>104</v>
      </c>
      <c r="C1309" t="s">
        <v>8</v>
      </c>
      <c r="D1309" s="1" t="s">
        <v>3</v>
      </c>
      <c r="E1309">
        <v>34</v>
      </c>
      <c r="F1309" s="1" t="s">
        <v>101</v>
      </c>
      <c r="G1309">
        <v>8</v>
      </c>
      <c r="H1309">
        <v>3</v>
      </c>
      <c r="I1309" s="2">
        <f t="shared" si="60"/>
        <v>1.0471679999999999</v>
      </c>
      <c r="J1309">
        <f t="shared" si="61"/>
        <v>9.1058086956521733E-2</v>
      </c>
      <c r="K1309">
        <f t="shared" si="62"/>
        <v>2.7348341603551839E-2</v>
      </c>
    </row>
    <row r="1310" spans="1:11" x14ac:dyDescent="0.25">
      <c r="A1310" s="1">
        <v>2017</v>
      </c>
      <c r="B1310" s="1" t="s">
        <v>104</v>
      </c>
      <c r="C1310" t="s">
        <v>8</v>
      </c>
      <c r="D1310" s="1" t="s">
        <v>3</v>
      </c>
      <c r="E1310">
        <v>34</v>
      </c>
      <c r="F1310" s="1" t="s">
        <v>101</v>
      </c>
      <c r="G1310">
        <v>18</v>
      </c>
      <c r="H1310">
        <v>9</v>
      </c>
      <c r="I1310" s="2">
        <f t="shared" si="60"/>
        <v>15.903863999999999</v>
      </c>
      <c r="J1310">
        <f t="shared" si="61"/>
        <v>1.3829446956521738</v>
      </c>
      <c r="K1310">
        <f t="shared" si="62"/>
        <v>0.41535293810394353</v>
      </c>
    </row>
    <row r="1311" spans="1:11" x14ac:dyDescent="0.25">
      <c r="A1311" s="1">
        <v>2017</v>
      </c>
      <c r="B1311" s="1" t="s">
        <v>104</v>
      </c>
      <c r="C1311" t="s">
        <v>8</v>
      </c>
      <c r="D1311" s="1" t="s">
        <v>3</v>
      </c>
      <c r="E1311">
        <v>34</v>
      </c>
      <c r="F1311" s="1" t="s">
        <v>101</v>
      </c>
      <c r="G1311">
        <v>20</v>
      </c>
      <c r="H1311">
        <v>6</v>
      </c>
      <c r="I1311" s="2">
        <f t="shared" si="60"/>
        <v>13.089600000000001</v>
      </c>
      <c r="J1311">
        <f t="shared" si="61"/>
        <v>1.1382260869565217</v>
      </c>
      <c r="K1311">
        <f t="shared" si="62"/>
        <v>0.341854270044398</v>
      </c>
    </row>
    <row r="1312" spans="1:11" x14ac:dyDescent="0.25">
      <c r="A1312" s="1">
        <v>2017</v>
      </c>
      <c r="B1312" s="1" t="s">
        <v>104</v>
      </c>
      <c r="C1312" t="s">
        <v>8</v>
      </c>
      <c r="D1312" s="1" t="s">
        <v>3</v>
      </c>
      <c r="E1312">
        <v>38</v>
      </c>
      <c r="F1312" s="1" t="s">
        <v>101</v>
      </c>
      <c r="G1312">
        <v>6</v>
      </c>
      <c r="H1312">
        <v>3</v>
      </c>
      <c r="I1312" s="2">
        <f t="shared" si="60"/>
        <v>0.589032</v>
      </c>
      <c r="J1312">
        <f t="shared" si="61"/>
        <v>5.1220173913043475E-2</v>
      </c>
      <c r="K1312">
        <f t="shared" si="62"/>
        <v>1.538344215199791E-2</v>
      </c>
    </row>
    <row r="1313" spans="1:11" x14ac:dyDescent="0.25">
      <c r="A1313" s="1">
        <v>2017</v>
      </c>
      <c r="B1313" s="1" t="s">
        <v>104</v>
      </c>
      <c r="C1313" t="s">
        <v>8</v>
      </c>
      <c r="D1313" s="1" t="s">
        <v>3</v>
      </c>
      <c r="E1313">
        <v>38</v>
      </c>
      <c r="F1313" s="1" t="s">
        <v>101</v>
      </c>
      <c r="G1313">
        <v>8</v>
      </c>
      <c r="H1313">
        <v>3</v>
      </c>
      <c r="I1313" s="2">
        <f t="shared" si="60"/>
        <v>1.0471679999999999</v>
      </c>
      <c r="J1313">
        <f t="shared" si="61"/>
        <v>9.1058086956521733E-2</v>
      </c>
      <c r="K1313">
        <f t="shared" si="62"/>
        <v>2.7348341603551839E-2</v>
      </c>
    </row>
    <row r="1314" spans="1:11" x14ac:dyDescent="0.25">
      <c r="A1314" s="1">
        <v>2017</v>
      </c>
      <c r="B1314" s="1" t="s">
        <v>104</v>
      </c>
      <c r="C1314" t="s">
        <v>8</v>
      </c>
      <c r="D1314" s="1" t="s">
        <v>3</v>
      </c>
      <c r="E1314">
        <v>38</v>
      </c>
      <c r="F1314" s="1" t="s">
        <v>101</v>
      </c>
      <c r="G1314">
        <v>10</v>
      </c>
      <c r="H1314">
        <v>2</v>
      </c>
      <c r="I1314" s="2">
        <f t="shared" si="60"/>
        <v>1.0908</v>
      </c>
      <c r="J1314">
        <f t="shared" si="61"/>
        <v>9.4852173913043472E-2</v>
      </c>
      <c r="K1314">
        <f t="shared" si="62"/>
        <v>2.8487855837033164E-2</v>
      </c>
    </row>
    <row r="1315" spans="1:11" x14ac:dyDescent="0.25">
      <c r="A1315" s="1">
        <v>2017</v>
      </c>
      <c r="B1315" s="1" t="s">
        <v>104</v>
      </c>
      <c r="C1315" t="s">
        <v>8</v>
      </c>
      <c r="D1315" s="1" t="s">
        <v>3</v>
      </c>
      <c r="E1315">
        <v>38</v>
      </c>
      <c r="F1315" s="1" t="s">
        <v>101</v>
      </c>
      <c r="G1315">
        <v>12</v>
      </c>
      <c r="H1315">
        <v>2</v>
      </c>
      <c r="I1315" s="2">
        <f t="shared" si="60"/>
        <v>1.5707519999999999</v>
      </c>
      <c r="J1315">
        <f t="shared" si="61"/>
        <v>0.1365871304347826</v>
      </c>
      <c r="K1315">
        <f t="shared" si="62"/>
        <v>4.1022512405327761E-2</v>
      </c>
    </row>
    <row r="1316" spans="1:11" x14ac:dyDescent="0.25">
      <c r="A1316" s="1">
        <v>2017</v>
      </c>
      <c r="B1316" s="1" t="s">
        <v>104</v>
      </c>
      <c r="C1316" t="s">
        <v>8</v>
      </c>
      <c r="D1316" s="1" t="s">
        <v>3</v>
      </c>
      <c r="E1316">
        <v>38</v>
      </c>
      <c r="F1316" s="1" t="s">
        <v>101</v>
      </c>
      <c r="G1316">
        <v>18</v>
      </c>
      <c r="H1316">
        <v>44</v>
      </c>
      <c r="I1316" s="2">
        <f t="shared" si="60"/>
        <v>77.752223999999984</v>
      </c>
      <c r="J1316">
        <f t="shared" si="61"/>
        <v>6.7610629565217382</v>
      </c>
      <c r="K1316">
        <f t="shared" si="62"/>
        <v>2.030614364063724</v>
      </c>
    </row>
    <row r="1317" spans="1:11" x14ac:dyDescent="0.25">
      <c r="A1317" s="1">
        <v>2017</v>
      </c>
      <c r="B1317" s="1" t="s">
        <v>104</v>
      </c>
      <c r="C1317" t="s">
        <v>8</v>
      </c>
      <c r="D1317" s="1" t="s">
        <v>3</v>
      </c>
      <c r="E1317">
        <v>38</v>
      </c>
      <c r="F1317" s="1" t="s">
        <v>101</v>
      </c>
      <c r="G1317">
        <v>20</v>
      </c>
      <c r="H1317">
        <v>14</v>
      </c>
      <c r="I1317" s="2">
        <f t="shared" si="60"/>
        <v>30.542400000000001</v>
      </c>
      <c r="J1317">
        <f t="shared" si="61"/>
        <v>2.6558608695652173</v>
      </c>
      <c r="K1317">
        <f t="shared" si="62"/>
        <v>0.79765996343692869</v>
      </c>
    </row>
    <row r="1318" spans="1:11" x14ac:dyDescent="0.25">
      <c r="A1318" s="1">
        <v>2017</v>
      </c>
      <c r="B1318" s="1" t="s">
        <v>104</v>
      </c>
      <c r="C1318" t="s">
        <v>8</v>
      </c>
      <c r="D1318" s="1" t="s">
        <v>3</v>
      </c>
      <c r="E1318">
        <v>40</v>
      </c>
      <c r="F1318" s="1" t="s">
        <v>101</v>
      </c>
      <c r="G1318">
        <v>6</v>
      </c>
      <c r="H1318">
        <v>7</v>
      </c>
      <c r="I1318" s="2">
        <f t="shared" si="60"/>
        <v>1.3744079999999999</v>
      </c>
      <c r="J1318">
        <f t="shared" si="61"/>
        <v>0.11951373913043477</v>
      </c>
      <c r="K1318">
        <f t="shared" si="62"/>
        <v>3.5894698354661789E-2</v>
      </c>
    </row>
    <row r="1319" spans="1:11" x14ac:dyDescent="0.25">
      <c r="A1319" s="1">
        <v>2017</v>
      </c>
      <c r="B1319" s="1" t="s">
        <v>104</v>
      </c>
      <c r="C1319" t="s">
        <v>8</v>
      </c>
      <c r="D1319" s="1" t="s">
        <v>3</v>
      </c>
      <c r="E1319">
        <v>40</v>
      </c>
      <c r="F1319" s="1" t="s">
        <v>101</v>
      </c>
      <c r="G1319">
        <v>8</v>
      </c>
      <c r="H1319">
        <v>3</v>
      </c>
      <c r="I1319" s="2">
        <f t="shared" si="60"/>
        <v>1.0471679999999999</v>
      </c>
      <c r="J1319">
        <f t="shared" si="61"/>
        <v>9.1058086956521733E-2</v>
      </c>
      <c r="K1319">
        <f t="shared" si="62"/>
        <v>2.7348341603551839E-2</v>
      </c>
    </row>
    <row r="1320" spans="1:11" x14ac:dyDescent="0.25">
      <c r="A1320" s="1">
        <v>2017</v>
      </c>
      <c r="B1320" s="1" t="s">
        <v>104</v>
      </c>
      <c r="C1320" t="s">
        <v>8</v>
      </c>
      <c r="D1320" s="1" t="s">
        <v>3</v>
      </c>
      <c r="E1320">
        <v>40</v>
      </c>
      <c r="F1320" s="1" t="s">
        <v>101</v>
      </c>
      <c r="G1320">
        <v>12</v>
      </c>
      <c r="H1320">
        <v>1</v>
      </c>
      <c r="I1320" s="2">
        <f t="shared" si="60"/>
        <v>0.78537599999999996</v>
      </c>
      <c r="J1320">
        <f t="shared" si="61"/>
        <v>6.82935652173913E-2</v>
      </c>
      <c r="K1320">
        <f t="shared" si="62"/>
        <v>2.0511256202663881E-2</v>
      </c>
    </row>
    <row r="1321" spans="1:11" x14ac:dyDescent="0.25">
      <c r="A1321" s="1">
        <v>2017</v>
      </c>
      <c r="B1321" s="1" t="s">
        <v>104</v>
      </c>
      <c r="C1321" t="s">
        <v>8</v>
      </c>
      <c r="D1321" s="1" t="s">
        <v>3</v>
      </c>
      <c r="E1321">
        <v>40</v>
      </c>
      <c r="F1321" s="1" t="s">
        <v>101</v>
      </c>
      <c r="G1321">
        <v>16</v>
      </c>
      <c r="H1321">
        <v>1</v>
      </c>
      <c r="I1321" s="2">
        <f t="shared" si="60"/>
        <v>1.3962239999999999</v>
      </c>
      <c r="J1321">
        <f t="shared" si="61"/>
        <v>0.12141078260869564</v>
      </c>
      <c r="K1321">
        <f t="shared" si="62"/>
        <v>3.6464455471402452E-2</v>
      </c>
    </row>
    <row r="1322" spans="1:11" x14ac:dyDescent="0.25">
      <c r="A1322" s="1">
        <v>2017</v>
      </c>
      <c r="B1322" s="1" t="s">
        <v>104</v>
      </c>
      <c r="C1322" t="s">
        <v>8</v>
      </c>
      <c r="D1322" s="1" t="s">
        <v>3</v>
      </c>
      <c r="E1322">
        <v>40</v>
      </c>
      <c r="F1322" s="1" t="s">
        <v>101</v>
      </c>
      <c r="G1322">
        <v>18</v>
      </c>
      <c r="H1322">
        <v>34</v>
      </c>
      <c r="I1322" s="2">
        <f t="shared" si="60"/>
        <v>60.08126399999999</v>
      </c>
      <c r="J1322">
        <f t="shared" si="61"/>
        <v>5.2244577391304343</v>
      </c>
      <c r="K1322">
        <f t="shared" si="62"/>
        <v>1.5691110995037867</v>
      </c>
    </row>
    <row r="1323" spans="1:11" x14ac:dyDescent="0.25">
      <c r="A1323" s="1">
        <v>2017</v>
      </c>
      <c r="B1323" s="1" t="s">
        <v>104</v>
      </c>
      <c r="C1323" t="s">
        <v>8</v>
      </c>
      <c r="D1323" s="1" t="s">
        <v>3</v>
      </c>
      <c r="E1323">
        <v>40</v>
      </c>
      <c r="F1323" s="1" t="s">
        <v>101</v>
      </c>
      <c r="G1323">
        <v>20</v>
      </c>
      <c r="H1323">
        <v>33</v>
      </c>
      <c r="I1323" s="2">
        <f t="shared" si="60"/>
        <v>71.992800000000003</v>
      </c>
      <c r="J1323">
        <f t="shared" si="61"/>
        <v>6.26024347826087</v>
      </c>
      <c r="K1323">
        <f t="shared" si="62"/>
        <v>1.8801984852441891</v>
      </c>
    </row>
    <row r="1324" spans="1:11" x14ac:dyDescent="0.25">
      <c r="A1324" s="1">
        <v>2017</v>
      </c>
      <c r="B1324" s="1" t="s">
        <v>104</v>
      </c>
      <c r="C1324" t="s">
        <v>8</v>
      </c>
      <c r="D1324" s="1" t="s">
        <v>3</v>
      </c>
      <c r="E1324">
        <v>40</v>
      </c>
      <c r="F1324" s="1" t="s">
        <v>101</v>
      </c>
      <c r="G1324">
        <v>22</v>
      </c>
      <c r="H1324">
        <v>8</v>
      </c>
      <c r="I1324" s="2">
        <f t="shared" si="60"/>
        <v>21.117887999999997</v>
      </c>
      <c r="J1324">
        <f t="shared" si="61"/>
        <v>1.8363380869565216</v>
      </c>
      <c r="K1324">
        <f t="shared" si="62"/>
        <v>0.5515248890049621</v>
      </c>
    </row>
    <row r="1325" spans="1:11" x14ac:dyDescent="0.25">
      <c r="A1325" s="1">
        <v>2017</v>
      </c>
      <c r="B1325" s="1" t="s">
        <v>104</v>
      </c>
      <c r="C1325" t="s">
        <v>8</v>
      </c>
      <c r="D1325" s="1" t="s">
        <v>3</v>
      </c>
      <c r="E1325">
        <v>41</v>
      </c>
      <c r="F1325" s="1" t="s">
        <v>101</v>
      </c>
      <c r="G1325">
        <v>16</v>
      </c>
      <c r="H1325">
        <v>1</v>
      </c>
      <c r="I1325" s="2">
        <f t="shared" si="60"/>
        <v>1.3962239999999999</v>
      </c>
      <c r="J1325">
        <f t="shared" si="61"/>
        <v>0.12141078260869564</v>
      </c>
      <c r="K1325">
        <f t="shared" si="62"/>
        <v>3.6464455471402452E-2</v>
      </c>
    </row>
    <row r="1326" spans="1:11" x14ac:dyDescent="0.25">
      <c r="A1326" s="1">
        <v>2017</v>
      </c>
      <c r="B1326" s="1" t="s">
        <v>104</v>
      </c>
      <c r="C1326" t="s">
        <v>8</v>
      </c>
      <c r="D1326" s="1" t="s">
        <v>3</v>
      </c>
      <c r="E1326">
        <v>41</v>
      </c>
      <c r="F1326" s="1" t="s">
        <v>101</v>
      </c>
      <c r="G1326">
        <v>18</v>
      </c>
      <c r="H1326">
        <v>13</v>
      </c>
      <c r="I1326" s="2">
        <f t="shared" si="60"/>
        <v>22.972247999999997</v>
      </c>
      <c r="J1326">
        <f t="shared" si="61"/>
        <v>1.9975867826086955</v>
      </c>
      <c r="K1326">
        <f t="shared" si="62"/>
        <v>0.59995424392791841</v>
      </c>
    </row>
    <row r="1327" spans="1:11" x14ac:dyDescent="0.25">
      <c r="A1327" s="1">
        <v>2017</v>
      </c>
      <c r="B1327" s="1" t="s">
        <v>104</v>
      </c>
      <c r="C1327" t="s">
        <v>8</v>
      </c>
      <c r="D1327" s="1" t="s">
        <v>3</v>
      </c>
      <c r="E1327">
        <v>53</v>
      </c>
      <c r="F1327" s="1" t="s">
        <v>101</v>
      </c>
      <c r="G1327">
        <v>18</v>
      </c>
      <c r="H1327">
        <v>1</v>
      </c>
      <c r="I1327" s="2">
        <f t="shared" si="60"/>
        <v>1.7670959999999998</v>
      </c>
      <c r="J1327">
        <f t="shared" si="61"/>
        <v>0.15366052173913042</v>
      </c>
      <c r="K1327">
        <f t="shared" si="62"/>
        <v>4.6150326455993727E-2</v>
      </c>
    </row>
    <row r="1328" spans="1:11" x14ac:dyDescent="0.25">
      <c r="A1328" s="1">
        <v>2017</v>
      </c>
      <c r="B1328" s="1" t="s">
        <v>104</v>
      </c>
      <c r="C1328" t="s">
        <v>8</v>
      </c>
      <c r="D1328" s="1" t="s">
        <v>3</v>
      </c>
      <c r="E1328">
        <v>56</v>
      </c>
      <c r="F1328" s="1" t="s">
        <v>101</v>
      </c>
      <c r="G1328">
        <v>6</v>
      </c>
      <c r="H1328">
        <v>1</v>
      </c>
      <c r="I1328" s="2">
        <f t="shared" si="60"/>
        <v>0.19634399999999999</v>
      </c>
      <c r="J1328">
        <f t="shared" si="61"/>
        <v>1.7073391304347825E-2</v>
      </c>
      <c r="K1328">
        <f t="shared" si="62"/>
        <v>5.1278140506659702E-3</v>
      </c>
    </row>
    <row r="1329" spans="1:11" x14ac:dyDescent="0.25">
      <c r="A1329" s="1">
        <v>2017</v>
      </c>
      <c r="B1329" s="1" t="s">
        <v>104</v>
      </c>
      <c r="C1329" t="s">
        <v>8</v>
      </c>
      <c r="D1329" s="1" t="s">
        <v>3</v>
      </c>
      <c r="E1329">
        <v>56</v>
      </c>
      <c r="F1329" s="1" t="s">
        <v>101</v>
      </c>
      <c r="G1329">
        <v>18</v>
      </c>
      <c r="H1329">
        <v>3</v>
      </c>
      <c r="I1329" s="2">
        <f t="shared" si="60"/>
        <v>5.3012879999999996</v>
      </c>
      <c r="J1329">
        <f t="shared" si="61"/>
        <v>0.46098156521739125</v>
      </c>
      <c r="K1329">
        <f t="shared" si="62"/>
        <v>0.13845097936798118</v>
      </c>
    </row>
    <row r="1330" spans="1:11" x14ac:dyDescent="0.25">
      <c r="A1330" s="1">
        <v>2017</v>
      </c>
      <c r="B1330" s="1" t="s">
        <v>104</v>
      </c>
      <c r="C1330" t="s">
        <v>8</v>
      </c>
      <c r="D1330" s="1" t="s">
        <v>3</v>
      </c>
      <c r="E1330">
        <v>56</v>
      </c>
      <c r="F1330" s="1" t="s">
        <v>101</v>
      </c>
      <c r="G1330">
        <v>20</v>
      </c>
      <c r="H1330">
        <v>1</v>
      </c>
      <c r="I1330" s="2">
        <f t="shared" si="60"/>
        <v>2.1816</v>
      </c>
      <c r="J1330">
        <f t="shared" si="61"/>
        <v>0.18970434782608694</v>
      </c>
      <c r="K1330">
        <f t="shared" si="62"/>
        <v>5.6975711674066329E-2</v>
      </c>
    </row>
    <row r="1331" spans="1:11" x14ac:dyDescent="0.25">
      <c r="A1331" s="1">
        <v>2017</v>
      </c>
      <c r="B1331" s="1" t="s">
        <v>104</v>
      </c>
      <c r="C1331" t="s">
        <v>8</v>
      </c>
      <c r="D1331" s="1" t="s">
        <v>3</v>
      </c>
      <c r="E1331">
        <v>56</v>
      </c>
      <c r="F1331" s="1" t="s">
        <v>101</v>
      </c>
      <c r="G1331">
        <v>22</v>
      </c>
      <c r="H1331">
        <v>1</v>
      </c>
      <c r="I1331" s="2">
        <f t="shared" si="60"/>
        <v>2.6397359999999996</v>
      </c>
      <c r="J1331">
        <f t="shared" si="61"/>
        <v>0.2295422608695652</v>
      </c>
      <c r="K1331">
        <f t="shared" si="62"/>
        <v>6.8940611125620263E-2</v>
      </c>
    </row>
    <row r="1332" spans="1:11" x14ac:dyDescent="0.25">
      <c r="A1332" s="1">
        <v>2017</v>
      </c>
      <c r="B1332" s="1" t="s">
        <v>104</v>
      </c>
      <c r="C1332" t="s">
        <v>8</v>
      </c>
      <c r="D1332" s="1" t="s">
        <v>3</v>
      </c>
      <c r="E1332">
        <v>63</v>
      </c>
      <c r="F1332" s="1" t="s">
        <v>101</v>
      </c>
      <c r="G1332">
        <v>6</v>
      </c>
      <c r="H1332">
        <v>1</v>
      </c>
      <c r="I1332" s="2">
        <f t="shared" si="60"/>
        <v>0.19634399999999999</v>
      </c>
      <c r="J1332">
        <f t="shared" si="61"/>
        <v>1.7073391304347825E-2</v>
      </c>
      <c r="K1332">
        <f t="shared" si="62"/>
        <v>5.1278140506659702E-3</v>
      </c>
    </row>
    <row r="1333" spans="1:11" x14ac:dyDescent="0.25">
      <c r="A1333" s="1">
        <v>2017</v>
      </c>
      <c r="B1333" s="1" t="s">
        <v>104</v>
      </c>
      <c r="C1333" t="s">
        <v>8</v>
      </c>
      <c r="D1333" s="1" t="s">
        <v>3</v>
      </c>
      <c r="E1333">
        <v>63</v>
      </c>
      <c r="F1333" s="1" t="s">
        <v>101</v>
      </c>
      <c r="G1333">
        <v>8</v>
      </c>
      <c r="H1333">
        <v>1</v>
      </c>
      <c r="I1333" s="2">
        <f t="shared" si="60"/>
        <v>0.34905599999999998</v>
      </c>
      <c r="J1333">
        <f t="shared" si="61"/>
        <v>3.0352695652173911E-2</v>
      </c>
      <c r="K1333">
        <f t="shared" si="62"/>
        <v>9.1161138678506129E-3</v>
      </c>
    </row>
    <row r="1334" spans="1:11" x14ac:dyDescent="0.25">
      <c r="A1334" s="1">
        <v>2017</v>
      </c>
      <c r="B1334" s="1" t="s">
        <v>104</v>
      </c>
      <c r="C1334" t="s">
        <v>8</v>
      </c>
      <c r="D1334" s="1" t="s">
        <v>3</v>
      </c>
      <c r="E1334">
        <v>66</v>
      </c>
      <c r="F1334" s="1" t="s">
        <v>101</v>
      </c>
      <c r="G1334">
        <v>6</v>
      </c>
      <c r="H1334">
        <v>1</v>
      </c>
      <c r="I1334" s="2">
        <f t="shared" si="60"/>
        <v>0.19634399999999999</v>
      </c>
      <c r="J1334">
        <f t="shared" si="61"/>
        <v>1.7073391304347825E-2</v>
      </c>
      <c r="K1334">
        <f t="shared" si="62"/>
        <v>5.1278140506659702E-3</v>
      </c>
    </row>
    <row r="1335" spans="1:11" x14ac:dyDescent="0.25">
      <c r="A1335" s="1">
        <v>2017</v>
      </c>
      <c r="B1335" s="1" t="s">
        <v>104</v>
      </c>
      <c r="C1335" t="s">
        <v>8</v>
      </c>
      <c r="D1335" s="1" t="s">
        <v>3</v>
      </c>
      <c r="E1335">
        <v>66</v>
      </c>
      <c r="F1335" s="1" t="s">
        <v>101</v>
      </c>
      <c r="G1335">
        <v>18</v>
      </c>
      <c r="H1335">
        <v>2</v>
      </c>
      <c r="I1335" s="2">
        <f t="shared" si="60"/>
        <v>3.5341919999999996</v>
      </c>
      <c r="J1335">
        <f t="shared" si="61"/>
        <v>0.30732104347826084</v>
      </c>
      <c r="K1335">
        <f t="shared" si="62"/>
        <v>9.2300652911987455E-2</v>
      </c>
    </row>
    <row r="1336" spans="1:11" x14ac:dyDescent="0.25">
      <c r="A1336" s="1">
        <v>2017</v>
      </c>
      <c r="B1336" s="1" t="s">
        <v>104</v>
      </c>
      <c r="C1336" t="s">
        <v>8</v>
      </c>
      <c r="D1336" s="1" t="s">
        <v>3</v>
      </c>
      <c r="E1336">
        <v>76</v>
      </c>
      <c r="F1336" s="1" t="s">
        <v>101</v>
      </c>
      <c r="G1336">
        <v>18</v>
      </c>
      <c r="H1336">
        <v>1</v>
      </c>
      <c r="I1336" s="2">
        <f t="shared" si="60"/>
        <v>1.7670959999999998</v>
      </c>
      <c r="J1336">
        <f t="shared" si="61"/>
        <v>0.15366052173913042</v>
      </c>
      <c r="K1336">
        <f t="shared" si="62"/>
        <v>4.6150326455993727E-2</v>
      </c>
    </row>
    <row r="1337" spans="1:11" x14ac:dyDescent="0.25">
      <c r="A1337" s="1">
        <v>2017</v>
      </c>
      <c r="B1337" s="1" t="s">
        <v>104</v>
      </c>
      <c r="C1337" t="s">
        <v>8</v>
      </c>
      <c r="D1337" s="1" t="s">
        <v>3</v>
      </c>
      <c r="E1337">
        <v>79</v>
      </c>
      <c r="F1337" s="1" t="s">
        <v>101</v>
      </c>
      <c r="G1337">
        <v>6</v>
      </c>
      <c r="H1337">
        <v>8</v>
      </c>
      <c r="I1337" s="2">
        <f t="shared" si="60"/>
        <v>1.5707519999999999</v>
      </c>
      <c r="J1337">
        <f t="shared" si="61"/>
        <v>0.1365871304347826</v>
      </c>
      <c r="K1337">
        <f t="shared" si="62"/>
        <v>4.1022512405327761E-2</v>
      </c>
    </row>
    <row r="1338" spans="1:11" x14ac:dyDescent="0.25">
      <c r="A1338" s="1">
        <v>2017</v>
      </c>
      <c r="B1338" s="1" t="s">
        <v>104</v>
      </c>
      <c r="C1338" t="s">
        <v>8</v>
      </c>
      <c r="D1338" s="1" t="s">
        <v>3</v>
      </c>
      <c r="E1338">
        <v>79</v>
      </c>
      <c r="F1338" s="1" t="s">
        <v>101</v>
      </c>
      <c r="G1338">
        <v>8</v>
      </c>
      <c r="H1338">
        <v>4</v>
      </c>
      <c r="I1338" s="2">
        <f t="shared" si="60"/>
        <v>1.3962239999999999</v>
      </c>
      <c r="J1338">
        <f t="shared" si="61"/>
        <v>0.12141078260869564</v>
      </c>
      <c r="K1338">
        <f t="shared" si="62"/>
        <v>3.6464455471402452E-2</v>
      </c>
    </row>
    <row r="1339" spans="1:11" x14ac:dyDescent="0.25">
      <c r="A1339" s="1">
        <v>2017</v>
      </c>
      <c r="B1339" s="1" t="s">
        <v>104</v>
      </c>
      <c r="C1339" t="s">
        <v>8</v>
      </c>
      <c r="D1339" s="1" t="s">
        <v>3</v>
      </c>
      <c r="E1339">
        <v>79</v>
      </c>
      <c r="F1339" s="1" t="s">
        <v>101</v>
      </c>
      <c r="G1339">
        <v>10</v>
      </c>
      <c r="H1339">
        <v>3</v>
      </c>
      <c r="I1339" s="2">
        <f t="shared" si="60"/>
        <v>1.6362000000000001</v>
      </c>
      <c r="J1339">
        <f t="shared" si="61"/>
        <v>0.14227826086956522</v>
      </c>
      <c r="K1339">
        <f t="shared" si="62"/>
        <v>4.273178375554975E-2</v>
      </c>
    </row>
    <row r="1340" spans="1:11" x14ac:dyDescent="0.25">
      <c r="A1340" s="1">
        <v>2017</v>
      </c>
      <c r="B1340" s="1" t="s">
        <v>104</v>
      </c>
      <c r="C1340" t="s">
        <v>8</v>
      </c>
      <c r="D1340" s="1" t="s">
        <v>3</v>
      </c>
      <c r="E1340">
        <v>79</v>
      </c>
      <c r="F1340" s="1" t="s">
        <v>101</v>
      </c>
      <c r="G1340">
        <v>12</v>
      </c>
      <c r="H1340">
        <v>3</v>
      </c>
      <c r="I1340" s="2">
        <f t="shared" si="60"/>
        <v>2.356128</v>
      </c>
      <c r="J1340">
        <f t="shared" si="61"/>
        <v>0.2048806956521739</v>
      </c>
      <c r="K1340">
        <f t="shared" si="62"/>
        <v>6.1533768607991639E-2</v>
      </c>
    </row>
    <row r="1341" spans="1:11" x14ac:dyDescent="0.25">
      <c r="A1341" s="1">
        <v>2017</v>
      </c>
      <c r="B1341" s="1" t="s">
        <v>104</v>
      </c>
      <c r="C1341" t="s">
        <v>8</v>
      </c>
      <c r="D1341" s="1" t="s">
        <v>3</v>
      </c>
      <c r="E1341">
        <v>79</v>
      </c>
      <c r="F1341" s="1" t="s">
        <v>101</v>
      </c>
      <c r="G1341">
        <v>14</v>
      </c>
      <c r="H1341">
        <v>1</v>
      </c>
      <c r="I1341" s="2">
        <f t="shared" si="60"/>
        <v>1.0689839999999999</v>
      </c>
      <c r="J1341">
        <f t="shared" si="61"/>
        <v>9.295513043478261E-2</v>
      </c>
      <c r="K1341">
        <f t="shared" si="62"/>
        <v>2.7918098720292505E-2</v>
      </c>
    </row>
    <row r="1342" spans="1:11" x14ac:dyDescent="0.25">
      <c r="A1342" s="1">
        <v>2017</v>
      </c>
      <c r="B1342" s="1" t="s">
        <v>104</v>
      </c>
      <c r="C1342" t="s">
        <v>8</v>
      </c>
      <c r="D1342" s="1" t="s">
        <v>3</v>
      </c>
      <c r="E1342">
        <v>79</v>
      </c>
      <c r="F1342" s="1" t="s">
        <v>101</v>
      </c>
      <c r="G1342">
        <v>16</v>
      </c>
      <c r="H1342">
        <v>1</v>
      </c>
      <c r="I1342" s="2">
        <f t="shared" si="60"/>
        <v>1.3962239999999999</v>
      </c>
      <c r="J1342">
        <f t="shared" si="61"/>
        <v>0.12141078260869564</v>
      </c>
      <c r="K1342">
        <f t="shared" si="62"/>
        <v>3.6464455471402452E-2</v>
      </c>
    </row>
    <row r="1343" spans="1:11" x14ac:dyDescent="0.25">
      <c r="A1343" s="1">
        <v>2017</v>
      </c>
      <c r="B1343" s="1" t="s">
        <v>104</v>
      </c>
      <c r="C1343" t="s">
        <v>8</v>
      </c>
      <c r="D1343" s="1" t="s">
        <v>3</v>
      </c>
      <c r="E1343">
        <v>79</v>
      </c>
      <c r="F1343" s="1" t="s">
        <v>101</v>
      </c>
      <c r="G1343">
        <v>18</v>
      </c>
      <c r="H1343">
        <v>11</v>
      </c>
      <c r="I1343" s="2">
        <f t="shared" si="60"/>
        <v>19.438055999999996</v>
      </c>
      <c r="J1343">
        <f t="shared" si="61"/>
        <v>1.6902657391304345</v>
      </c>
      <c r="K1343">
        <f t="shared" si="62"/>
        <v>0.50765359101593099</v>
      </c>
    </row>
    <row r="1344" spans="1:11" x14ac:dyDescent="0.25">
      <c r="A1344" s="1">
        <v>2017</v>
      </c>
      <c r="B1344" s="1" t="s">
        <v>104</v>
      </c>
      <c r="C1344" t="s">
        <v>8</v>
      </c>
      <c r="D1344" s="1" t="s">
        <v>3</v>
      </c>
      <c r="E1344">
        <v>79</v>
      </c>
      <c r="F1344" s="1" t="s">
        <v>101</v>
      </c>
      <c r="G1344">
        <v>20</v>
      </c>
      <c r="H1344">
        <v>3</v>
      </c>
      <c r="I1344" s="2">
        <f t="shared" si="60"/>
        <v>6.5448000000000004</v>
      </c>
      <c r="J1344">
        <f t="shared" si="61"/>
        <v>0.56911304347826086</v>
      </c>
      <c r="K1344">
        <f t="shared" si="62"/>
        <v>0.170927135022199</v>
      </c>
    </row>
    <row r="1345" spans="1:11" x14ac:dyDescent="0.25">
      <c r="A1345" s="1">
        <v>2017</v>
      </c>
      <c r="B1345" s="1" t="s">
        <v>104</v>
      </c>
      <c r="C1345" t="s">
        <v>8</v>
      </c>
      <c r="D1345" s="1" t="s">
        <v>3</v>
      </c>
      <c r="E1345">
        <v>85</v>
      </c>
      <c r="F1345" s="1" t="s">
        <v>101</v>
      </c>
      <c r="G1345">
        <v>18</v>
      </c>
      <c r="H1345">
        <v>2</v>
      </c>
      <c r="I1345" s="2">
        <f t="shared" si="60"/>
        <v>3.5341919999999996</v>
      </c>
      <c r="J1345">
        <f t="shared" si="61"/>
        <v>0.30732104347826084</v>
      </c>
      <c r="K1345">
        <f t="shared" si="62"/>
        <v>9.2300652911987455E-2</v>
      </c>
    </row>
    <row r="1346" spans="1:11" x14ac:dyDescent="0.25">
      <c r="A1346" s="1">
        <v>2017</v>
      </c>
      <c r="B1346" s="1" t="s">
        <v>104</v>
      </c>
      <c r="C1346" t="s">
        <v>8</v>
      </c>
      <c r="D1346" s="1" t="s">
        <v>3</v>
      </c>
      <c r="E1346">
        <v>88</v>
      </c>
      <c r="F1346" s="1" t="s">
        <v>101</v>
      </c>
      <c r="G1346">
        <v>6</v>
      </c>
      <c r="H1346">
        <v>7</v>
      </c>
      <c r="I1346" s="2">
        <f t="shared" si="60"/>
        <v>1.3744079999999999</v>
      </c>
      <c r="J1346">
        <f t="shared" si="61"/>
        <v>0.11951373913043477</v>
      </c>
      <c r="K1346">
        <f t="shared" si="62"/>
        <v>3.5894698354661789E-2</v>
      </c>
    </row>
    <row r="1347" spans="1:11" x14ac:dyDescent="0.25">
      <c r="A1347" s="1">
        <v>2017</v>
      </c>
      <c r="B1347" s="1" t="s">
        <v>104</v>
      </c>
      <c r="C1347" t="s">
        <v>8</v>
      </c>
      <c r="D1347" s="1" t="s">
        <v>3</v>
      </c>
      <c r="E1347">
        <v>88</v>
      </c>
      <c r="F1347" s="1" t="s">
        <v>101</v>
      </c>
      <c r="G1347">
        <v>10</v>
      </c>
      <c r="H1347">
        <v>2</v>
      </c>
      <c r="I1347" s="2">
        <f t="shared" ref="I1347:I1410" si="63">0.005454*G1347^2*H1347</f>
        <v>1.0908</v>
      </c>
      <c r="J1347">
        <f t="shared" ref="J1347:J1410" si="64">I1347/11.5</f>
        <v>9.4852173913043472E-2</v>
      </c>
      <c r="K1347">
        <f t="shared" ref="K1347:K1410" si="65">J1347*(11.5/38.29)</f>
        <v>2.8487855837033164E-2</v>
      </c>
    </row>
    <row r="1348" spans="1:11" x14ac:dyDescent="0.25">
      <c r="A1348" s="1">
        <v>2017</v>
      </c>
      <c r="B1348" s="1" t="s">
        <v>104</v>
      </c>
      <c r="C1348" t="s">
        <v>8</v>
      </c>
      <c r="D1348" s="1" t="s">
        <v>5</v>
      </c>
      <c r="E1348">
        <v>41</v>
      </c>
      <c r="F1348" s="1" t="s">
        <v>101</v>
      </c>
      <c r="G1348">
        <v>18</v>
      </c>
      <c r="H1348">
        <v>1</v>
      </c>
      <c r="I1348" s="2">
        <f t="shared" si="63"/>
        <v>1.7670959999999998</v>
      </c>
      <c r="J1348">
        <f t="shared" si="64"/>
        <v>0.15366052173913042</v>
      </c>
      <c r="K1348">
        <f t="shared" si="65"/>
        <v>4.6150326455993727E-2</v>
      </c>
    </row>
    <row r="1349" spans="1:11" x14ac:dyDescent="0.25">
      <c r="A1349" s="1">
        <v>2017</v>
      </c>
      <c r="B1349" s="1" t="s">
        <v>104</v>
      </c>
      <c r="C1349" t="s">
        <v>8</v>
      </c>
      <c r="D1349" s="1" t="s">
        <v>5</v>
      </c>
      <c r="E1349">
        <v>79</v>
      </c>
      <c r="F1349" s="1" t="s">
        <v>101</v>
      </c>
      <c r="G1349">
        <v>18</v>
      </c>
      <c r="H1349">
        <v>1</v>
      </c>
      <c r="I1349" s="2">
        <f t="shared" si="63"/>
        <v>1.7670959999999998</v>
      </c>
      <c r="J1349">
        <f t="shared" si="64"/>
        <v>0.15366052173913042</v>
      </c>
      <c r="K1349">
        <f t="shared" si="65"/>
        <v>4.6150326455993727E-2</v>
      </c>
    </row>
    <row r="1350" spans="1:11" x14ac:dyDescent="0.25">
      <c r="A1350" s="1">
        <v>2017</v>
      </c>
      <c r="B1350" s="1" t="s">
        <v>104</v>
      </c>
      <c r="C1350" t="s">
        <v>8</v>
      </c>
      <c r="D1350" s="1" t="s">
        <v>5</v>
      </c>
      <c r="E1350">
        <v>85</v>
      </c>
      <c r="F1350" s="1" t="s">
        <v>101</v>
      </c>
      <c r="G1350">
        <v>18</v>
      </c>
      <c r="H1350">
        <v>1</v>
      </c>
      <c r="I1350" s="2">
        <f t="shared" si="63"/>
        <v>1.7670959999999998</v>
      </c>
      <c r="J1350">
        <f t="shared" si="64"/>
        <v>0.15366052173913042</v>
      </c>
      <c r="K1350">
        <f t="shared" si="65"/>
        <v>4.6150326455993727E-2</v>
      </c>
    </row>
    <row r="1351" spans="1:11" x14ac:dyDescent="0.25">
      <c r="A1351" s="1">
        <v>2017</v>
      </c>
      <c r="B1351" s="1" t="s">
        <v>104</v>
      </c>
      <c r="C1351" t="s">
        <v>7</v>
      </c>
      <c r="D1351" s="1" t="s">
        <v>3</v>
      </c>
      <c r="E1351">
        <v>11</v>
      </c>
      <c r="F1351" s="1" t="s">
        <v>101</v>
      </c>
      <c r="G1351">
        <v>6</v>
      </c>
      <c r="H1351">
        <v>2</v>
      </c>
      <c r="I1351" s="2">
        <f t="shared" si="63"/>
        <v>0.39268799999999998</v>
      </c>
      <c r="J1351">
        <f t="shared" si="64"/>
        <v>3.414678260869565E-2</v>
      </c>
      <c r="K1351">
        <f t="shared" si="65"/>
        <v>1.025562810133194E-2</v>
      </c>
    </row>
    <row r="1352" spans="1:11" x14ac:dyDescent="0.25">
      <c r="A1352" s="1">
        <v>2017</v>
      </c>
      <c r="B1352" s="1" t="s">
        <v>104</v>
      </c>
      <c r="C1352" t="s">
        <v>7</v>
      </c>
      <c r="D1352" s="1" t="s">
        <v>3</v>
      </c>
      <c r="E1352">
        <v>11</v>
      </c>
      <c r="F1352" s="1" t="s">
        <v>101</v>
      </c>
      <c r="G1352">
        <v>8</v>
      </c>
      <c r="H1352">
        <v>1</v>
      </c>
      <c r="I1352" s="2">
        <f t="shared" si="63"/>
        <v>0.34905599999999998</v>
      </c>
      <c r="J1352">
        <f t="shared" si="64"/>
        <v>3.0352695652173911E-2</v>
      </c>
      <c r="K1352">
        <f t="shared" si="65"/>
        <v>9.1161138678506129E-3</v>
      </c>
    </row>
    <row r="1353" spans="1:11" x14ac:dyDescent="0.25">
      <c r="A1353" s="1">
        <v>2017</v>
      </c>
      <c r="B1353" s="1" t="s">
        <v>104</v>
      </c>
      <c r="C1353" t="s">
        <v>7</v>
      </c>
      <c r="D1353" s="1" t="s">
        <v>3</v>
      </c>
      <c r="E1353">
        <v>11</v>
      </c>
      <c r="F1353" s="1" t="s">
        <v>101</v>
      </c>
      <c r="G1353">
        <v>10</v>
      </c>
      <c r="H1353">
        <v>2</v>
      </c>
      <c r="I1353" s="2">
        <f t="shared" si="63"/>
        <v>1.0908</v>
      </c>
      <c r="J1353">
        <f t="shared" si="64"/>
        <v>9.4852173913043472E-2</v>
      </c>
      <c r="K1353">
        <f t="shared" si="65"/>
        <v>2.8487855837033164E-2</v>
      </c>
    </row>
    <row r="1354" spans="1:11" x14ac:dyDescent="0.25">
      <c r="A1354" s="1">
        <v>2017</v>
      </c>
      <c r="B1354" s="1" t="s">
        <v>104</v>
      </c>
      <c r="C1354" t="s">
        <v>7</v>
      </c>
      <c r="D1354" s="1" t="s">
        <v>3</v>
      </c>
      <c r="E1354">
        <v>11</v>
      </c>
      <c r="F1354" s="1" t="s">
        <v>101</v>
      </c>
      <c r="G1354">
        <v>12</v>
      </c>
      <c r="H1354">
        <v>1</v>
      </c>
      <c r="I1354" s="2">
        <f t="shared" si="63"/>
        <v>0.78537599999999996</v>
      </c>
      <c r="J1354">
        <f t="shared" si="64"/>
        <v>6.82935652173913E-2</v>
      </c>
      <c r="K1354">
        <f t="shared" si="65"/>
        <v>2.0511256202663881E-2</v>
      </c>
    </row>
    <row r="1355" spans="1:11" x14ac:dyDescent="0.25">
      <c r="A1355" s="1">
        <v>2017</v>
      </c>
      <c r="B1355" s="1" t="s">
        <v>104</v>
      </c>
      <c r="C1355" t="s">
        <v>7</v>
      </c>
      <c r="D1355" s="1" t="s">
        <v>3</v>
      </c>
      <c r="E1355">
        <v>11</v>
      </c>
      <c r="F1355" s="1" t="s">
        <v>101</v>
      </c>
      <c r="G1355">
        <v>14</v>
      </c>
      <c r="H1355">
        <v>1</v>
      </c>
      <c r="I1355" s="2">
        <f t="shared" si="63"/>
        <v>1.0689839999999999</v>
      </c>
      <c r="J1355">
        <f t="shared" si="64"/>
        <v>9.295513043478261E-2</v>
      </c>
      <c r="K1355">
        <f t="shared" si="65"/>
        <v>2.7918098720292505E-2</v>
      </c>
    </row>
    <row r="1356" spans="1:11" x14ac:dyDescent="0.25">
      <c r="A1356" s="1">
        <v>2017</v>
      </c>
      <c r="B1356" s="1" t="s">
        <v>104</v>
      </c>
      <c r="C1356" t="s">
        <v>7</v>
      </c>
      <c r="D1356" s="1" t="s">
        <v>3</v>
      </c>
      <c r="E1356">
        <v>11</v>
      </c>
      <c r="F1356" s="1" t="s">
        <v>101</v>
      </c>
      <c r="G1356">
        <v>16</v>
      </c>
      <c r="H1356">
        <v>1</v>
      </c>
      <c r="I1356" s="2">
        <f t="shared" si="63"/>
        <v>1.3962239999999999</v>
      </c>
      <c r="J1356">
        <f t="shared" si="64"/>
        <v>0.12141078260869564</v>
      </c>
      <c r="K1356">
        <f t="shared" si="65"/>
        <v>3.6464455471402452E-2</v>
      </c>
    </row>
    <row r="1357" spans="1:11" x14ac:dyDescent="0.25">
      <c r="A1357" s="1">
        <v>2017</v>
      </c>
      <c r="B1357" s="1" t="s">
        <v>104</v>
      </c>
      <c r="C1357" t="s">
        <v>7</v>
      </c>
      <c r="D1357" s="1" t="s">
        <v>3</v>
      </c>
      <c r="E1357">
        <v>21</v>
      </c>
      <c r="F1357" s="1" t="s">
        <v>101</v>
      </c>
      <c r="G1357">
        <v>8</v>
      </c>
      <c r="H1357">
        <v>1</v>
      </c>
      <c r="I1357" s="2">
        <f t="shared" si="63"/>
        <v>0.34905599999999998</v>
      </c>
      <c r="J1357">
        <f t="shared" si="64"/>
        <v>3.0352695652173911E-2</v>
      </c>
      <c r="K1357">
        <f t="shared" si="65"/>
        <v>9.1161138678506129E-3</v>
      </c>
    </row>
    <row r="1358" spans="1:11" x14ac:dyDescent="0.25">
      <c r="A1358" s="1">
        <v>2017</v>
      </c>
      <c r="B1358" s="1" t="s">
        <v>104</v>
      </c>
      <c r="C1358" t="s">
        <v>7</v>
      </c>
      <c r="D1358" s="1" t="s">
        <v>3</v>
      </c>
      <c r="E1358">
        <v>28</v>
      </c>
      <c r="F1358" s="1" t="s">
        <v>101</v>
      </c>
      <c r="G1358">
        <v>6</v>
      </c>
      <c r="H1358">
        <v>1</v>
      </c>
      <c r="I1358" s="2">
        <f t="shared" si="63"/>
        <v>0.19634399999999999</v>
      </c>
      <c r="J1358">
        <f t="shared" si="64"/>
        <v>1.7073391304347825E-2</v>
      </c>
      <c r="K1358">
        <f t="shared" si="65"/>
        <v>5.1278140506659702E-3</v>
      </c>
    </row>
    <row r="1359" spans="1:11" x14ac:dyDescent="0.25">
      <c r="A1359" s="1">
        <v>2017</v>
      </c>
      <c r="B1359" s="1" t="s">
        <v>104</v>
      </c>
      <c r="C1359" t="s">
        <v>7</v>
      </c>
      <c r="D1359" s="1" t="s">
        <v>3</v>
      </c>
      <c r="E1359">
        <v>29</v>
      </c>
      <c r="F1359" s="1" t="s">
        <v>101</v>
      </c>
      <c r="G1359">
        <v>6</v>
      </c>
      <c r="H1359">
        <v>31</v>
      </c>
      <c r="I1359" s="2">
        <f t="shared" si="63"/>
        <v>6.0866639999999999</v>
      </c>
      <c r="J1359">
        <f t="shared" si="64"/>
        <v>0.52927513043478258</v>
      </c>
      <c r="K1359">
        <f t="shared" si="65"/>
        <v>0.15896223557064507</v>
      </c>
    </row>
    <row r="1360" spans="1:11" x14ac:dyDescent="0.25">
      <c r="A1360" s="1">
        <v>2017</v>
      </c>
      <c r="B1360" s="1" t="s">
        <v>104</v>
      </c>
      <c r="C1360" t="s">
        <v>7</v>
      </c>
      <c r="D1360" s="1" t="s">
        <v>3</v>
      </c>
      <c r="E1360">
        <v>29</v>
      </c>
      <c r="F1360" s="1" t="s">
        <v>101</v>
      </c>
      <c r="G1360">
        <v>8</v>
      </c>
      <c r="H1360">
        <v>24</v>
      </c>
      <c r="I1360" s="2">
        <f t="shared" si="63"/>
        <v>8.377343999999999</v>
      </c>
      <c r="J1360">
        <f t="shared" si="64"/>
        <v>0.72846469565217387</v>
      </c>
      <c r="K1360">
        <f t="shared" si="65"/>
        <v>0.21878673282841471</v>
      </c>
    </row>
    <row r="1361" spans="1:11" x14ac:dyDescent="0.25">
      <c r="A1361" s="1">
        <v>2017</v>
      </c>
      <c r="B1361" s="1" t="s">
        <v>104</v>
      </c>
      <c r="C1361" t="s">
        <v>7</v>
      </c>
      <c r="D1361" s="1" t="s">
        <v>3</v>
      </c>
      <c r="E1361">
        <v>29</v>
      </c>
      <c r="F1361" s="1" t="s">
        <v>101</v>
      </c>
      <c r="G1361">
        <v>10</v>
      </c>
      <c r="H1361">
        <v>25</v>
      </c>
      <c r="I1361" s="2">
        <f t="shared" si="63"/>
        <v>13.635</v>
      </c>
      <c r="J1361">
        <f t="shared" si="64"/>
        <v>1.1856521739130435</v>
      </c>
      <c r="K1361">
        <f t="shared" si="65"/>
        <v>0.35609819796291459</v>
      </c>
    </row>
    <row r="1362" spans="1:11" x14ac:dyDescent="0.25">
      <c r="A1362" s="1">
        <v>2017</v>
      </c>
      <c r="B1362" s="1" t="s">
        <v>104</v>
      </c>
      <c r="C1362" t="s">
        <v>7</v>
      </c>
      <c r="D1362" s="1" t="s">
        <v>3</v>
      </c>
      <c r="E1362">
        <v>29</v>
      </c>
      <c r="F1362" s="1" t="s">
        <v>101</v>
      </c>
      <c r="G1362">
        <v>12</v>
      </c>
      <c r="H1362">
        <v>16</v>
      </c>
      <c r="I1362" s="2">
        <f t="shared" si="63"/>
        <v>12.566015999999999</v>
      </c>
      <c r="J1362">
        <f t="shared" si="64"/>
        <v>1.0926970434782608</v>
      </c>
      <c r="K1362">
        <f t="shared" si="65"/>
        <v>0.32818009924262209</v>
      </c>
    </row>
    <row r="1363" spans="1:11" x14ac:dyDescent="0.25">
      <c r="A1363" s="1">
        <v>2017</v>
      </c>
      <c r="B1363" s="1" t="s">
        <v>104</v>
      </c>
      <c r="C1363" t="s">
        <v>7</v>
      </c>
      <c r="D1363" s="1" t="s">
        <v>3</v>
      </c>
      <c r="E1363">
        <v>29</v>
      </c>
      <c r="F1363" s="1" t="s">
        <v>101</v>
      </c>
      <c r="G1363">
        <v>14</v>
      </c>
      <c r="H1363">
        <v>4</v>
      </c>
      <c r="I1363" s="2">
        <f t="shared" si="63"/>
        <v>4.2759359999999997</v>
      </c>
      <c r="J1363">
        <f t="shared" si="64"/>
        <v>0.37182052173913044</v>
      </c>
      <c r="K1363">
        <f t="shared" si="65"/>
        <v>0.11167239488117002</v>
      </c>
    </row>
    <row r="1364" spans="1:11" x14ac:dyDescent="0.25">
      <c r="A1364" s="1">
        <v>2017</v>
      </c>
      <c r="B1364" s="1" t="s">
        <v>104</v>
      </c>
      <c r="C1364" t="s">
        <v>7</v>
      </c>
      <c r="D1364" s="1" t="s">
        <v>3</v>
      </c>
      <c r="E1364">
        <v>29</v>
      </c>
      <c r="F1364" s="1" t="s">
        <v>101</v>
      </c>
      <c r="G1364">
        <v>16</v>
      </c>
      <c r="H1364">
        <v>3</v>
      </c>
      <c r="I1364" s="2">
        <f t="shared" si="63"/>
        <v>4.1886719999999995</v>
      </c>
      <c r="J1364">
        <f t="shared" si="64"/>
        <v>0.36423234782608693</v>
      </c>
      <c r="K1364">
        <f t="shared" si="65"/>
        <v>0.10939336641420735</v>
      </c>
    </row>
    <row r="1365" spans="1:11" x14ac:dyDescent="0.25">
      <c r="A1365" s="1">
        <v>2017</v>
      </c>
      <c r="B1365" s="1" t="s">
        <v>104</v>
      </c>
      <c r="C1365" t="s">
        <v>7</v>
      </c>
      <c r="D1365" s="1" t="s">
        <v>3</v>
      </c>
      <c r="E1365">
        <v>32</v>
      </c>
      <c r="F1365" s="1" t="s">
        <v>101</v>
      </c>
      <c r="G1365">
        <v>6</v>
      </c>
      <c r="H1365">
        <v>169</v>
      </c>
      <c r="I1365" s="2">
        <f t="shared" si="63"/>
        <v>33.182136</v>
      </c>
      <c r="J1365">
        <f t="shared" si="64"/>
        <v>2.8854031304347827</v>
      </c>
      <c r="K1365">
        <f t="shared" si="65"/>
        <v>0.86660057456254902</v>
      </c>
    </row>
    <row r="1366" spans="1:11" x14ac:dyDescent="0.25">
      <c r="A1366" s="1">
        <v>2017</v>
      </c>
      <c r="B1366" s="1" t="s">
        <v>104</v>
      </c>
      <c r="C1366" t="s">
        <v>7</v>
      </c>
      <c r="D1366" s="1" t="s">
        <v>3</v>
      </c>
      <c r="E1366">
        <v>32</v>
      </c>
      <c r="F1366" s="1" t="s">
        <v>101</v>
      </c>
      <c r="G1366">
        <v>8</v>
      </c>
      <c r="H1366">
        <v>82</v>
      </c>
      <c r="I1366" s="2">
        <f t="shared" si="63"/>
        <v>28.622591999999997</v>
      </c>
      <c r="J1366">
        <f t="shared" si="64"/>
        <v>2.4889210434782605</v>
      </c>
      <c r="K1366">
        <f t="shared" si="65"/>
        <v>0.74752133716375024</v>
      </c>
    </row>
    <row r="1367" spans="1:11" x14ac:dyDescent="0.25">
      <c r="A1367" s="1">
        <v>2017</v>
      </c>
      <c r="B1367" s="1" t="s">
        <v>104</v>
      </c>
      <c r="C1367" t="s">
        <v>7</v>
      </c>
      <c r="D1367" s="1" t="s">
        <v>3</v>
      </c>
      <c r="E1367">
        <v>32</v>
      </c>
      <c r="F1367" s="1" t="s">
        <v>101</v>
      </c>
      <c r="G1367">
        <v>10</v>
      </c>
      <c r="H1367">
        <v>33</v>
      </c>
      <c r="I1367" s="2">
        <f t="shared" si="63"/>
        <v>17.998200000000001</v>
      </c>
      <c r="J1367">
        <f t="shared" si="64"/>
        <v>1.5650608695652175</v>
      </c>
      <c r="K1367">
        <f t="shared" si="65"/>
        <v>0.47004962131104727</v>
      </c>
    </row>
    <row r="1368" spans="1:11" x14ac:dyDescent="0.25">
      <c r="A1368" s="1">
        <v>2017</v>
      </c>
      <c r="B1368" s="1" t="s">
        <v>104</v>
      </c>
      <c r="C1368" t="s">
        <v>7</v>
      </c>
      <c r="D1368" s="1" t="s">
        <v>3</v>
      </c>
      <c r="E1368">
        <v>32</v>
      </c>
      <c r="F1368" s="1" t="s">
        <v>101</v>
      </c>
      <c r="G1368">
        <v>12</v>
      </c>
      <c r="H1368">
        <v>10</v>
      </c>
      <c r="I1368" s="2">
        <f t="shared" si="63"/>
        <v>7.8537599999999994</v>
      </c>
      <c r="J1368">
        <f t="shared" si="64"/>
        <v>0.68293565217391294</v>
      </c>
      <c r="K1368">
        <f t="shared" si="65"/>
        <v>0.20511256202663877</v>
      </c>
    </row>
    <row r="1369" spans="1:11" x14ac:dyDescent="0.25">
      <c r="A1369" s="1">
        <v>2017</v>
      </c>
      <c r="B1369" s="1" t="s">
        <v>104</v>
      </c>
      <c r="C1369" t="s">
        <v>7</v>
      </c>
      <c r="D1369" s="1" t="s">
        <v>3</v>
      </c>
      <c r="E1369">
        <v>32</v>
      </c>
      <c r="F1369" s="1" t="s">
        <v>101</v>
      </c>
      <c r="G1369">
        <v>14</v>
      </c>
      <c r="H1369">
        <v>6</v>
      </c>
      <c r="I1369" s="2">
        <f t="shared" si="63"/>
        <v>6.4139039999999996</v>
      </c>
      <c r="J1369">
        <f t="shared" si="64"/>
        <v>0.55773078260869557</v>
      </c>
      <c r="K1369">
        <f t="shared" si="65"/>
        <v>0.167508592321755</v>
      </c>
    </row>
    <row r="1370" spans="1:11" x14ac:dyDescent="0.25">
      <c r="A1370" s="1">
        <v>2017</v>
      </c>
      <c r="B1370" s="1" t="s">
        <v>104</v>
      </c>
      <c r="C1370" t="s">
        <v>7</v>
      </c>
      <c r="D1370" s="1" t="s">
        <v>3</v>
      </c>
      <c r="E1370">
        <v>32</v>
      </c>
      <c r="F1370" s="1" t="s">
        <v>101</v>
      </c>
      <c r="G1370">
        <v>16</v>
      </c>
      <c r="H1370">
        <v>3</v>
      </c>
      <c r="I1370" s="2">
        <f t="shared" si="63"/>
        <v>4.1886719999999995</v>
      </c>
      <c r="J1370">
        <f t="shared" si="64"/>
        <v>0.36423234782608693</v>
      </c>
      <c r="K1370">
        <f t="shared" si="65"/>
        <v>0.10939336641420735</v>
      </c>
    </row>
    <row r="1371" spans="1:11" x14ac:dyDescent="0.25">
      <c r="A1371" s="1">
        <v>2017</v>
      </c>
      <c r="B1371" s="1" t="s">
        <v>104</v>
      </c>
      <c r="C1371" t="s">
        <v>7</v>
      </c>
      <c r="D1371" s="1" t="s">
        <v>3</v>
      </c>
      <c r="E1371">
        <v>34</v>
      </c>
      <c r="F1371" s="1" t="s">
        <v>101</v>
      </c>
      <c r="G1371">
        <v>6</v>
      </c>
      <c r="H1371">
        <v>9</v>
      </c>
      <c r="I1371" s="2">
        <f t="shared" si="63"/>
        <v>1.767096</v>
      </c>
      <c r="J1371">
        <f t="shared" si="64"/>
        <v>0.15366052173913045</v>
      </c>
      <c r="K1371">
        <f t="shared" si="65"/>
        <v>4.6150326455993734E-2</v>
      </c>
    </row>
    <row r="1372" spans="1:11" x14ac:dyDescent="0.25">
      <c r="A1372" s="1">
        <v>2017</v>
      </c>
      <c r="B1372" s="1" t="s">
        <v>104</v>
      </c>
      <c r="C1372" t="s">
        <v>7</v>
      </c>
      <c r="D1372" s="1" t="s">
        <v>3</v>
      </c>
      <c r="E1372">
        <v>34</v>
      </c>
      <c r="F1372" s="1" t="s">
        <v>101</v>
      </c>
      <c r="G1372">
        <v>8</v>
      </c>
      <c r="H1372">
        <v>9</v>
      </c>
      <c r="I1372" s="2">
        <f t="shared" si="63"/>
        <v>3.1415039999999999</v>
      </c>
      <c r="J1372">
        <f t="shared" si="64"/>
        <v>0.2731742608695652</v>
      </c>
      <c r="K1372">
        <f t="shared" si="65"/>
        <v>8.2045024810655523E-2</v>
      </c>
    </row>
    <row r="1373" spans="1:11" x14ac:dyDescent="0.25">
      <c r="A1373" s="1">
        <v>2017</v>
      </c>
      <c r="B1373" s="1" t="s">
        <v>104</v>
      </c>
      <c r="C1373" t="s">
        <v>7</v>
      </c>
      <c r="D1373" s="1" t="s">
        <v>3</v>
      </c>
      <c r="E1373">
        <v>34</v>
      </c>
      <c r="F1373" s="1" t="s">
        <v>101</v>
      </c>
      <c r="G1373">
        <v>10</v>
      </c>
      <c r="H1373">
        <v>18</v>
      </c>
      <c r="I1373" s="2">
        <f t="shared" si="63"/>
        <v>9.8171999999999997</v>
      </c>
      <c r="J1373">
        <f t="shared" si="64"/>
        <v>0.85366956521739124</v>
      </c>
      <c r="K1373">
        <f t="shared" si="65"/>
        <v>0.25639070253329849</v>
      </c>
    </row>
    <row r="1374" spans="1:11" x14ac:dyDescent="0.25">
      <c r="A1374" s="1">
        <v>2017</v>
      </c>
      <c r="B1374" s="1" t="s">
        <v>104</v>
      </c>
      <c r="C1374" t="s">
        <v>7</v>
      </c>
      <c r="D1374" s="1" t="s">
        <v>3</v>
      </c>
      <c r="E1374">
        <v>34</v>
      </c>
      <c r="F1374" s="1" t="s">
        <v>101</v>
      </c>
      <c r="G1374">
        <v>12</v>
      </c>
      <c r="H1374">
        <v>13</v>
      </c>
      <c r="I1374" s="2">
        <f t="shared" si="63"/>
        <v>10.209887999999999</v>
      </c>
      <c r="J1374">
        <f t="shared" si="64"/>
        <v>0.88781634782608687</v>
      </c>
      <c r="K1374">
        <f t="shared" si="65"/>
        <v>0.26664633063463045</v>
      </c>
    </row>
    <row r="1375" spans="1:11" x14ac:dyDescent="0.25">
      <c r="A1375" s="1">
        <v>2017</v>
      </c>
      <c r="B1375" s="1" t="s">
        <v>104</v>
      </c>
      <c r="C1375" t="s">
        <v>7</v>
      </c>
      <c r="D1375" s="1" t="s">
        <v>3</v>
      </c>
      <c r="E1375">
        <v>34</v>
      </c>
      <c r="F1375" s="1" t="s">
        <v>101</v>
      </c>
      <c r="G1375">
        <v>14</v>
      </c>
      <c r="H1375">
        <v>19</v>
      </c>
      <c r="I1375" s="2">
        <f t="shared" si="63"/>
        <v>20.310696</v>
      </c>
      <c r="J1375">
        <f t="shared" si="64"/>
        <v>1.7661474782608695</v>
      </c>
      <c r="K1375">
        <f t="shared" si="65"/>
        <v>0.53044387568555751</v>
      </c>
    </row>
    <row r="1376" spans="1:11" x14ac:dyDescent="0.25">
      <c r="A1376" s="1">
        <v>2017</v>
      </c>
      <c r="B1376" s="1" t="s">
        <v>104</v>
      </c>
      <c r="C1376" t="s">
        <v>7</v>
      </c>
      <c r="D1376" s="1" t="s">
        <v>3</v>
      </c>
      <c r="E1376">
        <v>34</v>
      </c>
      <c r="F1376" s="1" t="s">
        <v>101</v>
      </c>
      <c r="G1376">
        <v>16</v>
      </c>
      <c r="H1376">
        <v>16</v>
      </c>
      <c r="I1376" s="2">
        <f t="shared" si="63"/>
        <v>22.339583999999999</v>
      </c>
      <c r="J1376">
        <f t="shared" si="64"/>
        <v>1.9425725217391303</v>
      </c>
      <c r="K1376">
        <f t="shared" si="65"/>
        <v>0.58343128754243923</v>
      </c>
    </row>
    <row r="1377" spans="1:11" x14ac:dyDescent="0.25">
      <c r="A1377" s="1">
        <v>2017</v>
      </c>
      <c r="B1377" s="1" t="s">
        <v>104</v>
      </c>
      <c r="C1377" t="s">
        <v>7</v>
      </c>
      <c r="D1377" s="1" t="s">
        <v>3</v>
      </c>
      <c r="E1377">
        <v>38</v>
      </c>
      <c r="F1377" s="1" t="s">
        <v>101</v>
      </c>
      <c r="G1377">
        <v>6</v>
      </c>
      <c r="H1377">
        <v>10</v>
      </c>
      <c r="I1377" s="2">
        <f t="shared" si="63"/>
        <v>1.9634399999999999</v>
      </c>
      <c r="J1377">
        <f t="shared" si="64"/>
        <v>0.17073391304347824</v>
      </c>
      <c r="K1377">
        <f t="shared" si="65"/>
        <v>5.1278140506659693E-2</v>
      </c>
    </row>
    <row r="1378" spans="1:11" x14ac:dyDescent="0.25">
      <c r="A1378" s="1">
        <v>2017</v>
      </c>
      <c r="B1378" s="1" t="s">
        <v>104</v>
      </c>
      <c r="C1378" t="s">
        <v>7</v>
      </c>
      <c r="D1378" s="1" t="s">
        <v>3</v>
      </c>
      <c r="E1378">
        <v>38</v>
      </c>
      <c r="F1378" s="1" t="s">
        <v>101</v>
      </c>
      <c r="G1378">
        <v>8</v>
      </c>
      <c r="H1378">
        <v>26</v>
      </c>
      <c r="I1378" s="2">
        <f t="shared" si="63"/>
        <v>9.0754559999999991</v>
      </c>
      <c r="J1378">
        <f t="shared" si="64"/>
        <v>0.78917008695652169</v>
      </c>
      <c r="K1378">
        <f t="shared" si="65"/>
        <v>0.23701896056411595</v>
      </c>
    </row>
    <row r="1379" spans="1:11" x14ac:dyDescent="0.25">
      <c r="A1379" s="1">
        <v>2017</v>
      </c>
      <c r="B1379" s="1" t="s">
        <v>104</v>
      </c>
      <c r="C1379" t="s">
        <v>7</v>
      </c>
      <c r="D1379" s="1" t="s">
        <v>3</v>
      </c>
      <c r="E1379">
        <v>38</v>
      </c>
      <c r="F1379" s="1" t="s">
        <v>101</v>
      </c>
      <c r="G1379">
        <v>10</v>
      </c>
      <c r="H1379">
        <v>53</v>
      </c>
      <c r="I1379" s="2">
        <f t="shared" si="63"/>
        <v>28.906199999999998</v>
      </c>
      <c r="J1379">
        <f t="shared" si="64"/>
        <v>2.5135826086956521</v>
      </c>
      <c r="K1379">
        <f t="shared" si="65"/>
        <v>0.75492817968137893</v>
      </c>
    </row>
    <row r="1380" spans="1:11" x14ac:dyDescent="0.25">
      <c r="A1380" s="1">
        <v>2017</v>
      </c>
      <c r="B1380" s="1" t="s">
        <v>104</v>
      </c>
      <c r="C1380" t="s">
        <v>7</v>
      </c>
      <c r="D1380" s="1" t="s">
        <v>3</v>
      </c>
      <c r="E1380">
        <v>38</v>
      </c>
      <c r="F1380" s="1" t="s">
        <v>101</v>
      </c>
      <c r="G1380">
        <v>12</v>
      </c>
      <c r="H1380">
        <v>83</v>
      </c>
      <c r="I1380" s="2">
        <f t="shared" si="63"/>
        <v>65.186207999999993</v>
      </c>
      <c r="J1380">
        <f t="shared" si="64"/>
        <v>5.6683659130434778</v>
      </c>
      <c r="K1380">
        <f t="shared" si="65"/>
        <v>1.7024342648211019</v>
      </c>
    </row>
    <row r="1381" spans="1:11" x14ac:dyDescent="0.25">
      <c r="A1381" s="1">
        <v>2017</v>
      </c>
      <c r="B1381" s="1" t="s">
        <v>104</v>
      </c>
      <c r="C1381" t="s">
        <v>7</v>
      </c>
      <c r="D1381" s="1" t="s">
        <v>3</v>
      </c>
      <c r="E1381">
        <v>38</v>
      </c>
      <c r="F1381" s="1" t="s">
        <v>101</v>
      </c>
      <c r="G1381">
        <v>14</v>
      </c>
      <c r="H1381">
        <v>97</v>
      </c>
      <c r="I1381" s="2">
        <f t="shared" si="63"/>
        <v>103.69144799999999</v>
      </c>
      <c r="J1381">
        <f t="shared" si="64"/>
        <v>9.0166476521739121</v>
      </c>
      <c r="K1381">
        <f t="shared" si="65"/>
        <v>2.7080555758683724</v>
      </c>
    </row>
    <row r="1382" spans="1:11" x14ac:dyDescent="0.25">
      <c r="A1382" s="1">
        <v>2017</v>
      </c>
      <c r="B1382" s="1" t="s">
        <v>104</v>
      </c>
      <c r="C1382" t="s">
        <v>7</v>
      </c>
      <c r="D1382" s="1" t="s">
        <v>3</v>
      </c>
      <c r="E1382">
        <v>38</v>
      </c>
      <c r="F1382" s="1" t="s">
        <v>101</v>
      </c>
      <c r="G1382">
        <v>16</v>
      </c>
      <c r="H1382">
        <v>77</v>
      </c>
      <c r="I1382" s="2">
        <f t="shared" si="63"/>
        <v>107.509248</v>
      </c>
      <c r="J1382">
        <f t="shared" si="64"/>
        <v>9.3486302608695659</v>
      </c>
      <c r="K1382">
        <f t="shared" si="65"/>
        <v>2.8077630712979893</v>
      </c>
    </row>
    <row r="1383" spans="1:11" x14ac:dyDescent="0.25">
      <c r="A1383" s="1">
        <v>2017</v>
      </c>
      <c r="B1383" s="1" t="s">
        <v>104</v>
      </c>
      <c r="C1383" t="s">
        <v>7</v>
      </c>
      <c r="D1383" s="1" t="s">
        <v>3</v>
      </c>
      <c r="E1383">
        <v>40</v>
      </c>
      <c r="F1383" s="1" t="s">
        <v>101</v>
      </c>
      <c r="G1383">
        <v>6</v>
      </c>
      <c r="H1383">
        <v>7</v>
      </c>
      <c r="I1383" s="2">
        <f t="shared" si="63"/>
        <v>1.3744079999999999</v>
      </c>
      <c r="J1383">
        <f t="shared" si="64"/>
        <v>0.11951373913043477</v>
      </c>
      <c r="K1383">
        <f t="shared" si="65"/>
        <v>3.5894698354661789E-2</v>
      </c>
    </row>
    <row r="1384" spans="1:11" x14ac:dyDescent="0.25">
      <c r="A1384" s="1">
        <v>2017</v>
      </c>
      <c r="B1384" s="1" t="s">
        <v>104</v>
      </c>
      <c r="C1384" t="s">
        <v>7</v>
      </c>
      <c r="D1384" s="1" t="s">
        <v>3</v>
      </c>
      <c r="E1384">
        <v>40</v>
      </c>
      <c r="F1384" s="1" t="s">
        <v>101</v>
      </c>
      <c r="G1384">
        <v>8</v>
      </c>
      <c r="H1384">
        <v>16</v>
      </c>
      <c r="I1384" s="2">
        <f t="shared" si="63"/>
        <v>5.5848959999999996</v>
      </c>
      <c r="J1384">
        <f t="shared" si="64"/>
        <v>0.48564313043478258</v>
      </c>
      <c r="K1384">
        <f t="shared" si="65"/>
        <v>0.14585782188560981</v>
      </c>
    </row>
    <row r="1385" spans="1:11" x14ac:dyDescent="0.25">
      <c r="A1385" s="1">
        <v>2017</v>
      </c>
      <c r="B1385" s="1" t="s">
        <v>104</v>
      </c>
      <c r="C1385" t="s">
        <v>7</v>
      </c>
      <c r="D1385" s="1" t="s">
        <v>3</v>
      </c>
      <c r="E1385">
        <v>40</v>
      </c>
      <c r="F1385" s="1" t="s">
        <v>101</v>
      </c>
      <c r="G1385">
        <v>10</v>
      </c>
      <c r="H1385">
        <v>18</v>
      </c>
      <c r="I1385" s="2">
        <f t="shared" si="63"/>
        <v>9.8171999999999997</v>
      </c>
      <c r="J1385">
        <f t="shared" si="64"/>
        <v>0.85366956521739124</v>
      </c>
      <c r="K1385">
        <f t="shared" si="65"/>
        <v>0.25639070253329849</v>
      </c>
    </row>
    <row r="1386" spans="1:11" x14ac:dyDescent="0.25">
      <c r="A1386" s="1">
        <v>2017</v>
      </c>
      <c r="B1386" s="1" t="s">
        <v>104</v>
      </c>
      <c r="C1386" t="s">
        <v>7</v>
      </c>
      <c r="D1386" s="1" t="s">
        <v>3</v>
      </c>
      <c r="E1386">
        <v>40</v>
      </c>
      <c r="F1386" s="1" t="s">
        <v>101</v>
      </c>
      <c r="G1386">
        <v>12</v>
      </c>
      <c r="H1386">
        <v>21</v>
      </c>
      <c r="I1386" s="2">
        <f t="shared" si="63"/>
        <v>16.492895999999998</v>
      </c>
      <c r="J1386">
        <f t="shared" si="64"/>
        <v>1.4341648695652172</v>
      </c>
      <c r="K1386">
        <f t="shared" si="65"/>
        <v>0.43073638025594141</v>
      </c>
    </row>
    <row r="1387" spans="1:11" x14ac:dyDescent="0.25">
      <c r="A1387" s="1">
        <v>2017</v>
      </c>
      <c r="B1387" s="1" t="s">
        <v>104</v>
      </c>
      <c r="C1387" t="s">
        <v>7</v>
      </c>
      <c r="D1387" s="1" t="s">
        <v>3</v>
      </c>
      <c r="E1387">
        <v>40</v>
      </c>
      <c r="F1387" s="1" t="s">
        <v>101</v>
      </c>
      <c r="G1387">
        <v>14</v>
      </c>
      <c r="H1387">
        <v>28</v>
      </c>
      <c r="I1387" s="2">
        <f t="shared" si="63"/>
        <v>29.931551999999996</v>
      </c>
      <c r="J1387">
        <f t="shared" si="64"/>
        <v>2.6027436521739129</v>
      </c>
      <c r="K1387">
        <f t="shared" si="65"/>
        <v>0.78170676416819007</v>
      </c>
    </row>
    <row r="1388" spans="1:11" x14ac:dyDescent="0.25">
      <c r="A1388" s="1">
        <v>2017</v>
      </c>
      <c r="B1388" s="1" t="s">
        <v>104</v>
      </c>
      <c r="C1388" t="s">
        <v>7</v>
      </c>
      <c r="D1388" s="1" t="s">
        <v>3</v>
      </c>
      <c r="E1388">
        <v>40</v>
      </c>
      <c r="F1388" s="1" t="s">
        <v>101</v>
      </c>
      <c r="G1388">
        <v>16</v>
      </c>
      <c r="H1388">
        <v>35</v>
      </c>
      <c r="I1388" s="2">
        <f t="shared" si="63"/>
        <v>48.867839999999994</v>
      </c>
      <c r="J1388">
        <f t="shared" si="64"/>
        <v>4.2493773913043471</v>
      </c>
      <c r="K1388">
        <f t="shared" si="65"/>
        <v>1.2762559414990857</v>
      </c>
    </row>
    <row r="1389" spans="1:11" x14ac:dyDescent="0.25">
      <c r="A1389" s="1">
        <v>2017</v>
      </c>
      <c r="B1389" s="1" t="s">
        <v>104</v>
      </c>
      <c r="C1389" t="s">
        <v>7</v>
      </c>
      <c r="D1389" s="1" t="s">
        <v>3</v>
      </c>
      <c r="E1389">
        <v>41</v>
      </c>
      <c r="F1389" s="1" t="s">
        <v>101</v>
      </c>
      <c r="G1389">
        <v>6</v>
      </c>
      <c r="H1389">
        <v>1</v>
      </c>
      <c r="I1389" s="2">
        <f t="shared" si="63"/>
        <v>0.19634399999999999</v>
      </c>
      <c r="J1389">
        <f t="shared" si="64"/>
        <v>1.7073391304347825E-2</v>
      </c>
      <c r="K1389">
        <f t="shared" si="65"/>
        <v>5.1278140506659702E-3</v>
      </c>
    </row>
    <row r="1390" spans="1:11" x14ac:dyDescent="0.25">
      <c r="A1390" s="1">
        <v>2017</v>
      </c>
      <c r="B1390" s="1" t="s">
        <v>104</v>
      </c>
      <c r="C1390" t="s">
        <v>7</v>
      </c>
      <c r="D1390" s="1" t="s">
        <v>3</v>
      </c>
      <c r="E1390">
        <v>41</v>
      </c>
      <c r="F1390" s="1" t="s">
        <v>101</v>
      </c>
      <c r="G1390">
        <v>8</v>
      </c>
      <c r="H1390">
        <v>3</v>
      </c>
      <c r="I1390" s="2">
        <f t="shared" si="63"/>
        <v>1.0471679999999999</v>
      </c>
      <c r="J1390">
        <f t="shared" si="64"/>
        <v>9.1058086956521733E-2</v>
      </c>
      <c r="K1390">
        <f t="shared" si="65"/>
        <v>2.7348341603551839E-2</v>
      </c>
    </row>
    <row r="1391" spans="1:11" x14ac:dyDescent="0.25">
      <c r="A1391" s="1">
        <v>2017</v>
      </c>
      <c r="B1391" s="1" t="s">
        <v>104</v>
      </c>
      <c r="C1391" t="s">
        <v>7</v>
      </c>
      <c r="D1391" s="1" t="s">
        <v>3</v>
      </c>
      <c r="E1391">
        <v>41</v>
      </c>
      <c r="F1391" s="1" t="s">
        <v>101</v>
      </c>
      <c r="G1391">
        <v>10</v>
      </c>
      <c r="H1391">
        <v>3</v>
      </c>
      <c r="I1391" s="2">
        <f t="shared" si="63"/>
        <v>1.6362000000000001</v>
      </c>
      <c r="J1391">
        <f t="shared" si="64"/>
        <v>0.14227826086956522</v>
      </c>
      <c r="K1391">
        <f t="shared" si="65"/>
        <v>4.273178375554975E-2</v>
      </c>
    </row>
    <row r="1392" spans="1:11" x14ac:dyDescent="0.25">
      <c r="A1392" s="1">
        <v>2017</v>
      </c>
      <c r="B1392" s="1" t="s">
        <v>104</v>
      </c>
      <c r="C1392" t="s">
        <v>7</v>
      </c>
      <c r="D1392" s="1" t="s">
        <v>3</v>
      </c>
      <c r="E1392">
        <v>41</v>
      </c>
      <c r="F1392" s="1" t="s">
        <v>101</v>
      </c>
      <c r="G1392">
        <v>12</v>
      </c>
      <c r="H1392">
        <v>4</v>
      </c>
      <c r="I1392" s="2">
        <f t="shared" si="63"/>
        <v>3.1415039999999999</v>
      </c>
      <c r="J1392">
        <f t="shared" si="64"/>
        <v>0.2731742608695652</v>
      </c>
      <c r="K1392">
        <f t="shared" si="65"/>
        <v>8.2045024810655523E-2</v>
      </c>
    </row>
    <row r="1393" spans="1:11" x14ac:dyDescent="0.25">
      <c r="A1393" s="1">
        <v>2017</v>
      </c>
      <c r="B1393" s="1" t="s">
        <v>104</v>
      </c>
      <c r="C1393" t="s">
        <v>7</v>
      </c>
      <c r="D1393" s="1" t="s">
        <v>3</v>
      </c>
      <c r="E1393">
        <v>41</v>
      </c>
      <c r="F1393" s="1" t="s">
        <v>101</v>
      </c>
      <c r="G1393">
        <v>14</v>
      </c>
      <c r="H1393">
        <v>7</v>
      </c>
      <c r="I1393" s="2">
        <f t="shared" si="63"/>
        <v>7.4828879999999991</v>
      </c>
      <c r="J1393">
        <f t="shared" si="64"/>
        <v>0.65068591304347823</v>
      </c>
      <c r="K1393">
        <f t="shared" si="65"/>
        <v>0.19542669104204752</v>
      </c>
    </row>
    <row r="1394" spans="1:11" x14ac:dyDescent="0.25">
      <c r="A1394" s="1">
        <v>2017</v>
      </c>
      <c r="B1394" s="1" t="s">
        <v>104</v>
      </c>
      <c r="C1394" t="s">
        <v>7</v>
      </c>
      <c r="D1394" s="1" t="s">
        <v>3</v>
      </c>
      <c r="E1394">
        <v>41</v>
      </c>
      <c r="F1394" s="1" t="s">
        <v>101</v>
      </c>
      <c r="G1394">
        <v>16</v>
      </c>
      <c r="H1394">
        <v>5</v>
      </c>
      <c r="I1394" s="2">
        <f t="shared" si="63"/>
        <v>6.9811199999999998</v>
      </c>
      <c r="J1394">
        <f t="shared" si="64"/>
        <v>0.60705391304347822</v>
      </c>
      <c r="K1394">
        <f t="shared" si="65"/>
        <v>0.18232227735701226</v>
      </c>
    </row>
    <row r="1395" spans="1:11" x14ac:dyDescent="0.25">
      <c r="A1395" s="1">
        <v>2017</v>
      </c>
      <c r="B1395" s="1" t="s">
        <v>104</v>
      </c>
      <c r="C1395" t="s">
        <v>7</v>
      </c>
      <c r="D1395" s="1" t="s">
        <v>3</v>
      </c>
      <c r="E1395">
        <v>41</v>
      </c>
      <c r="F1395" s="1" t="s">
        <v>101</v>
      </c>
      <c r="G1395">
        <v>18</v>
      </c>
      <c r="H1395">
        <v>2</v>
      </c>
      <c r="I1395" s="2">
        <f t="shared" si="63"/>
        <v>3.5341919999999996</v>
      </c>
      <c r="J1395">
        <f t="shared" si="64"/>
        <v>0.30732104347826084</v>
      </c>
      <c r="K1395">
        <f t="shared" si="65"/>
        <v>9.2300652911987455E-2</v>
      </c>
    </row>
    <row r="1396" spans="1:11" x14ac:dyDescent="0.25">
      <c r="A1396" s="1">
        <v>2017</v>
      </c>
      <c r="B1396" s="1" t="s">
        <v>104</v>
      </c>
      <c r="C1396" t="s">
        <v>7</v>
      </c>
      <c r="D1396" s="1" t="s">
        <v>3</v>
      </c>
      <c r="E1396">
        <v>47</v>
      </c>
      <c r="F1396" s="1" t="s">
        <v>101</v>
      </c>
      <c r="G1396">
        <v>12</v>
      </c>
      <c r="H1396">
        <v>1</v>
      </c>
      <c r="I1396" s="2">
        <f t="shared" si="63"/>
        <v>0.78537599999999996</v>
      </c>
      <c r="J1396">
        <f t="shared" si="64"/>
        <v>6.82935652173913E-2</v>
      </c>
      <c r="K1396">
        <f t="shared" si="65"/>
        <v>2.0511256202663881E-2</v>
      </c>
    </row>
    <row r="1397" spans="1:11" x14ac:dyDescent="0.25">
      <c r="A1397" s="1">
        <v>2017</v>
      </c>
      <c r="B1397" s="1" t="s">
        <v>104</v>
      </c>
      <c r="C1397" t="s">
        <v>7</v>
      </c>
      <c r="D1397" s="1" t="s">
        <v>3</v>
      </c>
      <c r="E1397">
        <v>47</v>
      </c>
      <c r="F1397" s="1" t="s">
        <v>101</v>
      </c>
      <c r="G1397">
        <v>16</v>
      </c>
      <c r="H1397">
        <v>3</v>
      </c>
      <c r="I1397" s="2">
        <f t="shared" si="63"/>
        <v>4.1886719999999995</v>
      </c>
      <c r="J1397">
        <f t="shared" si="64"/>
        <v>0.36423234782608693</v>
      </c>
      <c r="K1397">
        <f t="shared" si="65"/>
        <v>0.10939336641420735</v>
      </c>
    </row>
    <row r="1398" spans="1:11" x14ac:dyDescent="0.25">
      <c r="A1398" s="1">
        <v>2017</v>
      </c>
      <c r="B1398" s="1" t="s">
        <v>104</v>
      </c>
      <c r="C1398" t="s">
        <v>7</v>
      </c>
      <c r="D1398" s="1" t="s">
        <v>3</v>
      </c>
      <c r="E1398">
        <v>52</v>
      </c>
      <c r="F1398" s="1" t="s">
        <v>101</v>
      </c>
      <c r="G1398">
        <v>8</v>
      </c>
      <c r="H1398">
        <v>1</v>
      </c>
      <c r="I1398" s="2">
        <f t="shared" si="63"/>
        <v>0.34905599999999998</v>
      </c>
      <c r="J1398">
        <f t="shared" si="64"/>
        <v>3.0352695652173911E-2</v>
      </c>
      <c r="K1398">
        <f t="shared" si="65"/>
        <v>9.1161138678506129E-3</v>
      </c>
    </row>
    <row r="1399" spans="1:11" x14ac:dyDescent="0.25">
      <c r="A1399" s="1">
        <v>2017</v>
      </c>
      <c r="B1399" s="1" t="s">
        <v>104</v>
      </c>
      <c r="C1399" t="s">
        <v>7</v>
      </c>
      <c r="D1399" s="1" t="s">
        <v>3</v>
      </c>
      <c r="E1399">
        <v>52</v>
      </c>
      <c r="F1399" s="1" t="s">
        <v>101</v>
      </c>
      <c r="G1399">
        <v>10</v>
      </c>
      <c r="H1399">
        <v>1</v>
      </c>
      <c r="I1399" s="2">
        <f t="shared" si="63"/>
        <v>0.5454</v>
      </c>
      <c r="J1399">
        <f t="shared" si="64"/>
        <v>4.7426086956521736E-2</v>
      </c>
      <c r="K1399">
        <f t="shared" si="65"/>
        <v>1.4243927918516582E-2</v>
      </c>
    </row>
    <row r="1400" spans="1:11" x14ac:dyDescent="0.25">
      <c r="A1400" s="1">
        <v>2017</v>
      </c>
      <c r="B1400" s="1" t="s">
        <v>104</v>
      </c>
      <c r="C1400" t="s">
        <v>7</v>
      </c>
      <c r="D1400" s="1" t="s">
        <v>3</v>
      </c>
      <c r="E1400">
        <v>53</v>
      </c>
      <c r="F1400" s="1" t="s">
        <v>101</v>
      </c>
      <c r="G1400">
        <v>6</v>
      </c>
      <c r="H1400">
        <v>5</v>
      </c>
      <c r="I1400" s="2">
        <f t="shared" si="63"/>
        <v>0.98171999999999993</v>
      </c>
      <c r="J1400">
        <f t="shared" si="64"/>
        <v>8.5366956521739118E-2</v>
      </c>
      <c r="K1400">
        <f t="shared" si="65"/>
        <v>2.5639070253329847E-2</v>
      </c>
    </row>
    <row r="1401" spans="1:11" x14ac:dyDescent="0.25">
      <c r="A1401" s="1">
        <v>2017</v>
      </c>
      <c r="B1401" s="1" t="s">
        <v>104</v>
      </c>
      <c r="C1401" t="s">
        <v>7</v>
      </c>
      <c r="D1401" s="1" t="s">
        <v>3</v>
      </c>
      <c r="E1401">
        <v>53</v>
      </c>
      <c r="F1401" s="1" t="s">
        <v>101</v>
      </c>
      <c r="G1401">
        <v>8</v>
      </c>
      <c r="H1401">
        <v>5</v>
      </c>
      <c r="I1401" s="2">
        <f t="shared" si="63"/>
        <v>1.7452799999999999</v>
      </c>
      <c r="J1401">
        <f t="shared" si="64"/>
        <v>0.15176347826086956</v>
      </c>
      <c r="K1401">
        <f t="shared" si="65"/>
        <v>4.5580569339253064E-2</v>
      </c>
    </row>
    <row r="1402" spans="1:11" x14ac:dyDescent="0.25">
      <c r="A1402" s="1">
        <v>2017</v>
      </c>
      <c r="B1402" s="1" t="s">
        <v>104</v>
      </c>
      <c r="C1402" t="s">
        <v>7</v>
      </c>
      <c r="D1402" s="1" t="s">
        <v>3</v>
      </c>
      <c r="E1402">
        <v>53</v>
      </c>
      <c r="F1402" s="1" t="s">
        <v>101</v>
      </c>
      <c r="G1402">
        <v>10</v>
      </c>
      <c r="H1402">
        <v>8</v>
      </c>
      <c r="I1402" s="2">
        <f t="shared" si="63"/>
        <v>4.3632</v>
      </c>
      <c r="J1402">
        <f t="shared" si="64"/>
        <v>0.37940869565217389</v>
      </c>
      <c r="K1402">
        <f t="shared" si="65"/>
        <v>0.11395142334813266</v>
      </c>
    </row>
    <row r="1403" spans="1:11" x14ac:dyDescent="0.25">
      <c r="A1403" s="1">
        <v>2017</v>
      </c>
      <c r="B1403" s="1" t="s">
        <v>104</v>
      </c>
      <c r="C1403" t="s">
        <v>7</v>
      </c>
      <c r="D1403" s="1" t="s">
        <v>3</v>
      </c>
      <c r="E1403">
        <v>53</v>
      </c>
      <c r="F1403" s="1" t="s">
        <v>101</v>
      </c>
      <c r="G1403">
        <v>12</v>
      </c>
      <c r="H1403">
        <v>8</v>
      </c>
      <c r="I1403" s="2">
        <f t="shared" si="63"/>
        <v>6.2830079999999997</v>
      </c>
      <c r="J1403">
        <f t="shared" si="64"/>
        <v>0.5463485217391304</v>
      </c>
      <c r="K1403">
        <f t="shared" si="65"/>
        <v>0.16409004962131105</v>
      </c>
    </row>
    <row r="1404" spans="1:11" x14ac:dyDescent="0.25">
      <c r="A1404" s="1">
        <v>2017</v>
      </c>
      <c r="B1404" s="1" t="s">
        <v>104</v>
      </c>
      <c r="C1404" t="s">
        <v>7</v>
      </c>
      <c r="D1404" s="1" t="s">
        <v>3</v>
      </c>
      <c r="E1404">
        <v>53</v>
      </c>
      <c r="F1404" s="1" t="s">
        <v>101</v>
      </c>
      <c r="G1404">
        <v>14</v>
      </c>
      <c r="H1404">
        <v>3</v>
      </c>
      <c r="I1404" s="2">
        <f t="shared" si="63"/>
        <v>3.2069519999999998</v>
      </c>
      <c r="J1404">
        <f t="shared" si="64"/>
        <v>0.27886539130434779</v>
      </c>
      <c r="K1404">
        <f t="shared" si="65"/>
        <v>8.3754296160877498E-2</v>
      </c>
    </row>
    <row r="1405" spans="1:11" x14ac:dyDescent="0.25">
      <c r="A1405" s="1">
        <v>2017</v>
      </c>
      <c r="B1405" s="1" t="s">
        <v>104</v>
      </c>
      <c r="C1405" t="s">
        <v>7</v>
      </c>
      <c r="D1405" s="1" t="s">
        <v>3</v>
      </c>
      <c r="E1405">
        <v>53</v>
      </c>
      <c r="F1405" s="1" t="s">
        <v>101</v>
      </c>
      <c r="G1405">
        <v>16</v>
      </c>
      <c r="H1405">
        <v>1</v>
      </c>
      <c r="I1405" s="2">
        <f t="shared" si="63"/>
        <v>1.3962239999999999</v>
      </c>
      <c r="J1405">
        <f t="shared" si="64"/>
        <v>0.12141078260869564</v>
      </c>
      <c r="K1405">
        <f t="shared" si="65"/>
        <v>3.6464455471402452E-2</v>
      </c>
    </row>
    <row r="1406" spans="1:11" x14ac:dyDescent="0.25">
      <c r="A1406" s="1">
        <v>2017</v>
      </c>
      <c r="B1406" s="1" t="s">
        <v>104</v>
      </c>
      <c r="C1406" t="s">
        <v>7</v>
      </c>
      <c r="D1406" s="1" t="s">
        <v>3</v>
      </c>
      <c r="E1406">
        <v>54</v>
      </c>
      <c r="F1406" s="1" t="s">
        <v>101</v>
      </c>
      <c r="G1406">
        <v>6</v>
      </c>
      <c r="H1406">
        <v>2</v>
      </c>
      <c r="I1406" s="2">
        <f t="shared" si="63"/>
        <v>0.39268799999999998</v>
      </c>
      <c r="J1406">
        <f t="shared" si="64"/>
        <v>3.414678260869565E-2</v>
      </c>
      <c r="K1406">
        <f t="shared" si="65"/>
        <v>1.025562810133194E-2</v>
      </c>
    </row>
    <row r="1407" spans="1:11" x14ac:dyDescent="0.25">
      <c r="A1407" s="1">
        <v>2017</v>
      </c>
      <c r="B1407" s="1" t="s">
        <v>104</v>
      </c>
      <c r="C1407" t="s">
        <v>7</v>
      </c>
      <c r="D1407" s="1" t="s">
        <v>3</v>
      </c>
      <c r="E1407">
        <v>54</v>
      </c>
      <c r="F1407" s="1" t="s">
        <v>101</v>
      </c>
      <c r="G1407">
        <v>8</v>
      </c>
      <c r="H1407">
        <v>3</v>
      </c>
      <c r="I1407" s="2">
        <f t="shared" si="63"/>
        <v>1.0471679999999999</v>
      </c>
      <c r="J1407">
        <f t="shared" si="64"/>
        <v>9.1058086956521733E-2</v>
      </c>
      <c r="K1407">
        <f t="shared" si="65"/>
        <v>2.7348341603551839E-2</v>
      </c>
    </row>
    <row r="1408" spans="1:11" x14ac:dyDescent="0.25">
      <c r="A1408" s="1">
        <v>2017</v>
      </c>
      <c r="B1408" s="1" t="s">
        <v>104</v>
      </c>
      <c r="C1408" t="s">
        <v>7</v>
      </c>
      <c r="D1408" s="1" t="s">
        <v>3</v>
      </c>
      <c r="E1408">
        <v>56</v>
      </c>
      <c r="F1408" s="1" t="s">
        <v>101</v>
      </c>
      <c r="G1408">
        <v>10</v>
      </c>
      <c r="H1408">
        <v>1</v>
      </c>
      <c r="I1408" s="2">
        <f t="shared" si="63"/>
        <v>0.5454</v>
      </c>
      <c r="J1408">
        <f t="shared" si="64"/>
        <v>4.7426086956521736E-2</v>
      </c>
      <c r="K1408">
        <f t="shared" si="65"/>
        <v>1.4243927918516582E-2</v>
      </c>
    </row>
    <row r="1409" spans="1:11" x14ac:dyDescent="0.25">
      <c r="A1409" s="1">
        <v>2017</v>
      </c>
      <c r="B1409" s="1" t="s">
        <v>104</v>
      </c>
      <c r="C1409" t="s">
        <v>7</v>
      </c>
      <c r="D1409" s="1" t="s">
        <v>3</v>
      </c>
      <c r="E1409">
        <v>56</v>
      </c>
      <c r="F1409" s="1" t="s">
        <v>101</v>
      </c>
      <c r="G1409">
        <v>12</v>
      </c>
      <c r="H1409">
        <v>4</v>
      </c>
      <c r="I1409" s="2">
        <f t="shared" si="63"/>
        <v>3.1415039999999999</v>
      </c>
      <c r="J1409">
        <f t="shared" si="64"/>
        <v>0.2731742608695652</v>
      </c>
      <c r="K1409">
        <f t="shared" si="65"/>
        <v>8.2045024810655523E-2</v>
      </c>
    </row>
    <row r="1410" spans="1:11" x14ac:dyDescent="0.25">
      <c r="A1410" s="1">
        <v>2017</v>
      </c>
      <c r="B1410" s="1" t="s">
        <v>104</v>
      </c>
      <c r="C1410" t="s">
        <v>7</v>
      </c>
      <c r="D1410" s="1" t="s">
        <v>3</v>
      </c>
      <c r="E1410">
        <v>56</v>
      </c>
      <c r="F1410" s="1" t="s">
        <v>101</v>
      </c>
      <c r="G1410">
        <v>14</v>
      </c>
      <c r="H1410">
        <v>4</v>
      </c>
      <c r="I1410" s="2">
        <f t="shared" si="63"/>
        <v>4.2759359999999997</v>
      </c>
      <c r="J1410">
        <f t="shared" si="64"/>
        <v>0.37182052173913044</v>
      </c>
      <c r="K1410">
        <f t="shared" si="65"/>
        <v>0.11167239488117002</v>
      </c>
    </row>
    <row r="1411" spans="1:11" x14ac:dyDescent="0.25">
      <c r="A1411" s="1">
        <v>2017</v>
      </c>
      <c r="B1411" s="1" t="s">
        <v>104</v>
      </c>
      <c r="C1411" t="s">
        <v>7</v>
      </c>
      <c r="D1411" s="1" t="s">
        <v>3</v>
      </c>
      <c r="E1411">
        <v>56</v>
      </c>
      <c r="F1411" s="1" t="s">
        <v>101</v>
      </c>
      <c r="G1411">
        <v>16</v>
      </c>
      <c r="H1411">
        <v>3</v>
      </c>
      <c r="I1411" s="2">
        <f t="shared" ref="I1411:I1466" si="66">0.005454*G1411^2*H1411</f>
        <v>4.1886719999999995</v>
      </c>
      <c r="J1411">
        <f t="shared" ref="J1411:J1466" si="67">I1411/11.5</f>
        <v>0.36423234782608693</v>
      </c>
      <c r="K1411">
        <f t="shared" ref="K1411:K1466" si="68">J1411*(11.5/38.29)</f>
        <v>0.10939336641420735</v>
      </c>
    </row>
    <row r="1412" spans="1:11" x14ac:dyDescent="0.25">
      <c r="A1412" s="1">
        <v>2017</v>
      </c>
      <c r="B1412" s="1" t="s">
        <v>104</v>
      </c>
      <c r="C1412" t="s">
        <v>7</v>
      </c>
      <c r="D1412" s="1" t="s">
        <v>3</v>
      </c>
      <c r="E1412">
        <v>56</v>
      </c>
      <c r="F1412" s="1" t="s">
        <v>101</v>
      </c>
      <c r="G1412">
        <v>18</v>
      </c>
      <c r="H1412">
        <v>1</v>
      </c>
      <c r="I1412" s="2">
        <f t="shared" si="66"/>
        <v>1.7670959999999998</v>
      </c>
      <c r="J1412">
        <f t="shared" si="67"/>
        <v>0.15366052173913042</v>
      </c>
      <c r="K1412">
        <f t="shared" si="68"/>
        <v>4.6150326455993727E-2</v>
      </c>
    </row>
    <row r="1413" spans="1:11" x14ac:dyDescent="0.25">
      <c r="A1413" s="1">
        <v>2017</v>
      </c>
      <c r="B1413" s="1" t="s">
        <v>104</v>
      </c>
      <c r="C1413" t="s">
        <v>7</v>
      </c>
      <c r="D1413" s="1" t="s">
        <v>3</v>
      </c>
      <c r="E1413">
        <v>63</v>
      </c>
      <c r="F1413" s="1" t="s">
        <v>101</v>
      </c>
      <c r="G1413">
        <v>6</v>
      </c>
      <c r="H1413">
        <v>36</v>
      </c>
      <c r="I1413" s="2">
        <f t="shared" si="66"/>
        <v>7.068384</v>
      </c>
      <c r="J1413">
        <f t="shared" si="67"/>
        <v>0.61464208695652178</v>
      </c>
      <c r="K1413">
        <f t="shared" si="68"/>
        <v>0.18460130582397494</v>
      </c>
    </row>
    <row r="1414" spans="1:11" x14ac:dyDescent="0.25">
      <c r="A1414" s="1">
        <v>2017</v>
      </c>
      <c r="B1414" s="1" t="s">
        <v>104</v>
      </c>
      <c r="C1414" t="s">
        <v>7</v>
      </c>
      <c r="D1414" s="1" t="s">
        <v>3</v>
      </c>
      <c r="E1414">
        <v>63</v>
      </c>
      <c r="F1414" s="1" t="s">
        <v>101</v>
      </c>
      <c r="G1414">
        <v>8</v>
      </c>
      <c r="H1414">
        <v>5</v>
      </c>
      <c r="I1414" s="2">
        <f t="shared" si="66"/>
        <v>1.7452799999999999</v>
      </c>
      <c r="J1414">
        <f t="shared" si="67"/>
        <v>0.15176347826086956</v>
      </c>
      <c r="K1414">
        <f t="shared" si="68"/>
        <v>4.5580569339253064E-2</v>
      </c>
    </row>
    <row r="1415" spans="1:11" x14ac:dyDescent="0.25">
      <c r="A1415" s="1">
        <v>2017</v>
      </c>
      <c r="B1415" s="1" t="s">
        <v>104</v>
      </c>
      <c r="C1415" t="s">
        <v>7</v>
      </c>
      <c r="D1415" s="1" t="s">
        <v>3</v>
      </c>
      <c r="E1415">
        <v>63</v>
      </c>
      <c r="F1415" s="1" t="s">
        <v>101</v>
      </c>
      <c r="G1415">
        <v>10</v>
      </c>
      <c r="H1415">
        <v>3</v>
      </c>
      <c r="I1415" s="2">
        <f t="shared" si="66"/>
        <v>1.6362000000000001</v>
      </c>
      <c r="J1415">
        <f t="shared" si="67"/>
        <v>0.14227826086956522</v>
      </c>
      <c r="K1415">
        <f t="shared" si="68"/>
        <v>4.273178375554975E-2</v>
      </c>
    </row>
    <row r="1416" spans="1:11" x14ac:dyDescent="0.25">
      <c r="A1416" s="1">
        <v>2017</v>
      </c>
      <c r="B1416" s="1" t="s">
        <v>104</v>
      </c>
      <c r="C1416" t="s">
        <v>7</v>
      </c>
      <c r="D1416" s="1" t="s">
        <v>3</v>
      </c>
      <c r="E1416">
        <v>65</v>
      </c>
      <c r="F1416" s="1" t="s">
        <v>101</v>
      </c>
      <c r="G1416">
        <v>6</v>
      </c>
      <c r="H1416">
        <v>1</v>
      </c>
      <c r="I1416" s="2">
        <f t="shared" si="66"/>
        <v>0.19634399999999999</v>
      </c>
      <c r="J1416">
        <f t="shared" si="67"/>
        <v>1.7073391304347825E-2</v>
      </c>
      <c r="K1416">
        <f t="shared" si="68"/>
        <v>5.1278140506659702E-3</v>
      </c>
    </row>
    <row r="1417" spans="1:11" x14ac:dyDescent="0.25">
      <c r="A1417" s="1">
        <v>2017</v>
      </c>
      <c r="B1417" s="1" t="s">
        <v>104</v>
      </c>
      <c r="C1417" t="s">
        <v>7</v>
      </c>
      <c r="D1417" s="1" t="s">
        <v>3</v>
      </c>
      <c r="E1417">
        <v>65</v>
      </c>
      <c r="F1417" s="1" t="s">
        <v>101</v>
      </c>
      <c r="G1417">
        <v>8</v>
      </c>
      <c r="H1417">
        <v>1</v>
      </c>
      <c r="I1417" s="2">
        <f t="shared" si="66"/>
        <v>0.34905599999999998</v>
      </c>
      <c r="J1417">
        <f t="shared" si="67"/>
        <v>3.0352695652173911E-2</v>
      </c>
      <c r="K1417">
        <f t="shared" si="68"/>
        <v>9.1161138678506129E-3</v>
      </c>
    </row>
    <row r="1418" spans="1:11" x14ac:dyDescent="0.25">
      <c r="A1418" s="1">
        <v>2017</v>
      </c>
      <c r="B1418" s="1" t="s">
        <v>104</v>
      </c>
      <c r="C1418" t="s">
        <v>7</v>
      </c>
      <c r="D1418" s="1" t="s">
        <v>3</v>
      </c>
      <c r="E1418">
        <v>66</v>
      </c>
      <c r="F1418" s="1" t="s">
        <v>101</v>
      </c>
      <c r="G1418">
        <v>12</v>
      </c>
      <c r="H1418">
        <v>1</v>
      </c>
      <c r="I1418" s="2">
        <f t="shared" si="66"/>
        <v>0.78537599999999996</v>
      </c>
      <c r="J1418">
        <f t="shared" si="67"/>
        <v>6.82935652173913E-2</v>
      </c>
      <c r="K1418">
        <f t="shared" si="68"/>
        <v>2.0511256202663881E-2</v>
      </c>
    </row>
    <row r="1419" spans="1:11" x14ac:dyDescent="0.25">
      <c r="A1419" s="1">
        <v>2017</v>
      </c>
      <c r="B1419" s="1" t="s">
        <v>104</v>
      </c>
      <c r="C1419" t="s">
        <v>7</v>
      </c>
      <c r="D1419" s="1" t="s">
        <v>3</v>
      </c>
      <c r="E1419">
        <v>66</v>
      </c>
      <c r="F1419" s="1" t="s">
        <v>101</v>
      </c>
      <c r="G1419">
        <v>14</v>
      </c>
      <c r="H1419">
        <v>1</v>
      </c>
      <c r="I1419" s="2">
        <f t="shared" si="66"/>
        <v>1.0689839999999999</v>
      </c>
      <c r="J1419">
        <f t="shared" si="67"/>
        <v>9.295513043478261E-2</v>
      </c>
      <c r="K1419">
        <f t="shared" si="68"/>
        <v>2.7918098720292505E-2</v>
      </c>
    </row>
    <row r="1420" spans="1:11" x14ac:dyDescent="0.25">
      <c r="A1420" s="1">
        <v>2017</v>
      </c>
      <c r="B1420" s="1" t="s">
        <v>104</v>
      </c>
      <c r="C1420" t="s">
        <v>7</v>
      </c>
      <c r="D1420" s="1" t="s">
        <v>3</v>
      </c>
      <c r="E1420">
        <v>66</v>
      </c>
      <c r="F1420" s="1" t="s">
        <v>101</v>
      </c>
      <c r="G1420">
        <v>16</v>
      </c>
      <c r="H1420">
        <v>2</v>
      </c>
      <c r="I1420" s="2">
        <f t="shared" si="66"/>
        <v>2.7924479999999998</v>
      </c>
      <c r="J1420">
        <f t="shared" si="67"/>
        <v>0.24282156521739129</v>
      </c>
      <c r="K1420">
        <f t="shared" si="68"/>
        <v>7.2928910942804903E-2</v>
      </c>
    </row>
    <row r="1421" spans="1:11" x14ac:dyDescent="0.25">
      <c r="A1421" s="1">
        <v>2017</v>
      </c>
      <c r="B1421" s="1" t="s">
        <v>104</v>
      </c>
      <c r="C1421" t="s">
        <v>7</v>
      </c>
      <c r="D1421" s="1" t="s">
        <v>3</v>
      </c>
      <c r="E1421">
        <v>71</v>
      </c>
      <c r="F1421" s="1" t="s">
        <v>101</v>
      </c>
      <c r="G1421">
        <v>10</v>
      </c>
      <c r="H1421">
        <v>1</v>
      </c>
      <c r="I1421" s="2">
        <f t="shared" si="66"/>
        <v>0.5454</v>
      </c>
      <c r="J1421">
        <f t="shared" si="67"/>
        <v>4.7426086956521736E-2</v>
      </c>
      <c r="K1421">
        <f t="shared" si="68"/>
        <v>1.4243927918516582E-2</v>
      </c>
    </row>
    <row r="1422" spans="1:11" x14ac:dyDescent="0.25">
      <c r="A1422" s="1">
        <v>2017</v>
      </c>
      <c r="B1422" s="1" t="s">
        <v>104</v>
      </c>
      <c r="C1422" t="s">
        <v>7</v>
      </c>
      <c r="D1422" s="1" t="s">
        <v>3</v>
      </c>
      <c r="E1422">
        <v>76</v>
      </c>
      <c r="F1422" s="1" t="s">
        <v>101</v>
      </c>
      <c r="G1422">
        <v>6</v>
      </c>
      <c r="H1422">
        <v>13</v>
      </c>
      <c r="I1422" s="2">
        <f t="shared" si="66"/>
        <v>2.5524719999999999</v>
      </c>
      <c r="J1422">
        <f t="shared" si="67"/>
        <v>0.22195408695652172</v>
      </c>
      <c r="K1422">
        <f t="shared" si="68"/>
        <v>6.6661582658657612E-2</v>
      </c>
    </row>
    <row r="1423" spans="1:11" x14ac:dyDescent="0.25">
      <c r="A1423" s="1">
        <v>2017</v>
      </c>
      <c r="B1423" s="1" t="s">
        <v>104</v>
      </c>
      <c r="C1423" t="s">
        <v>7</v>
      </c>
      <c r="D1423" s="1" t="s">
        <v>3</v>
      </c>
      <c r="E1423">
        <v>76</v>
      </c>
      <c r="F1423" s="1" t="s">
        <v>101</v>
      </c>
      <c r="G1423">
        <v>8</v>
      </c>
      <c r="H1423">
        <v>11</v>
      </c>
      <c r="I1423" s="2">
        <f t="shared" si="66"/>
        <v>3.8396159999999999</v>
      </c>
      <c r="J1423">
        <f t="shared" si="67"/>
        <v>0.33387965217391302</v>
      </c>
      <c r="K1423">
        <f t="shared" si="68"/>
        <v>0.10027725254635675</v>
      </c>
    </row>
    <row r="1424" spans="1:11" x14ac:dyDescent="0.25">
      <c r="A1424" s="1">
        <v>2017</v>
      </c>
      <c r="B1424" s="1" t="s">
        <v>104</v>
      </c>
      <c r="C1424" t="s">
        <v>7</v>
      </c>
      <c r="D1424" s="1" t="s">
        <v>3</v>
      </c>
      <c r="E1424">
        <v>76</v>
      </c>
      <c r="F1424" s="1" t="s">
        <v>101</v>
      </c>
      <c r="G1424">
        <v>10</v>
      </c>
      <c r="H1424">
        <v>5</v>
      </c>
      <c r="I1424" s="2">
        <f t="shared" si="66"/>
        <v>2.7269999999999999</v>
      </c>
      <c r="J1424">
        <f t="shared" si="67"/>
        <v>0.23713043478260867</v>
      </c>
      <c r="K1424">
        <f t="shared" si="68"/>
        <v>7.1219639592582915E-2</v>
      </c>
    </row>
    <row r="1425" spans="1:11" x14ac:dyDescent="0.25">
      <c r="A1425" s="1">
        <v>2017</v>
      </c>
      <c r="B1425" s="1" t="s">
        <v>104</v>
      </c>
      <c r="C1425" t="s">
        <v>7</v>
      </c>
      <c r="D1425" s="1" t="s">
        <v>3</v>
      </c>
      <c r="E1425">
        <v>76</v>
      </c>
      <c r="F1425" s="1" t="s">
        <v>101</v>
      </c>
      <c r="G1425">
        <v>12</v>
      </c>
      <c r="H1425">
        <v>3</v>
      </c>
      <c r="I1425" s="2">
        <f t="shared" si="66"/>
        <v>2.356128</v>
      </c>
      <c r="J1425">
        <f t="shared" si="67"/>
        <v>0.2048806956521739</v>
      </c>
      <c r="K1425">
        <f t="shared" si="68"/>
        <v>6.1533768607991639E-2</v>
      </c>
    </row>
    <row r="1426" spans="1:11" x14ac:dyDescent="0.25">
      <c r="A1426" s="1">
        <v>2017</v>
      </c>
      <c r="B1426" s="1" t="s">
        <v>104</v>
      </c>
      <c r="C1426" t="s">
        <v>7</v>
      </c>
      <c r="D1426" s="1" t="s">
        <v>3</v>
      </c>
      <c r="E1426">
        <v>76</v>
      </c>
      <c r="F1426" s="1" t="s">
        <v>101</v>
      </c>
      <c r="G1426">
        <v>14</v>
      </c>
      <c r="H1426">
        <v>1</v>
      </c>
      <c r="I1426" s="2">
        <f t="shared" si="66"/>
        <v>1.0689839999999999</v>
      </c>
      <c r="J1426">
        <f t="shared" si="67"/>
        <v>9.295513043478261E-2</v>
      </c>
      <c r="K1426">
        <f t="shared" si="68"/>
        <v>2.7918098720292505E-2</v>
      </c>
    </row>
    <row r="1427" spans="1:11" x14ac:dyDescent="0.25">
      <c r="A1427" s="1">
        <v>2017</v>
      </c>
      <c r="B1427" s="1" t="s">
        <v>104</v>
      </c>
      <c r="C1427" t="s">
        <v>7</v>
      </c>
      <c r="D1427" s="1" t="s">
        <v>3</v>
      </c>
      <c r="E1427">
        <v>76</v>
      </c>
      <c r="F1427" s="1" t="s">
        <v>101</v>
      </c>
      <c r="G1427">
        <v>16</v>
      </c>
      <c r="H1427">
        <v>1</v>
      </c>
      <c r="I1427" s="2">
        <f t="shared" si="66"/>
        <v>1.3962239999999999</v>
      </c>
      <c r="J1427">
        <f t="shared" si="67"/>
        <v>0.12141078260869564</v>
      </c>
      <c r="K1427">
        <f t="shared" si="68"/>
        <v>3.6464455471402452E-2</v>
      </c>
    </row>
    <row r="1428" spans="1:11" x14ac:dyDescent="0.25">
      <c r="A1428" s="1">
        <v>2017</v>
      </c>
      <c r="B1428" s="1" t="s">
        <v>104</v>
      </c>
      <c r="C1428" t="s">
        <v>7</v>
      </c>
      <c r="D1428" s="1" t="s">
        <v>3</v>
      </c>
      <c r="E1428">
        <v>79</v>
      </c>
      <c r="F1428" s="1" t="s">
        <v>101</v>
      </c>
      <c r="G1428">
        <v>6</v>
      </c>
      <c r="H1428">
        <v>123</v>
      </c>
      <c r="I1428" s="2">
        <f t="shared" si="66"/>
        <v>24.150312</v>
      </c>
      <c r="J1428">
        <f t="shared" si="67"/>
        <v>2.1000271304347824</v>
      </c>
      <c r="K1428">
        <f t="shared" si="68"/>
        <v>0.63072112823191429</v>
      </c>
    </row>
    <row r="1429" spans="1:11" x14ac:dyDescent="0.25">
      <c r="A1429" s="1">
        <v>2017</v>
      </c>
      <c r="B1429" s="1" t="s">
        <v>104</v>
      </c>
      <c r="C1429" t="s">
        <v>7</v>
      </c>
      <c r="D1429" s="1" t="s">
        <v>3</v>
      </c>
      <c r="E1429">
        <v>79</v>
      </c>
      <c r="F1429" s="1" t="s">
        <v>101</v>
      </c>
      <c r="G1429">
        <v>8</v>
      </c>
      <c r="H1429">
        <v>114</v>
      </c>
      <c r="I1429" s="2">
        <f t="shared" si="66"/>
        <v>39.792383999999998</v>
      </c>
      <c r="J1429">
        <f t="shared" si="67"/>
        <v>3.4602073043478261</v>
      </c>
      <c r="K1429">
        <f t="shared" si="68"/>
        <v>1.03923698093497</v>
      </c>
    </row>
    <row r="1430" spans="1:11" x14ac:dyDescent="0.25">
      <c r="A1430" s="1">
        <v>2017</v>
      </c>
      <c r="B1430" s="1" t="s">
        <v>104</v>
      </c>
      <c r="C1430" t="s">
        <v>7</v>
      </c>
      <c r="D1430" s="1" t="s">
        <v>3</v>
      </c>
      <c r="E1430">
        <v>79</v>
      </c>
      <c r="F1430" s="1" t="s">
        <v>101</v>
      </c>
      <c r="G1430">
        <v>10</v>
      </c>
      <c r="H1430">
        <v>98</v>
      </c>
      <c r="I1430" s="2">
        <f t="shared" si="66"/>
        <v>53.449199999999998</v>
      </c>
      <c r="J1430">
        <f t="shared" si="67"/>
        <v>4.6477565217391303</v>
      </c>
      <c r="K1430">
        <f t="shared" si="68"/>
        <v>1.3959049360146252</v>
      </c>
    </row>
    <row r="1431" spans="1:11" x14ac:dyDescent="0.25">
      <c r="A1431" s="1">
        <v>2017</v>
      </c>
      <c r="B1431" s="1" t="s">
        <v>104</v>
      </c>
      <c r="C1431" t="s">
        <v>7</v>
      </c>
      <c r="D1431" s="1" t="s">
        <v>3</v>
      </c>
      <c r="E1431">
        <v>79</v>
      </c>
      <c r="F1431" s="1" t="s">
        <v>101</v>
      </c>
      <c r="G1431">
        <v>12</v>
      </c>
      <c r="H1431">
        <v>78</v>
      </c>
      <c r="I1431" s="2">
        <f t="shared" si="66"/>
        <v>61.259327999999996</v>
      </c>
      <c r="J1431">
        <f t="shared" si="67"/>
        <v>5.326898086956521</v>
      </c>
      <c r="K1431">
        <f t="shared" si="68"/>
        <v>1.5998779838077823</v>
      </c>
    </row>
    <row r="1432" spans="1:11" x14ac:dyDescent="0.25">
      <c r="A1432" s="1">
        <v>2017</v>
      </c>
      <c r="B1432" s="1" t="s">
        <v>104</v>
      </c>
      <c r="C1432" t="s">
        <v>7</v>
      </c>
      <c r="D1432" s="1" t="s">
        <v>3</v>
      </c>
      <c r="E1432">
        <v>79</v>
      </c>
      <c r="F1432" s="1" t="s">
        <v>101</v>
      </c>
      <c r="G1432">
        <v>14</v>
      </c>
      <c r="H1432">
        <v>36</v>
      </c>
      <c r="I1432" s="2">
        <f t="shared" si="66"/>
        <v>38.483423999999999</v>
      </c>
      <c r="J1432">
        <f t="shared" si="67"/>
        <v>3.3463846956521737</v>
      </c>
      <c r="K1432">
        <f t="shared" si="68"/>
        <v>1.00505155393053</v>
      </c>
    </row>
    <row r="1433" spans="1:11" x14ac:dyDescent="0.25">
      <c r="A1433" s="1">
        <v>2017</v>
      </c>
      <c r="B1433" s="1" t="s">
        <v>104</v>
      </c>
      <c r="C1433" t="s">
        <v>7</v>
      </c>
      <c r="D1433" s="1" t="s">
        <v>3</v>
      </c>
      <c r="E1433">
        <v>79</v>
      </c>
      <c r="F1433" s="1" t="s">
        <v>101</v>
      </c>
      <c r="G1433">
        <v>16</v>
      </c>
      <c r="H1433">
        <v>25</v>
      </c>
      <c r="I1433" s="2">
        <f t="shared" si="66"/>
        <v>34.9056</v>
      </c>
      <c r="J1433">
        <f t="shared" si="67"/>
        <v>3.0352695652173911</v>
      </c>
      <c r="K1433">
        <f t="shared" si="68"/>
        <v>0.91161138678506126</v>
      </c>
    </row>
    <row r="1434" spans="1:11" x14ac:dyDescent="0.25">
      <c r="A1434" s="1">
        <v>2017</v>
      </c>
      <c r="B1434" s="1" t="s">
        <v>104</v>
      </c>
      <c r="C1434" t="s">
        <v>7</v>
      </c>
      <c r="D1434" s="1" t="s">
        <v>3</v>
      </c>
      <c r="E1434">
        <v>84</v>
      </c>
      <c r="F1434" s="1" t="s">
        <v>101</v>
      </c>
      <c r="G1434">
        <v>6</v>
      </c>
      <c r="H1434">
        <v>1</v>
      </c>
      <c r="I1434" s="2">
        <f t="shared" si="66"/>
        <v>0.19634399999999999</v>
      </c>
      <c r="J1434">
        <f t="shared" si="67"/>
        <v>1.7073391304347825E-2</v>
      </c>
      <c r="K1434">
        <f t="shared" si="68"/>
        <v>5.1278140506659702E-3</v>
      </c>
    </row>
    <row r="1435" spans="1:11" x14ac:dyDescent="0.25">
      <c r="A1435" s="1">
        <v>2017</v>
      </c>
      <c r="B1435" s="1" t="s">
        <v>104</v>
      </c>
      <c r="C1435" t="s">
        <v>7</v>
      </c>
      <c r="D1435" s="1" t="s">
        <v>3</v>
      </c>
      <c r="E1435">
        <v>85</v>
      </c>
      <c r="F1435" s="1" t="s">
        <v>101</v>
      </c>
      <c r="G1435">
        <v>6</v>
      </c>
      <c r="H1435">
        <v>14</v>
      </c>
      <c r="I1435" s="2">
        <f t="shared" si="66"/>
        <v>2.7488159999999997</v>
      </c>
      <c r="J1435">
        <f t="shared" si="67"/>
        <v>0.23902747826086954</v>
      </c>
      <c r="K1435">
        <f t="shared" si="68"/>
        <v>7.1789396709323577E-2</v>
      </c>
    </row>
    <row r="1436" spans="1:11" x14ac:dyDescent="0.25">
      <c r="A1436" s="1">
        <v>2017</v>
      </c>
      <c r="B1436" s="1" t="s">
        <v>104</v>
      </c>
      <c r="C1436" t="s">
        <v>7</v>
      </c>
      <c r="D1436" s="1" t="s">
        <v>3</v>
      </c>
      <c r="E1436">
        <v>85</v>
      </c>
      <c r="F1436" s="1" t="s">
        <v>101</v>
      </c>
      <c r="G1436">
        <v>8</v>
      </c>
      <c r="H1436">
        <v>1</v>
      </c>
      <c r="I1436" s="2">
        <f t="shared" si="66"/>
        <v>0.34905599999999998</v>
      </c>
      <c r="J1436">
        <f t="shared" si="67"/>
        <v>3.0352695652173911E-2</v>
      </c>
      <c r="K1436">
        <f t="shared" si="68"/>
        <v>9.1161138678506129E-3</v>
      </c>
    </row>
    <row r="1437" spans="1:11" x14ac:dyDescent="0.25">
      <c r="A1437" s="1">
        <v>2017</v>
      </c>
      <c r="B1437" s="1" t="s">
        <v>104</v>
      </c>
      <c r="C1437" t="s">
        <v>7</v>
      </c>
      <c r="D1437" s="1" t="s">
        <v>3</v>
      </c>
      <c r="E1437">
        <v>85</v>
      </c>
      <c r="F1437" s="1" t="s">
        <v>101</v>
      </c>
      <c r="G1437">
        <v>14</v>
      </c>
      <c r="H1437">
        <v>4</v>
      </c>
      <c r="I1437" s="2">
        <f t="shared" si="66"/>
        <v>4.2759359999999997</v>
      </c>
      <c r="J1437">
        <f t="shared" si="67"/>
        <v>0.37182052173913044</v>
      </c>
      <c r="K1437">
        <f t="shared" si="68"/>
        <v>0.11167239488117002</v>
      </c>
    </row>
    <row r="1438" spans="1:11" x14ac:dyDescent="0.25">
      <c r="A1438" s="1">
        <v>2017</v>
      </c>
      <c r="B1438" s="1" t="s">
        <v>104</v>
      </c>
      <c r="C1438" t="s">
        <v>7</v>
      </c>
      <c r="D1438" s="1" t="s">
        <v>3</v>
      </c>
      <c r="E1438">
        <v>85</v>
      </c>
      <c r="F1438" s="1" t="s">
        <v>101</v>
      </c>
      <c r="G1438">
        <v>16</v>
      </c>
      <c r="H1438">
        <v>5</v>
      </c>
      <c r="I1438" s="2">
        <f t="shared" si="66"/>
        <v>6.9811199999999998</v>
      </c>
      <c r="J1438">
        <f t="shared" si="67"/>
        <v>0.60705391304347822</v>
      </c>
      <c r="K1438">
        <f t="shared" si="68"/>
        <v>0.18232227735701226</v>
      </c>
    </row>
    <row r="1439" spans="1:11" x14ac:dyDescent="0.25">
      <c r="A1439" s="1">
        <v>2017</v>
      </c>
      <c r="B1439" s="1" t="s">
        <v>104</v>
      </c>
      <c r="C1439" t="s">
        <v>7</v>
      </c>
      <c r="D1439" s="1" t="s">
        <v>3</v>
      </c>
      <c r="E1439">
        <v>88</v>
      </c>
      <c r="F1439" s="1" t="s">
        <v>101</v>
      </c>
      <c r="G1439">
        <v>12</v>
      </c>
      <c r="H1439">
        <v>1</v>
      </c>
      <c r="I1439" s="2">
        <f t="shared" si="66"/>
        <v>0.78537599999999996</v>
      </c>
      <c r="J1439">
        <f t="shared" si="67"/>
        <v>6.82935652173913E-2</v>
      </c>
      <c r="K1439">
        <f t="shared" si="68"/>
        <v>2.0511256202663881E-2</v>
      </c>
    </row>
    <row r="1440" spans="1:11" x14ac:dyDescent="0.25">
      <c r="A1440" s="1">
        <v>2017</v>
      </c>
      <c r="B1440" s="1" t="s">
        <v>104</v>
      </c>
      <c r="C1440" t="s">
        <v>7</v>
      </c>
      <c r="D1440" s="1" t="s">
        <v>3</v>
      </c>
      <c r="E1440">
        <v>91</v>
      </c>
      <c r="F1440" s="1" t="s">
        <v>101</v>
      </c>
      <c r="G1440">
        <v>8</v>
      </c>
      <c r="H1440">
        <v>1</v>
      </c>
      <c r="I1440" s="2">
        <f t="shared" si="66"/>
        <v>0.34905599999999998</v>
      </c>
      <c r="J1440">
        <f t="shared" si="67"/>
        <v>3.0352695652173911E-2</v>
      </c>
      <c r="K1440">
        <f t="shared" si="68"/>
        <v>9.1161138678506129E-3</v>
      </c>
    </row>
    <row r="1441" spans="1:11" x14ac:dyDescent="0.25">
      <c r="A1441" s="1">
        <v>2017</v>
      </c>
      <c r="B1441" s="1" t="s">
        <v>104</v>
      </c>
      <c r="C1441" t="s">
        <v>7</v>
      </c>
      <c r="D1441" s="1" t="s">
        <v>3</v>
      </c>
      <c r="E1441">
        <v>91</v>
      </c>
      <c r="F1441" s="1" t="s">
        <v>101</v>
      </c>
      <c r="G1441">
        <v>10</v>
      </c>
      <c r="H1441">
        <v>1</v>
      </c>
      <c r="I1441" s="2">
        <f t="shared" si="66"/>
        <v>0.5454</v>
      </c>
      <c r="J1441">
        <f t="shared" si="67"/>
        <v>4.7426086956521736E-2</v>
      </c>
      <c r="K1441">
        <f t="shared" si="68"/>
        <v>1.4243927918516582E-2</v>
      </c>
    </row>
    <row r="1442" spans="1:11" x14ac:dyDescent="0.25">
      <c r="A1442" s="1">
        <v>2017</v>
      </c>
      <c r="B1442" s="1" t="s">
        <v>104</v>
      </c>
      <c r="C1442" t="s">
        <v>7</v>
      </c>
      <c r="D1442" s="1" t="s">
        <v>3</v>
      </c>
      <c r="E1442">
        <v>91</v>
      </c>
      <c r="F1442" s="1" t="s">
        <v>101</v>
      </c>
      <c r="G1442">
        <v>14</v>
      </c>
      <c r="H1442">
        <v>1</v>
      </c>
      <c r="I1442" s="2">
        <f t="shared" si="66"/>
        <v>1.0689839999999999</v>
      </c>
      <c r="J1442">
        <f t="shared" si="67"/>
        <v>9.295513043478261E-2</v>
      </c>
      <c r="K1442">
        <f t="shared" si="68"/>
        <v>2.7918098720292505E-2</v>
      </c>
    </row>
    <row r="1443" spans="1:11" x14ac:dyDescent="0.25">
      <c r="A1443" s="1">
        <v>2017</v>
      </c>
      <c r="B1443" s="1" t="s">
        <v>104</v>
      </c>
      <c r="C1443" t="s">
        <v>7</v>
      </c>
      <c r="D1443" s="1" t="s">
        <v>3</v>
      </c>
      <c r="E1443">
        <v>91</v>
      </c>
      <c r="F1443" s="1" t="s">
        <v>101</v>
      </c>
      <c r="G1443">
        <v>16</v>
      </c>
      <c r="H1443">
        <v>1</v>
      </c>
      <c r="I1443" s="2">
        <f t="shared" si="66"/>
        <v>1.3962239999999999</v>
      </c>
      <c r="J1443">
        <f t="shared" si="67"/>
        <v>0.12141078260869564</v>
      </c>
      <c r="K1443">
        <f t="shared" si="68"/>
        <v>3.6464455471402452E-2</v>
      </c>
    </row>
    <row r="1444" spans="1:11" x14ac:dyDescent="0.25">
      <c r="A1444" s="1">
        <v>2017</v>
      </c>
      <c r="B1444" s="1" t="s">
        <v>104</v>
      </c>
      <c r="C1444" t="s">
        <v>7</v>
      </c>
      <c r="D1444" s="1" t="s">
        <v>5</v>
      </c>
      <c r="E1444">
        <v>32</v>
      </c>
      <c r="F1444" s="1" t="s">
        <v>101</v>
      </c>
      <c r="G1444">
        <v>6</v>
      </c>
      <c r="H1444">
        <v>11</v>
      </c>
      <c r="I1444" s="2">
        <f t="shared" si="66"/>
        <v>2.1597839999999997</v>
      </c>
      <c r="J1444">
        <f t="shared" si="67"/>
        <v>0.18780730434782605</v>
      </c>
      <c r="K1444">
        <f t="shared" si="68"/>
        <v>5.6405954557325659E-2</v>
      </c>
    </row>
    <row r="1445" spans="1:11" x14ac:dyDescent="0.25">
      <c r="A1445" s="1">
        <v>2017</v>
      </c>
      <c r="B1445" s="1" t="s">
        <v>104</v>
      </c>
      <c r="C1445" t="s">
        <v>7</v>
      </c>
      <c r="D1445" s="1" t="s">
        <v>5</v>
      </c>
      <c r="E1445">
        <v>32</v>
      </c>
      <c r="F1445" s="1" t="s">
        <v>101</v>
      </c>
      <c r="G1445">
        <v>8</v>
      </c>
      <c r="H1445">
        <v>2</v>
      </c>
      <c r="I1445" s="2">
        <f t="shared" si="66"/>
        <v>0.69811199999999995</v>
      </c>
      <c r="J1445">
        <f t="shared" si="67"/>
        <v>6.0705391304347822E-2</v>
      </c>
      <c r="K1445">
        <f t="shared" si="68"/>
        <v>1.8232227735701226E-2</v>
      </c>
    </row>
    <row r="1446" spans="1:11" x14ac:dyDescent="0.25">
      <c r="A1446" s="1">
        <v>2017</v>
      </c>
      <c r="B1446" s="1" t="s">
        <v>104</v>
      </c>
      <c r="C1446" t="s">
        <v>7</v>
      </c>
      <c r="D1446" s="1" t="s">
        <v>5</v>
      </c>
      <c r="E1446">
        <v>32</v>
      </c>
      <c r="F1446" s="1" t="s">
        <v>101</v>
      </c>
      <c r="G1446">
        <v>10</v>
      </c>
      <c r="H1446">
        <v>1</v>
      </c>
      <c r="I1446" s="2">
        <f t="shared" si="66"/>
        <v>0.5454</v>
      </c>
      <c r="J1446">
        <f t="shared" si="67"/>
        <v>4.7426086956521736E-2</v>
      </c>
      <c r="K1446">
        <f t="shared" si="68"/>
        <v>1.4243927918516582E-2</v>
      </c>
    </row>
    <row r="1447" spans="1:11" x14ac:dyDescent="0.25">
      <c r="A1447" s="1">
        <v>2017</v>
      </c>
      <c r="B1447" s="1" t="s">
        <v>104</v>
      </c>
      <c r="C1447" t="s">
        <v>7</v>
      </c>
      <c r="D1447" s="1" t="s">
        <v>5</v>
      </c>
      <c r="E1447">
        <v>32</v>
      </c>
      <c r="F1447" s="1" t="s">
        <v>101</v>
      </c>
      <c r="G1447">
        <v>14</v>
      </c>
      <c r="H1447">
        <v>1</v>
      </c>
      <c r="I1447" s="2">
        <f t="shared" si="66"/>
        <v>1.0689839999999999</v>
      </c>
      <c r="J1447">
        <f t="shared" si="67"/>
        <v>9.295513043478261E-2</v>
      </c>
      <c r="K1447">
        <f t="shared" si="68"/>
        <v>2.7918098720292505E-2</v>
      </c>
    </row>
    <row r="1448" spans="1:11" x14ac:dyDescent="0.25">
      <c r="A1448" s="1">
        <v>2017</v>
      </c>
      <c r="B1448" s="1" t="s">
        <v>104</v>
      </c>
      <c r="C1448" t="s">
        <v>7</v>
      </c>
      <c r="D1448" s="1" t="s">
        <v>5</v>
      </c>
      <c r="E1448">
        <v>34</v>
      </c>
      <c r="F1448" s="1" t="s">
        <v>101</v>
      </c>
      <c r="G1448">
        <v>6</v>
      </c>
      <c r="H1448">
        <v>2</v>
      </c>
      <c r="I1448" s="2">
        <f t="shared" si="66"/>
        <v>0.39268799999999998</v>
      </c>
      <c r="J1448">
        <f t="shared" si="67"/>
        <v>3.414678260869565E-2</v>
      </c>
      <c r="K1448">
        <f t="shared" si="68"/>
        <v>1.025562810133194E-2</v>
      </c>
    </row>
    <row r="1449" spans="1:11" x14ac:dyDescent="0.25">
      <c r="A1449" s="1">
        <v>2017</v>
      </c>
      <c r="B1449" s="1" t="s">
        <v>104</v>
      </c>
      <c r="C1449" t="s">
        <v>7</v>
      </c>
      <c r="D1449" s="1" t="s">
        <v>5</v>
      </c>
      <c r="E1449">
        <v>34</v>
      </c>
      <c r="F1449" s="1" t="s">
        <v>101</v>
      </c>
      <c r="G1449">
        <v>8</v>
      </c>
      <c r="H1449">
        <v>1</v>
      </c>
      <c r="I1449" s="2">
        <f t="shared" si="66"/>
        <v>0.34905599999999998</v>
      </c>
      <c r="J1449">
        <f t="shared" si="67"/>
        <v>3.0352695652173911E-2</v>
      </c>
      <c r="K1449">
        <f t="shared" si="68"/>
        <v>9.1161138678506129E-3</v>
      </c>
    </row>
    <row r="1450" spans="1:11" x14ac:dyDescent="0.25">
      <c r="A1450" s="1">
        <v>2017</v>
      </c>
      <c r="B1450" s="1" t="s">
        <v>104</v>
      </c>
      <c r="C1450" t="s">
        <v>7</v>
      </c>
      <c r="D1450" s="1" t="s">
        <v>5</v>
      </c>
      <c r="E1450">
        <v>38</v>
      </c>
      <c r="F1450" s="1" t="s">
        <v>101</v>
      </c>
      <c r="G1450">
        <v>6</v>
      </c>
      <c r="H1450">
        <v>1</v>
      </c>
      <c r="I1450" s="2">
        <f t="shared" si="66"/>
        <v>0.19634399999999999</v>
      </c>
      <c r="J1450">
        <f t="shared" si="67"/>
        <v>1.7073391304347825E-2</v>
      </c>
      <c r="K1450">
        <f t="shared" si="68"/>
        <v>5.1278140506659702E-3</v>
      </c>
    </row>
    <row r="1451" spans="1:11" x14ac:dyDescent="0.25">
      <c r="A1451" s="1">
        <v>2017</v>
      </c>
      <c r="B1451" s="1" t="s">
        <v>104</v>
      </c>
      <c r="C1451" t="s">
        <v>7</v>
      </c>
      <c r="D1451" s="1" t="s">
        <v>5</v>
      </c>
      <c r="E1451">
        <v>38</v>
      </c>
      <c r="F1451" s="1" t="s">
        <v>101</v>
      </c>
      <c r="G1451">
        <v>8</v>
      </c>
      <c r="H1451">
        <v>1</v>
      </c>
      <c r="I1451" s="2">
        <f t="shared" si="66"/>
        <v>0.34905599999999998</v>
      </c>
      <c r="J1451">
        <f t="shared" si="67"/>
        <v>3.0352695652173911E-2</v>
      </c>
      <c r="K1451">
        <f t="shared" si="68"/>
        <v>9.1161138678506129E-3</v>
      </c>
    </row>
    <row r="1452" spans="1:11" x14ac:dyDescent="0.25">
      <c r="A1452" s="1">
        <v>2017</v>
      </c>
      <c r="B1452" s="1" t="s">
        <v>104</v>
      </c>
      <c r="C1452" t="s">
        <v>7</v>
      </c>
      <c r="D1452" s="1" t="s">
        <v>5</v>
      </c>
      <c r="E1452">
        <v>40</v>
      </c>
      <c r="F1452" s="1" t="s">
        <v>101</v>
      </c>
      <c r="G1452">
        <v>12</v>
      </c>
      <c r="H1452">
        <v>2</v>
      </c>
      <c r="I1452" s="2">
        <f t="shared" si="66"/>
        <v>1.5707519999999999</v>
      </c>
      <c r="J1452">
        <f t="shared" si="67"/>
        <v>0.1365871304347826</v>
      </c>
      <c r="K1452">
        <f t="shared" si="68"/>
        <v>4.1022512405327761E-2</v>
      </c>
    </row>
    <row r="1453" spans="1:11" x14ac:dyDescent="0.25">
      <c r="A1453" s="1">
        <v>2017</v>
      </c>
      <c r="B1453" s="1" t="s">
        <v>104</v>
      </c>
      <c r="C1453" t="s">
        <v>7</v>
      </c>
      <c r="D1453" s="1" t="s">
        <v>5</v>
      </c>
      <c r="E1453">
        <v>41</v>
      </c>
      <c r="F1453" s="1" t="s">
        <v>101</v>
      </c>
      <c r="G1453">
        <v>16</v>
      </c>
      <c r="H1453">
        <v>1</v>
      </c>
      <c r="I1453" s="2">
        <f t="shared" si="66"/>
        <v>1.3962239999999999</v>
      </c>
      <c r="J1453">
        <f t="shared" si="67"/>
        <v>0.12141078260869564</v>
      </c>
      <c r="K1453">
        <f t="shared" si="68"/>
        <v>3.6464455471402452E-2</v>
      </c>
    </row>
    <row r="1454" spans="1:11" x14ac:dyDescent="0.25">
      <c r="A1454" s="1">
        <v>2017</v>
      </c>
      <c r="B1454" s="1" t="s">
        <v>104</v>
      </c>
      <c r="C1454" t="s">
        <v>7</v>
      </c>
      <c r="D1454" s="1" t="s">
        <v>5</v>
      </c>
      <c r="E1454">
        <v>53</v>
      </c>
      <c r="F1454" s="1" t="s">
        <v>101</v>
      </c>
      <c r="G1454">
        <v>6</v>
      </c>
      <c r="H1454">
        <v>2</v>
      </c>
      <c r="I1454" s="2">
        <f t="shared" si="66"/>
        <v>0.39268799999999998</v>
      </c>
      <c r="J1454">
        <f t="shared" si="67"/>
        <v>3.414678260869565E-2</v>
      </c>
      <c r="K1454">
        <f t="shared" si="68"/>
        <v>1.025562810133194E-2</v>
      </c>
    </row>
    <row r="1455" spans="1:11" x14ac:dyDescent="0.25">
      <c r="A1455" s="1">
        <v>2017</v>
      </c>
      <c r="B1455" s="1" t="s">
        <v>104</v>
      </c>
      <c r="C1455" t="s">
        <v>7</v>
      </c>
      <c r="D1455" s="1" t="s">
        <v>5</v>
      </c>
      <c r="E1455">
        <v>53</v>
      </c>
      <c r="F1455" s="1" t="s">
        <v>101</v>
      </c>
      <c r="G1455">
        <v>10</v>
      </c>
      <c r="H1455">
        <v>1</v>
      </c>
      <c r="I1455" s="2">
        <f t="shared" si="66"/>
        <v>0.5454</v>
      </c>
      <c r="J1455">
        <f t="shared" si="67"/>
        <v>4.7426086956521736E-2</v>
      </c>
      <c r="K1455">
        <f t="shared" si="68"/>
        <v>1.4243927918516582E-2</v>
      </c>
    </row>
    <row r="1456" spans="1:11" x14ac:dyDescent="0.25">
      <c r="A1456" s="1">
        <v>2017</v>
      </c>
      <c r="B1456" s="1" t="s">
        <v>104</v>
      </c>
      <c r="C1456" t="s">
        <v>7</v>
      </c>
      <c r="D1456" s="1" t="s">
        <v>5</v>
      </c>
      <c r="E1456">
        <v>58</v>
      </c>
      <c r="F1456" s="1" t="s">
        <v>101</v>
      </c>
      <c r="G1456">
        <v>8</v>
      </c>
      <c r="H1456">
        <v>2</v>
      </c>
      <c r="I1456" s="2">
        <f t="shared" si="66"/>
        <v>0.69811199999999995</v>
      </c>
      <c r="J1456">
        <f t="shared" si="67"/>
        <v>6.0705391304347822E-2</v>
      </c>
      <c r="K1456">
        <f t="shared" si="68"/>
        <v>1.8232227735701226E-2</v>
      </c>
    </row>
    <row r="1457" spans="1:11" x14ac:dyDescent="0.25">
      <c r="A1457" s="1">
        <v>2017</v>
      </c>
      <c r="B1457" s="1" t="s">
        <v>104</v>
      </c>
      <c r="C1457" t="s">
        <v>7</v>
      </c>
      <c r="D1457" s="1" t="s">
        <v>5</v>
      </c>
      <c r="E1457">
        <v>76</v>
      </c>
      <c r="F1457" s="1" t="s">
        <v>101</v>
      </c>
      <c r="G1457">
        <v>8</v>
      </c>
      <c r="H1457">
        <v>1</v>
      </c>
      <c r="I1457" s="2">
        <f t="shared" si="66"/>
        <v>0.34905599999999998</v>
      </c>
      <c r="J1457">
        <f t="shared" si="67"/>
        <v>3.0352695652173911E-2</v>
      </c>
      <c r="K1457">
        <f t="shared" si="68"/>
        <v>9.1161138678506129E-3</v>
      </c>
    </row>
    <row r="1458" spans="1:11" x14ac:dyDescent="0.25">
      <c r="A1458" s="1">
        <v>2017</v>
      </c>
      <c r="B1458" s="1" t="s">
        <v>104</v>
      </c>
      <c r="C1458" t="s">
        <v>7</v>
      </c>
      <c r="D1458" s="1" t="s">
        <v>5</v>
      </c>
      <c r="E1458">
        <v>76</v>
      </c>
      <c r="F1458" s="1" t="s">
        <v>101</v>
      </c>
      <c r="G1458">
        <v>10</v>
      </c>
      <c r="H1458">
        <v>1</v>
      </c>
      <c r="I1458" s="2">
        <f t="shared" si="66"/>
        <v>0.5454</v>
      </c>
      <c r="J1458">
        <f t="shared" si="67"/>
        <v>4.7426086956521736E-2</v>
      </c>
      <c r="K1458">
        <f t="shared" si="68"/>
        <v>1.4243927918516582E-2</v>
      </c>
    </row>
    <row r="1459" spans="1:11" x14ac:dyDescent="0.25">
      <c r="A1459" s="1">
        <v>2017</v>
      </c>
      <c r="B1459" s="1" t="s">
        <v>104</v>
      </c>
      <c r="C1459" t="s">
        <v>7</v>
      </c>
      <c r="D1459" s="1" t="s">
        <v>5</v>
      </c>
      <c r="E1459">
        <v>79</v>
      </c>
      <c r="F1459" s="1" t="s">
        <v>101</v>
      </c>
      <c r="G1459">
        <v>6</v>
      </c>
      <c r="H1459">
        <v>14</v>
      </c>
      <c r="I1459" s="2">
        <f t="shared" si="66"/>
        <v>2.7488159999999997</v>
      </c>
      <c r="J1459">
        <f t="shared" si="67"/>
        <v>0.23902747826086954</v>
      </c>
      <c r="K1459">
        <f t="shared" si="68"/>
        <v>7.1789396709323577E-2</v>
      </c>
    </row>
    <row r="1460" spans="1:11" x14ac:dyDescent="0.25">
      <c r="A1460" s="1">
        <v>2017</v>
      </c>
      <c r="B1460" s="1" t="s">
        <v>104</v>
      </c>
      <c r="C1460" t="s">
        <v>7</v>
      </c>
      <c r="D1460" s="1" t="s">
        <v>5</v>
      </c>
      <c r="E1460">
        <v>79</v>
      </c>
      <c r="F1460" s="1" t="s">
        <v>101</v>
      </c>
      <c r="G1460">
        <v>8</v>
      </c>
      <c r="H1460">
        <v>9</v>
      </c>
      <c r="I1460" s="2">
        <f t="shared" si="66"/>
        <v>3.1415039999999999</v>
      </c>
      <c r="J1460">
        <f t="shared" si="67"/>
        <v>0.2731742608695652</v>
      </c>
      <c r="K1460">
        <f t="shared" si="68"/>
        <v>8.2045024810655523E-2</v>
      </c>
    </row>
    <row r="1461" spans="1:11" x14ac:dyDescent="0.25">
      <c r="A1461" s="1">
        <v>2017</v>
      </c>
      <c r="B1461" s="1" t="s">
        <v>104</v>
      </c>
      <c r="C1461" t="s">
        <v>7</v>
      </c>
      <c r="D1461" s="1" t="s">
        <v>5</v>
      </c>
      <c r="E1461">
        <v>79</v>
      </c>
      <c r="F1461" s="1" t="s">
        <v>101</v>
      </c>
      <c r="G1461">
        <v>10</v>
      </c>
      <c r="H1461">
        <v>3</v>
      </c>
      <c r="I1461" s="2">
        <f t="shared" si="66"/>
        <v>1.6362000000000001</v>
      </c>
      <c r="J1461">
        <f t="shared" si="67"/>
        <v>0.14227826086956522</v>
      </c>
      <c r="K1461">
        <f t="shared" si="68"/>
        <v>4.273178375554975E-2</v>
      </c>
    </row>
    <row r="1462" spans="1:11" x14ac:dyDescent="0.25">
      <c r="A1462" s="1">
        <v>2017</v>
      </c>
      <c r="B1462" s="1" t="s">
        <v>104</v>
      </c>
      <c r="C1462" t="s">
        <v>7</v>
      </c>
      <c r="D1462" s="1" t="s">
        <v>5</v>
      </c>
      <c r="E1462">
        <v>79</v>
      </c>
      <c r="F1462" s="1" t="s">
        <v>101</v>
      </c>
      <c r="G1462">
        <v>12</v>
      </c>
      <c r="H1462">
        <v>2</v>
      </c>
      <c r="I1462" s="2">
        <f t="shared" si="66"/>
        <v>1.5707519999999999</v>
      </c>
      <c r="J1462">
        <f t="shared" si="67"/>
        <v>0.1365871304347826</v>
      </c>
      <c r="K1462">
        <f t="shared" si="68"/>
        <v>4.1022512405327761E-2</v>
      </c>
    </row>
    <row r="1463" spans="1:11" x14ac:dyDescent="0.25">
      <c r="A1463" s="1">
        <v>2017</v>
      </c>
      <c r="B1463" s="1" t="s">
        <v>104</v>
      </c>
      <c r="C1463" t="s">
        <v>7</v>
      </c>
      <c r="D1463" s="1" t="s">
        <v>5</v>
      </c>
      <c r="E1463">
        <v>79</v>
      </c>
      <c r="F1463" s="1" t="s">
        <v>101</v>
      </c>
      <c r="G1463">
        <v>14</v>
      </c>
      <c r="H1463">
        <v>1</v>
      </c>
      <c r="I1463" s="2">
        <f t="shared" si="66"/>
        <v>1.0689839999999999</v>
      </c>
      <c r="J1463">
        <f t="shared" si="67"/>
        <v>9.295513043478261E-2</v>
      </c>
      <c r="K1463">
        <f t="shared" si="68"/>
        <v>2.7918098720292505E-2</v>
      </c>
    </row>
    <row r="1464" spans="1:11" x14ac:dyDescent="0.25">
      <c r="A1464" s="1">
        <v>2017</v>
      </c>
      <c r="B1464" s="1" t="s">
        <v>104</v>
      </c>
      <c r="C1464" t="s">
        <v>7</v>
      </c>
      <c r="D1464" s="1" t="s">
        <v>5</v>
      </c>
      <c r="E1464">
        <v>79</v>
      </c>
      <c r="F1464" s="1" t="s">
        <v>101</v>
      </c>
      <c r="G1464">
        <v>16</v>
      </c>
      <c r="H1464">
        <v>3</v>
      </c>
      <c r="I1464" s="2">
        <f t="shared" si="66"/>
        <v>4.1886719999999995</v>
      </c>
      <c r="J1464">
        <f t="shared" si="67"/>
        <v>0.36423234782608693</v>
      </c>
      <c r="K1464">
        <f t="shared" si="68"/>
        <v>0.10939336641420735</v>
      </c>
    </row>
    <row r="1465" spans="1:11" x14ac:dyDescent="0.25">
      <c r="A1465" s="1">
        <v>2017</v>
      </c>
      <c r="B1465" s="1" t="s">
        <v>104</v>
      </c>
      <c r="C1465" t="s">
        <v>7</v>
      </c>
      <c r="D1465" s="1" t="s">
        <v>5</v>
      </c>
      <c r="E1465">
        <v>85</v>
      </c>
      <c r="F1465" s="1" t="s">
        <v>101</v>
      </c>
      <c r="G1465">
        <v>6</v>
      </c>
      <c r="H1465">
        <v>2</v>
      </c>
      <c r="I1465" s="2">
        <f t="shared" si="66"/>
        <v>0.39268799999999998</v>
      </c>
      <c r="J1465">
        <f t="shared" si="67"/>
        <v>3.414678260869565E-2</v>
      </c>
      <c r="K1465">
        <f t="shared" si="68"/>
        <v>1.025562810133194E-2</v>
      </c>
    </row>
    <row r="1466" spans="1:11" x14ac:dyDescent="0.25">
      <c r="A1466" s="1">
        <v>2017</v>
      </c>
      <c r="B1466" s="1" t="s">
        <v>104</v>
      </c>
      <c r="C1466" t="s">
        <v>7</v>
      </c>
      <c r="D1466" s="1" t="s">
        <v>5</v>
      </c>
      <c r="E1466">
        <v>85</v>
      </c>
      <c r="F1466" s="1" t="s">
        <v>101</v>
      </c>
      <c r="G1466">
        <v>14</v>
      </c>
      <c r="H1466">
        <v>1</v>
      </c>
      <c r="I1466" s="2">
        <f t="shared" si="66"/>
        <v>1.0689839999999999</v>
      </c>
      <c r="J1466">
        <f t="shared" si="67"/>
        <v>9.295513043478261E-2</v>
      </c>
      <c r="K1466">
        <f t="shared" si="68"/>
        <v>2.7918098720292505E-2</v>
      </c>
    </row>
    <row r="1467" spans="1:11" x14ac:dyDescent="0.25">
      <c r="I1467" s="2"/>
    </row>
    <row r="1468" spans="1:11" x14ac:dyDescent="0.25">
      <c r="I1468" s="2"/>
    </row>
    <row r="1469" spans="1:11" x14ac:dyDescent="0.25">
      <c r="I1469" s="2"/>
    </row>
    <row r="1470" spans="1:11" x14ac:dyDescent="0.25">
      <c r="I1470" s="2"/>
    </row>
    <row r="1471" spans="1:11" x14ac:dyDescent="0.25">
      <c r="I1471" s="2"/>
    </row>
    <row r="1472" spans="1:11" x14ac:dyDescent="0.25">
      <c r="I1472" s="2"/>
    </row>
    <row r="1473" spans="9:9" x14ac:dyDescent="0.25">
      <c r="I1473" s="2"/>
    </row>
    <row r="1474" spans="9:9" x14ac:dyDescent="0.25">
      <c r="I1474" s="2"/>
    </row>
    <row r="1475" spans="9:9" x14ac:dyDescent="0.25">
      <c r="I1475" s="2"/>
    </row>
    <row r="1476" spans="9:9" x14ac:dyDescent="0.25">
      <c r="I1476" s="2"/>
    </row>
    <row r="1477" spans="9:9" x14ac:dyDescent="0.25">
      <c r="I1477" s="2"/>
    </row>
    <row r="1478" spans="9:9" x14ac:dyDescent="0.25">
      <c r="I1478" s="2"/>
    </row>
    <row r="1479" spans="9:9" x14ac:dyDescent="0.25">
      <c r="I1479" s="2"/>
    </row>
    <row r="1480" spans="9:9" x14ac:dyDescent="0.25">
      <c r="I1480" s="2"/>
    </row>
    <row r="1481" spans="9:9" x14ac:dyDescent="0.25">
      <c r="I1481" s="2"/>
    </row>
    <row r="1482" spans="9:9" x14ac:dyDescent="0.25">
      <c r="I1482" s="2"/>
    </row>
    <row r="1483" spans="9:9" x14ac:dyDescent="0.25">
      <c r="I1483" s="2"/>
    </row>
    <row r="1484" spans="9:9" x14ac:dyDescent="0.25">
      <c r="I1484" s="2"/>
    </row>
    <row r="1485" spans="9:9" x14ac:dyDescent="0.25">
      <c r="I1485" s="2"/>
    </row>
    <row r="1486" spans="9:9" x14ac:dyDescent="0.25">
      <c r="I1486" s="2"/>
    </row>
    <row r="1487" spans="9:9" x14ac:dyDescent="0.25">
      <c r="I1487" s="2"/>
    </row>
    <row r="1488" spans="9:9" x14ac:dyDescent="0.25">
      <c r="I1488" s="2"/>
    </row>
    <row r="1489" spans="9:9" x14ac:dyDescent="0.25">
      <c r="I1489" s="2"/>
    </row>
    <row r="1490" spans="9:9" x14ac:dyDescent="0.25">
      <c r="I1490" s="2"/>
    </row>
    <row r="1491" spans="9:9" x14ac:dyDescent="0.25">
      <c r="I1491" s="2"/>
    </row>
    <row r="1492" spans="9:9" x14ac:dyDescent="0.25">
      <c r="I1492" s="2"/>
    </row>
    <row r="1493" spans="9:9" x14ac:dyDescent="0.25">
      <c r="I1493" s="2"/>
    </row>
    <row r="1494" spans="9:9" x14ac:dyDescent="0.25">
      <c r="I1494" s="2"/>
    </row>
    <row r="1495" spans="9:9" x14ac:dyDescent="0.25">
      <c r="I1495" s="2"/>
    </row>
    <row r="1496" spans="9:9" x14ac:dyDescent="0.25">
      <c r="I1496" s="2"/>
    </row>
    <row r="1497" spans="9:9" x14ac:dyDescent="0.25">
      <c r="I1497" s="2"/>
    </row>
    <row r="1498" spans="9:9" x14ac:dyDescent="0.25">
      <c r="I1498" s="2"/>
    </row>
    <row r="1499" spans="9:9" x14ac:dyDescent="0.25">
      <c r="I1499" s="2"/>
    </row>
    <row r="1500" spans="9:9" x14ac:dyDescent="0.25">
      <c r="I1500" s="2"/>
    </row>
    <row r="1501" spans="9:9" x14ac:dyDescent="0.25">
      <c r="I1501" s="2"/>
    </row>
    <row r="1502" spans="9:9" x14ac:dyDescent="0.25">
      <c r="I1502" s="2"/>
    </row>
    <row r="1503" spans="9:9" x14ac:dyDescent="0.25">
      <c r="I1503" s="2"/>
    </row>
    <row r="1504" spans="9:9" x14ac:dyDescent="0.25">
      <c r="I1504" s="2"/>
    </row>
    <row r="1505" spans="9:9" x14ac:dyDescent="0.25">
      <c r="I1505" s="2"/>
    </row>
    <row r="1506" spans="9:9" x14ac:dyDescent="0.25">
      <c r="I1506" s="2"/>
    </row>
    <row r="1507" spans="9:9" x14ac:dyDescent="0.25">
      <c r="I1507" s="2"/>
    </row>
    <row r="1508" spans="9:9" x14ac:dyDescent="0.25">
      <c r="I1508" s="2"/>
    </row>
    <row r="1509" spans="9:9" x14ac:dyDescent="0.25">
      <c r="I1509" s="2"/>
    </row>
    <row r="1510" spans="9:9" x14ac:dyDescent="0.25">
      <c r="I1510" s="2"/>
    </row>
    <row r="1511" spans="9:9" x14ac:dyDescent="0.25">
      <c r="I1511" s="2"/>
    </row>
    <row r="1512" spans="9:9" x14ac:dyDescent="0.25">
      <c r="I1512" s="2"/>
    </row>
    <row r="1513" spans="9:9" x14ac:dyDescent="0.25">
      <c r="I1513" s="2"/>
    </row>
    <row r="1514" spans="9:9" x14ac:dyDescent="0.25">
      <c r="I1514" s="2"/>
    </row>
    <row r="1515" spans="9:9" x14ac:dyDescent="0.25">
      <c r="I1515" s="2"/>
    </row>
    <row r="1516" spans="9:9" x14ac:dyDescent="0.25">
      <c r="I1516" s="2"/>
    </row>
    <row r="1517" spans="9:9" x14ac:dyDescent="0.25">
      <c r="I1517" s="2"/>
    </row>
    <row r="1518" spans="9:9" x14ac:dyDescent="0.25">
      <c r="I1518" s="2"/>
    </row>
    <row r="1519" spans="9:9" x14ac:dyDescent="0.25">
      <c r="I1519" s="2"/>
    </row>
    <row r="1520" spans="9:9" x14ac:dyDescent="0.25">
      <c r="I1520" s="2"/>
    </row>
    <row r="1521" spans="9:9" x14ac:dyDescent="0.25">
      <c r="I1521" s="2"/>
    </row>
    <row r="1522" spans="9:9" x14ac:dyDescent="0.25">
      <c r="I1522" s="2"/>
    </row>
    <row r="1523" spans="9:9" x14ac:dyDescent="0.25">
      <c r="I1523" s="2"/>
    </row>
    <row r="1524" spans="9:9" x14ac:dyDescent="0.25">
      <c r="I1524" s="2"/>
    </row>
    <row r="1525" spans="9:9" x14ac:dyDescent="0.25">
      <c r="I1525" s="2"/>
    </row>
    <row r="1526" spans="9:9" x14ac:dyDescent="0.25">
      <c r="I1526" s="2"/>
    </row>
    <row r="1527" spans="9:9" x14ac:dyDescent="0.25">
      <c r="I1527" s="2"/>
    </row>
    <row r="1528" spans="9:9" x14ac:dyDescent="0.25">
      <c r="I1528" s="2"/>
    </row>
    <row r="1529" spans="9:9" x14ac:dyDescent="0.25">
      <c r="I1529" s="2"/>
    </row>
    <row r="1530" spans="9:9" x14ac:dyDescent="0.25">
      <c r="I1530" s="2"/>
    </row>
    <row r="1531" spans="9:9" x14ac:dyDescent="0.25">
      <c r="I1531" s="2"/>
    </row>
    <row r="1532" spans="9:9" x14ac:dyDescent="0.25">
      <c r="I1532" s="2"/>
    </row>
    <row r="1533" spans="9:9" x14ac:dyDescent="0.25">
      <c r="I1533" s="2"/>
    </row>
    <row r="1534" spans="9:9" x14ac:dyDescent="0.25">
      <c r="I1534" s="2"/>
    </row>
    <row r="1535" spans="9:9" x14ac:dyDescent="0.25">
      <c r="I1535" s="2"/>
    </row>
    <row r="1536" spans="9:9" x14ac:dyDescent="0.25">
      <c r="I1536" s="2"/>
    </row>
    <row r="1537" spans="9:9" x14ac:dyDescent="0.25">
      <c r="I1537" s="2"/>
    </row>
    <row r="1538" spans="9:9" x14ac:dyDescent="0.25">
      <c r="I1538" s="2"/>
    </row>
    <row r="1539" spans="9:9" x14ac:dyDescent="0.25">
      <c r="I1539" s="2"/>
    </row>
    <row r="1540" spans="9:9" x14ac:dyDescent="0.25">
      <c r="I1540" s="2"/>
    </row>
    <row r="1541" spans="9:9" x14ac:dyDescent="0.25">
      <c r="I1541" s="2"/>
    </row>
    <row r="1542" spans="9:9" x14ac:dyDescent="0.25">
      <c r="I1542" s="2"/>
    </row>
    <row r="1543" spans="9:9" x14ac:dyDescent="0.25">
      <c r="I1543" s="2"/>
    </row>
    <row r="1544" spans="9:9" x14ac:dyDescent="0.25">
      <c r="I1544" s="2"/>
    </row>
    <row r="1545" spans="9:9" x14ac:dyDescent="0.25">
      <c r="I1545" s="2"/>
    </row>
    <row r="1546" spans="9:9" x14ac:dyDescent="0.25">
      <c r="I1546" s="2"/>
    </row>
    <row r="1547" spans="9:9" x14ac:dyDescent="0.25">
      <c r="I1547" s="2"/>
    </row>
    <row r="1548" spans="9:9" x14ac:dyDescent="0.25">
      <c r="I1548" s="2"/>
    </row>
    <row r="1549" spans="9:9" x14ac:dyDescent="0.25">
      <c r="I1549" s="2"/>
    </row>
    <row r="1550" spans="9:9" x14ac:dyDescent="0.25">
      <c r="I1550" s="2"/>
    </row>
    <row r="1551" spans="9:9" x14ac:dyDescent="0.25">
      <c r="I1551" s="2"/>
    </row>
    <row r="1552" spans="9:9" x14ac:dyDescent="0.25">
      <c r="I1552" s="2"/>
    </row>
    <row r="1553" spans="9:9" x14ac:dyDescent="0.25">
      <c r="I1553" s="2"/>
    </row>
    <row r="1554" spans="9:9" x14ac:dyDescent="0.25">
      <c r="I1554" s="2"/>
    </row>
    <row r="1555" spans="9:9" x14ac:dyDescent="0.25">
      <c r="I1555" s="2"/>
    </row>
    <row r="1556" spans="9:9" x14ac:dyDescent="0.25">
      <c r="I1556" s="2"/>
    </row>
    <row r="1557" spans="9:9" x14ac:dyDescent="0.25">
      <c r="I1557" s="2"/>
    </row>
    <row r="1558" spans="9:9" x14ac:dyDescent="0.25">
      <c r="I1558" s="2"/>
    </row>
    <row r="1559" spans="9:9" x14ac:dyDescent="0.25">
      <c r="I1559" s="2"/>
    </row>
    <row r="1560" spans="9:9" x14ac:dyDescent="0.25">
      <c r="I1560" s="2"/>
    </row>
    <row r="1561" spans="9:9" x14ac:dyDescent="0.25">
      <c r="I1561" s="2"/>
    </row>
    <row r="1562" spans="9:9" x14ac:dyDescent="0.25">
      <c r="I1562" s="2"/>
    </row>
    <row r="1563" spans="9:9" x14ac:dyDescent="0.25">
      <c r="I1563" s="2"/>
    </row>
    <row r="1564" spans="9:9" x14ac:dyDescent="0.25">
      <c r="I1564" s="2"/>
    </row>
    <row r="1565" spans="9:9" x14ac:dyDescent="0.25">
      <c r="I1565" s="2"/>
    </row>
    <row r="1566" spans="9:9" x14ac:dyDescent="0.25">
      <c r="I1566" s="2"/>
    </row>
    <row r="1567" spans="9:9" x14ac:dyDescent="0.25">
      <c r="I1567" s="2"/>
    </row>
    <row r="1568" spans="9:9" x14ac:dyDescent="0.25">
      <c r="I1568" s="2"/>
    </row>
    <row r="1569" spans="9:9" x14ac:dyDescent="0.25">
      <c r="I1569" s="2"/>
    </row>
    <row r="1570" spans="9:9" x14ac:dyDescent="0.25">
      <c r="I1570" s="2"/>
    </row>
    <row r="1571" spans="9:9" x14ac:dyDescent="0.25">
      <c r="I1571" s="2"/>
    </row>
    <row r="1572" spans="9:9" x14ac:dyDescent="0.25">
      <c r="I1572" s="2"/>
    </row>
    <row r="1573" spans="9:9" x14ac:dyDescent="0.25">
      <c r="I1573" s="2"/>
    </row>
    <row r="1574" spans="9:9" x14ac:dyDescent="0.25">
      <c r="I1574" s="2"/>
    </row>
    <row r="1575" spans="9:9" x14ac:dyDescent="0.25">
      <c r="I1575" s="2"/>
    </row>
    <row r="1576" spans="9:9" x14ac:dyDescent="0.25">
      <c r="I1576" s="2"/>
    </row>
    <row r="1577" spans="9:9" x14ac:dyDescent="0.25">
      <c r="I1577" s="2"/>
    </row>
    <row r="1578" spans="9:9" x14ac:dyDescent="0.25">
      <c r="I1578" s="2"/>
    </row>
    <row r="1579" spans="9:9" x14ac:dyDescent="0.25">
      <c r="I1579" s="2"/>
    </row>
    <row r="1580" spans="9:9" x14ac:dyDescent="0.25">
      <c r="I1580" s="2"/>
    </row>
    <row r="1581" spans="9:9" x14ac:dyDescent="0.25">
      <c r="I1581" s="2"/>
    </row>
    <row r="1582" spans="9:9" x14ac:dyDescent="0.25">
      <c r="I1582" s="2"/>
    </row>
    <row r="1583" spans="9:9" x14ac:dyDescent="0.25">
      <c r="I1583" s="2"/>
    </row>
    <row r="1584" spans="9:9" x14ac:dyDescent="0.25">
      <c r="I1584" s="2"/>
    </row>
    <row r="1585" spans="9:9" x14ac:dyDescent="0.25">
      <c r="I1585" s="2"/>
    </row>
    <row r="1586" spans="9:9" x14ac:dyDescent="0.25">
      <c r="I1586" s="2"/>
    </row>
    <row r="1587" spans="9:9" x14ac:dyDescent="0.25">
      <c r="I1587" s="2"/>
    </row>
    <row r="1588" spans="9:9" x14ac:dyDescent="0.25">
      <c r="I1588" s="2"/>
    </row>
    <row r="1589" spans="9:9" x14ac:dyDescent="0.25">
      <c r="I1589" s="2"/>
    </row>
    <row r="1590" spans="9:9" x14ac:dyDescent="0.25">
      <c r="I1590" s="2"/>
    </row>
    <row r="1591" spans="9:9" x14ac:dyDescent="0.25">
      <c r="I1591" s="2"/>
    </row>
    <row r="1592" spans="9:9" x14ac:dyDescent="0.25">
      <c r="I1592" s="2"/>
    </row>
    <row r="1593" spans="9:9" x14ac:dyDescent="0.25">
      <c r="I1593" s="2"/>
    </row>
    <row r="1594" spans="9:9" x14ac:dyDescent="0.25">
      <c r="I1594" s="2"/>
    </row>
    <row r="1595" spans="9:9" x14ac:dyDescent="0.25">
      <c r="I1595" s="2"/>
    </row>
    <row r="1596" spans="9:9" x14ac:dyDescent="0.25">
      <c r="I1596" s="2"/>
    </row>
    <row r="1597" spans="9:9" x14ac:dyDescent="0.25">
      <c r="I1597" s="2"/>
    </row>
    <row r="1598" spans="9:9" x14ac:dyDescent="0.25">
      <c r="I1598" s="2"/>
    </row>
    <row r="1599" spans="9:9" x14ac:dyDescent="0.25">
      <c r="I1599" s="2"/>
    </row>
    <row r="1600" spans="9:9" x14ac:dyDescent="0.25">
      <c r="I1600" s="2"/>
    </row>
    <row r="1601" spans="9:9" x14ac:dyDescent="0.25">
      <c r="I1601" s="2"/>
    </row>
    <row r="1602" spans="9:9" x14ac:dyDescent="0.25">
      <c r="I1602" s="2"/>
    </row>
    <row r="1603" spans="9:9" x14ac:dyDescent="0.25">
      <c r="I1603" s="2"/>
    </row>
    <row r="1604" spans="9:9" x14ac:dyDescent="0.25">
      <c r="I1604" s="2"/>
    </row>
    <row r="1605" spans="9:9" x14ac:dyDescent="0.25">
      <c r="I1605" s="2"/>
    </row>
    <row r="1606" spans="9:9" x14ac:dyDescent="0.25">
      <c r="I1606" s="2"/>
    </row>
    <row r="1607" spans="9:9" x14ac:dyDescent="0.25">
      <c r="I1607" s="2"/>
    </row>
    <row r="1608" spans="9:9" x14ac:dyDescent="0.25">
      <c r="I1608" s="2"/>
    </row>
    <row r="1609" spans="9:9" x14ac:dyDescent="0.25">
      <c r="I1609" s="2"/>
    </row>
    <row r="1610" spans="9:9" x14ac:dyDescent="0.25">
      <c r="I1610" s="2"/>
    </row>
    <row r="1611" spans="9:9" x14ac:dyDescent="0.25">
      <c r="I1611" s="2"/>
    </row>
    <row r="1612" spans="9:9" x14ac:dyDescent="0.25">
      <c r="I1612" s="2"/>
    </row>
    <row r="1613" spans="9:9" x14ac:dyDescent="0.25">
      <c r="I1613" s="2"/>
    </row>
    <row r="1614" spans="9:9" x14ac:dyDescent="0.25">
      <c r="I1614" s="2"/>
    </row>
    <row r="1615" spans="9:9" x14ac:dyDescent="0.25">
      <c r="I1615" s="2"/>
    </row>
    <row r="1616" spans="9:9" x14ac:dyDescent="0.25">
      <c r="I1616" s="2"/>
    </row>
    <row r="1617" spans="9:9" x14ac:dyDescent="0.25">
      <c r="I1617" s="2"/>
    </row>
    <row r="1618" spans="9:9" x14ac:dyDescent="0.25">
      <c r="I1618" s="2"/>
    </row>
    <row r="1619" spans="9:9" x14ac:dyDescent="0.25">
      <c r="I1619" s="2"/>
    </row>
    <row r="1620" spans="9:9" x14ac:dyDescent="0.25">
      <c r="I1620" s="2"/>
    </row>
    <row r="1621" spans="9:9" x14ac:dyDescent="0.25">
      <c r="I1621" s="2"/>
    </row>
    <row r="1622" spans="9:9" x14ac:dyDescent="0.25">
      <c r="I1622" s="2"/>
    </row>
    <row r="1623" spans="9:9" x14ac:dyDescent="0.25">
      <c r="I1623" s="2"/>
    </row>
    <row r="1624" spans="9:9" x14ac:dyDescent="0.25">
      <c r="I1624" s="2"/>
    </row>
    <row r="1625" spans="9:9" x14ac:dyDescent="0.25">
      <c r="I1625" s="2"/>
    </row>
    <row r="1626" spans="9:9" x14ac:dyDescent="0.25">
      <c r="I1626" s="2"/>
    </row>
    <row r="1627" spans="9:9" x14ac:dyDescent="0.25">
      <c r="I1627" s="2"/>
    </row>
    <row r="1628" spans="9:9" x14ac:dyDescent="0.25">
      <c r="I1628" s="2"/>
    </row>
    <row r="1629" spans="9:9" x14ac:dyDescent="0.25">
      <c r="I1629" s="2"/>
    </row>
    <row r="1630" spans="9:9" x14ac:dyDescent="0.25">
      <c r="I1630" s="2"/>
    </row>
    <row r="1631" spans="9:9" x14ac:dyDescent="0.25">
      <c r="I1631" s="2"/>
    </row>
    <row r="1632" spans="9:9" x14ac:dyDescent="0.25">
      <c r="I1632" s="2"/>
    </row>
    <row r="1633" spans="9:9" x14ac:dyDescent="0.25">
      <c r="I1633" s="2"/>
    </row>
    <row r="1634" spans="9:9" x14ac:dyDescent="0.25">
      <c r="I1634" s="2"/>
    </row>
    <row r="1635" spans="9:9" x14ac:dyDescent="0.25">
      <c r="I1635" s="2"/>
    </row>
    <row r="1636" spans="9:9" x14ac:dyDescent="0.25">
      <c r="I1636" s="2"/>
    </row>
    <row r="1637" spans="9:9" x14ac:dyDescent="0.25">
      <c r="I1637" s="2"/>
    </row>
    <row r="1638" spans="9:9" x14ac:dyDescent="0.25">
      <c r="I1638" s="2"/>
    </row>
    <row r="1639" spans="9:9" x14ac:dyDescent="0.25">
      <c r="I1639" s="2"/>
    </row>
    <row r="1640" spans="9:9" x14ac:dyDescent="0.25">
      <c r="I1640" s="2"/>
    </row>
    <row r="1641" spans="9:9" x14ac:dyDescent="0.25">
      <c r="I1641" s="2"/>
    </row>
    <row r="1642" spans="9:9" x14ac:dyDescent="0.25">
      <c r="I1642" s="2"/>
    </row>
    <row r="1643" spans="9:9" x14ac:dyDescent="0.25">
      <c r="I1643" s="2"/>
    </row>
    <row r="1644" spans="9:9" x14ac:dyDescent="0.25">
      <c r="I1644" s="2"/>
    </row>
    <row r="1645" spans="9:9" x14ac:dyDescent="0.25">
      <c r="I1645" s="2"/>
    </row>
    <row r="1646" spans="9:9" x14ac:dyDescent="0.25">
      <c r="I1646" s="2"/>
    </row>
    <row r="1647" spans="9:9" x14ac:dyDescent="0.25">
      <c r="I1647" s="2"/>
    </row>
    <row r="1648" spans="9:9" x14ac:dyDescent="0.25">
      <c r="I1648" s="2"/>
    </row>
    <row r="1649" spans="9:9" x14ac:dyDescent="0.25">
      <c r="I1649" s="2"/>
    </row>
    <row r="1650" spans="9:9" x14ac:dyDescent="0.25">
      <c r="I1650" s="2"/>
    </row>
    <row r="1651" spans="9:9" x14ac:dyDescent="0.25">
      <c r="I1651" s="2"/>
    </row>
    <row r="1652" spans="9:9" x14ac:dyDescent="0.25">
      <c r="I1652" s="2"/>
    </row>
    <row r="1653" spans="9:9" x14ac:dyDescent="0.25">
      <c r="I1653" s="2"/>
    </row>
    <row r="1654" spans="9:9" x14ac:dyDescent="0.25">
      <c r="I1654" s="2"/>
    </row>
    <row r="1655" spans="9:9" x14ac:dyDescent="0.25">
      <c r="I1655" s="2"/>
    </row>
    <row r="1656" spans="9:9" x14ac:dyDescent="0.25">
      <c r="I1656" s="2"/>
    </row>
    <row r="1657" spans="9:9" x14ac:dyDescent="0.25">
      <c r="I1657" s="2"/>
    </row>
    <row r="1658" spans="9:9" x14ac:dyDescent="0.25">
      <c r="I1658" s="2"/>
    </row>
    <row r="1659" spans="9:9" x14ac:dyDescent="0.25">
      <c r="I1659" s="2"/>
    </row>
    <row r="1660" spans="9:9" x14ac:dyDescent="0.25">
      <c r="I1660" s="2"/>
    </row>
    <row r="1661" spans="9:9" x14ac:dyDescent="0.25">
      <c r="I1661" s="2"/>
    </row>
    <row r="1662" spans="9:9" x14ac:dyDescent="0.25">
      <c r="I1662" s="2"/>
    </row>
    <row r="1663" spans="9:9" x14ac:dyDescent="0.25">
      <c r="I1663" s="2"/>
    </row>
    <row r="1664" spans="9:9" x14ac:dyDescent="0.25">
      <c r="I1664" s="2"/>
    </row>
    <row r="1665" spans="9:9" x14ac:dyDescent="0.25">
      <c r="I1665" s="2"/>
    </row>
    <row r="1666" spans="9:9" x14ac:dyDescent="0.25">
      <c r="I1666" s="2"/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92C34-B2E1-465F-A3F6-78F4773C647C}">
  <dimension ref="A1:K1666"/>
  <sheetViews>
    <sheetView workbookViewId="0">
      <pane ySplit="1" topLeftCell="A2" activePane="bottomLeft" state="frozen"/>
      <selection pane="bottomLeft" activeCell="J2" sqref="J2"/>
    </sheetView>
  </sheetViews>
  <sheetFormatPr defaultRowHeight="15" x14ac:dyDescent="0.25"/>
  <cols>
    <col min="1" max="2" width="9.140625" style="1"/>
    <col min="3" max="3" width="13.5703125" bestFit="1" customWidth="1"/>
    <col min="4" max="4" width="14.85546875" style="1" bestFit="1" customWidth="1"/>
    <col min="8" max="8" width="10.85546875" bestFit="1" customWidth="1"/>
    <col min="9" max="9" width="9.85546875" bestFit="1" customWidth="1"/>
  </cols>
  <sheetData>
    <row r="1" spans="1:11" ht="30" customHeight="1" x14ac:dyDescent="0.25">
      <c r="A1" s="1" t="s">
        <v>1</v>
      </c>
      <c r="B1" s="1" t="s">
        <v>98</v>
      </c>
      <c r="C1" t="s">
        <v>58</v>
      </c>
      <c r="D1" s="1" t="s">
        <v>2</v>
      </c>
      <c r="E1" s="1" t="s">
        <v>0</v>
      </c>
      <c r="F1" s="1" t="s">
        <v>100</v>
      </c>
      <c r="G1" s="7" t="s">
        <v>93</v>
      </c>
      <c r="H1" t="s">
        <v>4</v>
      </c>
      <c r="I1" s="7" t="s">
        <v>57</v>
      </c>
      <c r="J1" s="11" t="s">
        <v>102</v>
      </c>
      <c r="K1" s="11" t="s">
        <v>103</v>
      </c>
    </row>
    <row r="2" spans="1:11" x14ac:dyDescent="0.25">
      <c r="A2" s="1">
        <v>1958</v>
      </c>
      <c r="B2" s="1" t="s">
        <v>104</v>
      </c>
      <c r="C2" t="s">
        <v>6</v>
      </c>
      <c r="D2" s="1" t="s">
        <v>94</v>
      </c>
      <c r="E2">
        <v>29</v>
      </c>
      <c r="F2" s="1" t="s">
        <v>105</v>
      </c>
      <c r="G2">
        <v>1</v>
      </c>
      <c r="H2">
        <v>6</v>
      </c>
      <c r="I2" s="2">
        <f>0.005454*(G2+0.5)^2*H2</f>
        <v>7.3629E-2</v>
      </c>
      <c r="J2">
        <f>I2/(33*0.01)</f>
        <v>0.2231181818181818</v>
      </c>
      <c r="K2">
        <f>J2*(11.5/38.29)</f>
        <v>6.7011206343930291E-2</v>
      </c>
    </row>
    <row r="3" spans="1:11" x14ac:dyDescent="0.25">
      <c r="A3" s="1">
        <v>1958</v>
      </c>
      <c r="B3" s="1" t="s">
        <v>104</v>
      </c>
      <c r="C3" t="s">
        <v>6</v>
      </c>
      <c r="D3" s="1" t="s">
        <v>94</v>
      </c>
      <c r="E3">
        <v>29</v>
      </c>
      <c r="F3" s="1" t="s">
        <v>105</v>
      </c>
      <c r="G3">
        <v>2</v>
      </c>
      <c r="H3">
        <v>3</v>
      </c>
      <c r="I3" s="2">
        <f t="shared" ref="I3:I66" si="0">0.005454*(G3+0.5)^2*H3</f>
        <v>0.10226250000000001</v>
      </c>
      <c r="J3">
        <f t="shared" ref="J3:J50" si="1">I3/(33*0.01)</f>
        <v>0.30988636363636363</v>
      </c>
      <c r="K3">
        <f t="shared" ref="K3:K66" si="2">J3*(11.5/38.29)</f>
        <v>9.3071119922125398E-2</v>
      </c>
    </row>
    <row r="4" spans="1:11" x14ac:dyDescent="0.25">
      <c r="A4" s="1">
        <v>1958</v>
      </c>
      <c r="B4" s="1" t="s">
        <v>104</v>
      </c>
      <c r="C4" t="s">
        <v>6</v>
      </c>
      <c r="D4" s="1" t="s">
        <v>94</v>
      </c>
      <c r="E4">
        <v>29</v>
      </c>
      <c r="F4" s="1" t="s">
        <v>105</v>
      </c>
      <c r="G4">
        <v>3</v>
      </c>
      <c r="H4">
        <v>1</v>
      </c>
      <c r="I4" s="2">
        <f t="shared" si="0"/>
        <v>6.6811499999999996E-2</v>
      </c>
      <c r="J4">
        <f t="shared" si="1"/>
        <v>0.20245909090909089</v>
      </c>
      <c r="K4">
        <f t="shared" si="2"/>
        <v>6.080646501578859E-2</v>
      </c>
    </row>
    <row r="5" spans="1:11" x14ac:dyDescent="0.25">
      <c r="A5" s="1">
        <v>1958</v>
      </c>
      <c r="B5" s="1" t="s">
        <v>104</v>
      </c>
      <c r="C5" t="s">
        <v>6</v>
      </c>
      <c r="D5" s="1" t="s">
        <v>94</v>
      </c>
      <c r="E5">
        <v>29</v>
      </c>
      <c r="F5" s="1" t="s">
        <v>105</v>
      </c>
      <c r="G5">
        <v>4</v>
      </c>
      <c r="H5">
        <v>1</v>
      </c>
      <c r="I5" s="2">
        <f t="shared" si="0"/>
        <v>0.11044349999999999</v>
      </c>
      <c r="J5">
        <f t="shared" si="1"/>
        <v>0.33467727272727266</v>
      </c>
      <c r="K5">
        <f t="shared" si="2"/>
        <v>0.10051680951589542</v>
      </c>
    </row>
    <row r="6" spans="1:11" x14ac:dyDescent="0.25">
      <c r="A6" s="1">
        <v>1958</v>
      </c>
      <c r="B6" s="1" t="s">
        <v>104</v>
      </c>
      <c r="C6" t="s">
        <v>6</v>
      </c>
      <c r="D6" s="1" t="s">
        <v>94</v>
      </c>
      <c r="E6">
        <v>32</v>
      </c>
      <c r="F6" s="1" t="s">
        <v>105</v>
      </c>
      <c r="G6">
        <v>1</v>
      </c>
      <c r="H6">
        <v>15</v>
      </c>
      <c r="I6" s="2">
        <f t="shared" si="0"/>
        <v>0.1840725</v>
      </c>
      <c r="J6">
        <f t="shared" si="1"/>
        <v>0.55779545454545454</v>
      </c>
      <c r="K6">
        <f t="shared" si="2"/>
        <v>0.16752801585982571</v>
      </c>
    </row>
    <row r="7" spans="1:11" x14ac:dyDescent="0.25">
      <c r="A7" s="1">
        <v>1958</v>
      </c>
      <c r="B7" s="1" t="s">
        <v>104</v>
      </c>
      <c r="C7" t="s">
        <v>6</v>
      </c>
      <c r="D7" s="1" t="s">
        <v>94</v>
      </c>
      <c r="E7">
        <v>32</v>
      </c>
      <c r="F7" s="1" t="s">
        <v>105</v>
      </c>
      <c r="G7">
        <v>2</v>
      </c>
      <c r="H7">
        <v>13</v>
      </c>
      <c r="I7" s="2">
        <f t="shared" si="0"/>
        <v>0.44313750000000002</v>
      </c>
      <c r="J7">
        <f t="shared" si="1"/>
        <v>1.342840909090909</v>
      </c>
      <c r="K7">
        <f t="shared" si="2"/>
        <v>0.40330818632921006</v>
      </c>
    </row>
    <row r="8" spans="1:11" x14ac:dyDescent="0.25">
      <c r="A8" s="1">
        <v>1958</v>
      </c>
      <c r="B8" s="1" t="s">
        <v>104</v>
      </c>
      <c r="C8" t="s">
        <v>6</v>
      </c>
      <c r="D8" s="1" t="s">
        <v>94</v>
      </c>
      <c r="E8">
        <v>32</v>
      </c>
      <c r="F8" s="1" t="s">
        <v>105</v>
      </c>
      <c r="G8">
        <v>3</v>
      </c>
      <c r="H8">
        <v>3</v>
      </c>
      <c r="I8" s="2">
        <f t="shared" si="0"/>
        <v>0.20043449999999999</v>
      </c>
      <c r="J8">
        <f t="shared" si="1"/>
        <v>0.60737727272727271</v>
      </c>
      <c r="K8">
        <f t="shared" si="2"/>
        <v>0.18241939504736579</v>
      </c>
    </row>
    <row r="9" spans="1:11" x14ac:dyDescent="0.25">
      <c r="A9" s="1">
        <v>1958</v>
      </c>
      <c r="B9" s="1" t="s">
        <v>104</v>
      </c>
      <c r="C9" t="s">
        <v>6</v>
      </c>
      <c r="D9" s="1" t="s">
        <v>94</v>
      </c>
      <c r="E9">
        <v>32</v>
      </c>
      <c r="F9" s="1" t="s">
        <v>105</v>
      </c>
      <c r="G9">
        <v>4</v>
      </c>
      <c r="H9">
        <v>1</v>
      </c>
      <c r="I9" s="2">
        <f t="shared" si="0"/>
        <v>0.11044349999999999</v>
      </c>
      <c r="J9">
        <f t="shared" si="1"/>
        <v>0.33467727272727266</v>
      </c>
      <c r="K9">
        <f t="shared" si="2"/>
        <v>0.10051680951589542</v>
      </c>
    </row>
    <row r="10" spans="1:11" x14ac:dyDescent="0.25">
      <c r="A10" s="1">
        <v>1958</v>
      </c>
      <c r="B10" s="1" t="s">
        <v>104</v>
      </c>
      <c r="C10" t="s">
        <v>6</v>
      </c>
      <c r="D10" s="1" t="s">
        <v>94</v>
      </c>
      <c r="E10">
        <v>34</v>
      </c>
      <c r="F10" s="1" t="s">
        <v>105</v>
      </c>
      <c r="G10">
        <v>1</v>
      </c>
      <c r="H10">
        <v>1</v>
      </c>
      <c r="I10" s="2">
        <f t="shared" si="0"/>
        <v>1.2271499999999999E-2</v>
      </c>
      <c r="J10">
        <f t="shared" si="1"/>
        <v>3.7186363636363635E-2</v>
      </c>
      <c r="K10">
        <f t="shared" si="2"/>
        <v>1.1168534390655049E-2</v>
      </c>
    </row>
    <row r="11" spans="1:11" x14ac:dyDescent="0.25">
      <c r="A11" s="1">
        <v>1958</v>
      </c>
      <c r="B11" s="1" t="s">
        <v>104</v>
      </c>
      <c r="C11" t="s">
        <v>6</v>
      </c>
      <c r="D11" s="1" t="s">
        <v>94</v>
      </c>
      <c r="E11">
        <v>34</v>
      </c>
      <c r="F11" s="1" t="s">
        <v>105</v>
      </c>
      <c r="G11">
        <v>2</v>
      </c>
      <c r="H11">
        <v>3</v>
      </c>
      <c r="I11" s="2">
        <f t="shared" si="0"/>
        <v>0.10226250000000001</v>
      </c>
      <c r="J11">
        <f t="shared" si="1"/>
        <v>0.30988636363636363</v>
      </c>
      <c r="K11">
        <f t="shared" si="2"/>
        <v>9.3071119922125398E-2</v>
      </c>
    </row>
    <row r="12" spans="1:11" x14ac:dyDescent="0.25">
      <c r="A12" s="1">
        <v>1958</v>
      </c>
      <c r="B12" s="1" t="s">
        <v>104</v>
      </c>
      <c r="C12" t="s">
        <v>6</v>
      </c>
      <c r="D12" s="1" t="s">
        <v>94</v>
      </c>
      <c r="E12">
        <v>34</v>
      </c>
      <c r="F12" s="1" t="s">
        <v>105</v>
      </c>
      <c r="G12">
        <v>3</v>
      </c>
      <c r="H12">
        <v>2</v>
      </c>
      <c r="I12" s="2">
        <f t="shared" si="0"/>
        <v>0.13362299999999999</v>
      </c>
      <c r="J12">
        <f t="shared" si="1"/>
        <v>0.40491818181818179</v>
      </c>
      <c r="K12">
        <f t="shared" si="2"/>
        <v>0.12161293003157718</v>
      </c>
    </row>
    <row r="13" spans="1:11" x14ac:dyDescent="0.25">
      <c r="A13" s="1">
        <v>1958</v>
      </c>
      <c r="B13" s="1" t="s">
        <v>104</v>
      </c>
      <c r="C13" t="s">
        <v>6</v>
      </c>
      <c r="D13" s="1" t="s">
        <v>94</v>
      </c>
      <c r="E13">
        <v>34</v>
      </c>
      <c r="F13" s="1" t="s">
        <v>105</v>
      </c>
      <c r="G13">
        <v>4</v>
      </c>
      <c r="H13">
        <v>1</v>
      </c>
      <c r="I13" s="2">
        <f t="shared" si="0"/>
        <v>0.11044349999999999</v>
      </c>
      <c r="J13">
        <f t="shared" si="1"/>
        <v>0.33467727272727266</v>
      </c>
      <c r="K13">
        <f t="shared" si="2"/>
        <v>0.10051680951589542</v>
      </c>
    </row>
    <row r="14" spans="1:11" x14ac:dyDescent="0.25">
      <c r="A14" s="1">
        <v>1958</v>
      </c>
      <c r="B14" s="1" t="s">
        <v>104</v>
      </c>
      <c r="C14" t="s">
        <v>6</v>
      </c>
      <c r="D14" s="1" t="s">
        <v>94</v>
      </c>
      <c r="E14">
        <v>38</v>
      </c>
      <c r="F14" s="1" t="s">
        <v>105</v>
      </c>
      <c r="G14">
        <v>2</v>
      </c>
      <c r="H14">
        <v>1</v>
      </c>
      <c r="I14" s="2">
        <f t="shared" si="0"/>
        <v>3.40875E-2</v>
      </c>
      <c r="J14">
        <f t="shared" si="1"/>
        <v>0.10329545454545454</v>
      </c>
      <c r="K14">
        <f t="shared" si="2"/>
        <v>3.1023706640708467E-2</v>
      </c>
    </row>
    <row r="15" spans="1:11" x14ac:dyDescent="0.25">
      <c r="A15" s="1">
        <v>1958</v>
      </c>
      <c r="B15" s="1" t="s">
        <v>104</v>
      </c>
      <c r="C15" t="s">
        <v>6</v>
      </c>
      <c r="D15" s="1" t="s">
        <v>94</v>
      </c>
      <c r="E15">
        <v>38</v>
      </c>
      <c r="F15" s="1" t="s">
        <v>105</v>
      </c>
      <c r="G15">
        <v>3</v>
      </c>
      <c r="H15">
        <v>8</v>
      </c>
      <c r="I15" s="2">
        <f t="shared" si="0"/>
        <v>0.53449199999999997</v>
      </c>
      <c r="J15">
        <f t="shared" si="1"/>
        <v>1.6196727272727272</v>
      </c>
      <c r="K15">
        <f t="shared" si="2"/>
        <v>0.48645172012630872</v>
      </c>
    </row>
    <row r="16" spans="1:11" x14ac:dyDescent="0.25">
      <c r="A16" s="1">
        <v>1958</v>
      </c>
      <c r="B16" s="1" t="s">
        <v>104</v>
      </c>
      <c r="C16" t="s">
        <v>6</v>
      </c>
      <c r="D16" s="1" t="s">
        <v>94</v>
      </c>
      <c r="E16">
        <v>38</v>
      </c>
      <c r="F16" s="1" t="s">
        <v>105</v>
      </c>
      <c r="G16">
        <v>4</v>
      </c>
      <c r="H16">
        <v>1</v>
      </c>
      <c r="I16" s="2">
        <f t="shared" si="0"/>
        <v>0.11044349999999999</v>
      </c>
      <c r="J16">
        <f t="shared" si="1"/>
        <v>0.33467727272727266</v>
      </c>
      <c r="K16">
        <f t="shared" si="2"/>
        <v>0.10051680951589542</v>
      </c>
    </row>
    <row r="17" spans="1:11" x14ac:dyDescent="0.25">
      <c r="A17" s="1">
        <v>1958</v>
      </c>
      <c r="B17" s="1" t="s">
        <v>104</v>
      </c>
      <c r="C17" t="s">
        <v>6</v>
      </c>
      <c r="D17" s="1" t="s">
        <v>94</v>
      </c>
      <c r="E17">
        <v>40</v>
      </c>
      <c r="F17" s="1" t="s">
        <v>105</v>
      </c>
      <c r="G17">
        <v>1</v>
      </c>
      <c r="H17">
        <v>1</v>
      </c>
      <c r="I17" s="2">
        <f t="shared" si="0"/>
        <v>1.2271499999999999E-2</v>
      </c>
      <c r="J17">
        <f t="shared" si="1"/>
        <v>3.7186363636363635E-2</v>
      </c>
      <c r="K17">
        <f t="shared" si="2"/>
        <v>1.1168534390655049E-2</v>
      </c>
    </row>
    <row r="18" spans="1:11" x14ac:dyDescent="0.25">
      <c r="A18" s="1">
        <v>1958</v>
      </c>
      <c r="B18" s="1" t="s">
        <v>104</v>
      </c>
      <c r="C18" t="s">
        <v>6</v>
      </c>
      <c r="D18" s="1" t="s">
        <v>94</v>
      </c>
      <c r="E18">
        <v>40</v>
      </c>
      <c r="F18" s="1" t="s">
        <v>105</v>
      </c>
      <c r="G18">
        <v>2</v>
      </c>
      <c r="H18">
        <v>1</v>
      </c>
      <c r="I18" s="2">
        <f t="shared" si="0"/>
        <v>3.40875E-2</v>
      </c>
      <c r="J18">
        <f t="shared" si="1"/>
        <v>0.10329545454545454</v>
      </c>
      <c r="K18">
        <f t="shared" si="2"/>
        <v>3.1023706640708467E-2</v>
      </c>
    </row>
    <row r="19" spans="1:11" x14ac:dyDescent="0.25">
      <c r="A19" s="1">
        <v>1958</v>
      </c>
      <c r="B19" s="1" t="s">
        <v>104</v>
      </c>
      <c r="C19" t="s">
        <v>6</v>
      </c>
      <c r="D19" s="1" t="s">
        <v>94</v>
      </c>
      <c r="E19">
        <v>40</v>
      </c>
      <c r="F19" s="1" t="s">
        <v>105</v>
      </c>
      <c r="G19">
        <v>3</v>
      </c>
      <c r="H19">
        <v>3</v>
      </c>
      <c r="I19" s="2">
        <f t="shared" si="0"/>
        <v>0.20043449999999999</v>
      </c>
      <c r="J19">
        <f t="shared" si="1"/>
        <v>0.60737727272727271</v>
      </c>
      <c r="K19">
        <f t="shared" si="2"/>
        <v>0.18241939504736579</v>
      </c>
    </row>
    <row r="20" spans="1:11" x14ac:dyDescent="0.25">
      <c r="A20" s="1">
        <v>1958</v>
      </c>
      <c r="B20" s="1" t="s">
        <v>104</v>
      </c>
      <c r="C20" t="s">
        <v>6</v>
      </c>
      <c r="D20" s="1" t="s">
        <v>94</v>
      </c>
      <c r="E20">
        <v>40</v>
      </c>
      <c r="F20" s="1" t="s">
        <v>105</v>
      </c>
      <c r="G20">
        <v>4</v>
      </c>
      <c r="H20">
        <v>2</v>
      </c>
      <c r="I20" s="2">
        <f t="shared" si="0"/>
        <v>0.22088699999999997</v>
      </c>
      <c r="J20">
        <f t="shared" si="1"/>
        <v>0.66935454545454531</v>
      </c>
      <c r="K20">
        <f t="shared" si="2"/>
        <v>0.20103361903179084</v>
      </c>
    </row>
    <row r="21" spans="1:11" x14ac:dyDescent="0.25">
      <c r="A21" s="1">
        <v>1958</v>
      </c>
      <c r="B21" s="1" t="s">
        <v>104</v>
      </c>
      <c r="C21" t="s">
        <v>6</v>
      </c>
      <c r="D21" s="1" t="s">
        <v>94</v>
      </c>
      <c r="E21">
        <v>53</v>
      </c>
      <c r="F21" s="1" t="s">
        <v>105</v>
      </c>
      <c r="G21">
        <v>4</v>
      </c>
      <c r="H21">
        <v>1</v>
      </c>
      <c r="I21" s="2">
        <f t="shared" si="0"/>
        <v>0.11044349999999999</v>
      </c>
      <c r="J21">
        <f t="shared" si="1"/>
        <v>0.33467727272727266</v>
      </c>
      <c r="K21">
        <f t="shared" si="2"/>
        <v>0.10051680951589542</v>
      </c>
    </row>
    <row r="22" spans="1:11" x14ac:dyDescent="0.25">
      <c r="A22" s="1">
        <v>1958</v>
      </c>
      <c r="B22" s="1" t="s">
        <v>104</v>
      </c>
      <c r="C22" t="s">
        <v>6</v>
      </c>
      <c r="D22" s="1" t="s">
        <v>94</v>
      </c>
      <c r="E22">
        <v>58</v>
      </c>
      <c r="F22" s="1" t="s">
        <v>105</v>
      </c>
      <c r="G22">
        <v>1</v>
      </c>
      <c r="H22">
        <v>4</v>
      </c>
      <c r="I22" s="2">
        <f t="shared" si="0"/>
        <v>4.9085999999999998E-2</v>
      </c>
      <c r="J22">
        <f t="shared" si="1"/>
        <v>0.14874545454545454</v>
      </c>
      <c r="K22">
        <f t="shared" si="2"/>
        <v>4.4674137562620196E-2</v>
      </c>
    </row>
    <row r="23" spans="1:11" x14ac:dyDescent="0.25">
      <c r="A23" s="1">
        <v>1958</v>
      </c>
      <c r="B23" s="1" t="s">
        <v>104</v>
      </c>
      <c r="C23" t="s">
        <v>6</v>
      </c>
      <c r="D23" s="1" t="s">
        <v>94</v>
      </c>
      <c r="E23">
        <v>58</v>
      </c>
      <c r="F23" s="1" t="s">
        <v>105</v>
      </c>
      <c r="G23">
        <v>2</v>
      </c>
      <c r="H23">
        <v>2</v>
      </c>
      <c r="I23" s="2">
        <f t="shared" si="0"/>
        <v>6.8174999999999999E-2</v>
      </c>
      <c r="J23">
        <f t="shared" si="1"/>
        <v>0.20659090909090908</v>
      </c>
      <c r="K23">
        <f t="shared" si="2"/>
        <v>6.2047413281416934E-2</v>
      </c>
    </row>
    <row r="24" spans="1:11" x14ac:dyDescent="0.25">
      <c r="A24" s="1">
        <v>1958</v>
      </c>
      <c r="B24" s="1" t="s">
        <v>104</v>
      </c>
      <c r="C24" t="s">
        <v>6</v>
      </c>
      <c r="D24" s="1" t="s">
        <v>94</v>
      </c>
      <c r="E24">
        <v>58</v>
      </c>
      <c r="F24" s="1" t="s">
        <v>105</v>
      </c>
      <c r="G24">
        <v>4</v>
      </c>
      <c r="H24">
        <v>2</v>
      </c>
      <c r="I24" s="2">
        <f t="shared" si="0"/>
        <v>0.22088699999999997</v>
      </c>
      <c r="J24">
        <f t="shared" si="1"/>
        <v>0.66935454545454531</v>
      </c>
      <c r="K24">
        <f t="shared" si="2"/>
        <v>0.20103361903179084</v>
      </c>
    </row>
    <row r="25" spans="1:11" x14ac:dyDescent="0.25">
      <c r="A25" s="1">
        <v>1958</v>
      </c>
      <c r="B25" s="1" t="s">
        <v>104</v>
      </c>
      <c r="C25" t="s">
        <v>6</v>
      </c>
      <c r="D25" s="1" t="s">
        <v>94</v>
      </c>
      <c r="E25">
        <v>66</v>
      </c>
      <c r="F25" s="1" t="s">
        <v>105</v>
      </c>
      <c r="G25">
        <v>3</v>
      </c>
      <c r="H25">
        <v>1</v>
      </c>
      <c r="I25" s="2">
        <f t="shared" si="0"/>
        <v>6.6811499999999996E-2</v>
      </c>
      <c r="J25">
        <f t="shared" si="1"/>
        <v>0.20245909090909089</v>
      </c>
      <c r="K25">
        <f t="shared" si="2"/>
        <v>6.080646501578859E-2</v>
      </c>
    </row>
    <row r="26" spans="1:11" x14ac:dyDescent="0.25">
      <c r="A26" s="1">
        <v>1958</v>
      </c>
      <c r="B26" s="1" t="s">
        <v>104</v>
      </c>
      <c r="C26" t="s">
        <v>6</v>
      </c>
      <c r="D26" s="1" t="s">
        <v>94</v>
      </c>
      <c r="E26">
        <v>76</v>
      </c>
      <c r="F26" s="1" t="s">
        <v>105</v>
      </c>
      <c r="G26">
        <v>2</v>
      </c>
      <c r="H26">
        <v>1</v>
      </c>
      <c r="I26" s="2">
        <f t="shared" si="0"/>
        <v>3.40875E-2</v>
      </c>
      <c r="J26">
        <f t="shared" si="1"/>
        <v>0.10329545454545454</v>
      </c>
      <c r="K26">
        <f t="shared" si="2"/>
        <v>3.1023706640708467E-2</v>
      </c>
    </row>
    <row r="27" spans="1:11" x14ac:dyDescent="0.25">
      <c r="A27" s="1">
        <v>1958</v>
      </c>
      <c r="B27" s="1" t="s">
        <v>104</v>
      </c>
      <c r="C27" t="s">
        <v>6</v>
      </c>
      <c r="D27" s="1" t="s">
        <v>94</v>
      </c>
      <c r="E27">
        <v>79</v>
      </c>
      <c r="F27" s="1" t="s">
        <v>105</v>
      </c>
      <c r="G27">
        <v>1</v>
      </c>
      <c r="H27">
        <v>22</v>
      </c>
      <c r="I27" s="2">
        <f t="shared" si="0"/>
        <v>0.26997299999999996</v>
      </c>
      <c r="J27">
        <f t="shared" si="1"/>
        <v>0.81809999999999983</v>
      </c>
      <c r="K27">
        <f t="shared" si="2"/>
        <v>0.24570775659441102</v>
      </c>
    </row>
    <row r="28" spans="1:11" x14ac:dyDescent="0.25">
      <c r="A28" s="1">
        <v>1958</v>
      </c>
      <c r="B28" s="1" t="s">
        <v>104</v>
      </c>
      <c r="C28" t="s">
        <v>6</v>
      </c>
      <c r="D28" s="1" t="s">
        <v>94</v>
      </c>
      <c r="E28">
        <v>79</v>
      </c>
      <c r="F28" s="1" t="s">
        <v>105</v>
      </c>
      <c r="G28">
        <v>2</v>
      </c>
      <c r="H28">
        <v>4</v>
      </c>
      <c r="I28" s="2">
        <f t="shared" si="0"/>
        <v>0.13635</v>
      </c>
      <c r="J28">
        <f t="shared" si="1"/>
        <v>0.41318181818181815</v>
      </c>
      <c r="K28">
        <f t="shared" si="2"/>
        <v>0.12409482656283387</v>
      </c>
    </row>
    <row r="29" spans="1:11" x14ac:dyDescent="0.25">
      <c r="A29" s="1">
        <v>1958</v>
      </c>
      <c r="B29" s="1" t="s">
        <v>104</v>
      </c>
      <c r="C29" t="s">
        <v>6</v>
      </c>
      <c r="D29" s="1" t="s">
        <v>94</v>
      </c>
      <c r="E29">
        <v>79</v>
      </c>
      <c r="F29" s="1" t="s">
        <v>105</v>
      </c>
      <c r="G29">
        <v>3</v>
      </c>
      <c r="H29">
        <v>6</v>
      </c>
      <c r="I29" s="2">
        <f t="shared" si="0"/>
        <v>0.40086899999999998</v>
      </c>
      <c r="J29">
        <f t="shared" si="1"/>
        <v>1.2147545454545454</v>
      </c>
      <c r="K29">
        <f t="shared" si="2"/>
        <v>0.36483879009473158</v>
      </c>
    </row>
    <row r="30" spans="1:11" x14ac:dyDescent="0.25">
      <c r="A30" s="1">
        <v>1958</v>
      </c>
      <c r="B30" s="1" t="s">
        <v>104</v>
      </c>
      <c r="C30" t="s">
        <v>6</v>
      </c>
      <c r="D30" s="1" t="s">
        <v>94</v>
      </c>
      <c r="E30">
        <v>85</v>
      </c>
      <c r="F30" s="1" t="s">
        <v>105</v>
      </c>
      <c r="G30">
        <v>1</v>
      </c>
      <c r="H30">
        <v>8</v>
      </c>
      <c r="I30" s="2">
        <f t="shared" si="0"/>
        <v>9.8171999999999995E-2</v>
      </c>
      <c r="J30">
        <f t="shared" si="1"/>
        <v>0.29749090909090908</v>
      </c>
      <c r="K30">
        <f t="shared" si="2"/>
        <v>8.9348275125240392E-2</v>
      </c>
    </row>
    <row r="31" spans="1:11" x14ac:dyDescent="0.25">
      <c r="A31" s="1">
        <v>1958</v>
      </c>
      <c r="B31" s="1" t="s">
        <v>104</v>
      </c>
      <c r="C31" t="s">
        <v>6</v>
      </c>
      <c r="D31" s="1" t="s">
        <v>94</v>
      </c>
      <c r="E31">
        <v>85</v>
      </c>
      <c r="F31" s="1" t="s">
        <v>105</v>
      </c>
      <c r="G31">
        <v>2</v>
      </c>
      <c r="H31">
        <v>2</v>
      </c>
      <c r="I31" s="2">
        <f t="shared" si="0"/>
        <v>6.8174999999999999E-2</v>
      </c>
      <c r="J31">
        <f t="shared" si="1"/>
        <v>0.20659090909090908</v>
      </c>
      <c r="K31">
        <f t="shared" si="2"/>
        <v>6.2047413281416934E-2</v>
      </c>
    </row>
    <row r="32" spans="1:11" x14ac:dyDescent="0.25">
      <c r="A32" s="1">
        <v>1958</v>
      </c>
      <c r="B32" s="1" t="s">
        <v>104</v>
      </c>
      <c r="C32" t="s">
        <v>6</v>
      </c>
      <c r="D32" s="1" t="s">
        <v>94</v>
      </c>
      <c r="E32">
        <v>11</v>
      </c>
      <c r="F32" s="1" t="s">
        <v>105</v>
      </c>
      <c r="G32">
        <v>2</v>
      </c>
      <c r="H32">
        <v>1</v>
      </c>
      <c r="I32" s="2">
        <f t="shared" si="0"/>
        <v>3.40875E-2</v>
      </c>
      <c r="J32">
        <f t="shared" si="1"/>
        <v>0.10329545454545454</v>
      </c>
      <c r="K32">
        <f t="shared" si="2"/>
        <v>3.1023706640708467E-2</v>
      </c>
    </row>
    <row r="33" spans="1:11" x14ac:dyDescent="0.25">
      <c r="A33" s="1">
        <v>1958</v>
      </c>
      <c r="B33" s="1" t="s">
        <v>104</v>
      </c>
      <c r="C33" t="s">
        <v>6</v>
      </c>
      <c r="D33" s="1" t="s">
        <v>95</v>
      </c>
      <c r="E33">
        <v>29</v>
      </c>
      <c r="F33" s="1" t="s">
        <v>105</v>
      </c>
      <c r="G33">
        <v>1</v>
      </c>
      <c r="H33">
        <v>1</v>
      </c>
      <c r="I33" s="2">
        <f t="shared" si="0"/>
        <v>1.2271499999999999E-2</v>
      </c>
      <c r="J33">
        <f t="shared" si="1"/>
        <v>3.7186363636363635E-2</v>
      </c>
      <c r="K33">
        <f t="shared" si="2"/>
        <v>1.1168534390655049E-2</v>
      </c>
    </row>
    <row r="34" spans="1:11" x14ac:dyDescent="0.25">
      <c r="A34" s="1">
        <v>1958</v>
      </c>
      <c r="B34" s="1" t="s">
        <v>104</v>
      </c>
      <c r="C34" t="s">
        <v>6</v>
      </c>
      <c r="D34" s="1" t="s">
        <v>95</v>
      </c>
      <c r="E34">
        <v>32</v>
      </c>
      <c r="F34" s="1" t="s">
        <v>105</v>
      </c>
      <c r="G34">
        <v>1</v>
      </c>
      <c r="H34">
        <v>3</v>
      </c>
      <c r="I34" s="2">
        <f t="shared" si="0"/>
        <v>3.68145E-2</v>
      </c>
      <c r="J34">
        <f t="shared" si="1"/>
        <v>0.1115590909090909</v>
      </c>
      <c r="K34">
        <f t="shared" si="2"/>
        <v>3.3505603171965145E-2</v>
      </c>
    </row>
    <row r="35" spans="1:11" x14ac:dyDescent="0.25">
      <c r="A35" s="1">
        <v>1958</v>
      </c>
      <c r="B35" s="1" t="s">
        <v>104</v>
      </c>
      <c r="C35" t="s">
        <v>6</v>
      </c>
      <c r="D35" s="1" t="s">
        <v>95</v>
      </c>
      <c r="E35">
        <v>32</v>
      </c>
      <c r="F35" s="1" t="s">
        <v>105</v>
      </c>
      <c r="G35">
        <v>2</v>
      </c>
      <c r="H35">
        <v>1</v>
      </c>
      <c r="I35" s="2">
        <f t="shared" si="0"/>
        <v>3.40875E-2</v>
      </c>
      <c r="J35">
        <f t="shared" si="1"/>
        <v>0.10329545454545454</v>
      </c>
      <c r="K35">
        <f t="shared" si="2"/>
        <v>3.1023706640708467E-2</v>
      </c>
    </row>
    <row r="36" spans="1:11" x14ac:dyDescent="0.25">
      <c r="A36" s="1">
        <v>1958</v>
      </c>
      <c r="B36" s="1" t="s">
        <v>104</v>
      </c>
      <c r="C36" t="s">
        <v>6</v>
      </c>
      <c r="D36" s="1" t="s">
        <v>95</v>
      </c>
      <c r="E36">
        <v>34</v>
      </c>
      <c r="F36" s="1" t="s">
        <v>105</v>
      </c>
      <c r="G36">
        <v>2</v>
      </c>
      <c r="H36">
        <v>1</v>
      </c>
      <c r="I36" s="2">
        <f t="shared" si="0"/>
        <v>3.40875E-2</v>
      </c>
      <c r="J36">
        <f t="shared" si="1"/>
        <v>0.10329545454545454</v>
      </c>
      <c r="K36">
        <f t="shared" si="2"/>
        <v>3.1023706640708467E-2</v>
      </c>
    </row>
    <row r="37" spans="1:11" x14ac:dyDescent="0.25">
      <c r="A37" s="1">
        <v>1958</v>
      </c>
      <c r="B37" s="1" t="s">
        <v>104</v>
      </c>
      <c r="C37" t="s">
        <v>6</v>
      </c>
      <c r="D37" s="1" t="s">
        <v>95</v>
      </c>
      <c r="E37">
        <v>79</v>
      </c>
      <c r="F37" s="1" t="s">
        <v>105</v>
      </c>
      <c r="G37">
        <v>1</v>
      </c>
      <c r="H37">
        <v>1</v>
      </c>
      <c r="I37" s="2">
        <f t="shared" si="0"/>
        <v>1.2271499999999999E-2</v>
      </c>
      <c r="J37">
        <f t="shared" si="1"/>
        <v>3.7186363636363635E-2</v>
      </c>
      <c r="K37">
        <f t="shared" si="2"/>
        <v>1.1168534390655049E-2</v>
      </c>
    </row>
    <row r="38" spans="1:11" x14ac:dyDescent="0.25">
      <c r="A38" s="1">
        <v>1958</v>
      </c>
      <c r="B38" s="1" t="s">
        <v>104</v>
      </c>
      <c r="C38" t="s">
        <v>6</v>
      </c>
      <c r="D38" s="1" t="s">
        <v>95</v>
      </c>
      <c r="E38">
        <v>79</v>
      </c>
      <c r="F38" s="1" t="s">
        <v>105</v>
      </c>
      <c r="G38">
        <v>2</v>
      </c>
      <c r="H38">
        <v>1</v>
      </c>
      <c r="I38" s="2">
        <f t="shared" si="0"/>
        <v>3.40875E-2</v>
      </c>
      <c r="J38">
        <f t="shared" si="1"/>
        <v>0.10329545454545454</v>
      </c>
      <c r="K38">
        <f t="shared" si="2"/>
        <v>3.1023706640708467E-2</v>
      </c>
    </row>
    <row r="39" spans="1:11" x14ac:dyDescent="0.25">
      <c r="A39" s="1">
        <v>1958</v>
      </c>
      <c r="B39" s="1" t="s">
        <v>104</v>
      </c>
      <c r="C39" t="s">
        <v>6</v>
      </c>
      <c r="D39" s="1" t="s">
        <v>96</v>
      </c>
      <c r="E39">
        <v>33</v>
      </c>
      <c r="F39" s="1" t="s">
        <v>105</v>
      </c>
      <c r="G39">
        <v>1</v>
      </c>
      <c r="H39">
        <v>2</v>
      </c>
      <c r="I39" s="2">
        <f t="shared" si="0"/>
        <v>2.4542999999999999E-2</v>
      </c>
      <c r="J39">
        <f t="shared" si="1"/>
        <v>7.4372727272727271E-2</v>
      </c>
      <c r="K39">
        <f t="shared" si="2"/>
        <v>2.2337068781310098E-2</v>
      </c>
    </row>
    <row r="40" spans="1:11" x14ac:dyDescent="0.25">
      <c r="A40" s="1">
        <v>1958</v>
      </c>
      <c r="B40" s="1" t="s">
        <v>104</v>
      </c>
      <c r="C40" t="s">
        <v>6</v>
      </c>
      <c r="D40" s="1" t="s">
        <v>96</v>
      </c>
      <c r="E40">
        <v>33</v>
      </c>
      <c r="F40" s="1" t="s">
        <v>105</v>
      </c>
      <c r="G40">
        <v>2</v>
      </c>
      <c r="H40">
        <v>1</v>
      </c>
      <c r="I40" s="2">
        <f t="shared" si="0"/>
        <v>3.40875E-2</v>
      </c>
      <c r="J40">
        <f t="shared" si="1"/>
        <v>0.10329545454545454</v>
      </c>
      <c r="K40">
        <f t="shared" si="2"/>
        <v>3.1023706640708467E-2</v>
      </c>
    </row>
    <row r="41" spans="1:11" x14ac:dyDescent="0.25">
      <c r="A41" s="1">
        <v>1958</v>
      </c>
      <c r="B41" s="1" t="s">
        <v>104</v>
      </c>
      <c r="C41" t="s">
        <v>6</v>
      </c>
      <c r="D41" s="1" t="s">
        <v>96</v>
      </c>
      <c r="E41">
        <v>78</v>
      </c>
      <c r="F41" s="1" t="s">
        <v>105</v>
      </c>
      <c r="G41">
        <v>2</v>
      </c>
      <c r="H41">
        <v>2</v>
      </c>
      <c r="I41" s="2">
        <f t="shared" si="0"/>
        <v>6.8174999999999999E-2</v>
      </c>
      <c r="J41">
        <f t="shared" si="1"/>
        <v>0.20659090909090908</v>
      </c>
      <c r="K41">
        <f t="shared" si="2"/>
        <v>6.2047413281416934E-2</v>
      </c>
    </row>
    <row r="42" spans="1:11" x14ac:dyDescent="0.25">
      <c r="A42" s="1">
        <v>1958</v>
      </c>
      <c r="B42" s="1" t="s">
        <v>104</v>
      </c>
      <c r="C42" t="s">
        <v>6</v>
      </c>
      <c r="D42" s="1" t="s">
        <v>96</v>
      </c>
      <c r="E42">
        <v>78</v>
      </c>
      <c r="F42" s="1" t="s">
        <v>105</v>
      </c>
      <c r="G42">
        <v>3</v>
      </c>
      <c r="H42">
        <v>1</v>
      </c>
      <c r="I42" s="2">
        <f t="shared" si="0"/>
        <v>6.6811499999999996E-2</v>
      </c>
      <c r="J42">
        <f t="shared" si="1"/>
        <v>0.20245909090909089</v>
      </c>
      <c r="K42">
        <f t="shared" si="2"/>
        <v>6.080646501578859E-2</v>
      </c>
    </row>
    <row r="43" spans="1:11" x14ac:dyDescent="0.25">
      <c r="A43" s="1">
        <v>1958</v>
      </c>
      <c r="B43" s="1" t="s">
        <v>104</v>
      </c>
      <c r="C43" t="s">
        <v>6</v>
      </c>
      <c r="D43" s="1" t="s">
        <v>96</v>
      </c>
      <c r="E43">
        <v>86</v>
      </c>
      <c r="F43" s="1" t="s">
        <v>105</v>
      </c>
      <c r="G43">
        <v>1</v>
      </c>
      <c r="H43">
        <v>5</v>
      </c>
      <c r="I43" s="2">
        <f t="shared" si="0"/>
        <v>6.1357499999999995E-2</v>
      </c>
      <c r="J43">
        <f t="shared" si="1"/>
        <v>0.18593181818181817</v>
      </c>
      <c r="K43">
        <f t="shared" si="2"/>
        <v>5.584267195327524E-2</v>
      </c>
    </row>
    <row r="44" spans="1:11" x14ac:dyDescent="0.25">
      <c r="A44" s="1">
        <v>1958</v>
      </c>
      <c r="B44" s="1" t="s">
        <v>104</v>
      </c>
      <c r="C44" t="s">
        <v>6</v>
      </c>
      <c r="D44" s="1" t="s">
        <v>96</v>
      </c>
      <c r="E44">
        <v>86</v>
      </c>
      <c r="F44" s="1" t="s">
        <v>105</v>
      </c>
      <c r="G44">
        <v>2</v>
      </c>
      <c r="H44">
        <v>1</v>
      </c>
      <c r="I44" s="2">
        <f t="shared" si="0"/>
        <v>3.40875E-2</v>
      </c>
      <c r="J44">
        <f t="shared" si="1"/>
        <v>0.10329545454545454</v>
      </c>
      <c r="K44">
        <f t="shared" si="2"/>
        <v>3.1023706640708467E-2</v>
      </c>
    </row>
    <row r="45" spans="1:11" x14ac:dyDescent="0.25">
      <c r="A45" s="1">
        <v>1958</v>
      </c>
      <c r="B45" s="1" t="s">
        <v>104</v>
      </c>
      <c r="C45" t="s">
        <v>6</v>
      </c>
      <c r="D45" s="1" t="s">
        <v>96</v>
      </c>
      <c r="E45">
        <v>63</v>
      </c>
      <c r="F45" s="1" t="s">
        <v>105</v>
      </c>
      <c r="G45">
        <v>1</v>
      </c>
      <c r="H45">
        <v>19</v>
      </c>
      <c r="I45" s="2">
        <f t="shared" si="0"/>
        <v>0.23315849999999999</v>
      </c>
      <c r="J45">
        <f t="shared" si="1"/>
        <v>0.70654090909090905</v>
      </c>
      <c r="K45">
        <f t="shared" si="2"/>
        <v>0.21220215342244592</v>
      </c>
    </row>
    <row r="46" spans="1:11" x14ac:dyDescent="0.25">
      <c r="A46" s="1">
        <v>1958</v>
      </c>
      <c r="B46" s="1" t="s">
        <v>104</v>
      </c>
      <c r="C46" t="s">
        <v>6</v>
      </c>
      <c r="D46" s="1" t="s">
        <v>96</v>
      </c>
      <c r="E46">
        <v>63</v>
      </c>
      <c r="F46" s="1" t="s">
        <v>105</v>
      </c>
      <c r="G46">
        <v>2</v>
      </c>
      <c r="H46">
        <v>16</v>
      </c>
      <c r="I46" s="2">
        <f t="shared" si="0"/>
        <v>0.5454</v>
      </c>
      <c r="J46">
        <f t="shared" si="1"/>
        <v>1.6527272727272726</v>
      </c>
      <c r="K46">
        <f t="shared" si="2"/>
        <v>0.49637930625133547</v>
      </c>
    </row>
    <row r="47" spans="1:11" x14ac:dyDescent="0.25">
      <c r="A47" s="1">
        <v>1958</v>
      </c>
      <c r="B47" s="1" t="s">
        <v>104</v>
      </c>
      <c r="C47" t="s">
        <v>6</v>
      </c>
      <c r="D47" s="1" t="s">
        <v>96</v>
      </c>
      <c r="E47">
        <v>63</v>
      </c>
      <c r="F47" s="1" t="s">
        <v>105</v>
      </c>
      <c r="G47">
        <v>3</v>
      </c>
      <c r="H47">
        <v>6</v>
      </c>
      <c r="I47" s="2">
        <f t="shared" si="0"/>
        <v>0.40086899999999998</v>
      </c>
      <c r="J47">
        <f t="shared" si="1"/>
        <v>1.2147545454545454</v>
      </c>
      <c r="K47">
        <f t="shared" si="2"/>
        <v>0.36483879009473158</v>
      </c>
    </row>
    <row r="48" spans="1:11" x14ac:dyDescent="0.25">
      <c r="A48" s="1">
        <v>1958</v>
      </c>
      <c r="B48" s="1" t="s">
        <v>104</v>
      </c>
      <c r="C48" t="s">
        <v>6</v>
      </c>
      <c r="D48" s="1" t="s">
        <v>96</v>
      </c>
      <c r="E48">
        <v>63</v>
      </c>
      <c r="F48" s="1" t="s">
        <v>105</v>
      </c>
      <c r="G48">
        <v>4</v>
      </c>
      <c r="H48">
        <v>1</v>
      </c>
      <c r="I48" s="2">
        <f t="shared" si="0"/>
        <v>0.11044349999999999</v>
      </c>
      <c r="J48">
        <f t="shared" si="1"/>
        <v>0.33467727272727266</v>
      </c>
      <c r="K48">
        <f t="shared" si="2"/>
        <v>0.10051680951589542</v>
      </c>
    </row>
    <row r="49" spans="1:11" x14ac:dyDescent="0.25">
      <c r="A49" s="1">
        <v>1958</v>
      </c>
      <c r="B49" s="1" t="s">
        <v>104</v>
      </c>
      <c r="C49" t="s">
        <v>6</v>
      </c>
      <c r="D49" s="1" t="s">
        <v>96</v>
      </c>
      <c r="E49">
        <v>119</v>
      </c>
      <c r="F49" s="1" t="s">
        <v>105</v>
      </c>
      <c r="G49">
        <v>1</v>
      </c>
      <c r="H49">
        <v>1</v>
      </c>
      <c r="I49" s="2">
        <f t="shared" si="0"/>
        <v>1.2271499999999999E-2</v>
      </c>
      <c r="J49">
        <f t="shared" si="1"/>
        <v>3.7186363636363635E-2</v>
      </c>
      <c r="K49">
        <f t="shared" si="2"/>
        <v>1.1168534390655049E-2</v>
      </c>
    </row>
    <row r="50" spans="1:11" x14ac:dyDescent="0.25">
      <c r="A50" s="1">
        <v>1963</v>
      </c>
      <c r="B50" s="1" t="s">
        <v>104</v>
      </c>
      <c r="C50" t="s">
        <v>9</v>
      </c>
      <c r="D50" s="1" t="s">
        <v>94</v>
      </c>
      <c r="E50">
        <v>11</v>
      </c>
      <c r="F50" s="1" t="s">
        <v>105</v>
      </c>
      <c r="G50">
        <v>1</v>
      </c>
      <c r="H50">
        <v>1</v>
      </c>
      <c r="I50" s="2">
        <f t="shared" si="0"/>
        <v>1.2271499999999999E-2</v>
      </c>
      <c r="J50">
        <f t="shared" si="1"/>
        <v>3.7186363636363635E-2</v>
      </c>
      <c r="K50">
        <f t="shared" si="2"/>
        <v>1.1168534390655049E-2</v>
      </c>
    </row>
    <row r="51" spans="1:11" x14ac:dyDescent="0.25">
      <c r="A51" s="1">
        <v>1963</v>
      </c>
      <c r="B51" s="1" t="s">
        <v>104</v>
      </c>
      <c r="C51" t="s">
        <v>9</v>
      </c>
      <c r="D51" s="1" t="s">
        <v>94</v>
      </c>
      <c r="E51">
        <v>11</v>
      </c>
      <c r="F51" s="1" t="s">
        <v>105</v>
      </c>
      <c r="G51">
        <v>4</v>
      </c>
      <c r="H51">
        <v>1</v>
      </c>
      <c r="I51" s="2">
        <f t="shared" si="0"/>
        <v>0.11044349999999999</v>
      </c>
      <c r="J51">
        <f>I51/(104*0.01)</f>
        <v>0.10619567307692306</v>
      </c>
      <c r="K51">
        <f t="shared" si="2"/>
        <v>3.1894756865620662E-2</v>
      </c>
    </row>
    <row r="52" spans="1:11" x14ac:dyDescent="0.25">
      <c r="A52" s="1">
        <v>1963</v>
      </c>
      <c r="B52" s="1" t="s">
        <v>104</v>
      </c>
      <c r="C52" t="s">
        <v>9</v>
      </c>
      <c r="D52" s="1" t="s">
        <v>94</v>
      </c>
      <c r="E52">
        <v>21</v>
      </c>
      <c r="F52" s="1" t="s">
        <v>105</v>
      </c>
      <c r="G52">
        <v>1</v>
      </c>
      <c r="H52">
        <v>2</v>
      </c>
      <c r="I52" s="2">
        <f t="shared" si="0"/>
        <v>2.4542999999999999E-2</v>
      </c>
      <c r="J52">
        <f t="shared" ref="J52:J115" si="3">I52/(104*0.01)</f>
        <v>2.3599038461538459E-2</v>
      </c>
      <c r="K52">
        <f t="shared" si="2"/>
        <v>7.0877237479157031E-3</v>
      </c>
    </row>
    <row r="53" spans="1:11" x14ac:dyDescent="0.25">
      <c r="A53" s="1">
        <v>1963</v>
      </c>
      <c r="B53" s="1" t="s">
        <v>104</v>
      </c>
      <c r="C53" t="s">
        <v>9</v>
      </c>
      <c r="D53" s="1" t="s">
        <v>94</v>
      </c>
      <c r="E53">
        <v>29</v>
      </c>
      <c r="F53" s="1" t="s">
        <v>105</v>
      </c>
      <c r="G53">
        <v>1</v>
      </c>
      <c r="H53">
        <v>2</v>
      </c>
      <c r="I53" s="2">
        <f t="shared" si="0"/>
        <v>2.4542999999999999E-2</v>
      </c>
      <c r="J53">
        <f t="shared" si="3"/>
        <v>2.3599038461538459E-2</v>
      </c>
      <c r="K53">
        <f t="shared" si="2"/>
        <v>7.0877237479157031E-3</v>
      </c>
    </row>
    <row r="54" spans="1:11" x14ac:dyDescent="0.25">
      <c r="A54" s="1">
        <v>1963</v>
      </c>
      <c r="B54" s="1" t="s">
        <v>104</v>
      </c>
      <c r="C54" t="s">
        <v>9</v>
      </c>
      <c r="D54" s="1" t="s">
        <v>94</v>
      </c>
      <c r="E54">
        <v>29</v>
      </c>
      <c r="F54" s="1" t="s">
        <v>105</v>
      </c>
      <c r="G54">
        <v>2</v>
      </c>
      <c r="H54">
        <v>1</v>
      </c>
      <c r="I54" s="2">
        <f t="shared" si="0"/>
        <v>3.40875E-2</v>
      </c>
      <c r="J54">
        <f t="shared" si="3"/>
        <v>3.2776442307692305E-2</v>
      </c>
      <c r="K54">
        <f t="shared" si="2"/>
        <v>9.8440607609940316E-3</v>
      </c>
    </row>
    <row r="55" spans="1:11" x14ac:dyDescent="0.25">
      <c r="A55" s="1">
        <v>1963</v>
      </c>
      <c r="B55" s="1" t="s">
        <v>104</v>
      </c>
      <c r="C55" t="s">
        <v>9</v>
      </c>
      <c r="D55" s="1" t="s">
        <v>94</v>
      </c>
      <c r="E55">
        <v>29</v>
      </c>
      <c r="F55" s="1" t="s">
        <v>105</v>
      </c>
      <c r="G55">
        <v>4</v>
      </c>
      <c r="H55">
        <v>1</v>
      </c>
      <c r="I55" s="2">
        <f t="shared" si="0"/>
        <v>0.11044349999999999</v>
      </c>
      <c r="J55">
        <f t="shared" si="3"/>
        <v>0.10619567307692306</v>
      </c>
      <c r="K55">
        <f t="shared" si="2"/>
        <v>3.1894756865620662E-2</v>
      </c>
    </row>
    <row r="56" spans="1:11" x14ac:dyDescent="0.25">
      <c r="A56" s="1">
        <v>1963</v>
      </c>
      <c r="B56" s="1" t="s">
        <v>104</v>
      </c>
      <c r="C56" t="s">
        <v>9</v>
      </c>
      <c r="D56" s="1" t="s">
        <v>94</v>
      </c>
      <c r="E56">
        <v>32</v>
      </c>
      <c r="F56" s="1" t="s">
        <v>105</v>
      </c>
      <c r="G56">
        <v>1</v>
      </c>
      <c r="H56">
        <v>25</v>
      </c>
      <c r="I56" s="2">
        <f t="shared" si="0"/>
        <v>0.30678749999999999</v>
      </c>
      <c r="J56">
        <f t="shared" si="3"/>
        <v>0.29498798076923077</v>
      </c>
      <c r="K56">
        <f t="shared" si="2"/>
        <v>8.85965468489463E-2</v>
      </c>
    </row>
    <row r="57" spans="1:11" x14ac:dyDescent="0.25">
      <c r="A57" s="1">
        <v>1963</v>
      </c>
      <c r="B57" s="1" t="s">
        <v>104</v>
      </c>
      <c r="C57" t="s">
        <v>9</v>
      </c>
      <c r="D57" s="1" t="s">
        <v>94</v>
      </c>
      <c r="E57">
        <v>32</v>
      </c>
      <c r="F57" s="1" t="s">
        <v>105</v>
      </c>
      <c r="G57">
        <v>2</v>
      </c>
      <c r="H57">
        <v>9</v>
      </c>
      <c r="I57" s="2">
        <f t="shared" si="0"/>
        <v>0.30678749999999999</v>
      </c>
      <c r="J57">
        <f t="shared" si="3"/>
        <v>0.29498798076923077</v>
      </c>
      <c r="K57">
        <f t="shared" si="2"/>
        <v>8.85965468489463E-2</v>
      </c>
    </row>
    <row r="58" spans="1:11" x14ac:dyDescent="0.25">
      <c r="A58" s="1">
        <v>1963</v>
      </c>
      <c r="B58" s="1" t="s">
        <v>104</v>
      </c>
      <c r="C58" t="s">
        <v>9</v>
      </c>
      <c r="D58" s="1" t="s">
        <v>94</v>
      </c>
      <c r="E58">
        <v>32</v>
      </c>
      <c r="F58" s="1" t="s">
        <v>105</v>
      </c>
      <c r="G58">
        <v>3</v>
      </c>
      <c r="H58">
        <v>7</v>
      </c>
      <c r="I58" s="2">
        <f t="shared" si="0"/>
        <v>0.46768049999999994</v>
      </c>
      <c r="J58">
        <f t="shared" si="3"/>
        <v>0.44969278846153837</v>
      </c>
      <c r="K58">
        <f t="shared" si="2"/>
        <v>0.1350605136408381</v>
      </c>
    </row>
    <row r="59" spans="1:11" x14ac:dyDescent="0.25">
      <c r="A59" s="1">
        <v>1963</v>
      </c>
      <c r="B59" s="1" t="s">
        <v>104</v>
      </c>
      <c r="C59" t="s">
        <v>9</v>
      </c>
      <c r="D59" s="1" t="s">
        <v>94</v>
      </c>
      <c r="E59">
        <v>32</v>
      </c>
      <c r="F59" s="1" t="s">
        <v>105</v>
      </c>
      <c r="G59">
        <v>4</v>
      </c>
      <c r="H59">
        <v>1</v>
      </c>
      <c r="I59" s="2">
        <f t="shared" si="0"/>
        <v>0.11044349999999999</v>
      </c>
      <c r="J59">
        <f t="shared" si="3"/>
        <v>0.10619567307692306</v>
      </c>
      <c r="K59">
        <f t="shared" si="2"/>
        <v>3.1894756865620662E-2</v>
      </c>
    </row>
    <row r="60" spans="1:11" x14ac:dyDescent="0.25">
      <c r="A60" s="1">
        <v>1963</v>
      </c>
      <c r="B60" s="1" t="s">
        <v>104</v>
      </c>
      <c r="C60" t="s">
        <v>9</v>
      </c>
      <c r="D60" s="1" t="s">
        <v>94</v>
      </c>
      <c r="E60">
        <v>34</v>
      </c>
      <c r="F60" s="1" t="s">
        <v>105</v>
      </c>
      <c r="G60">
        <v>2</v>
      </c>
      <c r="H60">
        <v>2</v>
      </c>
      <c r="I60" s="2">
        <f t="shared" si="0"/>
        <v>6.8174999999999999E-2</v>
      </c>
      <c r="J60">
        <f t="shared" si="3"/>
        <v>6.555288461538461E-2</v>
      </c>
      <c r="K60">
        <f t="shared" si="2"/>
        <v>1.9688121521988063E-2</v>
      </c>
    </row>
    <row r="61" spans="1:11" x14ac:dyDescent="0.25">
      <c r="A61" s="1">
        <v>1963</v>
      </c>
      <c r="B61" s="1" t="s">
        <v>104</v>
      </c>
      <c r="C61" t="s">
        <v>9</v>
      </c>
      <c r="D61" s="1" t="s">
        <v>94</v>
      </c>
      <c r="E61">
        <v>34</v>
      </c>
      <c r="F61" s="1" t="s">
        <v>105</v>
      </c>
      <c r="G61">
        <v>3</v>
      </c>
      <c r="H61">
        <v>3</v>
      </c>
      <c r="I61" s="2">
        <f t="shared" si="0"/>
        <v>0.20043449999999999</v>
      </c>
      <c r="J61">
        <f t="shared" si="3"/>
        <v>0.19272548076923074</v>
      </c>
      <c r="K61">
        <f t="shared" si="2"/>
        <v>5.7883077274644909E-2</v>
      </c>
    </row>
    <row r="62" spans="1:11" x14ac:dyDescent="0.25">
      <c r="A62" s="1">
        <v>1963</v>
      </c>
      <c r="B62" s="1" t="s">
        <v>104</v>
      </c>
      <c r="C62" t="s">
        <v>9</v>
      </c>
      <c r="D62" s="1" t="s">
        <v>94</v>
      </c>
      <c r="E62">
        <v>34</v>
      </c>
      <c r="F62" s="1" t="s">
        <v>105</v>
      </c>
      <c r="G62">
        <v>4</v>
      </c>
      <c r="H62">
        <v>5</v>
      </c>
      <c r="I62" s="2">
        <f t="shared" si="0"/>
        <v>0.55221749999999992</v>
      </c>
      <c r="J62">
        <f t="shared" si="3"/>
        <v>0.53097836538461529</v>
      </c>
      <c r="K62">
        <f t="shared" si="2"/>
        <v>0.1594737843281033</v>
      </c>
    </row>
    <row r="63" spans="1:11" x14ac:dyDescent="0.25">
      <c r="A63" s="1">
        <v>1963</v>
      </c>
      <c r="B63" s="1" t="s">
        <v>104</v>
      </c>
      <c r="C63" t="s">
        <v>9</v>
      </c>
      <c r="D63" s="1" t="s">
        <v>94</v>
      </c>
      <c r="E63">
        <v>38</v>
      </c>
      <c r="F63" s="1" t="s">
        <v>105</v>
      </c>
      <c r="G63">
        <v>3</v>
      </c>
      <c r="H63">
        <v>2</v>
      </c>
      <c r="I63" s="2">
        <f t="shared" si="0"/>
        <v>0.13362299999999999</v>
      </c>
      <c r="J63">
        <f t="shared" si="3"/>
        <v>0.12848365384615384</v>
      </c>
      <c r="K63">
        <f t="shared" si="2"/>
        <v>3.8588718183096608E-2</v>
      </c>
    </row>
    <row r="64" spans="1:11" x14ac:dyDescent="0.25">
      <c r="A64" s="1">
        <v>1963</v>
      </c>
      <c r="B64" s="1" t="s">
        <v>104</v>
      </c>
      <c r="C64" t="s">
        <v>9</v>
      </c>
      <c r="D64" s="1" t="s">
        <v>94</v>
      </c>
      <c r="E64">
        <v>38</v>
      </c>
      <c r="F64" s="1" t="s">
        <v>105</v>
      </c>
      <c r="G64">
        <v>4</v>
      </c>
      <c r="H64">
        <v>2</v>
      </c>
      <c r="I64" s="2">
        <f t="shared" si="0"/>
        <v>0.22088699999999997</v>
      </c>
      <c r="J64">
        <f t="shared" si="3"/>
        <v>0.21239134615384611</v>
      </c>
      <c r="K64">
        <f t="shared" si="2"/>
        <v>6.3789513731241324E-2</v>
      </c>
    </row>
    <row r="65" spans="1:11" x14ac:dyDescent="0.25">
      <c r="A65" s="1">
        <v>1963</v>
      </c>
      <c r="B65" s="1" t="s">
        <v>104</v>
      </c>
      <c r="C65" t="s">
        <v>9</v>
      </c>
      <c r="D65" s="1" t="s">
        <v>94</v>
      </c>
      <c r="E65">
        <v>40</v>
      </c>
      <c r="F65" s="1" t="s">
        <v>105</v>
      </c>
      <c r="G65">
        <v>3</v>
      </c>
      <c r="H65">
        <v>3</v>
      </c>
      <c r="I65" s="2">
        <f t="shared" si="0"/>
        <v>0.20043449999999999</v>
      </c>
      <c r="J65">
        <f t="shared" si="3"/>
        <v>0.19272548076923074</v>
      </c>
      <c r="K65">
        <f t="shared" si="2"/>
        <v>5.7883077274644909E-2</v>
      </c>
    </row>
    <row r="66" spans="1:11" x14ac:dyDescent="0.25">
      <c r="A66" s="1">
        <v>1963</v>
      </c>
      <c r="B66" s="1" t="s">
        <v>104</v>
      </c>
      <c r="C66" t="s">
        <v>9</v>
      </c>
      <c r="D66" s="1" t="s">
        <v>94</v>
      </c>
      <c r="E66">
        <v>40</v>
      </c>
      <c r="F66" s="1" t="s">
        <v>105</v>
      </c>
      <c r="G66">
        <v>4</v>
      </c>
      <c r="H66">
        <v>2</v>
      </c>
      <c r="I66" s="2">
        <f t="shared" si="0"/>
        <v>0.22088699999999997</v>
      </c>
      <c r="J66">
        <f t="shared" si="3"/>
        <v>0.21239134615384611</v>
      </c>
      <c r="K66">
        <f t="shared" si="2"/>
        <v>6.3789513731241324E-2</v>
      </c>
    </row>
    <row r="67" spans="1:11" x14ac:dyDescent="0.25">
      <c r="A67" s="1">
        <v>1963</v>
      </c>
      <c r="B67" s="1" t="s">
        <v>104</v>
      </c>
      <c r="C67" t="s">
        <v>9</v>
      </c>
      <c r="D67" s="1" t="s">
        <v>94</v>
      </c>
      <c r="E67">
        <v>53</v>
      </c>
      <c r="F67" s="1" t="s">
        <v>105</v>
      </c>
      <c r="G67">
        <v>4</v>
      </c>
      <c r="H67">
        <v>2</v>
      </c>
      <c r="I67" s="2">
        <f t="shared" ref="I67:I130" si="4">0.005454*(G67+0.5)^2*H67</f>
        <v>0.22088699999999997</v>
      </c>
      <c r="J67">
        <f t="shared" si="3"/>
        <v>0.21239134615384611</v>
      </c>
      <c r="K67">
        <f t="shared" ref="K67:K130" si="5">J67*(11.5/38.29)</f>
        <v>6.3789513731241324E-2</v>
      </c>
    </row>
    <row r="68" spans="1:11" x14ac:dyDescent="0.25">
      <c r="A68" s="1">
        <v>1963</v>
      </c>
      <c r="B68" s="1" t="s">
        <v>104</v>
      </c>
      <c r="C68" t="s">
        <v>9</v>
      </c>
      <c r="D68" s="1" t="s">
        <v>94</v>
      </c>
      <c r="E68">
        <v>56</v>
      </c>
      <c r="F68" s="1" t="s">
        <v>105</v>
      </c>
      <c r="G68">
        <v>4</v>
      </c>
      <c r="H68">
        <v>1</v>
      </c>
      <c r="I68" s="2">
        <f t="shared" si="4"/>
        <v>0.11044349999999999</v>
      </c>
      <c r="J68">
        <f t="shared" si="3"/>
        <v>0.10619567307692306</v>
      </c>
      <c r="K68">
        <f t="shared" si="5"/>
        <v>3.1894756865620662E-2</v>
      </c>
    </row>
    <row r="69" spans="1:11" x14ac:dyDescent="0.25">
      <c r="A69" s="1">
        <v>1963</v>
      </c>
      <c r="B69" s="1" t="s">
        <v>104</v>
      </c>
      <c r="C69" t="s">
        <v>9</v>
      </c>
      <c r="D69" s="1" t="s">
        <v>94</v>
      </c>
      <c r="E69">
        <v>58</v>
      </c>
      <c r="F69" s="1" t="s">
        <v>105</v>
      </c>
      <c r="G69">
        <v>1</v>
      </c>
      <c r="H69">
        <v>2</v>
      </c>
      <c r="I69" s="2">
        <f t="shared" si="4"/>
        <v>2.4542999999999999E-2</v>
      </c>
      <c r="J69">
        <f t="shared" si="3"/>
        <v>2.3599038461538459E-2</v>
      </c>
      <c r="K69">
        <f t="shared" si="5"/>
        <v>7.0877237479157031E-3</v>
      </c>
    </row>
    <row r="70" spans="1:11" x14ac:dyDescent="0.25">
      <c r="A70" s="1">
        <v>1963</v>
      </c>
      <c r="B70" s="1" t="s">
        <v>104</v>
      </c>
      <c r="C70" t="s">
        <v>9</v>
      </c>
      <c r="D70" s="1" t="s">
        <v>94</v>
      </c>
      <c r="E70">
        <v>58</v>
      </c>
      <c r="F70" s="1" t="s">
        <v>105</v>
      </c>
      <c r="G70">
        <v>2</v>
      </c>
      <c r="H70">
        <v>1</v>
      </c>
      <c r="I70" s="2">
        <f t="shared" si="4"/>
        <v>3.40875E-2</v>
      </c>
      <c r="J70">
        <f t="shared" si="3"/>
        <v>3.2776442307692305E-2</v>
      </c>
      <c r="K70">
        <f t="shared" si="5"/>
        <v>9.8440607609940316E-3</v>
      </c>
    </row>
    <row r="71" spans="1:11" x14ac:dyDescent="0.25">
      <c r="A71" s="1">
        <v>1963</v>
      </c>
      <c r="B71" s="1" t="s">
        <v>104</v>
      </c>
      <c r="C71" t="s">
        <v>9</v>
      </c>
      <c r="D71" s="1" t="s">
        <v>94</v>
      </c>
      <c r="E71">
        <v>58</v>
      </c>
      <c r="F71" s="1" t="s">
        <v>105</v>
      </c>
      <c r="G71">
        <v>4</v>
      </c>
      <c r="H71">
        <v>2</v>
      </c>
      <c r="I71" s="2">
        <f t="shared" si="4"/>
        <v>0.22088699999999997</v>
      </c>
      <c r="J71">
        <f t="shared" si="3"/>
        <v>0.21239134615384611</v>
      </c>
      <c r="K71">
        <f t="shared" si="5"/>
        <v>6.3789513731241324E-2</v>
      </c>
    </row>
    <row r="72" spans="1:11" x14ac:dyDescent="0.25">
      <c r="A72" s="1">
        <v>1963</v>
      </c>
      <c r="B72" s="1" t="s">
        <v>104</v>
      </c>
      <c r="C72" t="s">
        <v>9</v>
      </c>
      <c r="D72" s="1" t="s">
        <v>94</v>
      </c>
      <c r="E72">
        <v>71</v>
      </c>
      <c r="F72" s="1" t="s">
        <v>105</v>
      </c>
      <c r="G72">
        <v>1</v>
      </c>
      <c r="H72">
        <v>1</v>
      </c>
      <c r="I72" s="2">
        <f t="shared" si="4"/>
        <v>1.2271499999999999E-2</v>
      </c>
      <c r="J72">
        <f t="shared" si="3"/>
        <v>1.179951923076923E-2</v>
      </c>
      <c r="K72">
        <f t="shared" si="5"/>
        <v>3.5438618739578515E-3</v>
      </c>
    </row>
    <row r="73" spans="1:11" x14ac:dyDescent="0.25">
      <c r="A73" s="1">
        <v>1963</v>
      </c>
      <c r="B73" s="1" t="s">
        <v>104</v>
      </c>
      <c r="C73" t="s">
        <v>9</v>
      </c>
      <c r="D73" s="1" t="s">
        <v>94</v>
      </c>
      <c r="E73">
        <v>76</v>
      </c>
      <c r="F73" s="1" t="s">
        <v>105</v>
      </c>
      <c r="G73">
        <v>1</v>
      </c>
      <c r="H73">
        <v>5</v>
      </c>
      <c r="I73" s="2">
        <f t="shared" si="4"/>
        <v>6.1357499999999995E-2</v>
      </c>
      <c r="J73">
        <f t="shared" si="3"/>
        <v>5.899759615384615E-2</v>
      </c>
      <c r="K73">
        <f t="shared" si="5"/>
        <v>1.7719309369789257E-2</v>
      </c>
    </row>
    <row r="74" spans="1:11" x14ac:dyDescent="0.25">
      <c r="A74" s="1">
        <v>1963</v>
      </c>
      <c r="B74" s="1" t="s">
        <v>104</v>
      </c>
      <c r="C74" t="s">
        <v>9</v>
      </c>
      <c r="D74" s="1" t="s">
        <v>94</v>
      </c>
      <c r="E74">
        <v>76</v>
      </c>
      <c r="F74" s="1" t="s">
        <v>105</v>
      </c>
      <c r="G74">
        <v>2</v>
      </c>
      <c r="H74">
        <v>1</v>
      </c>
      <c r="I74" s="2">
        <f t="shared" si="4"/>
        <v>3.40875E-2</v>
      </c>
      <c r="J74">
        <f t="shared" si="3"/>
        <v>3.2776442307692305E-2</v>
      </c>
      <c r="K74">
        <f t="shared" si="5"/>
        <v>9.8440607609940316E-3</v>
      </c>
    </row>
    <row r="75" spans="1:11" x14ac:dyDescent="0.25">
      <c r="A75" s="1">
        <v>1963</v>
      </c>
      <c r="B75" s="1" t="s">
        <v>104</v>
      </c>
      <c r="C75" t="s">
        <v>9</v>
      </c>
      <c r="D75" s="1" t="s">
        <v>94</v>
      </c>
      <c r="E75">
        <v>79</v>
      </c>
      <c r="F75" s="1" t="s">
        <v>105</v>
      </c>
      <c r="G75">
        <v>1</v>
      </c>
      <c r="H75">
        <v>11</v>
      </c>
      <c r="I75" s="2">
        <f t="shared" si="4"/>
        <v>0.13498649999999998</v>
      </c>
      <c r="J75">
        <f t="shared" si="3"/>
        <v>0.1297947115384615</v>
      </c>
      <c r="K75">
        <f t="shared" si="5"/>
        <v>3.8982480613536361E-2</v>
      </c>
    </row>
    <row r="76" spans="1:11" x14ac:dyDescent="0.25">
      <c r="A76" s="1">
        <v>1963</v>
      </c>
      <c r="B76" s="1" t="s">
        <v>104</v>
      </c>
      <c r="C76" t="s">
        <v>9</v>
      </c>
      <c r="D76" s="1" t="s">
        <v>94</v>
      </c>
      <c r="E76">
        <v>79</v>
      </c>
      <c r="F76" s="1" t="s">
        <v>105</v>
      </c>
      <c r="G76">
        <v>2</v>
      </c>
      <c r="H76">
        <v>4</v>
      </c>
      <c r="I76" s="2">
        <f t="shared" si="4"/>
        <v>0.13635</v>
      </c>
      <c r="J76">
        <f t="shared" si="3"/>
        <v>0.13110576923076922</v>
      </c>
      <c r="K76">
        <f t="shared" si="5"/>
        <v>3.9376243043976127E-2</v>
      </c>
    </row>
    <row r="77" spans="1:11" x14ac:dyDescent="0.25">
      <c r="A77" s="1">
        <v>1963</v>
      </c>
      <c r="B77" s="1" t="s">
        <v>104</v>
      </c>
      <c r="C77" t="s">
        <v>9</v>
      </c>
      <c r="D77" s="1" t="s">
        <v>94</v>
      </c>
      <c r="E77">
        <v>79</v>
      </c>
      <c r="F77" s="1" t="s">
        <v>105</v>
      </c>
      <c r="G77">
        <v>3</v>
      </c>
      <c r="H77">
        <v>3</v>
      </c>
      <c r="I77" s="2">
        <f t="shared" si="4"/>
        <v>0.20043449999999999</v>
      </c>
      <c r="J77">
        <f t="shared" si="3"/>
        <v>0.19272548076923074</v>
      </c>
      <c r="K77">
        <f t="shared" si="5"/>
        <v>5.7883077274644909E-2</v>
      </c>
    </row>
    <row r="78" spans="1:11" x14ac:dyDescent="0.25">
      <c r="A78" s="1">
        <v>1963</v>
      </c>
      <c r="B78" s="1" t="s">
        <v>104</v>
      </c>
      <c r="C78" t="s">
        <v>9</v>
      </c>
      <c r="D78" s="1" t="s">
        <v>94</v>
      </c>
      <c r="E78">
        <v>79</v>
      </c>
      <c r="F78" s="1" t="s">
        <v>105</v>
      </c>
      <c r="G78">
        <v>4</v>
      </c>
      <c r="H78">
        <v>5</v>
      </c>
      <c r="I78" s="2">
        <f t="shared" si="4"/>
        <v>0.55221749999999992</v>
      </c>
      <c r="J78">
        <f t="shared" si="3"/>
        <v>0.53097836538461529</v>
      </c>
      <c r="K78">
        <f t="shared" si="5"/>
        <v>0.1594737843281033</v>
      </c>
    </row>
    <row r="79" spans="1:11" x14ac:dyDescent="0.25">
      <c r="A79" s="1">
        <v>1963</v>
      </c>
      <c r="B79" s="1" t="s">
        <v>104</v>
      </c>
      <c r="C79" t="s">
        <v>9</v>
      </c>
      <c r="D79" s="1" t="s">
        <v>94</v>
      </c>
      <c r="E79">
        <v>85</v>
      </c>
      <c r="F79" s="1" t="s">
        <v>105</v>
      </c>
      <c r="G79">
        <v>1</v>
      </c>
      <c r="H79">
        <v>8</v>
      </c>
      <c r="I79" s="2">
        <f t="shared" si="4"/>
        <v>9.8171999999999995E-2</v>
      </c>
      <c r="J79">
        <f t="shared" si="3"/>
        <v>9.4396153846153838E-2</v>
      </c>
      <c r="K79">
        <f t="shared" si="5"/>
        <v>2.8350894991662812E-2</v>
      </c>
    </row>
    <row r="80" spans="1:11" x14ac:dyDescent="0.25">
      <c r="A80" s="1">
        <v>1963</v>
      </c>
      <c r="B80" s="1" t="s">
        <v>104</v>
      </c>
      <c r="C80" t="s">
        <v>9</v>
      </c>
      <c r="D80" s="1" t="s">
        <v>94</v>
      </c>
      <c r="E80">
        <v>85</v>
      </c>
      <c r="F80" s="1" t="s">
        <v>105</v>
      </c>
      <c r="G80">
        <v>2</v>
      </c>
      <c r="H80">
        <v>2</v>
      </c>
      <c r="I80" s="2">
        <f t="shared" si="4"/>
        <v>6.8174999999999999E-2</v>
      </c>
      <c r="J80">
        <f t="shared" si="3"/>
        <v>6.555288461538461E-2</v>
      </c>
      <c r="K80">
        <f t="shared" si="5"/>
        <v>1.9688121521988063E-2</v>
      </c>
    </row>
    <row r="81" spans="1:11" x14ac:dyDescent="0.25">
      <c r="A81" s="1">
        <v>1963</v>
      </c>
      <c r="B81" s="1" t="s">
        <v>104</v>
      </c>
      <c r="C81" t="s">
        <v>9</v>
      </c>
      <c r="D81" s="1" t="s">
        <v>94</v>
      </c>
      <c r="E81">
        <v>85</v>
      </c>
      <c r="F81" s="1" t="s">
        <v>105</v>
      </c>
      <c r="G81">
        <v>3</v>
      </c>
      <c r="H81">
        <v>2</v>
      </c>
      <c r="I81" s="2">
        <f t="shared" si="4"/>
        <v>0.13362299999999999</v>
      </c>
      <c r="J81">
        <f t="shared" si="3"/>
        <v>0.12848365384615384</v>
      </c>
      <c r="K81">
        <f t="shared" si="5"/>
        <v>3.8588718183096608E-2</v>
      </c>
    </row>
    <row r="82" spans="1:11" x14ac:dyDescent="0.25">
      <c r="A82" s="1">
        <v>1963</v>
      </c>
      <c r="B82" s="1" t="s">
        <v>104</v>
      </c>
      <c r="C82" t="s">
        <v>9</v>
      </c>
      <c r="D82" s="1" t="s">
        <v>95</v>
      </c>
      <c r="E82">
        <v>29</v>
      </c>
      <c r="F82" s="1" t="s">
        <v>105</v>
      </c>
      <c r="G82">
        <v>2</v>
      </c>
      <c r="H82">
        <v>1</v>
      </c>
      <c r="I82" s="2">
        <f t="shared" si="4"/>
        <v>3.40875E-2</v>
      </c>
      <c r="J82">
        <f t="shared" si="3"/>
        <v>3.2776442307692305E-2</v>
      </c>
      <c r="K82">
        <f t="shared" si="5"/>
        <v>9.8440607609940316E-3</v>
      </c>
    </row>
    <row r="83" spans="1:11" x14ac:dyDescent="0.25">
      <c r="A83" s="1">
        <v>1963</v>
      </c>
      <c r="B83" s="1" t="s">
        <v>104</v>
      </c>
      <c r="C83" t="s">
        <v>9</v>
      </c>
      <c r="D83" s="1" t="s">
        <v>95</v>
      </c>
      <c r="E83">
        <v>29</v>
      </c>
      <c r="F83" s="1" t="s">
        <v>105</v>
      </c>
      <c r="G83">
        <v>3</v>
      </c>
      <c r="H83">
        <v>1</v>
      </c>
      <c r="I83" s="2">
        <f t="shared" si="4"/>
        <v>6.6811499999999996E-2</v>
      </c>
      <c r="J83">
        <f t="shared" si="3"/>
        <v>6.4241826923076922E-2</v>
      </c>
      <c r="K83">
        <f t="shared" si="5"/>
        <v>1.9294359091548304E-2</v>
      </c>
    </row>
    <row r="84" spans="1:11" x14ac:dyDescent="0.25">
      <c r="A84" s="1">
        <v>1963</v>
      </c>
      <c r="B84" s="1" t="s">
        <v>104</v>
      </c>
      <c r="C84" t="s">
        <v>9</v>
      </c>
      <c r="D84" s="1" t="s">
        <v>95</v>
      </c>
      <c r="E84">
        <v>32</v>
      </c>
      <c r="F84" s="1" t="s">
        <v>105</v>
      </c>
      <c r="G84">
        <v>1</v>
      </c>
      <c r="H84">
        <v>29</v>
      </c>
      <c r="I84" s="2">
        <f t="shared" si="4"/>
        <v>0.35587350000000001</v>
      </c>
      <c r="J84">
        <f t="shared" si="3"/>
        <v>0.3421860576923077</v>
      </c>
      <c r="K84">
        <f t="shared" si="5"/>
        <v>0.10277199434477771</v>
      </c>
    </row>
    <row r="85" spans="1:11" x14ac:dyDescent="0.25">
      <c r="A85" s="1">
        <v>1963</v>
      </c>
      <c r="B85" s="1" t="s">
        <v>104</v>
      </c>
      <c r="C85" t="s">
        <v>9</v>
      </c>
      <c r="D85" s="1" t="s">
        <v>95</v>
      </c>
      <c r="E85">
        <v>32</v>
      </c>
      <c r="F85" s="1" t="s">
        <v>105</v>
      </c>
      <c r="G85">
        <v>2</v>
      </c>
      <c r="H85">
        <v>10</v>
      </c>
      <c r="I85" s="2">
        <f t="shared" si="4"/>
        <v>0.34087499999999998</v>
      </c>
      <c r="J85">
        <f t="shared" si="3"/>
        <v>0.32776442307692305</v>
      </c>
      <c r="K85">
        <f t="shared" si="5"/>
        <v>9.844060760994032E-2</v>
      </c>
    </row>
    <row r="86" spans="1:11" x14ac:dyDescent="0.25">
      <c r="A86" s="1">
        <v>1963</v>
      </c>
      <c r="B86" s="1" t="s">
        <v>104</v>
      </c>
      <c r="C86" t="s">
        <v>9</v>
      </c>
      <c r="D86" s="1" t="s">
        <v>95</v>
      </c>
      <c r="E86">
        <v>32</v>
      </c>
      <c r="F86" s="1" t="s">
        <v>105</v>
      </c>
      <c r="G86">
        <v>3</v>
      </c>
      <c r="H86">
        <v>1</v>
      </c>
      <c r="I86" s="2">
        <f t="shared" si="4"/>
        <v>6.6811499999999996E-2</v>
      </c>
      <c r="J86">
        <f t="shared" si="3"/>
        <v>6.4241826923076922E-2</v>
      </c>
      <c r="K86">
        <f t="shared" si="5"/>
        <v>1.9294359091548304E-2</v>
      </c>
    </row>
    <row r="87" spans="1:11" x14ac:dyDescent="0.25">
      <c r="A87" s="1">
        <v>1963</v>
      </c>
      <c r="B87" s="1" t="s">
        <v>104</v>
      </c>
      <c r="C87" t="s">
        <v>9</v>
      </c>
      <c r="D87" s="1" t="s">
        <v>95</v>
      </c>
      <c r="E87">
        <v>34</v>
      </c>
      <c r="F87" s="1" t="s">
        <v>105</v>
      </c>
      <c r="G87">
        <v>3</v>
      </c>
      <c r="H87">
        <v>1</v>
      </c>
      <c r="I87" s="2">
        <f t="shared" si="4"/>
        <v>6.6811499999999996E-2</v>
      </c>
      <c r="J87">
        <f t="shared" si="3"/>
        <v>6.4241826923076922E-2</v>
      </c>
      <c r="K87">
        <f t="shared" si="5"/>
        <v>1.9294359091548304E-2</v>
      </c>
    </row>
    <row r="88" spans="1:11" x14ac:dyDescent="0.25">
      <c r="A88" s="1">
        <v>1963</v>
      </c>
      <c r="B88" s="1" t="s">
        <v>104</v>
      </c>
      <c r="C88" t="s">
        <v>9</v>
      </c>
      <c r="D88" s="1" t="s">
        <v>95</v>
      </c>
      <c r="E88">
        <v>34</v>
      </c>
      <c r="F88" s="1" t="s">
        <v>105</v>
      </c>
      <c r="G88">
        <v>4</v>
      </c>
      <c r="H88">
        <v>4</v>
      </c>
      <c r="I88" s="2">
        <f t="shared" si="4"/>
        <v>0.44177399999999994</v>
      </c>
      <c r="J88">
        <f t="shared" si="3"/>
        <v>0.42478269230769222</v>
      </c>
      <c r="K88">
        <f t="shared" si="5"/>
        <v>0.12757902746248265</v>
      </c>
    </row>
    <row r="89" spans="1:11" x14ac:dyDescent="0.25">
      <c r="A89" s="1">
        <v>1963</v>
      </c>
      <c r="B89" s="1" t="s">
        <v>104</v>
      </c>
      <c r="C89" t="s">
        <v>9</v>
      </c>
      <c r="D89" s="1" t="s">
        <v>95</v>
      </c>
      <c r="E89">
        <v>38</v>
      </c>
      <c r="F89" s="1" t="s">
        <v>105</v>
      </c>
      <c r="G89">
        <v>3</v>
      </c>
      <c r="H89">
        <v>2</v>
      </c>
      <c r="I89" s="2">
        <f t="shared" si="4"/>
        <v>0.13362299999999999</v>
      </c>
      <c r="J89">
        <f t="shared" si="3"/>
        <v>0.12848365384615384</v>
      </c>
      <c r="K89">
        <f t="shared" si="5"/>
        <v>3.8588718183096608E-2</v>
      </c>
    </row>
    <row r="90" spans="1:11" x14ac:dyDescent="0.25">
      <c r="A90" s="1">
        <v>1963</v>
      </c>
      <c r="B90" s="1" t="s">
        <v>104</v>
      </c>
      <c r="C90" t="s">
        <v>9</v>
      </c>
      <c r="D90" s="1" t="s">
        <v>95</v>
      </c>
      <c r="E90">
        <v>38</v>
      </c>
      <c r="F90" s="1" t="s">
        <v>105</v>
      </c>
      <c r="G90">
        <v>4</v>
      </c>
      <c r="H90">
        <v>2</v>
      </c>
      <c r="I90" s="2">
        <f t="shared" si="4"/>
        <v>0.22088699999999997</v>
      </c>
      <c r="J90">
        <f t="shared" si="3"/>
        <v>0.21239134615384611</v>
      </c>
      <c r="K90">
        <f t="shared" si="5"/>
        <v>6.3789513731241324E-2</v>
      </c>
    </row>
    <row r="91" spans="1:11" x14ac:dyDescent="0.25">
      <c r="A91" s="1">
        <v>1963</v>
      </c>
      <c r="B91" s="1" t="s">
        <v>104</v>
      </c>
      <c r="C91" t="s">
        <v>9</v>
      </c>
      <c r="D91" s="1" t="s">
        <v>95</v>
      </c>
      <c r="E91">
        <v>58</v>
      </c>
      <c r="F91" s="1" t="s">
        <v>105</v>
      </c>
      <c r="G91">
        <v>2</v>
      </c>
      <c r="H91">
        <v>1</v>
      </c>
      <c r="I91" s="2">
        <f t="shared" si="4"/>
        <v>3.40875E-2</v>
      </c>
      <c r="J91">
        <f t="shared" si="3"/>
        <v>3.2776442307692305E-2</v>
      </c>
      <c r="K91">
        <f t="shared" si="5"/>
        <v>9.8440607609940316E-3</v>
      </c>
    </row>
    <row r="92" spans="1:11" x14ac:dyDescent="0.25">
      <c r="A92" s="1">
        <v>1963</v>
      </c>
      <c r="B92" s="1" t="s">
        <v>104</v>
      </c>
      <c r="C92" t="s">
        <v>9</v>
      </c>
      <c r="D92" s="1" t="s">
        <v>95</v>
      </c>
      <c r="E92">
        <v>58</v>
      </c>
      <c r="F92" s="1" t="s">
        <v>105</v>
      </c>
      <c r="G92">
        <v>4</v>
      </c>
      <c r="H92">
        <v>1</v>
      </c>
      <c r="I92" s="2">
        <f t="shared" si="4"/>
        <v>0.11044349999999999</v>
      </c>
      <c r="J92">
        <f t="shared" si="3"/>
        <v>0.10619567307692306</v>
      </c>
      <c r="K92">
        <f t="shared" si="5"/>
        <v>3.1894756865620662E-2</v>
      </c>
    </row>
    <row r="93" spans="1:11" x14ac:dyDescent="0.25">
      <c r="A93" s="1">
        <v>1963</v>
      </c>
      <c r="B93" s="1" t="s">
        <v>104</v>
      </c>
      <c r="C93" t="s">
        <v>9</v>
      </c>
      <c r="D93" s="1" t="s">
        <v>95</v>
      </c>
      <c r="E93">
        <v>71</v>
      </c>
      <c r="F93" s="1" t="s">
        <v>105</v>
      </c>
      <c r="G93">
        <v>1</v>
      </c>
      <c r="H93">
        <v>1</v>
      </c>
      <c r="I93" s="2">
        <f t="shared" si="4"/>
        <v>1.2271499999999999E-2</v>
      </c>
      <c r="J93">
        <f t="shared" si="3"/>
        <v>1.179951923076923E-2</v>
      </c>
      <c r="K93">
        <f t="shared" si="5"/>
        <v>3.5438618739578515E-3</v>
      </c>
    </row>
    <row r="94" spans="1:11" x14ac:dyDescent="0.25">
      <c r="A94" s="1">
        <v>1963</v>
      </c>
      <c r="B94" s="1" t="s">
        <v>104</v>
      </c>
      <c r="C94" t="s">
        <v>9</v>
      </c>
      <c r="D94" s="1" t="s">
        <v>95</v>
      </c>
      <c r="E94">
        <v>76</v>
      </c>
      <c r="F94" s="1" t="s">
        <v>105</v>
      </c>
      <c r="G94">
        <v>1</v>
      </c>
      <c r="H94">
        <v>2</v>
      </c>
      <c r="I94" s="2">
        <f t="shared" si="4"/>
        <v>2.4542999999999999E-2</v>
      </c>
      <c r="J94">
        <f t="shared" si="3"/>
        <v>2.3599038461538459E-2</v>
      </c>
      <c r="K94">
        <f t="shared" si="5"/>
        <v>7.0877237479157031E-3</v>
      </c>
    </row>
    <row r="95" spans="1:11" x14ac:dyDescent="0.25">
      <c r="A95" s="1">
        <v>1963</v>
      </c>
      <c r="B95" s="1" t="s">
        <v>104</v>
      </c>
      <c r="C95" t="s">
        <v>9</v>
      </c>
      <c r="D95" s="1" t="s">
        <v>95</v>
      </c>
      <c r="E95">
        <v>76</v>
      </c>
      <c r="F95" s="1" t="s">
        <v>105</v>
      </c>
      <c r="G95">
        <v>2</v>
      </c>
      <c r="H95">
        <v>1</v>
      </c>
      <c r="I95" s="2">
        <f t="shared" si="4"/>
        <v>3.40875E-2</v>
      </c>
      <c r="J95">
        <f t="shared" si="3"/>
        <v>3.2776442307692305E-2</v>
      </c>
      <c r="K95">
        <f t="shared" si="5"/>
        <v>9.8440607609940316E-3</v>
      </c>
    </row>
    <row r="96" spans="1:11" x14ac:dyDescent="0.25">
      <c r="A96" s="1">
        <v>1963</v>
      </c>
      <c r="B96" s="1" t="s">
        <v>104</v>
      </c>
      <c r="C96" t="s">
        <v>9</v>
      </c>
      <c r="D96" s="1" t="s">
        <v>95</v>
      </c>
      <c r="E96">
        <v>79</v>
      </c>
      <c r="F96" s="1" t="s">
        <v>105</v>
      </c>
      <c r="G96">
        <v>1</v>
      </c>
      <c r="H96">
        <v>13</v>
      </c>
      <c r="I96" s="2">
        <f t="shared" si="4"/>
        <v>0.15952949999999999</v>
      </c>
      <c r="J96">
        <f t="shared" si="3"/>
        <v>0.15339375</v>
      </c>
      <c r="K96">
        <f t="shared" si="5"/>
        <v>4.6070204361452073E-2</v>
      </c>
    </row>
    <row r="97" spans="1:11" x14ac:dyDescent="0.25">
      <c r="A97" s="1">
        <v>1963</v>
      </c>
      <c r="B97" s="1" t="s">
        <v>104</v>
      </c>
      <c r="C97" t="s">
        <v>9</v>
      </c>
      <c r="D97" s="1" t="s">
        <v>95</v>
      </c>
      <c r="E97">
        <v>79</v>
      </c>
      <c r="F97" s="1" t="s">
        <v>105</v>
      </c>
      <c r="G97">
        <v>2</v>
      </c>
      <c r="H97">
        <v>9</v>
      </c>
      <c r="I97" s="2">
        <f t="shared" si="4"/>
        <v>0.30678749999999999</v>
      </c>
      <c r="J97">
        <f t="shared" si="3"/>
        <v>0.29498798076923077</v>
      </c>
      <c r="K97">
        <f t="shared" si="5"/>
        <v>8.85965468489463E-2</v>
      </c>
    </row>
    <row r="98" spans="1:11" x14ac:dyDescent="0.25">
      <c r="A98" s="1">
        <v>1963</v>
      </c>
      <c r="B98" s="1" t="s">
        <v>104</v>
      </c>
      <c r="C98" t="s">
        <v>9</v>
      </c>
      <c r="D98" s="1" t="s">
        <v>95</v>
      </c>
      <c r="E98">
        <v>79</v>
      </c>
      <c r="F98" s="1" t="s">
        <v>105</v>
      </c>
      <c r="G98">
        <v>3</v>
      </c>
      <c r="H98">
        <v>6</v>
      </c>
      <c r="I98" s="2">
        <f t="shared" si="4"/>
        <v>0.40086899999999998</v>
      </c>
      <c r="J98">
        <f t="shared" si="3"/>
        <v>0.38545096153846148</v>
      </c>
      <c r="K98">
        <f t="shared" si="5"/>
        <v>0.11576615454928982</v>
      </c>
    </row>
    <row r="99" spans="1:11" x14ac:dyDescent="0.25">
      <c r="A99" s="1">
        <v>1963</v>
      </c>
      <c r="B99" s="1" t="s">
        <v>104</v>
      </c>
      <c r="C99" t="s">
        <v>9</v>
      </c>
      <c r="D99" s="1" t="s">
        <v>95</v>
      </c>
      <c r="E99">
        <v>79</v>
      </c>
      <c r="F99" s="1" t="s">
        <v>105</v>
      </c>
      <c r="G99">
        <v>4</v>
      </c>
      <c r="H99">
        <v>5</v>
      </c>
      <c r="I99" s="2">
        <f t="shared" si="4"/>
        <v>0.55221749999999992</v>
      </c>
      <c r="J99">
        <f t="shared" si="3"/>
        <v>0.53097836538461529</v>
      </c>
      <c r="K99">
        <f t="shared" si="5"/>
        <v>0.1594737843281033</v>
      </c>
    </row>
    <row r="100" spans="1:11" x14ac:dyDescent="0.25">
      <c r="A100" s="1">
        <v>1963</v>
      </c>
      <c r="B100" s="1" t="s">
        <v>104</v>
      </c>
      <c r="C100" t="s">
        <v>9</v>
      </c>
      <c r="D100" s="1" t="s">
        <v>95</v>
      </c>
      <c r="E100">
        <v>85</v>
      </c>
      <c r="F100" s="1" t="s">
        <v>105</v>
      </c>
      <c r="G100">
        <v>1</v>
      </c>
      <c r="H100">
        <v>5</v>
      </c>
      <c r="I100" s="2">
        <f t="shared" si="4"/>
        <v>6.1357499999999995E-2</v>
      </c>
      <c r="J100">
        <f t="shared" si="3"/>
        <v>5.899759615384615E-2</v>
      </c>
      <c r="K100">
        <f t="shared" si="5"/>
        <v>1.7719309369789257E-2</v>
      </c>
    </row>
    <row r="101" spans="1:11" x14ac:dyDescent="0.25">
      <c r="A101" s="1">
        <v>1963</v>
      </c>
      <c r="B101" s="1" t="s">
        <v>104</v>
      </c>
      <c r="C101" t="s">
        <v>9</v>
      </c>
      <c r="D101" s="1" t="s">
        <v>95</v>
      </c>
      <c r="E101">
        <v>85</v>
      </c>
      <c r="F101" s="1" t="s">
        <v>105</v>
      </c>
      <c r="G101">
        <v>2</v>
      </c>
      <c r="H101">
        <v>3</v>
      </c>
      <c r="I101" s="2">
        <f t="shared" si="4"/>
        <v>0.10226250000000001</v>
      </c>
      <c r="J101">
        <f t="shared" si="3"/>
        <v>9.8329326923076929E-2</v>
      </c>
      <c r="K101">
        <f t="shared" si="5"/>
        <v>2.95321822829821E-2</v>
      </c>
    </row>
    <row r="102" spans="1:11" x14ac:dyDescent="0.25">
      <c r="A102" s="1">
        <v>1963</v>
      </c>
      <c r="B102" s="1" t="s">
        <v>104</v>
      </c>
      <c r="C102" t="s">
        <v>9</v>
      </c>
      <c r="D102" s="1" t="s">
        <v>97</v>
      </c>
      <c r="E102">
        <v>11</v>
      </c>
      <c r="F102" s="1" t="s">
        <v>105</v>
      </c>
      <c r="G102">
        <v>1</v>
      </c>
      <c r="H102">
        <v>1</v>
      </c>
      <c r="I102" s="2">
        <f t="shared" si="4"/>
        <v>1.2271499999999999E-2</v>
      </c>
      <c r="J102">
        <f t="shared" si="3"/>
        <v>1.179951923076923E-2</v>
      </c>
      <c r="K102">
        <f t="shared" si="5"/>
        <v>3.5438618739578515E-3</v>
      </c>
    </row>
    <row r="103" spans="1:11" x14ac:dyDescent="0.25">
      <c r="A103" s="1">
        <v>1963</v>
      </c>
      <c r="B103" s="1" t="s">
        <v>104</v>
      </c>
      <c r="C103" t="s">
        <v>9</v>
      </c>
      <c r="D103" s="1" t="s">
        <v>97</v>
      </c>
      <c r="E103">
        <v>21</v>
      </c>
      <c r="F103" s="1" t="s">
        <v>105</v>
      </c>
      <c r="G103">
        <v>1</v>
      </c>
      <c r="H103">
        <v>1</v>
      </c>
      <c r="I103" s="2">
        <f t="shared" si="4"/>
        <v>1.2271499999999999E-2</v>
      </c>
      <c r="J103">
        <f t="shared" si="3"/>
        <v>1.179951923076923E-2</v>
      </c>
      <c r="K103">
        <f t="shared" si="5"/>
        <v>3.5438618739578515E-3</v>
      </c>
    </row>
    <row r="104" spans="1:11" x14ac:dyDescent="0.25">
      <c r="A104" s="1">
        <v>1963</v>
      </c>
      <c r="B104" s="1" t="s">
        <v>104</v>
      </c>
      <c r="C104" t="s">
        <v>9</v>
      </c>
      <c r="D104" s="1" t="s">
        <v>97</v>
      </c>
      <c r="E104">
        <v>21</v>
      </c>
      <c r="F104" s="1" t="s">
        <v>105</v>
      </c>
      <c r="G104">
        <v>2</v>
      </c>
      <c r="H104">
        <v>1</v>
      </c>
      <c r="I104" s="2">
        <f t="shared" si="4"/>
        <v>3.40875E-2</v>
      </c>
      <c r="J104">
        <f t="shared" si="3"/>
        <v>3.2776442307692305E-2</v>
      </c>
      <c r="K104">
        <f t="shared" si="5"/>
        <v>9.8440607609940316E-3</v>
      </c>
    </row>
    <row r="105" spans="1:11" x14ac:dyDescent="0.25">
      <c r="A105" s="1">
        <v>1963</v>
      </c>
      <c r="B105" s="1" t="s">
        <v>104</v>
      </c>
      <c r="C105" t="s">
        <v>9</v>
      </c>
      <c r="D105" s="1" t="s">
        <v>97</v>
      </c>
      <c r="E105">
        <v>21</v>
      </c>
      <c r="F105" s="1" t="s">
        <v>105</v>
      </c>
      <c r="G105">
        <v>3</v>
      </c>
      <c r="H105">
        <v>1</v>
      </c>
      <c r="I105" s="2">
        <f t="shared" si="4"/>
        <v>6.6811499999999996E-2</v>
      </c>
      <c r="J105">
        <f t="shared" si="3"/>
        <v>6.4241826923076922E-2</v>
      </c>
      <c r="K105">
        <f t="shared" si="5"/>
        <v>1.9294359091548304E-2</v>
      </c>
    </row>
    <row r="106" spans="1:11" x14ac:dyDescent="0.25">
      <c r="A106" s="1">
        <v>1963</v>
      </c>
      <c r="B106" s="1" t="s">
        <v>104</v>
      </c>
      <c r="C106" t="s">
        <v>9</v>
      </c>
      <c r="D106" s="1" t="s">
        <v>97</v>
      </c>
      <c r="E106">
        <v>32</v>
      </c>
      <c r="F106" s="1" t="s">
        <v>105</v>
      </c>
      <c r="G106">
        <v>1</v>
      </c>
      <c r="H106">
        <v>25</v>
      </c>
      <c r="I106" s="2">
        <f t="shared" si="4"/>
        <v>0.30678749999999999</v>
      </c>
      <c r="J106">
        <f t="shared" si="3"/>
        <v>0.29498798076923077</v>
      </c>
      <c r="K106">
        <f t="shared" si="5"/>
        <v>8.85965468489463E-2</v>
      </c>
    </row>
    <row r="107" spans="1:11" x14ac:dyDescent="0.25">
      <c r="A107" s="1">
        <v>1963</v>
      </c>
      <c r="B107" s="1" t="s">
        <v>104</v>
      </c>
      <c r="C107" t="s">
        <v>9</v>
      </c>
      <c r="D107" s="1" t="s">
        <v>97</v>
      </c>
      <c r="E107">
        <v>32</v>
      </c>
      <c r="F107" s="1" t="s">
        <v>105</v>
      </c>
      <c r="G107">
        <v>2</v>
      </c>
      <c r="H107">
        <v>2</v>
      </c>
      <c r="I107" s="2">
        <f t="shared" si="4"/>
        <v>6.8174999999999999E-2</v>
      </c>
      <c r="J107">
        <f t="shared" si="3"/>
        <v>6.555288461538461E-2</v>
      </c>
      <c r="K107">
        <f t="shared" si="5"/>
        <v>1.9688121521988063E-2</v>
      </c>
    </row>
    <row r="108" spans="1:11" x14ac:dyDescent="0.25">
      <c r="A108" s="1">
        <v>1963</v>
      </c>
      <c r="B108" s="1" t="s">
        <v>104</v>
      </c>
      <c r="C108" t="s">
        <v>9</v>
      </c>
      <c r="D108" s="1" t="s">
        <v>97</v>
      </c>
      <c r="E108">
        <v>32</v>
      </c>
      <c r="F108" s="1" t="s">
        <v>105</v>
      </c>
      <c r="G108">
        <v>4</v>
      </c>
      <c r="H108">
        <v>1</v>
      </c>
      <c r="I108" s="2">
        <f t="shared" si="4"/>
        <v>0.11044349999999999</v>
      </c>
      <c r="J108">
        <f t="shared" si="3"/>
        <v>0.10619567307692306</v>
      </c>
      <c r="K108">
        <f t="shared" si="5"/>
        <v>3.1894756865620662E-2</v>
      </c>
    </row>
    <row r="109" spans="1:11" x14ac:dyDescent="0.25">
      <c r="A109" s="1">
        <v>1963</v>
      </c>
      <c r="B109" s="1" t="s">
        <v>104</v>
      </c>
      <c r="C109" t="s">
        <v>9</v>
      </c>
      <c r="D109" s="1" t="s">
        <v>97</v>
      </c>
      <c r="E109">
        <v>34</v>
      </c>
      <c r="F109" s="1" t="s">
        <v>105</v>
      </c>
      <c r="G109">
        <v>2</v>
      </c>
      <c r="H109">
        <v>5</v>
      </c>
      <c r="I109" s="2">
        <f t="shared" si="4"/>
        <v>0.17043749999999999</v>
      </c>
      <c r="J109">
        <f t="shared" si="3"/>
        <v>0.16388221153846153</v>
      </c>
      <c r="K109">
        <f t="shared" si="5"/>
        <v>4.922030380497016E-2</v>
      </c>
    </row>
    <row r="110" spans="1:11" x14ac:dyDescent="0.25">
      <c r="A110" s="1">
        <v>1963</v>
      </c>
      <c r="B110" s="1" t="s">
        <v>104</v>
      </c>
      <c r="C110" t="s">
        <v>9</v>
      </c>
      <c r="D110" s="1" t="s">
        <v>97</v>
      </c>
      <c r="E110">
        <v>34</v>
      </c>
      <c r="F110" s="1" t="s">
        <v>105</v>
      </c>
      <c r="G110">
        <v>3</v>
      </c>
      <c r="H110">
        <v>3</v>
      </c>
      <c r="I110" s="2">
        <f t="shared" si="4"/>
        <v>0.20043449999999999</v>
      </c>
      <c r="J110">
        <f t="shared" si="3"/>
        <v>0.19272548076923074</v>
      </c>
      <c r="K110">
        <f t="shared" si="5"/>
        <v>5.7883077274644909E-2</v>
      </c>
    </row>
    <row r="111" spans="1:11" x14ac:dyDescent="0.25">
      <c r="A111" s="1">
        <v>1963</v>
      </c>
      <c r="B111" s="1" t="s">
        <v>104</v>
      </c>
      <c r="C111" t="s">
        <v>9</v>
      </c>
      <c r="D111" s="1" t="s">
        <v>97</v>
      </c>
      <c r="E111">
        <v>34</v>
      </c>
      <c r="F111" s="1" t="s">
        <v>105</v>
      </c>
      <c r="G111">
        <v>4</v>
      </c>
      <c r="H111">
        <v>1</v>
      </c>
      <c r="I111" s="2">
        <f t="shared" si="4"/>
        <v>0.11044349999999999</v>
      </c>
      <c r="J111">
        <f t="shared" si="3"/>
        <v>0.10619567307692306</v>
      </c>
      <c r="K111">
        <f t="shared" si="5"/>
        <v>3.1894756865620662E-2</v>
      </c>
    </row>
    <row r="112" spans="1:11" x14ac:dyDescent="0.25">
      <c r="A112" s="1">
        <v>1963</v>
      </c>
      <c r="B112" s="1" t="s">
        <v>104</v>
      </c>
      <c r="C112" t="s">
        <v>9</v>
      </c>
      <c r="D112" s="1" t="s">
        <v>97</v>
      </c>
      <c r="E112">
        <v>38</v>
      </c>
      <c r="F112" s="1" t="s">
        <v>105</v>
      </c>
      <c r="G112">
        <v>2</v>
      </c>
      <c r="H112">
        <v>1</v>
      </c>
      <c r="I112" s="2">
        <f t="shared" si="4"/>
        <v>3.40875E-2</v>
      </c>
      <c r="J112">
        <f t="shared" si="3"/>
        <v>3.2776442307692305E-2</v>
      </c>
      <c r="K112">
        <f t="shared" si="5"/>
        <v>9.8440607609940316E-3</v>
      </c>
    </row>
    <row r="113" spans="1:11" x14ac:dyDescent="0.25">
      <c r="A113" s="1">
        <v>1963</v>
      </c>
      <c r="B113" s="1" t="s">
        <v>104</v>
      </c>
      <c r="C113" t="s">
        <v>9</v>
      </c>
      <c r="D113" s="1" t="s">
        <v>97</v>
      </c>
      <c r="E113">
        <v>38</v>
      </c>
      <c r="F113" s="1" t="s">
        <v>105</v>
      </c>
      <c r="G113">
        <v>3</v>
      </c>
      <c r="H113">
        <v>1</v>
      </c>
      <c r="I113" s="2">
        <f t="shared" si="4"/>
        <v>6.6811499999999996E-2</v>
      </c>
      <c r="J113">
        <f t="shared" si="3"/>
        <v>6.4241826923076922E-2</v>
      </c>
      <c r="K113">
        <f t="shared" si="5"/>
        <v>1.9294359091548304E-2</v>
      </c>
    </row>
    <row r="114" spans="1:11" x14ac:dyDescent="0.25">
      <c r="A114" s="1">
        <v>1963</v>
      </c>
      <c r="B114" s="1" t="s">
        <v>104</v>
      </c>
      <c r="C114" t="s">
        <v>9</v>
      </c>
      <c r="D114" s="1" t="s">
        <v>97</v>
      </c>
      <c r="E114">
        <v>38</v>
      </c>
      <c r="F114" s="1" t="s">
        <v>105</v>
      </c>
      <c r="G114">
        <v>4</v>
      </c>
      <c r="H114">
        <v>2</v>
      </c>
      <c r="I114" s="2">
        <f t="shared" si="4"/>
        <v>0.22088699999999997</v>
      </c>
      <c r="J114">
        <f t="shared" si="3"/>
        <v>0.21239134615384611</v>
      </c>
      <c r="K114">
        <f t="shared" si="5"/>
        <v>6.3789513731241324E-2</v>
      </c>
    </row>
    <row r="115" spans="1:11" x14ac:dyDescent="0.25">
      <c r="A115" s="1">
        <v>1963</v>
      </c>
      <c r="B115" s="1" t="s">
        <v>104</v>
      </c>
      <c r="C115" t="s">
        <v>9</v>
      </c>
      <c r="D115" s="1" t="s">
        <v>97</v>
      </c>
      <c r="E115">
        <v>40</v>
      </c>
      <c r="F115" s="1" t="s">
        <v>105</v>
      </c>
      <c r="G115">
        <v>2</v>
      </c>
      <c r="H115">
        <v>1</v>
      </c>
      <c r="I115" s="2">
        <f t="shared" si="4"/>
        <v>3.40875E-2</v>
      </c>
      <c r="J115">
        <f t="shared" si="3"/>
        <v>3.2776442307692305E-2</v>
      </c>
      <c r="K115">
        <f t="shared" si="5"/>
        <v>9.8440607609940316E-3</v>
      </c>
    </row>
    <row r="116" spans="1:11" x14ac:dyDescent="0.25">
      <c r="A116" s="1">
        <v>1963</v>
      </c>
      <c r="B116" s="1" t="s">
        <v>104</v>
      </c>
      <c r="C116" t="s">
        <v>9</v>
      </c>
      <c r="D116" s="1" t="s">
        <v>97</v>
      </c>
      <c r="E116">
        <v>40</v>
      </c>
      <c r="F116" s="1" t="s">
        <v>105</v>
      </c>
      <c r="G116">
        <v>4</v>
      </c>
      <c r="H116">
        <v>2</v>
      </c>
      <c r="I116" s="2">
        <f t="shared" si="4"/>
        <v>0.22088699999999997</v>
      </c>
      <c r="J116">
        <f t="shared" ref="J116:J140" si="6">I116/(104*0.01)</f>
        <v>0.21239134615384611</v>
      </c>
      <c r="K116">
        <f t="shared" si="5"/>
        <v>6.3789513731241324E-2</v>
      </c>
    </row>
    <row r="117" spans="1:11" x14ac:dyDescent="0.25">
      <c r="A117" s="1">
        <v>1963</v>
      </c>
      <c r="B117" s="1" t="s">
        <v>104</v>
      </c>
      <c r="C117" t="s">
        <v>9</v>
      </c>
      <c r="D117" s="1" t="s">
        <v>97</v>
      </c>
      <c r="E117">
        <v>53</v>
      </c>
      <c r="F117" s="1" t="s">
        <v>105</v>
      </c>
      <c r="G117">
        <v>1</v>
      </c>
      <c r="H117">
        <v>1</v>
      </c>
      <c r="I117" s="2">
        <f t="shared" si="4"/>
        <v>1.2271499999999999E-2</v>
      </c>
      <c r="J117">
        <f t="shared" si="6"/>
        <v>1.179951923076923E-2</v>
      </c>
      <c r="K117">
        <f t="shared" si="5"/>
        <v>3.5438618739578515E-3</v>
      </c>
    </row>
    <row r="118" spans="1:11" x14ac:dyDescent="0.25">
      <c r="A118" s="1">
        <v>1963</v>
      </c>
      <c r="B118" s="1" t="s">
        <v>104</v>
      </c>
      <c r="C118" t="s">
        <v>9</v>
      </c>
      <c r="D118" s="1" t="s">
        <v>97</v>
      </c>
      <c r="E118">
        <v>53</v>
      </c>
      <c r="F118" s="1" t="s">
        <v>105</v>
      </c>
      <c r="G118">
        <v>2</v>
      </c>
      <c r="H118">
        <v>1</v>
      </c>
      <c r="I118" s="2">
        <f t="shared" si="4"/>
        <v>3.40875E-2</v>
      </c>
      <c r="J118">
        <f t="shared" si="6"/>
        <v>3.2776442307692305E-2</v>
      </c>
      <c r="K118">
        <f t="shared" si="5"/>
        <v>9.8440607609940316E-3</v>
      </c>
    </row>
    <row r="119" spans="1:11" x14ac:dyDescent="0.25">
      <c r="A119" s="1">
        <v>1963</v>
      </c>
      <c r="B119" s="1" t="s">
        <v>104</v>
      </c>
      <c r="C119" t="s">
        <v>9</v>
      </c>
      <c r="D119" s="1" t="s">
        <v>97</v>
      </c>
      <c r="E119">
        <v>58</v>
      </c>
      <c r="F119" s="1" t="s">
        <v>105</v>
      </c>
      <c r="G119">
        <v>1</v>
      </c>
      <c r="H119">
        <v>2</v>
      </c>
      <c r="I119" s="2">
        <f t="shared" si="4"/>
        <v>2.4542999999999999E-2</v>
      </c>
      <c r="J119">
        <f t="shared" si="6"/>
        <v>2.3599038461538459E-2</v>
      </c>
      <c r="K119">
        <f t="shared" si="5"/>
        <v>7.0877237479157031E-3</v>
      </c>
    </row>
    <row r="120" spans="1:11" x14ac:dyDescent="0.25">
      <c r="A120" s="1">
        <v>1963</v>
      </c>
      <c r="B120" s="1" t="s">
        <v>104</v>
      </c>
      <c r="C120" t="s">
        <v>9</v>
      </c>
      <c r="D120" s="1" t="s">
        <v>97</v>
      </c>
      <c r="E120">
        <v>58</v>
      </c>
      <c r="F120" s="1" t="s">
        <v>105</v>
      </c>
      <c r="G120">
        <v>2</v>
      </c>
      <c r="H120">
        <v>3</v>
      </c>
      <c r="I120" s="2">
        <f t="shared" si="4"/>
        <v>0.10226250000000001</v>
      </c>
      <c r="J120">
        <f t="shared" si="6"/>
        <v>9.8329326923076929E-2</v>
      </c>
      <c r="K120">
        <f t="shared" si="5"/>
        <v>2.95321822829821E-2</v>
      </c>
    </row>
    <row r="121" spans="1:11" x14ac:dyDescent="0.25">
      <c r="A121" s="1">
        <v>1963</v>
      </c>
      <c r="B121" s="1" t="s">
        <v>104</v>
      </c>
      <c r="C121" t="s">
        <v>9</v>
      </c>
      <c r="D121" s="1" t="s">
        <v>97</v>
      </c>
      <c r="E121">
        <v>58</v>
      </c>
      <c r="F121" s="1" t="s">
        <v>105</v>
      </c>
      <c r="G121">
        <v>3</v>
      </c>
      <c r="H121">
        <v>5</v>
      </c>
      <c r="I121" s="2">
        <f t="shared" si="4"/>
        <v>0.33405750000000001</v>
      </c>
      <c r="J121">
        <f t="shared" si="6"/>
        <v>0.32120913461538458</v>
      </c>
      <c r="K121">
        <f t="shared" si="5"/>
        <v>9.647179545774151E-2</v>
      </c>
    </row>
    <row r="122" spans="1:11" x14ac:dyDescent="0.25">
      <c r="A122" s="1">
        <v>1963</v>
      </c>
      <c r="B122" s="1" t="s">
        <v>104</v>
      </c>
      <c r="C122" t="s">
        <v>9</v>
      </c>
      <c r="D122" s="1" t="s">
        <v>97</v>
      </c>
      <c r="E122">
        <v>58</v>
      </c>
      <c r="F122" s="1" t="s">
        <v>105</v>
      </c>
      <c r="G122">
        <v>4</v>
      </c>
      <c r="H122">
        <v>4</v>
      </c>
      <c r="I122" s="2">
        <f t="shared" si="4"/>
        <v>0.44177399999999994</v>
      </c>
      <c r="J122">
        <f t="shared" si="6"/>
        <v>0.42478269230769222</v>
      </c>
      <c r="K122">
        <f t="shared" si="5"/>
        <v>0.12757902746248265</v>
      </c>
    </row>
    <row r="123" spans="1:11" x14ac:dyDescent="0.25">
      <c r="A123" s="1">
        <v>1963</v>
      </c>
      <c r="B123" s="1" t="s">
        <v>104</v>
      </c>
      <c r="C123" t="s">
        <v>9</v>
      </c>
      <c r="D123" s="1" t="s">
        <v>97</v>
      </c>
      <c r="E123">
        <v>76</v>
      </c>
      <c r="F123" s="1" t="s">
        <v>105</v>
      </c>
      <c r="G123">
        <v>1</v>
      </c>
      <c r="H123">
        <v>2</v>
      </c>
      <c r="I123" s="2">
        <f t="shared" si="4"/>
        <v>2.4542999999999999E-2</v>
      </c>
      <c r="J123">
        <f t="shared" si="6"/>
        <v>2.3599038461538459E-2</v>
      </c>
      <c r="K123">
        <f t="shared" si="5"/>
        <v>7.0877237479157031E-3</v>
      </c>
    </row>
    <row r="124" spans="1:11" x14ac:dyDescent="0.25">
      <c r="A124" s="1">
        <v>1963</v>
      </c>
      <c r="B124" s="1" t="s">
        <v>104</v>
      </c>
      <c r="C124" t="s">
        <v>9</v>
      </c>
      <c r="D124" s="1" t="s">
        <v>97</v>
      </c>
      <c r="E124">
        <v>79</v>
      </c>
      <c r="F124" s="1" t="s">
        <v>105</v>
      </c>
      <c r="G124">
        <v>1</v>
      </c>
      <c r="H124">
        <v>28</v>
      </c>
      <c r="I124" s="2">
        <f t="shared" si="4"/>
        <v>0.34360199999999996</v>
      </c>
      <c r="J124">
        <f t="shared" si="6"/>
        <v>0.33038653846153843</v>
      </c>
      <c r="K124">
        <f t="shared" si="5"/>
        <v>9.9228132470819838E-2</v>
      </c>
    </row>
    <row r="125" spans="1:11" x14ac:dyDescent="0.25">
      <c r="A125" s="1">
        <v>1963</v>
      </c>
      <c r="B125" s="1" t="s">
        <v>104</v>
      </c>
      <c r="C125" t="s">
        <v>9</v>
      </c>
      <c r="D125" s="1" t="s">
        <v>97</v>
      </c>
      <c r="E125">
        <v>79</v>
      </c>
      <c r="F125" s="1" t="s">
        <v>105</v>
      </c>
      <c r="G125">
        <v>2</v>
      </c>
      <c r="H125">
        <v>10</v>
      </c>
      <c r="I125" s="2">
        <f t="shared" si="4"/>
        <v>0.34087499999999998</v>
      </c>
      <c r="J125">
        <f t="shared" si="6"/>
        <v>0.32776442307692305</v>
      </c>
      <c r="K125">
        <f t="shared" si="5"/>
        <v>9.844060760994032E-2</v>
      </c>
    </row>
    <row r="126" spans="1:11" x14ac:dyDescent="0.25">
      <c r="A126" s="1">
        <v>1963</v>
      </c>
      <c r="B126" s="1" t="s">
        <v>104</v>
      </c>
      <c r="C126" t="s">
        <v>9</v>
      </c>
      <c r="D126" s="1" t="s">
        <v>97</v>
      </c>
      <c r="E126">
        <v>79</v>
      </c>
      <c r="F126" s="1" t="s">
        <v>105</v>
      </c>
      <c r="G126">
        <v>3</v>
      </c>
      <c r="H126">
        <v>3</v>
      </c>
      <c r="I126" s="2">
        <f t="shared" si="4"/>
        <v>0.20043449999999999</v>
      </c>
      <c r="J126">
        <f t="shared" si="6"/>
        <v>0.19272548076923074</v>
      </c>
      <c r="K126">
        <f t="shared" si="5"/>
        <v>5.7883077274644909E-2</v>
      </c>
    </row>
    <row r="127" spans="1:11" x14ac:dyDescent="0.25">
      <c r="A127" s="1">
        <v>1963</v>
      </c>
      <c r="B127" s="1" t="s">
        <v>104</v>
      </c>
      <c r="C127" t="s">
        <v>9</v>
      </c>
      <c r="D127" s="1" t="s">
        <v>97</v>
      </c>
      <c r="E127">
        <v>79</v>
      </c>
      <c r="F127" s="1" t="s">
        <v>105</v>
      </c>
      <c r="G127">
        <v>4</v>
      </c>
      <c r="H127">
        <v>1</v>
      </c>
      <c r="I127" s="2">
        <f t="shared" si="4"/>
        <v>0.11044349999999999</v>
      </c>
      <c r="J127">
        <f t="shared" si="6"/>
        <v>0.10619567307692306</v>
      </c>
      <c r="K127">
        <f t="shared" si="5"/>
        <v>3.1894756865620662E-2</v>
      </c>
    </row>
    <row r="128" spans="1:11" x14ac:dyDescent="0.25">
      <c r="A128" s="1">
        <v>1963</v>
      </c>
      <c r="B128" s="1" t="s">
        <v>104</v>
      </c>
      <c r="C128" t="s">
        <v>9</v>
      </c>
      <c r="D128" s="1" t="s">
        <v>97</v>
      </c>
      <c r="E128">
        <v>85</v>
      </c>
      <c r="F128" s="1" t="s">
        <v>105</v>
      </c>
      <c r="G128">
        <v>1</v>
      </c>
      <c r="H128">
        <v>13</v>
      </c>
      <c r="I128" s="2">
        <f t="shared" si="4"/>
        <v>0.15952949999999999</v>
      </c>
      <c r="J128">
        <f t="shared" si="6"/>
        <v>0.15339375</v>
      </c>
      <c r="K128">
        <f t="shared" si="5"/>
        <v>4.6070204361452073E-2</v>
      </c>
    </row>
    <row r="129" spans="1:11" x14ac:dyDescent="0.25">
      <c r="A129" s="1">
        <v>1963</v>
      </c>
      <c r="B129" s="1" t="s">
        <v>104</v>
      </c>
      <c r="C129" t="s">
        <v>9</v>
      </c>
      <c r="D129" s="1" t="s">
        <v>97</v>
      </c>
      <c r="E129">
        <v>88</v>
      </c>
      <c r="F129" s="1" t="s">
        <v>105</v>
      </c>
      <c r="G129">
        <v>3</v>
      </c>
      <c r="H129">
        <v>1</v>
      </c>
      <c r="I129" s="2">
        <f t="shared" si="4"/>
        <v>6.6811499999999996E-2</v>
      </c>
      <c r="J129">
        <f t="shared" si="6"/>
        <v>6.4241826923076922E-2</v>
      </c>
      <c r="K129">
        <f t="shared" si="5"/>
        <v>1.9294359091548304E-2</v>
      </c>
    </row>
    <row r="130" spans="1:11" x14ac:dyDescent="0.25">
      <c r="A130" s="1">
        <v>1963</v>
      </c>
      <c r="B130" s="1" t="s">
        <v>104</v>
      </c>
      <c r="C130" t="s">
        <v>9</v>
      </c>
      <c r="D130" s="1" t="s">
        <v>96</v>
      </c>
      <c r="E130">
        <v>33</v>
      </c>
      <c r="F130" s="1" t="s">
        <v>105</v>
      </c>
      <c r="G130">
        <v>1</v>
      </c>
      <c r="H130">
        <v>3</v>
      </c>
      <c r="I130" s="2">
        <f t="shared" si="4"/>
        <v>3.68145E-2</v>
      </c>
      <c r="J130">
        <f t="shared" si="6"/>
        <v>3.5398557692307694E-2</v>
      </c>
      <c r="K130">
        <f t="shared" si="5"/>
        <v>1.0631585621873557E-2</v>
      </c>
    </row>
    <row r="131" spans="1:11" x14ac:dyDescent="0.25">
      <c r="A131" s="1">
        <v>1963</v>
      </c>
      <c r="B131" s="1" t="s">
        <v>104</v>
      </c>
      <c r="C131" t="s">
        <v>9</v>
      </c>
      <c r="D131" s="1" t="s">
        <v>96</v>
      </c>
      <c r="E131">
        <v>33</v>
      </c>
      <c r="F131" s="1" t="s">
        <v>105</v>
      </c>
      <c r="G131">
        <v>2</v>
      </c>
      <c r="H131">
        <v>1</v>
      </c>
      <c r="I131" s="2">
        <f t="shared" ref="I131:I194" si="7">0.005454*(G131+0.5)^2*H131</f>
        <v>3.40875E-2</v>
      </c>
      <c r="J131">
        <f t="shared" si="6"/>
        <v>3.2776442307692305E-2</v>
      </c>
      <c r="K131">
        <f t="shared" ref="K131:K194" si="8">J131*(11.5/38.29)</f>
        <v>9.8440607609940316E-3</v>
      </c>
    </row>
    <row r="132" spans="1:11" x14ac:dyDescent="0.25">
      <c r="A132" s="1">
        <v>1963</v>
      </c>
      <c r="B132" s="1" t="s">
        <v>104</v>
      </c>
      <c r="C132" t="s">
        <v>9</v>
      </c>
      <c r="D132" s="1" t="s">
        <v>96</v>
      </c>
      <c r="E132">
        <v>33</v>
      </c>
      <c r="F132" s="1" t="s">
        <v>105</v>
      </c>
      <c r="G132">
        <v>3</v>
      </c>
      <c r="H132">
        <v>1</v>
      </c>
      <c r="I132" s="2">
        <f t="shared" si="7"/>
        <v>6.6811499999999996E-2</v>
      </c>
      <c r="J132">
        <f t="shared" si="6"/>
        <v>6.4241826923076922E-2</v>
      </c>
      <c r="K132">
        <f t="shared" si="8"/>
        <v>1.9294359091548304E-2</v>
      </c>
    </row>
    <row r="133" spans="1:11" x14ac:dyDescent="0.25">
      <c r="A133" s="1">
        <v>1963</v>
      </c>
      <c r="B133" s="1" t="s">
        <v>104</v>
      </c>
      <c r="C133" t="s">
        <v>9</v>
      </c>
      <c r="D133" s="1" t="s">
        <v>96</v>
      </c>
      <c r="E133">
        <v>63</v>
      </c>
      <c r="F133" s="1" t="s">
        <v>105</v>
      </c>
      <c r="G133">
        <v>1</v>
      </c>
      <c r="H133">
        <v>51</v>
      </c>
      <c r="I133" s="2">
        <f t="shared" si="7"/>
        <v>0.62584649999999997</v>
      </c>
      <c r="J133">
        <f t="shared" si="6"/>
        <v>0.60177548076923071</v>
      </c>
      <c r="K133">
        <f t="shared" si="8"/>
        <v>0.18073695557185043</v>
      </c>
    </row>
    <row r="134" spans="1:11" x14ac:dyDescent="0.25">
      <c r="A134" s="1">
        <v>1963</v>
      </c>
      <c r="B134" s="1" t="s">
        <v>104</v>
      </c>
      <c r="C134" t="s">
        <v>9</v>
      </c>
      <c r="D134" s="1" t="s">
        <v>96</v>
      </c>
      <c r="E134">
        <v>63</v>
      </c>
      <c r="F134" s="1" t="s">
        <v>105</v>
      </c>
      <c r="G134">
        <v>2</v>
      </c>
      <c r="H134">
        <v>28</v>
      </c>
      <c r="I134" s="2">
        <f t="shared" si="7"/>
        <v>0.95445000000000002</v>
      </c>
      <c r="J134">
        <f t="shared" si="6"/>
        <v>0.91774038461538465</v>
      </c>
      <c r="K134">
        <f t="shared" si="8"/>
        <v>0.27563370130783293</v>
      </c>
    </row>
    <row r="135" spans="1:11" x14ac:dyDescent="0.25">
      <c r="A135" s="1">
        <v>1963</v>
      </c>
      <c r="B135" s="1" t="s">
        <v>104</v>
      </c>
      <c r="C135" t="s">
        <v>9</v>
      </c>
      <c r="D135" s="1" t="s">
        <v>96</v>
      </c>
      <c r="E135">
        <v>63</v>
      </c>
      <c r="F135" s="1" t="s">
        <v>105</v>
      </c>
      <c r="G135">
        <v>3</v>
      </c>
      <c r="H135">
        <v>8</v>
      </c>
      <c r="I135" s="2">
        <f t="shared" si="7"/>
        <v>0.53449199999999997</v>
      </c>
      <c r="J135">
        <f t="shared" si="6"/>
        <v>0.51393461538461538</v>
      </c>
      <c r="K135">
        <f t="shared" si="8"/>
        <v>0.15435487273238643</v>
      </c>
    </row>
    <row r="136" spans="1:11" x14ac:dyDescent="0.25">
      <c r="A136" s="1">
        <v>1963</v>
      </c>
      <c r="B136" s="1" t="s">
        <v>104</v>
      </c>
      <c r="C136" t="s">
        <v>9</v>
      </c>
      <c r="D136" s="1" t="s">
        <v>96</v>
      </c>
      <c r="E136">
        <v>63</v>
      </c>
      <c r="F136" s="1" t="s">
        <v>105</v>
      </c>
      <c r="G136">
        <v>4</v>
      </c>
      <c r="H136">
        <v>3</v>
      </c>
      <c r="I136" s="2">
        <f t="shared" si="7"/>
        <v>0.33133049999999997</v>
      </c>
      <c r="J136">
        <f t="shared" si="6"/>
        <v>0.31858701923076921</v>
      </c>
      <c r="K136">
        <f t="shared" si="8"/>
        <v>9.5684270596861992E-2</v>
      </c>
    </row>
    <row r="137" spans="1:11" x14ac:dyDescent="0.25">
      <c r="A137" s="1">
        <v>1963</v>
      </c>
      <c r="B137" s="1" t="s">
        <v>104</v>
      </c>
      <c r="C137" t="s">
        <v>9</v>
      </c>
      <c r="D137" s="1" t="s">
        <v>96</v>
      </c>
      <c r="E137">
        <v>78</v>
      </c>
      <c r="F137" s="1" t="s">
        <v>105</v>
      </c>
      <c r="G137">
        <v>1</v>
      </c>
      <c r="H137">
        <v>1</v>
      </c>
      <c r="I137" s="2">
        <f t="shared" si="7"/>
        <v>1.2271499999999999E-2</v>
      </c>
      <c r="J137">
        <f t="shared" si="6"/>
        <v>1.179951923076923E-2</v>
      </c>
      <c r="K137">
        <f t="shared" si="8"/>
        <v>3.5438618739578515E-3</v>
      </c>
    </row>
    <row r="138" spans="1:11" x14ac:dyDescent="0.25">
      <c r="A138" s="1">
        <v>1963</v>
      </c>
      <c r="B138" s="1" t="s">
        <v>104</v>
      </c>
      <c r="C138" t="s">
        <v>9</v>
      </c>
      <c r="D138" s="1" t="s">
        <v>96</v>
      </c>
      <c r="E138">
        <v>78</v>
      </c>
      <c r="F138" s="1" t="s">
        <v>105</v>
      </c>
      <c r="G138">
        <v>3</v>
      </c>
      <c r="H138">
        <v>1</v>
      </c>
      <c r="I138" s="2">
        <f t="shared" si="7"/>
        <v>6.6811499999999996E-2</v>
      </c>
      <c r="J138">
        <f t="shared" si="6"/>
        <v>6.4241826923076922E-2</v>
      </c>
      <c r="K138">
        <f t="shared" si="8"/>
        <v>1.9294359091548304E-2</v>
      </c>
    </row>
    <row r="139" spans="1:11" x14ac:dyDescent="0.25">
      <c r="A139" s="1">
        <v>1963</v>
      </c>
      <c r="B139" s="1" t="s">
        <v>104</v>
      </c>
      <c r="C139" t="s">
        <v>9</v>
      </c>
      <c r="D139" s="1" t="s">
        <v>96</v>
      </c>
      <c r="E139">
        <v>86</v>
      </c>
      <c r="F139" s="1" t="s">
        <v>105</v>
      </c>
      <c r="G139">
        <v>1</v>
      </c>
      <c r="H139">
        <v>8</v>
      </c>
      <c r="I139" s="2">
        <f t="shared" si="7"/>
        <v>9.8171999999999995E-2</v>
      </c>
      <c r="J139">
        <f t="shared" si="6"/>
        <v>9.4396153846153838E-2</v>
      </c>
      <c r="K139">
        <f t="shared" si="8"/>
        <v>2.8350894991662812E-2</v>
      </c>
    </row>
    <row r="140" spans="1:11" x14ac:dyDescent="0.25">
      <c r="A140" s="1">
        <v>1963</v>
      </c>
      <c r="B140" s="1" t="s">
        <v>104</v>
      </c>
      <c r="C140" t="s">
        <v>9</v>
      </c>
      <c r="D140" s="1" t="s">
        <v>96</v>
      </c>
      <c r="E140">
        <v>86</v>
      </c>
      <c r="F140" s="1" t="s">
        <v>105</v>
      </c>
      <c r="G140">
        <v>2</v>
      </c>
      <c r="H140">
        <v>3</v>
      </c>
      <c r="I140" s="2">
        <f t="shared" si="7"/>
        <v>0.10226250000000001</v>
      </c>
      <c r="J140">
        <f t="shared" si="6"/>
        <v>9.8329326923076929E-2</v>
      </c>
      <c r="K140">
        <f t="shared" si="8"/>
        <v>2.95321822829821E-2</v>
      </c>
    </row>
    <row r="141" spans="1:11" x14ac:dyDescent="0.25">
      <c r="A141" s="1">
        <v>1970</v>
      </c>
      <c r="B141" s="1" t="s">
        <v>104</v>
      </c>
      <c r="C141" t="s">
        <v>9</v>
      </c>
      <c r="D141" s="1" t="s">
        <v>94</v>
      </c>
      <c r="E141">
        <v>21</v>
      </c>
      <c r="F141" s="1" t="s">
        <v>105</v>
      </c>
      <c r="G141">
        <v>1</v>
      </c>
      <c r="H141">
        <v>2</v>
      </c>
      <c r="I141" s="2">
        <f t="shared" si="7"/>
        <v>2.4542999999999999E-2</v>
      </c>
      <c r="J141">
        <f>I141/(46*0.01)</f>
        <v>5.3354347826086952E-2</v>
      </c>
      <c r="K141">
        <f t="shared" si="8"/>
        <v>1.6024418908331155E-2</v>
      </c>
    </row>
    <row r="142" spans="1:11" x14ac:dyDescent="0.25">
      <c r="A142" s="1">
        <v>1970</v>
      </c>
      <c r="B142" s="1" t="s">
        <v>104</v>
      </c>
      <c r="C142" t="s">
        <v>9</v>
      </c>
      <c r="D142" s="1" t="s">
        <v>94</v>
      </c>
      <c r="E142">
        <v>21</v>
      </c>
      <c r="F142" s="1" t="s">
        <v>105</v>
      </c>
      <c r="G142">
        <v>2</v>
      </c>
      <c r="H142">
        <v>1</v>
      </c>
      <c r="I142" s="2">
        <f t="shared" si="7"/>
        <v>3.40875E-2</v>
      </c>
      <c r="J142">
        <f t="shared" ref="J142:J200" si="9">I142/(46*0.01)</f>
        <v>7.4103260869565216E-2</v>
      </c>
      <c r="K142">
        <f t="shared" si="8"/>
        <v>2.2256137372682162E-2</v>
      </c>
    </row>
    <row r="143" spans="1:11" x14ac:dyDescent="0.25">
      <c r="A143" s="1">
        <v>1970</v>
      </c>
      <c r="B143" s="1" t="s">
        <v>104</v>
      </c>
      <c r="C143" t="s">
        <v>9</v>
      </c>
      <c r="D143" s="1" t="s">
        <v>94</v>
      </c>
      <c r="E143">
        <v>29</v>
      </c>
      <c r="F143" s="1" t="s">
        <v>105</v>
      </c>
      <c r="G143">
        <v>1</v>
      </c>
      <c r="H143">
        <v>2</v>
      </c>
      <c r="I143" s="2">
        <f t="shared" si="7"/>
        <v>2.4542999999999999E-2</v>
      </c>
      <c r="J143">
        <f t="shared" si="9"/>
        <v>5.3354347826086952E-2</v>
      </c>
      <c r="K143">
        <f t="shared" si="8"/>
        <v>1.6024418908331155E-2</v>
      </c>
    </row>
    <row r="144" spans="1:11" x14ac:dyDescent="0.25">
      <c r="A144" s="1">
        <v>1970</v>
      </c>
      <c r="B144" s="1" t="s">
        <v>104</v>
      </c>
      <c r="C144" t="s">
        <v>9</v>
      </c>
      <c r="D144" s="1" t="s">
        <v>94</v>
      </c>
      <c r="E144">
        <v>29</v>
      </c>
      <c r="F144" s="1" t="s">
        <v>105</v>
      </c>
      <c r="G144">
        <v>2</v>
      </c>
      <c r="H144">
        <v>3</v>
      </c>
      <c r="I144" s="2">
        <f t="shared" si="7"/>
        <v>0.10226250000000001</v>
      </c>
      <c r="J144">
        <f t="shared" si="9"/>
        <v>0.22230978260869566</v>
      </c>
      <c r="K144">
        <f t="shared" si="8"/>
        <v>6.6768412118046488E-2</v>
      </c>
    </row>
    <row r="145" spans="1:11" x14ac:dyDescent="0.25">
      <c r="A145" s="1">
        <v>1970</v>
      </c>
      <c r="B145" s="1" t="s">
        <v>104</v>
      </c>
      <c r="C145" t="s">
        <v>9</v>
      </c>
      <c r="D145" s="1" t="s">
        <v>94</v>
      </c>
      <c r="E145">
        <v>29</v>
      </c>
      <c r="F145" s="1" t="s">
        <v>105</v>
      </c>
      <c r="G145">
        <v>3</v>
      </c>
      <c r="H145">
        <v>1</v>
      </c>
      <c r="I145" s="2">
        <f t="shared" si="7"/>
        <v>6.6811499999999996E-2</v>
      </c>
      <c r="J145">
        <f t="shared" si="9"/>
        <v>0.14524239130434782</v>
      </c>
      <c r="K145">
        <f t="shared" si="8"/>
        <v>4.3622029250457037E-2</v>
      </c>
    </row>
    <row r="146" spans="1:11" x14ac:dyDescent="0.25">
      <c r="A146" s="1">
        <v>1970</v>
      </c>
      <c r="B146" s="1" t="s">
        <v>104</v>
      </c>
      <c r="C146" t="s">
        <v>9</v>
      </c>
      <c r="D146" s="1" t="s">
        <v>94</v>
      </c>
      <c r="E146">
        <v>32</v>
      </c>
      <c r="F146" s="1" t="s">
        <v>105</v>
      </c>
      <c r="G146">
        <v>1</v>
      </c>
      <c r="H146">
        <v>46</v>
      </c>
      <c r="I146" s="2">
        <f t="shared" si="7"/>
        <v>0.56448900000000002</v>
      </c>
      <c r="J146">
        <f t="shared" si="9"/>
        <v>1.22715</v>
      </c>
      <c r="K146">
        <f t="shared" si="8"/>
        <v>0.36856163489161659</v>
      </c>
    </row>
    <row r="147" spans="1:11" x14ac:dyDescent="0.25">
      <c r="A147" s="1">
        <v>1970</v>
      </c>
      <c r="B147" s="1" t="s">
        <v>104</v>
      </c>
      <c r="C147" t="s">
        <v>9</v>
      </c>
      <c r="D147" s="1" t="s">
        <v>94</v>
      </c>
      <c r="E147">
        <v>32</v>
      </c>
      <c r="F147" s="1" t="s">
        <v>105</v>
      </c>
      <c r="G147">
        <v>2</v>
      </c>
      <c r="H147">
        <v>26</v>
      </c>
      <c r="I147" s="2">
        <f t="shared" si="7"/>
        <v>0.88627500000000003</v>
      </c>
      <c r="J147">
        <f t="shared" si="9"/>
        <v>1.9266847826086957</v>
      </c>
      <c r="K147">
        <f t="shared" si="8"/>
        <v>0.57865957168973625</v>
      </c>
    </row>
    <row r="148" spans="1:11" x14ac:dyDescent="0.25">
      <c r="A148" s="1">
        <v>1970</v>
      </c>
      <c r="B148" s="1" t="s">
        <v>104</v>
      </c>
      <c r="C148" t="s">
        <v>9</v>
      </c>
      <c r="D148" s="1" t="s">
        <v>94</v>
      </c>
      <c r="E148">
        <v>32</v>
      </c>
      <c r="F148" s="1" t="s">
        <v>105</v>
      </c>
      <c r="G148">
        <v>3</v>
      </c>
      <c r="H148">
        <v>4</v>
      </c>
      <c r="I148" s="2">
        <f t="shared" si="7"/>
        <v>0.26724599999999998</v>
      </c>
      <c r="J148">
        <f t="shared" si="9"/>
        <v>0.58096956521739129</v>
      </c>
      <c r="K148">
        <f t="shared" si="8"/>
        <v>0.17448811700182815</v>
      </c>
    </row>
    <row r="149" spans="1:11" x14ac:dyDescent="0.25">
      <c r="A149" s="1">
        <v>1970</v>
      </c>
      <c r="B149" s="1" t="s">
        <v>104</v>
      </c>
      <c r="C149" t="s">
        <v>9</v>
      </c>
      <c r="D149" s="1" t="s">
        <v>94</v>
      </c>
      <c r="E149">
        <v>32</v>
      </c>
      <c r="F149" s="1" t="s">
        <v>105</v>
      </c>
      <c r="G149">
        <v>4</v>
      </c>
      <c r="H149">
        <v>3</v>
      </c>
      <c r="I149" s="2">
        <f t="shared" si="7"/>
        <v>0.33133049999999997</v>
      </c>
      <c r="J149">
        <f t="shared" si="9"/>
        <v>0.72028369565217387</v>
      </c>
      <c r="K149">
        <f t="shared" si="8"/>
        <v>0.21632965526247061</v>
      </c>
    </row>
    <row r="150" spans="1:11" x14ac:dyDescent="0.25">
      <c r="A150" s="1">
        <v>1970</v>
      </c>
      <c r="B150" s="1" t="s">
        <v>104</v>
      </c>
      <c r="C150" t="s">
        <v>9</v>
      </c>
      <c r="D150" s="1" t="s">
        <v>94</v>
      </c>
      <c r="E150">
        <v>34</v>
      </c>
      <c r="F150" s="1" t="s">
        <v>105</v>
      </c>
      <c r="G150">
        <v>2</v>
      </c>
      <c r="H150">
        <v>1</v>
      </c>
      <c r="I150" s="2">
        <f t="shared" si="7"/>
        <v>3.40875E-2</v>
      </c>
      <c r="J150">
        <f t="shared" si="9"/>
        <v>7.4103260869565216E-2</v>
      </c>
      <c r="K150">
        <f t="shared" si="8"/>
        <v>2.2256137372682162E-2</v>
      </c>
    </row>
    <row r="151" spans="1:11" x14ac:dyDescent="0.25">
      <c r="A151" s="1">
        <v>1970</v>
      </c>
      <c r="B151" s="1" t="s">
        <v>104</v>
      </c>
      <c r="C151" t="s">
        <v>9</v>
      </c>
      <c r="D151" s="1" t="s">
        <v>94</v>
      </c>
      <c r="E151">
        <v>34</v>
      </c>
      <c r="F151" s="1" t="s">
        <v>105</v>
      </c>
      <c r="G151">
        <v>3</v>
      </c>
      <c r="H151">
        <v>1</v>
      </c>
      <c r="I151" s="2">
        <f t="shared" si="7"/>
        <v>6.6811499999999996E-2</v>
      </c>
      <c r="J151">
        <f t="shared" si="9"/>
        <v>0.14524239130434782</v>
      </c>
      <c r="K151">
        <f t="shared" si="8"/>
        <v>4.3622029250457037E-2</v>
      </c>
    </row>
    <row r="152" spans="1:11" x14ac:dyDescent="0.25">
      <c r="A152" s="1">
        <v>1970</v>
      </c>
      <c r="B152" s="1" t="s">
        <v>104</v>
      </c>
      <c r="C152" t="s">
        <v>9</v>
      </c>
      <c r="D152" s="1" t="s">
        <v>94</v>
      </c>
      <c r="E152">
        <v>34</v>
      </c>
      <c r="F152" s="1" t="s">
        <v>105</v>
      </c>
      <c r="G152">
        <v>4</v>
      </c>
      <c r="H152">
        <v>1</v>
      </c>
      <c r="I152" s="2">
        <f t="shared" si="7"/>
        <v>0.11044349999999999</v>
      </c>
      <c r="J152">
        <f t="shared" si="9"/>
        <v>0.24009456521739125</v>
      </c>
      <c r="K152">
        <f t="shared" si="8"/>
        <v>7.2109885087490194E-2</v>
      </c>
    </row>
    <row r="153" spans="1:11" x14ac:dyDescent="0.25">
      <c r="A153" s="1">
        <v>1970</v>
      </c>
      <c r="B153" s="1" t="s">
        <v>104</v>
      </c>
      <c r="C153" t="s">
        <v>9</v>
      </c>
      <c r="D153" s="1" t="s">
        <v>94</v>
      </c>
      <c r="E153">
        <v>38</v>
      </c>
      <c r="F153" s="1" t="s">
        <v>105</v>
      </c>
      <c r="G153">
        <v>1</v>
      </c>
      <c r="H153">
        <v>1</v>
      </c>
      <c r="I153" s="2">
        <f t="shared" si="7"/>
        <v>1.2271499999999999E-2</v>
      </c>
      <c r="J153">
        <f t="shared" si="9"/>
        <v>2.6677173913043476E-2</v>
      </c>
      <c r="K153">
        <f t="shared" si="8"/>
        <v>8.0122094541655777E-3</v>
      </c>
    </row>
    <row r="154" spans="1:11" x14ac:dyDescent="0.25">
      <c r="A154" s="1">
        <v>1970</v>
      </c>
      <c r="B154" s="1" t="s">
        <v>104</v>
      </c>
      <c r="C154" t="s">
        <v>9</v>
      </c>
      <c r="D154" s="1" t="s">
        <v>94</v>
      </c>
      <c r="E154">
        <v>38</v>
      </c>
      <c r="F154" s="1" t="s">
        <v>105</v>
      </c>
      <c r="G154">
        <v>3</v>
      </c>
      <c r="H154">
        <v>1</v>
      </c>
      <c r="I154" s="2">
        <f t="shared" si="7"/>
        <v>6.6811499999999996E-2</v>
      </c>
      <c r="J154">
        <f t="shared" si="9"/>
        <v>0.14524239130434782</v>
      </c>
      <c r="K154">
        <f t="shared" si="8"/>
        <v>4.3622029250457037E-2</v>
      </c>
    </row>
    <row r="155" spans="1:11" x14ac:dyDescent="0.25">
      <c r="A155" s="1">
        <v>1970</v>
      </c>
      <c r="B155" s="1" t="s">
        <v>104</v>
      </c>
      <c r="C155" t="s">
        <v>9</v>
      </c>
      <c r="D155" s="1" t="s">
        <v>94</v>
      </c>
      <c r="E155">
        <v>40</v>
      </c>
      <c r="F155" s="1" t="s">
        <v>105</v>
      </c>
      <c r="G155">
        <v>3</v>
      </c>
      <c r="H155">
        <v>2</v>
      </c>
      <c r="I155" s="2">
        <f t="shared" si="7"/>
        <v>0.13362299999999999</v>
      </c>
      <c r="J155">
        <f t="shared" si="9"/>
        <v>0.29048478260869565</v>
      </c>
      <c r="K155">
        <f t="shared" si="8"/>
        <v>8.7244058500914073E-2</v>
      </c>
    </row>
    <row r="156" spans="1:11" x14ac:dyDescent="0.25">
      <c r="A156" s="1">
        <v>1970</v>
      </c>
      <c r="B156" s="1" t="s">
        <v>104</v>
      </c>
      <c r="C156" t="s">
        <v>9</v>
      </c>
      <c r="D156" s="1" t="s">
        <v>94</v>
      </c>
      <c r="E156">
        <v>40</v>
      </c>
      <c r="F156" s="1" t="s">
        <v>105</v>
      </c>
      <c r="G156">
        <v>4</v>
      </c>
      <c r="H156">
        <v>3</v>
      </c>
      <c r="I156" s="2">
        <f t="shared" si="7"/>
        <v>0.33133049999999997</v>
      </c>
      <c r="J156">
        <f t="shared" si="9"/>
        <v>0.72028369565217387</v>
      </c>
      <c r="K156">
        <f t="shared" si="8"/>
        <v>0.21632965526247061</v>
      </c>
    </row>
    <row r="157" spans="1:11" x14ac:dyDescent="0.25">
      <c r="A157" s="1">
        <v>1970</v>
      </c>
      <c r="B157" s="1" t="s">
        <v>104</v>
      </c>
      <c r="C157" t="s">
        <v>9</v>
      </c>
      <c r="D157" s="1" t="s">
        <v>94</v>
      </c>
      <c r="E157">
        <v>53</v>
      </c>
      <c r="F157" s="1" t="s">
        <v>105</v>
      </c>
      <c r="G157">
        <v>2</v>
      </c>
      <c r="H157">
        <v>1</v>
      </c>
      <c r="I157" s="2">
        <f t="shared" si="7"/>
        <v>3.40875E-2</v>
      </c>
      <c r="J157">
        <f t="shared" si="9"/>
        <v>7.4103260869565216E-2</v>
      </c>
      <c r="K157">
        <f t="shared" si="8"/>
        <v>2.2256137372682162E-2</v>
      </c>
    </row>
    <row r="158" spans="1:11" x14ac:dyDescent="0.25">
      <c r="A158" s="1">
        <v>1970</v>
      </c>
      <c r="B158" s="1" t="s">
        <v>104</v>
      </c>
      <c r="C158" t="s">
        <v>9</v>
      </c>
      <c r="D158" s="1" t="s">
        <v>94</v>
      </c>
      <c r="E158">
        <v>56</v>
      </c>
      <c r="F158" s="1" t="s">
        <v>105</v>
      </c>
      <c r="G158">
        <v>3</v>
      </c>
      <c r="H158">
        <v>1</v>
      </c>
      <c r="I158" s="2">
        <f t="shared" si="7"/>
        <v>6.6811499999999996E-2</v>
      </c>
      <c r="J158">
        <f t="shared" si="9"/>
        <v>0.14524239130434782</v>
      </c>
      <c r="K158">
        <f t="shared" si="8"/>
        <v>4.3622029250457037E-2</v>
      </c>
    </row>
    <row r="159" spans="1:11" x14ac:dyDescent="0.25">
      <c r="A159" s="1">
        <v>1970</v>
      </c>
      <c r="B159" s="1" t="s">
        <v>104</v>
      </c>
      <c r="C159" t="s">
        <v>9</v>
      </c>
      <c r="D159" s="1" t="s">
        <v>94</v>
      </c>
      <c r="E159">
        <v>58</v>
      </c>
      <c r="F159" s="1" t="s">
        <v>105</v>
      </c>
      <c r="G159">
        <v>1</v>
      </c>
      <c r="H159">
        <v>7</v>
      </c>
      <c r="I159" s="2">
        <f t="shared" si="7"/>
        <v>8.5900499999999991E-2</v>
      </c>
      <c r="J159">
        <f t="shared" si="9"/>
        <v>0.18674021739130431</v>
      </c>
      <c r="K159">
        <f t="shared" si="8"/>
        <v>5.6085466179159035E-2</v>
      </c>
    </row>
    <row r="160" spans="1:11" x14ac:dyDescent="0.25">
      <c r="A160" s="1">
        <v>1970</v>
      </c>
      <c r="B160" s="1" t="s">
        <v>104</v>
      </c>
      <c r="C160" t="s">
        <v>9</v>
      </c>
      <c r="D160" s="1" t="s">
        <v>94</v>
      </c>
      <c r="E160">
        <v>66</v>
      </c>
      <c r="F160" s="1" t="s">
        <v>105</v>
      </c>
      <c r="G160">
        <v>1</v>
      </c>
      <c r="H160">
        <v>1</v>
      </c>
      <c r="I160" s="2">
        <f t="shared" si="7"/>
        <v>1.2271499999999999E-2</v>
      </c>
      <c r="J160">
        <f t="shared" si="9"/>
        <v>2.6677173913043476E-2</v>
      </c>
      <c r="K160">
        <f t="shared" si="8"/>
        <v>8.0122094541655777E-3</v>
      </c>
    </row>
    <row r="161" spans="1:11" x14ac:dyDescent="0.25">
      <c r="A161" s="1">
        <v>1970</v>
      </c>
      <c r="B161" s="1" t="s">
        <v>104</v>
      </c>
      <c r="C161" t="s">
        <v>9</v>
      </c>
      <c r="D161" s="1" t="s">
        <v>94</v>
      </c>
      <c r="E161">
        <v>66</v>
      </c>
      <c r="F161" s="1" t="s">
        <v>105</v>
      </c>
      <c r="G161">
        <v>2</v>
      </c>
      <c r="H161">
        <v>1</v>
      </c>
      <c r="I161" s="2">
        <f t="shared" si="7"/>
        <v>3.40875E-2</v>
      </c>
      <c r="J161">
        <f t="shared" si="9"/>
        <v>7.4103260869565216E-2</v>
      </c>
      <c r="K161">
        <f t="shared" si="8"/>
        <v>2.2256137372682162E-2</v>
      </c>
    </row>
    <row r="162" spans="1:11" x14ac:dyDescent="0.25">
      <c r="A162" s="1">
        <v>1970</v>
      </c>
      <c r="B162" s="1" t="s">
        <v>104</v>
      </c>
      <c r="C162" t="s">
        <v>9</v>
      </c>
      <c r="D162" s="1" t="s">
        <v>94</v>
      </c>
      <c r="E162">
        <v>71</v>
      </c>
      <c r="F162" s="1" t="s">
        <v>105</v>
      </c>
      <c r="G162">
        <v>1</v>
      </c>
      <c r="H162">
        <v>3</v>
      </c>
      <c r="I162" s="2">
        <f t="shared" si="7"/>
        <v>3.68145E-2</v>
      </c>
      <c r="J162">
        <f t="shared" si="9"/>
        <v>8.0031521739130432E-2</v>
      </c>
      <c r="K162">
        <f t="shared" si="8"/>
        <v>2.4036628362496735E-2</v>
      </c>
    </row>
    <row r="163" spans="1:11" x14ac:dyDescent="0.25">
      <c r="A163" s="1">
        <v>1970</v>
      </c>
      <c r="B163" s="1" t="s">
        <v>104</v>
      </c>
      <c r="C163" t="s">
        <v>9</v>
      </c>
      <c r="D163" s="1" t="s">
        <v>94</v>
      </c>
      <c r="E163">
        <v>76</v>
      </c>
      <c r="F163" s="1" t="s">
        <v>105</v>
      </c>
      <c r="G163">
        <v>1</v>
      </c>
      <c r="H163">
        <v>7</v>
      </c>
      <c r="I163" s="2">
        <f t="shared" si="7"/>
        <v>8.5900499999999991E-2</v>
      </c>
      <c r="J163">
        <f t="shared" si="9"/>
        <v>0.18674021739130431</v>
      </c>
      <c r="K163">
        <f t="shared" si="8"/>
        <v>5.6085466179159035E-2</v>
      </c>
    </row>
    <row r="164" spans="1:11" x14ac:dyDescent="0.25">
      <c r="A164" s="1">
        <v>1970</v>
      </c>
      <c r="B164" s="1" t="s">
        <v>104</v>
      </c>
      <c r="C164" t="s">
        <v>9</v>
      </c>
      <c r="D164" s="1" t="s">
        <v>94</v>
      </c>
      <c r="E164">
        <v>76</v>
      </c>
      <c r="F164" s="1" t="s">
        <v>105</v>
      </c>
      <c r="G164">
        <v>2</v>
      </c>
      <c r="H164">
        <v>1</v>
      </c>
      <c r="I164" s="2">
        <f t="shared" si="7"/>
        <v>3.40875E-2</v>
      </c>
      <c r="J164">
        <f t="shared" si="9"/>
        <v>7.4103260869565216E-2</v>
      </c>
      <c r="K164">
        <f t="shared" si="8"/>
        <v>2.2256137372682162E-2</v>
      </c>
    </row>
    <row r="165" spans="1:11" x14ac:dyDescent="0.25">
      <c r="A165" s="1">
        <v>1970</v>
      </c>
      <c r="B165" s="1" t="s">
        <v>104</v>
      </c>
      <c r="C165" t="s">
        <v>9</v>
      </c>
      <c r="D165" s="1" t="s">
        <v>94</v>
      </c>
      <c r="E165">
        <v>79</v>
      </c>
      <c r="F165" s="1" t="s">
        <v>105</v>
      </c>
      <c r="G165">
        <v>1</v>
      </c>
      <c r="H165">
        <v>16</v>
      </c>
      <c r="I165" s="2">
        <f t="shared" si="7"/>
        <v>0.19634399999999999</v>
      </c>
      <c r="J165">
        <f t="shared" si="9"/>
        <v>0.42683478260869562</v>
      </c>
      <c r="K165">
        <f t="shared" si="8"/>
        <v>0.12819535126664924</v>
      </c>
    </row>
    <row r="166" spans="1:11" x14ac:dyDescent="0.25">
      <c r="A166" s="1">
        <v>1970</v>
      </c>
      <c r="B166" s="1" t="s">
        <v>104</v>
      </c>
      <c r="C166" t="s">
        <v>9</v>
      </c>
      <c r="D166" s="1" t="s">
        <v>94</v>
      </c>
      <c r="E166">
        <v>79</v>
      </c>
      <c r="F166" s="1" t="s">
        <v>105</v>
      </c>
      <c r="G166">
        <v>2</v>
      </c>
      <c r="H166">
        <v>6</v>
      </c>
      <c r="I166" s="2">
        <f t="shared" si="7"/>
        <v>0.20452500000000001</v>
      </c>
      <c r="J166">
        <f t="shared" si="9"/>
        <v>0.44461956521739132</v>
      </c>
      <c r="K166">
        <f t="shared" si="8"/>
        <v>0.13353682423609298</v>
      </c>
    </row>
    <row r="167" spans="1:11" x14ac:dyDescent="0.25">
      <c r="A167" s="1">
        <v>1970</v>
      </c>
      <c r="B167" s="1" t="s">
        <v>104</v>
      </c>
      <c r="C167" t="s">
        <v>9</v>
      </c>
      <c r="D167" s="1" t="s">
        <v>94</v>
      </c>
      <c r="E167">
        <v>79</v>
      </c>
      <c r="F167" s="1" t="s">
        <v>105</v>
      </c>
      <c r="G167">
        <v>3</v>
      </c>
      <c r="H167">
        <v>3</v>
      </c>
      <c r="I167" s="2">
        <f t="shared" si="7"/>
        <v>0.20043449999999999</v>
      </c>
      <c r="J167">
        <f t="shared" si="9"/>
        <v>0.43572717391304344</v>
      </c>
      <c r="K167">
        <f t="shared" si="8"/>
        <v>0.1308660877513711</v>
      </c>
    </row>
    <row r="168" spans="1:11" x14ac:dyDescent="0.25">
      <c r="A168" s="1">
        <v>1970</v>
      </c>
      <c r="B168" s="1" t="s">
        <v>104</v>
      </c>
      <c r="C168" t="s">
        <v>9</v>
      </c>
      <c r="D168" s="1" t="s">
        <v>94</v>
      </c>
      <c r="E168">
        <v>79</v>
      </c>
      <c r="F168" s="1" t="s">
        <v>105</v>
      </c>
      <c r="G168">
        <v>4</v>
      </c>
      <c r="H168">
        <v>4</v>
      </c>
      <c r="I168" s="2">
        <f t="shared" si="7"/>
        <v>0.44177399999999994</v>
      </c>
      <c r="J168">
        <f t="shared" si="9"/>
        <v>0.96037826086956501</v>
      </c>
      <c r="K168">
        <f t="shared" si="8"/>
        <v>0.28843954034996078</v>
      </c>
    </row>
    <row r="169" spans="1:11" x14ac:dyDescent="0.25">
      <c r="A169" s="1">
        <v>1970</v>
      </c>
      <c r="B169" s="1" t="s">
        <v>104</v>
      </c>
      <c r="C169" t="s">
        <v>9</v>
      </c>
      <c r="D169" s="1" t="s">
        <v>94</v>
      </c>
      <c r="E169">
        <v>85</v>
      </c>
      <c r="F169" s="1" t="s">
        <v>105</v>
      </c>
      <c r="G169">
        <v>1</v>
      </c>
      <c r="H169">
        <v>5</v>
      </c>
      <c r="I169" s="2">
        <f t="shared" si="7"/>
        <v>6.1357499999999995E-2</v>
      </c>
      <c r="J169">
        <f t="shared" si="9"/>
        <v>0.13338586956521736</v>
      </c>
      <c r="K169">
        <f t="shared" si="8"/>
        <v>4.0061047270827883E-2</v>
      </c>
    </row>
    <row r="170" spans="1:11" x14ac:dyDescent="0.25">
      <c r="A170" s="1">
        <v>1970</v>
      </c>
      <c r="B170" s="1" t="s">
        <v>104</v>
      </c>
      <c r="C170" t="s">
        <v>9</v>
      </c>
      <c r="D170" s="1" t="s">
        <v>94</v>
      </c>
      <c r="E170">
        <v>85</v>
      </c>
      <c r="F170" s="1" t="s">
        <v>105</v>
      </c>
      <c r="G170">
        <v>2</v>
      </c>
      <c r="H170">
        <v>1</v>
      </c>
      <c r="I170" s="2">
        <f t="shared" si="7"/>
        <v>3.40875E-2</v>
      </c>
      <c r="J170">
        <f t="shared" si="9"/>
        <v>7.4103260869565216E-2</v>
      </c>
      <c r="K170">
        <f t="shared" si="8"/>
        <v>2.2256137372682162E-2</v>
      </c>
    </row>
    <row r="171" spans="1:11" x14ac:dyDescent="0.25">
      <c r="A171" s="1">
        <v>1970</v>
      </c>
      <c r="B171" s="1" t="s">
        <v>104</v>
      </c>
      <c r="C171" t="s">
        <v>9</v>
      </c>
      <c r="D171" s="1" t="s">
        <v>95</v>
      </c>
      <c r="E171">
        <v>32</v>
      </c>
      <c r="F171" s="1" t="s">
        <v>105</v>
      </c>
      <c r="G171">
        <v>1</v>
      </c>
      <c r="H171">
        <v>9</v>
      </c>
      <c r="I171" s="2">
        <f t="shared" si="7"/>
        <v>0.1104435</v>
      </c>
      <c r="J171">
        <f t="shared" si="9"/>
        <v>0.24009456521739128</v>
      </c>
      <c r="K171">
        <f t="shared" si="8"/>
        <v>7.2109885087490194E-2</v>
      </c>
    </row>
    <row r="172" spans="1:11" x14ac:dyDescent="0.25">
      <c r="A172" s="1">
        <v>1970</v>
      </c>
      <c r="B172" s="1" t="s">
        <v>104</v>
      </c>
      <c r="C172" t="s">
        <v>9</v>
      </c>
      <c r="D172" s="1" t="s">
        <v>95</v>
      </c>
      <c r="E172">
        <v>32</v>
      </c>
      <c r="F172" s="1" t="s">
        <v>105</v>
      </c>
      <c r="G172">
        <v>2</v>
      </c>
      <c r="H172">
        <v>3</v>
      </c>
      <c r="I172" s="2">
        <f t="shared" si="7"/>
        <v>0.10226250000000001</v>
      </c>
      <c r="J172">
        <f t="shared" si="9"/>
        <v>0.22230978260869566</v>
      </c>
      <c r="K172">
        <f t="shared" si="8"/>
        <v>6.6768412118046488E-2</v>
      </c>
    </row>
    <row r="173" spans="1:11" x14ac:dyDescent="0.25">
      <c r="A173" s="1">
        <v>1970</v>
      </c>
      <c r="B173" s="1" t="s">
        <v>104</v>
      </c>
      <c r="C173" t="s">
        <v>9</v>
      </c>
      <c r="D173" s="1" t="s">
        <v>95</v>
      </c>
      <c r="E173">
        <v>40</v>
      </c>
      <c r="F173" s="1" t="s">
        <v>105</v>
      </c>
      <c r="G173">
        <v>1</v>
      </c>
      <c r="H173">
        <v>1</v>
      </c>
      <c r="I173" s="2">
        <f t="shared" si="7"/>
        <v>1.2271499999999999E-2</v>
      </c>
      <c r="J173">
        <f t="shared" si="9"/>
        <v>2.6677173913043476E-2</v>
      </c>
      <c r="K173">
        <f t="shared" si="8"/>
        <v>8.0122094541655777E-3</v>
      </c>
    </row>
    <row r="174" spans="1:11" x14ac:dyDescent="0.25">
      <c r="A174" s="1">
        <v>1970</v>
      </c>
      <c r="B174" s="1" t="s">
        <v>104</v>
      </c>
      <c r="C174" t="s">
        <v>9</v>
      </c>
      <c r="D174" s="1" t="s">
        <v>95</v>
      </c>
      <c r="E174">
        <v>54</v>
      </c>
      <c r="F174" s="1" t="s">
        <v>105</v>
      </c>
      <c r="G174">
        <v>1</v>
      </c>
      <c r="H174">
        <v>3</v>
      </c>
      <c r="I174" s="2">
        <f t="shared" si="7"/>
        <v>3.68145E-2</v>
      </c>
      <c r="J174">
        <f t="shared" si="9"/>
        <v>8.0031521739130432E-2</v>
      </c>
      <c r="K174">
        <f t="shared" si="8"/>
        <v>2.4036628362496735E-2</v>
      </c>
    </row>
    <row r="175" spans="1:11" x14ac:dyDescent="0.25">
      <c r="A175" s="1">
        <v>1970</v>
      </c>
      <c r="B175" s="1" t="s">
        <v>104</v>
      </c>
      <c r="C175" t="s">
        <v>9</v>
      </c>
      <c r="D175" s="1" t="s">
        <v>95</v>
      </c>
      <c r="E175">
        <v>54</v>
      </c>
      <c r="F175" s="1" t="s">
        <v>105</v>
      </c>
      <c r="G175">
        <v>2</v>
      </c>
      <c r="H175">
        <v>1</v>
      </c>
      <c r="I175" s="2">
        <f t="shared" si="7"/>
        <v>3.40875E-2</v>
      </c>
      <c r="J175">
        <f t="shared" si="9"/>
        <v>7.4103260869565216E-2</v>
      </c>
      <c r="K175">
        <f t="shared" si="8"/>
        <v>2.2256137372682162E-2</v>
      </c>
    </row>
    <row r="176" spans="1:11" x14ac:dyDescent="0.25">
      <c r="A176" s="1">
        <v>1970</v>
      </c>
      <c r="B176" s="1" t="s">
        <v>104</v>
      </c>
      <c r="C176" t="s">
        <v>9</v>
      </c>
      <c r="D176" s="1" t="s">
        <v>95</v>
      </c>
      <c r="E176">
        <v>76</v>
      </c>
      <c r="F176" s="1" t="s">
        <v>105</v>
      </c>
      <c r="G176">
        <v>2</v>
      </c>
      <c r="H176">
        <v>1</v>
      </c>
      <c r="I176" s="2">
        <f t="shared" si="7"/>
        <v>3.40875E-2</v>
      </c>
      <c r="J176">
        <f t="shared" si="9"/>
        <v>7.4103260869565216E-2</v>
      </c>
      <c r="K176">
        <f t="shared" si="8"/>
        <v>2.2256137372682162E-2</v>
      </c>
    </row>
    <row r="177" spans="1:11" x14ac:dyDescent="0.25">
      <c r="A177" s="1">
        <v>1970</v>
      </c>
      <c r="B177" s="1" t="s">
        <v>104</v>
      </c>
      <c r="C177" t="s">
        <v>9</v>
      </c>
      <c r="D177" s="1" t="s">
        <v>95</v>
      </c>
      <c r="E177">
        <v>79</v>
      </c>
      <c r="F177" s="1" t="s">
        <v>105</v>
      </c>
      <c r="G177">
        <v>1</v>
      </c>
      <c r="H177">
        <v>5</v>
      </c>
      <c r="I177" s="2">
        <f t="shared" si="7"/>
        <v>6.1357499999999995E-2</v>
      </c>
      <c r="J177">
        <f t="shared" si="9"/>
        <v>0.13338586956521736</v>
      </c>
      <c r="K177">
        <f t="shared" si="8"/>
        <v>4.0061047270827883E-2</v>
      </c>
    </row>
    <row r="178" spans="1:11" x14ac:dyDescent="0.25">
      <c r="A178" s="1">
        <v>1970</v>
      </c>
      <c r="B178" s="1" t="s">
        <v>104</v>
      </c>
      <c r="C178" t="s">
        <v>9</v>
      </c>
      <c r="D178" s="1" t="s">
        <v>95</v>
      </c>
      <c r="E178">
        <v>79</v>
      </c>
      <c r="F178" s="1" t="s">
        <v>105</v>
      </c>
      <c r="G178">
        <v>2</v>
      </c>
      <c r="H178">
        <v>2</v>
      </c>
      <c r="I178" s="2">
        <f t="shared" si="7"/>
        <v>6.8174999999999999E-2</v>
      </c>
      <c r="J178">
        <f t="shared" si="9"/>
        <v>0.14820652173913043</v>
      </c>
      <c r="K178">
        <f t="shared" si="8"/>
        <v>4.4512274745364323E-2</v>
      </c>
    </row>
    <row r="179" spans="1:11" x14ac:dyDescent="0.25">
      <c r="A179" s="1">
        <v>1970</v>
      </c>
      <c r="B179" s="1" t="s">
        <v>104</v>
      </c>
      <c r="C179" t="s">
        <v>9</v>
      </c>
      <c r="D179" s="1" t="s">
        <v>95</v>
      </c>
      <c r="E179">
        <v>79</v>
      </c>
      <c r="F179" s="1" t="s">
        <v>105</v>
      </c>
      <c r="G179">
        <v>4</v>
      </c>
      <c r="H179">
        <v>1</v>
      </c>
      <c r="I179" s="2">
        <f t="shared" si="7"/>
        <v>0.11044349999999999</v>
      </c>
      <c r="J179">
        <f t="shared" si="9"/>
        <v>0.24009456521739125</v>
      </c>
      <c r="K179">
        <f t="shared" si="8"/>
        <v>7.2109885087490194E-2</v>
      </c>
    </row>
    <row r="180" spans="1:11" x14ac:dyDescent="0.25">
      <c r="A180" s="1">
        <v>1970</v>
      </c>
      <c r="B180" s="1" t="s">
        <v>104</v>
      </c>
      <c r="C180" t="s">
        <v>9</v>
      </c>
      <c r="D180" s="1" t="s">
        <v>97</v>
      </c>
      <c r="E180">
        <v>32</v>
      </c>
      <c r="F180" s="1" t="s">
        <v>105</v>
      </c>
      <c r="G180">
        <v>1</v>
      </c>
      <c r="H180">
        <v>8</v>
      </c>
      <c r="I180" s="2">
        <f t="shared" si="7"/>
        <v>9.8171999999999995E-2</v>
      </c>
      <c r="J180">
        <f t="shared" si="9"/>
        <v>0.21341739130434781</v>
      </c>
      <c r="K180">
        <f t="shared" si="8"/>
        <v>6.4097675633324622E-2</v>
      </c>
    </row>
    <row r="181" spans="1:11" x14ac:dyDescent="0.25">
      <c r="A181" s="1">
        <v>1970</v>
      </c>
      <c r="B181" s="1" t="s">
        <v>104</v>
      </c>
      <c r="C181" t="s">
        <v>9</v>
      </c>
      <c r="D181" s="1" t="s">
        <v>97</v>
      </c>
      <c r="E181">
        <v>32</v>
      </c>
      <c r="F181" s="1" t="s">
        <v>105</v>
      </c>
      <c r="G181">
        <v>2</v>
      </c>
      <c r="H181">
        <v>1</v>
      </c>
      <c r="I181" s="2">
        <f t="shared" si="7"/>
        <v>3.40875E-2</v>
      </c>
      <c r="J181">
        <f t="shared" si="9"/>
        <v>7.4103260869565216E-2</v>
      </c>
      <c r="K181">
        <f t="shared" si="8"/>
        <v>2.2256137372682162E-2</v>
      </c>
    </row>
    <row r="182" spans="1:11" x14ac:dyDescent="0.25">
      <c r="A182" s="1">
        <v>1970</v>
      </c>
      <c r="B182" s="1" t="s">
        <v>104</v>
      </c>
      <c r="C182" t="s">
        <v>9</v>
      </c>
      <c r="D182" s="1" t="s">
        <v>97</v>
      </c>
      <c r="E182">
        <v>34</v>
      </c>
      <c r="F182" s="1" t="s">
        <v>105</v>
      </c>
      <c r="G182">
        <v>2</v>
      </c>
      <c r="H182">
        <v>1</v>
      </c>
      <c r="I182" s="2">
        <f t="shared" si="7"/>
        <v>3.40875E-2</v>
      </c>
      <c r="J182">
        <f t="shared" si="9"/>
        <v>7.4103260869565216E-2</v>
      </c>
      <c r="K182">
        <f t="shared" si="8"/>
        <v>2.2256137372682162E-2</v>
      </c>
    </row>
    <row r="183" spans="1:11" x14ac:dyDescent="0.25">
      <c r="A183" s="1">
        <v>1970</v>
      </c>
      <c r="B183" s="1" t="s">
        <v>104</v>
      </c>
      <c r="C183" t="s">
        <v>9</v>
      </c>
      <c r="D183" s="1" t="s">
        <v>97</v>
      </c>
      <c r="E183">
        <v>54</v>
      </c>
      <c r="F183" s="1" t="s">
        <v>105</v>
      </c>
      <c r="G183">
        <v>2</v>
      </c>
      <c r="H183">
        <v>1</v>
      </c>
      <c r="I183" s="2">
        <f t="shared" si="7"/>
        <v>3.40875E-2</v>
      </c>
      <c r="J183">
        <f t="shared" si="9"/>
        <v>7.4103260869565216E-2</v>
      </c>
      <c r="K183">
        <f t="shared" si="8"/>
        <v>2.2256137372682162E-2</v>
      </c>
    </row>
    <row r="184" spans="1:11" x14ac:dyDescent="0.25">
      <c r="A184" s="1">
        <v>1970</v>
      </c>
      <c r="B184" s="1" t="s">
        <v>104</v>
      </c>
      <c r="C184" t="s">
        <v>9</v>
      </c>
      <c r="D184" s="1" t="s">
        <v>97</v>
      </c>
      <c r="E184">
        <v>58</v>
      </c>
      <c r="F184" s="1" t="s">
        <v>105</v>
      </c>
      <c r="G184">
        <v>2</v>
      </c>
      <c r="H184">
        <v>1</v>
      </c>
      <c r="I184" s="2">
        <f t="shared" si="7"/>
        <v>3.40875E-2</v>
      </c>
      <c r="J184">
        <f t="shared" si="9"/>
        <v>7.4103260869565216E-2</v>
      </c>
      <c r="K184">
        <f t="shared" si="8"/>
        <v>2.2256137372682162E-2</v>
      </c>
    </row>
    <row r="185" spans="1:11" x14ac:dyDescent="0.25">
      <c r="A185" s="1">
        <v>1970</v>
      </c>
      <c r="B185" s="1" t="s">
        <v>104</v>
      </c>
      <c r="C185" t="s">
        <v>9</v>
      </c>
      <c r="D185" s="1" t="s">
        <v>97</v>
      </c>
      <c r="E185">
        <v>76</v>
      </c>
      <c r="F185" s="1" t="s">
        <v>105</v>
      </c>
      <c r="G185">
        <v>2</v>
      </c>
      <c r="H185">
        <v>2</v>
      </c>
      <c r="I185" s="2">
        <f t="shared" si="7"/>
        <v>6.8174999999999999E-2</v>
      </c>
      <c r="J185">
        <f t="shared" si="9"/>
        <v>0.14820652173913043</v>
      </c>
      <c r="K185">
        <f t="shared" si="8"/>
        <v>4.4512274745364323E-2</v>
      </c>
    </row>
    <row r="186" spans="1:11" x14ac:dyDescent="0.25">
      <c r="A186" s="1">
        <v>1970</v>
      </c>
      <c r="B186" s="1" t="s">
        <v>104</v>
      </c>
      <c r="C186" t="s">
        <v>9</v>
      </c>
      <c r="D186" s="1" t="s">
        <v>97</v>
      </c>
      <c r="E186">
        <v>79</v>
      </c>
      <c r="F186" s="1" t="s">
        <v>105</v>
      </c>
      <c r="G186">
        <v>1</v>
      </c>
      <c r="H186">
        <v>1</v>
      </c>
      <c r="I186" s="2">
        <f t="shared" si="7"/>
        <v>1.2271499999999999E-2</v>
      </c>
      <c r="J186">
        <f t="shared" si="9"/>
        <v>2.6677173913043476E-2</v>
      </c>
      <c r="K186">
        <f t="shared" si="8"/>
        <v>8.0122094541655777E-3</v>
      </c>
    </row>
    <row r="187" spans="1:11" x14ac:dyDescent="0.25">
      <c r="A187" s="1">
        <v>1970</v>
      </c>
      <c r="B187" s="1" t="s">
        <v>104</v>
      </c>
      <c r="C187" t="s">
        <v>9</v>
      </c>
      <c r="D187" s="1" t="s">
        <v>97</v>
      </c>
      <c r="E187">
        <v>79</v>
      </c>
      <c r="F187" s="1" t="s">
        <v>105</v>
      </c>
      <c r="G187">
        <v>2</v>
      </c>
      <c r="H187">
        <v>1</v>
      </c>
      <c r="I187" s="2">
        <f t="shared" si="7"/>
        <v>3.40875E-2</v>
      </c>
      <c r="J187">
        <f t="shared" si="9"/>
        <v>7.4103260869565216E-2</v>
      </c>
      <c r="K187">
        <f t="shared" si="8"/>
        <v>2.2256137372682162E-2</v>
      </c>
    </row>
    <row r="188" spans="1:11" x14ac:dyDescent="0.25">
      <c r="A188" s="1">
        <v>1970</v>
      </c>
      <c r="B188" s="1" t="s">
        <v>104</v>
      </c>
      <c r="C188" t="s">
        <v>9</v>
      </c>
      <c r="D188" s="1" t="s">
        <v>97</v>
      </c>
      <c r="E188">
        <v>79</v>
      </c>
      <c r="F188" s="1" t="s">
        <v>105</v>
      </c>
      <c r="G188">
        <v>3</v>
      </c>
      <c r="H188">
        <v>1</v>
      </c>
      <c r="I188" s="2">
        <f t="shared" si="7"/>
        <v>6.6811499999999996E-2</v>
      </c>
      <c r="J188">
        <f t="shared" si="9"/>
        <v>0.14524239130434782</v>
      </c>
      <c r="K188">
        <f t="shared" si="8"/>
        <v>4.3622029250457037E-2</v>
      </c>
    </row>
    <row r="189" spans="1:11" x14ac:dyDescent="0.25">
      <c r="A189" s="1">
        <v>1970</v>
      </c>
      <c r="B189" s="1" t="s">
        <v>104</v>
      </c>
      <c r="C189" t="s">
        <v>9</v>
      </c>
      <c r="D189" s="1" t="s">
        <v>96</v>
      </c>
      <c r="E189">
        <v>21</v>
      </c>
      <c r="F189" s="1" t="s">
        <v>105</v>
      </c>
      <c r="G189">
        <v>1</v>
      </c>
      <c r="H189">
        <v>18</v>
      </c>
      <c r="I189" s="2">
        <f t="shared" si="7"/>
        <v>0.220887</v>
      </c>
      <c r="J189">
        <f t="shared" si="9"/>
        <v>0.48018913043478256</v>
      </c>
      <c r="K189">
        <f t="shared" si="8"/>
        <v>0.14421977017498039</v>
      </c>
    </row>
    <row r="190" spans="1:11" x14ac:dyDescent="0.25">
      <c r="A190" s="1">
        <v>1970</v>
      </c>
      <c r="B190" s="1" t="s">
        <v>104</v>
      </c>
      <c r="C190" t="s">
        <v>9</v>
      </c>
      <c r="D190" s="1" t="s">
        <v>96</v>
      </c>
      <c r="E190">
        <v>21</v>
      </c>
      <c r="F190" s="1" t="s">
        <v>105</v>
      </c>
      <c r="G190">
        <v>2</v>
      </c>
      <c r="H190">
        <v>2</v>
      </c>
      <c r="I190" s="2">
        <f t="shared" si="7"/>
        <v>6.8174999999999999E-2</v>
      </c>
      <c r="J190">
        <f t="shared" si="9"/>
        <v>0.14820652173913043</v>
      </c>
      <c r="K190">
        <f t="shared" si="8"/>
        <v>4.4512274745364323E-2</v>
      </c>
    </row>
    <row r="191" spans="1:11" x14ac:dyDescent="0.25">
      <c r="A191" s="1">
        <v>1970</v>
      </c>
      <c r="B191" s="1" t="s">
        <v>104</v>
      </c>
      <c r="C191" t="s">
        <v>9</v>
      </c>
      <c r="D191" s="1" t="s">
        <v>96</v>
      </c>
      <c r="E191">
        <v>21</v>
      </c>
      <c r="F191" s="1" t="s">
        <v>105</v>
      </c>
      <c r="G191">
        <v>3</v>
      </c>
      <c r="H191">
        <v>1</v>
      </c>
      <c r="I191" s="2">
        <f t="shared" si="7"/>
        <v>6.6811499999999996E-2</v>
      </c>
      <c r="J191">
        <f t="shared" si="9"/>
        <v>0.14524239130434782</v>
      </c>
      <c r="K191">
        <f t="shared" si="8"/>
        <v>4.3622029250457037E-2</v>
      </c>
    </row>
    <row r="192" spans="1:11" x14ac:dyDescent="0.25">
      <c r="A192" s="1">
        <v>1970</v>
      </c>
      <c r="B192" s="1" t="s">
        <v>104</v>
      </c>
      <c r="C192" t="s">
        <v>9</v>
      </c>
      <c r="D192" s="1" t="s">
        <v>96</v>
      </c>
      <c r="E192">
        <v>63</v>
      </c>
      <c r="F192" s="1" t="s">
        <v>105</v>
      </c>
      <c r="G192">
        <v>1</v>
      </c>
      <c r="H192">
        <v>26</v>
      </c>
      <c r="I192" s="2">
        <f t="shared" si="7"/>
        <v>0.31905899999999998</v>
      </c>
      <c r="J192">
        <f t="shared" si="9"/>
        <v>0.6936065217391304</v>
      </c>
      <c r="K192">
        <f t="shared" si="8"/>
        <v>0.20831744580830502</v>
      </c>
    </row>
    <row r="193" spans="1:11" x14ac:dyDescent="0.25">
      <c r="A193" s="1">
        <v>1970</v>
      </c>
      <c r="B193" s="1" t="s">
        <v>104</v>
      </c>
      <c r="C193" t="s">
        <v>9</v>
      </c>
      <c r="D193" s="1" t="s">
        <v>96</v>
      </c>
      <c r="E193">
        <v>63</v>
      </c>
      <c r="F193" s="1" t="s">
        <v>105</v>
      </c>
      <c r="G193">
        <v>2</v>
      </c>
      <c r="H193">
        <v>8</v>
      </c>
      <c r="I193" s="2">
        <f t="shared" si="7"/>
        <v>0.2727</v>
      </c>
      <c r="J193">
        <f t="shared" si="9"/>
        <v>0.59282608695652173</v>
      </c>
      <c r="K193">
        <f t="shared" si="8"/>
        <v>0.17804909898145729</v>
      </c>
    </row>
    <row r="194" spans="1:11" x14ac:dyDescent="0.25">
      <c r="A194" s="1">
        <v>1970</v>
      </c>
      <c r="B194" s="1" t="s">
        <v>104</v>
      </c>
      <c r="C194" t="s">
        <v>9</v>
      </c>
      <c r="D194" s="1" t="s">
        <v>96</v>
      </c>
      <c r="E194">
        <v>63</v>
      </c>
      <c r="F194" s="1" t="s">
        <v>105</v>
      </c>
      <c r="G194">
        <v>3</v>
      </c>
      <c r="H194">
        <v>11</v>
      </c>
      <c r="I194" s="2">
        <f t="shared" si="7"/>
        <v>0.73492649999999993</v>
      </c>
      <c r="J194">
        <f t="shared" si="9"/>
        <v>1.5976663043478259</v>
      </c>
      <c r="K194">
        <f t="shared" si="8"/>
        <v>0.47984232175502733</v>
      </c>
    </row>
    <row r="195" spans="1:11" x14ac:dyDescent="0.25">
      <c r="A195" s="1">
        <v>1970</v>
      </c>
      <c r="B195" s="1" t="s">
        <v>104</v>
      </c>
      <c r="C195" t="s">
        <v>9</v>
      </c>
      <c r="D195" s="1" t="s">
        <v>96</v>
      </c>
      <c r="E195">
        <v>63</v>
      </c>
      <c r="F195" s="1" t="s">
        <v>105</v>
      </c>
      <c r="G195">
        <v>4</v>
      </c>
      <c r="H195">
        <v>5</v>
      </c>
      <c r="I195" s="2">
        <f t="shared" ref="I195:I200" si="10">0.005454*(G195+0.5)^2*H195</f>
        <v>0.55221749999999992</v>
      </c>
      <c r="J195">
        <f t="shared" si="9"/>
        <v>1.2004728260869564</v>
      </c>
      <c r="K195">
        <f t="shared" ref="K195:K200" si="11">J195*(11.5/38.29)</f>
        <v>0.360549425437451</v>
      </c>
    </row>
    <row r="196" spans="1:11" x14ac:dyDescent="0.25">
      <c r="A196" s="1">
        <v>1970</v>
      </c>
      <c r="B196" s="1" t="s">
        <v>104</v>
      </c>
      <c r="C196" t="s">
        <v>9</v>
      </c>
      <c r="D196" s="1" t="s">
        <v>96</v>
      </c>
      <c r="E196">
        <v>65</v>
      </c>
      <c r="F196" s="1" t="s">
        <v>105</v>
      </c>
      <c r="G196">
        <v>1</v>
      </c>
      <c r="H196">
        <v>1</v>
      </c>
      <c r="I196" s="2">
        <f t="shared" si="10"/>
        <v>1.2271499999999999E-2</v>
      </c>
      <c r="J196">
        <f t="shared" si="9"/>
        <v>2.6677173913043476E-2</v>
      </c>
      <c r="K196">
        <f t="shared" si="11"/>
        <v>8.0122094541655777E-3</v>
      </c>
    </row>
    <row r="197" spans="1:11" x14ac:dyDescent="0.25">
      <c r="A197" s="1">
        <v>1970</v>
      </c>
      <c r="B197" s="1" t="s">
        <v>104</v>
      </c>
      <c r="C197" t="s">
        <v>9</v>
      </c>
      <c r="D197" s="1" t="s">
        <v>96</v>
      </c>
      <c r="E197">
        <v>86</v>
      </c>
      <c r="F197" s="1" t="s">
        <v>105</v>
      </c>
      <c r="G197">
        <v>1</v>
      </c>
      <c r="H197">
        <v>8</v>
      </c>
      <c r="I197" s="2">
        <f t="shared" si="10"/>
        <v>9.8171999999999995E-2</v>
      </c>
      <c r="J197">
        <f t="shared" si="9"/>
        <v>0.21341739130434781</v>
      </c>
      <c r="K197">
        <f t="shared" si="11"/>
        <v>6.4097675633324622E-2</v>
      </c>
    </row>
    <row r="198" spans="1:11" x14ac:dyDescent="0.25">
      <c r="A198" s="1">
        <v>1970</v>
      </c>
      <c r="B198" s="1" t="s">
        <v>104</v>
      </c>
      <c r="C198" t="s">
        <v>9</v>
      </c>
      <c r="D198" s="1" t="s">
        <v>96</v>
      </c>
      <c r="E198">
        <v>86</v>
      </c>
      <c r="F198" s="1" t="s">
        <v>105</v>
      </c>
      <c r="G198">
        <v>2</v>
      </c>
      <c r="H198">
        <v>5</v>
      </c>
      <c r="I198" s="2">
        <f t="shared" si="10"/>
        <v>0.17043749999999999</v>
      </c>
      <c r="J198">
        <f t="shared" si="9"/>
        <v>0.37051630434782606</v>
      </c>
      <c r="K198">
        <f t="shared" si="11"/>
        <v>0.1112806868634108</v>
      </c>
    </row>
    <row r="199" spans="1:11" x14ac:dyDescent="0.25">
      <c r="A199" s="1">
        <v>1970</v>
      </c>
      <c r="B199" s="1" t="s">
        <v>104</v>
      </c>
      <c r="C199" t="s">
        <v>9</v>
      </c>
      <c r="D199" s="1" t="s">
        <v>96</v>
      </c>
      <c r="E199">
        <v>119</v>
      </c>
      <c r="F199" s="1" t="s">
        <v>105</v>
      </c>
      <c r="G199">
        <v>1</v>
      </c>
      <c r="H199">
        <v>7</v>
      </c>
      <c r="I199" s="2">
        <f t="shared" si="10"/>
        <v>8.5900499999999991E-2</v>
      </c>
      <c r="J199">
        <f t="shared" si="9"/>
        <v>0.18674021739130431</v>
      </c>
      <c r="K199">
        <f t="shared" si="11"/>
        <v>5.6085466179159035E-2</v>
      </c>
    </row>
    <row r="200" spans="1:11" x14ac:dyDescent="0.25">
      <c r="A200" s="1">
        <v>1970</v>
      </c>
      <c r="B200" s="1" t="s">
        <v>104</v>
      </c>
      <c r="C200" t="s">
        <v>9</v>
      </c>
      <c r="D200" s="1" t="s">
        <v>96</v>
      </c>
      <c r="E200">
        <v>119</v>
      </c>
      <c r="F200" s="1" t="s">
        <v>105</v>
      </c>
      <c r="G200">
        <v>2</v>
      </c>
      <c r="H200">
        <v>2</v>
      </c>
      <c r="I200" s="2">
        <f t="shared" si="10"/>
        <v>6.8174999999999999E-2</v>
      </c>
      <c r="J200">
        <f t="shared" si="9"/>
        <v>0.14820652173913043</v>
      </c>
      <c r="K200">
        <f t="shared" si="11"/>
        <v>4.4512274745364323E-2</v>
      </c>
    </row>
    <row r="201" spans="1:11" x14ac:dyDescent="0.25">
      <c r="I201" s="2"/>
    </row>
    <row r="202" spans="1:11" x14ac:dyDescent="0.25">
      <c r="I202" s="2"/>
    </row>
    <row r="203" spans="1:11" x14ac:dyDescent="0.25">
      <c r="I203" s="2"/>
    </row>
    <row r="204" spans="1:11" x14ac:dyDescent="0.25">
      <c r="I204" s="2"/>
    </row>
    <row r="205" spans="1:11" x14ac:dyDescent="0.25">
      <c r="I205" s="2"/>
    </row>
    <row r="206" spans="1:11" x14ac:dyDescent="0.25">
      <c r="I206" s="2"/>
    </row>
    <row r="207" spans="1:11" x14ac:dyDescent="0.25">
      <c r="I207" s="2"/>
    </row>
    <row r="208" spans="1:11" x14ac:dyDescent="0.25">
      <c r="I208" s="2"/>
    </row>
    <row r="209" spans="9:9" x14ac:dyDescent="0.25">
      <c r="I209" s="2"/>
    </row>
    <row r="210" spans="9:9" x14ac:dyDescent="0.25">
      <c r="I210" s="2"/>
    </row>
    <row r="211" spans="9:9" x14ac:dyDescent="0.25">
      <c r="I211" s="2"/>
    </row>
    <row r="212" spans="9:9" x14ac:dyDescent="0.25">
      <c r="I212" s="2"/>
    </row>
    <row r="213" spans="9:9" x14ac:dyDescent="0.25">
      <c r="I213" s="2"/>
    </row>
    <row r="214" spans="9:9" x14ac:dyDescent="0.25">
      <c r="I214" s="2"/>
    </row>
    <row r="215" spans="9:9" x14ac:dyDescent="0.25">
      <c r="I215" s="2"/>
    </row>
    <row r="216" spans="9:9" x14ac:dyDescent="0.25">
      <c r="I216" s="2"/>
    </row>
    <row r="217" spans="9:9" x14ac:dyDescent="0.25">
      <c r="I217" s="2"/>
    </row>
    <row r="218" spans="9:9" x14ac:dyDescent="0.25">
      <c r="I218" s="2"/>
    </row>
    <row r="219" spans="9:9" x14ac:dyDescent="0.25">
      <c r="I219" s="2"/>
    </row>
    <row r="220" spans="9:9" x14ac:dyDescent="0.25">
      <c r="I220" s="2"/>
    </row>
    <row r="221" spans="9:9" x14ac:dyDescent="0.25">
      <c r="I221" s="2"/>
    </row>
    <row r="222" spans="9:9" x14ac:dyDescent="0.25">
      <c r="I222" s="2"/>
    </row>
    <row r="223" spans="9:9" x14ac:dyDescent="0.25">
      <c r="I223" s="2"/>
    </row>
    <row r="224" spans="9:9" x14ac:dyDescent="0.25">
      <c r="I224" s="2"/>
    </row>
    <row r="225" spans="9:9" x14ac:dyDescent="0.25">
      <c r="I225" s="2"/>
    </row>
    <row r="226" spans="9:9" x14ac:dyDescent="0.25">
      <c r="I226" s="2"/>
    </row>
    <row r="227" spans="9:9" x14ac:dyDescent="0.25">
      <c r="I227" s="2"/>
    </row>
    <row r="228" spans="9:9" x14ac:dyDescent="0.25">
      <c r="I228" s="2"/>
    </row>
    <row r="229" spans="9:9" x14ac:dyDescent="0.25">
      <c r="I229" s="2"/>
    </row>
    <row r="230" spans="9:9" x14ac:dyDescent="0.25">
      <c r="I230" s="2"/>
    </row>
    <row r="231" spans="9:9" x14ac:dyDescent="0.25">
      <c r="I231" s="2"/>
    </row>
    <row r="232" spans="9:9" x14ac:dyDescent="0.25">
      <c r="I232" s="2"/>
    </row>
    <row r="233" spans="9:9" x14ac:dyDescent="0.25">
      <c r="I233" s="2"/>
    </row>
    <row r="234" spans="9:9" x14ac:dyDescent="0.25">
      <c r="I234" s="2"/>
    </row>
    <row r="235" spans="9:9" x14ac:dyDescent="0.25">
      <c r="I235" s="2"/>
    </row>
    <row r="236" spans="9:9" x14ac:dyDescent="0.25">
      <c r="I236" s="2"/>
    </row>
    <row r="237" spans="9:9" x14ac:dyDescent="0.25">
      <c r="I237" s="2"/>
    </row>
    <row r="238" spans="9:9" x14ac:dyDescent="0.25">
      <c r="I238" s="2"/>
    </row>
    <row r="239" spans="9:9" x14ac:dyDescent="0.25">
      <c r="I239" s="2"/>
    </row>
    <row r="240" spans="9:9" x14ac:dyDescent="0.25">
      <c r="I240" s="2"/>
    </row>
    <row r="241" spans="9:9" x14ac:dyDescent="0.25">
      <c r="I241" s="2"/>
    </row>
    <row r="242" spans="9:9" x14ac:dyDescent="0.25">
      <c r="I242" s="2"/>
    </row>
    <row r="243" spans="9:9" x14ac:dyDescent="0.25">
      <c r="I243" s="2"/>
    </row>
    <row r="244" spans="9:9" x14ac:dyDescent="0.25">
      <c r="I244" s="2"/>
    </row>
    <row r="245" spans="9:9" x14ac:dyDescent="0.25">
      <c r="I245" s="2"/>
    </row>
    <row r="246" spans="9:9" x14ac:dyDescent="0.25">
      <c r="I246" s="2"/>
    </row>
    <row r="247" spans="9:9" x14ac:dyDescent="0.25">
      <c r="I247" s="2"/>
    </row>
    <row r="248" spans="9:9" x14ac:dyDescent="0.25">
      <c r="I248" s="2"/>
    </row>
    <row r="249" spans="9:9" x14ac:dyDescent="0.25">
      <c r="I249" s="2"/>
    </row>
    <row r="250" spans="9:9" x14ac:dyDescent="0.25">
      <c r="I250" s="2"/>
    </row>
    <row r="251" spans="9:9" x14ac:dyDescent="0.25">
      <c r="I251" s="2"/>
    </row>
    <row r="252" spans="9:9" x14ac:dyDescent="0.25">
      <c r="I252" s="2"/>
    </row>
    <row r="253" spans="9:9" x14ac:dyDescent="0.25">
      <c r="I253" s="2"/>
    </row>
    <row r="254" spans="9:9" x14ac:dyDescent="0.25">
      <c r="I254" s="2"/>
    </row>
    <row r="255" spans="9:9" x14ac:dyDescent="0.25">
      <c r="I255" s="2"/>
    </row>
    <row r="256" spans="9:9" x14ac:dyDescent="0.25">
      <c r="I256" s="2"/>
    </row>
    <row r="257" spans="9:9" x14ac:dyDescent="0.25">
      <c r="I257" s="2"/>
    </row>
    <row r="258" spans="9:9" x14ac:dyDescent="0.25">
      <c r="I258" s="2"/>
    </row>
    <row r="259" spans="9:9" x14ac:dyDescent="0.25">
      <c r="I259" s="2"/>
    </row>
    <row r="260" spans="9:9" x14ac:dyDescent="0.25">
      <c r="I260" s="2"/>
    </row>
    <row r="261" spans="9:9" x14ac:dyDescent="0.25">
      <c r="I261" s="2"/>
    </row>
    <row r="262" spans="9:9" x14ac:dyDescent="0.25">
      <c r="I262" s="2"/>
    </row>
    <row r="263" spans="9:9" x14ac:dyDescent="0.25">
      <c r="I263" s="2"/>
    </row>
    <row r="264" spans="9:9" x14ac:dyDescent="0.25">
      <c r="I264" s="2"/>
    </row>
    <row r="265" spans="9:9" x14ac:dyDescent="0.25">
      <c r="I265" s="2"/>
    </row>
    <row r="266" spans="9:9" x14ac:dyDescent="0.25">
      <c r="I266" s="2"/>
    </row>
    <row r="267" spans="9:9" x14ac:dyDescent="0.25">
      <c r="I267" s="2"/>
    </row>
    <row r="268" spans="9:9" x14ac:dyDescent="0.25">
      <c r="I268" s="2"/>
    </row>
    <row r="269" spans="9:9" x14ac:dyDescent="0.25">
      <c r="I269" s="2"/>
    </row>
    <row r="270" spans="9:9" x14ac:dyDescent="0.25">
      <c r="I270" s="2"/>
    </row>
    <row r="271" spans="9:9" x14ac:dyDescent="0.25">
      <c r="I271" s="2"/>
    </row>
    <row r="272" spans="9:9" x14ac:dyDescent="0.25">
      <c r="I272" s="2"/>
    </row>
    <row r="273" spans="9:9" x14ac:dyDescent="0.25">
      <c r="I273" s="2"/>
    </row>
    <row r="274" spans="9:9" x14ac:dyDescent="0.25">
      <c r="I274" s="2"/>
    </row>
    <row r="275" spans="9:9" x14ac:dyDescent="0.25">
      <c r="I275" s="2"/>
    </row>
    <row r="276" spans="9:9" x14ac:dyDescent="0.25">
      <c r="I276" s="2"/>
    </row>
    <row r="277" spans="9:9" x14ac:dyDescent="0.25">
      <c r="I277" s="2"/>
    </row>
    <row r="278" spans="9:9" x14ac:dyDescent="0.25">
      <c r="I278" s="2"/>
    </row>
    <row r="279" spans="9:9" x14ac:dyDescent="0.25">
      <c r="I279" s="2"/>
    </row>
    <row r="280" spans="9:9" x14ac:dyDescent="0.25">
      <c r="I280" s="2"/>
    </row>
    <row r="281" spans="9:9" x14ac:dyDescent="0.25">
      <c r="I281" s="2"/>
    </row>
    <row r="282" spans="9:9" x14ac:dyDescent="0.25">
      <c r="I282" s="2"/>
    </row>
    <row r="283" spans="9:9" x14ac:dyDescent="0.25">
      <c r="I283" s="2"/>
    </row>
    <row r="284" spans="9:9" x14ac:dyDescent="0.25">
      <c r="I284" s="2"/>
    </row>
    <row r="285" spans="9:9" x14ac:dyDescent="0.25">
      <c r="I285" s="2"/>
    </row>
    <row r="286" spans="9:9" x14ac:dyDescent="0.25">
      <c r="I286" s="2"/>
    </row>
    <row r="287" spans="9:9" x14ac:dyDescent="0.25">
      <c r="I287" s="2"/>
    </row>
    <row r="288" spans="9:9" x14ac:dyDescent="0.25">
      <c r="I288" s="2"/>
    </row>
    <row r="289" spans="9:9" x14ac:dyDescent="0.25">
      <c r="I289" s="2"/>
    </row>
    <row r="290" spans="9:9" x14ac:dyDescent="0.25">
      <c r="I290" s="2"/>
    </row>
    <row r="291" spans="9:9" x14ac:dyDescent="0.25">
      <c r="I291" s="2"/>
    </row>
    <row r="292" spans="9:9" x14ac:dyDescent="0.25">
      <c r="I292" s="2"/>
    </row>
    <row r="293" spans="9:9" x14ac:dyDescent="0.25">
      <c r="I293" s="2"/>
    </row>
    <row r="294" spans="9:9" x14ac:dyDescent="0.25">
      <c r="I294" s="2"/>
    </row>
    <row r="295" spans="9:9" x14ac:dyDescent="0.25">
      <c r="I295" s="2"/>
    </row>
    <row r="296" spans="9:9" x14ac:dyDescent="0.25">
      <c r="I296" s="2"/>
    </row>
    <row r="297" spans="9:9" x14ac:dyDescent="0.25">
      <c r="I297" s="2"/>
    </row>
    <row r="298" spans="9:9" x14ac:dyDescent="0.25">
      <c r="I298" s="2"/>
    </row>
    <row r="299" spans="9:9" x14ac:dyDescent="0.25">
      <c r="I299" s="2"/>
    </row>
    <row r="300" spans="9:9" x14ac:dyDescent="0.25">
      <c r="I300" s="2"/>
    </row>
    <row r="301" spans="9:9" x14ac:dyDescent="0.25">
      <c r="I301" s="2"/>
    </row>
    <row r="302" spans="9:9" x14ac:dyDescent="0.25">
      <c r="I302" s="2"/>
    </row>
    <row r="303" spans="9:9" x14ac:dyDescent="0.25">
      <c r="I303" s="2"/>
    </row>
    <row r="304" spans="9:9" x14ac:dyDescent="0.25">
      <c r="I304" s="2"/>
    </row>
    <row r="305" spans="9:9" x14ac:dyDescent="0.25">
      <c r="I305" s="2"/>
    </row>
    <row r="306" spans="9:9" x14ac:dyDescent="0.25">
      <c r="I306" s="2"/>
    </row>
    <row r="307" spans="9:9" x14ac:dyDescent="0.25">
      <c r="I307" s="2"/>
    </row>
    <row r="308" spans="9:9" x14ac:dyDescent="0.25">
      <c r="I308" s="2"/>
    </row>
    <row r="309" spans="9:9" x14ac:dyDescent="0.25">
      <c r="I309" s="2"/>
    </row>
    <row r="310" spans="9:9" x14ac:dyDescent="0.25">
      <c r="I310" s="2"/>
    </row>
    <row r="311" spans="9:9" x14ac:dyDescent="0.25">
      <c r="I311" s="2"/>
    </row>
    <row r="312" spans="9:9" x14ac:dyDescent="0.25">
      <c r="I312" s="2"/>
    </row>
    <row r="313" spans="9:9" x14ac:dyDescent="0.25">
      <c r="I313" s="2"/>
    </row>
    <row r="314" spans="9:9" x14ac:dyDescent="0.25">
      <c r="I314" s="2"/>
    </row>
    <row r="315" spans="9:9" x14ac:dyDescent="0.25">
      <c r="I315" s="2"/>
    </row>
    <row r="316" spans="9:9" x14ac:dyDescent="0.25">
      <c r="I316" s="2"/>
    </row>
    <row r="317" spans="9:9" x14ac:dyDescent="0.25">
      <c r="I317" s="2"/>
    </row>
    <row r="318" spans="9:9" x14ac:dyDescent="0.25">
      <c r="I318" s="2"/>
    </row>
    <row r="319" spans="9:9" x14ac:dyDescent="0.25">
      <c r="I319" s="2"/>
    </row>
    <row r="320" spans="9:9" x14ac:dyDescent="0.25">
      <c r="I320" s="2"/>
    </row>
    <row r="321" spans="9:9" x14ac:dyDescent="0.25">
      <c r="I321" s="2"/>
    </row>
    <row r="322" spans="9:9" x14ac:dyDescent="0.25">
      <c r="I322" s="2"/>
    </row>
    <row r="323" spans="9:9" x14ac:dyDescent="0.25">
      <c r="I323" s="2"/>
    </row>
    <row r="324" spans="9:9" x14ac:dyDescent="0.25">
      <c r="I324" s="2"/>
    </row>
    <row r="325" spans="9:9" x14ac:dyDescent="0.25">
      <c r="I325" s="2"/>
    </row>
    <row r="326" spans="9:9" x14ac:dyDescent="0.25">
      <c r="I326" s="2"/>
    </row>
    <row r="327" spans="9:9" x14ac:dyDescent="0.25">
      <c r="I327" s="2"/>
    </row>
    <row r="328" spans="9:9" x14ac:dyDescent="0.25">
      <c r="I328" s="2"/>
    </row>
    <row r="329" spans="9:9" x14ac:dyDescent="0.25">
      <c r="I329" s="2"/>
    </row>
    <row r="330" spans="9:9" x14ac:dyDescent="0.25">
      <c r="I330" s="2"/>
    </row>
    <row r="331" spans="9:9" x14ac:dyDescent="0.25">
      <c r="I331" s="2"/>
    </row>
    <row r="332" spans="9:9" x14ac:dyDescent="0.25">
      <c r="I332" s="2"/>
    </row>
    <row r="333" spans="9:9" x14ac:dyDescent="0.25">
      <c r="I333" s="2"/>
    </row>
    <row r="334" spans="9:9" x14ac:dyDescent="0.25">
      <c r="I334" s="2"/>
    </row>
    <row r="335" spans="9:9" x14ac:dyDescent="0.25">
      <c r="I335" s="2"/>
    </row>
    <row r="336" spans="9:9" x14ac:dyDescent="0.25">
      <c r="I336" s="2"/>
    </row>
    <row r="337" spans="9:9" x14ac:dyDescent="0.25">
      <c r="I337" s="2"/>
    </row>
    <row r="338" spans="9:9" x14ac:dyDescent="0.25">
      <c r="I338" s="2"/>
    </row>
    <row r="339" spans="9:9" x14ac:dyDescent="0.25">
      <c r="I339" s="2"/>
    </row>
    <row r="340" spans="9:9" x14ac:dyDescent="0.25">
      <c r="I340" s="2"/>
    </row>
    <row r="341" spans="9:9" x14ac:dyDescent="0.25">
      <c r="I341" s="2"/>
    </row>
    <row r="342" spans="9:9" x14ac:dyDescent="0.25">
      <c r="I342" s="2"/>
    </row>
    <row r="343" spans="9:9" x14ac:dyDescent="0.25">
      <c r="I343" s="2"/>
    </row>
    <row r="344" spans="9:9" x14ac:dyDescent="0.25">
      <c r="I344" s="2"/>
    </row>
    <row r="345" spans="9:9" x14ac:dyDescent="0.25">
      <c r="I345" s="2"/>
    </row>
    <row r="346" spans="9:9" x14ac:dyDescent="0.25">
      <c r="I346" s="2"/>
    </row>
    <row r="347" spans="9:9" x14ac:dyDescent="0.25">
      <c r="I347" s="2"/>
    </row>
    <row r="348" spans="9:9" x14ac:dyDescent="0.25">
      <c r="I348" s="2"/>
    </row>
    <row r="349" spans="9:9" x14ac:dyDescent="0.25">
      <c r="I349" s="2"/>
    </row>
    <row r="350" spans="9:9" x14ac:dyDescent="0.25">
      <c r="I350" s="2"/>
    </row>
    <row r="351" spans="9:9" x14ac:dyDescent="0.25">
      <c r="I351" s="2"/>
    </row>
    <row r="352" spans="9:9" x14ac:dyDescent="0.25">
      <c r="I352" s="2"/>
    </row>
    <row r="353" spans="9:9" x14ac:dyDescent="0.25">
      <c r="I353" s="2"/>
    </row>
    <row r="354" spans="9:9" x14ac:dyDescent="0.25">
      <c r="I354" s="2"/>
    </row>
    <row r="355" spans="9:9" x14ac:dyDescent="0.25">
      <c r="I355" s="2"/>
    </row>
    <row r="356" spans="9:9" x14ac:dyDescent="0.25">
      <c r="I356" s="2"/>
    </row>
    <row r="357" spans="9:9" x14ac:dyDescent="0.25">
      <c r="I357" s="2"/>
    </row>
    <row r="358" spans="9:9" x14ac:dyDescent="0.25">
      <c r="I358" s="2"/>
    </row>
    <row r="359" spans="9:9" x14ac:dyDescent="0.25">
      <c r="I359" s="2"/>
    </row>
    <row r="360" spans="9:9" x14ac:dyDescent="0.25">
      <c r="I360" s="2"/>
    </row>
    <row r="361" spans="9:9" x14ac:dyDescent="0.25">
      <c r="I361" s="2"/>
    </row>
    <row r="362" spans="9:9" x14ac:dyDescent="0.25">
      <c r="I362" s="2"/>
    </row>
    <row r="363" spans="9:9" x14ac:dyDescent="0.25">
      <c r="I363" s="2"/>
    </row>
    <row r="364" spans="9:9" x14ac:dyDescent="0.25">
      <c r="I364" s="2"/>
    </row>
    <row r="365" spans="9:9" x14ac:dyDescent="0.25">
      <c r="I365" s="2"/>
    </row>
    <row r="366" spans="9:9" x14ac:dyDescent="0.25">
      <c r="I366" s="2"/>
    </row>
    <row r="367" spans="9:9" x14ac:dyDescent="0.25">
      <c r="I367" s="2"/>
    </row>
    <row r="368" spans="9:9" x14ac:dyDescent="0.25">
      <c r="I368" s="2"/>
    </row>
    <row r="369" spans="9:9" x14ac:dyDescent="0.25">
      <c r="I369" s="2"/>
    </row>
    <row r="370" spans="9:9" x14ac:dyDescent="0.25">
      <c r="I370" s="2"/>
    </row>
    <row r="371" spans="9:9" x14ac:dyDescent="0.25">
      <c r="I371" s="2"/>
    </row>
    <row r="372" spans="9:9" x14ac:dyDescent="0.25">
      <c r="I372" s="2"/>
    </row>
    <row r="373" spans="9:9" x14ac:dyDescent="0.25">
      <c r="I373" s="2"/>
    </row>
    <row r="374" spans="9:9" x14ac:dyDescent="0.25">
      <c r="I374" s="2"/>
    </row>
    <row r="375" spans="9:9" x14ac:dyDescent="0.25">
      <c r="I375" s="2"/>
    </row>
    <row r="376" spans="9:9" x14ac:dyDescent="0.25">
      <c r="I376" s="2"/>
    </row>
    <row r="377" spans="9:9" x14ac:dyDescent="0.25">
      <c r="I377" s="2"/>
    </row>
    <row r="378" spans="9:9" x14ac:dyDescent="0.25">
      <c r="I378" s="2"/>
    </row>
    <row r="379" spans="9:9" x14ac:dyDescent="0.25">
      <c r="I379" s="2"/>
    </row>
    <row r="380" spans="9:9" x14ac:dyDescent="0.25">
      <c r="I380" s="2"/>
    </row>
    <row r="381" spans="9:9" x14ac:dyDescent="0.25">
      <c r="I381" s="2"/>
    </row>
    <row r="382" spans="9:9" x14ac:dyDescent="0.25">
      <c r="I382" s="2"/>
    </row>
    <row r="383" spans="9:9" x14ac:dyDescent="0.25">
      <c r="I383" s="2"/>
    </row>
    <row r="384" spans="9:9" x14ac:dyDescent="0.25">
      <c r="I384" s="2"/>
    </row>
    <row r="385" spans="9:9" x14ac:dyDescent="0.25">
      <c r="I385" s="2"/>
    </row>
    <row r="386" spans="9:9" x14ac:dyDescent="0.25">
      <c r="I386" s="2"/>
    </row>
    <row r="387" spans="9:9" x14ac:dyDescent="0.25">
      <c r="I387" s="2"/>
    </row>
    <row r="388" spans="9:9" x14ac:dyDescent="0.25">
      <c r="I388" s="2"/>
    </row>
    <row r="389" spans="9:9" x14ac:dyDescent="0.25">
      <c r="I389" s="2"/>
    </row>
    <row r="390" spans="9:9" x14ac:dyDescent="0.25">
      <c r="I390" s="2"/>
    </row>
    <row r="391" spans="9:9" x14ac:dyDescent="0.25">
      <c r="I391" s="2"/>
    </row>
    <row r="392" spans="9:9" x14ac:dyDescent="0.25">
      <c r="I392" s="2"/>
    </row>
    <row r="393" spans="9:9" x14ac:dyDescent="0.25">
      <c r="I393" s="2"/>
    </row>
    <row r="394" spans="9:9" x14ac:dyDescent="0.25">
      <c r="I394" s="2"/>
    </row>
    <row r="395" spans="9:9" x14ac:dyDescent="0.25">
      <c r="I395" s="2"/>
    </row>
    <row r="396" spans="9:9" x14ac:dyDescent="0.25">
      <c r="I396" s="2"/>
    </row>
    <row r="397" spans="9:9" x14ac:dyDescent="0.25">
      <c r="I397" s="2"/>
    </row>
    <row r="398" spans="9:9" x14ac:dyDescent="0.25">
      <c r="I398" s="2"/>
    </row>
    <row r="399" spans="9:9" x14ac:dyDescent="0.25">
      <c r="I399" s="2"/>
    </row>
    <row r="400" spans="9:9" x14ac:dyDescent="0.25">
      <c r="I400" s="2"/>
    </row>
    <row r="401" spans="9:9" x14ac:dyDescent="0.25">
      <c r="I401" s="2"/>
    </row>
    <row r="402" spans="9:9" x14ac:dyDescent="0.25">
      <c r="I402" s="2"/>
    </row>
    <row r="403" spans="9:9" x14ac:dyDescent="0.25">
      <c r="I403" s="2"/>
    </row>
    <row r="404" spans="9:9" x14ac:dyDescent="0.25">
      <c r="I404" s="2"/>
    </row>
    <row r="405" spans="9:9" x14ac:dyDescent="0.25">
      <c r="I405" s="2"/>
    </row>
    <row r="406" spans="9:9" x14ac:dyDescent="0.25">
      <c r="I406" s="2"/>
    </row>
    <row r="407" spans="9:9" x14ac:dyDescent="0.25">
      <c r="I407" s="2"/>
    </row>
    <row r="408" spans="9:9" x14ac:dyDescent="0.25">
      <c r="I408" s="2"/>
    </row>
    <row r="409" spans="9:9" x14ac:dyDescent="0.25">
      <c r="I409" s="2"/>
    </row>
    <row r="410" spans="9:9" x14ac:dyDescent="0.25">
      <c r="I410" s="2"/>
    </row>
    <row r="411" spans="9:9" x14ac:dyDescent="0.25">
      <c r="I411" s="2"/>
    </row>
    <row r="412" spans="9:9" x14ac:dyDescent="0.25">
      <c r="I412" s="2"/>
    </row>
    <row r="413" spans="9:9" x14ac:dyDescent="0.25">
      <c r="I413" s="2"/>
    </row>
    <row r="414" spans="9:9" x14ac:dyDescent="0.25">
      <c r="I414" s="2"/>
    </row>
    <row r="415" spans="9:9" x14ac:dyDescent="0.25">
      <c r="I415" s="2"/>
    </row>
    <row r="416" spans="9:9" x14ac:dyDescent="0.25">
      <c r="I416" s="2"/>
    </row>
    <row r="417" spans="9:9" x14ac:dyDescent="0.25">
      <c r="I417" s="2"/>
    </row>
    <row r="418" spans="9:9" x14ac:dyDescent="0.25">
      <c r="I418" s="2"/>
    </row>
    <row r="419" spans="9:9" x14ac:dyDescent="0.25">
      <c r="I419" s="2"/>
    </row>
    <row r="420" spans="9:9" x14ac:dyDescent="0.25">
      <c r="I420" s="2"/>
    </row>
    <row r="421" spans="9:9" x14ac:dyDescent="0.25">
      <c r="I421" s="2"/>
    </row>
    <row r="422" spans="9:9" x14ac:dyDescent="0.25">
      <c r="I422" s="2"/>
    </row>
    <row r="423" spans="9:9" x14ac:dyDescent="0.25">
      <c r="I423" s="2"/>
    </row>
    <row r="424" spans="9:9" x14ac:dyDescent="0.25">
      <c r="I424" s="2"/>
    </row>
    <row r="425" spans="9:9" x14ac:dyDescent="0.25">
      <c r="I425" s="2"/>
    </row>
    <row r="426" spans="9:9" x14ac:dyDescent="0.25">
      <c r="I426" s="2"/>
    </row>
    <row r="427" spans="9:9" x14ac:dyDescent="0.25">
      <c r="I427" s="2"/>
    </row>
    <row r="428" spans="9:9" x14ac:dyDescent="0.25">
      <c r="I428" s="2"/>
    </row>
    <row r="429" spans="9:9" x14ac:dyDescent="0.25">
      <c r="I429" s="2"/>
    </row>
    <row r="430" spans="9:9" x14ac:dyDescent="0.25">
      <c r="I430" s="2"/>
    </row>
    <row r="431" spans="9:9" x14ac:dyDescent="0.25">
      <c r="I431" s="2"/>
    </row>
    <row r="432" spans="9:9" x14ac:dyDescent="0.25">
      <c r="I432" s="2"/>
    </row>
    <row r="433" spans="9:9" x14ac:dyDescent="0.25">
      <c r="I433" s="2"/>
    </row>
    <row r="434" spans="9:9" x14ac:dyDescent="0.25">
      <c r="I434" s="2"/>
    </row>
    <row r="435" spans="9:9" x14ac:dyDescent="0.25">
      <c r="I435" s="2"/>
    </row>
    <row r="436" spans="9:9" x14ac:dyDescent="0.25">
      <c r="I436" s="2"/>
    </row>
    <row r="437" spans="9:9" x14ac:dyDescent="0.25">
      <c r="I437" s="2"/>
    </row>
    <row r="438" spans="9:9" x14ac:dyDescent="0.25">
      <c r="I438" s="2"/>
    </row>
    <row r="439" spans="9:9" x14ac:dyDescent="0.25">
      <c r="I439" s="2"/>
    </row>
    <row r="440" spans="9:9" x14ac:dyDescent="0.25">
      <c r="I440" s="2"/>
    </row>
    <row r="441" spans="9:9" x14ac:dyDescent="0.25">
      <c r="I441" s="2"/>
    </row>
    <row r="442" spans="9:9" x14ac:dyDescent="0.25">
      <c r="I442" s="2"/>
    </row>
    <row r="443" spans="9:9" x14ac:dyDescent="0.25">
      <c r="I443" s="2"/>
    </row>
    <row r="444" spans="9:9" x14ac:dyDescent="0.25">
      <c r="I444" s="2"/>
    </row>
    <row r="445" spans="9:9" x14ac:dyDescent="0.25">
      <c r="I445" s="2"/>
    </row>
    <row r="446" spans="9:9" x14ac:dyDescent="0.25">
      <c r="I446" s="2"/>
    </row>
    <row r="447" spans="9:9" x14ac:dyDescent="0.25">
      <c r="I447" s="2"/>
    </row>
    <row r="448" spans="9:9" x14ac:dyDescent="0.25">
      <c r="I448" s="2"/>
    </row>
    <row r="449" spans="9:9" x14ac:dyDescent="0.25">
      <c r="I449" s="2"/>
    </row>
    <row r="450" spans="9:9" x14ac:dyDescent="0.25">
      <c r="I450" s="2"/>
    </row>
    <row r="451" spans="9:9" x14ac:dyDescent="0.25">
      <c r="I451" s="2"/>
    </row>
    <row r="452" spans="9:9" x14ac:dyDescent="0.25">
      <c r="I452" s="2"/>
    </row>
    <row r="453" spans="9:9" x14ac:dyDescent="0.25">
      <c r="I453" s="2"/>
    </row>
    <row r="454" spans="9:9" x14ac:dyDescent="0.25">
      <c r="I454" s="2"/>
    </row>
    <row r="455" spans="9:9" x14ac:dyDescent="0.25">
      <c r="I455" s="2"/>
    </row>
    <row r="456" spans="9:9" x14ac:dyDescent="0.25">
      <c r="I456" s="2"/>
    </row>
    <row r="457" spans="9:9" x14ac:dyDescent="0.25">
      <c r="I457" s="2"/>
    </row>
    <row r="458" spans="9:9" x14ac:dyDescent="0.25">
      <c r="I458" s="2"/>
    </row>
    <row r="459" spans="9:9" x14ac:dyDescent="0.25">
      <c r="I459" s="2"/>
    </row>
    <row r="460" spans="9:9" x14ac:dyDescent="0.25">
      <c r="I460" s="2"/>
    </row>
    <row r="461" spans="9:9" x14ac:dyDescent="0.25">
      <c r="I461" s="2"/>
    </row>
    <row r="462" spans="9:9" x14ac:dyDescent="0.25">
      <c r="I462" s="2"/>
    </row>
    <row r="463" spans="9:9" x14ac:dyDescent="0.25">
      <c r="I463" s="2"/>
    </row>
    <row r="464" spans="9:9" x14ac:dyDescent="0.25">
      <c r="I464" s="2"/>
    </row>
    <row r="465" spans="9:9" x14ac:dyDescent="0.25">
      <c r="I465" s="2"/>
    </row>
    <row r="466" spans="9:9" x14ac:dyDescent="0.25">
      <c r="I466" s="2"/>
    </row>
    <row r="467" spans="9:9" x14ac:dyDescent="0.25">
      <c r="I467" s="2"/>
    </row>
    <row r="468" spans="9:9" x14ac:dyDescent="0.25">
      <c r="I468" s="2"/>
    </row>
    <row r="469" spans="9:9" x14ac:dyDescent="0.25">
      <c r="I469" s="2"/>
    </row>
    <row r="470" spans="9:9" x14ac:dyDescent="0.25">
      <c r="I470" s="2"/>
    </row>
    <row r="471" spans="9:9" x14ac:dyDescent="0.25">
      <c r="I471" s="2"/>
    </row>
    <row r="472" spans="9:9" x14ac:dyDescent="0.25">
      <c r="I472" s="2"/>
    </row>
    <row r="473" spans="9:9" x14ac:dyDescent="0.25">
      <c r="I473" s="2"/>
    </row>
    <row r="474" spans="9:9" x14ac:dyDescent="0.25">
      <c r="I474" s="2"/>
    </row>
    <row r="475" spans="9:9" x14ac:dyDescent="0.25">
      <c r="I475" s="2"/>
    </row>
    <row r="476" spans="9:9" x14ac:dyDescent="0.25">
      <c r="I476" s="2"/>
    </row>
    <row r="477" spans="9:9" x14ac:dyDescent="0.25">
      <c r="I477" s="2"/>
    </row>
    <row r="478" spans="9:9" x14ac:dyDescent="0.25">
      <c r="I478" s="2"/>
    </row>
    <row r="479" spans="9:9" x14ac:dyDescent="0.25">
      <c r="I479" s="2"/>
    </row>
    <row r="480" spans="9:9" x14ac:dyDescent="0.25">
      <c r="I480" s="2"/>
    </row>
    <row r="481" spans="9:9" x14ac:dyDescent="0.25">
      <c r="I481" s="2"/>
    </row>
    <row r="482" spans="9:9" x14ac:dyDescent="0.25">
      <c r="I482" s="2"/>
    </row>
    <row r="483" spans="9:9" x14ac:dyDescent="0.25">
      <c r="I483" s="2"/>
    </row>
    <row r="484" spans="9:9" x14ac:dyDescent="0.25">
      <c r="I484" s="2"/>
    </row>
    <row r="485" spans="9:9" x14ac:dyDescent="0.25">
      <c r="I485" s="2"/>
    </row>
    <row r="486" spans="9:9" x14ac:dyDescent="0.25">
      <c r="I486" s="2"/>
    </row>
    <row r="487" spans="9:9" x14ac:dyDescent="0.25">
      <c r="I487" s="2"/>
    </row>
    <row r="488" spans="9:9" x14ac:dyDescent="0.25">
      <c r="I488" s="2"/>
    </row>
    <row r="489" spans="9:9" x14ac:dyDescent="0.25">
      <c r="I489" s="2"/>
    </row>
    <row r="490" spans="9:9" x14ac:dyDescent="0.25">
      <c r="I490" s="2"/>
    </row>
    <row r="491" spans="9:9" x14ac:dyDescent="0.25">
      <c r="I491" s="2"/>
    </row>
    <row r="492" spans="9:9" x14ac:dyDescent="0.25">
      <c r="I492" s="2"/>
    </row>
    <row r="493" spans="9:9" x14ac:dyDescent="0.25">
      <c r="I493" s="2"/>
    </row>
    <row r="494" spans="9:9" x14ac:dyDescent="0.25">
      <c r="I494" s="2"/>
    </row>
    <row r="495" spans="9:9" x14ac:dyDescent="0.25">
      <c r="I495" s="2"/>
    </row>
    <row r="496" spans="9:9" x14ac:dyDescent="0.25">
      <c r="I496" s="2"/>
    </row>
    <row r="497" spans="9:9" x14ac:dyDescent="0.25">
      <c r="I497" s="2"/>
    </row>
    <row r="498" spans="9:9" x14ac:dyDescent="0.25">
      <c r="I498" s="2"/>
    </row>
    <row r="499" spans="9:9" x14ac:dyDescent="0.25">
      <c r="I499" s="2"/>
    </row>
    <row r="500" spans="9:9" x14ac:dyDescent="0.25">
      <c r="I500" s="2"/>
    </row>
    <row r="501" spans="9:9" x14ac:dyDescent="0.25">
      <c r="I501" s="2"/>
    </row>
    <row r="502" spans="9:9" x14ac:dyDescent="0.25">
      <c r="I502" s="2"/>
    </row>
    <row r="503" spans="9:9" x14ac:dyDescent="0.25">
      <c r="I503" s="2"/>
    </row>
    <row r="504" spans="9:9" x14ac:dyDescent="0.25">
      <c r="I504" s="2"/>
    </row>
    <row r="505" spans="9:9" x14ac:dyDescent="0.25">
      <c r="I505" s="2"/>
    </row>
    <row r="506" spans="9:9" x14ac:dyDescent="0.25">
      <c r="I506" s="2"/>
    </row>
    <row r="507" spans="9:9" x14ac:dyDescent="0.25">
      <c r="I507" s="2"/>
    </row>
    <row r="508" spans="9:9" x14ac:dyDescent="0.25">
      <c r="I508" s="2"/>
    </row>
    <row r="509" spans="9:9" x14ac:dyDescent="0.25">
      <c r="I509" s="2"/>
    </row>
    <row r="510" spans="9:9" x14ac:dyDescent="0.25">
      <c r="I510" s="2"/>
    </row>
    <row r="511" spans="9:9" x14ac:dyDescent="0.25">
      <c r="I511" s="2"/>
    </row>
    <row r="512" spans="9:9" x14ac:dyDescent="0.25">
      <c r="I512" s="2"/>
    </row>
    <row r="513" spans="9:9" x14ac:dyDescent="0.25">
      <c r="I513" s="2"/>
    </row>
    <row r="514" spans="9:9" x14ac:dyDescent="0.25">
      <c r="I514" s="2"/>
    </row>
    <row r="515" spans="9:9" x14ac:dyDescent="0.25">
      <c r="I515" s="2"/>
    </row>
    <row r="516" spans="9:9" x14ac:dyDescent="0.25">
      <c r="I516" s="2"/>
    </row>
    <row r="517" spans="9:9" x14ac:dyDescent="0.25">
      <c r="I517" s="2"/>
    </row>
    <row r="518" spans="9:9" x14ac:dyDescent="0.25">
      <c r="I518" s="2"/>
    </row>
    <row r="519" spans="9:9" x14ac:dyDescent="0.25">
      <c r="I519" s="2"/>
    </row>
    <row r="520" spans="9:9" x14ac:dyDescent="0.25">
      <c r="I520" s="2"/>
    </row>
    <row r="521" spans="9:9" x14ac:dyDescent="0.25">
      <c r="I521" s="2"/>
    </row>
    <row r="522" spans="9:9" x14ac:dyDescent="0.25">
      <c r="I522" s="2"/>
    </row>
    <row r="523" spans="9:9" x14ac:dyDescent="0.25">
      <c r="I523" s="2"/>
    </row>
    <row r="524" spans="9:9" x14ac:dyDescent="0.25">
      <c r="I524" s="2"/>
    </row>
    <row r="525" spans="9:9" x14ac:dyDescent="0.25">
      <c r="I525" s="2"/>
    </row>
    <row r="526" spans="9:9" x14ac:dyDescent="0.25">
      <c r="I526" s="2"/>
    </row>
    <row r="527" spans="9:9" x14ac:dyDescent="0.25">
      <c r="I527" s="2"/>
    </row>
    <row r="528" spans="9:9" x14ac:dyDescent="0.25">
      <c r="I528" s="2"/>
    </row>
    <row r="529" spans="9:9" x14ac:dyDescent="0.25">
      <c r="I529" s="2"/>
    </row>
    <row r="530" spans="9:9" x14ac:dyDescent="0.25">
      <c r="I530" s="2"/>
    </row>
    <row r="531" spans="9:9" x14ac:dyDescent="0.25">
      <c r="I531" s="2"/>
    </row>
    <row r="532" spans="9:9" x14ac:dyDescent="0.25">
      <c r="I532" s="2"/>
    </row>
    <row r="533" spans="9:9" x14ac:dyDescent="0.25">
      <c r="I533" s="2"/>
    </row>
    <row r="534" spans="9:9" x14ac:dyDescent="0.25">
      <c r="I534" s="2"/>
    </row>
    <row r="535" spans="9:9" x14ac:dyDescent="0.25">
      <c r="I535" s="2"/>
    </row>
    <row r="536" spans="9:9" x14ac:dyDescent="0.25">
      <c r="I536" s="2"/>
    </row>
    <row r="537" spans="9:9" x14ac:dyDescent="0.25">
      <c r="I537" s="2"/>
    </row>
    <row r="538" spans="9:9" x14ac:dyDescent="0.25">
      <c r="I538" s="2"/>
    </row>
    <row r="539" spans="9:9" x14ac:dyDescent="0.25">
      <c r="I539" s="2"/>
    </row>
    <row r="540" spans="9:9" x14ac:dyDescent="0.25">
      <c r="I540" s="2"/>
    </row>
    <row r="541" spans="9:9" x14ac:dyDescent="0.25">
      <c r="I541" s="2"/>
    </row>
    <row r="542" spans="9:9" x14ac:dyDescent="0.25">
      <c r="I542" s="2"/>
    </row>
    <row r="543" spans="9:9" x14ac:dyDescent="0.25">
      <c r="I543" s="2"/>
    </row>
    <row r="544" spans="9:9" x14ac:dyDescent="0.25">
      <c r="I544" s="2"/>
    </row>
    <row r="545" spans="9:9" x14ac:dyDescent="0.25">
      <c r="I545" s="2"/>
    </row>
    <row r="546" spans="9:9" x14ac:dyDescent="0.25">
      <c r="I546" s="2"/>
    </row>
    <row r="547" spans="9:9" x14ac:dyDescent="0.25">
      <c r="I547" s="2"/>
    </row>
    <row r="548" spans="9:9" x14ac:dyDescent="0.25">
      <c r="I548" s="2"/>
    </row>
    <row r="549" spans="9:9" x14ac:dyDescent="0.25">
      <c r="I549" s="2"/>
    </row>
    <row r="550" spans="9:9" x14ac:dyDescent="0.25">
      <c r="I550" s="2"/>
    </row>
    <row r="551" spans="9:9" x14ac:dyDescent="0.25">
      <c r="I551" s="2"/>
    </row>
    <row r="552" spans="9:9" x14ac:dyDescent="0.25">
      <c r="I552" s="2"/>
    </row>
    <row r="553" spans="9:9" x14ac:dyDescent="0.25">
      <c r="I553" s="2"/>
    </row>
    <row r="554" spans="9:9" x14ac:dyDescent="0.25">
      <c r="I554" s="2"/>
    </row>
    <row r="555" spans="9:9" x14ac:dyDescent="0.25">
      <c r="I555" s="2"/>
    </row>
    <row r="556" spans="9:9" x14ac:dyDescent="0.25">
      <c r="I556" s="2"/>
    </row>
    <row r="557" spans="9:9" x14ac:dyDescent="0.25">
      <c r="I557" s="2"/>
    </row>
    <row r="558" spans="9:9" x14ac:dyDescent="0.25">
      <c r="I558" s="2"/>
    </row>
    <row r="559" spans="9:9" x14ac:dyDescent="0.25">
      <c r="I559" s="2"/>
    </row>
    <row r="560" spans="9:9" x14ac:dyDescent="0.25">
      <c r="I560" s="2"/>
    </row>
    <row r="561" spans="9:9" x14ac:dyDescent="0.25">
      <c r="I561" s="2"/>
    </row>
    <row r="562" spans="9:9" x14ac:dyDescent="0.25">
      <c r="I562" s="2"/>
    </row>
    <row r="563" spans="9:9" x14ac:dyDescent="0.25">
      <c r="I563" s="2"/>
    </row>
    <row r="564" spans="9:9" x14ac:dyDescent="0.25">
      <c r="I564" s="2"/>
    </row>
    <row r="565" spans="9:9" x14ac:dyDescent="0.25">
      <c r="I565" s="2"/>
    </row>
    <row r="566" spans="9:9" x14ac:dyDescent="0.25">
      <c r="I566" s="2"/>
    </row>
    <row r="567" spans="9:9" x14ac:dyDescent="0.25">
      <c r="I567" s="2"/>
    </row>
    <row r="568" spans="9:9" x14ac:dyDescent="0.25">
      <c r="I568" s="2"/>
    </row>
    <row r="569" spans="9:9" x14ac:dyDescent="0.25">
      <c r="I569" s="2"/>
    </row>
    <row r="570" spans="9:9" x14ac:dyDescent="0.25">
      <c r="I570" s="2"/>
    </row>
    <row r="571" spans="9:9" x14ac:dyDescent="0.25">
      <c r="I571" s="2"/>
    </row>
    <row r="572" spans="9:9" x14ac:dyDescent="0.25">
      <c r="I572" s="2"/>
    </row>
    <row r="573" spans="9:9" x14ac:dyDescent="0.25">
      <c r="I573" s="2"/>
    </row>
    <row r="574" spans="9:9" x14ac:dyDescent="0.25">
      <c r="I574" s="2"/>
    </row>
    <row r="575" spans="9:9" x14ac:dyDescent="0.25">
      <c r="I575" s="2"/>
    </row>
    <row r="576" spans="9:9" x14ac:dyDescent="0.25">
      <c r="I576" s="2"/>
    </row>
    <row r="577" spans="9:9" x14ac:dyDescent="0.25">
      <c r="I577" s="2"/>
    </row>
    <row r="578" spans="9:9" x14ac:dyDescent="0.25">
      <c r="I578" s="2"/>
    </row>
    <row r="579" spans="9:9" x14ac:dyDescent="0.25">
      <c r="I579" s="2"/>
    </row>
    <row r="580" spans="9:9" x14ac:dyDescent="0.25">
      <c r="I580" s="2"/>
    </row>
    <row r="581" spans="9:9" x14ac:dyDescent="0.25">
      <c r="I581" s="2"/>
    </row>
    <row r="582" spans="9:9" x14ac:dyDescent="0.25">
      <c r="I582" s="2"/>
    </row>
    <row r="583" spans="9:9" x14ac:dyDescent="0.25">
      <c r="I583" s="2"/>
    </row>
    <row r="584" spans="9:9" x14ac:dyDescent="0.25">
      <c r="I584" s="2"/>
    </row>
    <row r="585" spans="9:9" x14ac:dyDescent="0.25">
      <c r="I585" s="2"/>
    </row>
    <row r="586" spans="9:9" x14ac:dyDescent="0.25">
      <c r="I586" s="2"/>
    </row>
    <row r="587" spans="9:9" x14ac:dyDescent="0.25">
      <c r="I587" s="2"/>
    </row>
    <row r="588" spans="9:9" x14ac:dyDescent="0.25">
      <c r="I588" s="2"/>
    </row>
    <row r="589" spans="9:9" x14ac:dyDescent="0.25">
      <c r="I589" s="2"/>
    </row>
    <row r="590" spans="9:9" x14ac:dyDescent="0.25">
      <c r="I590" s="2"/>
    </row>
    <row r="591" spans="9:9" x14ac:dyDescent="0.25">
      <c r="I591" s="2"/>
    </row>
    <row r="592" spans="9:9" x14ac:dyDescent="0.25">
      <c r="I592" s="2"/>
    </row>
    <row r="593" spans="9:9" x14ac:dyDescent="0.25">
      <c r="I593" s="2"/>
    </row>
    <row r="594" spans="9:9" x14ac:dyDescent="0.25">
      <c r="I594" s="2"/>
    </row>
    <row r="595" spans="9:9" x14ac:dyDescent="0.25">
      <c r="I595" s="2"/>
    </row>
    <row r="596" spans="9:9" x14ac:dyDescent="0.25">
      <c r="I596" s="2"/>
    </row>
    <row r="597" spans="9:9" x14ac:dyDescent="0.25">
      <c r="I597" s="2"/>
    </row>
    <row r="598" spans="9:9" x14ac:dyDescent="0.25">
      <c r="I598" s="2"/>
    </row>
    <row r="599" spans="9:9" x14ac:dyDescent="0.25">
      <c r="I599" s="2"/>
    </row>
    <row r="600" spans="9:9" x14ac:dyDescent="0.25">
      <c r="I600" s="2"/>
    </row>
    <row r="601" spans="9:9" x14ac:dyDescent="0.25">
      <c r="I601" s="2"/>
    </row>
    <row r="602" spans="9:9" x14ac:dyDescent="0.25">
      <c r="I602" s="2"/>
    </row>
    <row r="603" spans="9:9" x14ac:dyDescent="0.25">
      <c r="I603" s="2"/>
    </row>
    <row r="604" spans="9:9" x14ac:dyDescent="0.25">
      <c r="I604" s="2"/>
    </row>
    <row r="605" spans="9:9" x14ac:dyDescent="0.25">
      <c r="I605" s="2"/>
    </row>
    <row r="606" spans="9:9" x14ac:dyDescent="0.25">
      <c r="I606" s="2"/>
    </row>
    <row r="607" spans="9:9" x14ac:dyDescent="0.25">
      <c r="I607" s="2"/>
    </row>
    <row r="608" spans="9:9" x14ac:dyDescent="0.25">
      <c r="I608" s="2"/>
    </row>
    <row r="609" spans="9:9" x14ac:dyDescent="0.25">
      <c r="I609" s="2"/>
    </row>
    <row r="610" spans="9:9" x14ac:dyDescent="0.25">
      <c r="I610" s="2"/>
    </row>
    <row r="611" spans="9:9" x14ac:dyDescent="0.25">
      <c r="I611" s="2"/>
    </row>
    <row r="612" spans="9:9" x14ac:dyDescent="0.25">
      <c r="I612" s="2"/>
    </row>
    <row r="613" spans="9:9" x14ac:dyDescent="0.25">
      <c r="I613" s="2"/>
    </row>
    <row r="614" spans="9:9" x14ac:dyDescent="0.25">
      <c r="I614" s="2"/>
    </row>
    <row r="615" spans="9:9" x14ac:dyDescent="0.25">
      <c r="I615" s="2"/>
    </row>
    <row r="616" spans="9:9" x14ac:dyDescent="0.25">
      <c r="I616" s="2"/>
    </row>
    <row r="617" spans="9:9" x14ac:dyDescent="0.25">
      <c r="I617" s="2"/>
    </row>
    <row r="618" spans="9:9" x14ac:dyDescent="0.25">
      <c r="I618" s="2"/>
    </row>
    <row r="619" spans="9:9" x14ac:dyDescent="0.25">
      <c r="I619" s="2"/>
    </row>
    <row r="620" spans="9:9" x14ac:dyDescent="0.25">
      <c r="I620" s="2"/>
    </row>
    <row r="621" spans="9:9" x14ac:dyDescent="0.25">
      <c r="I621" s="2"/>
    </row>
    <row r="622" spans="9:9" x14ac:dyDescent="0.25">
      <c r="I622" s="2"/>
    </row>
    <row r="623" spans="9:9" x14ac:dyDescent="0.25">
      <c r="I623" s="2"/>
    </row>
    <row r="624" spans="9:9" x14ac:dyDescent="0.25">
      <c r="I624" s="2"/>
    </row>
    <row r="625" spans="9:9" x14ac:dyDescent="0.25">
      <c r="I625" s="2"/>
    </row>
    <row r="626" spans="9:9" x14ac:dyDescent="0.25">
      <c r="I626" s="2"/>
    </row>
    <row r="627" spans="9:9" x14ac:dyDescent="0.25">
      <c r="I627" s="2"/>
    </row>
    <row r="628" spans="9:9" x14ac:dyDescent="0.25">
      <c r="I628" s="2"/>
    </row>
    <row r="629" spans="9:9" x14ac:dyDescent="0.25">
      <c r="I629" s="2"/>
    </row>
    <row r="630" spans="9:9" x14ac:dyDescent="0.25">
      <c r="I630" s="2"/>
    </row>
    <row r="631" spans="9:9" x14ac:dyDescent="0.25">
      <c r="I631" s="2"/>
    </row>
    <row r="632" spans="9:9" x14ac:dyDescent="0.25">
      <c r="I632" s="2"/>
    </row>
    <row r="633" spans="9:9" x14ac:dyDescent="0.25">
      <c r="I633" s="2"/>
    </row>
    <row r="634" spans="9:9" x14ac:dyDescent="0.25">
      <c r="I634" s="2"/>
    </row>
    <row r="635" spans="9:9" x14ac:dyDescent="0.25">
      <c r="I635" s="2"/>
    </row>
    <row r="636" spans="9:9" x14ac:dyDescent="0.25">
      <c r="I636" s="2"/>
    </row>
    <row r="637" spans="9:9" x14ac:dyDescent="0.25">
      <c r="I637" s="2"/>
    </row>
    <row r="638" spans="9:9" x14ac:dyDescent="0.25">
      <c r="I638" s="2"/>
    </row>
    <row r="639" spans="9:9" x14ac:dyDescent="0.25">
      <c r="I639" s="2"/>
    </row>
    <row r="640" spans="9:9" x14ac:dyDescent="0.25">
      <c r="I640" s="2"/>
    </row>
    <row r="641" spans="9:9" x14ac:dyDescent="0.25">
      <c r="I641" s="2"/>
    </row>
    <row r="642" spans="9:9" x14ac:dyDescent="0.25">
      <c r="I642" s="2"/>
    </row>
    <row r="643" spans="9:9" x14ac:dyDescent="0.25">
      <c r="I643" s="2"/>
    </row>
    <row r="644" spans="9:9" x14ac:dyDescent="0.25">
      <c r="I644" s="2"/>
    </row>
    <row r="645" spans="9:9" x14ac:dyDescent="0.25">
      <c r="I645" s="2"/>
    </row>
    <row r="646" spans="9:9" x14ac:dyDescent="0.25">
      <c r="I646" s="2"/>
    </row>
    <row r="647" spans="9:9" x14ac:dyDescent="0.25">
      <c r="I647" s="2"/>
    </row>
    <row r="648" spans="9:9" x14ac:dyDescent="0.25">
      <c r="I648" s="2"/>
    </row>
    <row r="649" spans="9:9" x14ac:dyDescent="0.25">
      <c r="I649" s="2"/>
    </row>
    <row r="650" spans="9:9" x14ac:dyDescent="0.25">
      <c r="I650" s="2"/>
    </row>
    <row r="651" spans="9:9" x14ac:dyDescent="0.25">
      <c r="I651" s="2"/>
    </row>
    <row r="652" spans="9:9" x14ac:dyDescent="0.25">
      <c r="I652" s="2"/>
    </row>
    <row r="653" spans="9:9" x14ac:dyDescent="0.25">
      <c r="I653" s="2"/>
    </row>
    <row r="654" spans="9:9" x14ac:dyDescent="0.25">
      <c r="I654" s="2"/>
    </row>
    <row r="655" spans="9:9" x14ac:dyDescent="0.25">
      <c r="I655" s="2"/>
    </row>
    <row r="656" spans="9:9" x14ac:dyDescent="0.25">
      <c r="I656" s="2"/>
    </row>
    <row r="657" spans="9:9" x14ac:dyDescent="0.25">
      <c r="I657" s="2"/>
    </row>
    <row r="658" spans="9:9" x14ac:dyDescent="0.25">
      <c r="I658" s="2"/>
    </row>
    <row r="659" spans="9:9" x14ac:dyDescent="0.25">
      <c r="I659" s="2"/>
    </row>
    <row r="660" spans="9:9" x14ac:dyDescent="0.25">
      <c r="I660" s="2"/>
    </row>
    <row r="661" spans="9:9" x14ac:dyDescent="0.25">
      <c r="I661" s="2"/>
    </row>
    <row r="662" spans="9:9" x14ac:dyDescent="0.25">
      <c r="I662" s="2"/>
    </row>
    <row r="663" spans="9:9" x14ac:dyDescent="0.25">
      <c r="I663" s="2"/>
    </row>
    <row r="664" spans="9:9" x14ac:dyDescent="0.25">
      <c r="I664" s="2"/>
    </row>
    <row r="665" spans="9:9" x14ac:dyDescent="0.25">
      <c r="I665" s="2"/>
    </row>
    <row r="666" spans="9:9" x14ac:dyDescent="0.25">
      <c r="I666" s="2"/>
    </row>
    <row r="667" spans="9:9" x14ac:dyDescent="0.25">
      <c r="I667" s="2"/>
    </row>
    <row r="668" spans="9:9" x14ac:dyDescent="0.25">
      <c r="I668" s="2"/>
    </row>
    <row r="669" spans="9:9" x14ac:dyDescent="0.25">
      <c r="I669" s="2"/>
    </row>
    <row r="670" spans="9:9" x14ac:dyDescent="0.25">
      <c r="I670" s="2"/>
    </row>
    <row r="671" spans="9:9" x14ac:dyDescent="0.25">
      <c r="I671" s="2"/>
    </row>
    <row r="672" spans="9:9" x14ac:dyDescent="0.25">
      <c r="I672" s="2"/>
    </row>
    <row r="673" spans="9:9" x14ac:dyDescent="0.25">
      <c r="I673" s="2"/>
    </row>
    <row r="674" spans="9:9" x14ac:dyDescent="0.25">
      <c r="I674" s="2"/>
    </row>
    <row r="675" spans="9:9" x14ac:dyDescent="0.25">
      <c r="I675" s="2"/>
    </row>
    <row r="676" spans="9:9" x14ac:dyDescent="0.25">
      <c r="I676" s="2"/>
    </row>
    <row r="677" spans="9:9" x14ac:dyDescent="0.25">
      <c r="I677" s="2"/>
    </row>
    <row r="678" spans="9:9" x14ac:dyDescent="0.25">
      <c r="I678" s="2"/>
    </row>
    <row r="679" spans="9:9" x14ac:dyDescent="0.25">
      <c r="I679" s="2"/>
    </row>
    <row r="680" spans="9:9" x14ac:dyDescent="0.25">
      <c r="I680" s="2"/>
    </row>
    <row r="681" spans="9:9" x14ac:dyDescent="0.25">
      <c r="I681" s="2"/>
    </row>
    <row r="682" spans="9:9" x14ac:dyDescent="0.25">
      <c r="I682" s="2"/>
    </row>
    <row r="683" spans="9:9" x14ac:dyDescent="0.25">
      <c r="I683" s="2"/>
    </row>
    <row r="684" spans="9:9" x14ac:dyDescent="0.25">
      <c r="I684" s="2"/>
    </row>
    <row r="685" spans="9:9" x14ac:dyDescent="0.25">
      <c r="I685" s="2"/>
    </row>
    <row r="686" spans="9:9" x14ac:dyDescent="0.25">
      <c r="I686" s="2"/>
    </row>
    <row r="687" spans="9:9" x14ac:dyDescent="0.25">
      <c r="I687" s="2"/>
    </row>
    <row r="688" spans="9:9" x14ac:dyDescent="0.25">
      <c r="I688" s="2"/>
    </row>
    <row r="689" spans="9:9" x14ac:dyDescent="0.25">
      <c r="I689" s="2"/>
    </row>
    <row r="690" spans="9:9" x14ac:dyDescent="0.25">
      <c r="I690" s="2"/>
    </row>
    <row r="691" spans="9:9" x14ac:dyDescent="0.25">
      <c r="I691" s="2"/>
    </row>
    <row r="692" spans="9:9" x14ac:dyDescent="0.25">
      <c r="I692" s="2"/>
    </row>
    <row r="693" spans="9:9" x14ac:dyDescent="0.25">
      <c r="I693" s="2"/>
    </row>
    <row r="694" spans="9:9" x14ac:dyDescent="0.25">
      <c r="I694" s="2"/>
    </row>
    <row r="695" spans="9:9" x14ac:dyDescent="0.25">
      <c r="I695" s="2"/>
    </row>
    <row r="696" spans="9:9" x14ac:dyDescent="0.25">
      <c r="I696" s="2"/>
    </row>
    <row r="697" spans="9:9" x14ac:dyDescent="0.25">
      <c r="I697" s="2"/>
    </row>
    <row r="698" spans="9:9" x14ac:dyDescent="0.25">
      <c r="I698" s="2"/>
    </row>
    <row r="699" spans="9:9" x14ac:dyDescent="0.25">
      <c r="I699" s="2"/>
    </row>
    <row r="700" spans="9:9" x14ac:dyDescent="0.25">
      <c r="I700" s="2"/>
    </row>
    <row r="701" spans="9:9" x14ac:dyDescent="0.25">
      <c r="I701" s="2"/>
    </row>
    <row r="702" spans="9:9" x14ac:dyDescent="0.25">
      <c r="I702" s="2"/>
    </row>
    <row r="703" spans="9:9" x14ac:dyDescent="0.25">
      <c r="I703" s="2"/>
    </row>
    <row r="704" spans="9:9" x14ac:dyDescent="0.25">
      <c r="I704" s="2"/>
    </row>
    <row r="705" spans="9:9" x14ac:dyDescent="0.25">
      <c r="I705" s="2"/>
    </row>
    <row r="706" spans="9:9" x14ac:dyDescent="0.25">
      <c r="I706" s="2"/>
    </row>
    <row r="707" spans="9:9" x14ac:dyDescent="0.25">
      <c r="I707" s="2"/>
    </row>
    <row r="708" spans="9:9" x14ac:dyDescent="0.25">
      <c r="I708" s="2"/>
    </row>
    <row r="709" spans="9:9" x14ac:dyDescent="0.25">
      <c r="I709" s="2"/>
    </row>
    <row r="710" spans="9:9" x14ac:dyDescent="0.25">
      <c r="I710" s="2"/>
    </row>
    <row r="711" spans="9:9" x14ac:dyDescent="0.25">
      <c r="I711" s="2"/>
    </row>
    <row r="712" spans="9:9" x14ac:dyDescent="0.25">
      <c r="I712" s="2"/>
    </row>
    <row r="713" spans="9:9" x14ac:dyDescent="0.25">
      <c r="I713" s="2"/>
    </row>
    <row r="714" spans="9:9" x14ac:dyDescent="0.25">
      <c r="I714" s="2"/>
    </row>
    <row r="715" spans="9:9" x14ac:dyDescent="0.25">
      <c r="I715" s="2"/>
    </row>
    <row r="716" spans="9:9" x14ac:dyDescent="0.25">
      <c r="I716" s="2"/>
    </row>
    <row r="717" spans="9:9" x14ac:dyDescent="0.25">
      <c r="I717" s="2"/>
    </row>
    <row r="718" spans="9:9" x14ac:dyDescent="0.25">
      <c r="I718" s="2"/>
    </row>
    <row r="719" spans="9:9" x14ac:dyDescent="0.25">
      <c r="I719" s="2"/>
    </row>
    <row r="720" spans="9:9" x14ac:dyDescent="0.25">
      <c r="I720" s="2"/>
    </row>
    <row r="721" spans="9:9" x14ac:dyDescent="0.25">
      <c r="I721" s="2"/>
    </row>
    <row r="722" spans="9:9" x14ac:dyDescent="0.25">
      <c r="I722" s="2"/>
    </row>
    <row r="723" spans="9:9" x14ac:dyDescent="0.25">
      <c r="I723" s="2"/>
    </row>
    <row r="724" spans="9:9" x14ac:dyDescent="0.25">
      <c r="I724" s="2"/>
    </row>
    <row r="725" spans="9:9" x14ac:dyDescent="0.25">
      <c r="I725" s="2"/>
    </row>
    <row r="726" spans="9:9" x14ac:dyDescent="0.25">
      <c r="I726" s="2"/>
    </row>
    <row r="727" spans="9:9" x14ac:dyDescent="0.25">
      <c r="I727" s="2"/>
    </row>
    <row r="728" spans="9:9" x14ac:dyDescent="0.25">
      <c r="I728" s="2"/>
    </row>
    <row r="729" spans="9:9" x14ac:dyDescent="0.25">
      <c r="I729" s="2"/>
    </row>
    <row r="730" spans="9:9" x14ac:dyDescent="0.25">
      <c r="I730" s="2"/>
    </row>
    <row r="731" spans="9:9" x14ac:dyDescent="0.25">
      <c r="I731" s="2"/>
    </row>
    <row r="732" spans="9:9" x14ac:dyDescent="0.25">
      <c r="I732" s="2"/>
    </row>
    <row r="733" spans="9:9" x14ac:dyDescent="0.25">
      <c r="I733" s="2"/>
    </row>
    <row r="734" spans="9:9" x14ac:dyDescent="0.25">
      <c r="I734" s="2"/>
    </row>
    <row r="735" spans="9:9" x14ac:dyDescent="0.25">
      <c r="I735" s="2"/>
    </row>
    <row r="736" spans="9:9" x14ac:dyDescent="0.25">
      <c r="I736" s="2"/>
    </row>
    <row r="737" spans="9:9" x14ac:dyDescent="0.25">
      <c r="I737" s="2"/>
    </row>
    <row r="738" spans="9:9" x14ac:dyDescent="0.25">
      <c r="I738" s="2"/>
    </row>
    <row r="739" spans="9:9" x14ac:dyDescent="0.25">
      <c r="I739" s="2"/>
    </row>
    <row r="740" spans="9:9" x14ac:dyDescent="0.25">
      <c r="I740" s="2"/>
    </row>
    <row r="741" spans="9:9" x14ac:dyDescent="0.25">
      <c r="I741" s="2"/>
    </row>
    <row r="742" spans="9:9" x14ac:dyDescent="0.25">
      <c r="I742" s="2"/>
    </row>
    <row r="743" spans="9:9" x14ac:dyDescent="0.25">
      <c r="I743" s="2"/>
    </row>
    <row r="744" spans="9:9" x14ac:dyDescent="0.25">
      <c r="I744" s="2"/>
    </row>
    <row r="745" spans="9:9" x14ac:dyDescent="0.25">
      <c r="I745" s="2"/>
    </row>
    <row r="746" spans="9:9" x14ac:dyDescent="0.25">
      <c r="I746" s="2"/>
    </row>
    <row r="747" spans="9:9" x14ac:dyDescent="0.25">
      <c r="I747" s="2"/>
    </row>
    <row r="748" spans="9:9" x14ac:dyDescent="0.25">
      <c r="I748" s="2"/>
    </row>
    <row r="749" spans="9:9" x14ac:dyDescent="0.25">
      <c r="I749" s="2"/>
    </row>
    <row r="750" spans="9:9" x14ac:dyDescent="0.25">
      <c r="I750" s="2"/>
    </row>
    <row r="751" spans="9:9" x14ac:dyDescent="0.25">
      <c r="I751" s="2"/>
    </row>
    <row r="752" spans="9:9" x14ac:dyDescent="0.25">
      <c r="I752" s="2"/>
    </row>
    <row r="753" spans="9:9" x14ac:dyDescent="0.25">
      <c r="I753" s="2"/>
    </row>
    <row r="754" spans="9:9" x14ac:dyDescent="0.25">
      <c r="I754" s="2"/>
    </row>
    <row r="755" spans="9:9" x14ac:dyDescent="0.25">
      <c r="I755" s="2"/>
    </row>
    <row r="756" spans="9:9" x14ac:dyDescent="0.25">
      <c r="I756" s="2"/>
    </row>
    <row r="757" spans="9:9" x14ac:dyDescent="0.25">
      <c r="I757" s="2"/>
    </row>
    <row r="758" spans="9:9" x14ac:dyDescent="0.25">
      <c r="I758" s="2"/>
    </row>
    <row r="759" spans="9:9" x14ac:dyDescent="0.25">
      <c r="I759" s="2"/>
    </row>
    <row r="760" spans="9:9" x14ac:dyDescent="0.25">
      <c r="I760" s="2"/>
    </row>
    <row r="761" spans="9:9" x14ac:dyDescent="0.25">
      <c r="I761" s="2"/>
    </row>
    <row r="762" spans="9:9" x14ac:dyDescent="0.25">
      <c r="I762" s="2"/>
    </row>
    <row r="763" spans="9:9" x14ac:dyDescent="0.25">
      <c r="I763" s="2"/>
    </row>
    <row r="764" spans="9:9" x14ac:dyDescent="0.25">
      <c r="I764" s="2"/>
    </row>
    <row r="765" spans="9:9" x14ac:dyDescent="0.25">
      <c r="I765" s="2"/>
    </row>
    <row r="766" spans="9:9" x14ac:dyDescent="0.25">
      <c r="I766" s="2"/>
    </row>
    <row r="767" spans="9:9" x14ac:dyDescent="0.25">
      <c r="I767" s="2"/>
    </row>
    <row r="768" spans="9:9" x14ac:dyDescent="0.25">
      <c r="I768" s="2"/>
    </row>
    <row r="769" spans="9:9" x14ac:dyDescent="0.25">
      <c r="I769" s="2"/>
    </row>
    <row r="770" spans="9:9" x14ac:dyDescent="0.25">
      <c r="I770" s="2"/>
    </row>
    <row r="771" spans="9:9" x14ac:dyDescent="0.25">
      <c r="I771" s="2"/>
    </row>
    <row r="772" spans="9:9" x14ac:dyDescent="0.25">
      <c r="I772" s="2"/>
    </row>
    <row r="773" spans="9:9" x14ac:dyDescent="0.25">
      <c r="I773" s="2"/>
    </row>
    <row r="774" spans="9:9" x14ac:dyDescent="0.25">
      <c r="I774" s="2"/>
    </row>
    <row r="775" spans="9:9" x14ac:dyDescent="0.25">
      <c r="I775" s="2"/>
    </row>
    <row r="776" spans="9:9" x14ac:dyDescent="0.25">
      <c r="I776" s="2"/>
    </row>
    <row r="777" spans="9:9" x14ac:dyDescent="0.25">
      <c r="I777" s="2"/>
    </row>
    <row r="778" spans="9:9" x14ac:dyDescent="0.25">
      <c r="I778" s="2"/>
    </row>
    <row r="779" spans="9:9" x14ac:dyDescent="0.25">
      <c r="I779" s="2"/>
    </row>
    <row r="780" spans="9:9" x14ac:dyDescent="0.25">
      <c r="I780" s="2"/>
    </row>
    <row r="781" spans="9:9" x14ac:dyDescent="0.25">
      <c r="I781" s="2"/>
    </row>
    <row r="782" spans="9:9" x14ac:dyDescent="0.25">
      <c r="I782" s="2"/>
    </row>
    <row r="783" spans="9:9" x14ac:dyDescent="0.25">
      <c r="I783" s="2"/>
    </row>
    <row r="784" spans="9:9" x14ac:dyDescent="0.25">
      <c r="I784" s="2"/>
    </row>
    <row r="785" spans="9:9" x14ac:dyDescent="0.25">
      <c r="I785" s="2"/>
    </row>
    <row r="786" spans="9:9" x14ac:dyDescent="0.25">
      <c r="I786" s="2"/>
    </row>
    <row r="787" spans="9:9" x14ac:dyDescent="0.25">
      <c r="I787" s="2"/>
    </row>
    <row r="788" spans="9:9" x14ac:dyDescent="0.25">
      <c r="I788" s="2"/>
    </row>
    <row r="789" spans="9:9" x14ac:dyDescent="0.25">
      <c r="I789" s="2"/>
    </row>
    <row r="790" spans="9:9" x14ac:dyDescent="0.25">
      <c r="I790" s="2"/>
    </row>
    <row r="791" spans="9:9" x14ac:dyDescent="0.25">
      <c r="I791" s="2"/>
    </row>
    <row r="792" spans="9:9" x14ac:dyDescent="0.25">
      <c r="I792" s="2"/>
    </row>
    <row r="793" spans="9:9" x14ac:dyDescent="0.25">
      <c r="I793" s="2"/>
    </row>
    <row r="794" spans="9:9" x14ac:dyDescent="0.25">
      <c r="I794" s="2"/>
    </row>
    <row r="795" spans="9:9" x14ac:dyDescent="0.25">
      <c r="I795" s="2"/>
    </row>
    <row r="796" spans="9:9" x14ac:dyDescent="0.25">
      <c r="I796" s="2"/>
    </row>
    <row r="797" spans="9:9" x14ac:dyDescent="0.25">
      <c r="I797" s="2"/>
    </row>
    <row r="798" spans="9:9" x14ac:dyDescent="0.25">
      <c r="I798" s="2"/>
    </row>
    <row r="799" spans="9:9" x14ac:dyDescent="0.25">
      <c r="I799" s="2"/>
    </row>
    <row r="800" spans="9:9" x14ac:dyDescent="0.25">
      <c r="I800" s="2"/>
    </row>
    <row r="801" spans="9:9" x14ac:dyDescent="0.25">
      <c r="I801" s="2"/>
    </row>
    <row r="802" spans="9:9" x14ac:dyDescent="0.25">
      <c r="I802" s="2"/>
    </row>
    <row r="803" spans="9:9" x14ac:dyDescent="0.25">
      <c r="I803" s="2"/>
    </row>
    <row r="804" spans="9:9" x14ac:dyDescent="0.25">
      <c r="I804" s="2"/>
    </row>
    <row r="805" spans="9:9" x14ac:dyDescent="0.25">
      <c r="I805" s="2"/>
    </row>
    <row r="806" spans="9:9" x14ac:dyDescent="0.25">
      <c r="I806" s="2"/>
    </row>
    <row r="807" spans="9:9" x14ac:dyDescent="0.25">
      <c r="I807" s="2"/>
    </row>
    <row r="808" spans="9:9" x14ac:dyDescent="0.25">
      <c r="I808" s="2"/>
    </row>
    <row r="809" spans="9:9" x14ac:dyDescent="0.25">
      <c r="I809" s="2"/>
    </row>
    <row r="810" spans="9:9" x14ac:dyDescent="0.25">
      <c r="I810" s="2"/>
    </row>
    <row r="811" spans="9:9" x14ac:dyDescent="0.25">
      <c r="I811" s="2"/>
    </row>
    <row r="812" spans="9:9" x14ac:dyDescent="0.25">
      <c r="I812" s="2"/>
    </row>
    <row r="813" spans="9:9" x14ac:dyDescent="0.25">
      <c r="I813" s="2"/>
    </row>
    <row r="814" spans="9:9" x14ac:dyDescent="0.25">
      <c r="I814" s="2"/>
    </row>
    <row r="815" spans="9:9" x14ac:dyDescent="0.25">
      <c r="I815" s="2"/>
    </row>
    <row r="816" spans="9:9" x14ac:dyDescent="0.25">
      <c r="I816" s="2"/>
    </row>
    <row r="817" spans="9:9" x14ac:dyDescent="0.25">
      <c r="I817" s="2"/>
    </row>
    <row r="818" spans="9:9" x14ac:dyDescent="0.25">
      <c r="I818" s="2"/>
    </row>
    <row r="819" spans="9:9" x14ac:dyDescent="0.25">
      <c r="I819" s="2"/>
    </row>
    <row r="820" spans="9:9" x14ac:dyDescent="0.25">
      <c r="I820" s="2"/>
    </row>
    <row r="821" spans="9:9" x14ac:dyDescent="0.25">
      <c r="I821" s="2"/>
    </row>
    <row r="822" spans="9:9" x14ac:dyDescent="0.25">
      <c r="I822" s="2"/>
    </row>
    <row r="823" spans="9:9" x14ac:dyDescent="0.25">
      <c r="I823" s="2"/>
    </row>
    <row r="824" spans="9:9" x14ac:dyDescent="0.25">
      <c r="I824" s="2"/>
    </row>
    <row r="825" spans="9:9" x14ac:dyDescent="0.25">
      <c r="I825" s="2"/>
    </row>
    <row r="826" spans="9:9" x14ac:dyDescent="0.25">
      <c r="I826" s="2"/>
    </row>
    <row r="827" spans="9:9" x14ac:dyDescent="0.25">
      <c r="I827" s="2"/>
    </row>
    <row r="828" spans="9:9" x14ac:dyDescent="0.25">
      <c r="I828" s="2"/>
    </row>
    <row r="829" spans="9:9" x14ac:dyDescent="0.25">
      <c r="I829" s="2"/>
    </row>
    <row r="830" spans="9:9" x14ac:dyDescent="0.25">
      <c r="I830" s="2"/>
    </row>
    <row r="831" spans="9:9" x14ac:dyDescent="0.25">
      <c r="I831" s="2"/>
    </row>
    <row r="832" spans="9:9" x14ac:dyDescent="0.25">
      <c r="I832" s="2"/>
    </row>
    <row r="833" spans="9:9" x14ac:dyDescent="0.25">
      <c r="I833" s="2"/>
    </row>
    <row r="834" spans="9:9" x14ac:dyDescent="0.25">
      <c r="I834" s="2"/>
    </row>
    <row r="835" spans="9:9" x14ac:dyDescent="0.25">
      <c r="I835" s="2"/>
    </row>
    <row r="836" spans="9:9" x14ac:dyDescent="0.25">
      <c r="I836" s="2"/>
    </row>
    <row r="837" spans="9:9" x14ac:dyDescent="0.25">
      <c r="I837" s="2"/>
    </row>
    <row r="838" spans="9:9" x14ac:dyDescent="0.25">
      <c r="I838" s="2"/>
    </row>
    <row r="839" spans="9:9" x14ac:dyDescent="0.25">
      <c r="I839" s="2"/>
    </row>
    <row r="840" spans="9:9" x14ac:dyDescent="0.25">
      <c r="I840" s="2"/>
    </row>
    <row r="841" spans="9:9" x14ac:dyDescent="0.25">
      <c r="I841" s="2"/>
    </row>
    <row r="842" spans="9:9" x14ac:dyDescent="0.25">
      <c r="I842" s="2"/>
    </row>
    <row r="843" spans="9:9" x14ac:dyDescent="0.25">
      <c r="I843" s="2"/>
    </row>
    <row r="844" spans="9:9" x14ac:dyDescent="0.25">
      <c r="I844" s="2"/>
    </row>
    <row r="845" spans="9:9" x14ac:dyDescent="0.25">
      <c r="I845" s="2"/>
    </row>
    <row r="846" spans="9:9" x14ac:dyDescent="0.25">
      <c r="I846" s="2"/>
    </row>
    <row r="847" spans="9:9" x14ac:dyDescent="0.25">
      <c r="I847" s="2"/>
    </row>
    <row r="848" spans="9:9" x14ac:dyDescent="0.25">
      <c r="I848" s="2"/>
    </row>
    <row r="849" spans="9:9" x14ac:dyDescent="0.25">
      <c r="I849" s="2"/>
    </row>
    <row r="850" spans="9:9" x14ac:dyDescent="0.25">
      <c r="I850" s="2"/>
    </row>
    <row r="851" spans="9:9" x14ac:dyDescent="0.25">
      <c r="I851" s="2"/>
    </row>
    <row r="852" spans="9:9" x14ac:dyDescent="0.25">
      <c r="I852" s="2"/>
    </row>
    <row r="853" spans="9:9" x14ac:dyDescent="0.25">
      <c r="I853" s="2"/>
    </row>
    <row r="854" spans="9:9" x14ac:dyDescent="0.25">
      <c r="I854" s="2"/>
    </row>
    <row r="855" spans="9:9" x14ac:dyDescent="0.25">
      <c r="I855" s="2"/>
    </row>
    <row r="856" spans="9:9" x14ac:dyDescent="0.25">
      <c r="I856" s="2"/>
    </row>
    <row r="857" spans="9:9" x14ac:dyDescent="0.25">
      <c r="I857" s="2"/>
    </row>
    <row r="858" spans="9:9" x14ac:dyDescent="0.25">
      <c r="I858" s="2"/>
    </row>
    <row r="859" spans="9:9" x14ac:dyDescent="0.25">
      <c r="I859" s="2"/>
    </row>
    <row r="860" spans="9:9" x14ac:dyDescent="0.25">
      <c r="I860" s="2"/>
    </row>
    <row r="861" spans="9:9" x14ac:dyDescent="0.25">
      <c r="I861" s="2"/>
    </row>
    <row r="862" spans="9:9" x14ac:dyDescent="0.25">
      <c r="I862" s="2"/>
    </row>
    <row r="863" spans="9:9" x14ac:dyDescent="0.25">
      <c r="I863" s="2"/>
    </row>
    <row r="864" spans="9:9" x14ac:dyDescent="0.25">
      <c r="I864" s="2"/>
    </row>
    <row r="865" spans="9:9" x14ac:dyDescent="0.25">
      <c r="I865" s="2"/>
    </row>
    <row r="866" spans="9:9" x14ac:dyDescent="0.25">
      <c r="I866" s="2"/>
    </row>
    <row r="867" spans="9:9" x14ac:dyDescent="0.25">
      <c r="I867" s="2"/>
    </row>
    <row r="868" spans="9:9" x14ac:dyDescent="0.25">
      <c r="I868" s="2"/>
    </row>
    <row r="869" spans="9:9" x14ac:dyDescent="0.25">
      <c r="I869" s="2"/>
    </row>
    <row r="870" spans="9:9" x14ac:dyDescent="0.25">
      <c r="I870" s="2"/>
    </row>
    <row r="871" spans="9:9" x14ac:dyDescent="0.25">
      <c r="I871" s="2"/>
    </row>
    <row r="872" spans="9:9" x14ac:dyDescent="0.25">
      <c r="I872" s="2"/>
    </row>
    <row r="873" spans="9:9" x14ac:dyDescent="0.25">
      <c r="I873" s="2"/>
    </row>
    <row r="874" spans="9:9" x14ac:dyDescent="0.25">
      <c r="I874" s="2"/>
    </row>
    <row r="875" spans="9:9" x14ac:dyDescent="0.25">
      <c r="I875" s="2"/>
    </row>
    <row r="876" spans="9:9" x14ac:dyDescent="0.25">
      <c r="I876" s="2"/>
    </row>
    <row r="877" spans="9:9" x14ac:dyDescent="0.25">
      <c r="I877" s="2"/>
    </row>
    <row r="878" spans="9:9" x14ac:dyDescent="0.25">
      <c r="I878" s="2"/>
    </row>
    <row r="879" spans="9:9" x14ac:dyDescent="0.25">
      <c r="I879" s="2"/>
    </row>
    <row r="880" spans="9:9" x14ac:dyDescent="0.25">
      <c r="I880" s="2"/>
    </row>
    <row r="881" spans="9:9" x14ac:dyDescent="0.25">
      <c r="I881" s="2"/>
    </row>
    <row r="882" spans="9:9" x14ac:dyDescent="0.25">
      <c r="I882" s="2"/>
    </row>
    <row r="883" spans="9:9" x14ac:dyDescent="0.25">
      <c r="I883" s="2"/>
    </row>
    <row r="884" spans="9:9" x14ac:dyDescent="0.25">
      <c r="I884" s="2"/>
    </row>
    <row r="885" spans="9:9" x14ac:dyDescent="0.25">
      <c r="I885" s="2"/>
    </row>
    <row r="886" spans="9:9" x14ac:dyDescent="0.25">
      <c r="I886" s="2"/>
    </row>
    <row r="887" spans="9:9" x14ac:dyDescent="0.25">
      <c r="I887" s="2"/>
    </row>
    <row r="888" spans="9:9" x14ac:dyDescent="0.25">
      <c r="I888" s="2"/>
    </row>
    <row r="889" spans="9:9" x14ac:dyDescent="0.25">
      <c r="I889" s="2"/>
    </row>
    <row r="890" spans="9:9" x14ac:dyDescent="0.25">
      <c r="I890" s="2"/>
    </row>
    <row r="891" spans="9:9" x14ac:dyDescent="0.25">
      <c r="I891" s="2"/>
    </row>
    <row r="892" spans="9:9" x14ac:dyDescent="0.25">
      <c r="I892" s="2"/>
    </row>
    <row r="893" spans="9:9" x14ac:dyDescent="0.25">
      <c r="I893" s="2"/>
    </row>
    <row r="894" spans="9:9" x14ac:dyDescent="0.25">
      <c r="I894" s="2"/>
    </row>
    <row r="895" spans="9:9" x14ac:dyDescent="0.25">
      <c r="I895" s="2"/>
    </row>
    <row r="896" spans="9:9" x14ac:dyDescent="0.25">
      <c r="I896" s="2"/>
    </row>
    <row r="897" spans="9:9" x14ac:dyDescent="0.25">
      <c r="I897" s="2"/>
    </row>
    <row r="898" spans="9:9" x14ac:dyDescent="0.25">
      <c r="I898" s="2"/>
    </row>
    <row r="899" spans="9:9" x14ac:dyDescent="0.25">
      <c r="I899" s="2"/>
    </row>
    <row r="900" spans="9:9" x14ac:dyDescent="0.25">
      <c r="I900" s="2"/>
    </row>
    <row r="901" spans="9:9" x14ac:dyDescent="0.25">
      <c r="I901" s="2"/>
    </row>
    <row r="902" spans="9:9" x14ac:dyDescent="0.25">
      <c r="I902" s="2"/>
    </row>
    <row r="903" spans="9:9" x14ac:dyDescent="0.25">
      <c r="I903" s="2"/>
    </row>
    <row r="904" spans="9:9" x14ac:dyDescent="0.25">
      <c r="I904" s="2"/>
    </row>
    <row r="905" spans="9:9" x14ac:dyDescent="0.25">
      <c r="I905" s="2"/>
    </row>
    <row r="906" spans="9:9" x14ac:dyDescent="0.25">
      <c r="I906" s="2"/>
    </row>
    <row r="907" spans="9:9" x14ac:dyDescent="0.25">
      <c r="I907" s="2"/>
    </row>
    <row r="908" spans="9:9" x14ac:dyDescent="0.25">
      <c r="I908" s="2"/>
    </row>
    <row r="909" spans="9:9" x14ac:dyDescent="0.25">
      <c r="I909" s="2"/>
    </row>
    <row r="910" spans="9:9" x14ac:dyDescent="0.25">
      <c r="I910" s="2"/>
    </row>
    <row r="911" spans="9:9" x14ac:dyDescent="0.25">
      <c r="I911" s="2"/>
    </row>
    <row r="912" spans="9:9" x14ac:dyDescent="0.25">
      <c r="I912" s="2"/>
    </row>
    <row r="913" spans="9:9" x14ac:dyDescent="0.25">
      <c r="I913" s="2"/>
    </row>
    <row r="914" spans="9:9" x14ac:dyDescent="0.25">
      <c r="I914" s="2"/>
    </row>
    <row r="915" spans="9:9" x14ac:dyDescent="0.25">
      <c r="I915" s="2"/>
    </row>
    <row r="916" spans="9:9" x14ac:dyDescent="0.25">
      <c r="I916" s="2"/>
    </row>
    <row r="917" spans="9:9" x14ac:dyDescent="0.25">
      <c r="I917" s="2"/>
    </row>
    <row r="918" spans="9:9" x14ac:dyDescent="0.25">
      <c r="I918" s="2"/>
    </row>
    <row r="919" spans="9:9" x14ac:dyDescent="0.25">
      <c r="I919" s="2"/>
    </row>
    <row r="920" spans="9:9" x14ac:dyDescent="0.25">
      <c r="I920" s="2"/>
    </row>
    <row r="921" spans="9:9" x14ac:dyDescent="0.25">
      <c r="I921" s="2"/>
    </row>
    <row r="922" spans="9:9" x14ac:dyDescent="0.25">
      <c r="I922" s="2"/>
    </row>
    <row r="923" spans="9:9" x14ac:dyDescent="0.25">
      <c r="I923" s="2"/>
    </row>
    <row r="924" spans="9:9" x14ac:dyDescent="0.25">
      <c r="I924" s="2"/>
    </row>
    <row r="925" spans="9:9" x14ac:dyDescent="0.25">
      <c r="I925" s="2"/>
    </row>
    <row r="926" spans="9:9" x14ac:dyDescent="0.25">
      <c r="I926" s="2"/>
    </row>
    <row r="927" spans="9:9" x14ac:dyDescent="0.25">
      <c r="I927" s="2"/>
    </row>
    <row r="928" spans="9:9" x14ac:dyDescent="0.25">
      <c r="I928" s="2"/>
    </row>
    <row r="929" spans="9:9" x14ac:dyDescent="0.25">
      <c r="I929" s="2"/>
    </row>
    <row r="930" spans="9:9" x14ac:dyDescent="0.25">
      <c r="I930" s="2"/>
    </row>
    <row r="931" spans="9:9" x14ac:dyDescent="0.25">
      <c r="I931" s="2"/>
    </row>
    <row r="932" spans="9:9" x14ac:dyDescent="0.25">
      <c r="I932" s="2"/>
    </row>
    <row r="933" spans="9:9" x14ac:dyDescent="0.25">
      <c r="I933" s="2"/>
    </row>
    <row r="934" spans="9:9" x14ac:dyDescent="0.25">
      <c r="I934" s="2"/>
    </row>
    <row r="935" spans="9:9" x14ac:dyDescent="0.25">
      <c r="I935" s="2"/>
    </row>
    <row r="936" spans="9:9" x14ac:dyDescent="0.25">
      <c r="I936" s="2"/>
    </row>
    <row r="937" spans="9:9" x14ac:dyDescent="0.25">
      <c r="I937" s="2"/>
    </row>
    <row r="938" spans="9:9" x14ac:dyDescent="0.25">
      <c r="I938" s="2"/>
    </row>
    <row r="939" spans="9:9" x14ac:dyDescent="0.25">
      <c r="I939" s="2"/>
    </row>
    <row r="940" spans="9:9" x14ac:dyDescent="0.25">
      <c r="I940" s="2"/>
    </row>
    <row r="941" spans="9:9" x14ac:dyDescent="0.25">
      <c r="I941" s="2"/>
    </row>
    <row r="942" spans="9:9" x14ac:dyDescent="0.25">
      <c r="I942" s="2"/>
    </row>
    <row r="943" spans="9:9" x14ac:dyDescent="0.25">
      <c r="I943" s="2"/>
    </row>
    <row r="944" spans="9:9" x14ac:dyDescent="0.25">
      <c r="I944" s="2"/>
    </row>
    <row r="945" spans="9:9" x14ac:dyDescent="0.25">
      <c r="I945" s="2"/>
    </row>
    <row r="946" spans="9:9" x14ac:dyDescent="0.25">
      <c r="I946" s="2"/>
    </row>
    <row r="947" spans="9:9" x14ac:dyDescent="0.25">
      <c r="I947" s="2"/>
    </row>
    <row r="948" spans="9:9" x14ac:dyDescent="0.25">
      <c r="I948" s="2"/>
    </row>
    <row r="949" spans="9:9" x14ac:dyDescent="0.25">
      <c r="I949" s="2"/>
    </row>
    <row r="950" spans="9:9" x14ac:dyDescent="0.25">
      <c r="I950" s="2"/>
    </row>
    <row r="951" spans="9:9" x14ac:dyDescent="0.25">
      <c r="I951" s="2"/>
    </row>
    <row r="952" spans="9:9" x14ac:dyDescent="0.25">
      <c r="I952" s="2"/>
    </row>
    <row r="953" spans="9:9" x14ac:dyDescent="0.25">
      <c r="I953" s="2"/>
    </row>
    <row r="954" spans="9:9" x14ac:dyDescent="0.25">
      <c r="I954" s="2"/>
    </row>
    <row r="955" spans="9:9" x14ac:dyDescent="0.25">
      <c r="I955" s="2"/>
    </row>
    <row r="956" spans="9:9" x14ac:dyDescent="0.25">
      <c r="I956" s="2"/>
    </row>
    <row r="957" spans="9:9" x14ac:dyDescent="0.25">
      <c r="I957" s="2"/>
    </row>
    <row r="958" spans="9:9" x14ac:dyDescent="0.25">
      <c r="I958" s="2"/>
    </row>
    <row r="959" spans="9:9" x14ac:dyDescent="0.25">
      <c r="I959" s="2"/>
    </row>
    <row r="960" spans="9:9" x14ac:dyDescent="0.25">
      <c r="I960" s="2"/>
    </row>
    <row r="961" spans="9:9" x14ac:dyDescent="0.25">
      <c r="I961" s="2"/>
    </row>
    <row r="962" spans="9:9" x14ac:dyDescent="0.25">
      <c r="I962" s="2"/>
    </row>
    <row r="963" spans="9:9" x14ac:dyDescent="0.25">
      <c r="I963" s="2"/>
    </row>
    <row r="964" spans="9:9" x14ac:dyDescent="0.25">
      <c r="I964" s="2"/>
    </row>
    <row r="965" spans="9:9" x14ac:dyDescent="0.25">
      <c r="I965" s="2"/>
    </row>
    <row r="966" spans="9:9" x14ac:dyDescent="0.25">
      <c r="I966" s="2"/>
    </row>
    <row r="967" spans="9:9" x14ac:dyDescent="0.25">
      <c r="I967" s="2"/>
    </row>
    <row r="968" spans="9:9" x14ac:dyDescent="0.25">
      <c r="I968" s="2"/>
    </row>
    <row r="969" spans="9:9" x14ac:dyDescent="0.25">
      <c r="I969" s="2"/>
    </row>
    <row r="970" spans="9:9" x14ac:dyDescent="0.25">
      <c r="I970" s="2"/>
    </row>
    <row r="971" spans="9:9" x14ac:dyDescent="0.25">
      <c r="I971" s="2"/>
    </row>
    <row r="972" spans="9:9" x14ac:dyDescent="0.25">
      <c r="I972" s="2"/>
    </row>
    <row r="973" spans="9:9" x14ac:dyDescent="0.25">
      <c r="I973" s="2"/>
    </row>
    <row r="974" spans="9:9" x14ac:dyDescent="0.25">
      <c r="I974" s="2"/>
    </row>
    <row r="975" spans="9:9" x14ac:dyDescent="0.25">
      <c r="I975" s="2"/>
    </row>
    <row r="976" spans="9:9" x14ac:dyDescent="0.25">
      <c r="I976" s="2"/>
    </row>
    <row r="977" spans="9:9" x14ac:dyDescent="0.25">
      <c r="I977" s="2"/>
    </row>
    <row r="978" spans="9:9" x14ac:dyDescent="0.25">
      <c r="I978" s="2"/>
    </row>
    <row r="979" spans="9:9" x14ac:dyDescent="0.25">
      <c r="I979" s="2"/>
    </row>
    <row r="980" spans="9:9" x14ac:dyDescent="0.25">
      <c r="I980" s="2"/>
    </row>
    <row r="981" spans="9:9" x14ac:dyDescent="0.25">
      <c r="I981" s="2"/>
    </row>
    <row r="982" spans="9:9" x14ac:dyDescent="0.25">
      <c r="I982" s="2"/>
    </row>
    <row r="983" spans="9:9" x14ac:dyDescent="0.25">
      <c r="I983" s="2"/>
    </row>
    <row r="984" spans="9:9" x14ac:dyDescent="0.25">
      <c r="I984" s="2"/>
    </row>
    <row r="985" spans="9:9" x14ac:dyDescent="0.25">
      <c r="I985" s="2"/>
    </row>
    <row r="986" spans="9:9" x14ac:dyDescent="0.25">
      <c r="I986" s="2"/>
    </row>
    <row r="987" spans="9:9" x14ac:dyDescent="0.25">
      <c r="I987" s="2"/>
    </row>
    <row r="988" spans="9:9" x14ac:dyDescent="0.25">
      <c r="I988" s="2"/>
    </row>
    <row r="989" spans="9:9" x14ac:dyDescent="0.25">
      <c r="I989" s="2"/>
    </row>
    <row r="990" spans="9:9" x14ac:dyDescent="0.25">
      <c r="I990" s="2"/>
    </row>
    <row r="991" spans="9:9" x14ac:dyDescent="0.25">
      <c r="I991" s="2"/>
    </row>
    <row r="992" spans="9:9" x14ac:dyDescent="0.25">
      <c r="I992" s="2"/>
    </row>
    <row r="993" spans="9:9" x14ac:dyDescent="0.25">
      <c r="I993" s="2"/>
    </row>
    <row r="994" spans="9:9" x14ac:dyDescent="0.25">
      <c r="I994" s="2"/>
    </row>
    <row r="995" spans="9:9" x14ac:dyDescent="0.25">
      <c r="I995" s="2"/>
    </row>
    <row r="996" spans="9:9" x14ac:dyDescent="0.25">
      <c r="I996" s="2"/>
    </row>
    <row r="997" spans="9:9" x14ac:dyDescent="0.25">
      <c r="I997" s="2"/>
    </row>
    <row r="998" spans="9:9" x14ac:dyDescent="0.25">
      <c r="I998" s="2"/>
    </row>
    <row r="999" spans="9:9" x14ac:dyDescent="0.25">
      <c r="I999" s="2"/>
    </row>
    <row r="1000" spans="9:9" x14ac:dyDescent="0.25">
      <c r="I1000" s="2"/>
    </row>
    <row r="1001" spans="9:9" x14ac:dyDescent="0.25">
      <c r="I1001" s="2"/>
    </row>
    <row r="1002" spans="9:9" x14ac:dyDescent="0.25">
      <c r="I1002" s="2"/>
    </row>
    <row r="1003" spans="9:9" x14ac:dyDescent="0.25">
      <c r="I1003" s="2"/>
    </row>
    <row r="1004" spans="9:9" x14ac:dyDescent="0.25">
      <c r="I1004" s="2"/>
    </row>
    <row r="1005" spans="9:9" x14ac:dyDescent="0.25">
      <c r="I1005" s="2"/>
    </row>
    <row r="1006" spans="9:9" x14ac:dyDescent="0.25">
      <c r="I1006" s="2"/>
    </row>
    <row r="1007" spans="9:9" x14ac:dyDescent="0.25">
      <c r="I1007" s="2"/>
    </row>
    <row r="1008" spans="9:9" x14ac:dyDescent="0.25">
      <c r="I1008" s="2"/>
    </row>
    <row r="1009" spans="9:9" x14ac:dyDescent="0.25">
      <c r="I1009" s="2"/>
    </row>
    <row r="1010" spans="9:9" x14ac:dyDescent="0.25">
      <c r="I1010" s="2"/>
    </row>
    <row r="1011" spans="9:9" x14ac:dyDescent="0.25">
      <c r="I1011" s="2"/>
    </row>
    <row r="1012" spans="9:9" x14ac:dyDescent="0.25">
      <c r="I1012" s="2"/>
    </row>
    <row r="1013" spans="9:9" x14ac:dyDescent="0.25">
      <c r="I1013" s="2"/>
    </row>
    <row r="1014" spans="9:9" x14ac:dyDescent="0.25">
      <c r="I1014" s="2"/>
    </row>
    <row r="1015" spans="9:9" x14ac:dyDescent="0.25">
      <c r="I1015" s="2"/>
    </row>
    <row r="1016" spans="9:9" x14ac:dyDescent="0.25">
      <c r="I1016" s="2"/>
    </row>
    <row r="1017" spans="9:9" x14ac:dyDescent="0.25">
      <c r="I1017" s="2"/>
    </row>
    <row r="1018" spans="9:9" x14ac:dyDescent="0.25">
      <c r="I1018" s="2"/>
    </row>
    <row r="1019" spans="9:9" x14ac:dyDescent="0.25">
      <c r="I1019" s="2"/>
    </row>
    <row r="1020" spans="9:9" x14ac:dyDescent="0.25">
      <c r="I1020" s="2"/>
    </row>
    <row r="1021" spans="9:9" x14ac:dyDescent="0.25">
      <c r="I1021" s="2"/>
    </row>
    <row r="1022" spans="9:9" x14ac:dyDescent="0.25">
      <c r="I1022" s="2"/>
    </row>
    <row r="1023" spans="9:9" x14ac:dyDescent="0.25">
      <c r="I1023" s="2"/>
    </row>
    <row r="1024" spans="9:9" x14ac:dyDescent="0.25">
      <c r="I1024" s="2"/>
    </row>
    <row r="1025" spans="9:9" x14ac:dyDescent="0.25">
      <c r="I1025" s="2"/>
    </row>
    <row r="1026" spans="9:9" x14ac:dyDescent="0.25">
      <c r="I1026" s="2"/>
    </row>
    <row r="1027" spans="9:9" x14ac:dyDescent="0.25">
      <c r="I1027" s="2"/>
    </row>
    <row r="1028" spans="9:9" x14ac:dyDescent="0.25">
      <c r="I1028" s="2"/>
    </row>
    <row r="1029" spans="9:9" x14ac:dyDescent="0.25">
      <c r="I1029" s="2"/>
    </row>
    <row r="1030" spans="9:9" x14ac:dyDescent="0.25">
      <c r="I1030" s="2"/>
    </row>
    <row r="1031" spans="9:9" x14ac:dyDescent="0.25">
      <c r="I1031" s="2"/>
    </row>
    <row r="1032" spans="9:9" x14ac:dyDescent="0.25">
      <c r="I1032" s="2"/>
    </row>
    <row r="1033" spans="9:9" x14ac:dyDescent="0.25">
      <c r="I1033" s="2"/>
    </row>
    <row r="1034" spans="9:9" x14ac:dyDescent="0.25">
      <c r="I1034" s="2"/>
    </row>
    <row r="1035" spans="9:9" x14ac:dyDescent="0.25">
      <c r="I1035" s="2"/>
    </row>
    <row r="1036" spans="9:9" x14ac:dyDescent="0.25">
      <c r="I1036" s="2"/>
    </row>
    <row r="1037" spans="9:9" x14ac:dyDescent="0.25">
      <c r="I1037" s="2"/>
    </row>
    <row r="1038" spans="9:9" x14ac:dyDescent="0.25">
      <c r="I1038" s="2"/>
    </row>
    <row r="1039" spans="9:9" x14ac:dyDescent="0.25">
      <c r="I1039" s="2"/>
    </row>
    <row r="1040" spans="9:9" x14ac:dyDescent="0.25">
      <c r="I1040" s="2"/>
    </row>
    <row r="1041" spans="9:9" x14ac:dyDescent="0.25">
      <c r="I1041" s="2"/>
    </row>
    <row r="1042" spans="9:9" x14ac:dyDescent="0.25">
      <c r="I1042" s="2"/>
    </row>
    <row r="1043" spans="9:9" x14ac:dyDescent="0.25">
      <c r="I1043" s="2"/>
    </row>
    <row r="1044" spans="9:9" x14ac:dyDescent="0.25">
      <c r="I1044" s="2"/>
    </row>
    <row r="1045" spans="9:9" x14ac:dyDescent="0.25">
      <c r="I1045" s="2"/>
    </row>
    <row r="1046" spans="9:9" x14ac:dyDescent="0.25">
      <c r="I1046" s="2"/>
    </row>
    <row r="1047" spans="9:9" x14ac:dyDescent="0.25">
      <c r="I1047" s="2"/>
    </row>
    <row r="1048" spans="9:9" x14ac:dyDescent="0.25">
      <c r="I1048" s="2"/>
    </row>
    <row r="1049" spans="9:9" x14ac:dyDescent="0.25">
      <c r="I1049" s="2"/>
    </row>
    <row r="1050" spans="9:9" x14ac:dyDescent="0.25">
      <c r="I1050" s="2"/>
    </row>
    <row r="1051" spans="9:9" x14ac:dyDescent="0.25">
      <c r="I1051" s="2"/>
    </row>
    <row r="1052" spans="9:9" x14ac:dyDescent="0.25">
      <c r="I1052" s="2"/>
    </row>
    <row r="1053" spans="9:9" x14ac:dyDescent="0.25">
      <c r="I1053" s="2"/>
    </row>
    <row r="1054" spans="9:9" x14ac:dyDescent="0.25">
      <c r="I1054" s="2"/>
    </row>
    <row r="1055" spans="9:9" x14ac:dyDescent="0.25">
      <c r="I1055" s="2"/>
    </row>
    <row r="1056" spans="9:9" x14ac:dyDescent="0.25">
      <c r="I1056" s="2"/>
    </row>
    <row r="1057" spans="9:9" x14ac:dyDescent="0.25">
      <c r="I1057" s="2"/>
    </row>
    <row r="1058" spans="9:9" x14ac:dyDescent="0.25">
      <c r="I1058" s="2"/>
    </row>
    <row r="1059" spans="9:9" x14ac:dyDescent="0.25">
      <c r="I1059" s="2"/>
    </row>
    <row r="1060" spans="9:9" x14ac:dyDescent="0.25">
      <c r="I1060" s="2"/>
    </row>
    <row r="1061" spans="9:9" x14ac:dyDescent="0.25">
      <c r="I1061" s="2"/>
    </row>
    <row r="1062" spans="9:9" x14ac:dyDescent="0.25">
      <c r="I1062" s="2"/>
    </row>
    <row r="1063" spans="9:9" x14ac:dyDescent="0.25">
      <c r="I1063" s="2"/>
    </row>
    <row r="1064" spans="9:9" x14ac:dyDescent="0.25">
      <c r="I1064" s="2"/>
    </row>
    <row r="1065" spans="9:9" x14ac:dyDescent="0.25">
      <c r="I1065" s="2"/>
    </row>
    <row r="1066" spans="9:9" x14ac:dyDescent="0.25">
      <c r="I1066" s="2"/>
    </row>
    <row r="1067" spans="9:9" x14ac:dyDescent="0.25">
      <c r="I1067" s="2"/>
    </row>
    <row r="1068" spans="9:9" x14ac:dyDescent="0.25">
      <c r="I1068" s="2"/>
    </row>
    <row r="1069" spans="9:9" x14ac:dyDescent="0.25">
      <c r="I1069" s="2"/>
    </row>
    <row r="1070" spans="9:9" x14ac:dyDescent="0.25">
      <c r="I1070" s="2"/>
    </row>
    <row r="1071" spans="9:9" x14ac:dyDescent="0.25">
      <c r="I1071" s="2"/>
    </row>
    <row r="1072" spans="9:9" x14ac:dyDescent="0.25">
      <c r="I1072" s="2"/>
    </row>
    <row r="1073" spans="9:9" x14ac:dyDescent="0.25">
      <c r="I1073" s="2"/>
    </row>
    <row r="1074" spans="9:9" x14ac:dyDescent="0.25">
      <c r="I1074" s="2"/>
    </row>
    <row r="1075" spans="9:9" x14ac:dyDescent="0.25">
      <c r="I1075" s="2"/>
    </row>
    <row r="1076" spans="9:9" x14ac:dyDescent="0.25">
      <c r="I1076" s="2"/>
    </row>
    <row r="1077" spans="9:9" x14ac:dyDescent="0.25">
      <c r="I1077" s="2"/>
    </row>
    <row r="1078" spans="9:9" x14ac:dyDescent="0.25">
      <c r="I1078" s="2"/>
    </row>
    <row r="1079" spans="9:9" x14ac:dyDescent="0.25">
      <c r="I1079" s="2"/>
    </row>
    <row r="1080" spans="9:9" x14ac:dyDescent="0.25">
      <c r="I1080" s="2"/>
    </row>
    <row r="1081" spans="9:9" x14ac:dyDescent="0.25">
      <c r="I1081" s="2"/>
    </row>
    <row r="1082" spans="9:9" x14ac:dyDescent="0.25">
      <c r="I1082" s="2"/>
    </row>
    <row r="1083" spans="9:9" x14ac:dyDescent="0.25">
      <c r="I1083" s="2"/>
    </row>
    <row r="1084" spans="9:9" x14ac:dyDescent="0.25">
      <c r="I1084" s="2"/>
    </row>
    <row r="1085" spans="9:9" x14ac:dyDescent="0.25">
      <c r="I1085" s="2"/>
    </row>
    <row r="1086" spans="9:9" x14ac:dyDescent="0.25">
      <c r="I1086" s="2"/>
    </row>
    <row r="1087" spans="9:9" x14ac:dyDescent="0.25">
      <c r="I1087" s="2"/>
    </row>
    <row r="1088" spans="9:9" x14ac:dyDescent="0.25">
      <c r="I1088" s="2"/>
    </row>
    <row r="1089" spans="9:9" x14ac:dyDescent="0.25">
      <c r="I1089" s="2"/>
    </row>
    <row r="1090" spans="9:9" x14ac:dyDescent="0.25">
      <c r="I1090" s="2"/>
    </row>
    <row r="1091" spans="9:9" x14ac:dyDescent="0.25">
      <c r="I1091" s="2"/>
    </row>
    <row r="1092" spans="9:9" x14ac:dyDescent="0.25">
      <c r="I1092" s="2"/>
    </row>
    <row r="1093" spans="9:9" x14ac:dyDescent="0.25">
      <c r="I1093" s="2"/>
    </row>
    <row r="1094" spans="9:9" x14ac:dyDescent="0.25">
      <c r="I1094" s="2"/>
    </row>
    <row r="1095" spans="9:9" x14ac:dyDescent="0.25">
      <c r="I1095" s="2"/>
    </row>
    <row r="1096" spans="9:9" x14ac:dyDescent="0.25">
      <c r="I1096" s="2"/>
    </row>
    <row r="1097" spans="9:9" x14ac:dyDescent="0.25">
      <c r="I1097" s="2"/>
    </row>
    <row r="1098" spans="9:9" x14ac:dyDescent="0.25">
      <c r="I1098" s="2"/>
    </row>
    <row r="1099" spans="9:9" x14ac:dyDescent="0.25">
      <c r="I1099" s="2"/>
    </row>
    <row r="1100" spans="9:9" x14ac:dyDescent="0.25">
      <c r="I1100" s="2"/>
    </row>
    <row r="1101" spans="9:9" x14ac:dyDescent="0.25">
      <c r="I1101" s="2"/>
    </row>
    <row r="1102" spans="9:9" x14ac:dyDescent="0.25">
      <c r="I1102" s="2"/>
    </row>
    <row r="1103" spans="9:9" x14ac:dyDescent="0.25">
      <c r="I1103" s="2"/>
    </row>
    <row r="1104" spans="9:9" x14ac:dyDescent="0.25">
      <c r="I1104" s="2"/>
    </row>
    <row r="1105" spans="9:9" x14ac:dyDescent="0.25">
      <c r="I1105" s="2"/>
    </row>
    <row r="1106" spans="9:9" x14ac:dyDescent="0.25">
      <c r="I1106" s="2"/>
    </row>
    <row r="1107" spans="9:9" x14ac:dyDescent="0.25">
      <c r="I1107" s="2"/>
    </row>
    <row r="1108" spans="9:9" x14ac:dyDescent="0.25">
      <c r="I1108" s="2"/>
    </row>
    <row r="1109" spans="9:9" x14ac:dyDescent="0.25">
      <c r="I1109" s="2"/>
    </row>
    <row r="1110" spans="9:9" x14ac:dyDescent="0.25">
      <c r="I1110" s="2"/>
    </row>
    <row r="1111" spans="9:9" x14ac:dyDescent="0.25">
      <c r="I1111" s="2"/>
    </row>
    <row r="1112" spans="9:9" x14ac:dyDescent="0.25">
      <c r="I1112" s="2"/>
    </row>
    <row r="1113" spans="9:9" x14ac:dyDescent="0.25">
      <c r="I1113" s="2"/>
    </row>
    <row r="1114" spans="9:9" x14ac:dyDescent="0.25">
      <c r="I1114" s="2"/>
    </row>
    <row r="1115" spans="9:9" x14ac:dyDescent="0.25">
      <c r="I1115" s="2"/>
    </row>
    <row r="1116" spans="9:9" x14ac:dyDescent="0.25">
      <c r="I1116" s="2"/>
    </row>
    <row r="1117" spans="9:9" x14ac:dyDescent="0.25">
      <c r="I1117" s="2"/>
    </row>
    <row r="1118" spans="9:9" x14ac:dyDescent="0.25">
      <c r="I1118" s="2"/>
    </row>
    <row r="1119" spans="9:9" x14ac:dyDescent="0.25">
      <c r="I1119" s="2"/>
    </row>
    <row r="1120" spans="9:9" x14ac:dyDescent="0.25">
      <c r="I1120" s="2"/>
    </row>
    <row r="1121" spans="9:9" x14ac:dyDescent="0.25">
      <c r="I1121" s="2"/>
    </row>
    <row r="1122" spans="9:9" x14ac:dyDescent="0.25">
      <c r="I1122" s="2"/>
    </row>
    <row r="1123" spans="9:9" x14ac:dyDescent="0.25">
      <c r="I1123" s="2"/>
    </row>
    <row r="1124" spans="9:9" x14ac:dyDescent="0.25">
      <c r="I1124" s="2"/>
    </row>
    <row r="1125" spans="9:9" x14ac:dyDescent="0.25">
      <c r="I1125" s="2"/>
    </row>
    <row r="1126" spans="9:9" x14ac:dyDescent="0.25">
      <c r="I1126" s="2"/>
    </row>
    <row r="1127" spans="9:9" x14ac:dyDescent="0.25">
      <c r="I1127" s="2"/>
    </row>
    <row r="1128" spans="9:9" x14ac:dyDescent="0.25">
      <c r="I1128" s="2"/>
    </row>
    <row r="1129" spans="9:9" x14ac:dyDescent="0.25">
      <c r="I1129" s="2"/>
    </row>
    <row r="1130" spans="9:9" x14ac:dyDescent="0.25">
      <c r="I1130" s="2"/>
    </row>
    <row r="1131" spans="9:9" x14ac:dyDescent="0.25">
      <c r="I1131" s="2"/>
    </row>
    <row r="1132" spans="9:9" x14ac:dyDescent="0.25">
      <c r="I1132" s="2"/>
    </row>
    <row r="1133" spans="9:9" x14ac:dyDescent="0.25">
      <c r="I1133" s="2"/>
    </row>
    <row r="1134" spans="9:9" x14ac:dyDescent="0.25">
      <c r="I1134" s="2"/>
    </row>
    <row r="1135" spans="9:9" x14ac:dyDescent="0.25">
      <c r="I1135" s="2"/>
    </row>
    <row r="1136" spans="9:9" x14ac:dyDescent="0.25">
      <c r="I1136" s="2"/>
    </row>
    <row r="1137" spans="9:9" x14ac:dyDescent="0.25">
      <c r="I1137" s="2"/>
    </row>
    <row r="1138" spans="9:9" x14ac:dyDescent="0.25">
      <c r="I1138" s="2"/>
    </row>
    <row r="1139" spans="9:9" x14ac:dyDescent="0.25">
      <c r="I1139" s="2"/>
    </row>
    <row r="1140" spans="9:9" x14ac:dyDescent="0.25">
      <c r="I1140" s="2"/>
    </row>
    <row r="1141" spans="9:9" x14ac:dyDescent="0.25">
      <c r="I1141" s="2"/>
    </row>
    <row r="1142" spans="9:9" x14ac:dyDescent="0.25">
      <c r="I1142" s="2"/>
    </row>
    <row r="1143" spans="9:9" x14ac:dyDescent="0.25">
      <c r="I1143" s="2"/>
    </row>
    <row r="1144" spans="9:9" x14ac:dyDescent="0.25">
      <c r="I1144" s="2"/>
    </row>
    <row r="1145" spans="9:9" x14ac:dyDescent="0.25">
      <c r="I1145" s="2"/>
    </row>
    <row r="1146" spans="9:9" x14ac:dyDescent="0.25">
      <c r="I1146" s="2"/>
    </row>
    <row r="1147" spans="9:9" x14ac:dyDescent="0.25">
      <c r="I1147" s="2"/>
    </row>
    <row r="1148" spans="9:9" x14ac:dyDescent="0.25">
      <c r="I1148" s="2"/>
    </row>
    <row r="1149" spans="9:9" x14ac:dyDescent="0.25">
      <c r="I1149" s="2"/>
    </row>
    <row r="1150" spans="9:9" x14ac:dyDescent="0.25">
      <c r="I1150" s="2"/>
    </row>
    <row r="1151" spans="9:9" x14ac:dyDescent="0.25">
      <c r="I1151" s="2"/>
    </row>
    <row r="1152" spans="9:9" x14ac:dyDescent="0.25">
      <c r="I1152" s="2"/>
    </row>
    <row r="1153" spans="9:9" x14ac:dyDescent="0.25">
      <c r="I1153" s="2"/>
    </row>
    <row r="1154" spans="9:9" x14ac:dyDescent="0.25">
      <c r="I1154" s="2"/>
    </row>
    <row r="1155" spans="9:9" x14ac:dyDescent="0.25">
      <c r="I1155" s="2"/>
    </row>
    <row r="1156" spans="9:9" x14ac:dyDescent="0.25">
      <c r="I1156" s="2"/>
    </row>
    <row r="1157" spans="9:9" x14ac:dyDescent="0.25">
      <c r="I1157" s="2"/>
    </row>
    <row r="1158" spans="9:9" x14ac:dyDescent="0.25">
      <c r="I1158" s="2"/>
    </row>
    <row r="1159" spans="9:9" x14ac:dyDescent="0.25">
      <c r="I1159" s="2"/>
    </row>
    <row r="1160" spans="9:9" x14ac:dyDescent="0.25">
      <c r="I1160" s="2"/>
    </row>
    <row r="1161" spans="9:9" x14ac:dyDescent="0.25">
      <c r="I1161" s="2"/>
    </row>
    <row r="1162" spans="9:9" x14ac:dyDescent="0.25">
      <c r="I1162" s="2"/>
    </row>
    <row r="1163" spans="9:9" x14ac:dyDescent="0.25">
      <c r="I1163" s="2"/>
    </row>
    <row r="1164" spans="9:9" x14ac:dyDescent="0.25">
      <c r="I1164" s="2"/>
    </row>
    <row r="1165" spans="9:9" x14ac:dyDescent="0.25">
      <c r="I1165" s="2"/>
    </row>
    <row r="1166" spans="9:9" x14ac:dyDescent="0.25">
      <c r="I1166" s="2"/>
    </row>
    <row r="1167" spans="9:9" x14ac:dyDescent="0.25">
      <c r="I1167" s="2"/>
    </row>
    <row r="1168" spans="9:9" x14ac:dyDescent="0.25">
      <c r="I1168" s="2"/>
    </row>
    <row r="1169" spans="9:9" x14ac:dyDescent="0.25">
      <c r="I1169" s="2"/>
    </row>
    <row r="1170" spans="9:9" x14ac:dyDescent="0.25">
      <c r="I1170" s="2"/>
    </row>
    <row r="1171" spans="9:9" x14ac:dyDescent="0.25">
      <c r="I1171" s="2"/>
    </row>
    <row r="1172" spans="9:9" x14ac:dyDescent="0.25">
      <c r="I1172" s="2"/>
    </row>
    <row r="1173" spans="9:9" x14ac:dyDescent="0.25">
      <c r="I1173" s="2"/>
    </row>
    <row r="1174" spans="9:9" x14ac:dyDescent="0.25">
      <c r="I1174" s="2"/>
    </row>
    <row r="1175" spans="9:9" x14ac:dyDescent="0.25">
      <c r="I1175" s="2"/>
    </row>
    <row r="1176" spans="9:9" x14ac:dyDescent="0.25">
      <c r="I1176" s="2"/>
    </row>
    <row r="1177" spans="9:9" x14ac:dyDescent="0.25">
      <c r="I1177" s="2"/>
    </row>
    <row r="1178" spans="9:9" x14ac:dyDescent="0.25">
      <c r="I1178" s="2"/>
    </row>
    <row r="1179" spans="9:9" x14ac:dyDescent="0.25">
      <c r="I1179" s="2"/>
    </row>
    <row r="1180" spans="9:9" x14ac:dyDescent="0.25">
      <c r="I1180" s="2"/>
    </row>
    <row r="1181" spans="9:9" x14ac:dyDescent="0.25">
      <c r="I1181" s="2"/>
    </row>
    <row r="1182" spans="9:9" x14ac:dyDescent="0.25">
      <c r="I1182" s="2"/>
    </row>
    <row r="1183" spans="9:9" x14ac:dyDescent="0.25">
      <c r="I1183" s="2"/>
    </row>
    <row r="1184" spans="9:9" x14ac:dyDescent="0.25">
      <c r="I1184" s="2"/>
    </row>
    <row r="1185" spans="9:9" x14ac:dyDescent="0.25">
      <c r="I1185" s="2"/>
    </row>
    <row r="1186" spans="9:9" x14ac:dyDescent="0.25">
      <c r="I1186" s="2"/>
    </row>
    <row r="1187" spans="9:9" x14ac:dyDescent="0.25">
      <c r="I1187" s="2"/>
    </row>
    <row r="1188" spans="9:9" x14ac:dyDescent="0.25">
      <c r="I1188" s="2"/>
    </row>
    <row r="1189" spans="9:9" x14ac:dyDescent="0.25">
      <c r="I1189" s="2"/>
    </row>
    <row r="1190" spans="9:9" x14ac:dyDescent="0.25">
      <c r="I1190" s="2"/>
    </row>
    <row r="1191" spans="9:9" x14ac:dyDescent="0.25">
      <c r="I1191" s="2"/>
    </row>
    <row r="1192" spans="9:9" x14ac:dyDescent="0.25">
      <c r="I1192" s="2"/>
    </row>
    <row r="1193" spans="9:9" x14ac:dyDescent="0.25">
      <c r="I1193" s="2"/>
    </row>
    <row r="1194" spans="9:9" x14ac:dyDescent="0.25">
      <c r="I1194" s="2"/>
    </row>
    <row r="1195" spans="9:9" x14ac:dyDescent="0.25">
      <c r="I1195" s="2"/>
    </row>
    <row r="1196" spans="9:9" x14ac:dyDescent="0.25">
      <c r="I1196" s="2"/>
    </row>
    <row r="1197" spans="9:9" x14ac:dyDescent="0.25">
      <c r="I1197" s="2"/>
    </row>
    <row r="1198" spans="9:9" x14ac:dyDescent="0.25">
      <c r="I1198" s="2"/>
    </row>
    <row r="1199" spans="9:9" x14ac:dyDescent="0.25">
      <c r="I1199" s="2"/>
    </row>
    <row r="1200" spans="9:9" x14ac:dyDescent="0.25">
      <c r="I1200" s="2"/>
    </row>
    <row r="1201" spans="9:9" x14ac:dyDescent="0.25">
      <c r="I1201" s="2"/>
    </row>
    <row r="1202" spans="9:9" x14ac:dyDescent="0.25">
      <c r="I1202" s="2"/>
    </row>
    <row r="1203" spans="9:9" x14ac:dyDescent="0.25">
      <c r="I1203" s="2"/>
    </row>
    <row r="1204" spans="9:9" x14ac:dyDescent="0.25">
      <c r="I1204" s="2"/>
    </row>
    <row r="1205" spans="9:9" x14ac:dyDescent="0.25">
      <c r="I1205" s="2"/>
    </row>
    <row r="1206" spans="9:9" x14ac:dyDescent="0.25">
      <c r="I1206" s="2"/>
    </row>
    <row r="1207" spans="9:9" x14ac:dyDescent="0.25">
      <c r="I1207" s="2"/>
    </row>
    <row r="1208" spans="9:9" x14ac:dyDescent="0.25">
      <c r="I1208" s="2"/>
    </row>
    <row r="1209" spans="9:9" x14ac:dyDescent="0.25">
      <c r="I1209" s="2"/>
    </row>
    <row r="1210" spans="9:9" x14ac:dyDescent="0.25">
      <c r="I1210" s="2"/>
    </row>
    <row r="1211" spans="9:9" x14ac:dyDescent="0.25">
      <c r="I1211" s="2"/>
    </row>
    <row r="1212" spans="9:9" x14ac:dyDescent="0.25">
      <c r="I1212" s="2"/>
    </row>
    <row r="1213" spans="9:9" x14ac:dyDescent="0.25">
      <c r="I1213" s="2"/>
    </row>
    <row r="1214" spans="9:9" x14ac:dyDescent="0.25">
      <c r="I1214" s="2"/>
    </row>
    <row r="1215" spans="9:9" x14ac:dyDescent="0.25">
      <c r="I1215" s="2"/>
    </row>
    <row r="1216" spans="9:9" x14ac:dyDescent="0.25">
      <c r="I1216" s="2"/>
    </row>
    <row r="1217" spans="9:9" x14ac:dyDescent="0.25">
      <c r="I1217" s="2"/>
    </row>
    <row r="1218" spans="9:9" x14ac:dyDescent="0.25">
      <c r="I1218" s="2"/>
    </row>
    <row r="1219" spans="9:9" x14ac:dyDescent="0.25">
      <c r="I1219" s="2"/>
    </row>
    <row r="1220" spans="9:9" x14ac:dyDescent="0.25">
      <c r="I1220" s="2"/>
    </row>
    <row r="1221" spans="9:9" x14ac:dyDescent="0.25">
      <c r="I1221" s="2"/>
    </row>
    <row r="1222" spans="9:9" x14ac:dyDescent="0.25">
      <c r="I1222" s="2"/>
    </row>
    <row r="1223" spans="9:9" x14ac:dyDescent="0.25">
      <c r="I1223" s="2"/>
    </row>
    <row r="1224" spans="9:9" x14ac:dyDescent="0.25">
      <c r="I1224" s="2"/>
    </row>
    <row r="1225" spans="9:9" x14ac:dyDescent="0.25">
      <c r="I1225" s="2"/>
    </row>
    <row r="1226" spans="9:9" x14ac:dyDescent="0.25">
      <c r="I1226" s="2"/>
    </row>
    <row r="1227" spans="9:9" x14ac:dyDescent="0.25">
      <c r="I1227" s="2"/>
    </row>
    <row r="1228" spans="9:9" x14ac:dyDescent="0.25">
      <c r="I1228" s="2"/>
    </row>
    <row r="1229" spans="9:9" x14ac:dyDescent="0.25">
      <c r="I1229" s="2"/>
    </row>
    <row r="1230" spans="9:9" x14ac:dyDescent="0.25">
      <c r="I1230" s="2"/>
    </row>
    <row r="1231" spans="9:9" x14ac:dyDescent="0.25">
      <c r="I1231" s="2"/>
    </row>
    <row r="1232" spans="9:9" x14ac:dyDescent="0.25">
      <c r="I1232" s="2"/>
    </row>
    <row r="1233" spans="9:9" x14ac:dyDescent="0.25">
      <c r="I1233" s="2"/>
    </row>
    <row r="1234" spans="9:9" x14ac:dyDescent="0.25">
      <c r="I1234" s="2"/>
    </row>
    <row r="1235" spans="9:9" x14ac:dyDescent="0.25">
      <c r="I1235" s="2"/>
    </row>
    <row r="1236" spans="9:9" x14ac:dyDescent="0.25">
      <c r="I1236" s="2"/>
    </row>
    <row r="1237" spans="9:9" x14ac:dyDescent="0.25">
      <c r="I1237" s="2"/>
    </row>
    <row r="1238" spans="9:9" x14ac:dyDescent="0.25">
      <c r="I1238" s="2"/>
    </row>
    <row r="1239" spans="9:9" x14ac:dyDescent="0.25">
      <c r="I1239" s="2"/>
    </row>
    <row r="1240" spans="9:9" x14ac:dyDescent="0.25">
      <c r="I1240" s="2"/>
    </row>
    <row r="1241" spans="9:9" x14ac:dyDescent="0.25">
      <c r="I1241" s="2"/>
    </row>
    <row r="1242" spans="9:9" x14ac:dyDescent="0.25">
      <c r="I1242" s="2"/>
    </row>
    <row r="1243" spans="9:9" x14ac:dyDescent="0.25">
      <c r="I1243" s="2"/>
    </row>
    <row r="1244" spans="9:9" x14ac:dyDescent="0.25">
      <c r="I1244" s="2"/>
    </row>
    <row r="1245" spans="9:9" x14ac:dyDescent="0.25">
      <c r="I1245" s="2"/>
    </row>
    <row r="1246" spans="9:9" x14ac:dyDescent="0.25">
      <c r="I1246" s="2"/>
    </row>
    <row r="1247" spans="9:9" x14ac:dyDescent="0.25">
      <c r="I1247" s="2"/>
    </row>
    <row r="1248" spans="9:9" x14ac:dyDescent="0.25">
      <c r="I1248" s="2"/>
    </row>
    <row r="1249" spans="9:9" x14ac:dyDescent="0.25">
      <c r="I1249" s="2"/>
    </row>
    <row r="1250" spans="9:9" x14ac:dyDescent="0.25">
      <c r="I1250" s="2"/>
    </row>
    <row r="1251" spans="9:9" x14ac:dyDescent="0.25">
      <c r="I1251" s="2"/>
    </row>
    <row r="1252" spans="9:9" x14ac:dyDescent="0.25">
      <c r="I1252" s="2"/>
    </row>
    <row r="1253" spans="9:9" x14ac:dyDescent="0.25">
      <c r="I1253" s="2"/>
    </row>
    <row r="1254" spans="9:9" x14ac:dyDescent="0.25">
      <c r="I1254" s="2"/>
    </row>
    <row r="1255" spans="9:9" x14ac:dyDescent="0.25">
      <c r="I1255" s="2"/>
    </row>
    <row r="1256" spans="9:9" x14ac:dyDescent="0.25">
      <c r="I1256" s="2"/>
    </row>
    <row r="1257" spans="9:9" x14ac:dyDescent="0.25">
      <c r="I1257" s="2"/>
    </row>
    <row r="1258" spans="9:9" x14ac:dyDescent="0.25">
      <c r="I1258" s="2"/>
    </row>
    <row r="1259" spans="9:9" x14ac:dyDescent="0.25">
      <c r="I1259" s="2"/>
    </row>
    <row r="1260" spans="9:9" x14ac:dyDescent="0.25">
      <c r="I1260" s="2"/>
    </row>
    <row r="1261" spans="9:9" x14ac:dyDescent="0.25">
      <c r="I1261" s="2"/>
    </row>
    <row r="1262" spans="9:9" x14ac:dyDescent="0.25">
      <c r="I1262" s="2"/>
    </row>
    <row r="1263" spans="9:9" x14ac:dyDescent="0.25">
      <c r="I1263" s="2"/>
    </row>
    <row r="1264" spans="9:9" x14ac:dyDescent="0.25">
      <c r="I1264" s="2"/>
    </row>
    <row r="1265" spans="9:9" x14ac:dyDescent="0.25">
      <c r="I1265" s="2"/>
    </row>
    <row r="1266" spans="9:9" x14ac:dyDescent="0.25">
      <c r="I1266" s="2"/>
    </row>
    <row r="1267" spans="9:9" x14ac:dyDescent="0.25">
      <c r="I1267" s="2"/>
    </row>
    <row r="1268" spans="9:9" x14ac:dyDescent="0.25">
      <c r="I1268" s="2"/>
    </row>
    <row r="1269" spans="9:9" x14ac:dyDescent="0.25">
      <c r="I1269" s="2"/>
    </row>
    <row r="1270" spans="9:9" x14ac:dyDescent="0.25">
      <c r="I1270" s="2"/>
    </row>
    <row r="1271" spans="9:9" x14ac:dyDescent="0.25">
      <c r="I1271" s="2"/>
    </row>
    <row r="1272" spans="9:9" x14ac:dyDescent="0.25">
      <c r="I1272" s="2"/>
    </row>
    <row r="1273" spans="9:9" x14ac:dyDescent="0.25">
      <c r="I1273" s="2"/>
    </row>
    <row r="1274" spans="9:9" x14ac:dyDescent="0.25">
      <c r="I1274" s="2"/>
    </row>
    <row r="1275" spans="9:9" x14ac:dyDescent="0.25">
      <c r="I1275" s="2"/>
    </row>
    <row r="1276" spans="9:9" x14ac:dyDescent="0.25">
      <c r="I1276" s="2"/>
    </row>
    <row r="1277" spans="9:9" x14ac:dyDescent="0.25">
      <c r="I1277" s="2"/>
    </row>
    <row r="1278" spans="9:9" x14ac:dyDescent="0.25">
      <c r="I1278" s="2"/>
    </row>
    <row r="1279" spans="9:9" x14ac:dyDescent="0.25">
      <c r="I1279" s="2"/>
    </row>
    <row r="1280" spans="9:9" x14ac:dyDescent="0.25">
      <c r="I1280" s="2"/>
    </row>
    <row r="1281" spans="9:9" x14ac:dyDescent="0.25">
      <c r="I1281" s="2"/>
    </row>
    <row r="1282" spans="9:9" x14ac:dyDescent="0.25">
      <c r="I1282" s="2"/>
    </row>
    <row r="1283" spans="9:9" x14ac:dyDescent="0.25">
      <c r="I1283" s="2"/>
    </row>
    <row r="1284" spans="9:9" x14ac:dyDescent="0.25">
      <c r="I1284" s="2"/>
    </row>
    <row r="1285" spans="9:9" x14ac:dyDescent="0.25">
      <c r="I1285" s="2"/>
    </row>
    <row r="1286" spans="9:9" x14ac:dyDescent="0.25">
      <c r="I1286" s="2"/>
    </row>
    <row r="1287" spans="9:9" x14ac:dyDescent="0.25">
      <c r="I1287" s="2"/>
    </row>
    <row r="1288" spans="9:9" x14ac:dyDescent="0.25">
      <c r="I1288" s="2"/>
    </row>
    <row r="1289" spans="9:9" x14ac:dyDescent="0.25">
      <c r="I1289" s="2"/>
    </row>
    <row r="1290" spans="9:9" x14ac:dyDescent="0.25">
      <c r="I1290" s="2"/>
    </row>
    <row r="1291" spans="9:9" x14ac:dyDescent="0.25">
      <c r="I1291" s="2"/>
    </row>
    <row r="1292" spans="9:9" x14ac:dyDescent="0.25">
      <c r="I1292" s="2"/>
    </row>
    <row r="1293" spans="9:9" x14ac:dyDescent="0.25">
      <c r="I1293" s="2"/>
    </row>
    <row r="1294" spans="9:9" x14ac:dyDescent="0.25">
      <c r="I1294" s="2"/>
    </row>
    <row r="1295" spans="9:9" x14ac:dyDescent="0.25">
      <c r="I1295" s="2"/>
    </row>
    <row r="1296" spans="9:9" x14ac:dyDescent="0.25">
      <c r="I1296" s="2"/>
    </row>
    <row r="1297" spans="9:9" x14ac:dyDescent="0.25">
      <c r="I1297" s="2"/>
    </row>
    <row r="1298" spans="9:9" x14ac:dyDescent="0.25">
      <c r="I1298" s="2"/>
    </row>
    <row r="1299" spans="9:9" x14ac:dyDescent="0.25">
      <c r="I1299" s="2"/>
    </row>
    <row r="1300" spans="9:9" x14ac:dyDescent="0.25">
      <c r="I1300" s="2"/>
    </row>
    <row r="1301" spans="9:9" x14ac:dyDescent="0.25">
      <c r="I1301" s="2"/>
    </row>
    <row r="1302" spans="9:9" x14ac:dyDescent="0.25">
      <c r="I1302" s="2"/>
    </row>
    <row r="1303" spans="9:9" x14ac:dyDescent="0.25">
      <c r="I1303" s="2"/>
    </row>
    <row r="1304" spans="9:9" x14ac:dyDescent="0.25">
      <c r="I1304" s="2"/>
    </row>
    <row r="1305" spans="9:9" x14ac:dyDescent="0.25">
      <c r="I1305" s="2"/>
    </row>
    <row r="1306" spans="9:9" x14ac:dyDescent="0.25">
      <c r="I1306" s="2"/>
    </row>
    <row r="1307" spans="9:9" x14ac:dyDescent="0.25">
      <c r="I1307" s="2"/>
    </row>
    <row r="1308" spans="9:9" x14ac:dyDescent="0.25">
      <c r="I1308" s="2"/>
    </row>
    <row r="1309" spans="9:9" x14ac:dyDescent="0.25">
      <c r="I1309" s="2"/>
    </row>
    <row r="1310" spans="9:9" x14ac:dyDescent="0.25">
      <c r="I1310" s="2"/>
    </row>
    <row r="1311" spans="9:9" x14ac:dyDescent="0.25">
      <c r="I1311" s="2"/>
    </row>
    <row r="1312" spans="9:9" x14ac:dyDescent="0.25">
      <c r="I1312" s="2"/>
    </row>
    <row r="1313" spans="9:9" x14ac:dyDescent="0.25">
      <c r="I1313" s="2"/>
    </row>
    <row r="1314" spans="9:9" x14ac:dyDescent="0.25">
      <c r="I1314" s="2"/>
    </row>
    <row r="1315" spans="9:9" x14ac:dyDescent="0.25">
      <c r="I1315" s="2"/>
    </row>
    <row r="1316" spans="9:9" x14ac:dyDescent="0.25">
      <c r="I1316" s="2"/>
    </row>
    <row r="1317" spans="9:9" x14ac:dyDescent="0.25">
      <c r="I1317" s="2"/>
    </row>
    <row r="1318" spans="9:9" x14ac:dyDescent="0.25">
      <c r="I1318" s="2"/>
    </row>
    <row r="1319" spans="9:9" x14ac:dyDescent="0.25">
      <c r="I1319" s="2"/>
    </row>
    <row r="1320" spans="9:9" x14ac:dyDescent="0.25">
      <c r="I1320" s="2"/>
    </row>
    <row r="1321" spans="9:9" x14ac:dyDescent="0.25">
      <c r="I1321" s="2"/>
    </row>
    <row r="1322" spans="9:9" x14ac:dyDescent="0.25">
      <c r="I1322" s="2"/>
    </row>
    <row r="1323" spans="9:9" x14ac:dyDescent="0.25">
      <c r="I1323" s="2"/>
    </row>
    <row r="1324" spans="9:9" x14ac:dyDescent="0.25">
      <c r="I1324" s="2"/>
    </row>
    <row r="1325" spans="9:9" x14ac:dyDescent="0.25">
      <c r="I1325" s="2"/>
    </row>
    <row r="1326" spans="9:9" x14ac:dyDescent="0.25">
      <c r="I1326" s="2"/>
    </row>
    <row r="1327" spans="9:9" x14ac:dyDescent="0.25">
      <c r="I1327" s="2"/>
    </row>
    <row r="1328" spans="9:9" x14ac:dyDescent="0.25">
      <c r="I1328" s="2"/>
    </row>
    <row r="1329" spans="9:9" x14ac:dyDescent="0.25">
      <c r="I1329" s="2"/>
    </row>
    <row r="1330" spans="9:9" x14ac:dyDescent="0.25">
      <c r="I1330" s="2"/>
    </row>
    <row r="1331" spans="9:9" x14ac:dyDescent="0.25">
      <c r="I1331" s="2"/>
    </row>
    <row r="1332" spans="9:9" x14ac:dyDescent="0.25">
      <c r="I1332" s="2"/>
    </row>
    <row r="1333" spans="9:9" x14ac:dyDescent="0.25">
      <c r="I1333" s="2"/>
    </row>
    <row r="1334" spans="9:9" x14ac:dyDescent="0.25">
      <c r="I1334" s="2"/>
    </row>
    <row r="1335" spans="9:9" x14ac:dyDescent="0.25">
      <c r="I1335" s="2"/>
    </row>
    <row r="1336" spans="9:9" x14ac:dyDescent="0.25">
      <c r="I1336" s="2"/>
    </row>
    <row r="1337" spans="9:9" x14ac:dyDescent="0.25">
      <c r="I1337" s="2"/>
    </row>
    <row r="1338" spans="9:9" x14ac:dyDescent="0.25">
      <c r="I1338" s="2"/>
    </row>
    <row r="1339" spans="9:9" x14ac:dyDescent="0.25">
      <c r="I1339" s="2"/>
    </row>
    <row r="1340" spans="9:9" x14ac:dyDescent="0.25">
      <c r="I1340" s="2"/>
    </row>
    <row r="1341" spans="9:9" x14ac:dyDescent="0.25">
      <c r="I1341" s="2"/>
    </row>
    <row r="1342" spans="9:9" x14ac:dyDescent="0.25">
      <c r="I1342" s="2"/>
    </row>
    <row r="1343" spans="9:9" x14ac:dyDescent="0.25">
      <c r="I1343" s="2"/>
    </row>
    <row r="1344" spans="9:9" x14ac:dyDescent="0.25">
      <c r="I1344" s="2"/>
    </row>
    <row r="1345" spans="9:9" x14ac:dyDescent="0.25">
      <c r="I1345" s="2"/>
    </row>
    <row r="1346" spans="9:9" x14ac:dyDescent="0.25">
      <c r="I1346" s="2"/>
    </row>
    <row r="1347" spans="9:9" x14ac:dyDescent="0.25">
      <c r="I1347" s="2"/>
    </row>
    <row r="1348" spans="9:9" x14ac:dyDescent="0.25">
      <c r="I1348" s="2"/>
    </row>
    <row r="1349" spans="9:9" x14ac:dyDescent="0.25">
      <c r="I1349" s="2"/>
    </row>
    <row r="1350" spans="9:9" x14ac:dyDescent="0.25">
      <c r="I1350" s="2"/>
    </row>
    <row r="1351" spans="9:9" x14ac:dyDescent="0.25">
      <c r="I1351" s="2"/>
    </row>
    <row r="1352" spans="9:9" x14ac:dyDescent="0.25">
      <c r="I1352" s="2"/>
    </row>
    <row r="1353" spans="9:9" x14ac:dyDescent="0.25">
      <c r="I1353" s="2"/>
    </row>
    <row r="1354" spans="9:9" x14ac:dyDescent="0.25">
      <c r="I1354" s="2"/>
    </row>
    <row r="1355" spans="9:9" x14ac:dyDescent="0.25">
      <c r="I1355" s="2"/>
    </row>
    <row r="1356" spans="9:9" x14ac:dyDescent="0.25">
      <c r="I1356" s="2"/>
    </row>
    <row r="1357" spans="9:9" x14ac:dyDescent="0.25">
      <c r="I1357" s="2"/>
    </row>
    <row r="1358" spans="9:9" x14ac:dyDescent="0.25">
      <c r="I1358" s="2"/>
    </row>
    <row r="1359" spans="9:9" x14ac:dyDescent="0.25">
      <c r="I1359" s="2"/>
    </row>
    <row r="1360" spans="9:9" x14ac:dyDescent="0.25">
      <c r="I1360" s="2"/>
    </row>
    <row r="1361" spans="9:9" x14ac:dyDescent="0.25">
      <c r="I1361" s="2"/>
    </row>
    <row r="1362" spans="9:9" x14ac:dyDescent="0.25">
      <c r="I1362" s="2"/>
    </row>
    <row r="1363" spans="9:9" x14ac:dyDescent="0.25">
      <c r="I1363" s="2"/>
    </row>
    <row r="1364" spans="9:9" x14ac:dyDescent="0.25">
      <c r="I1364" s="2"/>
    </row>
    <row r="1365" spans="9:9" x14ac:dyDescent="0.25">
      <c r="I1365" s="2"/>
    </row>
    <row r="1366" spans="9:9" x14ac:dyDescent="0.25">
      <c r="I1366" s="2"/>
    </row>
    <row r="1367" spans="9:9" x14ac:dyDescent="0.25">
      <c r="I1367" s="2"/>
    </row>
    <row r="1368" spans="9:9" x14ac:dyDescent="0.25">
      <c r="I1368" s="2"/>
    </row>
    <row r="1369" spans="9:9" x14ac:dyDescent="0.25">
      <c r="I1369" s="2"/>
    </row>
    <row r="1370" spans="9:9" x14ac:dyDescent="0.25">
      <c r="I1370" s="2"/>
    </row>
    <row r="1371" spans="9:9" x14ac:dyDescent="0.25">
      <c r="I1371" s="2"/>
    </row>
    <row r="1372" spans="9:9" x14ac:dyDescent="0.25">
      <c r="I1372" s="2"/>
    </row>
    <row r="1373" spans="9:9" x14ac:dyDescent="0.25">
      <c r="I1373" s="2"/>
    </row>
    <row r="1374" spans="9:9" x14ac:dyDescent="0.25">
      <c r="I1374" s="2"/>
    </row>
    <row r="1375" spans="9:9" x14ac:dyDescent="0.25">
      <c r="I1375" s="2"/>
    </row>
    <row r="1376" spans="9:9" x14ac:dyDescent="0.25">
      <c r="I1376" s="2"/>
    </row>
    <row r="1377" spans="9:9" x14ac:dyDescent="0.25">
      <c r="I1377" s="2"/>
    </row>
    <row r="1378" spans="9:9" x14ac:dyDescent="0.25">
      <c r="I1378" s="2"/>
    </row>
    <row r="1379" spans="9:9" x14ac:dyDescent="0.25">
      <c r="I1379" s="2"/>
    </row>
    <row r="1380" spans="9:9" x14ac:dyDescent="0.25">
      <c r="I1380" s="2"/>
    </row>
    <row r="1381" spans="9:9" x14ac:dyDescent="0.25">
      <c r="I1381" s="2"/>
    </row>
    <row r="1382" spans="9:9" x14ac:dyDescent="0.25">
      <c r="I1382" s="2"/>
    </row>
    <row r="1383" spans="9:9" x14ac:dyDescent="0.25">
      <c r="I1383" s="2"/>
    </row>
    <row r="1384" spans="9:9" x14ac:dyDescent="0.25">
      <c r="I1384" s="2"/>
    </row>
    <row r="1385" spans="9:9" x14ac:dyDescent="0.25">
      <c r="I1385" s="2"/>
    </row>
    <row r="1386" spans="9:9" x14ac:dyDescent="0.25">
      <c r="I1386" s="2"/>
    </row>
    <row r="1387" spans="9:9" x14ac:dyDescent="0.25">
      <c r="I1387" s="2"/>
    </row>
    <row r="1388" spans="9:9" x14ac:dyDescent="0.25">
      <c r="I1388" s="2"/>
    </row>
    <row r="1389" spans="9:9" x14ac:dyDescent="0.25">
      <c r="I1389" s="2"/>
    </row>
    <row r="1390" spans="9:9" x14ac:dyDescent="0.25">
      <c r="I1390" s="2"/>
    </row>
    <row r="1391" spans="9:9" x14ac:dyDescent="0.25">
      <c r="I1391" s="2"/>
    </row>
    <row r="1392" spans="9:9" x14ac:dyDescent="0.25">
      <c r="I1392" s="2"/>
    </row>
    <row r="1393" spans="9:9" x14ac:dyDescent="0.25">
      <c r="I1393" s="2"/>
    </row>
    <row r="1394" spans="9:9" x14ac:dyDescent="0.25">
      <c r="I1394" s="2"/>
    </row>
    <row r="1395" spans="9:9" x14ac:dyDescent="0.25">
      <c r="I1395" s="2"/>
    </row>
    <row r="1396" spans="9:9" x14ac:dyDescent="0.25">
      <c r="I1396" s="2"/>
    </row>
    <row r="1397" spans="9:9" x14ac:dyDescent="0.25">
      <c r="I1397" s="2"/>
    </row>
    <row r="1398" spans="9:9" x14ac:dyDescent="0.25">
      <c r="I1398" s="2"/>
    </row>
    <row r="1399" spans="9:9" x14ac:dyDescent="0.25">
      <c r="I1399" s="2"/>
    </row>
    <row r="1400" spans="9:9" x14ac:dyDescent="0.25">
      <c r="I1400" s="2"/>
    </row>
    <row r="1401" spans="9:9" x14ac:dyDescent="0.25">
      <c r="I1401" s="2"/>
    </row>
    <row r="1402" spans="9:9" x14ac:dyDescent="0.25">
      <c r="I1402" s="2"/>
    </row>
    <row r="1403" spans="9:9" x14ac:dyDescent="0.25">
      <c r="I1403" s="2"/>
    </row>
    <row r="1404" spans="9:9" x14ac:dyDescent="0.25">
      <c r="I1404" s="2"/>
    </row>
    <row r="1405" spans="9:9" x14ac:dyDescent="0.25">
      <c r="I1405" s="2"/>
    </row>
    <row r="1406" spans="9:9" x14ac:dyDescent="0.25">
      <c r="I1406" s="2"/>
    </row>
    <row r="1407" spans="9:9" x14ac:dyDescent="0.25">
      <c r="I1407" s="2"/>
    </row>
    <row r="1408" spans="9:9" x14ac:dyDescent="0.25">
      <c r="I1408" s="2"/>
    </row>
    <row r="1409" spans="9:9" x14ac:dyDescent="0.25">
      <c r="I1409" s="2"/>
    </row>
    <row r="1410" spans="9:9" x14ac:dyDescent="0.25">
      <c r="I1410" s="2"/>
    </row>
    <row r="1411" spans="9:9" x14ac:dyDescent="0.25">
      <c r="I1411" s="2"/>
    </row>
    <row r="1412" spans="9:9" x14ac:dyDescent="0.25">
      <c r="I1412" s="2"/>
    </row>
    <row r="1413" spans="9:9" x14ac:dyDescent="0.25">
      <c r="I1413" s="2"/>
    </row>
    <row r="1414" spans="9:9" x14ac:dyDescent="0.25">
      <c r="I1414" s="2"/>
    </row>
    <row r="1415" spans="9:9" x14ac:dyDescent="0.25">
      <c r="I1415" s="2"/>
    </row>
    <row r="1416" spans="9:9" x14ac:dyDescent="0.25">
      <c r="I1416" s="2"/>
    </row>
    <row r="1417" spans="9:9" x14ac:dyDescent="0.25">
      <c r="I1417" s="2"/>
    </row>
    <row r="1418" spans="9:9" x14ac:dyDescent="0.25">
      <c r="I1418" s="2"/>
    </row>
    <row r="1419" spans="9:9" x14ac:dyDescent="0.25">
      <c r="I1419" s="2"/>
    </row>
    <row r="1420" spans="9:9" x14ac:dyDescent="0.25">
      <c r="I1420" s="2"/>
    </row>
    <row r="1421" spans="9:9" x14ac:dyDescent="0.25">
      <c r="I1421" s="2"/>
    </row>
    <row r="1422" spans="9:9" x14ac:dyDescent="0.25">
      <c r="I1422" s="2"/>
    </row>
    <row r="1423" spans="9:9" x14ac:dyDescent="0.25">
      <c r="I1423" s="2"/>
    </row>
    <row r="1424" spans="9:9" x14ac:dyDescent="0.25">
      <c r="I1424" s="2"/>
    </row>
    <row r="1425" spans="9:9" x14ac:dyDescent="0.25">
      <c r="I1425" s="2"/>
    </row>
    <row r="1426" spans="9:9" x14ac:dyDescent="0.25">
      <c r="I1426" s="2"/>
    </row>
    <row r="1427" spans="9:9" x14ac:dyDescent="0.25">
      <c r="I1427" s="2"/>
    </row>
    <row r="1428" spans="9:9" x14ac:dyDescent="0.25">
      <c r="I1428" s="2"/>
    </row>
    <row r="1429" spans="9:9" x14ac:dyDescent="0.25">
      <c r="I1429" s="2"/>
    </row>
    <row r="1430" spans="9:9" x14ac:dyDescent="0.25">
      <c r="I1430" s="2"/>
    </row>
    <row r="1431" spans="9:9" x14ac:dyDescent="0.25">
      <c r="I1431" s="2"/>
    </row>
    <row r="1432" spans="9:9" x14ac:dyDescent="0.25">
      <c r="I1432" s="2"/>
    </row>
    <row r="1433" spans="9:9" x14ac:dyDescent="0.25">
      <c r="I1433" s="2"/>
    </row>
    <row r="1434" spans="9:9" x14ac:dyDescent="0.25">
      <c r="I1434" s="2"/>
    </row>
    <row r="1435" spans="9:9" x14ac:dyDescent="0.25">
      <c r="I1435" s="2"/>
    </row>
    <row r="1436" spans="9:9" x14ac:dyDescent="0.25">
      <c r="I1436" s="2"/>
    </row>
    <row r="1437" spans="9:9" x14ac:dyDescent="0.25">
      <c r="I1437" s="2"/>
    </row>
    <row r="1438" spans="9:9" x14ac:dyDescent="0.25">
      <c r="I1438" s="2"/>
    </row>
    <row r="1439" spans="9:9" x14ac:dyDescent="0.25">
      <c r="I1439" s="2"/>
    </row>
    <row r="1440" spans="9:9" x14ac:dyDescent="0.25">
      <c r="I1440" s="2"/>
    </row>
    <row r="1441" spans="9:9" x14ac:dyDescent="0.25">
      <c r="I1441" s="2"/>
    </row>
    <row r="1442" spans="9:9" x14ac:dyDescent="0.25">
      <c r="I1442" s="2"/>
    </row>
    <row r="1443" spans="9:9" x14ac:dyDescent="0.25">
      <c r="I1443" s="2"/>
    </row>
    <row r="1444" spans="9:9" x14ac:dyDescent="0.25">
      <c r="I1444" s="2"/>
    </row>
    <row r="1445" spans="9:9" x14ac:dyDescent="0.25">
      <c r="I1445" s="2"/>
    </row>
    <row r="1446" spans="9:9" x14ac:dyDescent="0.25">
      <c r="I1446" s="2"/>
    </row>
    <row r="1447" spans="9:9" x14ac:dyDescent="0.25">
      <c r="I1447" s="2"/>
    </row>
    <row r="1448" spans="9:9" x14ac:dyDescent="0.25">
      <c r="I1448" s="2"/>
    </row>
    <row r="1449" spans="9:9" x14ac:dyDescent="0.25">
      <c r="I1449" s="2"/>
    </row>
    <row r="1450" spans="9:9" x14ac:dyDescent="0.25">
      <c r="I1450" s="2"/>
    </row>
    <row r="1451" spans="9:9" x14ac:dyDescent="0.25">
      <c r="I1451" s="2"/>
    </row>
    <row r="1452" spans="9:9" x14ac:dyDescent="0.25">
      <c r="I1452" s="2"/>
    </row>
    <row r="1453" spans="9:9" x14ac:dyDescent="0.25">
      <c r="I1453" s="2"/>
    </row>
    <row r="1454" spans="9:9" x14ac:dyDescent="0.25">
      <c r="I1454" s="2"/>
    </row>
    <row r="1455" spans="9:9" x14ac:dyDescent="0.25">
      <c r="I1455" s="2"/>
    </row>
    <row r="1456" spans="9:9" x14ac:dyDescent="0.25">
      <c r="I1456" s="2"/>
    </row>
    <row r="1457" spans="9:9" x14ac:dyDescent="0.25">
      <c r="I1457" s="2"/>
    </row>
    <row r="1458" spans="9:9" x14ac:dyDescent="0.25">
      <c r="I1458" s="2"/>
    </row>
    <row r="1459" spans="9:9" x14ac:dyDescent="0.25">
      <c r="I1459" s="2"/>
    </row>
    <row r="1460" spans="9:9" x14ac:dyDescent="0.25">
      <c r="I1460" s="2"/>
    </row>
    <row r="1461" spans="9:9" x14ac:dyDescent="0.25">
      <c r="I1461" s="2"/>
    </row>
    <row r="1462" spans="9:9" x14ac:dyDescent="0.25">
      <c r="I1462" s="2"/>
    </row>
    <row r="1463" spans="9:9" x14ac:dyDescent="0.25">
      <c r="I1463" s="2"/>
    </row>
    <row r="1464" spans="9:9" x14ac:dyDescent="0.25">
      <c r="I1464" s="2"/>
    </row>
    <row r="1465" spans="9:9" x14ac:dyDescent="0.25">
      <c r="I1465" s="2"/>
    </row>
    <row r="1466" spans="9:9" x14ac:dyDescent="0.25">
      <c r="I1466" s="2"/>
    </row>
    <row r="1467" spans="9:9" x14ac:dyDescent="0.25">
      <c r="I1467" s="2"/>
    </row>
    <row r="1468" spans="9:9" x14ac:dyDescent="0.25">
      <c r="I1468" s="2"/>
    </row>
    <row r="1469" spans="9:9" x14ac:dyDescent="0.25">
      <c r="I1469" s="2"/>
    </row>
    <row r="1470" spans="9:9" x14ac:dyDescent="0.25">
      <c r="I1470" s="2"/>
    </row>
    <row r="1471" spans="9:9" x14ac:dyDescent="0.25">
      <c r="I1471" s="2"/>
    </row>
    <row r="1472" spans="9:9" x14ac:dyDescent="0.25">
      <c r="I1472" s="2"/>
    </row>
    <row r="1473" spans="9:9" x14ac:dyDescent="0.25">
      <c r="I1473" s="2"/>
    </row>
    <row r="1474" spans="9:9" x14ac:dyDescent="0.25">
      <c r="I1474" s="2"/>
    </row>
    <row r="1475" spans="9:9" x14ac:dyDescent="0.25">
      <c r="I1475" s="2"/>
    </row>
    <row r="1476" spans="9:9" x14ac:dyDescent="0.25">
      <c r="I1476" s="2"/>
    </row>
    <row r="1477" spans="9:9" x14ac:dyDescent="0.25">
      <c r="I1477" s="2"/>
    </row>
    <row r="1478" spans="9:9" x14ac:dyDescent="0.25">
      <c r="I1478" s="2"/>
    </row>
    <row r="1479" spans="9:9" x14ac:dyDescent="0.25">
      <c r="I1479" s="2"/>
    </row>
    <row r="1480" spans="9:9" x14ac:dyDescent="0.25">
      <c r="I1480" s="2"/>
    </row>
    <row r="1481" spans="9:9" x14ac:dyDescent="0.25">
      <c r="I1481" s="2"/>
    </row>
    <row r="1482" spans="9:9" x14ac:dyDescent="0.25">
      <c r="I1482" s="2"/>
    </row>
    <row r="1483" spans="9:9" x14ac:dyDescent="0.25">
      <c r="I1483" s="2"/>
    </row>
    <row r="1484" spans="9:9" x14ac:dyDescent="0.25">
      <c r="I1484" s="2"/>
    </row>
    <row r="1485" spans="9:9" x14ac:dyDescent="0.25">
      <c r="I1485" s="2"/>
    </row>
    <row r="1486" spans="9:9" x14ac:dyDescent="0.25">
      <c r="I1486" s="2"/>
    </row>
    <row r="1487" spans="9:9" x14ac:dyDescent="0.25">
      <c r="I1487" s="2"/>
    </row>
    <row r="1488" spans="9:9" x14ac:dyDescent="0.25">
      <c r="I1488" s="2"/>
    </row>
    <row r="1489" spans="9:9" x14ac:dyDescent="0.25">
      <c r="I1489" s="2"/>
    </row>
    <row r="1490" spans="9:9" x14ac:dyDescent="0.25">
      <c r="I1490" s="2"/>
    </row>
    <row r="1491" spans="9:9" x14ac:dyDescent="0.25">
      <c r="I1491" s="2"/>
    </row>
    <row r="1492" spans="9:9" x14ac:dyDescent="0.25">
      <c r="I1492" s="2"/>
    </row>
    <row r="1493" spans="9:9" x14ac:dyDescent="0.25">
      <c r="I1493" s="2"/>
    </row>
    <row r="1494" spans="9:9" x14ac:dyDescent="0.25">
      <c r="I1494" s="2"/>
    </row>
    <row r="1495" spans="9:9" x14ac:dyDescent="0.25">
      <c r="I1495" s="2"/>
    </row>
    <row r="1496" spans="9:9" x14ac:dyDescent="0.25">
      <c r="I1496" s="2"/>
    </row>
    <row r="1497" spans="9:9" x14ac:dyDescent="0.25">
      <c r="I1497" s="2"/>
    </row>
    <row r="1498" spans="9:9" x14ac:dyDescent="0.25">
      <c r="I1498" s="2"/>
    </row>
    <row r="1499" spans="9:9" x14ac:dyDescent="0.25">
      <c r="I1499" s="2"/>
    </row>
    <row r="1500" spans="9:9" x14ac:dyDescent="0.25">
      <c r="I1500" s="2"/>
    </row>
    <row r="1501" spans="9:9" x14ac:dyDescent="0.25">
      <c r="I1501" s="2"/>
    </row>
    <row r="1502" spans="9:9" x14ac:dyDescent="0.25">
      <c r="I1502" s="2"/>
    </row>
    <row r="1503" spans="9:9" x14ac:dyDescent="0.25">
      <c r="I1503" s="2"/>
    </row>
    <row r="1504" spans="9:9" x14ac:dyDescent="0.25">
      <c r="I1504" s="2"/>
    </row>
    <row r="1505" spans="9:9" x14ac:dyDescent="0.25">
      <c r="I1505" s="2"/>
    </row>
    <row r="1506" spans="9:9" x14ac:dyDescent="0.25">
      <c r="I1506" s="2"/>
    </row>
    <row r="1507" spans="9:9" x14ac:dyDescent="0.25">
      <c r="I1507" s="2"/>
    </row>
    <row r="1508" spans="9:9" x14ac:dyDescent="0.25">
      <c r="I1508" s="2"/>
    </row>
    <row r="1509" spans="9:9" x14ac:dyDescent="0.25">
      <c r="I1509" s="2"/>
    </row>
    <row r="1510" spans="9:9" x14ac:dyDescent="0.25">
      <c r="I1510" s="2"/>
    </row>
    <row r="1511" spans="9:9" x14ac:dyDescent="0.25">
      <c r="I1511" s="2"/>
    </row>
    <row r="1512" spans="9:9" x14ac:dyDescent="0.25">
      <c r="I1512" s="2"/>
    </row>
    <row r="1513" spans="9:9" x14ac:dyDescent="0.25">
      <c r="I1513" s="2"/>
    </row>
    <row r="1514" spans="9:9" x14ac:dyDescent="0.25">
      <c r="I1514" s="2"/>
    </row>
    <row r="1515" spans="9:9" x14ac:dyDescent="0.25">
      <c r="I1515" s="2"/>
    </row>
    <row r="1516" spans="9:9" x14ac:dyDescent="0.25">
      <c r="I1516" s="2"/>
    </row>
    <row r="1517" spans="9:9" x14ac:dyDescent="0.25">
      <c r="I1517" s="2"/>
    </row>
    <row r="1518" spans="9:9" x14ac:dyDescent="0.25">
      <c r="I1518" s="2"/>
    </row>
    <row r="1519" spans="9:9" x14ac:dyDescent="0.25">
      <c r="I1519" s="2"/>
    </row>
    <row r="1520" spans="9:9" x14ac:dyDescent="0.25">
      <c r="I1520" s="2"/>
    </row>
    <row r="1521" spans="9:9" x14ac:dyDescent="0.25">
      <c r="I1521" s="2"/>
    </row>
    <row r="1522" spans="9:9" x14ac:dyDescent="0.25">
      <c r="I1522" s="2"/>
    </row>
    <row r="1523" spans="9:9" x14ac:dyDescent="0.25">
      <c r="I1523" s="2"/>
    </row>
    <row r="1524" spans="9:9" x14ac:dyDescent="0.25">
      <c r="I1524" s="2"/>
    </row>
    <row r="1525" spans="9:9" x14ac:dyDescent="0.25">
      <c r="I1525" s="2"/>
    </row>
    <row r="1526" spans="9:9" x14ac:dyDescent="0.25">
      <c r="I1526" s="2"/>
    </row>
    <row r="1527" spans="9:9" x14ac:dyDescent="0.25">
      <c r="I1527" s="2"/>
    </row>
    <row r="1528" spans="9:9" x14ac:dyDescent="0.25">
      <c r="I1528" s="2"/>
    </row>
    <row r="1529" spans="9:9" x14ac:dyDescent="0.25">
      <c r="I1529" s="2"/>
    </row>
    <row r="1530" spans="9:9" x14ac:dyDescent="0.25">
      <c r="I1530" s="2"/>
    </row>
    <row r="1531" spans="9:9" x14ac:dyDescent="0.25">
      <c r="I1531" s="2"/>
    </row>
    <row r="1532" spans="9:9" x14ac:dyDescent="0.25">
      <c r="I1532" s="2"/>
    </row>
    <row r="1533" spans="9:9" x14ac:dyDescent="0.25">
      <c r="I1533" s="2"/>
    </row>
    <row r="1534" spans="9:9" x14ac:dyDescent="0.25">
      <c r="I1534" s="2"/>
    </row>
    <row r="1535" spans="9:9" x14ac:dyDescent="0.25">
      <c r="I1535" s="2"/>
    </row>
    <row r="1536" spans="9:9" x14ac:dyDescent="0.25">
      <c r="I1536" s="2"/>
    </row>
    <row r="1537" spans="9:9" x14ac:dyDescent="0.25">
      <c r="I1537" s="2"/>
    </row>
    <row r="1538" spans="9:9" x14ac:dyDescent="0.25">
      <c r="I1538" s="2"/>
    </row>
    <row r="1539" spans="9:9" x14ac:dyDescent="0.25">
      <c r="I1539" s="2"/>
    </row>
    <row r="1540" spans="9:9" x14ac:dyDescent="0.25">
      <c r="I1540" s="2"/>
    </row>
    <row r="1541" spans="9:9" x14ac:dyDescent="0.25">
      <c r="I1541" s="2"/>
    </row>
    <row r="1542" spans="9:9" x14ac:dyDescent="0.25">
      <c r="I1542" s="2"/>
    </row>
    <row r="1543" spans="9:9" x14ac:dyDescent="0.25">
      <c r="I1543" s="2"/>
    </row>
    <row r="1544" spans="9:9" x14ac:dyDescent="0.25">
      <c r="I1544" s="2"/>
    </row>
    <row r="1545" spans="9:9" x14ac:dyDescent="0.25">
      <c r="I1545" s="2"/>
    </row>
    <row r="1546" spans="9:9" x14ac:dyDescent="0.25">
      <c r="I1546" s="2"/>
    </row>
    <row r="1547" spans="9:9" x14ac:dyDescent="0.25">
      <c r="I1547" s="2"/>
    </row>
    <row r="1548" spans="9:9" x14ac:dyDescent="0.25">
      <c r="I1548" s="2"/>
    </row>
    <row r="1549" spans="9:9" x14ac:dyDescent="0.25">
      <c r="I1549" s="2"/>
    </row>
    <row r="1550" spans="9:9" x14ac:dyDescent="0.25">
      <c r="I1550" s="2"/>
    </row>
    <row r="1551" spans="9:9" x14ac:dyDescent="0.25">
      <c r="I1551" s="2"/>
    </row>
    <row r="1552" spans="9:9" x14ac:dyDescent="0.25">
      <c r="I1552" s="2"/>
    </row>
    <row r="1553" spans="9:9" x14ac:dyDescent="0.25">
      <c r="I1553" s="2"/>
    </row>
    <row r="1554" spans="9:9" x14ac:dyDescent="0.25">
      <c r="I1554" s="2"/>
    </row>
    <row r="1555" spans="9:9" x14ac:dyDescent="0.25">
      <c r="I1555" s="2"/>
    </row>
    <row r="1556" spans="9:9" x14ac:dyDescent="0.25">
      <c r="I1556" s="2"/>
    </row>
    <row r="1557" spans="9:9" x14ac:dyDescent="0.25">
      <c r="I1557" s="2"/>
    </row>
    <row r="1558" spans="9:9" x14ac:dyDescent="0.25">
      <c r="I1558" s="2"/>
    </row>
    <row r="1559" spans="9:9" x14ac:dyDescent="0.25">
      <c r="I1559" s="2"/>
    </row>
    <row r="1560" spans="9:9" x14ac:dyDescent="0.25">
      <c r="I1560" s="2"/>
    </row>
    <row r="1561" spans="9:9" x14ac:dyDescent="0.25">
      <c r="I1561" s="2"/>
    </row>
    <row r="1562" spans="9:9" x14ac:dyDescent="0.25">
      <c r="I1562" s="2"/>
    </row>
    <row r="1563" spans="9:9" x14ac:dyDescent="0.25">
      <c r="I1563" s="2"/>
    </row>
    <row r="1564" spans="9:9" x14ac:dyDescent="0.25">
      <c r="I1564" s="2"/>
    </row>
    <row r="1565" spans="9:9" x14ac:dyDescent="0.25">
      <c r="I1565" s="2"/>
    </row>
    <row r="1566" spans="9:9" x14ac:dyDescent="0.25">
      <c r="I1566" s="2"/>
    </row>
    <row r="1567" spans="9:9" x14ac:dyDescent="0.25">
      <c r="I1567" s="2"/>
    </row>
    <row r="1568" spans="9:9" x14ac:dyDescent="0.25">
      <c r="I1568" s="2"/>
    </row>
    <row r="1569" spans="9:9" x14ac:dyDescent="0.25">
      <c r="I1569" s="2"/>
    </row>
    <row r="1570" spans="9:9" x14ac:dyDescent="0.25">
      <c r="I1570" s="2"/>
    </row>
    <row r="1571" spans="9:9" x14ac:dyDescent="0.25">
      <c r="I1571" s="2"/>
    </row>
    <row r="1572" spans="9:9" x14ac:dyDescent="0.25">
      <c r="I1572" s="2"/>
    </row>
    <row r="1573" spans="9:9" x14ac:dyDescent="0.25">
      <c r="I1573" s="2"/>
    </row>
    <row r="1574" spans="9:9" x14ac:dyDescent="0.25">
      <c r="I1574" s="2"/>
    </row>
    <row r="1575" spans="9:9" x14ac:dyDescent="0.25">
      <c r="I1575" s="2"/>
    </row>
    <row r="1576" spans="9:9" x14ac:dyDescent="0.25">
      <c r="I1576" s="2"/>
    </row>
    <row r="1577" spans="9:9" x14ac:dyDescent="0.25">
      <c r="I1577" s="2"/>
    </row>
    <row r="1578" spans="9:9" x14ac:dyDescent="0.25">
      <c r="I1578" s="2"/>
    </row>
    <row r="1579" spans="9:9" x14ac:dyDescent="0.25">
      <c r="I1579" s="2"/>
    </row>
    <row r="1580" spans="9:9" x14ac:dyDescent="0.25">
      <c r="I1580" s="2"/>
    </row>
    <row r="1581" spans="9:9" x14ac:dyDescent="0.25">
      <c r="I1581" s="2"/>
    </row>
    <row r="1582" spans="9:9" x14ac:dyDescent="0.25">
      <c r="I1582" s="2"/>
    </row>
    <row r="1583" spans="9:9" x14ac:dyDescent="0.25">
      <c r="I1583" s="2"/>
    </row>
    <row r="1584" spans="9:9" x14ac:dyDescent="0.25">
      <c r="I1584" s="2"/>
    </row>
    <row r="1585" spans="9:9" x14ac:dyDescent="0.25">
      <c r="I1585" s="2"/>
    </row>
    <row r="1586" spans="9:9" x14ac:dyDescent="0.25">
      <c r="I1586" s="2"/>
    </row>
    <row r="1587" spans="9:9" x14ac:dyDescent="0.25">
      <c r="I1587" s="2"/>
    </row>
    <row r="1588" spans="9:9" x14ac:dyDescent="0.25">
      <c r="I1588" s="2"/>
    </row>
    <row r="1589" spans="9:9" x14ac:dyDescent="0.25">
      <c r="I1589" s="2"/>
    </row>
    <row r="1590" spans="9:9" x14ac:dyDescent="0.25">
      <c r="I1590" s="2"/>
    </row>
    <row r="1591" spans="9:9" x14ac:dyDescent="0.25">
      <c r="I1591" s="2"/>
    </row>
    <row r="1592" spans="9:9" x14ac:dyDescent="0.25">
      <c r="I1592" s="2"/>
    </row>
    <row r="1593" spans="9:9" x14ac:dyDescent="0.25">
      <c r="I1593" s="2"/>
    </row>
    <row r="1594" spans="9:9" x14ac:dyDescent="0.25">
      <c r="I1594" s="2"/>
    </row>
    <row r="1595" spans="9:9" x14ac:dyDescent="0.25">
      <c r="I1595" s="2"/>
    </row>
    <row r="1596" spans="9:9" x14ac:dyDescent="0.25">
      <c r="I1596" s="2"/>
    </row>
    <row r="1597" spans="9:9" x14ac:dyDescent="0.25">
      <c r="I1597" s="2"/>
    </row>
    <row r="1598" spans="9:9" x14ac:dyDescent="0.25">
      <c r="I1598" s="2"/>
    </row>
    <row r="1599" spans="9:9" x14ac:dyDescent="0.25">
      <c r="I1599" s="2"/>
    </row>
    <row r="1600" spans="9:9" x14ac:dyDescent="0.25">
      <c r="I1600" s="2"/>
    </row>
    <row r="1601" spans="9:9" x14ac:dyDescent="0.25">
      <c r="I1601" s="2"/>
    </row>
    <row r="1602" spans="9:9" x14ac:dyDescent="0.25">
      <c r="I1602" s="2"/>
    </row>
    <row r="1603" spans="9:9" x14ac:dyDescent="0.25">
      <c r="I1603" s="2"/>
    </row>
    <row r="1604" spans="9:9" x14ac:dyDescent="0.25">
      <c r="I1604" s="2"/>
    </row>
    <row r="1605" spans="9:9" x14ac:dyDescent="0.25">
      <c r="I1605" s="2"/>
    </row>
    <row r="1606" spans="9:9" x14ac:dyDescent="0.25">
      <c r="I1606" s="2"/>
    </row>
    <row r="1607" spans="9:9" x14ac:dyDescent="0.25">
      <c r="I1607" s="2"/>
    </row>
    <row r="1608" spans="9:9" x14ac:dyDescent="0.25">
      <c r="I1608" s="2"/>
    </row>
    <row r="1609" spans="9:9" x14ac:dyDescent="0.25">
      <c r="I1609" s="2"/>
    </row>
    <row r="1610" spans="9:9" x14ac:dyDescent="0.25">
      <c r="I1610" s="2"/>
    </row>
    <row r="1611" spans="9:9" x14ac:dyDescent="0.25">
      <c r="I1611" s="2"/>
    </row>
    <row r="1612" spans="9:9" x14ac:dyDescent="0.25">
      <c r="I1612" s="2"/>
    </row>
    <row r="1613" spans="9:9" x14ac:dyDescent="0.25">
      <c r="I1613" s="2"/>
    </row>
    <row r="1614" spans="9:9" x14ac:dyDescent="0.25">
      <c r="I1614" s="2"/>
    </row>
    <row r="1615" spans="9:9" x14ac:dyDescent="0.25">
      <c r="I1615" s="2"/>
    </row>
    <row r="1616" spans="9:9" x14ac:dyDescent="0.25">
      <c r="I1616" s="2"/>
    </row>
    <row r="1617" spans="9:9" x14ac:dyDescent="0.25">
      <c r="I1617" s="2"/>
    </row>
    <row r="1618" spans="9:9" x14ac:dyDescent="0.25">
      <c r="I1618" s="2"/>
    </row>
    <row r="1619" spans="9:9" x14ac:dyDescent="0.25">
      <c r="I1619" s="2"/>
    </row>
    <row r="1620" spans="9:9" x14ac:dyDescent="0.25">
      <c r="I1620" s="2"/>
    </row>
    <row r="1621" spans="9:9" x14ac:dyDescent="0.25">
      <c r="I1621" s="2"/>
    </row>
    <row r="1622" spans="9:9" x14ac:dyDescent="0.25">
      <c r="I1622" s="2"/>
    </row>
    <row r="1623" spans="9:9" x14ac:dyDescent="0.25">
      <c r="I1623" s="2"/>
    </row>
    <row r="1624" spans="9:9" x14ac:dyDescent="0.25">
      <c r="I1624" s="2"/>
    </row>
    <row r="1625" spans="9:9" x14ac:dyDescent="0.25">
      <c r="I1625" s="2"/>
    </row>
    <row r="1626" spans="9:9" x14ac:dyDescent="0.25">
      <c r="I1626" s="2"/>
    </row>
    <row r="1627" spans="9:9" x14ac:dyDescent="0.25">
      <c r="I1627" s="2"/>
    </row>
    <row r="1628" spans="9:9" x14ac:dyDescent="0.25">
      <c r="I1628" s="2"/>
    </row>
    <row r="1629" spans="9:9" x14ac:dyDescent="0.25">
      <c r="I1629" s="2"/>
    </row>
    <row r="1630" spans="9:9" x14ac:dyDescent="0.25">
      <c r="I1630" s="2"/>
    </row>
    <row r="1631" spans="9:9" x14ac:dyDescent="0.25">
      <c r="I1631" s="2"/>
    </row>
    <row r="1632" spans="9:9" x14ac:dyDescent="0.25">
      <c r="I1632" s="2"/>
    </row>
    <row r="1633" spans="9:9" x14ac:dyDescent="0.25">
      <c r="I1633" s="2"/>
    </row>
    <row r="1634" spans="9:9" x14ac:dyDescent="0.25">
      <c r="I1634" s="2"/>
    </row>
    <row r="1635" spans="9:9" x14ac:dyDescent="0.25">
      <c r="I1635" s="2"/>
    </row>
    <row r="1636" spans="9:9" x14ac:dyDescent="0.25">
      <c r="I1636" s="2"/>
    </row>
    <row r="1637" spans="9:9" x14ac:dyDescent="0.25">
      <c r="I1637" s="2"/>
    </row>
    <row r="1638" spans="9:9" x14ac:dyDescent="0.25">
      <c r="I1638" s="2"/>
    </row>
    <row r="1639" spans="9:9" x14ac:dyDescent="0.25">
      <c r="I1639" s="2"/>
    </row>
    <row r="1640" spans="9:9" x14ac:dyDescent="0.25">
      <c r="I1640" s="2"/>
    </row>
    <row r="1641" spans="9:9" x14ac:dyDescent="0.25">
      <c r="I1641" s="2"/>
    </row>
    <row r="1642" spans="9:9" x14ac:dyDescent="0.25">
      <c r="I1642" s="2"/>
    </row>
    <row r="1643" spans="9:9" x14ac:dyDescent="0.25">
      <c r="I1643" s="2"/>
    </row>
    <row r="1644" spans="9:9" x14ac:dyDescent="0.25">
      <c r="I1644" s="2"/>
    </row>
    <row r="1645" spans="9:9" x14ac:dyDescent="0.25">
      <c r="I1645" s="2"/>
    </row>
    <row r="1646" spans="9:9" x14ac:dyDescent="0.25">
      <c r="I1646" s="2"/>
    </row>
    <row r="1647" spans="9:9" x14ac:dyDescent="0.25">
      <c r="I1647" s="2"/>
    </row>
    <row r="1648" spans="9:9" x14ac:dyDescent="0.25">
      <c r="I1648" s="2"/>
    </row>
    <row r="1649" spans="9:9" x14ac:dyDescent="0.25">
      <c r="I1649" s="2"/>
    </row>
    <row r="1650" spans="9:9" x14ac:dyDescent="0.25">
      <c r="I1650" s="2"/>
    </row>
    <row r="1651" spans="9:9" x14ac:dyDescent="0.25">
      <c r="I1651" s="2"/>
    </row>
    <row r="1652" spans="9:9" x14ac:dyDescent="0.25">
      <c r="I1652" s="2"/>
    </row>
    <row r="1653" spans="9:9" x14ac:dyDescent="0.25">
      <c r="I1653" s="2"/>
    </row>
    <row r="1654" spans="9:9" x14ac:dyDescent="0.25">
      <c r="I1654" s="2"/>
    </row>
    <row r="1655" spans="9:9" x14ac:dyDescent="0.25">
      <c r="I1655" s="2"/>
    </row>
    <row r="1656" spans="9:9" x14ac:dyDescent="0.25">
      <c r="I1656" s="2"/>
    </row>
    <row r="1657" spans="9:9" x14ac:dyDescent="0.25">
      <c r="I1657" s="2"/>
    </row>
    <row r="1658" spans="9:9" x14ac:dyDescent="0.25">
      <c r="I1658" s="2"/>
    </row>
    <row r="1659" spans="9:9" x14ac:dyDescent="0.25">
      <c r="I1659" s="2"/>
    </row>
    <row r="1660" spans="9:9" x14ac:dyDescent="0.25">
      <c r="I1660" s="2"/>
    </row>
    <row r="1661" spans="9:9" x14ac:dyDescent="0.25">
      <c r="I1661" s="2"/>
    </row>
    <row r="1662" spans="9:9" x14ac:dyDescent="0.25">
      <c r="I1662" s="2"/>
    </row>
    <row r="1663" spans="9:9" x14ac:dyDescent="0.25">
      <c r="I1663" s="2"/>
    </row>
    <row r="1664" spans="9:9" x14ac:dyDescent="0.25">
      <c r="I1664" s="2"/>
    </row>
    <row r="1665" spans="9:9" x14ac:dyDescent="0.25">
      <c r="I1665" s="2"/>
    </row>
    <row r="1666" spans="9:9" x14ac:dyDescent="0.25">
      <c r="I1666" s="2"/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3F007-9E9B-4AD3-95DB-35AA7C662716}">
  <dimension ref="A1:H2429"/>
  <sheetViews>
    <sheetView tabSelected="1" workbookViewId="0">
      <pane ySplit="1" topLeftCell="A2386" activePane="bottomLeft" state="frozen"/>
      <selection pane="bottomLeft" activeCell="L2417" sqref="L2417"/>
    </sheetView>
  </sheetViews>
  <sheetFormatPr defaultRowHeight="15" x14ac:dyDescent="0.25"/>
  <cols>
    <col min="1" max="2" width="9.140625" style="1"/>
  </cols>
  <sheetData>
    <row r="1" spans="1:8" ht="60" x14ac:dyDescent="0.25">
      <c r="A1" s="1" t="s">
        <v>1</v>
      </c>
      <c r="B1" s="1" t="s">
        <v>98</v>
      </c>
      <c r="C1" t="s">
        <v>53</v>
      </c>
      <c r="D1" s="1" t="s">
        <v>54</v>
      </c>
      <c r="E1" s="1" t="s">
        <v>0</v>
      </c>
      <c r="F1" s="7" t="s">
        <v>55</v>
      </c>
      <c r="G1" s="7" t="s">
        <v>102</v>
      </c>
      <c r="H1" s="11" t="s">
        <v>103</v>
      </c>
    </row>
    <row r="2" spans="1:8" x14ac:dyDescent="0.25">
      <c r="A2" s="1">
        <v>1993</v>
      </c>
      <c r="B2" s="1" t="s">
        <v>104</v>
      </c>
      <c r="C2" t="s">
        <v>51</v>
      </c>
      <c r="D2">
        <v>1</v>
      </c>
      <c r="E2">
        <v>11</v>
      </c>
      <c r="F2">
        <v>0.39</v>
      </c>
      <c r="G2">
        <f>(F2/0.6)/4</f>
        <v>0.16250000000000001</v>
      </c>
      <c r="H2">
        <f>G2*(11.5/38.29)</f>
        <v>4.8805171062940716E-2</v>
      </c>
    </row>
    <row r="3" spans="1:8" x14ac:dyDescent="0.25">
      <c r="A3" s="1">
        <v>1993</v>
      </c>
      <c r="B3" s="1" t="s">
        <v>104</v>
      </c>
      <c r="C3" t="s">
        <v>51</v>
      </c>
      <c r="D3">
        <v>1</v>
      </c>
      <c r="E3">
        <v>11</v>
      </c>
      <c r="F3">
        <v>0.13</v>
      </c>
      <c r="G3">
        <f>(F3/0.6)/4</f>
        <v>5.4166666666666669E-2</v>
      </c>
      <c r="H3">
        <f>G3*(11.5/38.29)</f>
        <v>1.6268390354313572E-2</v>
      </c>
    </row>
    <row r="4" spans="1:8" x14ac:dyDescent="0.25">
      <c r="A4" s="1">
        <v>1993</v>
      </c>
      <c r="B4" s="1" t="s">
        <v>104</v>
      </c>
      <c r="C4" t="s">
        <v>51</v>
      </c>
      <c r="D4">
        <v>1</v>
      </c>
      <c r="E4">
        <v>11</v>
      </c>
      <c r="F4">
        <v>0.1</v>
      </c>
      <c r="G4">
        <f>(F4/0.6)/4</f>
        <v>4.1666666666666671E-2</v>
      </c>
      <c r="H4">
        <f>G4*(11.5/38.29)</f>
        <v>1.2514146426395057E-2</v>
      </c>
    </row>
    <row r="5" spans="1:8" x14ac:dyDescent="0.25">
      <c r="A5" s="1">
        <v>1993</v>
      </c>
      <c r="B5" s="1" t="s">
        <v>104</v>
      </c>
      <c r="C5" t="s">
        <v>51</v>
      </c>
      <c r="D5">
        <v>1</v>
      </c>
      <c r="E5">
        <v>29</v>
      </c>
      <c r="F5">
        <v>0.19</v>
      </c>
      <c r="G5">
        <f>(F5/0.6)/4</f>
        <v>7.9166666666666677E-2</v>
      </c>
      <c r="H5">
        <f>G5*(11.5/38.29)</f>
        <v>2.3776878210150607E-2</v>
      </c>
    </row>
    <row r="6" spans="1:8" x14ac:dyDescent="0.25">
      <c r="A6" s="1">
        <v>1993</v>
      </c>
      <c r="B6" s="1" t="s">
        <v>104</v>
      </c>
      <c r="C6" t="s">
        <v>51</v>
      </c>
      <c r="D6">
        <v>1</v>
      </c>
      <c r="E6">
        <v>29</v>
      </c>
      <c r="F6">
        <v>0.06</v>
      </c>
      <c r="G6">
        <f>(F6/0.6)/4</f>
        <v>2.5000000000000001E-2</v>
      </c>
      <c r="H6">
        <f>G6*(11.5/38.29)</f>
        <v>7.5084878558370335E-3</v>
      </c>
    </row>
    <row r="7" spans="1:8" x14ac:dyDescent="0.25">
      <c r="A7" s="1">
        <v>1993</v>
      </c>
      <c r="B7" s="1" t="s">
        <v>104</v>
      </c>
      <c r="C7" t="s">
        <v>51</v>
      </c>
      <c r="D7">
        <v>1</v>
      </c>
      <c r="E7">
        <v>29</v>
      </c>
      <c r="F7">
        <v>0.5</v>
      </c>
      <c r="G7">
        <f>(F7/0.6)/4</f>
        <v>0.20833333333333334</v>
      </c>
      <c r="H7">
        <f>G7*(11.5/38.29)</f>
        <v>6.2570732131975282E-2</v>
      </c>
    </row>
    <row r="8" spans="1:8" x14ac:dyDescent="0.25">
      <c r="A8" s="1">
        <v>1993</v>
      </c>
      <c r="B8" s="1" t="s">
        <v>104</v>
      </c>
      <c r="C8" t="s">
        <v>51</v>
      </c>
      <c r="D8">
        <v>1</v>
      </c>
      <c r="E8">
        <v>29</v>
      </c>
      <c r="F8">
        <v>0.22</v>
      </c>
      <c r="G8">
        <f>(F8/0.6)/4</f>
        <v>9.1666666666666674E-2</v>
      </c>
      <c r="H8">
        <f>G8*(11.5/38.29)</f>
        <v>2.7531122138069124E-2</v>
      </c>
    </row>
    <row r="9" spans="1:8" x14ac:dyDescent="0.25">
      <c r="A9" s="1">
        <v>1993</v>
      </c>
      <c r="B9" s="1" t="s">
        <v>104</v>
      </c>
      <c r="C9" t="s">
        <v>51</v>
      </c>
      <c r="D9">
        <v>1</v>
      </c>
      <c r="E9">
        <v>29</v>
      </c>
      <c r="F9">
        <v>0.1</v>
      </c>
      <c r="G9">
        <f>(F9/0.6)/4</f>
        <v>4.1666666666666671E-2</v>
      </c>
      <c r="H9">
        <f>G9*(11.5/38.29)</f>
        <v>1.2514146426395057E-2</v>
      </c>
    </row>
    <row r="10" spans="1:8" x14ac:dyDescent="0.25">
      <c r="A10" s="1">
        <v>1993</v>
      </c>
      <c r="B10" s="1" t="s">
        <v>104</v>
      </c>
      <c r="C10" t="s">
        <v>51</v>
      </c>
      <c r="D10">
        <v>1</v>
      </c>
      <c r="E10">
        <v>29</v>
      </c>
      <c r="F10">
        <v>0.23</v>
      </c>
      <c r="G10">
        <f>(F10/0.6)/4</f>
        <v>9.583333333333334E-2</v>
      </c>
      <c r="H10">
        <f>G10*(11.5/38.29)</f>
        <v>2.8782536780708627E-2</v>
      </c>
    </row>
    <row r="11" spans="1:8" x14ac:dyDescent="0.25">
      <c r="A11" s="1">
        <v>1993</v>
      </c>
      <c r="B11" s="1" t="s">
        <v>104</v>
      </c>
      <c r="C11" t="s">
        <v>51</v>
      </c>
      <c r="D11">
        <v>1</v>
      </c>
      <c r="E11">
        <v>29</v>
      </c>
      <c r="F11">
        <v>0.45</v>
      </c>
      <c r="G11">
        <f>(F11/0.6)/4</f>
        <v>0.1875</v>
      </c>
      <c r="H11">
        <f>G11*(11.5/38.29)</f>
        <v>5.6313658918777751E-2</v>
      </c>
    </row>
    <row r="12" spans="1:8" x14ac:dyDescent="0.25">
      <c r="A12" s="1">
        <v>1993</v>
      </c>
      <c r="B12" s="1" t="s">
        <v>104</v>
      </c>
      <c r="C12" t="s">
        <v>51</v>
      </c>
      <c r="D12">
        <v>1</v>
      </c>
      <c r="E12">
        <v>32</v>
      </c>
      <c r="F12">
        <v>0.03</v>
      </c>
      <c r="G12">
        <f>(F12/0.6)/4</f>
        <v>1.2500000000000001E-2</v>
      </c>
      <c r="H12">
        <f>G12*(11.5/38.29)</f>
        <v>3.7542439279185168E-3</v>
      </c>
    </row>
    <row r="13" spans="1:8" x14ac:dyDescent="0.25">
      <c r="A13" s="1">
        <v>1993</v>
      </c>
      <c r="B13" s="1" t="s">
        <v>104</v>
      </c>
      <c r="C13" t="s">
        <v>51</v>
      </c>
      <c r="D13">
        <v>1</v>
      </c>
      <c r="E13">
        <v>32</v>
      </c>
      <c r="F13">
        <v>0.11</v>
      </c>
      <c r="G13">
        <f>(F13/0.6)/4</f>
        <v>4.5833333333333337E-2</v>
      </c>
      <c r="H13">
        <f>G13*(11.5/38.29)</f>
        <v>1.3765561069034562E-2</v>
      </c>
    </row>
    <row r="14" spans="1:8" x14ac:dyDescent="0.25">
      <c r="A14" s="1">
        <v>1993</v>
      </c>
      <c r="B14" s="1" t="s">
        <v>104</v>
      </c>
      <c r="C14" t="s">
        <v>51</v>
      </c>
      <c r="D14">
        <v>1</v>
      </c>
      <c r="E14">
        <v>32</v>
      </c>
      <c r="F14">
        <v>7.0000000000000007E-2</v>
      </c>
      <c r="G14">
        <f>(F14/0.6)/4</f>
        <v>2.9166666666666671E-2</v>
      </c>
      <c r="H14">
        <f>G14*(11.5/38.29)</f>
        <v>8.7599024984765395E-3</v>
      </c>
    </row>
    <row r="15" spans="1:8" x14ac:dyDescent="0.25">
      <c r="A15" s="1">
        <v>1993</v>
      </c>
      <c r="B15" s="1" t="s">
        <v>104</v>
      </c>
      <c r="C15" t="s">
        <v>51</v>
      </c>
      <c r="D15">
        <v>1</v>
      </c>
      <c r="E15">
        <v>32</v>
      </c>
      <c r="F15">
        <v>7.0000000000000007E-2</v>
      </c>
      <c r="G15">
        <f>(F15/0.6)/4</f>
        <v>2.9166666666666671E-2</v>
      </c>
      <c r="H15">
        <f>G15*(11.5/38.29)</f>
        <v>8.7599024984765395E-3</v>
      </c>
    </row>
    <row r="16" spans="1:8" x14ac:dyDescent="0.25">
      <c r="A16" s="1">
        <v>1993</v>
      </c>
      <c r="B16" s="1" t="s">
        <v>104</v>
      </c>
      <c r="C16" t="s">
        <v>51</v>
      </c>
      <c r="D16">
        <v>1</v>
      </c>
      <c r="E16">
        <v>32</v>
      </c>
      <c r="F16">
        <v>0.03</v>
      </c>
      <c r="G16">
        <f>(F16/0.6)/4</f>
        <v>1.2500000000000001E-2</v>
      </c>
      <c r="H16">
        <f>G16*(11.5/38.29)</f>
        <v>3.7542439279185168E-3</v>
      </c>
    </row>
    <row r="17" spans="1:8" x14ac:dyDescent="0.25">
      <c r="A17" s="1">
        <v>1993</v>
      </c>
      <c r="B17" s="1" t="s">
        <v>104</v>
      </c>
      <c r="C17" t="s">
        <v>51</v>
      </c>
      <c r="D17">
        <v>1</v>
      </c>
      <c r="E17">
        <v>32</v>
      </c>
      <c r="F17">
        <v>0.27</v>
      </c>
      <c r="G17">
        <f>(F17/0.6)/4</f>
        <v>0.11250000000000002</v>
      </c>
      <c r="H17">
        <f>G17*(11.5/38.29)</f>
        <v>3.3788195351266655E-2</v>
      </c>
    </row>
    <row r="18" spans="1:8" x14ac:dyDescent="0.25">
      <c r="A18" s="1">
        <v>1993</v>
      </c>
      <c r="B18" s="1" t="s">
        <v>104</v>
      </c>
      <c r="C18" t="s">
        <v>51</v>
      </c>
      <c r="D18">
        <v>1</v>
      </c>
      <c r="E18">
        <v>32</v>
      </c>
      <c r="F18">
        <v>0.84</v>
      </c>
      <c r="G18">
        <f>(F18/0.6)/4</f>
        <v>0.35</v>
      </c>
      <c r="H18">
        <f>G18*(11.5/38.29)</f>
        <v>0.10511882998171845</v>
      </c>
    </row>
    <row r="19" spans="1:8" x14ac:dyDescent="0.25">
      <c r="A19" s="1">
        <v>1993</v>
      </c>
      <c r="B19" s="1" t="s">
        <v>104</v>
      </c>
      <c r="C19" t="s">
        <v>51</v>
      </c>
      <c r="D19">
        <v>1</v>
      </c>
      <c r="E19">
        <v>32</v>
      </c>
      <c r="F19">
        <v>7.0000000000000007E-2</v>
      </c>
      <c r="G19">
        <f>(F19/0.6)/4</f>
        <v>2.9166666666666671E-2</v>
      </c>
      <c r="H19">
        <f>G19*(11.5/38.29)</f>
        <v>8.7599024984765395E-3</v>
      </c>
    </row>
    <row r="20" spans="1:8" x14ac:dyDescent="0.25">
      <c r="A20" s="1">
        <v>1993</v>
      </c>
      <c r="B20" s="1" t="s">
        <v>104</v>
      </c>
      <c r="C20" t="s">
        <v>51</v>
      </c>
      <c r="D20">
        <v>1</v>
      </c>
      <c r="E20">
        <v>32</v>
      </c>
      <c r="F20">
        <v>0.05</v>
      </c>
      <c r="G20">
        <f>(F20/0.6)/4</f>
        <v>2.0833333333333336E-2</v>
      </c>
      <c r="H20">
        <f>G20*(11.5/38.29)</f>
        <v>6.2570732131975284E-3</v>
      </c>
    </row>
    <row r="21" spans="1:8" x14ac:dyDescent="0.25">
      <c r="A21" s="1">
        <v>1993</v>
      </c>
      <c r="B21" s="1" t="s">
        <v>104</v>
      </c>
      <c r="C21" t="s">
        <v>51</v>
      </c>
      <c r="D21">
        <v>1</v>
      </c>
      <c r="E21">
        <v>32</v>
      </c>
      <c r="F21">
        <v>7.0000000000000007E-2</v>
      </c>
      <c r="G21">
        <f>(F21/0.6)/4</f>
        <v>2.9166666666666671E-2</v>
      </c>
      <c r="H21">
        <f>G21*(11.5/38.29)</f>
        <v>8.7599024984765395E-3</v>
      </c>
    </row>
    <row r="22" spans="1:8" x14ac:dyDescent="0.25">
      <c r="A22" s="1">
        <v>1993</v>
      </c>
      <c r="B22" s="1" t="s">
        <v>104</v>
      </c>
      <c r="C22" t="s">
        <v>51</v>
      </c>
      <c r="D22">
        <v>1</v>
      </c>
      <c r="E22">
        <v>32</v>
      </c>
      <c r="F22">
        <v>0.04</v>
      </c>
      <c r="G22">
        <f>(F22/0.6)/4</f>
        <v>1.6666666666666666E-2</v>
      </c>
      <c r="H22">
        <f>G22*(11.5/38.29)</f>
        <v>5.0056585705580223E-3</v>
      </c>
    </row>
    <row r="23" spans="1:8" x14ac:dyDescent="0.25">
      <c r="A23" s="1">
        <v>1993</v>
      </c>
      <c r="B23" s="1" t="s">
        <v>104</v>
      </c>
      <c r="C23" t="s">
        <v>51</v>
      </c>
      <c r="D23">
        <v>1</v>
      </c>
      <c r="E23">
        <v>32</v>
      </c>
      <c r="F23">
        <v>7.0000000000000007E-2</v>
      </c>
      <c r="G23">
        <f>(F23/0.6)/4</f>
        <v>2.9166666666666671E-2</v>
      </c>
      <c r="H23">
        <f>G23*(11.5/38.29)</f>
        <v>8.7599024984765395E-3</v>
      </c>
    </row>
    <row r="24" spans="1:8" x14ac:dyDescent="0.25">
      <c r="A24" s="1">
        <v>1993</v>
      </c>
      <c r="B24" s="1" t="s">
        <v>104</v>
      </c>
      <c r="C24" t="s">
        <v>51</v>
      </c>
      <c r="D24">
        <v>1</v>
      </c>
      <c r="E24">
        <v>32</v>
      </c>
      <c r="F24">
        <v>1.58</v>
      </c>
      <c r="G24">
        <f>(F24/0.6)/4</f>
        <v>0.65833333333333344</v>
      </c>
      <c r="H24">
        <f>G24*(11.5/38.29)</f>
        <v>0.1977235135370419</v>
      </c>
    </row>
    <row r="25" spans="1:8" x14ac:dyDescent="0.25">
      <c r="A25" s="1">
        <v>1993</v>
      </c>
      <c r="B25" s="1" t="s">
        <v>104</v>
      </c>
      <c r="C25" t="s">
        <v>51</v>
      </c>
      <c r="D25">
        <v>1</v>
      </c>
      <c r="E25">
        <v>32</v>
      </c>
      <c r="F25">
        <v>0.08</v>
      </c>
      <c r="G25">
        <f>(F25/0.6)/4</f>
        <v>3.3333333333333333E-2</v>
      </c>
      <c r="H25">
        <f>G25*(11.5/38.29)</f>
        <v>1.0011317141116045E-2</v>
      </c>
    </row>
    <row r="26" spans="1:8" x14ac:dyDescent="0.25">
      <c r="A26" s="1">
        <v>1993</v>
      </c>
      <c r="B26" s="1" t="s">
        <v>104</v>
      </c>
      <c r="C26" t="s">
        <v>51</v>
      </c>
      <c r="D26">
        <v>1</v>
      </c>
      <c r="E26">
        <v>32</v>
      </c>
      <c r="F26">
        <v>0.16</v>
      </c>
      <c r="G26">
        <f>(F26/0.6)/4</f>
        <v>6.6666666666666666E-2</v>
      </c>
      <c r="H26">
        <f>G26*(11.5/38.29)</f>
        <v>2.0022634282232089E-2</v>
      </c>
    </row>
    <row r="27" spans="1:8" x14ac:dyDescent="0.25">
      <c r="A27" s="1">
        <v>1993</v>
      </c>
      <c r="B27" s="1" t="s">
        <v>104</v>
      </c>
      <c r="C27" t="s">
        <v>51</v>
      </c>
      <c r="D27">
        <v>1</v>
      </c>
      <c r="E27">
        <v>32</v>
      </c>
      <c r="F27">
        <v>0.11</v>
      </c>
      <c r="G27">
        <f>(F27/0.6)/4</f>
        <v>4.5833333333333337E-2</v>
      </c>
      <c r="H27">
        <f>G27*(11.5/38.29)</f>
        <v>1.3765561069034562E-2</v>
      </c>
    </row>
    <row r="28" spans="1:8" x14ac:dyDescent="0.25">
      <c r="A28" s="1">
        <v>1993</v>
      </c>
      <c r="B28" s="1" t="s">
        <v>104</v>
      </c>
      <c r="C28" t="s">
        <v>51</v>
      </c>
      <c r="D28">
        <v>1</v>
      </c>
      <c r="E28">
        <v>32</v>
      </c>
      <c r="F28">
        <v>0.18</v>
      </c>
      <c r="G28">
        <f>(F28/0.6)/4</f>
        <v>7.4999999999999997E-2</v>
      </c>
      <c r="H28">
        <f>G28*(11.5/38.29)</f>
        <v>2.25254635675111E-2</v>
      </c>
    </row>
    <row r="29" spans="1:8" x14ac:dyDescent="0.25">
      <c r="A29" s="1">
        <v>1993</v>
      </c>
      <c r="B29" s="1" t="s">
        <v>104</v>
      </c>
      <c r="C29" t="s">
        <v>51</v>
      </c>
      <c r="D29">
        <v>1</v>
      </c>
      <c r="E29">
        <v>32</v>
      </c>
      <c r="F29">
        <v>0.05</v>
      </c>
      <c r="G29">
        <f>(F29/0.6)/4</f>
        <v>2.0833333333333336E-2</v>
      </c>
      <c r="H29">
        <f>G29*(11.5/38.29)</f>
        <v>6.2570732131975284E-3</v>
      </c>
    </row>
    <row r="30" spans="1:8" x14ac:dyDescent="0.25">
      <c r="A30" s="1">
        <v>1993</v>
      </c>
      <c r="B30" s="1" t="s">
        <v>104</v>
      </c>
      <c r="C30" t="s">
        <v>51</v>
      </c>
      <c r="D30">
        <v>1</v>
      </c>
      <c r="E30">
        <v>32</v>
      </c>
      <c r="F30">
        <v>0.14000000000000001</v>
      </c>
      <c r="G30">
        <f>(F30/0.6)/4</f>
        <v>5.8333333333333341E-2</v>
      </c>
      <c r="H30">
        <f>G30*(11.5/38.29)</f>
        <v>1.7519804996953079E-2</v>
      </c>
    </row>
    <row r="31" spans="1:8" x14ac:dyDescent="0.25">
      <c r="A31" s="1">
        <v>1993</v>
      </c>
      <c r="B31" s="1" t="s">
        <v>104</v>
      </c>
      <c r="C31" t="s">
        <v>51</v>
      </c>
      <c r="D31">
        <v>1</v>
      </c>
      <c r="E31">
        <v>32</v>
      </c>
      <c r="F31">
        <v>0.88</v>
      </c>
      <c r="G31">
        <f>(F31/0.6)/4</f>
        <v>0.3666666666666667</v>
      </c>
      <c r="H31">
        <f>G31*(11.5/38.29)</f>
        <v>0.11012448855227649</v>
      </c>
    </row>
    <row r="32" spans="1:8" x14ac:dyDescent="0.25">
      <c r="A32" s="1">
        <v>1993</v>
      </c>
      <c r="B32" s="1" t="s">
        <v>104</v>
      </c>
      <c r="C32" t="s">
        <v>51</v>
      </c>
      <c r="D32">
        <v>1</v>
      </c>
      <c r="E32">
        <v>32</v>
      </c>
      <c r="F32">
        <v>0.26</v>
      </c>
      <c r="G32">
        <f>(F32/0.6)/4</f>
        <v>0.10833333333333334</v>
      </c>
      <c r="H32">
        <f>G32*(11.5/38.29)</f>
        <v>3.2536780708627144E-2</v>
      </c>
    </row>
    <row r="33" spans="1:8" x14ac:dyDescent="0.25">
      <c r="A33" s="1">
        <v>1993</v>
      </c>
      <c r="B33" s="1" t="s">
        <v>104</v>
      </c>
      <c r="C33" t="s">
        <v>51</v>
      </c>
      <c r="D33">
        <v>1</v>
      </c>
      <c r="E33">
        <v>32</v>
      </c>
      <c r="F33">
        <v>0.12</v>
      </c>
      <c r="G33">
        <f>(F33/0.6)/4</f>
        <v>0.05</v>
      </c>
      <c r="H33">
        <f>G33*(11.5/38.29)</f>
        <v>1.5016975711674067E-2</v>
      </c>
    </row>
    <row r="34" spans="1:8" x14ac:dyDescent="0.25">
      <c r="A34" s="1">
        <v>1993</v>
      </c>
      <c r="B34" s="1" t="s">
        <v>104</v>
      </c>
      <c r="C34" t="s">
        <v>51</v>
      </c>
      <c r="D34">
        <v>1</v>
      </c>
      <c r="E34">
        <v>32</v>
      </c>
      <c r="F34">
        <v>0.11</v>
      </c>
      <c r="G34">
        <f>(F34/0.6)/4</f>
        <v>4.5833333333333337E-2</v>
      </c>
      <c r="H34">
        <f>G34*(11.5/38.29)</f>
        <v>1.3765561069034562E-2</v>
      </c>
    </row>
    <row r="35" spans="1:8" x14ac:dyDescent="0.25">
      <c r="A35" s="1">
        <v>1993</v>
      </c>
      <c r="B35" s="1" t="s">
        <v>104</v>
      </c>
      <c r="C35" t="s">
        <v>51</v>
      </c>
      <c r="D35">
        <v>1</v>
      </c>
      <c r="E35">
        <v>32</v>
      </c>
      <c r="F35">
        <v>0.03</v>
      </c>
      <c r="G35">
        <f>(F35/0.6)/4</f>
        <v>1.2500000000000001E-2</v>
      </c>
      <c r="H35">
        <f>G35*(11.5/38.29)</f>
        <v>3.7542439279185168E-3</v>
      </c>
    </row>
    <row r="36" spans="1:8" x14ac:dyDescent="0.25">
      <c r="A36" s="1">
        <v>1993</v>
      </c>
      <c r="B36" s="1" t="s">
        <v>104</v>
      </c>
      <c r="C36" t="s">
        <v>51</v>
      </c>
      <c r="D36">
        <v>1</v>
      </c>
      <c r="E36">
        <v>32</v>
      </c>
      <c r="F36">
        <v>0.06</v>
      </c>
      <c r="G36">
        <f>(F36/0.6)/4</f>
        <v>2.5000000000000001E-2</v>
      </c>
      <c r="H36">
        <f>G36*(11.5/38.29)</f>
        <v>7.5084878558370335E-3</v>
      </c>
    </row>
    <row r="37" spans="1:8" x14ac:dyDescent="0.25">
      <c r="A37" s="1">
        <v>1993</v>
      </c>
      <c r="B37" s="1" t="s">
        <v>104</v>
      </c>
      <c r="C37" t="s">
        <v>51</v>
      </c>
      <c r="D37">
        <v>1</v>
      </c>
      <c r="E37">
        <v>32</v>
      </c>
      <c r="F37">
        <v>0.03</v>
      </c>
      <c r="G37">
        <f>(F37/0.6)/4</f>
        <v>1.2500000000000001E-2</v>
      </c>
      <c r="H37">
        <f>G37*(11.5/38.29)</f>
        <v>3.7542439279185168E-3</v>
      </c>
    </row>
    <row r="38" spans="1:8" x14ac:dyDescent="0.25">
      <c r="A38" s="1">
        <v>1993</v>
      </c>
      <c r="B38" s="1" t="s">
        <v>104</v>
      </c>
      <c r="C38" t="s">
        <v>51</v>
      </c>
      <c r="D38">
        <v>1</v>
      </c>
      <c r="E38">
        <v>32</v>
      </c>
      <c r="F38">
        <v>0.05</v>
      </c>
      <c r="G38">
        <f>(F38/0.6)/4</f>
        <v>2.0833333333333336E-2</v>
      </c>
      <c r="H38">
        <f>G38*(11.5/38.29)</f>
        <v>6.2570732131975284E-3</v>
      </c>
    </row>
    <row r="39" spans="1:8" x14ac:dyDescent="0.25">
      <c r="A39" s="1">
        <v>1993</v>
      </c>
      <c r="B39" s="1" t="s">
        <v>104</v>
      </c>
      <c r="C39" t="s">
        <v>51</v>
      </c>
      <c r="D39">
        <v>1</v>
      </c>
      <c r="E39">
        <v>32</v>
      </c>
      <c r="F39">
        <v>0.51</v>
      </c>
      <c r="G39">
        <f>(F39/0.6)/4</f>
        <v>0.21250000000000002</v>
      </c>
      <c r="H39">
        <f>G39*(11.5/38.29)</f>
        <v>6.3822146774614785E-2</v>
      </c>
    </row>
    <row r="40" spans="1:8" x14ac:dyDescent="0.25">
      <c r="A40" s="1">
        <v>1993</v>
      </c>
      <c r="B40" s="1" t="s">
        <v>104</v>
      </c>
      <c r="C40" t="s">
        <v>51</v>
      </c>
      <c r="D40">
        <v>1</v>
      </c>
      <c r="E40">
        <v>32</v>
      </c>
      <c r="F40">
        <v>0.06</v>
      </c>
      <c r="G40">
        <f>(F40/0.6)/4</f>
        <v>2.5000000000000001E-2</v>
      </c>
      <c r="H40">
        <f>G40*(11.5/38.29)</f>
        <v>7.5084878558370335E-3</v>
      </c>
    </row>
    <row r="41" spans="1:8" x14ac:dyDescent="0.25">
      <c r="A41" s="1">
        <v>1993</v>
      </c>
      <c r="B41" s="1" t="s">
        <v>104</v>
      </c>
      <c r="C41" t="s">
        <v>51</v>
      </c>
      <c r="D41">
        <v>1</v>
      </c>
      <c r="E41">
        <v>32</v>
      </c>
      <c r="F41">
        <v>0.06</v>
      </c>
      <c r="G41">
        <f>(F41/0.6)/4</f>
        <v>2.5000000000000001E-2</v>
      </c>
      <c r="H41">
        <f>G41*(11.5/38.29)</f>
        <v>7.5084878558370335E-3</v>
      </c>
    </row>
    <row r="42" spans="1:8" x14ac:dyDescent="0.25">
      <c r="A42" s="1">
        <v>1993</v>
      </c>
      <c r="B42" s="1" t="s">
        <v>104</v>
      </c>
      <c r="C42" t="s">
        <v>51</v>
      </c>
      <c r="D42">
        <v>1</v>
      </c>
      <c r="E42">
        <v>32</v>
      </c>
      <c r="F42">
        <v>0.08</v>
      </c>
      <c r="G42">
        <f>(F42/0.6)/4</f>
        <v>3.3333333333333333E-2</v>
      </c>
      <c r="H42">
        <f>G42*(11.5/38.29)</f>
        <v>1.0011317141116045E-2</v>
      </c>
    </row>
    <row r="43" spans="1:8" x14ac:dyDescent="0.25">
      <c r="A43" s="1">
        <v>1993</v>
      </c>
      <c r="B43" s="1" t="s">
        <v>104</v>
      </c>
      <c r="C43" t="s">
        <v>51</v>
      </c>
      <c r="D43">
        <v>1</v>
      </c>
      <c r="E43">
        <v>32</v>
      </c>
      <c r="F43">
        <v>0.09</v>
      </c>
      <c r="G43">
        <f>(F43/0.6)/4</f>
        <v>3.7499999999999999E-2</v>
      </c>
      <c r="H43">
        <f>G43*(11.5/38.29)</f>
        <v>1.126273178375555E-2</v>
      </c>
    </row>
    <row r="44" spans="1:8" x14ac:dyDescent="0.25">
      <c r="A44" s="1">
        <v>1993</v>
      </c>
      <c r="B44" s="1" t="s">
        <v>104</v>
      </c>
      <c r="C44" t="s">
        <v>51</v>
      </c>
      <c r="D44">
        <v>1</v>
      </c>
      <c r="E44">
        <v>32</v>
      </c>
      <c r="F44">
        <v>0.1</v>
      </c>
      <c r="G44">
        <f>(F44/0.6)/4</f>
        <v>4.1666666666666671E-2</v>
      </c>
      <c r="H44">
        <f>G44*(11.5/38.29)</f>
        <v>1.2514146426395057E-2</v>
      </c>
    </row>
    <row r="45" spans="1:8" x14ac:dyDescent="0.25">
      <c r="A45" s="1">
        <v>1993</v>
      </c>
      <c r="B45" s="1" t="s">
        <v>104</v>
      </c>
      <c r="C45" t="s">
        <v>51</v>
      </c>
      <c r="D45">
        <v>1</v>
      </c>
      <c r="E45">
        <v>32</v>
      </c>
      <c r="F45">
        <v>7.0000000000000007E-2</v>
      </c>
      <c r="G45">
        <f>(F45/0.6)/4</f>
        <v>2.9166666666666671E-2</v>
      </c>
      <c r="H45">
        <f>G45*(11.5/38.29)</f>
        <v>8.7599024984765395E-3</v>
      </c>
    </row>
    <row r="46" spans="1:8" x14ac:dyDescent="0.25">
      <c r="A46" s="1">
        <v>1993</v>
      </c>
      <c r="B46" s="1" t="s">
        <v>104</v>
      </c>
      <c r="C46" t="s">
        <v>51</v>
      </c>
      <c r="D46">
        <v>1</v>
      </c>
      <c r="E46">
        <v>32</v>
      </c>
      <c r="F46">
        <v>0.14000000000000001</v>
      </c>
      <c r="G46">
        <f>(F46/0.6)/4</f>
        <v>5.8333333333333341E-2</v>
      </c>
      <c r="H46">
        <f>G46*(11.5/38.29)</f>
        <v>1.7519804996953079E-2</v>
      </c>
    </row>
    <row r="47" spans="1:8" x14ac:dyDescent="0.25">
      <c r="A47" s="1">
        <v>1993</v>
      </c>
      <c r="B47" s="1" t="s">
        <v>104</v>
      </c>
      <c r="C47" t="s">
        <v>51</v>
      </c>
      <c r="D47">
        <v>1</v>
      </c>
      <c r="E47">
        <v>32</v>
      </c>
      <c r="F47">
        <v>0.06</v>
      </c>
      <c r="G47">
        <f>(F47/0.6)/4</f>
        <v>2.5000000000000001E-2</v>
      </c>
      <c r="H47">
        <f>G47*(11.5/38.29)</f>
        <v>7.5084878558370335E-3</v>
      </c>
    </row>
    <row r="48" spans="1:8" x14ac:dyDescent="0.25">
      <c r="A48" s="1">
        <v>1993</v>
      </c>
      <c r="B48" s="1" t="s">
        <v>104</v>
      </c>
      <c r="C48" t="s">
        <v>51</v>
      </c>
      <c r="D48">
        <v>1</v>
      </c>
      <c r="E48">
        <v>32</v>
      </c>
      <c r="F48">
        <v>0.09</v>
      </c>
      <c r="G48">
        <f>(F48/0.6)/4</f>
        <v>3.7499999999999999E-2</v>
      </c>
      <c r="H48">
        <f>G48*(11.5/38.29)</f>
        <v>1.126273178375555E-2</v>
      </c>
    </row>
    <row r="49" spans="1:8" x14ac:dyDescent="0.25">
      <c r="A49" s="1">
        <v>1993</v>
      </c>
      <c r="B49" s="1" t="s">
        <v>104</v>
      </c>
      <c r="C49" t="s">
        <v>51</v>
      </c>
      <c r="D49">
        <v>1</v>
      </c>
      <c r="E49">
        <v>32</v>
      </c>
      <c r="F49">
        <v>0.05</v>
      </c>
      <c r="G49">
        <f>(F49/0.6)/4</f>
        <v>2.0833333333333336E-2</v>
      </c>
      <c r="H49">
        <f>G49*(11.5/38.29)</f>
        <v>6.2570732131975284E-3</v>
      </c>
    </row>
    <row r="50" spans="1:8" x14ac:dyDescent="0.25">
      <c r="A50" s="1">
        <v>1993</v>
      </c>
      <c r="B50" s="1" t="s">
        <v>104</v>
      </c>
      <c r="C50" t="s">
        <v>51</v>
      </c>
      <c r="D50">
        <v>1</v>
      </c>
      <c r="E50">
        <v>32</v>
      </c>
      <c r="F50">
        <v>0.04</v>
      </c>
      <c r="G50">
        <f>(F50/0.6)/4</f>
        <v>1.6666666666666666E-2</v>
      </c>
      <c r="H50">
        <f>G50*(11.5/38.29)</f>
        <v>5.0056585705580223E-3</v>
      </c>
    </row>
    <row r="51" spans="1:8" x14ac:dyDescent="0.25">
      <c r="A51" s="1">
        <v>1993</v>
      </c>
      <c r="B51" s="1" t="s">
        <v>104</v>
      </c>
      <c r="C51" t="s">
        <v>51</v>
      </c>
      <c r="D51">
        <v>1</v>
      </c>
      <c r="E51">
        <v>32</v>
      </c>
      <c r="F51">
        <v>0.04</v>
      </c>
      <c r="G51">
        <f>(F51/0.6)/4</f>
        <v>1.6666666666666666E-2</v>
      </c>
      <c r="H51">
        <f>G51*(11.5/38.29)</f>
        <v>5.0056585705580223E-3</v>
      </c>
    </row>
    <row r="52" spans="1:8" x14ac:dyDescent="0.25">
      <c r="A52" s="1">
        <v>1993</v>
      </c>
      <c r="B52" s="1" t="s">
        <v>104</v>
      </c>
      <c r="C52" t="s">
        <v>51</v>
      </c>
      <c r="D52">
        <v>1</v>
      </c>
      <c r="E52">
        <v>32</v>
      </c>
      <c r="F52">
        <v>0.04</v>
      </c>
      <c r="G52">
        <f>(F52/0.6)/4</f>
        <v>1.6666666666666666E-2</v>
      </c>
      <c r="H52">
        <f>G52*(11.5/38.29)</f>
        <v>5.0056585705580223E-3</v>
      </c>
    </row>
    <row r="53" spans="1:8" x14ac:dyDescent="0.25">
      <c r="A53" s="1">
        <v>1993</v>
      </c>
      <c r="B53" s="1" t="s">
        <v>104</v>
      </c>
      <c r="C53" t="s">
        <v>51</v>
      </c>
      <c r="D53">
        <v>1</v>
      </c>
      <c r="E53">
        <v>32</v>
      </c>
      <c r="F53">
        <v>0.09</v>
      </c>
      <c r="G53">
        <f>(F53/0.6)/4</f>
        <v>3.7499999999999999E-2</v>
      </c>
      <c r="H53">
        <f>G53*(11.5/38.29)</f>
        <v>1.126273178375555E-2</v>
      </c>
    </row>
    <row r="54" spans="1:8" x14ac:dyDescent="0.25">
      <c r="A54" s="1">
        <v>1993</v>
      </c>
      <c r="B54" s="1" t="s">
        <v>104</v>
      </c>
      <c r="C54" t="s">
        <v>51</v>
      </c>
      <c r="D54">
        <v>1</v>
      </c>
      <c r="E54">
        <v>32</v>
      </c>
      <c r="F54">
        <v>0.05</v>
      </c>
      <c r="G54">
        <f>(F54/0.6)/4</f>
        <v>2.0833333333333336E-2</v>
      </c>
      <c r="H54">
        <f>G54*(11.5/38.29)</f>
        <v>6.2570732131975284E-3</v>
      </c>
    </row>
    <row r="55" spans="1:8" x14ac:dyDescent="0.25">
      <c r="A55" s="1">
        <v>1993</v>
      </c>
      <c r="B55" s="1" t="s">
        <v>104</v>
      </c>
      <c r="C55" t="s">
        <v>51</v>
      </c>
      <c r="D55">
        <v>1</v>
      </c>
      <c r="E55">
        <v>32</v>
      </c>
      <c r="F55">
        <v>0.27</v>
      </c>
      <c r="G55">
        <f>(F55/0.6)/4</f>
        <v>0.11250000000000002</v>
      </c>
      <c r="H55">
        <f>G55*(11.5/38.29)</f>
        <v>3.3788195351266655E-2</v>
      </c>
    </row>
    <row r="56" spans="1:8" x14ac:dyDescent="0.25">
      <c r="A56" s="1">
        <v>1993</v>
      </c>
      <c r="B56" s="1" t="s">
        <v>104</v>
      </c>
      <c r="C56" t="s">
        <v>51</v>
      </c>
      <c r="D56">
        <v>1</v>
      </c>
      <c r="E56">
        <v>32</v>
      </c>
      <c r="F56">
        <v>7.0000000000000007E-2</v>
      </c>
      <c r="G56">
        <f>(F56/0.6)/4</f>
        <v>2.9166666666666671E-2</v>
      </c>
      <c r="H56">
        <f>G56*(11.5/38.29)</f>
        <v>8.7599024984765395E-3</v>
      </c>
    </row>
    <row r="57" spans="1:8" x14ac:dyDescent="0.25">
      <c r="A57" s="1">
        <v>1993</v>
      </c>
      <c r="B57" s="1" t="s">
        <v>104</v>
      </c>
      <c r="C57" t="s">
        <v>51</v>
      </c>
      <c r="D57">
        <v>1</v>
      </c>
      <c r="E57">
        <v>32</v>
      </c>
      <c r="F57">
        <v>0.03</v>
      </c>
      <c r="G57">
        <f>(F57/0.6)/4</f>
        <v>1.2500000000000001E-2</v>
      </c>
      <c r="H57">
        <f>G57*(11.5/38.29)</f>
        <v>3.7542439279185168E-3</v>
      </c>
    </row>
    <row r="58" spans="1:8" x14ac:dyDescent="0.25">
      <c r="A58" s="1">
        <v>1993</v>
      </c>
      <c r="B58" s="1" t="s">
        <v>104</v>
      </c>
      <c r="C58" t="s">
        <v>51</v>
      </c>
      <c r="D58">
        <v>1</v>
      </c>
      <c r="E58">
        <v>32</v>
      </c>
      <c r="F58">
        <v>0.13</v>
      </c>
      <c r="G58">
        <f>(F58/0.6)/4</f>
        <v>5.4166666666666669E-2</v>
      </c>
      <c r="H58">
        <f>G58*(11.5/38.29)</f>
        <v>1.6268390354313572E-2</v>
      </c>
    </row>
    <row r="59" spans="1:8" x14ac:dyDescent="0.25">
      <c r="A59" s="1">
        <v>1993</v>
      </c>
      <c r="B59" s="1" t="s">
        <v>104</v>
      </c>
      <c r="C59" t="s">
        <v>51</v>
      </c>
      <c r="D59">
        <v>1</v>
      </c>
      <c r="E59">
        <v>32</v>
      </c>
      <c r="F59">
        <v>0.06</v>
      </c>
      <c r="G59">
        <f>(F59/0.6)/4</f>
        <v>2.5000000000000001E-2</v>
      </c>
      <c r="H59">
        <f>G59*(11.5/38.29)</f>
        <v>7.5084878558370335E-3</v>
      </c>
    </row>
    <row r="60" spans="1:8" x14ac:dyDescent="0.25">
      <c r="A60" s="1">
        <v>1993</v>
      </c>
      <c r="B60" s="1" t="s">
        <v>104</v>
      </c>
      <c r="C60" t="s">
        <v>51</v>
      </c>
      <c r="D60">
        <v>1</v>
      </c>
      <c r="E60">
        <v>32</v>
      </c>
      <c r="F60">
        <v>0.03</v>
      </c>
      <c r="G60">
        <f>(F60/0.6)/4</f>
        <v>1.2500000000000001E-2</v>
      </c>
      <c r="H60">
        <f>G60*(11.5/38.29)</f>
        <v>3.7542439279185168E-3</v>
      </c>
    </row>
    <row r="61" spans="1:8" x14ac:dyDescent="0.25">
      <c r="A61" s="1">
        <v>1993</v>
      </c>
      <c r="B61" s="1" t="s">
        <v>104</v>
      </c>
      <c r="C61" t="s">
        <v>51</v>
      </c>
      <c r="D61">
        <v>1</v>
      </c>
      <c r="E61">
        <v>32</v>
      </c>
      <c r="F61">
        <v>0.17</v>
      </c>
      <c r="G61">
        <f>(F61/0.6)/4</f>
        <v>7.0833333333333345E-2</v>
      </c>
      <c r="H61">
        <f>G61*(11.5/38.29)</f>
        <v>2.1274048924871596E-2</v>
      </c>
    </row>
    <row r="62" spans="1:8" x14ac:dyDescent="0.25">
      <c r="A62" s="1">
        <v>1993</v>
      </c>
      <c r="B62" s="1" t="s">
        <v>104</v>
      </c>
      <c r="C62" t="s">
        <v>51</v>
      </c>
      <c r="D62">
        <v>1</v>
      </c>
      <c r="E62">
        <v>32</v>
      </c>
      <c r="F62">
        <v>0.04</v>
      </c>
      <c r="G62">
        <f>(F62/0.6)/4</f>
        <v>1.6666666666666666E-2</v>
      </c>
      <c r="H62">
        <f>G62*(11.5/38.29)</f>
        <v>5.0056585705580223E-3</v>
      </c>
    </row>
    <row r="63" spans="1:8" x14ac:dyDescent="0.25">
      <c r="A63" s="1">
        <v>1993</v>
      </c>
      <c r="B63" s="1" t="s">
        <v>104</v>
      </c>
      <c r="C63" t="s">
        <v>51</v>
      </c>
      <c r="D63">
        <v>1</v>
      </c>
      <c r="E63">
        <v>32</v>
      </c>
      <c r="F63">
        <v>0.24</v>
      </c>
      <c r="G63">
        <f>(F63/0.6)/4</f>
        <v>0.1</v>
      </c>
      <c r="H63">
        <f>G63*(11.5/38.29)</f>
        <v>3.0033951423348134E-2</v>
      </c>
    </row>
    <row r="64" spans="1:8" x14ac:dyDescent="0.25">
      <c r="A64" s="1">
        <v>1993</v>
      </c>
      <c r="B64" s="1" t="s">
        <v>104</v>
      </c>
      <c r="C64" t="s">
        <v>51</v>
      </c>
      <c r="D64">
        <v>1</v>
      </c>
      <c r="E64">
        <v>32</v>
      </c>
      <c r="F64">
        <v>7.0000000000000007E-2</v>
      </c>
      <c r="G64">
        <f>(F64/0.6)/4</f>
        <v>2.9166666666666671E-2</v>
      </c>
      <c r="H64">
        <f>G64*(11.5/38.29)</f>
        <v>8.7599024984765395E-3</v>
      </c>
    </row>
    <row r="65" spans="1:8" x14ac:dyDescent="0.25">
      <c r="A65" s="1">
        <v>1993</v>
      </c>
      <c r="B65" s="1" t="s">
        <v>104</v>
      </c>
      <c r="C65" t="s">
        <v>51</v>
      </c>
      <c r="D65">
        <v>1</v>
      </c>
      <c r="E65">
        <v>32</v>
      </c>
      <c r="F65">
        <v>0.05</v>
      </c>
      <c r="G65">
        <f>(F65/0.6)/4</f>
        <v>2.0833333333333336E-2</v>
      </c>
      <c r="H65">
        <f>G65*(11.5/38.29)</f>
        <v>6.2570732131975284E-3</v>
      </c>
    </row>
    <row r="66" spans="1:8" x14ac:dyDescent="0.25">
      <c r="A66" s="1">
        <v>1993</v>
      </c>
      <c r="B66" s="1" t="s">
        <v>104</v>
      </c>
      <c r="C66" t="s">
        <v>51</v>
      </c>
      <c r="D66">
        <v>1</v>
      </c>
      <c r="E66">
        <v>32</v>
      </c>
      <c r="F66">
        <v>0.08</v>
      </c>
      <c r="G66">
        <f>(F66/0.6)/4</f>
        <v>3.3333333333333333E-2</v>
      </c>
      <c r="H66">
        <f>G66*(11.5/38.29)</f>
        <v>1.0011317141116045E-2</v>
      </c>
    </row>
    <row r="67" spans="1:8" x14ac:dyDescent="0.25">
      <c r="A67" s="1">
        <v>1993</v>
      </c>
      <c r="B67" s="1" t="s">
        <v>104</v>
      </c>
      <c r="C67" t="s">
        <v>51</v>
      </c>
      <c r="D67">
        <v>1</v>
      </c>
      <c r="E67">
        <v>32</v>
      </c>
      <c r="F67">
        <v>0.06</v>
      </c>
      <c r="G67">
        <f>(F67/0.6)/4</f>
        <v>2.5000000000000001E-2</v>
      </c>
      <c r="H67">
        <f>G67*(11.5/38.29)</f>
        <v>7.5084878558370335E-3</v>
      </c>
    </row>
    <row r="68" spans="1:8" x14ac:dyDescent="0.25">
      <c r="A68" s="1">
        <v>1993</v>
      </c>
      <c r="B68" s="1" t="s">
        <v>104</v>
      </c>
      <c r="C68" t="s">
        <v>51</v>
      </c>
      <c r="D68">
        <v>1</v>
      </c>
      <c r="E68">
        <v>32</v>
      </c>
      <c r="F68">
        <v>0.09</v>
      </c>
      <c r="G68">
        <f>(F68/0.6)/4</f>
        <v>3.7499999999999999E-2</v>
      </c>
      <c r="H68">
        <f>G68*(11.5/38.29)</f>
        <v>1.126273178375555E-2</v>
      </c>
    </row>
    <row r="69" spans="1:8" x14ac:dyDescent="0.25">
      <c r="A69" s="1">
        <v>1993</v>
      </c>
      <c r="B69" s="1" t="s">
        <v>104</v>
      </c>
      <c r="C69" t="s">
        <v>51</v>
      </c>
      <c r="D69">
        <v>1</v>
      </c>
      <c r="E69">
        <v>32</v>
      </c>
      <c r="F69">
        <v>0.04</v>
      </c>
      <c r="G69">
        <f>(F69/0.6)/4</f>
        <v>1.6666666666666666E-2</v>
      </c>
      <c r="H69">
        <f>G69*(11.5/38.29)</f>
        <v>5.0056585705580223E-3</v>
      </c>
    </row>
    <row r="70" spans="1:8" x14ac:dyDescent="0.25">
      <c r="A70" s="1">
        <v>1993</v>
      </c>
      <c r="B70" s="1" t="s">
        <v>104</v>
      </c>
      <c r="C70" t="s">
        <v>51</v>
      </c>
      <c r="D70">
        <v>1</v>
      </c>
      <c r="E70">
        <v>32</v>
      </c>
      <c r="F70">
        <v>0.05</v>
      </c>
      <c r="G70">
        <f>(F70/0.6)/4</f>
        <v>2.0833333333333336E-2</v>
      </c>
      <c r="H70">
        <f>G70*(11.5/38.29)</f>
        <v>6.2570732131975284E-3</v>
      </c>
    </row>
    <row r="71" spans="1:8" x14ac:dyDescent="0.25">
      <c r="A71" s="1">
        <v>1993</v>
      </c>
      <c r="B71" s="1" t="s">
        <v>104</v>
      </c>
      <c r="C71" t="s">
        <v>51</v>
      </c>
      <c r="D71">
        <v>1</v>
      </c>
      <c r="E71">
        <v>32</v>
      </c>
      <c r="F71">
        <v>0.09</v>
      </c>
      <c r="G71">
        <f>(F71/0.6)/4</f>
        <v>3.7499999999999999E-2</v>
      </c>
      <c r="H71">
        <f>G71*(11.5/38.29)</f>
        <v>1.126273178375555E-2</v>
      </c>
    </row>
    <row r="72" spans="1:8" x14ac:dyDescent="0.25">
      <c r="A72" s="1">
        <v>1993</v>
      </c>
      <c r="B72" s="1" t="s">
        <v>104</v>
      </c>
      <c r="C72" t="s">
        <v>51</v>
      </c>
      <c r="D72">
        <v>1</v>
      </c>
      <c r="E72">
        <v>32</v>
      </c>
      <c r="F72">
        <v>0.1</v>
      </c>
      <c r="G72">
        <f>(F72/0.6)/4</f>
        <v>4.1666666666666671E-2</v>
      </c>
      <c r="H72">
        <f>G72*(11.5/38.29)</f>
        <v>1.2514146426395057E-2</v>
      </c>
    </row>
    <row r="73" spans="1:8" x14ac:dyDescent="0.25">
      <c r="A73" s="1">
        <v>1993</v>
      </c>
      <c r="B73" s="1" t="s">
        <v>104</v>
      </c>
      <c r="C73" t="s">
        <v>51</v>
      </c>
      <c r="D73">
        <v>1</v>
      </c>
      <c r="E73">
        <v>32</v>
      </c>
      <c r="F73">
        <v>0.08</v>
      </c>
      <c r="G73">
        <f>(F73/0.6)/4</f>
        <v>3.3333333333333333E-2</v>
      </c>
      <c r="H73">
        <f>G73*(11.5/38.29)</f>
        <v>1.0011317141116045E-2</v>
      </c>
    </row>
    <row r="74" spans="1:8" x14ac:dyDescent="0.25">
      <c r="A74" s="1">
        <v>1993</v>
      </c>
      <c r="B74" s="1" t="s">
        <v>104</v>
      </c>
      <c r="C74" t="s">
        <v>51</v>
      </c>
      <c r="D74">
        <v>1</v>
      </c>
      <c r="E74">
        <v>32</v>
      </c>
      <c r="F74">
        <v>0.14000000000000001</v>
      </c>
      <c r="G74">
        <f>(F74/0.6)/4</f>
        <v>5.8333333333333341E-2</v>
      </c>
      <c r="H74">
        <f>G74*(11.5/38.29)</f>
        <v>1.7519804996953079E-2</v>
      </c>
    </row>
    <row r="75" spans="1:8" x14ac:dyDescent="0.25">
      <c r="A75" s="1">
        <v>1993</v>
      </c>
      <c r="B75" s="1" t="s">
        <v>104</v>
      </c>
      <c r="C75" t="s">
        <v>51</v>
      </c>
      <c r="D75">
        <v>1</v>
      </c>
      <c r="E75">
        <v>32</v>
      </c>
      <c r="F75">
        <v>0.17</v>
      </c>
      <c r="G75">
        <f>(F75/0.6)/4</f>
        <v>7.0833333333333345E-2</v>
      </c>
      <c r="H75">
        <f>G75*(11.5/38.29)</f>
        <v>2.1274048924871596E-2</v>
      </c>
    </row>
    <row r="76" spans="1:8" x14ac:dyDescent="0.25">
      <c r="A76" s="1">
        <v>1993</v>
      </c>
      <c r="B76" s="1" t="s">
        <v>104</v>
      </c>
      <c r="C76" t="s">
        <v>51</v>
      </c>
      <c r="D76">
        <v>1</v>
      </c>
      <c r="E76">
        <v>32</v>
      </c>
      <c r="F76">
        <v>0.06</v>
      </c>
      <c r="G76">
        <f>(F76/0.6)/4</f>
        <v>2.5000000000000001E-2</v>
      </c>
      <c r="H76">
        <f>G76*(11.5/38.29)</f>
        <v>7.5084878558370335E-3</v>
      </c>
    </row>
    <row r="77" spans="1:8" x14ac:dyDescent="0.25">
      <c r="A77" s="1">
        <v>1993</v>
      </c>
      <c r="B77" s="1" t="s">
        <v>104</v>
      </c>
      <c r="C77" t="s">
        <v>51</v>
      </c>
      <c r="D77">
        <v>1</v>
      </c>
      <c r="E77">
        <v>32</v>
      </c>
      <c r="F77">
        <v>7.0000000000000007E-2</v>
      </c>
      <c r="G77">
        <f>(F77/0.6)/4</f>
        <v>2.9166666666666671E-2</v>
      </c>
      <c r="H77">
        <f>G77*(11.5/38.29)</f>
        <v>8.7599024984765395E-3</v>
      </c>
    </row>
    <row r="78" spans="1:8" x14ac:dyDescent="0.25">
      <c r="A78" s="1">
        <v>1993</v>
      </c>
      <c r="B78" s="1" t="s">
        <v>104</v>
      </c>
      <c r="C78" t="s">
        <v>51</v>
      </c>
      <c r="D78">
        <v>1</v>
      </c>
      <c r="E78">
        <v>32</v>
      </c>
      <c r="F78">
        <v>7.0000000000000007E-2</v>
      </c>
      <c r="G78">
        <f>(F78/0.6)/4</f>
        <v>2.9166666666666671E-2</v>
      </c>
      <c r="H78">
        <f>G78*(11.5/38.29)</f>
        <v>8.7599024984765395E-3</v>
      </c>
    </row>
    <row r="79" spans="1:8" x14ac:dyDescent="0.25">
      <c r="A79" s="1">
        <v>1993</v>
      </c>
      <c r="B79" s="1" t="s">
        <v>104</v>
      </c>
      <c r="C79" t="s">
        <v>51</v>
      </c>
      <c r="D79">
        <v>1</v>
      </c>
      <c r="E79">
        <v>32</v>
      </c>
      <c r="F79">
        <v>0.05</v>
      </c>
      <c r="G79">
        <f>(F79/0.6)/4</f>
        <v>2.0833333333333336E-2</v>
      </c>
      <c r="H79">
        <f>G79*(11.5/38.29)</f>
        <v>6.2570732131975284E-3</v>
      </c>
    </row>
    <row r="80" spans="1:8" x14ac:dyDescent="0.25">
      <c r="A80" s="1">
        <v>1993</v>
      </c>
      <c r="B80" s="1" t="s">
        <v>104</v>
      </c>
      <c r="C80" t="s">
        <v>51</v>
      </c>
      <c r="D80">
        <v>1</v>
      </c>
      <c r="E80">
        <v>32</v>
      </c>
      <c r="F80">
        <v>7.0000000000000007E-2</v>
      </c>
      <c r="G80">
        <f>(F80/0.6)/4</f>
        <v>2.9166666666666671E-2</v>
      </c>
      <c r="H80">
        <f>G80*(11.5/38.29)</f>
        <v>8.7599024984765395E-3</v>
      </c>
    </row>
    <row r="81" spans="1:8" x14ac:dyDescent="0.25">
      <c r="A81" s="1">
        <v>1993</v>
      </c>
      <c r="B81" s="1" t="s">
        <v>104</v>
      </c>
      <c r="C81" t="s">
        <v>51</v>
      </c>
      <c r="D81">
        <v>1</v>
      </c>
      <c r="E81">
        <v>32</v>
      </c>
      <c r="F81">
        <v>0.04</v>
      </c>
      <c r="G81">
        <f>(F81/0.6)/4</f>
        <v>1.6666666666666666E-2</v>
      </c>
      <c r="H81">
        <f>G81*(11.5/38.29)</f>
        <v>5.0056585705580223E-3</v>
      </c>
    </row>
    <row r="82" spans="1:8" x14ac:dyDescent="0.25">
      <c r="A82" s="1">
        <v>1993</v>
      </c>
      <c r="B82" s="1" t="s">
        <v>104</v>
      </c>
      <c r="C82" t="s">
        <v>51</v>
      </c>
      <c r="D82">
        <v>1</v>
      </c>
      <c r="E82">
        <v>32</v>
      </c>
      <c r="F82">
        <v>7.0000000000000007E-2</v>
      </c>
      <c r="G82">
        <f>(F82/0.6)/4</f>
        <v>2.9166666666666671E-2</v>
      </c>
      <c r="H82">
        <f>G82*(11.5/38.29)</f>
        <v>8.7599024984765395E-3</v>
      </c>
    </row>
    <row r="83" spans="1:8" x14ac:dyDescent="0.25">
      <c r="A83" s="1">
        <v>1993</v>
      </c>
      <c r="B83" s="1" t="s">
        <v>104</v>
      </c>
      <c r="C83" t="s">
        <v>51</v>
      </c>
      <c r="D83">
        <v>1</v>
      </c>
      <c r="E83">
        <v>32</v>
      </c>
      <c r="F83">
        <v>7.0000000000000007E-2</v>
      </c>
      <c r="G83">
        <f>(F83/0.6)/4</f>
        <v>2.9166666666666671E-2</v>
      </c>
      <c r="H83">
        <f>G83*(11.5/38.29)</f>
        <v>8.7599024984765395E-3</v>
      </c>
    </row>
    <row r="84" spans="1:8" x14ac:dyDescent="0.25">
      <c r="A84" s="1">
        <v>1993</v>
      </c>
      <c r="B84" s="1" t="s">
        <v>104</v>
      </c>
      <c r="C84" t="s">
        <v>51</v>
      </c>
      <c r="D84">
        <v>1</v>
      </c>
      <c r="E84">
        <v>32</v>
      </c>
      <c r="F84">
        <v>0.04</v>
      </c>
      <c r="G84">
        <f>(F84/0.6)/4</f>
        <v>1.6666666666666666E-2</v>
      </c>
      <c r="H84">
        <f>G84*(11.5/38.29)</f>
        <v>5.0056585705580223E-3</v>
      </c>
    </row>
    <row r="85" spans="1:8" x14ac:dyDescent="0.25">
      <c r="A85" s="1">
        <v>1993</v>
      </c>
      <c r="B85" s="1" t="s">
        <v>104</v>
      </c>
      <c r="C85" t="s">
        <v>51</v>
      </c>
      <c r="D85">
        <v>1</v>
      </c>
      <c r="E85">
        <v>32</v>
      </c>
      <c r="F85">
        <v>0.16</v>
      </c>
      <c r="G85">
        <f>(F85/0.6)/4</f>
        <v>6.6666666666666666E-2</v>
      </c>
      <c r="H85">
        <f>G85*(11.5/38.29)</f>
        <v>2.0022634282232089E-2</v>
      </c>
    </row>
    <row r="86" spans="1:8" x14ac:dyDescent="0.25">
      <c r="A86" s="1">
        <v>1993</v>
      </c>
      <c r="B86" s="1" t="s">
        <v>104</v>
      </c>
      <c r="C86" t="s">
        <v>51</v>
      </c>
      <c r="D86">
        <v>1</v>
      </c>
      <c r="E86">
        <v>32</v>
      </c>
      <c r="F86">
        <v>0.26</v>
      </c>
      <c r="G86">
        <f>(F86/0.6)/4</f>
        <v>0.10833333333333334</v>
      </c>
      <c r="H86">
        <f>G86*(11.5/38.29)</f>
        <v>3.2536780708627144E-2</v>
      </c>
    </row>
    <row r="87" spans="1:8" x14ac:dyDescent="0.25">
      <c r="A87" s="1">
        <v>1993</v>
      </c>
      <c r="B87" s="1" t="s">
        <v>104</v>
      </c>
      <c r="C87" t="s">
        <v>51</v>
      </c>
      <c r="D87">
        <v>1</v>
      </c>
      <c r="E87">
        <v>32</v>
      </c>
      <c r="F87">
        <v>0.04</v>
      </c>
      <c r="G87">
        <f>(F87/0.6)/4</f>
        <v>1.6666666666666666E-2</v>
      </c>
      <c r="H87">
        <f>G87*(11.5/38.29)</f>
        <v>5.0056585705580223E-3</v>
      </c>
    </row>
    <row r="88" spans="1:8" x14ac:dyDescent="0.25">
      <c r="A88" s="1">
        <v>1993</v>
      </c>
      <c r="B88" s="1" t="s">
        <v>104</v>
      </c>
      <c r="C88" t="s">
        <v>51</v>
      </c>
      <c r="D88">
        <v>1</v>
      </c>
      <c r="E88">
        <v>32</v>
      </c>
      <c r="F88">
        <v>0.13</v>
      </c>
      <c r="G88">
        <f>(F88/0.6)/4</f>
        <v>5.4166666666666669E-2</v>
      </c>
      <c r="H88">
        <f>G88*(11.5/38.29)</f>
        <v>1.6268390354313572E-2</v>
      </c>
    </row>
    <row r="89" spans="1:8" x14ac:dyDescent="0.25">
      <c r="A89" s="1">
        <v>1993</v>
      </c>
      <c r="B89" s="1" t="s">
        <v>104</v>
      </c>
      <c r="C89" t="s">
        <v>51</v>
      </c>
      <c r="D89">
        <v>1</v>
      </c>
      <c r="E89">
        <v>32</v>
      </c>
      <c r="F89">
        <v>0.1</v>
      </c>
      <c r="G89">
        <f>(F89/0.6)/4</f>
        <v>4.1666666666666671E-2</v>
      </c>
      <c r="H89">
        <f>G89*(11.5/38.29)</f>
        <v>1.2514146426395057E-2</v>
      </c>
    </row>
    <row r="90" spans="1:8" x14ac:dyDescent="0.25">
      <c r="A90" s="1">
        <v>1993</v>
      </c>
      <c r="B90" s="1" t="s">
        <v>104</v>
      </c>
      <c r="C90" t="s">
        <v>51</v>
      </c>
      <c r="D90">
        <v>1</v>
      </c>
      <c r="E90">
        <v>32</v>
      </c>
      <c r="F90">
        <v>0.14000000000000001</v>
      </c>
      <c r="G90">
        <f>(F90/0.6)/4</f>
        <v>5.8333333333333341E-2</v>
      </c>
      <c r="H90">
        <f>G90*(11.5/38.29)</f>
        <v>1.7519804996953079E-2</v>
      </c>
    </row>
    <row r="91" spans="1:8" x14ac:dyDescent="0.25">
      <c r="A91" s="1">
        <v>1993</v>
      </c>
      <c r="B91" s="1" t="s">
        <v>104</v>
      </c>
      <c r="C91" t="s">
        <v>51</v>
      </c>
      <c r="D91">
        <v>1</v>
      </c>
      <c r="E91">
        <v>32</v>
      </c>
      <c r="F91">
        <v>0.26</v>
      </c>
      <c r="G91">
        <f>(F91/0.6)/4</f>
        <v>0.10833333333333334</v>
      </c>
      <c r="H91">
        <f>G91*(11.5/38.29)</f>
        <v>3.2536780708627144E-2</v>
      </c>
    </row>
    <row r="92" spans="1:8" x14ac:dyDescent="0.25">
      <c r="A92" s="1">
        <v>1993</v>
      </c>
      <c r="B92" s="1" t="s">
        <v>104</v>
      </c>
      <c r="C92" t="s">
        <v>51</v>
      </c>
      <c r="D92">
        <v>1</v>
      </c>
      <c r="E92">
        <v>34</v>
      </c>
      <c r="F92">
        <v>0.53</v>
      </c>
      <c r="G92">
        <f>(F92/0.6)/4</f>
        <v>0.22083333333333335</v>
      </c>
      <c r="H92">
        <f>G92*(11.5/38.29)</f>
        <v>6.6324976059893792E-2</v>
      </c>
    </row>
    <row r="93" spans="1:8" x14ac:dyDescent="0.25">
      <c r="A93" s="1">
        <v>1993</v>
      </c>
      <c r="B93" s="1" t="s">
        <v>104</v>
      </c>
      <c r="C93" t="s">
        <v>51</v>
      </c>
      <c r="D93">
        <v>1</v>
      </c>
      <c r="E93">
        <v>34</v>
      </c>
      <c r="F93">
        <v>0.67</v>
      </c>
      <c r="G93">
        <f>(F93/0.6)/4</f>
        <v>0.27916666666666667</v>
      </c>
      <c r="H93">
        <f>G93*(11.5/38.29)</f>
        <v>8.3844781056846868E-2</v>
      </c>
    </row>
    <row r="94" spans="1:8" x14ac:dyDescent="0.25">
      <c r="A94" s="1">
        <v>1993</v>
      </c>
      <c r="B94" s="1" t="s">
        <v>104</v>
      </c>
      <c r="C94" t="s">
        <v>51</v>
      </c>
      <c r="D94">
        <v>1</v>
      </c>
      <c r="E94">
        <v>34</v>
      </c>
      <c r="F94">
        <v>1.31</v>
      </c>
      <c r="G94">
        <f>(F94/0.6)/4</f>
        <v>0.54583333333333339</v>
      </c>
      <c r="H94">
        <f>G94*(11.5/38.29)</f>
        <v>0.16393531818577523</v>
      </c>
    </row>
    <row r="95" spans="1:8" x14ac:dyDescent="0.25">
      <c r="A95" s="1">
        <v>1993</v>
      </c>
      <c r="B95" s="1" t="s">
        <v>104</v>
      </c>
      <c r="C95" t="s">
        <v>51</v>
      </c>
      <c r="D95">
        <v>1</v>
      </c>
      <c r="E95">
        <v>34</v>
      </c>
      <c r="F95">
        <v>0.32</v>
      </c>
      <c r="G95">
        <f>(F95/0.6)/4</f>
        <v>0.13333333333333333</v>
      </c>
      <c r="H95">
        <f>G95*(11.5/38.29)</f>
        <v>4.0045268564464179E-2</v>
      </c>
    </row>
    <row r="96" spans="1:8" x14ac:dyDescent="0.25">
      <c r="A96" s="1">
        <v>1993</v>
      </c>
      <c r="B96" s="1" t="s">
        <v>104</v>
      </c>
      <c r="C96" t="s">
        <v>51</v>
      </c>
      <c r="D96">
        <v>1</v>
      </c>
      <c r="E96">
        <v>38</v>
      </c>
      <c r="F96">
        <v>0.28000000000000003</v>
      </c>
      <c r="G96">
        <f>(F96/0.6)/4</f>
        <v>0.11666666666666668</v>
      </c>
      <c r="H96">
        <f>G96*(11.5/38.29)</f>
        <v>3.5039609993906158E-2</v>
      </c>
    </row>
    <row r="97" spans="1:8" x14ac:dyDescent="0.25">
      <c r="A97" s="1">
        <v>1993</v>
      </c>
      <c r="B97" s="1" t="s">
        <v>104</v>
      </c>
      <c r="C97" t="s">
        <v>51</v>
      </c>
      <c r="D97">
        <v>1</v>
      </c>
      <c r="E97">
        <v>38</v>
      </c>
      <c r="F97">
        <v>0.43</v>
      </c>
      <c r="G97">
        <f>(F97/0.6)/4</f>
        <v>0.17916666666666667</v>
      </c>
      <c r="H97">
        <f>G97*(11.5/38.29)</f>
        <v>5.3810829633498737E-2</v>
      </c>
    </row>
    <row r="98" spans="1:8" x14ac:dyDescent="0.25">
      <c r="A98" s="1">
        <v>1993</v>
      </c>
      <c r="B98" s="1" t="s">
        <v>104</v>
      </c>
      <c r="C98" t="s">
        <v>51</v>
      </c>
      <c r="D98">
        <v>1</v>
      </c>
      <c r="E98">
        <v>38</v>
      </c>
      <c r="F98">
        <v>0.47</v>
      </c>
      <c r="G98">
        <f>(F98/0.6)/4</f>
        <v>0.19583333333333333</v>
      </c>
      <c r="H98">
        <f>G98*(11.5/38.29)</f>
        <v>5.8816488204056758E-2</v>
      </c>
    </row>
    <row r="99" spans="1:8" x14ac:dyDescent="0.25">
      <c r="A99" s="1">
        <v>1993</v>
      </c>
      <c r="B99" s="1" t="s">
        <v>104</v>
      </c>
      <c r="C99" t="s">
        <v>51</v>
      </c>
      <c r="D99">
        <v>1</v>
      </c>
      <c r="E99">
        <v>38</v>
      </c>
      <c r="F99">
        <v>0.91</v>
      </c>
      <c r="G99">
        <f>(F99/0.6)/4</f>
        <v>0.37916666666666671</v>
      </c>
      <c r="H99">
        <f>G99*(11.5/38.29)</f>
        <v>0.11387873248019502</v>
      </c>
    </row>
    <row r="100" spans="1:8" x14ac:dyDescent="0.25">
      <c r="A100" s="1">
        <v>1993</v>
      </c>
      <c r="B100" s="1" t="s">
        <v>104</v>
      </c>
      <c r="C100" t="s">
        <v>51</v>
      </c>
      <c r="D100">
        <v>1</v>
      </c>
      <c r="E100">
        <v>38</v>
      </c>
      <c r="F100">
        <v>0.8</v>
      </c>
      <c r="G100">
        <f>(F100/0.6)/4</f>
        <v>0.33333333333333337</v>
      </c>
      <c r="H100">
        <f>G100*(11.5/38.29)</f>
        <v>0.10011317141116045</v>
      </c>
    </row>
    <row r="101" spans="1:8" x14ac:dyDescent="0.25">
      <c r="A101" s="1">
        <v>1993</v>
      </c>
      <c r="B101" s="1" t="s">
        <v>104</v>
      </c>
      <c r="C101" t="s">
        <v>51</v>
      </c>
      <c r="D101">
        <v>1</v>
      </c>
      <c r="E101">
        <v>38</v>
      </c>
      <c r="F101">
        <v>0.67</v>
      </c>
      <c r="G101">
        <f>(F101/0.6)/4</f>
        <v>0.27916666666666667</v>
      </c>
      <c r="H101">
        <f>G101*(11.5/38.29)</f>
        <v>8.3844781056846868E-2</v>
      </c>
    </row>
    <row r="102" spans="1:8" x14ac:dyDescent="0.25">
      <c r="A102" s="1">
        <v>1993</v>
      </c>
      <c r="B102" s="1" t="s">
        <v>104</v>
      </c>
      <c r="C102" t="s">
        <v>51</v>
      </c>
      <c r="D102">
        <v>1</v>
      </c>
      <c r="E102">
        <v>38</v>
      </c>
      <c r="F102">
        <v>1.47</v>
      </c>
      <c r="G102">
        <f>(F102/0.6)/4</f>
        <v>0.61250000000000004</v>
      </c>
      <c r="H102">
        <f>G102*(11.5/38.29)</f>
        <v>0.18395795246800734</v>
      </c>
    </row>
    <row r="103" spans="1:8" x14ac:dyDescent="0.25">
      <c r="A103" s="1">
        <v>1993</v>
      </c>
      <c r="B103" s="1" t="s">
        <v>104</v>
      </c>
      <c r="C103" t="s">
        <v>51</v>
      </c>
      <c r="D103">
        <v>1</v>
      </c>
      <c r="E103">
        <v>38</v>
      </c>
      <c r="F103">
        <v>0.76</v>
      </c>
      <c r="G103">
        <f>(F103/0.6)/4</f>
        <v>0.31666666666666671</v>
      </c>
      <c r="H103">
        <f>G103*(11.5/38.29)</f>
        <v>9.5107512840602426E-2</v>
      </c>
    </row>
    <row r="104" spans="1:8" x14ac:dyDescent="0.25">
      <c r="A104" s="1">
        <v>1993</v>
      </c>
      <c r="B104" s="1" t="s">
        <v>104</v>
      </c>
      <c r="C104" t="s">
        <v>51</v>
      </c>
      <c r="D104">
        <v>1</v>
      </c>
      <c r="E104">
        <v>38</v>
      </c>
      <c r="F104">
        <v>0.95</v>
      </c>
      <c r="G104">
        <f>(F104/0.6)/4</f>
        <v>0.39583333333333331</v>
      </c>
      <c r="H104">
        <f>G104*(11.5/38.29)</f>
        <v>0.11888439105075302</v>
      </c>
    </row>
    <row r="105" spans="1:8" x14ac:dyDescent="0.25">
      <c r="A105" s="1">
        <v>1993</v>
      </c>
      <c r="B105" s="1" t="s">
        <v>104</v>
      </c>
      <c r="C105" t="s">
        <v>51</v>
      </c>
      <c r="D105">
        <v>1</v>
      </c>
      <c r="E105">
        <v>38</v>
      </c>
      <c r="F105">
        <v>0.75</v>
      </c>
      <c r="G105">
        <f>(F105/0.6)/4</f>
        <v>0.3125</v>
      </c>
      <c r="H105">
        <f>G105*(11.5/38.29)</f>
        <v>9.3856098197962909E-2</v>
      </c>
    </row>
    <row r="106" spans="1:8" x14ac:dyDescent="0.25">
      <c r="A106" s="1">
        <v>1993</v>
      </c>
      <c r="B106" s="1" t="s">
        <v>104</v>
      </c>
      <c r="C106" t="s">
        <v>51</v>
      </c>
      <c r="D106">
        <v>1</v>
      </c>
      <c r="E106">
        <v>38</v>
      </c>
      <c r="F106">
        <v>0.2</v>
      </c>
      <c r="G106">
        <f>(F106/0.6)/4</f>
        <v>8.3333333333333343E-2</v>
      </c>
      <c r="H106">
        <f>G106*(11.5/38.29)</f>
        <v>2.5028292852790113E-2</v>
      </c>
    </row>
    <row r="107" spans="1:8" x14ac:dyDescent="0.25">
      <c r="A107" s="1">
        <v>1993</v>
      </c>
      <c r="B107" s="1" t="s">
        <v>104</v>
      </c>
      <c r="C107" t="s">
        <v>51</v>
      </c>
      <c r="D107">
        <v>1</v>
      </c>
      <c r="E107">
        <v>38</v>
      </c>
      <c r="F107">
        <v>1.18</v>
      </c>
      <c r="G107">
        <f>(F107/0.6)/4</f>
        <v>0.49166666666666664</v>
      </c>
      <c r="H107">
        <f>G107*(11.5/38.29)</f>
        <v>0.14766692783146165</v>
      </c>
    </row>
    <row r="108" spans="1:8" x14ac:dyDescent="0.25">
      <c r="A108" s="1">
        <v>1993</v>
      </c>
      <c r="B108" s="1" t="s">
        <v>104</v>
      </c>
      <c r="C108" t="s">
        <v>51</v>
      </c>
      <c r="D108">
        <v>1</v>
      </c>
      <c r="E108">
        <v>38</v>
      </c>
      <c r="F108">
        <v>0.73</v>
      </c>
      <c r="G108">
        <f>(F108/0.6)/4</f>
        <v>0.3041666666666667</v>
      </c>
      <c r="H108">
        <f>G108*(11.5/38.29)</f>
        <v>9.1353268912683916E-2</v>
      </c>
    </row>
    <row r="109" spans="1:8" x14ac:dyDescent="0.25">
      <c r="A109" s="1">
        <v>1993</v>
      </c>
      <c r="B109" s="1" t="s">
        <v>104</v>
      </c>
      <c r="C109" t="s">
        <v>51</v>
      </c>
      <c r="D109">
        <v>1</v>
      </c>
      <c r="E109">
        <v>38</v>
      </c>
      <c r="F109">
        <v>0.36</v>
      </c>
      <c r="G109">
        <f>(F109/0.6)/4</f>
        <v>0.15</v>
      </c>
      <c r="H109">
        <f>G109*(11.5/38.29)</f>
        <v>4.5050927135022199E-2</v>
      </c>
    </row>
    <row r="110" spans="1:8" x14ac:dyDescent="0.25">
      <c r="A110" s="1">
        <v>1993</v>
      </c>
      <c r="B110" s="1" t="s">
        <v>104</v>
      </c>
      <c r="C110" t="s">
        <v>51</v>
      </c>
      <c r="D110">
        <v>1</v>
      </c>
      <c r="E110">
        <v>38</v>
      </c>
      <c r="F110">
        <v>0.22</v>
      </c>
      <c r="G110">
        <f>(F110/0.6)/4</f>
        <v>9.1666666666666674E-2</v>
      </c>
      <c r="H110">
        <f>G110*(11.5/38.29)</f>
        <v>2.7531122138069124E-2</v>
      </c>
    </row>
    <row r="111" spans="1:8" x14ac:dyDescent="0.25">
      <c r="A111" s="1">
        <v>1993</v>
      </c>
      <c r="B111" s="1" t="s">
        <v>104</v>
      </c>
      <c r="C111" t="s">
        <v>51</v>
      </c>
      <c r="D111">
        <v>1</v>
      </c>
      <c r="E111">
        <v>38</v>
      </c>
      <c r="F111">
        <v>0.28000000000000003</v>
      </c>
      <c r="G111">
        <f>(F111/0.6)/4</f>
        <v>0.11666666666666668</v>
      </c>
      <c r="H111">
        <f>G111*(11.5/38.29)</f>
        <v>3.5039609993906158E-2</v>
      </c>
    </row>
    <row r="112" spans="1:8" x14ac:dyDescent="0.25">
      <c r="A112" s="1">
        <v>1993</v>
      </c>
      <c r="B112" s="1" t="s">
        <v>104</v>
      </c>
      <c r="C112" t="s">
        <v>51</v>
      </c>
      <c r="D112">
        <v>1</v>
      </c>
      <c r="E112">
        <v>38</v>
      </c>
      <c r="F112">
        <v>0.18</v>
      </c>
      <c r="G112">
        <f>(F112/0.6)/4</f>
        <v>7.4999999999999997E-2</v>
      </c>
      <c r="H112">
        <f>G112*(11.5/38.29)</f>
        <v>2.25254635675111E-2</v>
      </c>
    </row>
    <row r="113" spans="1:8" x14ac:dyDescent="0.25">
      <c r="A113" s="1">
        <v>1993</v>
      </c>
      <c r="B113" s="1" t="s">
        <v>104</v>
      </c>
      <c r="C113" t="s">
        <v>51</v>
      </c>
      <c r="D113">
        <v>1</v>
      </c>
      <c r="E113">
        <v>38</v>
      </c>
      <c r="F113">
        <v>0.72</v>
      </c>
      <c r="G113">
        <f>(F113/0.6)/4</f>
        <v>0.3</v>
      </c>
      <c r="H113">
        <f>G113*(11.5/38.29)</f>
        <v>9.0101854270044399E-2</v>
      </c>
    </row>
    <row r="114" spans="1:8" x14ac:dyDescent="0.25">
      <c r="A114" s="1">
        <v>1993</v>
      </c>
      <c r="B114" s="1" t="s">
        <v>104</v>
      </c>
      <c r="C114" t="s">
        <v>51</v>
      </c>
      <c r="D114">
        <v>1</v>
      </c>
      <c r="E114">
        <v>38</v>
      </c>
      <c r="F114">
        <v>0.42</v>
      </c>
      <c r="G114">
        <f>(F114/0.6)/4</f>
        <v>0.17499999999999999</v>
      </c>
      <c r="H114">
        <f>G114*(11.5/38.29)</f>
        <v>5.2559414990859227E-2</v>
      </c>
    </row>
    <row r="115" spans="1:8" x14ac:dyDescent="0.25">
      <c r="A115" s="1">
        <v>1993</v>
      </c>
      <c r="B115" s="1" t="s">
        <v>104</v>
      </c>
      <c r="C115" t="s">
        <v>51</v>
      </c>
      <c r="D115">
        <v>1</v>
      </c>
      <c r="E115">
        <v>38</v>
      </c>
      <c r="F115">
        <v>1.59</v>
      </c>
      <c r="G115">
        <f>(F115/0.6)/4</f>
        <v>0.66250000000000009</v>
      </c>
      <c r="H115">
        <f>G115*(11.5/38.29)</f>
        <v>0.1989749281796814</v>
      </c>
    </row>
    <row r="116" spans="1:8" x14ac:dyDescent="0.25">
      <c r="A116" s="1">
        <v>1993</v>
      </c>
      <c r="B116" s="1" t="s">
        <v>104</v>
      </c>
      <c r="C116" t="s">
        <v>51</v>
      </c>
      <c r="D116">
        <v>1</v>
      </c>
      <c r="E116">
        <v>40</v>
      </c>
      <c r="F116">
        <v>0.47</v>
      </c>
      <c r="G116">
        <f>(F116/0.6)/4</f>
        <v>0.19583333333333333</v>
      </c>
      <c r="H116">
        <f>G116*(11.5/38.29)</f>
        <v>5.8816488204056758E-2</v>
      </c>
    </row>
    <row r="117" spans="1:8" x14ac:dyDescent="0.25">
      <c r="A117" s="1">
        <v>1993</v>
      </c>
      <c r="B117" s="1" t="s">
        <v>104</v>
      </c>
      <c r="C117" t="s">
        <v>51</v>
      </c>
      <c r="D117">
        <v>1</v>
      </c>
      <c r="E117">
        <v>40</v>
      </c>
      <c r="F117">
        <v>0.25</v>
      </c>
      <c r="G117">
        <f>(F117/0.6)/4</f>
        <v>0.10416666666666667</v>
      </c>
      <c r="H117">
        <f>G117*(11.5/38.29)</f>
        <v>3.1285366065987641E-2</v>
      </c>
    </row>
    <row r="118" spans="1:8" x14ac:dyDescent="0.25">
      <c r="A118" s="1">
        <v>1993</v>
      </c>
      <c r="B118" s="1" t="s">
        <v>104</v>
      </c>
      <c r="C118" t="s">
        <v>51</v>
      </c>
      <c r="D118">
        <v>1</v>
      </c>
      <c r="E118">
        <v>40</v>
      </c>
      <c r="F118">
        <v>1.85</v>
      </c>
      <c r="G118">
        <f>(F118/0.6)/4</f>
        <v>0.77083333333333337</v>
      </c>
      <c r="H118">
        <f>G118*(11.5/38.29)</f>
        <v>0.23151170888830852</v>
      </c>
    </row>
    <row r="119" spans="1:8" x14ac:dyDescent="0.25">
      <c r="A119" s="1">
        <v>1993</v>
      </c>
      <c r="B119" s="1" t="s">
        <v>104</v>
      </c>
      <c r="C119" t="s">
        <v>51</v>
      </c>
      <c r="D119">
        <v>1</v>
      </c>
      <c r="E119">
        <v>40</v>
      </c>
      <c r="F119">
        <v>1.58</v>
      </c>
      <c r="G119">
        <f>(F119/0.6)/4</f>
        <v>0.65833333333333344</v>
      </c>
      <c r="H119">
        <f>G119*(11.5/38.29)</f>
        <v>0.1977235135370419</v>
      </c>
    </row>
    <row r="120" spans="1:8" x14ac:dyDescent="0.25">
      <c r="A120" s="1">
        <v>1993</v>
      </c>
      <c r="B120" s="1" t="s">
        <v>104</v>
      </c>
      <c r="C120" t="s">
        <v>51</v>
      </c>
      <c r="D120">
        <v>1</v>
      </c>
      <c r="E120">
        <v>40</v>
      </c>
      <c r="F120">
        <v>1.01</v>
      </c>
      <c r="G120">
        <f>(F120/0.6)/4</f>
        <v>0.42083333333333334</v>
      </c>
      <c r="H120">
        <f>G120*(11.5/38.29)</f>
        <v>0.12639287890659007</v>
      </c>
    </row>
    <row r="121" spans="1:8" x14ac:dyDescent="0.25">
      <c r="A121" s="1">
        <v>1993</v>
      </c>
      <c r="B121" s="1" t="s">
        <v>104</v>
      </c>
      <c r="C121" t="s">
        <v>51</v>
      </c>
      <c r="D121">
        <v>1</v>
      </c>
      <c r="E121">
        <v>40</v>
      </c>
      <c r="F121">
        <v>1.08</v>
      </c>
      <c r="G121">
        <f>(F121/0.6)/4</f>
        <v>0.45000000000000007</v>
      </c>
      <c r="H121">
        <f>G121*(11.5/38.29)</f>
        <v>0.13515278140506662</v>
      </c>
    </row>
    <row r="122" spans="1:8" x14ac:dyDescent="0.25">
      <c r="A122" s="1">
        <v>1993</v>
      </c>
      <c r="B122" s="1" t="s">
        <v>104</v>
      </c>
      <c r="C122" t="s">
        <v>51</v>
      </c>
      <c r="D122">
        <v>1</v>
      </c>
      <c r="E122">
        <v>40</v>
      </c>
      <c r="F122">
        <v>1.48</v>
      </c>
      <c r="G122">
        <f>(F122/0.6)/4</f>
        <v>0.6166666666666667</v>
      </c>
      <c r="H122">
        <f>G122*(11.5/38.29)</f>
        <v>0.18520936711064681</v>
      </c>
    </row>
    <row r="123" spans="1:8" x14ac:dyDescent="0.25">
      <c r="A123" s="1">
        <v>1993</v>
      </c>
      <c r="B123" s="1" t="s">
        <v>104</v>
      </c>
      <c r="C123" t="s">
        <v>51</v>
      </c>
      <c r="D123">
        <v>1</v>
      </c>
      <c r="E123">
        <v>40</v>
      </c>
      <c r="F123">
        <v>1.1200000000000001</v>
      </c>
      <c r="G123">
        <f>(F123/0.6)/4</f>
        <v>0.46666666666666673</v>
      </c>
      <c r="H123">
        <f>G123*(11.5/38.29)</f>
        <v>0.14015843997562463</v>
      </c>
    </row>
    <row r="124" spans="1:8" x14ac:dyDescent="0.25">
      <c r="A124" s="1">
        <v>1993</v>
      </c>
      <c r="B124" s="1" t="s">
        <v>104</v>
      </c>
      <c r="C124" t="s">
        <v>51</v>
      </c>
      <c r="D124">
        <v>1</v>
      </c>
      <c r="E124">
        <v>40</v>
      </c>
      <c r="F124">
        <v>1.89</v>
      </c>
      <c r="G124">
        <f>(F124/0.6)/4</f>
        <v>0.78749999999999998</v>
      </c>
      <c r="H124">
        <f>G124*(11.5/38.29)</f>
        <v>0.23651736745886653</v>
      </c>
    </row>
    <row r="125" spans="1:8" x14ac:dyDescent="0.25">
      <c r="A125" s="1">
        <v>1993</v>
      </c>
      <c r="B125" s="1" t="s">
        <v>104</v>
      </c>
      <c r="C125" t="s">
        <v>51</v>
      </c>
      <c r="D125">
        <v>1</v>
      </c>
      <c r="E125">
        <v>40</v>
      </c>
      <c r="F125">
        <v>0.47</v>
      </c>
      <c r="G125">
        <f>(F125/0.6)/4</f>
        <v>0.19583333333333333</v>
      </c>
      <c r="H125">
        <f>G125*(11.5/38.29)</f>
        <v>5.8816488204056758E-2</v>
      </c>
    </row>
    <row r="126" spans="1:8" x14ac:dyDescent="0.25">
      <c r="A126" s="1">
        <v>1993</v>
      </c>
      <c r="B126" s="1" t="s">
        <v>104</v>
      </c>
      <c r="C126" t="s">
        <v>51</v>
      </c>
      <c r="D126">
        <v>1</v>
      </c>
      <c r="E126">
        <v>40</v>
      </c>
      <c r="F126">
        <v>0.24</v>
      </c>
      <c r="G126">
        <f>(F126/0.6)/4</f>
        <v>0.1</v>
      </c>
      <c r="H126">
        <f>G126*(11.5/38.29)</f>
        <v>3.0033951423348134E-2</v>
      </c>
    </row>
    <row r="127" spans="1:8" x14ac:dyDescent="0.25">
      <c r="A127" s="1">
        <v>1993</v>
      </c>
      <c r="B127" s="1" t="s">
        <v>104</v>
      </c>
      <c r="C127" t="s">
        <v>51</v>
      </c>
      <c r="D127">
        <v>1</v>
      </c>
      <c r="E127">
        <v>40</v>
      </c>
      <c r="F127">
        <v>0.22</v>
      </c>
      <c r="G127">
        <f>(F127/0.6)/4</f>
        <v>9.1666666666666674E-2</v>
      </c>
      <c r="H127">
        <f>G127*(11.5/38.29)</f>
        <v>2.7531122138069124E-2</v>
      </c>
    </row>
    <row r="128" spans="1:8" x14ac:dyDescent="0.25">
      <c r="A128" s="1">
        <v>1993</v>
      </c>
      <c r="B128" s="1" t="s">
        <v>104</v>
      </c>
      <c r="C128" t="s">
        <v>51</v>
      </c>
      <c r="D128">
        <v>1</v>
      </c>
      <c r="E128">
        <v>40</v>
      </c>
      <c r="F128">
        <v>0.39</v>
      </c>
      <c r="G128">
        <f>(F128/0.6)/4</f>
        <v>0.16250000000000001</v>
      </c>
      <c r="H128">
        <f>G128*(11.5/38.29)</f>
        <v>4.8805171062940716E-2</v>
      </c>
    </row>
    <row r="129" spans="1:8" x14ac:dyDescent="0.25">
      <c r="A129" s="1">
        <v>1993</v>
      </c>
      <c r="B129" s="1" t="s">
        <v>104</v>
      </c>
      <c r="C129" t="s">
        <v>51</v>
      </c>
      <c r="D129">
        <v>1</v>
      </c>
      <c r="E129">
        <v>40</v>
      </c>
      <c r="F129">
        <v>1.1599999999999999</v>
      </c>
      <c r="G129">
        <f>(F129/0.6)/4</f>
        <v>0.48333333333333334</v>
      </c>
      <c r="H129">
        <f>G129*(11.5/38.29)</f>
        <v>0.14516409854618265</v>
      </c>
    </row>
    <row r="130" spans="1:8" x14ac:dyDescent="0.25">
      <c r="A130" s="1">
        <v>1993</v>
      </c>
      <c r="B130" s="1" t="s">
        <v>104</v>
      </c>
      <c r="C130" t="s">
        <v>51</v>
      </c>
      <c r="D130">
        <v>1</v>
      </c>
      <c r="E130">
        <v>40</v>
      </c>
      <c r="F130">
        <v>0.56000000000000005</v>
      </c>
      <c r="G130">
        <f>(F130/0.6)/4</f>
        <v>0.23333333333333336</v>
      </c>
      <c r="H130">
        <f>G130*(11.5/38.29)</f>
        <v>7.0079219987812316E-2</v>
      </c>
    </row>
    <row r="131" spans="1:8" x14ac:dyDescent="0.25">
      <c r="A131" s="1">
        <v>1993</v>
      </c>
      <c r="B131" s="1" t="s">
        <v>104</v>
      </c>
      <c r="C131" t="s">
        <v>51</v>
      </c>
      <c r="D131">
        <v>1</v>
      </c>
      <c r="E131">
        <v>40</v>
      </c>
      <c r="F131">
        <v>1.81</v>
      </c>
      <c r="G131">
        <f>(F131/0.6)/4</f>
        <v>0.75416666666666676</v>
      </c>
      <c r="H131">
        <f>G131*(11.5/38.29)</f>
        <v>0.22650605031775053</v>
      </c>
    </row>
    <row r="132" spans="1:8" x14ac:dyDescent="0.25">
      <c r="A132" s="1">
        <v>1993</v>
      </c>
      <c r="B132" s="1" t="s">
        <v>104</v>
      </c>
      <c r="C132" t="s">
        <v>51</v>
      </c>
      <c r="D132">
        <v>1</v>
      </c>
      <c r="E132">
        <v>40</v>
      </c>
      <c r="F132">
        <v>0.6</v>
      </c>
      <c r="G132">
        <f>(F132/0.6)/4</f>
        <v>0.25</v>
      </c>
      <c r="H132">
        <f>G132*(11.5/38.29)</f>
        <v>7.508487855837033E-2</v>
      </c>
    </row>
    <row r="133" spans="1:8" x14ac:dyDescent="0.25">
      <c r="A133" s="1">
        <v>1993</v>
      </c>
      <c r="B133" s="1" t="s">
        <v>104</v>
      </c>
      <c r="C133" t="s">
        <v>51</v>
      </c>
      <c r="D133">
        <v>1</v>
      </c>
      <c r="E133">
        <v>40</v>
      </c>
      <c r="F133">
        <v>1.99</v>
      </c>
      <c r="G133">
        <f>(F133/0.6)/4</f>
        <v>0.82916666666666672</v>
      </c>
      <c r="H133">
        <f>G133*(11.5/38.29)</f>
        <v>0.2490315138852616</v>
      </c>
    </row>
    <row r="134" spans="1:8" x14ac:dyDescent="0.25">
      <c r="A134" s="1">
        <v>1993</v>
      </c>
      <c r="B134" s="1" t="s">
        <v>104</v>
      </c>
      <c r="C134" t="s">
        <v>51</v>
      </c>
      <c r="D134">
        <v>1</v>
      </c>
      <c r="E134">
        <v>40</v>
      </c>
      <c r="F134">
        <v>1.71</v>
      </c>
      <c r="G134">
        <f>(F134/0.6)/4</f>
        <v>0.71250000000000002</v>
      </c>
      <c r="H134">
        <f>G134*(11.5/38.29)</f>
        <v>0.21399190389135544</v>
      </c>
    </row>
    <row r="135" spans="1:8" x14ac:dyDescent="0.25">
      <c r="A135" s="1">
        <v>1993</v>
      </c>
      <c r="B135" s="1" t="s">
        <v>104</v>
      </c>
      <c r="C135" t="s">
        <v>51</v>
      </c>
      <c r="D135">
        <v>1</v>
      </c>
      <c r="E135">
        <v>40</v>
      </c>
      <c r="F135">
        <v>0.2</v>
      </c>
      <c r="G135">
        <f>(F135/0.6)/4</f>
        <v>8.3333333333333343E-2</v>
      </c>
      <c r="H135">
        <f>G135*(11.5/38.29)</f>
        <v>2.5028292852790113E-2</v>
      </c>
    </row>
    <row r="136" spans="1:8" x14ac:dyDescent="0.25">
      <c r="A136" s="1">
        <v>1993</v>
      </c>
      <c r="B136" s="1" t="s">
        <v>104</v>
      </c>
      <c r="C136" t="s">
        <v>51</v>
      </c>
      <c r="D136">
        <v>1</v>
      </c>
      <c r="E136">
        <v>40</v>
      </c>
      <c r="F136">
        <v>1.81</v>
      </c>
      <c r="G136">
        <f>(F136/0.6)/4</f>
        <v>0.75416666666666676</v>
      </c>
      <c r="H136">
        <f>G136*(11.5/38.29)</f>
        <v>0.22650605031775053</v>
      </c>
    </row>
    <row r="137" spans="1:8" x14ac:dyDescent="0.25">
      <c r="A137" s="1">
        <v>1993</v>
      </c>
      <c r="B137" s="1" t="s">
        <v>104</v>
      </c>
      <c r="C137" t="s">
        <v>51</v>
      </c>
      <c r="D137">
        <v>1</v>
      </c>
      <c r="E137">
        <v>40</v>
      </c>
      <c r="F137">
        <v>0.27</v>
      </c>
      <c r="G137">
        <f>(F137/0.6)/4</f>
        <v>0.11250000000000002</v>
      </c>
      <c r="H137">
        <f>G137*(11.5/38.29)</f>
        <v>3.3788195351266655E-2</v>
      </c>
    </row>
    <row r="138" spans="1:8" x14ac:dyDescent="0.25">
      <c r="A138" s="1">
        <v>1993</v>
      </c>
      <c r="B138" s="1" t="s">
        <v>104</v>
      </c>
      <c r="C138" t="s">
        <v>51</v>
      </c>
      <c r="D138">
        <v>1</v>
      </c>
      <c r="E138">
        <v>41</v>
      </c>
      <c r="F138">
        <v>1.26</v>
      </c>
      <c r="G138">
        <f>(F138/0.6)/4</f>
        <v>0.52500000000000002</v>
      </c>
      <c r="H138">
        <f>G138*(11.5/38.29)</f>
        <v>0.15767824497257771</v>
      </c>
    </row>
    <row r="139" spans="1:8" x14ac:dyDescent="0.25">
      <c r="A139" s="1">
        <v>1993</v>
      </c>
      <c r="B139" s="1" t="s">
        <v>104</v>
      </c>
      <c r="C139" t="s">
        <v>51</v>
      </c>
      <c r="D139">
        <v>1</v>
      </c>
      <c r="E139">
        <v>41</v>
      </c>
      <c r="F139">
        <v>1.4</v>
      </c>
      <c r="G139">
        <f>(F139/0.6)/4</f>
        <v>0.58333333333333337</v>
      </c>
      <c r="H139">
        <f>G139*(11.5/38.29)</f>
        <v>0.17519804996953078</v>
      </c>
    </row>
    <row r="140" spans="1:8" x14ac:dyDescent="0.25">
      <c r="A140" s="1">
        <v>1993</v>
      </c>
      <c r="B140" s="1" t="s">
        <v>104</v>
      </c>
      <c r="C140" t="s">
        <v>51</v>
      </c>
      <c r="D140">
        <v>1</v>
      </c>
      <c r="E140">
        <v>41</v>
      </c>
      <c r="F140">
        <v>0.35</v>
      </c>
      <c r="G140">
        <f>(F140/0.6)/4</f>
        <v>0.14583333333333334</v>
      </c>
      <c r="H140">
        <f>G140*(11.5/38.29)</f>
        <v>4.3799512492382696E-2</v>
      </c>
    </row>
    <row r="141" spans="1:8" x14ac:dyDescent="0.25">
      <c r="A141" s="1">
        <v>1993</v>
      </c>
      <c r="B141" s="1" t="s">
        <v>104</v>
      </c>
      <c r="C141" t="s">
        <v>51</v>
      </c>
      <c r="D141">
        <v>1</v>
      </c>
      <c r="E141">
        <v>41</v>
      </c>
      <c r="F141">
        <v>1.48</v>
      </c>
      <c r="G141">
        <f>(F141/0.6)/4</f>
        <v>0.6166666666666667</v>
      </c>
      <c r="H141">
        <f>G141*(11.5/38.29)</f>
        <v>0.18520936711064681</v>
      </c>
    </row>
    <row r="142" spans="1:8" x14ac:dyDescent="0.25">
      <c r="A142" s="1">
        <v>1993</v>
      </c>
      <c r="B142" s="1" t="s">
        <v>104</v>
      </c>
      <c r="C142" t="s">
        <v>51</v>
      </c>
      <c r="D142">
        <v>1</v>
      </c>
      <c r="E142">
        <v>53</v>
      </c>
      <c r="F142">
        <v>0.31</v>
      </c>
      <c r="G142">
        <f>(F142/0.6)/4</f>
        <v>0.12916666666666668</v>
      </c>
      <c r="H142">
        <f>G142*(11.5/38.29)</f>
        <v>3.8793853921824675E-2</v>
      </c>
    </row>
    <row r="143" spans="1:8" x14ac:dyDescent="0.25">
      <c r="A143" s="1">
        <v>1993</v>
      </c>
      <c r="B143" s="1" t="s">
        <v>104</v>
      </c>
      <c r="C143" t="s">
        <v>51</v>
      </c>
      <c r="D143">
        <v>1</v>
      </c>
      <c r="E143">
        <v>56</v>
      </c>
      <c r="F143">
        <v>1.59</v>
      </c>
      <c r="G143">
        <f>(F143/0.6)/4</f>
        <v>0.66250000000000009</v>
      </c>
      <c r="H143">
        <f>G143*(11.5/38.29)</f>
        <v>0.1989749281796814</v>
      </c>
    </row>
    <row r="144" spans="1:8" x14ac:dyDescent="0.25">
      <c r="A144" s="1">
        <v>1993</v>
      </c>
      <c r="B144" s="1" t="s">
        <v>104</v>
      </c>
      <c r="C144" t="s">
        <v>51</v>
      </c>
      <c r="D144">
        <v>1</v>
      </c>
      <c r="E144">
        <v>63</v>
      </c>
      <c r="F144">
        <v>0.14000000000000001</v>
      </c>
      <c r="G144">
        <f>(F144/0.6)/4</f>
        <v>5.8333333333333341E-2</v>
      </c>
      <c r="H144">
        <f>G144*(11.5/38.29)</f>
        <v>1.7519804996953079E-2</v>
      </c>
    </row>
    <row r="145" spans="1:8" x14ac:dyDescent="0.25">
      <c r="A145" s="1">
        <v>1993</v>
      </c>
      <c r="B145" s="1" t="s">
        <v>104</v>
      </c>
      <c r="C145" t="s">
        <v>51</v>
      </c>
      <c r="D145">
        <v>1</v>
      </c>
      <c r="E145">
        <v>63</v>
      </c>
      <c r="F145">
        <v>0.11</v>
      </c>
      <c r="G145">
        <f>(F145/0.6)/4</f>
        <v>4.5833333333333337E-2</v>
      </c>
      <c r="H145">
        <f>G145*(11.5/38.29)</f>
        <v>1.3765561069034562E-2</v>
      </c>
    </row>
    <row r="146" spans="1:8" x14ac:dyDescent="0.25">
      <c r="A146" s="1">
        <v>1993</v>
      </c>
      <c r="B146" s="1" t="s">
        <v>104</v>
      </c>
      <c r="C146" t="s">
        <v>51</v>
      </c>
      <c r="D146">
        <v>1</v>
      </c>
      <c r="E146">
        <v>63</v>
      </c>
      <c r="F146">
        <v>0.18</v>
      </c>
      <c r="G146">
        <f>(F146/0.6)/4</f>
        <v>7.4999999999999997E-2</v>
      </c>
      <c r="H146">
        <f>G146*(11.5/38.29)</f>
        <v>2.25254635675111E-2</v>
      </c>
    </row>
    <row r="147" spans="1:8" x14ac:dyDescent="0.25">
      <c r="A147" s="1">
        <v>1993</v>
      </c>
      <c r="B147" s="1" t="s">
        <v>104</v>
      </c>
      <c r="C147" t="s">
        <v>51</v>
      </c>
      <c r="D147">
        <v>1</v>
      </c>
      <c r="E147">
        <v>63</v>
      </c>
      <c r="F147">
        <v>0.08</v>
      </c>
      <c r="G147">
        <f>(F147/0.6)/4</f>
        <v>3.3333333333333333E-2</v>
      </c>
      <c r="H147">
        <f>G147*(11.5/38.29)</f>
        <v>1.0011317141116045E-2</v>
      </c>
    </row>
    <row r="148" spans="1:8" x14ac:dyDescent="0.25">
      <c r="A148" s="1">
        <v>1993</v>
      </c>
      <c r="B148" s="1" t="s">
        <v>104</v>
      </c>
      <c r="C148" t="s">
        <v>51</v>
      </c>
      <c r="D148">
        <v>1</v>
      </c>
      <c r="E148">
        <v>63</v>
      </c>
      <c r="F148">
        <v>0.04</v>
      </c>
      <c r="G148">
        <f>(F148/0.6)/4</f>
        <v>1.6666666666666666E-2</v>
      </c>
      <c r="H148">
        <f>G148*(11.5/38.29)</f>
        <v>5.0056585705580223E-3</v>
      </c>
    </row>
    <row r="149" spans="1:8" x14ac:dyDescent="0.25">
      <c r="A149" s="1">
        <v>1993</v>
      </c>
      <c r="B149" s="1" t="s">
        <v>104</v>
      </c>
      <c r="C149" t="s">
        <v>51</v>
      </c>
      <c r="D149">
        <v>1</v>
      </c>
      <c r="E149">
        <v>63</v>
      </c>
      <c r="F149">
        <v>0.05</v>
      </c>
      <c r="G149">
        <f>(F149/0.6)/4</f>
        <v>2.0833333333333336E-2</v>
      </c>
      <c r="H149">
        <f>G149*(11.5/38.29)</f>
        <v>6.2570732131975284E-3</v>
      </c>
    </row>
    <row r="150" spans="1:8" x14ac:dyDescent="0.25">
      <c r="A150" s="1">
        <v>1993</v>
      </c>
      <c r="B150" s="1" t="s">
        <v>104</v>
      </c>
      <c r="C150" t="s">
        <v>51</v>
      </c>
      <c r="D150">
        <v>1</v>
      </c>
      <c r="E150">
        <v>63</v>
      </c>
      <c r="F150">
        <v>0.04</v>
      </c>
      <c r="G150">
        <f>(F150/0.6)/4</f>
        <v>1.6666666666666666E-2</v>
      </c>
      <c r="H150">
        <f>G150*(11.5/38.29)</f>
        <v>5.0056585705580223E-3</v>
      </c>
    </row>
    <row r="151" spans="1:8" x14ac:dyDescent="0.25">
      <c r="A151" s="1">
        <v>1993</v>
      </c>
      <c r="B151" s="1" t="s">
        <v>104</v>
      </c>
      <c r="C151" t="s">
        <v>51</v>
      </c>
      <c r="D151">
        <v>1</v>
      </c>
      <c r="E151">
        <v>63</v>
      </c>
      <c r="F151">
        <v>0.05</v>
      </c>
      <c r="G151">
        <f>(F151/0.6)/4</f>
        <v>2.0833333333333336E-2</v>
      </c>
      <c r="H151">
        <f>G151*(11.5/38.29)</f>
        <v>6.2570732131975284E-3</v>
      </c>
    </row>
    <row r="152" spans="1:8" x14ac:dyDescent="0.25">
      <c r="A152" s="1">
        <v>1993</v>
      </c>
      <c r="B152" s="1" t="s">
        <v>104</v>
      </c>
      <c r="C152" t="s">
        <v>51</v>
      </c>
      <c r="D152">
        <v>1</v>
      </c>
      <c r="E152">
        <v>63</v>
      </c>
      <c r="F152">
        <v>7.0000000000000007E-2</v>
      </c>
      <c r="G152">
        <f>(F152/0.6)/4</f>
        <v>2.9166666666666671E-2</v>
      </c>
      <c r="H152">
        <f>G152*(11.5/38.29)</f>
        <v>8.7599024984765395E-3</v>
      </c>
    </row>
    <row r="153" spans="1:8" x14ac:dyDescent="0.25">
      <c r="A153" s="1">
        <v>1993</v>
      </c>
      <c r="B153" s="1" t="s">
        <v>104</v>
      </c>
      <c r="C153" t="s">
        <v>51</v>
      </c>
      <c r="D153">
        <v>1</v>
      </c>
      <c r="E153">
        <v>63</v>
      </c>
      <c r="F153">
        <v>0.03</v>
      </c>
      <c r="G153">
        <f>(F153/0.6)/4</f>
        <v>1.2500000000000001E-2</v>
      </c>
      <c r="H153">
        <f>G153*(11.5/38.29)</f>
        <v>3.7542439279185168E-3</v>
      </c>
    </row>
    <row r="154" spans="1:8" x14ac:dyDescent="0.25">
      <c r="A154" s="1">
        <v>1993</v>
      </c>
      <c r="B154" s="1" t="s">
        <v>104</v>
      </c>
      <c r="C154" t="s">
        <v>51</v>
      </c>
      <c r="D154">
        <v>1</v>
      </c>
      <c r="E154">
        <v>63</v>
      </c>
      <c r="F154">
        <v>0.04</v>
      </c>
      <c r="G154">
        <f>(F154/0.6)/4</f>
        <v>1.6666666666666666E-2</v>
      </c>
      <c r="H154">
        <f>G154*(11.5/38.29)</f>
        <v>5.0056585705580223E-3</v>
      </c>
    </row>
    <row r="155" spans="1:8" x14ac:dyDescent="0.25">
      <c r="A155" s="1">
        <v>1993</v>
      </c>
      <c r="B155" s="1" t="s">
        <v>104</v>
      </c>
      <c r="C155" t="s">
        <v>51</v>
      </c>
      <c r="D155">
        <v>1</v>
      </c>
      <c r="E155">
        <v>63</v>
      </c>
      <c r="F155">
        <v>0.14000000000000001</v>
      </c>
      <c r="G155">
        <f>(F155/0.6)/4</f>
        <v>5.8333333333333341E-2</v>
      </c>
      <c r="H155">
        <f>G155*(11.5/38.29)</f>
        <v>1.7519804996953079E-2</v>
      </c>
    </row>
    <row r="156" spans="1:8" x14ac:dyDescent="0.25">
      <c r="A156" s="1">
        <v>1993</v>
      </c>
      <c r="B156" s="1" t="s">
        <v>104</v>
      </c>
      <c r="C156" t="s">
        <v>51</v>
      </c>
      <c r="D156">
        <v>1</v>
      </c>
      <c r="E156">
        <v>63</v>
      </c>
      <c r="F156">
        <v>0.04</v>
      </c>
      <c r="G156">
        <f>(F156/0.6)/4</f>
        <v>1.6666666666666666E-2</v>
      </c>
      <c r="H156">
        <f>G156*(11.5/38.29)</f>
        <v>5.0056585705580223E-3</v>
      </c>
    </row>
    <row r="157" spans="1:8" x14ac:dyDescent="0.25">
      <c r="A157" s="1">
        <v>1993</v>
      </c>
      <c r="B157" s="1" t="s">
        <v>104</v>
      </c>
      <c r="C157" t="s">
        <v>51</v>
      </c>
      <c r="D157">
        <v>1</v>
      </c>
      <c r="E157">
        <v>71</v>
      </c>
      <c r="F157">
        <v>0.36</v>
      </c>
      <c r="G157">
        <f>(F157/0.6)/4</f>
        <v>0.15</v>
      </c>
      <c r="H157">
        <f>G157*(11.5/38.29)</f>
        <v>4.5050927135022199E-2</v>
      </c>
    </row>
    <row r="158" spans="1:8" x14ac:dyDescent="0.25">
      <c r="A158" s="1">
        <v>1993</v>
      </c>
      <c r="B158" s="1" t="s">
        <v>104</v>
      </c>
      <c r="C158" t="s">
        <v>51</v>
      </c>
      <c r="D158">
        <v>1</v>
      </c>
      <c r="E158">
        <v>79</v>
      </c>
      <c r="F158">
        <v>0.39</v>
      </c>
      <c r="G158">
        <f>(F158/0.6)/4</f>
        <v>0.16250000000000001</v>
      </c>
      <c r="H158">
        <f>G158*(11.5/38.29)</f>
        <v>4.8805171062940716E-2</v>
      </c>
    </row>
    <row r="159" spans="1:8" x14ac:dyDescent="0.25">
      <c r="A159" s="1">
        <v>1993</v>
      </c>
      <c r="B159" s="1" t="s">
        <v>104</v>
      </c>
      <c r="C159" t="s">
        <v>51</v>
      </c>
      <c r="D159">
        <v>1</v>
      </c>
      <c r="E159">
        <v>79</v>
      </c>
      <c r="F159">
        <v>1.52</v>
      </c>
      <c r="G159">
        <f>(F159/0.6)/4</f>
        <v>0.63333333333333341</v>
      </c>
      <c r="H159">
        <f>G159*(11.5/38.29)</f>
        <v>0.19021502568120485</v>
      </c>
    </row>
    <row r="160" spans="1:8" x14ac:dyDescent="0.25">
      <c r="A160" s="1">
        <v>1993</v>
      </c>
      <c r="B160" s="1" t="s">
        <v>104</v>
      </c>
      <c r="C160" t="s">
        <v>51</v>
      </c>
      <c r="D160">
        <v>1</v>
      </c>
      <c r="E160">
        <v>79</v>
      </c>
      <c r="F160">
        <v>0.46</v>
      </c>
      <c r="G160">
        <f>(F160/0.6)/4</f>
        <v>0.19166666666666668</v>
      </c>
      <c r="H160">
        <f>G160*(11.5/38.29)</f>
        <v>5.7565073561417254E-2</v>
      </c>
    </row>
    <row r="161" spans="1:8" x14ac:dyDescent="0.25">
      <c r="A161" s="1">
        <v>1993</v>
      </c>
      <c r="B161" s="1" t="s">
        <v>104</v>
      </c>
      <c r="C161" t="s">
        <v>51</v>
      </c>
      <c r="D161">
        <v>1</v>
      </c>
      <c r="E161">
        <v>79</v>
      </c>
      <c r="F161">
        <v>0.64</v>
      </c>
      <c r="G161">
        <f>(F161/0.6)/4</f>
        <v>0.26666666666666666</v>
      </c>
      <c r="H161">
        <f>G161*(11.5/38.29)</f>
        <v>8.0090537128928357E-2</v>
      </c>
    </row>
    <row r="162" spans="1:8" x14ac:dyDescent="0.25">
      <c r="A162" s="1">
        <v>1993</v>
      </c>
      <c r="B162" s="1" t="s">
        <v>104</v>
      </c>
      <c r="C162" t="s">
        <v>51</v>
      </c>
      <c r="D162">
        <v>1</v>
      </c>
      <c r="E162">
        <v>79</v>
      </c>
      <c r="F162">
        <v>0.56999999999999995</v>
      </c>
      <c r="G162">
        <f>(F162/0.6)/4</f>
        <v>0.23749999999999999</v>
      </c>
      <c r="H162">
        <f>G162*(11.5/38.29)</f>
        <v>7.1330634630451806E-2</v>
      </c>
    </row>
    <row r="163" spans="1:8" x14ac:dyDescent="0.25">
      <c r="A163" s="1">
        <v>1993</v>
      </c>
      <c r="B163" s="1" t="s">
        <v>104</v>
      </c>
      <c r="C163" t="s">
        <v>51</v>
      </c>
      <c r="D163">
        <v>1</v>
      </c>
      <c r="E163">
        <v>79</v>
      </c>
      <c r="F163">
        <v>0.72</v>
      </c>
      <c r="G163">
        <f>(F163/0.6)/4</f>
        <v>0.3</v>
      </c>
      <c r="H163">
        <f>G163*(11.5/38.29)</f>
        <v>9.0101854270044399E-2</v>
      </c>
    </row>
    <row r="164" spans="1:8" x14ac:dyDescent="0.25">
      <c r="A164" s="1">
        <v>1993</v>
      </c>
      <c r="B164" s="1" t="s">
        <v>104</v>
      </c>
      <c r="C164" t="s">
        <v>51</v>
      </c>
      <c r="D164">
        <v>1</v>
      </c>
      <c r="E164">
        <v>79</v>
      </c>
      <c r="F164">
        <v>0.18</v>
      </c>
      <c r="G164">
        <f>(F164/0.6)/4</f>
        <v>7.4999999999999997E-2</v>
      </c>
      <c r="H164">
        <f>G164*(11.5/38.29)</f>
        <v>2.25254635675111E-2</v>
      </c>
    </row>
    <row r="165" spans="1:8" x14ac:dyDescent="0.25">
      <c r="A165" s="1">
        <v>1993</v>
      </c>
      <c r="B165" s="1" t="s">
        <v>104</v>
      </c>
      <c r="C165" t="s">
        <v>51</v>
      </c>
      <c r="D165">
        <v>1</v>
      </c>
      <c r="E165">
        <v>79</v>
      </c>
      <c r="F165">
        <v>0.61</v>
      </c>
      <c r="G165">
        <f>(F165/0.6)/4</f>
        <v>0.25416666666666665</v>
      </c>
      <c r="H165">
        <f>G165*(11.5/38.29)</f>
        <v>7.6336293201009833E-2</v>
      </c>
    </row>
    <row r="166" spans="1:8" x14ac:dyDescent="0.25">
      <c r="A166" s="1">
        <v>1993</v>
      </c>
      <c r="B166" s="1" t="s">
        <v>104</v>
      </c>
      <c r="C166" t="s">
        <v>51</v>
      </c>
      <c r="D166">
        <v>1</v>
      </c>
      <c r="E166">
        <v>79</v>
      </c>
      <c r="F166">
        <v>0.85</v>
      </c>
      <c r="G166">
        <f>(F166/0.6)/4</f>
        <v>0.35416666666666669</v>
      </c>
      <c r="H166">
        <f>G166*(11.5/38.29)</f>
        <v>0.10637024462435797</v>
      </c>
    </row>
    <row r="167" spans="1:8" x14ac:dyDescent="0.25">
      <c r="A167" s="1">
        <v>1993</v>
      </c>
      <c r="B167" s="1" t="s">
        <v>104</v>
      </c>
      <c r="C167" t="s">
        <v>51</v>
      </c>
      <c r="D167">
        <v>1</v>
      </c>
      <c r="E167">
        <v>79</v>
      </c>
      <c r="F167">
        <v>0.06</v>
      </c>
      <c r="G167">
        <f>(F167/0.6)/4</f>
        <v>2.5000000000000001E-2</v>
      </c>
      <c r="H167">
        <f>G167*(11.5/38.29)</f>
        <v>7.5084878558370335E-3</v>
      </c>
    </row>
    <row r="168" spans="1:8" x14ac:dyDescent="0.25">
      <c r="A168" s="1">
        <v>1993</v>
      </c>
      <c r="B168" s="1" t="s">
        <v>104</v>
      </c>
      <c r="C168" t="s">
        <v>51</v>
      </c>
      <c r="D168">
        <v>1</v>
      </c>
      <c r="E168">
        <v>79</v>
      </c>
      <c r="F168">
        <v>0.21</v>
      </c>
      <c r="G168">
        <f>(F168/0.6)/4</f>
        <v>8.7499999999999994E-2</v>
      </c>
      <c r="H168">
        <f>G168*(11.5/38.29)</f>
        <v>2.6279707495429613E-2</v>
      </c>
    </row>
    <row r="169" spans="1:8" x14ac:dyDescent="0.25">
      <c r="A169" s="1">
        <v>1993</v>
      </c>
      <c r="B169" s="1" t="s">
        <v>104</v>
      </c>
      <c r="C169" t="s">
        <v>51</v>
      </c>
      <c r="D169">
        <v>1</v>
      </c>
      <c r="E169">
        <v>79</v>
      </c>
      <c r="F169">
        <v>0.22</v>
      </c>
      <c r="G169">
        <f>(F169/0.6)/4</f>
        <v>9.1666666666666674E-2</v>
      </c>
      <c r="H169">
        <f>G169*(11.5/38.29)</f>
        <v>2.7531122138069124E-2</v>
      </c>
    </row>
    <row r="170" spans="1:8" x14ac:dyDescent="0.25">
      <c r="A170" s="1">
        <v>1993</v>
      </c>
      <c r="B170" s="1" t="s">
        <v>104</v>
      </c>
      <c r="C170" t="s">
        <v>51</v>
      </c>
      <c r="D170">
        <v>1</v>
      </c>
      <c r="E170">
        <v>79</v>
      </c>
      <c r="F170">
        <v>0.32</v>
      </c>
      <c r="G170">
        <f>(F170/0.6)/4</f>
        <v>0.13333333333333333</v>
      </c>
      <c r="H170">
        <f>G170*(11.5/38.29)</f>
        <v>4.0045268564464179E-2</v>
      </c>
    </row>
    <row r="171" spans="1:8" x14ac:dyDescent="0.25">
      <c r="A171" s="1">
        <v>1993</v>
      </c>
      <c r="B171" s="1" t="s">
        <v>104</v>
      </c>
      <c r="C171" t="s">
        <v>51</v>
      </c>
      <c r="D171">
        <v>1</v>
      </c>
      <c r="E171">
        <v>79</v>
      </c>
      <c r="F171">
        <v>0.04</v>
      </c>
      <c r="G171">
        <f>(F171/0.6)/4</f>
        <v>1.6666666666666666E-2</v>
      </c>
      <c r="H171">
        <f>G171*(11.5/38.29)</f>
        <v>5.0056585705580223E-3</v>
      </c>
    </row>
    <row r="172" spans="1:8" x14ac:dyDescent="0.25">
      <c r="A172" s="1">
        <v>1993</v>
      </c>
      <c r="B172" s="1" t="s">
        <v>104</v>
      </c>
      <c r="C172" t="s">
        <v>51</v>
      </c>
      <c r="D172">
        <v>1</v>
      </c>
      <c r="E172">
        <v>79</v>
      </c>
      <c r="F172">
        <v>0.05</v>
      </c>
      <c r="G172">
        <f>(F172/0.6)/4</f>
        <v>2.0833333333333336E-2</v>
      </c>
      <c r="H172">
        <f>G172*(11.5/38.29)</f>
        <v>6.2570732131975284E-3</v>
      </c>
    </row>
    <row r="173" spans="1:8" x14ac:dyDescent="0.25">
      <c r="A173" s="1">
        <v>1993</v>
      </c>
      <c r="B173" s="1" t="s">
        <v>104</v>
      </c>
      <c r="C173" t="s">
        <v>51</v>
      </c>
      <c r="D173">
        <v>1</v>
      </c>
      <c r="E173">
        <v>79</v>
      </c>
      <c r="F173">
        <v>0.87</v>
      </c>
      <c r="G173">
        <f>(F173/0.6)/4</f>
        <v>0.36249999999999999</v>
      </c>
      <c r="H173">
        <f>G173*(11.5/38.29)</f>
        <v>0.10887307390963698</v>
      </c>
    </row>
    <row r="174" spans="1:8" x14ac:dyDescent="0.25">
      <c r="A174" s="1">
        <v>1993</v>
      </c>
      <c r="B174" s="1" t="s">
        <v>104</v>
      </c>
      <c r="C174" t="s">
        <v>51</v>
      </c>
      <c r="D174">
        <v>1</v>
      </c>
      <c r="E174">
        <v>79</v>
      </c>
      <c r="F174">
        <v>0.06</v>
      </c>
      <c r="G174">
        <f>(F174/0.6)/4</f>
        <v>2.5000000000000001E-2</v>
      </c>
      <c r="H174">
        <f>G174*(11.5/38.29)</f>
        <v>7.5084878558370335E-3</v>
      </c>
    </row>
    <row r="175" spans="1:8" x14ac:dyDescent="0.25">
      <c r="A175" s="1">
        <v>1993</v>
      </c>
      <c r="B175" s="1" t="s">
        <v>104</v>
      </c>
      <c r="C175" t="s">
        <v>51</v>
      </c>
      <c r="D175">
        <v>1</v>
      </c>
      <c r="E175">
        <v>79</v>
      </c>
      <c r="F175">
        <v>0.27</v>
      </c>
      <c r="G175">
        <f>(F175/0.6)/4</f>
        <v>0.11250000000000002</v>
      </c>
      <c r="H175">
        <f>G175*(11.5/38.29)</f>
        <v>3.3788195351266655E-2</v>
      </c>
    </row>
    <row r="176" spans="1:8" x14ac:dyDescent="0.25">
      <c r="A176" s="1">
        <v>1993</v>
      </c>
      <c r="B176" s="1" t="s">
        <v>104</v>
      </c>
      <c r="C176" t="s">
        <v>51</v>
      </c>
      <c r="D176">
        <v>1</v>
      </c>
      <c r="E176">
        <v>79</v>
      </c>
      <c r="F176">
        <v>0.59</v>
      </c>
      <c r="G176">
        <f>(F176/0.6)/4</f>
        <v>0.24583333333333332</v>
      </c>
      <c r="H176">
        <f>G176*(11.5/38.29)</f>
        <v>7.3833463915730826E-2</v>
      </c>
    </row>
    <row r="177" spans="1:8" x14ac:dyDescent="0.25">
      <c r="A177" s="1">
        <v>1993</v>
      </c>
      <c r="B177" s="1" t="s">
        <v>104</v>
      </c>
      <c r="C177" t="s">
        <v>51</v>
      </c>
      <c r="D177">
        <v>1</v>
      </c>
      <c r="E177">
        <v>79</v>
      </c>
      <c r="F177">
        <v>0.15</v>
      </c>
      <c r="G177">
        <f>(F177/0.6)/4</f>
        <v>6.25E-2</v>
      </c>
      <c r="H177">
        <f>G177*(11.5/38.29)</f>
        <v>1.8771219639592582E-2</v>
      </c>
    </row>
    <row r="178" spans="1:8" x14ac:dyDescent="0.25">
      <c r="A178" s="1">
        <v>1993</v>
      </c>
      <c r="B178" s="1" t="s">
        <v>104</v>
      </c>
      <c r="C178" t="s">
        <v>51</v>
      </c>
      <c r="D178">
        <v>1</v>
      </c>
      <c r="E178">
        <v>79</v>
      </c>
      <c r="F178">
        <v>0.46</v>
      </c>
      <c r="G178">
        <f>(F178/0.6)/4</f>
        <v>0.19166666666666668</v>
      </c>
      <c r="H178">
        <f>G178*(11.5/38.29)</f>
        <v>5.7565073561417254E-2</v>
      </c>
    </row>
    <row r="179" spans="1:8" x14ac:dyDescent="0.25">
      <c r="A179" s="1">
        <v>1993</v>
      </c>
      <c r="B179" s="1" t="s">
        <v>104</v>
      </c>
      <c r="C179" t="s">
        <v>51</v>
      </c>
      <c r="D179">
        <v>1</v>
      </c>
      <c r="E179">
        <v>79</v>
      </c>
      <c r="F179">
        <v>0.46</v>
      </c>
      <c r="G179">
        <f>(F179/0.6)/4</f>
        <v>0.19166666666666668</v>
      </c>
      <c r="H179">
        <f>G179*(11.5/38.29)</f>
        <v>5.7565073561417254E-2</v>
      </c>
    </row>
    <row r="180" spans="1:8" x14ac:dyDescent="0.25">
      <c r="A180" s="1">
        <v>1993</v>
      </c>
      <c r="B180" s="1" t="s">
        <v>104</v>
      </c>
      <c r="C180" t="s">
        <v>51</v>
      </c>
      <c r="D180">
        <v>1</v>
      </c>
      <c r="E180">
        <v>79</v>
      </c>
      <c r="F180">
        <v>0.51</v>
      </c>
      <c r="G180">
        <f>(F180/0.6)/4</f>
        <v>0.21250000000000002</v>
      </c>
      <c r="H180">
        <f>G180*(11.5/38.29)</f>
        <v>6.3822146774614785E-2</v>
      </c>
    </row>
    <row r="181" spans="1:8" x14ac:dyDescent="0.25">
      <c r="A181" s="1">
        <v>1993</v>
      </c>
      <c r="B181" s="1" t="s">
        <v>104</v>
      </c>
      <c r="C181" t="s">
        <v>51</v>
      </c>
      <c r="D181">
        <v>1</v>
      </c>
      <c r="E181">
        <v>79</v>
      </c>
      <c r="F181">
        <v>0.1</v>
      </c>
      <c r="G181">
        <f>(F181/0.6)/4</f>
        <v>4.1666666666666671E-2</v>
      </c>
      <c r="H181">
        <f>G181*(11.5/38.29)</f>
        <v>1.2514146426395057E-2</v>
      </c>
    </row>
    <row r="182" spans="1:8" x14ac:dyDescent="0.25">
      <c r="A182" s="1">
        <v>1993</v>
      </c>
      <c r="B182" s="1" t="s">
        <v>104</v>
      </c>
      <c r="C182" t="s">
        <v>51</v>
      </c>
      <c r="D182">
        <v>1</v>
      </c>
      <c r="E182">
        <v>79</v>
      </c>
      <c r="F182">
        <v>0.05</v>
      </c>
      <c r="G182">
        <f>(F182/0.6)/4</f>
        <v>2.0833333333333336E-2</v>
      </c>
      <c r="H182">
        <f>G182*(11.5/38.29)</f>
        <v>6.2570732131975284E-3</v>
      </c>
    </row>
    <row r="183" spans="1:8" x14ac:dyDescent="0.25">
      <c r="A183" s="1">
        <v>1993</v>
      </c>
      <c r="B183" s="1" t="s">
        <v>104</v>
      </c>
      <c r="C183" t="s">
        <v>51</v>
      </c>
      <c r="D183">
        <v>1</v>
      </c>
      <c r="E183">
        <v>79</v>
      </c>
      <c r="F183">
        <v>0.23</v>
      </c>
      <c r="G183">
        <f>(F183/0.6)/4</f>
        <v>9.583333333333334E-2</v>
      </c>
      <c r="H183">
        <f>G183*(11.5/38.29)</f>
        <v>2.8782536780708627E-2</v>
      </c>
    </row>
    <row r="184" spans="1:8" x14ac:dyDescent="0.25">
      <c r="A184" s="1">
        <v>1993</v>
      </c>
      <c r="B184" s="1" t="s">
        <v>104</v>
      </c>
      <c r="C184" t="s">
        <v>51</v>
      </c>
      <c r="D184">
        <v>1</v>
      </c>
      <c r="E184">
        <v>79</v>
      </c>
      <c r="F184">
        <v>7.0000000000000007E-2</v>
      </c>
      <c r="G184">
        <f>(F184/0.6)/4</f>
        <v>2.9166666666666671E-2</v>
      </c>
      <c r="H184">
        <f>G184*(11.5/38.29)</f>
        <v>8.7599024984765395E-3</v>
      </c>
    </row>
    <row r="185" spans="1:8" x14ac:dyDescent="0.25">
      <c r="A185" s="1">
        <v>1993</v>
      </c>
      <c r="B185" s="1" t="s">
        <v>104</v>
      </c>
      <c r="C185" t="s">
        <v>51</v>
      </c>
      <c r="D185">
        <v>1</v>
      </c>
      <c r="E185">
        <v>79</v>
      </c>
      <c r="F185">
        <v>0.26</v>
      </c>
      <c r="G185">
        <f>(F185/0.6)/4</f>
        <v>0.10833333333333334</v>
      </c>
      <c r="H185">
        <f>G185*(11.5/38.29)</f>
        <v>3.2536780708627144E-2</v>
      </c>
    </row>
    <row r="186" spans="1:8" x14ac:dyDescent="0.25">
      <c r="A186" s="1">
        <v>1993</v>
      </c>
      <c r="B186" s="1" t="s">
        <v>104</v>
      </c>
      <c r="C186" t="s">
        <v>51</v>
      </c>
      <c r="D186">
        <v>1</v>
      </c>
      <c r="E186">
        <v>79</v>
      </c>
      <c r="F186">
        <v>0.13</v>
      </c>
      <c r="G186">
        <f>(F186/0.6)/4</f>
        <v>5.4166666666666669E-2</v>
      </c>
      <c r="H186">
        <f>G186*(11.5/38.29)</f>
        <v>1.6268390354313572E-2</v>
      </c>
    </row>
    <row r="187" spans="1:8" x14ac:dyDescent="0.25">
      <c r="A187" s="1">
        <v>1993</v>
      </c>
      <c r="B187" s="1" t="s">
        <v>104</v>
      </c>
      <c r="C187" t="s">
        <v>51</v>
      </c>
      <c r="D187">
        <v>1</v>
      </c>
      <c r="E187">
        <v>79</v>
      </c>
      <c r="F187">
        <v>0.15</v>
      </c>
      <c r="G187">
        <f>(F187/0.6)/4</f>
        <v>6.25E-2</v>
      </c>
      <c r="H187">
        <f>G187*(11.5/38.29)</f>
        <v>1.8771219639592582E-2</v>
      </c>
    </row>
    <row r="188" spans="1:8" x14ac:dyDescent="0.25">
      <c r="A188" s="1">
        <v>1993</v>
      </c>
      <c r="B188" s="1" t="s">
        <v>104</v>
      </c>
      <c r="C188" t="s">
        <v>51</v>
      </c>
      <c r="D188">
        <v>1</v>
      </c>
      <c r="E188">
        <v>79</v>
      </c>
      <c r="F188">
        <v>0.38</v>
      </c>
      <c r="G188">
        <f>(F188/0.6)/4</f>
        <v>0.15833333333333335</v>
      </c>
      <c r="H188">
        <f>G188*(11.5/38.29)</f>
        <v>4.7553756420301213E-2</v>
      </c>
    </row>
    <row r="189" spans="1:8" x14ac:dyDescent="0.25">
      <c r="A189" s="1">
        <v>1993</v>
      </c>
      <c r="B189" s="1" t="s">
        <v>104</v>
      </c>
      <c r="C189" t="s">
        <v>51</v>
      </c>
      <c r="D189">
        <v>1</v>
      </c>
      <c r="E189">
        <v>79</v>
      </c>
      <c r="F189">
        <v>0.1</v>
      </c>
      <c r="G189">
        <f>(F189/0.6)/4</f>
        <v>4.1666666666666671E-2</v>
      </c>
      <c r="H189">
        <f>G189*(11.5/38.29)</f>
        <v>1.2514146426395057E-2</v>
      </c>
    </row>
    <row r="190" spans="1:8" x14ac:dyDescent="0.25">
      <c r="A190" s="1">
        <v>1993</v>
      </c>
      <c r="B190" s="1" t="s">
        <v>104</v>
      </c>
      <c r="C190" t="s">
        <v>51</v>
      </c>
      <c r="D190">
        <v>1</v>
      </c>
      <c r="E190">
        <v>79</v>
      </c>
      <c r="F190">
        <v>0.05</v>
      </c>
      <c r="G190">
        <f>(F190/0.6)/4</f>
        <v>2.0833333333333336E-2</v>
      </c>
      <c r="H190">
        <f>G190*(11.5/38.29)</f>
        <v>6.2570732131975284E-3</v>
      </c>
    </row>
    <row r="191" spans="1:8" x14ac:dyDescent="0.25">
      <c r="A191" s="1">
        <v>1993</v>
      </c>
      <c r="B191" s="1" t="s">
        <v>104</v>
      </c>
      <c r="C191" t="s">
        <v>51</v>
      </c>
      <c r="D191">
        <v>1</v>
      </c>
      <c r="E191">
        <v>79</v>
      </c>
      <c r="F191">
        <v>0.09</v>
      </c>
      <c r="G191">
        <f>(F191/0.6)/4</f>
        <v>3.7499999999999999E-2</v>
      </c>
      <c r="H191">
        <f>G191*(11.5/38.29)</f>
        <v>1.126273178375555E-2</v>
      </c>
    </row>
    <row r="192" spans="1:8" x14ac:dyDescent="0.25">
      <c r="A192" s="1">
        <v>1993</v>
      </c>
      <c r="B192" s="1" t="s">
        <v>104</v>
      </c>
      <c r="C192" t="s">
        <v>51</v>
      </c>
      <c r="D192">
        <v>1</v>
      </c>
      <c r="E192">
        <v>79</v>
      </c>
      <c r="F192">
        <v>7.0000000000000007E-2</v>
      </c>
      <c r="G192">
        <f>(F192/0.6)/4</f>
        <v>2.9166666666666671E-2</v>
      </c>
      <c r="H192">
        <f>G192*(11.5/38.29)</f>
        <v>8.7599024984765395E-3</v>
      </c>
    </row>
    <row r="193" spans="1:8" x14ac:dyDescent="0.25">
      <c r="A193" s="1">
        <v>1993</v>
      </c>
      <c r="B193" s="1" t="s">
        <v>104</v>
      </c>
      <c r="C193" t="s">
        <v>51</v>
      </c>
      <c r="D193">
        <v>1</v>
      </c>
      <c r="E193">
        <v>79</v>
      </c>
      <c r="F193">
        <v>0.06</v>
      </c>
      <c r="G193">
        <f>(F193/0.6)/4</f>
        <v>2.5000000000000001E-2</v>
      </c>
      <c r="H193">
        <f>G193*(11.5/38.29)</f>
        <v>7.5084878558370335E-3</v>
      </c>
    </row>
    <row r="194" spans="1:8" x14ac:dyDescent="0.25">
      <c r="A194" s="1">
        <v>1993</v>
      </c>
      <c r="B194" s="1" t="s">
        <v>104</v>
      </c>
      <c r="C194" t="s">
        <v>51</v>
      </c>
      <c r="D194">
        <v>1</v>
      </c>
      <c r="E194">
        <v>79</v>
      </c>
      <c r="F194">
        <v>0.66</v>
      </c>
      <c r="G194">
        <f>(F194/0.6)/4</f>
        <v>0.27500000000000002</v>
      </c>
      <c r="H194">
        <f>G194*(11.5/38.29)</f>
        <v>8.2593366414207364E-2</v>
      </c>
    </row>
    <row r="195" spans="1:8" x14ac:dyDescent="0.25">
      <c r="A195" s="1">
        <v>1993</v>
      </c>
      <c r="B195" s="1" t="s">
        <v>104</v>
      </c>
      <c r="C195" t="s">
        <v>51</v>
      </c>
      <c r="D195">
        <v>1</v>
      </c>
      <c r="E195">
        <v>79</v>
      </c>
      <c r="F195">
        <v>0.26</v>
      </c>
      <c r="G195">
        <f>(F195/0.6)/4</f>
        <v>0.10833333333333334</v>
      </c>
      <c r="H195">
        <f>G195*(11.5/38.29)</f>
        <v>3.2536780708627144E-2</v>
      </c>
    </row>
    <row r="196" spans="1:8" x14ac:dyDescent="0.25">
      <c r="A196" s="1">
        <v>1993</v>
      </c>
      <c r="B196" s="1" t="s">
        <v>104</v>
      </c>
      <c r="C196" t="s">
        <v>51</v>
      </c>
      <c r="D196">
        <v>1</v>
      </c>
      <c r="E196">
        <v>79</v>
      </c>
      <c r="F196">
        <v>0.12</v>
      </c>
      <c r="G196">
        <f>(F196/0.6)/4</f>
        <v>0.05</v>
      </c>
      <c r="H196">
        <f>G196*(11.5/38.29)</f>
        <v>1.5016975711674067E-2</v>
      </c>
    </row>
    <row r="197" spans="1:8" x14ac:dyDescent="0.25">
      <c r="A197" s="1">
        <v>1993</v>
      </c>
      <c r="B197" s="1" t="s">
        <v>104</v>
      </c>
      <c r="C197" t="s">
        <v>51</v>
      </c>
      <c r="D197">
        <v>1</v>
      </c>
      <c r="E197">
        <v>79</v>
      </c>
      <c r="F197">
        <v>7.0000000000000007E-2</v>
      </c>
      <c r="G197">
        <f>(F197/0.6)/4</f>
        <v>2.9166666666666671E-2</v>
      </c>
      <c r="H197">
        <f>G197*(11.5/38.29)</f>
        <v>8.7599024984765395E-3</v>
      </c>
    </row>
    <row r="198" spans="1:8" x14ac:dyDescent="0.25">
      <c r="A198" s="1">
        <v>1993</v>
      </c>
      <c r="B198" s="1" t="s">
        <v>104</v>
      </c>
      <c r="C198" t="s">
        <v>51</v>
      </c>
      <c r="D198">
        <v>1</v>
      </c>
      <c r="E198">
        <v>85</v>
      </c>
      <c r="F198">
        <v>1.05</v>
      </c>
      <c r="G198">
        <f>(F198/0.6)/4</f>
        <v>0.43750000000000006</v>
      </c>
      <c r="H198">
        <f>G198*(11.5/38.29)</f>
        <v>0.13139853747714808</v>
      </c>
    </row>
    <row r="199" spans="1:8" x14ac:dyDescent="0.25">
      <c r="A199" s="1">
        <v>1993</v>
      </c>
      <c r="B199" s="1" t="s">
        <v>104</v>
      </c>
      <c r="C199" t="s">
        <v>51</v>
      </c>
      <c r="D199">
        <v>1</v>
      </c>
      <c r="E199">
        <v>85</v>
      </c>
      <c r="F199">
        <v>0.66</v>
      </c>
      <c r="G199">
        <f>(F199/0.6)/4</f>
        <v>0.27500000000000002</v>
      </c>
      <c r="H199">
        <f>G199*(11.5/38.29)</f>
        <v>8.2593366414207364E-2</v>
      </c>
    </row>
    <row r="200" spans="1:8" x14ac:dyDescent="0.25">
      <c r="A200" s="1">
        <v>1993</v>
      </c>
      <c r="B200" s="1" t="s">
        <v>104</v>
      </c>
      <c r="C200" t="s">
        <v>51</v>
      </c>
      <c r="D200">
        <v>1</v>
      </c>
      <c r="E200">
        <v>85</v>
      </c>
      <c r="F200">
        <v>0.05</v>
      </c>
      <c r="G200">
        <f>(F200/0.6)/4</f>
        <v>2.0833333333333336E-2</v>
      </c>
      <c r="H200">
        <f>G200*(11.5/38.29)</f>
        <v>6.2570732131975284E-3</v>
      </c>
    </row>
    <row r="201" spans="1:8" x14ac:dyDescent="0.25">
      <c r="A201" s="1">
        <v>1993</v>
      </c>
      <c r="B201" s="1" t="s">
        <v>104</v>
      </c>
      <c r="C201" t="s">
        <v>51</v>
      </c>
      <c r="D201">
        <v>1</v>
      </c>
      <c r="E201">
        <v>85</v>
      </c>
      <c r="F201">
        <v>0.41</v>
      </c>
      <c r="G201">
        <f>(F201/0.6)/4</f>
        <v>0.17083333333333334</v>
      </c>
      <c r="H201">
        <f>G201*(11.5/38.29)</f>
        <v>5.1308000348219723E-2</v>
      </c>
    </row>
    <row r="202" spans="1:8" x14ac:dyDescent="0.25">
      <c r="A202" s="1">
        <v>1993</v>
      </c>
      <c r="B202" s="1" t="s">
        <v>104</v>
      </c>
      <c r="C202" t="s">
        <v>51</v>
      </c>
      <c r="D202">
        <v>1</v>
      </c>
      <c r="E202">
        <v>85</v>
      </c>
      <c r="F202">
        <v>1.23</v>
      </c>
      <c r="G202">
        <f>(F202/0.6)/4</f>
        <v>0.51250000000000007</v>
      </c>
      <c r="H202">
        <f>G202*(11.5/38.29)</f>
        <v>0.1539240010446592</v>
      </c>
    </row>
    <row r="203" spans="1:8" x14ac:dyDescent="0.25">
      <c r="A203" s="1">
        <v>1993</v>
      </c>
      <c r="B203" s="1" t="s">
        <v>104</v>
      </c>
      <c r="C203" t="s">
        <v>51</v>
      </c>
      <c r="D203">
        <v>1</v>
      </c>
      <c r="E203">
        <v>85</v>
      </c>
      <c r="F203">
        <v>1.1599999999999999</v>
      </c>
      <c r="G203">
        <f>(F203/0.6)/4</f>
        <v>0.48333333333333334</v>
      </c>
      <c r="H203">
        <f>G203*(11.5/38.29)</f>
        <v>0.14516409854618265</v>
      </c>
    </row>
    <row r="204" spans="1:8" x14ac:dyDescent="0.25">
      <c r="A204" s="1">
        <v>1993</v>
      </c>
      <c r="B204" s="1" t="s">
        <v>104</v>
      </c>
      <c r="C204" t="s">
        <v>51</v>
      </c>
      <c r="D204">
        <v>1</v>
      </c>
      <c r="E204">
        <v>85</v>
      </c>
      <c r="F204">
        <v>0.06</v>
      </c>
      <c r="G204">
        <f>(F204/0.6)/4</f>
        <v>2.5000000000000001E-2</v>
      </c>
      <c r="H204">
        <f>G204*(11.5/38.29)</f>
        <v>7.5084878558370335E-3</v>
      </c>
    </row>
    <row r="205" spans="1:8" x14ac:dyDescent="0.25">
      <c r="A205" s="1">
        <v>1993</v>
      </c>
      <c r="B205" s="1" t="s">
        <v>104</v>
      </c>
      <c r="C205" t="s">
        <v>51</v>
      </c>
      <c r="D205">
        <v>2</v>
      </c>
      <c r="E205">
        <v>11</v>
      </c>
      <c r="F205">
        <v>0.12</v>
      </c>
      <c r="G205">
        <f>(F205/0.6)/4</f>
        <v>0.05</v>
      </c>
      <c r="H205">
        <f>G205*(11.5/38.29)</f>
        <v>1.5016975711674067E-2</v>
      </c>
    </row>
    <row r="206" spans="1:8" x14ac:dyDescent="0.25">
      <c r="A206" s="1">
        <v>1993</v>
      </c>
      <c r="B206" s="1" t="s">
        <v>104</v>
      </c>
      <c r="C206" t="s">
        <v>51</v>
      </c>
      <c r="D206">
        <v>2</v>
      </c>
      <c r="E206">
        <v>11</v>
      </c>
      <c r="F206">
        <v>0.2</v>
      </c>
      <c r="G206">
        <f>(F206/0.6)/4</f>
        <v>8.3333333333333343E-2</v>
      </c>
      <c r="H206">
        <f>G206*(11.5/38.29)</f>
        <v>2.5028292852790113E-2</v>
      </c>
    </row>
    <row r="207" spans="1:8" x14ac:dyDescent="0.25">
      <c r="A207" s="1">
        <v>1993</v>
      </c>
      <c r="B207" s="1" t="s">
        <v>104</v>
      </c>
      <c r="C207" t="s">
        <v>51</v>
      </c>
      <c r="D207">
        <v>2</v>
      </c>
      <c r="E207">
        <v>29</v>
      </c>
      <c r="F207">
        <v>0.18</v>
      </c>
      <c r="G207">
        <f>(F207/0.6)/4</f>
        <v>7.4999999999999997E-2</v>
      </c>
      <c r="H207">
        <f>G207*(11.5/38.29)</f>
        <v>2.25254635675111E-2</v>
      </c>
    </row>
    <row r="208" spans="1:8" x14ac:dyDescent="0.25">
      <c r="A208" s="1">
        <v>1993</v>
      </c>
      <c r="B208" s="1" t="s">
        <v>104</v>
      </c>
      <c r="C208" t="s">
        <v>51</v>
      </c>
      <c r="D208">
        <v>2</v>
      </c>
      <c r="E208">
        <v>29</v>
      </c>
      <c r="F208">
        <v>0.09</v>
      </c>
      <c r="G208">
        <f>(F208/0.6)/4</f>
        <v>3.7499999999999999E-2</v>
      </c>
      <c r="H208">
        <f>G208*(11.5/38.29)</f>
        <v>1.126273178375555E-2</v>
      </c>
    </row>
    <row r="209" spans="1:8" x14ac:dyDescent="0.25">
      <c r="A209" s="1">
        <v>1993</v>
      </c>
      <c r="B209" s="1" t="s">
        <v>104</v>
      </c>
      <c r="C209" t="s">
        <v>51</v>
      </c>
      <c r="D209">
        <v>2</v>
      </c>
      <c r="E209">
        <v>29</v>
      </c>
      <c r="F209">
        <v>0.34</v>
      </c>
      <c r="G209">
        <f>(F209/0.6)/4</f>
        <v>0.14166666666666669</v>
      </c>
      <c r="H209">
        <f>G209*(11.5/38.29)</f>
        <v>4.2548097849743192E-2</v>
      </c>
    </row>
    <row r="210" spans="1:8" x14ac:dyDescent="0.25">
      <c r="A210" s="1">
        <v>1993</v>
      </c>
      <c r="B210" s="1" t="s">
        <v>104</v>
      </c>
      <c r="C210" t="s">
        <v>51</v>
      </c>
      <c r="D210">
        <v>2</v>
      </c>
      <c r="E210">
        <v>29</v>
      </c>
      <c r="F210">
        <v>0.08</v>
      </c>
      <c r="G210">
        <f>(F210/0.6)/4</f>
        <v>3.3333333333333333E-2</v>
      </c>
      <c r="H210">
        <f>G210*(11.5/38.29)</f>
        <v>1.0011317141116045E-2</v>
      </c>
    </row>
    <row r="211" spans="1:8" x14ac:dyDescent="0.25">
      <c r="A211" s="1">
        <v>1993</v>
      </c>
      <c r="B211" s="1" t="s">
        <v>104</v>
      </c>
      <c r="C211" t="s">
        <v>51</v>
      </c>
      <c r="D211">
        <v>2</v>
      </c>
      <c r="E211">
        <v>29</v>
      </c>
      <c r="F211">
        <v>0.27</v>
      </c>
      <c r="G211">
        <f>(F211/0.6)/4</f>
        <v>0.11250000000000002</v>
      </c>
      <c r="H211">
        <f>G211*(11.5/38.29)</f>
        <v>3.3788195351266655E-2</v>
      </c>
    </row>
    <row r="212" spans="1:8" x14ac:dyDescent="0.25">
      <c r="A212" s="1">
        <v>1993</v>
      </c>
      <c r="B212" s="1" t="s">
        <v>104</v>
      </c>
      <c r="C212" t="s">
        <v>51</v>
      </c>
      <c r="D212">
        <v>2</v>
      </c>
      <c r="E212">
        <v>29</v>
      </c>
      <c r="F212">
        <v>0.04</v>
      </c>
      <c r="G212">
        <f>(F212/0.6)/4</f>
        <v>1.6666666666666666E-2</v>
      </c>
      <c r="H212">
        <f>G212*(11.5/38.29)</f>
        <v>5.0056585705580223E-3</v>
      </c>
    </row>
    <row r="213" spans="1:8" x14ac:dyDescent="0.25">
      <c r="A213" s="1">
        <v>1993</v>
      </c>
      <c r="B213" s="1" t="s">
        <v>104</v>
      </c>
      <c r="C213" t="s">
        <v>51</v>
      </c>
      <c r="D213">
        <v>2</v>
      </c>
      <c r="E213">
        <v>29</v>
      </c>
      <c r="F213">
        <v>0.04</v>
      </c>
      <c r="G213">
        <f>(F213/0.6)/4</f>
        <v>1.6666666666666666E-2</v>
      </c>
      <c r="H213">
        <f>G213*(11.5/38.29)</f>
        <v>5.0056585705580223E-3</v>
      </c>
    </row>
    <row r="214" spans="1:8" x14ac:dyDescent="0.25">
      <c r="A214" s="1">
        <v>1993</v>
      </c>
      <c r="B214" s="1" t="s">
        <v>104</v>
      </c>
      <c r="C214" t="s">
        <v>51</v>
      </c>
      <c r="D214">
        <v>2</v>
      </c>
      <c r="E214">
        <v>29</v>
      </c>
      <c r="F214">
        <v>0.05</v>
      </c>
      <c r="G214">
        <f>(F214/0.6)/4</f>
        <v>2.0833333333333336E-2</v>
      </c>
      <c r="H214">
        <f>G214*(11.5/38.29)</f>
        <v>6.2570732131975284E-3</v>
      </c>
    </row>
    <row r="215" spans="1:8" x14ac:dyDescent="0.25">
      <c r="A215" s="1">
        <v>1993</v>
      </c>
      <c r="B215" s="1" t="s">
        <v>104</v>
      </c>
      <c r="C215" t="s">
        <v>51</v>
      </c>
      <c r="D215">
        <v>2</v>
      </c>
      <c r="E215">
        <v>29</v>
      </c>
      <c r="F215">
        <v>0.14000000000000001</v>
      </c>
      <c r="G215">
        <f>(F215/0.6)/4</f>
        <v>5.8333333333333341E-2</v>
      </c>
      <c r="H215">
        <f>G215*(11.5/38.29)</f>
        <v>1.7519804996953079E-2</v>
      </c>
    </row>
    <row r="216" spans="1:8" x14ac:dyDescent="0.25">
      <c r="A216" s="1">
        <v>1993</v>
      </c>
      <c r="B216" s="1" t="s">
        <v>104</v>
      </c>
      <c r="C216" t="s">
        <v>51</v>
      </c>
      <c r="D216">
        <v>2</v>
      </c>
      <c r="E216">
        <v>29</v>
      </c>
      <c r="F216">
        <v>7.0000000000000007E-2</v>
      </c>
      <c r="G216">
        <f>(F216/0.6)/4</f>
        <v>2.9166666666666671E-2</v>
      </c>
      <c r="H216">
        <f>G216*(11.5/38.29)</f>
        <v>8.7599024984765395E-3</v>
      </c>
    </row>
    <row r="217" spans="1:8" x14ac:dyDescent="0.25">
      <c r="A217" s="1">
        <v>1993</v>
      </c>
      <c r="B217" s="1" t="s">
        <v>104</v>
      </c>
      <c r="C217" t="s">
        <v>51</v>
      </c>
      <c r="D217">
        <v>2</v>
      </c>
      <c r="E217">
        <v>29</v>
      </c>
      <c r="F217">
        <v>0.2</v>
      </c>
      <c r="G217">
        <f>(F217/0.6)/4</f>
        <v>8.3333333333333343E-2</v>
      </c>
      <c r="H217">
        <f>G217*(11.5/38.29)</f>
        <v>2.5028292852790113E-2</v>
      </c>
    </row>
    <row r="218" spans="1:8" x14ac:dyDescent="0.25">
      <c r="A218" s="1">
        <v>1993</v>
      </c>
      <c r="B218" s="1" t="s">
        <v>104</v>
      </c>
      <c r="C218" t="s">
        <v>51</v>
      </c>
      <c r="D218">
        <v>2</v>
      </c>
      <c r="E218">
        <v>29</v>
      </c>
      <c r="F218">
        <v>0.08</v>
      </c>
      <c r="G218">
        <f>(F218/0.6)/4</f>
        <v>3.3333333333333333E-2</v>
      </c>
      <c r="H218">
        <f>G218*(11.5/38.29)</f>
        <v>1.0011317141116045E-2</v>
      </c>
    </row>
    <row r="219" spans="1:8" x14ac:dyDescent="0.25">
      <c r="A219" s="1">
        <v>1993</v>
      </c>
      <c r="B219" s="1" t="s">
        <v>104</v>
      </c>
      <c r="C219" t="s">
        <v>51</v>
      </c>
      <c r="D219">
        <v>2</v>
      </c>
      <c r="E219">
        <v>29</v>
      </c>
      <c r="F219">
        <v>0.19</v>
      </c>
      <c r="G219">
        <f>(F219/0.6)/4</f>
        <v>7.9166666666666677E-2</v>
      </c>
      <c r="H219">
        <f>G219*(11.5/38.29)</f>
        <v>2.3776878210150607E-2</v>
      </c>
    </row>
    <row r="220" spans="1:8" x14ac:dyDescent="0.25">
      <c r="A220" s="1">
        <v>1993</v>
      </c>
      <c r="B220" s="1" t="s">
        <v>104</v>
      </c>
      <c r="C220" t="s">
        <v>51</v>
      </c>
      <c r="D220">
        <v>2</v>
      </c>
      <c r="E220">
        <v>29</v>
      </c>
      <c r="F220">
        <v>0.03</v>
      </c>
      <c r="G220">
        <f>(F220/0.6)/4</f>
        <v>1.2500000000000001E-2</v>
      </c>
      <c r="H220">
        <f>G220*(11.5/38.29)</f>
        <v>3.7542439279185168E-3</v>
      </c>
    </row>
    <row r="221" spans="1:8" x14ac:dyDescent="0.25">
      <c r="A221" s="1">
        <v>1993</v>
      </c>
      <c r="B221" s="1" t="s">
        <v>104</v>
      </c>
      <c r="C221" t="s">
        <v>51</v>
      </c>
      <c r="D221">
        <v>2</v>
      </c>
      <c r="E221">
        <v>29</v>
      </c>
      <c r="F221">
        <v>0.42</v>
      </c>
      <c r="G221">
        <f>(F221/0.6)/4</f>
        <v>0.17499999999999999</v>
      </c>
      <c r="H221">
        <f>G221*(11.5/38.29)</f>
        <v>5.2559414990859227E-2</v>
      </c>
    </row>
    <row r="222" spans="1:8" x14ac:dyDescent="0.25">
      <c r="A222" s="1">
        <v>1993</v>
      </c>
      <c r="B222" s="1" t="s">
        <v>104</v>
      </c>
      <c r="C222" t="s">
        <v>51</v>
      </c>
      <c r="D222">
        <v>2</v>
      </c>
      <c r="E222">
        <v>29</v>
      </c>
      <c r="F222">
        <v>0.04</v>
      </c>
      <c r="G222">
        <f>(F222/0.6)/4</f>
        <v>1.6666666666666666E-2</v>
      </c>
      <c r="H222">
        <f>G222*(11.5/38.29)</f>
        <v>5.0056585705580223E-3</v>
      </c>
    </row>
    <row r="223" spans="1:8" x14ac:dyDescent="0.25">
      <c r="A223" s="1">
        <v>1993</v>
      </c>
      <c r="B223" s="1" t="s">
        <v>104</v>
      </c>
      <c r="C223" t="s">
        <v>51</v>
      </c>
      <c r="D223">
        <v>2</v>
      </c>
      <c r="E223">
        <v>29</v>
      </c>
      <c r="F223">
        <v>0.04</v>
      </c>
      <c r="G223">
        <f>(F223/0.6)/4</f>
        <v>1.6666666666666666E-2</v>
      </c>
      <c r="H223">
        <f>G223*(11.5/38.29)</f>
        <v>5.0056585705580223E-3</v>
      </c>
    </row>
    <row r="224" spans="1:8" x14ac:dyDescent="0.25">
      <c r="A224" s="1">
        <v>1993</v>
      </c>
      <c r="B224" s="1" t="s">
        <v>104</v>
      </c>
      <c r="C224" t="s">
        <v>51</v>
      </c>
      <c r="D224">
        <v>2</v>
      </c>
      <c r="E224">
        <v>32</v>
      </c>
      <c r="F224">
        <v>0.06</v>
      </c>
      <c r="G224">
        <f>(F224/0.6)/4</f>
        <v>2.5000000000000001E-2</v>
      </c>
      <c r="H224">
        <f>G224*(11.5/38.29)</f>
        <v>7.5084878558370335E-3</v>
      </c>
    </row>
    <row r="225" spans="1:8" x14ac:dyDescent="0.25">
      <c r="A225" s="1">
        <v>1993</v>
      </c>
      <c r="B225" s="1" t="s">
        <v>104</v>
      </c>
      <c r="C225" t="s">
        <v>51</v>
      </c>
      <c r="D225">
        <v>2</v>
      </c>
      <c r="E225">
        <v>32</v>
      </c>
      <c r="F225">
        <v>0.04</v>
      </c>
      <c r="G225">
        <f>(F225/0.6)/4</f>
        <v>1.6666666666666666E-2</v>
      </c>
      <c r="H225">
        <f>G225*(11.5/38.29)</f>
        <v>5.0056585705580223E-3</v>
      </c>
    </row>
    <row r="226" spans="1:8" x14ac:dyDescent="0.25">
      <c r="A226" s="1">
        <v>1993</v>
      </c>
      <c r="B226" s="1" t="s">
        <v>104</v>
      </c>
      <c r="C226" t="s">
        <v>51</v>
      </c>
      <c r="D226">
        <v>2</v>
      </c>
      <c r="E226">
        <v>32</v>
      </c>
      <c r="F226">
        <v>0.04</v>
      </c>
      <c r="G226">
        <f>(F226/0.6)/4</f>
        <v>1.6666666666666666E-2</v>
      </c>
      <c r="H226">
        <f>G226*(11.5/38.29)</f>
        <v>5.0056585705580223E-3</v>
      </c>
    </row>
    <row r="227" spans="1:8" x14ac:dyDescent="0.25">
      <c r="A227" s="1">
        <v>1993</v>
      </c>
      <c r="B227" s="1" t="s">
        <v>104</v>
      </c>
      <c r="C227" t="s">
        <v>51</v>
      </c>
      <c r="D227">
        <v>2</v>
      </c>
      <c r="E227">
        <v>32</v>
      </c>
      <c r="F227">
        <v>0.06</v>
      </c>
      <c r="G227">
        <f>(F227/0.6)/4</f>
        <v>2.5000000000000001E-2</v>
      </c>
      <c r="H227">
        <f>G227*(11.5/38.29)</f>
        <v>7.5084878558370335E-3</v>
      </c>
    </row>
    <row r="228" spans="1:8" x14ac:dyDescent="0.25">
      <c r="A228" s="1">
        <v>1993</v>
      </c>
      <c r="B228" s="1" t="s">
        <v>104</v>
      </c>
      <c r="C228" t="s">
        <v>51</v>
      </c>
      <c r="D228">
        <v>2</v>
      </c>
      <c r="E228">
        <v>32</v>
      </c>
      <c r="F228">
        <v>0.1</v>
      </c>
      <c r="G228">
        <f>(F228/0.6)/4</f>
        <v>4.1666666666666671E-2</v>
      </c>
      <c r="H228">
        <f>G228*(11.5/38.29)</f>
        <v>1.2514146426395057E-2</v>
      </c>
    </row>
    <row r="229" spans="1:8" x14ac:dyDescent="0.25">
      <c r="A229" s="1">
        <v>1993</v>
      </c>
      <c r="B229" s="1" t="s">
        <v>104</v>
      </c>
      <c r="C229" t="s">
        <v>51</v>
      </c>
      <c r="D229">
        <v>2</v>
      </c>
      <c r="E229">
        <v>32</v>
      </c>
      <c r="F229">
        <v>0.06</v>
      </c>
      <c r="G229">
        <f>(F229/0.6)/4</f>
        <v>2.5000000000000001E-2</v>
      </c>
      <c r="H229">
        <f>G229*(11.5/38.29)</f>
        <v>7.5084878558370335E-3</v>
      </c>
    </row>
    <row r="230" spans="1:8" x14ac:dyDescent="0.25">
      <c r="A230" s="1">
        <v>1993</v>
      </c>
      <c r="B230" s="1" t="s">
        <v>104</v>
      </c>
      <c r="C230" t="s">
        <v>51</v>
      </c>
      <c r="D230">
        <v>2</v>
      </c>
      <c r="E230">
        <v>32</v>
      </c>
      <c r="F230">
        <v>0.04</v>
      </c>
      <c r="G230">
        <f>(F230/0.6)/4</f>
        <v>1.6666666666666666E-2</v>
      </c>
      <c r="H230">
        <f>G230*(11.5/38.29)</f>
        <v>5.0056585705580223E-3</v>
      </c>
    </row>
    <row r="231" spans="1:8" x14ac:dyDescent="0.25">
      <c r="A231" s="1">
        <v>1993</v>
      </c>
      <c r="B231" s="1" t="s">
        <v>104</v>
      </c>
      <c r="C231" t="s">
        <v>51</v>
      </c>
      <c r="D231">
        <v>2</v>
      </c>
      <c r="E231">
        <v>32</v>
      </c>
      <c r="F231">
        <v>0.06</v>
      </c>
      <c r="G231">
        <f>(F231/0.6)/4</f>
        <v>2.5000000000000001E-2</v>
      </c>
      <c r="H231">
        <f>G231*(11.5/38.29)</f>
        <v>7.5084878558370335E-3</v>
      </c>
    </row>
    <row r="232" spans="1:8" x14ac:dyDescent="0.25">
      <c r="A232" s="1">
        <v>1993</v>
      </c>
      <c r="B232" s="1" t="s">
        <v>104</v>
      </c>
      <c r="C232" t="s">
        <v>51</v>
      </c>
      <c r="D232">
        <v>2</v>
      </c>
      <c r="E232">
        <v>32</v>
      </c>
      <c r="F232">
        <v>0.04</v>
      </c>
      <c r="G232">
        <f>(F232/0.6)/4</f>
        <v>1.6666666666666666E-2</v>
      </c>
      <c r="H232">
        <f>G232*(11.5/38.29)</f>
        <v>5.0056585705580223E-3</v>
      </c>
    </row>
    <row r="233" spans="1:8" x14ac:dyDescent="0.25">
      <c r="A233" s="1">
        <v>1993</v>
      </c>
      <c r="B233" s="1" t="s">
        <v>104</v>
      </c>
      <c r="C233" t="s">
        <v>51</v>
      </c>
      <c r="D233">
        <v>2</v>
      </c>
      <c r="E233">
        <v>32</v>
      </c>
      <c r="F233">
        <v>0.05</v>
      </c>
      <c r="G233">
        <f>(F233/0.6)/4</f>
        <v>2.0833333333333336E-2</v>
      </c>
      <c r="H233">
        <f>G233*(11.5/38.29)</f>
        <v>6.2570732131975284E-3</v>
      </c>
    </row>
    <row r="234" spans="1:8" x14ac:dyDescent="0.25">
      <c r="A234" s="1">
        <v>1993</v>
      </c>
      <c r="B234" s="1" t="s">
        <v>104</v>
      </c>
      <c r="C234" t="s">
        <v>51</v>
      </c>
      <c r="D234">
        <v>2</v>
      </c>
      <c r="E234">
        <v>32</v>
      </c>
      <c r="F234">
        <v>0.04</v>
      </c>
      <c r="G234">
        <f>(F234/0.6)/4</f>
        <v>1.6666666666666666E-2</v>
      </c>
      <c r="H234">
        <f>G234*(11.5/38.29)</f>
        <v>5.0056585705580223E-3</v>
      </c>
    </row>
    <row r="235" spans="1:8" x14ac:dyDescent="0.25">
      <c r="A235" s="1">
        <v>1993</v>
      </c>
      <c r="B235" s="1" t="s">
        <v>104</v>
      </c>
      <c r="C235" t="s">
        <v>51</v>
      </c>
      <c r="D235">
        <v>2</v>
      </c>
      <c r="E235">
        <v>32</v>
      </c>
      <c r="F235">
        <v>0.06</v>
      </c>
      <c r="G235">
        <f>(F235/0.6)/4</f>
        <v>2.5000000000000001E-2</v>
      </c>
      <c r="H235">
        <f>G235*(11.5/38.29)</f>
        <v>7.5084878558370335E-3</v>
      </c>
    </row>
    <row r="236" spans="1:8" x14ac:dyDescent="0.25">
      <c r="A236" s="1">
        <v>1993</v>
      </c>
      <c r="B236" s="1" t="s">
        <v>104</v>
      </c>
      <c r="C236" t="s">
        <v>51</v>
      </c>
      <c r="D236">
        <v>2</v>
      </c>
      <c r="E236">
        <v>32</v>
      </c>
      <c r="F236">
        <v>0.05</v>
      </c>
      <c r="G236">
        <f>(F236/0.6)/4</f>
        <v>2.0833333333333336E-2</v>
      </c>
      <c r="H236">
        <f>G236*(11.5/38.29)</f>
        <v>6.2570732131975284E-3</v>
      </c>
    </row>
    <row r="237" spans="1:8" x14ac:dyDescent="0.25">
      <c r="A237" s="1">
        <v>1993</v>
      </c>
      <c r="B237" s="1" t="s">
        <v>104</v>
      </c>
      <c r="C237" t="s">
        <v>51</v>
      </c>
      <c r="D237">
        <v>2</v>
      </c>
      <c r="E237">
        <v>32</v>
      </c>
      <c r="F237">
        <v>0.03</v>
      </c>
      <c r="G237">
        <f>(F237/0.6)/4</f>
        <v>1.2500000000000001E-2</v>
      </c>
      <c r="H237">
        <f>G237*(11.5/38.29)</f>
        <v>3.7542439279185168E-3</v>
      </c>
    </row>
    <row r="238" spans="1:8" x14ac:dyDescent="0.25">
      <c r="A238" s="1">
        <v>1993</v>
      </c>
      <c r="B238" s="1" t="s">
        <v>104</v>
      </c>
      <c r="C238" t="s">
        <v>51</v>
      </c>
      <c r="D238">
        <v>2</v>
      </c>
      <c r="E238">
        <v>32</v>
      </c>
      <c r="F238">
        <v>0.04</v>
      </c>
      <c r="G238">
        <f>(F238/0.6)/4</f>
        <v>1.6666666666666666E-2</v>
      </c>
      <c r="H238">
        <f>G238*(11.5/38.29)</f>
        <v>5.0056585705580223E-3</v>
      </c>
    </row>
    <row r="239" spans="1:8" x14ac:dyDescent="0.25">
      <c r="A239" s="1">
        <v>1993</v>
      </c>
      <c r="B239" s="1" t="s">
        <v>104</v>
      </c>
      <c r="C239" t="s">
        <v>51</v>
      </c>
      <c r="D239">
        <v>2</v>
      </c>
      <c r="E239">
        <v>32</v>
      </c>
      <c r="F239">
        <v>0.09</v>
      </c>
      <c r="G239">
        <f>(F239/0.6)/4</f>
        <v>3.7499999999999999E-2</v>
      </c>
      <c r="H239">
        <f>G239*(11.5/38.29)</f>
        <v>1.126273178375555E-2</v>
      </c>
    </row>
    <row r="240" spans="1:8" x14ac:dyDescent="0.25">
      <c r="A240" s="1">
        <v>1993</v>
      </c>
      <c r="B240" s="1" t="s">
        <v>104</v>
      </c>
      <c r="C240" t="s">
        <v>51</v>
      </c>
      <c r="D240">
        <v>2</v>
      </c>
      <c r="E240">
        <v>32</v>
      </c>
      <c r="F240">
        <v>7.0000000000000007E-2</v>
      </c>
      <c r="G240">
        <f>(F240/0.6)/4</f>
        <v>2.9166666666666671E-2</v>
      </c>
      <c r="H240">
        <f>G240*(11.5/38.29)</f>
        <v>8.7599024984765395E-3</v>
      </c>
    </row>
    <row r="241" spans="1:8" x14ac:dyDescent="0.25">
      <c r="A241" s="1">
        <v>1993</v>
      </c>
      <c r="B241" s="1" t="s">
        <v>104</v>
      </c>
      <c r="C241" t="s">
        <v>51</v>
      </c>
      <c r="D241">
        <v>2</v>
      </c>
      <c r="E241">
        <v>34</v>
      </c>
      <c r="F241">
        <v>7.0000000000000007E-2</v>
      </c>
      <c r="G241">
        <f>(F241/0.6)/4</f>
        <v>2.9166666666666671E-2</v>
      </c>
      <c r="H241">
        <f>G241*(11.5/38.29)</f>
        <v>8.7599024984765395E-3</v>
      </c>
    </row>
    <row r="242" spans="1:8" x14ac:dyDescent="0.25">
      <c r="A242" s="1">
        <v>1993</v>
      </c>
      <c r="B242" s="1" t="s">
        <v>104</v>
      </c>
      <c r="C242" t="s">
        <v>51</v>
      </c>
      <c r="D242">
        <v>2</v>
      </c>
      <c r="E242">
        <v>34</v>
      </c>
      <c r="F242">
        <v>0.31</v>
      </c>
      <c r="G242">
        <f>(F242/0.6)/4</f>
        <v>0.12916666666666668</v>
      </c>
      <c r="H242">
        <f>G242*(11.5/38.29)</f>
        <v>3.8793853921824675E-2</v>
      </c>
    </row>
    <row r="243" spans="1:8" x14ac:dyDescent="0.25">
      <c r="A243" s="1">
        <v>1993</v>
      </c>
      <c r="B243" s="1" t="s">
        <v>104</v>
      </c>
      <c r="C243" t="s">
        <v>51</v>
      </c>
      <c r="D243">
        <v>2</v>
      </c>
      <c r="E243">
        <v>34</v>
      </c>
      <c r="F243">
        <v>0.14000000000000001</v>
      </c>
      <c r="G243">
        <f>(F243/0.6)/4</f>
        <v>5.8333333333333341E-2</v>
      </c>
      <c r="H243">
        <f>G243*(11.5/38.29)</f>
        <v>1.7519804996953079E-2</v>
      </c>
    </row>
    <row r="244" spans="1:8" x14ac:dyDescent="0.25">
      <c r="A244" s="1">
        <v>1993</v>
      </c>
      <c r="B244" s="1" t="s">
        <v>104</v>
      </c>
      <c r="C244" t="s">
        <v>51</v>
      </c>
      <c r="D244">
        <v>2</v>
      </c>
      <c r="E244">
        <v>34</v>
      </c>
      <c r="F244">
        <v>0.27</v>
      </c>
      <c r="G244">
        <f>(F244/0.6)/4</f>
        <v>0.11250000000000002</v>
      </c>
      <c r="H244">
        <f>G244*(11.5/38.29)</f>
        <v>3.3788195351266655E-2</v>
      </c>
    </row>
    <row r="245" spans="1:8" x14ac:dyDescent="0.25">
      <c r="A245" s="1">
        <v>1993</v>
      </c>
      <c r="B245" s="1" t="s">
        <v>104</v>
      </c>
      <c r="C245" t="s">
        <v>51</v>
      </c>
      <c r="D245">
        <v>2</v>
      </c>
      <c r="E245">
        <v>34</v>
      </c>
      <c r="F245">
        <v>0.55000000000000004</v>
      </c>
      <c r="G245">
        <f>(F245/0.6)/4</f>
        <v>0.22916666666666669</v>
      </c>
      <c r="H245">
        <f>G245*(11.5/38.29)</f>
        <v>6.8827805345172813E-2</v>
      </c>
    </row>
    <row r="246" spans="1:8" x14ac:dyDescent="0.25">
      <c r="A246" s="1">
        <v>1993</v>
      </c>
      <c r="B246" s="1" t="s">
        <v>104</v>
      </c>
      <c r="C246" t="s">
        <v>51</v>
      </c>
      <c r="D246">
        <v>2</v>
      </c>
      <c r="E246">
        <v>34</v>
      </c>
      <c r="F246">
        <v>0.27</v>
      </c>
      <c r="G246">
        <f>(F246/0.6)/4</f>
        <v>0.11250000000000002</v>
      </c>
      <c r="H246">
        <f>G246*(11.5/38.29)</f>
        <v>3.3788195351266655E-2</v>
      </c>
    </row>
    <row r="247" spans="1:8" x14ac:dyDescent="0.25">
      <c r="A247" s="1">
        <v>1993</v>
      </c>
      <c r="B247" s="1" t="s">
        <v>104</v>
      </c>
      <c r="C247" t="s">
        <v>51</v>
      </c>
      <c r="D247">
        <v>2</v>
      </c>
      <c r="E247">
        <v>34</v>
      </c>
      <c r="F247">
        <v>1.05</v>
      </c>
      <c r="G247">
        <f>(F247/0.6)/4</f>
        <v>0.43750000000000006</v>
      </c>
      <c r="H247">
        <f>G247*(11.5/38.29)</f>
        <v>0.13139853747714808</v>
      </c>
    </row>
    <row r="248" spans="1:8" x14ac:dyDescent="0.25">
      <c r="A248" s="1">
        <v>1993</v>
      </c>
      <c r="B248" s="1" t="s">
        <v>104</v>
      </c>
      <c r="C248" t="s">
        <v>51</v>
      </c>
      <c r="D248">
        <v>2</v>
      </c>
      <c r="E248">
        <v>34</v>
      </c>
      <c r="F248">
        <v>0.71</v>
      </c>
      <c r="G248">
        <f>(F248/0.6)/4</f>
        <v>0.29583333333333334</v>
      </c>
      <c r="H248">
        <f>G248*(11.5/38.29)</f>
        <v>8.8850439627404895E-2</v>
      </c>
    </row>
    <row r="249" spans="1:8" x14ac:dyDescent="0.25">
      <c r="A249" s="1">
        <v>1993</v>
      </c>
      <c r="B249" s="1" t="s">
        <v>104</v>
      </c>
      <c r="C249" t="s">
        <v>51</v>
      </c>
      <c r="D249">
        <v>2</v>
      </c>
      <c r="E249">
        <v>34</v>
      </c>
      <c r="F249">
        <v>7.0000000000000007E-2</v>
      </c>
      <c r="G249">
        <f>(F249/0.6)/4</f>
        <v>2.9166666666666671E-2</v>
      </c>
      <c r="H249">
        <f>G249*(11.5/38.29)</f>
        <v>8.7599024984765395E-3</v>
      </c>
    </row>
    <row r="250" spans="1:8" x14ac:dyDescent="0.25">
      <c r="A250" s="1">
        <v>1993</v>
      </c>
      <c r="B250" s="1" t="s">
        <v>104</v>
      </c>
      <c r="C250" t="s">
        <v>51</v>
      </c>
      <c r="D250">
        <v>2</v>
      </c>
      <c r="E250">
        <v>34</v>
      </c>
      <c r="F250">
        <v>0.33</v>
      </c>
      <c r="G250">
        <f>(F250/0.6)/4</f>
        <v>0.13750000000000001</v>
      </c>
      <c r="H250">
        <f>G250*(11.5/38.29)</f>
        <v>4.1296683207103682E-2</v>
      </c>
    </row>
    <row r="251" spans="1:8" x14ac:dyDescent="0.25">
      <c r="A251" s="1">
        <v>1993</v>
      </c>
      <c r="B251" s="1" t="s">
        <v>104</v>
      </c>
      <c r="C251" t="s">
        <v>51</v>
      </c>
      <c r="D251">
        <v>2</v>
      </c>
      <c r="E251">
        <v>34</v>
      </c>
      <c r="F251">
        <v>0.62</v>
      </c>
      <c r="G251">
        <f>(F251/0.6)/4</f>
        <v>0.25833333333333336</v>
      </c>
      <c r="H251">
        <f>G251*(11.5/38.29)</f>
        <v>7.7587707843649351E-2</v>
      </c>
    </row>
    <row r="252" spans="1:8" x14ac:dyDescent="0.25">
      <c r="A252" s="1">
        <v>1993</v>
      </c>
      <c r="B252" s="1" t="s">
        <v>104</v>
      </c>
      <c r="C252" t="s">
        <v>51</v>
      </c>
      <c r="D252">
        <v>2</v>
      </c>
      <c r="E252">
        <v>34</v>
      </c>
      <c r="F252">
        <v>0.16</v>
      </c>
      <c r="G252">
        <f>(F252/0.6)/4</f>
        <v>6.6666666666666666E-2</v>
      </c>
      <c r="H252">
        <f>G252*(11.5/38.29)</f>
        <v>2.0022634282232089E-2</v>
      </c>
    </row>
    <row r="253" spans="1:8" x14ac:dyDescent="0.25">
      <c r="A253" s="1">
        <v>1993</v>
      </c>
      <c r="B253" s="1" t="s">
        <v>104</v>
      </c>
      <c r="C253" t="s">
        <v>51</v>
      </c>
      <c r="D253">
        <v>2</v>
      </c>
      <c r="E253">
        <v>34</v>
      </c>
      <c r="F253">
        <v>0.44</v>
      </c>
      <c r="G253">
        <f>(F253/0.6)/4</f>
        <v>0.18333333333333335</v>
      </c>
      <c r="H253">
        <f>G253*(11.5/38.29)</f>
        <v>5.5062244276138247E-2</v>
      </c>
    </row>
    <row r="254" spans="1:8" x14ac:dyDescent="0.25">
      <c r="A254" s="1">
        <v>1993</v>
      </c>
      <c r="B254" s="1" t="s">
        <v>104</v>
      </c>
      <c r="C254" t="s">
        <v>51</v>
      </c>
      <c r="D254">
        <v>2</v>
      </c>
      <c r="E254">
        <v>34</v>
      </c>
      <c r="F254">
        <v>0.13</v>
      </c>
      <c r="G254">
        <f>(F254/0.6)/4</f>
        <v>5.4166666666666669E-2</v>
      </c>
      <c r="H254">
        <f>G254*(11.5/38.29)</f>
        <v>1.6268390354313572E-2</v>
      </c>
    </row>
    <row r="255" spans="1:8" x14ac:dyDescent="0.25">
      <c r="A255" s="1">
        <v>1993</v>
      </c>
      <c r="B255" s="1" t="s">
        <v>104</v>
      </c>
      <c r="C255" t="s">
        <v>51</v>
      </c>
      <c r="D255">
        <v>2</v>
      </c>
      <c r="E255">
        <v>34</v>
      </c>
      <c r="F255">
        <v>0.44</v>
      </c>
      <c r="G255">
        <f>(F255/0.6)/4</f>
        <v>0.18333333333333335</v>
      </c>
      <c r="H255">
        <f>G255*(11.5/38.29)</f>
        <v>5.5062244276138247E-2</v>
      </c>
    </row>
    <row r="256" spans="1:8" x14ac:dyDescent="0.25">
      <c r="A256" s="1">
        <v>1993</v>
      </c>
      <c r="B256" s="1" t="s">
        <v>104</v>
      </c>
      <c r="C256" t="s">
        <v>51</v>
      </c>
      <c r="D256">
        <v>2</v>
      </c>
      <c r="E256">
        <v>34</v>
      </c>
      <c r="F256">
        <v>0.45</v>
      </c>
      <c r="G256">
        <f>(F256/0.6)/4</f>
        <v>0.1875</v>
      </c>
      <c r="H256">
        <f>G256*(11.5/38.29)</f>
        <v>5.6313658918777751E-2</v>
      </c>
    </row>
    <row r="257" spans="1:8" x14ac:dyDescent="0.25">
      <c r="A257" s="1">
        <v>1993</v>
      </c>
      <c r="B257" s="1" t="s">
        <v>104</v>
      </c>
      <c r="C257" t="s">
        <v>51</v>
      </c>
      <c r="D257">
        <v>2</v>
      </c>
      <c r="E257">
        <v>34</v>
      </c>
      <c r="F257">
        <v>1.24</v>
      </c>
      <c r="G257">
        <f>(F257/0.6)/4</f>
        <v>0.51666666666666672</v>
      </c>
      <c r="H257">
        <f>G257*(11.5/38.29)</f>
        <v>0.1551754156872987</v>
      </c>
    </row>
    <row r="258" spans="1:8" x14ac:dyDescent="0.25">
      <c r="A258" s="1">
        <v>1993</v>
      </c>
      <c r="B258" s="1" t="s">
        <v>104</v>
      </c>
      <c r="C258" t="s">
        <v>51</v>
      </c>
      <c r="D258">
        <v>2</v>
      </c>
      <c r="E258">
        <v>34</v>
      </c>
      <c r="F258">
        <v>0.71</v>
      </c>
      <c r="G258">
        <f>(F258/0.6)/4</f>
        <v>0.29583333333333334</v>
      </c>
      <c r="H258">
        <f>G258*(11.5/38.29)</f>
        <v>8.8850439627404895E-2</v>
      </c>
    </row>
    <row r="259" spans="1:8" x14ac:dyDescent="0.25">
      <c r="A259" s="1">
        <v>1993</v>
      </c>
      <c r="B259" s="1" t="s">
        <v>104</v>
      </c>
      <c r="C259" t="s">
        <v>51</v>
      </c>
      <c r="D259">
        <v>2</v>
      </c>
      <c r="E259">
        <v>38</v>
      </c>
      <c r="F259">
        <v>0.81</v>
      </c>
      <c r="G259">
        <f>(F259/0.6)/4</f>
        <v>0.33750000000000002</v>
      </c>
      <c r="H259">
        <f>G259*(11.5/38.29)</f>
        <v>0.10136458605379996</v>
      </c>
    </row>
    <row r="260" spans="1:8" x14ac:dyDescent="0.25">
      <c r="A260" s="1">
        <v>1993</v>
      </c>
      <c r="B260" s="1" t="s">
        <v>104</v>
      </c>
      <c r="C260" t="s">
        <v>51</v>
      </c>
      <c r="D260">
        <v>2</v>
      </c>
      <c r="E260">
        <v>38</v>
      </c>
      <c r="F260">
        <v>0.52</v>
      </c>
      <c r="G260">
        <f>(F260/0.6)/4</f>
        <v>0.21666666666666667</v>
      </c>
      <c r="H260">
        <f>G260*(11.5/38.29)</f>
        <v>6.5073561417254289E-2</v>
      </c>
    </row>
    <row r="261" spans="1:8" x14ac:dyDescent="0.25">
      <c r="A261" s="1">
        <v>1993</v>
      </c>
      <c r="B261" s="1" t="s">
        <v>104</v>
      </c>
      <c r="C261" t="s">
        <v>51</v>
      </c>
      <c r="D261">
        <v>2</v>
      </c>
      <c r="E261">
        <v>38</v>
      </c>
      <c r="F261">
        <v>0.16</v>
      </c>
      <c r="G261">
        <f>(F261/0.6)/4</f>
        <v>6.6666666666666666E-2</v>
      </c>
      <c r="H261">
        <f>G261*(11.5/38.29)</f>
        <v>2.0022634282232089E-2</v>
      </c>
    </row>
    <row r="262" spans="1:8" x14ac:dyDescent="0.25">
      <c r="A262" s="1">
        <v>1993</v>
      </c>
      <c r="B262" s="1" t="s">
        <v>104</v>
      </c>
      <c r="C262" t="s">
        <v>51</v>
      </c>
      <c r="D262">
        <v>2</v>
      </c>
      <c r="E262">
        <v>38</v>
      </c>
      <c r="F262">
        <v>0.27</v>
      </c>
      <c r="G262">
        <f>(F262/0.6)/4</f>
        <v>0.11250000000000002</v>
      </c>
      <c r="H262">
        <f>G262*(11.5/38.29)</f>
        <v>3.3788195351266655E-2</v>
      </c>
    </row>
    <row r="263" spans="1:8" x14ac:dyDescent="0.25">
      <c r="A263" s="1">
        <v>1993</v>
      </c>
      <c r="B263" s="1" t="s">
        <v>104</v>
      </c>
      <c r="C263" t="s">
        <v>51</v>
      </c>
      <c r="D263">
        <v>2</v>
      </c>
      <c r="E263">
        <v>38</v>
      </c>
      <c r="F263">
        <v>0.72</v>
      </c>
      <c r="G263">
        <f>(F263/0.6)/4</f>
        <v>0.3</v>
      </c>
      <c r="H263">
        <f>G263*(11.5/38.29)</f>
        <v>9.0101854270044399E-2</v>
      </c>
    </row>
    <row r="264" spans="1:8" x14ac:dyDescent="0.25">
      <c r="A264" s="1">
        <v>1993</v>
      </c>
      <c r="B264" s="1" t="s">
        <v>104</v>
      </c>
      <c r="C264" t="s">
        <v>51</v>
      </c>
      <c r="D264">
        <v>2</v>
      </c>
      <c r="E264">
        <v>38</v>
      </c>
      <c r="F264">
        <v>1.19</v>
      </c>
      <c r="G264">
        <f>(F264/0.6)/4</f>
        <v>0.49583333333333335</v>
      </c>
      <c r="H264">
        <f>G264*(11.5/38.29)</f>
        <v>0.14891834247410116</v>
      </c>
    </row>
    <row r="265" spans="1:8" x14ac:dyDescent="0.25">
      <c r="A265" s="1">
        <v>1993</v>
      </c>
      <c r="B265" s="1" t="s">
        <v>104</v>
      </c>
      <c r="C265" t="s">
        <v>51</v>
      </c>
      <c r="D265">
        <v>2</v>
      </c>
      <c r="E265">
        <v>38</v>
      </c>
      <c r="F265">
        <v>0.23</v>
      </c>
      <c r="G265">
        <f>(F265/0.6)/4</f>
        <v>9.583333333333334E-2</v>
      </c>
      <c r="H265">
        <f>G265*(11.5/38.29)</f>
        <v>2.8782536780708627E-2</v>
      </c>
    </row>
    <row r="266" spans="1:8" x14ac:dyDescent="0.25">
      <c r="A266" s="1">
        <v>1993</v>
      </c>
      <c r="B266" s="1" t="s">
        <v>104</v>
      </c>
      <c r="C266" t="s">
        <v>51</v>
      </c>
      <c r="D266">
        <v>2</v>
      </c>
      <c r="E266">
        <v>38</v>
      </c>
      <c r="F266">
        <v>1.71</v>
      </c>
      <c r="G266">
        <f>(F266/0.6)/4</f>
        <v>0.71250000000000002</v>
      </c>
      <c r="H266">
        <f>G266*(11.5/38.29)</f>
        <v>0.21399190389135544</v>
      </c>
    </row>
    <row r="267" spans="1:8" x14ac:dyDescent="0.25">
      <c r="A267" s="1">
        <v>1993</v>
      </c>
      <c r="B267" s="1" t="s">
        <v>104</v>
      </c>
      <c r="C267" t="s">
        <v>51</v>
      </c>
      <c r="D267">
        <v>2</v>
      </c>
      <c r="E267">
        <v>38</v>
      </c>
      <c r="F267">
        <v>0.91</v>
      </c>
      <c r="G267">
        <f>(F267/0.6)/4</f>
        <v>0.37916666666666671</v>
      </c>
      <c r="H267">
        <f>G267*(11.5/38.29)</f>
        <v>0.11387873248019502</v>
      </c>
    </row>
    <row r="268" spans="1:8" x14ac:dyDescent="0.25">
      <c r="A268" s="1">
        <v>1993</v>
      </c>
      <c r="B268" s="1" t="s">
        <v>104</v>
      </c>
      <c r="C268" t="s">
        <v>51</v>
      </c>
      <c r="D268">
        <v>2</v>
      </c>
      <c r="E268">
        <v>38</v>
      </c>
      <c r="F268">
        <v>0.87</v>
      </c>
      <c r="G268">
        <f>(F268/0.6)/4</f>
        <v>0.36249999999999999</v>
      </c>
      <c r="H268">
        <f>G268*(11.5/38.29)</f>
        <v>0.10887307390963698</v>
      </c>
    </row>
    <row r="269" spans="1:8" x14ac:dyDescent="0.25">
      <c r="A269" s="1">
        <v>1993</v>
      </c>
      <c r="B269" s="1" t="s">
        <v>104</v>
      </c>
      <c r="C269" t="s">
        <v>51</v>
      </c>
      <c r="D269">
        <v>2</v>
      </c>
      <c r="E269">
        <v>38</v>
      </c>
      <c r="F269">
        <v>0.7</v>
      </c>
      <c r="G269">
        <f>(F269/0.6)/4</f>
        <v>0.29166666666666669</v>
      </c>
      <c r="H269">
        <f>G269*(11.5/38.29)</f>
        <v>8.7599024984765392E-2</v>
      </c>
    </row>
    <row r="270" spans="1:8" x14ac:dyDescent="0.25">
      <c r="A270" s="1">
        <v>1993</v>
      </c>
      <c r="B270" s="1" t="s">
        <v>104</v>
      </c>
      <c r="C270" t="s">
        <v>51</v>
      </c>
      <c r="D270">
        <v>2</v>
      </c>
      <c r="E270">
        <v>38</v>
      </c>
      <c r="F270">
        <v>0.65</v>
      </c>
      <c r="G270">
        <f>(F270/0.6)/4</f>
        <v>0.27083333333333337</v>
      </c>
      <c r="H270">
        <f>G270*(11.5/38.29)</f>
        <v>8.1341951771567875E-2</v>
      </c>
    </row>
    <row r="271" spans="1:8" x14ac:dyDescent="0.25">
      <c r="A271" s="1">
        <v>1993</v>
      </c>
      <c r="B271" s="1" t="s">
        <v>104</v>
      </c>
      <c r="C271" t="s">
        <v>51</v>
      </c>
      <c r="D271">
        <v>2</v>
      </c>
      <c r="E271">
        <v>38</v>
      </c>
      <c r="F271">
        <v>0.34</v>
      </c>
      <c r="G271">
        <f>(F271/0.6)/4</f>
        <v>0.14166666666666669</v>
      </c>
      <c r="H271">
        <f>G271*(11.5/38.29)</f>
        <v>4.2548097849743192E-2</v>
      </c>
    </row>
    <row r="272" spans="1:8" x14ac:dyDescent="0.25">
      <c r="A272" s="1">
        <v>1993</v>
      </c>
      <c r="B272" s="1" t="s">
        <v>104</v>
      </c>
      <c r="C272" t="s">
        <v>51</v>
      </c>
      <c r="D272">
        <v>2</v>
      </c>
      <c r="E272">
        <v>38</v>
      </c>
      <c r="F272">
        <v>0.52</v>
      </c>
      <c r="G272">
        <f>(F272/0.6)/4</f>
        <v>0.21666666666666667</v>
      </c>
      <c r="H272">
        <f>G272*(11.5/38.29)</f>
        <v>6.5073561417254289E-2</v>
      </c>
    </row>
    <row r="273" spans="1:8" x14ac:dyDescent="0.25">
      <c r="A273" s="1">
        <v>1993</v>
      </c>
      <c r="B273" s="1" t="s">
        <v>104</v>
      </c>
      <c r="C273" t="s">
        <v>51</v>
      </c>
      <c r="D273">
        <v>2</v>
      </c>
      <c r="E273">
        <v>38</v>
      </c>
      <c r="F273">
        <v>0.81</v>
      </c>
      <c r="G273">
        <f>(F273/0.6)/4</f>
        <v>0.33750000000000002</v>
      </c>
      <c r="H273">
        <f>G273*(11.5/38.29)</f>
        <v>0.10136458605379996</v>
      </c>
    </row>
    <row r="274" spans="1:8" x14ac:dyDescent="0.25">
      <c r="A274" s="1">
        <v>1993</v>
      </c>
      <c r="B274" s="1" t="s">
        <v>104</v>
      </c>
      <c r="C274" t="s">
        <v>51</v>
      </c>
      <c r="D274">
        <v>2</v>
      </c>
      <c r="E274">
        <v>38</v>
      </c>
      <c r="F274">
        <v>1.08</v>
      </c>
      <c r="G274">
        <f>(F274/0.6)/4</f>
        <v>0.45000000000000007</v>
      </c>
      <c r="H274">
        <f>G274*(11.5/38.29)</f>
        <v>0.13515278140506662</v>
      </c>
    </row>
    <row r="275" spans="1:8" x14ac:dyDescent="0.25">
      <c r="A275" s="1">
        <v>1993</v>
      </c>
      <c r="B275" s="1" t="s">
        <v>104</v>
      </c>
      <c r="C275" t="s">
        <v>51</v>
      </c>
      <c r="D275">
        <v>2</v>
      </c>
      <c r="E275">
        <v>38</v>
      </c>
      <c r="F275">
        <v>0.39</v>
      </c>
      <c r="G275">
        <f>(F275/0.6)/4</f>
        <v>0.16250000000000001</v>
      </c>
      <c r="H275">
        <f>G275*(11.5/38.29)</f>
        <v>4.8805171062940716E-2</v>
      </c>
    </row>
    <row r="276" spans="1:8" x14ac:dyDescent="0.25">
      <c r="A276" s="1">
        <v>1993</v>
      </c>
      <c r="B276" s="1" t="s">
        <v>104</v>
      </c>
      <c r="C276" t="s">
        <v>51</v>
      </c>
      <c r="D276">
        <v>2</v>
      </c>
      <c r="E276">
        <v>38</v>
      </c>
      <c r="F276">
        <v>1.28</v>
      </c>
      <c r="G276">
        <f>(F276/0.6)/4</f>
        <v>0.53333333333333333</v>
      </c>
      <c r="H276">
        <f>G276*(11.5/38.29)</f>
        <v>0.16018107425785671</v>
      </c>
    </row>
    <row r="277" spans="1:8" x14ac:dyDescent="0.25">
      <c r="A277" s="1">
        <v>1993</v>
      </c>
      <c r="B277" s="1" t="s">
        <v>104</v>
      </c>
      <c r="C277" t="s">
        <v>51</v>
      </c>
      <c r="D277">
        <v>2</v>
      </c>
      <c r="E277">
        <v>38</v>
      </c>
      <c r="F277">
        <v>0.7</v>
      </c>
      <c r="G277">
        <f>(F277/0.6)/4</f>
        <v>0.29166666666666669</v>
      </c>
      <c r="H277">
        <f>G277*(11.5/38.29)</f>
        <v>8.7599024984765392E-2</v>
      </c>
    </row>
    <row r="278" spans="1:8" x14ac:dyDescent="0.25">
      <c r="A278" s="1">
        <v>1993</v>
      </c>
      <c r="B278" s="1" t="s">
        <v>104</v>
      </c>
      <c r="C278" t="s">
        <v>51</v>
      </c>
      <c r="D278">
        <v>2</v>
      </c>
      <c r="E278">
        <v>38</v>
      </c>
      <c r="F278">
        <v>0.77</v>
      </c>
      <c r="G278">
        <f>(F278/0.6)/4</f>
        <v>0.32083333333333336</v>
      </c>
      <c r="H278">
        <f>G278*(11.5/38.29)</f>
        <v>9.635892748324193E-2</v>
      </c>
    </row>
    <row r="279" spans="1:8" x14ac:dyDescent="0.25">
      <c r="A279" s="1">
        <v>1993</v>
      </c>
      <c r="B279" s="1" t="s">
        <v>104</v>
      </c>
      <c r="C279" t="s">
        <v>51</v>
      </c>
      <c r="D279">
        <v>2</v>
      </c>
      <c r="E279">
        <v>38</v>
      </c>
      <c r="F279">
        <v>1.65</v>
      </c>
      <c r="G279">
        <f>(F279/0.6)/4</f>
        <v>0.6875</v>
      </c>
      <c r="H279">
        <f>G279*(11.5/38.29)</f>
        <v>0.2064834160355184</v>
      </c>
    </row>
    <row r="280" spans="1:8" x14ac:dyDescent="0.25">
      <c r="A280" s="1">
        <v>1993</v>
      </c>
      <c r="B280" s="1" t="s">
        <v>104</v>
      </c>
      <c r="C280" t="s">
        <v>51</v>
      </c>
      <c r="D280">
        <v>2</v>
      </c>
      <c r="E280">
        <v>38</v>
      </c>
      <c r="F280">
        <v>0.34</v>
      </c>
      <c r="G280">
        <f>(F280/0.6)/4</f>
        <v>0.14166666666666669</v>
      </c>
      <c r="H280">
        <f>G280*(11.5/38.29)</f>
        <v>4.2548097849743192E-2</v>
      </c>
    </row>
    <row r="281" spans="1:8" x14ac:dyDescent="0.25">
      <c r="A281" s="1">
        <v>1993</v>
      </c>
      <c r="B281" s="1" t="s">
        <v>104</v>
      </c>
      <c r="C281" t="s">
        <v>51</v>
      </c>
      <c r="D281">
        <v>2</v>
      </c>
      <c r="E281">
        <v>38</v>
      </c>
      <c r="F281">
        <v>1.18</v>
      </c>
      <c r="G281">
        <f>(F281/0.6)/4</f>
        <v>0.49166666666666664</v>
      </c>
      <c r="H281">
        <f>G281*(11.5/38.29)</f>
        <v>0.14766692783146165</v>
      </c>
    </row>
    <row r="282" spans="1:8" x14ac:dyDescent="0.25">
      <c r="A282" s="1">
        <v>1993</v>
      </c>
      <c r="B282" s="1" t="s">
        <v>104</v>
      </c>
      <c r="C282" t="s">
        <v>51</v>
      </c>
      <c r="D282">
        <v>2</v>
      </c>
      <c r="E282">
        <v>38</v>
      </c>
      <c r="F282">
        <v>1.77</v>
      </c>
      <c r="G282">
        <f>(F282/0.6)/4</f>
        <v>0.73750000000000004</v>
      </c>
      <c r="H282">
        <f>G282*(11.5/38.29)</f>
        <v>0.22150039174719249</v>
      </c>
    </row>
    <row r="283" spans="1:8" x14ac:dyDescent="0.25">
      <c r="A283" s="1">
        <v>1993</v>
      </c>
      <c r="B283" s="1" t="s">
        <v>104</v>
      </c>
      <c r="C283" t="s">
        <v>51</v>
      </c>
      <c r="D283">
        <v>2</v>
      </c>
      <c r="E283">
        <v>38</v>
      </c>
      <c r="F283">
        <v>0.72</v>
      </c>
      <c r="G283">
        <f>(F283/0.6)/4</f>
        <v>0.3</v>
      </c>
      <c r="H283">
        <f>G283*(11.5/38.29)</f>
        <v>9.0101854270044399E-2</v>
      </c>
    </row>
    <row r="284" spans="1:8" x14ac:dyDescent="0.25">
      <c r="A284" s="1">
        <v>1993</v>
      </c>
      <c r="B284" s="1" t="s">
        <v>104</v>
      </c>
      <c r="C284" t="s">
        <v>51</v>
      </c>
      <c r="D284">
        <v>2</v>
      </c>
      <c r="E284">
        <v>38</v>
      </c>
      <c r="F284">
        <v>0.65</v>
      </c>
      <c r="G284">
        <f>(F284/0.6)/4</f>
        <v>0.27083333333333337</v>
      </c>
      <c r="H284">
        <f>G284*(11.5/38.29)</f>
        <v>8.1341951771567875E-2</v>
      </c>
    </row>
    <row r="285" spans="1:8" x14ac:dyDescent="0.25">
      <c r="A285" s="1">
        <v>1993</v>
      </c>
      <c r="B285" s="1" t="s">
        <v>104</v>
      </c>
      <c r="C285" t="s">
        <v>51</v>
      </c>
      <c r="D285">
        <v>2</v>
      </c>
      <c r="E285">
        <v>38</v>
      </c>
      <c r="F285">
        <v>0.64</v>
      </c>
      <c r="G285">
        <f>(F285/0.6)/4</f>
        <v>0.26666666666666666</v>
      </c>
      <c r="H285">
        <f>G285*(11.5/38.29)</f>
        <v>8.0090537128928357E-2</v>
      </c>
    </row>
    <row r="286" spans="1:8" x14ac:dyDescent="0.25">
      <c r="A286" s="1">
        <v>1993</v>
      </c>
      <c r="B286" s="1" t="s">
        <v>104</v>
      </c>
      <c r="C286" t="s">
        <v>51</v>
      </c>
      <c r="D286">
        <v>2</v>
      </c>
      <c r="E286">
        <v>38</v>
      </c>
      <c r="F286">
        <v>0.27</v>
      </c>
      <c r="G286">
        <f>(F286/0.6)/4</f>
        <v>0.11250000000000002</v>
      </c>
      <c r="H286">
        <f>G286*(11.5/38.29)</f>
        <v>3.3788195351266655E-2</v>
      </c>
    </row>
    <row r="287" spans="1:8" x14ac:dyDescent="0.25">
      <c r="A287" s="1">
        <v>1993</v>
      </c>
      <c r="B287" s="1" t="s">
        <v>104</v>
      </c>
      <c r="C287" t="s">
        <v>51</v>
      </c>
      <c r="D287">
        <v>2</v>
      </c>
      <c r="E287">
        <v>38</v>
      </c>
      <c r="F287">
        <v>0.8</v>
      </c>
      <c r="G287">
        <f>(F287/0.6)/4</f>
        <v>0.33333333333333337</v>
      </c>
      <c r="H287">
        <f>G287*(11.5/38.29)</f>
        <v>0.10011317141116045</v>
      </c>
    </row>
    <row r="288" spans="1:8" x14ac:dyDescent="0.25">
      <c r="A288" s="1">
        <v>1993</v>
      </c>
      <c r="B288" s="1" t="s">
        <v>104</v>
      </c>
      <c r="C288" t="s">
        <v>51</v>
      </c>
      <c r="D288">
        <v>2</v>
      </c>
      <c r="E288">
        <v>38</v>
      </c>
      <c r="F288">
        <v>0.72</v>
      </c>
      <c r="G288">
        <f>(F288/0.6)/4</f>
        <v>0.3</v>
      </c>
      <c r="H288">
        <f>G288*(11.5/38.29)</f>
        <v>9.0101854270044399E-2</v>
      </c>
    </row>
    <row r="289" spans="1:8" x14ac:dyDescent="0.25">
      <c r="A289" s="1">
        <v>1993</v>
      </c>
      <c r="B289" s="1" t="s">
        <v>104</v>
      </c>
      <c r="C289" t="s">
        <v>51</v>
      </c>
      <c r="D289">
        <v>2</v>
      </c>
      <c r="E289">
        <v>38</v>
      </c>
      <c r="F289">
        <v>1.05</v>
      </c>
      <c r="G289">
        <f>(F289/0.6)/4</f>
        <v>0.43750000000000006</v>
      </c>
      <c r="H289">
        <f>G289*(11.5/38.29)</f>
        <v>0.13139853747714808</v>
      </c>
    </row>
    <row r="290" spans="1:8" x14ac:dyDescent="0.25">
      <c r="A290" s="1">
        <v>1993</v>
      </c>
      <c r="B290" s="1" t="s">
        <v>104</v>
      </c>
      <c r="C290" t="s">
        <v>51</v>
      </c>
      <c r="D290">
        <v>2</v>
      </c>
      <c r="E290">
        <v>38</v>
      </c>
      <c r="F290">
        <v>0.8</v>
      </c>
      <c r="G290">
        <f>(F290/0.6)/4</f>
        <v>0.33333333333333337</v>
      </c>
      <c r="H290">
        <f>G290*(11.5/38.29)</f>
        <v>0.10011317141116045</v>
      </c>
    </row>
    <row r="291" spans="1:8" x14ac:dyDescent="0.25">
      <c r="A291" s="1">
        <v>1993</v>
      </c>
      <c r="B291" s="1" t="s">
        <v>104</v>
      </c>
      <c r="C291" t="s">
        <v>51</v>
      </c>
      <c r="D291">
        <v>2</v>
      </c>
      <c r="E291">
        <v>38</v>
      </c>
      <c r="F291">
        <v>0.73</v>
      </c>
      <c r="G291">
        <f>(F291/0.6)/4</f>
        <v>0.3041666666666667</v>
      </c>
      <c r="H291">
        <f>G291*(11.5/38.29)</f>
        <v>9.1353268912683916E-2</v>
      </c>
    </row>
    <row r="292" spans="1:8" x14ac:dyDescent="0.25">
      <c r="A292" s="1">
        <v>1993</v>
      </c>
      <c r="B292" s="1" t="s">
        <v>104</v>
      </c>
      <c r="C292" t="s">
        <v>51</v>
      </c>
      <c r="D292">
        <v>2</v>
      </c>
      <c r="E292">
        <v>38</v>
      </c>
      <c r="F292">
        <v>0.06</v>
      </c>
      <c r="G292">
        <f>(F292/0.6)/4</f>
        <v>2.5000000000000001E-2</v>
      </c>
      <c r="H292">
        <f>G292*(11.5/38.29)</f>
        <v>7.5084878558370335E-3</v>
      </c>
    </row>
    <row r="293" spans="1:8" x14ac:dyDescent="0.25">
      <c r="A293" s="1">
        <v>1993</v>
      </c>
      <c r="B293" s="1" t="s">
        <v>104</v>
      </c>
      <c r="C293" t="s">
        <v>51</v>
      </c>
      <c r="D293">
        <v>2</v>
      </c>
      <c r="E293">
        <v>38</v>
      </c>
      <c r="F293">
        <v>1.02</v>
      </c>
      <c r="G293">
        <f>(F293/0.6)/4</f>
        <v>0.42500000000000004</v>
      </c>
      <c r="H293">
        <f>G293*(11.5/38.29)</f>
        <v>0.12764429354922957</v>
      </c>
    </row>
    <row r="294" spans="1:8" x14ac:dyDescent="0.25">
      <c r="A294" s="1">
        <v>1993</v>
      </c>
      <c r="B294" s="1" t="s">
        <v>104</v>
      </c>
      <c r="C294" t="s">
        <v>51</v>
      </c>
      <c r="D294">
        <v>2</v>
      </c>
      <c r="E294">
        <v>38</v>
      </c>
      <c r="F294">
        <v>1.67</v>
      </c>
      <c r="G294">
        <f>(F294/0.6)/4</f>
        <v>0.6958333333333333</v>
      </c>
      <c r="H294">
        <f>G294*(11.5/38.29)</f>
        <v>0.2089862453207974</v>
      </c>
    </row>
    <row r="295" spans="1:8" x14ac:dyDescent="0.25">
      <c r="A295" s="1">
        <v>1993</v>
      </c>
      <c r="B295" s="1" t="s">
        <v>104</v>
      </c>
      <c r="C295" t="s">
        <v>51</v>
      </c>
      <c r="D295">
        <v>2</v>
      </c>
      <c r="E295">
        <v>38</v>
      </c>
      <c r="F295">
        <v>0.3</v>
      </c>
      <c r="G295">
        <f>(F295/0.6)/4</f>
        <v>0.125</v>
      </c>
      <c r="H295">
        <f>G295*(11.5/38.29)</f>
        <v>3.7542439279185165E-2</v>
      </c>
    </row>
    <row r="296" spans="1:8" x14ac:dyDescent="0.25">
      <c r="A296" s="1">
        <v>1993</v>
      </c>
      <c r="B296" s="1" t="s">
        <v>104</v>
      </c>
      <c r="C296" t="s">
        <v>51</v>
      </c>
      <c r="D296">
        <v>2</v>
      </c>
      <c r="E296">
        <v>38</v>
      </c>
      <c r="F296">
        <v>0.4</v>
      </c>
      <c r="G296">
        <f>(F296/0.6)/4</f>
        <v>0.16666666666666669</v>
      </c>
      <c r="H296">
        <f>G296*(11.5/38.29)</f>
        <v>5.0056585705580227E-2</v>
      </c>
    </row>
    <row r="297" spans="1:8" x14ac:dyDescent="0.25">
      <c r="A297" s="1">
        <v>1993</v>
      </c>
      <c r="B297" s="1" t="s">
        <v>104</v>
      </c>
      <c r="C297" t="s">
        <v>51</v>
      </c>
      <c r="D297">
        <v>2</v>
      </c>
      <c r="E297">
        <v>38</v>
      </c>
      <c r="F297">
        <v>1.02</v>
      </c>
      <c r="G297">
        <f>(F297/0.6)/4</f>
        <v>0.42500000000000004</v>
      </c>
      <c r="H297">
        <f>G297*(11.5/38.29)</f>
        <v>0.12764429354922957</v>
      </c>
    </row>
    <row r="298" spans="1:8" x14ac:dyDescent="0.25">
      <c r="A298" s="1">
        <v>1993</v>
      </c>
      <c r="B298" s="1" t="s">
        <v>104</v>
      </c>
      <c r="C298" t="s">
        <v>51</v>
      </c>
      <c r="D298">
        <v>2</v>
      </c>
      <c r="E298">
        <v>38</v>
      </c>
      <c r="F298">
        <v>0.45</v>
      </c>
      <c r="G298">
        <f>(F298/0.6)/4</f>
        <v>0.1875</v>
      </c>
      <c r="H298">
        <f>G298*(11.5/38.29)</f>
        <v>5.6313658918777751E-2</v>
      </c>
    </row>
    <row r="299" spans="1:8" x14ac:dyDescent="0.25">
      <c r="A299" s="1">
        <v>1993</v>
      </c>
      <c r="B299" s="1" t="s">
        <v>104</v>
      </c>
      <c r="C299" t="s">
        <v>51</v>
      </c>
      <c r="D299">
        <v>2</v>
      </c>
      <c r="E299">
        <v>38</v>
      </c>
      <c r="F299">
        <v>0.73</v>
      </c>
      <c r="G299">
        <f>(F299/0.6)/4</f>
        <v>0.3041666666666667</v>
      </c>
      <c r="H299">
        <f>G299*(11.5/38.29)</f>
        <v>9.1353268912683916E-2</v>
      </c>
    </row>
    <row r="300" spans="1:8" x14ac:dyDescent="0.25">
      <c r="A300" s="1">
        <v>1993</v>
      </c>
      <c r="B300" s="1" t="s">
        <v>104</v>
      </c>
      <c r="C300" t="s">
        <v>51</v>
      </c>
      <c r="D300">
        <v>2</v>
      </c>
      <c r="E300">
        <v>38</v>
      </c>
      <c r="F300">
        <v>0.43</v>
      </c>
      <c r="G300">
        <f>(F300/0.6)/4</f>
        <v>0.17916666666666667</v>
      </c>
      <c r="H300">
        <f>G300*(11.5/38.29)</f>
        <v>5.3810829633498737E-2</v>
      </c>
    </row>
    <row r="301" spans="1:8" x14ac:dyDescent="0.25">
      <c r="A301" s="1">
        <v>1993</v>
      </c>
      <c r="B301" s="1" t="s">
        <v>104</v>
      </c>
      <c r="C301" t="s">
        <v>51</v>
      </c>
      <c r="D301">
        <v>2</v>
      </c>
      <c r="E301">
        <v>38</v>
      </c>
      <c r="F301">
        <v>0.72</v>
      </c>
      <c r="G301">
        <f>(F301/0.6)/4</f>
        <v>0.3</v>
      </c>
      <c r="H301">
        <f>G301*(11.5/38.29)</f>
        <v>9.0101854270044399E-2</v>
      </c>
    </row>
    <row r="302" spans="1:8" x14ac:dyDescent="0.25">
      <c r="A302" s="1">
        <v>1993</v>
      </c>
      <c r="B302" s="1" t="s">
        <v>104</v>
      </c>
      <c r="C302" t="s">
        <v>51</v>
      </c>
      <c r="D302">
        <v>2</v>
      </c>
      <c r="E302">
        <v>38</v>
      </c>
      <c r="F302">
        <v>1.23</v>
      </c>
      <c r="G302">
        <f>(F302/0.6)/4</f>
        <v>0.51250000000000007</v>
      </c>
      <c r="H302">
        <f>G302*(11.5/38.29)</f>
        <v>0.1539240010446592</v>
      </c>
    </row>
    <row r="303" spans="1:8" x14ac:dyDescent="0.25">
      <c r="A303" s="1">
        <v>1993</v>
      </c>
      <c r="B303" s="1" t="s">
        <v>104</v>
      </c>
      <c r="C303" t="s">
        <v>51</v>
      </c>
      <c r="D303">
        <v>2</v>
      </c>
      <c r="E303">
        <v>40</v>
      </c>
      <c r="F303">
        <v>1.1000000000000001</v>
      </c>
      <c r="G303">
        <f>(F303/0.6)/4</f>
        <v>0.45833333333333337</v>
      </c>
      <c r="H303">
        <f>G303*(11.5/38.29)</f>
        <v>0.13765561069034563</v>
      </c>
    </row>
    <row r="304" spans="1:8" x14ac:dyDescent="0.25">
      <c r="A304" s="1">
        <v>1993</v>
      </c>
      <c r="B304" s="1" t="s">
        <v>104</v>
      </c>
      <c r="C304" t="s">
        <v>51</v>
      </c>
      <c r="D304">
        <v>2</v>
      </c>
      <c r="E304">
        <v>40</v>
      </c>
      <c r="F304">
        <v>0.17</v>
      </c>
      <c r="G304">
        <f>(F304/0.6)/4</f>
        <v>7.0833333333333345E-2</v>
      </c>
      <c r="H304">
        <f>G304*(11.5/38.29)</f>
        <v>2.1274048924871596E-2</v>
      </c>
    </row>
    <row r="305" spans="1:8" x14ac:dyDescent="0.25">
      <c r="A305" s="1">
        <v>1993</v>
      </c>
      <c r="B305" s="1" t="s">
        <v>104</v>
      </c>
      <c r="C305" t="s">
        <v>51</v>
      </c>
      <c r="D305">
        <v>2</v>
      </c>
      <c r="E305">
        <v>40</v>
      </c>
      <c r="F305">
        <v>0.53</v>
      </c>
      <c r="G305">
        <f>(F305/0.6)/4</f>
        <v>0.22083333333333335</v>
      </c>
      <c r="H305">
        <f>G305*(11.5/38.29)</f>
        <v>6.6324976059893792E-2</v>
      </c>
    </row>
    <row r="306" spans="1:8" x14ac:dyDescent="0.25">
      <c r="A306" s="1">
        <v>1993</v>
      </c>
      <c r="B306" s="1" t="s">
        <v>104</v>
      </c>
      <c r="C306" t="s">
        <v>51</v>
      </c>
      <c r="D306">
        <v>2</v>
      </c>
      <c r="E306">
        <v>40</v>
      </c>
      <c r="F306">
        <v>0.16</v>
      </c>
      <c r="G306">
        <f>(F306/0.6)/4</f>
        <v>6.6666666666666666E-2</v>
      </c>
      <c r="H306">
        <f>G306*(11.5/38.29)</f>
        <v>2.0022634282232089E-2</v>
      </c>
    </row>
    <row r="307" spans="1:8" x14ac:dyDescent="0.25">
      <c r="A307" s="1">
        <v>1993</v>
      </c>
      <c r="B307" s="1" t="s">
        <v>104</v>
      </c>
      <c r="C307" t="s">
        <v>51</v>
      </c>
      <c r="D307">
        <v>2</v>
      </c>
      <c r="E307">
        <v>40</v>
      </c>
      <c r="F307">
        <v>0.65</v>
      </c>
      <c r="G307">
        <f>(F307/0.6)/4</f>
        <v>0.27083333333333337</v>
      </c>
      <c r="H307">
        <f>G307*(11.5/38.29)</f>
        <v>8.1341951771567875E-2</v>
      </c>
    </row>
    <row r="308" spans="1:8" x14ac:dyDescent="0.25">
      <c r="A308" s="1">
        <v>1993</v>
      </c>
      <c r="B308" s="1" t="s">
        <v>104</v>
      </c>
      <c r="C308" t="s">
        <v>51</v>
      </c>
      <c r="D308">
        <v>2</v>
      </c>
      <c r="E308">
        <v>40</v>
      </c>
      <c r="F308">
        <v>1.69</v>
      </c>
      <c r="G308">
        <f>(F308/0.6)/4</f>
        <v>0.70416666666666672</v>
      </c>
      <c r="H308">
        <f>G308*(11.5/38.29)</f>
        <v>0.21148907460607644</v>
      </c>
    </row>
    <row r="309" spans="1:8" x14ac:dyDescent="0.25">
      <c r="A309" s="1">
        <v>1993</v>
      </c>
      <c r="B309" s="1" t="s">
        <v>104</v>
      </c>
      <c r="C309" t="s">
        <v>51</v>
      </c>
      <c r="D309">
        <v>2</v>
      </c>
      <c r="E309">
        <v>40</v>
      </c>
      <c r="F309">
        <v>1.1499999999999999</v>
      </c>
      <c r="G309">
        <f>(F309/0.6)/4</f>
        <v>0.47916666666666663</v>
      </c>
      <c r="H309">
        <f>G309*(11.5/38.29)</f>
        <v>0.14391268390354311</v>
      </c>
    </row>
    <row r="310" spans="1:8" x14ac:dyDescent="0.25">
      <c r="A310" s="1">
        <v>1993</v>
      </c>
      <c r="B310" s="1" t="s">
        <v>104</v>
      </c>
      <c r="C310" t="s">
        <v>51</v>
      </c>
      <c r="D310">
        <v>2</v>
      </c>
      <c r="E310">
        <v>40</v>
      </c>
      <c r="F310">
        <v>0.16</v>
      </c>
      <c r="G310">
        <f>(F310/0.6)/4</f>
        <v>6.6666666666666666E-2</v>
      </c>
      <c r="H310">
        <f>G310*(11.5/38.29)</f>
        <v>2.0022634282232089E-2</v>
      </c>
    </row>
    <row r="311" spans="1:8" x14ac:dyDescent="0.25">
      <c r="A311" s="1">
        <v>1993</v>
      </c>
      <c r="B311" s="1" t="s">
        <v>104</v>
      </c>
      <c r="C311" t="s">
        <v>51</v>
      </c>
      <c r="D311">
        <v>2</v>
      </c>
      <c r="E311">
        <v>40</v>
      </c>
      <c r="F311">
        <v>1.47</v>
      </c>
      <c r="G311">
        <f>(F311/0.6)/4</f>
        <v>0.61250000000000004</v>
      </c>
      <c r="H311">
        <f>G311*(11.5/38.29)</f>
        <v>0.18395795246800734</v>
      </c>
    </row>
    <row r="312" spans="1:8" x14ac:dyDescent="0.25">
      <c r="A312" s="1">
        <v>1993</v>
      </c>
      <c r="B312" s="1" t="s">
        <v>104</v>
      </c>
      <c r="C312" t="s">
        <v>51</v>
      </c>
      <c r="D312">
        <v>2</v>
      </c>
      <c r="E312">
        <v>40</v>
      </c>
      <c r="F312">
        <v>0.24</v>
      </c>
      <c r="G312">
        <f>(F312/0.6)/4</f>
        <v>0.1</v>
      </c>
      <c r="H312">
        <f>G312*(11.5/38.29)</f>
        <v>3.0033951423348134E-2</v>
      </c>
    </row>
    <row r="313" spans="1:8" x14ac:dyDescent="0.25">
      <c r="A313" s="1">
        <v>1993</v>
      </c>
      <c r="B313" s="1" t="s">
        <v>104</v>
      </c>
      <c r="C313" t="s">
        <v>51</v>
      </c>
      <c r="D313">
        <v>2</v>
      </c>
      <c r="E313">
        <v>40</v>
      </c>
      <c r="F313">
        <v>1.48</v>
      </c>
      <c r="G313">
        <f>(F313/0.6)/4</f>
        <v>0.6166666666666667</v>
      </c>
      <c r="H313">
        <f>G313*(11.5/38.29)</f>
        <v>0.18520936711064681</v>
      </c>
    </row>
    <row r="314" spans="1:8" x14ac:dyDescent="0.25">
      <c r="A314" s="1">
        <v>1993</v>
      </c>
      <c r="B314" s="1" t="s">
        <v>104</v>
      </c>
      <c r="C314" t="s">
        <v>51</v>
      </c>
      <c r="D314">
        <v>2</v>
      </c>
      <c r="E314">
        <v>41</v>
      </c>
      <c r="F314">
        <v>0.62</v>
      </c>
      <c r="G314">
        <f>(F314/0.6)/4</f>
        <v>0.25833333333333336</v>
      </c>
      <c r="H314">
        <f>G314*(11.5/38.29)</f>
        <v>7.7587707843649351E-2</v>
      </c>
    </row>
    <row r="315" spans="1:8" x14ac:dyDescent="0.25">
      <c r="A315" s="1">
        <v>1993</v>
      </c>
      <c r="B315" s="1" t="s">
        <v>104</v>
      </c>
      <c r="C315" t="s">
        <v>51</v>
      </c>
      <c r="D315">
        <v>2</v>
      </c>
      <c r="E315">
        <v>41</v>
      </c>
      <c r="F315">
        <v>0.38</v>
      </c>
      <c r="G315">
        <f>(F315/0.6)/4</f>
        <v>0.15833333333333335</v>
      </c>
      <c r="H315">
        <f>G315*(11.5/38.29)</f>
        <v>4.7553756420301213E-2</v>
      </c>
    </row>
    <row r="316" spans="1:8" x14ac:dyDescent="0.25">
      <c r="A316" s="1">
        <v>1993</v>
      </c>
      <c r="B316" s="1" t="s">
        <v>104</v>
      </c>
      <c r="C316" t="s">
        <v>51</v>
      </c>
      <c r="D316">
        <v>2</v>
      </c>
      <c r="E316">
        <v>41</v>
      </c>
      <c r="F316">
        <v>0.46</v>
      </c>
      <c r="G316">
        <f>(F316/0.6)/4</f>
        <v>0.19166666666666668</v>
      </c>
      <c r="H316">
        <f>G316*(11.5/38.29)</f>
        <v>5.7565073561417254E-2</v>
      </c>
    </row>
    <row r="317" spans="1:8" x14ac:dyDescent="0.25">
      <c r="A317" s="1">
        <v>1993</v>
      </c>
      <c r="B317" s="1" t="s">
        <v>104</v>
      </c>
      <c r="C317" t="s">
        <v>51</v>
      </c>
      <c r="D317">
        <v>2</v>
      </c>
      <c r="E317">
        <v>41</v>
      </c>
      <c r="F317">
        <v>1.02</v>
      </c>
      <c r="G317">
        <f>(F317/0.6)/4</f>
        <v>0.42500000000000004</v>
      </c>
      <c r="H317">
        <f>G317*(11.5/38.29)</f>
        <v>0.12764429354922957</v>
      </c>
    </row>
    <row r="318" spans="1:8" x14ac:dyDescent="0.25">
      <c r="A318" s="1">
        <v>1993</v>
      </c>
      <c r="B318" s="1" t="s">
        <v>104</v>
      </c>
      <c r="C318" t="s">
        <v>51</v>
      </c>
      <c r="D318">
        <v>2</v>
      </c>
      <c r="E318">
        <v>41</v>
      </c>
      <c r="F318">
        <v>0.26</v>
      </c>
      <c r="G318">
        <f>(F318/0.6)/4</f>
        <v>0.10833333333333334</v>
      </c>
      <c r="H318">
        <f>G318*(11.5/38.29)</f>
        <v>3.2536780708627144E-2</v>
      </c>
    </row>
    <row r="319" spans="1:8" x14ac:dyDescent="0.25">
      <c r="A319" s="1">
        <v>1993</v>
      </c>
      <c r="B319" s="1" t="s">
        <v>104</v>
      </c>
      <c r="C319" t="s">
        <v>51</v>
      </c>
      <c r="D319">
        <v>2</v>
      </c>
      <c r="E319">
        <v>41</v>
      </c>
      <c r="F319">
        <v>0.45</v>
      </c>
      <c r="G319">
        <f>(F319/0.6)/4</f>
        <v>0.1875</v>
      </c>
      <c r="H319">
        <f>G319*(11.5/38.29)</f>
        <v>5.6313658918777751E-2</v>
      </c>
    </row>
    <row r="320" spans="1:8" x14ac:dyDescent="0.25">
      <c r="A320" s="1">
        <v>1993</v>
      </c>
      <c r="B320" s="1" t="s">
        <v>104</v>
      </c>
      <c r="C320" t="s">
        <v>51</v>
      </c>
      <c r="D320">
        <v>2</v>
      </c>
      <c r="E320">
        <v>41</v>
      </c>
      <c r="F320">
        <v>0.42</v>
      </c>
      <c r="G320">
        <f>(F320/0.6)/4</f>
        <v>0.17499999999999999</v>
      </c>
      <c r="H320">
        <f>G320*(11.5/38.29)</f>
        <v>5.2559414990859227E-2</v>
      </c>
    </row>
    <row r="321" spans="1:8" x14ac:dyDescent="0.25">
      <c r="A321" s="1">
        <v>1993</v>
      </c>
      <c r="B321" s="1" t="s">
        <v>104</v>
      </c>
      <c r="C321" t="s">
        <v>51</v>
      </c>
      <c r="D321">
        <v>2</v>
      </c>
      <c r="E321">
        <v>41</v>
      </c>
      <c r="F321">
        <v>0.67</v>
      </c>
      <c r="G321">
        <f>(F321/0.6)/4</f>
        <v>0.27916666666666667</v>
      </c>
      <c r="H321">
        <f>G321*(11.5/38.29)</f>
        <v>8.3844781056846868E-2</v>
      </c>
    </row>
    <row r="322" spans="1:8" x14ac:dyDescent="0.25">
      <c r="A322" s="1">
        <v>1993</v>
      </c>
      <c r="B322" s="1" t="s">
        <v>104</v>
      </c>
      <c r="C322" t="s">
        <v>51</v>
      </c>
      <c r="D322">
        <v>2</v>
      </c>
      <c r="E322">
        <v>41</v>
      </c>
      <c r="F322">
        <v>0.32</v>
      </c>
      <c r="G322">
        <f>(F322/0.6)/4</f>
        <v>0.13333333333333333</v>
      </c>
      <c r="H322">
        <f>G322*(11.5/38.29)</f>
        <v>4.0045268564464179E-2</v>
      </c>
    </row>
    <row r="323" spans="1:8" x14ac:dyDescent="0.25">
      <c r="A323" s="1">
        <v>1993</v>
      </c>
      <c r="B323" s="1" t="s">
        <v>104</v>
      </c>
      <c r="C323" t="s">
        <v>51</v>
      </c>
      <c r="D323">
        <v>2</v>
      </c>
      <c r="E323">
        <v>41</v>
      </c>
      <c r="F323">
        <v>1.23</v>
      </c>
      <c r="G323">
        <f>(F323/0.6)/4</f>
        <v>0.51250000000000007</v>
      </c>
      <c r="H323">
        <f>G323*(11.5/38.29)</f>
        <v>0.1539240010446592</v>
      </c>
    </row>
    <row r="324" spans="1:8" x14ac:dyDescent="0.25">
      <c r="A324" s="1">
        <v>1993</v>
      </c>
      <c r="B324" s="1" t="s">
        <v>104</v>
      </c>
      <c r="C324" t="s">
        <v>51</v>
      </c>
      <c r="D324">
        <v>2</v>
      </c>
      <c r="E324">
        <v>41</v>
      </c>
      <c r="F324">
        <v>0.51</v>
      </c>
      <c r="G324">
        <f>(F324/0.6)/4</f>
        <v>0.21250000000000002</v>
      </c>
      <c r="H324">
        <f>G324*(11.5/38.29)</f>
        <v>6.3822146774614785E-2</v>
      </c>
    </row>
    <row r="325" spans="1:8" x14ac:dyDescent="0.25">
      <c r="A325" s="1">
        <v>1993</v>
      </c>
      <c r="B325" s="1" t="s">
        <v>104</v>
      </c>
      <c r="C325" t="s">
        <v>51</v>
      </c>
      <c r="D325">
        <v>2</v>
      </c>
      <c r="E325">
        <v>47</v>
      </c>
      <c r="F325">
        <v>0.67</v>
      </c>
      <c r="G325">
        <f>(F325/0.6)/4</f>
        <v>0.27916666666666667</v>
      </c>
      <c r="H325">
        <f>G325*(11.5/38.29)</f>
        <v>8.3844781056846868E-2</v>
      </c>
    </row>
    <row r="326" spans="1:8" x14ac:dyDescent="0.25">
      <c r="A326" s="1">
        <v>1993</v>
      </c>
      <c r="B326" s="1" t="s">
        <v>104</v>
      </c>
      <c r="C326" t="s">
        <v>51</v>
      </c>
      <c r="D326">
        <v>2</v>
      </c>
      <c r="E326">
        <v>53</v>
      </c>
      <c r="F326">
        <v>0.08</v>
      </c>
      <c r="G326">
        <f>(F326/0.6)/4</f>
        <v>3.3333333333333333E-2</v>
      </c>
      <c r="H326">
        <f>G326*(11.5/38.29)</f>
        <v>1.0011317141116045E-2</v>
      </c>
    </row>
    <row r="327" spans="1:8" x14ac:dyDescent="0.25">
      <c r="A327" s="1">
        <v>1993</v>
      </c>
      <c r="B327" s="1" t="s">
        <v>104</v>
      </c>
      <c r="C327" t="s">
        <v>51</v>
      </c>
      <c r="D327">
        <v>2</v>
      </c>
      <c r="E327">
        <v>53</v>
      </c>
      <c r="F327">
        <v>0.24</v>
      </c>
      <c r="G327">
        <f>(F327/0.6)/4</f>
        <v>0.1</v>
      </c>
      <c r="H327">
        <f>G327*(11.5/38.29)</f>
        <v>3.0033951423348134E-2</v>
      </c>
    </row>
    <row r="328" spans="1:8" x14ac:dyDescent="0.25">
      <c r="A328" s="1">
        <v>1993</v>
      </c>
      <c r="B328" s="1" t="s">
        <v>104</v>
      </c>
      <c r="C328" t="s">
        <v>51</v>
      </c>
      <c r="D328">
        <v>2</v>
      </c>
      <c r="E328">
        <v>53</v>
      </c>
      <c r="F328">
        <v>0.53</v>
      </c>
      <c r="G328">
        <f>(F328/0.6)/4</f>
        <v>0.22083333333333335</v>
      </c>
      <c r="H328">
        <f>G328*(11.5/38.29)</f>
        <v>6.6324976059893792E-2</v>
      </c>
    </row>
    <row r="329" spans="1:8" x14ac:dyDescent="0.25">
      <c r="A329" s="1">
        <v>1993</v>
      </c>
      <c r="B329" s="1" t="s">
        <v>104</v>
      </c>
      <c r="C329" t="s">
        <v>51</v>
      </c>
      <c r="D329">
        <v>2</v>
      </c>
      <c r="E329">
        <v>63</v>
      </c>
      <c r="F329">
        <v>0.05</v>
      </c>
      <c r="G329">
        <f>(F329/0.6)/4</f>
        <v>2.0833333333333336E-2</v>
      </c>
      <c r="H329">
        <f>G329*(11.5/38.29)</f>
        <v>6.2570732131975284E-3</v>
      </c>
    </row>
    <row r="330" spans="1:8" x14ac:dyDescent="0.25">
      <c r="A330" s="1">
        <v>1993</v>
      </c>
      <c r="B330" s="1" t="s">
        <v>104</v>
      </c>
      <c r="C330" t="s">
        <v>51</v>
      </c>
      <c r="D330">
        <v>2</v>
      </c>
      <c r="E330">
        <v>63</v>
      </c>
      <c r="F330">
        <v>0.04</v>
      </c>
      <c r="G330">
        <f>(F330/0.6)/4</f>
        <v>1.6666666666666666E-2</v>
      </c>
      <c r="H330">
        <f>G330*(11.5/38.29)</f>
        <v>5.0056585705580223E-3</v>
      </c>
    </row>
    <row r="331" spans="1:8" x14ac:dyDescent="0.25">
      <c r="A331" s="1">
        <v>1993</v>
      </c>
      <c r="B331" s="1" t="s">
        <v>104</v>
      </c>
      <c r="C331" t="s">
        <v>51</v>
      </c>
      <c r="D331">
        <v>2</v>
      </c>
      <c r="E331">
        <v>63</v>
      </c>
      <c r="F331">
        <v>0.08</v>
      </c>
      <c r="G331">
        <f>(F331/0.6)/4</f>
        <v>3.3333333333333333E-2</v>
      </c>
      <c r="H331">
        <f>G331*(11.5/38.29)</f>
        <v>1.0011317141116045E-2</v>
      </c>
    </row>
    <row r="332" spans="1:8" x14ac:dyDescent="0.25">
      <c r="A332" s="1">
        <v>1993</v>
      </c>
      <c r="B332" s="1" t="s">
        <v>104</v>
      </c>
      <c r="C332" t="s">
        <v>51</v>
      </c>
      <c r="D332">
        <v>2</v>
      </c>
      <c r="E332">
        <v>63</v>
      </c>
      <c r="F332">
        <v>0.11</v>
      </c>
      <c r="G332">
        <f>(F332/0.6)/4</f>
        <v>4.5833333333333337E-2</v>
      </c>
      <c r="H332">
        <f>G332*(11.5/38.29)</f>
        <v>1.3765561069034562E-2</v>
      </c>
    </row>
    <row r="333" spans="1:8" x14ac:dyDescent="0.25">
      <c r="A333" s="1">
        <v>1993</v>
      </c>
      <c r="B333" s="1" t="s">
        <v>104</v>
      </c>
      <c r="C333" t="s">
        <v>51</v>
      </c>
      <c r="D333">
        <v>2</v>
      </c>
      <c r="E333">
        <v>63</v>
      </c>
      <c r="F333">
        <v>0.08</v>
      </c>
      <c r="G333">
        <f>(F333/0.6)/4</f>
        <v>3.3333333333333333E-2</v>
      </c>
      <c r="H333">
        <f>G333*(11.5/38.29)</f>
        <v>1.0011317141116045E-2</v>
      </c>
    </row>
    <row r="334" spans="1:8" x14ac:dyDescent="0.25">
      <c r="A334" s="1">
        <v>1993</v>
      </c>
      <c r="B334" s="1" t="s">
        <v>104</v>
      </c>
      <c r="C334" t="s">
        <v>51</v>
      </c>
      <c r="D334">
        <v>2</v>
      </c>
      <c r="E334">
        <v>63</v>
      </c>
      <c r="F334">
        <v>0.1</v>
      </c>
      <c r="G334">
        <f>(F334/0.6)/4</f>
        <v>4.1666666666666671E-2</v>
      </c>
      <c r="H334">
        <f>G334*(11.5/38.29)</f>
        <v>1.2514146426395057E-2</v>
      </c>
    </row>
    <row r="335" spans="1:8" x14ac:dyDescent="0.25">
      <c r="A335" s="1">
        <v>1993</v>
      </c>
      <c r="B335" s="1" t="s">
        <v>104</v>
      </c>
      <c r="C335" t="s">
        <v>51</v>
      </c>
      <c r="D335">
        <v>2</v>
      </c>
      <c r="E335">
        <v>63</v>
      </c>
      <c r="F335">
        <v>7.0000000000000007E-2</v>
      </c>
      <c r="G335">
        <f>(F335/0.6)/4</f>
        <v>2.9166666666666671E-2</v>
      </c>
      <c r="H335">
        <f>G335*(11.5/38.29)</f>
        <v>8.7599024984765395E-3</v>
      </c>
    </row>
    <row r="336" spans="1:8" x14ac:dyDescent="0.25">
      <c r="A336" s="1">
        <v>1993</v>
      </c>
      <c r="B336" s="1" t="s">
        <v>104</v>
      </c>
      <c r="C336" t="s">
        <v>51</v>
      </c>
      <c r="D336">
        <v>2</v>
      </c>
      <c r="E336">
        <v>63</v>
      </c>
      <c r="F336">
        <v>0.03</v>
      </c>
      <c r="G336">
        <f>(F336/0.6)/4</f>
        <v>1.2500000000000001E-2</v>
      </c>
      <c r="H336">
        <f>G336*(11.5/38.29)</f>
        <v>3.7542439279185168E-3</v>
      </c>
    </row>
    <row r="337" spans="1:8" x14ac:dyDescent="0.25">
      <c r="A337" s="1">
        <v>1993</v>
      </c>
      <c r="B337" s="1" t="s">
        <v>104</v>
      </c>
      <c r="C337" t="s">
        <v>51</v>
      </c>
      <c r="D337">
        <v>2</v>
      </c>
      <c r="E337">
        <v>63</v>
      </c>
      <c r="F337">
        <v>0.08</v>
      </c>
      <c r="G337">
        <f>(F337/0.6)/4</f>
        <v>3.3333333333333333E-2</v>
      </c>
      <c r="H337">
        <f>G337*(11.5/38.29)</f>
        <v>1.0011317141116045E-2</v>
      </c>
    </row>
    <row r="338" spans="1:8" x14ac:dyDescent="0.25">
      <c r="A338" s="1">
        <v>1993</v>
      </c>
      <c r="B338" s="1" t="s">
        <v>104</v>
      </c>
      <c r="C338" t="s">
        <v>51</v>
      </c>
      <c r="D338">
        <v>2</v>
      </c>
      <c r="E338">
        <v>63</v>
      </c>
      <c r="F338">
        <v>0.14000000000000001</v>
      </c>
      <c r="G338">
        <f>(F338/0.6)/4</f>
        <v>5.8333333333333341E-2</v>
      </c>
      <c r="H338">
        <f>G338*(11.5/38.29)</f>
        <v>1.7519804996953079E-2</v>
      </c>
    </row>
    <row r="339" spans="1:8" x14ac:dyDescent="0.25">
      <c r="A339" s="1">
        <v>1993</v>
      </c>
      <c r="B339" s="1" t="s">
        <v>104</v>
      </c>
      <c r="C339" t="s">
        <v>51</v>
      </c>
      <c r="D339">
        <v>2</v>
      </c>
      <c r="E339">
        <v>63</v>
      </c>
      <c r="F339">
        <v>0.04</v>
      </c>
      <c r="G339">
        <f>(F339/0.6)/4</f>
        <v>1.6666666666666666E-2</v>
      </c>
      <c r="H339">
        <f>G339*(11.5/38.29)</f>
        <v>5.0056585705580223E-3</v>
      </c>
    </row>
    <row r="340" spans="1:8" x14ac:dyDescent="0.25">
      <c r="A340" s="1">
        <v>1993</v>
      </c>
      <c r="B340" s="1" t="s">
        <v>104</v>
      </c>
      <c r="C340" t="s">
        <v>51</v>
      </c>
      <c r="D340">
        <v>2</v>
      </c>
      <c r="E340">
        <v>63</v>
      </c>
      <c r="F340">
        <v>0.11</v>
      </c>
      <c r="G340">
        <f>(F340/0.6)/4</f>
        <v>4.5833333333333337E-2</v>
      </c>
      <c r="H340">
        <f>G340*(11.5/38.29)</f>
        <v>1.3765561069034562E-2</v>
      </c>
    </row>
    <row r="341" spans="1:8" x14ac:dyDescent="0.25">
      <c r="A341" s="1">
        <v>1993</v>
      </c>
      <c r="B341" s="1" t="s">
        <v>104</v>
      </c>
      <c r="C341" t="s">
        <v>51</v>
      </c>
      <c r="D341">
        <v>2</v>
      </c>
      <c r="E341">
        <v>63</v>
      </c>
      <c r="F341">
        <v>0.03</v>
      </c>
      <c r="G341">
        <f>(F341/0.6)/4</f>
        <v>1.2500000000000001E-2</v>
      </c>
      <c r="H341">
        <f>G341*(11.5/38.29)</f>
        <v>3.7542439279185168E-3</v>
      </c>
    </row>
    <row r="342" spans="1:8" x14ac:dyDescent="0.25">
      <c r="A342" s="1">
        <v>1993</v>
      </c>
      <c r="B342" s="1" t="s">
        <v>104</v>
      </c>
      <c r="C342" t="s">
        <v>51</v>
      </c>
      <c r="D342">
        <v>2</v>
      </c>
      <c r="E342">
        <v>63</v>
      </c>
      <c r="F342">
        <v>0.04</v>
      </c>
      <c r="G342">
        <f>(F342/0.6)/4</f>
        <v>1.6666666666666666E-2</v>
      </c>
      <c r="H342">
        <f>G342*(11.5/38.29)</f>
        <v>5.0056585705580223E-3</v>
      </c>
    </row>
    <row r="343" spans="1:8" x14ac:dyDescent="0.25">
      <c r="A343" s="1">
        <v>1993</v>
      </c>
      <c r="B343" s="1" t="s">
        <v>104</v>
      </c>
      <c r="C343" t="s">
        <v>51</v>
      </c>
      <c r="D343">
        <v>2</v>
      </c>
      <c r="E343">
        <v>63</v>
      </c>
      <c r="F343">
        <v>0.06</v>
      </c>
      <c r="G343">
        <f>(F343/0.6)/4</f>
        <v>2.5000000000000001E-2</v>
      </c>
      <c r="H343">
        <f>G343*(11.5/38.29)</f>
        <v>7.5084878558370335E-3</v>
      </c>
    </row>
    <row r="344" spans="1:8" x14ac:dyDescent="0.25">
      <c r="A344" s="1">
        <v>1993</v>
      </c>
      <c r="B344" s="1" t="s">
        <v>104</v>
      </c>
      <c r="C344" t="s">
        <v>51</v>
      </c>
      <c r="D344">
        <v>2</v>
      </c>
      <c r="E344">
        <v>63</v>
      </c>
      <c r="F344">
        <v>0.04</v>
      </c>
      <c r="G344">
        <f>(F344/0.6)/4</f>
        <v>1.6666666666666666E-2</v>
      </c>
      <c r="H344">
        <f>G344*(11.5/38.29)</f>
        <v>5.0056585705580223E-3</v>
      </c>
    </row>
    <row r="345" spans="1:8" x14ac:dyDescent="0.25">
      <c r="A345" s="1">
        <v>1993</v>
      </c>
      <c r="B345" s="1" t="s">
        <v>104</v>
      </c>
      <c r="C345" t="s">
        <v>51</v>
      </c>
      <c r="D345">
        <v>2</v>
      </c>
      <c r="E345">
        <v>63</v>
      </c>
      <c r="F345">
        <v>7.0000000000000007E-2</v>
      </c>
      <c r="G345">
        <f>(F345/0.6)/4</f>
        <v>2.9166666666666671E-2</v>
      </c>
      <c r="H345">
        <f>G345*(11.5/38.29)</f>
        <v>8.7599024984765395E-3</v>
      </c>
    </row>
    <row r="346" spans="1:8" x14ac:dyDescent="0.25">
      <c r="A346" s="1">
        <v>1993</v>
      </c>
      <c r="B346" s="1" t="s">
        <v>104</v>
      </c>
      <c r="C346" t="s">
        <v>51</v>
      </c>
      <c r="D346">
        <v>2</v>
      </c>
      <c r="E346">
        <v>63</v>
      </c>
      <c r="F346">
        <v>0.03</v>
      </c>
      <c r="G346">
        <f>(F346/0.6)/4</f>
        <v>1.2500000000000001E-2</v>
      </c>
      <c r="H346">
        <f>G346*(11.5/38.29)</f>
        <v>3.7542439279185168E-3</v>
      </c>
    </row>
    <row r="347" spans="1:8" x14ac:dyDescent="0.25">
      <c r="A347" s="1">
        <v>1993</v>
      </c>
      <c r="B347" s="1" t="s">
        <v>104</v>
      </c>
      <c r="C347" t="s">
        <v>51</v>
      </c>
      <c r="D347">
        <v>2</v>
      </c>
      <c r="E347">
        <v>63</v>
      </c>
      <c r="F347">
        <v>7.0000000000000007E-2</v>
      </c>
      <c r="G347">
        <f>(F347/0.6)/4</f>
        <v>2.9166666666666671E-2</v>
      </c>
      <c r="H347">
        <f>G347*(11.5/38.29)</f>
        <v>8.7599024984765395E-3</v>
      </c>
    </row>
    <row r="348" spans="1:8" x14ac:dyDescent="0.25">
      <c r="A348" s="1">
        <v>1993</v>
      </c>
      <c r="B348" s="1" t="s">
        <v>104</v>
      </c>
      <c r="C348" t="s">
        <v>51</v>
      </c>
      <c r="D348">
        <v>2</v>
      </c>
      <c r="E348">
        <v>63</v>
      </c>
      <c r="F348">
        <v>0.05</v>
      </c>
      <c r="G348">
        <f>(F348/0.6)/4</f>
        <v>2.0833333333333336E-2</v>
      </c>
      <c r="H348">
        <f>G348*(11.5/38.29)</f>
        <v>6.2570732131975284E-3</v>
      </c>
    </row>
    <row r="349" spans="1:8" x14ac:dyDescent="0.25">
      <c r="A349" s="1">
        <v>1993</v>
      </c>
      <c r="B349" s="1" t="s">
        <v>104</v>
      </c>
      <c r="C349" t="s">
        <v>51</v>
      </c>
      <c r="D349">
        <v>2</v>
      </c>
      <c r="E349">
        <v>71</v>
      </c>
      <c r="F349">
        <v>0.34</v>
      </c>
      <c r="G349">
        <f>(F349/0.6)/4</f>
        <v>0.14166666666666669</v>
      </c>
      <c r="H349">
        <f>G349*(11.5/38.29)</f>
        <v>4.2548097849743192E-2</v>
      </c>
    </row>
    <row r="350" spans="1:8" x14ac:dyDescent="0.25">
      <c r="A350" s="1">
        <v>1993</v>
      </c>
      <c r="B350" s="1" t="s">
        <v>104</v>
      </c>
      <c r="C350" t="s">
        <v>51</v>
      </c>
      <c r="D350">
        <v>2</v>
      </c>
      <c r="E350">
        <v>71</v>
      </c>
      <c r="F350">
        <v>0.47</v>
      </c>
      <c r="G350">
        <f>(F350/0.6)/4</f>
        <v>0.19583333333333333</v>
      </c>
      <c r="H350">
        <f>G350*(11.5/38.29)</f>
        <v>5.8816488204056758E-2</v>
      </c>
    </row>
    <row r="351" spans="1:8" x14ac:dyDescent="0.25">
      <c r="A351" s="1">
        <v>1993</v>
      </c>
      <c r="B351" s="1" t="s">
        <v>104</v>
      </c>
      <c r="C351" t="s">
        <v>51</v>
      </c>
      <c r="D351">
        <v>2</v>
      </c>
      <c r="E351">
        <v>76</v>
      </c>
      <c r="F351">
        <v>0.09</v>
      </c>
      <c r="G351">
        <f>(F351/0.6)/4</f>
        <v>3.7499999999999999E-2</v>
      </c>
      <c r="H351">
        <f>G351*(11.5/38.29)</f>
        <v>1.126273178375555E-2</v>
      </c>
    </row>
    <row r="352" spans="1:8" x14ac:dyDescent="0.25">
      <c r="A352" s="1">
        <v>1993</v>
      </c>
      <c r="B352" s="1" t="s">
        <v>104</v>
      </c>
      <c r="C352" t="s">
        <v>51</v>
      </c>
      <c r="D352">
        <v>2</v>
      </c>
      <c r="E352">
        <v>78</v>
      </c>
      <c r="F352">
        <v>0.03</v>
      </c>
      <c r="G352">
        <f>(F352/0.6)/4</f>
        <v>1.2500000000000001E-2</v>
      </c>
      <c r="H352">
        <f>G352*(11.5/38.29)</f>
        <v>3.7542439279185168E-3</v>
      </c>
    </row>
    <row r="353" spans="1:8" x14ac:dyDescent="0.25">
      <c r="A353" s="1">
        <v>1993</v>
      </c>
      <c r="B353" s="1" t="s">
        <v>104</v>
      </c>
      <c r="C353" t="s">
        <v>51</v>
      </c>
      <c r="D353">
        <v>2</v>
      </c>
      <c r="E353">
        <v>79</v>
      </c>
      <c r="F353">
        <v>0.05</v>
      </c>
      <c r="G353">
        <f>(F353/0.6)/4</f>
        <v>2.0833333333333336E-2</v>
      </c>
      <c r="H353">
        <f>G353*(11.5/38.29)</f>
        <v>6.2570732131975284E-3</v>
      </c>
    </row>
    <row r="354" spans="1:8" x14ac:dyDescent="0.25">
      <c r="A354" s="1">
        <v>1993</v>
      </c>
      <c r="B354" s="1" t="s">
        <v>104</v>
      </c>
      <c r="C354" t="s">
        <v>51</v>
      </c>
      <c r="D354">
        <v>2</v>
      </c>
      <c r="E354">
        <v>79</v>
      </c>
      <c r="F354">
        <v>0.4</v>
      </c>
      <c r="G354">
        <f>(F354/0.6)/4</f>
        <v>0.16666666666666669</v>
      </c>
      <c r="H354">
        <f>G354*(11.5/38.29)</f>
        <v>5.0056585705580227E-2</v>
      </c>
    </row>
    <row r="355" spans="1:8" x14ac:dyDescent="0.25">
      <c r="A355" s="1">
        <v>1993</v>
      </c>
      <c r="B355" s="1" t="s">
        <v>104</v>
      </c>
      <c r="C355" t="s">
        <v>51</v>
      </c>
      <c r="D355">
        <v>2</v>
      </c>
      <c r="E355">
        <v>79</v>
      </c>
      <c r="F355">
        <v>7.0000000000000007E-2</v>
      </c>
      <c r="G355">
        <f>(F355/0.6)/4</f>
        <v>2.9166666666666671E-2</v>
      </c>
      <c r="H355">
        <f>G355*(11.5/38.29)</f>
        <v>8.7599024984765395E-3</v>
      </c>
    </row>
    <row r="356" spans="1:8" x14ac:dyDescent="0.25">
      <c r="A356" s="1">
        <v>1993</v>
      </c>
      <c r="B356" s="1" t="s">
        <v>104</v>
      </c>
      <c r="C356" t="s">
        <v>51</v>
      </c>
      <c r="D356">
        <v>2</v>
      </c>
      <c r="E356">
        <v>79</v>
      </c>
      <c r="F356">
        <v>0.14000000000000001</v>
      </c>
      <c r="G356">
        <f>(F356/0.6)/4</f>
        <v>5.8333333333333341E-2</v>
      </c>
      <c r="H356">
        <f>G356*(11.5/38.29)</f>
        <v>1.7519804996953079E-2</v>
      </c>
    </row>
    <row r="357" spans="1:8" x14ac:dyDescent="0.25">
      <c r="A357" s="1">
        <v>1993</v>
      </c>
      <c r="B357" s="1" t="s">
        <v>104</v>
      </c>
      <c r="C357" t="s">
        <v>51</v>
      </c>
      <c r="D357">
        <v>2</v>
      </c>
      <c r="E357">
        <v>79</v>
      </c>
      <c r="F357">
        <v>0.14000000000000001</v>
      </c>
      <c r="G357">
        <f>(F357/0.6)/4</f>
        <v>5.8333333333333341E-2</v>
      </c>
      <c r="H357">
        <f>G357*(11.5/38.29)</f>
        <v>1.7519804996953079E-2</v>
      </c>
    </row>
    <row r="358" spans="1:8" x14ac:dyDescent="0.25">
      <c r="A358" s="1">
        <v>1993</v>
      </c>
      <c r="B358" s="1" t="s">
        <v>104</v>
      </c>
      <c r="C358" t="s">
        <v>51</v>
      </c>
      <c r="D358">
        <v>2</v>
      </c>
      <c r="E358">
        <v>79</v>
      </c>
      <c r="F358">
        <v>0.21</v>
      </c>
      <c r="G358">
        <f>(F358/0.6)/4</f>
        <v>8.7499999999999994E-2</v>
      </c>
      <c r="H358">
        <f>G358*(11.5/38.29)</f>
        <v>2.6279707495429613E-2</v>
      </c>
    </row>
    <row r="359" spans="1:8" x14ac:dyDescent="0.25">
      <c r="A359" s="1">
        <v>1993</v>
      </c>
      <c r="B359" s="1" t="s">
        <v>104</v>
      </c>
      <c r="C359" t="s">
        <v>51</v>
      </c>
      <c r="D359">
        <v>2</v>
      </c>
      <c r="E359">
        <v>79</v>
      </c>
      <c r="F359">
        <v>0.48</v>
      </c>
      <c r="G359">
        <f>(F359/0.6)/4</f>
        <v>0.2</v>
      </c>
      <c r="H359">
        <f>G359*(11.5/38.29)</f>
        <v>6.0067902846696268E-2</v>
      </c>
    </row>
    <row r="360" spans="1:8" x14ac:dyDescent="0.25">
      <c r="A360" s="1">
        <v>1993</v>
      </c>
      <c r="B360" s="1" t="s">
        <v>104</v>
      </c>
      <c r="C360" t="s">
        <v>51</v>
      </c>
      <c r="D360">
        <v>2</v>
      </c>
      <c r="E360">
        <v>79</v>
      </c>
      <c r="F360">
        <v>0.27</v>
      </c>
      <c r="G360">
        <f>(F360/0.6)/4</f>
        <v>0.11250000000000002</v>
      </c>
      <c r="H360">
        <f>G360*(11.5/38.29)</f>
        <v>3.3788195351266655E-2</v>
      </c>
    </row>
    <row r="361" spans="1:8" x14ac:dyDescent="0.25">
      <c r="A361" s="1">
        <v>1993</v>
      </c>
      <c r="B361" s="1" t="s">
        <v>104</v>
      </c>
      <c r="C361" t="s">
        <v>51</v>
      </c>
      <c r="D361">
        <v>2</v>
      </c>
      <c r="E361">
        <v>79</v>
      </c>
      <c r="F361">
        <v>0.17</v>
      </c>
      <c r="G361">
        <f>(F361/0.6)/4</f>
        <v>7.0833333333333345E-2</v>
      </c>
      <c r="H361">
        <f>G361*(11.5/38.29)</f>
        <v>2.1274048924871596E-2</v>
      </c>
    </row>
    <row r="362" spans="1:8" x14ac:dyDescent="0.25">
      <c r="A362" s="1">
        <v>1993</v>
      </c>
      <c r="B362" s="1" t="s">
        <v>104</v>
      </c>
      <c r="C362" t="s">
        <v>51</v>
      </c>
      <c r="D362">
        <v>2</v>
      </c>
      <c r="E362">
        <v>79</v>
      </c>
      <c r="F362">
        <v>0.49</v>
      </c>
      <c r="G362">
        <f>(F362/0.6)/4</f>
        <v>0.20416666666666666</v>
      </c>
      <c r="H362">
        <f>G362*(11.5/38.29)</f>
        <v>6.1319317489335771E-2</v>
      </c>
    </row>
    <row r="363" spans="1:8" x14ac:dyDescent="0.25">
      <c r="A363" s="1">
        <v>1993</v>
      </c>
      <c r="B363" s="1" t="s">
        <v>104</v>
      </c>
      <c r="C363" t="s">
        <v>51</v>
      </c>
      <c r="D363">
        <v>2</v>
      </c>
      <c r="E363">
        <v>79</v>
      </c>
      <c r="F363">
        <v>7.0000000000000007E-2</v>
      </c>
      <c r="G363">
        <f>(F363/0.6)/4</f>
        <v>2.9166666666666671E-2</v>
      </c>
      <c r="H363">
        <f>G363*(11.5/38.29)</f>
        <v>8.7599024984765395E-3</v>
      </c>
    </row>
    <row r="364" spans="1:8" x14ac:dyDescent="0.25">
      <c r="A364" s="1">
        <v>1993</v>
      </c>
      <c r="B364" s="1" t="s">
        <v>104</v>
      </c>
      <c r="C364" t="s">
        <v>51</v>
      </c>
      <c r="D364">
        <v>2</v>
      </c>
      <c r="E364">
        <v>79</v>
      </c>
      <c r="F364">
        <v>0.09</v>
      </c>
      <c r="G364">
        <f>(F364/0.6)/4</f>
        <v>3.7499999999999999E-2</v>
      </c>
      <c r="H364">
        <f>G364*(11.5/38.29)</f>
        <v>1.126273178375555E-2</v>
      </c>
    </row>
    <row r="365" spans="1:8" x14ac:dyDescent="0.25">
      <c r="A365" s="1">
        <v>1993</v>
      </c>
      <c r="B365" s="1" t="s">
        <v>104</v>
      </c>
      <c r="C365" t="s">
        <v>51</v>
      </c>
      <c r="D365">
        <v>2</v>
      </c>
      <c r="E365">
        <v>79</v>
      </c>
      <c r="F365">
        <v>0.05</v>
      </c>
      <c r="G365">
        <f>(F365/0.6)/4</f>
        <v>2.0833333333333336E-2</v>
      </c>
      <c r="H365">
        <f>G365*(11.5/38.29)</f>
        <v>6.2570732131975284E-3</v>
      </c>
    </row>
    <row r="366" spans="1:8" x14ac:dyDescent="0.25">
      <c r="A366" s="1">
        <v>1993</v>
      </c>
      <c r="B366" s="1" t="s">
        <v>104</v>
      </c>
      <c r="C366" t="s">
        <v>51</v>
      </c>
      <c r="D366">
        <v>2</v>
      </c>
      <c r="E366">
        <v>79</v>
      </c>
      <c r="F366">
        <v>0.13</v>
      </c>
      <c r="G366">
        <f>(F366/0.6)/4</f>
        <v>5.4166666666666669E-2</v>
      </c>
      <c r="H366">
        <f>G366*(11.5/38.29)</f>
        <v>1.6268390354313572E-2</v>
      </c>
    </row>
    <row r="367" spans="1:8" x14ac:dyDescent="0.25">
      <c r="A367" s="1">
        <v>1993</v>
      </c>
      <c r="B367" s="1" t="s">
        <v>104</v>
      </c>
      <c r="C367" t="s">
        <v>51</v>
      </c>
      <c r="D367">
        <v>2</v>
      </c>
      <c r="E367">
        <v>79</v>
      </c>
      <c r="F367">
        <v>0.05</v>
      </c>
      <c r="G367">
        <f>(F367/0.6)/4</f>
        <v>2.0833333333333336E-2</v>
      </c>
      <c r="H367">
        <f>G367*(11.5/38.29)</f>
        <v>6.2570732131975284E-3</v>
      </c>
    </row>
    <row r="368" spans="1:8" x14ac:dyDescent="0.25">
      <c r="A368" s="1">
        <v>1993</v>
      </c>
      <c r="B368" s="1" t="s">
        <v>104</v>
      </c>
      <c r="C368" t="s">
        <v>51</v>
      </c>
      <c r="D368">
        <v>2</v>
      </c>
      <c r="E368">
        <v>79</v>
      </c>
      <c r="F368">
        <v>0.09</v>
      </c>
      <c r="G368">
        <f>(F368/0.6)/4</f>
        <v>3.7499999999999999E-2</v>
      </c>
      <c r="H368">
        <f>G368*(11.5/38.29)</f>
        <v>1.126273178375555E-2</v>
      </c>
    </row>
    <row r="369" spans="1:8" x14ac:dyDescent="0.25">
      <c r="A369" s="1">
        <v>1993</v>
      </c>
      <c r="B369" s="1" t="s">
        <v>104</v>
      </c>
      <c r="C369" t="s">
        <v>51</v>
      </c>
      <c r="D369">
        <v>2</v>
      </c>
      <c r="E369">
        <v>79</v>
      </c>
      <c r="F369">
        <v>0.38</v>
      </c>
      <c r="G369">
        <f>(F369/0.6)/4</f>
        <v>0.15833333333333335</v>
      </c>
      <c r="H369">
        <f>G369*(11.5/38.29)</f>
        <v>4.7553756420301213E-2</v>
      </c>
    </row>
    <row r="370" spans="1:8" x14ac:dyDescent="0.25">
      <c r="A370" s="1">
        <v>1993</v>
      </c>
      <c r="B370" s="1" t="s">
        <v>104</v>
      </c>
      <c r="C370" t="s">
        <v>51</v>
      </c>
      <c r="D370">
        <v>2</v>
      </c>
      <c r="E370">
        <v>79</v>
      </c>
      <c r="F370">
        <v>0.28999999999999998</v>
      </c>
      <c r="G370">
        <f>(F370/0.6)/4</f>
        <v>0.12083333333333333</v>
      </c>
      <c r="H370">
        <f>G370*(11.5/38.29)</f>
        <v>3.6291024636545662E-2</v>
      </c>
    </row>
    <row r="371" spans="1:8" x14ac:dyDescent="0.25">
      <c r="A371" s="1">
        <v>1993</v>
      </c>
      <c r="B371" s="1" t="s">
        <v>104</v>
      </c>
      <c r="C371" t="s">
        <v>51</v>
      </c>
      <c r="D371">
        <v>2</v>
      </c>
      <c r="E371">
        <v>79</v>
      </c>
      <c r="F371">
        <v>0.34</v>
      </c>
      <c r="G371">
        <f>(F371/0.6)/4</f>
        <v>0.14166666666666669</v>
      </c>
      <c r="H371">
        <f>G371*(11.5/38.29)</f>
        <v>4.2548097849743192E-2</v>
      </c>
    </row>
    <row r="372" spans="1:8" x14ac:dyDescent="0.25">
      <c r="A372" s="1">
        <v>1993</v>
      </c>
      <c r="B372" s="1" t="s">
        <v>104</v>
      </c>
      <c r="C372" t="s">
        <v>51</v>
      </c>
      <c r="D372">
        <v>2</v>
      </c>
      <c r="E372">
        <v>79</v>
      </c>
      <c r="F372">
        <v>0.31</v>
      </c>
      <c r="G372">
        <f>(F372/0.6)/4</f>
        <v>0.12916666666666668</v>
      </c>
      <c r="H372">
        <f>G372*(11.5/38.29)</f>
        <v>3.8793853921824675E-2</v>
      </c>
    </row>
    <row r="373" spans="1:8" x14ac:dyDescent="0.25">
      <c r="A373" s="1">
        <v>1993</v>
      </c>
      <c r="B373" s="1" t="s">
        <v>104</v>
      </c>
      <c r="C373" t="s">
        <v>51</v>
      </c>
      <c r="D373">
        <v>2</v>
      </c>
      <c r="E373">
        <v>79</v>
      </c>
      <c r="F373">
        <v>0.22</v>
      </c>
      <c r="G373">
        <f>(F373/0.6)/4</f>
        <v>9.1666666666666674E-2</v>
      </c>
      <c r="H373">
        <f>G373*(11.5/38.29)</f>
        <v>2.7531122138069124E-2</v>
      </c>
    </row>
    <row r="374" spans="1:8" x14ac:dyDescent="0.25">
      <c r="A374" s="1">
        <v>1993</v>
      </c>
      <c r="B374" s="1" t="s">
        <v>104</v>
      </c>
      <c r="C374" t="s">
        <v>51</v>
      </c>
      <c r="D374">
        <v>2</v>
      </c>
      <c r="E374">
        <v>79</v>
      </c>
      <c r="F374">
        <v>0.66</v>
      </c>
      <c r="G374">
        <f>(F374/0.6)/4</f>
        <v>0.27500000000000002</v>
      </c>
      <c r="H374">
        <f>G374*(11.5/38.29)</f>
        <v>8.2593366414207364E-2</v>
      </c>
    </row>
    <row r="375" spans="1:8" x14ac:dyDescent="0.25">
      <c r="A375" s="1">
        <v>1993</v>
      </c>
      <c r="B375" s="1" t="s">
        <v>104</v>
      </c>
      <c r="C375" t="s">
        <v>51</v>
      </c>
      <c r="D375">
        <v>2</v>
      </c>
      <c r="E375">
        <v>79</v>
      </c>
      <c r="F375">
        <v>7.0000000000000007E-2</v>
      </c>
      <c r="G375">
        <f>(F375/0.6)/4</f>
        <v>2.9166666666666671E-2</v>
      </c>
      <c r="H375">
        <f>G375*(11.5/38.29)</f>
        <v>8.7599024984765395E-3</v>
      </c>
    </row>
    <row r="376" spans="1:8" x14ac:dyDescent="0.25">
      <c r="A376" s="1">
        <v>1993</v>
      </c>
      <c r="B376" s="1" t="s">
        <v>104</v>
      </c>
      <c r="C376" t="s">
        <v>51</v>
      </c>
      <c r="D376">
        <v>2</v>
      </c>
      <c r="E376">
        <v>79</v>
      </c>
      <c r="F376">
        <v>0.11</v>
      </c>
      <c r="G376">
        <f>(F376/0.6)/4</f>
        <v>4.5833333333333337E-2</v>
      </c>
      <c r="H376">
        <f>G376*(11.5/38.29)</f>
        <v>1.3765561069034562E-2</v>
      </c>
    </row>
    <row r="377" spans="1:8" x14ac:dyDescent="0.25">
      <c r="A377" s="1">
        <v>1993</v>
      </c>
      <c r="B377" s="1" t="s">
        <v>104</v>
      </c>
      <c r="C377" t="s">
        <v>51</v>
      </c>
      <c r="D377">
        <v>2</v>
      </c>
      <c r="E377">
        <v>79</v>
      </c>
      <c r="F377">
        <v>0.05</v>
      </c>
      <c r="G377">
        <f>(F377/0.6)/4</f>
        <v>2.0833333333333336E-2</v>
      </c>
      <c r="H377">
        <f>G377*(11.5/38.29)</f>
        <v>6.2570732131975284E-3</v>
      </c>
    </row>
    <row r="378" spans="1:8" x14ac:dyDescent="0.25">
      <c r="A378" s="1">
        <v>1993</v>
      </c>
      <c r="B378" s="1" t="s">
        <v>104</v>
      </c>
      <c r="C378" t="s">
        <v>51</v>
      </c>
      <c r="D378">
        <v>2</v>
      </c>
      <c r="E378">
        <v>79</v>
      </c>
      <c r="F378">
        <v>7.0000000000000007E-2</v>
      </c>
      <c r="G378">
        <f>(F378/0.6)/4</f>
        <v>2.9166666666666671E-2</v>
      </c>
      <c r="H378">
        <f>G378*(11.5/38.29)</f>
        <v>8.7599024984765395E-3</v>
      </c>
    </row>
    <row r="379" spans="1:8" x14ac:dyDescent="0.25">
      <c r="A379" s="1">
        <v>1993</v>
      </c>
      <c r="B379" s="1" t="s">
        <v>104</v>
      </c>
      <c r="C379" t="s">
        <v>51</v>
      </c>
      <c r="D379">
        <v>2</v>
      </c>
      <c r="E379">
        <v>79</v>
      </c>
      <c r="F379">
        <v>0.04</v>
      </c>
      <c r="G379">
        <f>(F379/0.6)/4</f>
        <v>1.6666666666666666E-2</v>
      </c>
      <c r="H379">
        <f>G379*(11.5/38.29)</f>
        <v>5.0056585705580223E-3</v>
      </c>
    </row>
    <row r="380" spans="1:8" x14ac:dyDescent="0.25">
      <c r="A380" s="1">
        <v>1993</v>
      </c>
      <c r="B380" s="1" t="s">
        <v>104</v>
      </c>
      <c r="C380" t="s">
        <v>51</v>
      </c>
      <c r="D380">
        <v>2</v>
      </c>
      <c r="E380">
        <v>79</v>
      </c>
      <c r="F380">
        <v>0.32</v>
      </c>
      <c r="G380">
        <f>(F380/0.6)/4</f>
        <v>0.13333333333333333</v>
      </c>
      <c r="H380">
        <f>G380*(11.5/38.29)</f>
        <v>4.0045268564464179E-2</v>
      </c>
    </row>
    <row r="381" spans="1:8" x14ac:dyDescent="0.25">
      <c r="A381" s="1">
        <v>1993</v>
      </c>
      <c r="B381" s="1" t="s">
        <v>104</v>
      </c>
      <c r="C381" t="s">
        <v>51</v>
      </c>
      <c r="D381">
        <v>2</v>
      </c>
      <c r="E381">
        <v>79</v>
      </c>
      <c r="F381">
        <v>0.06</v>
      </c>
      <c r="G381">
        <f>(F381/0.6)/4</f>
        <v>2.5000000000000001E-2</v>
      </c>
      <c r="H381">
        <f>G381*(11.5/38.29)</f>
        <v>7.5084878558370335E-3</v>
      </c>
    </row>
    <row r="382" spans="1:8" x14ac:dyDescent="0.25">
      <c r="A382" s="1">
        <v>1993</v>
      </c>
      <c r="B382" s="1" t="s">
        <v>104</v>
      </c>
      <c r="C382" t="s">
        <v>51</v>
      </c>
      <c r="D382">
        <v>2</v>
      </c>
      <c r="E382">
        <v>79</v>
      </c>
      <c r="F382">
        <v>0.68</v>
      </c>
      <c r="G382">
        <f>(F382/0.6)/4</f>
        <v>0.28333333333333338</v>
      </c>
      <c r="H382">
        <f>G382*(11.5/38.29)</f>
        <v>8.5096195699486385E-2</v>
      </c>
    </row>
    <row r="383" spans="1:8" x14ac:dyDescent="0.25">
      <c r="A383" s="1">
        <v>1993</v>
      </c>
      <c r="B383" s="1" t="s">
        <v>104</v>
      </c>
      <c r="C383" t="s">
        <v>51</v>
      </c>
      <c r="D383">
        <v>2</v>
      </c>
      <c r="E383">
        <v>79</v>
      </c>
      <c r="F383">
        <v>0.73</v>
      </c>
      <c r="G383">
        <f>(F383/0.6)/4</f>
        <v>0.3041666666666667</v>
      </c>
      <c r="H383">
        <f>G383*(11.5/38.29)</f>
        <v>9.1353268912683916E-2</v>
      </c>
    </row>
    <row r="384" spans="1:8" x14ac:dyDescent="0.25">
      <c r="A384" s="1">
        <v>1993</v>
      </c>
      <c r="B384" s="1" t="s">
        <v>104</v>
      </c>
      <c r="C384" t="s">
        <v>51</v>
      </c>
      <c r="D384">
        <v>2</v>
      </c>
      <c r="E384">
        <v>79</v>
      </c>
      <c r="F384">
        <v>0.18</v>
      </c>
      <c r="G384">
        <f>(F384/0.6)/4</f>
        <v>7.4999999999999997E-2</v>
      </c>
      <c r="H384">
        <f>G384*(11.5/38.29)</f>
        <v>2.25254635675111E-2</v>
      </c>
    </row>
    <row r="385" spans="1:8" x14ac:dyDescent="0.25">
      <c r="A385" s="1">
        <v>1993</v>
      </c>
      <c r="B385" s="1" t="s">
        <v>104</v>
      </c>
      <c r="C385" t="s">
        <v>51</v>
      </c>
      <c r="D385">
        <v>2</v>
      </c>
      <c r="E385">
        <v>79</v>
      </c>
      <c r="F385">
        <v>0.06</v>
      </c>
      <c r="G385">
        <f>(F385/0.6)/4</f>
        <v>2.5000000000000001E-2</v>
      </c>
      <c r="H385">
        <f>G385*(11.5/38.29)</f>
        <v>7.5084878558370335E-3</v>
      </c>
    </row>
    <row r="386" spans="1:8" x14ac:dyDescent="0.25">
      <c r="A386" s="1">
        <v>1993</v>
      </c>
      <c r="B386" s="1" t="s">
        <v>104</v>
      </c>
      <c r="C386" t="s">
        <v>51</v>
      </c>
      <c r="D386">
        <v>2</v>
      </c>
      <c r="E386">
        <v>79</v>
      </c>
      <c r="F386">
        <v>7.0000000000000007E-2</v>
      </c>
      <c r="G386">
        <f>(F386/0.6)/4</f>
        <v>2.9166666666666671E-2</v>
      </c>
      <c r="H386">
        <f>G386*(11.5/38.29)</f>
        <v>8.7599024984765395E-3</v>
      </c>
    </row>
    <row r="387" spans="1:8" x14ac:dyDescent="0.25">
      <c r="A387" s="1">
        <v>1993</v>
      </c>
      <c r="B387" s="1" t="s">
        <v>104</v>
      </c>
      <c r="C387" t="s">
        <v>51</v>
      </c>
      <c r="D387">
        <v>2</v>
      </c>
      <c r="E387">
        <v>79</v>
      </c>
      <c r="F387">
        <v>0.03</v>
      </c>
      <c r="G387">
        <f>(F387/0.6)/4</f>
        <v>1.2500000000000001E-2</v>
      </c>
      <c r="H387">
        <f>G387*(11.5/38.29)</f>
        <v>3.7542439279185168E-3</v>
      </c>
    </row>
    <row r="388" spans="1:8" x14ac:dyDescent="0.25">
      <c r="A388" s="1">
        <v>1993</v>
      </c>
      <c r="B388" s="1" t="s">
        <v>104</v>
      </c>
      <c r="C388" t="s">
        <v>51</v>
      </c>
      <c r="D388">
        <v>2</v>
      </c>
      <c r="E388">
        <v>79</v>
      </c>
      <c r="F388">
        <v>7.0000000000000007E-2</v>
      </c>
      <c r="G388">
        <f>(F388/0.6)/4</f>
        <v>2.9166666666666671E-2</v>
      </c>
      <c r="H388">
        <f>G388*(11.5/38.29)</f>
        <v>8.7599024984765395E-3</v>
      </c>
    </row>
    <row r="389" spans="1:8" x14ac:dyDescent="0.25">
      <c r="A389" s="1">
        <v>1993</v>
      </c>
      <c r="B389" s="1" t="s">
        <v>104</v>
      </c>
      <c r="C389" t="s">
        <v>51</v>
      </c>
      <c r="D389">
        <v>2</v>
      </c>
      <c r="E389">
        <v>79</v>
      </c>
      <c r="F389">
        <v>0.03</v>
      </c>
      <c r="G389">
        <f>(F389/0.6)/4</f>
        <v>1.2500000000000001E-2</v>
      </c>
      <c r="H389">
        <f>G389*(11.5/38.29)</f>
        <v>3.7542439279185168E-3</v>
      </c>
    </row>
    <row r="390" spans="1:8" x14ac:dyDescent="0.25">
      <c r="A390" s="1">
        <v>1993</v>
      </c>
      <c r="B390" s="1" t="s">
        <v>104</v>
      </c>
      <c r="C390" t="s">
        <v>51</v>
      </c>
      <c r="D390">
        <v>2</v>
      </c>
      <c r="E390">
        <v>79</v>
      </c>
      <c r="F390">
        <v>0.04</v>
      </c>
      <c r="G390">
        <f>(F390/0.6)/4</f>
        <v>1.6666666666666666E-2</v>
      </c>
      <c r="H390">
        <f>G390*(11.5/38.29)</f>
        <v>5.0056585705580223E-3</v>
      </c>
    </row>
    <row r="391" spans="1:8" x14ac:dyDescent="0.25">
      <c r="A391" s="1">
        <v>1993</v>
      </c>
      <c r="B391" s="1" t="s">
        <v>104</v>
      </c>
      <c r="C391" t="s">
        <v>51</v>
      </c>
      <c r="D391">
        <v>2</v>
      </c>
      <c r="E391">
        <v>79</v>
      </c>
      <c r="F391">
        <v>0.06</v>
      </c>
      <c r="G391">
        <f>(F391/0.6)/4</f>
        <v>2.5000000000000001E-2</v>
      </c>
      <c r="H391">
        <f>G391*(11.5/38.29)</f>
        <v>7.5084878558370335E-3</v>
      </c>
    </row>
    <row r="392" spans="1:8" x14ac:dyDescent="0.25">
      <c r="A392" s="1">
        <v>1993</v>
      </c>
      <c r="B392" s="1" t="s">
        <v>104</v>
      </c>
      <c r="C392" t="s">
        <v>51</v>
      </c>
      <c r="D392">
        <v>2</v>
      </c>
      <c r="E392">
        <v>79</v>
      </c>
      <c r="F392">
        <v>0.04</v>
      </c>
      <c r="G392">
        <f>(F392/0.6)/4</f>
        <v>1.6666666666666666E-2</v>
      </c>
      <c r="H392">
        <f>G392*(11.5/38.29)</f>
        <v>5.0056585705580223E-3</v>
      </c>
    </row>
    <row r="393" spans="1:8" x14ac:dyDescent="0.25">
      <c r="A393" s="1">
        <v>1993</v>
      </c>
      <c r="B393" s="1" t="s">
        <v>104</v>
      </c>
      <c r="C393" t="s">
        <v>51</v>
      </c>
      <c r="D393">
        <v>2</v>
      </c>
      <c r="E393">
        <v>79</v>
      </c>
      <c r="F393">
        <v>0.09</v>
      </c>
      <c r="G393">
        <f>(F393/0.6)/4</f>
        <v>3.7499999999999999E-2</v>
      </c>
      <c r="H393">
        <f>G393*(11.5/38.29)</f>
        <v>1.126273178375555E-2</v>
      </c>
    </row>
    <row r="394" spans="1:8" x14ac:dyDescent="0.25">
      <c r="A394" s="1">
        <v>1993</v>
      </c>
      <c r="B394" s="1" t="s">
        <v>104</v>
      </c>
      <c r="C394" t="s">
        <v>51</v>
      </c>
      <c r="D394">
        <v>2</v>
      </c>
      <c r="E394">
        <v>79</v>
      </c>
      <c r="F394">
        <v>0.2</v>
      </c>
      <c r="G394">
        <f>(F394/0.6)/4</f>
        <v>8.3333333333333343E-2</v>
      </c>
      <c r="H394">
        <f>G394*(11.5/38.29)</f>
        <v>2.5028292852790113E-2</v>
      </c>
    </row>
    <row r="395" spans="1:8" x14ac:dyDescent="0.25">
      <c r="A395" s="1">
        <v>1993</v>
      </c>
      <c r="B395" s="1" t="s">
        <v>104</v>
      </c>
      <c r="C395" t="s">
        <v>51</v>
      </c>
      <c r="D395">
        <v>2</v>
      </c>
      <c r="E395">
        <v>79</v>
      </c>
      <c r="F395">
        <v>0.89</v>
      </c>
      <c r="G395">
        <f>(F395/0.6)/4</f>
        <v>0.37083333333333335</v>
      </c>
      <c r="H395">
        <f>G395*(11.5/38.29)</f>
        <v>0.111375903194916</v>
      </c>
    </row>
    <row r="396" spans="1:8" x14ac:dyDescent="0.25">
      <c r="A396" s="1">
        <v>1993</v>
      </c>
      <c r="B396" s="1" t="s">
        <v>104</v>
      </c>
      <c r="C396" t="s">
        <v>51</v>
      </c>
      <c r="D396">
        <v>2</v>
      </c>
      <c r="E396">
        <v>79</v>
      </c>
      <c r="F396">
        <v>0.32</v>
      </c>
      <c r="G396">
        <f>(F396/0.6)/4</f>
        <v>0.13333333333333333</v>
      </c>
      <c r="H396">
        <f>G396*(11.5/38.29)</f>
        <v>4.0045268564464179E-2</v>
      </c>
    </row>
    <row r="397" spans="1:8" x14ac:dyDescent="0.25">
      <c r="A397" s="1">
        <v>1993</v>
      </c>
      <c r="B397" s="1" t="s">
        <v>104</v>
      </c>
      <c r="C397" t="s">
        <v>51</v>
      </c>
      <c r="D397">
        <v>2</v>
      </c>
      <c r="E397">
        <v>79</v>
      </c>
      <c r="F397">
        <v>0.04</v>
      </c>
      <c r="G397">
        <f>(F397/0.6)/4</f>
        <v>1.6666666666666666E-2</v>
      </c>
      <c r="H397">
        <f>G397*(11.5/38.29)</f>
        <v>5.0056585705580223E-3</v>
      </c>
    </row>
    <row r="398" spans="1:8" x14ac:dyDescent="0.25">
      <c r="A398" s="1">
        <v>1993</v>
      </c>
      <c r="B398" s="1" t="s">
        <v>104</v>
      </c>
      <c r="C398" t="s">
        <v>51</v>
      </c>
      <c r="D398">
        <v>2</v>
      </c>
      <c r="E398">
        <v>79</v>
      </c>
      <c r="F398">
        <v>0.2</v>
      </c>
      <c r="G398">
        <f>(F398/0.6)/4</f>
        <v>8.3333333333333343E-2</v>
      </c>
      <c r="H398">
        <f>G398*(11.5/38.29)</f>
        <v>2.5028292852790113E-2</v>
      </c>
    </row>
    <row r="399" spans="1:8" x14ac:dyDescent="0.25">
      <c r="A399" s="1">
        <v>1993</v>
      </c>
      <c r="B399" s="1" t="s">
        <v>104</v>
      </c>
      <c r="C399" t="s">
        <v>51</v>
      </c>
      <c r="D399">
        <v>2</v>
      </c>
      <c r="E399">
        <v>79</v>
      </c>
      <c r="F399">
        <v>0.22</v>
      </c>
      <c r="G399">
        <f>(F399/0.6)/4</f>
        <v>9.1666666666666674E-2</v>
      </c>
      <c r="H399">
        <f>G399*(11.5/38.29)</f>
        <v>2.7531122138069124E-2</v>
      </c>
    </row>
    <row r="400" spans="1:8" x14ac:dyDescent="0.25">
      <c r="A400" s="1">
        <v>1993</v>
      </c>
      <c r="B400" s="1" t="s">
        <v>104</v>
      </c>
      <c r="C400" t="s">
        <v>51</v>
      </c>
      <c r="D400">
        <v>2</v>
      </c>
      <c r="E400">
        <v>79</v>
      </c>
      <c r="F400">
        <v>0.04</v>
      </c>
      <c r="G400">
        <f>(F400/0.6)/4</f>
        <v>1.6666666666666666E-2</v>
      </c>
      <c r="H400">
        <f>G400*(11.5/38.29)</f>
        <v>5.0056585705580223E-3</v>
      </c>
    </row>
    <row r="401" spans="1:8" x14ac:dyDescent="0.25">
      <c r="A401" s="1">
        <v>1993</v>
      </c>
      <c r="B401" s="1" t="s">
        <v>104</v>
      </c>
      <c r="C401" t="s">
        <v>51</v>
      </c>
      <c r="D401">
        <v>2</v>
      </c>
      <c r="E401">
        <v>79</v>
      </c>
      <c r="F401">
        <v>0.12</v>
      </c>
      <c r="G401">
        <f>(F401/0.6)/4</f>
        <v>0.05</v>
      </c>
      <c r="H401">
        <f>G401*(11.5/38.29)</f>
        <v>1.5016975711674067E-2</v>
      </c>
    </row>
    <row r="402" spans="1:8" x14ac:dyDescent="0.25">
      <c r="A402" s="1">
        <v>1993</v>
      </c>
      <c r="B402" s="1" t="s">
        <v>104</v>
      </c>
      <c r="C402" t="s">
        <v>51</v>
      </c>
      <c r="D402">
        <v>2</v>
      </c>
      <c r="E402">
        <v>79</v>
      </c>
      <c r="F402">
        <v>0.16</v>
      </c>
      <c r="G402">
        <f>(F402/0.6)/4</f>
        <v>6.6666666666666666E-2</v>
      </c>
      <c r="H402">
        <f>G402*(11.5/38.29)</f>
        <v>2.0022634282232089E-2</v>
      </c>
    </row>
    <row r="403" spans="1:8" x14ac:dyDescent="0.25">
      <c r="A403" s="1">
        <v>1993</v>
      </c>
      <c r="B403" s="1" t="s">
        <v>104</v>
      </c>
      <c r="C403" t="s">
        <v>51</v>
      </c>
      <c r="D403">
        <v>2</v>
      </c>
      <c r="E403">
        <v>79</v>
      </c>
      <c r="F403">
        <v>0.09</v>
      </c>
      <c r="G403">
        <f>(F403/0.6)/4</f>
        <v>3.7499999999999999E-2</v>
      </c>
      <c r="H403">
        <f>G403*(11.5/38.29)</f>
        <v>1.126273178375555E-2</v>
      </c>
    </row>
    <row r="404" spans="1:8" x14ac:dyDescent="0.25">
      <c r="A404" s="1">
        <v>1993</v>
      </c>
      <c r="B404" s="1" t="s">
        <v>104</v>
      </c>
      <c r="C404" t="s">
        <v>51</v>
      </c>
      <c r="D404">
        <v>2</v>
      </c>
      <c r="E404">
        <v>79</v>
      </c>
      <c r="F404">
        <v>0.1</v>
      </c>
      <c r="G404">
        <f>(F404/0.6)/4</f>
        <v>4.1666666666666671E-2</v>
      </c>
      <c r="H404">
        <f>G404*(11.5/38.29)</f>
        <v>1.2514146426395057E-2</v>
      </c>
    </row>
    <row r="405" spans="1:8" x14ac:dyDescent="0.25">
      <c r="A405" s="1">
        <v>1993</v>
      </c>
      <c r="B405" s="1" t="s">
        <v>104</v>
      </c>
      <c r="C405" t="s">
        <v>51</v>
      </c>
      <c r="D405">
        <v>2</v>
      </c>
      <c r="E405">
        <v>79</v>
      </c>
      <c r="F405">
        <v>0.16</v>
      </c>
      <c r="G405">
        <f>(F405/0.6)/4</f>
        <v>6.6666666666666666E-2</v>
      </c>
      <c r="H405">
        <f>G405*(11.5/38.29)</f>
        <v>2.0022634282232089E-2</v>
      </c>
    </row>
    <row r="406" spans="1:8" x14ac:dyDescent="0.25">
      <c r="A406" s="1">
        <v>1993</v>
      </c>
      <c r="B406" s="1" t="s">
        <v>104</v>
      </c>
      <c r="C406" t="s">
        <v>51</v>
      </c>
      <c r="D406">
        <v>2</v>
      </c>
      <c r="E406">
        <v>79</v>
      </c>
      <c r="F406">
        <v>0.04</v>
      </c>
      <c r="G406">
        <f>(F406/0.6)/4</f>
        <v>1.6666666666666666E-2</v>
      </c>
      <c r="H406">
        <f>G406*(11.5/38.29)</f>
        <v>5.0056585705580223E-3</v>
      </c>
    </row>
    <row r="407" spans="1:8" x14ac:dyDescent="0.25">
      <c r="A407" s="1">
        <v>1993</v>
      </c>
      <c r="B407" s="1" t="s">
        <v>104</v>
      </c>
      <c r="C407" t="s">
        <v>51</v>
      </c>
      <c r="D407">
        <v>2</v>
      </c>
      <c r="E407">
        <v>79</v>
      </c>
      <c r="F407">
        <v>0.49</v>
      </c>
      <c r="G407">
        <f>(F407/0.6)/4</f>
        <v>0.20416666666666666</v>
      </c>
      <c r="H407">
        <f>G407*(11.5/38.29)</f>
        <v>6.1319317489335771E-2</v>
      </c>
    </row>
    <row r="408" spans="1:8" x14ac:dyDescent="0.25">
      <c r="A408" s="1">
        <v>1993</v>
      </c>
      <c r="B408" s="1" t="s">
        <v>104</v>
      </c>
      <c r="C408" t="s">
        <v>51</v>
      </c>
      <c r="D408">
        <v>2</v>
      </c>
      <c r="E408">
        <v>79</v>
      </c>
      <c r="F408">
        <v>0.38</v>
      </c>
      <c r="G408">
        <f>(F408/0.6)/4</f>
        <v>0.15833333333333335</v>
      </c>
      <c r="H408">
        <f>G408*(11.5/38.29)</f>
        <v>4.7553756420301213E-2</v>
      </c>
    </row>
    <row r="409" spans="1:8" x14ac:dyDescent="0.25">
      <c r="A409" s="1">
        <v>1993</v>
      </c>
      <c r="B409" s="1" t="s">
        <v>104</v>
      </c>
      <c r="C409" t="s">
        <v>51</v>
      </c>
      <c r="D409">
        <v>2</v>
      </c>
      <c r="E409">
        <v>79</v>
      </c>
      <c r="F409">
        <v>0.15</v>
      </c>
      <c r="G409">
        <f>(F409/0.6)/4</f>
        <v>6.25E-2</v>
      </c>
      <c r="H409">
        <f>G409*(11.5/38.29)</f>
        <v>1.8771219639592582E-2</v>
      </c>
    </row>
    <row r="410" spans="1:8" x14ac:dyDescent="0.25">
      <c r="A410" s="1">
        <v>1993</v>
      </c>
      <c r="B410" s="1" t="s">
        <v>104</v>
      </c>
      <c r="C410" t="s">
        <v>51</v>
      </c>
      <c r="D410">
        <v>2</v>
      </c>
      <c r="E410">
        <v>79</v>
      </c>
      <c r="F410">
        <v>0.04</v>
      </c>
      <c r="G410">
        <f>(F410/0.6)/4</f>
        <v>1.6666666666666666E-2</v>
      </c>
      <c r="H410">
        <f>G410*(11.5/38.29)</f>
        <v>5.0056585705580223E-3</v>
      </c>
    </row>
    <row r="411" spans="1:8" x14ac:dyDescent="0.25">
      <c r="A411" s="1">
        <v>1993</v>
      </c>
      <c r="B411" s="1" t="s">
        <v>104</v>
      </c>
      <c r="C411" t="s">
        <v>51</v>
      </c>
      <c r="D411">
        <v>2</v>
      </c>
      <c r="E411">
        <v>79</v>
      </c>
      <c r="F411">
        <v>0.12</v>
      </c>
      <c r="G411">
        <f>(F411/0.6)/4</f>
        <v>0.05</v>
      </c>
      <c r="H411">
        <f>G411*(11.5/38.29)</f>
        <v>1.5016975711674067E-2</v>
      </c>
    </row>
    <row r="412" spans="1:8" x14ac:dyDescent="0.25">
      <c r="A412" s="1">
        <v>1993</v>
      </c>
      <c r="B412" s="1" t="s">
        <v>104</v>
      </c>
      <c r="C412" t="s">
        <v>51</v>
      </c>
      <c r="D412">
        <v>2</v>
      </c>
      <c r="E412">
        <v>79</v>
      </c>
      <c r="F412">
        <v>7.0000000000000007E-2</v>
      </c>
      <c r="G412">
        <f>(F412/0.6)/4</f>
        <v>2.9166666666666671E-2</v>
      </c>
      <c r="H412">
        <f>G412*(11.5/38.29)</f>
        <v>8.7599024984765395E-3</v>
      </c>
    </row>
    <row r="413" spans="1:8" x14ac:dyDescent="0.25">
      <c r="A413" s="1">
        <v>1993</v>
      </c>
      <c r="B413" s="1" t="s">
        <v>104</v>
      </c>
      <c r="C413" t="s">
        <v>51</v>
      </c>
      <c r="D413">
        <v>2</v>
      </c>
      <c r="E413">
        <v>79</v>
      </c>
      <c r="F413">
        <v>0.05</v>
      </c>
      <c r="G413">
        <f>(F413/0.6)/4</f>
        <v>2.0833333333333336E-2</v>
      </c>
      <c r="H413">
        <f>G413*(11.5/38.29)</f>
        <v>6.2570732131975284E-3</v>
      </c>
    </row>
    <row r="414" spans="1:8" x14ac:dyDescent="0.25">
      <c r="A414" s="1">
        <v>1993</v>
      </c>
      <c r="B414" s="1" t="s">
        <v>104</v>
      </c>
      <c r="C414" t="s">
        <v>51</v>
      </c>
      <c r="D414">
        <v>2</v>
      </c>
      <c r="E414">
        <v>79</v>
      </c>
      <c r="F414">
        <v>0.21</v>
      </c>
      <c r="G414">
        <f>(F414/0.6)/4</f>
        <v>8.7499999999999994E-2</v>
      </c>
      <c r="H414">
        <f>G414*(11.5/38.29)</f>
        <v>2.6279707495429613E-2</v>
      </c>
    </row>
    <row r="415" spans="1:8" x14ac:dyDescent="0.25">
      <c r="A415" s="1">
        <v>1993</v>
      </c>
      <c r="B415" s="1" t="s">
        <v>104</v>
      </c>
      <c r="C415" t="s">
        <v>51</v>
      </c>
      <c r="D415">
        <v>2</v>
      </c>
      <c r="E415">
        <v>79</v>
      </c>
      <c r="F415">
        <v>0.11</v>
      </c>
      <c r="G415">
        <f>(F415/0.6)/4</f>
        <v>4.5833333333333337E-2</v>
      </c>
      <c r="H415">
        <f>G415*(11.5/38.29)</f>
        <v>1.3765561069034562E-2</v>
      </c>
    </row>
    <row r="416" spans="1:8" x14ac:dyDescent="0.25">
      <c r="A416" s="1">
        <v>1993</v>
      </c>
      <c r="B416" s="1" t="s">
        <v>104</v>
      </c>
      <c r="C416" t="s">
        <v>51</v>
      </c>
      <c r="D416">
        <v>2</v>
      </c>
      <c r="E416">
        <v>79</v>
      </c>
      <c r="F416">
        <v>0.08</v>
      </c>
      <c r="G416">
        <f>(F416/0.6)/4</f>
        <v>3.3333333333333333E-2</v>
      </c>
      <c r="H416">
        <f>G416*(11.5/38.29)</f>
        <v>1.0011317141116045E-2</v>
      </c>
    </row>
    <row r="417" spans="1:8" x14ac:dyDescent="0.25">
      <c r="A417" s="1">
        <v>1993</v>
      </c>
      <c r="B417" s="1" t="s">
        <v>104</v>
      </c>
      <c r="C417" t="s">
        <v>51</v>
      </c>
      <c r="D417">
        <v>2</v>
      </c>
      <c r="E417">
        <v>79</v>
      </c>
      <c r="F417">
        <v>0.22</v>
      </c>
      <c r="G417">
        <f>(F417/0.6)/4</f>
        <v>9.1666666666666674E-2</v>
      </c>
      <c r="H417">
        <f>G417*(11.5/38.29)</f>
        <v>2.7531122138069124E-2</v>
      </c>
    </row>
    <row r="418" spans="1:8" x14ac:dyDescent="0.25">
      <c r="A418" s="1">
        <v>1993</v>
      </c>
      <c r="B418" s="1" t="s">
        <v>104</v>
      </c>
      <c r="C418" t="s">
        <v>51</v>
      </c>
      <c r="D418">
        <v>2</v>
      </c>
      <c r="E418">
        <v>79</v>
      </c>
      <c r="F418">
        <v>0.05</v>
      </c>
      <c r="G418">
        <f>(F418/0.6)/4</f>
        <v>2.0833333333333336E-2</v>
      </c>
      <c r="H418">
        <f>G418*(11.5/38.29)</f>
        <v>6.2570732131975284E-3</v>
      </c>
    </row>
    <row r="419" spans="1:8" x14ac:dyDescent="0.25">
      <c r="A419" s="1">
        <v>1993</v>
      </c>
      <c r="B419" s="1" t="s">
        <v>104</v>
      </c>
      <c r="C419" t="s">
        <v>51</v>
      </c>
      <c r="D419">
        <v>2</v>
      </c>
      <c r="E419">
        <v>79</v>
      </c>
      <c r="F419">
        <v>0.35</v>
      </c>
      <c r="G419">
        <f>(F419/0.6)/4</f>
        <v>0.14583333333333334</v>
      </c>
      <c r="H419">
        <f>G419*(11.5/38.29)</f>
        <v>4.3799512492382696E-2</v>
      </c>
    </row>
    <row r="420" spans="1:8" x14ac:dyDescent="0.25">
      <c r="A420" s="1">
        <v>1993</v>
      </c>
      <c r="B420" s="1" t="s">
        <v>104</v>
      </c>
      <c r="C420" t="s">
        <v>51</v>
      </c>
      <c r="D420">
        <v>2</v>
      </c>
      <c r="E420">
        <v>79</v>
      </c>
      <c r="F420">
        <v>7.0000000000000007E-2</v>
      </c>
      <c r="G420">
        <f>(F420/0.6)/4</f>
        <v>2.9166666666666671E-2</v>
      </c>
      <c r="H420">
        <f>G420*(11.5/38.29)</f>
        <v>8.7599024984765395E-3</v>
      </c>
    </row>
    <row r="421" spans="1:8" x14ac:dyDescent="0.25">
      <c r="A421" s="1">
        <v>1993</v>
      </c>
      <c r="B421" s="1" t="s">
        <v>104</v>
      </c>
      <c r="C421" t="s">
        <v>51</v>
      </c>
      <c r="D421">
        <v>2</v>
      </c>
      <c r="E421">
        <v>79</v>
      </c>
      <c r="F421">
        <v>0.47</v>
      </c>
      <c r="G421">
        <f>(F421/0.6)/4</f>
        <v>0.19583333333333333</v>
      </c>
      <c r="H421">
        <f>G421*(11.5/38.29)</f>
        <v>5.8816488204056758E-2</v>
      </c>
    </row>
    <row r="422" spans="1:8" x14ac:dyDescent="0.25">
      <c r="A422" s="1">
        <v>1993</v>
      </c>
      <c r="B422" s="1" t="s">
        <v>104</v>
      </c>
      <c r="C422" t="s">
        <v>51</v>
      </c>
      <c r="D422">
        <v>2</v>
      </c>
      <c r="E422">
        <v>85</v>
      </c>
      <c r="F422">
        <v>0.05</v>
      </c>
      <c r="G422">
        <f>(F422/0.6)/4</f>
        <v>2.0833333333333336E-2</v>
      </c>
      <c r="H422">
        <f>G422*(11.5/38.29)</f>
        <v>6.2570732131975284E-3</v>
      </c>
    </row>
    <row r="423" spans="1:8" x14ac:dyDescent="0.25">
      <c r="A423" s="1">
        <v>1993</v>
      </c>
      <c r="B423" s="1" t="s">
        <v>104</v>
      </c>
      <c r="C423" t="s">
        <v>51</v>
      </c>
      <c r="D423">
        <v>2</v>
      </c>
      <c r="E423">
        <v>85</v>
      </c>
      <c r="F423">
        <v>0.05</v>
      </c>
      <c r="G423">
        <f>(F423/0.6)/4</f>
        <v>2.0833333333333336E-2</v>
      </c>
      <c r="H423">
        <f>G423*(11.5/38.29)</f>
        <v>6.2570732131975284E-3</v>
      </c>
    </row>
    <row r="424" spans="1:8" x14ac:dyDescent="0.25">
      <c r="A424" s="1">
        <v>1993</v>
      </c>
      <c r="B424" s="1" t="s">
        <v>104</v>
      </c>
      <c r="C424" t="s">
        <v>51</v>
      </c>
      <c r="D424">
        <v>3</v>
      </c>
      <c r="E424">
        <v>11</v>
      </c>
      <c r="F424">
        <v>0.42</v>
      </c>
      <c r="G424">
        <f>(F424/0.6)/4</f>
        <v>0.17499999999999999</v>
      </c>
      <c r="H424">
        <f>G424*(11.5/38.29)</f>
        <v>5.2559414990859227E-2</v>
      </c>
    </row>
    <row r="425" spans="1:8" x14ac:dyDescent="0.25">
      <c r="A425" s="1">
        <v>1993</v>
      </c>
      <c r="B425" s="1" t="s">
        <v>104</v>
      </c>
      <c r="C425" t="s">
        <v>51</v>
      </c>
      <c r="D425">
        <v>3</v>
      </c>
      <c r="E425">
        <v>25</v>
      </c>
      <c r="F425">
        <v>0.04</v>
      </c>
      <c r="G425">
        <f>(F425/0.6)/4</f>
        <v>1.6666666666666666E-2</v>
      </c>
      <c r="H425">
        <f>G425*(11.5/38.29)</f>
        <v>5.0056585705580223E-3</v>
      </c>
    </row>
    <row r="426" spans="1:8" x14ac:dyDescent="0.25">
      <c r="A426" s="1">
        <v>1993</v>
      </c>
      <c r="B426" s="1" t="s">
        <v>104</v>
      </c>
      <c r="C426" t="s">
        <v>51</v>
      </c>
      <c r="D426">
        <v>3</v>
      </c>
      <c r="E426">
        <v>29</v>
      </c>
      <c r="F426">
        <v>0.13</v>
      </c>
      <c r="G426">
        <f>(F426/0.6)/4</f>
        <v>5.4166666666666669E-2</v>
      </c>
      <c r="H426">
        <f>G426*(11.5/38.29)</f>
        <v>1.6268390354313572E-2</v>
      </c>
    </row>
    <row r="427" spans="1:8" x14ac:dyDescent="0.25">
      <c r="A427" s="1">
        <v>1993</v>
      </c>
      <c r="B427" s="1" t="s">
        <v>104</v>
      </c>
      <c r="C427" t="s">
        <v>51</v>
      </c>
      <c r="D427">
        <v>3</v>
      </c>
      <c r="E427">
        <v>29</v>
      </c>
      <c r="F427">
        <v>0.14000000000000001</v>
      </c>
      <c r="G427">
        <f>(F427/0.6)/4</f>
        <v>5.8333333333333341E-2</v>
      </c>
      <c r="H427">
        <f>G427*(11.5/38.29)</f>
        <v>1.7519804996953079E-2</v>
      </c>
    </row>
    <row r="428" spans="1:8" x14ac:dyDescent="0.25">
      <c r="A428" s="1">
        <v>1993</v>
      </c>
      <c r="B428" s="1" t="s">
        <v>104</v>
      </c>
      <c r="C428" t="s">
        <v>51</v>
      </c>
      <c r="D428">
        <v>3</v>
      </c>
      <c r="E428">
        <v>29</v>
      </c>
      <c r="F428">
        <v>0.26</v>
      </c>
      <c r="G428">
        <f>(F428/0.6)/4</f>
        <v>0.10833333333333334</v>
      </c>
      <c r="H428">
        <f>G428*(11.5/38.29)</f>
        <v>3.2536780708627144E-2</v>
      </c>
    </row>
    <row r="429" spans="1:8" x14ac:dyDescent="0.25">
      <c r="A429" s="1">
        <v>1993</v>
      </c>
      <c r="B429" s="1" t="s">
        <v>104</v>
      </c>
      <c r="C429" t="s">
        <v>51</v>
      </c>
      <c r="D429">
        <v>3</v>
      </c>
      <c r="E429">
        <v>29</v>
      </c>
      <c r="F429">
        <v>0.09</v>
      </c>
      <c r="G429">
        <f>(F429/0.6)/4</f>
        <v>3.7499999999999999E-2</v>
      </c>
      <c r="H429">
        <f>G429*(11.5/38.29)</f>
        <v>1.126273178375555E-2</v>
      </c>
    </row>
    <row r="430" spans="1:8" x14ac:dyDescent="0.25">
      <c r="A430" s="1">
        <v>1993</v>
      </c>
      <c r="B430" s="1" t="s">
        <v>104</v>
      </c>
      <c r="C430" t="s">
        <v>51</v>
      </c>
      <c r="D430">
        <v>3</v>
      </c>
      <c r="E430">
        <v>29</v>
      </c>
      <c r="F430">
        <v>0.04</v>
      </c>
      <c r="G430">
        <f>(F430/0.6)/4</f>
        <v>1.6666666666666666E-2</v>
      </c>
      <c r="H430">
        <f>G430*(11.5/38.29)</f>
        <v>5.0056585705580223E-3</v>
      </c>
    </row>
    <row r="431" spans="1:8" x14ac:dyDescent="0.25">
      <c r="A431" s="1">
        <v>1993</v>
      </c>
      <c r="B431" s="1" t="s">
        <v>104</v>
      </c>
      <c r="C431" t="s">
        <v>51</v>
      </c>
      <c r="D431">
        <v>3</v>
      </c>
      <c r="E431">
        <v>29</v>
      </c>
      <c r="F431">
        <v>0.12</v>
      </c>
      <c r="G431">
        <f>(F431/0.6)/4</f>
        <v>0.05</v>
      </c>
      <c r="H431">
        <f>G431*(11.5/38.29)</f>
        <v>1.5016975711674067E-2</v>
      </c>
    </row>
    <row r="432" spans="1:8" x14ac:dyDescent="0.25">
      <c r="A432" s="1">
        <v>1993</v>
      </c>
      <c r="B432" s="1" t="s">
        <v>104</v>
      </c>
      <c r="C432" t="s">
        <v>51</v>
      </c>
      <c r="D432">
        <v>3</v>
      </c>
      <c r="E432">
        <v>29</v>
      </c>
      <c r="F432">
        <v>0.04</v>
      </c>
      <c r="G432">
        <f>(F432/0.6)/4</f>
        <v>1.6666666666666666E-2</v>
      </c>
      <c r="H432">
        <f>G432*(11.5/38.29)</f>
        <v>5.0056585705580223E-3</v>
      </c>
    </row>
    <row r="433" spans="1:8" x14ac:dyDescent="0.25">
      <c r="A433" s="1">
        <v>1993</v>
      </c>
      <c r="B433" s="1" t="s">
        <v>104</v>
      </c>
      <c r="C433" t="s">
        <v>51</v>
      </c>
      <c r="D433">
        <v>3</v>
      </c>
      <c r="E433">
        <v>29</v>
      </c>
      <c r="F433">
        <v>0.12</v>
      </c>
      <c r="G433">
        <f>(F433/0.6)/4</f>
        <v>0.05</v>
      </c>
      <c r="H433">
        <f>G433*(11.5/38.29)</f>
        <v>1.5016975711674067E-2</v>
      </c>
    </row>
    <row r="434" spans="1:8" x14ac:dyDescent="0.25">
      <c r="A434" s="1">
        <v>1993</v>
      </c>
      <c r="B434" s="1" t="s">
        <v>104</v>
      </c>
      <c r="C434" t="s">
        <v>51</v>
      </c>
      <c r="D434">
        <v>3</v>
      </c>
      <c r="E434">
        <v>29</v>
      </c>
      <c r="F434">
        <v>0.34</v>
      </c>
      <c r="G434">
        <f>(F434/0.6)/4</f>
        <v>0.14166666666666669</v>
      </c>
      <c r="H434">
        <f>G434*(11.5/38.29)</f>
        <v>4.2548097849743192E-2</v>
      </c>
    </row>
    <row r="435" spans="1:8" x14ac:dyDescent="0.25">
      <c r="A435" s="1">
        <v>1993</v>
      </c>
      <c r="B435" s="1" t="s">
        <v>104</v>
      </c>
      <c r="C435" t="s">
        <v>51</v>
      </c>
      <c r="D435">
        <v>3</v>
      </c>
      <c r="E435">
        <v>29</v>
      </c>
      <c r="F435">
        <v>0.1</v>
      </c>
      <c r="G435">
        <f>(F435/0.6)/4</f>
        <v>4.1666666666666671E-2</v>
      </c>
      <c r="H435">
        <f>G435*(11.5/38.29)</f>
        <v>1.2514146426395057E-2</v>
      </c>
    </row>
    <row r="436" spans="1:8" x14ac:dyDescent="0.25">
      <c r="A436" s="1">
        <v>1993</v>
      </c>
      <c r="B436" s="1" t="s">
        <v>104</v>
      </c>
      <c r="C436" t="s">
        <v>51</v>
      </c>
      <c r="D436">
        <v>3</v>
      </c>
      <c r="E436">
        <v>29</v>
      </c>
      <c r="F436">
        <v>0.1</v>
      </c>
      <c r="G436">
        <f>(F436/0.6)/4</f>
        <v>4.1666666666666671E-2</v>
      </c>
      <c r="H436">
        <f>G436*(11.5/38.29)</f>
        <v>1.2514146426395057E-2</v>
      </c>
    </row>
    <row r="437" spans="1:8" x14ac:dyDescent="0.25">
      <c r="A437" s="1">
        <v>1993</v>
      </c>
      <c r="B437" s="1" t="s">
        <v>104</v>
      </c>
      <c r="C437" t="s">
        <v>51</v>
      </c>
      <c r="D437">
        <v>3</v>
      </c>
      <c r="E437">
        <v>32</v>
      </c>
      <c r="F437">
        <v>0.22</v>
      </c>
      <c r="G437">
        <f>(F437/0.6)/4</f>
        <v>9.1666666666666674E-2</v>
      </c>
      <c r="H437">
        <f>G437*(11.5/38.29)</f>
        <v>2.7531122138069124E-2</v>
      </c>
    </row>
    <row r="438" spans="1:8" x14ac:dyDescent="0.25">
      <c r="A438" s="1">
        <v>1993</v>
      </c>
      <c r="B438" s="1" t="s">
        <v>104</v>
      </c>
      <c r="C438" t="s">
        <v>51</v>
      </c>
      <c r="D438">
        <v>3</v>
      </c>
      <c r="E438">
        <v>32</v>
      </c>
      <c r="F438">
        <v>0.13</v>
      </c>
      <c r="G438">
        <f>(F438/0.6)/4</f>
        <v>5.4166666666666669E-2</v>
      </c>
      <c r="H438">
        <f>G438*(11.5/38.29)</f>
        <v>1.6268390354313572E-2</v>
      </c>
    </row>
    <row r="439" spans="1:8" x14ac:dyDescent="0.25">
      <c r="A439" s="1">
        <v>1993</v>
      </c>
      <c r="B439" s="1" t="s">
        <v>104</v>
      </c>
      <c r="C439" t="s">
        <v>51</v>
      </c>
      <c r="D439">
        <v>3</v>
      </c>
      <c r="E439">
        <v>32</v>
      </c>
      <c r="F439">
        <v>0.04</v>
      </c>
      <c r="G439">
        <f>(F439/0.6)/4</f>
        <v>1.6666666666666666E-2</v>
      </c>
      <c r="H439">
        <f>G439*(11.5/38.29)</f>
        <v>5.0056585705580223E-3</v>
      </c>
    </row>
    <row r="440" spans="1:8" x14ac:dyDescent="0.25">
      <c r="A440" s="1">
        <v>1993</v>
      </c>
      <c r="B440" s="1" t="s">
        <v>104</v>
      </c>
      <c r="C440" t="s">
        <v>51</v>
      </c>
      <c r="D440">
        <v>3</v>
      </c>
      <c r="E440">
        <v>32</v>
      </c>
      <c r="F440">
        <v>0.08</v>
      </c>
      <c r="G440">
        <f>(F440/0.6)/4</f>
        <v>3.3333333333333333E-2</v>
      </c>
      <c r="H440">
        <f>G440*(11.5/38.29)</f>
        <v>1.0011317141116045E-2</v>
      </c>
    </row>
    <row r="441" spans="1:8" x14ac:dyDescent="0.25">
      <c r="A441" s="1">
        <v>1993</v>
      </c>
      <c r="B441" s="1" t="s">
        <v>104</v>
      </c>
      <c r="C441" t="s">
        <v>51</v>
      </c>
      <c r="D441">
        <v>3</v>
      </c>
      <c r="E441">
        <v>32</v>
      </c>
      <c r="F441">
        <v>0.05</v>
      </c>
      <c r="G441">
        <f>(F441/0.6)/4</f>
        <v>2.0833333333333336E-2</v>
      </c>
      <c r="H441">
        <f>G441*(11.5/38.29)</f>
        <v>6.2570732131975284E-3</v>
      </c>
    </row>
    <row r="442" spans="1:8" x14ac:dyDescent="0.25">
      <c r="A442" s="1">
        <v>1993</v>
      </c>
      <c r="B442" s="1" t="s">
        <v>104</v>
      </c>
      <c r="C442" t="s">
        <v>51</v>
      </c>
      <c r="D442">
        <v>3</v>
      </c>
      <c r="E442">
        <v>32</v>
      </c>
      <c r="F442">
        <v>0.05</v>
      </c>
      <c r="G442">
        <f>(F442/0.6)/4</f>
        <v>2.0833333333333336E-2</v>
      </c>
      <c r="H442">
        <f>G442*(11.5/38.29)</f>
        <v>6.2570732131975284E-3</v>
      </c>
    </row>
    <row r="443" spans="1:8" x14ac:dyDescent="0.25">
      <c r="A443" s="1">
        <v>1993</v>
      </c>
      <c r="B443" s="1" t="s">
        <v>104</v>
      </c>
      <c r="C443" t="s">
        <v>51</v>
      </c>
      <c r="D443">
        <v>3</v>
      </c>
      <c r="E443">
        <v>32</v>
      </c>
      <c r="F443">
        <v>0.26</v>
      </c>
      <c r="G443">
        <f>(F443/0.6)/4</f>
        <v>0.10833333333333334</v>
      </c>
      <c r="H443">
        <f>G443*(11.5/38.29)</f>
        <v>3.2536780708627144E-2</v>
      </c>
    </row>
    <row r="444" spans="1:8" x14ac:dyDescent="0.25">
      <c r="A444" s="1">
        <v>1993</v>
      </c>
      <c r="B444" s="1" t="s">
        <v>104</v>
      </c>
      <c r="C444" t="s">
        <v>51</v>
      </c>
      <c r="D444">
        <v>3</v>
      </c>
      <c r="E444">
        <v>32</v>
      </c>
      <c r="F444">
        <v>0.11</v>
      </c>
      <c r="G444">
        <f>(F444/0.6)/4</f>
        <v>4.5833333333333337E-2</v>
      </c>
      <c r="H444">
        <f>G444*(11.5/38.29)</f>
        <v>1.3765561069034562E-2</v>
      </c>
    </row>
    <row r="445" spans="1:8" x14ac:dyDescent="0.25">
      <c r="A445" s="1">
        <v>1993</v>
      </c>
      <c r="B445" s="1" t="s">
        <v>104</v>
      </c>
      <c r="C445" t="s">
        <v>51</v>
      </c>
      <c r="D445">
        <v>3</v>
      </c>
      <c r="E445">
        <v>32</v>
      </c>
      <c r="F445">
        <v>0.04</v>
      </c>
      <c r="G445">
        <f>(F445/0.6)/4</f>
        <v>1.6666666666666666E-2</v>
      </c>
      <c r="H445">
        <f>G445*(11.5/38.29)</f>
        <v>5.0056585705580223E-3</v>
      </c>
    </row>
    <row r="446" spans="1:8" x14ac:dyDescent="0.25">
      <c r="A446" s="1">
        <v>1993</v>
      </c>
      <c r="B446" s="1" t="s">
        <v>104</v>
      </c>
      <c r="C446" t="s">
        <v>51</v>
      </c>
      <c r="D446">
        <v>3</v>
      </c>
      <c r="E446">
        <v>32</v>
      </c>
      <c r="F446">
        <v>0.15</v>
      </c>
      <c r="G446">
        <f>(F446/0.6)/4</f>
        <v>6.25E-2</v>
      </c>
      <c r="H446">
        <f>G446*(11.5/38.29)</f>
        <v>1.8771219639592582E-2</v>
      </c>
    </row>
    <row r="447" spans="1:8" x14ac:dyDescent="0.25">
      <c r="A447" s="1">
        <v>1993</v>
      </c>
      <c r="B447" s="1" t="s">
        <v>104</v>
      </c>
      <c r="C447" t="s">
        <v>51</v>
      </c>
      <c r="D447">
        <v>3</v>
      </c>
      <c r="E447">
        <v>32</v>
      </c>
      <c r="F447">
        <v>0.06</v>
      </c>
      <c r="G447">
        <f>(F447/0.6)/4</f>
        <v>2.5000000000000001E-2</v>
      </c>
      <c r="H447">
        <f>G447*(11.5/38.29)</f>
        <v>7.5084878558370335E-3</v>
      </c>
    </row>
    <row r="448" spans="1:8" x14ac:dyDescent="0.25">
      <c r="A448" s="1">
        <v>1993</v>
      </c>
      <c r="B448" s="1" t="s">
        <v>104</v>
      </c>
      <c r="C448" t="s">
        <v>51</v>
      </c>
      <c r="D448">
        <v>3</v>
      </c>
      <c r="E448">
        <v>32</v>
      </c>
      <c r="F448">
        <v>0.03</v>
      </c>
      <c r="G448">
        <f>(F448/0.6)/4</f>
        <v>1.2500000000000001E-2</v>
      </c>
      <c r="H448">
        <f>G448*(11.5/38.29)</f>
        <v>3.7542439279185168E-3</v>
      </c>
    </row>
    <row r="449" spans="1:8" x14ac:dyDescent="0.25">
      <c r="A449" s="1">
        <v>1993</v>
      </c>
      <c r="B449" s="1" t="s">
        <v>104</v>
      </c>
      <c r="C449" t="s">
        <v>51</v>
      </c>
      <c r="D449">
        <v>3</v>
      </c>
      <c r="E449">
        <v>32</v>
      </c>
      <c r="F449">
        <v>0.31</v>
      </c>
      <c r="G449">
        <f>(F449/0.6)/4</f>
        <v>0.12916666666666668</v>
      </c>
      <c r="H449">
        <f>G449*(11.5/38.29)</f>
        <v>3.8793853921824675E-2</v>
      </c>
    </row>
    <row r="450" spans="1:8" x14ac:dyDescent="0.25">
      <c r="A450" s="1">
        <v>1993</v>
      </c>
      <c r="B450" s="1" t="s">
        <v>104</v>
      </c>
      <c r="C450" t="s">
        <v>51</v>
      </c>
      <c r="D450">
        <v>3</v>
      </c>
      <c r="E450">
        <v>34</v>
      </c>
      <c r="F450">
        <v>0.28999999999999998</v>
      </c>
      <c r="G450">
        <f>(F450/0.6)/4</f>
        <v>0.12083333333333333</v>
      </c>
      <c r="H450">
        <f>G450*(11.5/38.29)</f>
        <v>3.6291024636545662E-2</v>
      </c>
    </row>
    <row r="451" spans="1:8" x14ac:dyDescent="0.25">
      <c r="A451" s="1">
        <v>1993</v>
      </c>
      <c r="B451" s="1" t="s">
        <v>104</v>
      </c>
      <c r="C451" t="s">
        <v>51</v>
      </c>
      <c r="D451">
        <v>3</v>
      </c>
      <c r="E451">
        <v>34</v>
      </c>
      <c r="F451">
        <v>1.65</v>
      </c>
      <c r="G451">
        <f>(F451/0.6)/4</f>
        <v>0.6875</v>
      </c>
      <c r="H451">
        <f>G451*(11.5/38.29)</f>
        <v>0.2064834160355184</v>
      </c>
    </row>
    <row r="452" spans="1:8" x14ac:dyDescent="0.25">
      <c r="A452" s="1">
        <v>1993</v>
      </c>
      <c r="B452" s="1" t="s">
        <v>104</v>
      </c>
      <c r="C452" t="s">
        <v>51</v>
      </c>
      <c r="D452">
        <v>3</v>
      </c>
      <c r="E452">
        <v>34</v>
      </c>
      <c r="F452">
        <v>0.48</v>
      </c>
      <c r="G452">
        <f>(F452/0.6)/4</f>
        <v>0.2</v>
      </c>
      <c r="H452">
        <f>G452*(11.5/38.29)</f>
        <v>6.0067902846696268E-2</v>
      </c>
    </row>
    <row r="453" spans="1:8" x14ac:dyDescent="0.25">
      <c r="A453" s="1">
        <v>1993</v>
      </c>
      <c r="B453" s="1" t="s">
        <v>104</v>
      </c>
      <c r="C453" t="s">
        <v>51</v>
      </c>
      <c r="D453">
        <v>3</v>
      </c>
      <c r="E453">
        <v>34</v>
      </c>
      <c r="F453">
        <v>1.5</v>
      </c>
      <c r="G453">
        <f>(F453/0.6)/4</f>
        <v>0.625</v>
      </c>
      <c r="H453">
        <f>G453*(11.5/38.29)</f>
        <v>0.18771219639592582</v>
      </c>
    </row>
    <row r="454" spans="1:8" x14ac:dyDescent="0.25">
      <c r="A454" s="1">
        <v>1993</v>
      </c>
      <c r="B454" s="1" t="s">
        <v>104</v>
      </c>
      <c r="C454" t="s">
        <v>51</v>
      </c>
      <c r="D454">
        <v>3</v>
      </c>
      <c r="E454">
        <v>34</v>
      </c>
      <c r="F454">
        <v>1.31</v>
      </c>
      <c r="G454">
        <f>(F454/0.6)/4</f>
        <v>0.54583333333333339</v>
      </c>
      <c r="H454">
        <f>G454*(11.5/38.29)</f>
        <v>0.16393531818577523</v>
      </c>
    </row>
    <row r="455" spans="1:8" x14ac:dyDescent="0.25">
      <c r="A455" s="1">
        <v>1993</v>
      </c>
      <c r="B455" s="1" t="s">
        <v>104</v>
      </c>
      <c r="C455" t="s">
        <v>51</v>
      </c>
      <c r="D455">
        <v>3</v>
      </c>
      <c r="E455">
        <v>34</v>
      </c>
      <c r="F455">
        <v>0.11</v>
      </c>
      <c r="G455">
        <f>(F455/0.6)/4</f>
        <v>4.5833333333333337E-2</v>
      </c>
      <c r="H455">
        <f>G455*(11.5/38.29)</f>
        <v>1.3765561069034562E-2</v>
      </c>
    </row>
    <row r="456" spans="1:8" x14ac:dyDescent="0.25">
      <c r="A456" s="1">
        <v>1993</v>
      </c>
      <c r="B456" s="1" t="s">
        <v>104</v>
      </c>
      <c r="C456" t="s">
        <v>51</v>
      </c>
      <c r="D456">
        <v>3</v>
      </c>
      <c r="E456">
        <v>34</v>
      </c>
      <c r="F456">
        <v>0.14000000000000001</v>
      </c>
      <c r="G456">
        <f>(F456/0.6)/4</f>
        <v>5.8333333333333341E-2</v>
      </c>
      <c r="H456">
        <f>G456*(11.5/38.29)</f>
        <v>1.7519804996953079E-2</v>
      </c>
    </row>
    <row r="457" spans="1:8" x14ac:dyDescent="0.25">
      <c r="A457" s="1">
        <v>1993</v>
      </c>
      <c r="B457" s="1" t="s">
        <v>104</v>
      </c>
      <c r="C457" t="s">
        <v>51</v>
      </c>
      <c r="D457">
        <v>3</v>
      </c>
      <c r="E457">
        <v>38</v>
      </c>
      <c r="F457">
        <v>1.43</v>
      </c>
      <c r="G457">
        <f>(F457/0.6)/4</f>
        <v>0.59583333333333333</v>
      </c>
      <c r="H457">
        <f>G457*(11.5/38.29)</f>
        <v>0.17895229389744929</v>
      </c>
    </row>
    <row r="458" spans="1:8" x14ac:dyDescent="0.25">
      <c r="A458" s="1">
        <v>1993</v>
      </c>
      <c r="B458" s="1" t="s">
        <v>104</v>
      </c>
      <c r="C458" t="s">
        <v>51</v>
      </c>
      <c r="D458">
        <v>3</v>
      </c>
      <c r="E458">
        <v>38</v>
      </c>
      <c r="F458">
        <v>0.51</v>
      </c>
      <c r="G458">
        <f>(F458/0.6)/4</f>
        <v>0.21250000000000002</v>
      </c>
      <c r="H458">
        <f>G458*(11.5/38.29)</f>
        <v>6.3822146774614785E-2</v>
      </c>
    </row>
    <row r="459" spans="1:8" x14ac:dyDescent="0.25">
      <c r="A459" s="1">
        <v>1993</v>
      </c>
      <c r="B459" s="1" t="s">
        <v>104</v>
      </c>
      <c r="C459" t="s">
        <v>51</v>
      </c>
      <c r="D459">
        <v>3</v>
      </c>
      <c r="E459">
        <v>38</v>
      </c>
      <c r="F459">
        <v>0.51</v>
      </c>
      <c r="G459">
        <f>(F459/0.6)/4</f>
        <v>0.21250000000000002</v>
      </c>
      <c r="H459">
        <f>G459*(11.5/38.29)</f>
        <v>6.3822146774614785E-2</v>
      </c>
    </row>
    <row r="460" spans="1:8" x14ac:dyDescent="0.25">
      <c r="A460" s="1">
        <v>1993</v>
      </c>
      <c r="B460" s="1" t="s">
        <v>104</v>
      </c>
      <c r="C460" t="s">
        <v>51</v>
      </c>
      <c r="D460">
        <v>3</v>
      </c>
      <c r="E460">
        <v>38</v>
      </c>
      <c r="F460">
        <v>0.7</v>
      </c>
      <c r="G460">
        <f>(F460/0.6)/4</f>
        <v>0.29166666666666669</v>
      </c>
      <c r="H460">
        <f>G460*(11.5/38.29)</f>
        <v>8.7599024984765392E-2</v>
      </c>
    </row>
    <row r="461" spans="1:8" x14ac:dyDescent="0.25">
      <c r="A461" s="1">
        <v>1993</v>
      </c>
      <c r="B461" s="1" t="s">
        <v>104</v>
      </c>
      <c r="C461" t="s">
        <v>51</v>
      </c>
      <c r="D461">
        <v>3</v>
      </c>
      <c r="E461">
        <v>38</v>
      </c>
      <c r="F461">
        <v>0.61</v>
      </c>
      <c r="G461">
        <f>(F461/0.6)/4</f>
        <v>0.25416666666666665</v>
      </c>
      <c r="H461">
        <f>G461*(11.5/38.29)</f>
        <v>7.6336293201009833E-2</v>
      </c>
    </row>
    <row r="462" spans="1:8" x14ac:dyDescent="0.25">
      <c r="A462" s="1">
        <v>1993</v>
      </c>
      <c r="B462" s="1" t="s">
        <v>104</v>
      </c>
      <c r="C462" t="s">
        <v>51</v>
      </c>
      <c r="D462">
        <v>3</v>
      </c>
      <c r="E462">
        <v>38</v>
      </c>
      <c r="F462">
        <v>0.2</v>
      </c>
      <c r="G462">
        <f>(F462/0.6)/4</f>
        <v>8.3333333333333343E-2</v>
      </c>
      <c r="H462">
        <f>G462*(11.5/38.29)</f>
        <v>2.5028292852790113E-2</v>
      </c>
    </row>
    <row r="463" spans="1:8" x14ac:dyDescent="0.25">
      <c r="A463" s="1">
        <v>1993</v>
      </c>
      <c r="B463" s="1" t="s">
        <v>104</v>
      </c>
      <c r="C463" t="s">
        <v>51</v>
      </c>
      <c r="D463">
        <v>3</v>
      </c>
      <c r="E463">
        <v>38</v>
      </c>
      <c r="F463">
        <v>0.42</v>
      </c>
      <c r="G463">
        <f>(F463/0.6)/4</f>
        <v>0.17499999999999999</v>
      </c>
      <c r="H463">
        <f>G463*(11.5/38.29)</f>
        <v>5.2559414990859227E-2</v>
      </c>
    </row>
    <row r="464" spans="1:8" x14ac:dyDescent="0.25">
      <c r="A464" s="1">
        <v>1993</v>
      </c>
      <c r="B464" s="1" t="s">
        <v>104</v>
      </c>
      <c r="C464" t="s">
        <v>51</v>
      </c>
      <c r="D464">
        <v>3</v>
      </c>
      <c r="E464">
        <v>38</v>
      </c>
      <c r="F464">
        <v>0.95</v>
      </c>
      <c r="G464">
        <f>(F464/0.6)/4</f>
        <v>0.39583333333333331</v>
      </c>
      <c r="H464">
        <f>G464*(11.5/38.29)</f>
        <v>0.11888439105075302</v>
      </c>
    </row>
    <row r="465" spans="1:8" x14ac:dyDescent="0.25">
      <c r="A465" s="1">
        <v>1993</v>
      </c>
      <c r="B465" s="1" t="s">
        <v>104</v>
      </c>
      <c r="C465" t="s">
        <v>51</v>
      </c>
      <c r="D465">
        <v>3</v>
      </c>
      <c r="E465">
        <v>38</v>
      </c>
      <c r="F465">
        <v>1.1000000000000001</v>
      </c>
      <c r="G465">
        <f>(F465/0.6)/4</f>
        <v>0.45833333333333337</v>
      </c>
      <c r="H465">
        <f>G465*(11.5/38.29)</f>
        <v>0.13765561069034563</v>
      </c>
    </row>
    <row r="466" spans="1:8" x14ac:dyDescent="0.25">
      <c r="A466" s="1">
        <v>1993</v>
      </c>
      <c r="B466" s="1" t="s">
        <v>104</v>
      </c>
      <c r="C466" t="s">
        <v>51</v>
      </c>
      <c r="D466">
        <v>3</v>
      </c>
      <c r="E466">
        <v>38</v>
      </c>
      <c r="F466">
        <v>1.38</v>
      </c>
      <c r="G466">
        <f>(F466/0.6)/4</f>
        <v>0.57499999999999996</v>
      </c>
      <c r="H466">
        <f>G466*(11.5/38.29)</f>
        <v>0.17269522068425175</v>
      </c>
    </row>
    <row r="467" spans="1:8" x14ac:dyDescent="0.25">
      <c r="A467" s="1">
        <v>1993</v>
      </c>
      <c r="B467" s="1" t="s">
        <v>104</v>
      </c>
      <c r="C467" t="s">
        <v>51</v>
      </c>
      <c r="D467">
        <v>3</v>
      </c>
      <c r="E467">
        <v>38</v>
      </c>
      <c r="F467">
        <v>1.89</v>
      </c>
      <c r="G467">
        <f>(F467/0.6)/4</f>
        <v>0.78749999999999998</v>
      </c>
      <c r="H467">
        <f>G467*(11.5/38.29)</f>
        <v>0.23651736745886653</v>
      </c>
    </row>
    <row r="468" spans="1:8" x14ac:dyDescent="0.25">
      <c r="A468" s="1">
        <v>1993</v>
      </c>
      <c r="B468" s="1" t="s">
        <v>104</v>
      </c>
      <c r="C468" t="s">
        <v>51</v>
      </c>
      <c r="D468">
        <v>3</v>
      </c>
      <c r="E468">
        <v>38</v>
      </c>
      <c r="F468">
        <v>1.23</v>
      </c>
      <c r="G468">
        <f>(F468/0.6)/4</f>
        <v>0.51250000000000007</v>
      </c>
      <c r="H468">
        <f>G468*(11.5/38.29)</f>
        <v>0.1539240010446592</v>
      </c>
    </row>
    <row r="469" spans="1:8" x14ac:dyDescent="0.25">
      <c r="A469" s="1">
        <v>1993</v>
      </c>
      <c r="B469" s="1" t="s">
        <v>104</v>
      </c>
      <c r="C469" t="s">
        <v>51</v>
      </c>
      <c r="D469">
        <v>3</v>
      </c>
      <c r="E469">
        <v>38</v>
      </c>
      <c r="F469">
        <v>0.49</v>
      </c>
      <c r="G469">
        <f>(F469/0.6)/4</f>
        <v>0.20416666666666666</v>
      </c>
      <c r="H469">
        <f>G469*(11.5/38.29)</f>
        <v>6.1319317489335771E-2</v>
      </c>
    </row>
    <row r="470" spans="1:8" x14ac:dyDescent="0.25">
      <c r="A470" s="1">
        <v>1993</v>
      </c>
      <c r="B470" s="1" t="s">
        <v>104</v>
      </c>
      <c r="C470" t="s">
        <v>51</v>
      </c>
      <c r="D470">
        <v>3</v>
      </c>
      <c r="E470">
        <v>38</v>
      </c>
      <c r="F470">
        <v>0.43</v>
      </c>
      <c r="G470">
        <f>(F470/0.6)/4</f>
        <v>0.17916666666666667</v>
      </c>
      <c r="H470">
        <f>G470*(11.5/38.29)</f>
        <v>5.3810829633498737E-2</v>
      </c>
    </row>
    <row r="471" spans="1:8" x14ac:dyDescent="0.25">
      <c r="A471" s="1">
        <v>1993</v>
      </c>
      <c r="B471" s="1" t="s">
        <v>104</v>
      </c>
      <c r="C471" t="s">
        <v>51</v>
      </c>
      <c r="D471">
        <v>3</v>
      </c>
      <c r="E471">
        <v>38</v>
      </c>
      <c r="F471">
        <v>0.81</v>
      </c>
      <c r="G471">
        <f>(F471/0.6)/4</f>
        <v>0.33750000000000002</v>
      </c>
      <c r="H471">
        <f>G471*(11.5/38.29)</f>
        <v>0.10136458605379996</v>
      </c>
    </row>
    <row r="472" spans="1:8" x14ac:dyDescent="0.25">
      <c r="A472" s="1">
        <v>1993</v>
      </c>
      <c r="B472" s="1" t="s">
        <v>104</v>
      </c>
      <c r="C472" t="s">
        <v>51</v>
      </c>
      <c r="D472">
        <v>3</v>
      </c>
      <c r="E472">
        <v>38</v>
      </c>
      <c r="F472">
        <v>1.41</v>
      </c>
      <c r="G472">
        <f>(F472/0.6)/4</f>
        <v>0.58750000000000002</v>
      </c>
      <c r="H472">
        <f>G472*(11.5/38.29)</f>
        <v>0.17644946461217029</v>
      </c>
    </row>
    <row r="473" spans="1:8" x14ac:dyDescent="0.25">
      <c r="A473" s="1">
        <v>1993</v>
      </c>
      <c r="B473" s="1" t="s">
        <v>104</v>
      </c>
      <c r="C473" t="s">
        <v>51</v>
      </c>
      <c r="D473">
        <v>3</v>
      </c>
      <c r="E473">
        <v>38</v>
      </c>
      <c r="F473">
        <v>1.89</v>
      </c>
      <c r="G473">
        <f>(F473/0.6)/4</f>
        <v>0.78749999999999998</v>
      </c>
      <c r="H473">
        <f>G473*(11.5/38.29)</f>
        <v>0.23651736745886653</v>
      </c>
    </row>
    <row r="474" spans="1:8" x14ac:dyDescent="0.25">
      <c r="A474" s="1">
        <v>1993</v>
      </c>
      <c r="B474" s="1" t="s">
        <v>104</v>
      </c>
      <c r="C474" t="s">
        <v>51</v>
      </c>
      <c r="D474">
        <v>3</v>
      </c>
      <c r="E474">
        <v>38</v>
      </c>
      <c r="F474">
        <v>1.23</v>
      </c>
      <c r="G474">
        <f>(F474/0.6)/4</f>
        <v>0.51250000000000007</v>
      </c>
      <c r="H474">
        <f>G474*(11.5/38.29)</f>
        <v>0.1539240010446592</v>
      </c>
    </row>
    <row r="475" spans="1:8" x14ac:dyDescent="0.25">
      <c r="A475" s="1">
        <v>1993</v>
      </c>
      <c r="B475" s="1" t="s">
        <v>104</v>
      </c>
      <c r="C475" t="s">
        <v>51</v>
      </c>
      <c r="D475">
        <v>3</v>
      </c>
      <c r="E475">
        <v>38</v>
      </c>
      <c r="F475">
        <v>1.1299999999999999</v>
      </c>
      <c r="G475">
        <f>(F475/0.6)/4</f>
        <v>0.47083333333333333</v>
      </c>
      <c r="H475">
        <f>G475*(11.5/38.29)</f>
        <v>0.14140985461826411</v>
      </c>
    </row>
    <row r="476" spans="1:8" x14ac:dyDescent="0.25">
      <c r="A476" s="1">
        <v>1993</v>
      </c>
      <c r="B476" s="1" t="s">
        <v>104</v>
      </c>
      <c r="C476" t="s">
        <v>51</v>
      </c>
      <c r="D476">
        <v>3</v>
      </c>
      <c r="E476">
        <v>38</v>
      </c>
      <c r="F476">
        <v>0.98</v>
      </c>
      <c r="G476">
        <f>(F476/0.6)/4</f>
        <v>0.40833333333333333</v>
      </c>
      <c r="H476">
        <f>G476*(11.5/38.29)</f>
        <v>0.12263863497867154</v>
      </c>
    </row>
    <row r="477" spans="1:8" x14ac:dyDescent="0.25">
      <c r="A477" s="1">
        <v>1993</v>
      </c>
      <c r="B477" s="1" t="s">
        <v>104</v>
      </c>
      <c r="C477" t="s">
        <v>51</v>
      </c>
      <c r="D477">
        <v>3</v>
      </c>
      <c r="E477">
        <v>38</v>
      </c>
      <c r="F477">
        <v>0.64</v>
      </c>
      <c r="G477">
        <f>(F477/0.6)/4</f>
        <v>0.26666666666666666</v>
      </c>
      <c r="H477">
        <f>G477*(11.5/38.29)</f>
        <v>8.0090537128928357E-2</v>
      </c>
    </row>
    <row r="478" spans="1:8" x14ac:dyDescent="0.25">
      <c r="A478" s="1">
        <v>1993</v>
      </c>
      <c r="B478" s="1" t="s">
        <v>104</v>
      </c>
      <c r="C478" t="s">
        <v>51</v>
      </c>
      <c r="D478">
        <v>3</v>
      </c>
      <c r="E478">
        <v>38</v>
      </c>
      <c r="F478">
        <v>0.1</v>
      </c>
      <c r="G478">
        <f>(F478/0.6)/4</f>
        <v>4.1666666666666671E-2</v>
      </c>
      <c r="H478">
        <f>G478*(11.5/38.29)</f>
        <v>1.2514146426395057E-2</v>
      </c>
    </row>
    <row r="479" spans="1:8" x14ac:dyDescent="0.25">
      <c r="A479" s="1">
        <v>1993</v>
      </c>
      <c r="B479" s="1" t="s">
        <v>104</v>
      </c>
      <c r="C479" t="s">
        <v>51</v>
      </c>
      <c r="D479">
        <v>3</v>
      </c>
      <c r="E479">
        <v>38</v>
      </c>
      <c r="F479">
        <v>1.54</v>
      </c>
      <c r="G479">
        <f>(F479/0.6)/4</f>
        <v>0.64166666666666672</v>
      </c>
      <c r="H479">
        <f>G479*(11.5/38.29)</f>
        <v>0.19271785496648386</v>
      </c>
    </row>
    <row r="480" spans="1:8" x14ac:dyDescent="0.25">
      <c r="A480" s="1">
        <v>1993</v>
      </c>
      <c r="B480" s="1" t="s">
        <v>104</v>
      </c>
      <c r="C480" t="s">
        <v>51</v>
      </c>
      <c r="D480">
        <v>3</v>
      </c>
      <c r="E480">
        <v>38</v>
      </c>
      <c r="F480">
        <v>0.62</v>
      </c>
      <c r="G480">
        <f>(F480/0.6)/4</f>
        <v>0.25833333333333336</v>
      </c>
      <c r="H480">
        <f>G480*(11.5/38.29)</f>
        <v>7.7587707843649351E-2</v>
      </c>
    </row>
    <row r="481" spans="1:8" x14ac:dyDescent="0.25">
      <c r="A481" s="1">
        <v>1993</v>
      </c>
      <c r="B481" s="1" t="s">
        <v>104</v>
      </c>
      <c r="C481" t="s">
        <v>51</v>
      </c>
      <c r="D481">
        <v>3</v>
      </c>
      <c r="E481">
        <v>38</v>
      </c>
      <c r="F481">
        <v>0.24</v>
      </c>
      <c r="G481">
        <f>(F481/0.6)/4</f>
        <v>0.1</v>
      </c>
      <c r="H481">
        <f>G481*(11.5/38.29)</f>
        <v>3.0033951423348134E-2</v>
      </c>
    </row>
    <row r="482" spans="1:8" x14ac:dyDescent="0.25">
      <c r="A482" s="1">
        <v>1993</v>
      </c>
      <c r="B482" s="1" t="s">
        <v>104</v>
      </c>
      <c r="C482" t="s">
        <v>51</v>
      </c>
      <c r="D482">
        <v>3</v>
      </c>
      <c r="E482">
        <v>38</v>
      </c>
      <c r="F482">
        <v>0.85</v>
      </c>
      <c r="G482">
        <f>(F482/0.6)/4</f>
        <v>0.35416666666666669</v>
      </c>
      <c r="H482">
        <f>G482*(11.5/38.29)</f>
        <v>0.10637024462435797</v>
      </c>
    </row>
    <row r="483" spans="1:8" x14ac:dyDescent="0.25">
      <c r="A483" s="1">
        <v>1993</v>
      </c>
      <c r="B483" s="1" t="s">
        <v>104</v>
      </c>
      <c r="C483" t="s">
        <v>51</v>
      </c>
      <c r="D483">
        <v>3</v>
      </c>
      <c r="E483">
        <v>38</v>
      </c>
      <c r="F483">
        <v>0.49</v>
      </c>
      <c r="G483">
        <f>(F483/0.6)/4</f>
        <v>0.20416666666666666</v>
      </c>
      <c r="H483">
        <f>G483*(11.5/38.29)</f>
        <v>6.1319317489335771E-2</v>
      </c>
    </row>
    <row r="484" spans="1:8" x14ac:dyDescent="0.25">
      <c r="A484" s="1">
        <v>1993</v>
      </c>
      <c r="B484" s="1" t="s">
        <v>104</v>
      </c>
      <c r="C484" t="s">
        <v>51</v>
      </c>
      <c r="D484">
        <v>3</v>
      </c>
      <c r="E484">
        <v>38</v>
      </c>
      <c r="F484">
        <v>0.67</v>
      </c>
      <c r="G484">
        <f>(F484/0.6)/4</f>
        <v>0.27916666666666667</v>
      </c>
      <c r="H484">
        <f>G484*(11.5/38.29)</f>
        <v>8.3844781056846868E-2</v>
      </c>
    </row>
    <row r="485" spans="1:8" x14ac:dyDescent="0.25">
      <c r="A485" s="1">
        <v>1993</v>
      </c>
      <c r="B485" s="1" t="s">
        <v>104</v>
      </c>
      <c r="C485" t="s">
        <v>51</v>
      </c>
      <c r="D485">
        <v>3</v>
      </c>
      <c r="E485">
        <v>38</v>
      </c>
      <c r="F485">
        <v>0.83</v>
      </c>
      <c r="G485">
        <f>(F485/0.6)/4</f>
        <v>0.34583333333333333</v>
      </c>
      <c r="H485">
        <f>G485*(11.5/38.29)</f>
        <v>0.10386741533907895</v>
      </c>
    </row>
    <row r="486" spans="1:8" x14ac:dyDescent="0.25">
      <c r="A486" s="1">
        <v>1993</v>
      </c>
      <c r="B486" s="1" t="s">
        <v>104</v>
      </c>
      <c r="C486" t="s">
        <v>51</v>
      </c>
      <c r="D486">
        <v>3</v>
      </c>
      <c r="E486">
        <v>38</v>
      </c>
      <c r="F486">
        <v>0.23</v>
      </c>
      <c r="G486">
        <f>(F486/0.6)/4</f>
        <v>9.583333333333334E-2</v>
      </c>
      <c r="H486">
        <f>G486*(11.5/38.29)</f>
        <v>2.8782536780708627E-2</v>
      </c>
    </row>
    <row r="487" spans="1:8" x14ac:dyDescent="0.25">
      <c r="A487" s="1">
        <v>1993</v>
      </c>
      <c r="B487" s="1" t="s">
        <v>104</v>
      </c>
      <c r="C487" t="s">
        <v>51</v>
      </c>
      <c r="D487">
        <v>3</v>
      </c>
      <c r="E487">
        <v>38</v>
      </c>
      <c r="F487">
        <v>1.18</v>
      </c>
      <c r="G487">
        <f>(F487/0.6)/4</f>
        <v>0.49166666666666664</v>
      </c>
      <c r="H487">
        <f>G487*(11.5/38.29)</f>
        <v>0.14766692783146165</v>
      </c>
    </row>
    <row r="488" spans="1:8" x14ac:dyDescent="0.25">
      <c r="A488" s="1">
        <v>1993</v>
      </c>
      <c r="B488" s="1" t="s">
        <v>104</v>
      </c>
      <c r="C488" t="s">
        <v>51</v>
      </c>
      <c r="D488">
        <v>3</v>
      </c>
      <c r="E488">
        <v>38</v>
      </c>
      <c r="F488">
        <v>0.81</v>
      </c>
      <c r="G488">
        <f>(F488/0.6)/4</f>
        <v>0.33750000000000002</v>
      </c>
      <c r="H488">
        <f>G488*(11.5/38.29)</f>
        <v>0.10136458605379996</v>
      </c>
    </row>
    <row r="489" spans="1:8" x14ac:dyDescent="0.25">
      <c r="A489" s="1">
        <v>1993</v>
      </c>
      <c r="B489" s="1" t="s">
        <v>104</v>
      </c>
      <c r="C489" t="s">
        <v>51</v>
      </c>
      <c r="D489">
        <v>3</v>
      </c>
      <c r="E489">
        <v>40</v>
      </c>
      <c r="F489">
        <v>1.47</v>
      </c>
      <c r="G489">
        <f>(F489/0.6)/4</f>
        <v>0.61250000000000004</v>
      </c>
      <c r="H489">
        <f>G489*(11.5/38.29)</f>
        <v>0.18395795246800734</v>
      </c>
    </row>
    <row r="490" spans="1:8" x14ac:dyDescent="0.25">
      <c r="A490" s="1">
        <v>1993</v>
      </c>
      <c r="B490" s="1" t="s">
        <v>104</v>
      </c>
      <c r="C490" t="s">
        <v>51</v>
      </c>
      <c r="D490">
        <v>3</v>
      </c>
      <c r="E490">
        <v>40</v>
      </c>
      <c r="F490">
        <v>0.16</v>
      </c>
      <c r="G490">
        <f>(F490/0.6)/4</f>
        <v>6.6666666666666666E-2</v>
      </c>
      <c r="H490">
        <f>G490*(11.5/38.29)</f>
        <v>2.0022634282232089E-2</v>
      </c>
    </row>
    <row r="491" spans="1:8" x14ac:dyDescent="0.25">
      <c r="A491" s="1">
        <v>1993</v>
      </c>
      <c r="B491" s="1" t="s">
        <v>104</v>
      </c>
      <c r="C491" t="s">
        <v>51</v>
      </c>
      <c r="D491">
        <v>3</v>
      </c>
      <c r="E491">
        <v>40</v>
      </c>
      <c r="F491">
        <v>0.48</v>
      </c>
      <c r="G491">
        <f>(F491/0.6)/4</f>
        <v>0.2</v>
      </c>
      <c r="H491">
        <f>G491*(11.5/38.29)</f>
        <v>6.0067902846696268E-2</v>
      </c>
    </row>
    <row r="492" spans="1:8" x14ac:dyDescent="0.25">
      <c r="A492" s="1">
        <v>1993</v>
      </c>
      <c r="B492" s="1" t="s">
        <v>104</v>
      </c>
      <c r="C492" t="s">
        <v>51</v>
      </c>
      <c r="D492">
        <v>3</v>
      </c>
      <c r="E492">
        <v>40</v>
      </c>
      <c r="F492">
        <v>1.43</v>
      </c>
      <c r="G492">
        <f>(F492/0.6)/4</f>
        <v>0.59583333333333333</v>
      </c>
      <c r="H492">
        <f>G492*(11.5/38.29)</f>
        <v>0.17895229389744929</v>
      </c>
    </row>
    <row r="493" spans="1:8" x14ac:dyDescent="0.25">
      <c r="A493" s="1">
        <v>1993</v>
      </c>
      <c r="B493" s="1" t="s">
        <v>104</v>
      </c>
      <c r="C493" t="s">
        <v>51</v>
      </c>
      <c r="D493">
        <v>3</v>
      </c>
      <c r="E493">
        <v>40</v>
      </c>
      <c r="F493">
        <v>1.75</v>
      </c>
      <c r="G493">
        <f>(F493/0.6)/4</f>
        <v>0.72916666666666674</v>
      </c>
      <c r="H493">
        <f>G493*(11.5/38.29)</f>
        <v>0.21899756246191349</v>
      </c>
    </row>
    <row r="494" spans="1:8" x14ac:dyDescent="0.25">
      <c r="A494" s="1">
        <v>1993</v>
      </c>
      <c r="B494" s="1" t="s">
        <v>104</v>
      </c>
      <c r="C494" t="s">
        <v>51</v>
      </c>
      <c r="D494">
        <v>3</v>
      </c>
      <c r="E494">
        <v>40</v>
      </c>
      <c r="F494">
        <v>1.5</v>
      </c>
      <c r="G494">
        <f>(F494/0.6)/4</f>
        <v>0.625</v>
      </c>
      <c r="H494">
        <f>G494*(11.5/38.29)</f>
        <v>0.18771219639592582</v>
      </c>
    </row>
    <row r="495" spans="1:8" x14ac:dyDescent="0.25">
      <c r="A495" s="1">
        <v>1993</v>
      </c>
      <c r="B495" s="1" t="s">
        <v>104</v>
      </c>
      <c r="C495" t="s">
        <v>51</v>
      </c>
      <c r="D495">
        <v>3</v>
      </c>
      <c r="E495">
        <v>40</v>
      </c>
      <c r="F495">
        <v>1.56</v>
      </c>
      <c r="G495">
        <f>(F495/0.6)/4</f>
        <v>0.65</v>
      </c>
      <c r="H495">
        <f>G495*(11.5/38.29)</f>
        <v>0.19522068425176287</v>
      </c>
    </row>
    <row r="496" spans="1:8" x14ac:dyDescent="0.25">
      <c r="A496" s="1">
        <v>1993</v>
      </c>
      <c r="B496" s="1" t="s">
        <v>104</v>
      </c>
      <c r="C496" t="s">
        <v>51</v>
      </c>
      <c r="D496">
        <v>3</v>
      </c>
      <c r="E496">
        <v>40</v>
      </c>
      <c r="F496">
        <v>0.59</v>
      </c>
      <c r="G496">
        <f>(F496/0.6)/4</f>
        <v>0.24583333333333332</v>
      </c>
      <c r="H496">
        <f>G496*(11.5/38.29)</f>
        <v>7.3833463915730826E-2</v>
      </c>
    </row>
    <row r="497" spans="1:8" x14ac:dyDescent="0.25">
      <c r="A497" s="1">
        <v>1993</v>
      </c>
      <c r="B497" s="1" t="s">
        <v>104</v>
      </c>
      <c r="C497" t="s">
        <v>51</v>
      </c>
      <c r="D497">
        <v>3</v>
      </c>
      <c r="E497">
        <v>40</v>
      </c>
      <c r="F497">
        <v>1.58</v>
      </c>
      <c r="G497">
        <f>(F497/0.6)/4</f>
        <v>0.65833333333333344</v>
      </c>
      <c r="H497">
        <f>G497*(11.5/38.29)</f>
        <v>0.1977235135370419</v>
      </c>
    </row>
    <row r="498" spans="1:8" x14ac:dyDescent="0.25">
      <c r="A498" s="1">
        <v>1993</v>
      </c>
      <c r="B498" s="1" t="s">
        <v>104</v>
      </c>
      <c r="C498" t="s">
        <v>51</v>
      </c>
      <c r="D498">
        <v>3</v>
      </c>
      <c r="E498">
        <v>40</v>
      </c>
      <c r="F498">
        <v>0.57999999999999996</v>
      </c>
      <c r="G498">
        <f>(F498/0.6)/4</f>
        <v>0.24166666666666667</v>
      </c>
      <c r="H498">
        <f>G498*(11.5/38.29)</f>
        <v>7.2582049273091323E-2</v>
      </c>
    </row>
    <row r="499" spans="1:8" x14ac:dyDescent="0.25">
      <c r="A499" s="1">
        <v>1993</v>
      </c>
      <c r="B499" s="1" t="s">
        <v>104</v>
      </c>
      <c r="C499" t="s">
        <v>51</v>
      </c>
      <c r="D499">
        <v>3</v>
      </c>
      <c r="E499">
        <v>40</v>
      </c>
      <c r="F499">
        <v>0.56000000000000005</v>
      </c>
      <c r="G499">
        <f>(F499/0.6)/4</f>
        <v>0.23333333333333336</v>
      </c>
      <c r="H499">
        <f>G499*(11.5/38.29)</f>
        <v>7.0079219987812316E-2</v>
      </c>
    </row>
    <row r="500" spans="1:8" x14ac:dyDescent="0.25">
      <c r="A500" s="1">
        <v>1993</v>
      </c>
      <c r="B500" s="1" t="s">
        <v>104</v>
      </c>
      <c r="C500" t="s">
        <v>51</v>
      </c>
      <c r="D500">
        <v>3</v>
      </c>
      <c r="E500">
        <v>40</v>
      </c>
      <c r="F500">
        <v>0.6</v>
      </c>
      <c r="G500">
        <f>(F500/0.6)/4</f>
        <v>0.25</v>
      </c>
      <c r="H500">
        <f>G500*(11.5/38.29)</f>
        <v>7.508487855837033E-2</v>
      </c>
    </row>
    <row r="501" spans="1:8" x14ac:dyDescent="0.25">
      <c r="A501" s="1">
        <v>1993</v>
      </c>
      <c r="B501" s="1" t="s">
        <v>104</v>
      </c>
      <c r="C501" t="s">
        <v>51</v>
      </c>
      <c r="D501">
        <v>3</v>
      </c>
      <c r="E501">
        <v>40</v>
      </c>
      <c r="F501">
        <v>0.47</v>
      </c>
      <c r="G501">
        <f>(F501/0.6)/4</f>
        <v>0.19583333333333333</v>
      </c>
      <c r="H501">
        <f>G501*(11.5/38.29)</f>
        <v>5.8816488204056758E-2</v>
      </c>
    </row>
    <row r="502" spans="1:8" x14ac:dyDescent="0.25">
      <c r="A502" s="1">
        <v>1993</v>
      </c>
      <c r="B502" s="1" t="s">
        <v>104</v>
      </c>
      <c r="C502" t="s">
        <v>51</v>
      </c>
      <c r="D502">
        <v>3</v>
      </c>
      <c r="E502">
        <v>40</v>
      </c>
      <c r="F502">
        <v>1.01</v>
      </c>
      <c r="G502">
        <f>(F502/0.6)/4</f>
        <v>0.42083333333333334</v>
      </c>
      <c r="H502">
        <f>G502*(11.5/38.29)</f>
        <v>0.12639287890659007</v>
      </c>
    </row>
    <row r="503" spans="1:8" x14ac:dyDescent="0.25">
      <c r="A503" s="1">
        <v>1993</v>
      </c>
      <c r="B503" s="1" t="s">
        <v>104</v>
      </c>
      <c r="C503" t="s">
        <v>51</v>
      </c>
      <c r="D503">
        <v>3</v>
      </c>
      <c r="E503">
        <v>40</v>
      </c>
      <c r="F503">
        <v>0.27</v>
      </c>
      <c r="G503">
        <f>(F503/0.6)/4</f>
        <v>0.11250000000000002</v>
      </c>
      <c r="H503">
        <f>G503*(11.5/38.29)</f>
        <v>3.3788195351266655E-2</v>
      </c>
    </row>
    <row r="504" spans="1:8" x14ac:dyDescent="0.25">
      <c r="A504" s="1">
        <v>1993</v>
      </c>
      <c r="B504" s="1" t="s">
        <v>104</v>
      </c>
      <c r="C504" t="s">
        <v>51</v>
      </c>
      <c r="D504">
        <v>3</v>
      </c>
      <c r="E504">
        <v>40</v>
      </c>
      <c r="F504">
        <v>1.1000000000000001</v>
      </c>
      <c r="G504">
        <f>(F504/0.6)/4</f>
        <v>0.45833333333333337</v>
      </c>
      <c r="H504">
        <f>G504*(11.5/38.29)</f>
        <v>0.13765561069034563</v>
      </c>
    </row>
    <row r="505" spans="1:8" x14ac:dyDescent="0.25">
      <c r="A505" s="1">
        <v>1993</v>
      </c>
      <c r="B505" s="1" t="s">
        <v>104</v>
      </c>
      <c r="C505" t="s">
        <v>51</v>
      </c>
      <c r="D505">
        <v>3</v>
      </c>
      <c r="E505">
        <v>40</v>
      </c>
      <c r="F505">
        <v>1.75</v>
      </c>
      <c r="G505">
        <f>(F505/0.6)/4</f>
        <v>0.72916666666666674</v>
      </c>
      <c r="H505">
        <f>G505*(11.5/38.29)</f>
        <v>0.21899756246191349</v>
      </c>
    </row>
    <row r="506" spans="1:8" x14ac:dyDescent="0.25">
      <c r="A506" s="1">
        <v>1993</v>
      </c>
      <c r="B506" s="1" t="s">
        <v>104</v>
      </c>
      <c r="C506" t="s">
        <v>51</v>
      </c>
      <c r="D506">
        <v>3</v>
      </c>
      <c r="E506">
        <v>40</v>
      </c>
      <c r="F506">
        <v>0.24</v>
      </c>
      <c r="G506">
        <f>(F506/0.6)/4</f>
        <v>0.1</v>
      </c>
      <c r="H506">
        <f>G506*(11.5/38.29)</f>
        <v>3.0033951423348134E-2</v>
      </c>
    </row>
    <row r="507" spans="1:8" x14ac:dyDescent="0.25">
      <c r="A507" s="1">
        <v>1993</v>
      </c>
      <c r="B507" s="1" t="s">
        <v>104</v>
      </c>
      <c r="C507" t="s">
        <v>51</v>
      </c>
      <c r="D507">
        <v>3</v>
      </c>
      <c r="E507">
        <v>40</v>
      </c>
      <c r="F507">
        <v>1.36</v>
      </c>
      <c r="G507">
        <f>(F507/0.6)/4</f>
        <v>0.56666666666666676</v>
      </c>
      <c r="H507">
        <f>G507*(11.5/38.29)</f>
        <v>0.17019239139897277</v>
      </c>
    </row>
    <row r="508" spans="1:8" x14ac:dyDescent="0.25">
      <c r="A508" s="1">
        <v>1993</v>
      </c>
      <c r="B508" s="1" t="s">
        <v>104</v>
      </c>
      <c r="C508" t="s">
        <v>51</v>
      </c>
      <c r="D508">
        <v>3</v>
      </c>
      <c r="E508">
        <v>40</v>
      </c>
      <c r="F508">
        <v>0.5</v>
      </c>
      <c r="G508">
        <f>(F508/0.6)/4</f>
        <v>0.20833333333333334</v>
      </c>
      <c r="H508">
        <f>G508*(11.5/38.29)</f>
        <v>6.2570732131975282E-2</v>
      </c>
    </row>
    <row r="509" spans="1:8" x14ac:dyDescent="0.25">
      <c r="A509" s="1">
        <v>1993</v>
      </c>
      <c r="B509" s="1" t="s">
        <v>104</v>
      </c>
      <c r="C509" t="s">
        <v>51</v>
      </c>
      <c r="D509">
        <v>3</v>
      </c>
      <c r="E509">
        <v>40</v>
      </c>
      <c r="F509">
        <v>0.81</v>
      </c>
      <c r="G509">
        <f>(F509/0.6)/4</f>
        <v>0.33750000000000002</v>
      </c>
      <c r="H509">
        <f>G509*(11.5/38.29)</f>
        <v>0.10136458605379996</v>
      </c>
    </row>
    <row r="510" spans="1:8" x14ac:dyDescent="0.25">
      <c r="A510" s="1">
        <v>1993</v>
      </c>
      <c r="B510" s="1" t="s">
        <v>104</v>
      </c>
      <c r="C510" t="s">
        <v>51</v>
      </c>
      <c r="D510">
        <v>3</v>
      </c>
      <c r="E510">
        <v>40</v>
      </c>
      <c r="F510">
        <v>0.49</v>
      </c>
      <c r="G510">
        <f>(F510/0.6)/4</f>
        <v>0.20416666666666666</v>
      </c>
      <c r="H510">
        <f>G510*(11.5/38.29)</f>
        <v>6.1319317489335771E-2</v>
      </c>
    </row>
    <row r="511" spans="1:8" x14ac:dyDescent="0.25">
      <c r="A511" s="1">
        <v>1993</v>
      </c>
      <c r="B511" s="1" t="s">
        <v>104</v>
      </c>
      <c r="C511" t="s">
        <v>51</v>
      </c>
      <c r="D511">
        <v>3</v>
      </c>
      <c r="E511">
        <v>40</v>
      </c>
      <c r="F511">
        <v>0.14000000000000001</v>
      </c>
      <c r="G511">
        <f>(F511/0.6)/4</f>
        <v>5.8333333333333341E-2</v>
      </c>
      <c r="H511">
        <f>G511*(11.5/38.29)</f>
        <v>1.7519804996953079E-2</v>
      </c>
    </row>
    <row r="512" spans="1:8" x14ac:dyDescent="0.25">
      <c r="A512" s="1">
        <v>1993</v>
      </c>
      <c r="B512" s="1" t="s">
        <v>104</v>
      </c>
      <c r="C512" t="s">
        <v>51</v>
      </c>
      <c r="D512">
        <v>3</v>
      </c>
      <c r="E512">
        <v>40</v>
      </c>
      <c r="F512">
        <v>1.34</v>
      </c>
      <c r="G512">
        <f>(F512/0.6)/4</f>
        <v>0.55833333333333335</v>
      </c>
      <c r="H512">
        <f>G512*(11.5/38.29)</f>
        <v>0.16768956211369374</v>
      </c>
    </row>
    <row r="513" spans="1:8" x14ac:dyDescent="0.25">
      <c r="A513" s="1">
        <v>1993</v>
      </c>
      <c r="B513" s="1" t="s">
        <v>104</v>
      </c>
      <c r="C513" t="s">
        <v>51</v>
      </c>
      <c r="D513">
        <v>3</v>
      </c>
      <c r="E513">
        <v>53</v>
      </c>
      <c r="F513">
        <v>0.28000000000000003</v>
      </c>
      <c r="G513">
        <f>(F513/0.6)/4</f>
        <v>0.11666666666666668</v>
      </c>
      <c r="H513">
        <f>G513*(11.5/38.29)</f>
        <v>3.5039609993906158E-2</v>
      </c>
    </row>
    <row r="514" spans="1:8" x14ac:dyDescent="0.25">
      <c r="A514" s="1">
        <v>1993</v>
      </c>
      <c r="B514" s="1" t="s">
        <v>104</v>
      </c>
      <c r="C514" t="s">
        <v>51</v>
      </c>
      <c r="D514">
        <v>3</v>
      </c>
      <c r="E514">
        <v>53</v>
      </c>
      <c r="F514">
        <v>0.1</v>
      </c>
      <c r="G514">
        <f>(F514/0.6)/4</f>
        <v>4.1666666666666671E-2</v>
      </c>
      <c r="H514">
        <f>G514*(11.5/38.29)</f>
        <v>1.2514146426395057E-2</v>
      </c>
    </row>
    <row r="515" spans="1:8" x14ac:dyDescent="0.25">
      <c r="A515" s="1">
        <v>1993</v>
      </c>
      <c r="B515" s="1" t="s">
        <v>104</v>
      </c>
      <c r="C515" t="s">
        <v>51</v>
      </c>
      <c r="D515">
        <v>3</v>
      </c>
      <c r="E515">
        <v>56</v>
      </c>
      <c r="F515">
        <v>1.63</v>
      </c>
      <c r="G515">
        <f>(F515/0.6)/4</f>
        <v>0.6791666666666667</v>
      </c>
      <c r="H515">
        <f>G515*(11.5/38.29)</f>
        <v>0.20398058675023942</v>
      </c>
    </row>
    <row r="516" spans="1:8" x14ac:dyDescent="0.25">
      <c r="A516" s="1">
        <v>1993</v>
      </c>
      <c r="B516" s="1" t="s">
        <v>104</v>
      </c>
      <c r="C516" t="s">
        <v>51</v>
      </c>
      <c r="D516">
        <v>3</v>
      </c>
      <c r="E516">
        <v>56</v>
      </c>
      <c r="F516">
        <v>0.71</v>
      </c>
      <c r="G516">
        <f>(F516/0.6)/4</f>
        <v>0.29583333333333334</v>
      </c>
      <c r="H516">
        <f>G516*(11.5/38.29)</f>
        <v>8.8850439627404895E-2</v>
      </c>
    </row>
    <row r="517" spans="1:8" x14ac:dyDescent="0.25">
      <c r="A517" s="1">
        <v>1993</v>
      </c>
      <c r="B517" s="1" t="s">
        <v>104</v>
      </c>
      <c r="C517" t="s">
        <v>51</v>
      </c>
      <c r="D517">
        <v>3</v>
      </c>
      <c r="E517">
        <v>56</v>
      </c>
      <c r="F517">
        <v>0.48</v>
      </c>
      <c r="G517">
        <f>(F517/0.6)/4</f>
        <v>0.2</v>
      </c>
      <c r="H517">
        <f>G517*(11.5/38.29)</f>
        <v>6.0067902846696268E-2</v>
      </c>
    </row>
    <row r="518" spans="1:8" x14ac:dyDescent="0.25">
      <c r="A518" s="1">
        <v>1993</v>
      </c>
      <c r="B518" s="1" t="s">
        <v>104</v>
      </c>
      <c r="C518" t="s">
        <v>51</v>
      </c>
      <c r="D518">
        <v>3</v>
      </c>
      <c r="E518">
        <v>63</v>
      </c>
      <c r="F518">
        <v>0.09</v>
      </c>
      <c r="G518">
        <f>(F518/0.6)/4</f>
        <v>3.7499999999999999E-2</v>
      </c>
      <c r="H518">
        <f>G518*(11.5/38.29)</f>
        <v>1.126273178375555E-2</v>
      </c>
    </row>
    <row r="519" spans="1:8" x14ac:dyDescent="0.25">
      <c r="A519" s="1">
        <v>1993</v>
      </c>
      <c r="B519" s="1" t="s">
        <v>104</v>
      </c>
      <c r="C519" t="s">
        <v>51</v>
      </c>
      <c r="D519">
        <v>3</v>
      </c>
      <c r="E519">
        <v>63</v>
      </c>
      <c r="F519">
        <v>7.0000000000000007E-2</v>
      </c>
      <c r="G519">
        <f>(F519/0.6)/4</f>
        <v>2.9166666666666671E-2</v>
      </c>
      <c r="H519">
        <f>G519*(11.5/38.29)</f>
        <v>8.7599024984765395E-3</v>
      </c>
    </row>
    <row r="520" spans="1:8" x14ac:dyDescent="0.25">
      <c r="A520" s="1">
        <v>1993</v>
      </c>
      <c r="B520" s="1" t="s">
        <v>104</v>
      </c>
      <c r="C520" t="s">
        <v>51</v>
      </c>
      <c r="D520">
        <v>3</v>
      </c>
      <c r="E520">
        <v>63</v>
      </c>
      <c r="F520">
        <v>0.03</v>
      </c>
      <c r="G520">
        <f>(F520/0.6)/4</f>
        <v>1.2500000000000001E-2</v>
      </c>
      <c r="H520">
        <f>G520*(11.5/38.29)</f>
        <v>3.7542439279185168E-3</v>
      </c>
    </row>
    <row r="521" spans="1:8" x14ac:dyDescent="0.25">
      <c r="A521" s="1">
        <v>1993</v>
      </c>
      <c r="B521" s="1" t="s">
        <v>104</v>
      </c>
      <c r="C521" t="s">
        <v>51</v>
      </c>
      <c r="D521">
        <v>3</v>
      </c>
      <c r="E521">
        <v>63</v>
      </c>
      <c r="F521">
        <v>0.08</v>
      </c>
      <c r="G521">
        <f>(F521/0.6)/4</f>
        <v>3.3333333333333333E-2</v>
      </c>
      <c r="H521">
        <f>G521*(11.5/38.29)</f>
        <v>1.0011317141116045E-2</v>
      </c>
    </row>
    <row r="522" spans="1:8" x14ac:dyDescent="0.25">
      <c r="A522" s="1">
        <v>1993</v>
      </c>
      <c r="B522" s="1" t="s">
        <v>104</v>
      </c>
      <c r="C522" t="s">
        <v>51</v>
      </c>
      <c r="D522">
        <v>3</v>
      </c>
      <c r="E522">
        <v>63</v>
      </c>
      <c r="F522">
        <v>0.04</v>
      </c>
      <c r="G522">
        <f>(F522/0.6)/4</f>
        <v>1.6666666666666666E-2</v>
      </c>
      <c r="H522">
        <f>G522*(11.5/38.29)</f>
        <v>5.0056585705580223E-3</v>
      </c>
    </row>
    <row r="523" spans="1:8" x14ac:dyDescent="0.25">
      <c r="A523" s="1">
        <v>1993</v>
      </c>
      <c r="B523" s="1" t="s">
        <v>104</v>
      </c>
      <c r="C523" t="s">
        <v>51</v>
      </c>
      <c r="D523">
        <v>3</v>
      </c>
      <c r="E523">
        <v>63</v>
      </c>
      <c r="F523">
        <v>0.12</v>
      </c>
      <c r="G523">
        <f>(F523/0.6)/4</f>
        <v>0.05</v>
      </c>
      <c r="H523">
        <f>G523*(11.5/38.29)</f>
        <v>1.5016975711674067E-2</v>
      </c>
    </row>
    <row r="524" spans="1:8" x14ac:dyDescent="0.25">
      <c r="A524" s="1">
        <v>1993</v>
      </c>
      <c r="B524" s="1" t="s">
        <v>104</v>
      </c>
      <c r="C524" t="s">
        <v>51</v>
      </c>
      <c r="D524">
        <v>3</v>
      </c>
      <c r="E524">
        <v>63</v>
      </c>
      <c r="F524">
        <v>0.11</v>
      </c>
      <c r="G524">
        <f>(F524/0.6)/4</f>
        <v>4.5833333333333337E-2</v>
      </c>
      <c r="H524">
        <f>G524*(11.5/38.29)</f>
        <v>1.3765561069034562E-2</v>
      </c>
    </row>
    <row r="525" spans="1:8" x14ac:dyDescent="0.25">
      <c r="A525" s="1">
        <v>1993</v>
      </c>
      <c r="B525" s="1" t="s">
        <v>104</v>
      </c>
      <c r="C525" t="s">
        <v>51</v>
      </c>
      <c r="D525">
        <v>3</v>
      </c>
      <c r="E525">
        <v>63</v>
      </c>
      <c r="F525">
        <v>0.05</v>
      </c>
      <c r="G525">
        <f>(F525/0.6)/4</f>
        <v>2.0833333333333336E-2</v>
      </c>
      <c r="H525">
        <f>G525*(11.5/38.29)</f>
        <v>6.2570732131975284E-3</v>
      </c>
    </row>
    <row r="526" spans="1:8" x14ac:dyDescent="0.25">
      <c r="A526" s="1">
        <v>1993</v>
      </c>
      <c r="B526" s="1" t="s">
        <v>104</v>
      </c>
      <c r="C526" t="s">
        <v>51</v>
      </c>
      <c r="D526">
        <v>3</v>
      </c>
      <c r="E526">
        <v>63</v>
      </c>
      <c r="F526">
        <v>0.06</v>
      </c>
      <c r="G526">
        <f>(F526/0.6)/4</f>
        <v>2.5000000000000001E-2</v>
      </c>
      <c r="H526">
        <f>G526*(11.5/38.29)</f>
        <v>7.5084878558370335E-3</v>
      </c>
    </row>
    <row r="527" spans="1:8" x14ac:dyDescent="0.25">
      <c r="A527" s="1">
        <v>1993</v>
      </c>
      <c r="B527" s="1" t="s">
        <v>104</v>
      </c>
      <c r="C527" t="s">
        <v>51</v>
      </c>
      <c r="D527">
        <v>3</v>
      </c>
      <c r="E527">
        <v>63</v>
      </c>
      <c r="F527">
        <v>0.04</v>
      </c>
      <c r="G527">
        <f>(F527/0.6)/4</f>
        <v>1.6666666666666666E-2</v>
      </c>
      <c r="H527">
        <f>G527*(11.5/38.29)</f>
        <v>5.0056585705580223E-3</v>
      </c>
    </row>
    <row r="528" spans="1:8" x14ac:dyDescent="0.25">
      <c r="A528" s="1">
        <v>1993</v>
      </c>
      <c r="B528" s="1" t="s">
        <v>104</v>
      </c>
      <c r="C528" t="s">
        <v>51</v>
      </c>
      <c r="D528">
        <v>3</v>
      </c>
      <c r="E528">
        <v>63</v>
      </c>
      <c r="F528">
        <v>0.04</v>
      </c>
      <c r="G528">
        <f>(F528/0.6)/4</f>
        <v>1.6666666666666666E-2</v>
      </c>
      <c r="H528">
        <f>G528*(11.5/38.29)</f>
        <v>5.0056585705580223E-3</v>
      </c>
    </row>
    <row r="529" spans="1:8" x14ac:dyDescent="0.25">
      <c r="A529" s="1">
        <v>1993</v>
      </c>
      <c r="B529" s="1" t="s">
        <v>104</v>
      </c>
      <c r="C529" t="s">
        <v>51</v>
      </c>
      <c r="D529">
        <v>3</v>
      </c>
      <c r="E529">
        <v>63</v>
      </c>
      <c r="F529">
        <v>7.0000000000000007E-2</v>
      </c>
      <c r="G529">
        <f>(F529/0.6)/4</f>
        <v>2.9166666666666671E-2</v>
      </c>
      <c r="H529">
        <f>G529*(11.5/38.29)</f>
        <v>8.7599024984765395E-3</v>
      </c>
    </row>
    <row r="530" spans="1:8" x14ac:dyDescent="0.25">
      <c r="A530" s="1">
        <v>1993</v>
      </c>
      <c r="B530" s="1" t="s">
        <v>104</v>
      </c>
      <c r="C530" t="s">
        <v>51</v>
      </c>
      <c r="D530">
        <v>3</v>
      </c>
      <c r="E530">
        <v>63</v>
      </c>
      <c r="F530">
        <v>0.1</v>
      </c>
      <c r="G530">
        <f>(F530/0.6)/4</f>
        <v>4.1666666666666671E-2</v>
      </c>
      <c r="H530">
        <f>G530*(11.5/38.29)</f>
        <v>1.2514146426395057E-2</v>
      </c>
    </row>
    <row r="531" spans="1:8" x14ac:dyDescent="0.25">
      <c r="A531" s="1">
        <v>1993</v>
      </c>
      <c r="B531" s="1" t="s">
        <v>104</v>
      </c>
      <c r="C531" t="s">
        <v>51</v>
      </c>
      <c r="D531">
        <v>3</v>
      </c>
      <c r="E531">
        <v>63</v>
      </c>
      <c r="F531">
        <v>0.04</v>
      </c>
      <c r="G531">
        <f>(F531/0.6)/4</f>
        <v>1.6666666666666666E-2</v>
      </c>
      <c r="H531">
        <f>G531*(11.5/38.29)</f>
        <v>5.0056585705580223E-3</v>
      </c>
    </row>
    <row r="532" spans="1:8" x14ac:dyDescent="0.25">
      <c r="A532" s="1">
        <v>1993</v>
      </c>
      <c r="B532" s="1" t="s">
        <v>104</v>
      </c>
      <c r="C532" t="s">
        <v>51</v>
      </c>
      <c r="D532">
        <v>3</v>
      </c>
      <c r="E532">
        <v>63</v>
      </c>
      <c r="F532">
        <v>0.06</v>
      </c>
      <c r="G532">
        <f>(F532/0.6)/4</f>
        <v>2.5000000000000001E-2</v>
      </c>
      <c r="H532">
        <f>G532*(11.5/38.29)</f>
        <v>7.5084878558370335E-3</v>
      </c>
    </row>
    <row r="533" spans="1:8" x14ac:dyDescent="0.25">
      <c r="A533" s="1">
        <v>1993</v>
      </c>
      <c r="B533" s="1" t="s">
        <v>104</v>
      </c>
      <c r="C533" t="s">
        <v>51</v>
      </c>
      <c r="D533">
        <v>3</v>
      </c>
      <c r="E533">
        <v>63</v>
      </c>
      <c r="F533">
        <v>0.11</v>
      </c>
      <c r="G533">
        <f>(F533/0.6)/4</f>
        <v>4.5833333333333337E-2</v>
      </c>
      <c r="H533">
        <f>G533*(11.5/38.29)</f>
        <v>1.3765561069034562E-2</v>
      </c>
    </row>
    <row r="534" spans="1:8" x14ac:dyDescent="0.25">
      <c r="A534" s="1">
        <v>1993</v>
      </c>
      <c r="B534" s="1" t="s">
        <v>104</v>
      </c>
      <c r="C534" t="s">
        <v>51</v>
      </c>
      <c r="D534">
        <v>3</v>
      </c>
      <c r="E534">
        <v>63</v>
      </c>
      <c r="F534">
        <v>0.09</v>
      </c>
      <c r="G534">
        <f>(F534/0.6)/4</f>
        <v>3.7499999999999999E-2</v>
      </c>
      <c r="H534">
        <f>G534*(11.5/38.29)</f>
        <v>1.126273178375555E-2</v>
      </c>
    </row>
    <row r="535" spans="1:8" x14ac:dyDescent="0.25">
      <c r="A535" s="1">
        <v>1993</v>
      </c>
      <c r="B535" s="1" t="s">
        <v>104</v>
      </c>
      <c r="C535" t="s">
        <v>51</v>
      </c>
      <c r="D535">
        <v>3</v>
      </c>
      <c r="E535">
        <v>63</v>
      </c>
      <c r="F535">
        <v>0.06</v>
      </c>
      <c r="G535">
        <f>(F535/0.6)/4</f>
        <v>2.5000000000000001E-2</v>
      </c>
      <c r="H535">
        <f>G535*(11.5/38.29)</f>
        <v>7.5084878558370335E-3</v>
      </c>
    </row>
    <row r="536" spans="1:8" x14ac:dyDescent="0.25">
      <c r="A536" s="1">
        <v>1993</v>
      </c>
      <c r="B536" s="1" t="s">
        <v>104</v>
      </c>
      <c r="C536" t="s">
        <v>51</v>
      </c>
      <c r="D536">
        <v>3</v>
      </c>
      <c r="E536">
        <v>63</v>
      </c>
      <c r="F536">
        <v>0.1</v>
      </c>
      <c r="G536">
        <f>(F536/0.6)/4</f>
        <v>4.1666666666666671E-2</v>
      </c>
      <c r="H536">
        <f>G536*(11.5/38.29)</f>
        <v>1.2514146426395057E-2</v>
      </c>
    </row>
    <row r="537" spans="1:8" x14ac:dyDescent="0.25">
      <c r="A537" s="1">
        <v>1993</v>
      </c>
      <c r="B537" s="1" t="s">
        <v>104</v>
      </c>
      <c r="C537" t="s">
        <v>51</v>
      </c>
      <c r="D537">
        <v>3</v>
      </c>
      <c r="E537">
        <v>63</v>
      </c>
      <c r="F537">
        <v>0.04</v>
      </c>
      <c r="G537">
        <f>(F537/0.6)/4</f>
        <v>1.6666666666666666E-2</v>
      </c>
      <c r="H537">
        <f>G537*(11.5/38.29)</f>
        <v>5.0056585705580223E-3</v>
      </c>
    </row>
    <row r="538" spans="1:8" x14ac:dyDescent="0.25">
      <c r="A538" s="1">
        <v>1993</v>
      </c>
      <c r="B538" s="1" t="s">
        <v>104</v>
      </c>
      <c r="C538" t="s">
        <v>51</v>
      </c>
      <c r="D538">
        <v>3</v>
      </c>
      <c r="E538">
        <v>63</v>
      </c>
      <c r="F538">
        <v>7.0000000000000007E-2</v>
      </c>
      <c r="G538">
        <f>(F538/0.6)/4</f>
        <v>2.9166666666666671E-2</v>
      </c>
      <c r="H538">
        <f>G538*(11.5/38.29)</f>
        <v>8.7599024984765395E-3</v>
      </c>
    </row>
    <row r="539" spans="1:8" x14ac:dyDescent="0.25">
      <c r="A539" s="1">
        <v>1993</v>
      </c>
      <c r="B539" s="1" t="s">
        <v>104</v>
      </c>
      <c r="C539" t="s">
        <v>51</v>
      </c>
      <c r="D539">
        <v>3</v>
      </c>
      <c r="E539">
        <v>63</v>
      </c>
      <c r="F539">
        <v>0.05</v>
      </c>
      <c r="G539">
        <f>(F539/0.6)/4</f>
        <v>2.0833333333333336E-2</v>
      </c>
      <c r="H539">
        <f>G539*(11.5/38.29)</f>
        <v>6.2570732131975284E-3</v>
      </c>
    </row>
    <row r="540" spans="1:8" x14ac:dyDescent="0.25">
      <c r="A540" s="1">
        <v>1993</v>
      </c>
      <c r="B540" s="1" t="s">
        <v>104</v>
      </c>
      <c r="C540" t="s">
        <v>51</v>
      </c>
      <c r="D540">
        <v>3</v>
      </c>
      <c r="E540">
        <v>63</v>
      </c>
      <c r="F540">
        <v>0.05</v>
      </c>
      <c r="G540">
        <f>(F540/0.6)/4</f>
        <v>2.0833333333333336E-2</v>
      </c>
      <c r="H540">
        <f>G540*(11.5/38.29)</f>
        <v>6.2570732131975284E-3</v>
      </c>
    </row>
    <row r="541" spans="1:8" x14ac:dyDescent="0.25">
      <c r="A541" s="1">
        <v>1993</v>
      </c>
      <c r="B541" s="1" t="s">
        <v>104</v>
      </c>
      <c r="C541" t="s">
        <v>51</v>
      </c>
      <c r="D541">
        <v>3</v>
      </c>
      <c r="E541">
        <v>63</v>
      </c>
      <c r="F541">
        <v>0.09</v>
      </c>
      <c r="G541">
        <f>(F541/0.6)/4</f>
        <v>3.7499999999999999E-2</v>
      </c>
      <c r="H541">
        <f>G541*(11.5/38.29)</f>
        <v>1.126273178375555E-2</v>
      </c>
    </row>
    <row r="542" spans="1:8" x14ac:dyDescent="0.25">
      <c r="A542" s="1">
        <v>1993</v>
      </c>
      <c r="B542" s="1" t="s">
        <v>104</v>
      </c>
      <c r="C542" t="s">
        <v>51</v>
      </c>
      <c r="D542">
        <v>3</v>
      </c>
      <c r="E542">
        <v>63</v>
      </c>
      <c r="F542">
        <v>0.22</v>
      </c>
      <c r="G542">
        <f>(F542/0.6)/4</f>
        <v>9.1666666666666674E-2</v>
      </c>
      <c r="H542">
        <f>G542*(11.5/38.29)</f>
        <v>2.7531122138069124E-2</v>
      </c>
    </row>
    <row r="543" spans="1:8" x14ac:dyDescent="0.25">
      <c r="A543" s="1">
        <v>1993</v>
      </c>
      <c r="B543" s="1" t="s">
        <v>104</v>
      </c>
      <c r="C543" t="s">
        <v>51</v>
      </c>
      <c r="D543">
        <v>3</v>
      </c>
      <c r="E543">
        <v>63</v>
      </c>
      <c r="F543">
        <v>0.09</v>
      </c>
      <c r="G543">
        <f>(F543/0.6)/4</f>
        <v>3.7499999999999999E-2</v>
      </c>
      <c r="H543">
        <f>G543*(11.5/38.29)</f>
        <v>1.126273178375555E-2</v>
      </c>
    </row>
    <row r="544" spans="1:8" x14ac:dyDescent="0.25">
      <c r="A544" s="1">
        <v>1993</v>
      </c>
      <c r="B544" s="1" t="s">
        <v>104</v>
      </c>
      <c r="C544" t="s">
        <v>51</v>
      </c>
      <c r="D544">
        <v>3</v>
      </c>
      <c r="E544">
        <v>63</v>
      </c>
      <c r="F544">
        <v>7.0000000000000007E-2</v>
      </c>
      <c r="G544">
        <f>(F544/0.6)/4</f>
        <v>2.9166666666666671E-2</v>
      </c>
      <c r="H544">
        <f>G544*(11.5/38.29)</f>
        <v>8.7599024984765395E-3</v>
      </c>
    </row>
    <row r="545" spans="1:8" x14ac:dyDescent="0.25">
      <c r="A545" s="1">
        <v>1993</v>
      </c>
      <c r="B545" s="1" t="s">
        <v>104</v>
      </c>
      <c r="C545" t="s">
        <v>51</v>
      </c>
      <c r="D545">
        <v>3</v>
      </c>
      <c r="E545">
        <v>63</v>
      </c>
      <c r="F545">
        <v>7.0000000000000007E-2</v>
      </c>
      <c r="G545">
        <f>(F545/0.6)/4</f>
        <v>2.9166666666666671E-2</v>
      </c>
      <c r="H545">
        <f>G545*(11.5/38.29)</f>
        <v>8.7599024984765395E-3</v>
      </c>
    </row>
    <row r="546" spans="1:8" x14ac:dyDescent="0.25">
      <c r="A546" s="1">
        <v>1993</v>
      </c>
      <c r="B546" s="1" t="s">
        <v>104</v>
      </c>
      <c r="C546" t="s">
        <v>51</v>
      </c>
      <c r="D546">
        <v>3</v>
      </c>
      <c r="E546">
        <v>63</v>
      </c>
      <c r="F546">
        <v>0.09</v>
      </c>
      <c r="G546">
        <f>(F546/0.6)/4</f>
        <v>3.7499999999999999E-2</v>
      </c>
      <c r="H546">
        <f>G546*(11.5/38.29)</f>
        <v>1.126273178375555E-2</v>
      </c>
    </row>
    <row r="547" spans="1:8" x14ac:dyDescent="0.25">
      <c r="A547" s="1">
        <v>1993</v>
      </c>
      <c r="B547" s="1" t="s">
        <v>104</v>
      </c>
      <c r="C547" t="s">
        <v>51</v>
      </c>
      <c r="D547">
        <v>3</v>
      </c>
      <c r="E547">
        <v>63</v>
      </c>
      <c r="F547">
        <v>0.04</v>
      </c>
      <c r="G547">
        <f>(F547/0.6)/4</f>
        <v>1.6666666666666666E-2</v>
      </c>
      <c r="H547">
        <f>G547*(11.5/38.29)</f>
        <v>5.0056585705580223E-3</v>
      </c>
    </row>
    <row r="548" spans="1:8" x14ac:dyDescent="0.25">
      <c r="A548" s="1">
        <v>1993</v>
      </c>
      <c r="B548" s="1" t="s">
        <v>104</v>
      </c>
      <c r="C548" t="s">
        <v>51</v>
      </c>
      <c r="D548">
        <v>3</v>
      </c>
      <c r="E548">
        <v>63</v>
      </c>
      <c r="F548">
        <v>0.06</v>
      </c>
      <c r="G548">
        <f>(F548/0.6)/4</f>
        <v>2.5000000000000001E-2</v>
      </c>
      <c r="H548">
        <f>G548*(11.5/38.29)</f>
        <v>7.5084878558370335E-3</v>
      </c>
    </row>
    <row r="549" spans="1:8" x14ac:dyDescent="0.25">
      <c r="A549" s="1">
        <v>1993</v>
      </c>
      <c r="B549" s="1" t="s">
        <v>104</v>
      </c>
      <c r="C549" t="s">
        <v>51</v>
      </c>
      <c r="D549">
        <v>3</v>
      </c>
      <c r="E549">
        <v>79</v>
      </c>
      <c r="F549">
        <v>0.24</v>
      </c>
      <c r="G549">
        <f>(F549/0.6)/4</f>
        <v>0.1</v>
      </c>
      <c r="H549">
        <f>G549*(11.5/38.29)</f>
        <v>3.0033951423348134E-2</v>
      </c>
    </row>
    <row r="550" spans="1:8" x14ac:dyDescent="0.25">
      <c r="A550" s="1">
        <v>1993</v>
      </c>
      <c r="B550" s="1" t="s">
        <v>104</v>
      </c>
      <c r="C550" t="s">
        <v>51</v>
      </c>
      <c r="D550">
        <v>3</v>
      </c>
      <c r="E550">
        <v>79</v>
      </c>
      <c r="F550">
        <v>7.0000000000000007E-2</v>
      </c>
      <c r="G550">
        <f>(F550/0.6)/4</f>
        <v>2.9166666666666671E-2</v>
      </c>
      <c r="H550">
        <f>G550*(11.5/38.29)</f>
        <v>8.7599024984765395E-3</v>
      </c>
    </row>
    <row r="551" spans="1:8" x14ac:dyDescent="0.25">
      <c r="A551" s="1">
        <v>1993</v>
      </c>
      <c r="B551" s="1" t="s">
        <v>104</v>
      </c>
      <c r="C551" t="s">
        <v>51</v>
      </c>
      <c r="D551">
        <v>3</v>
      </c>
      <c r="E551">
        <v>79</v>
      </c>
      <c r="F551">
        <v>0.18</v>
      </c>
      <c r="G551">
        <f>(F551/0.6)/4</f>
        <v>7.4999999999999997E-2</v>
      </c>
      <c r="H551">
        <f>G551*(11.5/38.29)</f>
        <v>2.25254635675111E-2</v>
      </c>
    </row>
    <row r="552" spans="1:8" x14ac:dyDescent="0.25">
      <c r="A552" s="1">
        <v>1993</v>
      </c>
      <c r="B552" s="1" t="s">
        <v>104</v>
      </c>
      <c r="C552" t="s">
        <v>51</v>
      </c>
      <c r="D552">
        <v>3</v>
      </c>
      <c r="E552">
        <v>79</v>
      </c>
      <c r="F552">
        <v>0.03</v>
      </c>
      <c r="G552">
        <f>(F552/0.6)/4</f>
        <v>1.2500000000000001E-2</v>
      </c>
      <c r="H552">
        <f>G552*(11.5/38.29)</f>
        <v>3.7542439279185168E-3</v>
      </c>
    </row>
    <row r="553" spans="1:8" x14ac:dyDescent="0.25">
      <c r="A553" s="1">
        <v>1993</v>
      </c>
      <c r="B553" s="1" t="s">
        <v>104</v>
      </c>
      <c r="C553" t="s">
        <v>51</v>
      </c>
      <c r="D553">
        <v>3</v>
      </c>
      <c r="E553">
        <v>79</v>
      </c>
      <c r="F553">
        <v>0.11</v>
      </c>
      <c r="G553">
        <f>(F553/0.6)/4</f>
        <v>4.5833333333333337E-2</v>
      </c>
      <c r="H553">
        <f>G553*(11.5/38.29)</f>
        <v>1.3765561069034562E-2</v>
      </c>
    </row>
    <row r="554" spans="1:8" x14ac:dyDescent="0.25">
      <c r="A554" s="1">
        <v>1993</v>
      </c>
      <c r="B554" s="1" t="s">
        <v>104</v>
      </c>
      <c r="C554" t="s">
        <v>51</v>
      </c>
      <c r="D554">
        <v>3</v>
      </c>
      <c r="E554">
        <v>79</v>
      </c>
      <c r="F554">
        <v>0.38</v>
      </c>
      <c r="G554">
        <f>(F554/0.6)/4</f>
        <v>0.15833333333333335</v>
      </c>
      <c r="H554">
        <f>G554*(11.5/38.29)</f>
        <v>4.7553756420301213E-2</v>
      </c>
    </row>
    <row r="555" spans="1:8" x14ac:dyDescent="0.25">
      <c r="A555" s="1">
        <v>1993</v>
      </c>
      <c r="B555" s="1" t="s">
        <v>104</v>
      </c>
      <c r="C555" t="s">
        <v>51</v>
      </c>
      <c r="D555">
        <v>3</v>
      </c>
      <c r="E555">
        <v>79</v>
      </c>
      <c r="F555">
        <v>0.16</v>
      </c>
      <c r="G555">
        <f>(F555/0.6)/4</f>
        <v>6.6666666666666666E-2</v>
      </c>
      <c r="H555">
        <f>G555*(11.5/38.29)</f>
        <v>2.0022634282232089E-2</v>
      </c>
    </row>
    <row r="556" spans="1:8" x14ac:dyDescent="0.25">
      <c r="A556" s="1">
        <v>1993</v>
      </c>
      <c r="B556" s="1" t="s">
        <v>104</v>
      </c>
      <c r="C556" t="s">
        <v>51</v>
      </c>
      <c r="D556">
        <v>3</v>
      </c>
      <c r="E556">
        <v>79</v>
      </c>
      <c r="F556">
        <v>0.06</v>
      </c>
      <c r="G556">
        <f>(F556/0.6)/4</f>
        <v>2.5000000000000001E-2</v>
      </c>
      <c r="H556">
        <f>G556*(11.5/38.29)</f>
        <v>7.5084878558370335E-3</v>
      </c>
    </row>
    <row r="557" spans="1:8" x14ac:dyDescent="0.25">
      <c r="A557" s="1">
        <v>1993</v>
      </c>
      <c r="B557" s="1" t="s">
        <v>104</v>
      </c>
      <c r="C557" t="s">
        <v>51</v>
      </c>
      <c r="D557">
        <v>3</v>
      </c>
      <c r="E557">
        <v>79</v>
      </c>
      <c r="F557">
        <v>0.11</v>
      </c>
      <c r="G557">
        <f>(F557/0.6)/4</f>
        <v>4.5833333333333337E-2</v>
      </c>
      <c r="H557">
        <f>G557*(11.5/38.29)</f>
        <v>1.3765561069034562E-2</v>
      </c>
    </row>
    <row r="558" spans="1:8" x14ac:dyDescent="0.25">
      <c r="A558" s="1">
        <v>1993</v>
      </c>
      <c r="B558" s="1" t="s">
        <v>104</v>
      </c>
      <c r="C558" t="s">
        <v>51</v>
      </c>
      <c r="D558">
        <v>3</v>
      </c>
      <c r="E558">
        <v>79</v>
      </c>
      <c r="F558">
        <v>0.03</v>
      </c>
      <c r="G558">
        <f>(F558/0.6)/4</f>
        <v>1.2500000000000001E-2</v>
      </c>
      <c r="H558">
        <f>G558*(11.5/38.29)</f>
        <v>3.7542439279185168E-3</v>
      </c>
    </row>
    <row r="559" spans="1:8" x14ac:dyDescent="0.25">
      <c r="A559" s="1">
        <v>1993</v>
      </c>
      <c r="B559" s="1" t="s">
        <v>104</v>
      </c>
      <c r="C559" t="s">
        <v>51</v>
      </c>
      <c r="D559">
        <v>3</v>
      </c>
      <c r="E559">
        <v>79</v>
      </c>
      <c r="F559">
        <v>0.17</v>
      </c>
      <c r="G559">
        <f>(F559/0.6)/4</f>
        <v>7.0833333333333345E-2</v>
      </c>
      <c r="H559">
        <f>G559*(11.5/38.29)</f>
        <v>2.1274048924871596E-2</v>
      </c>
    </row>
    <row r="560" spans="1:8" x14ac:dyDescent="0.25">
      <c r="A560" s="1">
        <v>1993</v>
      </c>
      <c r="B560" s="1" t="s">
        <v>104</v>
      </c>
      <c r="C560" t="s">
        <v>51</v>
      </c>
      <c r="D560">
        <v>3</v>
      </c>
      <c r="E560">
        <v>79</v>
      </c>
      <c r="F560">
        <v>0.05</v>
      </c>
      <c r="G560">
        <f>(F560/0.6)/4</f>
        <v>2.0833333333333336E-2</v>
      </c>
      <c r="H560">
        <f>G560*(11.5/38.29)</f>
        <v>6.2570732131975284E-3</v>
      </c>
    </row>
    <row r="561" spans="1:8" x14ac:dyDescent="0.25">
      <c r="A561" s="1">
        <v>1993</v>
      </c>
      <c r="B561" s="1" t="s">
        <v>104</v>
      </c>
      <c r="C561" t="s">
        <v>51</v>
      </c>
      <c r="D561">
        <v>3</v>
      </c>
      <c r="E561">
        <v>79</v>
      </c>
      <c r="F561">
        <v>7.0000000000000007E-2</v>
      </c>
      <c r="G561">
        <f>(F561/0.6)/4</f>
        <v>2.9166666666666671E-2</v>
      </c>
      <c r="H561">
        <f>G561*(11.5/38.29)</f>
        <v>8.7599024984765395E-3</v>
      </c>
    </row>
    <row r="562" spans="1:8" x14ac:dyDescent="0.25">
      <c r="A562" s="1">
        <v>1993</v>
      </c>
      <c r="B562" s="1" t="s">
        <v>104</v>
      </c>
      <c r="C562" t="s">
        <v>51</v>
      </c>
      <c r="D562">
        <v>3</v>
      </c>
      <c r="E562">
        <v>79</v>
      </c>
      <c r="F562">
        <v>0.22</v>
      </c>
      <c r="G562">
        <f>(F562/0.6)/4</f>
        <v>9.1666666666666674E-2</v>
      </c>
      <c r="H562">
        <f>G562*(11.5/38.29)</f>
        <v>2.7531122138069124E-2</v>
      </c>
    </row>
    <row r="563" spans="1:8" x14ac:dyDescent="0.25">
      <c r="A563" s="1">
        <v>1993</v>
      </c>
      <c r="B563" s="1" t="s">
        <v>104</v>
      </c>
      <c r="C563" t="s">
        <v>51</v>
      </c>
      <c r="D563">
        <v>3</v>
      </c>
      <c r="E563">
        <v>79</v>
      </c>
      <c r="F563">
        <v>0.22</v>
      </c>
      <c r="G563">
        <f>(F563/0.6)/4</f>
        <v>9.1666666666666674E-2</v>
      </c>
      <c r="H563">
        <f>G563*(11.5/38.29)</f>
        <v>2.7531122138069124E-2</v>
      </c>
    </row>
    <row r="564" spans="1:8" x14ac:dyDescent="0.25">
      <c r="A564" s="1">
        <v>1993</v>
      </c>
      <c r="B564" s="1" t="s">
        <v>104</v>
      </c>
      <c r="C564" t="s">
        <v>51</v>
      </c>
      <c r="D564">
        <v>3</v>
      </c>
      <c r="E564">
        <v>79</v>
      </c>
      <c r="F564">
        <v>0.27</v>
      </c>
      <c r="G564">
        <f>(F564/0.6)/4</f>
        <v>0.11250000000000002</v>
      </c>
      <c r="H564">
        <f>G564*(11.5/38.29)</f>
        <v>3.3788195351266655E-2</v>
      </c>
    </row>
    <row r="565" spans="1:8" x14ac:dyDescent="0.25">
      <c r="A565" s="1">
        <v>1993</v>
      </c>
      <c r="B565" s="1" t="s">
        <v>104</v>
      </c>
      <c r="C565" t="s">
        <v>51</v>
      </c>
      <c r="D565">
        <v>3</v>
      </c>
      <c r="E565">
        <v>79</v>
      </c>
      <c r="F565">
        <v>0.32</v>
      </c>
      <c r="G565">
        <f>(F565/0.6)/4</f>
        <v>0.13333333333333333</v>
      </c>
      <c r="H565">
        <f>G565*(11.5/38.29)</f>
        <v>4.0045268564464179E-2</v>
      </c>
    </row>
    <row r="566" spans="1:8" x14ac:dyDescent="0.25">
      <c r="A566" s="1">
        <v>1993</v>
      </c>
      <c r="B566" s="1" t="s">
        <v>104</v>
      </c>
      <c r="C566" t="s">
        <v>51</v>
      </c>
      <c r="D566">
        <v>3</v>
      </c>
      <c r="E566">
        <v>79</v>
      </c>
      <c r="F566">
        <v>0.21</v>
      </c>
      <c r="G566">
        <f>(F566/0.6)/4</f>
        <v>8.7499999999999994E-2</v>
      </c>
      <c r="H566">
        <f>G566*(11.5/38.29)</f>
        <v>2.6279707495429613E-2</v>
      </c>
    </row>
    <row r="567" spans="1:8" x14ac:dyDescent="0.25">
      <c r="A567" s="1">
        <v>1993</v>
      </c>
      <c r="B567" s="1" t="s">
        <v>104</v>
      </c>
      <c r="C567" t="s">
        <v>51</v>
      </c>
      <c r="D567">
        <v>3</v>
      </c>
      <c r="E567">
        <v>79</v>
      </c>
      <c r="F567">
        <v>0.31</v>
      </c>
      <c r="G567">
        <f>(F567/0.6)/4</f>
        <v>0.12916666666666668</v>
      </c>
      <c r="H567">
        <f>G567*(11.5/38.29)</f>
        <v>3.8793853921824675E-2</v>
      </c>
    </row>
    <row r="568" spans="1:8" x14ac:dyDescent="0.25">
      <c r="A568" s="1">
        <v>1993</v>
      </c>
      <c r="B568" s="1" t="s">
        <v>104</v>
      </c>
      <c r="C568" t="s">
        <v>51</v>
      </c>
      <c r="D568">
        <v>3</v>
      </c>
      <c r="E568">
        <v>79</v>
      </c>
      <c r="F568">
        <v>0.24</v>
      </c>
      <c r="G568">
        <f>(F568/0.6)/4</f>
        <v>0.1</v>
      </c>
      <c r="H568">
        <f>G568*(11.5/38.29)</f>
        <v>3.0033951423348134E-2</v>
      </c>
    </row>
    <row r="569" spans="1:8" x14ac:dyDescent="0.25">
      <c r="A569" s="1">
        <v>1993</v>
      </c>
      <c r="B569" s="1" t="s">
        <v>104</v>
      </c>
      <c r="C569" t="s">
        <v>51</v>
      </c>
      <c r="D569">
        <v>3</v>
      </c>
      <c r="E569">
        <v>79</v>
      </c>
      <c r="F569">
        <v>0.05</v>
      </c>
      <c r="G569">
        <f>(F569/0.6)/4</f>
        <v>2.0833333333333336E-2</v>
      </c>
      <c r="H569">
        <f>G569*(11.5/38.29)</f>
        <v>6.2570732131975284E-3</v>
      </c>
    </row>
    <row r="570" spans="1:8" x14ac:dyDescent="0.25">
      <c r="A570" s="1">
        <v>1993</v>
      </c>
      <c r="B570" s="1" t="s">
        <v>104</v>
      </c>
      <c r="C570" t="s">
        <v>51</v>
      </c>
      <c r="D570">
        <v>3</v>
      </c>
      <c r="E570">
        <v>79</v>
      </c>
      <c r="F570">
        <v>0.83</v>
      </c>
      <c r="G570">
        <f>(F570/0.6)/4</f>
        <v>0.34583333333333333</v>
      </c>
      <c r="H570">
        <f>G570*(11.5/38.29)</f>
        <v>0.10386741533907895</v>
      </c>
    </row>
    <row r="571" spans="1:8" x14ac:dyDescent="0.25">
      <c r="A571" s="1">
        <v>1993</v>
      </c>
      <c r="B571" s="1" t="s">
        <v>104</v>
      </c>
      <c r="C571" t="s">
        <v>51</v>
      </c>
      <c r="D571">
        <v>3</v>
      </c>
      <c r="E571">
        <v>79</v>
      </c>
      <c r="F571">
        <v>0.22</v>
      </c>
      <c r="G571">
        <f>(F571/0.6)/4</f>
        <v>9.1666666666666674E-2</v>
      </c>
      <c r="H571">
        <f>G571*(11.5/38.29)</f>
        <v>2.7531122138069124E-2</v>
      </c>
    </row>
    <row r="572" spans="1:8" x14ac:dyDescent="0.25">
      <c r="A572" s="1">
        <v>1993</v>
      </c>
      <c r="B572" s="1" t="s">
        <v>104</v>
      </c>
      <c r="C572" t="s">
        <v>51</v>
      </c>
      <c r="D572">
        <v>3</v>
      </c>
      <c r="E572">
        <v>79</v>
      </c>
      <c r="F572">
        <v>0.06</v>
      </c>
      <c r="G572">
        <f>(F572/0.6)/4</f>
        <v>2.5000000000000001E-2</v>
      </c>
      <c r="H572">
        <f>G572*(11.5/38.29)</f>
        <v>7.5084878558370335E-3</v>
      </c>
    </row>
    <row r="573" spans="1:8" x14ac:dyDescent="0.25">
      <c r="A573" s="1">
        <v>1993</v>
      </c>
      <c r="B573" s="1" t="s">
        <v>104</v>
      </c>
      <c r="C573" t="s">
        <v>51</v>
      </c>
      <c r="D573">
        <v>3</v>
      </c>
      <c r="E573">
        <v>79</v>
      </c>
      <c r="F573">
        <v>0.35</v>
      </c>
      <c r="G573">
        <f>(F573/0.6)/4</f>
        <v>0.14583333333333334</v>
      </c>
      <c r="H573">
        <f>G573*(11.5/38.29)</f>
        <v>4.3799512492382696E-2</v>
      </c>
    </row>
    <row r="574" spans="1:8" x14ac:dyDescent="0.25">
      <c r="A574" s="1">
        <v>1993</v>
      </c>
      <c r="B574" s="1" t="s">
        <v>104</v>
      </c>
      <c r="C574" t="s">
        <v>51</v>
      </c>
      <c r="D574">
        <v>3</v>
      </c>
      <c r="E574">
        <v>79</v>
      </c>
      <c r="F574">
        <v>0.2</v>
      </c>
      <c r="G574">
        <f>(F574/0.6)/4</f>
        <v>8.3333333333333343E-2</v>
      </c>
      <c r="H574">
        <f>G574*(11.5/38.29)</f>
        <v>2.5028292852790113E-2</v>
      </c>
    </row>
    <row r="575" spans="1:8" x14ac:dyDescent="0.25">
      <c r="A575" s="1">
        <v>1993</v>
      </c>
      <c r="B575" s="1" t="s">
        <v>104</v>
      </c>
      <c r="C575" t="s">
        <v>51</v>
      </c>
      <c r="D575">
        <v>3</v>
      </c>
      <c r="E575">
        <v>79</v>
      </c>
      <c r="F575">
        <v>0.1</v>
      </c>
      <c r="G575">
        <f>(F575/0.6)/4</f>
        <v>4.1666666666666671E-2</v>
      </c>
      <c r="H575">
        <f>G575*(11.5/38.29)</f>
        <v>1.2514146426395057E-2</v>
      </c>
    </row>
    <row r="576" spans="1:8" x14ac:dyDescent="0.25">
      <c r="A576" s="1">
        <v>1993</v>
      </c>
      <c r="B576" s="1" t="s">
        <v>104</v>
      </c>
      <c r="C576" t="s">
        <v>51</v>
      </c>
      <c r="D576">
        <v>3</v>
      </c>
      <c r="E576">
        <v>79</v>
      </c>
      <c r="F576">
        <v>0.19</v>
      </c>
      <c r="G576">
        <f>(F576/0.6)/4</f>
        <v>7.9166666666666677E-2</v>
      </c>
      <c r="H576">
        <f>G576*(11.5/38.29)</f>
        <v>2.3776878210150607E-2</v>
      </c>
    </row>
    <row r="577" spans="1:8" x14ac:dyDescent="0.25">
      <c r="A577" s="1">
        <v>1993</v>
      </c>
      <c r="B577" s="1" t="s">
        <v>104</v>
      </c>
      <c r="C577" t="s">
        <v>51</v>
      </c>
      <c r="D577">
        <v>3</v>
      </c>
      <c r="E577">
        <v>79</v>
      </c>
      <c r="F577">
        <v>0.43</v>
      </c>
      <c r="G577">
        <f>(F577/0.6)/4</f>
        <v>0.17916666666666667</v>
      </c>
      <c r="H577">
        <f>G577*(11.5/38.29)</f>
        <v>5.3810829633498737E-2</v>
      </c>
    </row>
    <row r="578" spans="1:8" x14ac:dyDescent="0.25">
      <c r="A578" s="1">
        <v>1993</v>
      </c>
      <c r="B578" s="1" t="s">
        <v>104</v>
      </c>
      <c r="C578" t="s">
        <v>51</v>
      </c>
      <c r="D578">
        <v>3</v>
      </c>
      <c r="E578">
        <v>79</v>
      </c>
      <c r="F578">
        <v>0.04</v>
      </c>
      <c r="G578">
        <f>(F578/0.6)/4</f>
        <v>1.6666666666666666E-2</v>
      </c>
      <c r="H578">
        <f>G578*(11.5/38.29)</f>
        <v>5.0056585705580223E-3</v>
      </c>
    </row>
    <row r="579" spans="1:8" x14ac:dyDescent="0.25">
      <c r="A579" s="1">
        <v>1993</v>
      </c>
      <c r="B579" s="1" t="s">
        <v>104</v>
      </c>
      <c r="C579" t="s">
        <v>51</v>
      </c>
      <c r="D579">
        <v>3</v>
      </c>
      <c r="E579">
        <v>79</v>
      </c>
      <c r="F579">
        <v>0.38</v>
      </c>
      <c r="G579">
        <f>(F579/0.6)/4</f>
        <v>0.15833333333333335</v>
      </c>
      <c r="H579">
        <f>G579*(11.5/38.29)</f>
        <v>4.7553756420301213E-2</v>
      </c>
    </row>
    <row r="580" spans="1:8" x14ac:dyDescent="0.25">
      <c r="A580" s="1">
        <v>1993</v>
      </c>
      <c r="B580" s="1" t="s">
        <v>104</v>
      </c>
      <c r="C580" t="s">
        <v>51</v>
      </c>
      <c r="D580">
        <v>3</v>
      </c>
      <c r="E580">
        <v>79</v>
      </c>
      <c r="F580">
        <v>0.09</v>
      </c>
      <c r="G580">
        <f>(F580/0.6)/4</f>
        <v>3.7499999999999999E-2</v>
      </c>
      <c r="H580">
        <f>G580*(11.5/38.29)</f>
        <v>1.126273178375555E-2</v>
      </c>
    </row>
    <row r="581" spans="1:8" x14ac:dyDescent="0.25">
      <c r="A581" s="1">
        <v>1993</v>
      </c>
      <c r="B581" s="1" t="s">
        <v>104</v>
      </c>
      <c r="C581" t="s">
        <v>51</v>
      </c>
      <c r="D581">
        <v>3</v>
      </c>
      <c r="E581">
        <v>79</v>
      </c>
      <c r="F581">
        <v>7.0000000000000007E-2</v>
      </c>
      <c r="G581">
        <f>(F581/0.6)/4</f>
        <v>2.9166666666666671E-2</v>
      </c>
      <c r="H581">
        <f>G581*(11.5/38.29)</f>
        <v>8.7599024984765395E-3</v>
      </c>
    </row>
    <row r="582" spans="1:8" x14ac:dyDescent="0.25">
      <c r="A582" s="1">
        <v>1993</v>
      </c>
      <c r="B582" s="1" t="s">
        <v>104</v>
      </c>
      <c r="C582" t="s">
        <v>51</v>
      </c>
      <c r="D582">
        <v>3</v>
      </c>
      <c r="E582">
        <v>79</v>
      </c>
      <c r="F582">
        <v>0.08</v>
      </c>
      <c r="G582">
        <f>(F582/0.6)/4</f>
        <v>3.3333333333333333E-2</v>
      </c>
      <c r="H582">
        <f>G582*(11.5/38.29)</f>
        <v>1.0011317141116045E-2</v>
      </c>
    </row>
    <row r="583" spans="1:8" x14ac:dyDescent="0.25">
      <c r="A583" s="1">
        <v>1993</v>
      </c>
      <c r="B583" s="1" t="s">
        <v>104</v>
      </c>
      <c r="C583" t="s">
        <v>51</v>
      </c>
      <c r="D583">
        <v>3</v>
      </c>
      <c r="E583">
        <v>79</v>
      </c>
      <c r="F583">
        <v>0.08</v>
      </c>
      <c r="G583">
        <f>(F583/0.6)/4</f>
        <v>3.3333333333333333E-2</v>
      </c>
      <c r="H583">
        <f>G583*(11.5/38.29)</f>
        <v>1.0011317141116045E-2</v>
      </c>
    </row>
    <row r="584" spans="1:8" x14ac:dyDescent="0.25">
      <c r="A584" s="1">
        <v>1993</v>
      </c>
      <c r="B584" s="1" t="s">
        <v>104</v>
      </c>
      <c r="C584" t="s">
        <v>51</v>
      </c>
      <c r="D584">
        <v>3</v>
      </c>
      <c r="E584">
        <v>79</v>
      </c>
      <c r="F584">
        <v>0.2</v>
      </c>
      <c r="G584">
        <f>(F584/0.6)/4</f>
        <v>8.3333333333333343E-2</v>
      </c>
      <c r="H584">
        <f>G584*(11.5/38.29)</f>
        <v>2.5028292852790113E-2</v>
      </c>
    </row>
    <row r="585" spans="1:8" x14ac:dyDescent="0.25">
      <c r="A585" s="1">
        <v>1993</v>
      </c>
      <c r="B585" s="1" t="s">
        <v>104</v>
      </c>
      <c r="C585" t="s">
        <v>51</v>
      </c>
      <c r="D585">
        <v>3</v>
      </c>
      <c r="E585">
        <v>79</v>
      </c>
      <c r="F585">
        <v>0.43</v>
      </c>
      <c r="G585">
        <f>(F585/0.6)/4</f>
        <v>0.17916666666666667</v>
      </c>
      <c r="H585">
        <f>G585*(11.5/38.29)</f>
        <v>5.3810829633498737E-2</v>
      </c>
    </row>
    <row r="586" spans="1:8" x14ac:dyDescent="0.25">
      <c r="A586" s="1">
        <v>1993</v>
      </c>
      <c r="B586" s="1" t="s">
        <v>104</v>
      </c>
      <c r="C586" t="s">
        <v>51</v>
      </c>
      <c r="D586">
        <v>3</v>
      </c>
      <c r="E586">
        <v>79</v>
      </c>
      <c r="F586">
        <v>0.15</v>
      </c>
      <c r="G586">
        <f>(F586/0.6)/4</f>
        <v>6.25E-2</v>
      </c>
      <c r="H586">
        <f>G586*(11.5/38.29)</f>
        <v>1.8771219639592582E-2</v>
      </c>
    </row>
    <row r="587" spans="1:8" x14ac:dyDescent="0.25">
      <c r="A587" s="1">
        <v>1993</v>
      </c>
      <c r="B587" s="1" t="s">
        <v>104</v>
      </c>
      <c r="C587" t="s">
        <v>51</v>
      </c>
      <c r="D587">
        <v>3</v>
      </c>
      <c r="E587">
        <v>79</v>
      </c>
      <c r="F587">
        <v>0.95</v>
      </c>
      <c r="G587">
        <f>(F587/0.6)/4</f>
        <v>0.39583333333333331</v>
      </c>
      <c r="H587">
        <f>G587*(11.5/38.29)</f>
        <v>0.11888439105075302</v>
      </c>
    </row>
    <row r="588" spans="1:8" x14ac:dyDescent="0.25">
      <c r="A588" s="1">
        <v>1993</v>
      </c>
      <c r="B588" s="1" t="s">
        <v>104</v>
      </c>
      <c r="C588" t="s">
        <v>51</v>
      </c>
      <c r="D588">
        <v>3</v>
      </c>
      <c r="E588">
        <v>79</v>
      </c>
      <c r="F588">
        <v>0.05</v>
      </c>
      <c r="G588">
        <f>(F588/0.6)/4</f>
        <v>2.0833333333333336E-2</v>
      </c>
      <c r="H588">
        <f>G588*(11.5/38.29)</f>
        <v>6.2570732131975284E-3</v>
      </c>
    </row>
    <row r="589" spans="1:8" x14ac:dyDescent="0.25">
      <c r="A589" s="1">
        <v>1993</v>
      </c>
      <c r="B589" s="1" t="s">
        <v>104</v>
      </c>
      <c r="C589" t="s">
        <v>51</v>
      </c>
      <c r="D589">
        <v>3</v>
      </c>
      <c r="E589">
        <v>79</v>
      </c>
      <c r="F589">
        <v>0.49</v>
      </c>
      <c r="G589">
        <f>(F589/0.6)/4</f>
        <v>0.20416666666666666</v>
      </c>
      <c r="H589">
        <f>G589*(11.5/38.29)</f>
        <v>6.1319317489335771E-2</v>
      </c>
    </row>
    <row r="590" spans="1:8" x14ac:dyDescent="0.25">
      <c r="A590" s="1">
        <v>1993</v>
      </c>
      <c r="B590" s="1" t="s">
        <v>104</v>
      </c>
      <c r="C590" t="s">
        <v>51</v>
      </c>
      <c r="D590">
        <v>3</v>
      </c>
      <c r="E590">
        <v>79</v>
      </c>
      <c r="F590">
        <v>0.06</v>
      </c>
      <c r="G590">
        <f>(F590/0.6)/4</f>
        <v>2.5000000000000001E-2</v>
      </c>
      <c r="H590">
        <f>G590*(11.5/38.29)</f>
        <v>7.5084878558370335E-3</v>
      </c>
    </row>
    <row r="591" spans="1:8" x14ac:dyDescent="0.25">
      <c r="A591" s="1">
        <v>1993</v>
      </c>
      <c r="B591" s="1" t="s">
        <v>104</v>
      </c>
      <c r="C591" t="s">
        <v>51</v>
      </c>
      <c r="D591">
        <v>3</v>
      </c>
      <c r="E591">
        <v>79</v>
      </c>
      <c r="F591">
        <v>0.04</v>
      </c>
      <c r="G591">
        <f>(F591/0.6)/4</f>
        <v>1.6666666666666666E-2</v>
      </c>
      <c r="H591">
        <f>G591*(11.5/38.29)</f>
        <v>5.0056585705580223E-3</v>
      </c>
    </row>
    <row r="592" spans="1:8" x14ac:dyDescent="0.25">
      <c r="A592" s="1">
        <v>1993</v>
      </c>
      <c r="B592" s="1" t="s">
        <v>104</v>
      </c>
      <c r="C592" t="s">
        <v>51</v>
      </c>
      <c r="D592">
        <v>3</v>
      </c>
      <c r="E592">
        <v>79</v>
      </c>
      <c r="F592">
        <v>0.1</v>
      </c>
      <c r="G592">
        <f>(F592/0.6)/4</f>
        <v>4.1666666666666671E-2</v>
      </c>
      <c r="H592">
        <f>G592*(11.5/38.29)</f>
        <v>1.2514146426395057E-2</v>
      </c>
    </row>
    <row r="593" spans="1:8" x14ac:dyDescent="0.25">
      <c r="A593" s="1">
        <v>1993</v>
      </c>
      <c r="B593" s="1" t="s">
        <v>104</v>
      </c>
      <c r="C593" t="s">
        <v>51</v>
      </c>
      <c r="D593">
        <v>3</v>
      </c>
      <c r="E593">
        <v>79</v>
      </c>
      <c r="F593">
        <v>0.32</v>
      </c>
      <c r="G593">
        <f>(F593/0.6)/4</f>
        <v>0.13333333333333333</v>
      </c>
      <c r="H593">
        <f>G593*(11.5/38.29)</f>
        <v>4.0045268564464179E-2</v>
      </c>
    </row>
    <row r="594" spans="1:8" x14ac:dyDescent="0.25">
      <c r="A594" s="1">
        <v>1993</v>
      </c>
      <c r="B594" s="1" t="s">
        <v>104</v>
      </c>
      <c r="C594" t="s">
        <v>51</v>
      </c>
      <c r="D594">
        <v>3</v>
      </c>
      <c r="E594">
        <v>79</v>
      </c>
      <c r="F594">
        <v>0.13</v>
      </c>
      <c r="G594">
        <f>(F594/0.6)/4</f>
        <v>5.4166666666666669E-2</v>
      </c>
      <c r="H594">
        <f>G594*(11.5/38.29)</f>
        <v>1.6268390354313572E-2</v>
      </c>
    </row>
    <row r="595" spans="1:8" x14ac:dyDescent="0.25">
      <c r="A595" s="1">
        <v>1993</v>
      </c>
      <c r="B595" s="1" t="s">
        <v>104</v>
      </c>
      <c r="C595" t="s">
        <v>51</v>
      </c>
      <c r="D595">
        <v>3</v>
      </c>
      <c r="E595">
        <v>79</v>
      </c>
      <c r="F595">
        <v>0.09</v>
      </c>
      <c r="G595">
        <f>(F595/0.6)/4</f>
        <v>3.7499999999999999E-2</v>
      </c>
      <c r="H595">
        <f>G595*(11.5/38.29)</f>
        <v>1.126273178375555E-2</v>
      </c>
    </row>
    <row r="596" spans="1:8" x14ac:dyDescent="0.25">
      <c r="A596" s="1">
        <v>1993</v>
      </c>
      <c r="B596" s="1" t="s">
        <v>104</v>
      </c>
      <c r="C596" t="s">
        <v>51</v>
      </c>
      <c r="D596">
        <v>3</v>
      </c>
      <c r="E596">
        <v>79</v>
      </c>
      <c r="F596">
        <v>0.1</v>
      </c>
      <c r="G596">
        <f>(F596/0.6)/4</f>
        <v>4.1666666666666671E-2</v>
      </c>
      <c r="H596">
        <f>G596*(11.5/38.29)</f>
        <v>1.2514146426395057E-2</v>
      </c>
    </row>
    <row r="597" spans="1:8" x14ac:dyDescent="0.25">
      <c r="A597" s="1">
        <v>1993</v>
      </c>
      <c r="B597" s="1" t="s">
        <v>104</v>
      </c>
      <c r="C597" t="s">
        <v>51</v>
      </c>
      <c r="D597">
        <v>3</v>
      </c>
      <c r="E597">
        <v>79</v>
      </c>
      <c r="F597">
        <v>0.35</v>
      </c>
      <c r="G597">
        <f>(F597/0.6)/4</f>
        <v>0.14583333333333334</v>
      </c>
      <c r="H597">
        <f>G597*(11.5/38.29)</f>
        <v>4.3799512492382696E-2</v>
      </c>
    </row>
    <row r="598" spans="1:8" x14ac:dyDescent="0.25">
      <c r="A598" s="1">
        <v>1993</v>
      </c>
      <c r="B598" s="1" t="s">
        <v>104</v>
      </c>
      <c r="C598" t="s">
        <v>51</v>
      </c>
      <c r="D598">
        <v>3</v>
      </c>
      <c r="E598">
        <v>79</v>
      </c>
      <c r="F598">
        <v>0.15</v>
      </c>
      <c r="G598">
        <f>(F598/0.6)/4</f>
        <v>6.25E-2</v>
      </c>
      <c r="H598">
        <f>G598*(11.5/38.29)</f>
        <v>1.8771219639592582E-2</v>
      </c>
    </row>
    <row r="599" spans="1:8" x14ac:dyDescent="0.25">
      <c r="A599" s="1">
        <v>1993</v>
      </c>
      <c r="B599" s="1" t="s">
        <v>104</v>
      </c>
      <c r="C599" t="s">
        <v>51</v>
      </c>
      <c r="D599">
        <v>3</v>
      </c>
      <c r="E599">
        <v>79</v>
      </c>
      <c r="F599">
        <v>0.2</v>
      </c>
      <c r="G599">
        <f>(F599/0.6)/4</f>
        <v>8.3333333333333343E-2</v>
      </c>
      <c r="H599">
        <f>G599*(11.5/38.29)</f>
        <v>2.5028292852790113E-2</v>
      </c>
    </row>
    <row r="600" spans="1:8" x14ac:dyDescent="0.25">
      <c r="A600" s="1">
        <v>1993</v>
      </c>
      <c r="B600" s="1" t="s">
        <v>104</v>
      </c>
      <c r="C600" t="s">
        <v>51</v>
      </c>
      <c r="D600">
        <v>3</v>
      </c>
      <c r="E600">
        <v>79</v>
      </c>
      <c r="F600">
        <v>0.13</v>
      </c>
      <c r="G600">
        <f>(F600/0.6)/4</f>
        <v>5.4166666666666669E-2</v>
      </c>
      <c r="H600">
        <f>G600*(11.5/38.29)</f>
        <v>1.6268390354313572E-2</v>
      </c>
    </row>
    <row r="601" spans="1:8" x14ac:dyDescent="0.25">
      <c r="A601" s="1">
        <v>1993</v>
      </c>
      <c r="B601" s="1" t="s">
        <v>104</v>
      </c>
      <c r="C601" t="s">
        <v>51</v>
      </c>
      <c r="D601">
        <v>3</v>
      </c>
      <c r="E601">
        <v>79</v>
      </c>
      <c r="F601">
        <v>7.0000000000000007E-2</v>
      </c>
      <c r="G601">
        <f>(F601/0.6)/4</f>
        <v>2.9166666666666671E-2</v>
      </c>
      <c r="H601">
        <f>G601*(11.5/38.29)</f>
        <v>8.7599024984765395E-3</v>
      </c>
    </row>
    <row r="602" spans="1:8" x14ac:dyDescent="0.25">
      <c r="A602" s="1">
        <v>1993</v>
      </c>
      <c r="B602" s="1" t="s">
        <v>104</v>
      </c>
      <c r="C602" t="s">
        <v>51</v>
      </c>
      <c r="D602">
        <v>3</v>
      </c>
      <c r="E602">
        <v>79</v>
      </c>
      <c r="F602">
        <v>0.09</v>
      </c>
      <c r="G602">
        <f>(F602/0.6)/4</f>
        <v>3.7499999999999999E-2</v>
      </c>
      <c r="H602">
        <f>G602*(11.5/38.29)</f>
        <v>1.126273178375555E-2</v>
      </c>
    </row>
    <row r="603" spans="1:8" x14ac:dyDescent="0.25">
      <c r="A603" s="1">
        <v>1993</v>
      </c>
      <c r="B603" s="1" t="s">
        <v>104</v>
      </c>
      <c r="C603" t="s">
        <v>51</v>
      </c>
      <c r="D603">
        <v>3</v>
      </c>
      <c r="E603">
        <v>79</v>
      </c>
      <c r="F603">
        <v>0.05</v>
      </c>
      <c r="G603">
        <f>(F603/0.6)/4</f>
        <v>2.0833333333333336E-2</v>
      </c>
      <c r="H603">
        <f>G603*(11.5/38.29)</f>
        <v>6.2570732131975284E-3</v>
      </c>
    </row>
    <row r="604" spans="1:8" x14ac:dyDescent="0.25">
      <c r="A604" s="1">
        <v>1993</v>
      </c>
      <c r="B604" s="1" t="s">
        <v>104</v>
      </c>
      <c r="C604" t="s">
        <v>51</v>
      </c>
      <c r="D604">
        <v>3</v>
      </c>
      <c r="E604">
        <v>79</v>
      </c>
      <c r="F604">
        <v>7.0000000000000007E-2</v>
      </c>
      <c r="G604">
        <f>(F604/0.6)/4</f>
        <v>2.9166666666666671E-2</v>
      </c>
      <c r="H604">
        <f>G604*(11.5/38.29)</f>
        <v>8.7599024984765395E-3</v>
      </c>
    </row>
    <row r="605" spans="1:8" x14ac:dyDescent="0.25">
      <c r="A605" s="1">
        <v>1993</v>
      </c>
      <c r="B605" s="1" t="s">
        <v>104</v>
      </c>
      <c r="C605" t="s">
        <v>51</v>
      </c>
      <c r="D605">
        <v>3</v>
      </c>
      <c r="E605">
        <v>79</v>
      </c>
      <c r="F605">
        <v>0.2</v>
      </c>
      <c r="G605">
        <f>(F605/0.6)/4</f>
        <v>8.3333333333333343E-2</v>
      </c>
      <c r="H605">
        <f>G605*(11.5/38.29)</f>
        <v>2.5028292852790113E-2</v>
      </c>
    </row>
    <row r="606" spans="1:8" x14ac:dyDescent="0.25">
      <c r="A606" s="1">
        <v>1993</v>
      </c>
      <c r="B606" s="1" t="s">
        <v>104</v>
      </c>
      <c r="C606" t="s">
        <v>51</v>
      </c>
      <c r="D606">
        <v>3</v>
      </c>
      <c r="E606">
        <v>79</v>
      </c>
      <c r="F606">
        <v>0.04</v>
      </c>
      <c r="G606">
        <f>(F606/0.6)/4</f>
        <v>1.6666666666666666E-2</v>
      </c>
      <c r="H606">
        <f>G606*(11.5/38.29)</f>
        <v>5.0056585705580223E-3</v>
      </c>
    </row>
    <row r="607" spans="1:8" x14ac:dyDescent="0.25">
      <c r="A607" s="1">
        <v>1993</v>
      </c>
      <c r="B607" s="1" t="s">
        <v>104</v>
      </c>
      <c r="C607" t="s">
        <v>51</v>
      </c>
      <c r="D607">
        <v>3</v>
      </c>
      <c r="E607">
        <v>85</v>
      </c>
      <c r="F607">
        <v>1.41</v>
      </c>
      <c r="G607">
        <f>(F607/0.6)/4</f>
        <v>0.58750000000000002</v>
      </c>
      <c r="H607">
        <f>G607*(11.5/38.29)</f>
        <v>0.17644946461217029</v>
      </c>
    </row>
    <row r="608" spans="1:8" x14ac:dyDescent="0.25">
      <c r="A608" s="1">
        <v>1993</v>
      </c>
      <c r="B608" s="1" t="s">
        <v>104</v>
      </c>
      <c r="C608" t="s">
        <v>51</v>
      </c>
      <c r="D608">
        <v>3</v>
      </c>
      <c r="E608">
        <v>85</v>
      </c>
      <c r="F608">
        <v>1.69</v>
      </c>
      <c r="G608">
        <f>(F608/0.6)/4</f>
        <v>0.70416666666666672</v>
      </c>
      <c r="H608">
        <f>G608*(11.5/38.29)</f>
        <v>0.21148907460607644</v>
      </c>
    </row>
    <row r="609" spans="1:8" x14ac:dyDescent="0.25">
      <c r="A609" s="1">
        <v>1993</v>
      </c>
      <c r="B609" s="1" t="s">
        <v>104</v>
      </c>
      <c r="C609" t="s">
        <v>51</v>
      </c>
      <c r="D609">
        <v>3</v>
      </c>
      <c r="E609">
        <v>85</v>
      </c>
      <c r="F609">
        <v>0.04</v>
      </c>
      <c r="G609">
        <f>(F609/0.6)/4</f>
        <v>1.6666666666666666E-2</v>
      </c>
      <c r="H609">
        <f>G609*(11.5/38.29)</f>
        <v>5.0056585705580223E-3</v>
      </c>
    </row>
    <row r="610" spans="1:8" x14ac:dyDescent="0.25">
      <c r="A610" s="1">
        <v>1993</v>
      </c>
      <c r="B610" s="1" t="s">
        <v>104</v>
      </c>
      <c r="C610" t="s">
        <v>51</v>
      </c>
      <c r="D610">
        <v>3</v>
      </c>
      <c r="E610">
        <v>85</v>
      </c>
      <c r="F610">
        <v>0.04</v>
      </c>
      <c r="G610">
        <f>(F610/0.6)/4</f>
        <v>1.6666666666666666E-2</v>
      </c>
      <c r="H610">
        <f>G610*(11.5/38.29)</f>
        <v>5.0056585705580223E-3</v>
      </c>
    </row>
    <row r="611" spans="1:8" x14ac:dyDescent="0.25">
      <c r="A611" s="1">
        <v>1993</v>
      </c>
      <c r="B611" s="1" t="s">
        <v>104</v>
      </c>
      <c r="C611" t="s">
        <v>51</v>
      </c>
      <c r="D611">
        <v>3</v>
      </c>
      <c r="E611">
        <v>85</v>
      </c>
      <c r="F611">
        <v>1.56</v>
      </c>
      <c r="G611">
        <f>(F611/0.6)/4</f>
        <v>0.65</v>
      </c>
      <c r="H611">
        <f>G611*(11.5/38.29)</f>
        <v>0.19522068425176287</v>
      </c>
    </row>
    <row r="612" spans="1:8" x14ac:dyDescent="0.25">
      <c r="A612" s="1">
        <v>1993</v>
      </c>
      <c r="B612" s="1" t="s">
        <v>104</v>
      </c>
      <c r="C612" t="s">
        <v>51</v>
      </c>
      <c r="D612">
        <v>3</v>
      </c>
      <c r="E612">
        <v>85</v>
      </c>
      <c r="F612">
        <v>0.06</v>
      </c>
      <c r="G612">
        <f>(F612/0.6)/4</f>
        <v>2.5000000000000001E-2</v>
      </c>
      <c r="H612">
        <f>G612*(11.5/38.29)</f>
        <v>7.5084878558370335E-3</v>
      </c>
    </row>
    <row r="613" spans="1:8" x14ac:dyDescent="0.25">
      <c r="A613" s="1">
        <v>1993</v>
      </c>
      <c r="B613" s="1" t="s">
        <v>104</v>
      </c>
      <c r="C613" t="s">
        <v>51</v>
      </c>
      <c r="D613">
        <v>3</v>
      </c>
      <c r="E613">
        <v>85</v>
      </c>
      <c r="F613">
        <v>0.04</v>
      </c>
      <c r="G613">
        <f>(F613/0.6)/4</f>
        <v>1.6666666666666666E-2</v>
      </c>
      <c r="H613">
        <f>G613*(11.5/38.29)</f>
        <v>5.0056585705580223E-3</v>
      </c>
    </row>
    <row r="614" spans="1:8" x14ac:dyDescent="0.25">
      <c r="A614" s="1">
        <v>1993</v>
      </c>
      <c r="B614" s="1" t="s">
        <v>104</v>
      </c>
      <c r="C614" t="s">
        <v>51</v>
      </c>
      <c r="D614">
        <v>3</v>
      </c>
      <c r="E614">
        <v>85</v>
      </c>
      <c r="F614">
        <v>0.04</v>
      </c>
      <c r="G614">
        <f>(F614/0.6)/4</f>
        <v>1.6666666666666666E-2</v>
      </c>
      <c r="H614">
        <f>G614*(11.5/38.29)</f>
        <v>5.0056585705580223E-3</v>
      </c>
    </row>
    <row r="615" spans="1:8" x14ac:dyDescent="0.25">
      <c r="A615" s="1">
        <v>1993</v>
      </c>
      <c r="B615" s="1" t="s">
        <v>104</v>
      </c>
      <c r="C615" t="s">
        <v>51</v>
      </c>
      <c r="D615">
        <v>4</v>
      </c>
      <c r="E615">
        <v>11</v>
      </c>
      <c r="F615">
        <v>0.06</v>
      </c>
      <c r="G615">
        <f>(F615/0.6)/4</f>
        <v>2.5000000000000001E-2</v>
      </c>
      <c r="H615">
        <f>G615*(11.5/38.29)</f>
        <v>7.5084878558370335E-3</v>
      </c>
    </row>
    <row r="616" spans="1:8" x14ac:dyDescent="0.25">
      <c r="A616" s="1">
        <v>1993</v>
      </c>
      <c r="B616" s="1" t="s">
        <v>104</v>
      </c>
      <c r="C616" t="s">
        <v>51</v>
      </c>
      <c r="D616">
        <v>4</v>
      </c>
      <c r="E616">
        <v>29</v>
      </c>
      <c r="F616">
        <v>7.0000000000000007E-2</v>
      </c>
      <c r="G616">
        <f>(F616/0.6)/4</f>
        <v>2.9166666666666671E-2</v>
      </c>
      <c r="H616">
        <f>G616*(11.5/38.29)</f>
        <v>8.7599024984765395E-3</v>
      </c>
    </row>
    <row r="617" spans="1:8" x14ac:dyDescent="0.25">
      <c r="A617" s="1">
        <v>1993</v>
      </c>
      <c r="B617" s="1" t="s">
        <v>104</v>
      </c>
      <c r="C617" t="s">
        <v>51</v>
      </c>
      <c r="D617">
        <v>4</v>
      </c>
      <c r="E617">
        <v>29</v>
      </c>
      <c r="F617">
        <v>0.18</v>
      </c>
      <c r="G617">
        <f>(F617/0.6)/4</f>
        <v>7.4999999999999997E-2</v>
      </c>
      <c r="H617">
        <f>G617*(11.5/38.29)</f>
        <v>2.25254635675111E-2</v>
      </c>
    </row>
    <row r="618" spans="1:8" x14ac:dyDescent="0.25">
      <c r="A618" s="1">
        <v>1993</v>
      </c>
      <c r="B618" s="1" t="s">
        <v>104</v>
      </c>
      <c r="C618" t="s">
        <v>51</v>
      </c>
      <c r="D618">
        <v>4</v>
      </c>
      <c r="E618">
        <v>29</v>
      </c>
      <c r="F618">
        <v>0.43</v>
      </c>
      <c r="G618">
        <f>(F618/0.6)/4</f>
        <v>0.17916666666666667</v>
      </c>
      <c r="H618">
        <f>G618*(11.5/38.29)</f>
        <v>5.3810829633498737E-2</v>
      </c>
    </row>
    <row r="619" spans="1:8" x14ac:dyDescent="0.25">
      <c r="A619" s="1">
        <v>1993</v>
      </c>
      <c r="B619" s="1" t="s">
        <v>104</v>
      </c>
      <c r="C619" t="s">
        <v>51</v>
      </c>
      <c r="D619">
        <v>4</v>
      </c>
      <c r="E619">
        <v>29</v>
      </c>
      <c r="F619">
        <v>0.52</v>
      </c>
      <c r="G619">
        <f>(F619/0.6)/4</f>
        <v>0.21666666666666667</v>
      </c>
      <c r="H619">
        <f>G619*(11.5/38.29)</f>
        <v>6.5073561417254289E-2</v>
      </c>
    </row>
    <row r="620" spans="1:8" x14ac:dyDescent="0.25">
      <c r="A620" s="1">
        <v>1993</v>
      </c>
      <c r="B620" s="1" t="s">
        <v>104</v>
      </c>
      <c r="C620" t="s">
        <v>51</v>
      </c>
      <c r="D620">
        <v>4</v>
      </c>
      <c r="E620">
        <v>29</v>
      </c>
      <c r="F620">
        <v>0.14000000000000001</v>
      </c>
      <c r="G620">
        <f>(F620/0.6)/4</f>
        <v>5.8333333333333341E-2</v>
      </c>
      <c r="H620">
        <f>G620*(11.5/38.29)</f>
        <v>1.7519804996953079E-2</v>
      </c>
    </row>
    <row r="621" spans="1:8" x14ac:dyDescent="0.25">
      <c r="A621" s="1">
        <v>1993</v>
      </c>
      <c r="B621" s="1" t="s">
        <v>104</v>
      </c>
      <c r="C621" t="s">
        <v>51</v>
      </c>
      <c r="D621">
        <v>4</v>
      </c>
      <c r="E621">
        <v>29</v>
      </c>
      <c r="F621">
        <v>0.11</v>
      </c>
      <c r="G621">
        <f>(F621/0.6)/4</f>
        <v>4.5833333333333337E-2</v>
      </c>
      <c r="H621">
        <f>G621*(11.5/38.29)</f>
        <v>1.3765561069034562E-2</v>
      </c>
    </row>
    <row r="622" spans="1:8" x14ac:dyDescent="0.25">
      <c r="A622" s="1">
        <v>1993</v>
      </c>
      <c r="B622" s="1" t="s">
        <v>104</v>
      </c>
      <c r="C622" t="s">
        <v>51</v>
      </c>
      <c r="D622">
        <v>4</v>
      </c>
      <c r="E622">
        <v>29</v>
      </c>
      <c r="F622">
        <v>0.04</v>
      </c>
      <c r="G622">
        <f>(F622/0.6)/4</f>
        <v>1.6666666666666666E-2</v>
      </c>
      <c r="H622">
        <f>G622*(11.5/38.29)</f>
        <v>5.0056585705580223E-3</v>
      </c>
    </row>
    <row r="623" spans="1:8" x14ac:dyDescent="0.25">
      <c r="A623" s="1">
        <v>1993</v>
      </c>
      <c r="B623" s="1" t="s">
        <v>104</v>
      </c>
      <c r="C623" t="s">
        <v>51</v>
      </c>
      <c r="D623">
        <v>4</v>
      </c>
      <c r="E623">
        <v>29</v>
      </c>
      <c r="F623">
        <v>0.2</v>
      </c>
      <c r="G623">
        <f>(F623/0.6)/4</f>
        <v>8.3333333333333343E-2</v>
      </c>
      <c r="H623">
        <f>G623*(11.5/38.29)</f>
        <v>2.5028292852790113E-2</v>
      </c>
    </row>
    <row r="624" spans="1:8" x14ac:dyDescent="0.25">
      <c r="A624" s="1">
        <v>1993</v>
      </c>
      <c r="B624" s="1" t="s">
        <v>104</v>
      </c>
      <c r="C624" t="s">
        <v>51</v>
      </c>
      <c r="D624">
        <v>4</v>
      </c>
      <c r="E624">
        <v>29</v>
      </c>
      <c r="F624">
        <v>7.0000000000000007E-2</v>
      </c>
      <c r="G624">
        <f>(F624/0.6)/4</f>
        <v>2.9166666666666671E-2</v>
      </c>
      <c r="H624">
        <f>G624*(11.5/38.29)</f>
        <v>8.7599024984765395E-3</v>
      </c>
    </row>
    <row r="625" spans="1:8" x14ac:dyDescent="0.25">
      <c r="A625" s="1">
        <v>1993</v>
      </c>
      <c r="B625" s="1" t="s">
        <v>104</v>
      </c>
      <c r="C625" t="s">
        <v>51</v>
      </c>
      <c r="D625">
        <v>4</v>
      </c>
      <c r="E625">
        <v>29</v>
      </c>
      <c r="F625">
        <v>0.06</v>
      </c>
      <c r="G625">
        <f>(F625/0.6)/4</f>
        <v>2.5000000000000001E-2</v>
      </c>
      <c r="H625">
        <f>G625*(11.5/38.29)</f>
        <v>7.5084878558370335E-3</v>
      </c>
    </row>
    <row r="626" spans="1:8" x14ac:dyDescent="0.25">
      <c r="A626" s="1">
        <v>1993</v>
      </c>
      <c r="B626" s="1" t="s">
        <v>104</v>
      </c>
      <c r="C626" t="s">
        <v>51</v>
      </c>
      <c r="D626">
        <v>4</v>
      </c>
      <c r="E626">
        <v>29</v>
      </c>
      <c r="F626">
        <v>0.04</v>
      </c>
      <c r="G626">
        <f>(F626/0.6)/4</f>
        <v>1.6666666666666666E-2</v>
      </c>
      <c r="H626">
        <f>G626*(11.5/38.29)</f>
        <v>5.0056585705580223E-3</v>
      </c>
    </row>
    <row r="627" spans="1:8" x14ac:dyDescent="0.25">
      <c r="A627" s="1">
        <v>1993</v>
      </c>
      <c r="B627" s="1" t="s">
        <v>104</v>
      </c>
      <c r="C627" t="s">
        <v>51</v>
      </c>
      <c r="D627">
        <v>4</v>
      </c>
      <c r="E627">
        <v>29</v>
      </c>
      <c r="F627">
        <v>0.16</v>
      </c>
      <c r="G627">
        <f>(F627/0.6)/4</f>
        <v>6.6666666666666666E-2</v>
      </c>
      <c r="H627">
        <f>G627*(11.5/38.29)</f>
        <v>2.0022634282232089E-2</v>
      </c>
    </row>
    <row r="628" spans="1:8" x14ac:dyDescent="0.25">
      <c r="A628" s="1">
        <v>1993</v>
      </c>
      <c r="B628" s="1" t="s">
        <v>104</v>
      </c>
      <c r="C628" t="s">
        <v>51</v>
      </c>
      <c r="D628">
        <v>4</v>
      </c>
      <c r="E628">
        <v>29</v>
      </c>
      <c r="F628">
        <v>0.27</v>
      </c>
      <c r="G628">
        <f>(F628/0.6)/4</f>
        <v>0.11250000000000002</v>
      </c>
      <c r="H628">
        <f>G628*(11.5/38.29)</f>
        <v>3.3788195351266655E-2</v>
      </c>
    </row>
    <row r="629" spans="1:8" x14ac:dyDescent="0.25">
      <c r="A629" s="1">
        <v>1993</v>
      </c>
      <c r="B629" s="1" t="s">
        <v>104</v>
      </c>
      <c r="C629" t="s">
        <v>51</v>
      </c>
      <c r="D629">
        <v>4</v>
      </c>
      <c r="E629">
        <v>29</v>
      </c>
      <c r="F629">
        <v>0.32</v>
      </c>
      <c r="G629">
        <f>(F629/0.6)/4</f>
        <v>0.13333333333333333</v>
      </c>
      <c r="H629">
        <f>G629*(11.5/38.29)</f>
        <v>4.0045268564464179E-2</v>
      </c>
    </row>
    <row r="630" spans="1:8" x14ac:dyDescent="0.25">
      <c r="A630" s="1">
        <v>1993</v>
      </c>
      <c r="B630" s="1" t="s">
        <v>104</v>
      </c>
      <c r="C630" t="s">
        <v>51</v>
      </c>
      <c r="D630">
        <v>4</v>
      </c>
      <c r="E630">
        <v>29</v>
      </c>
      <c r="F630">
        <v>0.52</v>
      </c>
      <c r="G630">
        <f>(F630/0.6)/4</f>
        <v>0.21666666666666667</v>
      </c>
      <c r="H630">
        <f>G630*(11.5/38.29)</f>
        <v>6.5073561417254289E-2</v>
      </c>
    </row>
    <row r="631" spans="1:8" x14ac:dyDescent="0.25">
      <c r="A631" s="1">
        <v>1993</v>
      </c>
      <c r="B631" s="1" t="s">
        <v>104</v>
      </c>
      <c r="C631" t="s">
        <v>51</v>
      </c>
      <c r="D631">
        <v>4</v>
      </c>
      <c r="E631">
        <v>29</v>
      </c>
      <c r="F631">
        <v>0.42</v>
      </c>
      <c r="G631">
        <f>(F631/0.6)/4</f>
        <v>0.17499999999999999</v>
      </c>
      <c r="H631">
        <f>G631*(11.5/38.29)</f>
        <v>5.2559414990859227E-2</v>
      </c>
    </row>
    <row r="632" spans="1:8" x14ac:dyDescent="0.25">
      <c r="A632" s="1">
        <v>1993</v>
      </c>
      <c r="B632" s="1" t="s">
        <v>104</v>
      </c>
      <c r="C632" t="s">
        <v>51</v>
      </c>
      <c r="D632">
        <v>4</v>
      </c>
      <c r="E632">
        <v>32</v>
      </c>
      <c r="F632">
        <v>0.08</v>
      </c>
      <c r="G632">
        <f>(F632/0.6)/4</f>
        <v>3.3333333333333333E-2</v>
      </c>
      <c r="H632">
        <f>G632*(11.5/38.29)</f>
        <v>1.0011317141116045E-2</v>
      </c>
    </row>
    <row r="633" spans="1:8" x14ac:dyDescent="0.25">
      <c r="A633" s="1">
        <v>1993</v>
      </c>
      <c r="B633" s="1" t="s">
        <v>104</v>
      </c>
      <c r="C633" t="s">
        <v>51</v>
      </c>
      <c r="D633">
        <v>4</v>
      </c>
      <c r="E633">
        <v>32</v>
      </c>
      <c r="F633">
        <v>0.08</v>
      </c>
      <c r="G633">
        <f>(F633/0.6)/4</f>
        <v>3.3333333333333333E-2</v>
      </c>
      <c r="H633">
        <f>G633*(11.5/38.29)</f>
        <v>1.0011317141116045E-2</v>
      </c>
    </row>
    <row r="634" spans="1:8" x14ac:dyDescent="0.25">
      <c r="A634" s="1">
        <v>1993</v>
      </c>
      <c r="B634" s="1" t="s">
        <v>104</v>
      </c>
      <c r="C634" t="s">
        <v>51</v>
      </c>
      <c r="D634">
        <v>4</v>
      </c>
      <c r="E634">
        <v>32</v>
      </c>
      <c r="F634">
        <v>0.05</v>
      </c>
      <c r="G634">
        <f>(F634/0.6)/4</f>
        <v>2.0833333333333336E-2</v>
      </c>
      <c r="H634">
        <f>G634*(11.5/38.29)</f>
        <v>6.2570732131975284E-3</v>
      </c>
    </row>
    <row r="635" spans="1:8" x14ac:dyDescent="0.25">
      <c r="A635" s="1">
        <v>1993</v>
      </c>
      <c r="B635" s="1" t="s">
        <v>104</v>
      </c>
      <c r="C635" t="s">
        <v>51</v>
      </c>
      <c r="D635">
        <v>4</v>
      </c>
      <c r="E635">
        <v>32</v>
      </c>
      <c r="F635">
        <v>0.05</v>
      </c>
      <c r="G635">
        <f>(F635/0.6)/4</f>
        <v>2.0833333333333336E-2</v>
      </c>
      <c r="H635">
        <f>G635*(11.5/38.29)</f>
        <v>6.2570732131975284E-3</v>
      </c>
    </row>
    <row r="636" spans="1:8" x14ac:dyDescent="0.25">
      <c r="A636" s="1">
        <v>1993</v>
      </c>
      <c r="B636" s="1" t="s">
        <v>104</v>
      </c>
      <c r="C636" t="s">
        <v>51</v>
      </c>
      <c r="D636">
        <v>4</v>
      </c>
      <c r="E636">
        <v>32</v>
      </c>
      <c r="F636">
        <v>0.2</v>
      </c>
      <c r="G636">
        <f>(F636/0.6)/4</f>
        <v>8.3333333333333343E-2</v>
      </c>
      <c r="H636">
        <f>G636*(11.5/38.29)</f>
        <v>2.5028292852790113E-2</v>
      </c>
    </row>
    <row r="637" spans="1:8" x14ac:dyDescent="0.25">
      <c r="A637" s="1">
        <v>1993</v>
      </c>
      <c r="B637" s="1" t="s">
        <v>104</v>
      </c>
      <c r="C637" t="s">
        <v>51</v>
      </c>
      <c r="D637">
        <v>4</v>
      </c>
      <c r="E637">
        <v>32</v>
      </c>
      <c r="F637">
        <v>0.06</v>
      </c>
      <c r="G637">
        <f>(F637/0.6)/4</f>
        <v>2.5000000000000001E-2</v>
      </c>
      <c r="H637">
        <f>G637*(11.5/38.29)</f>
        <v>7.5084878558370335E-3</v>
      </c>
    </row>
    <row r="638" spans="1:8" x14ac:dyDescent="0.25">
      <c r="A638" s="1">
        <v>1993</v>
      </c>
      <c r="B638" s="1" t="s">
        <v>104</v>
      </c>
      <c r="C638" t="s">
        <v>51</v>
      </c>
      <c r="D638">
        <v>4</v>
      </c>
      <c r="E638">
        <v>32</v>
      </c>
      <c r="F638">
        <v>0.06</v>
      </c>
      <c r="G638">
        <f>(F638/0.6)/4</f>
        <v>2.5000000000000001E-2</v>
      </c>
      <c r="H638">
        <f>G638*(11.5/38.29)</f>
        <v>7.5084878558370335E-3</v>
      </c>
    </row>
    <row r="639" spans="1:8" x14ac:dyDescent="0.25">
      <c r="A639" s="1">
        <v>1993</v>
      </c>
      <c r="B639" s="1" t="s">
        <v>104</v>
      </c>
      <c r="C639" t="s">
        <v>51</v>
      </c>
      <c r="D639">
        <v>4</v>
      </c>
      <c r="E639">
        <v>32</v>
      </c>
      <c r="F639">
        <v>0.05</v>
      </c>
      <c r="G639">
        <f>(F639/0.6)/4</f>
        <v>2.0833333333333336E-2</v>
      </c>
      <c r="H639">
        <f>G639*(11.5/38.29)</f>
        <v>6.2570732131975284E-3</v>
      </c>
    </row>
    <row r="640" spans="1:8" x14ac:dyDescent="0.25">
      <c r="A640" s="1">
        <v>1993</v>
      </c>
      <c r="B640" s="1" t="s">
        <v>104</v>
      </c>
      <c r="C640" t="s">
        <v>51</v>
      </c>
      <c r="D640">
        <v>4</v>
      </c>
      <c r="E640">
        <v>32</v>
      </c>
      <c r="F640">
        <v>0.06</v>
      </c>
      <c r="G640">
        <f>(F640/0.6)/4</f>
        <v>2.5000000000000001E-2</v>
      </c>
      <c r="H640">
        <f>G640*(11.5/38.29)</f>
        <v>7.5084878558370335E-3</v>
      </c>
    </row>
    <row r="641" spans="1:8" x14ac:dyDescent="0.25">
      <c r="A641" s="1">
        <v>1993</v>
      </c>
      <c r="B641" s="1" t="s">
        <v>104</v>
      </c>
      <c r="C641" t="s">
        <v>51</v>
      </c>
      <c r="D641">
        <v>4</v>
      </c>
      <c r="E641">
        <v>32</v>
      </c>
      <c r="F641">
        <v>0.1</v>
      </c>
      <c r="G641">
        <f>(F641/0.6)/4</f>
        <v>4.1666666666666671E-2</v>
      </c>
      <c r="H641">
        <f>G641*(11.5/38.29)</f>
        <v>1.2514146426395057E-2</v>
      </c>
    </row>
    <row r="642" spans="1:8" x14ac:dyDescent="0.25">
      <c r="A642" s="1">
        <v>1993</v>
      </c>
      <c r="B642" s="1" t="s">
        <v>104</v>
      </c>
      <c r="C642" t="s">
        <v>51</v>
      </c>
      <c r="D642">
        <v>4</v>
      </c>
      <c r="E642">
        <v>32</v>
      </c>
      <c r="F642">
        <v>0.16</v>
      </c>
      <c r="G642">
        <f>(F642/0.6)/4</f>
        <v>6.6666666666666666E-2</v>
      </c>
      <c r="H642">
        <f>G642*(11.5/38.29)</f>
        <v>2.0022634282232089E-2</v>
      </c>
    </row>
    <row r="643" spans="1:8" x14ac:dyDescent="0.25">
      <c r="A643" s="1">
        <v>1993</v>
      </c>
      <c r="B643" s="1" t="s">
        <v>104</v>
      </c>
      <c r="C643" t="s">
        <v>51</v>
      </c>
      <c r="D643">
        <v>4</v>
      </c>
      <c r="E643">
        <v>32</v>
      </c>
      <c r="F643">
        <v>0.06</v>
      </c>
      <c r="G643">
        <f>(F643/0.6)/4</f>
        <v>2.5000000000000001E-2</v>
      </c>
      <c r="H643">
        <f>G643*(11.5/38.29)</f>
        <v>7.5084878558370335E-3</v>
      </c>
    </row>
    <row r="644" spans="1:8" x14ac:dyDescent="0.25">
      <c r="A644" s="1">
        <v>1993</v>
      </c>
      <c r="B644" s="1" t="s">
        <v>104</v>
      </c>
      <c r="C644" t="s">
        <v>51</v>
      </c>
      <c r="D644">
        <v>4</v>
      </c>
      <c r="E644">
        <v>32</v>
      </c>
      <c r="F644">
        <v>0.12</v>
      </c>
      <c r="G644">
        <f>(F644/0.6)/4</f>
        <v>0.05</v>
      </c>
      <c r="H644">
        <f>G644*(11.5/38.29)</f>
        <v>1.5016975711674067E-2</v>
      </c>
    </row>
    <row r="645" spans="1:8" x14ac:dyDescent="0.25">
      <c r="A645" s="1">
        <v>1993</v>
      </c>
      <c r="B645" s="1" t="s">
        <v>104</v>
      </c>
      <c r="C645" t="s">
        <v>51</v>
      </c>
      <c r="D645">
        <v>4</v>
      </c>
      <c r="E645">
        <v>32</v>
      </c>
      <c r="F645">
        <v>0.04</v>
      </c>
      <c r="G645">
        <f>(F645/0.6)/4</f>
        <v>1.6666666666666666E-2</v>
      </c>
      <c r="H645">
        <f>G645*(11.5/38.29)</f>
        <v>5.0056585705580223E-3</v>
      </c>
    </row>
    <row r="646" spans="1:8" x14ac:dyDescent="0.25">
      <c r="A646" s="1">
        <v>1993</v>
      </c>
      <c r="B646" s="1" t="s">
        <v>104</v>
      </c>
      <c r="C646" t="s">
        <v>51</v>
      </c>
      <c r="D646">
        <v>4</v>
      </c>
      <c r="E646">
        <v>32</v>
      </c>
      <c r="F646">
        <v>0.04</v>
      </c>
      <c r="G646">
        <f>(F646/0.6)/4</f>
        <v>1.6666666666666666E-2</v>
      </c>
      <c r="H646">
        <f>G646*(11.5/38.29)</f>
        <v>5.0056585705580223E-3</v>
      </c>
    </row>
    <row r="647" spans="1:8" x14ac:dyDescent="0.25">
      <c r="A647" s="1">
        <v>1993</v>
      </c>
      <c r="B647" s="1" t="s">
        <v>104</v>
      </c>
      <c r="C647" t="s">
        <v>51</v>
      </c>
      <c r="D647">
        <v>4</v>
      </c>
      <c r="E647">
        <v>32</v>
      </c>
      <c r="F647">
        <v>7.0000000000000007E-2</v>
      </c>
      <c r="G647">
        <f>(F647/0.6)/4</f>
        <v>2.9166666666666671E-2</v>
      </c>
      <c r="H647">
        <f>G647*(11.5/38.29)</f>
        <v>8.7599024984765395E-3</v>
      </c>
    </row>
    <row r="648" spans="1:8" x14ac:dyDescent="0.25">
      <c r="A648" s="1">
        <v>1993</v>
      </c>
      <c r="B648" s="1" t="s">
        <v>104</v>
      </c>
      <c r="C648" t="s">
        <v>51</v>
      </c>
      <c r="D648">
        <v>4</v>
      </c>
      <c r="E648">
        <v>32</v>
      </c>
      <c r="F648">
        <v>7.0000000000000007E-2</v>
      </c>
      <c r="G648">
        <f>(F648/0.6)/4</f>
        <v>2.9166666666666671E-2</v>
      </c>
      <c r="H648">
        <f>G648*(11.5/38.29)</f>
        <v>8.7599024984765395E-3</v>
      </c>
    </row>
    <row r="649" spans="1:8" x14ac:dyDescent="0.25">
      <c r="A649" s="1">
        <v>1993</v>
      </c>
      <c r="B649" s="1" t="s">
        <v>104</v>
      </c>
      <c r="C649" t="s">
        <v>51</v>
      </c>
      <c r="D649">
        <v>4</v>
      </c>
      <c r="E649">
        <v>32</v>
      </c>
      <c r="F649">
        <v>0.04</v>
      </c>
      <c r="G649">
        <f>(F649/0.6)/4</f>
        <v>1.6666666666666666E-2</v>
      </c>
      <c r="H649">
        <f>G649*(11.5/38.29)</f>
        <v>5.0056585705580223E-3</v>
      </c>
    </row>
    <row r="650" spans="1:8" x14ac:dyDescent="0.25">
      <c r="A650" s="1">
        <v>1993</v>
      </c>
      <c r="B650" s="1" t="s">
        <v>104</v>
      </c>
      <c r="C650" t="s">
        <v>51</v>
      </c>
      <c r="D650">
        <v>4</v>
      </c>
      <c r="E650">
        <v>32</v>
      </c>
      <c r="F650">
        <v>7.0000000000000007E-2</v>
      </c>
      <c r="G650">
        <f>(F650/0.6)/4</f>
        <v>2.9166666666666671E-2</v>
      </c>
      <c r="H650">
        <f>G650*(11.5/38.29)</f>
        <v>8.7599024984765395E-3</v>
      </c>
    </row>
    <row r="651" spans="1:8" x14ac:dyDescent="0.25">
      <c r="A651" s="1">
        <v>1993</v>
      </c>
      <c r="B651" s="1" t="s">
        <v>104</v>
      </c>
      <c r="C651" t="s">
        <v>51</v>
      </c>
      <c r="D651">
        <v>4</v>
      </c>
      <c r="E651">
        <v>32</v>
      </c>
      <c r="F651">
        <v>0.1</v>
      </c>
      <c r="G651">
        <f>(F651/0.6)/4</f>
        <v>4.1666666666666671E-2</v>
      </c>
      <c r="H651">
        <f>G651*(11.5/38.29)</f>
        <v>1.2514146426395057E-2</v>
      </c>
    </row>
    <row r="652" spans="1:8" x14ac:dyDescent="0.25">
      <c r="A652" s="1">
        <v>1993</v>
      </c>
      <c r="B652" s="1" t="s">
        <v>104</v>
      </c>
      <c r="C652" t="s">
        <v>51</v>
      </c>
      <c r="D652">
        <v>4</v>
      </c>
      <c r="E652">
        <v>32</v>
      </c>
      <c r="F652">
        <v>0.04</v>
      </c>
      <c r="G652">
        <f>(F652/0.6)/4</f>
        <v>1.6666666666666666E-2</v>
      </c>
      <c r="H652">
        <f>G652*(11.5/38.29)</f>
        <v>5.0056585705580223E-3</v>
      </c>
    </row>
    <row r="653" spans="1:8" x14ac:dyDescent="0.25">
      <c r="A653" s="1">
        <v>1993</v>
      </c>
      <c r="B653" s="1" t="s">
        <v>104</v>
      </c>
      <c r="C653" t="s">
        <v>51</v>
      </c>
      <c r="D653">
        <v>4</v>
      </c>
      <c r="E653">
        <v>32</v>
      </c>
      <c r="F653">
        <v>7.0000000000000007E-2</v>
      </c>
      <c r="G653">
        <f>(F653/0.6)/4</f>
        <v>2.9166666666666671E-2</v>
      </c>
      <c r="H653">
        <f>G653*(11.5/38.29)</f>
        <v>8.7599024984765395E-3</v>
      </c>
    </row>
    <row r="654" spans="1:8" x14ac:dyDescent="0.25">
      <c r="A654" s="1">
        <v>1993</v>
      </c>
      <c r="B654" s="1" t="s">
        <v>104</v>
      </c>
      <c r="C654" t="s">
        <v>51</v>
      </c>
      <c r="D654">
        <v>4</v>
      </c>
      <c r="E654">
        <v>32</v>
      </c>
      <c r="F654">
        <v>0.05</v>
      </c>
      <c r="G654">
        <f>(F654/0.6)/4</f>
        <v>2.0833333333333336E-2</v>
      </c>
      <c r="H654">
        <f>G654*(11.5/38.29)</f>
        <v>6.2570732131975284E-3</v>
      </c>
    </row>
    <row r="655" spans="1:8" x14ac:dyDescent="0.25">
      <c r="A655" s="1">
        <v>1993</v>
      </c>
      <c r="B655" s="1" t="s">
        <v>104</v>
      </c>
      <c r="C655" t="s">
        <v>51</v>
      </c>
      <c r="D655">
        <v>4</v>
      </c>
      <c r="E655">
        <v>32</v>
      </c>
      <c r="F655">
        <v>0.11</v>
      </c>
      <c r="G655">
        <f>(F655/0.6)/4</f>
        <v>4.5833333333333337E-2</v>
      </c>
      <c r="H655">
        <f>G655*(11.5/38.29)</f>
        <v>1.3765561069034562E-2</v>
      </c>
    </row>
    <row r="656" spans="1:8" x14ac:dyDescent="0.25">
      <c r="A656" s="1">
        <v>1993</v>
      </c>
      <c r="B656" s="1" t="s">
        <v>104</v>
      </c>
      <c r="C656" t="s">
        <v>51</v>
      </c>
      <c r="D656">
        <v>4</v>
      </c>
      <c r="E656">
        <v>32</v>
      </c>
      <c r="F656">
        <v>0.04</v>
      </c>
      <c r="G656">
        <f>(F656/0.6)/4</f>
        <v>1.6666666666666666E-2</v>
      </c>
      <c r="H656">
        <f>G656*(11.5/38.29)</f>
        <v>5.0056585705580223E-3</v>
      </c>
    </row>
    <row r="657" spans="1:8" x14ac:dyDescent="0.25">
      <c r="A657" s="1">
        <v>1993</v>
      </c>
      <c r="B657" s="1" t="s">
        <v>104</v>
      </c>
      <c r="C657" t="s">
        <v>51</v>
      </c>
      <c r="D657">
        <v>4</v>
      </c>
      <c r="E657">
        <v>32</v>
      </c>
      <c r="F657">
        <v>0.11</v>
      </c>
      <c r="G657">
        <f>(F657/0.6)/4</f>
        <v>4.5833333333333337E-2</v>
      </c>
      <c r="H657">
        <f>G657*(11.5/38.29)</f>
        <v>1.3765561069034562E-2</v>
      </c>
    </row>
    <row r="658" spans="1:8" x14ac:dyDescent="0.25">
      <c r="A658" s="1">
        <v>1993</v>
      </c>
      <c r="B658" s="1" t="s">
        <v>104</v>
      </c>
      <c r="C658" t="s">
        <v>51</v>
      </c>
      <c r="D658">
        <v>4</v>
      </c>
      <c r="E658">
        <v>32</v>
      </c>
      <c r="F658">
        <v>0.04</v>
      </c>
      <c r="G658">
        <f>(F658/0.6)/4</f>
        <v>1.6666666666666666E-2</v>
      </c>
      <c r="H658">
        <f>G658*(11.5/38.29)</f>
        <v>5.0056585705580223E-3</v>
      </c>
    </row>
    <row r="659" spans="1:8" x14ac:dyDescent="0.25">
      <c r="A659" s="1">
        <v>1993</v>
      </c>
      <c r="B659" s="1" t="s">
        <v>104</v>
      </c>
      <c r="C659" t="s">
        <v>51</v>
      </c>
      <c r="D659">
        <v>4</v>
      </c>
      <c r="E659">
        <v>32</v>
      </c>
      <c r="F659">
        <v>0.03</v>
      </c>
      <c r="G659">
        <f>(F659/0.6)/4</f>
        <v>1.2500000000000001E-2</v>
      </c>
      <c r="H659">
        <f>G659*(11.5/38.29)</f>
        <v>3.7542439279185168E-3</v>
      </c>
    </row>
    <row r="660" spans="1:8" x14ac:dyDescent="0.25">
      <c r="A660" s="1">
        <v>1993</v>
      </c>
      <c r="B660" s="1" t="s">
        <v>104</v>
      </c>
      <c r="C660" t="s">
        <v>51</v>
      </c>
      <c r="D660">
        <v>4</v>
      </c>
      <c r="E660">
        <v>32</v>
      </c>
      <c r="F660">
        <v>0.04</v>
      </c>
      <c r="G660">
        <f>(F660/0.6)/4</f>
        <v>1.6666666666666666E-2</v>
      </c>
      <c r="H660">
        <f>G660*(11.5/38.29)</f>
        <v>5.0056585705580223E-3</v>
      </c>
    </row>
    <row r="661" spans="1:8" x14ac:dyDescent="0.25">
      <c r="A661" s="1">
        <v>1993</v>
      </c>
      <c r="B661" s="1" t="s">
        <v>104</v>
      </c>
      <c r="C661" t="s">
        <v>51</v>
      </c>
      <c r="D661">
        <v>4</v>
      </c>
      <c r="E661">
        <v>32</v>
      </c>
      <c r="F661">
        <v>0.1</v>
      </c>
      <c r="G661">
        <f>(F661/0.6)/4</f>
        <v>4.1666666666666671E-2</v>
      </c>
      <c r="H661">
        <f>G661*(11.5/38.29)</f>
        <v>1.2514146426395057E-2</v>
      </c>
    </row>
    <row r="662" spans="1:8" x14ac:dyDescent="0.25">
      <c r="A662" s="1">
        <v>1993</v>
      </c>
      <c r="B662" s="1" t="s">
        <v>104</v>
      </c>
      <c r="C662" t="s">
        <v>51</v>
      </c>
      <c r="D662">
        <v>4</v>
      </c>
      <c r="E662">
        <v>32</v>
      </c>
      <c r="F662">
        <v>0.03</v>
      </c>
      <c r="G662">
        <f>(F662/0.6)/4</f>
        <v>1.2500000000000001E-2</v>
      </c>
      <c r="H662">
        <f>G662*(11.5/38.29)</f>
        <v>3.7542439279185168E-3</v>
      </c>
    </row>
    <row r="663" spans="1:8" x14ac:dyDescent="0.25">
      <c r="A663" s="1">
        <v>1993</v>
      </c>
      <c r="B663" s="1" t="s">
        <v>104</v>
      </c>
      <c r="C663" t="s">
        <v>51</v>
      </c>
      <c r="D663">
        <v>4</v>
      </c>
      <c r="E663">
        <v>32</v>
      </c>
      <c r="F663">
        <v>0.04</v>
      </c>
      <c r="G663">
        <f>(F663/0.6)/4</f>
        <v>1.6666666666666666E-2</v>
      </c>
      <c r="H663">
        <f>G663*(11.5/38.29)</f>
        <v>5.0056585705580223E-3</v>
      </c>
    </row>
    <row r="664" spans="1:8" x14ac:dyDescent="0.25">
      <c r="A664" s="1">
        <v>1993</v>
      </c>
      <c r="B664" s="1" t="s">
        <v>104</v>
      </c>
      <c r="C664" t="s">
        <v>51</v>
      </c>
      <c r="D664">
        <v>4</v>
      </c>
      <c r="E664">
        <v>32</v>
      </c>
      <c r="F664">
        <v>0.04</v>
      </c>
      <c r="G664">
        <f>(F664/0.6)/4</f>
        <v>1.6666666666666666E-2</v>
      </c>
      <c r="H664">
        <f>G664*(11.5/38.29)</f>
        <v>5.0056585705580223E-3</v>
      </c>
    </row>
    <row r="665" spans="1:8" x14ac:dyDescent="0.25">
      <c r="A665" s="1">
        <v>1993</v>
      </c>
      <c r="B665" s="1" t="s">
        <v>104</v>
      </c>
      <c r="C665" t="s">
        <v>51</v>
      </c>
      <c r="D665">
        <v>4</v>
      </c>
      <c r="E665">
        <v>32</v>
      </c>
      <c r="F665">
        <v>0.05</v>
      </c>
      <c r="G665">
        <f>(F665/0.6)/4</f>
        <v>2.0833333333333336E-2</v>
      </c>
      <c r="H665">
        <f>G665*(11.5/38.29)</f>
        <v>6.2570732131975284E-3</v>
      </c>
    </row>
    <row r="666" spans="1:8" x14ac:dyDescent="0.25">
      <c r="A666" s="1">
        <v>1993</v>
      </c>
      <c r="B666" s="1" t="s">
        <v>104</v>
      </c>
      <c r="C666" t="s">
        <v>51</v>
      </c>
      <c r="D666">
        <v>4</v>
      </c>
      <c r="E666">
        <v>32</v>
      </c>
      <c r="F666">
        <v>0.04</v>
      </c>
      <c r="G666">
        <f>(F666/0.6)/4</f>
        <v>1.6666666666666666E-2</v>
      </c>
      <c r="H666">
        <f>G666*(11.5/38.29)</f>
        <v>5.0056585705580223E-3</v>
      </c>
    </row>
    <row r="667" spans="1:8" x14ac:dyDescent="0.25">
      <c r="A667" s="1">
        <v>1993</v>
      </c>
      <c r="B667" s="1" t="s">
        <v>104</v>
      </c>
      <c r="C667" t="s">
        <v>51</v>
      </c>
      <c r="D667">
        <v>4</v>
      </c>
      <c r="E667">
        <v>32</v>
      </c>
      <c r="F667">
        <v>0.09</v>
      </c>
      <c r="G667">
        <f>(F667/0.6)/4</f>
        <v>3.7499999999999999E-2</v>
      </c>
      <c r="H667">
        <f>G667*(11.5/38.29)</f>
        <v>1.126273178375555E-2</v>
      </c>
    </row>
    <row r="668" spans="1:8" x14ac:dyDescent="0.25">
      <c r="A668" s="1">
        <v>1993</v>
      </c>
      <c r="B668" s="1" t="s">
        <v>104</v>
      </c>
      <c r="C668" t="s">
        <v>51</v>
      </c>
      <c r="D668">
        <v>4</v>
      </c>
      <c r="E668">
        <v>32</v>
      </c>
      <c r="F668">
        <v>0.38</v>
      </c>
      <c r="G668">
        <f>(F668/0.6)/4</f>
        <v>0.15833333333333335</v>
      </c>
      <c r="H668">
        <f>G668*(11.5/38.29)</f>
        <v>4.7553756420301213E-2</v>
      </c>
    </row>
    <row r="669" spans="1:8" x14ac:dyDescent="0.25">
      <c r="A669" s="1">
        <v>1993</v>
      </c>
      <c r="B669" s="1" t="s">
        <v>104</v>
      </c>
      <c r="C669" t="s">
        <v>51</v>
      </c>
      <c r="D669">
        <v>4</v>
      </c>
      <c r="E669">
        <v>32</v>
      </c>
      <c r="F669">
        <v>0.09</v>
      </c>
      <c r="G669">
        <f>(F669/0.6)/4</f>
        <v>3.7499999999999999E-2</v>
      </c>
      <c r="H669">
        <f>G669*(11.5/38.29)</f>
        <v>1.126273178375555E-2</v>
      </c>
    </row>
    <row r="670" spans="1:8" x14ac:dyDescent="0.25">
      <c r="A670" s="1">
        <v>1993</v>
      </c>
      <c r="B670" s="1" t="s">
        <v>104</v>
      </c>
      <c r="C670" t="s">
        <v>51</v>
      </c>
      <c r="D670">
        <v>4</v>
      </c>
      <c r="E670">
        <v>32</v>
      </c>
      <c r="F670">
        <v>0.08</v>
      </c>
      <c r="G670">
        <f>(F670/0.6)/4</f>
        <v>3.3333333333333333E-2</v>
      </c>
      <c r="H670">
        <f>G670*(11.5/38.29)</f>
        <v>1.0011317141116045E-2</v>
      </c>
    </row>
    <row r="671" spans="1:8" x14ac:dyDescent="0.25">
      <c r="A671" s="1">
        <v>1993</v>
      </c>
      <c r="B671" s="1" t="s">
        <v>104</v>
      </c>
      <c r="C671" t="s">
        <v>51</v>
      </c>
      <c r="D671">
        <v>4</v>
      </c>
      <c r="E671">
        <v>32</v>
      </c>
      <c r="F671">
        <v>0.04</v>
      </c>
      <c r="G671">
        <f>(F671/0.6)/4</f>
        <v>1.6666666666666666E-2</v>
      </c>
      <c r="H671">
        <f>G671*(11.5/38.29)</f>
        <v>5.0056585705580223E-3</v>
      </c>
    </row>
    <row r="672" spans="1:8" x14ac:dyDescent="0.25">
      <c r="A672" s="1">
        <v>1993</v>
      </c>
      <c r="B672" s="1" t="s">
        <v>104</v>
      </c>
      <c r="C672" t="s">
        <v>51</v>
      </c>
      <c r="D672">
        <v>4</v>
      </c>
      <c r="E672">
        <v>32</v>
      </c>
      <c r="F672">
        <v>0.04</v>
      </c>
      <c r="G672">
        <f>(F672/0.6)/4</f>
        <v>1.6666666666666666E-2</v>
      </c>
      <c r="H672">
        <f>G672*(11.5/38.29)</f>
        <v>5.0056585705580223E-3</v>
      </c>
    </row>
    <row r="673" spans="1:8" x14ac:dyDescent="0.25">
      <c r="A673" s="1">
        <v>1993</v>
      </c>
      <c r="B673" s="1" t="s">
        <v>104</v>
      </c>
      <c r="C673" t="s">
        <v>51</v>
      </c>
      <c r="D673">
        <v>4</v>
      </c>
      <c r="E673">
        <v>32</v>
      </c>
      <c r="F673">
        <v>7.0000000000000007E-2</v>
      </c>
      <c r="G673">
        <f>(F673/0.6)/4</f>
        <v>2.9166666666666671E-2</v>
      </c>
      <c r="H673">
        <f>G673*(11.5/38.29)</f>
        <v>8.7599024984765395E-3</v>
      </c>
    </row>
    <row r="674" spans="1:8" x14ac:dyDescent="0.25">
      <c r="A674" s="1">
        <v>1993</v>
      </c>
      <c r="B674" s="1" t="s">
        <v>104</v>
      </c>
      <c r="C674" t="s">
        <v>51</v>
      </c>
      <c r="D674">
        <v>4</v>
      </c>
      <c r="E674">
        <v>32</v>
      </c>
      <c r="F674">
        <v>0.16</v>
      </c>
      <c r="G674">
        <f>(F674/0.6)/4</f>
        <v>6.6666666666666666E-2</v>
      </c>
      <c r="H674">
        <f>G674*(11.5/38.29)</f>
        <v>2.0022634282232089E-2</v>
      </c>
    </row>
    <row r="675" spans="1:8" x14ac:dyDescent="0.25">
      <c r="A675" s="1">
        <v>1993</v>
      </c>
      <c r="B675" s="1" t="s">
        <v>104</v>
      </c>
      <c r="C675" t="s">
        <v>51</v>
      </c>
      <c r="D675">
        <v>4</v>
      </c>
      <c r="E675">
        <v>32</v>
      </c>
      <c r="F675">
        <v>0.08</v>
      </c>
      <c r="G675">
        <f>(F675/0.6)/4</f>
        <v>3.3333333333333333E-2</v>
      </c>
      <c r="H675">
        <f>G675*(11.5/38.29)</f>
        <v>1.0011317141116045E-2</v>
      </c>
    </row>
    <row r="676" spans="1:8" x14ac:dyDescent="0.25">
      <c r="A676" s="1">
        <v>1993</v>
      </c>
      <c r="B676" s="1" t="s">
        <v>104</v>
      </c>
      <c r="C676" t="s">
        <v>51</v>
      </c>
      <c r="D676">
        <v>4</v>
      </c>
      <c r="E676">
        <v>32</v>
      </c>
      <c r="F676">
        <v>0.05</v>
      </c>
      <c r="G676">
        <f>(F676/0.6)/4</f>
        <v>2.0833333333333336E-2</v>
      </c>
      <c r="H676">
        <f>G676*(11.5/38.29)</f>
        <v>6.2570732131975284E-3</v>
      </c>
    </row>
    <row r="677" spans="1:8" x14ac:dyDescent="0.25">
      <c r="A677" s="1">
        <v>1993</v>
      </c>
      <c r="B677" s="1" t="s">
        <v>104</v>
      </c>
      <c r="C677" t="s">
        <v>51</v>
      </c>
      <c r="D677">
        <v>4</v>
      </c>
      <c r="E677">
        <v>32</v>
      </c>
      <c r="F677">
        <v>0.08</v>
      </c>
      <c r="G677">
        <f>(F677/0.6)/4</f>
        <v>3.3333333333333333E-2</v>
      </c>
      <c r="H677">
        <f>G677*(11.5/38.29)</f>
        <v>1.0011317141116045E-2</v>
      </c>
    </row>
    <row r="678" spans="1:8" x14ac:dyDescent="0.25">
      <c r="A678" s="1">
        <v>1993</v>
      </c>
      <c r="B678" s="1" t="s">
        <v>104</v>
      </c>
      <c r="C678" t="s">
        <v>51</v>
      </c>
      <c r="D678">
        <v>4</v>
      </c>
      <c r="E678">
        <v>32</v>
      </c>
      <c r="F678">
        <v>7.0000000000000007E-2</v>
      </c>
      <c r="G678">
        <f>(F678/0.6)/4</f>
        <v>2.9166666666666671E-2</v>
      </c>
      <c r="H678">
        <f>G678*(11.5/38.29)</f>
        <v>8.7599024984765395E-3</v>
      </c>
    </row>
    <row r="679" spans="1:8" x14ac:dyDescent="0.25">
      <c r="A679" s="1">
        <v>1993</v>
      </c>
      <c r="B679" s="1" t="s">
        <v>104</v>
      </c>
      <c r="C679" t="s">
        <v>51</v>
      </c>
      <c r="D679">
        <v>4</v>
      </c>
      <c r="E679">
        <v>32</v>
      </c>
      <c r="F679">
        <v>0.05</v>
      </c>
      <c r="G679">
        <f>(F679/0.6)/4</f>
        <v>2.0833333333333336E-2</v>
      </c>
      <c r="H679">
        <f>G679*(11.5/38.29)</f>
        <v>6.2570732131975284E-3</v>
      </c>
    </row>
    <row r="680" spans="1:8" x14ac:dyDescent="0.25">
      <c r="A680" s="1">
        <v>1993</v>
      </c>
      <c r="B680" s="1" t="s">
        <v>104</v>
      </c>
      <c r="C680" t="s">
        <v>51</v>
      </c>
      <c r="D680">
        <v>4</v>
      </c>
      <c r="E680">
        <v>32</v>
      </c>
      <c r="F680">
        <v>0.03</v>
      </c>
      <c r="G680">
        <f>(F680/0.6)/4</f>
        <v>1.2500000000000001E-2</v>
      </c>
      <c r="H680">
        <f>G680*(11.5/38.29)</f>
        <v>3.7542439279185168E-3</v>
      </c>
    </row>
    <row r="681" spans="1:8" x14ac:dyDescent="0.25">
      <c r="A681" s="1">
        <v>1993</v>
      </c>
      <c r="B681" s="1" t="s">
        <v>104</v>
      </c>
      <c r="C681" t="s">
        <v>51</v>
      </c>
      <c r="D681">
        <v>4</v>
      </c>
      <c r="E681">
        <v>32</v>
      </c>
      <c r="F681">
        <v>0.08</v>
      </c>
      <c r="G681">
        <f>(F681/0.6)/4</f>
        <v>3.3333333333333333E-2</v>
      </c>
      <c r="H681">
        <f>G681*(11.5/38.29)</f>
        <v>1.0011317141116045E-2</v>
      </c>
    </row>
    <row r="682" spans="1:8" x14ac:dyDescent="0.25">
      <c r="A682" s="1">
        <v>1993</v>
      </c>
      <c r="B682" s="1" t="s">
        <v>104</v>
      </c>
      <c r="C682" t="s">
        <v>51</v>
      </c>
      <c r="D682">
        <v>4</v>
      </c>
      <c r="E682">
        <v>32</v>
      </c>
      <c r="F682">
        <v>7.0000000000000007E-2</v>
      </c>
      <c r="G682">
        <f>(F682/0.6)/4</f>
        <v>2.9166666666666671E-2</v>
      </c>
      <c r="H682">
        <f>G682*(11.5/38.29)</f>
        <v>8.7599024984765395E-3</v>
      </c>
    </row>
    <row r="683" spans="1:8" x14ac:dyDescent="0.25">
      <c r="A683" s="1">
        <v>1993</v>
      </c>
      <c r="B683" s="1" t="s">
        <v>104</v>
      </c>
      <c r="C683" t="s">
        <v>51</v>
      </c>
      <c r="D683">
        <v>4</v>
      </c>
      <c r="E683">
        <v>32</v>
      </c>
      <c r="F683">
        <v>0.11</v>
      </c>
      <c r="G683">
        <f>(F683/0.6)/4</f>
        <v>4.5833333333333337E-2</v>
      </c>
      <c r="H683">
        <f>G683*(11.5/38.29)</f>
        <v>1.3765561069034562E-2</v>
      </c>
    </row>
    <row r="684" spans="1:8" x14ac:dyDescent="0.25">
      <c r="A684" s="1">
        <v>1993</v>
      </c>
      <c r="B684" s="1" t="s">
        <v>104</v>
      </c>
      <c r="C684" t="s">
        <v>51</v>
      </c>
      <c r="D684">
        <v>4</v>
      </c>
      <c r="E684">
        <v>32</v>
      </c>
      <c r="F684">
        <v>0.03</v>
      </c>
      <c r="G684">
        <f>(F684/0.6)/4</f>
        <v>1.2500000000000001E-2</v>
      </c>
      <c r="H684">
        <f>G684*(11.5/38.29)</f>
        <v>3.7542439279185168E-3</v>
      </c>
    </row>
    <row r="685" spans="1:8" x14ac:dyDescent="0.25">
      <c r="A685" s="1">
        <v>1993</v>
      </c>
      <c r="B685" s="1" t="s">
        <v>104</v>
      </c>
      <c r="C685" t="s">
        <v>51</v>
      </c>
      <c r="D685">
        <v>4</v>
      </c>
      <c r="E685">
        <v>32</v>
      </c>
      <c r="F685">
        <v>7.0000000000000007E-2</v>
      </c>
      <c r="G685">
        <f>(F685/0.6)/4</f>
        <v>2.9166666666666671E-2</v>
      </c>
      <c r="H685">
        <f>G685*(11.5/38.29)</f>
        <v>8.7599024984765395E-3</v>
      </c>
    </row>
    <row r="686" spans="1:8" x14ac:dyDescent="0.25">
      <c r="A686" s="1">
        <v>1993</v>
      </c>
      <c r="B686" s="1" t="s">
        <v>104</v>
      </c>
      <c r="C686" t="s">
        <v>51</v>
      </c>
      <c r="D686">
        <v>4</v>
      </c>
      <c r="E686">
        <v>32</v>
      </c>
      <c r="F686">
        <v>0.06</v>
      </c>
      <c r="G686">
        <f>(F686/0.6)/4</f>
        <v>2.5000000000000001E-2</v>
      </c>
      <c r="H686">
        <f>G686*(11.5/38.29)</f>
        <v>7.5084878558370335E-3</v>
      </c>
    </row>
    <row r="687" spans="1:8" x14ac:dyDescent="0.25">
      <c r="A687" s="1">
        <v>1993</v>
      </c>
      <c r="B687" s="1" t="s">
        <v>104</v>
      </c>
      <c r="C687" t="s">
        <v>51</v>
      </c>
      <c r="D687">
        <v>4</v>
      </c>
      <c r="E687">
        <v>32</v>
      </c>
      <c r="F687">
        <v>0.47</v>
      </c>
      <c r="G687">
        <f>(F687/0.6)/4</f>
        <v>0.19583333333333333</v>
      </c>
      <c r="H687">
        <f>G687*(11.5/38.29)</f>
        <v>5.8816488204056758E-2</v>
      </c>
    </row>
    <row r="688" spans="1:8" x14ac:dyDescent="0.25">
      <c r="A688" s="1">
        <v>1993</v>
      </c>
      <c r="B688" s="1" t="s">
        <v>104</v>
      </c>
      <c r="C688" t="s">
        <v>51</v>
      </c>
      <c r="D688">
        <v>4</v>
      </c>
      <c r="E688">
        <v>32</v>
      </c>
      <c r="F688">
        <v>7.0000000000000007E-2</v>
      </c>
      <c r="G688">
        <f>(F688/0.6)/4</f>
        <v>2.9166666666666671E-2</v>
      </c>
      <c r="H688">
        <f>G688*(11.5/38.29)</f>
        <v>8.7599024984765395E-3</v>
      </c>
    </row>
    <row r="689" spans="1:8" x14ac:dyDescent="0.25">
      <c r="A689" s="1">
        <v>1993</v>
      </c>
      <c r="B689" s="1" t="s">
        <v>104</v>
      </c>
      <c r="C689" t="s">
        <v>51</v>
      </c>
      <c r="D689">
        <v>4</v>
      </c>
      <c r="E689">
        <v>32</v>
      </c>
      <c r="F689">
        <v>7.0000000000000007E-2</v>
      </c>
      <c r="G689">
        <f>(F689/0.6)/4</f>
        <v>2.9166666666666671E-2</v>
      </c>
      <c r="H689">
        <f>G689*(11.5/38.29)</f>
        <v>8.7599024984765395E-3</v>
      </c>
    </row>
    <row r="690" spans="1:8" x14ac:dyDescent="0.25">
      <c r="A690" s="1">
        <v>1993</v>
      </c>
      <c r="B690" s="1" t="s">
        <v>104</v>
      </c>
      <c r="C690" t="s">
        <v>51</v>
      </c>
      <c r="D690">
        <v>4</v>
      </c>
      <c r="E690">
        <v>34</v>
      </c>
      <c r="F690">
        <v>0.18</v>
      </c>
      <c r="G690">
        <f>(F690/0.6)/4</f>
        <v>7.4999999999999997E-2</v>
      </c>
      <c r="H690">
        <f>G690*(11.5/38.29)</f>
        <v>2.25254635675111E-2</v>
      </c>
    </row>
    <row r="691" spans="1:8" x14ac:dyDescent="0.25">
      <c r="A691" s="1">
        <v>1993</v>
      </c>
      <c r="B691" s="1" t="s">
        <v>104</v>
      </c>
      <c r="C691" t="s">
        <v>51</v>
      </c>
      <c r="D691">
        <v>4</v>
      </c>
      <c r="E691">
        <v>34</v>
      </c>
      <c r="F691">
        <v>0.55000000000000004</v>
      </c>
      <c r="G691">
        <f>(F691/0.6)/4</f>
        <v>0.22916666666666669</v>
      </c>
      <c r="H691">
        <f>G691*(11.5/38.29)</f>
        <v>6.8827805345172813E-2</v>
      </c>
    </row>
    <row r="692" spans="1:8" x14ac:dyDescent="0.25">
      <c r="A692" s="1">
        <v>1993</v>
      </c>
      <c r="B692" s="1" t="s">
        <v>104</v>
      </c>
      <c r="C692" t="s">
        <v>51</v>
      </c>
      <c r="D692">
        <v>4</v>
      </c>
      <c r="E692">
        <v>34</v>
      </c>
      <c r="F692">
        <v>0.53</v>
      </c>
      <c r="G692">
        <f>(F692/0.6)/4</f>
        <v>0.22083333333333335</v>
      </c>
      <c r="H692">
        <f>G692*(11.5/38.29)</f>
        <v>6.6324976059893792E-2</v>
      </c>
    </row>
    <row r="693" spans="1:8" x14ac:dyDescent="0.25">
      <c r="A693" s="1">
        <v>1993</v>
      </c>
      <c r="B693" s="1" t="s">
        <v>104</v>
      </c>
      <c r="C693" t="s">
        <v>51</v>
      </c>
      <c r="D693">
        <v>4</v>
      </c>
      <c r="E693">
        <v>34</v>
      </c>
      <c r="F693">
        <v>0.75</v>
      </c>
      <c r="G693">
        <f>(F693/0.6)/4</f>
        <v>0.3125</v>
      </c>
      <c r="H693">
        <f>G693*(11.5/38.29)</f>
        <v>9.3856098197962909E-2</v>
      </c>
    </row>
    <row r="694" spans="1:8" x14ac:dyDescent="0.25">
      <c r="A694" s="1">
        <v>1993</v>
      </c>
      <c r="B694" s="1" t="s">
        <v>104</v>
      </c>
      <c r="C694" t="s">
        <v>51</v>
      </c>
      <c r="D694">
        <v>4</v>
      </c>
      <c r="E694">
        <v>38</v>
      </c>
      <c r="F694">
        <v>1.85</v>
      </c>
      <c r="G694">
        <f>(F694/0.6)/4</f>
        <v>0.77083333333333337</v>
      </c>
      <c r="H694">
        <f>G694*(11.5/38.29)</f>
        <v>0.23151170888830852</v>
      </c>
    </row>
    <row r="695" spans="1:8" x14ac:dyDescent="0.25">
      <c r="A695" s="1">
        <v>1993</v>
      </c>
      <c r="B695" s="1" t="s">
        <v>104</v>
      </c>
      <c r="C695" t="s">
        <v>51</v>
      </c>
      <c r="D695">
        <v>4</v>
      </c>
      <c r="E695">
        <v>38</v>
      </c>
      <c r="F695">
        <v>0.24</v>
      </c>
      <c r="G695">
        <f>(F695/0.6)/4</f>
        <v>0.1</v>
      </c>
      <c r="H695">
        <f>G695*(11.5/38.29)</f>
        <v>3.0033951423348134E-2</v>
      </c>
    </row>
    <row r="696" spans="1:8" x14ac:dyDescent="0.25">
      <c r="A696" s="1">
        <v>1993</v>
      </c>
      <c r="B696" s="1" t="s">
        <v>104</v>
      </c>
      <c r="C696" t="s">
        <v>51</v>
      </c>
      <c r="D696">
        <v>4</v>
      </c>
      <c r="E696">
        <v>38</v>
      </c>
      <c r="F696">
        <v>2.0699999999999998</v>
      </c>
      <c r="G696">
        <f>(F696/0.6)/4</f>
        <v>0.86249999999999993</v>
      </c>
      <c r="H696">
        <f>G696*(11.5/38.29)</f>
        <v>0.2590428310263776</v>
      </c>
    </row>
    <row r="697" spans="1:8" x14ac:dyDescent="0.25">
      <c r="A697" s="1">
        <v>1993</v>
      </c>
      <c r="B697" s="1" t="s">
        <v>104</v>
      </c>
      <c r="C697" t="s">
        <v>51</v>
      </c>
      <c r="D697">
        <v>4</v>
      </c>
      <c r="E697">
        <v>38</v>
      </c>
      <c r="F697">
        <v>2.69</v>
      </c>
      <c r="G697">
        <f>(F697/0.6)/4</f>
        <v>1.1208333333333333</v>
      </c>
      <c r="H697">
        <f>G697*(11.5/38.29)</f>
        <v>0.33663053887002697</v>
      </c>
    </row>
    <row r="698" spans="1:8" x14ac:dyDescent="0.25">
      <c r="A698" s="1">
        <v>1993</v>
      </c>
      <c r="B698" s="1" t="s">
        <v>104</v>
      </c>
      <c r="C698" t="s">
        <v>51</v>
      </c>
      <c r="D698">
        <v>4</v>
      </c>
      <c r="E698">
        <v>38</v>
      </c>
      <c r="F698">
        <v>1.45</v>
      </c>
      <c r="G698">
        <f>(F698/0.6)/4</f>
        <v>0.60416666666666663</v>
      </c>
      <c r="H698">
        <f>G698*(11.5/38.29)</f>
        <v>0.18145512318272827</v>
      </c>
    </row>
    <row r="699" spans="1:8" x14ac:dyDescent="0.25">
      <c r="A699" s="1">
        <v>1993</v>
      </c>
      <c r="B699" s="1" t="s">
        <v>104</v>
      </c>
      <c r="C699" t="s">
        <v>51</v>
      </c>
      <c r="D699">
        <v>4</v>
      </c>
      <c r="E699">
        <v>38</v>
      </c>
      <c r="F699">
        <v>1.08</v>
      </c>
      <c r="G699">
        <f>(F699/0.6)/4</f>
        <v>0.45000000000000007</v>
      </c>
      <c r="H699">
        <f>G699*(11.5/38.29)</f>
        <v>0.13515278140506662</v>
      </c>
    </row>
    <row r="700" spans="1:8" x14ac:dyDescent="0.25">
      <c r="A700" s="1">
        <v>1993</v>
      </c>
      <c r="B700" s="1" t="s">
        <v>104</v>
      </c>
      <c r="C700" t="s">
        <v>51</v>
      </c>
      <c r="D700">
        <v>4</v>
      </c>
      <c r="E700">
        <v>38</v>
      </c>
      <c r="F700">
        <v>0.8</v>
      </c>
      <c r="G700">
        <f>(F700/0.6)/4</f>
        <v>0.33333333333333337</v>
      </c>
      <c r="H700">
        <f>G700*(11.5/38.29)</f>
        <v>0.10011317141116045</v>
      </c>
    </row>
    <row r="701" spans="1:8" x14ac:dyDescent="0.25">
      <c r="A701" s="1">
        <v>1993</v>
      </c>
      <c r="B701" s="1" t="s">
        <v>104</v>
      </c>
      <c r="C701" t="s">
        <v>51</v>
      </c>
      <c r="D701">
        <v>4</v>
      </c>
      <c r="E701">
        <v>38</v>
      </c>
      <c r="F701">
        <v>0.95</v>
      </c>
      <c r="G701">
        <f>(F701/0.6)/4</f>
        <v>0.39583333333333331</v>
      </c>
      <c r="H701">
        <f>G701*(11.5/38.29)</f>
        <v>0.11888439105075302</v>
      </c>
    </row>
    <row r="702" spans="1:8" x14ac:dyDescent="0.25">
      <c r="A702" s="1">
        <v>1993</v>
      </c>
      <c r="B702" s="1" t="s">
        <v>104</v>
      </c>
      <c r="C702" t="s">
        <v>51</v>
      </c>
      <c r="D702">
        <v>4</v>
      </c>
      <c r="E702">
        <v>38</v>
      </c>
      <c r="F702">
        <v>0.45</v>
      </c>
      <c r="G702">
        <f>(F702/0.6)/4</f>
        <v>0.1875</v>
      </c>
      <c r="H702">
        <f>G702*(11.5/38.29)</f>
        <v>5.6313658918777751E-2</v>
      </c>
    </row>
    <row r="703" spans="1:8" x14ac:dyDescent="0.25">
      <c r="A703" s="1">
        <v>1993</v>
      </c>
      <c r="B703" s="1" t="s">
        <v>104</v>
      </c>
      <c r="C703" t="s">
        <v>51</v>
      </c>
      <c r="D703">
        <v>4</v>
      </c>
      <c r="E703">
        <v>38</v>
      </c>
      <c r="F703">
        <v>0.38</v>
      </c>
      <c r="G703">
        <f>(F703/0.6)/4</f>
        <v>0.15833333333333335</v>
      </c>
      <c r="H703">
        <f>G703*(11.5/38.29)</f>
        <v>4.7553756420301213E-2</v>
      </c>
    </row>
    <row r="704" spans="1:8" x14ac:dyDescent="0.25">
      <c r="A704" s="1">
        <v>1993</v>
      </c>
      <c r="B704" s="1" t="s">
        <v>104</v>
      </c>
      <c r="C704" t="s">
        <v>51</v>
      </c>
      <c r="D704">
        <v>4</v>
      </c>
      <c r="E704">
        <v>38</v>
      </c>
      <c r="F704">
        <v>2.0499999999999998</v>
      </c>
      <c r="G704">
        <f>(F704/0.6)/4</f>
        <v>0.85416666666666663</v>
      </c>
      <c r="H704">
        <f>G704*(11.5/38.29)</f>
        <v>0.25654000174109859</v>
      </c>
    </row>
    <row r="705" spans="1:8" x14ac:dyDescent="0.25">
      <c r="A705" s="1">
        <v>1993</v>
      </c>
      <c r="B705" s="1" t="s">
        <v>104</v>
      </c>
      <c r="C705" t="s">
        <v>51</v>
      </c>
      <c r="D705">
        <v>4</v>
      </c>
      <c r="E705">
        <v>38</v>
      </c>
      <c r="F705">
        <v>0.56000000000000005</v>
      </c>
      <c r="G705">
        <f>(F705/0.6)/4</f>
        <v>0.23333333333333336</v>
      </c>
      <c r="H705">
        <f>G705*(11.5/38.29)</f>
        <v>7.0079219987812316E-2</v>
      </c>
    </row>
    <row r="706" spans="1:8" x14ac:dyDescent="0.25">
      <c r="A706" s="1">
        <v>1993</v>
      </c>
      <c r="B706" s="1" t="s">
        <v>104</v>
      </c>
      <c r="C706" t="s">
        <v>51</v>
      </c>
      <c r="D706">
        <v>4</v>
      </c>
      <c r="E706">
        <v>38</v>
      </c>
      <c r="F706">
        <v>0.34</v>
      </c>
      <c r="G706">
        <f>(F706/0.6)/4</f>
        <v>0.14166666666666669</v>
      </c>
      <c r="H706">
        <f>G706*(11.5/38.29)</f>
        <v>4.2548097849743192E-2</v>
      </c>
    </row>
    <row r="707" spans="1:8" x14ac:dyDescent="0.25">
      <c r="A707" s="1">
        <v>1993</v>
      </c>
      <c r="B707" s="1" t="s">
        <v>104</v>
      </c>
      <c r="C707" t="s">
        <v>51</v>
      </c>
      <c r="D707">
        <v>4</v>
      </c>
      <c r="E707">
        <v>38</v>
      </c>
      <c r="F707">
        <v>0.75</v>
      </c>
      <c r="G707">
        <f>(F707/0.6)/4</f>
        <v>0.3125</v>
      </c>
      <c r="H707">
        <f>G707*(11.5/38.29)</f>
        <v>9.3856098197962909E-2</v>
      </c>
    </row>
    <row r="708" spans="1:8" x14ac:dyDescent="0.25">
      <c r="A708" s="1">
        <v>1993</v>
      </c>
      <c r="B708" s="1" t="s">
        <v>104</v>
      </c>
      <c r="C708" t="s">
        <v>51</v>
      </c>
      <c r="D708">
        <v>4</v>
      </c>
      <c r="E708">
        <v>38</v>
      </c>
      <c r="F708">
        <v>0.7</v>
      </c>
      <c r="G708">
        <f>(F708/0.6)/4</f>
        <v>0.29166666666666669</v>
      </c>
      <c r="H708">
        <f>G708*(11.5/38.29)</f>
        <v>8.7599024984765392E-2</v>
      </c>
    </row>
    <row r="709" spans="1:8" x14ac:dyDescent="0.25">
      <c r="A709" s="1">
        <v>1993</v>
      </c>
      <c r="B709" s="1" t="s">
        <v>104</v>
      </c>
      <c r="C709" t="s">
        <v>51</v>
      </c>
      <c r="D709">
        <v>4</v>
      </c>
      <c r="E709">
        <v>38</v>
      </c>
      <c r="F709">
        <v>0.99</v>
      </c>
      <c r="G709">
        <f>(F709/0.6)/4</f>
        <v>0.41250000000000003</v>
      </c>
      <c r="H709">
        <f>G709*(11.5/38.29)</f>
        <v>0.12389004962131106</v>
      </c>
    </row>
    <row r="710" spans="1:8" x14ac:dyDescent="0.25">
      <c r="A710" s="1">
        <v>1993</v>
      </c>
      <c r="B710" s="1" t="s">
        <v>104</v>
      </c>
      <c r="C710" t="s">
        <v>51</v>
      </c>
      <c r="D710">
        <v>4</v>
      </c>
      <c r="E710">
        <v>38</v>
      </c>
      <c r="F710">
        <v>0.48</v>
      </c>
      <c r="G710">
        <f>(F710/0.6)/4</f>
        <v>0.2</v>
      </c>
      <c r="H710">
        <f>G710*(11.5/38.29)</f>
        <v>6.0067902846696268E-2</v>
      </c>
    </row>
    <row r="711" spans="1:8" x14ac:dyDescent="0.25">
      <c r="A711" s="1">
        <v>1993</v>
      </c>
      <c r="B711" s="1" t="s">
        <v>104</v>
      </c>
      <c r="C711" t="s">
        <v>51</v>
      </c>
      <c r="D711">
        <v>4</v>
      </c>
      <c r="E711">
        <v>38</v>
      </c>
      <c r="F711">
        <v>0.02</v>
      </c>
      <c r="G711">
        <f>(F711/0.6)/4</f>
        <v>8.3333333333333332E-3</v>
      </c>
      <c r="H711">
        <f>G711*(11.5/38.29)</f>
        <v>2.5028292852790112E-3</v>
      </c>
    </row>
    <row r="712" spans="1:8" x14ac:dyDescent="0.25">
      <c r="A712" s="1">
        <v>1993</v>
      </c>
      <c r="B712" s="1" t="s">
        <v>104</v>
      </c>
      <c r="C712" t="s">
        <v>51</v>
      </c>
      <c r="D712">
        <v>4</v>
      </c>
      <c r="E712">
        <v>38</v>
      </c>
      <c r="F712">
        <v>0.89</v>
      </c>
      <c r="G712">
        <f>(F712/0.6)/4</f>
        <v>0.37083333333333335</v>
      </c>
      <c r="H712">
        <f>G712*(11.5/38.29)</f>
        <v>0.111375903194916</v>
      </c>
    </row>
    <row r="713" spans="1:8" x14ac:dyDescent="0.25">
      <c r="A713" s="1">
        <v>1993</v>
      </c>
      <c r="B713" s="1" t="s">
        <v>104</v>
      </c>
      <c r="C713" t="s">
        <v>51</v>
      </c>
      <c r="D713">
        <v>4</v>
      </c>
      <c r="E713">
        <v>38</v>
      </c>
      <c r="F713">
        <v>0.75</v>
      </c>
      <c r="G713">
        <f>(F713/0.6)/4</f>
        <v>0.3125</v>
      </c>
      <c r="H713">
        <f>G713*(11.5/38.29)</f>
        <v>9.3856098197962909E-2</v>
      </c>
    </row>
    <row r="714" spans="1:8" x14ac:dyDescent="0.25">
      <c r="A714" s="1">
        <v>1993</v>
      </c>
      <c r="B714" s="1" t="s">
        <v>104</v>
      </c>
      <c r="C714" t="s">
        <v>51</v>
      </c>
      <c r="D714">
        <v>4</v>
      </c>
      <c r="E714">
        <v>38</v>
      </c>
      <c r="F714">
        <v>0.79</v>
      </c>
      <c r="G714">
        <f>(F714/0.6)/4</f>
        <v>0.32916666666666672</v>
      </c>
      <c r="H714">
        <f>G714*(11.5/38.29)</f>
        <v>9.886175676852095E-2</v>
      </c>
    </row>
    <row r="715" spans="1:8" x14ac:dyDescent="0.25">
      <c r="A715" s="1">
        <v>1993</v>
      </c>
      <c r="B715" s="1" t="s">
        <v>104</v>
      </c>
      <c r="C715" t="s">
        <v>51</v>
      </c>
      <c r="D715">
        <v>4</v>
      </c>
      <c r="E715">
        <v>40</v>
      </c>
      <c r="F715">
        <v>0.15</v>
      </c>
      <c r="G715">
        <f>(F715/0.6)/4</f>
        <v>6.25E-2</v>
      </c>
      <c r="H715">
        <f>G715*(11.5/38.29)</f>
        <v>1.8771219639592582E-2</v>
      </c>
    </row>
    <row r="716" spans="1:8" x14ac:dyDescent="0.25">
      <c r="A716" s="1">
        <v>1993</v>
      </c>
      <c r="B716" s="1" t="s">
        <v>104</v>
      </c>
      <c r="C716" t="s">
        <v>51</v>
      </c>
      <c r="D716">
        <v>4</v>
      </c>
      <c r="E716">
        <v>40</v>
      </c>
      <c r="F716">
        <v>1.34</v>
      </c>
      <c r="G716">
        <f>(F716/0.6)/4</f>
        <v>0.55833333333333335</v>
      </c>
      <c r="H716">
        <f>G716*(11.5/38.29)</f>
        <v>0.16768956211369374</v>
      </c>
    </row>
    <row r="717" spans="1:8" x14ac:dyDescent="0.25">
      <c r="A717" s="1">
        <v>1993</v>
      </c>
      <c r="B717" s="1" t="s">
        <v>104</v>
      </c>
      <c r="C717" t="s">
        <v>51</v>
      </c>
      <c r="D717">
        <v>4</v>
      </c>
      <c r="E717">
        <v>40</v>
      </c>
      <c r="F717">
        <v>0.5</v>
      </c>
      <c r="G717">
        <f>(F717/0.6)/4</f>
        <v>0.20833333333333334</v>
      </c>
      <c r="H717">
        <f>G717*(11.5/38.29)</f>
        <v>6.2570732131975282E-2</v>
      </c>
    </row>
    <row r="718" spans="1:8" x14ac:dyDescent="0.25">
      <c r="A718" s="1">
        <v>1993</v>
      </c>
      <c r="B718" s="1" t="s">
        <v>104</v>
      </c>
      <c r="C718" t="s">
        <v>51</v>
      </c>
      <c r="D718">
        <v>4</v>
      </c>
      <c r="E718">
        <v>40</v>
      </c>
      <c r="F718">
        <v>1.1499999999999999</v>
      </c>
      <c r="G718">
        <f>(F718/0.6)/4</f>
        <v>0.47916666666666663</v>
      </c>
      <c r="H718">
        <f>G718*(11.5/38.29)</f>
        <v>0.14391268390354311</v>
      </c>
    </row>
    <row r="719" spans="1:8" x14ac:dyDescent="0.25">
      <c r="A719" s="1">
        <v>1993</v>
      </c>
      <c r="B719" s="1" t="s">
        <v>104</v>
      </c>
      <c r="C719" t="s">
        <v>51</v>
      </c>
      <c r="D719">
        <v>4</v>
      </c>
      <c r="E719">
        <v>40</v>
      </c>
      <c r="F719">
        <v>1.07</v>
      </c>
      <c r="G719">
        <f>(F719/0.6)/4</f>
        <v>0.44583333333333336</v>
      </c>
      <c r="H719">
        <f>G719*(11.5/38.29)</f>
        <v>0.13390136676242709</v>
      </c>
    </row>
    <row r="720" spans="1:8" x14ac:dyDescent="0.25">
      <c r="A720" s="1">
        <v>1993</v>
      </c>
      <c r="B720" s="1" t="s">
        <v>104</v>
      </c>
      <c r="C720" t="s">
        <v>51</v>
      </c>
      <c r="D720">
        <v>4</v>
      </c>
      <c r="E720">
        <v>40</v>
      </c>
      <c r="F720">
        <v>0.52</v>
      </c>
      <c r="G720">
        <f>(F720/0.6)/4</f>
        <v>0.21666666666666667</v>
      </c>
      <c r="H720">
        <f>G720*(11.5/38.29)</f>
        <v>6.5073561417254289E-2</v>
      </c>
    </row>
    <row r="721" spans="1:8" x14ac:dyDescent="0.25">
      <c r="A721" s="1">
        <v>1993</v>
      </c>
      <c r="B721" s="1" t="s">
        <v>104</v>
      </c>
      <c r="C721" t="s">
        <v>51</v>
      </c>
      <c r="D721">
        <v>4</v>
      </c>
      <c r="E721">
        <v>40</v>
      </c>
      <c r="F721">
        <v>2.52</v>
      </c>
      <c r="G721">
        <f>(F721/0.6)/4</f>
        <v>1.05</v>
      </c>
      <c r="H721">
        <f>G721*(11.5/38.29)</f>
        <v>0.31535648994515542</v>
      </c>
    </row>
    <row r="722" spans="1:8" x14ac:dyDescent="0.25">
      <c r="A722" s="1">
        <v>1993</v>
      </c>
      <c r="B722" s="1" t="s">
        <v>104</v>
      </c>
      <c r="C722" t="s">
        <v>51</v>
      </c>
      <c r="D722">
        <v>4</v>
      </c>
      <c r="E722">
        <v>40</v>
      </c>
      <c r="F722">
        <v>1.18</v>
      </c>
      <c r="G722">
        <f>(F722/0.6)/4</f>
        <v>0.49166666666666664</v>
      </c>
      <c r="H722">
        <f>G722*(11.5/38.29)</f>
        <v>0.14766692783146165</v>
      </c>
    </row>
    <row r="723" spans="1:8" x14ac:dyDescent="0.25">
      <c r="A723" s="1">
        <v>1993</v>
      </c>
      <c r="B723" s="1" t="s">
        <v>104</v>
      </c>
      <c r="C723" t="s">
        <v>51</v>
      </c>
      <c r="D723">
        <v>4</v>
      </c>
      <c r="E723">
        <v>40</v>
      </c>
      <c r="F723">
        <v>0.43</v>
      </c>
      <c r="G723">
        <f>(F723/0.6)/4</f>
        <v>0.17916666666666667</v>
      </c>
      <c r="H723">
        <f>G723*(11.5/38.29)</f>
        <v>5.3810829633498737E-2</v>
      </c>
    </row>
    <row r="724" spans="1:8" x14ac:dyDescent="0.25">
      <c r="A724" s="1">
        <v>1993</v>
      </c>
      <c r="B724" s="1" t="s">
        <v>104</v>
      </c>
      <c r="C724" t="s">
        <v>51</v>
      </c>
      <c r="D724">
        <v>4</v>
      </c>
      <c r="E724">
        <v>40</v>
      </c>
      <c r="F724">
        <v>2.34</v>
      </c>
      <c r="G724">
        <f>(F724/0.6)/4</f>
        <v>0.97499999999999998</v>
      </c>
      <c r="H724">
        <f>G724*(11.5/38.29)</f>
        <v>0.2928310263776443</v>
      </c>
    </row>
    <row r="725" spans="1:8" x14ac:dyDescent="0.25">
      <c r="A725" s="1">
        <v>1993</v>
      </c>
      <c r="B725" s="1" t="s">
        <v>104</v>
      </c>
      <c r="C725" t="s">
        <v>51</v>
      </c>
      <c r="D725">
        <v>4</v>
      </c>
      <c r="E725">
        <v>40</v>
      </c>
      <c r="F725">
        <v>0.75</v>
      </c>
      <c r="G725">
        <f>(F725/0.6)/4</f>
        <v>0.3125</v>
      </c>
      <c r="H725">
        <f>G725*(11.5/38.29)</f>
        <v>9.3856098197962909E-2</v>
      </c>
    </row>
    <row r="726" spans="1:8" x14ac:dyDescent="0.25">
      <c r="A726" s="1">
        <v>1993</v>
      </c>
      <c r="B726" s="1" t="s">
        <v>104</v>
      </c>
      <c r="C726" t="s">
        <v>51</v>
      </c>
      <c r="D726">
        <v>4</v>
      </c>
      <c r="E726">
        <v>40</v>
      </c>
      <c r="F726">
        <v>2.1</v>
      </c>
      <c r="G726">
        <f>(F726/0.6)/4</f>
        <v>0.87500000000000011</v>
      </c>
      <c r="H726">
        <f>G726*(11.5/38.29)</f>
        <v>0.26279707495429616</v>
      </c>
    </row>
    <row r="727" spans="1:8" x14ac:dyDescent="0.25">
      <c r="A727" s="1">
        <v>1993</v>
      </c>
      <c r="B727" s="1" t="s">
        <v>104</v>
      </c>
      <c r="C727" t="s">
        <v>51</v>
      </c>
      <c r="D727">
        <v>4</v>
      </c>
      <c r="E727">
        <v>40</v>
      </c>
      <c r="F727">
        <v>1.65</v>
      </c>
      <c r="G727">
        <f>(F727/0.6)/4</f>
        <v>0.6875</v>
      </c>
      <c r="H727">
        <f>G727*(11.5/38.29)</f>
        <v>0.2064834160355184</v>
      </c>
    </row>
    <row r="728" spans="1:8" x14ac:dyDescent="0.25">
      <c r="A728" s="1">
        <v>1993</v>
      </c>
      <c r="B728" s="1" t="s">
        <v>104</v>
      </c>
      <c r="C728" t="s">
        <v>51</v>
      </c>
      <c r="D728">
        <v>4</v>
      </c>
      <c r="E728">
        <v>40</v>
      </c>
      <c r="F728">
        <v>0.26</v>
      </c>
      <c r="G728">
        <f>(F728/0.6)/4</f>
        <v>0.10833333333333334</v>
      </c>
      <c r="H728">
        <f>G728*(11.5/38.29)</f>
        <v>3.2536780708627144E-2</v>
      </c>
    </row>
    <row r="729" spans="1:8" x14ac:dyDescent="0.25">
      <c r="A729" s="1">
        <v>1993</v>
      </c>
      <c r="B729" s="1" t="s">
        <v>104</v>
      </c>
      <c r="C729" t="s">
        <v>51</v>
      </c>
      <c r="D729">
        <v>4</v>
      </c>
      <c r="E729">
        <v>40</v>
      </c>
      <c r="F729">
        <v>0.84</v>
      </c>
      <c r="G729">
        <f>(F729/0.6)/4</f>
        <v>0.35</v>
      </c>
      <c r="H729">
        <f>G729*(11.5/38.29)</f>
        <v>0.10511882998171845</v>
      </c>
    </row>
    <row r="730" spans="1:8" x14ac:dyDescent="0.25">
      <c r="A730" s="1">
        <v>1993</v>
      </c>
      <c r="B730" s="1" t="s">
        <v>104</v>
      </c>
      <c r="C730" t="s">
        <v>51</v>
      </c>
      <c r="D730">
        <v>4</v>
      </c>
      <c r="E730">
        <v>40</v>
      </c>
      <c r="F730">
        <v>0.22</v>
      </c>
      <c r="G730">
        <f>(F730/0.6)/4</f>
        <v>9.1666666666666674E-2</v>
      </c>
      <c r="H730">
        <f>G730*(11.5/38.29)</f>
        <v>2.7531122138069124E-2</v>
      </c>
    </row>
    <row r="731" spans="1:8" x14ac:dyDescent="0.25">
      <c r="A731" s="1">
        <v>1993</v>
      </c>
      <c r="B731" s="1" t="s">
        <v>104</v>
      </c>
      <c r="C731" t="s">
        <v>51</v>
      </c>
      <c r="D731">
        <v>4</v>
      </c>
      <c r="E731">
        <v>40</v>
      </c>
      <c r="F731">
        <v>0.98</v>
      </c>
      <c r="G731">
        <f>(F731/0.6)/4</f>
        <v>0.40833333333333333</v>
      </c>
      <c r="H731">
        <f>G731*(11.5/38.29)</f>
        <v>0.12263863497867154</v>
      </c>
    </row>
    <row r="732" spans="1:8" x14ac:dyDescent="0.25">
      <c r="A732" s="1">
        <v>1993</v>
      </c>
      <c r="B732" s="1" t="s">
        <v>104</v>
      </c>
      <c r="C732" t="s">
        <v>51</v>
      </c>
      <c r="D732">
        <v>4</v>
      </c>
      <c r="E732">
        <v>40</v>
      </c>
      <c r="F732">
        <v>0.96</v>
      </c>
      <c r="G732">
        <f>(F732/0.6)/4</f>
        <v>0.4</v>
      </c>
      <c r="H732">
        <f>G732*(11.5/38.29)</f>
        <v>0.12013580569339254</v>
      </c>
    </row>
    <row r="733" spans="1:8" x14ac:dyDescent="0.25">
      <c r="A733" s="1">
        <v>1993</v>
      </c>
      <c r="B733" s="1" t="s">
        <v>104</v>
      </c>
      <c r="C733" t="s">
        <v>51</v>
      </c>
      <c r="D733">
        <v>4</v>
      </c>
      <c r="E733">
        <v>40</v>
      </c>
      <c r="F733">
        <v>1.75</v>
      </c>
      <c r="G733">
        <f>(F733/0.6)/4</f>
        <v>0.72916666666666674</v>
      </c>
      <c r="H733">
        <f>G733*(11.5/38.29)</f>
        <v>0.21899756246191349</v>
      </c>
    </row>
    <row r="734" spans="1:8" x14ac:dyDescent="0.25">
      <c r="A734" s="1">
        <v>1993</v>
      </c>
      <c r="B734" s="1" t="s">
        <v>104</v>
      </c>
      <c r="C734" t="s">
        <v>51</v>
      </c>
      <c r="D734">
        <v>4</v>
      </c>
      <c r="E734">
        <v>40</v>
      </c>
      <c r="F734">
        <v>0.96</v>
      </c>
      <c r="G734">
        <f>(F734/0.6)/4</f>
        <v>0.4</v>
      </c>
      <c r="H734">
        <f>G734*(11.5/38.29)</f>
        <v>0.12013580569339254</v>
      </c>
    </row>
    <row r="735" spans="1:8" x14ac:dyDescent="0.25">
      <c r="A735" s="1">
        <v>1993</v>
      </c>
      <c r="B735" s="1" t="s">
        <v>104</v>
      </c>
      <c r="C735" t="s">
        <v>51</v>
      </c>
      <c r="D735">
        <v>4</v>
      </c>
      <c r="E735">
        <v>40</v>
      </c>
      <c r="F735">
        <v>1.63</v>
      </c>
      <c r="G735">
        <f>(F735/0.6)/4</f>
        <v>0.6791666666666667</v>
      </c>
      <c r="H735">
        <f>G735*(11.5/38.29)</f>
        <v>0.20398058675023942</v>
      </c>
    </row>
    <row r="736" spans="1:8" x14ac:dyDescent="0.25">
      <c r="A736" s="1">
        <v>1993</v>
      </c>
      <c r="B736" s="1" t="s">
        <v>104</v>
      </c>
      <c r="C736" t="s">
        <v>51</v>
      </c>
      <c r="D736">
        <v>4</v>
      </c>
      <c r="E736">
        <v>40</v>
      </c>
      <c r="F736">
        <v>1.07</v>
      </c>
      <c r="G736">
        <f>(F736/0.6)/4</f>
        <v>0.44583333333333336</v>
      </c>
      <c r="H736">
        <f>G736*(11.5/38.29)</f>
        <v>0.13390136676242709</v>
      </c>
    </row>
    <row r="737" spans="1:8" x14ac:dyDescent="0.25">
      <c r="A737" s="1">
        <v>1993</v>
      </c>
      <c r="B737" s="1" t="s">
        <v>104</v>
      </c>
      <c r="C737" t="s">
        <v>51</v>
      </c>
      <c r="D737">
        <v>4</v>
      </c>
      <c r="E737">
        <v>40</v>
      </c>
      <c r="F737">
        <v>1.1499999999999999</v>
      </c>
      <c r="G737">
        <f>(F737/0.6)/4</f>
        <v>0.47916666666666663</v>
      </c>
      <c r="H737">
        <f>G737*(11.5/38.29)</f>
        <v>0.14391268390354311</v>
      </c>
    </row>
    <row r="738" spans="1:8" x14ac:dyDescent="0.25">
      <c r="A738" s="1">
        <v>1993</v>
      </c>
      <c r="B738" s="1" t="s">
        <v>104</v>
      </c>
      <c r="C738" t="s">
        <v>51</v>
      </c>
      <c r="D738">
        <v>4</v>
      </c>
      <c r="E738">
        <v>40</v>
      </c>
      <c r="F738">
        <v>0.31</v>
      </c>
      <c r="G738">
        <f>(F738/0.6)/4</f>
        <v>0.12916666666666668</v>
      </c>
      <c r="H738">
        <f>G738*(11.5/38.29)</f>
        <v>3.8793853921824675E-2</v>
      </c>
    </row>
    <row r="739" spans="1:8" x14ac:dyDescent="0.25">
      <c r="A739" s="1">
        <v>1993</v>
      </c>
      <c r="B739" s="1" t="s">
        <v>104</v>
      </c>
      <c r="C739" t="s">
        <v>51</v>
      </c>
      <c r="D739">
        <v>4</v>
      </c>
      <c r="E739">
        <v>41</v>
      </c>
      <c r="F739">
        <v>1.05</v>
      </c>
      <c r="G739">
        <f>(F739/0.6)/4</f>
        <v>0.43750000000000006</v>
      </c>
      <c r="H739">
        <f>G739*(11.5/38.29)</f>
        <v>0.13139853747714808</v>
      </c>
    </row>
    <row r="740" spans="1:8" x14ac:dyDescent="0.25">
      <c r="A740" s="1">
        <v>1993</v>
      </c>
      <c r="B740" s="1" t="s">
        <v>104</v>
      </c>
      <c r="C740" t="s">
        <v>51</v>
      </c>
      <c r="D740">
        <v>4</v>
      </c>
      <c r="E740">
        <v>41</v>
      </c>
      <c r="F740">
        <v>2.4700000000000002</v>
      </c>
      <c r="G740">
        <f>(F740/0.6)/4</f>
        <v>1.0291666666666668</v>
      </c>
      <c r="H740">
        <f>G740*(11.5/38.29)</f>
        <v>0.3090994167319579</v>
      </c>
    </row>
    <row r="741" spans="1:8" x14ac:dyDescent="0.25">
      <c r="A741" s="1">
        <v>1993</v>
      </c>
      <c r="B741" s="1" t="s">
        <v>104</v>
      </c>
      <c r="C741" t="s">
        <v>51</v>
      </c>
      <c r="D741">
        <v>4</v>
      </c>
      <c r="E741">
        <v>41</v>
      </c>
      <c r="F741">
        <v>0.84</v>
      </c>
      <c r="G741">
        <f>(F741/0.6)/4</f>
        <v>0.35</v>
      </c>
      <c r="H741">
        <f>G741*(11.5/38.29)</f>
        <v>0.10511882998171845</v>
      </c>
    </row>
    <row r="742" spans="1:8" x14ac:dyDescent="0.25">
      <c r="A742" s="1">
        <v>1993</v>
      </c>
      <c r="B742" s="1" t="s">
        <v>104</v>
      </c>
      <c r="C742" t="s">
        <v>51</v>
      </c>
      <c r="D742">
        <v>4</v>
      </c>
      <c r="E742">
        <v>47</v>
      </c>
      <c r="F742">
        <v>0.36</v>
      </c>
      <c r="G742">
        <f>(F742/0.6)/4</f>
        <v>0.15</v>
      </c>
      <c r="H742">
        <f>G742*(11.5/38.29)</f>
        <v>4.5050927135022199E-2</v>
      </c>
    </row>
    <row r="743" spans="1:8" x14ac:dyDescent="0.25">
      <c r="A743" s="1">
        <v>1993</v>
      </c>
      <c r="B743" s="1" t="s">
        <v>104</v>
      </c>
      <c r="C743" t="s">
        <v>51</v>
      </c>
      <c r="D743">
        <v>4</v>
      </c>
      <c r="E743">
        <v>47</v>
      </c>
      <c r="F743">
        <v>1.1599999999999999</v>
      </c>
      <c r="G743">
        <f>(F743/0.6)/4</f>
        <v>0.48333333333333334</v>
      </c>
      <c r="H743">
        <f>G743*(11.5/38.29)</f>
        <v>0.14516409854618265</v>
      </c>
    </row>
    <row r="744" spans="1:8" x14ac:dyDescent="0.25">
      <c r="A744" s="1">
        <v>1993</v>
      </c>
      <c r="B744" s="1" t="s">
        <v>104</v>
      </c>
      <c r="C744" t="s">
        <v>51</v>
      </c>
      <c r="D744">
        <v>4</v>
      </c>
      <c r="E744">
        <v>47</v>
      </c>
      <c r="F744">
        <v>0.75</v>
      </c>
      <c r="G744">
        <f>(F744/0.6)/4</f>
        <v>0.3125</v>
      </c>
      <c r="H744">
        <f>G744*(11.5/38.29)</f>
        <v>9.3856098197962909E-2</v>
      </c>
    </row>
    <row r="745" spans="1:8" x14ac:dyDescent="0.25">
      <c r="A745" s="1">
        <v>1993</v>
      </c>
      <c r="B745" s="1" t="s">
        <v>104</v>
      </c>
      <c r="C745" t="s">
        <v>51</v>
      </c>
      <c r="D745">
        <v>4</v>
      </c>
      <c r="E745">
        <v>53</v>
      </c>
      <c r="F745">
        <v>0.15</v>
      </c>
      <c r="G745">
        <f>(F745/0.6)/4</f>
        <v>6.25E-2</v>
      </c>
      <c r="H745">
        <f>G745*(11.5/38.29)</f>
        <v>1.8771219639592582E-2</v>
      </c>
    </row>
    <row r="746" spans="1:8" x14ac:dyDescent="0.25">
      <c r="A746" s="1">
        <v>1993</v>
      </c>
      <c r="B746" s="1" t="s">
        <v>104</v>
      </c>
      <c r="C746" t="s">
        <v>51</v>
      </c>
      <c r="D746">
        <v>4</v>
      </c>
      <c r="E746">
        <v>53</v>
      </c>
      <c r="F746">
        <v>0.56000000000000005</v>
      </c>
      <c r="G746">
        <f>(F746/0.6)/4</f>
        <v>0.23333333333333336</v>
      </c>
      <c r="H746">
        <f>G746*(11.5/38.29)</f>
        <v>7.0079219987812316E-2</v>
      </c>
    </row>
    <row r="747" spans="1:8" x14ac:dyDescent="0.25">
      <c r="A747" s="1">
        <v>1993</v>
      </c>
      <c r="B747" s="1" t="s">
        <v>104</v>
      </c>
      <c r="C747" t="s">
        <v>51</v>
      </c>
      <c r="D747">
        <v>4</v>
      </c>
      <c r="E747">
        <v>54</v>
      </c>
      <c r="F747">
        <v>0.12</v>
      </c>
      <c r="G747">
        <f>(F747/0.6)/4</f>
        <v>0.05</v>
      </c>
      <c r="H747">
        <f>G747*(11.5/38.29)</f>
        <v>1.5016975711674067E-2</v>
      </c>
    </row>
    <row r="748" spans="1:8" x14ac:dyDescent="0.25">
      <c r="A748" s="1">
        <v>1993</v>
      </c>
      <c r="B748" s="1" t="s">
        <v>104</v>
      </c>
      <c r="C748" t="s">
        <v>51</v>
      </c>
      <c r="D748">
        <v>4</v>
      </c>
      <c r="E748">
        <v>54</v>
      </c>
      <c r="F748">
        <v>0.09</v>
      </c>
      <c r="G748">
        <f>(F748/0.6)/4</f>
        <v>3.7499999999999999E-2</v>
      </c>
      <c r="H748">
        <f>G748*(11.5/38.29)</f>
        <v>1.126273178375555E-2</v>
      </c>
    </row>
    <row r="749" spans="1:8" x14ac:dyDescent="0.25">
      <c r="A749" s="1">
        <v>1993</v>
      </c>
      <c r="B749" s="1" t="s">
        <v>104</v>
      </c>
      <c r="C749" t="s">
        <v>51</v>
      </c>
      <c r="D749">
        <v>4</v>
      </c>
      <c r="E749">
        <v>54</v>
      </c>
      <c r="F749">
        <v>0.31</v>
      </c>
      <c r="G749">
        <f>(F749/0.6)/4</f>
        <v>0.12916666666666668</v>
      </c>
      <c r="H749">
        <f>G749*(11.5/38.29)</f>
        <v>3.8793853921824675E-2</v>
      </c>
    </row>
    <row r="750" spans="1:8" x14ac:dyDescent="0.25">
      <c r="A750" s="1">
        <v>1993</v>
      </c>
      <c r="B750" s="1" t="s">
        <v>104</v>
      </c>
      <c r="C750" t="s">
        <v>51</v>
      </c>
      <c r="D750">
        <v>4</v>
      </c>
      <c r="E750">
        <v>63</v>
      </c>
      <c r="F750">
        <v>0.04</v>
      </c>
      <c r="G750">
        <f>(F750/0.6)/4</f>
        <v>1.6666666666666666E-2</v>
      </c>
      <c r="H750">
        <f>G750*(11.5/38.29)</f>
        <v>5.0056585705580223E-3</v>
      </c>
    </row>
    <row r="751" spans="1:8" x14ac:dyDescent="0.25">
      <c r="A751" s="1">
        <v>1993</v>
      </c>
      <c r="B751" s="1" t="s">
        <v>104</v>
      </c>
      <c r="C751" t="s">
        <v>51</v>
      </c>
      <c r="D751">
        <v>4</v>
      </c>
      <c r="E751">
        <v>63</v>
      </c>
      <c r="F751">
        <v>0.05</v>
      </c>
      <c r="G751">
        <f>(F751/0.6)/4</f>
        <v>2.0833333333333336E-2</v>
      </c>
      <c r="H751">
        <f>G751*(11.5/38.29)</f>
        <v>6.2570732131975284E-3</v>
      </c>
    </row>
    <row r="752" spans="1:8" x14ac:dyDescent="0.25">
      <c r="A752" s="1">
        <v>1993</v>
      </c>
      <c r="B752" s="1" t="s">
        <v>104</v>
      </c>
      <c r="C752" t="s">
        <v>51</v>
      </c>
      <c r="D752">
        <v>4</v>
      </c>
      <c r="E752">
        <v>63</v>
      </c>
      <c r="F752">
        <v>0.06</v>
      </c>
      <c r="G752">
        <f>(F752/0.6)/4</f>
        <v>2.5000000000000001E-2</v>
      </c>
      <c r="H752">
        <f>G752*(11.5/38.29)</f>
        <v>7.5084878558370335E-3</v>
      </c>
    </row>
    <row r="753" spans="1:8" x14ac:dyDescent="0.25">
      <c r="A753" s="1">
        <v>1993</v>
      </c>
      <c r="B753" s="1" t="s">
        <v>104</v>
      </c>
      <c r="C753" t="s">
        <v>51</v>
      </c>
      <c r="D753">
        <v>4</v>
      </c>
      <c r="E753">
        <v>63</v>
      </c>
      <c r="F753">
        <v>0.08</v>
      </c>
      <c r="G753">
        <f>(F753/0.6)/4</f>
        <v>3.3333333333333333E-2</v>
      </c>
      <c r="H753">
        <f>G753*(11.5/38.29)</f>
        <v>1.0011317141116045E-2</v>
      </c>
    </row>
    <row r="754" spans="1:8" x14ac:dyDescent="0.25">
      <c r="A754" s="1">
        <v>1993</v>
      </c>
      <c r="B754" s="1" t="s">
        <v>104</v>
      </c>
      <c r="C754" t="s">
        <v>51</v>
      </c>
      <c r="D754">
        <v>4</v>
      </c>
      <c r="E754">
        <v>63</v>
      </c>
      <c r="F754">
        <v>0.05</v>
      </c>
      <c r="G754">
        <f>(F754/0.6)/4</f>
        <v>2.0833333333333336E-2</v>
      </c>
      <c r="H754">
        <f>G754*(11.5/38.29)</f>
        <v>6.2570732131975284E-3</v>
      </c>
    </row>
    <row r="755" spans="1:8" x14ac:dyDescent="0.25">
      <c r="A755" s="1">
        <v>1993</v>
      </c>
      <c r="B755" s="1" t="s">
        <v>104</v>
      </c>
      <c r="C755" t="s">
        <v>51</v>
      </c>
      <c r="D755">
        <v>4</v>
      </c>
      <c r="E755">
        <v>63</v>
      </c>
      <c r="F755">
        <v>0.18</v>
      </c>
      <c r="G755">
        <f>(F755/0.6)/4</f>
        <v>7.4999999999999997E-2</v>
      </c>
      <c r="H755">
        <f>G755*(11.5/38.29)</f>
        <v>2.25254635675111E-2</v>
      </c>
    </row>
    <row r="756" spans="1:8" x14ac:dyDescent="0.25">
      <c r="A756" s="1">
        <v>1993</v>
      </c>
      <c r="B756" s="1" t="s">
        <v>104</v>
      </c>
      <c r="C756" t="s">
        <v>51</v>
      </c>
      <c r="D756">
        <v>4</v>
      </c>
      <c r="E756">
        <v>63</v>
      </c>
      <c r="F756">
        <v>0.03</v>
      </c>
      <c r="G756">
        <f>(F756/0.6)/4</f>
        <v>1.2500000000000001E-2</v>
      </c>
      <c r="H756">
        <f>G756*(11.5/38.29)</f>
        <v>3.7542439279185168E-3</v>
      </c>
    </row>
    <row r="757" spans="1:8" x14ac:dyDescent="0.25">
      <c r="A757" s="1">
        <v>1993</v>
      </c>
      <c r="B757" s="1" t="s">
        <v>104</v>
      </c>
      <c r="C757" t="s">
        <v>51</v>
      </c>
      <c r="D757">
        <v>4</v>
      </c>
      <c r="E757">
        <v>63</v>
      </c>
      <c r="F757">
        <v>7.0000000000000007E-2</v>
      </c>
      <c r="G757">
        <f>(F757/0.6)/4</f>
        <v>2.9166666666666671E-2</v>
      </c>
      <c r="H757">
        <f>G757*(11.5/38.29)</f>
        <v>8.7599024984765395E-3</v>
      </c>
    </row>
    <row r="758" spans="1:8" x14ac:dyDescent="0.25">
      <c r="A758" s="1">
        <v>1993</v>
      </c>
      <c r="B758" s="1" t="s">
        <v>104</v>
      </c>
      <c r="C758" t="s">
        <v>51</v>
      </c>
      <c r="D758">
        <v>4</v>
      </c>
      <c r="E758">
        <v>63</v>
      </c>
      <c r="F758">
        <v>0.06</v>
      </c>
      <c r="G758">
        <f>(F758/0.6)/4</f>
        <v>2.5000000000000001E-2</v>
      </c>
      <c r="H758">
        <f>G758*(11.5/38.29)</f>
        <v>7.5084878558370335E-3</v>
      </c>
    </row>
    <row r="759" spans="1:8" x14ac:dyDescent="0.25">
      <c r="A759" s="1">
        <v>1993</v>
      </c>
      <c r="B759" s="1" t="s">
        <v>104</v>
      </c>
      <c r="C759" t="s">
        <v>51</v>
      </c>
      <c r="D759">
        <v>4</v>
      </c>
      <c r="E759">
        <v>63</v>
      </c>
      <c r="F759">
        <v>0.04</v>
      </c>
      <c r="G759">
        <f>(F759/0.6)/4</f>
        <v>1.6666666666666666E-2</v>
      </c>
      <c r="H759">
        <f>G759*(11.5/38.29)</f>
        <v>5.0056585705580223E-3</v>
      </c>
    </row>
    <row r="760" spans="1:8" x14ac:dyDescent="0.25">
      <c r="A760" s="1">
        <v>1993</v>
      </c>
      <c r="B760" s="1" t="s">
        <v>104</v>
      </c>
      <c r="C760" t="s">
        <v>51</v>
      </c>
      <c r="D760">
        <v>4</v>
      </c>
      <c r="E760">
        <v>63</v>
      </c>
      <c r="F760">
        <v>0.03</v>
      </c>
      <c r="G760">
        <f>(F760/0.6)/4</f>
        <v>1.2500000000000001E-2</v>
      </c>
      <c r="H760">
        <f>G760*(11.5/38.29)</f>
        <v>3.7542439279185168E-3</v>
      </c>
    </row>
    <row r="761" spans="1:8" x14ac:dyDescent="0.25">
      <c r="A761" s="1">
        <v>1993</v>
      </c>
      <c r="B761" s="1" t="s">
        <v>104</v>
      </c>
      <c r="C761" t="s">
        <v>51</v>
      </c>
      <c r="D761">
        <v>4</v>
      </c>
      <c r="E761">
        <v>63</v>
      </c>
      <c r="F761">
        <v>0.05</v>
      </c>
      <c r="G761">
        <f>(F761/0.6)/4</f>
        <v>2.0833333333333336E-2</v>
      </c>
      <c r="H761">
        <f>G761*(11.5/38.29)</f>
        <v>6.2570732131975284E-3</v>
      </c>
    </row>
    <row r="762" spans="1:8" x14ac:dyDescent="0.25">
      <c r="A762" s="1">
        <v>1993</v>
      </c>
      <c r="B762" s="1" t="s">
        <v>104</v>
      </c>
      <c r="C762" t="s">
        <v>51</v>
      </c>
      <c r="D762">
        <v>4</v>
      </c>
      <c r="E762">
        <v>63</v>
      </c>
      <c r="F762">
        <v>0.04</v>
      </c>
      <c r="G762">
        <f>(F762/0.6)/4</f>
        <v>1.6666666666666666E-2</v>
      </c>
      <c r="H762">
        <f>G762*(11.5/38.29)</f>
        <v>5.0056585705580223E-3</v>
      </c>
    </row>
    <row r="763" spans="1:8" x14ac:dyDescent="0.25">
      <c r="A763" s="1">
        <v>1993</v>
      </c>
      <c r="B763" s="1" t="s">
        <v>104</v>
      </c>
      <c r="C763" t="s">
        <v>51</v>
      </c>
      <c r="D763">
        <v>4</v>
      </c>
      <c r="E763">
        <v>63</v>
      </c>
      <c r="F763">
        <v>0.08</v>
      </c>
      <c r="G763">
        <f>(F763/0.6)/4</f>
        <v>3.3333333333333333E-2</v>
      </c>
      <c r="H763">
        <f>G763*(11.5/38.29)</f>
        <v>1.0011317141116045E-2</v>
      </c>
    </row>
    <row r="764" spans="1:8" x14ac:dyDescent="0.25">
      <c r="A764" s="1">
        <v>1993</v>
      </c>
      <c r="B764" s="1" t="s">
        <v>104</v>
      </c>
      <c r="C764" t="s">
        <v>51</v>
      </c>
      <c r="D764">
        <v>4</v>
      </c>
      <c r="E764">
        <v>63</v>
      </c>
      <c r="F764">
        <v>0.04</v>
      </c>
      <c r="G764">
        <f>(F764/0.6)/4</f>
        <v>1.6666666666666666E-2</v>
      </c>
      <c r="H764">
        <f>G764*(11.5/38.29)</f>
        <v>5.0056585705580223E-3</v>
      </c>
    </row>
    <row r="765" spans="1:8" x14ac:dyDescent="0.25">
      <c r="A765" s="1">
        <v>1993</v>
      </c>
      <c r="B765" s="1" t="s">
        <v>104</v>
      </c>
      <c r="C765" t="s">
        <v>51</v>
      </c>
      <c r="D765">
        <v>4</v>
      </c>
      <c r="E765">
        <v>63</v>
      </c>
      <c r="F765">
        <v>0.06</v>
      </c>
      <c r="G765">
        <f>(F765/0.6)/4</f>
        <v>2.5000000000000001E-2</v>
      </c>
      <c r="H765">
        <f>G765*(11.5/38.29)</f>
        <v>7.5084878558370335E-3</v>
      </c>
    </row>
    <row r="766" spans="1:8" x14ac:dyDescent="0.25">
      <c r="A766" s="1">
        <v>1993</v>
      </c>
      <c r="B766" s="1" t="s">
        <v>104</v>
      </c>
      <c r="C766" t="s">
        <v>51</v>
      </c>
      <c r="D766">
        <v>4</v>
      </c>
      <c r="E766">
        <v>63</v>
      </c>
      <c r="F766">
        <v>0.04</v>
      </c>
      <c r="G766">
        <f>(F766/0.6)/4</f>
        <v>1.6666666666666666E-2</v>
      </c>
      <c r="H766">
        <f>G766*(11.5/38.29)</f>
        <v>5.0056585705580223E-3</v>
      </c>
    </row>
    <row r="767" spans="1:8" x14ac:dyDescent="0.25">
      <c r="A767" s="1">
        <v>1993</v>
      </c>
      <c r="B767" s="1" t="s">
        <v>104</v>
      </c>
      <c r="C767" t="s">
        <v>51</v>
      </c>
      <c r="D767">
        <v>4</v>
      </c>
      <c r="E767">
        <v>63</v>
      </c>
      <c r="F767">
        <v>7.0000000000000007E-2</v>
      </c>
      <c r="G767">
        <f>(F767/0.6)/4</f>
        <v>2.9166666666666671E-2</v>
      </c>
      <c r="H767">
        <f>G767*(11.5/38.29)</f>
        <v>8.7599024984765395E-3</v>
      </c>
    </row>
    <row r="768" spans="1:8" x14ac:dyDescent="0.25">
      <c r="A768" s="1">
        <v>1993</v>
      </c>
      <c r="B768" s="1" t="s">
        <v>104</v>
      </c>
      <c r="C768" t="s">
        <v>51</v>
      </c>
      <c r="D768">
        <v>4</v>
      </c>
      <c r="E768">
        <v>63</v>
      </c>
      <c r="F768">
        <v>0.09</v>
      </c>
      <c r="G768">
        <f>(F768/0.6)/4</f>
        <v>3.7499999999999999E-2</v>
      </c>
      <c r="H768">
        <f>G768*(11.5/38.29)</f>
        <v>1.126273178375555E-2</v>
      </c>
    </row>
    <row r="769" spans="1:8" x14ac:dyDescent="0.25">
      <c r="A769" s="1">
        <v>1993</v>
      </c>
      <c r="B769" s="1" t="s">
        <v>104</v>
      </c>
      <c r="C769" t="s">
        <v>51</v>
      </c>
      <c r="D769">
        <v>4</v>
      </c>
      <c r="E769">
        <v>63</v>
      </c>
      <c r="F769">
        <v>0.04</v>
      </c>
      <c r="G769">
        <f>(F769/0.6)/4</f>
        <v>1.6666666666666666E-2</v>
      </c>
      <c r="H769">
        <f>G769*(11.5/38.29)</f>
        <v>5.0056585705580223E-3</v>
      </c>
    </row>
    <row r="770" spans="1:8" x14ac:dyDescent="0.25">
      <c r="A770" s="1">
        <v>1993</v>
      </c>
      <c r="B770" s="1" t="s">
        <v>104</v>
      </c>
      <c r="C770" t="s">
        <v>51</v>
      </c>
      <c r="D770">
        <v>4</v>
      </c>
      <c r="E770">
        <v>63</v>
      </c>
      <c r="F770">
        <v>0.13</v>
      </c>
      <c r="G770">
        <f>(F770/0.6)/4</f>
        <v>5.4166666666666669E-2</v>
      </c>
      <c r="H770">
        <f>G770*(11.5/38.29)</f>
        <v>1.6268390354313572E-2</v>
      </c>
    </row>
    <row r="771" spans="1:8" x14ac:dyDescent="0.25">
      <c r="A771" s="1">
        <v>1993</v>
      </c>
      <c r="B771" s="1" t="s">
        <v>104</v>
      </c>
      <c r="C771" t="s">
        <v>51</v>
      </c>
      <c r="D771">
        <v>4</v>
      </c>
      <c r="E771">
        <v>66</v>
      </c>
      <c r="F771">
        <v>2.38</v>
      </c>
      <c r="G771">
        <f>(F771/0.6)/4</f>
        <v>0.9916666666666667</v>
      </c>
      <c r="H771">
        <f>G771*(11.5/38.29)</f>
        <v>0.29783668494820231</v>
      </c>
    </row>
    <row r="772" spans="1:8" x14ac:dyDescent="0.25">
      <c r="A772" s="1">
        <v>1993</v>
      </c>
      <c r="B772" s="1" t="s">
        <v>104</v>
      </c>
      <c r="C772" t="s">
        <v>51</v>
      </c>
      <c r="D772">
        <v>4</v>
      </c>
      <c r="E772">
        <v>78</v>
      </c>
      <c r="F772">
        <v>0.05</v>
      </c>
      <c r="G772">
        <f>(F772/0.6)/4</f>
        <v>2.0833333333333336E-2</v>
      </c>
      <c r="H772">
        <f>G772*(11.5/38.29)</f>
        <v>6.2570732131975284E-3</v>
      </c>
    </row>
    <row r="773" spans="1:8" x14ac:dyDescent="0.25">
      <c r="A773" s="1">
        <v>1993</v>
      </c>
      <c r="B773" s="1" t="s">
        <v>104</v>
      </c>
      <c r="C773" t="s">
        <v>51</v>
      </c>
      <c r="D773">
        <v>4</v>
      </c>
      <c r="E773">
        <v>79</v>
      </c>
      <c r="F773">
        <v>0.35</v>
      </c>
      <c r="G773">
        <f>(F773/0.6)/4</f>
        <v>0.14583333333333334</v>
      </c>
      <c r="H773">
        <f>G773*(11.5/38.29)</f>
        <v>4.3799512492382696E-2</v>
      </c>
    </row>
    <row r="774" spans="1:8" x14ac:dyDescent="0.25">
      <c r="A774" s="1">
        <v>1993</v>
      </c>
      <c r="B774" s="1" t="s">
        <v>104</v>
      </c>
      <c r="C774" t="s">
        <v>51</v>
      </c>
      <c r="D774">
        <v>4</v>
      </c>
      <c r="E774">
        <v>79</v>
      </c>
      <c r="F774">
        <v>0.49</v>
      </c>
      <c r="G774">
        <f>(F774/0.6)/4</f>
        <v>0.20416666666666666</v>
      </c>
      <c r="H774">
        <f>G774*(11.5/38.29)</f>
        <v>6.1319317489335771E-2</v>
      </c>
    </row>
    <row r="775" spans="1:8" x14ac:dyDescent="0.25">
      <c r="A775" s="1">
        <v>1993</v>
      </c>
      <c r="B775" s="1" t="s">
        <v>104</v>
      </c>
      <c r="C775" t="s">
        <v>51</v>
      </c>
      <c r="D775">
        <v>4</v>
      </c>
      <c r="E775">
        <v>79</v>
      </c>
      <c r="F775">
        <v>0.32</v>
      </c>
      <c r="G775">
        <f>(F775/0.6)/4</f>
        <v>0.13333333333333333</v>
      </c>
      <c r="H775">
        <f>G775*(11.5/38.29)</f>
        <v>4.0045268564464179E-2</v>
      </c>
    </row>
    <row r="776" spans="1:8" x14ac:dyDescent="0.25">
      <c r="A776" s="1">
        <v>1993</v>
      </c>
      <c r="B776" s="1" t="s">
        <v>104</v>
      </c>
      <c r="C776" t="s">
        <v>51</v>
      </c>
      <c r="D776">
        <v>4</v>
      </c>
      <c r="E776">
        <v>79</v>
      </c>
      <c r="F776">
        <v>1.31</v>
      </c>
      <c r="G776">
        <f>(F776/0.6)/4</f>
        <v>0.54583333333333339</v>
      </c>
      <c r="H776">
        <f>G776*(11.5/38.29)</f>
        <v>0.16393531818577523</v>
      </c>
    </row>
    <row r="777" spans="1:8" x14ac:dyDescent="0.25">
      <c r="A777" s="1">
        <v>1993</v>
      </c>
      <c r="B777" s="1" t="s">
        <v>104</v>
      </c>
      <c r="C777" t="s">
        <v>51</v>
      </c>
      <c r="D777">
        <v>4</v>
      </c>
      <c r="E777">
        <v>79</v>
      </c>
      <c r="F777">
        <v>0.09</v>
      </c>
      <c r="G777">
        <f>(F777/0.6)/4</f>
        <v>3.7499999999999999E-2</v>
      </c>
      <c r="H777">
        <f>G777*(11.5/38.29)</f>
        <v>1.126273178375555E-2</v>
      </c>
    </row>
    <row r="778" spans="1:8" x14ac:dyDescent="0.25">
      <c r="A778" s="1">
        <v>1993</v>
      </c>
      <c r="B778" s="1" t="s">
        <v>104</v>
      </c>
      <c r="C778" t="s">
        <v>51</v>
      </c>
      <c r="D778">
        <v>4</v>
      </c>
      <c r="E778">
        <v>79</v>
      </c>
      <c r="F778">
        <v>0.32</v>
      </c>
      <c r="G778">
        <f>(F778/0.6)/4</f>
        <v>0.13333333333333333</v>
      </c>
      <c r="H778">
        <f>G778*(11.5/38.29)</f>
        <v>4.0045268564464179E-2</v>
      </c>
    </row>
    <row r="779" spans="1:8" x14ac:dyDescent="0.25">
      <c r="A779" s="1">
        <v>1993</v>
      </c>
      <c r="B779" s="1" t="s">
        <v>104</v>
      </c>
      <c r="C779" t="s">
        <v>51</v>
      </c>
      <c r="D779">
        <v>4</v>
      </c>
      <c r="E779">
        <v>79</v>
      </c>
      <c r="F779">
        <v>0.24</v>
      </c>
      <c r="G779">
        <f>(F779/0.6)/4</f>
        <v>0.1</v>
      </c>
      <c r="H779">
        <f>G779*(11.5/38.29)</f>
        <v>3.0033951423348134E-2</v>
      </c>
    </row>
    <row r="780" spans="1:8" x14ac:dyDescent="0.25">
      <c r="A780" s="1">
        <v>1993</v>
      </c>
      <c r="B780" s="1" t="s">
        <v>104</v>
      </c>
      <c r="C780" t="s">
        <v>51</v>
      </c>
      <c r="D780">
        <v>4</v>
      </c>
      <c r="E780">
        <v>79</v>
      </c>
      <c r="F780">
        <v>0.06</v>
      </c>
      <c r="G780">
        <f>(F780/0.6)/4</f>
        <v>2.5000000000000001E-2</v>
      </c>
      <c r="H780">
        <f>G780*(11.5/38.29)</f>
        <v>7.5084878558370335E-3</v>
      </c>
    </row>
    <row r="781" spans="1:8" x14ac:dyDescent="0.25">
      <c r="A781" s="1">
        <v>1993</v>
      </c>
      <c r="B781" s="1" t="s">
        <v>104</v>
      </c>
      <c r="C781" t="s">
        <v>51</v>
      </c>
      <c r="D781">
        <v>4</v>
      </c>
      <c r="E781">
        <v>79</v>
      </c>
      <c r="F781">
        <v>0.04</v>
      </c>
      <c r="G781">
        <f>(F781/0.6)/4</f>
        <v>1.6666666666666666E-2</v>
      </c>
      <c r="H781">
        <f>G781*(11.5/38.29)</f>
        <v>5.0056585705580223E-3</v>
      </c>
    </row>
    <row r="782" spans="1:8" x14ac:dyDescent="0.25">
      <c r="A782" s="1">
        <v>1993</v>
      </c>
      <c r="B782" s="1" t="s">
        <v>104</v>
      </c>
      <c r="C782" t="s">
        <v>51</v>
      </c>
      <c r="D782">
        <v>4</v>
      </c>
      <c r="E782">
        <v>79</v>
      </c>
      <c r="F782">
        <v>0.06</v>
      </c>
      <c r="G782">
        <f>(F782/0.6)/4</f>
        <v>2.5000000000000001E-2</v>
      </c>
      <c r="H782">
        <f>G782*(11.5/38.29)</f>
        <v>7.5084878558370335E-3</v>
      </c>
    </row>
    <row r="783" spans="1:8" x14ac:dyDescent="0.25">
      <c r="A783" s="1">
        <v>1993</v>
      </c>
      <c r="B783" s="1" t="s">
        <v>104</v>
      </c>
      <c r="C783" t="s">
        <v>51</v>
      </c>
      <c r="D783">
        <v>4</v>
      </c>
      <c r="E783">
        <v>79</v>
      </c>
      <c r="F783">
        <v>0.91</v>
      </c>
      <c r="G783">
        <f>(F783/0.6)/4</f>
        <v>0.37916666666666671</v>
      </c>
      <c r="H783">
        <f>G783*(11.5/38.29)</f>
        <v>0.11387873248019502</v>
      </c>
    </row>
    <row r="784" spans="1:8" x14ac:dyDescent="0.25">
      <c r="A784" s="1">
        <v>1993</v>
      </c>
      <c r="B784" s="1" t="s">
        <v>104</v>
      </c>
      <c r="C784" t="s">
        <v>51</v>
      </c>
      <c r="D784">
        <v>4</v>
      </c>
      <c r="E784">
        <v>79</v>
      </c>
      <c r="F784">
        <v>0.08</v>
      </c>
      <c r="G784">
        <f>(F784/0.6)/4</f>
        <v>3.3333333333333333E-2</v>
      </c>
      <c r="H784">
        <f>G784*(11.5/38.29)</f>
        <v>1.0011317141116045E-2</v>
      </c>
    </row>
    <row r="785" spans="1:8" x14ac:dyDescent="0.25">
      <c r="A785" s="1">
        <v>1993</v>
      </c>
      <c r="B785" s="1" t="s">
        <v>104</v>
      </c>
      <c r="C785" t="s">
        <v>51</v>
      </c>
      <c r="D785">
        <v>4</v>
      </c>
      <c r="E785">
        <v>79</v>
      </c>
      <c r="F785">
        <v>0.09</v>
      </c>
      <c r="G785">
        <f>(F785/0.6)/4</f>
        <v>3.7499999999999999E-2</v>
      </c>
      <c r="H785">
        <f>G785*(11.5/38.29)</f>
        <v>1.126273178375555E-2</v>
      </c>
    </row>
    <row r="786" spans="1:8" x14ac:dyDescent="0.25">
      <c r="A786" s="1">
        <v>1993</v>
      </c>
      <c r="B786" s="1" t="s">
        <v>104</v>
      </c>
      <c r="C786" t="s">
        <v>51</v>
      </c>
      <c r="D786">
        <v>4</v>
      </c>
      <c r="E786">
        <v>79</v>
      </c>
      <c r="F786">
        <v>0.06</v>
      </c>
      <c r="G786">
        <f>(F786/0.6)/4</f>
        <v>2.5000000000000001E-2</v>
      </c>
      <c r="H786">
        <f>G786*(11.5/38.29)</f>
        <v>7.5084878558370335E-3</v>
      </c>
    </row>
    <row r="787" spans="1:8" x14ac:dyDescent="0.25">
      <c r="A787" s="1">
        <v>1993</v>
      </c>
      <c r="B787" s="1" t="s">
        <v>104</v>
      </c>
      <c r="C787" t="s">
        <v>51</v>
      </c>
      <c r="D787">
        <v>4</v>
      </c>
      <c r="E787">
        <v>79</v>
      </c>
      <c r="F787">
        <v>0.61</v>
      </c>
      <c r="G787">
        <f>(F787/0.6)/4</f>
        <v>0.25416666666666665</v>
      </c>
      <c r="H787">
        <f>G787*(11.5/38.29)</f>
        <v>7.6336293201009833E-2</v>
      </c>
    </row>
    <row r="788" spans="1:8" x14ac:dyDescent="0.25">
      <c r="A788" s="1">
        <v>1993</v>
      </c>
      <c r="B788" s="1" t="s">
        <v>104</v>
      </c>
      <c r="C788" t="s">
        <v>51</v>
      </c>
      <c r="D788">
        <v>4</v>
      </c>
      <c r="E788">
        <v>79</v>
      </c>
      <c r="F788">
        <v>0.13</v>
      </c>
      <c r="G788">
        <f>(F788/0.6)/4</f>
        <v>5.4166666666666669E-2</v>
      </c>
      <c r="H788">
        <f>G788*(11.5/38.29)</f>
        <v>1.6268390354313572E-2</v>
      </c>
    </row>
    <row r="789" spans="1:8" x14ac:dyDescent="0.25">
      <c r="A789" s="1">
        <v>1993</v>
      </c>
      <c r="B789" s="1" t="s">
        <v>104</v>
      </c>
      <c r="C789" t="s">
        <v>51</v>
      </c>
      <c r="D789">
        <v>4</v>
      </c>
      <c r="E789">
        <v>79</v>
      </c>
      <c r="F789">
        <v>0.22</v>
      </c>
      <c r="G789">
        <f>(F789/0.6)/4</f>
        <v>9.1666666666666674E-2</v>
      </c>
      <c r="H789">
        <f>G789*(11.5/38.29)</f>
        <v>2.7531122138069124E-2</v>
      </c>
    </row>
    <row r="790" spans="1:8" x14ac:dyDescent="0.25">
      <c r="A790" s="1">
        <v>1993</v>
      </c>
      <c r="B790" s="1" t="s">
        <v>104</v>
      </c>
      <c r="C790" t="s">
        <v>51</v>
      </c>
      <c r="D790">
        <v>4</v>
      </c>
      <c r="E790">
        <v>79</v>
      </c>
      <c r="F790">
        <v>0.24</v>
      </c>
      <c r="G790">
        <f>(F790/0.6)/4</f>
        <v>0.1</v>
      </c>
      <c r="H790">
        <f>G790*(11.5/38.29)</f>
        <v>3.0033951423348134E-2</v>
      </c>
    </row>
    <row r="791" spans="1:8" x14ac:dyDescent="0.25">
      <c r="A791" s="1">
        <v>1993</v>
      </c>
      <c r="B791" s="1" t="s">
        <v>104</v>
      </c>
      <c r="C791" t="s">
        <v>51</v>
      </c>
      <c r="D791">
        <v>4</v>
      </c>
      <c r="E791">
        <v>79</v>
      </c>
      <c r="F791">
        <v>0.12</v>
      </c>
      <c r="G791">
        <f>(F791/0.6)/4</f>
        <v>0.05</v>
      </c>
      <c r="H791">
        <f>G791*(11.5/38.29)</f>
        <v>1.5016975711674067E-2</v>
      </c>
    </row>
    <row r="792" spans="1:8" x14ac:dyDescent="0.25">
      <c r="A792" s="1">
        <v>1993</v>
      </c>
      <c r="B792" s="1" t="s">
        <v>104</v>
      </c>
      <c r="C792" t="s">
        <v>51</v>
      </c>
      <c r="D792">
        <v>4</v>
      </c>
      <c r="E792">
        <v>79</v>
      </c>
      <c r="F792">
        <v>0.06</v>
      </c>
      <c r="G792">
        <f>(F792/0.6)/4</f>
        <v>2.5000000000000001E-2</v>
      </c>
      <c r="H792">
        <f>G792*(11.5/38.29)</f>
        <v>7.5084878558370335E-3</v>
      </c>
    </row>
    <row r="793" spans="1:8" x14ac:dyDescent="0.25">
      <c r="A793" s="1">
        <v>1993</v>
      </c>
      <c r="B793" s="1" t="s">
        <v>104</v>
      </c>
      <c r="C793" t="s">
        <v>51</v>
      </c>
      <c r="D793">
        <v>4</v>
      </c>
      <c r="E793">
        <v>79</v>
      </c>
      <c r="F793">
        <v>0.1</v>
      </c>
      <c r="G793">
        <f>(F793/0.6)/4</f>
        <v>4.1666666666666671E-2</v>
      </c>
      <c r="H793">
        <f>G793*(11.5/38.29)</f>
        <v>1.2514146426395057E-2</v>
      </c>
    </row>
    <row r="794" spans="1:8" x14ac:dyDescent="0.25">
      <c r="A794" s="1">
        <v>1993</v>
      </c>
      <c r="B794" s="1" t="s">
        <v>104</v>
      </c>
      <c r="C794" t="s">
        <v>51</v>
      </c>
      <c r="D794">
        <v>4</v>
      </c>
      <c r="E794">
        <v>79</v>
      </c>
      <c r="F794">
        <v>0.22</v>
      </c>
      <c r="G794">
        <f>(F794/0.6)/4</f>
        <v>9.1666666666666674E-2</v>
      </c>
      <c r="H794">
        <f>G794*(11.5/38.29)</f>
        <v>2.7531122138069124E-2</v>
      </c>
    </row>
    <row r="795" spans="1:8" x14ac:dyDescent="0.25">
      <c r="A795" s="1">
        <v>1993</v>
      </c>
      <c r="B795" s="1" t="s">
        <v>104</v>
      </c>
      <c r="C795" t="s">
        <v>51</v>
      </c>
      <c r="D795">
        <v>4</v>
      </c>
      <c r="E795">
        <v>79</v>
      </c>
      <c r="F795">
        <v>0.13</v>
      </c>
      <c r="G795">
        <f>(F795/0.6)/4</f>
        <v>5.4166666666666669E-2</v>
      </c>
      <c r="H795">
        <f>G795*(11.5/38.29)</f>
        <v>1.6268390354313572E-2</v>
      </c>
    </row>
    <row r="796" spans="1:8" x14ac:dyDescent="0.25">
      <c r="A796" s="1">
        <v>1993</v>
      </c>
      <c r="B796" s="1" t="s">
        <v>104</v>
      </c>
      <c r="C796" t="s">
        <v>51</v>
      </c>
      <c r="D796">
        <v>4</v>
      </c>
      <c r="E796">
        <v>79</v>
      </c>
      <c r="F796">
        <v>0.38</v>
      </c>
      <c r="G796">
        <f>(F796/0.6)/4</f>
        <v>0.15833333333333335</v>
      </c>
      <c r="H796">
        <f>G796*(11.5/38.29)</f>
        <v>4.7553756420301213E-2</v>
      </c>
    </row>
    <row r="797" spans="1:8" x14ac:dyDescent="0.25">
      <c r="A797" s="1">
        <v>1993</v>
      </c>
      <c r="B797" s="1" t="s">
        <v>104</v>
      </c>
      <c r="C797" t="s">
        <v>51</v>
      </c>
      <c r="D797">
        <v>4</v>
      </c>
      <c r="E797">
        <v>79</v>
      </c>
      <c r="F797">
        <v>0.43</v>
      </c>
      <c r="G797">
        <f>(F797/0.6)/4</f>
        <v>0.17916666666666667</v>
      </c>
      <c r="H797">
        <f>G797*(11.5/38.29)</f>
        <v>5.3810829633498737E-2</v>
      </c>
    </row>
    <row r="798" spans="1:8" x14ac:dyDescent="0.25">
      <c r="A798" s="1">
        <v>1993</v>
      </c>
      <c r="B798" s="1" t="s">
        <v>104</v>
      </c>
      <c r="C798" t="s">
        <v>51</v>
      </c>
      <c r="D798">
        <v>4</v>
      </c>
      <c r="E798">
        <v>79</v>
      </c>
      <c r="F798">
        <v>0.6</v>
      </c>
      <c r="G798">
        <f>(F798/0.6)/4</f>
        <v>0.25</v>
      </c>
      <c r="H798">
        <f>G798*(11.5/38.29)</f>
        <v>7.508487855837033E-2</v>
      </c>
    </row>
    <row r="799" spans="1:8" x14ac:dyDescent="0.25">
      <c r="A799" s="1">
        <v>1993</v>
      </c>
      <c r="B799" s="1" t="s">
        <v>104</v>
      </c>
      <c r="C799" t="s">
        <v>51</v>
      </c>
      <c r="D799">
        <v>4</v>
      </c>
      <c r="E799">
        <v>79</v>
      </c>
      <c r="F799">
        <v>0.09</v>
      </c>
      <c r="G799">
        <f>(F799/0.6)/4</f>
        <v>3.7499999999999999E-2</v>
      </c>
      <c r="H799">
        <f>G799*(11.5/38.29)</f>
        <v>1.126273178375555E-2</v>
      </c>
    </row>
    <row r="800" spans="1:8" x14ac:dyDescent="0.25">
      <c r="A800" s="1">
        <v>1993</v>
      </c>
      <c r="B800" s="1" t="s">
        <v>104</v>
      </c>
      <c r="C800" t="s">
        <v>51</v>
      </c>
      <c r="D800">
        <v>4</v>
      </c>
      <c r="E800">
        <v>79</v>
      </c>
      <c r="F800">
        <v>7.0000000000000007E-2</v>
      </c>
      <c r="G800">
        <f>(F800/0.6)/4</f>
        <v>2.9166666666666671E-2</v>
      </c>
      <c r="H800">
        <f>G800*(11.5/38.29)</f>
        <v>8.7599024984765395E-3</v>
      </c>
    </row>
    <row r="801" spans="1:8" x14ac:dyDescent="0.25">
      <c r="A801" s="1">
        <v>1993</v>
      </c>
      <c r="B801" s="1" t="s">
        <v>104</v>
      </c>
      <c r="C801" t="s">
        <v>51</v>
      </c>
      <c r="D801">
        <v>4</v>
      </c>
      <c r="E801">
        <v>79</v>
      </c>
      <c r="F801">
        <v>0.28000000000000003</v>
      </c>
      <c r="G801">
        <f>(F801/0.6)/4</f>
        <v>0.11666666666666668</v>
      </c>
      <c r="H801">
        <f>G801*(11.5/38.29)</f>
        <v>3.5039609993906158E-2</v>
      </c>
    </row>
    <row r="802" spans="1:8" x14ac:dyDescent="0.25">
      <c r="A802" s="1">
        <v>1993</v>
      </c>
      <c r="B802" s="1" t="s">
        <v>104</v>
      </c>
      <c r="C802" t="s">
        <v>51</v>
      </c>
      <c r="D802">
        <v>4</v>
      </c>
      <c r="E802">
        <v>79</v>
      </c>
      <c r="F802">
        <v>0.2</v>
      </c>
      <c r="G802">
        <f>(F802/0.6)/4</f>
        <v>8.3333333333333343E-2</v>
      </c>
      <c r="H802">
        <f>G802*(11.5/38.29)</f>
        <v>2.5028292852790113E-2</v>
      </c>
    </row>
    <row r="803" spans="1:8" x14ac:dyDescent="0.25">
      <c r="A803" s="1">
        <v>1993</v>
      </c>
      <c r="B803" s="1" t="s">
        <v>104</v>
      </c>
      <c r="C803" t="s">
        <v>51</v>
      </c>
      <c r="D803">
        <v>4</v>
      </c>
      <c r="E803">
        <v>79</v>
      </c>
      <c r="F803">
        <v>0.94</v>
      </c>
      <c r="G803">
        <f>(F803/0.6)/4</f>
        <v>0.39166666666666666</v>
      </c>
      <c r="H803">
        <f>G803*(11.5/38.29)</f>
        <v>0.11763297640811352</v>
      </c>
    </row>
    <row r="804" spans="1:8" x14ac:dyDescent="0.25">
      <c r="A804" s="1">
        <v>1993</v>
      </c>
      <c r="B804" s="1" t="s">
        <v>104</v>
      </c>
      <c r="C804" t="s">
        <v>51</v>
      </c>
      <c r="D804">
        <v>4</v>
      </c>
      <c r="E804">
        <v>79</v>
      </c>
      <c r="F804">
        <v>0.09</v>
      </c>
      <c r="G804">
        <f>(F804/0.6)/4</f>
        <v>3.7499999999999999E-2</v>
      </c>
      <c r="H804">
        <f>G804*(11.5/38.29)</f>
        <v>1.126273178375555E-2</v>
      </c>
    </row>
    <row r="805" spans="1:8" x14ac:dyDescent="0.25">
      <c r="A805" s="1">
        <v>1993</v>
      </c>
      <c r="B805" s="1" t="s">
        <v>104</v>
      </c>
      <c r="C805" t="s">
        <v>51</v>
      </c>
      <c r="D805">
        <v>4</v>
      </c>
      <c r="E805">
        <v>79</v>
      </c>
      <c r="F805">
        <v>0.1</v>
      </c>
      <c r="G805">
        <f>(F805/0.6)/4</f>
        <v>4.1666666666666671E-2</v>
      </c>
      <c r="H805">
        <f>G805*(11.5/38.29)</f>
        <v>1.2514146426395057E-2</v>
      </c>
    </row>
    <row r="806" spans="1:8" x14ac:dyDescent="0.25">
      <c r="A806" s="1">
        <v>1993</v>
      </c>
      <c r="B806" s="1" t="s">
        <v>104</v>
      </c>
      <c r="C806" t="s">
        <v>51</v>
      </c>
      <c r="D806">
        <v>4</v>
      </c>
      <c r="E806">
        <v>79</v>
      </c>
      <c r="F806">
        <v>0.09</v>
      </c>
      <c r="G806">
        <f>(F806/0.6)/4</f>
        <v>3.7499999999999999E-2</v>
      </c>
      <c r="H806">
        <f>G806*(11.5/38.29)</f>
        <v>1.126273178375555E-2</v>
      </c>
    </row>
    <row r="807" spans="1:8" x14ac:dyDescent="0.25">
      <c r="A807" s="1">
        <v>1993</v>
      </c>
      <c r="B807" s="1" t="s">
        <v>104</v>
      </c>
      <c r="C807" t="s">
        <v>51</v>
      </c>
      <c r="D807">
        <v>4</v>
      </c>
      <c r="E807">
        <v>79</v>
      </c>
      <c r="F807">
        <v>0.77</v>
      </c>
      <c r="G807">
        <f>(F807/0.6)/4</f>
        <v>0.32083333333333336</v>
      </c>
      <c r="H807">
        <f>G807*(11.5/38.29)</f>
        <v>9.635892748324193E-2</v>
      </c>
    </row>
    <row r="808" spans="1:8" x14ac:dyDescent="0.25">
      <c r="A808" s="1">
        <v>1993</v>
      </c>
      <c r="B808" s="1" t="s">
        <v>104</v>
      </c>
      <c r="C808" t="s">
        <v>51</v>
      </c>
      <c r="D808">
        <v>4</v>
      </c>
      <c r="E808">
        <v>79</v>
      </c>
      <c r="F808">
        <v>0.2</v>
      </c>
      <c r="G808">
        <f>(F808/0.6)/4</f>
        <v>8.3333333333333343E-2</v>
      </c>
      <c r="H808">
        <f>G808*(11.5/38.29)</f>
        <v>2.5028292852790113E-2</v>
      </c>
    </row>
    <row r="809" spans="1:8" x14ac:dyDescent="0.25">
      <c r="A809" s="1">
        <v>1993</v>
      </c>
      <c r="B809" s="1" t="s">
        <v>104</v>
      </c>
      <c r="C809" t="s">
        <v>51</v>
      </c>
      <c r="D809">
        <v>4</v>
      </c>
      <c r="E809">
        <v>79</v>
      </c>
      <c r="F809">
        <v>0.12</v>
      </c>
      <c r="G809">
        <f>(F809/0.6)/4</f>
        <v>0.05</v>
      </c>
      <c r="H809">
        <f>G809*(11.5/38.29)</f>
        <v>1.5016975711674067E-2</v>
      </c>
    </row>
    <row r="810" spans="1:8" x14ac:dyDescent="0.25">
      <c r="A810" s="1">
        <v>1993</v>
      </c>
      <c r="B810" s="1" t="s">
        <v>104</v>
      </c>
      <c r="C810" t="s">
        <v>51</v>
      </c>
      <c r="D810">
        <v>4</v>
      </c>
      <c r="E810">
        <v>79</v>
      </c>
      <c r="F810">
        <v>0.33</v>
      </c>
      <c r="G810">
        <f>(F810/0.6)/4</f>
        <v>0.13750000000000001</v>
      </c>
      <c r="H810">
        <f>G810*(11.5/38.29)</f>
        <v>4.1296683207103682E-2</v>
      </c>
    </row>
    <row r="811" spans="1:8" x14ac:dyDescent="0.25">
      <c r="A811" s="1">
        <v>1993</v>
      </c>
      <c r="B811" s="1" t="s">
        <v>104</v>
      </c>
      <c r="C811" t="s">
        <v>51</v>
      </c>
      <c r="D811">
        <v>4</v>
      </c>
      <c r="E811">
        <v>79</v>
      </c>
      <c r="F811">
        <v>0.05</v>
      </c>
      <c r="G811">
        <f>(F811/0.6)/4</f>
        <v>2.0833333333333336E-2</v>
      </c>
      <c r="H811">
        <f>G811*(11.5/38.29)</f>
        <v>6.2570732131975284E-3</v>
      </c>
    </row>
    <row r="812" spans="1:8" x14ac:dyDescent="0.25">
      <c r="A812" s="1">
        <v>1993</v>
      </c>
      <c r="B812" s="1" t="s">
        <v>104</v>
      </c>
      <c r="C812" t="s">
        <v>51</v>
      </c>
      <c r="D812">
        <v>4</v>
      </c>
      <c r="E812">
        <v>85</v>
      </c>
      <c r="F812">
        <v>1.73</v>
      </c>
      <c r="G812">
        <f>(F812/0.6)/4</f>
        <v>0.72083333333333333</v>
      </c>
      <c r="H812">
        <f>G812*(11.5/38.29)</f>
        <v>0.21649473317663445</v>
      </c>
    </row>
    <row r="813" spans="1:8" x14ac:dyDescent="0.25">
      <c r="A813" s="1">
        <v>1993</v>
      </c>
      <c r="B813" s="1" t="s">
        <v>104</v>
      </c>
      <c r="C813" t="s">
        <v>51</v>
      </c>
      <c r="D813">
        <v>4</v>
      </c>
      <c r="E813">
        <v>85</v>
      </c>
      <c r="F813">
        <v>0.05</v>
      </c>
      <c r="G813">
        <f>(F813/0.6)/4</f>
        <v>2.0833333333333336E-2</v>
      </c>
      <c r="H813">
        <f>G813*(11.5/38.29)</f>
        <v>6.2570732131975284E-3</v>
      </c>
    </row>
    <row r="814" spans="1:8" x14ac:dyDescent="0.25">
      <c r="A814" s="1">
        <v>1993</v>
      </c>
      <c r="B814" s="1" t="s">
        <v>104</v>
      </c>
      <c r="C814" t="s">
        <v>51</v>
      </c>
      <c r="D814">
        <v>4</v>
      </c>
      <c r="E814">
        <v>85</v>
      </c>
      <c r="F814">
        <v>1.38</v>
      </c>
      <c r="G814">
        <f>(F814/0.6)/4</f>
        <v>0.57499999999999996</v>
      </c>
      <c r="H814">
        <f>G814*(11.5/38.29)</f>
        <v>0.17269522068425175</v>
      </c>
    </row>
    <row r="815" spans="1:8" x14ac:dyDescent="0.25">
      <c r="A815" s="1">
        <v>1993</v>
      </c>
      <c r="B815" s="1" t="s">
        <v>104</v>
      </c>
      <c r="C815" t="s">
        <v>51</v>
      </c>
      <c r="D815">
        <v>4</v>
      </c>
      <c r="E815">
        <v>85</v>
      </c>
      <c r="F815">
        <v>1.29</v>
      </c>
      <c r="G815">
        <f>(F815/0.6)/4</f>
        <v>0.53750000000000009</v>
      </c>
      <c r="H815">
        <f>G815*(11.5/38.29)</f>
        <v>0.16143248890049625</v>
      </c>
    </row>
    <row r="816" spans="1:8" x14ac:dyDescent="0.25">
      <c r="A816" s="1">
        <v>1993</v>
      </c>
      <c r="B816" s="1" t="s">
        <v>104</v>
      </c>
      <c r="C816" t="s">
        <v>51</v>
      </c>
      <c r="D816">
        <v>4</v>
      </c>
      <c r="E816">
        <v>85</v>
      </c>
      <c r="F816">
        <v>1.5</v>
      </c>
      <c r="G816">
        <f>(F816/0.6)/4</f>
        <v>0.625</v>
      </c>
      <c r="H816">
        <f>G816*(11.5/38.29)</f>
        <v>0.18771219639592582</v>
      </c>
    </row>
    <row r="817" spans="1:8" x14ac:dyDescent="0.25">
      <c r="A817" s="1">
        <v>1993</v>
      </c>
      <c r="B817" s="1" t="s">
        <v>104</v>
      </c>
      <c r="C817" t="s">
        <v>51</v>
      </c>
      <c r="D817">
        <v>4</v>
      </c>
      <c r="E817">
        <v>85</v>
      </c>
      <c r="F817">
        <v>0.05</v>
      </c>
      <c r="G817">
        <f>(F817/0.6)/4</f>
        <v>2.0833333333333336E-2</v>
      </c>
      <c r="H817">
        <f>G817*(11.5/38.29)</f>
        <v>6.2570732131975284E-3</v>
      </c>
    </row>
    <row r="818" spans="1:8" x14ac:dyDescent="0.25">
      <c r="A818" s="1">
        <v>1993</v>
      </c>
      <c r="B818" s="1" t="s">
        <v>104</v>
      </c>
      <c r="C818" t="s">
        <v>51</v>
      </c>
      <c r="D818">
        <v>4</v>
      </c>
      <c r="E818">
        <v>85</v>
      </c>
      <c r="F818">
        <v>1.71</v>
      </c>
      <c r="G818">
        <f>(F818/0.6)/4</f>
        <v>0.71250000000000002</v>
      </c>
      <c r="H818">
        <f>G818*(11.5/38.29)</f>
        <v>0.21399190389135544</v>
      </c>
    </row>
    <row r="819" spans="1:8" x14ac:dyDescent="0.25">
      <c r="A819" s="1">
        <v>1993</v>
      </c>
      <c r="B819" s="1" t="s">
        <v>104</v>
      </c>
      <c r="C819" t="s">
        <v>51</v>
      </c>
      <c r="D819">
        <v>4</v>
      </c>
      <c r="E819">
        <v>85</v>
      </c>
      <c r="F819">
        <v>1.67</v>
      </c>
      <c r="G819">
        <f>(F819/0.6)/4</f>
        <v>0.6958333333333333</v>
      </c>
      <c r="H819">
        <f>G819*(11.5/38.29)</f>
        <v>0.2089862453207974</v>
      </c>
    </row>
    <row r="820" spans="1:8" x14ac:dyDescent="0.25">
      <c r="A820" s="1">
        <v>1993</v>
      </c>
      <c r="B820" s="1" t="s">
        <v>104</v>
      </c>
      <c r="C820" t="s">
        <v>51</v>
      </c>
      <c r="D820">
        <v>4</v>
      </c>
      <c r="E820">
        <v>85</v>
      </c>
      <c r="F820">
        <v>1.31</v>
      </c>
      <c r="G820">
        <f>(F820/0.6)/4</f>
        <v>0.54583333333333339</v>
      </c>
      <c r="H820">
        <f>G820*(11.5/38.29)</f>
        <v>0.16393531818577523</v>
      </c>
    </row>
    <row r="821" spans="1:8" x14ac:dyDescent="0.25">
      <c r="A821" s="1">
        <v>1996</v>
      </c>
      <c r="B821" s="1" t="s">
        <v>104</v>
      </c>
      <c r="C821" t="s">
        <v>51</v>
      </c>
      <c r="D821">
        <v>1</v>
      </c>
      <c r="E821">
        <v>11</v>
      </c>
      <c r="F821">
        <v>0.11</v>
      </c>
      <c r="G821">
        <f>(F821/0.6)/4</f>
        <v>4.5833333333333337E-2</v>
      </c>
      <c r="H821">
        <f>G821*(11.5/38.29)</f>
        <v>1.3765561069034562E-2</v>
      </c>
    </row>
    <row r="822" spans="1:8" x14ac:dyDescent="0.25">
      <c r="A822" s="1">
        <v>1996</v>
      </c>
      <c r="B822" s="1" t="s">
        <v>104</v>
      </c>
      <c r="C822" t="s">
        <v>51</v>
      </c>
      <c r="D822">
        <v>1</v>
      </c>
      <c r="E822">
        <v>29</v>
      </c>
      <c r="F822">
        <v>0.06</v>
      </c>
      <c r="G822">
        <f>(F822/0.6)/4</f>
        <v>2.5000000000000001E-2</v>
      </c>
      <c r="H822">
        <f>G822*(11.5/38.29)</f>
        <v>7.5084878558370335E-3</v>
      </c>
    </row>
    <row r="823" spans="1:8" x14ac:dyDescent="0.25">
      <c r="A823" s="1">
        <v>1996</v>
      </c>
      <c r="B823" s="1" t="s">
        <v>104</v>
      </c>
      <c r="C823" t="s">
        <v>51</v>
      </c>
      <c r="D823">
        <v>1</v>
      </c>
      <c r="E823">
        <v>29</v>
      </c>
      <c r="F823">
        <v>0.11</v>
      </c>
      <c r="G823">
        <f>(F823/0.6)/4</f>
        <v>4.5833333333333337E-2</v>
      </c>
      <c r="H823">
        <f>G823*(11.5/38.29)</f>
        <v>1.3765561069034562E-2</v>
      </c>
    </row>
    <row r="824" spans="1:8" x14ac:dyDescent="0.25">
      <c r="A824" s="1">
        <v>1996</v>
      </c>
      <c r="B824" s="1" t="s">
        <v>104</v>
      </c>
      <c r="C824" t="s">
        <v>51</v>
      </c>
      <c r="D824">
        <v>1</v>
      </c>
      <c r="E824">
        <v>32</v>
      </c>
      <c r="F824">
        <v>0.03</v>
      </c>
      <c r="G824">
        <f>(F824/0.6)/4</f>
        <v>1.2500000000000001E-2</v>
      </c>
      <c r="H824">
        <f>G824*(11.5/38.29)</f>
        <v>3.7542439279185168E-3</v>
      </c>
    </row>
    <row r="825" spans="1:8" x14ac:dyDescent="0.25">
      <c r="A825" s="1">
        <v>1996</v>
      </c>
      <c r="B825" s="1" t="s">
        <v>104</v>
      </c>
      <c r="C825" t="s">
        <v>51</v>
      </c>
      <c r="D825">
        <v>1</v>
      </c>
      <c r="E825">
        <v>32</v>
      </c>
      <c r="F825">
        <v>0.11</v>
      </c>
      <c r="G825">
        <f>(F825/0.6)/4</f>
        <v>4.5833333333333337E-2</v>
      </c>
      <c r="H825">
        <f>G825*(11.5/38.29)</f>
        <v>1.3765561069034562E-2</v>
      </c>
    </row>
    <row r="826" spans="1:8" x14ac:dyDescent="0.25">
      <c r="A826" s="1">
        <v>1996</v>
      </c>
      <c r="B826" s="1" t="s">
        <v>104</v>
      </c>
      <c r="C826" t="s">
        <v>51</v>
      </c>
      <c r="D826">
        <v>1</v>
      </c>
      <c r="E826">
        <v>32</v>
      </c>
      <c r="F826">
        <v>0.08</v>
      </c>
      <c r="G826">
        <f>(F826/0.6)/4</f>
        <v>3.3333333333333333E-2</v>
      </c>
      <c r="H826">
        <f>G826*(11.5/38.29)</f>
        <v>1.0011317141116045E-2</v>
      </c>
    </row>
    <row r="827" spans="1:8" x14ac:dyDescent="0.25">
      <c r="A827" s="1">
        <v>1996</v>
      </c>
      <c r="B827" s="1" t="s">
        <v>104</v>
      </c>
      <c r="C827" t="s">
        <v>51</v>
      </c>
      <c r="D827">
        <v>1</v>
      </c>
      <c r="E827">
        <v>32</v>
      </c>
      <c r="F827">
        <v>7.0000000000000007E-2</v>
      </c>
      <c r="G827">
        <f>(F827/0.6)/4</f>
        <v>2.9166666666666671E-2</v>
      </c>
      <c r="H827">
        <f>G827*(11.5/38.29)</f>
        <v>8.7599024984765395E-3</v>
      </c>
    </row>
    <row r="828" spans="1:8" x14ac:dyDescent="0.25">
      <c r="A828" s="1">
        <v>1996</v>
      </c>
      <c r="B828" s="1" t="s">
        <v>104</v>
      </c>
      <c r="C828" t="s">
        <v>51</v>
      </c>
      <c r="D828">
        <v>1</v>
      </c>
      <c r="E828">
        <v>32</v>
      </c>
      <c r="F828">
        <v>0.03</v>
      </c>
      <c r="G828">
        <f>(F828/0.6)/4</f>
        <v>1.2500000000000001E-2</v>
      </c>
      <c r="H828">
        <f>G828*(11.5/38.29)</f>
        <v>3.7542439279185168E-3</v>
      </c>
    </row>
    <row r="829" spans="1:8" x14ac:dyDescent="0.25">
      <c r="A829" s="1">
        <v>1996</v>
      </c>
      <c r="B829" s="1" t="s">
        <v>104</v>
      </c>
      <c r="C829" t="s">
        <v>51</v>
      </c>
      <c r="D829">
        <v>1</v>
      </c>
      <c r="E829">
        <v>32</v>
      </c>
      <c r="F829">
        <v>0.08</v>
      </c>
      <c r="G829">
        <f>(F829/0.6)/4</f>
        <v>3.3333333333333333E-2</v>
      </c>
      <c r="H829">
        <f>G829*(11.5/38.29)</f>
        <v>1.0011317141116045E-2</v>
      </c>
    </row>
    <row r="830" spans="1:8" x14ac:dyDescent="0.25">
      <c r="A830" s="1">
        <v>1996</v>
      </c>
      <c r="B830" s="1" t="s">
        <v>104</v>
      </c>
      <c r="C830" t="s">
        <v>51</v>
      </c>
      <c r="D830">
        <v>1</v>
      </c>
      <c r="E830">
        <v>32</v>
      </c>
      <c r="F830">
        <v>0.05</v>
      </c>
      <c r="G830">
        <f>(F830/0.6)/4</f>
        <v>2.0833333333333336E-2</v>
      </c>
      <c r="H830">
        <f>G830*(11.5/38.29)</f>
        <v>6.2570732131975284E-3</v>
      </c>
    </row>
    <row r="831" spans="1:8" x14ac:dyDescent="0.25">
      <c r="A831" s="1">
        <v>1996</v>
      </c>
      <c r="B831" s="1" t="s">
        <v>104</v>
      </c>
      <c r="C831" t="s">
        <v>51</v>
      </c>
      <c r="D831">
        <v>1</v>
      </c>
      <c r="E831">
        <v>32</v>
      </c>
      <c r="F831">
        <v>7.0000000000000007E-2</v>
      </c>
      <c r="G831">
        <f>(F831/0.6)/4</f>
        <v>2.9166666666666671E-2</v>
      </c>
      <c r="H831">
        <f>G831*(11.5/38.29)</f>
        <v>8.7599024984765395E-3</v>
      </c>
    </row>
    <row r="832" spans="1:8" x14ac:dyDescent="0.25">
      <c r="A832" s="1">
        <v>1996</v>
      </c>
      <c r="B832" s="1" t="s">
        <v>104</v>
      </c>
      <c r="C832" t="s">
        <v>51</v>
      </c>
      <c r="D832">
        <v>1</v>
      </c>
      <c r="E832">
        <v>32</v>
      </c>
      <c r="F832">
        <v>0.05</v>
      </c>
      <c r="G832">
        <f>(F832/0.6)/4</f>
        <v>2.0833333333333336E-2</v>
      </c>
      <c r="H832">
        <f>G832*(11.5/38.29)</f>
        <v>6.2570732131975284E-3</v>
      </c>
    </row>
    <row r="833" spans="1:8" x14ac:dyDescent="0.25">
      <c r="A833" s="1">
        <v>1996</v>
      </c>
      <c r="B833" s="1" t="s">
        <v>104</v>
      </c>
      <c r="C833" t="s">
        <v>51</v>
      </c>
      <c r="D833">
        <v>1</v>
      </c>
      <c r="E833">
        <v>32</v>
      </c>
      <c r="F833">
        <v>0.08</v>
      </c>
      <c r="G833">
        <f>(F833/0.6)/4</f>
        <v>3.3333333333333333E-2</v>
      </c>
      <c r="H833">
        <f>G833*(11.5/38.29)</f>
        <v>1.0011317141116045E-2</v>
      </c>
    </row>
    <row r="834" spans="1:8" x14ac:dyDescent="0.25">
      <c r="A834" s="1">
        <v>1996</v>
      </c>
      <c r="B834" s="1" t="s">
        <v>104</v>
      </c>
      <c r="C834" t="s">
        <v>51</v>
      </c>
      <c r="D834">
        <v>1</v>
      </c>
      <c r="E834">
        <v>32</v>
      </c>
      <c r="F834">
        <v>0.09</v>
      </c>
      <c r="G834">
        <f>(F834/0.6)/4</f>
        <v>3.7499999999999999E-2</v>
      </c>
      <c r="H834">
        <f>G834*(11.5/38.29)</f>
        <v>1.126273178375555E-2</v>
      </c>
    </row>
    <row r="835" spans="1:8" x14ac:dyDescent="0.25">
      <c r="A835" s="1">
        <v>1996</v>
      </c>
      <c r="B835" s="1" t="s">
        <v>104</v>
      </c>
      <c r="C835" t="s">
        <v>51</v>
      </c>
      <c r="D835">
        <v>1</v>
      </c>
      <c r="E835">
        <v>32</v>
      </c>
      <c r="F835">
        <v>0.11</v>
      </c>
      <c r="G835">
        <f>(F835/0.6)/4</f>
        <v>4.5833333333333337E-2</v>
      </c>
      <c r="H835">
        <f>G835*(11.5/38.29)</f>
        <v>1.3765561069034562E-2</v>
      </c>
    </row>
    <row r="836" spans="1:8" x14ac:dyDescent="0.25">
      <c r="A836" s="1">
        <v>1996</v>
      </c>
      <c r="B836" s="1" t="s">
        <v>104</v>
      </c>
      <c r="C836" t="s">
        <v>51</v>
      </c>
      <c r="D836">
        <v>1</v>
      </c>
      <c r="E836">
        <v>32</v>
      </c>
      <c r="F836">
        <v>0.05</v>
      </c>
      <c r="G836">
        <f>(F836/0.6)/4</f>
        <v>2.0833333333333336E-2</v>
      </c>
      <c r="H836">
        <f>G836*(11.5/38.29)</f>
        <v>6.2570732131975284E-3</v>
      </c>
    </row>
    <row r="837" spans="1:8" x14ac:dyDescent="0.25">
      <c r="A837" s="1">
        <v>1996</v>
      </c>
      <c r="B837" s="1" t="s">
        <v>104</v>
      </c>
      <c r="C837" t="s">
        <v>51</v>
      </c>
      <c r="D837">
        <v>1</v>
      </c>
      <c r="E837">
        <v>32</v>
      </c>
      <c r="F837">
        <v>0.12</v>
      </c>
      <c r="G837">
        <f>(F837/0.6)/4</f>
        <v>0.05</v>
      </c>
      <c r="H837">
        <f>G837*(11.5/38.29)</f>
        <v>1.5016975711674067E-2</v>
      </c>
    </row>
    <row r="838" spans="1:8" x14ac:dyDescent="0.25">
      <c r="A838" s="1">
        <v>1996</v>
      </c>
      <c r="B838" s="1" t="s">
        <v>104</v>
      </c>
      <c r="C838" t="s">
        <v>51</v>
      </c>
      <c r="D838">
        <v>1</v>
      </c>
      <c r="E838">
        <v>32</v>
      </c>
      <c r="F838">
        <v>0.11</v>
      </c>
      <c r="G838">
        <f>(F838/0.6)/4</f>
        <v>4.5833333333333337E-2</v>
      </c>
      <c r="H838">
        <f>G838*(11.5/38.29)</f>
        <v>1.3765561069034562E-2</v>
      </c>
    </row>
    <row r="839" spans="1:8" x14ac:dyDescent="0.25">
      <c r="A839" s="1">
        <v>1996</v>
      </c>
      <c r="B839" s="1" t="s">
        <v>104</v>
      </c>
      <c r="C839" t="s">
        <v>51</v>
      </c>
      <c r="D839">
        <v>1</v>
      </c>
      <c r="E839">
        <v>32</v>
      </c>
      <c r="F839">
        <v>0.04</v>
      </c>
      <c r="G839">
        <f>(F839/0.6)/4</f>
        <v>1.6666666666666666E-2</v>
      </c>
      <c r="H839">
        <f>G839*(11.5/38.29)</f>
        <v>5.0056585705580223E-3</v>
      </c>
    </row>
    <row r="840" spans="1:8" x14ac:dyDescent="0.25">
      <c r="A840" s="1">
        <v>1996</v>
      </c>
      <c r="B840" s="1" t="s">
        <v>104</v>
      </c>
      <c r="C840" t="s">
        <v>51</v>
      </c>
      <c r="D840">
        <v>1</v>
      </c>
      <c r="E840">
        <v>32</v>
      </c>
      <c r="F840">
        <v>7.0000000000000007E-2</v>
      </c>
      <c r="G840">
        <f>(F840/0.6)/4</f>
        <v>2.9166666666666671E-2</v>
      </c>
      <c r="H840">
        <f>G840*(11.5/38.29)</f>
        <v>8.7599024984765395E-3</v>
      </c>
    </row>
    <row r="841" spans="1:8" x14ac:dyDescent="0.25">
      <c r="A841" s="1">
        <v>1996</v>
      </c>
      <c r="B841" s="1" t="s">
        <v>104</v>
      </c>
      <c r="C841" t="s">
        <v>51</v>
      </c>
      <c r="D841">
        <v>1</v>
      </c>
      <c r="E841">
        <v>32</v>
      </c>
      <c r="F841">
        <v>0.03</v>
      </c>
      <c r="G841">
        <f>(F841/0.6)/4</f>
        <v>1.2500000000000001E-2</v>
      </c>
      <c r="H841">
        <f>G841*(11.5/38.29)</f>
        <v>3.7542439279185168E-3</v>
      </c>
    </row>
    <row r="842" spans="1:8" x14ac:dyDescent="0.25">
      <c r="A842" s="1">
        <v>1996</v>
      </c>
      <c r="B842" s="1" t="s">
        <v>104</v>
      </c>
      <c r="C842" t="s">
        <v>51</v>
      </c>
      <c r="D842">
        <v>1</v>
      </c>
      <c r="E842">
        <v>32</v>
      </c>
      <c r="F842">
        <v>0.05</v>
      </c>
      <c r="G842">
        <f>(F842/0.6)/4</f>
        <v>2.0833333333333336E-2</v>
      </c>
      <c r="H842">
        <f>G842*(11.5/38.29)</f>
        <v>6.2570732131975284E-3</v>
      </c>
    </row>
    <row r="843" spans="1:8" x14ac:dyDescent="0.25">
      <c r="A843" s="1">
        <v>1996</v>
      </c>
      <c r="B843" s="1" t="s">
        <v>104</v>
      </c>
      <c r="C843" t="s">
        <v>51</v>
      </c>
      <c r="D843">
        <v>1</v>
      </c>
      <c r="E843">
        <v>32</v>
      </c>
      <c r="F843">
        <v>7.0000000000000007E-2</v>
      </c>
      <c r="G843">
        <f>(F843/0.6)/4</f>
        <v>2.9166666666666671E-2</v>
      </c>
      <c r="H843">
        <f>G843*(11.5/38.29)</f>
        <v>8.7599024984765395E-3</v>
      </c>
    </row>
    <row r="844" spans="1:8" x14ac:dyDescent="0.25">
      <c r="A844" s="1">
        <v>1996</v>
      </c>
      <c r="B844" s="1" t="s">
        <v>104</v>
      </c>
      <c r="C844" t="s">
        <v>51</v>
      </c>
      <c r="D844">
        <v>1</v>
      </c>
      <c r="E844">
        <v>32</v>
      </c>
      <c r="F844">
        <v>0.06</v>
      </c>
      <c r="G844">
        <f>(F844/0.6)/4</f>
        <v>2.5000000000000001E-2</v>
      </c>
      <c r="H844">
        <f>G844*(11.5/38.29)</f>
        <v>7.5084878558370335E-3</v>
      </c>
    </row>
    <row r="845" spans="1:8" x14ac:dyDescent="0.25">
      <c r="A845" s="1">
        <v>1996</v>
      </c>
      <c r="B845" s="1" t="s">
        <v>104</v>
      </c>
      <c r="C845" t="s">
        <v>51</v>
      </c>
      <c r="D845">
        <v>1</v>
      </c>
      <c r="E845">
        <v>32</v>
      </c>
      <c r="F845">
        <v>0.08</v>
      </c>
      <c r="G845">
        <f>(F845/0.6)/4</f>
        <v>3.3333333333333333E-2</v>
      </c>
      <c r="H845">
        <f>G845*(11.5/38.29)</f>
        <v>1.0011317141116045E-2</v>
      </c>
    </row>
    <row r="846" spans="1:8" x14ac:dyDescent="0.25">
      <c r="A846" s="1">
        <v>1996</v>
      </c>
      <c r="B846" s="1" t="s">
        <v>104</v>
      </c>
      <c r="C846" t="s">
        <v>51</v>
      </c>
      <c r="D846">
        <v>1</v>
      </c>
      <c r="E846">
        <v>32</v>
      </c>
      <c r="F846">
        <v>0.1</v>
      </c>
      <c r="G846">
        <f>(F846/0.6)/4</f>
        <v>4.1666666666666671E-2</v>
      </c>
      <c r="H846">
        <f>G846*(11.5/38.29)</f>
        <v>1.2514146426395057E-2</v>
      </c>
    </row>
    <row r="847" spans="1:8" x14ac:dyDescent="0.25">
      <c r="A847" s="1">
        <v>1996</v>
      </c>
      <c r="B847" s="1" t="s">
        <v>104</v>
      </c>
      <c r="C847" t="s">
        <v>51</v>
      </c>
      <c r="D847">
        <v>1</v>
      </c>
      <c r="E847">
        <v>32</v>
      </c>
      <c r="F847">
        <v>0.11</v>
      </c>
      <c r="G847">
        <f>(F847/0.6)/4</f>
        <v>4.5833333333333337E-2</v>
      </c>
      <c r="H847">
        <f>G847*(11.5/38.29)</f>
        <v>1.3765561069034562E-2</v>
      </c>
    </row>
    <row r="848" spans="1:8" x14ac:dyDescent="0.25">
      <c r="A848" s="1">
        <v>1996</v>
      </c>
      <c r="B848" s="1" t="s">
        <v>104</v>
      </c>
      <c r="C848" t="s">
        <v>51</v>
      </c>
      <c r="D848">
        <v>1</v>
      </c>
      <c r="E848">
        <v>32</v>
      </c>
      <c r="F848">
        <v>7.0000000000000007E-2</v>
      </c>
      <c r="G848">
        <f>(F848/0.6)/4</f>
        <v>2.9166666666666671E-2</v>
      </c>
      <c r="H848">
        <f>G848*(11.5/38.29)</f>
        <v>8.7599024984765395E-3</v>
      </c>
    </row>
    <row r="849" spans="1:8" x14ac:dyDescent="0.25">
      <c r="A849" s="1">
        <v>1996</v>
      </c>
      <c r="B849" s="1" t="s">
        <v>104</v>
      </c>
      <c r="C849" t="s">
        <v>51</v>
      </c>
      <c r="D849">
        <v>1</v>
      </c>
      <c r="E849">
        <v>32</v>
      </c>
      <c r="F849">
        <v>0.06</v>
      </c>
      <c r="G849">
        <f>(F849/0.6)/4</f>
        <v>2.5000000000000001E-2</v>
      </c>
      <c r="H849">
        <f>G849*(11.5/38.29)</f>
        <v>7.5084878558370335E-3</v>
      </c>
    </row>
    <row r="850" spans="1:8" x14ac:dyDescent="0.25">
      <c r="A850" s="1">
        <v>1996</v>
      </c>
      <c r="B850" s="1" t="s">
        <v>104</v>
      </c>
      <c r="C850" t="s">
        <v>51</v>
      </c>
      <c r="D850">
        <v>1</v>
      </c>
      <c r="E850">
        <v>32</v>
      </c>
      <c r="F850">
        <v>0.1</v>
      </c>
      <c r="G850">
        <f>(F850/0.6)/4</f>
        <v>4.1666666666666671E-2</v>
      </c>
      <c r="H850">
        <f>G850*(11.5/38.29)</f>
        <v>1.2514146426395057E-2</v>
      </c>
    </row>
    <row r="851" spans="1:8" x14ac:dyDescent="0.25">
      <c r="A851" s="1">
        <v>1996</v>
      </c>
      <c r="B851" s="1" t="s">
        <v>104</v>
      </c>
      <c r="C851" t="s">
        <v>51</v>
      </c>
      <c r="D851">
        <v>1</v>
      </c>
      <c r="E851">
        <v>32</v>
      </c>
      <c r="F851">
        <v>0.05</v>
      </c>
      <c r="G851">
        <f>(F851/0.6)/4</f>
        <v>2.0833333333333336E-2</v>
      </c>
      <c r="H851">
        <f>G851*(11.5/38.29)</f>
        <v>6.2570732131975284E-3</v>
      </c>
    </row>
    <row r="852" spans="1:8" x14ac:dyDescent="0.25">
      <c r="A852" s="1">
        <v>1996</v>
      </c>
      <c r="B852" s="1" t="s">
        <v>104</v>
      </c>
      <c r="C852" t="s">
        <v>51</v>
      </c>
      <c r="D852">
        <v>1</v>
      </c>
      <c r="E852">
        <v>32</v>
      </c>
      <c r="F852">
        <v>0.04</v>
      </c>
      <c r="G852">
        <f>(F852/0.6)/4</f>
        <v>1.6666666666666666E-2</v>
      </c>
      <c r="H852">
        <f>G852*(11.5/38.29)</f>
        <v>5.0056585705580223E-3</v>
      </c>
    </row>
    <row r="853" spans="1:8" x14ac:dyDescent="0.25">
      <c r="A853" s="1">
        <v>1996</v>
      </c>
      <c r="B853" s="1" t="s">
        <v>104</v>
      </c>
      <c r="C853" t="s">
        <v>51</v>
      </c>
      <c r="D853">
        <v>1</v>
      </c>
      <c r="E853">
        <v>32</v>
      </c>
      <c r="F853">
        <v>0.04</v>
      </c>
      <c r="G853">
        <f>(F853/0.6)/4</f>
        <v>1.6666666666666666E-2</v>
      </c>
      <c r="H853">
        <f>G853*(11.5/38.29)</f>
        <v>5.0056585705580223E-3</v>
      </c>
    </row>
    <row r="854" spans="1:8" x14ac:dyDescent="0.25">
      <c r="A854" s="1">
        <v>1996</v>
      </c>
      <c r="B854" s="1" t="s">
        <v>104</v>
      </c>
      <c r="C854" t="s">
        <v>51</v>
      </c>
      <c r="D854">
        <v>1</v>
      </c>
      <c r="E854">
        <v>32</v>
      </c>
      <c r="F854">
        <v>0.04</v>
      </c>
      <c r="G854">
        <f>(F854/0.6)/4</f>
        <v>1.6666666666666666E-2</v>
      </c>
      <c r="H854">
        <f>G854*(11.5/38.29)</f>
        <v>5.0056585705580223E-3</v>
      </c>
    </row>
    <row r="855" spans="1:8" x14ac:dyDescent="0.25">
      <c r="A855" s="1">
        <v>1996</v>
      </c>
      <c r="B855" s="1" t="s">
        <v>104</v>
      </c>
      <c r="C855" t="s">
        <v>51</v>
      </c>
      <c r="D855">
        <v>1</v>
      </c>
      <c r="E855">
        <v>32</v>
      </c>
      <c r="F855">
        <v>0.1</v>
      </c>
      <c r="G855">
        <f>(F855/0.6)/4</f>
        <v>4.1666666666666671E-2</v>
      </c>
      <c r="H855">
        <f>G855*(11.5/38.29)</f>
        <v>1.2514146426395057E-2</v>
      </c>
    </row>
    <row r="856" spans="1:8" x14ac:dyDescent="0.25">
      <c r="A856" s="1">
        <v>1996</v>
      </c>
      <c r="B856" s="1" t="s">
        <v>104</v>
      </c>
      <c r="C856" t="s">
        <v>51</v>
      </c>
      <c r="D856">
        <v>1</v>
      </c>
      <c r="E856">
        <v>32</v>
      </c>
      <c r="F856">
        <v>0.05</v>
      </c>
      <c r="G856">
        <f>(F856/0.6)/4</f>
        <v>2.0833333333333336E-2</v>
      </c>
      <c r="H856">
        <f>G856*(11.5/38.29)</f>
        <v>6.2570732131975284E-3</v>
      </c>
    </row>
    <row r="857" spans="1:8" x14ac:dyDescent="0.25">
      <c r="A857" s="1">
        <v>1996</v>
      </c>
      <c r="B857" s="1" t="s">
        <v>104</v>
      </c>
      <c r="C857" t="s">
        <v>51</v>
      </c>
      <c r="D857">
        <v>1</v>
      </c>
      <c r="E857">
        <v>32</v>
      </c>
      <c r="F857">
        <v>7.0000000000000007E-2</v>
      </c>
      <c r="G857">
        <f>(F857/0.6)/4</f>
        <v>2.9166666666666671E-2</v>
      </c>
      <c r="H857">
        <f>G857*(11.5/38.29)</f>
        <v>8.7599024984765395E-3</v>
      </c>
    </row>
    <row r="858" spans="1:8" x14ac:dyDescent="0.25">
      <c r="A858" s="1">
        <v>1996</v>
      </c>
      <c r="B858" s="1" t="s">
        <v>104</v>
      </c>
      <c r="C858" t="s">
        <v>51</v>
      </c>
      <c r="D858">
        <v>1</v>
      </c>
      <c r="E858">
        <v>32</v>
      </c>
      <c r="F858">
        <v>0.04</v>
      </c>
      <c r="G858">
        <f>(F858/0.6)/4</f>
        <v>1.6666666666666666E-2</v>
      </c>
      <c r="H858">
        <f>G858*(11.5/38.29)</f>
        <v>5.0056585705580223E-3</v>
      </c>
    </row>
    <row r="859" spans="1:8" x14ac:dyDescent="0.25">
      <c r="A859" s="1">
        <v>1996</v>
      </c>
      <c r="B859" s="1" t="s">
        <v>104</v>
      </c>
      <c r="C859" t="s">
        <v>51</v>
      </c>
      <c r="D859">
        <v>1</v>
      </c>
      <c r="E859">
        <v>32</v>
      </c>
      <c r="F859">
        <v>0.13</v>
      </c>
      <c r="G859">
        <f>(F859/0.6)/4</f>
        <v>5.4166666666666669E-2</v>
      </c>
      <c r="H859">
        <f>G859*(11.5/38.29)</f>
        <v>1.6268390354313572E-2</v>
      </c>
    </row>
    <row r="860" spans="1:8" x14ac:dyDescent="0.25">
      <c r="A860" s="1">
        <v>1996</v>
      </c>
      <c r="B860" s="1" t="s">
        <v>104</v>
      </c>
      <c r="C860" t="s">
        <v>51</v>
      </c>
      <c r="D860">
        <v>1</v>
      </c>
      <c r="E860">
        <v>32</v>
      </c>
      <c r="F860">
        <v>0.04</v>
      </c>
      <c r="G860">
        <f>(F860/0.6)/4</f>
        <v>1.6666666666666666E-2</v>
      </c>
      <c r="H860">
        <f>G860*(11.5/38.29)</f>
        <v>5.0056585705580223E-3</v>
      </c>
    </row>
    <row r="861" spans="1:8" x14ac:dyDescent="0.25">
      <c r="A861" s="1">
        <v>1996</v>
      </c>
      <c r="B861" s="1" t="s">
        <v>104</v>
      </c>
      <c r="C861" t="s">
        <v>51</v>
      </c>
      <c r="D861">
        <v>1</v>
      </c>
      <c r="E861">
        <v>32</v>
      </c>
      <c r="F861">
        <v>0.05</v>
      </c>
      <c r="G861">
        <f>(F861/0.6)/4</f>
        <v>2.0833333333333336E-2</v>
      </c>
      <c r="H861">
        <f>G861*(11.5/38.29)</f>
        <v>6.2570732131975284E-3</v>
      </c>
    </row>
    <row r="862" spans="1:8" x14ac:dyDescent="0.25">
      <c r="A862" s="1">
        <v>1996</v>
      </c>
      <c r="B862" s="1" t="s">
        <v>104</v>
      </c>
      <c r="C862" t="s">
        <v>51</v>
      </c>
      <c r="D862">
        <v>1</v>
      </c>
      <c r="E862">
        <v>32</v>
      </c>
      <c r="F862">
        <v>7.0000000000000007E-2</v>
      </c>
      <c r="G862">
        <f>(F862/0.6)/4</f>
        <v>2.9166666666666671E-2</v>
      </c>
      <c r="H862">
        <f>G862*(11.5/38.29)</f>
        <v>8.7599024984765395E-3</v>
      </c>
    </row>
    <row r="863" spans="1:8" x14ac:dyDescent="0.25">
      <c r="A863" s="1">
        <v>1996</v>
      </c>
      <c r="B863" s="1" t="s">
        <v>104</v>
      </c>
      <c r="C863" t="s">
        <v>51</v>
      </c>
      <c r="D863">
        <v>1</v>
      </c>
      <c r="E863">
        <v>32</v>
      </c>
      <c r="F863">
        <v>0.05</v>
      </c>
      <c r="G863">
        <f>(F863/0.6)/4</f>
        <v>2.0833333333333336E-2</v>
      </c>
      <c r="H863">
        <f>G863*(11.5/38.29)</f>
        <v>6.2570732131975284E-3</v>
      </c>
    </row>
    <row r="864" spans="1:8" x14ac:dyDescent="0.25">
      <c r="A864" s="1">
        <v>1996</v>
      </c>
      <c r="B864" s="1" t="s">
        <v>104</v>
      </c>
      <c r="C864" t="s">
        <v>51</v>
      </c>
      <c r="D864">
        <v>1</v>
      </c>
      <c r="E864">
        <v>32</v>
      </c>
      <c r="F864">
        <v>0.1</v>
      </c>
      <c r="G864">
        <f>(F864/0.6)/4</f>
        <v>4.1666666666666671E-2</v>
      </c>
      <c r="H864">
        <f>G864*(11.5/38.29)</f>
        <v>1.2514146426395057E-2</v>
      </c>
    </row>
    <row r="865" spans="1:8" x14ac:dyDescent="0.25">
      <c r="A865" s="1">
        <v>1996</v>
      </c>
      <c r="B865" s="1" t="s">
        <v>104</v>
      </c>
      <c r="C865" t="s">
        <v>51</v>
      </c>
      <c r="D865">
        <v>1</v>
      </c>
      <c r="E865">
        <v>32</v>
      </c>
      <c r="F865">
        <v>7.0000000000000007E-2</v>
      </c>
      <c r="G865">
        <f>(F865/0.6)/4</f>
        <v>2.9166666666666671E-2</v>
      </c>
      <c r="H865">
        <f>G865*(11.5/38.29)</f>
        <v>8.7599024984765395E-3</v>
      </c>
    </row>
    <row r="866" spans="1:8" x14ac:dyDescent="0.25">
      <c r="A866" s="1">
        <v>1996</v>
      </c>
      <c r="B866" s="1" t="s">
        <v>104</v>
      </c>
      <c r="C866" t="s">
        <v>51</v>
      </c>
      <c r="D866">
        <v>1</v>
      </c>
      <c r="E866">
        <v>32</v>
      </c>
      <c r="F866">
        <v>0.09</v>
      </c>
      <c r="G866">
        <f>(F866/0.6)/4</f>
        <v>3.7499999999999999E-2</v>
      </c>
      <c r="H866">
        <f>G866*(11.5/38.29)</f>
        <v>1.126273178375555E-2</v>
      </c>
    </row>
    <row r="867" spans="1:8" x14ac:dyDescent="0.25">
      <c r="A867" s="1">
        <v>1996</v>
      </c>
      <c r="B867" s="1" t="s">
        <v>104</v>
      </c>
      <c r="C867" t="s">
        <v>51</v>
      </c>
      <c r="D867">
        <v>1</v>
      </c>
      <c r="E867">
        <v>32</v>
      </c>
      <c r="F867">
        <v>0.05</v>
      </c>
      <c r="G867">
        <f>(F867/0.6)/4</f>
        <v>2.0833333333333336E-2</v>
      </c>
      <c r="H867">
        <f>G867*(11.5/38.29)</f>
        <v>6.2570732131975284E-3</v>
      </c>
    </row>
    <row r="868" spans="1:8" x14ac:dyDescent="0.25">
      <c r="A868" s="1">
        <v>1996</v>
      </c>
      <c r="B868" s="1" t="s">
        <v>104</v>
      </c>
      <c r="C868" t="s">
        <v>51</v>
      </c>
      <c r="D868">
        <v>1</v>
      </c>
      <c r="E868">
        <v>32</v>
      </c>
      <c r="F868">
        <v>0.06</v>
      </c>
      <c r="G868">
        <f>(F868/0.6)/4</f>
        <v>2.5000000000000001E-2</v>
      </c>
      <c r="H868">
        <f>G868*(11.5/38.29)</f>
        <v>7.5084878558370335E-3</v>
      </c>
    </row>
    <row r="869" spans="1:8" x14ac:dyDescent="0.25">
      <c r="A869" s="1">
        <v>1996</v>
      </c>
      <c r="B869" s="1" t="s">
        <v>104</v>
      </c>
      <c r="C869" t="s">
        <v>51</v>
      </c>
      <c r="D869">
        <v>1</v>
      </c>
      <c r="E869">
        <v>32</v>
      </c>
      <c r="F869">
        <v>0.09</v>
      </c>
      <c r="G869">
        <f>(F869/0.6)/4</f>
        <v>3.7499999999999999E-2</v>
      </c>
      <c r="H869">
        <f>G869*(11.5/38.29)</f>
        <v>1.126273178375555E-2</v>
      </c>
    </row>
    <row r="870" spans="1:8" x14ac:dyDescent="0.25">
      <c r="A870" s="1">
        <v>1996</v>
      </c>
      <c r="B870" s="1" t="s">
        <v>104</v>
      </c>
      <c r="C870" t="s">
        <v>51</v>
      </c>
      <c r="D870">
        <v>1</v>
      </c>
      <c r="E870">
        <v>32</v>
      </c>
      <c r="F870">
        <v>0.1</v>
      </c>
      <c r="G870">
        <f>(F870/0.6)/4</f>
        <v>4.1666666666666671E-2</v>
      </c>
      <c r="H870">
        <f>G870*(11.5/38.29)</f>
        <v>1.2514146426395057E-2</v>
      </c>
    </row>
    <row r="871" spans="1:8" x14ac:dyDescent="0.25">
      <c r="A871" s="1">
        <v>1996</v>
      </c>
      <c r="B871" s="1" t="s">
        <v>104</v>
      </c>
      <c r="C871" t="s">
        <v>51</v>
      </c>
      <c r="D871">
        <v>1</v>
      </c>
      <c r="E871">
        <v>32</v>
      </c>
      <c r="F871">
        <v>0.08</v>
      </c>
      <c r="G871">
        <f>(F871/0.6)/4</f>
        <v>3.3333333333333333E-2</v>
      </c>
      <c r="H871">
        <f>G871*(11.5/38.29)</f>
        <v>1.0011317141116045E-2</v>
      </c>
    </row>
    <row r="872" spans="1:8" x14ac:dyDescent="0.25">
      <c r="A872" s="1">
        <v>1996</v>
      </c>
      <c r="B872" s="1" t="s">
        <v>104</v>
      </c>
      <c r="C872" t="s">
        <v>51</v>
      </c>
      <c r="D872">
        <v>1</v>
      </c>
      <c r="E872">
        <v>32</v>
      </c>
      <c r="F872">
        <v>0.06</v>
      </c>
      <c r="G872">
        <f>(F872/0.6)/4</f>
        <v>2.5000000000000001E-2</v>
      </c>
      <c r="H872">
        <f>G872*(11.5/38.29)</f>
        <v>7.5084878558370335E-3</v>
      </c>
    </row>
    <row r="873" spans="1:8" x14ac:dyDescent="0.25">
      <c r="A873" s="1">
        <v>1996</v>
      </c>
      <c r="B873" s="1" t="s">
        <v>104</v>
      </c>
      <c r="C873" t="s">
        <v>51</v>
      </c>
      <c r="D873">
        <v>1</v>
      </c>
      <c r="E873">
        <v>32</v>
      </c>
      <c r="F873">
        <v>7.0000000000000007E-2</v>
      </c>
      <c r="G873">
        <f>(F873/0.6)/4</f>
        <v>2.9166666666666671E-2</v>
      </c>
      <c r="H873">
        <f>G873*(11.5/38.29)</f>
        <v>8.7599024984765395E-3</v>
      </c>
    </row>
    <row r="874" spans="1:8" x14ac:dyDescent="0.25">
      <c r="A874" s="1">
        <v>1996</v>
      </c>
      <c r="B874" s="1" t="s">
        <v>104</v>
      </c>
      <c r="C874" t="s">
        <v>51</v>
      </c>
      <c r="D874">
        <v>1</v>
      </c>
      <c r="E874">
        <v>32</v>
      </c>
      <c r="F874">
        <v>7.0000000000000007E-2</v>
      </c>
      <c r="G874">
        <f>(F874/0.6)/4</f>
        <v>2.9166666666666671E-2</v>
      </c>
      <c r="H874">
        <f>G874*(11.5/38.29)</f>
        <v>8.7599024984765395E-3</v>
      </c>
    </row>
    <row r="875" spans="1:8" x14ac:dyDescent="0.25">
      <c r="A875" s="1">
        <v>1996</v>
      </c>
      <c r="B875" s="1" t="s">
        <v>104</v>
      </c>
      <c r="C875" t="s">
        <v>51</v>
      </c>
      <c r="D875">
        <v>1</v>
      </c>
      <c r="E875">
        <v>32</v>
      </c>
      <c r="F875">
        <v>0.05</v>
      </c>
      <c r="G875">
        <f>(F875/0.6)/4</f>
        <v>2.0833333333333336E-2</v>
      </c>
      <c r="H875">
        <f>G875*(11.5/38.29)</f>
        <v>6.2570732131975284E-3</v>
      </c>
    </row>
    <row r="876" spans="1:8" x14ac:dyDescent="0.25">
      <c r="A876" s="1">
        <v>1996</v>
      </c>
      <c r="B876" s="1" t="s">
        <v>104</v>
      </c>
      <c r="C876" t="s">
        <v>51</v>
      </c>
      <c r="D876">
        <v>1</v>
      </c>
      <c r="E876">
        <v>32</v>
      </c>
      <c r="F876">
        <v>7.0000000000000007E-2</v>
      </c>
      <c r="G876">
        <f>(F876/0.6)/4</f>
        <v>2.9166666666666671E-2</v>
      </c>
      <c r="H876">
        <f>G876*(11.5/38.29)</f>
        <v>8.7599024984765395E-3</v>
      </c>
    </row>
    <row r="877" spans="1:8" x14ac:dyDescent="0.25">
      <c r="A877" s="1">
        <v>1996</v>
      </c>
      <c r="B877" s="1" t="s">
        <v>104</v>
      </c>
      <c r="C877" t="s">
        <v>51</v>
      </c>
      <c r="D877">
        <v>1</v>
      </c>
      <c r="E877">
        <v>32</v>
      </c>
      <c r="F877">
        <v>0.04</v>
      </c>
      <c r="G877">
        <f>(F877/0.6)/4</f>
        <v>1.6666666666666666E-2</v>
      </c>
      <c r="H877">
        <f>G877*(11.5/38.29)</f>
        <v>5.0056585705580223E-3</v>
      </c>
    </row>
    <row r="878" spans="1:8" x14ac:dyDescent="0.25">
      <c r="A878" s="1">
        <v>1996</v>
      </c>
      <c r="B878" s="1" t="s">
        <v>104</v>
      </c>
      <c r="C878" t="s">
        <v>51</v>
      </c>
      <c r="D878">
        <v>1</v>
      </c>
      <c r="E878">
        <v>32</v>
      </c>
      <c r="F878">
        <v>7.0000000000000007E-2</v>
      </c>
      <c r="G878">
        <f>(F878/0.6)/4</f>
        <v>2.9166666666666671E-2</v>
      </c>
      <c r="H878">
        <f>G878*(11.5/38.29)</f>
        <v>8.7599024984765395E-3</v>
      </c>
    </row>
    <row r="879" spans="1:8" x14ac:dyDescent="0.25">
      <c r="A879" s="1">
        <v>1996</v>
      </c>
      <c r="B879" s="1" t="s">
        <v>104</v>
      </c>
      <c r="C879" t="s">
        <v>51</v>
      </c>
      <c r="D879">
        <v>1</v>
      </c>
      <c r="E879">
        <v>32</v>
      </c>
      <c r="F879">
        <v>0.08</v>
      </c>
      <c r="G879">
        <f>(F879/0.6)/4</f>
        <v>3.3333333333333333E-2</v>
      </c>
      <c r="H879">
        <f>G879*(11.5/38.29)</f>
        <v>1.0011317141116045E-2</v>
      </c>
    </row>
    <row r="880" spans="1:8" x14ac:dyDescent="0.25">
      <c r="A880" s="1">
        <v>1996</v>
      </c>
      <c r="B880" s="1" t="s">
        <v>104</v>
      </c>
      <c r="C880" t="s">
        <v>51</v>
      </c>
      <c r="D880">
        <v>1</v>
      </c>
      <c r="E880">
        <v>32</v>
      </c>
      <c r="F880">
        <v>0.04</v>
      </c>
      <c r="G880">
        <f>(F880/0.6)/4</f>
        <v>1.6666666666666666E-2</v>
      </c>
      <c r="H880">
        <f>G880*(11.5/38.29)</f>
        <v>5.0056585705580223E-3</v>
      </c>
    </row>
    <row r="881" spans="1:8" x14ac:dyDescent="0.25">
      <c r="A881" s="1">
        <v>1996</v>
      </c>
      <c r="B881" s="1" t="s">
        <v>104</v>
      </c>
      <c r="C881" t="s">
        <v>51</v>
      </c>
      <c r="D881">
        <v>1</v>
      </c>
      <c r="E881">
        <v>32</v>
      </c>
      <c r="F881">
        <v>0.05</v>
      </c>
      <c r="G881">
        <f>(F881/0.6)/4</f>
        <v>2.0833333333333336E-2</v>
      </c>
      <c r="H881">
        <f>G881*(11.5/38.29)</f>
        <v>6.2570732131975284E-3</v>
      </c>
    </row>
    <row r="882" spans="1:8" x14ac:dyDescent="0.25">
      <c r="A882" s="1">
        <v>1996</v>
      </c>
      <c r="B882" s="1" t="s">
        <v>104</v>
      </c>
      <c r="C882" t="s">
        <v>51</v>
      </c>
      <c r="D882">
        <v>1</v>
      </c>
      <c r="E882">
        <v>32</v>
      </c>
      <c r="F882">
        <v>0.11</v>
      </c>
      <c r="G882">
        <f>(F882/0.6)/4</f>
        <v>4.5833333333333337E-2</v>
      </c>
      <c r="H882">
        <f>G882*(11.5/38.29)</f>
        <v>1.3765561069034562E-2</v>
      </c>
    </row>
    <row r="883" spans="1:8" x14ac:dyDescent="0.25">
      <c r="A883" s="1">
        <v>1996</v>
      </c>
      <c r="B883" s="1" t="s">
        <v>104</v>
      </c>
      <c r="C883" t="s">
        <v>51</v>
      </c>
      <c r="D883">
        <v>1</v>
      </c>
      <c r="E883">
        <v>63</v>
      </c>
      <c r="F883">
        <v>0.11</v>
      </c>
      <c r="G883">
        <f>(F883/0.6)/4</f>
        <v>4.5833333333333337E-2</v>
      </c>
      <c r="H883">
        <f>G883*(11.5/38.29)</f>
        <v>1.3765561069034562E-2</v>
      </c>
    </row>
    <row r="884" spans="1:8" x14ac:dyDescent="0.25">
      <c r="A884" s="1">
        <v>1996</v>
      </c>
      <c r="B884" s="1" t="s">
        <v>104</v>
      </c>
      <c r="C884" t="s">
        <v>51</v>
      </c>
      <c r="D884">
        <v>1</v>
      </c>
      <c r="E884">
        <v>63</v>
      </c>
      <c r="F884">
        <v>0.08</v>
      </c>
      <c r="G884">
        <f>(F884/0.6)/4</f>
        <v>3.3333333333333333E-2</v>
      </c>
      <c r="H884">
        <f>G884*(11.5/38.29)</f>
        <v>1.0011317141116045E-2</v>
      </c>
    </row>
    <row r="885" spans="1:8" x14ac:dyDescent="0.25">
      <c r="A885" s="1">
        <v>1996</v>
      </c>
      <c r="B885" s="1" t="s">
        <v>104</v>
      </c>
      <c r="C885" t="s">
        <v>51</v>
      </c>
      <c r="D885">
        <v>1</v>
      </c>
      <c r="E885">
        <v>63</v>
      </c>
      <c r="F885">
        <v>0.04</v>
      </c>
      <c r="G885">
        <f>(F885/0.6)/4</f>
        <v>1.6666666666666666E-2</v>
      </c>
      <c r="H885">
        <f>G885*(11.5/38.29)</f>
        <v>5.0056585705580223E-3</v>
      </c>
    </row>
    <row r="886" spans="1:8" x14ac:dyDescent="0.25">
      <c r="A886" s="1">
        <v>1996</v>
      </c>
      <c r="B886" s="1" t="s">
        <v>104</v>
      </c>
      <c r="C886" t="s">
        <v>51</v>
      </c>
      <c r="D886">
        <v>1</v>
      </c>
      <c r="E886">
        <v>63</v>
      </c>
      <c r="F886">
        <v>0.05</v>
      </c>
      <c r="G886">
        <f>(F886/0.6)/4</f>
        <v>2.0833333333333336E-2</v>
      </c>
      <c r="H886">
        <f>G886*(11.5/38.29)</f>
        <v>6.2570732131975284E-3</v>
      </c>
    </row>
    <row r="887" spans="1:8" x14ac:dyDescent="0.25">
      <c r="A887" s="1">
        <v>1996</v>
      </c>
      <c r="B887" s="1" t="s">
        <v>104</v>
      </c>
      <c r="C887" t="s">
        <v>51</v>
      </c>
      <c r="D887">
        <v>1</v>
      </c>
      <c r="E887">
        <v>63</v>
      </c>
      <c r="F887">
        <v>0.04</v>
      </c>
      <c r="G887">
        <f>(F887/0.6)/4</f>
        <v>1.6666666666666666E-2</v>
      </c>
      <c r="H887">
        <f>G887*(11.5/38.29)</f>
        <v>5.0056585705580223E-3</v>
      </c>
    </row>
    <row r="888" spans="1:8" x14ac:dyDescent="0.25">
      <c r="A888" s="1">
        <v>1996</v>
      </c>
      <c r="B888" s="1" t="s">
        <v>104</v>
      </c>
      <c r="C888" t="s">
        <v>51</v>
      </c>
      <c r="D888">
        <v>1</v>
      </c>
      <c r="E888">
        <v>63</v>
      </c>
      <c r="F888">
        <v>0.06</v>
      </c>
      <c r="G888">
        <f>(F888/0.6)/4</f>
        <v>2.5000000000000001E-2</v>
      </c>
      <c r="H888">
        <f>G888*(11.5/38.29)</f>
        <v>7.5084878558370335E-3</v>
      </c>
    </row>
    <row r="889" spans="1:8" x14ac:dyDescent="0.25">
      <c r="A889" s="1">
        <v>1996</v>
      </c>
      <c r="B889" s="1" t="s">
        <v>104</v>
      </c>
      <c r="C889" t="s">
        <v>51</v>
      </c>
      <c r="D889">
        <v>1</v>
      </c>
      <c r="E889">
        <v>63</v>
      </c>
      <c r="F889">
        <v>7.0000000000000007E-2</v>
      </c>
      <c r="G889">
        <f>(F889/0.6)/4</f>
        <v>2.9166666666666671E-2</v>
      </c>
      <c r="H889">
        <f>G889*(11.5/38.29)</f>
        <v>8.7599024984765395E-3</v>
      </c>
    </row>
    <row r="890" spans="1:8" x14ac:dyDescent="0.25">
      <c r="A890" s="1">
        <v>1996</v>
      </c>
      <c r="B890" s="1" t="s">
        <v>104</v>
      </c>
      <c r="C890" t="s">
        <v>51</v>
      </c>
      <c r="D890">
        <v>1</v>
      </c>
      <c r="E890">
        <v>63</v>
      </c>
      <c r="F890">
        <v>0.03</v>
      </c>
      <c r="G890">
        <f>(F890/0.6)/4</f>
        <v>1.2500000000000001E-2</v>
      </c>
      <c r="H890">
        <f>G890*(11.5/38.29)</f>
        <v>3.7542439279185168E-3</v>
      </c>
    </row>
    <row r="891" spans="1:8" x14ac:dyDescent="0.25">
      <c r="A891" s="1">
        <v>1996</v>
      </c>
      <c r="B891" s="1" t="s">
        <v>104</v>
      </c>
      <c r="C891" t="s">
        <v>51</v>
      </c>
      <c r="D891">
        <v>1</v>
      </c>
      <c r="E891">
        <v>63</v>
      </c>
      <c r="F891">
        <v>0.04</v>
      </c>
      <c r="G891">
        <f>(F891/0.6)/4</f>
        <v>1.6666666666666666E-2</v>
      </c>
      <c r="H891">
        <f>G891*(11.5/38.29)</f>
        <v>5.0056585705580223E-3</v>
      </c>
    </row>
    <row r="892" spans="1:8" x14ac:dyDescent="0.25">
      <c r="A892" s="1">
        <v>1996</v>
      </c>
      <c r="B892" s="1" t="s">
        <v>104</v>
      </c>
      <c r="C892" t="s">
        <v>51</v>
      </c>
      <c r="D892">
        <v>1</v>
      </c>
      <c r="E892">
        <v>63</v>
      </c>
      <c r="F892">
        <v>0.04</v>
      </c>
      <c r="G892">
        <f>(F892/0.6)/4</f>
        <v>1.6666666666666666E-2</v>
      </c>
      <c r="H892">
        <f>G892*(11.5/38.29)</f>
        <v>5.0056585705580223E-3</v>
      </c>
    </row>
    <row r="893" spans="1:8" x14ac:dyDescent="0.25">
      <c r="A893" s="1">
        <v>1996</v>
      </c>
      <c r="B893" s="1" t="s">
        <v>104</v>
      </c>
      <c r="C893" t="s">
        <v>51</v>
      </c>
      <c r="D893">
        <v>1</v>
      </c>
      <c r="E893">
        <v>79</v>
      </c>
      <c r="F893">
        <v>0.06</v>
      </c>
      <c r="G893">
        <f>(F893/0.6)/4</f>
        <v>2.5000000000000001E-2</v>
      </c>
      <c r="H893">
        <f>G893*(11.5/38.29)</f>
        <v>7.5084878558370335E-3</v>
      </c>
    </row>
    <row r="894" spans="1:8" x14ac:dyDescent="0.25">
      <c r="A894" s="1">
        <v>1996</v>
      </c>
      <c r="B894" s="1" t="s">
        <v>104</v>
      </c>
      <c r="C894" t="s">
        <v>51</v>
      </c>
      <c r="D894">
        <v>1</v>
      </c>
      <c r="E894">
        <v>79</v>
      </c>
      <c r="F894">
        <v>0.05</v>
      </c>
      <c r="G894">
        <f>(F894/0.6)/4</f>
        <v>2.0833333333333336E-2</v>
      </c>
      <c r="H894">
        <f>G894*(11.5/38.29)</f>
        <v>6.2570732131975284E-3</v>
      </c>
    </row>
    <row r="895" spans="1:8" x14ac:dyDescent="0.25">
      <c r="A895" s="1">
        <v>1996</v>
      </c>
      <c r="B895" s="1" t="s">
        <v>104</v>
      </c>
      <c r="C895" t="s">
        <v>51</v>
      </c>
      <c r="D895">
        <v>1</v>
      </c>
      <c r="E895">
        <v>79</v>
      </c>
      <c r="F895">
        <v>0.11</v>
      </c>
      <c r="G895">
        <f>(F895/0.6)/4</f>
        <v>4.5833333333333337E-2</v>
      </c>
      <c r="H895">
        <f>G895*(11.5/38.29)</f>
        <v>1.3765561069034562E-2</v>
      </c>
    </row>
    <row r="896" spans="1:8" x14ac:dyDescent="0.25">
      <c r="A896" s="1">
        <v>1996</v>
      </c>
      <c r="B896" s="1" t="s">
        <v>104</v>
      </c>
      <c r="C896" t="s">
        <v>51</v>
      </c>
      <c r="D896">
        <v>1</v>
      </c>
      <c r="E896">
        <v>79</v>
      </c>
      <c r="F896">
        <v>0.06</v>
      </c>
      <c r="G896">
        <f>(F896/0.6)/4</f>
        <v>2.5000000000000001E-2</v>
      </c>
      <c r="H896">
        <f>G896*(11.5/38.29)</f>
        <v>7.5084878558370335E-3</v>
      </c>
    </row>
    <row r="897" spans="1:8" x14ac:dyDescent="0.25">
      <c r="A897" s="1">
        <v>1996</v>
      </c>
      <c r="B897" s="1" t="s">
        <v>104</v>
      </c>
      <c r="C897" t="s">
        <v>51</v>
      </c>
      <c r="D897">
        <v>1</v>
      </c>
      <c r="E897">
        <v>79</v>
      </c>
      <c r="F897">
        <v>7.0000000000000007E-2</v>
      </c>
      <c r="G897">
        <f>(F897/0.6)/4</f>
        <v>2.9166666666666671E-2</v>
      </c>
      <c r="H897">
        <f>G897*(11.5/38.29)</f>
        <v>8.7599024984765395E-3</v>
      </c>
    </row>
    <row r="898" spans="1:8" x14ac:dyDescent="0.25">
      <c r="A898" s="1">
        <v>1996</v>
      </c>
      <c r="B898" s="1" t="s">
        <v>104</v>
      </c>
      <c r="C898" t="s">
        <v>51</v>
      </c>
      <c r="D898">
        <v>1</v>
      </c>
      <c r="E898">
        <v>79</v>
      </c>
      <c r="F898">
        <v>0.1</v>
      </c>
      <c r="G898">
        <f>(F898/0.6)/4</f>
        <v>4.1666666666666671E-2</v>
      </c>
      <c r="H898">
        <f>G898*(11.5/38.29)</f>
        <v>1.2514146426395057E-2</v>
      </c>
    </row>
    <row r="899" spans="1:8" x14ac:dyDescent="0.25">
      <c r="A899" s="1">
        <v>1996</v>
      </c>
      <c r="B899" s="1" t="s">
        <v>104</v>
      </c>
      <c r="C899" t="s">
        <v>51</v>
      </c>
      <c r="D899">
        <v>1</v>
      </c>
      <c r="E899">
        <v>79</v>
      </c>
      <c r="F899">
        <v>0.06</v>
      </c>
      <c r="G899">
        <f>(F899/0.6)/4</f>
        <v>2.5000000000000001E-2</v>
      </c>
      <c r="H899">
        <f>G899*(11.5/38.29)</f>
        <v>7.5084878558370335E-3</v>
      </c>
    </row>
    <row r="900" spans="1:8" x14ac:dyDescent="0.25">
      <c r="A900" s="1">
        <v>1996</v>
      </c>
      <c r="B900" s="1" t="s">
        <v>104</v>
      </c>
      <c r="C900" t="s">
        <v>51</v>
      </c>
      <c r="D900">
        <v>1</v>
      </c>
      <c r="E900">
        <v>79</v>
      </c>
      <c r="F900">
        <v>0.11</v>
      </c>
      <c r="G900">
        <f>(F900/0.6)/4</f>
        <v>4.5833333333333337E-2</v>
      </c>
      <c r="H900">
        <f>G900*(11.5/38.29)</f>
        <v>1.3765561069034562E-2</v>
      </c>
    </row>
    <row r="901" spans="1:8" x14ac:dyDescent="0.25">
      <c r="A901" s="1">
        <v>1996</v>
      </c>
      <c r="B901" s="1" t="s">
        <v>104</v>
      </c>
      <c r="C901" t="s">
        <v>51</v>
      </c>
      <c r="D901">
        <v>1</v>
      </c>
      <c r="E901">
        <v>79</v>
      </c>
      <c r="F901">
        <v>7.0000000000000007E-2</v>
      </c>
      <c r="G901">
        <f>(F901/0.6)/4</f>
        <v>2.9166666666666671E-2</v>
      </c>
      <c r="H901">
        <f>G901*(11.5/38.29)</f>
        <v>8.7599024984765395E-3</v>
      </c>
    </row>
    <row r="902" spans="1:8" x14ac:dyDescent="0.25">
      <c r="A902" s="1">
        <v>1996</v>
      </c>
      <c r="B902" s="1" t="s">
        <v>104</v>
      </c>
      <c r="C902" t="s">
        <v>51</v>
      </c>
      <c r="D902">
        <v>1</v>
      </c>
      <c r="E902">
        <v>79</v>
      </c>
      <c r="F902">
        <v>0.06</v>
      </c>
      <c r="G902">
        <f>(F902/0.6)/4</f>
        <v>2.5000000000000001E-2</v>
      </c>
      <c r="H902">
        <f>G902*(11.5/38.29)</f>
        <v>7.5084878558370335E-3</v>
      </c>
    </row>
    <row r="903" spans="1:8" x14ac:dyDescent="0.25">
      <c r="A903" s="1">
        <v>1996</v>
      </c>
      <c r="B903" s="1" t="s">
        <v>104</v>
      </c>
      <c r="C903" t="s">
        <v>51</v>
      </c>
      <c r="D903">
        <v>1</v>
      </c>
      <c r="E903">
        <v>79</v>
      </c>
      <c r="F903">
        <v>0.13</v>
      </c>
      <c r="G903">
        <f>(F903/0.6)/4</f>
        <v>5.4166666666666669E-2</v>
      </c>
      <c r="H903">
        <f>G903*(11.5/38.29)</f>
        <v>1.6268390354313572E-2</v>
      </c>
    </row>
    <row r="904" spans="1:8" x14ac:dyDescent="0.25">
      <c r="A904" s="1">
        <v>1996</v>
      </c>
      <c r="B904" s="1" t="s">
        <v>104</v>
      </c>
      <c r="C904" t="s">
        <v>51</v>
      </c>
      <c r="D904">
        <v>1</v>
      </c>
      <c r="E904">
        <v>79</v>
      </c>
      <c r="F904">
        <v>7.0000000000000007E-2</v>
      </c>
      <c r="G904">
        <f>(F904/0.6)/4</f>
        <v>2.9166666666666671E-2</v>
      </c>
      <c r="H904">
        <f>G904*(11.5/38.29)</f>
        <v>8.7599024984765395E-3</v>
      </c>
    </row>
    <row r="905" spans="1:8" x14ac:dyDescent="0.25">
      <c r="A905" s="1">
        <v>1996</v>
      </c>
      <c r="B905" s="1" t="s">
        <v>104</v>
      </c>
      <c r="C905" t="s">
        <v>51</v>
      </c>
      <c r="D905">
        <v>1</v>
      </c>
      <c r="E905">
        <v>85</v>
      </c>
      <c r="F905">
        <v>0.06</v>
      </c>
      <c r="G905">
        <f>(F905/0.6)/4</f>
        <v>2.5000000000000001E-2</v>
      </c>
      <c r="H905">
        <f>G905*(11.5/38.29)</f>
        <v>7.5084878558370335E-3</v>
      </c>
    </row>
    <row r="906" spans="1:8" x14ac:dyDescent="0.25">
      <c r="A906" s="1">
        <v>1996</v>
      </c>
      <c r="B906" s="1" t="s">
        <v>104</v>
      </c>
      <c r="C906" t="s">
        <v>51</v>
      </c>
      <c r="D906">
        <v>1</v>
      </c>
      <c r="E906">
        <v>85</v>
      </c>
      <c r="F906">
        <v>7.0000000000000007E-2</v>
      </c>
      <c r="G906">
        <f>(F906/0.6)/4</f>
        <v>2.9166666666666671E-2</v>
      </c>
      <c r="H906">
        <f>G906*(11.5/38.29)</f>
        <v>8.7599024984765395E-3</v>
      </c>
    </row>
    <row r="907" spans="1:8" x14ac:dyDescent="0.25">
      <c r="A907" s="1">
        <v>1996</v>
      </c>
      <c r="B907" s="1" t="s">
        <v>104</v>
      </c>
      <c r="C907" t="s">
        <v>51</v>
      </c>
      <c r="D907">
        <v>2</v>
      </c>
      <c r="E907">
        <v>29</v>
      </c>
      <c r="F907">
        <v>0.11</v>
      </c>
      <c r="G907">
        <f>(F907/0.6)/4</f>
        <v>4.5833333333333337E-2</v>
      </c>
      <c r="H907">
        <f>G907*(11.5/38.29)</f>
        <v>1.3765561069034562E-2</v>
      </c>
    </row>
    <row r="908" spans="1:8" x14ac:dyDescent="0.25">
      <c r="A908" s="1">
        <v>1996</v>
      </c>
      <c r="B908" s="1" t="s">
        <v>104</v>
      </c>
      <c r="C908" t="s">
        <v>51</v>
      </c>
      <c r="D908">
        <v>2</v>
      </c>
      <c r="E908">
        <v>29</v>
      </c>
      <c r="F908">
        <v>0.09</v>
      </c>
      <c r="G908">
        <f>(F908/0.6)/4</f>
        <v>3.7499999999999999E-2</v>
      </c>
      <c r="H908">
        <f>G908*(11.5/38.29)</f>
        <v>1.126273178375555E-2</v>
      </c>
    </row>
    <row r="909" spans="1:8" x14ac:dyDescent="0.25">
      <c r="A909" s="1">
        <v>1996</v>
      </c>
      <c r="B909" s="1" t="s">
        <v>104</v>
      </c>
      <c r="C909" t="s">
        <v>51</v>
      </c>
      <c r="D909">
        <v>2</v>
      </c>
      <c r="E909">
        <v>29</v>
      </c>
      <c r="F909">
        <v>0.04</v>
      </c>
      <c r="G909">
        <f>(F909/0.6)/4</f>
        <v>1.6666666666666666E-2</v>
      </c>
      <c r="H909">
        <f>G909*(11.5/38.29)</f>
        <v>5.0056585705580223E-3</v>
      </c>
    </row>
    <row r="910" spans="1:8" x14ac:dyDescent="0.25">
      <c r="A910" s="1">
        <v>1996</v>
      </c>
      <c r="B910" s="1" t="s">
        <v>104</v>
      </c>
      <c r="C910" t="s">
        <v>51</v>
      </c>
      <c r="D910">
        <v>2</v>
      </c>
      <c r="E910">
        <v>29</v>
      </c>
      <c r="F910">
        <v>0.05</v>
      </c>
      <c r="G910">
        <f>(F910/0.6)/4</f>
        <v>2.0833333333333336E-2</v>
      </c>
      <c r="H910">
        <f>G910*(11.5/38.29)</f>
        <v>6.2570732131975284E-3</v>
      </c>
    </row>
    <row r="911" spans="1:8" x14ac:dyDescent="0.25">
      <c r="A911" s="1">
        <v>1996</v>
      </c>
      <c r="B911" s="1" t="s">
        <v>104</v>
      </c>
      <c r="C911" t="s">
        <v>51</v>
      </c>
      <c r="D911">
        <v>2</v>
      </c>
      <c r="E911">
        <v>29</v>
      </c>
      <c r="F911">
        <v>0.06</v>
      </c>
      <c r="G911">
        <f>(F911/0.6)/4</f>
        <v>2.5000000000000001E-2</v>
      </c>
      <c r="H911">
        <f>G911*(11.5/38.29)</f>
        <v>7.5084878558370335E-3</v>
      </c>
    </row>
    <row r="912" spans="1:8" x14ac:dyDescent="0.25">
      <c r="A912" s="1">
        <v>1996</v>
      </c>
      <c r="B912" s="1" t="s">
        <v>104</v>
      </c>
      <c r="C912" t="s">
        <v>51</v>
      </c>
      <c r="D912">
        <v>2</v>
      </c>
      <c r="E912">
        <v>29</v>
      </c>
      <c r="F912">
        <v>0.08</v>
      </c>
      <c r="G912">
        <f>(F912/0.6)/4</f>
        <v>3.3333333333333333E-2</v>
      </c>
      <c r="H912">
        <f>G912*(11.5/38.29)</f>
        <v>1.0011317141116045E-2</v>
      </c>
    </row>
    <row r="913" spans="1:8" x14ac:dyDescent="0.25">
      <c r="A913" s="1">
        <v>1996</v>
      </c>
      <c r="B913" s="1" t="s">
        <v>104</v>
      </c>
      <c r="C913" t="s">
        <v>51</v>
      </c>
      <c r="D913">
        <v>2</v>
      </c>
      <c r="E913">
        <v>29</v>
      </c>
      <c r="F913">
        <v>0.09</v>
      </c>
      <c r="G913">
        <f>(F913/0.6)/4</f>
        <v>3.7499999999999999E-2</v>
      </c>
      <c r="H913">
        <f>G913*(11.5/38.29)</f>
        <v>1.126273178375555E-2</v>
      </c>
    </row>
    <row r="914" spans="1:8" x14ac:dyDescent="0.25">
      <c r="A914" s="1">
        <v>1996</v>
      </c>
      <c r="B914" s="1" t="s">
        <v>104</v>
      </c>
      <c r="C914" t="s">
        <v>51</v>
      </c>
      <c r="D914">
        <v>2</v>
      </c>
      <c r="E914">
        <v>29</v>
      </c>
      <c r="F914">
        <v>0.03</v>
      </c>
      <c r="G914">
        <f>(F914/0.6)/4</f>
        <v>1.2500000000000001E-2</v>
      </c>
      <c r="H914">
        <f>G914*(11.5/38.29)</f>
        <v>3.7542439279185168E-3</v>
      </c>
    </row>
    <row r="915" spans="1:8" x14ac:dyDescent="0.25">
      <c r="A915" s="1">
        <v>1996</v>
      </c>
      <c r="B915" s="1" t="s">
        <v>104</v>
      </c>
      <c r="C915" t="s">
        <v>51</v>
      </c>
      <c r="D915">
        <v>2</v>
      </c>
      <c r="E915">
        <v>29</v>
      </c>
      <c r="F915">
        <v>0.04</v>
      </c>
      <c r="G915">
        <f>(F915/0.6)/4</f>
        <v>1.6666666666666666E-2</v>
      </c>
      <c r="H915">
        <f>G915*(11.5/38.29)</f>
        <v>5.0056585705580223E-3</v>
      </c>
    </row>
    <row r="916" spans="1:8" x14ac:dyDescent="0.25">
      <c r="A916" s="1">
        <v>1996</v>
      </c>
      <c r="B916" s="1" t="s">
        <v>104</v>
      </c>
      <c r="C916" t="s">
        <v>51</v>
      </c>
      <c r="D916">
        <v>2</v>
      </c>
      <c r="E916">
        <v>29</v>
      </c>
      <c r="F916">
        <v>0.05</v>
      </c>
      <c r="G916">
        <f>(F916/0.6)/4</f>
        <v>2.0833333333333336E-2</v>
      </c>
      <c r="H916">
        <f>G916*(11.5/38.29)</f>
        <v>6.2570732131975284E-3</v>
      </c>
    </row>
    <row r="917" spans="1:8" x14ac:dyDescent="0.25">
      <c r="A917" s="1">
        <v>1996</v>
      </c>
      <c r="B917" s="1" t="s">
        <v>104</v>
      </c>
      <c r="C917" t="s">
        <v>51</v>
      </c>
      <c r="D917">
        <v>2</v>
      </c>
      <c r="E917">
        <v>32</v>
      </c>
      <c r="F917">
        <v>7.0000000000000007E-2</v>
      </c>
      <c r="G917">
        <f>(F917/0.6)/4</f>
        <v>2.9166666666666671E-2</v>
      </c>
      <c r="H917">
        <f>G917*(11.5/38.29)</f>
        <v>8.7599024984765395E-3</v>
      </c>
    </row>
    <row r="918" spans="1:8" x14ac:dyDescent="0.25">
      <c r="A918" s="1">
        <v>1996</v>
      </c>
      <c r="B918" s="1" t="s">
        <v>104</v>
      </c>
      <c r="C918" t="s">
        <v>51</v>
      </c>
      <c r="D918">
        <v>2</v>
      </c>
      <c r="E918">
        <v>32</v>
      </c>
      <c r="F918">
        <v>0.05</v>
      </c>
      <c r="G918">
        <f>(F918/0.6)/4</f>
        <v>2.0833333333333336E-2</v>
      </c>
      <c r="H918">
        <f>G918*(11.5/38.29)</f>
        <v>6.2570732131975284E-3</v>
      </c>
    </row>
    <row r="919" spans="1:8" x14ac:dyDescent="0.25">
      <c r="A919" s="1">
        <v>1996</v>
      </c>
      <c r="B919" s="1" t="s">
        <v>104</v>
      </c>
      <c r="C919" t="s">
        <v>51</v>
      </c>
      <c r="D919">
        <v>2</v>
      </c>
      <c r="E919">
        <v>32</v>
      </c>
      <c r="F919">
        <v>0.05</v>
      </c>
      <c r="G919">
        <f>(F919/0.6)/4</f>
        <v>2.0833333333333336E-2</v>
      </c>
      <c r="H919">
        <f>G919*(11.5/38.29)</f>
        <v>6.2570732131975284E-3</v>
      </c>
    </row>
    <row r="920" spans="1:8" x14ac:dyDescent="0.25">
      <c r="A920" s="1">
        <v>1996</v>
      </c>
      <c r="B920" s="1" t="s">
        <v>104</v>
      </c>
      <c r="C920" t="s">
        <v>51</v>
      </c>
      <c r="D920">
        <v>2</v>
      </c>
      <c r="E920">
        <v>32</v>
      </c>
      <c r="F920">
        <v>7.0000000000000007E-2</v>
      </c>
      <c r="G920">
        <f>(F920/0.6)/4</f>
        <v>2.9166666666666671E-2</v>
      </c>
      <c r="H920">
        <f>G920*(11.5/38.29)</f>
        <v>8.7599024984765395E-3</v>
      </c>
    </row>
    <row r="921" spans="1:8" x14ac:dyDescent="0.25">
      <c r="A921" s="1">
        <v>1996</v>
      </c>
      <c r="B921" s="1" t="s">
        <v>104</v>
      </c>
      <c r="C921" t="s">
        <v>51</v>
      </c>
      <c r="D921">
        <v>2</v>
      </c>
      <c r="E921">
        <v>32</v>
      </c>
      <c r="F921">
        <v>0.13</v>
      </c>
      <c r="G921">
        <f>(F921/0.6)/4</f>
        <v>5.4166666666666669E-2</v>
      </c>
      <c r="H921">
        <f>G921*(11.5/38.29)</f>
        <v>1.6268390354313572E-2</v>
      </c>
    </row>
    <row r="922" spans="1:8" x14ac:dyDescent="0.25">
      <c r="A922" s="1">
        <v>1996</v>
      </c>
      <c r="B922" s="1" t="s">
        <v>104</v>
      </c>
      <c r="C922" t="s">
        <v>51</v>
      </c>
      <c r="D922">
        <v>2</v>
      </c>
      <c r="E922">
        <v>32</v>
      </c>
      <c r="F922">
        <v>7.0000000000000007E-2</v>
      </c>
      <c r="G922">
        <f>(F922/0.6)/4</f>
        <v>2.9166666666666671E-2</v>
      </c>
      <c r="H922">
        <f>G922*(11.5/38.29)</f>
        <v>8.7599024984765395E-3</v>
      </c>
    </row>
    <row r="923" spans="1:8" x14ac:dyDescent="0.25">
      <c r="A923" s="1">
        <v>1996</v>
      </c>
      <c r="B923" s="1" t="s">
        <v>104</v>
      </c>
      <c r="C923" t="s">
        <v>51</v>
      </c>
      <c r="D923">
        <v>2</v>
      </c>
      <c r="E923">
        <v>32</v>
      </c>
      <c r="F923">
        <v>0.03</v>
      </c>
      <c r="G923">
        <f>(F923/0.6)/4</f>
        <v>1.2500000000000001E-2</v>
      </c>
      <c r="H923">
        <f>G923*(11.5/38.29)</f>
        <v>3.7542439279185168E-3</v>
      </c>
    </row>
    <row r="924" spans="1:8" x14ac:dyDescent="0.25">
      <c r="A924" s="1">
        <v>1996</v>
      </c>
      <c r="B924" s="1" t="s">
        <v>104</v>
      </c>
      <c r="C924" t="s">
        <v>51</v>
      </c>
      <c r="D924">
        <v>2</v>
      </c>
      <c r="E924">
        <v>32</v>
      </c>
      <c r="F924">
        <v>7.0000000000000007E-2</v>
      </c>
      <c r="G924">
        <f>(F924/0.6)/4</f>
        <v>2.9166666666666671E-2</v>
      </c>
      <c r="H924">
        <f>G924*(11.5/38.29)</f>
        <v>8.7599024984765395E-3</v>
      </c>
    </row>
    <row r="925" spans="1:8" x14ac:dyDescent="0.25">
      <c r="A925" s="1">
        <v>1996</v>
      </c>
      <c r="B925" s="1" t="s">
        <v>104</v>
      </c>
      <c r="C925" t="s">
        <v>51</v>
      </c>
      <c r="D925">
        <v>2</v>
      </c>
      <c r="E925">
        <v>32</v>
      </c>
      <c r="F925">
        <v>0.04</v>
      </c>
      <c r="G925">
        <f>(F925/0.6)/4</f>
        <v>1.6666666666666666E-2</v>
      </c>
      <c r="H925">
        <f>G925*(11.5/38.29)</f>
        <v>5.0056585705580223E-3</v>
      </c>
    </row>
    <row r="926" spans="1:8" x14ac:dyDescent="0.25">
      <c r="A926" s="1">
        <v>1996</v>
      </c>
      <c r="B926" s="1" t="s">
        <v>104</v>
      </c>
      <c r="C926" t="s">
        <v>51</v>
      </c>
      <c r="D926">
        <v>2</v>
      </c>
      <c r="E926">
        <v>32</v>
      </c>
      <c r="F926">
        <v>0.06</v>
      </c>
      <c r="G926">
        <f>(F926/0.6)/4</f>
        <v>2.5000000000000001E-2</v>
      </c>
      <c r="H926">
        <f>G926*(11.5/38.29)</f>
        <v>7.5084878558370335E-3</v>
      </c>
    </row>
    <row r="927" spans="1:8" x14ac:dyDescent="0.25">
      <c r="A927" s="1">
        <v>1996</v>
      </c>
      <c r="B927" s="1" t="s">
        <v>104</v>
      </c>
      <c r="C927" t="s">
        <v>51</v>
      </c>
      <c r="D927">
        <v>2</v>
      </c>
      <c r="E927">
        <v>32</v>
      </c>
      <c r="F927">
        <v>0.05</v>
      </c>
      <c r="G927">
        <f>(F927/0.6)/4</f>
        <v>2.0833333333333336E-2</v>
      </c>
      <c r="H927">
        <f>G927*(11.5/38.29)</f>
        <v>6.2570732131975284E-3</v>
      </c>
    </row>
    <row r="928" spans="1:8" x14ac:dyDescent="0.25">
      <c r="A928" s="1">
        <v>1996</v>
      </c>
      <c r="B928" s="1" t="s">
        <v>104</v>
      </c>
      <c r="C928" t="s">
        <v>51</v>
      </c>
      <c r="D928">
        <v>2</v>
      </c>
      <c r="E928">
        <v>32</v>
      </c>
      <c r="F928">
        <v>0.06</v>
      </c>
      <c r="G928">
        <f>(F928/0.6)/4</f>
        <v>2.5000000000000001E-2</v>
      </c>
      <c r="H928">
        <f>G928*(11.5/38.29)</f>
        <v>7.5084878558370335E-3</v>
      </c>
    </row>
    <row r="929" spans="1:8" x14ac:dyDescent="0.25">
      <c r="A929" s="1">
        <v>1996</v>
      </c>
      <c r="B929" s="1" t="s">
        <v>104</v>
      </c>
      <c r="C929" t="s">
        <v>51</v>
      </c>
      <c r="D929">
        <v>2</v>
      </c>
      <c r="E929">
        <v>32</v>
      </c>
      <c r="F929">
        <v>0.05</v>
      </c>
      <c r="G929">
        <f>(F929/0.6)/4</f>
        <v>2.0833333333333336E-2</v>
      </c>
      <c r="H929">
        <f>G929*(11.5/38.29)</f>
        <v>6.2570732131975284E-3</v>
      </c>
    </row>
    <row r="930" spans="1:8" x14ac:dyDescent="0.25">
      <c r="A930" s="1">
        <v>1996</v>
      </c>
      <c r="B930" s="1" t="s">
        <v>104</v>
      </c>
      <c r="C930" t="s">
        <v>51</v>
      </c>
      <c r="D930">
        <v>2</v>
      </c>
      <c r="E930">
        <v>32</v>
      </c>
      <c r="F930">
        <v>0.04</v>
      </c>
      <c r="G930">
        <f>(F930/0.6)/4</f>
        <v>1.6666666666666666E-2</v>
      </c>
      <c r="H930">
        <f>G930*(11.5/38.29)</f>
        <v>5.0056585705580223E-3</v>
      </c>
    </row>
    <row r="931" spans="1:8" x14ac:dyDescent="0.25">
      <c r="A931" s="1">
        <v>1996</v>
      </c>
      <c r="B931" s="1" t="s">
        <v>104</v>
      </c>
      <c r="C931" t="s">
        <v>51</v>
      </c>
      <c r="D931">
        <v>2</v>
      </c>
      <c r="E931">
        <v>32</v>
      </c>
      <c r="F931">
        <v>0.04</v>
      </c>
      <c r="G931">
        <f>(F931/0.6)/4</f>
        <v>1.6666666666666666E-2</v>
      </c>
      <c r="H931">
        <f>G931*(11.5/38.29)</f>
        <v>5.0056585705580223E-3</v>
      </c>
    </row>
    <row r="932" spans="1:8" x14ac:dyDescent="0.25">
      <c r="A932" s="1">
        <v>1996</v>
      </c>
      <c r="B932" s="1" t="s">
        <v>104</v>
      </c>
      <c r="C932" t="s">
        <v>51</v>
      </c>
      <c r="D932">
        <v>2</v>
      </c>
      <c r="E932">
        <v>32</v>
      </c>
      <c r="F932">
        <v>0.11</v>
      </c>
      <c r="G932">
        <f>(F932/0.6)/4</f>
        <v>4.5833333333333337E-2</v>
      </c>
      <c r="H932">
        <f>G932*(11.5/38.29)</f>
        <v>1.3765561069034562E-2</v>
      </c>
    </row>
    <row r="933" spans="1:8" x14ac:dyDescent="0.25">
      <c r="A933" s="1">
        <v>1996</v>
      </c>
      <c r="B933" s="1" t="s">
        <v>104</v>
      </c>
      <c r="C933" t="s">
        <v>51</v>
      </c>
      <c r="D933">
        <v>2</v>
      </c>
      <c r="E933">
        <v>32</v>
      </c>
      <c r="F933">
        <v>0.08</v>
      </c>
      <c r="G933">
        <f>(F933/0.6)/4</f>
        <v>3.3333333333333333E-2</v>
      </c>
      <c r="H933">
        <f>G933*(11.5/38.29)</f>
        <v>1.0011317141116045E-2</v>
      </c>
    </row>
    <row r="934" spans="1:8" x14ac:dyDescent="0.25">
      <c r="A934" s="1">
        <v>1996</v>
      </c>
      <c r="B934" s="1" t="s">
        <v>104</v>
      </c>
      <c r="C934" t="s">
        <v>51</v>
      </c>
      <c r="D934">
        <v>2</v>
      </c>
      <c r="E934">
        <v>34</v>
      </c>
      <c r="F934">
        <v>7.0000000000000007E-2</v>
      </c>
      <c r="G934">
        <f>(F934/0.6)/4</f>
        <v>2.9166666666666671E-2</v>
      </c>
      <c r="H934">
        <f>G934*(11.5/38.29)</f>
        <v>8.7599024984765395E-3</v>
      </c>
    </row>
    <row r="935" spans="1:8" x14ac:dyDescent="0.25">
      <c r="A935" s="1">
        <v>1996</v>
      </c>
      <c r="B935" s="1" t="s">
        <v>104</v>
      </c>
      <c r="C935" t="s">
        <v>51</v>
      </c>
      <c r="D935">
        <v>2</v>
      </c>
      <c r="E935">
        <v>34</v>
      </c>
      <c r="F935">
        <v>0.08</v>
      </c>
      <c r="G935">
        <f>(F935/0.6)/4</f>
        <v>3.3333333333333333E-2</v>
      </c>
      <c r="H935">
        <f>G935*(11.5/38.29)</f>
        <v>1.0011317141116045E-2</v>
      </c>
    </row>
    <row r="936" spans="1:8" x14ac:dyDescent="0.25">
      <c r="A936" s="1">
        <v>1996</v>
      </c>
      <c r="B936" s="1" t="s">
        <v>104</v>
      </c>
      <c r="C936" t="s">
        <v>51</v>
      </c>
      <c r="D936">
        <v>2</v>
      </c>
      <c r="E936">
        <v>38</v>
      </c>
      <c r="F936">
        <v>7.0000000000000007E-2</v>
      </c>
      <c r="G936">
        <f>(F936/0.6)/4</f>
        <v>2.9166666666666671E-2</v>
      </c>
      <c r="H936">
        <f>G936*(11.5/38.29)</f>
        <v>8.7599024984765395E-3</v>
      </c>
    </row>
    <row r="937" spans="1:8" x14ac:dyDescent="0.25">
      <c r="A937" s="1">
        <v>1996</v>
      </c>
      <c r="B937" s="1" t="s">
        <v>104</v>
      </c>
      <c r="C937" t="s">
        <v>51</v>
      </c>
      <c r="D937">
        <v>2</v>
      </c>
      <c r="E937">
        <v>53</v>
      </c>
      <c r="F937">
        <v>0.09</v>
      </c>
      <c r="G937">
        <f>(F937/0.6)/4</f>
        <v>3.7499999999999999E-2</v>
      </c>
      <c r="H937">
        <f>G937*(11.5/38.29)</f>
        <v>1.126273178375555E-2</v>
      </c>
    </row>
    <row r="938" spans="1:8" x14ac:dyDescent="0.25">
      <c r="A938" s="1">
        <v>1996</v>
      </c>
      <c r="B938" s="1" t="s">
        <v>104</v>
      </c>
      <c r="C938" t="s">
        <v>51</v>
      </c>
      <c r="D938">
        <v>2</v>
      </c>
      <c r="E938">
        <v>63</v>
      </c>
      <c r="F938">
        <v>0.05</v>
      </c>
      <c r="G938">
        <f>(F938/0.6)/4</f>
        <v>2.0833333333333336E-2</v>
      </c>
      <c r="H938">
        <f>G938*(11.5/38.29)</f>
        <v>6.2570732131975284E-3</v>
      </c>
    </row>
    <row r="939" spans="1:8" x14ac:dyDescent="0.25">
      <c r="A939" s="1">
        <v>1996</v>
      </c>
      <c r="B939" s="1" t="s">
        <v>104</v>
      </c>
      <c r="C939" t="s">
        <v>51</v>
      </c>
      <c r="D939">
        <v>2</v>
      </c>
      <c r="E939">
        <v>63</v>
      </c>
      <c r="F939">
        <v>0.08</v>
      </c>
      <c r="G939">
        <f>(F939/0.6)/4</f>
        <v>3.3333333333333333E-2</v>
      </c>
      <c r="H939">
        <f>G939*(11.5/38.29)</f>
        <v>1.0011317141116045E-2</v>
      </c>
    </row>
    <row r="940" spans="1:8" x14ac:dyDescent="0.25">
      <c r="A940" s="1">
        <v>1996</v>
      </c>
      <c r="B940" s="1" t="s">
        <v>104</v>
      </c>
      <c r="C940" t="s">
        <v>51</v>
      </c>
      <c r="D940">
        <v>2</v>
      </c>
      <c r="E940">
        <v>63</v>
      </c>
      <c r="F940">
        <v>0.11</v>
      </c>
      <c r="G940">
        <f>(F940/0.6)/4</f>
        <v>4.5833333333333337E-2</v>
      </c>
      <c r="H940">
        <f>G940*(11.5/38.29)</f>
        <v>1.3765561069034562E-2</v>
      </c>
    </row>
    <row r="941" spans="1:8" x14ac:dyDescent="0.25">
      <c r="A941" s="1">
        <v>1996</v>
      </c>
      <c r="B941" s="1" t="s">
        <v>104</v>
      </c>
      <c r="C941" t="s">
        <v>51</v>
      </c>
      <c r="D941">
        <v>2</v>
      </c>
      <c r="E941">
        <v>63</v>
      </c>
      <c r="F941">
        <v>0.09</v>
      </c>
      <c r="G941">
        <f>(F941/0.6)/4</f>
        <v>3.7499999999999999E-2</v>
      </c>
      <c r="H941">
        <f>G941*(11.5/38.29)</f>
        <v>1.126273178375555E-2</v>
      </c>
    </row>
    <row r="942" spans="1:8" x14ac:dyDescent="0.25">
      <c r="A942" s="1">
        <v>1996</v>
      </c>
      <c r="B942" s="1" t="s">
        <v>104</v>
      </c>
      <c r="C942" t="s">
        <v>51</v>
      </c>
      <c r="D942">
        <v>2</v>
      </c>
      <c r="E942">
        <v>63</v>
      </c>
      <c r="F942">
        <v>0.11</v>
      </c>
      <c r="G942">
        <f>(F942/0.6)/4</f>
        <v>4.5833333333333337E-2</v>
      </c>
      <c r="H942">
        <f>G942*(11.5/38.29)</f>
        <v>1.3765561069034562E-2</v>
      </c>
    </row>
    <row r="943" spans="1:8" x14ac:dyDescent="0.25">
      <c r="A943" s="1">
        <v>1996</v>
      </c>
      <c r="B943" s="1" t="s">
        <v>104</v>
      </c>
      <c r="C943" t="s">
        <v>51</v>
      </c>
      <c r="D943">
        <v>2</v>
      </c>
      <c r="E943">
        <v>63</v>
      </c>
      <c r="F943">
        <v>7.0000000000000007E-2</v>
      </c>
      <c r="G943">
        <f>(F943/0.6)/4</f>
        <v>2.9166666666666671E-2</v>
      </c>
      <c r="H943">
        <f>G943*(11.5/38.29)</f>
        <v>8.7599024984765395E-3</v>
      </c>
    </row>
    <row r="944" spans="1:8" x14ac:dyDescent="0.25">
      <c r="A944" s="1">
        <v>1996</v>
      </c>
      <c r="B944" s="1" t="s">
        <v>104</v>
      </c>
      <c r="C944" t="s">
        <v>51</v>
      </c>
      <c r="D944">
        <v>2</v>
      </c>
      <c r="E944">
        <v>63</v>
      </c>
      <c r="F944">
        <v>0.1</v>
      </c>
      <c r="G944">
        <f>(F944/0.6)/4</f>
        <v>4.1666666666666671E-2</v>
      </c>
      <c r="H944">
        <f>G944*(11.5/38.29)</f>
        <v>1.2514146426395057E-2</v>
      </c>
    </row>
    <row r="945" spans="1:8" x14ac:dyDescent="0.25">
      <c r="A945" s="1">
        <v>1996</v>
      </c>
      <c r="B945" s="1" t="s">
        <v>104</v>
      </c>
      <c r="C945" t="s">
        <v>51</v>
      </c>
      <c r="D945">
        <v>2</v>
      </c>
      <c r="E945">
        <v>63</v>
      </c>
      <c r="F945">
        <v>0.04</v>
      </c>
      <c r="G945">
        <f>(F945/0.6)/4</f>
        <v>1.6666666666666666E-2</v>
      </c>
      <c r="H945">
        <f>G945*(11.5/38.29)</f>
        <v>5.0056585705580223E-3</v>
      </c>
    </row>
    <row r="946" spans="1:8" x14ac:dyDescent="0.25">
      <c r="A946" s="1">
        <v>1996</v>
      </c>
      <c r="B946" s="1" t="s">
        <v>104</v>
      </c>
      <c r="C946" t="s">
        <v>51</v>
      </c>
      <c r="D946">
        <v>2</v>
      </c>
      <c r="E946">
        <v>63</v>
      </c>
      <c r="F946">
        <v>0.12</v>
      </c>
      <c r="G946">
        <f>(F946/0.6)/4</f>
        <v>0.05</v>
      </c>
      <c r="H946">
        <f>G946*(11.5/38.29)</f>
        <v>1.5016975711674067E-2</v>
      </c>
    </row>
    <row r="947" spans="1:8" x14ac:dyDescent="0.25">
      <c r="A947" s="1">
        <v>1996</v>
      </c>
      <c r="B947" s="1" t="s">
        <v>104</v>
      </c>
      <c r="C947" t="s">
        <v>51</v>
      </c>
      <c r="D947">
        <v>2</v>
      </c>
      <c r="E947">
        <v>63</v>
      </c>
      <c r="F947">
        <v>0.04</v>
      </c>
      <c r="G947">
        <f>(F947/0.6)/4</f>
        <v>1.6666666666666666E-2</v>
      </c>
      <c r="H947">
        <f>G947*(11.5/38.29)</f>
        <v>5.0056585705580223E-3</v>
      </c>
    </row>
    <row r="948" spans="1:8" x14ac:dyDescent="0.25">
      <c r="A948" s="1">
        <v>1996</v>
      </c>
      <c r="B948" s="1" t="s">
        <v>104</v>
      </c>
      <c r="C948" t="s">
        <v>51</v>
      </c>
      <c r="D948">
        <v>2</v>
      </c>
      <c r="E948">
        <v>63</v>
      </c>
      <c r="F948">
        <v>0.06</v>
      </c>
      <c r="G948">
        <f>(F948/0.6)/4</f>
        <v>2.5000000000000001E-2</v>
      </c>
      <c r="H948">
        <f>G948*(11.5/38.29)</f>
        <v>7.5084878558370335E-3</v>
      </c>
    </row>
    <row r="949" spans="1:8" x14ac:dyDescent="0.25">
      <c r="A949" s="1">
        <v>1996</v>
      </c>
      <c r="B949" s="1" t="s">
        <v>104</v>
      </c>
      <c r="C949" t="s">
        <v>51</v>
      </c>
      <c r="D949">
        <v>2</v>
      </c>
      <c r="E949">
        <v>63</v>
      </c>
      <c r="F949">
        <v>0.05</v>
      </c>
      <c r="G949">
        <f>(F949/0.6)/4</f>
        <v>2.0833333333333336E-2</v>
      </c>
      <c r="H949">
        <f>G949*(11.5/38.29)</f>
        <v>6.2570732131975284E-3</v>
      </c>
    </row>
    <row r="950" spans="1:8" x14ac:dyDescent="0.25">
      <c r="A950" s="1">
        <v>1996</v>
      </c>
      <c r="B950" s="1" t="s">
        <v>104</v>
      </c>
      <c r="C950" t="s">
        <v>51</v>
      </c>
      <c r="D950">
        <v>2</v>
      </c>
      <c r="E950">
        <v>63</v>
      </c>
      <c r="F950">
        <v>7.0000000000000007E-2</v>
      </c>
      <c r="G950">
        <f>(F950/0.6)/4</f>
        <v>2.9166666666666671E-2</v>
      </c>
      <c r="H950">
        <f>G950*(11.5/38.29)</f>
        <v>8.7599024984765395E-3</v>
      </c>
    </row>
    <row r="951" spans="1:8" x14ac:dyDescent="0.25">
      <c r="A951" s="1">
        <v>1996</v>
      </c>
      <c r="B951" s="1" t="s">
        <v>104</v>
      </c>
      <c r="C951" t="s">
        <v>51</v>
      </c>
      <c r="D951">
        <v>2</v>
      </c>
      <c r="E951">
        <v>63</v>
      </c>
      <c r="F951">
        <v>0.04</v>
      </c>
      <c r="G951">
        <f>(F951/0.6)/4</f>
        <v>1.6666666666666666E-2</v>
      </c>
      <c r="H951">
        <f>G951*(11.5/38.29)</f>
        <v>5.0056585705580223E-3</v>
      </c>
    </row>
    <row r="952" spans="1:8" x14ac:dyDescent="0.25">
      <c r="A952" s="1">
        <v>1996</v>
      </c>
      <c r="B952" s="1" t="s">
        <v>104</v>
      </c>
      <c r="C952" t="s">
        <v>51</v>
      </c>
      <c r="D952">
        <v>2</v>
      </c>
      <c r="E952">
        <v>63</v>
      </c>
      <c r="F952">
        <v>7.0000000000000007E-2</v>
      </c>
      <c r="G952">
        <f>(F952/0.6)/4</f>
        <v>2.9166666666666671E-2</v>
      </c>
      <c r="H952">
        <f>G952*(11.5/38.29)</f>
        <v>8.7599024984765395E-3</v>
      </c>
    </row>
    <row r="953" spans="1:8" x14ac:dyDescent="0.25">
      <c r="A953" s="1">
        <v>1996</v>
      </c>
      <c r="B953" s="1" t="s">
        <v>104</v>
      </c>
      <c r="C953" t="s">
        <v>51</v>
      </c>
      <c r="D953">
        <v>2</v>
      </c>
      <c r="E953">
        <v>63</v>
      </c>
      <c r="F953">
        <v>0.05</v>
      </c>
      <c r="G953">
        <f>(F953/0.6)/4</f>
        <v>2.0833333333333336E-2</v>
      </c>
      <c r="H953">
        <f>G953*(11.5/38.29)</f>
        <v>6.2570732131975284E-3</v>
      </c>
    </row>
    <row r="954" spans="1:8" x14ac:dyDescent="0.25">
      <c r="A954" s="1">
        <v>1996</v>
      </c>
      <c r="B954" s="1" t="s">
        <v>104</v>
      </c>
      <c r="C954" t="s">
        <v>51</v>
      </c>
      <c r="D954">
        <v>2</v>
      </c>
      <c r="E954">
        <v>76</v>
      </c>
      <c r="F954">
        <v>0.1</v>
      </c>
      <c r="G954">
        <f>(F954/0.6)/4</f>
        <v>4.1666666666666671E-2</v>
      </c>
      <c r="H954">
        <f>G954*(11.5/38.29)</f>
        <v>1.2514146426395057E-2</v>
      </c>
    </row>
    <row r="955" spans="1:8" x14ac:dyDescent="0.25">
      <c r="A955" s="1">
        <v>1996</v>
      </c>
      <c r="B955" s="1" t="s">
        <v>104</v>
      </c>
      <c r="C955" t="s">
        <v>51</v>
      </c>
      <c r="D955">
        <v>2</v>
      </c>
      <c r="E955">
        <v>78</v>
      </c>
      <c r="F955">
        <v>0.04</v>
      </c>
      <c r="G955">
        <f>(F955/0.6)/4</f>
        <v>1.6666666666666666E-2</v>
      </c>
      <c r="H955">
        <f>G955*(11.5/38.29)</f>
        <v>5.0056585705580223E-3</v>
      </c>
    </row>
    <row r="956" spans="1:8" x14ac:dyDescent="0.25">
      <c r="A956" s="1">
        <v>1996</v>
      </c>
      <c r="B956" s="1" t="s">
        <v>104</v>
      </c>
      <c r="C956" t="s">
        <v>51</v>
      </c>
      <c r="D956">
        <v>2</v>
      </c>
      <c r="E956">
        <v>79</v>
      </c>
      <c r="F956">
        <v>0.05</v>
      </c>
      <c r="G956">
        <f>(F956/0.6)/4</f>
        <v>2.0833333333333336E-2</v>
      </c>
      <c r="H956">
        <f>G956*(11.5/38.29)</f>
        <v>6.2570732131975284E-3</v>
      </c>
    </row>
    <row r="957" spans="1:8" x14ac:dyDescent="0.25">
      <c r="A957" s="1">
        <v>1996</v>
      </c>
      <c r="B957" s="1" t="s">
        <v>104</v>
      </c>
      <c r="C957" t="s">
        <v>51</v>
      </c>
      <c r="D957">
        <v>2</v>
      </c>
      <c r="E957">
        <v>79</v>
      </c>
      <c r="F957">
        <v>7.0000000000000007E-2</v>
      </c>
      <c r="G957">
        <f>(F957/0.6)/4</f>
        <v>2.9166666666666671E-2</v>
      </c>
      <c r="H957">
        <f>G957*(11.5/38.29)</f>
        <v>8.7599024984765395E-3</v>
      </c>
    </row>
    <row r="958" spans="1:8" x14ac:dyDescent="0.25">
      <c r="A958" s="1">
        <v>1996</v>
      </c>
      <c r="B958" s="1" t="s">
        <v>104</v>
      </c>
      <c r="C958" t="s">
        <v>51</v>
      </c>
      <c r="D958">
        <v>2</v>
      </c>
      <c r="E958">
        <v>79</v>
      </c>
      <c r="F958">
        <v>0.09</v>
      </c>
      <c r="G958">
        <f>(F958/0.6)/4</f>
        <v>3.7499999999999999E-2</v>
      </c>
      <c r="H958">
        <f>G958*(11.5/38.29)</f>
        <v>1.126273178375555E-2</v>
      </c>
    </row>
    <row r="959" spans="1:8" x14ac:dyDescent="0.25">
      <c r="A959" s="1">
        <v>1996</v>
      </c>
      <c r="B959" s="1" t="s">
        <v>104</v>
      </c>
      <c r="C959" t="s">
        <v>51</v>
      </c>
      <c r="D959">
        <v>2</v>
      </c>
      <c r="E959">
        <v>79</v>
      </c>
      <c r="F959">
        <v>0.11</v>
      </c>
      <c r="G959">
        <f>(F959/0.6)/4</f>
        <v>4.5833333333333337E-2</v>
      </c>
      <c r="H959">
        <f>G959*(11.5/38.29)</f>
        <v>1.3765561069034562E-2</v>
      </c>
    </row>
    <row r="960" spans="1:8" x14ac:dyDescent="0.25">
      <c r="A960" s="1">
        <v>1996</v>
      </c>
      <c r="B960" s="1" t="s">
        <v>104</v>
      </c>
      <c r="C960" t="s">
        <v>51</v>
      </c>
      <c r="D960">
        <v>2</v>
      </c>
      <c r="E960">
        <v>79</v>
      </c>
      <c r="F960">
        <v>0.05</v>
      </c>
      <c r="G960">
        <f>(F960/0.6)/4</f>
        <v>2.0833333333333336E-2</v>
      </c>
      <c r="H960">
        <f>G960*(11.5/38.29)</f>
        <v>6.2570732131975284E-3</v>
      </c>
    </row>
    <row r="961" spans="1:8" x14ac:dyDescent="0.25">
      <c r="A961" s="1">
        <v>1996</v>
      </c>
      <c r="B961" s="1" t="s">
        <v>104</v>
      </c>
      <c r="C961" t="s">
        <v>51</v>
      </c>
      <c r="D961">
        <v>2</v>
      </c>
      <c r="E961">
        <v>79</v>
      </c>
      <c r="F961">
        <v>0.05</v>
      </c>
      <c r="G961">
        <f>(F961/0.6)/4</f>
        <v>2.0833333333333336E-2</v>
      </c>
      <c r="H961">
        <f>G961*(11.5/38.29)</f>
        <v>6.2570732131975284E-3</v>
      </c>
    </row>
    <row r="962" spans="1:8" x14ac:dyDescent="0.25">
      <c r="A962" s="1">
        <v>1996</v>
      </c>
      <c r="B962" s="1" t="s">
        <v>104</v>
      </c>
      <c r="C962" t="s">
        <v>51</v>
      </c>
      <c r="D962">
        <v>2</v>
      </c>
      <c r="E962">
        <v>79</v>
      </c>
      <c r="F962">
        <v>0.1</v>
      </c>
      <c r="G962">
        <f>(F962/0.6)/4</f>
        <v>4.1666666666666671E-2</v>
      </c>
      <c r="H962">
        <f>G962*(11.5/38.29)</f>
        <v>1.2514146426395057E-2</v>
      </c>
    </row>
    <row r="963" spans="1:8" x14ac:dyDescent="0.25">
      <c r="A963" s="1">
        <v>1996</v>
      </c>
      <c r="B963" s="1" t="s">
        <v>104</v>
      </c>
      <c r="C963" t="s">
        <v>51</v>
      </c>
      <c r="D963">
        <v>2</v>
      </c>
      <c r="E963">
        <v>79</v>
      </c>
      <c r="F963">
        <v>7.0000000000000007E-2</v>
      </c>
      <c r="G963">
        <f>(F963/0.6)/4</f>
        <v>2.9166666666666671E-2</v>
      </c>
      <c r="H963">
        <f>G963*(11.5/38.29)</f>
        <v>8.7599024984765395E-3</v>
      </c>
    </row>
    <row r="964" spans="1:8" x14ac:dyDescent="0.25">
      <c r="A964" s="1">
        <v>1996</v>
      </c>
      <c r="B964" s="1" t="s">
        <v>104</v>
      </c>
      <c r="C964" t="s">
        <v>51</v>
      </c>
      <c r="D964">
        <v>2</v>
      </c>
      <c r="E964">
        <v>79</v>
      </c>
      <c r="F964">
        <v>0.12</v>
      </c>
      <c r="G964">
        <f>(F964/0.6)/4</f>
        <v>0.05</v>
      </c>
      <c r="H964">
        <f>G964*(11.5/38.29)</f>
        <v>1.5016975711674067E-2</v>
      </c>
    </row>
    <row r="965" spans="1:8" x14ac:dyDescent="0.25">
      <c r="A965" s="1">
        <v>1996</v>
      </c>
      <c r="B965" s="1" t="s">
        <v>104</v>
      </c>
      <c r="C965" t="s">
        <v>51</v>
      </c>
      <c r="D965">
        <v>2</v>
      </c>
      <c r="E965">
        <v>79</v>
      </c>
      <c r="F965">
        <v>0.05</v>
      </c>
      <c r="G965">
        <f>(F965/0.6)/4</f>
        <v>2.0833333333333336E-2</v>
      </c>
      <c r="H965">
        <f>G965*(11.5/38.29)</f>
        <v>6.2570732131975284E-3</v>
      </c>
    </row>
    <row r="966" spans="1:8" x14ac:dyDescent="0.25">
      <c r="A966" s="1">
        <v>1996</v>
      </c>
      <c r="B966" s="1" t="s">
        <v>104</v>
      </c>
      <c r="C966" t="s">
        <v>51</v>
      </c>
      <c r="D966">
        <v>2</v>
      </c>
      <c r="E966">
        <v>79</v>
      </c>
      <c r="F966">
        <v>0.08</v>
      </c>
      <c r="G966">
        <f>(F966/0.6)/4</f>
        <v>3.3333333333333333E-2</v>
      </c>
      <c r="H966">
        <f>G966*(11.5/38.29)</f>
        <v>1.0011317141116045E-2</v>
      </c>
    </row>
    <row r="967" spans="1:8" x14ac:dyDescent="0.25">
      <c r="A967" s="1">
        <v>1996</v>
      </c>
      <c r="B967" s="1" t="s">
        <v>104</v>
      </c>
      <c r="C967" t="s">
        <v>51</v>
      </c>
      <c r="D967">
        <v>2</v>
      </c>
      <c r="E967">
        <v>79</v>
      </c>
      <c r="F967">
        <v>0.05</v>
      </c>
      <c r="G967">
        <f>(F967/0.6)/4</f>
        <v>2.0833333333333336E-2</v>
      </c>
      <c r="H967">
        <f>G967*(11.5/38.29)</f>
        <v>6.2570732131975284E-3</v>
      </c>
    </row>
    <row r="968" spans="1:8" x14ac:dyDescent="0.25">
      <c r="A968" s="1">
        <v>1996</v>
      </c>
      <c r="B968" s="1" t="s">
        <v>104</v>
      </c>
      <c r="C968" t="s">
        <v>51</v>
      </c>
      <c r="D968">
        <v>2</v>
      </c>
      <c r="E968">
        <v>79</v>
      </c>
      <c r="F968">
        <v>0.06</v>
      </c>
      <c r="G968">
        <f>(F968/0.6)/4</f>
        <v>2.5000000000000001E-2</v>
      </c>
      <c r="H968">
        <f>G968*(11.5/38.29)</f>
        <v>7.5084878558370335E-3</v>
      </c>
    </row>
    <row r="969" spans="1:8" x14ac:dyDescent="0.25">
      <c r="A969" s="1">
        <v>1996</v>
      </c>
      <c r="B969" s="1" t="s">
        <v>104</v>
      </c>
      <c r="C969" t="s">
        <v>51</v>
      </c>
      <c r="D969">
        <v>2</v>
      </c>
      <c r="E969">
        <v>79</v>
      </c>
      <c r="F969">
        <v>0.06</v>
      </c>
      <c r="G969">
        <f>(F969/0.6)/4</f>
        <v>2.5000000000000001E-2</v>
      </c>
      <c r="H969">
        <f>G969*(11.5/38.29)</f>
        <v>7.5084878558370335E-3</v>
      </c>
    </row>
    <row r="970" spans="1:8" x14ac:dyDescent="0.25">
      <c r="A970" s="1">
        <v>1996</v>
      </c>
      <c r="B970" s="1" t="s">
        <v>104</v>
      </c>
      <c r="C970" t="s">
        <v>51</v>
      </c>
      <c r="D970">
        <v>2</v>
      </c>
      <c r="E970">
        <v>79</v>
      </c>
      <c r="F970">
        <v>0.08</v>
      </c>
      <c r="G970">
        <f>(F970/0.6)/4</f>
        <v>3.3333333333333333E-2</v>
      </c>
      <c r="H970">
        <f>G970*(11.5/38.29)</f>
        <v>1.0011317141116045E-2</v>
      </c>
    </row>
    <row r="971" spans="1:8" x14ac:dyDescent="0.25">
      <c r="A971" s="1">
        <v>1996</v>
      </c>
      <c r="B971" s="1" t="s">
        <v>104</v>
      </c>
      <c r="C971" t="s">
        <v>51</v>
      </c>
      <c r="D971">
        <v>2</v>
      </c>
      <c r="E971">
        <v>79</v>
      </c>
      <c r="F971">
        <v>0.03</v>
      </c>
      <c r="G971">
        <f>(F971/0.6)/4</f>
        <v>1.2500000000000001E-2</v>
      </c>
      <c r="H971">
        <f>G971*(11.5/38.29)</f>
        <v>3.7542439279185168E-3</v>
      </c>
    </row>
    <row r="972" spans="1:8" x14ac:dyDescent="0.25">
      <c r="A972" s="1">
        <v>1996</v>
      </c>
      <c r="B972" s="1" t="s">
        <v>104</v>
      </c>
      <c r="C972" t="s">
        <v>51</v>
      </c>
      <c r="D972">
        <v>2</v>
      </c>
      <c r="E972">
        <v>79</v>
      </c>
      <c r="F972">
        <v>7.0000000000000007E-2</v>
      </c>
      <c r="G972">
        <f>(F972/0.6)/4</f>
        <v>2.9166666666666671E-2</v>
      </c>
      <c r="H972">
        <f>G972*(11.5/38.29)</f>
        <v>8.7599024984765395E-3</v>
      </c>
    </row>
    <row r="973" spans="1:8" x14ac:dyDescent="0.25">
      <c r="A973" s="1">
        <v>1996</v>
      </c>
      <c r="B973" s="1" t="s">
        <v>104</v>
      </c>
      <c r="C973" t="s">
        <v>51</v>
      </c>
      <c r="D973">
        <v>2</v>
      </c>
      <c r="E973">
        <v>79</v>
      </c>
      <c r="F973">
        <v>0.03</v>
      </c>
      <c r="G973">
        <f>(F973/0.6)/4</f>
        <v>1.2500000000000001E-2</v>
      </c>
      <c r="H973">
        <f>G973*(11.5/38.29)</f>
        <v>3.7542439279185168E-3</v>
      </c>
    </row>
    <row r="974" spans="1:8" x14ac:dyDescent="0.25">
      <c r="A974" s="1">
        <v>1996</v>
      </c>
      <c r="B974" s="1" t="s">
        <v>104</v>
      </c>
      <c r="C974" t="s">
        <v>51</v>
      </c>
      <c r="D974">
        <v>2</v>
      </c>
      <c r="E974">
        <v>79</v>
      </c>
      <c r="F974">
        <v>0.06</v>
      </c>
      <c r="G974">
        <f>(F974/0.6)/4</f>
        <v>2.5000000000000001E-2</v>
      </c>
      <c r="H974">
        <f>G974*(11.5/38.29)</f>
        <v>7.5084878558370335E-3</v>
      </c>
    </row>
    <row r="975" spans="1:8" x14ac:dyDescent="0.25">
      <c r="A975" s="1">
        <v>1996</v>
      </c>
      <c r="B975" s="1" t="s">
        <v>104</v>
      </c>
      <c r="C975" t="s">
        <v>51</v>
      </c>
      <c r="D975">
        <v>2</v>
      </c>
      <c r="E975">
        <v>79</v>
      </c>
      <c r="F975">
        <v>0.04</v>
      </c>
      <c r="G975">
        <f>(F975/0.6)/4</f>
        <v>1.6666666666666666E-2</v>
      </c>
      <c r="H975">
        <f>G975*(11.5/38.29)</f>
        <v>5.0056585705580223E-3</v>
      </c>
    </row>
    <row r="976" spans="1:8" x14ac:dyDescent="0.25">
      <c r="A976" s="1">
        <v>1996</v>
      </c>
      <c r="B976" s="1" t="s">
        <v>104</v>
      </c>
      <c r="C976" t="s">
        <v>51</v>
      </c>
      <c r="D976">
        <v>2</v>
      </c>
      <c r="E976">
        <v>79</v>
      </c>
      <c r="F976">
        <v>0.1</v>
      </c>
      <c r="G976">
        <f>(F976/0.6)/4</f>
        <v>4.1666666666666671E-2</v>
      </c>
      <c r="H976">
        <f>G976*(11.5/38.29)</f>
        <v>1.2514146426395057E-2</v>
      </c>
    </row>
    <row r="977" spans="1:8" x14ac:dyDescent="0.25">
      <c r="A977" s="1">
        <v>1996</v>
      </c>
      <c r="B977" s="1" t="s">
        <v>104</v>
      </c>
      <c r="C977" t="s">
        <v>51</v>
      </c>
      <c r="D977">
        <v>2</v>
      </c>
      <c r="E977">
        <v>79</v>
      </c>
      <c r="F977">
        <v>0.04</v>
      </c>
      <c r="G977">
        <f>(F977/0.6)/4</f>
        <v>1.6666666666666666E-2</v>
      </c>
      <c r="H977">
        <f>G977*(11.5/38.29)</f>
        <v>5.0056585705580223E-3</v>
      </c>
    </row>
    <row r="978" spans="1:8" x14ac:dyDescent="0.25">
      <c r="A978" s="1">
        <v>1996</v>
      </c>
      <c r="B978" s="1" t="s">
        <v>104</v>
      </c>
      <c r="C978" t="s">
        <v>51</v>
      </c>
      <c r="D978">
        <v>2</v>
      </c>
      <c r="E978">
        <v>79</v>
      </c>
      <c r="F978">
        <v>0.04</v>
      </c>
      <c r="G978">
        <f>(F978/0.6)/4</f>
        <v>1.6666666666666666E-2</v>
      </c>
      <c r="H978">
        <f>G978*(11.5/38.29)</f>
        <v>5.0056585705580223E-3</v>
      </c>
    </row>
    <row r="979" spans="1:8" x14ac:dyDescent="0.25">
      <c r="A979" s="1">
        <v>1996</v>
      </c>
      <c r="B979" s="1" t="s">
        <v>104</v>
      </c>
      <c r="C979" t="s">
        <v>51</v>
      </c>
      <c r="D979">
        <v>2</v>
      </c>
      <c r="E979">
        <v>79</v>
      </c>
      <c r="F979">
        <v>0.12</v>
      </c>
      <c r="G979">
        <f>(F979/0.6)/4</f>
        <v>0.05</v>
      </c>
      <c r="H979">
        <f>G979*(11.5/38.29)</f>
        <v>1.5016975711674067E-2</v>
      </c>
    </row>
    <row r="980" spans="1:8" x14ac:dyDescent="0.25">
      <c r="A980" s="1">
        <v>1996</v>
      </c>
      <c r="B980" s="1" t="s">
        <v>104</v>
      </c>
      <c r="C980" t="s">
        <v>51</v>
      </c>
      <c r="D980">
        <v>2</v>
      </c>
      <c r="E980">
        <v>79</v>
      </c>
      <c r="F980">
        <v>0.1</v>
      </c>
      <c r="G980">
        <f>(F980/0.6)/4</f>
        <v>4.1666666666666671E-2</v>
      </c>
      <c r="H980">
        <f>G980*(11.5/38.29)</f>
        <v>1.2514146426395057E-2</v>
      </c>
    </row>
    <row r="981" spans="1:8" x14ac:dyDescent="0.25">
      <c r="A981" s="1">
        <v>1996</v>
      </c>
      <c r="B981" s="1" t="s">
        <v>104</v>
      </c>
      <c r="C981" t="s">
        <v>51</v>
      </c>
      <c r="D981">
        <v>2</v>
      </c>
      <c r="E981">
        <v>79</v>
      </c>
      <c r="F981">
        <v>0.1</v>
      </c>
      <c r="G981">
        <f>(F981/0.6)/4</f>
        <v>4.1666666666666671E-2</v>
      </c>
      <c r="H981">
        <f>G981*(11.5/38.29)</f>
        <v>1.2514146426395057E-2</v>
      </c>
    </row>
    <row r="982" spans="1:8" x14ac:dyDescent="0.25">
      <c r="A982" s="1">
        <v>1996</v>
      </c>
      <c r="B982" s="1" t="s">
        <v>104</v>
      </c>
      <c r="C982" t="s">
        <v>51</v>
      </c>
      <c r="D982">
        <v>2</v>
      </c>
      <c r="E982">
        <v>79</v>
      </c>
      <c r="F982">
        <v>0.05</v>
      </c>
      <c r="G982">
        <f>(F982/0.6)/4</f>
        <v>2.0833333333333336E-2</v>
      </c>
      <c r="H982">
        <f>G982*(11.5/38.29)</f>
        <v>6.2570732131975284E-3</v>
      </c>
    </row>
    <row r="983" spans="1:8" x14ac:dyDescent="0.25">
      <c r="A983" s="1">
        <v>1996</v>
      </c>
      <c r="B983" s="1" t="s">
        <v>104</v>
      </c>
      <c r="C983" t="s">
        <v>51</v>
      </c>
      <c r="D983">
        <v>2</v>
      </c>
      <c r="E983">
        <v>79</v>
      </c>
      <c r="F983">
        <v>0.13</v>
      </c>
      <c r="G983">
        <f>(F983/0.6)/4</f>
        <v>5.4166666666666669E-2</v>
      </c>
      <c r="H983">
        <f>G983*(11.5/38.29)</f>
        <v>1.6268390354313572E-2</v>
      </c>
    </row>
    <row r="984" spans="1:8" x14ac:dyDescent="0.25">
      <c r="A984" s="1">
        <v>1996</v>
      </c>
      <c r="B984" s="1" t="s">
        <v>104</v>
      </c>
      <c r="C984" t="s">
        <v>51</v>
      </c>
      <c r="D984">
        <v>2</v>
      </c>
      <c r="E984">
        <v>79</v>
      </c>
      <c r="F984">
        <v>0.09</v>
      </c>
      <c r="G984">
        <f>(F984/0.6)/4</f>
        <v>3.7499999999999999E-2</v>
      </c>
      <c r="H984">
        <f>G984*(11.5/38.29)</f>
        <v>1.126273178375555E-2</v>
      </c>
    </row>
    <row r="985" spans="1:8" x14ac:dyDescent="0.25">
      <c r="A985" s="1">
        <v>1996</v>
      </c>
      <c r="B985" s="1" t="s">
        <v>104</v>
      </c>
      <c r="C985" t="s">
        <v>51</v>
      </c>
      <c r="D985">
        <v>2</v>
      </c>
      <c r="E985">
        <v>79</v>
      </c>
      <c r="F985">
        <v>0.06</v>
      </c>
      <c r="G985">
        <f>(F985/0.6)/4</f>
        <v>2.5000000000000001E-2</v>
      </c>
      <c r="H985">
        <f>G985*(11.5/38.29)</f>
        <v>7.5084878558370335E-3</v>
      </c>
    </row>
    <row r="986" spans="1:8" x14ac:dyDescent="0.25">
      <c r="A986" s="1">
        <v>1996</v>
      </c>
      <c r="B986" s="1" t="s">
        <v>104</v>
      </c>
      <c r="C986" t="s">
        <v>51</v>
      </c>
      <c r="D986">
        <v>2</v>
      </c>
      <c r="E986">
        <v>79</v>
      </c>
      <c r="F986">
        <v>0.11</v>
      </c>
      <c r="G986">
        <f>(F986/0.6)/4</f>
        <v>4.5833333333333337E-2</v>
      </c>
      <c r="H986">
        <f>G986*(11.5/38.29)</f>
        <v>1.3765561069034562E-2</v>
      </c>
    </row>
    <row r="987" spans="1:8" x14ac:dyDescent="0.25">
      <c r="A987" s="1">
        <v>1996</v>
      </c>
      <c r="B987" s="1" t="s">
        <v>104</v>
      </c>
      <c r="C987" t="s">
        <v>51</v>
      </c>
      <c r="D987">
        <v>2</v>
      </c>
      <c r="E987">
        <v>79</v>
      </c>
      <c r="F987">
        <v>0.09</v>
      </c>
      <c r="G987">
        <f>(F987/0.6)/4</f>
        <v>3.7499999999999999E-2</v>
      </c>
      <c r="H987">
        <f>G987*(11.5/38.29)</f>
        <v>1.126273178375555E-2</v>
      </c>
    </row>
    <row r="988" spans="1:8" x14ac:dyDescent="0.25">
      <c r="A988" s="1">
        <v>1996</v>
      </c>
      <c r="B988" s="1" t="s">
        <v>104</v>
      </c>
      <c r="C988" t="s">
        <v>51</v>
      </c>
      <c r="D988">
        <v>2</v>
      </c>
      <c r="E988">
        <v>79</v>
      </c>
      <c r="F988">
        <v>0.05</v>
      </c>
      <c r="G988">
        <f>(F988/0.6)/4</f>
        <v>2.0833333333333336E-2</v>
      </c>
      <c r="H988">
        <f>G988*(11.5/38.29)</f>
        <v>6.2570732131975284E-3</v>
      </c>
    </row>
    <row r="989" spans="1:8" x14ac:dyDescent="0.25">
      <c r="A989" s="1">
        <v>1996</v>
      </c>
      <c r="B989" s="1" t="s">
        <v>104</v>
      </c>
      <c r="C989" t="s">
        <v>51</v>
      </c>
      <c r="D989">
        <v>2</v>
      </c>
      <c r="E989">
        <v>79</v>
      </c>
      <c r="F989">
        <v>7.0000000000000007E-2</v>
      </c>
      <c r="G989">
        <f>(F989/0.6)/4</f>
        <v>2.9166666666666671E-2</v>
      </c>
      <c r="H989">
        <f>G989*(11.5/38.29)</f>
        <v>8.7599024984765395E-3</v>
      </c>
    </row>
    <row r="990" spans="1:8" x14ac:dyDescent="0.25">
      <c r="A990" s="1">
        <v>1996</v>
      </c>
      <c r="B990" s="1" t="s">
        <v>104</v>
      </c>
      <c r="C990" t="s">
        <v>51</v>
      </c>
      <c r="D990">
        <v>2</v>
      </c>
      <c r="E990">
        <v>85</v>
      </c>
      <c r="F990">
        <v>0.06</v>
      </c>
      <c r="G990">
        <f>(F990/0.6)/4</f>
        <v>2.5000000000000001E-2</v>
      </c>
      <c r="H990">
        <f>G990*(11.5/38.29)</f>
        <v>7.5084878558370335E-3</v>
      </c>
    </row>
    <row r="991" spans="1:8" x14ac:dyDescent="0.25">
      <c r="A991" s="1">
        <v>1996</v>
      </c>
      <c r="B991" s="1" t="s">
        <v>104</v>
      </c>
      <c r="C991" t="s">
        <v>51</v>
      </c>
      <c r="D991">
        <v>2</v>
      </c>
      <c r="E991">
        <v>85</v>
      </c>
      <c r="F991">
        <v>0.06</v>
      </c>
      <c r="G991">
        <f>(F991/0.6)/4</f>
        <v>2.5000000000000001E-2</v>
      </c>
      <c r="H991">
        <f>G991*(11.5/38.29)</f>
        <v>7.5084878558370335E-3</v>
      </c>
    </row>
    <row r="992" spans="1:8" x14ac:dyDescent="0.25">
      <c r="A992" s="1">
        <v>1996</v>
      </c>
      <c r="B992" s="1" t="s">
        <v>104</v>
      </c>
      <c r="C992" t="s">
        <v>51</v>
      </c>
      <c r="D992">
        <v>3</v>
      </c>
      <c r="E992">
        <v>25</v>
      </c>
      <c r="F992">
        <v>0.04</v>
      </c>
      <c r="G992">
        <f>(F992/0.6)/4</f>
        <v>1.6666666666666666E-2</v>
      </c>
      <c r="H992">
        <f>G992*(11.5/38.29)</f>
        <v>5.0056585705580223E-3</v>
      </c>
    </row>
    <row r="993" spans="1:8" x14ac:dyDescent="0.25">
      <c r="A993" s="1">
        <v>1996</v>
      </c>
      <c r="B993" s="1" t="s">
        <v>104</v>
      </c>
      <c r="C993" t="s">
        <v>51</v>
      </c>
      <c r="D993">
        <v>3</v>
      </c>
      <c r="E993">
        <v>29</v>
      </c>
      <c r="F993">
        <v>0.1</v>
      </c>
      <c r="G993">
        <f>(F993/0.6)/4</f>
        <v>4.1666666666666671E-2</v>
      </c>
      <c r="H993">
        <f>G993*(11.5/38.29)</f>
        <v>1.2514146426395057E-2</v>
      </c>
    </row>
    <row r="994" spans="1:8" x14ac:dyDescent="0.25">
      <c r="A994" s="1">
        <v>1996</v>
      </c>
      <c r="B994" s="1" t="s">
        <v>104</v>
      </c>
      <c r="C994" t="s">
        <v>51</v>
      </c>
      <c r="D994">
        <v>3</v>
      </c>
      <c r="E994">
        <v>29</v>
      </c>
      <c r="F994">
        <v>0.04</v>
      </c>
      <c r="G994">
        <f>(F994/0.6)/4</f>
        <v>1.6666666666666666E-2</v>
      </c>
      <c r="H994">
        <f>G994*(11.5/38.29)</f>
        <v>5.0056585705580223E-3</v>
      </c>
    </row>
    <row r="995" spans="1:8" x14ac:dyDescent="0.25">
      <c r="A995" s="1">
        <v>1996</v>
      </c>
      <c r="B995" s="1" t="s">
        <v>104</v>
      </c>
      <c r="C995" t="s">
        <v>51</v>
      </c>
      <c r="D995">
        <v>3</v>
      </c>
      <c r="E995">
        <v>29</v>
      </c>
      <c r="F995">
        <v>0.12</v>
      </c>
      <c r="G995">
        <f>(F995/0.6)/4</f>
        <v>0.05</v>
      </c>
      <c r="H995">
        <f>G995*(11.5/38.29)</f>
        <v>1.5016975711674067E-2</v>
      </c>
    </row>
    <row r="996" spans="1:8" x14ac:dyDescent="0.25">
      <c r="A996" s="1">
        <v>1996</v>
      </c>
      <c r="B996" s="1" t="s">
        <v>104</v>
      </c>
      <c r="C996" t="s">
        <v>51</v>
      </c>
      <c r="D996">
        <v>3</v>
      </c>
      <c r="E996">
        <v>29</v>
      </c>
      <c r="F996">
        <v>0.05</v>
      </c>
      <c r="G996">
        <f>(F996/0.6)/4</f>
        <v>2.0833333333333336E-2</v>
      </c>
      <c r="H996">
        <f>G996*(11.5/38.29)</f>
        <v>6.2570732131975284E-3</v>
      </c>
    </row>
    <row r="997" spans="1:8" x14ac:dyDescent="0.25">
      <c r="A997" s="1">
        <v>1996</v>
      </c>
      <c r="B997" s="1" t="s">
        <v>104</v>
      </c>
      <c r="C997" t="s">
        <v>51</v>
      </c>
      <c r="D997">
        <v>3</v>
      </c>
      <c r="E997">
        <v>29</v>
      </c>
      <c r="F997">
        <v>0.13</v>
      </c>
      <c r="G997">
        <f>(F997/0.6)/4</f>
        <v>5.4166666666666669E-2</v>
      </c>
      <c r="H997">
        <f>G997*(11.5/38.29)</f>
        <v>1.6268390354313572E-2</v>
      </c>
    </row>
    <row r="998" spans="1:8" x14ac:dyDescent="0.25">
      <c r="A998" s="1">
        <v>1996</v>
      </c>
      <c r="B998" s="1" t="s">
        <v>104</v>
      </c>
      <c r="C998" t="s">
        <v>51</v>
      </c>
      <c r="D998">
        <v>3</v>
      </c>
      <c r="E998">
        <v>29</v>
      </c>
      <c r="F998">
        <v>0.11</v>
      </c>
      <c r="G998">
        <f>(F998/0.6)/4</f>
        <v>4.5833333333333337E-2</v>
      </c>
      <c r="H998">
        <f>G998*(11.5/38.29)</f>
        <v>1.3765561069034562E-2</v>
      </c>
    </row>
    <row r="999" spans="1:8" x14ac:dyDescent="0.25">
      <c r="A999" s="1">
        <v>1996</v>
      </c>
      <c r="B999" s="1" t="s">
        <v>104</v>
      </c>
      <c r="C999" t="s">
        <v>51</v>
      </c>
      <c r="D999">
        <v>3</v>
      </c>
      <c r="E999">
        <v>29</v>
      </c>
      <c r="F999">
        <v>0.11</v>
      </c>
      <c r="G999">
        <f>(F999/0.6)/4</f>
        <v>4.5833333333333337E-2</v>
      </c>
      <c r="H999">
        <f>G999*(11.5/38.29)</f>
        <v>1.3765561069034562E-2</v>
      </c>
    </row>
    <row r="1000" spans="1:8" x14ac:dyDescent="0.25">
      <c r="A1000" s="1">
        <v>1996</v>
      </c>
      <c r="B1000" s="1" t="s">
        <v>104</v>
      </c>
      <c r="C1000" t="s">
        <v>51</v>
      </c>
      <c r="D1000">
        <v>3</v>
      </c>
      <c r="E1000">
        <v>32</v>
      </c>
      <c r="F1000">
        <v>0.04</v>
      </c>
      <c r="G1000">
        <f>(F1000/0.6)/4</f>
        <v>1.6666666666666666E-2</v>
      </c>
      <c r="H1000">
        <f>G1000*(11.5/38.29)</f>
        <v>5.0056585705580223E-3</v>
      </c>
    </row>
    <row r="1001" spans="1:8" x14ac:dyDescent="0.25">
      <c r="A1001" s="1">
        <v>1996</v>
      </c>
      <c r="B1001" s="1" t="s">
        <v>104</v>
      </c>
      <c r="C1001" t="s">
        <v>51</v>
      </c>
      <c r="D1001">
        <v>3</v>
      </c>
      <c r="E1001">
        <v>32</v>
      </c>
      <c r="F1001">
        <v>7.0000000000000007E-2</v>
      </c>
      <c r="G1001">
        <f>(F1001/0.6)/4</f>
        <v>2.9166666666666671E-2</v>
      </c>
      <c r="H1001">
        <f>G1001*(11.5/38.29)</f>
        <v>8.7599024984765395E-3</v>
      </c>
    </row>
    <row r="1002" spans="1:8" x14ac:dyDescent="0.25">
      <c r="A1002" s="1">
        <v>1996</v>
      </c>
      <c r="B1002" s="1" t="s">
        <v>104</v>
      </c>
      <c r="C1002" t="s">
        <v>51</v>
      </c>
      <c r="D1002">
        <v>3</v>
      </c>
      <c r="E1002">
        <v>32</v>
      </c>
      <c r="F1002">
        <v>0.05</v>
      </c>
      <c r="G1002">
        <f>(F1002/0.6)/4</f>
        <v>2.0833333333333336E-2</v>
      </c>
      <c r="H1002">
        <f>G1002*(11.5/38.29)</f>
        <v>6.2570732131975284E-3</v>
      </c>
    </row>
    <row r="1003" spans="1:8" x14ac:dyDescent="0.25">
      <c r="A1003" s="1">
        <v>1996</v>
      </c>
      <c r="B1003" s="1" t="s">
        <v>104</v>
      </c>
      <c r="C1003" t="s">
        <v>51</v>
      </c>
      <c r="D1003">
        <v>3</v>
      </c>
      <c r="E1003">
        <v>32</v>
      </c>
      <c r="F1003">
        <v>0.05</v>
      </c>
      <c r="G1003">
        <f>(F1003/0.6)/4</f>
        <v>2.0833333333333336E-2</v>
      </c>
      <c r="H1003">
        <f>G1003*(11.5/38.29)</f>
        <v>6.2570732131975284E-3</v>
      </c>
    </row>
    <row r="1004" spans="1:8" x14ac:dyDescent="0.25">
      <c r="A1004" s="1">
        <v>1996</v>
      </c>
      <c r="B1004" s="1" t="s">
        <v>104</v>
      </c>
      <c r="C1004" t="s">
        <v>51</v>
      </c>
      <c r="D1004">
        <v>3</v>
      </c>
      <c r="E1004">
        <v>32</v>
      </c>
      <c r="F1004">
        <v>0.12</v>
      </c>
      <c r="G1004">
        <f>(F1004/0.6)/4</f>
        <v>0.05</v>
      </c>
      <c r="H1004">
        <f>G1004*(11.5/38.29)</f>
        <v>1.5016975711674067E-2</v>
      </c>
    </row>
    <row r="1005" spans="1:8" x14ac:dyDescent="0.25">
      <c r="A1005" s="1">
        <v>1996</v>
      </c>
      <c r="B1005" s="1" t="s">
        <v>104</v>
      </c>
      <c r="C1005" t="s">
        <v>51</v>
      </c>
      <c r="D1005">
        <v>3</v>
      </c>
      <c r="E1005">
        <v>32</v>
      </c>
      <c r="F1005">
        <v>0.05</v>
      </c>
      <c r="G1005">
        <f>(F1005/0.6)/4</f>
        <v>2.0833333333333336E-2</v>
      </c>
      <c r="H1005">
        <f>G1005*(11.5/38.29)</f>
        <v>6.2570732131975284E-3</v>
      </c>
    </row>
    <row r="1006" spans="1:8" x14ac:dyDescent="0.25">
      <c r="A1006" s="1">
        <v>1996</v>
      </c>
      <c r="B1006" s="1" t="s">
        <v>104</v>
      </c>
      <c r="C1006" t="s">
        <v>51</v>
      </c>
      <c r="D1006">
        <v>3</v>
      </c>
      <c r="E1006">
        <v>32</v>
      </c>
      <c r="F1006">
        <v>0.06</v>
      </c>
      <c r="G1006">
        <f>(F1006/0.6)/4</f>
        <v>2.5000000000000001E-2</v>
      </c>
      <c r="H1006">
        <f>G1006*(11.5/38.29)</f>
        <v>7.5084878558370335E-3</v>
      </c>
    </row>
    <row r="1007" spans="1:8" x14ac:dyDescent="0.25">
      <c r="A1007" s="1">
        <v>1996</v>
      </c>
      <c r="B1007" s="1" t="s">
        <v>104</v>
      </c>
      <c r="C1007" t="s">
        <v>51</v>
      </c>
      <c r="D1007">
        <v>3</v>
      </c>
      <c r="E1007">
        <v>32</v>
      </c>
      <c r="F1007">
        <v>0.04</v>
      </c>
      <c r="G1007">
        <f>(F1007/0.6)/4</f>
        <v>1.6666666666666666E-2</v>
      </c>
      <c r="H1007">
        <f>G1007*(11.5/38.29)</f>
        <v>5.0056585705580223E-3</v>
      </c>
    </row>
    <row r="1008" spans="1:8" x14ac:dyDescent="0.25">
      <c r="A1008" s="1">
        <v>1996</v>
      </c>
      <c r="B1008" s="1" t="s">
        <v>104</v>
      </c>
      <c r="C1008" t="s">
        <v>51</v>
      </c>
      <c r="D1008">
        <v>3</v>
      </c>
      <c r="E1008">
        <v>38</v>
      </c>
      <c r="F1008">
        <v>0.1</v>
      </c>
      <c r="G1008">
        <f>(F1008/0.6)/4</f>
        <v>4.1666666666666671E-2</v>
      </c>
      <c r="H1008">
        <f>G1008*(11.5/38.29)</f>
        <v>1.2514146426395057E-2</v>
      </c>
    </row>
    <row r="1009" spans="1:8" x14ac:dyDescent="0.25">
      <c r="A1009" s="1">
        <v>1996</v>
      </c>
      <c r="B1009" s="1" t="s">
        <v>104</v>
      </c>
      <c r="C1009" t="s">
        <v>51</v>
      </c>
      <c r="D1009">
        <v>3</v>
      </c>
      <c r="E1009">
        <v>53</v>
      </c>
      <c r="F1009">
        <v>0.1</v>
      </c>
      <c r="G1009">
        <f>(F1009/0.6)/4</f>
        <v>4.1666666666666671E-2</v>
      </c>
      <c r="H1009">
        <f>G1009*(11.5/38.29)</f>
        <v>1.2514146426395057E-2</v>
      </c>
    </row>
    <row r="1010" spans="1:8" x14ac:dyDescent="0.25">
      <c r="A1010" s="1">
        <v>1996</v>
      </c>
      <c r="B1010" s="1" t="s">
        <v>104</v>
      </c>
      <c r="C1010" t="s">
        <v>51</v>
      </c>
      <c r="D1010">
        <v>3</v>
      </c>
      <c r="E1010">
        <v>63</v>
      </c>
      <c r="F1010">
        <v>0.09</v>
      </c>
      <c r="G1010">
        <f>(F1010/0.6)/4</f>
        <v>3.7499999999999999E-2</v>
      </c>
      <c r="H1010">
        <f>G1010*(11.5/38.29)</f>
        <v>1.126273178375555E-2</v>
      </c>
    </row>
    <row r="1011" spans="1:8" x14ac:dyDescent="0.25">
      <c r="A1011" s="1">
        <v>1996</v>
      </c>
      <c r="B1011" s="1" t="s">
        <v>104</v>
      </c>
      <c r="C1011" t="s">
        <v>51</v>
      </c>
      <c r="D1011">
        <v>3</v>
      </c>
      <c r="E1011">
        <v>63</v>
      </c>
      <c r="F1011">
        <v>7.0000000000000007E-2</v>
      </c>
      <c r="G1011">
        <f>(F1011/0.6)/4</f>
        <v>2.9166666666666671E-2</v>
      </c>
      <c r="H1011">
        <f>G1011*(11.5/38.29)</f>
        <v>8.7599024984765395E-3</v>
      </c>
    </row>
    <row r="1012" spans="1:8" x14ac:dyDescent="0.25">
      <c r="A1012" s="1">
        <v>1996</v>
      </c>
      <c r="B1012" s="1" t="s">
        <v>104</v>
      </c>
      <c r="C1012" t="s">
        <v>51</v>
      </c>
      <c r="D1012">
        <v>3</v>
      </c>
      <c r="E1012">
        <v>63</v>
      </c>
      <c r="F1012">
        <v>0.03</v>
      </c>
      <c r="G1012">
        <f>(F1012/0.6)/4</f>
        <v>1.2500000000000001E-2</v>
      </c>
      <c r="H1012">
        <f>G1012*(11.5/38.29)</f>
        <v>3.7542439279185168E-3</v>
      </c>
    </row>
    <row r="1013" spans="1:8" x14ac:dyDescent="0.25">
      <c r="A1013" s="1">
        <v>1996</v>
      </c>
      <c r="B1013" s="1" t="s">
        <v>104</v>
      </c>
      <c r="C1013" t="s">
        <v>51</v>
      </c>
      <c r="D1013">
        <v>3</v>
      </c>
      <c r="E1013">
        <v>63</v>
      </c>
      <c r="F1013">
        <v>0.08</v>
      </c>
      <c r="G1013">
        <f>(F1013/0.6)/4</f>
        <v>3.3333333333333333E-2</v>
      </c>
      <c r="H1013">
        <f>G1013*(11.5/38.29)</f>
        <v>1.0011317141116045E-2</v>
      </c>
    </row>
    <row r="1014" spans="1:8" x14ac:dyDescent="0.25">
      <c r="A1014" s="1">
        <v>1996</v>
      </c>
      <c r="B1014" s="1" t="s">
        <v>104</v>
      </c>
      <c r="C1014" t="s">
        <v>51</v>
      </c>
      <c r="D1014">
        <v>3</v>
      </c>
      <c r="E1014">
        <v>63</v>
      </c>
      <c r="F1014">
        <v>0.04</v>
      </c>
      <c r="G1014">
        <f>(F1014/0.6)/4</f>
        <v>1.6666666666666666E-2</v>
      </c>
      <c r="H1014">
        <f>G1014*(11.5/38.29)</f>
        <v>5.0056585705580223E-3</v>
      </c>
    </row>
    <row r="1015" spans="1:8" x14ac:dyDescent="0.25">
      <c r="A1015" s="1">
        <v>1996</v>
      </c>
      <c r="B1015" s="1" t="s">
        <v>104</v>
      </c>
      <c r="C1015" t="s">
        <v>51</v>
      </c>
      <c r="D1015">
        <v>3</v>
      </c>
      <c r="E1015">
        <v>63</v>
      </c>
      <c r="F1015">
        <v>0.12</v>
      </c>
      <c r="G1015">
        <f>(F1015/0.6)/4</f>
        <v>0.05</v>
      </c>
      <c r="H1015">
        <f>G1015*(11.5/38.29)</f>
        <v>1.5016975711674067E-2</v>
      </c>
    </row>
    <row r="1016" spans="1:8" x14ac:dyDescent="0.25">
      <c r="A1016" s="1">
        <v>1996</v>
      </c>
      <c r="B1016" s="1" t="s">
        <v>104</v>
      </c>
      <c r="C1016" t="s">
        <v>51</v>
      </c>
      <c r="D1016">
        <v>3</v>
      </c>
      <c r="E1016">
        <v>63</v>
      </c>
      <c r="F1016">
        <v>0.11</v>
      </c>
      <c r="G1016">
        <f>(F1016/0.6)/4</f>
        <v>4.5833333333333337E-2</v>
      </c>
      <c r="H1016">
        <f>G1016*(11.5/38.29)</f>
        <v>1.3765561069034562E-2</v>
      </c>
    </row>
    <row r="1017" spans="1:8" x14ac:dyDescent="0.25">
      <c r="A1017" s="1">
        <v>1996</v>
      </c>
      <c r="B1017" s="1" t="s">
        <v>104</v>
      </c>
      <c r="C1017" t="s">
        <v>51</v>
      </c>
      <c r="D1017">
        <v>3</v>
      </c>
      <c r="E1017">
        <v>63</v>
      </c>
      <c r="F1017">
        <v>0.05</v>
      </c>
      <c r="G1017">
        <f>(F1017/0.6)/4</f>
        <v>2.0833333333333336E-2</v>
      </c>
      <c r="H1017">
        <f>G1017*(11.5/38.29)</f>
        <v>6.2570732131975284E-3</v>
      </c>
    </row>
    <row r="1018" spans="1:8" x14ac:dyDescent="0.25">
      <c r="A1018" s="1">
        <v>1996</v>
      </c>
      <c r="B1018" s="1" t="s">
        <v>104</v>
      </c>
      <c r="C1018" t="s">
        <v>51</v>
      </c>
      <c r="D1018">
        <v>3</v>
      </c>
      <c r="E1018">
        <v>63</v>
      </c>
      <c r="F1018">
        <v>0.06</v>
      </c>
      <c r="G1018">
        <f>(F1018/0.6)/4</f>
        <v>2.5000000000000001E-2</v>
      </c>
      <c r="H1018">
        <f>G1018*(11.5/38.29)</f>
        <v>7.5084878558370335E-3</v>
      </c>
    </row>
    <row r="1019" spans="1:8" x14ac:dyDescent="0.25">
      <c r="A1019" s="1">
        <v>1996</v>
      </c>
      <c r="B1019" s="1" t="s">
        <v>104</v>
      </c>
      <c r="C1019" t="s">
        <v>51</v>
      </c>
      <c r="D1019">
        <v>3</v>
      </c>
      <c r="E1019">
        <v>63</v>
      </c>
      <c r="F1019">
        <v>0.04</v>
      </c>
      <c r="G1019">
        <f>(F1019/0.6)/4</f>
        <v>1.6666666666666666E-2</v>
      </c>
      <c r="H1019">
        <f>G1019*(11.5/38.29)</f>
        <v>5.0056585705580223E-3</v>
      </c>
    </row>
    <row r="1020" spans="1:8" x14ac:dyDescent="0.25">
      <c r="A1020" s="1">
        <v>1996</v>
      </c>
      <c r="B1020" s="1" t="s">
        <v>104</v>
      </c>
      <c r="C1020" t="s">
        <v>51</v>
      </c>
      <c r="D1020">
        <v>3</v>
      </c>
      <c r="E1020">
        <v>63</v>
      </c>
      <c r="F1020">
        <v>0.04</v>
      </c>
      <c r="G1020">
        <f>(F1020/0.6)/4</f>
        <v>1.6666666666666666E-2</v>
      </c>
      <c r="H1020">
        <f>G1020*(11.5/38.29)</f>
        <v>5.0056585705580223E-3</v>
      </c>
    </row>
    <row r="1021" spans="1:8" x14ac:dyDescent="0.25">
      <c r="A1021" s="1">
        <v>1996</v>
      </c>
      <c r="B1021" s="1" t="s">
        <v>104</v>
      </c>
      <c r="C1021" t="s">
        <v>51</v>
      </c>
      <c r="D1021">
        <v>3</v>
      </c>
      <c r="E1021">
        <v>63</v>
      </c>
      <c r="F1021">
        <v>7.0000000000000007E-2</v>
      </c>
      <c r="G1021">
        <f>(F1021/0.6)/4</f>
        <v>2.9166666666666671E-2</v>
      </c>
      <c r="H1021">
        <f>G1021*(11.5/38.29)</f>
        <v>8.7599024984765395E-3</v>
      </c>
    </row>
    <row r="1022" spans="1:8" x14ac:dyDescent="0.25">
      <c r="A1022" s="1">
        <v>1996</v>
      </c>
      <c r="B1022" s="1" t="s">
        <v>104</v>
      </c>
      <c r="C1022" t="s">
        <v>51</v>
      </c>
      <c r="D1022">
        <v>3</v>
      </c>
      <c r="E1022">
        <v>63</v>
      </c>
      <c r="F1022">
        <v>0.1</v>
      </c>
      <c r="G1022">
        <f>(F1022/0.6)/4</f>
        <v>4.1666666666666671E-2</v>
      </c>
      <c r="H1022">
        <f>G1022*(11.5/38.29)</f>
        <v>1.2514146426395057E-2</v>
      </c>
    </row>
    <row r="1023" spans="1:8" x14ac:dyDescent="0.25">
      <c r="A1023" s="1">
        <v>1996</v>
      </c>
      <c r="B1023" s="1" t="s">
        <v>104</v>
      </c>
      <c r="C1023" t="s">
        <v>51</v>
      </c>
      <c r="D1023">
        <v>3</v>
      </c>
      <c r="E1023">
        <v>63</v>
      </c>
      <c r="F1023">
        <v>0.04</v>
      </c>
      <c r="G1023">
        <f>(F1023/0.6)/4</f>
        <v>1.6666666666666666E-2</v>
      </c>
      <c r="H1023">
        <f>G1023*(11.5/38.29)</f>
        <v>5.0056585705580223E-3</v>
      </c>
    </row>
    <row r="1024" spans="1:8" x14ac:dyDescent="0.25">
      <c r="A1024" s="1">
        <v>1996</v>
      </c>
      <c r="B1024" s="1" t="s">
        <v>104</v>
      </c>
      <c r="C1024" t="s">
        <v>51</v>
      </c>
      <c r="D1024">
        <v>3</v>
      </c>
      <c r="E1024">
        <v>63</v>
      </c>
      <c r="F1024">
        <v>7.0000000000000007E-2</v>
      </c>
      <c r="G1024">
        <f>(F1024/0.6)/4</f>
        <v>2.9166666666666671E-2</v>
      </c>
      <c r="H1024">
        <f>G1024*(11.5/38.29)</f>
        <v>8.7599024984765395E-3</v>
      </c>
    </row>
    <row r="1025" spans="1:8" x14ac:dyDescent="0.25">
      <c r="A1025" s="1">
        <v>1996</v>
      </c>
      <c r="B1025" s="1" t="s">
        <v>104</v>
      </c>
      <c r="C1025" t="s">
        <v>51</v>
      </c>
      <c r="D1025">
        <v>3</v>
      </c>
      <c r="E1025">
        <v>63</v>
      </c>
      <c r="F1025">
        <v>0.11</v>
      </c>
      <c r="G1025">
        <f>(F1025/0.6)/4</f>
        <v>4.5833333333333337E-2</v>
      </c>
      <c r="H1025">
        <f>G1025*(11.5/38.29)</f>
        <v>1.3765561069034562E-2</v>
      </c>
    </row>
    <row r="1026" spans="1:8" x14ac:dyDescent="0.25">
      <c r="A1026" s="1">
        <v>1996</v>
      </c>
      <c r="B1026" s="1" t="s">
        <v>104</v>
      </c>
      <c r="C1026" t="s">
        <v>51</v>
      </c>
      <c r="D1026">
        <v>3</v>
      </c>
      <c r="E1026">
        <v>63</v>
      </c>
      <c r="F1026">
        <v>0.08</v>
      </c>
      <c r="G1026">
        <f>(F1026/0.6)/4</f>
        <v>3.3333333333333333E-2</v>
      </c>
      <c r="H1026">
        <f>G1026*(11.5/38.29)</f>
        <v>1.0011317141116045E-2</v>
      </c>
    </row>
    <row r="1027" spans="1:8" x14ac:dyDescent="0.25">
      <c r="A1027" s="1">
        <v>1996</v>
      </c>
      <c r="B1027" s="1" t="s">
        <v>104</v>
      </c>
      <c r="C1027" t="s">
        <v>51</v>
      </c>
      <c r="D1027">
        <v>3</v>
      </c>
      <c r="E1027">
        <v>63</v>
      </c>
      <c r="F1027">
        <v>0.06</v>
      </c>
      <c r="G1027">
        <f>(F1027/0.6)/4</f>
        <v>2.5000000000000001E-2</v>
      </c>
      <c r="H1027">
        <f>G1027*(11.5/38.29)</f>
        <v>7.5084878558370335E-3</v>
      </c>
    </row>
    <row r="1028" spans="1:8" x14ac:dyDescent="0.25">
      <c r="A1028" s="1">
        <v>1996</v>
      </c>
      <c r="B1028" s="1" t="s">
        <v>104</v>
      </c>
      <c r="C1028" t="s">
        <v>51</v>
      </c>
      <c r="D1028">
        <v>3</v>
      </c>
      <c r="E1028">
        <v>63</v>
      </c>
      <c r="F1028">
        <v>0.11</v>
      </c>
      <c r="G1028">
        <f>(F1028/0.6)/4</f>
        <v>4.5833333333333337E-2</v>
      </c>
      <c r="H1028">
        <f>G1028*(11.5/38.29)</f>
        <v>1.3765561069034562E-2</v>
      </c>
    </row>
    <row r="1029" spans="1:8" x14ac:dyDescent="0.25">
      <c r="A1029" s="1">
        <v>1996</v>
      </c>
      <c r="B1029" s="1" t="s">
        <v>104</v>
      </c>
      <c r="C1029" t="s">
        <v>51</v>
      </c>
      <c r="D1029">
        <v>3</v>
      </c>
      <c r="E1029">
        <v>63</v>
      </c>
      <c r="F1029">
        <v>0.03</v>
      </c>
      <c r="G1029">
        <f>(F1029/0.6)/4</f>
        <v>1.2500000000000001E-2</v>
      </c>
      <c r="H1029">
        <f>G1029*(11.5/38.29)</f>
        <v>3.7542439279185168E-3</v>
      </c>
    </row>
    <row r="1030" spans="1:8" x14ac:dyDescent="0.25">
      <c r="A1030" s="1">
        <v>1996</v>
      </c>
      <c r="B1030" s="1" t="s">
        <v>104</v>
      </c>
      <c r="C1030" t="s">
        <v>51</v>
      </c>
      <c r="D1030">
        <v>3</v>
      </c>
      <c r="E1030">
        <v>63</v>
      </c>
      <c r="F1030">
        <v>7.0000000000000007E-2</v>
      </c>
      <c r="G1030">
        <f>(F1030/0.6)/4</f>
        <v>2.9166666666666671E-2</v>
      </c>
      <c r="H1030">
        <f>G1030*(11.5/38.29)</f>
        <v>8.7599024984765395E-3</v>
      </c>
    </row>
    <row r="1031" spans="1:8" x14ac:dyDescent="0.25">
      <c r="A1031" s="1">
        <v>1996</v>
      </c>
      <c r="B1031" s="1" t="s">
        <v>104</v>
      </c>
      <c r="C1031" t="s">
        <v>51</v>
      </c>
      <c r="D1031">
        <v>3</v>
      </c>
      <c r="E1031">
        <v>63</v>
      </c>
      <c r="F1031">
        <v>0.05</v>
      </c>
      <c r="G1031">
        <f>(F1031/0.6)/4</f>
        <v>2.0833333333333336E-2</v>
      </c>
      <c r="H1031">
        <f>G1031*(11.5/38.29)</f>
        <v>6.2570732131975284E-3</v>
      </c>
    </row>
    <row r="1032" spans="1:8" x14ac:dyDescent="0.25">
      <c r="A1032" s="1">
        <v>1996</v>
      </c>
      <c r="B1032" s="1" t="s">
        <v>104</v>
      </c>
      <c r="C1032" t="s">
        <v>51</v>
      </c>
      <c r="D1032">
        <v>3</v>
      </c>
      <c r="E1032">
        <v>63</v>
      </c>
      <c r="F1032">
        <v>0.06</v>
      </c>
      <c r="G1032">
        <f>(F1032/0.6)/4</f>
        <v>2.5000000000000001E-2</v>
      </c>
      <c r="H1032">
        <f>G1032*(11.5/38.29)</f>
        <v>7.5084878558370335E-3</v>
      </c>
    </row>
    <row r="1033" spans="1:8" x14ac:dyDescent="0.25">
      <c r="A1033" s="1">
        <v>1996</v>
      </c>
      <c r="B1033" s="1" t="s">
        <v>104</v>
      </c>
      <c r="C1033" t="s">
        <v>51</v>
      </c>
      <c r="D1033">
        <v>3</v>
      </c>
      <c r="E1033">
        <v>63</v>
      </c>
      <c r="F1033">
        <v>0.09</v>
      </c>
      <c r="G1033">
        <f>(F1033/0.6)/4</f>
        <v>3.7499999999999999E-2</v>
      </c>
      <c r="H1033">
        <f>G1033*(11.5/38.29)</f>
        <v>1.126273178375555E-2</v>
      </c>
    </row>
    <row r="1034" spans="1:8" x14ac:dyDescent="0.25">
      <c r="A1034" s="1">
        <v>1996</v>
      </c>
      <c r="B1034" s="1" t="s">
        <v>104</v>
      </c>
      <c r="C1034" t="s">
        <v>51</v>
      </c>
      <c r="D1034">
        <v>3</v>
      </c>
      <c r="E1034">
        <v>63</v>
      </c>
      <c r="F1034">
        <v>7.0000000000000007E-2</v>
      </c>
      <c r="G1034">
        <f>(F1034/0.6)/4</f>
        <v>2.9166666666666671E-2</v>
      </c>
      <c r="H1034">
        <f>G1034*(11.5/38.29)</f>
        <v>8.7599024984765395E-3</v>
      </c>
    </row>
    <row r="1035" spans="1:8" x14ac:dyDescent="0.25">
      <c r="A1035" s="1">
        <v>1996</v>
      </c>
      <c r="B1035" s="1" t="s">
        <v>104</v>
      </c>
      <c r="C1035" t="s">
        <v>51</v>
      </c>
      <c r="D1035">
        <v>3</v>
      </c>
      <c r="E1035">
        <v>63</v>
      </c>
      <c r="F1035">
        <v>7.0000000000000007E-2</v>
      </c>
      <c r="G1035">
        <f>(F1035/0.6)/4</f>
        <v>2.9166666666666671E-2</v>
      </c>
      <c r="H1035">
        <f>G1035*(11.5/38.29)</f>
        <v>8.7599024984765395E-3</v>
      </c>
    </row>
    <row r="1036" spans="1:8" x14ac:dyDescent="0.25">
      <c r="A1036" s="1">
        <v>1996</v>
      </c>
      <c r="B1036" s="1" t="s">
        <v>104</v>
      </c>
      <c r="C1036" t="s">
        <v>51</v>
      </c>
      <c r="D1036">
        <v>3</v>
      </c>
      <c r="E1036">
        <v>63</v>
      </c>
      <c r="F1036">
        <v>0.09</v>
      </c>
      <c r="G1036">
        <f>(F1036/0.6)/4</f>
        <v>3.7499999999999999E-2</v>
      </c>
      <c r="H1036">
        <f>G1036*(11.5/38.29)</f>
        <v>1.126273178375555E-2</v>
      </c>
    </row>
    <row r="1037" spans="1:8" x14ac:dyDescent="0.25">
      <c r="A1037" s="1">
        <v>1996</v>
      </c>
      <c r="B1037" s="1" t="s">
        <v>104</v>
      </c>
      <c r="C1037" t="s">
        <v>51</v>
      </c>
      <c r="D1037">
        <v>3</v>
      </c>
      <c r="E1037">
        <v>63</v>
      </c>
      <c r="F1037">
        <v>0.04</v>
      </c>
      <c r="G1037">
        <f>(F1037/0.6)/4</f>
        <v>1.6666666666666666E-2</v>
      </c>
      <c r="H1037">
        <f>G1037*(11.5/38.29)</f>
        <v>5.0056585705580223E-3</v>
      </c>
    </row>
    <row r="1038" spans="1:8" x14ac:dyDescent="0.25">
      <c r="A1038" s="1">
        <v>1996</v>
      </c>
      <c r="B1038" s="1" t="s">
        <v>104</v>
      </c>
      <c r="C1038" t="s">
        <v>51</v>
      </c>
      <c r="D1038">
        <v>3</v>
      </c>
      <c r="E1038">
        <v>63</v>
      </c>
      <c r="F1038">
        <v>0.06</v>
      </c>
      <c r="G1038">
        <f>(F1038/0.6)/4</f>
        <v>2.5000000000000001E-2</v>
      </c>
      <c r="H1038">
        <f>G1038*(11.5/38.29)</f>
        <v>7.5084878558370335E-3</v>
      </c>
    </row>
    <row r="1039" spans="1:8" x14ac:dyDescent="0.25">
      <c r="A1039" s="1">
        <v>1996</v>
      </c>
      <c r="B1039" s="1" t="s">
        <v>104</v>
      </c>
      <c r="C1039" t="s">
        <v>51</v>
      </c>
      <c r="D1039">
        <v>3</v>
      </c>
      <c r="E1039">
        <v>79</v>
      </c>
      <c r="F1039">
        <v>7.0000000000000007E-2</v>
      </c>
      <c r="G1039">
        <f>(F1039/0.6)/4</f>
        <v>2.9166666666666671E-2</v>
      </c>
      <c r="H1039">
        <f>G1039*(11.5/38.29)</f>
        <v>8.7599024984765395E-3</v>
      </c>
    </row>
    <row r="1040" spans="1:8" x14ac:dyDescent="0.25">
      <c r="A1040" s="1">
        <v>1996</v>
      </c>
      <c r="B1040" s="1" t="s">
        <v>104</v>
      </c>
      <c r="C1040" t="s">
        <v>51</v>
      </c>
      <c r="D1040">
        <v>3</v>
      </c>
      <c r="E1040">
        <v>79</v>
      </c>
      <c r="F1040">
        <v>0.03</v>
      </c>
      <c r="G1040">
        <f>(F1040/0.6)/4</f>
        <v>1.2500000000000001E-2</v>
      </c>
      <c r="H1040">
        <f>G1040*(11.5/38.29)</f>
        <v>3.7542439279185168E-3</v>
      </c>
    </row>
    <row r="1041" spans="1:8" x14ac:dyDescent="0.25">
      <c r="A1041" s="1">
        <v>1996</v>
      </c>
      <c r="B1041" s="1" t="s">
        <v>104</v>
      </c>
      <c r="C1041" t="s">
        <v>51</v>
      </c>
      <c r="D1041">
        <v>3</v>
      </c>
      <c r="E1041">
        <v>79</v>
      </c>
      <c r="F1041">
        <v>0.12</v>
      </c>
      <c r="G1041">
        <f>(F1041/0.6)/4</f>
        <v>0.05</v>
      </c>
      <c r="H1041">
        <f>G1041*(11.5/38.29)</f>
        <v>1.5016975711674067E-2</v>
      </c>
    </row>
    <row r="1042" spans="1:8" x14ac:dyDescent="0.25">
      <c r="A1042" s="1">
        <v>1996</v>
      </c>
      <c r="B1042" s="1" t="s">
        <v>104</v>
      </c>
      <c r="C1042" t="s">
        <v>51</v>
      </c>
      <c r="D1042">
        <v>3</v>
      </c>
      <c r="E1042">
        <v>79</v>
      </c>
      <c r="F1042">
        <v>7.0000000000000007E-2</v>
      </c>
      <c r="G1042">
        <f>(F1042/0.6)/4</f>
        <v>2.9166666666666671E-2</v>
      </c>
      <c r="H1042">
        <f>G1042*(11.5/38.29)</f>
        <v>8.7599024984765395E-3</v>
      </c>
    </row>
    <row r="1043" spans="1:8" x14ac:dyDescent="0.25">
      <c r="A1043" s="1">
        <v>1996</v>
      </c>
      <c r="B1043" s="1" t="s">
        <v>104</v>
      </c>
      <c r="C1043" t="s">
        <v>51</v>
      </c>
      <c r="D1043">
        <v>3</v>
      </c>
      <c r="E1043">
        <v>79</v>
      </c>
      <c r="F1043">
        <v>0.04</v>
      </c>
      <c r="G1043">
        <f>(F1043/0.6)/4</f>
        <v>1.6666666666666666E-2</v>
      </c>
      <c r="H1043">
        <f>G1043*(11.5/38.29)</f>
        <v>5.0056585705580223E-3</v>
      </c>
    </row>
    <row r="1044" spans="1:8" x14ac:dyDescent="0.25">
      <c r="A1044" s="1">
        <v>1996</v>
      </c>
      <c r="B1044" s="1" t="s">
        <v>104</v>
      </c>
      <c r="C1044" t="s">
        <v>51</v>
      </c>
      <c r="D1044">
        <v>3</v>
      </c>
      <c r="E1044">
        <v>79</v>
      </c>
      <c r="F1044">
        <v>0.05</v>
      </c>
      <c r="G1044">
        <f>(F1044/0.6)/4</f>
        <v>2.0833333333333336E-2</v>
      </c>
      <c r="H1044">
        <f>G1044*(11.5/38.29)</f>
        <v>6.2570732131975284E-3</v>
      </c>
    </row>
    <row r="1045" spans="1:8" x14ac:dyDescent="0.25">
      <c r="A1045" s="1">
        <v>1996</v>
      </c>
      <c r="B1045" s="1" t="s">
        <v>104</v>
      </c>
      <c r="C1045" t="s">
        <v>51</v>
      </c>
      <c r="D1045">
        <v>3</v>
      </c>
      <c r="E1045">
        <v>79</v>
      </c>
      <c r="F1045">
        <v>7.0000000000000007E-2</v>
      </c>
      <c r="G1045">
        <f>(F1045/0.6)/4</f>
        <v>2.9166666666666671E-2</v>
      </c>
      <c r="H1045">
        <f>G1045*(11.5/38.29)</f>
        <v>8.7599024984765395E-3</v>
      </c>
    </row>
    <row r="1046" spans="1:8" x14ac:dyDescent="0.25">
      <c r="A1046" s="1">
        <v>1996</v>
      </c>
      <c r="B1046" s="1" t="s">
        <v>104</v>
      </c>
      <c r="C1046" t="s">
        <v>51</v>
      </c>
      <c r="D1046">
        <v>3</v>
      </c>
      <c r="E1046">
        <v>79</v>
      </c>
      <c r="F1046">
        <v>0.05</v>
      </c>
      <c r="G1046">
        <f>(F1046/0.6)/4</f>
        <v>2.0833333333333336E-2</v>
      </c>
      <c r="H1046">
        <f>G1046*(11.5/38.29)</f>
        <v>6.2570732131975284E-3</v>
      </c>
    </row>
    <row r="1047" spans="1:8" x14ac:dyDescent="0.25">
      <c r="A1047" s="1">
        <v>1996</v>
      </c>
      <c r="B1047" s="1" t="s">
        <v>104</v>
      </c>
      <c r="C1047" t="s">
        <v>51</v>
      </c>
      <c r="D1047">
        <v>3</v>
      </c>
      <c r="E1047">
        <v>79</v>
      </c>
      <c r="F1047">
        <v>0.06</v>
      </c>
      <c r="G1047">
        <f>(F1047/0.6)/4</f>
        <v>2.5000000000000001E-2</v>
      </c>
      <c r="H1047">
        <f>G1047*(11.5/38.29)</f>
        <v>7.5084878558370335E-3</v>
      </c>
    </row>
    <row r="1048" spans="1:8" x14ac:dyDescent="0.25">
      <c r="A1048" s="1">
        <v>1996</v>
      </c>
      <c r="B1048" s="1" t="s">
        <v>104</v>
      </c>
      <c r="C1048" t="s">
        <v>51</v>
      </c>
      <c r="D1048">
        <v>3</v>
      </c>
      <c r="E1048">
        <v>79</v>
      </c>
      <c r="F1048">
        <v>0.1</v>
      </c>
      <c r="G1048">
        <f>(F1048/0.6)/4</f>
        <v>4.1666666666666671E-2</v>
      </c>
      <c r="H1048">
        <f>G1048*(11.5/38.29)</f>
        <v>1.2514146426395057E-2</v>
      </c>
    </row>
    <row r="1049" spans="1:8" x14ac:dyDescent="0.25">
      <c r="A1049" s="1">
        <v>1996</v>
      </c>
      <c r="B1049" s="1" t="s">
        <v>104</v>
      </c>
      <c r="C1049" t="s">
        <v>51</v>
      </c>
      <c r="D1049">
        <v>3</v>
      </c>
      <c r="E1049">
        <v>79</v>
      </c>
      <c r="F1049">
        <v>0.05</v>
      </c>
      <c r="G1049">
        <f>(F1049/0.6)/4</f>
        <v>2.0833333333333336E-2</v>
      </c>
      <c r="H1049">
        <f>G1049*(11.5/38.29)</f>
        <v>6.2570732131975284E-3</v>
      </c>
    </row>
    <row r="1050" spans="1:8" x14ac:dyDescent="0.25">
      <c r="A1050" s="1">
        <v>1996</v>
      </c>
      <c r="B1050" s="1" t="s">
        <v>104</v>
      </c>
      <c r="C1050" t="s">
        <v>51</v>
      </c>
      <c r="D1050">
        <v>3</v>
      </c>
      <c r="E1050">
        <v>79</v>
      </c>
      <c r="F1050">
        <v>0.1</v>
      </c>
      <c r="G1050">
        <f>(F1050/0.6)/4</f>
        <v>4.1666666666666671E-2</v>
      </c>
      <c r="H1050">
        <f>G1050*(11.5/38.29)</f>
        <v>1.2514146426395057E-2</v>
      </c>
    </row>
    <row r="1051" spans="1:8" x14ac:dyDescent="0.25">
      <c r="A1051" s="1">
        <v>1996</v>
      </c>
      <c r="B1051" s="1" t="s">
        <v>104</v>
      </c>
      <c r="C1051" t="s">
        <v>51</v>
      </c>
      <c r="D1051">
        <v>3</v>
      </c>
      <c r="E1051">
        <v>79</v>
      </c>
      <c r="F1051">
        <v>0.08</v>
      </c>
      <c r="G1051">
        <f>(F1051/0.6)/4</f>
        <v>3.3333333333333333E-2</v>
      </c>
      <c r="H1051">
        <f>G1051*(11.5/38.29)</f>
        <v>1.0011317141116045E-2</v>
      </c>
    </row>
    <row r="1052" spans="1:8" x14ac:dyDescent="0.25">
      <c r="A1052" s="1">
        <v>1996</v>
      </c>
      <c r="B1052" s="1" t="s">
        <v>104</v>
      </c>
      <c r="C1052" t="s">
        <v>51</v>
      </c>
      <c r="D1052">
        <v>3</v>
      </c>
      <c r="E1052">
        <v>79</v>
      </c>
      <c r="F1052">
        <v>0.08</v>
      </c>
      <c r="G1052">
        <f>(F1052/0.6)/4</f>
        <v>3.3333333333333333E-2</v>
      </c>
      <c r="H1052">
        <f>G1052*(11.5/38.29)</f>
        <v>1.0011317141116045E-2</v>
      </c>
    </row>
    <row r="1053" spans="1:8" x14ac:dyDescent="0.25">
      <c r="A1053" s="1">
        <v>1996</v>
      </c>
      <c r="B1053" s="1" t="s">
        <v>104</v>
      </c>
      <c r="C1053" t="s">
        <v>51</v>
      </c>
      <c r="D1053">
        <v>3</v>
      </c>
      <c r="E1053">
        <v>79</v>
      </c>
      <c r="F1053">
        <v>0.09</v>
      </c>
      <c r="G1053">
        <f>(F1053/0.6)/4</f>
        <v>3.7499999999999999E-2</v>
      </c>
      <c r="H1053">
        <f>G1053*(11.5/38.29)</f>
        <v>1.126273178375555E-2</v>
      </c>
    </row>
    <row r="1054" spans="1:8" x14ac:dyDescent="0.25">
      <c r="A1054" s="1">
        <v>1996</v>
      </c>
      <c r="B1054" s="1" t="s">
        <v>104</v>
      </c>
      <c r="C1054" t="s">
        <v>51</v>
      </c>
      <c r="D1054">
        <v>3</v>
      </c>
      <c r="E1054">
        <v>79</v>
      </c>
      <c r="F1054">
        <v>0.05</v>
      </c>
      <c r="G1054">
        <f>(F1054/0.6)/4</f>
        <v>2.0833333333333336E-2</v>
      </c>
      <c r="H1054">
        <f>G1054*(11.5/38.29)</f>
        <v>6.2570732131975284E-3</v>
      </c>
    </row>
    <row r="1055" spans="1:8" x14ac:dyDescent="0.25">
      <c r="A1055" s="1">
        <v>1996</v>
      </c>
      <c r="B1055" s="1" t="s">
        <v>104</v>
      </c>
      <c r="C1055" t="s">
        <v>51</v>
      </c>
      <c r="D1055">
        <v>3</v>
      </c>
      <c r="E1055">
        <v>79</v>
      </c>
      <c r="F1055">
        <v>0.06</v>
      </c>
      <c r="G1055">
        <f>(F1055/0.6)/4</f>
        <v>2.5000000000000001E-2</v>
      </c>
      <c r="H1055">
        <f>G1055*(11.5/38.29)</f>
        <v>7.5084878558370335E-3</v>
      </c>
    </row>
    <row r="1056" spans="1:8" x14ac:dyDescent="0.25">
      <c r="A1056" s="1">
        <v>1996</v>
      </c>
      <c r="B1056" s="1" t="s">
        <v>104</v>
      </c>
      <c r="C1056" t="s">
        <v>51</v>
      </c>
      <c r="D1056">
        <v>3</v>
      </c>
      <c r="E1056">
        <v>79</v>
      </c>
      <c r="F1056">
        <v>0.04</v>
      </c>
      <c r="G1056">
        <f>(F1056/0.6)/4</f>
        <v>1.6666666666666666E-2</v>
      </c>
      <c r="H1056">
        <f>G1056*(11.5/38.29)</f>
        <v>5.0056585705580223E-3</v>
      </c>
    </row>
    <row r="1057" spans="1:8" x14ac:dyDescent="0.25">
      <c r="A1057" s="1">
        <v>1996</v>
      </c>
      <c r="B1057" s="1" t="s">
        <v>104</v>
      </c>
      <c r="C1057" t="s">
        <v>51</v>
      </c>
      <c r="D1057">
        <v>3</v>
      </c>
      <c r="E1057">
        <v>79</v>
      </c>
      <c r="F1057">
        <v>0.1</v>
      </c>
      <c r="G1057">
        <f>(F1057/0.6)/4</f>
        <v>4.1666666666666671E-2</v>
      </c>
      <c r="H1057">
        <f>G1057*(11.5/38.29)</f>
        <v>1.2514146426395057E-2</v>
      </c>
    </row>
    <row r="1058" spans="1:8" x14ac:dyDescent="0.25">
      <c r="A1058" s="1">
        <v>1996</v>
      </c>
      <c r="B1058" s="1" t="s">
        <v>104</v>
      </c>
      <c r="C1058" t="s">
        <v>51</v>
      </c>
      <c r="D1058">
        <v>3</v>
      </c>
      <c r="E1058">
        <v>79</v>
      </c>
      <c r="F1058">
        <v>0.13</v>
      </c>
      <c r="G1058">
        <f>(F1058/0.6)/4</f>
        <v>5.4166666666666669E-2</v>
      </c>
      <c r="H1058">
        <f>G1058*(11.5/38.29)</f>
        <v>1.6268390354313572E-2</v>
      </c>
    </row>
    <row r="1059" spans="1:8" x14ac:dyDescent="0.25">
      <c r="A1059" s="1">
        <v>1996</v>
      </c>
      <c r="B1059" s="1" t="s">
        <v>104</v>
      </c>
      <c r="C1059" t="s">
        <v>51</v>
      </c>
      <c r="D1059">
        <v>3</v>
      </c>
      <c r="E1059">
        <v>79</v>
      </c>
      <c r="F1059">
        <v>0.1</v>
      </c>
      <c r="G1059">
        <f>(F1059/0.6)/4</f>
        <v>4.1666666666666671E-2</v>
      </c>
      <c r="H1059">
        <f>G1059*(11.5/38.29)</f>
        <v>1.2514146426395057E-2</v>
      </c>
    </row>
    <row r="1060" spans="1:8" x14ac:dyDescent="0.25">
      <c r="A1060" s="1">
        <v>1996</v>
      </c>
      <c r="B1060" s="1" t="s">
        <v>104</v>
      </c>
      <c r="C1060" t="s">
        <v>51</v>
      </c>
      <c r="D1060">
        <v>3</v>
      </c>
      <c r="E1060">
        <v>79</v>
      </c>
      <c r="F1060">
        <v>0.1</v>
      </c>
      <c r="G1060">
        <f>(F1060/0.6)/4</f>
        <v>4.1666666666666671E-2</v>
      </c>
      <c r="H1060">
        <f>G1060*(11.5/38.29)</f>
        <v>1.2514146426395057E-2</v>
      </c>
    </row>
    <row r="1061" spans="1:8" x14ac:dyDescent="0.25">
      <c r="A1061" s="1">
        <v>1996</v>
      </c>
      <c r="B1061" s="1" t="s">
        <v>104</v>
      </c>
      <c r="C1061" t="s">
        <v>51</v>
      </c>
      <c r="D1061">
        <v>3</v>
      </c>
      <c r="E1061">
        <v>79</v>
      </c>
      <c r="F1061">
        <v>0.08</v>
      </c>
      <c r="G1061">
        <f>(F1061/0.6)/4</f>
        <v>3.3333333333333333E-2</v>
      </c>
      <c r="H1061">
        <f>G1061*(11.5/38.29)</f>
        <v>1.0011317141116045E-2</v>
      </c>
    </row>
    <row r="1062" spans="1:8" x14ac:dyDescent="0.25">
      <c r="A1062" s="1">
        <v>1996</v>
      </c>
      <c r="B1062" s="1" t="s">
        <v>104</v>
      </c>
      <c r="C1062" t="s">
        <v>51</v>
      </c>
      <c r="D1062">
        <v>3</v>
      </c>
      <c r="E1062">
        <v>79</v>
      </c>
      <c r="F1062">
        <v>0.09</v>
      </c>
      <c r="G1062">
        <f>(F1062/0.6)/4</f>
        <v>3.7499999999999999E-2</v>
      </c>
      <c r="H1062">
        <f>G1062*(11.5/38.29)</f>
        <v>1.126273178375555E-2</v>
      </c>
    </row>
    <row r="1063" spans="1:8" x14ac:dyDescent="0.25">
      <c r="A1063" s="1">
        <v>1996</v>
      </c>
      <c r="B1063" s="1" t="s">
        <v>104</v>
      </c>
      <c r="C1063" t="s">
        <v>51</v>
      </c>
      <c r="D1063">
        <v>3</v>
      </c>
      <c r="E1063">
        <v>79</v>
      </c>
      <c r="F1063">
        <v>0.06</v>
      </c>
      <c r="G1063">
        <f>(F1063/0.6)/4</f>
        <v>2.5000000000000001E-2</v>
      </c>
      <c r="H1063">
        <f>G1063*(11.5/38.29)</f>
        <v>7.5084878558370335E-3</v>
      </c>
    </row>
    <row r="1064" spans="1:8" x14ac:dyDescent="0.25">
      <c r="A1064" s="1">
        <v>1996</v>
      </c>
      <c r="B1064" s="1" t="s">
        <v>104</v>
      </c>
      <c r="C1064" t="s">
        <v>51</v>
      </c>
      <c r="D1064">
        <v>3</v>
      </c>
      <c r="E1064">
        <v>79</v>
      </c>
      <c r="F1064">
        <v>0.08</v>
      </c>
      <c r="G1064">
        <f>(F1064/0.6)/4</f>
        <v>3.3333333333333333E-2</v>
      </c>
      <c r="H1064">
        <f>G1064*(11.5/38.29)</f>
        <v>1.0011317141116045E-2</v>
      </c>
    </row>
    <row r="1065" spans="1:8" x14ac:dyDescent="0.25">
      <c r="A1065" s="1">
        <v>1996</v>
      </c>
      <c r="B1065" s="1" t="s">
        <v>104</v>
      </c>
      <c r="C1065" t="s">
        <v>51</v>
      </c>
      <c r="D1065">
        <v>3</v>
      </c>
      <c r="E1065">
        <v>79</v>
      </c>
      <c r="F1065">
        <v>0.05</v>
      </c>
      <c r="G1065">
        <f>(F1065/0.6)/4</f>
        <v>2.0833333333333336E-2</v>
      </c>
      <c r="H1065">
        <f>G1065*(11.5/38.29)</f>
        <v>6.2570732131975284E-3</v>
      </c>
    </row>
    <row r="1066" spans="1:8" x14ac:dyDescent="0.25">
      <c r="A1066" s="1">
        <v>1996</v>
      </c>
      <c r="B1066" s="1" t="s">
        <v>104</v>
      </c>
      <c r="C1066" t="s">
        <v>51</v>
      </c>
      <c r="D1066">
        <v>3</v>
      </c>
      <c r="E1066">
        <v>85</v>
      </c>
      <c r="F1066">
        <v>0.04</v>
      </c>
      <c r="G1066">
        <f>(F1066/0.6)/4</f>
        <v>1.6666666666666666E-2</v>
      </c>
      <c r="H1066">
        <f>G1066*(11.5/38.29)</f>
        <v>5.0056585705580223E-3</v>
      </c>
    </row>
    <row r="1067" spans="1:8" x14ac:dyDescent="0.25">
      <c r="A1067" s="1">
        <v>1996</v>
      </c>
      <c r="B1067" s="1" t="s">
        <v>104</v>
      </c>
      <c r="C1067" t="s">
        <v>51</v>
      </c>
      <c r="D1067">
        <v>3</v>
      </c>
      <c r="E1067">
        <v>85</v>
      </c>
      <c r="F1067">
        <v>0.04</v>
      </c>
      <c r="G1067">
        <f>(F1067/0.6)/4</f>
        <v>1.6666666666666666E-2</v>
      </c>
      <c r="H1067">
        <f>G1067*(11.5/38.29)</f>
        <v>5.0056585705580223E-3</v>
      </c>
    </row>
    <row r="1068" spans="1:8" x14ac:dyDescent="0.25">
      <c r="A1068" s="1">
        <v>1996</v>
      </c>
      <c r="B1068" s="1" t="s">
        <v>104</v>
      </c>
      <c r="C1068" t="s">
        <v>51</v>
      </c>
      <c r="D1068">
        <v>3</v>
      </c>
      <c r="E1068">
        <v>85</v>
      </c>
      <c r="F1068">
        <v>0.06</v>
      </c>
      <c r="G1068">
        <f>(F1068/0.6)/4</f>
        <v>2.5000000000000001E-2</v>
      </c>
      <c r="H1068">
        <f>G1068*(11.5/38.29)</f>
        <v>7.5084878558370335E-3</v>
      </c>
    </row>
    <row r="1069" spans="1:8" x14ac:dyDescent="0.25">
      <c r="A1069" s="1">
        <v>1996</v>
      </c>
      <c r="B1069" s="1" t="s">
        <v>104</v>
      </c>
      <c r="C1069" t="s">
        <v>51</v>
      </c>
      <c r="D1069">
        <v>3</v>
      </c>
      <c r="E1069">
        <v>85</v>
      </c>
      <c r="F1069">
        <v>0.04</v>
      </c>
      <c r="G1069">
        <f>(F1069/0.6)/4</f>
        <v>1.6666666666666666E-2</v>
      </c>
      <c r="H1069">
        <f>G1069*(11.5/38.29)</f>
        <v>5.0056585705580223E-3</v>
      </c>
    </row>
    <row r="1070" spans="1:8" x14ac:dyDescent="0.25">
      <c r="A1070" s="1">
        <v>1996</v>
      </c>
      <c r="B1070" s="1" t="s">
        <v>104</v>
      </c>
      <c r="C1070" t="s">
        <v>51</v>
      </c>
      <c r="D1070">
        <v>3</v>
      </c>
      <c r="E1070">
        <v>85</v>
      </c>
      <c r="F1070">
        <v>0.05</v>
      </c>
      <c r="G1070">
        <f>(F1070/0.6)/4</f>
        <v>2.0833333333333336E-2</v>
      </c>
      <c r="H1070">
        <f>G1070*(11.5/38.29)</f>
        <v>6.2570732131975284E-3</v>
      </c>
    </row>
    <row r="1071" spans="1:8" x14ac:dyDescent="0.25">
      <c r="A1071" s="1">
        <v>1996</v>
      </c>
      <c r="B1071" s="1" t="s">
        <v>104</v>
      </c>
      <c r="C1071" t="s">
        <v>51</v>
      </c>
      <c r="D1071">
        <v>4</v>
      </c>
      <c r="E1071">
        <v>11</v>
      </c>
      <c r="F1071">
        <v>7.0000000000000007E-2</v>
      </c>
      <c r="G1071">
        <f>(F1071/0.6)/4</f>
        <v>2.9166666666666671E-2</v>
      </c>
      <c r="H1071">
        <f>G1071*(11.5/38.29)</f>
        <v>8.7599024984765395E-3</v>
      </c>
    </row>
    <row r="1072" spans="1:8" x14ac:dyDescent="0.25">
      <c r="A1072" s="1">
        <v>1996</v>
      </c>
      <c r="B1072" s="1" t="s">
        <v>104</v>
      </c>
      <c r="C1072" t="s">
        <v>51</v>
      </c>
      <c r="D1072">
        <v>4</v>
      </c>
      <c r="E1072">
        <v>29</v>
      </c>
      <c r="F1072">
        <v>0.12</v>
      </c>
      <c r="G1072">
        <f>(F1072/0.6)/4</f>
        <v>0.05</v>
      </c>
      <c r="H1072">
        <f>G1072*(11.5/38.29)</f>
        <v>1.5016975711674067E-2</v>
      </c>
    </row>
    <row r="1073" spans="1:8" x14ac:dyDescent="0.25">
      <c r="A1073" s="1">
        <v>1996</v>
      </c>
      <c r="B1073" s="1" t="s">
        <v>104</v>
      </c>
      <c r="C1073" t="s">
        <v>51</v>
      </c>
      <c r="D1073">
        <v>4</v>
      </c>
      <c r="E1073">
        <v>29</v>
      </c>
      <c r="F1073">
        <v>0.04</v>
      </c>
      <c r="G1073">
        <f>(F1073/0.6)/4</f>
        <v>1.6666666666666666E-2</v>
      </c>
      <c r="H1073">
        <f>G1073*(11.5/38.29)</f>
        <v>5.0056585705580223E-3</v>
      </c>
    </row>
    <row r="1074" spans="1:8" x14ac:dyDescent="0.25">
      <c r="A1074" s="1">
        <v>1996</v>
      </c>
      <c r="B1074" s="1" t="s">
        <v>104</v>
      </c>
      <c r="C1074" t="s">
        <v>51</v>
      </c>
      <c r="D1074">
        <v>4</v>
      </c>
      <c r="E1074">
        <v>29</v>
      </c>
      <c r="F1074">
        <v>7.0000000000000007E-2</v>
      </c>
      <c r="G1074">
        <f>(F1074/0.6)/4</f>
        <v>2.9166666666666671E-2</v>
      </c>
      <c r="H1074">
        <f>G1074*(11.5/38.29)</f>
        <v>8.7599024984765395E-3</v>
      </c>
    </row>
    <row r="1075" spans="1:8" x14ac:dyDescent="0.25">
      <c r="A1075" s="1">
        <v>1996</v>
      </c>
      <c r="B1075" s="1" t="s">
        <v>104</v>
      </c>
      <c r="C1075" t="s">
        <v>51</v>
      </c>
      <c r="D1075">
        <v>4</v>
      </c>
      <c r="E1075">
        <v>29</v>
      </c>
      <c r="F1075">
        <v>7.0000000000000007E-2</v>
      </c>
      <c r="G1075">
        <f>(F1075/0.6)/4</f>
        <v>2.9166666666666671E-2</v>
      </c>
      <c r="H1075">
        <f>G1075*(11.5/38.29)</f>
        <v>8.7599024984765395E-3</v>
      </c>
    </row>
    <row r="1076" spans="1:8" x14ac:dyDescent="0.25">
      <c r="A1076" s="1">
        <v>1996</v>
      </c>
      <c r="B1076" s="1" t="s">
        <v>104</v>
      </c>
      <c r="C1076" t="s">
        <v>51</v>
      </c>
      <c r="D1076">
        <v>4</v>
      </c>
      <c r="E1076">
        <v>29</v>
      </c>
      <c r="F1076">
        <v>0.05</v>
      </c>
      <c r="G1076">
        <f>(F1076/0.6)/4</f>
        <v>2.0833333333333336E-2</v>
      </c>
      <c r="H1076">
        <f>G1076*(11.5/38.29)</f>
        <v>6.2570732131975284E-3</v>
      </c>
    </row>
    <row r="1077" spans="1:8" x14ac:dyDescent="0.25">
      <c r="A1077" s="1">
        <v>1996</v>
      </c>
      <c r="B1077" s="1" t="s">
        <v>104</v>
      </c>
      <c r="C1077" t="s">
        <v>51</v>
      </c>
      <c r="D1077">
        <v>4</v>
      </c>
      <c r="E1077">
        <v>32</v>
      </c>
      <c r="F1077">
        <v>0.08</v>
      </c>
      <c r="G1077">
        <f>(F1077/0.6)/4</f>
        <v>3.3333333333333333E-2</v>
      </c>
      <c r="H1077">
        <f>G1077*(11.5/38.29)</f>
        <v>1.0011317141116045E-2</v>
      </c>
    </row>
    <row r="1078" spans="1:8" x14ac:dyDescent="0.25">
      <c r="A1078" s="1">
        <v>1996</v>
      </c>
      <c r="B1078" s="1" t="s">
        <v>104</v>
      </c>
      <c r="C1078" t="s">
        <v>51</v>
      </c>
      <c r="D1078">
        <v>4</v>
      </c>
      <c r="E1078">
        <v>32</v>
      </c>
      <c r="F1078">
        <v>0.09</v>
      </c>
      <c r="G1078">
        <f>(F1078/0.6)/4</f>
        <v>3.7499999999999999E-2</v>
      </c>
      <c r="H1078">
        <f>G1078*(11.5/38.29)</f>
        <v>1.126273178375555E-2</v>
      </c>
    </row>
    <row r="1079" spans="1:8" x14ac:dyDescent="0.25">
      <c r="A1079" s="1">
        <v>1996</v>
      </c>
      <c r="B1079" s="1" t="s">
        <v>104</v>
      </c>
      <c r="C1079" t="s">
        <v>51</v>
      </c>
      <c r="D1079">
        <v>4</v>
      </c>
      <c r="E1079">
        <v>32</v>
      </c>
      <c r="F1079">
        <v>0.05</v>
      </c>
      <c r="G1079">
        <f>(F1079/0.6)/4</f>
        <v>2.0833333333333336E-2</v>
      </c>
      <c r="H1079">
        <f>G1079*(11.5/38.29)</f>
        <v>6.2570732131975284E-3</v>
      </c>
    </row>
    <row r="1080" spans="1:8" x14ac:dyDescent="0.25">
      <c r="A1080" s="1">
        <v>1996</v>
      </c>
      <c r="B1080" s="1" t="s">
        <v>104</v>
      </c>
      <c r="C1080" t="s">
        <v>51</v>
      </c>
      <c r="D1080">
        <v>4</v>
      </c>
      <c r="E1080">
        <v>32</v>
      </c>
      <c r="F1080">
        <v>0.05</v>
      </c>
      <c r="G1080">
        <f>(F1080/0.6)/4</f>
        <v>2.0833333333333336E-2</v>
      </c>
      <c r="H1080">
        <f>G1080*(11.5/38.29)</f>
        <v>6.2570732131975284E-3</v>
      </c>
    </row>
    <row r="1081" spans="1:8" x14ac:dyDescent="0.25">
      <c r="A1081" s="1">
        <v>1996</v>
      </c>
      <c r="B1081" s="1" t="s">
        <v>104</v>
      </c>
      <c r="C1081" t="s">
        <v>51</v>
      </c>
      <c r="D1081">
        <v>4</v>
      </c>
      <c r="E1081">
        <v>32</v>
      </c>
      <c r="F1081">
        <v>7.0000000000000007E-2</v>
      </c>
      <c r="G1081">
        <f>(F1081/0.6)/4</f>
        <v>2.9166666666666671E-2</v>
      </c>
      <c r="H1081">
        <f>G1081*(11.5/38.29)</f>
        <v>8.7599024984765395E-3</v>
      </c>
    </row>
    <row r="1082" spans="1:8" x14ac:dyDescent="0.25">
      <c r="A1082" s="1">
        <v>1996</v>
      </c>
      <c r="B1082" s="1" t="s">
        <v>104</v>
      </c>
      <c r="C1082" t="s">
        <v>51</v>
      </c>
      <c r="D1082">
        <v>4</v>
      </c>
      <c r="E1082">
        <v>32</v>
      </c>
      <c r="F1082">
        <v>0.06</v>
      </c>
      <c r="G1082">
        <f>(F1082/0.6)/4</f>
        <v>2.5000000000000001E-2</v>
      </c>
      <c r="H1082">
        <f>G1082*(11.5/38.29)</f>
        <v>7.5084878558370335E-3</v>
      </c>
    </row>
    <row r="1083" spans="1:8" x14ac:dyDescent="0.25">
      <c r="A1083" s="1">
        <v>1996</v>
      </c>
      <c r="B1083" s="1" t="s">
        <v>104</v>
      </c>
      <c r="C1083" t="s">
        <v>51</v>
      </c>
      <c r="D1083">
        <v>4</v>
      </c>
      <c r="E1083">
        <v>32</v>
      </c>
      <c r="F1083">
        <v>0.05</v>
      </c>
      <c r="G1083">
        <f>(F1083/0.6)/4</f>
        <v>2.0833333333333336E-2</v>
      </c>
      <c r="H1083">
        <f>G1083*(11.5/38.29)</f>
        <v>6.2570732131975284E-3</v>
      </c>
    </row>
    <row r="1084" spans="1:8" x14ac:dyDescent="0.25">
      <c r="A1084" s="1">
        <v>1996</v>
      </c>
      <c r="B1084" s="1" t="s">
        <v>104</v>
      </c>
      <c r="C1084" t="s">
        <v>51</v>
      </c>
      <c r="D1084">
        <v>4</v>
      </c>
      <c r="E1084">
        <v>32</v>
      </c>
      <c r="F1084">
        <v>0.06</v>
      </c>
      <c r="G1084">
        <f>(F1084/0.6)/4</f>
        <v>2.5000000000000001E-2</v>
      </c>
      <c r="H1084">
        <f>G1084*(11.5/38.29)</f>
        <v>7.5084878558370335E-3</v>
      </c>
    </row>
    <row r="1085" spans="1:8" x14ac:dyDescent="0.25">
      <c r="A1085" s="1">
        <v>1996</v>
      </c>
      <c r="B1085" s="1" t="s">
        <v>104</v>
      </c>
      <c r="C1085" t="s">
        <v>51</v>
      </c>
      <c r="D1085">
        <v>4</v>
      </c>
      <c r="E1085">
        <v>32</v>
      </c>
      <c r="F1085">
        <v>0.1</v>
      </c>
      <c r="G1085">
        <f>(F1085/0.6)/4</f>
        <v>4.1666666666666671E-2</v>
      </c>
      <c r="H1085">
        <f>G1085*(11.5/38.29)</f>
        <v>1.2514146426395057E-2</v>
      </c>
    </row>
    <row r="1086" spans="1:8" x14ac:dyDescent="0.25">
      <c r="A1086" s="1">
        <v>1996</v>
      </c>
      <c r="B1086" s="1" t="s">
        <v>104</v>
      </c>
      <c r="C1086" t="s">
        <v>51</v>
      </c>
      <c r="D1086">
        <v>4</v>
      </c>
      <c r="E1086">
        <v>32</v>
      </c>
      <c r="F1086">
        <v>7.0000000000000007E-2</v>
      </c>
      <c r="G1086">
        <f>(F1086/0.6)/4</f>
        <v>2.9166666666666671E-2</v>
      </c>
      <c r="H1086">
        <f>G1086*(11.5/38.29)</f>
        <v>8.7599024984765395E-3</v>
      </c>
    </row>
    <row r="1087" spans="1:8" x14ac:dyDescent="0.25">
      <c r="A1087" s="1">
        <v>1996</v>
      </c>
      <c r="B1087" s="1" t="s">
        <v>104</v>
      </c>
      <c r="C1087" t="s">
        <v>51</v>
      </c>
      <c r="D1087">
        <v>4</v>
      </c>
      <c r="E1087">
        <v>32</v>
      </c>
      <c r="F1087">
        <v>0.12</v>
      </c>
      <c r="G1087">
        <f>(F1087/0.6)/4</f>
        <v>0.05</v>
      </c>
      <c r="H1087">
        <f>G1087*(11.5/38.29)</f>
        <v>1.5016975711674067E-2</v>
      </c>
    </row>
    <row r="1088" spans="1:8" x14ac:dyDescent="0.25">
      <c r="A1088" s="1">
        <v>1996</v>
      </c>
      <c r="B1088" s="1" t="s">
        <v>104</v>
      </c>
      <c r="C1088" t="s">
        <v>51</v>
      </c>
      <c r="D1088">
        <v>4</v>
      </c>
      <c r="E1088">
        <v>32</v>
      </c>
      <c r="F1088">
        <v>0.05</v>
      </c>
      <c r="G1088">
        <f>(F1088/0.6)/4</f>
        <v>2.0833333333333336E-2</v>
      </c>
      <c r="H1088">
        <f>G1088*(11.5/38.29)</f>
        <v>6.2570732131975284E-3</v>
      </c>
    </row>
    <row r="1089" spans="1:8" x14ac:dyDescent="0.25">
      <c r="A1089" s="1">
        <v>1996</v>
      </c>
      <c r="B1089" s="1" t="s">
        <v>104</v>
      </c>
      <c r="C1089" t="s">
        <v>51</v>
      </c>
      <c r="D1089">
        <v>4</v>
      </c>
      <c r="E1089">
        <v>32</v>
      </c>
      <c r="F1089">
        <v>0.05</v>
      </c>
      <c r="G1089">
        <f>(F1089/0.6)/4</f>
        <v>2.0833333333333336E-2</v>
      </c>
      <c r="H1089">
        <f>G1089*(11.5/38.29)</f>
        <v>6.2570732131975284E-3</v>
      </c>
    </row>
    <row r="1090" spans="1:8" x14ac:dyDescent="0.25">
      <c r="A1090" s="1">
        <v>1996</v>
      </c>
      <c r="B1090" s="1" t="s">
        <v>104</v>
      </c>
      <c r="C1090" t="s">
        <v>51</v>
      </c>
      <c r="D1090">
        <v>4</v>
      </c>
      <c r="E1090">
        <v>32</v>
      </c>
      <c r="F1090">
        <v>7.0000000000000007E-2</v>
      </c>
      <c r="G1090">
        <f>(F1090/0.6)/4</f>
        <v>2.9166666666666671E-2</v>
      </c>
      <c r="H1090">
        <f>G1090*(11.5/38.29)</f>
        <v>8.7599024984765395E-3</v>
      </c>
    </row>
    <row r="1091" spans="1:8" x14ac:dyDescent="0.25">
      <c r="A1091" s="1">
        <v>1996</v>
      </c>
      <c r="B1091" s="1" t="s">
        <v>104</v>
      </c>
      <c r="C1091" t="s">
        <v>51</v>
      </c>
      <c r="D1091">
        <v>4</v>
      </c>
      <c r="E1091">
        <v>32</v>
      </c>
      <c r="F1091">
        <v>7.0000000000000007E-2</v>
      </c>
      <c r="G1091">
        <f>(F1091/0.6)/4</f>
        <v>2.9166666666666671E-2</v>
      </c>
      <c r="H1091">
        <f>G1091*(11.5/38.29)</f>
        <v>8.7599024984765395E-3</v>
      </c>
    </row>
    <row r="1092" spans="1:8" x14ac:dyDescent="0.25">
      <c r="A1092" s="1">
        <v>1996</v>
      </c>
      <c r="B1092" s="1" t="s">
        <v>104</v>
      </c>
      <c r="C1092" t="s">
        <v>51</v>
      </c>
      <c r="D1092">
        <v>4</v>
      </c>
      <c r="E1092">
        <v>32</v>
      </c>
      <c r="F1092">
        <v>0.04</v>
      </c>
      <c r="G1092">
        <f>(F1092/0.6)/4</f>
        <v>1.6666666666666666E-2</v>
      </c>
      <c r="H1092">
        <f>G1092*(11.5/38.29)</f>
        <v>5.0056585705580223E-3</v>
      </c>
    </row>
    <row r="1093" spans="1:8" x14ac:dyDescent="0.25">
      <c r="A1093" s="1">
        <v>1996</v>
      </c>
      <c r="B1093" s="1" t="s">
        <v>104</v>
      </c>
      <c r="C1093" t="s">
        <v>51</v>
      </c>
      <c r="D1093">
        <v>4</v>
      </c>
      <c r="E1093">
        <v>32</v>
      </c>
      <c r="F1093">
        <v>0.08</v>
      </c>
      <c r="G1093">
        <f>(F1093/0.6)/4</f>
        <v>3.3333333333333333E-2</v>
      </c>
      <c r="H1093">
        <f>G1093*(11.5/38.29)</f>
        <v>1.0011317141116045E-2</v>
      </c>
    </row>
    <row r="1094" spans="1:8" x14ac:dyDescent="0.25">
      <c r="A1094" s="1">
        <v>1996</v>
      </c>
      <c r="B1094" s="1" t="s">
        <v>104</v>
      </c>
      <c r="C1094" t="s">
        <v>51</v>
      </c>
      <c r="D1094">
        <v>4</v>
      </c>
      <c r="E1094">
        <v>32</v>
      </c>
      <c r="F1094">
        <v>0.12</v>
      </c>
      <c r="G1094">
        <f>(F1094/0.6)/4</f>
        <v>0.05</v>
      </c>
      <c r="H1094">
        <f>G1094*(11.5/38.29)</f>
        <v>1.5016975711674067E-2</v>
      </c>
    </row>
    <row r="1095" spans="1:8" x14ac:dyDescent="0.25">
      <c r="A1095" s="1">
        <v>1996</v>
      </c>
      <c r="B1095" s="1" t="s">
        <v>104</v>
      </c>
      <c r="C1095" t="s">
        <v>51</v>
      </c>
      <c r="D1095">
        <v>4</v>
      </c>
      <c r="E1095">
        <v>32</v>
      </c>
      <c r="F1095">
        <v>0.04</v>
      </c>
      <c r="G1095">
        <f>(F1095/0.6)/4</f>
        <v>1.6666666666666666E-2</v>
      </c>
      <c r="H1095">
        <f>G1095*(11.5/38.29)</f>
        <v>5.0056585705580223E-3</v>
      </c>
    </row>
    <row r="1096" spans="1:8" x14ac:dyDescent="0.25">
      <c r="A1096" s="1">
        <v>1996</v>
      </c>
      <c r="B1096" s="1" t="s">
        <v>104</v>
      </c>
      <c r="C1096" t="s">
        <v>51</v>
      </c>
      <c r="D1096">
        <v>4</v>
      </c>
      <c r="E1096">
        <v>32</v>
      </c>
      <c r="F1096">
        <v>7.0000000000000007E-2</v>
      </c>
      <c r="G1096">
        <f>(F1096/0.6)/4</f>
        <v>2.9166666666666671E-2</v>
      </c>
      <c r="H1096">
        <f>G1096*(11.5/38.29)</f>
        <v>8.7599024984765395E-3</v>
      </c>
    </row>
    <row r="1097" spans="1:8" x14ac:dyDescent="0.25">
      <c r="A1097" s="1">
        <v>1996</v>
      </c>
      <c r="B1097" s="1" t="s">
        <v>104</v>
      </c>
      <c r="C1097" t="s">
        <v>51</v>
      </c>
      <c r="D1097">
        <v>4</v>
      </c>
      <c r="E1097">
        <v>32</v>
      </c>
      <c r="F1097">
        <v>0.05</v>
      </c>
      <c r="G1097">
        <f>(F1097/0.6)/4</f>
        <v>2.0833333333333336E-2</v>
      </c>
      <c r="H1097">
        <f>G1097*(11.5/38.29)</f>
        <v>6.2570732131975284E-3</v>
      </c>
    </row>
    <row r="1098" spans="1:8" x14ac:dyDescent="0.25">
      <c r="A1098" s="1">
        <v>1996</v>
      </c>
      <c r="B1098" s="1" t="s">
        <v>104</v>
      </c>
      <c r="C1098" t="s">
        <v>51</v>
      </c>
      <c r="D1098">
        <v>4</v>
      </c>
      <c r="E1098">
        <v>32</v>
      </c>
      <c r="F1098">
        <v>0.12</v>
      </c>
      <c r="G1098">
        <f>(F1098/0.6)/4</f>
        <v>0.05</v>
      </c>
      <c r="H1098">
        <f>G1098*(11.5/38.29)</f>
        <v>1.5016975711674067E-2</v>
      </c>
    </row>
    <row r="1099" spans="1:8" x14ac:dyDescent="0.25">
      <c r="A1099" s="1">
        <v>1996</v>
      </c>
      <c r="B1099" s="1" t="s">
        <v>104</v>
      </c>
      <c r="C1099" t="s">
        <v>51</v>
      </c>
      <c r="D1099">
        <v>4</v>
      </c>
      <c r="E1099">
        <v>32</v>
      </c>
      <c r="F1099">
        <v>0.04</v>
      </c>
      <c r="G1099">
        <f>(F1099/0.6)/4</f>
        <v>1.6666666666666666E-2</v>
      </c>
      <c r="H1099">
        <f>G1099*(11.5/38.29)</f>
        <v>5.0056585705580223E-3</v>
      </c>
    </row>
    <row r="1100" spans="1:8" x14ac:dyDescent="0.25">
      <c r="A1100" s="1">
        <v>1996</v>
      </c>
      <c r="B1100" s="1" t="s">
        <v>104</v>
      </c>
      <c r="C1100" t="s">
        <v>51</v>
      </c>
      <c r="D1100">
        <v>4</v>
      </c>
      <c r="E1100">
        <v>32</v>
      </c>
      <c r="F1100">
        <v>0.12</v>
      </c>
      <c r="G1100">
        <f>(F1100/0.6)/4</f>
        <v>0.05</v>
      </c>
      <c r="H1100">
        <f>G1100*(11.5/38.29)</f>
        <v>1.5016975711674067E-2</v>
      </c>
    </row>
    <row r="1101" spans="1:8" x14ac:dyDescent="0.25">
      <c r="A1101" s="1">
        <v>1996</v>
      </c>
      <c r="B1101" s="1" t="s">
        <v>104</v>
      </c>
      <c r="C1101" t="s">
        <v>51</v>
      </c>
      <c r="D1101">
        <v>4</v>
      </c>
      <c r="E1101">
        <v>32</v>
      </c>
      <c r="F1101">
        <v>0.04</v>
      </c>
      <c r="G1101">
        <f>(F1101/0.6)/4</f>
        <v>1.6666666666666666E-2</v>
      </c>
      <c r="H1101">
        <f>G1101*(11.5/38.29)</f>
        <v>5.0056585705580223E-3</v>
      </c>
    </row>
    <row r="1102" spans="1:8" x14ac:dyDescent="0.25">
      <c r="A1102" s="1">
        <v>1996</v>
      </c>
      <c r="B1102" s="1" t="s">
        <v>104</v>
      </c>
      <c r="C1102" t="s">
        <v>51</v>
      </c>
      <c r="D1102">
        <v>4</v>
      </c>
      <c r="E1102">
        <v>32</v>
      </c>
      <c r="F1102">
        <v>0.03</v>
      </c>
      <c r="G1102">
        <f>(F1102/0.6)/4</f>
        <v>1.2500000000000001E-2</v>
      </c>
      <c r="H1102">
        <f>G1102*(11.5/38.29)</f>
        <v>3.7542439279185168E-3</v>
      </c>
    </row>
    <row r="1103" spans="1:8" x14ac:dyDescent="0.25">
      <c r="A1103" s="1">
        <v>1996</v>
      </c>
      <c r="B1103" s="1" t="s">
        <v>104</v>
      </c>
      <c r="C1103" t="s">
        <v>51</v>
      </c>
      <c r="D1103">
        <v>4</v>
      </c>
      <c r="E1103">
        <v>32</v>
      </c>
      <c r="F1103">
        <v>0.04</v>
      </c>
      <c r="G1103">
        <f>(F1103/0.6)/4</f>
        <v>1.6666666666666666E-2</v>
      </c>
      <c r="H1103">
        <f>G1103*(11.5/38.29)</f>
        <v>5.0056585705580223E-3</v>
      </c>
    </row>
    <row r="1104" spans="1:8" x14ac:dyDescent="0.25">
      <c r="A1104" s="1">
        <v>1996</v>
      </c>
      <c r="B1104" s="1" t="s">
        <v>104</v>
      </c>
      <c r="C1104" t="s">
        <v>51</v>
      </c>
      <c r="D1104">
        <v>4</v>
      </c>
      <c r="E1104">
        <v>32</v>
      </c>
      <c r="F1104">
        <v>0.12</v>
      </c>
      <c r="G1104">
        <f>(F1104/0.6)/4</f>
        <v>0.05</v>
      </c>
      <c r="H1104">
        <f>G1104*(11.5/38.29)</f>
        <v>1.5016975711674067E-2</v>
      </c>
    </row>
    <row r="1105" spans="1:8" x14ac:dyDescent="0.25">
      <c r="A1105" s="1">
        <v>1996</v>
      </c>
      <c r="B1105" s="1" t="s">
        <v>104</v>
      </c>
      <c r="C1105" t="s">
        <v>51</v>
      </c>
      <c r="D1105">
        <v>4</v>
      </c>
      <c r="E1105">
        <v>32</v>
      </c>
      <c r="F1105">
        <v>0.04</v>
      </c>
      <c r="G1105">
        <f>(F1105/0.6)/4</f>
        <v>1.6666666666666666E-2</v>
      </c>
      <c r="H1105">
        <f>G1105*(11.5/38.29)</f>
        <v>5.0056585705580223E-3</v>
      </c>
    </row>
    <row r="1106" spans="1:8" x14ac:dyDescent="0.25">
      <c r="A1106" s="1">
        <v>1996</v>
      </c>
      <c r="B1106" s="1" t="s">
        <v>104</v>
      </c>
      <c r="C1106" t="s">
        <v>51</v>
      </c>
      <c r="D1106">
        <v>4</v>
      </c>
      <c r="E1106">
        <v>32</v>
      </c>
      <c r="F1106">
        <v>0.05</v>
      </c>
      <c r="G1106">
        <f>(F1106/0.6)/4</f>
        <v>2.0833333333333336E-2</v>
      </c>
      <c r="H1106">
        <f>G1106*(11.5/38.29)</f>
        <v>6.2570732131975284E-3</v>
      </c>
    </row>
    <row r="1107" spans="1:8" x14ac:dyDescent="0.25">
      <c r="A1107" s="1">
        <v>1996</v>
      </c>
      <c r="B1107" s="1" t="s">
        <v>104</v>
      </c>
      <c r="C1107" t="s">
        <v>51</v>
      </c>
      <c r="D1107">
        <v>4</v>
      </c>
      <c r="E1107">
        <v>32</v>
      </c>
      <c r="F1107">
        <v>0.04</v>
      </c>
      <c r="G1107">
        <f>(F1107/0.6)/4</f>
        <v>1.6666666666666666E-2</v>
      </c>
      <c r="H1107">
        <f>G1107*(11.5/38.29)</f>
        <v>5.0056585705580223E-3</v>
      </c>
    </row>
    <row r="1108" spans="1:8" x14ac:dyDescent="0.25">
      <c r="A1108" s="1">
        <v>1996</v>
      </c>
      <c r="B1108" s="1" t="s">
        <v>104</v>
      </c>
      <c r="C1108" t="s">
        <v>51</v>
      </c>
      <c r="D1108">
        <v>4</v>
      </c>
      <c r="E1108">
        <v>32</v>
      </c>
      <c r="F1108">
        <v>0.06</v>
      </c>
      <c r="G1108">
        <f>(F1108/0.6)/4</f>
        <v>2.5000000000000001E-2</v>
      </c>
      <c r="H1108">
        <f>G1108*(11.5/38.29)</f>
        <v>7.5084878558370335E-3</v>
      </c>
    </row>
    <row r="1109" spans="1:8" x14ac:dyDescent="0.25">
      <c r="A1109" s="1">
        <v>1996</v>
      </c>
      <c r="B1109" s="1" t="s">
        <v>104</v>
      </c>
      <c r="C1109" t="s">
        <v>51</v>
      </c>
      <c r="D1109">
        <v>4</v>
      </c>
      <c r="E1109">
        <v>32</v>
      </c>
      <c r="F1109">
        <v>0.04</v>
      </c>
      <c r="G1109">
        <f>(F1109/0.6)/4</f>
        <v>1.6666666666666666E-2</v>
      </c>
      <c r="H1109">
        <f>G1109*(11.5/38.29)</f>
        <v>5.0056585705580223E-3</v>
      </c>
    </row>
    <row r="1110" spans="1:8" x14ac:dyDescent="0.25">
      <c r="A1110" s="1">
        <v>1996</v>
      </c>
      <c r="B1110" s="1" t="s">
        <v>104</v>
      </c>
      <c r="C1110" t="s">
        <v>51</v>
      </c>
      <c r="D1110">
        <v>4</v>
      </c>
      <c r="E1110">
        <v>32</v>
      </c>
      <c r="F1110">
        <v>0.11</v>
      </c>
      <c r="G1110">
        <f>(F1110/0.6)/4</f>
        <v>4.5833333333333337E-2</v>
      </c>
      <c r="H1110">
        <f>G1110*(11.5/38.29)</f>
        <v>1.3765561069034562E-2</v>
      </c>
    </row>
    <row r="1111" spans="1:8" x14ac:dyDescent="0.25">
      <c r="A1111" s="1">
        <v>1996</v>
      </c>
      <c r="B1111" s="1" t="s">
        <v>104</v>
      </c>
      <c r="C1111" t="s">
        <v>51</v>
      </c>
      <c r="D1111">
        <v>4</v>
      </c>
      <c r="E1111">
        <v>32</v>
      </c>
      <c r="F1111">
        <v>0.1</v>
      </c>
      <c r="G1111">
        <f>(F1111/0.6)/4</f>
        <v>4.1666666666666671E-2</v>
      </c>
      <c r="H1111">
        <f>G1111*(11.5/38.29)</f>
        <v>1.2514146426395057E-2</v>
      </c>
    </row>
    <row r="1112" spans="1:8" x14ac:dyDescent="0.25">
      <c r="A1112" s="1">
        <v>1996</v>
      </c>
      <c r="B1112" s="1" t="s">
        <v>104</v>
      </c>
      <c r="C1112" t="s">
        <v>51</v>
      </c>
      <c r="D1112">
        <v>4</v>
      </c>
      <c r="E1112">
        <v>32</v>
      </c>
      <c r="F1112">
        <v>0.08</v>
      </c>
      <c r="G1112">
        <f>(F1112/0.6)/4</f>
        <v>3.3333333333333333E-2</v>
      </c>
      <c r="H1112">
        <f>G1112*(11.5/38.29)</f>
        <v>1.0011317141116045E-2</v>
      </c>
    </row>
    <row r="1113" spans="1:8" x14ac:dyDescent="0.25">
      <c r="A1113" s="1">
        <v>1996</v>
      </c>
      <c r="B1113" s="1" t="s">
        <v>104</v>
      </c>
      <c r="C1113" t="s">
        <v>51</v>
      </c>
      <c r="D1113">
        <v>4</v>
      </c>
      <c r="E1113">
        <v>32</v>
      </c>
      <c r="F1113">
        <v>0.04</v>
      </c>
      <c r="G1113">
        <f>(F1113/0.6)/4</f>
        <v>1.6666666666666666E-2</v>
      </c>
      <c r="H1113">
        <f>G1113*(11.5/38.29)</f>
        <v>5.0056585705580223E-3</v>
      </c>
    </row>
    <row r="1114" spans="1:8" x14ac:dyDescent="0.25">
      <c r="A1114" s="1">
        <v>1996</v>
      </c>
      <c r="B1114" s="1" t="s">
        <v>104</v>
      </c>
      <c r="C1114" t="s">
        <v>51</v>
      </c>
      <c r="D1114">
        <v>4</v>
      </c>
      <c r="E1114">
        <v>32</v>
      </c>
      <c r="F1114">
        <v>0.04</v>
      </c>
      <c r="G1114">
        <f>(F1114/0.6)/4</f>
        <v>1.6666666666666666E-2</v>
      </c>
      <c r="H1114">
        <f>G1114*(11.5/38.29)</f>
        <v>5.0056585705580223E-3</v>
      </c>
    </row>
    <row r="1115" spans="1:8" x14ac:dyDescent="0.25">
      <c r="A1115" s="1">
        <v>1996</v>
      </c>
      <c r="B1115" s="1" t="s">
        <v>104</v>
      </c>
      <c r="C1115" t="s">
        <v>51</v>
      </c>
      <c r="D1115">
        <v>4</v>
      </c>
      <c r="E1115">
        <v>32</v>
      </c>
      <c r="F1115">
        <v>7.0000000000000007E-2</v>
      </c>
      <c r="G1115">
        <f>(F1115/0.6)/4</f>
        <v>2.9166666666666671E-2</v>
      </c>
      <c r="H1115">
        <f>G1115*(11.5/38.29)</f>
        <v>8.7599024984765395E-3</v>
      </c>
    </row>
    <row r="1116" spans="1:8" x14ac:dyDescent="0.25">
      <c r="A1116" s="1">
        <v>1996</v>
      </c>
      <c r="B1116" s="1" t="s">
        <v>104</v>
      </c>
      <c r="C1116" t="s">
        <v>51</v>
      </c>
      <c r="D1116">
        <v>4</v>
      </c>
      <c r="E1116">
        <v>32</v>
      </c>
      <c r="F1116">
        <v>0.09</v>
      </c>
      <c r="G1116">
        <f>(F1116/0.6)/4</f>
        <v>3.7499999999999999E-2</v>
      </c>
      <c r="H1116">
        <f>G1116*(11.5/38.29)</f>
        <v>1.126273178375555E-2</v>
      </c>
    </row>
    <row r="1117" spans="1:8" x14ac:dyDescent="0.25">
      <c r="A1117" s="1">
        <v>1996</v>
      </c>
      <c r="B1117" s="1" t="s">
        <v>104</v>
      </c>
      <c r="C1117" t="s">
        <v>51</v>
      </c>
      <c r="D1117">
        <v>4</v>
      </c>
      <c r="E1117">
        <v>32</v>
      </c>
      <c r="F1117">
        <v>0.05</v>
      </c>
      <c r="G1117">
        <f>(F1117/0.6)/4</f>
        <v>2.0833333333333336E-2</v>
      </c>
      <c r="H1117">
        <f>G1117*(11.5/38.29)</f>
        <v>6.2570732131975284E-3</v>
      </c>
    </row>
    <row r="1118" spans="1:8" x14ac:dyDescent="0.25">
      <c r="A1118" s="1">
        <v>1996</v>
      </c>
      <c r="B1118" s="1" t="s">
        <v>104</v>
      </c>
      <c r="C1118" t="s">
        <v>51</v>
      </c>
      <c r="D1118">
        <v>4</v>
      </c>
      <c r="E1118">
        <v>32</v>
      </c>
      <c r="F1118">
        <v>0.08</v>
      </c>
      <c r="G1118">
        <f>(F1118/0.6)/4</f>
        <v>3.3333333333333333E-2</v>
      </c>
      <c r="H1118">
        <f>G1118*(11.5/38.29)</f>
        <v>1.0011317141116045E-2</v>
      </c>
    </row>
    <row r="1119" spans="1:8" x14ac:dyDescent="0.25">
      <c r="A1119" s="1">
        <v>1996</v>
      </c>
      <c r="B1119" s="1" t="s">
        <v>104</v>
      </c>
      <c r="C1119" t="s">
        <v>51</v>
      </c>
      <c r="D1119">
        <v>4</v>
      </c>
      <c r="E1119">
        <v>32</v>
      </c>
      <c r="F1119">
        <v>7.0000000000000007E-2</v>
      </c>
      <c r="G1119">
        <f>(F1119/0.6)/4</f>
        <v>2.9166666666666671E-2</v>
      </c>
      <c r="H1119">
        <f>G1119*(11.5/38.29)</f>
        <v>8.7599024984765395E-3</v>
      </c>
    </row>
    <row r="1120" spans="1:8" x14ac:dyDescent="0.25">
      <c r="A1120" s="1">
        <v>1996</v>
      </c>
      <c r="B1120" s="1" t="s">
        <v>104</v>
      </c>
      <c r="C1120" t="s">
        <v>51</v>
      </c>
      <c r="D1120">
        <v>4</v>
      </c>
      <c r="E1120">
        <v>32</v>
      </c>
      <c r="F1120">
        <v>0.05</v>
      </c>
      <c r="G1120">
        <f>(F1120/0.6)/4</f>
        <v>2.0833333333333336E-2</v>
      </c>
      <c r="H1120">
        <f>G1120*(11.5/38.29)</f>
        <v>6.2570732131975284E-3</v>
      </c>
    </row>
    <row r="1121" spans="1:8" x14ac:dyDescent="0.25">
      <c r="A1121" s="1">
        <v>1996</v>
      </c>
      <c r="B1121" s="1" t="s">
        <v>104</v>
      </c>
      <c r="C1121" t="s">
        <v>51</v>
      </c>
      <c r="D1121">
        <v>4</v>
      </c>
      <c r="E1121">
        <v>32</v>
      </c>
      <c r="F1121">
        <v>0.04</v>
      </c>
      <c r="G1121">
        <f>(F1121/0.6)/4</f>
        <v>1.6666666666666666E-2</v>
      </c>
      <c r="H1121">
        <f>G1121*(11.5/38.29)</f>
        <v>5.0056585705580223E-3</v>
      </c>
    </row>
    <row r="1122" spans="1:8" x14ac:dyDescent="0.25">
      <c r="A1122" s="1">
        <v>1996</v>
      </c>
      <c r="B1122" s="1" t="s">
        <v>104</v>
      </c>
      <c r="C1122" t="s">
        <v>51</v>
      </c>
      <c r="D1122">
        <v>4</v>
      </c>
      <c r="E1122">
        <v>32</v>
      </c>
      <c r="F1122">
        <v>0.08</v>
      </c>
      <c r="G1122">
        <f>(F1122/0.6)/4</f>
        <v>3.3333333333333333E-2</v>
      </c>
      <c r="H1122">
        <f>G1122*(11.5/38.29)</f>
        <v>1.0011317141116045E-2</v>
      </c>
    </row>
    <row r="1123" spans="1:8" x14ac:dyDescent="0.25">
      <c r="A1123" s="1">
        <v>1996</v>
      </c>
      <c r="B1123" s="1" t="s">
        <v>104</v>
      </c>
      <c r="C1123" t="s">
        <v>51</v>
      </c>
      <c r="D1123">
        <v>4</v>
      </c>
      <c r="E1123">
        <v>32</v>
      </c>
      <c r="F1123">
        <v>0.04</v>
      </c>
      <c r="G1123">
        <f>(F1123/0.6)/4</f>
        <v>1.6666666666666666E-2</v>
      </c>
      <c r="H1123">
        <f>G1123*(11.5/38.29)</f>
        <v>5.0056585705580223E-3</v>
      </c>
    </row>
    <row r="1124" spans="1:8" x14ac:dyDescent="0.25">
      <c r="A1124" s="1">
        <v>1996</v>
      </c>
      <c r="B1124" s="1" t="s">
        <v>104</v>
      </c>
      <c r="C1124" t="s">
        <v>51</v>
      </c>
      <c r="D1124">
        <v>4</v>
      </c>
      <c r="E1124">
        <v>32</v>
      </c>
      <c r="F1124">
        <v>0.12</v>
      </c>
      <c r="G1124">
        <f>(F1124/0.6)/4</f>
        <v>0.05</v>
      </c>
      <c r="H1124">
        <f>G1124*(11.5/38.29)</f>
        <v>1.5016975711674067E-2</v>
      </c>
    </row>
    <row r="1125" spans="1:8" x14ac:dyDescent="0.25">
      <c r="A1125" s="1">
        <v>1996</v>
      </c>
      <c r="B1125" s="1" t="s">
        <v>104</v>
      </c>
      <c r="C1125" t="s">
        <v>51</v>
      </c>
      <c r="D1125">
        <v>4</v>
      </c>
      <c r="E1125">
        <v>32</v>
      </c>
      <c r="F1125">
        <v>0.03</v>
      </c>
      <c r="G1125">
        <f>(F1125/0.6)/4</f>
        <v>1.2500000000000001E-2</v>
      </c>
      <c r="H1125">
        <f>G1125*(11.5/38.29)</f>
        <v>3.7542439279185168E-3</v>
      </c>
    </row>
    <row r="1126" spans="1:8" x14ac:dyDescent="0.25">
      <c r="A1126" s="1">
        <v>1996</v>
      </c>
      <c r="B1126" s="1" t="s">
        <v>104</v>
      </c>
      <c r="C1126" t="s">
        <v>51</v>
      </c>
      <c r="D1126">
        <v>4</v>
      </c>
      <c r="E1126">
        <v>32</v>
      </c>
      <c r="F1126">
        <v>7.0000000000000007E-2</v>
      </c>
      <c r="G1126">
        <f>(F1126/0.6)/4</f>
        <v>2.9166666666666671E-2</v>
      </c>
      <c r="H1126">
        <f>G1126*(11.5/38.29)</f>
        <v>8.7599024984765395E-3</v>
      </c>
    </row>
    <row r="1127" spans="1:8" x14ac:dyDescent="0.25">
      <c r="A1127" s="1">
        <v>1996</v>
      </c>
      <c r="B1127" s="1" t="s">
        <v>104</v>
      </c>
      <c r="C1127" t="s">
        <v>51</v>
      </c>
      <c r="D1127">
        <v>4</v>
      </c>
      <c r="E1127">
        <v>32</v>
      </c>
      <c r="F1127">
        <v>7.0000000000000007E-2</v>
      </c>
      <c r="G1127">
        <f>(F1127/0.6)/4</f>
        <v>2.9166666666666671E-2</v>
      </c>
      <c r="H1127">
        <f>G1127*(11.5/38.29)</f>
        <v>8.7599024984765395E-3</v>
      </c>
    </row>
    <row r="1128" spans="1:8" x14ac:dyDescent="0.25">
      <c r="A1128" s="1">
        <v>1996</v>
      </c>
      <c r="B1128" s="1" t="s">
        <v>104</v>
      </c>
      <c r="C1128" t="s">
        <v>51</v>
      </c>
      <c r="D1128">
        <v>4</v>
      </c>
      <c r="E1128">
        <v>32</v>
      </c>
      <c r="F1128">
        <v>0.08</v>
      </c>
      <c r="G1128">
        <f>(F1128/0.6)/4</f>
        <v>3.3333333333333333E-2</v>
      </c>
      <c r="H1128">
        <f>G1128*(11.5/38.29)</f>
        <v>1.0011317141116045E-2</v>
      </c>
    </row>
    <row r="1129" spans="1:8" x14ac:dyDescent="0.25">
      <c r="A1129" s="1">
        <v>1996</v>
      </c>
      <c r="B1129" s="1" t="s">
        <v>104</v>
      </c>
      <c r="C1129" t="s">
        <v>51</v>
      </c>
      <c r="D1129">
        <v>4</v>
      </c>
      <c r="E1129">
        <v>32</v>
      </c>
      <c r="F1129">
        <v>0.08</v>
      </c>
      <c r="G1129">
        <f>(F1129/0.6)/4</f>
        <v>3.3333333333333333E-2</v>
      </c>
      <c r="H1129">
        <f>G1129*(11.5/38.29)</f>
        <v>1.0011317141116045E-2</v>
      </c>
    </row>
    <row r="1130" spans="1:8" x14ac:dyDescent="0.25">
      <c r="A1130" s="1">
        <v>1996</v>
      </c>
      <c r="B1130" s="1" t="s">
        <v>104</v>
      </c>
      <c r="C1130" t="s">
        <v>51</v>
      </c>
      <c r="D1130">
        <v>4</v>
      </c>
      <c r="E1130">
        <v>63</v>
      </c>
      <c r="F1130">
        <v>0.04</v>
      </c>
      <c r="G1130">
        <f>(F1130/0.6)/4</f>
        <v>1.6666666666666666E-2</v>
      </c>
      <c r="H1130">
        <f>G1130*(11.5/38.29)</f>
        <v>5.0056585705580223E-3</v>
      </c>
    </row>
    <row r="1131" spans="1:8" x14ac:dyDescent="0.25">
      <c r="A1131" s="1">
        <v>1996</v>
      </c>
      <c r="B1131" s="1" t="s">
        <v>104</v>
      </c>
      <c r="C1131" t="s">
        <v>51</v>
      </c>
      <c r="D1131">
        <v>4</v>
      </c>
      <c r="E1131">
        <v>63</v>
      </c>
      <c r="F1131">
        <v>0.05</v>
      </c>
      <c r="G1131">
        <f>(F1131/0.6)/4</f>
        <v>2.0833333333333336E-2</v>
      </c>
      <c r="H1131">
        <f>G1131*(11.5/38.29)</f>
        <v>6.2570732131975284E-3</v>
      </c>
    </row>
    <row r="1132" spans="1:8" x14ac:dyDescent="0.25">
      <c r="A1132" s="1">
        <v>1996</v>
      </c>
      <c r="B1132" s="1" t="s">
        <v>104</v>
      </c>
      <c r="C1132" t="s">
        <v>51</v>
      </c>
      <c r="D1132">
        <v>4</v>
      </c>
      <c r="E1132">
        <v>63</v>
      </c>
      <c r="F1132">
        <v>0.06</v>
      </c>
      <c r="G1132">
        <f>(F1132/0.6)/4</f>
        <v>2.5000000000000001E-2</v>
      </c>
      <c r="H1132">
        <f>G1132*(11.5/38.29)</f>
        <v>7.5084878558370335E-3</v>
      </c>
    </row>
    <row r="1133" spans="1:8" x14ac:dyDescent="0.25">
      <c r="A1133" s="1">
        <v>1996</v>
      </c>
      <c r="B1133" s="1" t="s">
        <v>104</v>
      </c>
      <c r="C1133" t="s">
        <v>51</v>
      </c>
      <c r="D1133">
        <v>4</v>
      </c>
      <c r="E1133">
        <v>63</v>
      </c>
      <c r="F1133">
        <v>0.08</v>
      </c>
      <c r="G1133">
        <f>(F1133/0.6)/4</f>
        <v>3.3333333333333333E-2</v>
      </c>
      <c r="H1133">
        <f>G1133*(11.5/38.29)</f>
        <v>1.0011317141116045E-2</v>
      </c>
    </row>
    <row r="1134" spans="1:8" x14ac:dyDescent="0.25">
      <c r="A1134" s="1">
        <v>1996</v>
      </c>
      <c r="B1134" s="1" t="s">
        <v>104</v>
      </c>
      <c r="C1134" t="s">
        <v>51</v>
      </c>
      <c r="D1134">
        <v>4</v>
      </c>
      <c r="E1134">
        <v>63</v>
      </c>
      <c r="F1134">
        <v>0.04</v>
      </c>
      <c r="G1134">
        <f>(F1134/0.6)/4</f>
        <v>1.6666666666666666E-2</v>
      </c>
      <c r="H1134">
        <f>G1134*(11.5/38.29)</f>
        <v>5.0056585705580223E-3</v>
      </c>
    </row>
    <row r="1135" spans="1:8" x14ac:dyDescent="0.25">
      <c r="A1135" s="1">
        <v>1996</v>
      </c>
      <c r="B1135" s="1" t="s">
        <v>104</v>
      </c>
      <c r="C1135" t="s">
        <v>51</v>
      </c>
      <c r="D1135">
        <v>4</v>
      </c>
      <c r="E1135">
        <v>63</v>
      </c>
      <c r="F1135">
        <v>7.0000000000000007E-2</v>
      </c>
      <c r="G1135">
        <f>(F1135/0.6)/4</f>
        <v>2.9166666666666671E-2</v>
      </c>
      <c r="H1135">
        <f>G1135*(11.5/38.29)</f>
        <v>8.7599024984765395E-3</v>
      </c>
    </row>
    <row r="1136" spans="1:8" x14ac:dyDescent="0.25">
      <c r="A1136" s="1">
        <v>1996</v>
      </c>
      <c r="B1136" s="1" t="s">
        <v>104</v>
      </c>
      <c r="C1136" t="s">
        <v>51</v>
      </c>
      <c r="D1136">
        <v>4</v>
      </c>
      <c r="E1136">
        <v>63</v>
      </c>
      <c r="F1136">
        <v>0.06</v>
      </c>
      <c r="G1136">
        <f>(F1136/0.6)/4</f>
        <v>2.5000000000000001E-2</v>
      </c>
      <c r="H1136">
        <f>G1136*(11.5/38.29)</f>
        <v>7.5084878558370335E-3</v>
      </c>
    </row>
    <row r="1137" spans="1:8" x14ac:dyDescent="0.25">
      <c r="A1137" s="1">
        <v>1996</v>
      </c>
      <c r="B1137" s="1" t="s">
        <v>104</v>
      </c>
      <c r="C1137" t="s">
        <v>51</v>
      </c>
      <c r="D1137">
        <v>4</v>
      </c>
      <c r="E1137">
        <v>63</v>
      </c>
      <c r="F1137">
        <v>0.04</v>
      </c>
      <c r="G1137">
        <f>(F1137/0.6)/4</f>
        <v>1.6666666666666666E-2</v>
      </c>
      <c r="H1137">
        <f>G1137*(11.5/38.29)</f>
        <v>5.0056585705580223E-3</v>
      </c>
    </row>
    <row r="1138" spans="1:8" x14ac:dyDescent="0.25">
      <c r="A1138" s="1">
        <v>1996</v>
      </c>
      <c r="B1138" s="1" t="s">
        <v>104</v>
      </c>
      <c r="C1138" t="s">
        <v>51</v>
      </c>
      <c r="D1138">
        <v>4</v>
      </c>
      <c r="E1138">
        <v>63</v>
      </c>
      <c r="F1138">
        <v>0.03</v>
      </c>
      <c r="G1138">
        <f>(F1138/0.6)/4</f>
        <v>1.2500000000000001E-2</v>
      </c>
      <c r="H1138">
        <f>G1138*(11.5/38.29)</f>
        <v>3.7542439279185168E-3</v>
      </c>
    </row>
    <row r="1139" spans="1:8" x14ac:dyDescent="0.25">
      <c r="A1139" s="1">
        <v>1996</v>
      </c>
      <c r="B1139" s="1" t="s">
        <v>104</v>
      </c>
      <c r="C1139" t="s">
        <v>51</v>
      </c>
      <c r="D1139">
        <v>4</v>
      </c>
      <c r="E1139">
        <v>63</v>
      </c>
      <c r="F1139">
        <v>0.05</v>
      </c>
      <c r="G1139">
        <f>(F1139/0.6)/4</f>
        <v>2.0833333333333336E-2</v>
      </c>
      <c r="H1139">
        <f>G1139*(11.5/38.29)</f>
        <v>6.2570732131975284E-3</v>
      </c>
    </row>
    <row r="1140" spans="1:8" x14ac:dyDescent="0.25">
      <c r="A1140" s="1">
        <v>1996</v>
      </c>
      <c r="B1140" s="1" t="s">
        <v>104</v>
      </c>
      <c r="C1140" t="s">
        <v>51</v>
      </c>
      <c r="D1140">
        <v>4</v>
      </c>
      <c r="E1140">
        <v>63</v>
      </c>
      <c r="F1140">
        <v>0.04</v>
      </c>
      <c r="G1140">
        <f>(F1140/0.6)/4</f>
        <v>1.6666666666666666E-2</v>
      </c>
      <c r="H1140">
        <f>G1140*(11.5/38.29)</f>
        <v>5.0056585705580223E-3</v>
      </c>
    </row>
    <row r="1141" spans="1:8" x14ac:dyDescent="0.25">
      <c r="A1141" s="1">
        <v>1996</v>
      </c>
      <c r="B1141" s="1" t="s">
        <v>104</v>
      </c>
      <c r="C1141" t="s">
        <v>51</v>
      </c>
      <c r="D1141">
        <v>4</v>
      </c>
      <c r="E1141">
        <v>63</v>
      </c>
      <c r="F1141">
        <v>0.08</v>
      </c>
      <c r="G1141">
        <f>(F1141/0.6)/4</f>
        <v>3.3333333333333333E-2</v>
      </c>
      <c r="H1141">
        <f>G1141*(11.5/38.29)</f>
        <v>1.0011317141116045E-2</v>
      </c>
    </row>
    <row r="1142" spans="1:8" x14ac:dyDescent="0.25">
      <c r="A1142" s="1">
        <v>1996</v>
      </c>
      <c r="B1142" s="1" t="s">
        <v>104</v>
      </c>
      <c r="C1142" t="s">
        <v>51</v>
      </c>
      <c r="D1142">
        <v>4</v>
      </c>
      <c r="E1142">
        <v>63</v>
      </c>
      <c r="F1142">
        <v>0.04</v>
      </c>
      <c r="G1142">
        <f>(F1142/0.6)/4</f>
        <v>1.6666666666666666E-2</v>
      </c>
      <c r="H1142">
        <f>G1142*(11.5/38.29)</f>
        <v>5.0056585705580223E-3</v>
      </c>
    </row>
    <row r="1143" spans="1:8" x14ac:dyDescent="0.25">
      <c r="A1143" s="1">
        <v>1996</v>
      </c>
      <c r="B1143" s="1" t="s">
        <v>104</v>
      </c>
      <c r="C1143" t="s">
        <v>51</v>
      </c>
      <c r="D1143">
        <v>4</v>
      </c>
      <c r="E1143">
        <v>63</v>
      </c>
      <c r="F1143">
        <v>0.06</v>
      </c>
      <c r="G1143">
        <f>(F1143/0.6)/4</f>
        <v>2.5000000000000001E-2</v>
      </c>
      <c r="H1143">
        <f>G1143*(11.5/38.29)</f>
        <v>7.5084878558370335E-3</v>
      </c>
    </row>
    <row r="1144" spans="1:8" x14ac:dyDescent="0.25">
      <c r="A1144" s="1">
        <v>1996</v>
      </c>
      <c r="B1144" s="1" t="s">
        <v>104</v>
      </c>
      <c r="C1144" t="s">
        <v>51</v>
      </c>
      <c r="D1144">
        <v>4</v>
      </c>
      <c r="E1144">
        <v>63</v>
      </c>
      <c r="F1144">
        <v>0.04</v>
      </c>
      <c r="G1144">
        <f>(F1144/0.6)/4</f>
        <v>1.6666666666666666E-2</v>
      </c>
      <c r="H1144">
        <f>G1144*(11.5/38.29)</f>
        <v>5.0056585705580223E-3</v>
      </c>
    </row>
    <row r="1145" spans="1:8" x14ac:dyDescent="0.25">
      <c r="A1145" s="1">
        <v>1996</v>
      </c>
      <c r="B1145" s="1" t="s">
        <v>104</v>
      </c>
      <c r="C1145" t="s">
        <v>51</v>
      </c>
      <c r="D1145">
        <v>4</v>
      </c>
      <c r="E1145">
        <v>63</v>
      </c>
      <c r="F1145">
        <v>7.0000000000000007E-2</v>
      </c>
      <c r="G1145">
        <f>(F1145/0.6)/4</f>
        <v>2.9166666666666671E-2</v>
      </c>
      <c r="H1145">
        <f>G1145*(11.5/38.29)</f>
        <v>8.7599024984765395E-3</v>
      </c>
    </row>
    <row r="1146" spans="1:8" x14ac:dyDescent="0.25">
      <c r="A1146" s="1">
        <v>1996</v>
      </c>
      <c r="B1146" s="1" t="s">
        <v>104</v>
      </c>
      <c r="C1146" t="s">
        <v>51</v>
      </c>
      <c r="D1146">
        <v>4</v>
      </c>
      <c r="E1146">
        <v>63</v>
      </c>
      <c r="F1146">
        <v>0.04</v>
      </c>
      <c r="G1146">
        <f>(F1146/0.6)/4</f>
        <v>1.6666666666666666E-2</v>
      </c>
      <c r="H1146">
        <f>G1146*(11.5/38.29)</f>
        <v>5.0056585705580223E-3</v>
      </c>
    </row>
    <row r="1147" spans="1:8" x14ac:dyDescent="0.25">
      <c r="A1147" s="1">
        <v>1996</v>
      </c>
      <c r="B1147" s="1" t="s">
        <v>104</v>
      </c>
      <c r="C1147" t="s">
        <v>51</v>
      </c>
      <c r="D1147">
        <v>4</v>
      </c>
      <c r="E1147">
        <v>63</v>
      </c>
      <c r="F1147">
        <v>0.13</v>
      </c>
      <c r="G1147">
        <f>(F1147/0.6)/4</f>
        <v>5.4166666666666669E-2</v>
      </c>
      <c r="H1147">
        <f>G1147*(11.5/38.29)</f>
        <v>1.6268390354313572E-2</v>
      </c>
    </row>
    <row r="1148" spans="1:8" x14ac:dyDescent="0.25">
      <c r="A1148" s="1">
        <v>1996</v>
      </c>
      <c r="B1148" s="1" t="s">
        <v>104</v>
      </c>
      <c r="C1148" t="s">
        <v>51</v>
      </c>
      <c r="D1148">
        <v>4</v>
      </c>
      <c r="E1148">
        <v>78</v>
      </c>
      <c r="F1148">
        <v>0.06</v>
      </c>
      <c r="G1148">
        <f>(F1148/0.6)/4</f>
        <v>2.5000000000000001E-2</v>
      </c>
      <c r="H1148">
        <f>G1148*(11.5/38.29)</f>
        <v>7.5084878558370335E-3</v>
      </c>
    </row>
    <row r="1149" spans="1:8" x14ac:dyDescent="0.25">
      <c r="A1149" s="1">
        <v>1996</v>
      </c>
      <c r="B1149" s="1" t="s">
        <v>104</v>
      </c>
      <c r="C1149" t="s">
        <v>51</v>
      </c>
      <c r="D1149">
        <v>4</v>
      </c>
      <c r="E1149">
        <v>79</v>
      </c>
      <c r="F1149">
        <v>0.09</v>
      </c>
      <c r="G1149">
        <f>(F1149/0.6)/4</f>
        <v>3.7499999999999999E-2</v>
      </c>
      <c r="H1149">
        <f>G1149*(11.5/38.29)</f>
        <v>1.126273178375555E-2</v>
      </c>
    </row>
    <row r="1150" spans="1:8" x14ac:dyDescent="0.25">
      <c r="A1150" s="1">
        <v>1996</v>
      </c>
      <c r="B1150" s="1" t="s">
        <v>104</v>
      </c>
      <c r="C1150" t="s">
        <v>51</v>
      </c>
      <c r="D1150">
        <v>4</v>
      </c>
      <c r="E1150">
        <v>79</v>
      </c>
      <c r="F1150">
        <v>0.04</v>
      </c>
      <c r="G1150">
        <f>(F1150/0.6)/4</f>
        <v>1.6666666666666666E-2</v>
      </c>
      <c r="H1150">
        <f>G1150*(11.5/38.29)</f>
        <v>5.0056585705580223E-3</v>
      </c>
    </row>
    <row r="1151" spans="1:8" x14ac:dyDescent="0.25">
      <c r="A1151" s="1">
        <v>1996</v>
      </c>
      <c r="B1151" s="1" t="s">
        <v>104</v>
      </c>
      <c r="C1151" t="s">
        <v>51</v>
      </c>
      <c r="D1151">
        <v>4</v>
      </c>
      <c r="E1151">
        <v>79</v>
      </c>
      <c r="F1151">
        <v>0.06</v>
      </c>
      <c r="G1151">
        <f>(F1151/0.6)/4</f>
        <v>2.5000000000000001E-2</v>
      </c>
      <c r="H1151">
        <f>G1151*(11.5/38.29)</f>
        <v>7.5084878558370335E-3</v>
      </c>
    </row>
    <row r="1152" spans="1:8" x14ac:dyDescent="0.25">
      <c r="A1152" s="1">
        <v>1996</v>
      </c>
      <c r="B1152" s="1" t="s">
        <v>104</v>
      </c>
      <c r="C1152" t="s">
        <v>51</v>
      </c>
      <c r="D1152">
        <v>4</v>
      </c>
      <c r="E1152">
        <v>79</v>
      </c>
      <c r="F1152">
        <v>0.1</v>
      </c>
      <c r="G1152">
        <f>(F1152/0.6)/4</f>
        <v>4.1666666666666671E-2</v>
      </c>
      <c r="H1152">
        <f>G1152*(11.5/38.29)</f>
        <v>1.2514146426395057E-2</v>
      </c>
    </row>
    <row r="1153" spans="1:8" x14ac:dyDescent="0.25">
      <c r="A1153" s="1">
        <v>1996</v>
      </c>
      <c r="B1153" s="1" t="s">
        <v>104</v>
      </c>
      <c r="C1153" t="s">
        <v>51</v>
      </c>
      <c r="D1153">
        <v>4</v>
      </c>
      <c r="E1153">
        <v>79</v>
      </c>
      <c r="F1153">
        <v>0.13</v>
      </c>
      <c r="G1153">
        <f>(F1153/0.6)/4</f>
        <v>5.4166666666666669E-2</v>
      </c>
      <c r="H1153">
        <f>G1153*(11.5/38.29)</f>
        <v>1.6268390354313572E-2</v>
      </c>
    </row>
    <row r="1154" spans="1:8" x14ac:dyDescent="0.25">
      <c r="A1154" s="1">
        <v>1996</v>
      </c>
      <c r="B1154" s="1" t="s">
        <v>104</v>
      </c>
      <c r="C1154" t="s">
        <v>51</v>
      </c>
      <c r="D1154">
        <v>4</v>
      </c>
      <c r="E1154">
        <v>79</v>
      </c>
      <c r="F1154">
        <v>7.0000000000000007E-2</v>
      </c>
      <c r="G1154">
        <f>(F1154/0.6)/4</f>
        <v>2.9166666666666671E-2</v>
      </c>
      <c r="H1154">
        <f>G1154*(11.5/38.29)</f>
        <v>8.7599024984765395E-3</v>
      </c>
    </row>
    <row r="1155" spans="1:8" x14ac:dyDescent="0.25">
      <c r="A1155" s="1">
        <v>1996</v>
      </c>
      <c r="B1155" s="1" t="s">
        <v>104</v>
      </c>
      <c r="C1155" t="s">
        <v>51</v>
      </c>
      <c r="D1155">
        <v>4</v>
      </c>
      <c r="E1155">
        <v>79</v>
      </c>
      <c r="F1155">
        <v>0.13</v>
      </c>
      <c r="G1155">
        <f>(F1155/0.6)/4</f>
        <v>5.4166666666666669E-2</v>
      </c>
      <c r="H1155">
        <f>G1155*(11.5/38.29)</f>
        <v>1.6268390354313572E-2</v>
      </c>
    </row>
    <row r="1156" spans="1:8" x14ac:dyDescent="0.25">
      <c r="A1156" s="1">
        <v>1996</v>
      </c>
      <c r="B1156" s="1" t="s">
        <v>104</v>
      </c>
      <c r="C1156" t="s">
        <v>51</v>
      </c>
      <c r="D1156">
        <v>4</v>
      </c>
      <c r="E1156">
        <v>79</v>
      </c>
      <c r="F1156">
        <v>7.0000000000000007E-2</v>
      </c>
      <c r="G1156">
        <f>(F1156/0.6)/4</f>
        <v>2.9166666666666671E-2</v>
      </c>
      <c r="H1156">
        <f>G1156*(11.5/38.29)</f>
        <v>8.7599024984765395E-3</v>
      </c>
    </row>
    <row r="1157" spans="1:8" x14ac:dyDescent="0.25">
      <c r="A1157" s="1">
        <v>1996</v>
      </c>
      <c r="B1157" s="1" t="s">
        <v>104</v>
      </c>
      <c r="C1157" t="s">
        <v>51</v>
      </c>
      <c r="D1157">
        <v>4</v>
      </c>
      <c r="E1157">
        <v>79</v>
      </c>
      <c r="F1157">
        <v>0.11</v>
      </c>
      <c r="G1157">
        <f>(F1157/0.6)/4</f>
        <v>4.5833333333333337E-2</v>
      </c>
      <c r="H1157">
        <f>G1157*(11.5/38.29)</f>
        <v>1.3765561069034562E-2</v>
      </c>
    </row>
    <row r="1158" spans="1:8" x14ac:dyDescent="0.25">
      <c r="A1158" s="1">
        <v>1996</v>
      </c>
      <c r="B1158" s="1" t="s">
        <v>104</v>
      </c>
      <c r="C1158" t="s">
        <v>51</v>
      </c>
      <c r="D1158">
        <v>4</v>
      </c>
      <c r="E1158">
        <v>79</v>
      </c>
      <c r="F1158">
        <v>0.13</v>
      </c>
      <c r="G1158">
        <f>(F1158/0.6)/4</f>
        <v>5.4166666666666669E-2</v>
      </c>
      <c r="H1158">
        <f>G1158*(11.5/38.29)</f>
        <v>1.6268390354313572E-2</v>
      </c>
    </row>
    <row r="1159" spans="1:8" x14ac:dyDescent="0.25">
      <c r="A1159" s="1">
        <v>1996</v>
      </c>
      <c r="B1159" s="1" t="s">
        <v>104</v>
      </c>
      <c r="C1159" t="s">
        <v>51</v>
      </c>
      <c r="D1159">
        <v>4</v>
      </c>
      <c r="E1159">
        <v>79</v>
      </c>
      <c r="F1159">
        <v>0.09</v>
      </c>
      <c r="G1159">
        <f>(F1159/0.6)/4</f>
        <v>3.7499999999999999E-2</v>
      </c>
      <c r="H1159">
        <f>G1159*(11.5/38.29)</f>
        <v>1.126273178375555E-2</v>
      </c>
    </row>
    <row r="1160" spans="1:8" x14ac:dyDescent="0.25">
      <c r="A1160" s="1">
        <v>1996</v>
      </c>
      <c r="B1160" s="1" t="s">
        <v>104</v>
      </c>
      <c r="C1160" t="s">
        <v>51</v>
      </c>
      <c r="D1160">
        <v>4</v>
      </c>
      <c r="E1160">
        <v>79</v>
      </c>
      <c r="F1160">
        <v>7.0000000000000007E-2</v>
      </c>
      <c r="G1160">
        <f>(F1160/0.6)/4</f>
        <v>2.9166666666666671E-2</v>
      </c>
      <c r="H1160">
        <f>G1160*(11.5/38.29)</f>
        <v>8.7599024984765395E-3</v>
      </c>
    </row>
    <row r="1161" spans="1:8" x14ac:dyDescent="0.25">
      <c r="A1161" s="1">
        <v>1996</v>
      </c>
      <c r="B1161" s="1" t="s">
        <v>104</v>
      </c>
      <c r="C1161" t="s">
        <v>51</v>
      </c>
      <c r="D1161">
        <v>4</v>
      </c>
      <c r="E1161">
        <v>79</v>
      </c>
      <c r="F1161">
        <v>0.1</v>
      </c>
      <c r="G1161">
        <f>(F1161/0.6)/4</f>
        <v>4.1666666666666671E-2</v>
      </c>
      <c r="H1161">
        <f>G1161*(11.5/38.29)</f>
        <v>1.2514146426395057E-2</v>
      </c>
    </row>
    <row r="1162" spans="1:8" x14ac:dyDescent="0.25">
      <c r="A1162" s="1">
        <v>1996</v>
      </c>
      <c r="B1162" s="1" t="s">
        <v>104</v>
      </c>
      <c r="C1162" t="s">
        <v>51</v>
      </c>
      <c r="D1162">
        <v>4</v>
      </c>
      <c r="E1162">
        <v>79</v>
      </c>
      <c r="F1162">
        <v>0.12</v>
      </c>
      <c r="G1162">
        <f>(F1162/0.6)/4</f>
        <v>0.05</v>
      </c>
      <c r="H1162">
        <f>G1162*(11.5/38.29)</f>
        <v>1.5016975711674067E-2</v>
      </c>
    </row>
    <row r="1163" spans="1:8" x14ac:dyDescent="0.25">
      <c r="A1163" s="1">
        <v>1996</v>
      </c>
      <c r="B1163" s="1" t="s">
        <v>104</v>
      </c>
      <c r="C1163" t="s">
        <v>51</v>
      </c>
      <c r="D1163">
        <v>4</v>
      </c>
      <c r="E1163">
        <v>79</v>
      </c>
      <c r="F1163">
        <v>0.09</v>
      </c>
      <c r="G1163">
        <f>(F1163/0.6)/4</f>
        <v>3.7499999999999999E-2</v>
      </c>
      <c r="H1163">
        <f>G1163*(11.5/38.29)</f>
        <v>1.126273178375555E-2</v>
      </c>
    </row>
    <row r="1164" spans="1:8" x14ac:dyDescent="0.25">
      <c r="A1164" s="1">
        <v>1996</v>
      </c>
      <c r="B1164" s="1" t="s">
        <v>104</v>
      </c>
      <c r="C1164" t="s">
        <v>51</v>
      </c>
      <c r="D1164">
        <v>4</v>
      </c>
      <c r="E1164">
        <v>79</v>
      </c>
      <c r="F1164">
        <v>0.12</v>
      </c>
      <c r="G1164">
        <f>(F1164/0.6)/4</f>
        <v>0.05</v>
      </c>
      <c r="H1164">
        <f>G1164*(11.5/38.29)</f>
        <v>1.5016975711674067E-2</v>
      </c>
    </row>
    <row r="1165" spans="1:8" x14ac:dyDescent="0.25">
      <c r="A1165" s="1">
        <v>1996</v>
      </c>
      <c r="B1165" s="1" t="s">
        <v>104</v>
      </c>
      <c r="C1165" t="s">
        <v>51</v>
      </c>
      <c r="D1165">
        <v>4</v>
      </c>
      <c r="E1165">
        <v>79</v>
      </c>
      <c r="F1165">
        <v>0.05</v>
      </c>
      <c r="G1165">
        <f>(F1165/0.6)/4</f>
        <v>2.0833333333333336E-2</v>
      </c>
      <c r="H1165">
        <f>G1165*(11.5/38.29)</f>
        <v>6.2570732131975284E-3</v>
      </c>
    </row>
    <row r="1166" spans="1:8" x14ac:dyDescent="0.25">
      <c r="A1166" s="1">
        <v>1996</v>
      </c>
      <c r="B1166" s="1" t="s">
        <v>104</v>
      </c>
      <c r="C1166" t="s">
        <v>51</v>
      </c>
      <c r="D1166">
        <v>4</v>
      </c>
      <c r="E1166">
        <v>85</v>
      </c>
      <c r="F1166">
        <v>0.05</v>
      </c>
      <c r="G1166">
        <f>(F1166/0.6)/4</f>
        <v>2.0833333333333336E-2</v>
      </c>
      <c r="H1166">
        <f>G1166*(11.5/38.29)</f>
        <v>6.2570732131975284E-3</v>
      </c>
    </row>
    <row r="1167" spans="1:8" x14ac:dyDescent="0.25">
      <c r="A1167" s="1">
        <v>2008</v>
      </c>
      <c r="B1167" s="1" t="s">
        <v>104</v>
      </c>
      <c r="C1167" t="s">
        <v>51</v>
      </c>
      <c r="D1167">
        <v>1</v>
      </c>
      <c r="E1167">
        <v>11</v>
      </c>
      <c r="F1167">
        <v>0.68</v>
      </c>
      <c r="G1167">
        <f>(F1167/0.6)/4</f>
        <v>0.28333333333333338</v>
      </c>
      <c r="H1167">
        <f>G1167*(11.5/38.29)</f>
        <v>8.5096195699486385E-2</v>
      </c>
    </row>
    <row r="1168" spans="1:8" x14ac:dyDescent="0.25">
      <c r="A1168" s="1">
        <v>2008</v>
      </c>
      <c r="B1168" s="1" t="s">
        <v>104</v>
      </c>
      <c r="C1168" t="s">
        <v>51</v>
      </c>
      <c r="D1168">
        <v>1</v>
      </c>
      <c r="E1168">
        <v>11</v>
      </c>
      <c r="F1168">
        <v>0.21</v>
      </c>
      <c r="G1168">
        <f>(F1168/0.6)/4</f>
        <v>8.7499999999999994E-2</v>
      </c>
      <c r="H1168">
        <f>G1168*(11.5/38.29)</f>
        <v>2.6279707495429613E-2</v>
      </c>
    </row>
    <row r="1169" spans="1:8" x14ac:dyDescent="0.25">
      <c r="A1169" s="1">
        <v>2008</v>
      </c>
      <c r="B1169" s="1" t="s">
        <v>104</v>
      </c>
      <c r="C1169" t="s">
        <v>51</v>
      </c>
      <c r="D1169">
        <v>1</v>
      </c>
      <c r="E1169">
        <v>11</v>
      </c>
      <c r="F1169">
        <v>0.18</v>
      </c>
      <c r="G1169">
        <f>(F1169/0.6)/4</f>
        <v>7.4999999999999997E-2</v>
      </c>
      <c r="H1169">
        <f>G1169*(11.5/38.29)</f>
        <v>2.25254635675111E-2</v>
      </c>
    </row>
    <row r="1170" spans="1:8" x14ac:dyDescent="0.25">
      <c r="A1170" s="1">
        <v>2008</v>
      </c>
      <c r="B1170" s="1" t="s">
        <v>104</v>
      </c>
      <c r="C1170" t="s">
        <v>51</v>
      </c>
      <c r="D1170">
        <v>1</v>
      </c>
      <c r="E1170">
        <v>29</v>
      </c>
      <c r="F1170">
        <v>0.24</v>
      </c>
      <c r="G1170">
        <f>(F1170/0.6)/4</f>
        <v>0.1</v>
      </c>
      <c r="H1170">
        <f>G1170*(11.5/38.29)</f>
        <v>3.0033951423348134E-2</v>
      </c>
    </row>
    <row r="1171" spans="1:8" x14ac:dyDescent="0.25">
      <c r="A1171" s="1">
        <v>2008</v>
      </c>
      <c r="B1171" s="1" t="s">
        <v>104</v>
      </c>
      <c r="C1171" t="s">
        <v>51</v>
      </c>
      <c r="D1171">
        <v>1</v>
      </c>
      <c r="E1171">
        <v>29</v>
      </c>
      <c r="F1171">
        <v>0.1</v>
      </c>
      <c r="G1171">
        <f>(F1171/0.6)/4</f>
        <v>4.1666666666666671E-2</v>
      </c>
      <c r="H1171">
        <f>G1171*(11.5/38.29)</f>
        <v>1.2514146426395057E-2</v>
      </c>
    </row>
    <row r="1172" spans="1:8" x14ac:dyDescent="0.25">
      <c r="A1172" s="1">
        <v>2008</v>
      </c>
      <c r="B1172" s="1" t="s">
        <v>104</v>
      </c>
      <c r="C1172" t="s">
        <v>51</v>
      </c>
      <c r="D1172">
        <v>1</v>
      </c>
      <c r="E1172">
        <v>29</v>
      </c>
      <c r="F1172">
        <v>0.7</v>
      </c>
      <c r="G1172">
        <f>(F1172/0.6)/4</f>
        <v>0.29166666666666669</v>
      </c>
      <c r="H1172">
        <f>G1172*(11.5/38.29)</f>
        <v>8.7599024984765392E-2</v>
      </c>
    </row>
    <row r="1173" spans="1:8" x14ac:dyDescent="0.25">
      <c r="A1173" s="1">
        <v>2008</v>
      </c>
      <c r="B1173" s="1" t="s">
        <v>104</v>
      </c>
      <c r="C1173" t="s">
        <v>51</v>
      </c>
      <c r="D1173">
        <v>1</v>
      </c>
      <c r="E1173">
        <v>29</v>
      </c>
      <c r="F1173">
        <v>0.31</v>
      </c>
      <c r="G1173">
        <f>(F1173/0.6)/4</f>
        <v>0.12916666666666668</v>
      </c>
      <c r="H1173">
        <f>G1173*(11.5/38.29)</f>
        <v>3.8793853921824675E-2</v>
      </c>
    </row>
    <row r="1174" spans="1:8" x14ac:dyDescent="0.25">
      <c r="A1174" s="1">
        <v>2008</v>
      </c>
      <c r="B1174" s="1" t="s">
        <v>104</v>
      </c>
      <c r="C1174" t="s">
        <v>51</v>
      </c>
      <c r="D1174">
        <v>1</v>
      </c>
      <c r="E1174">
        <v>29</v>
      </c>
      <c r="F1174">
        <v>0.18</v>
      </c>
      <c r="G1174">
        <f>(F1174/0.6)/4</f>
        <v>7.4999999999999997E-2</v>
      </c>
      <c r="H1174">
        <f>G1174*(11.5/38.29)</f>
        <v>2.25254635675111E-2</v>
      </c>
    </row>
    <row r="1175" spans="1:8" x14ac:dyDescent="0.25">
      <c r="A1175" s="1">
        <v>2008</v>
      </c>
      <c r="B1175" s="1" t="s">
        <v>104</v>
      </c>
      <c r="C1175" t="s">
        <v>51</v>
      </c>
      <c r="D1175">
        <v>1</v>
      </c>
      <c r="E1175">
        <v>29</v>
      </c>
      <c r="F1175">
        <v>0.31</v>
      </c>
      <c r="G1175">
        <f>(F1175/0.6)/4</f>
        <v>0.12916666666666668</v>
      </c>
      <c r="H1175">
        <f>G1175*(11.5/38.29)</f>
        <v>3.8793853921824675E-2</v>
      </c>
    </row>
    <row r="1176" spans="1:8" x14ac:dyDescent="0.25">
      <c r="A1176" s="1">
        <v>2008</v>
      </c>
      <c r="B1176" s="1" t="s">
        <v>104</v>
      </c>
      <c r="C1176" t="s">
        <v>51</v>
      </c>
      <c r="D1176">
        <v>1</v>
      </c>
      <c r="E1176">
        <v>29</v>
      </c>
      <c r="F1176">
        <v>0.04</v>
      </c>
      <c r="G1176">
        <f>(F1176/0.6)/4</f>
        <v>1.6666666666666666E-2</v>
      </c>
      <c r="H1176">
        <f>G1176*(11.5/38.29)</f>
        <v>5.0056585705580223E-3</v>
      </c>
    </row>
    <row r="1177" spans="1:8" x14ac:dyDescent="0.25">
      <c r="A1177" s="1">
        <v>2008</v>
      </c>
      <c r="B1177" s="1" t="s">
        <v>104</v>
      </c>
      <c r="C1177" t="s">
        <v>51</v>
      </c>
      <c r="D1177">
        <v>1</v>
      </c>
      <c r="E1177">
        <v>29</v>
      </c>
      <c r="F1177">
        <v>0.61</v>
      </c>
      <c r="G1177">
        <f>(F1177/0.6)/4</f>
        <v>0.25416666666666665</v>
      </c>
      <c r="H1177">
        <f>G1177*(11.5/38.29)</f>
        <v>7.6336293201009833E-2</v>
      </c>
    </row>
    <row r="1178" spans="1:8" x14ac:dyDescent="0.25">
      <c r="A1178" s="1">
        <v>2008</v>
      </c>
      <c r="B1178" s="1" t="s">
        <v>104</v>
      </c>
      <c r="C1178" t="s">
        <v>51</v>
      </c>
      <c r="D1178">
        <v>1</v>
      </c>
      <c r="E1178">
        <v>29</v>
      </c>
      <c r="F1178">
        <v>0.04</v>
      </c>
      <c r="G1178">
        <f>(F1178/0.6)/4</f>
        <v>1.6666666666666666E-2</v>
      </c>
      <c r="H1178">
        <f>G1178*(11.5/38.29)</f>
        <v>5.0056585705580223E-3</v>
      </c>
    </row>
    <row r="1179" spans="1:8" x14ac:dyDescent="0.25">
      <c r="A1179" s="1">
        <v>2008</v>
      </c>
      <c r="B1179" s="1" t="s">
        <v>104</v>
      </c>
      <c r="C1179" t="s">
        <v>51</v>
      </c>
      <c r="D1179">
        <v>1</v>
      </c>
      <c r="E1179">
        <v>32</v>
      </c>
      <c r="F1179">
        <v>0.04</v>
      </c>
      <c r="G1179">
        <f>(F1179/0.6)/4</f>
        <v>1.6666666666666666E-2</v>
      </c>
      <c r="H1179">
        <f>G1179*(11.5/38.29)</f>
        <v>5.0056585705580223E-3</v>
      </c>
    </row>
    <row r="1180" spans="1:8" x14ac:dyDescent="0.25">
      <c r="A1180" s="1">
        <v>2008</v>
      </c>
      <c r="B1180" s="1" t="s">
        <v>104</v>
      </c>
      <c r="C1180" t="s">
        <v>51</v>
      </c>
      <c r="D1180">
        <v>1</v>
      </c>
      <c r="E1180">
        <v>32</v>
      </c>
      <c r="F1180">
        <v>0.13</v>
      </c>
      <c r="G1180">
        <f>(F1180/0.6)/4</f>
        <v>5.4166666666666669E-2</v>
      </c>
      <c r="H1180">
        <f>G1180*(11.5/38.29)</f>
        <v>1.6268390354313572E-2</v>
      </c>
    </row>
    <row r="1181" spans="1:8" x14ac:dyDescent="0.25">
      <c r="A1181" s="1">
        <v>2008</v>
      </c>
      <c r="B1181" s="1" t="s">
        <v>104</v>
      </c>
      <c r="C1181" t="s">
        <v>51</v>
      </c>
      <c r="D1181">
        <v>1</v>
      </c>
      <c r="E1181">
        <v>32</v>
      </c>
      <c r="F1181">
        <v>0.11</v>
      </c>
      <c r="G1181">
        <f>(F1181/0.6)/4</f>
        <v>4.5833333333333337E-2</v>
      </c>
      <c r="H1181">
        <f>G1181*(11.5/38.29)</f>
        <v>1.3765561069034562E-2</v>
      </c>
    </row>
    <row r="1182" spans="1:8" x14ac:dyDescent="0.25">
      <c r="A1182" s="1">
        <v>2008</v>
      </c>
      <c r="B1182" s="1" t="s">
        <v>104</v>
      </c>
      <c r="C1182" t="s">
        <v>51</v>
      </c>
      <c r="D1182">
        <v>1</v>
      </c>
      <c r="E1182">
        <v>32</v>
      </c>
      <c r="F1182">
        <v>0.04</v>
      </c>
      <c r="G1182">
        <f>(F1182/0.6)/4</f>
        <v>1.6666666666666666E-2</v>
      </c>
      <c r="H1182">
        <f>G1182*(11.5/38.29)</f>
        <v>5.0056585705580223E-3</v>
      </c>
    </row>
    <row r="1183" spans="1:8" x14ac:dyDescent="0.25">
      <c r="A1183" s="1">
        <v>2008</v>
      </c>
      <c r="B1183" s="1" t="s">
        <v>104</v>
      </c>
      <c r="C1183" t="s">
        <v>51</v>
      </c>
      <c r="D1183">
        <v>1</v>
      </c>
      <c r="E1183">
        <v>32</v>
      </c>
      <c r="F1183">
        <v>7.0000000000000007E-2</v>
      </c>
      <c r="G1183">
        <f>(F1183/0.6)/4</f>
        <v>2.9166666666666671E-2</v>
      </c>
      <c r="H1183">
        <f>G1183*(11.5/38.29)</f>
        <v>8.7599024984765395E-3</v>
      </c>
    </row>
    <row r="1184" spans="1:8" x14ac:dyDescent="0.25">
      <c r="A1184" s="1">
        <v>2008</v>
      </c>
      <c r="B1184" s="1" t="s">
        <v>104</v>
      </c>
      <c r="C1184" t="s">
        <v>51</v>
      </c>
      <c r="D1184">
        <v>1</v>
      </c>
      <c r="E1184">
        <v>32</v>
      </c>
      <c r="F1184">
        <v>0.04</v>
      </c>
      <c r="G1184">
        <f>(F1184/0.6)/4</f>
        <v>1.6666666666666666E-2</v>
      </c>
      <c r="H1184">
        <f>G1184*(11.5/38.29)</f>
        <v>5.0056585705580223E-3</v>
      </c>
    </row>
    <row r="1185" spans="1:8" x14ac:dyDescent="0.25">
      <c r="A1185" s="1">
        <v>2008</v>
      </c>
      <c r="B1185" s="1" t="s">
        <v>104</v>
      </c>
      <c r="C1185" t="s">
        <v>51</v>
      </c>
      <c r="D1185">
        <v>1</v>
      </c>
      <c r="E1185">
        <v>32</v>
      </c>
      <c r="F1185">
        <v>0.08</v>
      </c>
      <c r="G1185">
        <f>(F1185/0.6)/4</f>
        <v>3.3333333333333333E-2</v>
      </c>
      <c r="H1185">
        <f>G1185*(11.5/38.29)</f>
        <v>1.0011317141116045E-2</v>
      </c>
    </row>
    <row r="1186" spans="1:8" x14ac:dyDescent="0.25">
      <c r="A1186" s="1">
        <v>2008</v>
      </c>
      <c r="B1186" s="1" t="s">
        <v>104</v>
      </c>
      <c r="C1186" t="s">
        <v>51</v>
      </c>
      <c r="D1186">
        <v>1</v>
      </c>
      <c r="E1186">
        <v>32</v>
      </c>
      <c r="F1186">
        <v>1.05</v>
      </c>
      <c r="G1186">
        <f>(F1186/0.6)/4</f>
        <v>0.43750000000000006</v>
      </c>
      <c r="H1186">
        <f>G1186*(11.5/38.29)</f>
        <v>0.13139853747714808</v>
      </c>
    </row>
    <row r="1187" spans="1:8" x14ac:dyDescent="0.25">
      <c r="A1187" s="1">
        <v>2008</v>
      </c>
      <c r="B1187" s="1" t="s">
        <v>104</v>
      </c>
      <c r="C1187" t="s">
        <v>51</v>
      </c>
      <c r="D1187">
        <v>1</v>
      </c>
      <c r="E1187">
        <v>32</v>
      </c>
      <c r="F1187">
        <v>0.04</v>
      </c>
      <c r="G1187">
        <f>(F1187/0.6)/4</f>
        <v>1.6666666666666666E-2</v>
      </c>
      <c r="H1187">
        <f>G1187*(11.5/38.29)</f>
        <v>5.0056585705580223E-3</v>
      </c>
    </row>
    <row r="1188" spans="1:8" x14ac:dyDescent="0.25">
      <c r="A1188" s="1">
        <v>2008</v>
      </c>
      <c r="B1188" s="1" t="s">
        <v>104</v>
      </c>
      <c r="C1188" t="s">
        <v>51</v>
      </c>
      <c r="D1188">
        <v>1</v>
      </c>
      <c r="E1188">
        <v>32</v>
      </c>
      <c r="F1188">
        <v>0.04</v>
      </c>
      <c r="G1188">
        <f>(F1188/0.6)/4</f>
        <v>1.6666666666666666E-2</v>
      </c>
      <c r="H1188">
        <f>G1188*(11.5/38.29)</f>
        <v>5.0056585705580223E-3</v>
      </c>
    </row>
    <row r="1189" spans="1:8" x14ac:dyDescent="0.25">
      <c r="A1189" s="1">
        <v>2008</v>
      </c>
      <c r="B1189" s="1" t="s">
        <v>104</v>
      </c>
      <c r="C1189" t="s">
        <v>51</v>
      </c>
      <c r="D1189">
        <v>1</v>
      </c>
      <c r="E1189">
        <v>32</v>
      </c>
      <c r="F1189">
        <v>0.12</v>
      </c>
      <c r="G1189">
        <f>(F1189/0.6)/4</f>
        <v>0.05</v>
      </c>
      <c r="H1189">
        <f>G1189*(11.5/38.29)</f>
        <v>1.5016975711674067E-2</v>
      </c>
    </row>
    <row r="1190" spans="1:8" x14ac:dyDescent="0.25">
      <c r="A1190" s="1">
        <v>2008</v>
      </c>
      <c r="B1190" s="1" t="s">
        <v>104</v>
      </c>
      <c r="C1190" t="s">
        <v>51</v>
      </c>
      <c r="D1190">
        <v>1</v>
      </c>
      <c r="E1190">
        <v>32</v>
      </c>
      <c r="F1190">
        <v>7.0000000000000007E-2</v>
      </c>
      <c r="G1190">
        <f>(F1190/0.6)/4</f>
        <v>2.9166666666666671E-2</v>
      </c>
      <c r="H1190">
        <f>G1190*(11.5/38.29)</f>
        <v>8.7599024984765395E-3</v>
      </c>
    </row>
    <row r="1191" spans="1:8" x14ac:dyDescent="0.25">
      <c r="A1191" s="1">
        <v>2008</v>
      </c>
      <c r="B1191" s="1" t="s">
        <v>104</v>
      </c>
      <c r="C1191" t="s">
        <v>51</v>
      </c>
      <c r="D1191">
        <v>1</v>
      </c>
      <c r="E1191">
        <v>32</v>
      </c>
      <c r="F1191">
        <v>0.16</v>
      </c>
      <c r="G1191">
        <f>(F1191/0.6)/4</f>
        <v>6.6666666666666666E-2</v>
      </c>
      <c r="H1191">
        <f>G1191*(11.5/38.29)</f>
        <v>2.0022634282232089E-2</v>
      </c>
    </row>
    <row r="1192" spans="1:8" x14ac:dyDescent="0.25">
      <c r="A1192" s="1">
        <v>2008</v>
      </c>
      <c r="B1192" s="1" t="s">
        <v>104</v>
      </c>
      <c r="C1192" t="s">
        <v>51</v>
      </c>
      <c r="D1192">
        <v>1</v>
      </c>
      <c r="E1192">
        <v>32</v>
      </c>
      <c r="F1192">
        <v>7.0000000000000007E-2</v>
      </c>
      <c r="G1192">
        <f>(F1192/0.6)/4</f>
        <v>2.9166666666666671E-2</v>
      </c>
      <c r="H1192">
        <f>G1192*(11.5/38.29)</f>
        <v>8.7599024984765395E-3</v>
      </c>
    </row>
    <row r="1193" spans="1:8" x14ac:dyDescent="0.25">
      <c r="A1193" s="1">
        <v>2008</v>
      </c>
      <c r="B1193" s="1" t="s">
        <v>104</v>
      </c>
      <c r="C1193" t="s">
        <v>51</v>
      </c>
      <c r="D1193">
        <v>1</v>
      </c>
      <c r="E1193">
        <v>32</v>
      </c>
      <c r="F1193">
        <v>0.04</v>
      </c>
      <c r="G1193">
        <f>(F1193/0.6)/4</f>
        <v>1.6666666666666666E-2</v>
      </c>
      <c r="H1193">
        <f>G1193*(11.5/38.29)</f>
        <v>5.0056585705580223E-3</v>
      </c>
    </row>
    <row r="1194" spans="1:8" x14ac:dyDescent="0.25">
      <c r="A1194" s="1">
        <v>2008</v>
      </c>
      <c r="B1194" s="1" t="s">
        <v>104</v>
      </c>
      <c r="C1194" t="s">
        <v>51</v>
      </c>
      <c r="D1194">
        <v>1</v>
      </c>
      <c r="E1194">
        <v>32</v>
      </c>
      <c r="F1194">
        <v>0.08</v>
      </c>
      <c r="G1194">
        <f>(F1194/0.6)/4</f>
        <v>3.3333333333333333E-2</v>
      </c>
      <c r="H1194">
        <f>G1194*(11.5/38.29)</f>
        <v>1.0011317141116045E-2</v>
      </c>
    </row>
    <row r="1195" spans="1:8" x14ac:dyDescent="0.25">
      <c r="A1195" s="1">
        <v>2008</v>
      </c>
      <c r="B1195" s="1" t="s">
        <v>104</v>
      </c>
      <c r="C1195" t="s">
        <v>51</v>
      </c>
      <c r="D1195">
        <v>1</v>
      </c>
      <c r="E1195">
        <v>32</v>
      </c>
      <c r="F1195">
        <v>0.21</v>
      </c>
      <c r="G1195">
        <f>(F1195/0.6)/4</f>
        <v>8.7499999999999994E-2</v>
      </c>
      <c r="H1195">
        <f>G1195*(11.5/38.29)</f>
        <v>2.6279707495429613E-2</v>
      </c>
    </row>
    <row r="1196" spans="1:8" x14ac:dyDescent="0.25">
      <c r="A1196" s="1">
        <v>2008</v>
      </c>
      <c r="B1196" s="1" t="s">
        <v>104</v>
      </c>
      <c r="C1196" t="s">
        <v>51</v>
      </c>
      <c r="D1196">
        <v>1</v>
      </c>
      <c r="E1196">
        <v>32</v>
      </c>
      <c r="F1196">
        <v>0.3</v>
      </c>
      <c r="G1196">
        <f>(F1196/0.6)/4</f>
        <v>0.125</v>
      </c>
      <c r="H1196">
        <f>G1196*(11.5/38.29)</f>
        <v>3.7542439279185165E-2</v>
      </c>
    </row>
    <row r="1197" spans="1:8" x14ac:dyDescent="0.25">
      <c r="A1197" s="1">
        <v>2008</v>
      </c>
      <c r="B1197" s="1" t="s">
        <v>104</v>
      </c>
      <c r="C1197" t="s">
        <v>51</v>
      </c>
      <c r="D1197">
        <v>1</v>
      </c>
      <c r="E1197">
        <v>32</v>
      </c>
      <c r="F1197">
        <v>7.0000000000000007E-2</v>
      </c>
      <c r="G1197">
        <f>(F1197/0.6)/4</f>
        <v>2.9166666666666671E-2</v>
      </c>
      <c r="H1197">
        <f>G1197*(11.5/38.29)</f>
        <v>8.7599024984765395E-3</v>
      </c>
    </row>
    <row r="1198" spans="1:8" x14ac:dyDescent="0.25">
      <c r="A1198" s="1">
        <v>2008</v>
      </c>
      <c r="B1198" s="1" t="s">
        <v>104</v>
      </c>
      <c r="C1198" t="s">
        <v>51</v>
      </c>
      <c r="D1198">
        <v>1</v>
      </c>
      <c r="E1198">
        <v>32</v>
      </c>
      <c r="F1198">
        <v>0.25</v>
      </c>
      <c r="G1198">
        <f>(F1198/0.6)/4</f>
        <v>0.10416666666666667</v>
      </c>
      <c r="H1198">
        <f>G1198*(11.5/38.29)</f>
        <v>3.1285366065987641E-2</v>
      </c>
    </row>
    <row r="1199" spans="1:8" x14ac:dyDescent="0.25">
      <c r="A1199" s="1">
        <v>2008</v>
      </c>
      <c r="B1199" s="1" t="s">
        <v>104</v>
      </c>
      <c r="C1199" t="s">
        <v>51</v>
      </c>
      <c r="D1199">
        <v>1</v>
      </c>
      <c r="E1199">
        <v>32</v>
      </c>
      <c r="F1199">
        <v>0.3</v>
      </c>
      <c r="G1199">
        <f>(F1199/0.6)/4</f>
        <v>0.125</v>
      </c>
      <c r="H1199">
        <f>G1199*(11.5/38.29)</f>
        <v>3.7542439279185165E-2</v>
      </c>
    </row>
    <row r="1200" spans="1:8" x14ac:dyDescent="0.25">
      <c r="A1200" s="1">
        <v>2008</v>
      </c>
      <c r="B1200" s="1" t="s">
        <v>104</v>
      </c>
      <c r="C1200" t="s">
        <v>51</v>
      </c>
      <c r="D1200">
        <v>1</v>
      </c>
      <c r="E1200">
        <v>32</v>
      </c>
      <c r="F1200">
        <v>0.05</v>
      </c>
      <c r="G1200">
        <f>(F1200/0.6)/4</f>
        <v>2.0833333333333336E-2</v>
      </c>
      <c r="H1200">
        <f>G1200*(11.5/38.29)</f>
        <v>6.2570732131975284E-3</v>
      </c>
    </row>
    <row r="1201" spans="1:8" x14ac:dyDescent="0.25">
      <c r="A1201" s="1">
        <v>2008</v>
      </c>
      <c r="B1201" s="1" t="s">
        <v>104</v>
      </c>
      <c r="C1201" t="s">
        <v>51</v>
      </c>
      <c r="D1201">
        <v>1</v>
      </c>
      <c r="E1201">
        <v>32</v>
      </c>
      <c r="F1201">
        <v>1.05</v>
      </c>
      <c r="G1201">
        <f>(F1201/0.6)/4</f>
        <v>0.43750000000000006</v>
      </c>
      <c r="H1201">
        <f>G1201*(11.5/38.29)</f>
        <v>0.13139853747714808</v>
      </c>
    </row>
    <row r="1202" spans="1:8" x14ac:dyDescent="0.25">
      <c r="A1202" s="1">
        <v>2008</v>
      </c>
      <c r="B1202" s="1" t="s">
        <v>104</v>
      </c>
      <c r="C1202" t="s">
        <v>51</v>
      </c>
      <c r="D1202">
        <v>1</v>
      </c>
      <c r="E1202">
        <v>32</v>
      </c>
      <c r="F1202">
        <v>0.18</v>
      </c>
      <c r="G1202">
        <f>(F1202/0.6)/4</f>
        <v>7.4999999999999997E-2</v>
      </c>
      <c r="H1202">
        <f>G1202*(11.5/38.29)</f>
        <v>2.25254635675111E-2</v>
      </c>
    </row>
    <row r="1203" spans="1:8" x14ac:dyDescent="0.25">
      <c r="A1203" s="1">
        <v>2008</v>
      </c>
      <c r="B1203" s="1" t="s">
        <v>104</v>
      </c>
      <c r="C1203" t="s">
        <v>51</v>
      </c>
      <c r="D1203">
        <v>1</v>
      </c>
      <c r="E1203">
        <v>32</v>
      </c>
      <c r="F1203">
        <v>0.03</v>
      </c>
      <c r="G1203">
        <f>(F1203/0.6)/4</f>
        <v>1.2500000000000001E-2</v>
      </c>
      <c r="H1203">
        <f>G1203*(11.5/38.29)</f>
        <v>3.7542439279185168E-3</v>
      </c>
    </row>
    <row r="1204" spans="1:8" x14ac:dyDescent="0.25">
      <c r="A1204" s="1">
        <v>2008</v>
      </c>
      <c r="B1204" s="1" t="s">
        <v>104</v>
      </c>
      <c r="C1204" t="s">
        <v>51</v>
      </c>
      <c r="D1204">
        <v>1</v>
      </c>
      <c r="E1204">
        <v>32</v>
      </c>
      <c r="F1204">
        <v>0.14000000000000001</v>
      </c>
      <c r="G1204">
        <f>(F1204/0.6)/4</f>
        <v>5.8333333333333341E-2</v>
      </c>
      <c r="H1204">
        <f>G1204*(11.5/38.29)</f>
        <v>1.7519804996953079E-2</v>
      </c>
    </row>
    <row r="1205" spans="1:8" x14ac:dyDescent="0.25">
      <c r="A1205" s="1">
        <v>2008</v>
      </c>
      <c r="B1205" s="1" t="s">
        <v>104</v>
      </c>
      <c r="C1205" t="s">
        <v>51</v>
      </c>
      <c r="D1205">
        <v>1</v>
      </c>
      <c r="E1205">
        <v>32</v>
      </c>
      <c r="F1205">
        <v>0.04</v>
      </c>
      <c r="G1205">
        <f>(F1205/0.6)/4</f>
        <v>1.6666666666666666E-2</v>
      </c>
      <c r="H1205">
        <f>G1205*(11.5/38.29)</f>
        <v>5.0056585705580223E-3</v>
      </c>
    </row>
    <row r="1206" spans="1:8" x14ac:dyDescent="0.25">
      <c r="A1206" s="1">
        <v>2008</v>
      </c>
      <c r="B1206" s="1" t="s">
        <v>104</v>
      </c>
      <c r="C1206" t="s">
        <v>51</v>
      </c>
      <c r="D1206">
        <v>1</v>
      </c>
      <c r="E1206">
        <v>32</v>
      </c>
      <c r="F1206">
        <v>0.04</v>
      </c>
      <c r="G1206">
        <f>(F1206/0.6)/4</f>
        <v>1.6666666666666666E-2</v>
      </c>
      <c r="H1206">
        <f>G1206*(11.5/38.29)</f>
        <v>5.0056585705580223E-3</v>
      </c>
    </row>
    <row r="1207" spans="1:8" x14ac:dyDescent="0.25">
      <c r="A1207" s="1">
        <v>2008</v>
      </c>
      <c r="B1207" s="1" t="s">
        <v>104</v>
      </c>
      <c r="C1207" t="s">
        <v>51</v>
      </c>
      <c r="D1207">
        <v>1</v>
      </c>
      <c r="E1207">
        <v>32</v>
      </c>
      <c r="F1207">
        <v>7.0000000000000007E-2</v>
      </c>
      <c r="G1207">
        <f>(F1207/0.6)/4</f>
        <v>2.9166666666666671E-2</v>
      </c>
      <c r="H1207">
        <f>G1207*(11.5/38.29)</f>
        <v>8.7599024984765395E-3</v>
      </c>
    </row>
    <row r="1208" spans="1:8" x14ac:dyDescent="0.25">
      <c r="A1208" s="1">
        <v>2008</v>
      </c>
      <c r="B1208" s="1" t="s">
        <v>104</v>
      </c>
      <c r="C1208" t="s">
        <v>51</v>
      </c>
      <c r="D1208">
        <v>1</v>
      </c>
      <c r="E1208">
        <v>32</v>
      </c>
      <c r="F1208">
        <v>0.03</v>
      </c>
      <c r="G1208">
        <f>(F1208/0.6)/4</f>
        <v>1.2500000000000001E-2</v>
      </c>
      <c r="H1208">
        <f>G1208*(11.5/38.29)</f>
        <v>3.7542439279185168E-3</v>
      </c>
    </row>
    <row r="1209" spans="1:8" x14ac:dyDescent="0.25">
      <c r="A1209" s="1">
        <v>2008</v>
      </c>
      <c r="B1209" s="1" t="s">
        <v>104</v>
      </c>
      <c r="C1209" t="s">
        <v>51</v>
      </c>
      <c r="D1209">
        <v>1</v>
      </c>
      <c r="E1209">
        <v>32</v>
      </c>
      <c r="F1209">
        <v>0.72</v>
      </c>
      <c r="G1209">
        <f>(F1209/0.6)/4</f>
        <v>0.3</v>
      </c>
      <c r="H1209">
        <f>G1209*(11.5/38.29)</f>
        <v>9.0101854270044399E-2</v>
      </c>
    </row>
    <row r="1210" spans="1:8" x14ac:dyDescent="0.25">
      <c r="A1210" s="1">
        <v>2008</v>
      </c>
      <c r="B1210" s="1" t="s">
        <v>104</v>
      </c>
      <c r="C1210" t="s">
        <v>51</v>
      </c>
      <c r="D1210">
        <v>1</v>
      </c>
      <c r="E1210">
        <v>32</v>
      </c>
      <c r="F1210">
        <v>0.04</v>
      </c>
      <c r="G1210">
        <f>(F1210/0.6)/4</f>
        <v>1.6666666666666666E-2</v>
      </c>
      <c r="H1210">
        <f>G1210*(11.5/38.29)</f>
        <v>5.0056585705580223E-3</v>
      </c>
    </row>
    <row r="1211" spans="1:8" x14ac:dyDescent="0.25">
      <c r="A1211" s="1">
        <v>2008</v>
      </c>
      <c r="B1211" s="1" t="s">
        <v>104</v>
      </c>
      <c r="C1211" t="s">
        <v>51</v>
      </c>
      <c r="D1211">
        <v>1</v>
      </c>
      <c r="E1211">
        <v>32</v>
      </c>
      <c r="F1211">
        <v>0.05</v>
      </c>
      <c r="G1211">
        <f>(F1211/0.6)/4</f>
        <v>2.0833333333333336E-2</v>
      </c>
      <c r="H1211">
        <f>G1211*(11.5/38.29)</f>
        <v>6.2570732131975284E-3</v>
      </c>
    </row>
    <row r="1212" spans="1:8" x14ac:dyDescent="0.25">
      <c r="A1212" s="1">
        <v>2008</v>
      </c>
      <c r="B1212" s="1" t="s">
        <v>104</v>
      </c>
      <c r="C1212" t="s">
        <v>51</v>
      </c>
      <c r="D1212">
        <v>1</v>
      </c>
      <c r="E1212">
        <v>32</v>
      </c>
      <c r="F1212">
        <v>0.18</v>
      </c>
      <c r="G1212">
        <f>(F1212/0.6)/4</f>
        <v>7.4999999999999997E-2</v>
      </c>
      <c r="H1212">
        <f>G1212*(11.5/38.29)</f>
        <v>2.25254635675111E-2</v>
      </c>
    </row>
    <row r="1213" spans="1:8" x14ac:dyDescent="0.25">
      <c r="A1213" s="1">
        <v>2008</v>
      </c>
      <c r="B1213" s="1" t="s">
        <v>104</v>
      </c>
      <c r="C1213" t="s">
        <v>51</v>
      </c>
      <c r="D1213">
        <v>1</v>
      </c>
      <c r="E1213">
        <v>32</v>
      </c>
      <c r="F1213">
        <v>0.08</v>
      </c>
      <c r="G1213">
        <f>(F1213/0.6)/4</f>
        <v>3.3333333333333333E-2</v>
      </c>
      <c r="H1213">
        <f>G1213*(11.5/38.29)</f>
        <v>1.0011317141116045E-2</v>
      </c>
    </row>
    <row r="1214" spans="1:8" x14ac:dyDescent="0.25">
      <c r="A1214" s="1">
        <v>2008</v>
      </c>
      <c r="B1214" s="1" t="s">
        <v>104</v>
      </c>
      <c r="C1214" t="s">
        <v>51</v>
      </c>
      <c r="D1214">
        <v>1</v>
      </c>
      <c r="E1214">
        <v>32</v>
      </c>
      <c r="F1214">
        <v>0.06</v>
      </c>
      <c r="G1214">
        <f>(F1214/0.6)/4</f>
        <v>2.5000000000000001E-2</v>
      </c>
      <c r="H1214">
        <f>G1214*(11.5/38.29)</f>
        <v>7.5084878558370335E-3</v>
      </c>
    </row>
    <row r="1215" spans="1:8" x14ac:dyDescent="0.25">
      <c r="A1215" s="1">
        <v>2008</v>
      </c>
      <c r="B1215" s="1" t="s">
        <v>104</v>
      </c>
      <c r="C1215" t="s">
        <v>51</v>
      </c>
      <c r="D1215">
        <v>1</v>
      </c>
      <c r="E1215">
        <v>32</v>
      </c>
      <c r="F1215">
        <v>0.13</v>
      </c>
      <c r="G1215">
        <f>(F1215/0.6)/4</f>
        <v>5.4166666666666669E-2</v>
      </c>
      <c r="H1215">
        <f>G1215*(11.5/38.29)</f>
        <v>1.6268390354313572E-2</v>
      </c>
    </row>
    <row r="1216" spans="1:8" x14ac:dyDescent="0.25">
      <c r="A1216" s="1">
        <v>2008</v>
      </c>
      <c r="B1216" s="1" t="s">
        <v>104</v>
      </c>
      <c r="C1216" t="s">
        <v>51</v>
      </c>
      <c r="D1216">
        <v>1</v>
      </c>
      <c r="E1216">
        <v>32</v>
      </c>
      <c r="F1216">
        <v>0.15</v>
      </c>
      <c r="G1216">
        <f>(F1216/0.6)/4</f>
        <v>6.25E-2</v>
      </c>
      <c r="H1216">
        <f>G1216*(11.5/38.29)</f>
        <v>1.8771219639592582E-2</v>
      </c>
    </row>
    <row r="1217" spans="1:8" x14ac:dyDescent="0.25">
      <c r="A1217" s="1">
        <v>2008</v>
      </c>
      <c r="B1217" s="1" t="s">
        <v>104</v>
      </c>
      <c r="C1217" t="s">
        <v>51</v>
      </c>
      <c r="D1217">
        <v>1</v>
      </c>
      <c r="E1217">
        <v>32</v>
      </c>
      <c r="F1217">
        <v>0.15</v>
      </c>
      <c r="G1217">
        <f>(F1217/0.6)/4</f>
        <v>6.25E-2</v>
      </c>
      <c r="H1217">
        <f>G1217*(11.5/38.29)</f>
        <v>1.8771219639592582E-2</v>
      </c>
    </row>
    <row r="1218" spans="1:8" x14ac:dyDescent="0.25">
      <c r="A1218" s="1">
        <v>2008</v>
      </c>
      <c r="B1218" s="1" t="s">
        <v>104</v>
      </c>
      <c r="C1218" t="s">
        <v>51</v>
      </c>
      <c r="D1218">
        <v>1</v>
      </c>
      <c r="E1218">
        <v>32</v>
      </c>
      <c r="F1218">
        <v>0.18</v>
      </c>
      <c r="G1218">
        <f>(F1218/0.6)/4</f>
        <v>7.4999999999999997E-2</v>
      </c>
      <c r="H1218">
        <f>G1218*(11.5/38.29)</f>
        <v>2.25254635675111E-2</v>
      </c>
    </row>
    <row r="1219" spans="1:8" x14ac:dyDescent="0.25">
      <c r="A1219" s="1">
        <v>2008</v>
      </c>
      <c r="B1219" s="1" t="s">
        <v>104</v>
      </c>
      <c r="C1219" t="s">
        <v>51</v>
      </c>
      <c r="D1219">
        <v>1</v>
      </c>
      <c r="E1219">
        <v>32</v>
      </c>
      <c r="F1219">
        <v>7.0000000000000007E-2</v>
      </c>
      <c r="G1219">
        <f>(F1219/0.6)/4</f>
        <v>2.9166666666666671E-2</v>
      </c>
      <c r="H1219">
        <f>G1219*(11.5/38.29)</f>
        <v>8.7599024984765395E-3</v>
      </c>
    </row>
    <row r="1220" spans="1:8" x14ac:dyDescent="0.25">
      <c r="A1220" s="1">
        <v>2008</v>
      </c>
      <c r="B1220" s="1" t="s">
        <v>104</v>
      </c>
      <c r="C1220" t="s">
        <v>51</v>
      </c>
      <c r="D1220">
        <v>1</v>
      </c>
      <c r="E1220">
        <v>32</v>
      </c>
      <c r="F1220">
        <v>0.06</v>
      </c>
      <c r="G1220">
        <f>(F1220/0.6)/4</f>
        <v>2.5000000000000001E-2</v>
      </c>
      <c r="H1220">
        <f>G1220*(11.5/38.29)</f>
        <v>7.5084878558370335E-3</v>
      </c>
    </row>
    <row r="1221" spans="1:8" x14ac:dyDescent="0.25">
      <c r="A1221" s="1">
        <v>2008</v>
      </c>
      <c r="B1221" s="1" t="s">
        <v>104</v>
      </c>
      <c r="C1221" t="s">
        <v>51</v>
      </c>
      <c r="D1221">
        <v>1</v>
      </c>
      <c r="E1221">
        <v>32</v>
      </c>
      <c r="F1221">
        <v>0.06</v>
      </c>
      <c r="G1221">
        <f>(F1221/0.6)/4</f>
        <v>2.5000000000000001E-2</v>
      </c>
      <c r="H1221">
        <f>G1221*(11.5/38.29)</f>
        <v>7.5084878558370335E-3</v>
      </c>
    </row>
    <row r="1222" spans="1:8" x14ac:dyDescent="0.25">
      <c r="A1222" s="1">
        <v>2008</v>
      </c>
      <c r="B1222" s="1" t="s">
        <v>104</v>
      </c>
      <c r="C1222" t="s">
        <v>51</v>
      </c>
      <c r="D1222">
        <v>1</v>
      </c>
      <c r="E1222">
        <v>32</v>
      </c>
      <c r="F1222">
        <v>0.06</v>
      </c>
      <c r="G1222">
        <f>(F1222/0.6)/4</f>
        <v>2.5000000000000001E-2</v>
      </c>
      <c r="H1222">
        <f>G1222*(11.5/38.29)</f>
        <v>7.5084878558370335E-3</v>
      </c>
    </row>
    <row r="1223" spans="1:8" x14ac:dyDescent="0.25">
      <c r="A1223" s="1">
        <v>2008</v>
      </c>
      <c r="B1223" s="1" t="s">
        <v>104</v>
      </c>
      <c r="C1223" t="s">
        <v>51</v>
      </c>
      <c r="D1223">
        <v>1</v>
      </c>
      <c r="E1223">
        <v>32</v>
      </c>
      <c r="F1223">
        <v>0.05</v>
      </c>
      <c r="G1223">
        <f>(F1223/0.6)/4</f>
        <v>2.0833333333333336E-2</v>
      </c>
      <c r="H1223">
        <f>G1223*(11.5/38.29)</f>
        <v>6.2570732131975284E-3</v>
      </c>
    </row>
    <row r="1224" spans="1:8" x14ac:dyDescent="0.25">
      <c r="A1224" s="1">
        <v>2008</v>
      </c>
      <c r="B1224" s="1" t="s">
        <v>104</v>
      </c>
      <c r="C1224" t="s">
        <v>51</v>
      </c>
      <c r="D1224">
        <v>1</v>
      </c>
      <c r="E1224">
        <v>32</v>
      </c>
      <c r="F1224">
        <v>0.17</v>
      </c>
      <c r="G1224">
        <f>(F1224/0.6)/4</f>
        <v>7.0833333333333345E-2</v>
      </c>
      <c r="H1224">
        <f>G1224*(11.5/38.29)</f>
        <v>2.1274048924871596E-2</v>
      </c>
    </row>
    <row r="1225" spans="1:8" x14ac:dyDescent="0.25">
      <c r="A1225" s="1">
        <v>2008</v>
      </c>
      <c r="B1225" s="1" t="s">
        <v>104</v>
      </c>
      <c r="C1225" t="s">
        <v>51</v>
      </c>
      <c r="D1225">
        <v>1</v>
      </c>
      <c r="E1225">
        <v>32</v>
      </c>
      <c r="F1225">
        <v>7.0000000000000007E-2</v>
      </c>
      <c r="G1225">
        <f>(F1225/0.6)/4</f>
        <v>2.9166666666666671E-2</v>
      </c>
      <c r="H1225">
        <f>G1225*(11.5/38.29)</f>
        <v>8.7599024984765395E-3</v>
      </c>
    </row>
    <row r="1226" spans="1:8" x14ac:dyDescent="0.25">
      <c r="A1226" s="1">
        <v>2008</v>
      </c>
      <c r="B1226" s="1" t="s">
        <v>104</v>
      </c>
      <c r="C1226" t="s">
        <v>51</v>
      </c>
      <c r="D1226">
        <v>1</v>
      </c>
      <c r="E1226">
        <v>32</v>
      </c>
      <c r="F1226">
        <v>0.37</v>
      </c>
      <c r="G1226">
        <f>(F1226/0.6)/4</f>
        <v>0.15416666666666667</v>
      </c>
      <c r="H1226">
        <f>G1226*(11.5/38.29)</f>
        <v>4.6302341777661703E-2</v>
      </c>
    </row>
    <row r="1227" spans="1:8" x14ac:dyDescent="0.25">
      <c r="A1227" s="1">
        <v>2008</v>
      </c>
      <c r="B1227" s="1" t="s">
        <v>104</v>
      </c>
      <c r="C1227" t="s">
        <v>51</v>
      </c>
      <c r="D1227">
        <v>1</v>
      </c>
      <c r="E1227">
        <v>32</v>
      </c>
      <c r="F1227">
        <v>0.11</v>
      </c>
      <c r="G1227">
        <f>(F1227/0.6)/4</f>
        <v>4.5833333333333337E-2</v>
      </c>
      <c r="H1227">
        <f>G1227*(11.5/38.29)</f>
        <v>1.3765561069034562E-2</v>
      </c>
    </row>
    <row r="1228" spans="1:8" x14ac:dyDescent="0.25">
      <c r="A1228" s="1">
        <v>2008</v>
      </c>
      <c r="B1228" s="1" t="s">
        <v>104</v>
      </c>
      <c r="C1228" t="s">
        <v>51</v>
      </c>
      <c r="D1228">
        <v>1</v>
      </c>
      <c r="E1228">
        <v>32</v>
      </c>
      <c r="F1228">
        <v>0.05</v>
      </c>
      <c r="G1228">
        <f>(F1228/0.6)/4</f>
        <v>2.0833333333333336E-2</v>
      </c>
      <c r="H1228">
        <f>G1228*(11.5/38.29)</f>
        <v>6.2570732131975284E-3</v>
      </c>
    </row>
    <row r="1229" spans="1:8" x14ac:dyDescent="0.25">
      <c r="A1229" s="1">
        <v>2008</v>
      </c>
      <c r="B1229" s="1" t="s">
        <v>104</v>
      </c>
      <c r="C1229" t="s">
        <v>51</v>
      </c>
      <c r="D1229">
        <v>1</v>
      </c>
      <c r="E1229">
        <v>32</v>
      </c>
      <c r="F1229">
        <v>0.13</v>
      </c>
      <c r="G1229">
        <f>(F1229/0.6)/4</f>
        <v>5.4166666666666669E-2</v>
      </c>
      <c r="H1229">
        <f>G1229*(11.5/38.29)</f>
        <v>1.6268390354313572E-2</v>
      </c>
    </row>
    <row r="1230" spans="1:8" x14ac:dyDescent="0.25">
      <c r="A1230" s="1">
        <v>2008</v>
      </c>
      <c r="B1230" s="1" t="s">
        <v>104</v>
      </c>
      <c r="C1230" t="s">
        <v>51</v>
      </c>
      <c r="D1230">
        <v>1</v>
      </c>
      <c r="E1230">
        <v>32</v>
      </c>
      <c r="F1230">
        <v>0.05</v>
      </c>
      <c r="G1230">
        <f>(F1230/0.6)/4</f>
        <v>2.0833333333333336E-2</v>
      </c>
      <c r="H1230">
        <f>G1230*(11.5/38.29)</f>
        <v>6.2570732131975284E-3</v>
      </c>
    </row>
    <row r="1231" spans="1:8" x14ac:dyDescent="0.25">
      <c r="A1231" s="1">
        <v>2008</v>
      </c>
      <c r="B1231" s="1" t="s">
        <v>104</v>
      </c>
      <c r="C1231" t="s">
        <v>51</v>
      </c>
      <c r="D1231">
        <v>1</v>
      </c>
      <c r="E1231">
        <v>32</v>
      </c>
      <c r="F1231">
        <v>0.04</v>
      </c>
      <c r="G1231">
        <f>(F1231/0.6)/4</f>
        <v>1.6666666666666666E-2</v>
      </c>
      <c r="H1231">
        <f>G1231*(11.5/38.29)</f>
        <v>5.0056585705580223E-3</v>
      </c>
    </row>
    <row r="1232" spans="1:8" x14ac:dyDescent="0.25">
      <c r="A1232" s="1">
        <v>2008</v>
      </c>
      <c r="B1232" s="1" t="s">
        <v>104</v>
      </c>
      <c r="C1232" t="s">
        <v>51</v>
      </c>
      <c r="D1232">
        <v>1</v>
      </c>
      <c r="E1232">
        <v>32</v>
      </c>
      <c r="F1232">
        <v>0.19</v>
      </c>
      <c r="G1232">
        <f>(F1232/0.6)/4</f>
        <v>7.9166666666666677E-2</v>
      </c>
      <c r="H1232">
        <f>G1232*(11.5/38.29)</f>
        <v>2.3776878210150607E-2</v>
      </c>
    </row>
    <row r="1233" spans="1:8" x14ac:dyDescent="0.25">
      <c r="A1233" s="1">
        <v>2008</v>
      </c>
      <c r="B1233" s="1" t="s">
        <v>104</v>
      </c>
      <c r="C1233" t="s">
        <v>51</v>
      </c>
      <c r="D1233">
        <v>1</v>
      </c>
      <c r="E1233">
        <v>32</v>
      </c>
      <c r="F1233">
        <v>7.0000000000000007E-2</v>
      </c>
      <c r="G1233">
        <f>(F1233/0.6)/4</f>
        <v>2.9166666666666671E-2</v>
      </c>
      <c r="H1233">
        <f>G1233*(11.5/38.29)</f>
        <v>8.7599024984765395E-3</v>
      </c>
    </row>
    <row r="1234" spans="1:8" x14ac:dyDescent="0.25">
      <c r="A1234" s="1">
        <v>2008</v>
      </c>
      <c r="B1234" s="1" t="s">
        <v>104</v>
      </c>
      <c r="C1234" t="s">
        <v>51</v>
      </c>
      <c r="D1234">
        <v>1</v>
      </c>
      <c r="E1234">
        <v>32</v>
      </c>
      <c r="F1234">
        <v>0.36</v>
      </c>
      <c r="G1234">
        <f>(F1234/0.6)/4</f>
        <v>0.15</v>
      </c>
      <c r="H1234">
        <f>G1234*(11.5/38.29)</f>
        <v>4.5050927135022199E-2</v>
      </c>
    </row>
    <row r="1235" spans="1:8" x14ac:dyDescent="0.25">
      <c r="A1235" s="1">
        <v>2008</v>
      </c>
      <c r="B1235" s="1" t="s">
        <v>104</v>
      </c>
      <c r="C1235" t="s">
        <v>51</v>
      </c>
      <c r="D1235">
        <v>1</v>
      </c>
      <c r="E1235">
        <v>32</v>
      </c>
      <c r="F1235">
        <v>0.06</v>
      </c>
      <c r="G1235">
        <f>(F1235/0.6)/4</f>
        <v>2.5000000000000001E-2</v>
      </c>
      <c r="H1235">
        <f>G1235*(11.5/38.29)</f>
        <v>7.5084878558370335E-3</v>
      </c>
    </row>
    <row r="1236" spans="1:8" x14ac:dyDescent="0.25">
      <c r="A1236" s="1">
        <v>2008</v>
      </c>
      <c r="B1236" s="1" t="s">
        <v>104</v>
      </c>
      <c r="C1236" t="s">
        <v>51</v>
      </c>
      <c r="D1236">
        <v>1</v>
      </c>
      <c r="E1236">
        <v>32</v>
      </c>
      <c r="F1236">
        <v>0.06</v>
      </c>
      <c r="G1236">
        <f>(F1236/0.6)/4</f>
        <v>2.5000000000000001E-2</v>
      </c>
      <c r="H1236">
        <f>G1236*(11.5/38.29)</f>
        <v>7.5084878558370335E-3</v>
      </c>
    </row>
    <row r="1237" spans="1:8" x14ac:dyDescent="0.25">
      <c r="A1237" s="1">
        <v>2008</v>
      </c>
      <c r="B1237" s="1" t="s">
        <v>104</v>
      </c>
      <c r="C1237" t="s">
        <v>51</v>
      </c>
      <c r="D1237">
        <v>1</v>
      </c>
      <c r="E1237">
        <v>32</v>
      </c>
      <c r="F1237">
        <v>0.11</v>
      </c>
      <c r="G1237">
        <f>(F1237/0.6)/4</f>
        <v>4.5833333333333337E-2</v>
      </c>
      <c r="H1237">
        <f>G1237*(11.5/38.29)</f>
        <v>1.3765561069034562E-2</v>
      </c>
    </row>
    <row r="1238" spans="1:8" x14ac:dyDescent="0.25">
      <c r="A1238" s="1">
        <v>2008</v>
      </c>
      <c r="B1238" s="1" t="s">
        <v>104</v>
      </c>
      <c r="C1238" t="s">
        <v>51</v>
      </c>
      <c r="D1238">
        <v>1</v>
      </c>
      <c r="E1238">
        <v>32</v>
      </c>
      <c r="F1238">
        <v>0.13</v>
      </c>
      <c r="G1238">
        <f>(F1238/0.6)/4</f>
        <v>5.4166666666666669E-2</v>
      </c>
      <c r="H1238">
        <f>G1238*(11.5/38.29)</f>
        <v>1.6268390354313572E-2</v>
      </c>
    </row>
    <row r="1239" spans="1:8" x14ac:dyDescent="0.25">
      <c r="A1239" s="1">
        <v>2008</v>
      </c>
      <c r="B1239" s="1" t="s">
        <v>104</v>
      </c>
      <c r="C1239" t="s">
        <v>51</v>
      </c>
      <c r="D1239">
        <v>1</v>
      </c>
      <c r="E1239">
        <v>32</v>
      </c>
      <c r="F1239">
        <v>0.04</v>
      </c>
      <c r="G1239">
        <f>(F1239/0.6)/4</f>
        <v>1.6666666666666666E-2</v>
      </c>
      <c r="H1239">
        <f>G1239*(11.5/38.29)</f>
        <v>5.0056585705580223E-3</v>
      </c>
    </row>
    <row r="1240" spans="1:8" x14ac:dyDescent="0.25">
      <c r="A1240" s="1">
        <v>2008</v>
      </c>
      <c r="B1240" s="1" t="s">
        <v>104</v>
      </c>
      <c r="C1240" t="s">
        <v>51</v>
      </c>
      <c r="D1240">
        <v>1</v>
      </c>
      <c r="E1240">
        <v>32</v>
      </c>
      <c r="F1240">
        <v>0.06</v>
      </c>
      <c r="G1240">
        <f>(F1240/0.6)/4</f>
        <v>2.5000000000000001E-2</v>
      </c>
      <c r="H1240">
        <f>G1240*(11.5/38.29)</f>
        <v>7.5084878558370335E-3</v>
      </c>
    </row>
    <row r="1241" spans="1:8" x14ac:dyDescent="0.25">
      <c r="A1241" s="1">
        <v>2008</v>
      </c>
      <c r="B1241" s="1" t="s">
        <v>104</v>
      </c>
      <c r="C1241" t="s">
        <v>51</v>
      </c>
      <c r="D1241">
        <v>1</v>
      </c>
      <c r="E1241">
        <v>32</v>
      </c>
      <c r="F1241">
        <v>0.13</v>
      </c>
      <c r="G1241">
        <f>(F1241/0.6)/4</f>
        <v>5.4166666666666669E-2</v>
      </c>
      <c r="H1241">
        <f>G1241*(11.5/38.29)</f>
        <v>1.6268390354313572E-2</v>
      </c>
    </row>
    <row r="1242" spans="1:8" x14ac:dyDescent="0.25">
      <c r="A1242" s="1">
        <v>2008</v>
      </c>
      <c r="B1242" s="1" t="s">
        <v>104</v>
      </c>
      <c r="C1242" t="s">
        <v>51</v>
      </c>
      <c r="D1242">
        <v>1</v>
      </c>
      <c r="E1242">
        <v>32</v>
      </c>
      <c r="F1242">
        <v>0.05</v>
      </c>
      <c r="G1242">
        <f>(F1242/0.6)/4</f>
        <v>2.0833333333333336E-2</v>
      </c>
      <c r="H1242">
        <f>G1242*(11.5/38.29)</f>
        <v>6.2570732131975284E-3</v>
      </c>
    </row>
    <row r="1243" spans="1:8" x14ac:dyDescent="0.25">
      <c r="A1243" s="1">
        <v>2008</v>
      </c>
      <c r="B1243" s="1" t="s">
        <v>104</v>
      </c>
      <c r="C1243" t="s">
        <v>51</v>
      </c>
      <c r="D1243">
        <v>1</v>
      </c>
      <c r="E1243">
        <v>32</v>
      </c>
      <c r="F1243">
        <v>0.06</v>
      </c>
      <c r="G1243">
        <f>(F1243/0.6)/4</f>
        <v>2.5000000000000001E-2</v>
      </c>
      <c r="H1243">
        <f>G1243*(11.5/38.29)</f>
        <v>7.5084878558370335E-3</v>
      </c>
    </row>
    <row r="1244" spans="1:8" x14ac:dyDescent="0.25">
      <c r="A1244" s="1">
        <v>2008</v>
      </c>
      <c r="B1244" s="1" t="s">
        <v>104</v>
      </c>
      <c r="C1244" t="s">
        <v>51</v>
      </c>
      <c r="D1244">
        <v>1</v>
      </c>
      <c r="E1244">
        <v>32</v>
      </c>
      <c r="F1244">
        <v>0.13</v>
      </c>
      <c r="G1244">
        <f>(F1244/0.6)/4</f>
        <v>5.4166666666666669E-2</v>
      </c>
      <c r="H1244">
        <f>G1244*(11.5/38.29)</f>
        <v>1.6268390354313572E-2</v>
      </c>
    </row>
    <row r="1245" spans="1:8" x14ac:dyDescent="0.25">
      <c r="A1245" s="1">
        <v>2008</v>
      </c>
      <c r="B1245" s="1" t="s">
        <v>104</v>
      </c>
      <c r="C1245" t="s">
        <v>51</v>
      </c>
      <c r="D1245">
        <v>1</v>
      </c>
      <c r="E1245">
        <v>32</v>
      </c>
      <c r="F1245">
        <v>0.22</v>
      </c>
      <c r="G1245">
        <f>(F1245/0.6)/4</f>
        <v>9.1666666666666674E-2</v>
      </c>
      <c r="H1245">
        <f>G1245*(11.5/38.29)</f>
        <v>2.7531122138069124E-2</v>
      </c>
    </row>
    <row r="1246" spans="1:8" x14ac:dyDescent="0.25">
      <c r="A1246" s="1">
        <v>2008</v>
      </c>
      <c r="B1246" s="1" t="s">
        <v>104</v>
      </c>
      <c r="C1246" t="s">
        <v>51</v>
      </c>
      <c r="D1246">
        <v>1</v>
      </c>
      <c r="E1246">
        <v>32</v>
      </c>
      <c r="F1246">
        <v>0.1</v>
      </c>
      <c r="G1246">
        <f>(F1246/0.6)/4</f>
        <v>4.1666666666666671E-2</v>
      </c>
      <c r="H1246">
        <f>G1246*(11.5/38.29)</f>
        <v>1.2514146426395057E-2</v>
      </c>
    </row>
    <row r="1247" spans="1:8" x14ac:dyDescent="0.25">
      <c r="A1247" s="1">
        <v>2008</v>
      </c>
      <c r="B1247" s="1" t="s">
        <v>104</v>
      </c>
      <c r="C1247" t="s">
        <v>51</v>
      </c>
      <c r="D1247">
        <v>1</v>
      </c>
      <c r="E1247">
        <v>32</v>
      </c>
      <c r="F1247">
        <v>0.12</v>
      </c>
      <c r="G1247">
        <f>(F1247/0.6)/4</f>
        <v>0.05</v>
      </c>
      <c r="H1247">
        <f>G1247*(11.5/38.29)</f>
        <v>1.5016975711674067E-2</v>
      </c>
    </row>
    <row r="1248" spans="1:8" x14ac:dyDescent="0.25">
      <c r="A1248" s="1">
        <v>2008</v>
      </c>
      <c r="B1248" s="1" t="s">
        <v>104</v>
      </c>
      <c r="C1248" t="s">
        <v>51</v>
      </c>
      <c r="D1248">
        <v>1</v>
      </c>
      <c r="E1248">
        <v>32</v>
      </c>
      <c r="F1248">
        <v>0.05</v>
      </c>
      <c r="G1248">
        <f>(F1248/0.6)/4</f>
        <v>2.0833333333333336E-2</v>
      </c>
      <c r="H1248">
        <f>G1248*(11.5/38.29)</f>
        <v>6.2570732131975284E-3</v>
      </c>
    </row>
    <row r="1249" spans="1:8" x14ac:dyDescent="0.25">
      <c r="A1249" s="1">
        <v>2008</v>
      </c>
      <c r="B1249" s="1" t="s">
        <v>104</v>
      </c>
      <c r="C1249" t="s">
        <v>51</v>
      </c>
      <c r="D1249">
        <v>1</v>
      </c>
      <c r="E1249">
        <v>32</v>
      </c>
      <c r="F1249">
        <v>0.14000000000000001</v>
      </c>
      <c r="G1249">
        <f>(F1249/0.6)/4</f>
        <v>5.8333333333333341E-2</v>
      </c>
      <c r="H1249">
        <f>G1249*(11.5/38.29)</f>
        <v>1.7519804996953079E-2</v>
      </c>
    </row>
    <row r="1250" spans="1:8" x14ac:dyDescent="0.25">
      <c r="A1250" s="1">
        <v>2008</v>
      </c>
      <c r="B1250" s="1" t="s">
        <v>104</v>
      </c>
      <c r="C1250" t="s">
        <v>51</v>
      </c>
      <c r="D1250">
        <v>1</v>
      </c>
      <c r="E1250">
        <v>32</v>
      </c>
      <c r="F1250">
        <v>0.08</v>
      </c>
      <c r="G1250">
        <f>(F1250/0.6)/4</f>
        <v>3.3333333333333333E-2</v>
      </c>
      <c r="H1250">
        <f>G1250*(11.5/38.29)</f>
        <v>1.0011317141116045E-2</v>
      </c>
    </row>
    <row r="1251" spans="1:8" x14ac:dyDescent="0.25">
      <c r="A1251" s="1">
        <v>2008</v>
      </c>
      <c r="B1251" s="1" t="s">
        <v>104</v>
      </c>
      <c r="C1251" t="s">
        <v>51</v>
      </c>
      <c r="D1251">
        <v>1</v>
      </c>
      <c r="E1251">
        <v>32</v>
      </c>
      <c r="F1251">
        <v>0.19</v>
      </c>
      <c r="G1251">
        <f>(F1251/0.6)/4</f>
        <v>7.9166666666666677E-2</v>
      </c>
      <c r="H1251">
        <f>G1251*(11.5/38.29)</f>
        <v>2.3776878210150607E-2</v>
      </c>
    </row>
    <row r="1252" spans="1:8" x14ac:dyDescent="0.25">
      <c r="A1252" s="1">
        <v>2008</v>
      </c>
      <c r="B1252" s="1" t="s">
        <v>104</v>
      </c>
      <c r="C1252" t="s">
        <v>51</v>
      </c>
      <c r="D1252">
        <v>1</v>
      </c>
      <c r="E1252">
        <v>32</v>
      </c>
      <c r="F1252">
        <v>0.28999999999999998</v>
      </c>
      <c r="G1252">
        <f>(F1252/0.6)/4</f>
        <v>0.12083333333333333</v>
      </c>
      <c r="H1252">
        <f>G1252*(11.5/38.29)</f>
        <v>3.6291024636545662E-2</v>
      </c>
    </row>
    <row r="1253" spans="1:8" x14ac:dyDescent="0.25">
      <c r="A1253" s="1">
        <v>2008</v>
      </c>
      <c r="B1253" s="1" t="s">
        <v>104</v>
      </c>
      <c r="C1253" t="s">
        <v>51</v>
      </c>
      <c r="D1253">
        <v>1</v>
      </c>
      <c r="E1253">
        <v>32</v>
      </c>
      <c r="F1253">
        <v>0.09</v>
      </c>
      <c r="G1253">
        <f>(F1253/0.6)/4</f>
        <v>3.7499999999999999E-2</v>
      </c>
      <c r="H1253">
        <f>G1253*(11.5/38.29)</f>
        <v>1.126273178375555E-2</v>
      </c>
    </row>
    <row r="1254" spans="1:8" x14ac:dyDescent="0.25">
      <c r="A1254" s="1">
        <v>2008</v>
      </c>
      <c r="B1254" s="1" t="s">
        <v>104</v>
      </c>
      <c r="C1254" t="s">
        <v>51</v>
      </c>
      <c r="D1254">
        <v>1</v>
      </c>
      <c r="E1254">
        <v>32</v>
      </c>
      <c r="F1254">
        <v>0.13</v>
      </c>
      <c r="G1254">
        <f>(F1254/0.6)/4</f>
        <v>5.4166666666666669E-2</v>
      </c>
      <c r="H1254">
        <f>G1254*(11.5/38.29)</f>
        <v>1.6268390354313572E-2</v>
      </c>
    </row>
    <row r="1255" spans="1:8" x14ac:dyDescent="0.25">
      <c r="A1255" s="1">
        <v>2008</v>
      </c>
      <c r="B1255" s="1" t="s">
        <v>104</v>
      </c>
      <c r="C1255" t="s">
        <v>51</v>
      </c>
      <c r="D1255">
        <v>1</v>
      </c>
      <c r="E1255">
        <v>32</v>
      </c>
      <c r="F1255">
        <v>0.13</v>
      </c>
      <c r="G1255">
        <f>(F1255/0.6)/4</f>
        <v>5.4166666666666669E-2</v>
      </c>
      <c r="H1255">
        <f>G1255*(11.5/38.29)</f>
        <v>1.6268390354313572E-2</v>
      </c>
    </row>
    <row r="1256" spans="1:8" x14ac:dyDescent="0.25">
      <c r="A1256" s="1">
        <v>2008</v>
      </c>
      <c r="B1256" s="1" t="s">
        <v>104</v>
      </c>
      <c r="C1256" t="s">
        <v>51</v>
      </c>
      <c r="D1256">
        <v>1</v>
      </c>
      <c r="E1256">
        <v>32</v>
      </c>
      <c r="F1256">
        <v>0.1</v>
      </c>
      <c r="G1256">
        <f>(F1256/0.6)/4</f>
        <v>4.1666666666666671E-2</v>
      </c>
      <c r="H1256">
        <f>G1256*(11.5/38.29)</f>
        <v>1.2514146426395057E-2</v>
      </c>
    </row>
    <row r="1257" spans="1:8" x14ac:dyDescent="0.25">
      <c r="A1257" s="1">
        <v>2008</v>
      </c>
      <c r="B1257" s="1" t="s">
        <v>104</v>
      </c>
      <c r="C1257" t="s">
        <v>51</v>
      </c>
      <c r="D1257">
        <v>1</v>
      </c>
      <c r="E1257">
        <v>32</v>
      </c>
      <c r="F1257">
        <v>0.04</v>
      </c>
      <c r="G1257">
        <f>(F1257/0.6)/4</f>
        <v>1.6666666666666666E-2</v>
      </c>
      <c r="H1257">
        <f>G1257*(11.5/38.29)</f>
        <v>5.0056585705580223E-3</v>
      </c>
    </row>
    <row r="1258" spans="1:8" x14ac:dyDescent="0.25">
      <c r="A1258" s="1">
        <v>2008</v>
      </c>
      <c r="B1258" s="1" t="s">
        <v>104</v>
      </c>
      <c r="C1258" t="s">
        <v>51</v>
      </c>
      <c r="D1258">
        <v>1</v>
      </c>
      <c r="E1258">
        <v>32</v>
      </c>
      <c r="F1258">
        <v>0.11</v>
      </c>
      <c r="G1258">
        <f>(F1258/0.6)/4</f>
        <v>4.5833333333333337E-2</v>
      </c>
      <c r="H1258">
        <f>G1258*(11.5/38.29)</f>
        <v>1.3765561069034562E-2</v>
      </c>
    </row>
    <row r="1259" spans="1:8" x14ac:dyDescent="0.25">
      <c r="A1259" s="1">
        <v>2008</v>
      </c>
      <c r="B1259" s="1" t="s">
        <v>104</v>
      </c>
      <c r="C1259" t="s">
        <v>51</v>
      </c>
      <c r="D1259">
        <v>1</v>
      </c>
      <c r="E1259">
        <v>32</v>
      </c>
      <c r="F1259">
        <v>0.05</v>
      </c>
      <c r="G1259">
        <f>(F1259/0.6)/4</f>
        <v>2.0833333333333336E-2</v>
      </c>
      <c r="H1259">
        <f>G1259*(11.5/38.29)</f>
        <v>6.2570732131975284E-3</v>
      </c>
    </row>
    <row r="1260" spans="1:8" x14ac:dyDescent="0.25">
      <c r="A1260" s="1">
        <v>2008</v>
      </c>
      <c r="B1260" s="1" t="s">
        <v>104</v>
      </c>
      <c r="C1260" t="s">
        <v>51</v>
      </c>
      <c r="D1260">
        <v>1</v>
      </c>
      <c r="E1260">
        <v>32</v>
      </c>
      <c r="F1260">
        <v>0.04</v>
      </c>
      <c r="G1260">
        <f>(F1260/0.6)/4</f>
        <v>1.6666666666666666E-2</v>
      </c>
      <c r="H1260">
        <f>G1260*(11.5/38.29)</f>
        <v>5.0056585705580223E-3</v>
      </c>
    </row>
    <row r="1261" spans="1:8" x14ac:dyDescent="0.25">
      <c r="A1261" s="1">
        <v>2008</v>
      </c>
      <c r="B1261" s="1" t="s">
        <v>104</v>
      </c>
      <c r="C1261" t="s">
        <v>51</v>
      </c>
      <c r="D1261">
        <v>1</v>
      </c>
      <c r="E1261">
        <v>32</v>
      </c>
      <c r="F1261">
        <v>0.05</v>
      </c>
      <c r="G1261">
        <f>(F1261/0.6)/4</f>
        <v>2.0833333333333336E-2</v>
      </c>
      <c r="H1261">
        <f>G1261*(11.5/38.29)</f>
        <v>6.2570732131975284E-3</v>
      </c>
    </row>
    <row r="1262" spans="1:8" x14ac:dyDescent="0.25">
      <c r="A1262" s="1">
        <v>2008</v>
      </c>
      <c r="B1262" s="1" t="s">
        <v>104</v>
      </c>
      <c r="C1262" t="s">
        <v>51</v>
      </c>
      <c r="D1262">
        <v>1</v>
      </c>
      <c r="E1262">
        <v>32</v>
      </c>
      <c r="F1262">
        <v>0.11</v>
      </c>
      <c r="G1262">
        <f>(F1262/0.6)/4</f>
        <v>4.5833333333333337E-2</v>
      </c>
      <c r="H1262">
        <f>G1262*(11.5/38.29)</f>
        <v>1.3765561069034562E-2</v>
      </c>
    </row>
    <row r="1263" spans="1:8" x14ac:dyDescent="0.25">
      <c r="A1263" s="1">
        <v>2008</v>
      </c>
      <c r="B1263" s="1" t="s">
        <v>104</v>
      </c>
      <c r="C1263" t="s">
        <v>51</v>
      </c>
      <c r="D1263">
        <v>1</v>
      </c>
      <c r="E1263">
        <v>32</v>
      </c>
      <c r="F1263">
        <v>0.16</v>
      </c>
      <c r="G1263">
        <f>(F1263/0.6)/4</f>
        <v>6.6666666666666666E-2</v>
      </c>
      <c r="H1263">
        <f>G1263*(11.5/38.29)</f>
        <v>2.0022634282232089E-2</v>
      </c>
    </row>
    <row r="1264" spans="1:8" x14ac:dyDescent="0.25">
      <c r="A1264" s="1">
        <v>2008</v>
      </c>
      <c r="B1264" s="1" t="s">
        <v>104</v>
      </c>
      <c r="C1264" t="s">
        <v>51</v>
      </c>
      <c r="D1264">
        <v>1</v>
      </c>
      <c r="E1264">
        <v>32</v>
      </c>
      <c r="F1264">
        <v>0.08</v>
      </c>
      <c r="G1264">
        <f>(F1264/0.6)/4</f>
        <v>3.3333333333333333E-2</v>
      </c>
      <c r="H1264">
        <f>G1264*(11.5/38.29)</f>
        <v>1.0011317141116045E-2</v>
      </c>
    </row>
    <row r="1265" spans="1:8" x14ac:dyDescent="0.25">
      <c r="A1265" s="1">
        <v>2008</v>
      </c>
      <c r="B1265" s="1" t="s">
        <v>104</v>
      </c>
      <c r="C1265" t="s">
        <v>51</v>
      </c>
      <c r="D1265">
        <v>1</v>
      </c>
      <c r="E1265">
        <v>32</v>
      </c>
      <c r="F1265">
        <v>0.43</v>
      </c>
      <c r="G1265">
        <f>(F1265/0.6)/4</f>
        <v>0.17916666666666667</v>
      </c>
      <c r="H1265">
        <f>G1265*(11.5/38.29)</f>
        <v>5.3810829633498737E-2</v>
      </c>
    </row>
    <row r="1266" spans="1:8" x14ac:dyDescent="0.25">
      <c r="A1266" s="1">
        <v>2008</v>
      </c>
      <c r="B1266" s="1" t="s">
        <v>104</v>
      </c>
      <c r="C1266" t="s">
        <v>51</v>
      </c>
      <c r="D1266">
        <v>1</v>
      </c>
      <c r="E1266">
        <v>32</v>
      </c>
      <c r="F1266">
        <v>0.11</v>
      </c>
      <c r="G1266">
        <f>(F1266/0.6)/4</f>
        <v>4.5833333333333337E-2</v>
      </c>
      <c r="H1266">
        <f>G1266*(11.5/38.29)</f>
        <v>1.3765561069034562E-2</v>
      </c>
    </row>
    <row r="1267" spans="1:8" x14ac:dyDescent="0.25">
      <c r="A1267" s="1">
        <v>2008</v>
      </c>
      <c r="B1267" s="1" t="s">
        <v>104</v>
      </c>
      <c r="C1267" t="s">
        <v>51</v>
      </c>
      <c r="D1267">
        <v>1</v>
      </c>
      <c r="E1267">
        <v>32</v>
      </c>
      <c r="F1267">
        <v>0.05</v>
      </c>
      <c r="G1267">
        <f>(F1267/0.6)/4</f>
        <v>2.0833333333333336E-2</v>
      </c>
      <c r="H1267">
        <f>G1267*(11.5/38.29)</f>
        <v>6.2570732131975284E-3</v>
      </c>
    </row>
    <row r="1268" spans="1:8" x14ac:dyDescent="0.25">
      <c r="A1268" s="1">
        <v>2008</v>
      </c>
      <c r="B1268" s="1" t="s">
        <v>104</v>
      </c>
      <c r="C1268" t="s">
        <v>51</v>
      </c>
      <c r="D1268">
        <v>1</v>
      </c>
      <c r="E1268">
        <v>32</v>
      </c>
      <c r="F1268">
        <v>0.25</v>
      </c>
      <c r="G1268">
        <f>(F1268/0.6)/4</f>
        <v>0.10416666666666667</v>
      </c>
      <c r="H1268">
        <f>G1268*(11.5/38.29)</f>
        <v>3.1285366065987641E-2</v>
      </c>
    </row>
    <row r="1269" spans="1:8" x14ac:dyDescent="0.25">
      <c r="A1269" s="1">
        <v>2008</v>
      </c>
      <c r="B1269" s="1" t="s">
        <v>104</v>
      </c>
      <c r="C1269" t="s">
        <v>51</v>
      </c>
      <c r="D1269">
        <v>1</v>
      </c>
      <c r="E1269">
        <v>32</v>
      </c>
      <c r="F1269">
        <v>0.21</v>
      </c>
      <c r="G1269">
        <f>(F1269/0.6)/4</f>
        <v>8.7499999999999994E-2</v>
      </c>
      <c r="H1269">
        <f>G1269*(11.5/38.29)</f>
        <v>2.6279707495429613E-2</v>
      </c>
    </row>
    <row r="1270" spans="1:8" x14ac:dyDescent="0.25">
      <c r="A1270" s="1">
        <v>2008</v>
      </c>
      <c r="B1270" s="1" t="s">
        <v>104</v>
      </c>
      <c r="C1270" t="s">
        <v>51</v>
      </c>
      <c r="D1270">
        <v>1</v>
      </c>
      <c r="E1270">
        <v>32</v>
      </c>
      <c r="F1270">
        <v>0.04</v>
      </c>
      <c r="G1270">
        <f>(F1270/0.6)/4</f>
        <v>1.6666666666666666E-2</v>
      </c>
      <c r="H1270">
        <f>G1270*(11.5/38.29)</f>
        <v>5.0056585705580223E-3</v>
      </c>
    </row>
    <row r="1271" spans="1:8" x14ac:dyDescent="0.25">
      <c r="A1271" s="1">
        <v>2008</v>
      </c>
      <c r="B1271" s="1" t="s">
        <v>104</v>
      </c>
      <c r="C1271" t="s">
        <v>51</v>
      </c>
      <c r="D1271">
        <v>1</v>
      </c>
      <c r="E1271">
        <v>32</v>
      </c>
      <c r="F1271">
        <v>0.32</v>
      </c>
      <c r="G1271">
        <f>(F1271/0.6)/4</f>
        <v>0.13333333333333333</v>
      </c>
      <c r="H1271">
        <f>G1271*(11.5/38.29)</f>
        <v>4.0045268564464179E-2</v>
      </c>
    </row>
    <row r="1272" spans="1:8" x14ac:dyDescent="0.25">
      <c r="A1272" s="1">
        <v>2008</v>
      </c>
      <c r="B1272" s="1" t="s">
        <v>104</v>
      </c>
      <c r="C1272" t="s">
        <v>51</v>
      </c>
      <c r="D1272">
        <v>1</v>
      </c>
      <c r="E1272">
        <v>32</v>
      </c>
      <c r="F1272">
        <v>0.05</v>
      </c>
      <c r="G1272">
        <f>(F1272/0.6)/4</f>
        <v>2.0833333333333336E-2</v>
      </c>
      <c r="H1272">
        <f>G1272*(11.5/38.29)</f>
        <v>6.2570732131975284E-3</v>
      </c>
    </row>
    <row r="1273" spans="1:8" x14ac:dyDescent="0.25">
      <c r="A1273" s="1">
        <v>2008</v>
      </c>
      <c r="B1273" s="1" t="s">
        <v>104</v>
      </c>
      <c r="C1273" t="s">
        <v>51</v>
      </c>
      <c r="D1273">
        <v>1</v>
      </c>
      <c r="E1273">
        <v>32</v>
      </c>
      <c r="F1273">
        <v>0.05</v>
      </c>
      <c r="G1273">
        <f>(F1273/0.6)/4</f>
        <v>2.0833333333333336E-2</v>
      </c>
      <c r="H1273">
        <f>G1273*(11.5/38.29)</f>
        <v>6.2570732131975284E-3</v>
      </c>
    </row>
    <row r="1274" spans="1:8" x14ac:dyDescent="0.25">
      <c r="A1274" s="1">
        <v>2008</v>
      </c>
      <c r="B1274" s="1" t="s">
        <v>104</v>
      </c>
      <c r="C1274" t="s">
        <v>51</v>
      </c>
      <c r="D1274">
        <v>1</v>
      </c>
      <c r="E1274">
        <v>32</v>
      </c>
      <c r="F1274">
        <v>0.38</v>
      </c>
      <c r="G1274">
        <f>(F1274/0.6)/4</f>
        <v>0.15833333333333335</v>
      </c>
      <c r="H1274">
        <f>G1274*(11.5/38.29)</f>
        <v>4.7553756420301213E-2</v>
      </c>
    </row>
    <row r="1275" spans="1:8" x14ac:dyDescent="0.25">
      <c r="A1275" s="1">
        <v>2008</v>
      </c>
      <c r="B1275" s="1" t="s">
        <v>104</v>
      </c>
      <c r="C1275" t="s">
        <v>51</v>
      </c>
      <c r="D1275">
        <v>1</v>
      </c>
      <c r="E1275">
        <v>32</v>
      </c>
      <c r="F1275">
        <v>0.09</v>
      </c>
      <c r="G1275">
        <f>(F1275/0.6)/4</f>
        <v>3.7499999999999999E-2</v>
      </c>
      <c r="H1275">
        <f>G1275*(11.5/38.29)</f>
        <v>1.126273178375555E-2</v>
      </c>
    </row>
    <row r="1276" spans="1:8" x14ac:dyDescent="0.25">
      <c r="A1276" s="1">
        <v>2008</v>
      </c>
      <c r="B1276" s="1" t="s">
        <v>104</v>
      </c>
      <c r="C1276" t="s">
        <v>51</v>
      </c>
      <c r="D1276">
        <v>1</v>
      </c>
      <c r="E1276">
        <v>32</v>
      </c>
      <c r="F1276">
        <v>0.05</v>
      </c>
      <c r="G1276">
        <f>(F1276/0.6)/4</f>
        <v>2.0833333333333336E-2</v>
      </c>
      <c r="H1276">
        <f>G1276*(11.5/38.29)</f>
        <v>6.2570732131975284E-3</v>
      </c>
    </row>
    <row r="1277" spans="1:8" x14ac:dyDescent="0.25">
      <c r="A1277" s="1">
        <v>2008</v>
      </c>
      <c r="B1277" s="1" t="s">
        <v>104</v>
      </c>
      <c r="C1277" t="s">
        <v>51</v>
      </c>
      <c r="D1277">
        <v>1</v>
      </c>
      <c r="E1277">
        <v>32</v>
      </c>
      <c r="F1277">
        <v>0.06</v>
      </c>
      <c r="G1277">
        <f>(F1277/0.6)/4</f>
        <v>2.5000000000000001E-2</v>
      </c>
      <c r="H1277">
        <f>G1277*(11.5/38.29)</f>
        <v>7.5084878558370335E-3</v>
      </c>
    </row>
    <row r="1278" spans="1:8" x14ac:dyDescent="0.25">
      <c r="A1278" s="1">
        <v>2008</v>
      </c>
      <c r="B1278" s="1" t="s">
        <v>104</v>
      </c>
      <c r="C1278" t="s">
        <v>51</v>
      </c>
      <c r="D1278">
        <v>1</v>
      </c>
      <c r="E1278">
        <v>32</v>
      </c>
      <c r="F1278">
        <v>0.09</v>
      </c>
      <c r="G1278">
        <f>(F1278/0.6)/4</f>
        <v>3.7499999999999999E-2</v>
      </c>
      <c r="H1278">
        <f>G1278*(11.5/38.29)</f>
        <v>1.126273178375555E-2</v>
      </c>
    </row>
    <row r="1279" spans="1:8" x14ac:dyDescent="0.25">
      <c r="A1279" s="1">
        <v>2008</v>
      </c>
      <c r="B1279" s="1" t="s">
        <v>104</v>
      </c>
      <c r="C1279" t="s">
        <v>51</v>
      </c>
      <c r="D1279">
        <v>1</v>
      </c>
      <c r="E1279">
        <v>34</v>
      </c>
      <c r="F1279">
        <v>0.85</v>
      </c>
      <c r="G1279">
        <f>(F1279/0.6)/4</f>
        <v>0.35416666666666669</v>
      </c>
      <c r="H1279">
        <f>G1279*(11.5/38.29)</f>
        <v>0.10637024462435797</v>
      </c>
    </row>
    <row r="1280" spans="1:8" x14ac:dyDescent="0.25">
      <c r="A1280" s="1">
        <v>2008</v>
      </c>
      <c r="B1280" s="1" t="s">
        <v>104</v>
      </c>
      <c r="C1280" t="s">
        <v>51</v>
      </c>
      <c r="D1280">
        <v>1</v>
      </c>
      <c r="E1280">
        <v>34</v>
      </c>
      <c r="F1280">
        <v>0.88</v>
      </c>
      <c r="G1280">
        <f>(F1280/0.6)/4</f>
        <v>0.3666666666666667</v>
      </c>
      <c r="H1280">
        <f>G1280*(11.5/38.29)</f>
        <v>0.11012448855227649</v>
      </c>
    </row>
    <row r="1281" spans="1:8" x14ac:dyDescent="0.25">
      <c r="A1281" s="1">
        <v>2008</v>
      </c>
      <c r="B1281" s="1" t="s">
        <v>104</v>
      </c>
      <c r="C1281" t="s">
        <v>51</v>
      </c>
      <c r="D1281">
        <v>1</v>
      </c>
      <c r="E1281">
        <v>34</v>
      </c>
      <c r="F1281">
        <v>1.97</v>
      </c>
      <c r="G1281">
        <f>(F1281/0.6)/4</f>
        <v>0.8208333333333333</v>
      </c>
      <c r="H1281">
        <f>G1281*(11.5/38.29)</f>
        <v>0.24652868459998256</v>
      </c>
    </row>
    <row r="1282" spans="1:8" x14ac:dyDescent="0.25">
      <c r="A1282" s="1">
        <v>2008</v>
      </c>
      <c r="B1282" s="1" t="s">
        <v>104</v>
      </c>
      <c r="C1282" t="s">
        <v>51</v>
      </c>
      <c r="D1282">
        <v>1</v>
      </c>
      <c r="E1282">
        <v>34</v>
      </c>
      <c r="F1282">
        <v>0.55000000000000004</v>
      </c>
      <c r="G1282">
        <f>(F1282/0.6)/4</f>
        <v>0.22916666666666669</v>
      </c>
      <c r="H1282">
        <f>G1282*(11.5/38.29)</f>
        <v>6.8827805345172813E-2</v>
      </c>
    </row>
    <row r="1283" spans="1:8" x14ac:dyDescent="0.25">
      <c r="A1283" s="1">
        <v>2008</v>
      </c>
      <c r="B1283" s="1" t="s">
        <v>104</v>
      </c>
      <c r="C1283" t="s">
        <v>51</v>
      </c>
      <c r="D1283">
        <v>1</v>
      </c>
      <c r="E1283">
        <v>38</v>
      </c>
      <c r="F1283">
        <v>0.37</v>
      </c>
      <c r="G1283">
        <f>(F1283/0.6)/4</f>
        <v>0.15416666666666667</v>
      </c>
      <c r="H1283">
        <f>G1283*(11.5/38.29)</f>
        <v>4.6302341777661703E-2</v>
      </c>
    </row>
    <row r="1284" spans="1:8" x14ac:dyDescent="0.25">
      <c r="A1284" s="1">
        <v>2008</v>
      </c>
      <c r="B1284" s="1" t="s">
        <v>104</v>
      </c>
      <c r="C1284" t="s">
        <v>51</v>
      </c>
      <c r="D1284">
        <v>1</v>
      </c>
      <c r="E1284">
        <v>38</v>
      </c>
      <c r="F1284">
        <v>0.66</v>
      </c>
      <c r="G1284">
        <f>(F1284/0.6)/4</f>
        <v>0.27500000000000002</v>
      </c>
      <c r="H1284">
        <f>G1284*(11.5/38.29)</f>
        <v>8.2593366414207364E-2</v>
      </c>
    </row>
    <row r="1285" spans="1:8" x14ac:dyDescent="0.25">
      <c r="A1285" s="1">
        <v>2008</v>
      </c>
      <c r="B1285" s="1" t="s">
        <v>104</v>
      </c>
      <c r="C1285" t="s">
        <v>51</v>
      </c>
      <c r="D1285">
        <v>1</v>
      </c>
      <c r="E1285">
        <v>38</v>
      </c>
      <c r="F1285">
        <v>1.1599999999999999</v>
      </c>
      <c r="G1285">
        <f>(F1285/0.6)/4</f>
        <v>0.48333333333333334</v>
      </c>
      <c r="H1285">
        <f>G1285*(11.5/38.29)</f>
        <v>0.14516409854618265</v>
      </c>
    </row>
    <row r="1286" spans="1:8" x14ac:dyDescent="0.25">
      <c r="A1286" s="1">
        <v>2008</v>
      </c>
      <c r="B1286" s="1" t="s">
        <v>104</v>
      </c>
      <c r="C1286" t="s">
        <v>51</v>
      </c>
      <c r="D1286">
        <v>1</v>
      </c>
      <c r="E1286">
        <v>38</v>
      </c>
      <c r="F1286">
        <v>0.94</v>
      </c>
      <c r="G1286">
        <f>(F1286/0.6)/4</f>
        <v>0.39166666666666666</v>
      </c>
      <c r="H1286">
        <f>G1286*(11.5/38.29)</f>
        <v>0.11763297640811352</v>
      </c>
    </row>
    <row r="1287" spans="1:8" x14ac:dyDescent="0.25">
      <c r="A1287" s="1">
        <v>2008</v>
      </c>
      <c r="B1287" s="1" t="s">
        <v>104</v>
      </c>
      <c r="C1287" t="s">
        <v>51</v>
      </c>
      <c r="D1287">
        <v>1</v>
      </c>
      <c r="E1287">
        <v>38</v>
      </c>
      <c r="F1287">
        <v>0.98</v>
      </c>
      <c r="G1287">
        <f>(F1287/0.6)/4</f>
        <v>0.40833333333333333</v>
      </c>
      <c r="H1287">
        <f>G1287*(11.5/38.29)</f>
        <v>0.12263863497867154</v>
      </c>
    </row>
    <row r="1288" spans="1:8" x14ac:dyDescent="0.25">
      <c r="A1288" s="1">
        <v>2008</v>
      </c>
      <c r="B1288" s="1" t="s">
        <v>104</v>
      </c>
      <c r="C1288" t="s">
        <v>51</v>
      </c>
      <c r="D1288">
        <v>1</v>
      </c>
      <c r="E1288">
        <v>38</v>
      </c>
      <c r="F1288">
        <v>0.84</v>
      </c>
      <c r="G1288">
        <f>(F1288/0.6)/4</f>
        <v>0.35</v>
      </c>
      <c r="H1288">
        <f>G1288*(11.5/38.29)</f>
        <v>0.10511882998171845</v>
      </c>
    </row>
    <row r="1289" spans="1:8" x14ac:dyDescent="0.25">
      <c r="A1289" s="1">
        <v>2008</v>
      </c>
      <c r="B1289" s="1" t="s">
        <v>104</v>
      </c>
      <c r="C1289" t="s">
        <v>51</v>
      </c>
      <c r="D1289">
        <v>1</v>
      </c>
      <c r="E1289">
        <v>38</v>
      </c>
      <c r="F1289">
        <v>1.1499999999999999</v>
      </c>
      <c r="G1289">
        <f>(F1289/0.6)/4</f>
        <v>0.47916666666666663</v>
      </c>
      <c r="H1289">
        <f>G1289*(11.5/38.29)</f>
        <v>0.14391268390354311</v>
      </c>
    </row>
    <row r="1290" spans="1:8" x14ac:dyDescent="0.25">
      <c r="A1290" s="1">
        <v>2008</v>
      </c>
      <c r="B1290" s="1" t="s">
        <v>104</v>
      </c>
      <c r="C1290" t="s">
        <v>51</v>
      </c>
      <c r="D1290">
        <v>1</v>
      </c>
      <c r="E1290">
        <v>38</v>
      </c>
      <c r="F1290">
        <v>0.92</v>
      </c>
      <c r="G1290">
        <f>(F1290/0.6)/4</f>
        <v>0.38333333333333336</v>
      </c>
      <c r="H1290">
        <f>G1290*(11.5/38.29)</f>
        <v>0.11513014712283451</v>
      </c>
    </row>
    <row r="1291" spans="1:8" x14ac:dyDescent="0.25">
      <c r="A1291" s="1">
        <v>2008</v>
      </c>
      <c r="B1291" s="1" t="s">
        <v>104</v>
      </c>
      <c r="C1291" t="s">
        <v>51</v>
      </c>
      <c r="D1291">
        <v>1</v>
      </c>
      <c r="E1291">
        <v>38</v>
      </c>
      <c r="F1291">
        <v>1.47</v>
      </c>
      <c r="G1291">
        <f>(F1291/0.6)/4</f>
        <v>0.61250000000000004</v>
      </c>
      <c r="H1291">
        <f>G1291*(11.5/38.29)</f>
        <v>0.18395795246800734</v>
      </c>
    </row>
    <row r="1292" spans="1:8" x14ac:dyDescent="0.25">
      <c r="A1292" s="1">
        <v>2008</v>
      </c>
      <c r="B1292" s="1" t="s">
        <v>104</v>
      </c>
      <c r="C1292" t="s">
        <v>51</v>
      </c>
      <c r="D1292">
        <v>1</v>
      </c>
      <c r="E1292">
        <v>38</v>
      </c>
      <c r="F1292">
        <v>0.98</v>
      </c>
      <c r="G1292">
        <f>(F1292/0.6)/4</f>
        <v>0.40833333333333333</v>
      </c>
      <c r="H1292">
        <f>G1292*(11.5/38.29)</f>
        <v>0.12263863497867154</v>
      </c>
    </row>
    <row r="1293" spans="1:8" x14ac:dyDescent="0.25">
      <c r="A1293" s="1">
        <v>2008</v>
      </c>
      <c r="B1293" s="1" t="s">
        <v>104</v>
      </c>
      <c r="C1293" t="s">
        <v>51</v>
      </c>
      <c r="D1293">
        <v>1</v>
      </c>
      <c r="E1293">
        <v>38</v>
      </c>
      <c r="F1293">
        <v>0.5</v>
      </c>
      <c r="G1293">
        <f>(F1293/0.6)/4</f>
        <v>0.20833333333333334</v>
      </c>
      <c r="H1293">
        <f>G1293*(11.5/38.29)</f>
        <v>6.2570732131975282E-2</v>
      </c>
    </row>
    <row r="1294" spans="1:8" x14ac:dyDescent="0.25">
      <c r="A1294" s="1">
        <v>2008</v>
      </c>
      <c r="B1294" s="1" t="s">
        <v>104</v>
      </c>
      <c r="C1294" t="s">
        <v>51</v>
      </c>
      <c r="D1294">
        <v>1</v>
      </c>
      <c r="E1294">
        <v>38</v>
      </c>
      <c r="F1294">
        <v>0.23</v>
      </c>
      <c r="G1294">
        <f>(F1294/0.6)/4</f>
        <v>9.583333333333334E-2</v>
      </c>
      <c r="H1294">
        <f>G1294*(11.5/38.29)</f>
        <v>2.8782536780708627E-2</v>
      </c>
    </row>
    <row r="1295" spans="1:8" x14ac:dyDescent="0.25">
      <c r="A1295" s="1">
        <v>2008</v>
      </c>
      <c r="B1295" s="1" t="s">
        <v>104</v>
      </c>
      <c r="C1295" t="s">
        <v>51</v>
      </c>
      <c r="D1295">
        <v>1</v>
      </c>
      <c r="E1295">
        <v>38</v>
      </c>
      <c r="F1295">
        <v>0.89</v>
      </c>
      <c r="G1295">
        <f>(F1295/0.6)/4</f>
        <v>0.37083333333333335</v>
      </c>
      <c r="H1295">
        <f>G1295*(11.5/38.29)</f>
        <v>0.111375903194916</v>
      </c>
    </row>
    <row r="1296" spans="1:8" x14ac:dyDescent="0.25">
      <c r="A1296" s="1">
        <v>2008</v>
      </c>
      <c r="B1296" s="1" t="s">
        <v>104</v>
      </c>
      <c r="C1296" t="s">
        <v>51</v>
      </c>
      <c r="D1296">
        <v>1</v>
      </c>
      <c r="E1296">
        <v>38</v>
      </c>
      <c r="F1296">
        <v>0.57999999999999996</v>
      </c>
      <c r="G1296">
        <f>(F1296/0.6)/4</f>
        <v>0.24166666666666667</v>
      </c>
      <c r="H1296">
        <f>G1296*(11.5/38.29)</f>
        <v>7.2582049273091323E-2</v>
      </c>
    </row>
    <row r="1297" spans="1:8" x14ac:dyDescent="0.25">
      <c r="A1297" s="1">
        <v>2008</v>
      </c>
      <c r="B1297" s="1" t="s">
        <v>104</v>
      </c>
      <c r="C1297" t="s">
        <v>51</v>
      </c>
      <c r="D1297">
        <v>1</v>
      </c>
      <c r="E1297">
        <v>40</v>
      </c>
      <c r="F1297">
        <v>0.8</v>
      </c>
      <c r="G1297">
        <f>(F1297/0.6)/4</f>
        <v>0.33333333333333337</v>
      </c>
      <c r="H1297">
        <f>G1297*(11.5/38.29)</f>
        <v>0.10011317141116045</v>
      </c>
    </row>
    <row r="1298" spans="1:8" x14ac:dyDescent="0.25">
      <c r="A1298" s="1">
        <v>2008</v>
      </c>
      <c r="B1298" s="1" t="s">
        <v>104</v>
      </c>
      <c r="C1298" t="s">
        <v>51</v>
      </c>
      <c r="D1298">
        <v>1</v>
      </c>
      <c r="E1298">
        <v>40</v>
      </c>
      <c r="F1298">
        <v>0.35</v>
      </c>
      <c r="G1298">
        <f>(F1298/0.6)/4</f>
        <v>0.14583333333333334</v>
      </c>
      <c r="H1298">
        <f>G1298*(11.5/38.29)</f>
        <v>4.3799512492382696E-2</v>
      </c>
    </row>
    <row r="1299" spans="1:8" x14ac:dyDescent="0.25">
      <c r="A1299" s="1">
        <v>2008</v>
      </c>
      <c r="B1299" s="1" t="s">
        <v>104</v>
      </c>
      <c r="C1299" t="s">
        <v>51</v>
      </c>
      <c r="D1299">
        <v>1</v>
      </c>
      <c r="E1299">
        <v>40</v>
      </c>
      <c r="F1299">
        <v>1.24</v>
      </c>
      <c r="G1299">
        <f>(F1299/0.6)/4</f>
        <v>0.51666666666666672</v>
      </c>
      <c r="H1299">
        <f>G1299*(11.5/38.29)</f>
        <v>0.1551754156872987</v>
      </c>
    </row>
    <row r="1300" spans="1:8" x14ac:dyDescent="0.25">
      <c r="A1300" s="1">
        <v>2008</v>
      </c>
      <c r="B1300" s="1" t="s">
        <v>104</v>
      </c>
      <c r="C1300" t="s">
        <v>51</v>
      </c>
      <c r="D1300">
        <v>1</v>
      </c>
      <c r="E1300">
        <v>40</v>
      </c>
      <c r="F1300">
        <v>1.77</v>
      </c>
      <c r="G1300">
        <f>(F1300/0.6)/4</f>
        <v>0.73750000000000004</v>
      </c>
      <c r="H1300">
        <f>G1300*(11.5/38.29)</f>
        <v>0.22150039174719249</v>
      </c>
    </row>
    <row r="1301" spans="1:8" x14ac:dyDescent="0.25">
      <c r="A1301" s="1">
        <v>2008</v>
      </c>
      <c r="B1301" s="1" t="s">
        <v>104</v>
      </c>
      <c r="C1301" t="s">
        <v>51</v>
      </c>
      <c r="D1301">
        <v>1</v>
      </c>
      <c r="E1301">
        <v>40</v>
      </c>
      <c r="F1301">
        <v>1.81</v>
      </c>
      <c r="G1301">
        <f>(F1301/0.6)/4</f>
        <v>0.75416666666666676</v>
      </c>
      <c r="H1301">
        <f>G1301*(11.5/38.29)</f>
        <v>0.22650605031775053</v>
      </c>
    </row>
    <row r="1302" spans="1:8" x14ac:dyDescent="0.25">
      <c r="A1302" s="1">
        <v>2008</v>
      </c>
      <c r="B1302" s="1" t="s">
        <v>104</v>
      </c>
      <c r="C1302" t="s">
        <v>51</v>
      </c>
      <c r="D1302">
        <v>1</v>
      </c>
      <c r="E1302">
        <v>40</v>
      </c>
      <c r="F1302">
        <v>0.7</v>
      </c>
      <c r="G1302">
        <f>(F1302/0.6)/4</f>
        <v>0.29166666666666669</v>
      </c>
      <c r="H1302">
        <f>G1302*(11.5/38.29)</f>
        <v>8.7599024984765392E-2</v>
      </c>
    </row>
    <row r="1303" spans="1:8" x14ac:dyDescent="0.25">
      <c r="A1303" s="1">
        <v>2008</v>
      </c>
      <c r="B1303" s="1" t="s">
        <v>104</v>
      </c>
      <c r="C1303" t="s">
        <v>51</v>
      </c>
      <c r="D1303">
        <v>1</v>
      </c>
      <c r="E1303">
        <v>40</v>
      </c>
      <c r="F1303">
        <v>0.33</v>
      </c>
      <c r="G1303">
        <f>(F1303/0.6)/4</f>
        <v>0.13750000000000001</v>
      </c>
      <c r="H1303">
        <f>G1303*(11.5/38.29)</f>
        <v>4.1296683207103682E-2</v>
      </c>
    </row>
    <row r="1304" spans="1:8" x14ac:dyDescent="0.25">
      <c r="A1304" s="1">
        <v>2008</v>
      </c>
      <c r="B1304" s="1" t="s">
        <v>104</v>
      </c>
      <c r="C1304" t="s">
        <v>51</v>
      </c>
      <c r="D1304">
        <v>1</v>
      </c>
      <c r="E1304">
        <v>40</v>
      </c>
      <c r="F1304">
        <v>0.6</v>
      </c>
      <c r="G1304">
        <f>(F1304/0.6)/4</f>
        <v>0.25</v>
      </c>
      <c r="H1304">
        <f>G1304*(11.5/38.29)</f>
        <v>7.508487855837033E-2</v>
      </c>
    </row>
    <row r="1305" spans="1:8" x14ac:dyDescent="0.25">
      <c r="A1305" s="1">
        <v>2008</v>
      </c>
      <c r="B1305" s="1" t="s">
        <v>104</v>
      </c>
      <c r="C1305" t="s">
        <v>51</v>
      </c>
      <c r="D1305">
        <v>1</v>
      </c>
      <c r="E1305">
        <v>40</v>
      </c>
      <c r="F1305">
        <v>1.79</v>
      </c>
      <c r="G1305">
        <f>(F1305/0.6)/4</f>
        <v>0.74583333333333335</v>
      </c>
      <c r="H1305">
        <f>G1305*(11.5/38.29)</f>
        <v>0.2240032210324715</v>
      </c>
    </row>
    <row r="1306" spans="1:8" x14ac:dyDescent="0.25">
      <c r="A1306" s="1">
        <v>2008</v>
      </c>
      <c r="B1306" s="1" t="s">
        <v>104</v>
      </c>
      <c r="C1306" t="s">
        <v>51</v>
      </c>
      <c r="D1306">
        <v>1</v>
      </c>
      <c r="E1306">
        <v>40</v>
      </c>
      <c r="F1306">
        <v>0.72</v>
      </c>
      <c r="G1306">
        <f>(F1306/0.6)/4</f>
        <v>0.3</v>
      </c>
      <c r="H1306">
        <f>G1306*(11.5/38.29)</f>
        <v>9.0101854270044399E-2</v>
      </c>
    </row>
    <row r="1307" spans="1:8" x14ac:dyDescent="0.25">
      <c r="A1307" s="1">
        <v>2008</v>
      </c>
      <c r="B1307" s="1" t="s">
        <v>104</v>
      </c>
      <c r="C1307" t="s">
        <v>51</v>
      </c>
      <c r="D1307">
        <v>1</v>
      </c>
      <c r="E1307">
        <v>40</v>
      </c>
      <c r="F1307">
        <v>1.05</v>
      </c>
      <c r="G1307">
        <f>(F1307/0.6)/4</f>
        <v>0.43750000000000006</v>
      </c>
      <c r="H1307">
        <f>G1307*(11.5/38.29)</f>
        <v>0.13139853747714808</v>
      </c>
    </row>
    <row r="1308" spans="1:8" x14ac:dyDescent="0.25">
      <c r="A1308" s="1">
        <v>2008</v>
      </c>
      <c r="B1308" s="1" t="s">
        <v>104</v>
      </c>
      <c r="C1308" t="s">
        <v>51</v>
      </c>
      <c r="D1308">
        <v>1</v>
      </c>
      <c r="E1308">
        <v>40</v>
      </c>
      <c r="F1308">
        <v>0.28999999999999998</v>
      </c>
      <c r="G1308">
        <f>(F1308/0.6)/4</f>
        <v>0.12083333333333333</v>
      </c>
      <c r="H1308">
        <f>G1308*(11.5/38.29)</f>
        <v>3.6291024636545662E-2</v>
      </c>
    </row>
    <row r="1309" spans="1:8" x14ac:dyDescent="0.25">
      <c r="A1309" s="1">
        <v>2008</v>
      </c>
      <c r="B1309" s="1" t="s">
        <v>104</v>
      </c>
      <c r="C1309" t="s">
        <v>51</v>
      </c>
      <c r="D1309">
        <v>1</v>
      </c>
      <c r="E1309">
        <v>41</v>
      </c>
      <c r="F1309">
        <v>1.31</v>
      </c>
      <c r="G1309">
        <f>(F1309/0.6)/4</f>
        <v>0.54583333333333339</v>
      </c>
      <c r="H1309">
        <f>G1309*(11.5/38.29)</f>
        <v>0.16393531818577523</v>
      </c>
    </row>
    <row r="1310" spans="1:8" x14ac:dyDescent="0.25">
      <c r="A1310" s="1">
        <v>2008</v>
      </c>
      <c r="B1310" s="1" t="s">
        <v>104</v>
      </c>
      <c r="C1310" t="s">
        <v>51</v>
      </c>
      <c r="D1310">
        <v>1</v>
      </c>
      <c r="E1310">
        <v>41</v>
      </c>
      <c r="F1310">
        <v>1.71</v>
      </c>
      <c r="G1310">
        <f>(F1310/0.6)/4</f>
        <v>0.71250000000000002</v>
      </c>
      <c r="H1310">
        <f>G1310*(11.5/38.29)</f>
        <v>0.21399190389135544</v>
      </c>
    </row>
    <row r="1311" spans="1:8" x14ac:dyDescent="0.25">
      <c r="A1311" s="1">
        <v>2008</v>
      </c>
      <c r="B1311" s="1" t="s">
        <v>104</v>
      </c>
      <c r="C1311" t="s">
        <v>51</v>
      </c>
      <c r="D1311">
        <v>1</v>
      </c>
      <c r="E1311">
        <v>63</v>
      </c>
      <c r="F1311">
        <v>0.21</v>
      </c>
      <c r="G1311">
        <f>(F1311/0.6)/4</f>
        <v>8.7499999999999994E-2</v>
      </c>
      <c r="H1311">
        <f>G1311*(11.5/38.29)</f>
        <v>2.6279707495429613E-2</v>
      </c>
    </row>
    <row r="1312" spans="1:8" x14ac:dyDescent="0.25">
      <c r="A1312" s="1">
        <v>2008</v>
      </c>
      <c r="B1312" s="1" t="s">
        <v>104</v>
      </c>
      <c r="C1312" t="s">
        <v>51</v>
      </c>
      <c r="D1312">
        <v>1</v>
      </c>
      <c r="E1312">
        <v>63</v>
      </c>
      <c r="F1312">
        <v>0.03</v>
      </c>
      <c r="G1312">
        <f>(F1312/0.6)/4</f>
        <v>1.2500000000000001E-2</v>
      </c>
      <c r="H1312">
        <f>G1312*(11.5/38.29)</f>
        <v>3.7542439279185168E-3</v>
      </c>
    </row>
    <row r="1313" spans="1:8" x14ac:dyDescent="0.25">
      <c r="A1313" s="1">
        <v>2008</v>
      </c>
      <c r="B1313" s="1" t="s">
        <v>104</v>
      </c>
      <c r="C1313" t="s">
        <v>51</v>
      </c>
      <c r="D1313">
        <v>1</v>
      </c>
      <c r="E1313">
        <v>63</v>
      </c>
      <c r="F1313">
        <v>0.05</v>
      </c>
      <c r="G1313">
        <f>(F1313/0.6)/4</f>
        <v>2.0833333333333336E-2</v>
      </c>
      <c r="H1313">
        <f>G1313*(11.5/38.29)</f>
        <v>6.2570732131975284E-3</v>
      </c>
    </row>
    <row r="1314" spans="1:8" x14ac:dyDescent="0.25">
      <c r="A1314" s="1">
        <v>2008</v>
      </c>
      <c r="B1314" s="1" t="s">
        <v>104</v>
      </c>
      <c r="C1314" t="s">
        <v>51</v>
      </c>
      <c r="D1314">
        <v>1</v>
      </c>
      <c r="E1314">
        <v>63</v>
      </c>
      <c r="F1314">
        <v>0.05</v>
      </c>
      <c r="G1314">
        <f>(F1314/0.6)/4</f>
        <v>2.0833333333333336E-2</v>
      </c>
      <c r="H1314">
        <f>G1314*(11.5/38.29)</f>
        <v>6.2570732131975284E-3</v>
      </c>
    </row>
    <row r="1315" spans="1:8" x14ac:dyDescent="0.25">
      <c r="A1315" s="1">
        <v>2008</v>
      </c>
      <c r="B1315" s="1" t="s">
        <v>104</v>
      </c>
      <c r="C1315" t="s">
        <v>51</v>
      </c>
      <c r="D1315">
        <v>1</v>
      </c>
      <c r="E1315">
        <v>63</v>
      </c>
      <c r="F1315">
        <v>7.0000000000000007E-2</v>
      </c>
      <c r="G1315">
        <f>(F1315/0.6)/4</f>
        <v>2.9166666666666671E-2</v>
      </c>
      <c r="H1315">
        <f>G1315*(11.5/38.29)</f>
        <v>8.7599024984765395E-3</v>
      </c>
    </row>
    <row r="1316" spans="1:8" x14ac:dyDescent="0.25">
      <c r="A1316" s="1">
        <v>2008</v>
      </c>
      <c r="B1316" s="1" t="s">
        <v>104</v>
      </c>
      <c r="C1316" t="s">
        <v>51</v>
      </c>
      <c r="D1316">
        <v>1</v>
      </c>
      <c r="E1316">
        <v>63</v>
      </c>
      <c r="F1316">
        <v>0.1</v>
      </c>
      <c r="G1316">
        <f>(F1316/0.6)/4</f>
        <v>4.1666666666666671E-2</v>
      </c>
      <c r="H1316">
        <f>G1316*(11.5/38.29)</f>
        <v>1.2514146426395057E-2</v>
      </c>
    </row>
    <row r="1317" spans="1:8" x14ac:dyDescent="0.25">
      <c r="A1317" s="1">
        <v>2008</v>
      </c>
      <c r="B1317" s="1" t="s">
        <v>104</v>
      </c>
      <c r="C1317" t="s">
        <v>51</v>
      </c>
      <c r="D1317">
        <v>1</v>
      </c>
      <c r="E1317">
        <v>63</v>
      </c>
      <c r="F1317">
        <v>0.03</v>
      </c>
      <c r="G1317">
        <f>(F1317/0.6)/4</f>
        <v>1.2500000000000001E-2</v>
      </c>
      <c r="H1317">
        <f>G1317*(11.5/38.29)</f>
        <v>3.7542439279185168E-3</v>
      </c>
    </row>
    <row r="1318" spans="1:8" x14ac:dyDescent="0.25">
      <c r="A1318" s="1">
        <v>2008</v>
      </c>
      <c r="B1318" s="1" t="s">
        <v>104</v>
      </c>
      <c r="C1318" t="s">
        <v>51</v>
      </c>
      <c r="D1318">
        <v>1</v>
      </c>
      <c r="E1318">
        <v>63</v>
      </c>
      <c r="F1318">
        <v>7.0000000000000007E-2</v>
      </c>
      <c r="G1318">
        <f>(F1318/0.6)/4</f>
        <v>2.9166666666666671E-2</v>
      </c>
      <c r="H1318">
        <f>G1318*(11.5/38.29)</f>
        <v>8.7599024984765395E-3</v>
      </c>
    </row>
    <row r="1319" spans="1:8" x14ac:dyDescent="0.25">
      <c r="A1319" s="1">
        <v>2008</v>
      </c>
      <c r="B1319" s="1" t="s">
        <v>104</v>
      </c>
      <c r="C1319" t="s">
        <v>51</v>
      </c>
      <c r="D1319">
        <v>1</v>
      </c>
      <c r="E1319">
        <v>63</v>
      </c>
      <c r="F1319">
        <v>0.18</v>
      </c>
      <c r="G1319">
        <f>(F1319/0.6)/4</f>
        <v>7.4999999999999997E-2</v>
      </c>
      <c r="H1319">
        <f>G1319*(11.5/38.29)</f>
        <v>2.25254635675111E-2</v>
      </c>
    </row>
    <row r="1320" spans="1:8" x14ac:dyDescent="0.25">
      <c r="A1320" s="1">
        <v>2008</v>
      </c>
      <c r="B1320" s="1" t="s">
        <v>104</v>
      </c>
      <c r="C1320" t="s">
        <v>51</v>
      </c>
      <c r="D1320">
        <v>1</v>
      </c>
      <c r="E1320">
        <v>78</v>
      </c>
      <c r="F1320">
        <v>0.05</v>
      </c>
      <c r="G1320">
        <f>(F1320/0.6)/4</f>
        <v>2.0833333333333336E-2</v>
      </c>
      <c r="H1320">
        <f>G1320*(11.5/38.29)</f>
        <v>6.2570732131975284E-3</v>
      </c>
    </row>
    <row r="1321" spans="1:8" x14ac:dyDescent="0.25">
      <c r="A1321" s="1">
        <v>2008</v>
      </c>
      <c r="B1321" s="1" t="s">
        <v>104</v>
      </c>
      <c r="C1321" t="s">
        <v>51</v>
      </c>
      <c r="D1321">
        <v>1</v>
      </c>
      <c r="E1321">
        <v>79</v>
      </c>
      <c r="F1321">
        <v>0.71</v>
      </c>
      <c r="G1321">
        <f>(F1321/0.6)/4</f>
        <v>0.29583333333333334</v>
      </c>
      <c r="H1321">
        <f>G1321*(11.5/38.29)</f>
        <v>8.8850439627404895E-2</v>
      </c>
    </row>
    <row r="1322" spans="1:8" x14ac:dyDescent="0.25">
      <c r="A1322" s="1">
        <v>2008</v>
      </c>
      <c r="B1322" s="1" t="s">
        <v>104</v>
      </c>
      <c r="C1322" t="s">
        <v>51</v>
      </c>
      <c r="D1322">
        <v>1</v>
      </c>
      <c r="E1322">
        <v>79</v>
      </c>
      <c r="F1322">
        <v>1.01</v>
      </c>
      <c r="G1322">
        <f>(F1322/0.6)/4</f>
        <v>0.42083333333333334</v>
      </c>
      <c r="H1322">
        <f>G1322*(11.5/38.29)</f>
        <v>0.12639287890659007</v>
      </c>
    </row>
    <row r="1323" spans="1:8" x14ac:dyDescent="0.25">
      <c r="A1323" s="1">
        <v>2008</v>
      </c>
      <c r="B1323" s="1" t="s">
        <v>104</v>
      </c>
      <c r="C1323" t="s">
        <v>51</v>
      </c>
      <c r="D1323">
        <v>1</v>
      </c>
      <c r="E1323">
        <v>79</v>
      </c>
      <c r="F1323">
        <v>0.94</v>
      </c>
      <c r="G1323">
        <f>(F1323/0.6)/4</f>
        <v>0.39166666666666666</v>
      </c>
      <c r="H1323">
        <f>G1323*(11.5/38.29)</f>
        <v>0.11763297640811352</v>
      </c>
    </row>
    <row r="1324" spans="1:8" x14ac:dyDescent="0.25">
      <c r="A1324" s="1">
        <v>2008</v>
      </c>
      <c r="B1324" s="1" t="s">
        <v>104</v>
      </c>
      <c r="C1324" t="s">
        <v>51</v>
      </c>
      <c r="D1324">
        <v>1</v>
      </c>
      <c r="E1324">
        <v>79</v>
      </c>
      <c r="F1324">
        <v>1.21</v>
      </c>
      <c r="G1324">
        <f>(F1324/0.6)/4</f>
        <v>0.50416666666666665</v>
      </c>
      <c r="H1324">
        <f>G1324*(11.5/38.29)</f>
        <v>0.15142117175938016</v>
      </c>
    </row>
    <row r="1325" spans="1:8" x14ac:dyDescent="0.25">
      <c r="A1325" s="1">
        <v>2008</v>
      </c>
      <c r="B1325" s="1" t="s">
        <v>104</v>
      </c>
      <c r="C1325" t="s">
        <v>51</v>
      </c>
      <c r="D1325">
        <v>1</v>
      </c>
      <c r="E1325">
        <v>79</v>
      </c>
      <c r="F1325">
        <v>0.22</v>
      </c>
      <c r="G1325">
        <f>(F1325/0.6)/4</f>
        <v>9.1666666666666674E-2</v>
      </c>
      <c r="H1325">
        <f>G1325*(11.5/38.29)</f>
        <v>2.7531122138069124E-2</v>
      </c>
    </row>
    <row r="1326" spans="1:8" x14ac:dyDescent="0.25">
      <c r="A1326" s="1">
        <v>2008</v>
      </c>
      <c r="B1326" s="1" t="s">
        <v>104</v>
      </c>
      <c r="C1326" t="s">
        <v>51</v>
      </c>
      <c r="D1326">
        <v>1</v>
      </c>
      <c r="E1326">
        <v>79</v>
      </c>
      <c r="F1326">
        <v>0.99</v>
      </c>
      <c r="G1326">
        <f>(F1326/0.6)/4</f>
        <v>0.41250000000000003</v>
      </c>
      <c r="H1326">
        <f>G1326*(11.5/38.29)</f>
        <v>0.12389004962131106</v>
      </c>
    </row>
    <row r="1327" spans="1:8" x14ac:dyDescent="0.25">
      <c r="A1327" s="1">
        <v>2008</v>
      </c>
      <c r="B1327" s="1" t="s">
        <v>104</v>
      </c>
      <c r="C1327" t="s">
        <v>51</v>
      </c>
      <c r="D1327">
        <v>1</v>
      </c>
      <c r="E1327">
        <v>79</v>
      </c>
      <c r="F1327">
        <v>1.21</v>
      </c>
      <c r="G1327">
        <f>(F1327/0.6)/4</f>
        <v>0.50416666666666665</v>
      </c>
      <c r="H1327">
        <f>G1327*(11.5/38.29)</f>
        <v>0.15142117175938016</v>
      </c>
    </row>
    <row r="1328" spans="1:8" x14ac:dyDescent="0.25">
      <c r="A1328" s="1">
        <v>2008</v>
      </c>
      <c r="B1328" s="1" t="s">
        <v>104</v>
      </c>
      <c r="C1328" t="s">
        <v>51</v>
      </c>
      <c r="D1328">
        <v>1</v>
      </c>
      <c r="E1328">
        <v>79</v>
      </c>
      <c r="F1328">
        <v>0.26</v>
      </c>
      <c r="G1328">
        <f>(F1328/0.6)/4</f>
        <v>0.10833333333333334</v>
      </c>
      <c r="H1328">
        <f>G1328*(11.5/38.29)</f>
        <v>3.2536780708627144E-2</v>
      </c>
    </row>
    <row r="1329" spans="1:8" x14ac:dyDescent="0.25">
      <c r="A1329" s="1">
        <v>2008</v>
      </c>
      <c r="B1329" s="1" t="s">
        <v>104</v>
      </c>
      <c r="C1329" t="s">
        <v>51</v>
      </c>
      <c r="D1329">
        <v>1</v>
      </c>
      <c r="E1329">
        <v>79</v>
      </c>
      <c r="F1329">
        <v>0.3</v>
      </c>
      <c r="G1329">
        <f>(F1329/0.6)/4</f>
        <v>0.125</v>
      </c>
      <c r="H1329">
        <f>G1329*(11.5/38.29)</f>
        <v>3.7542439279185165E-2</v>
      </c>
    </row>
    <row r="1330" spans="1:8" x14ac:dyDescent="0.25">
      <c r="A1330" s="1">
        <v>2008</v>
      </c>
      <c r="B1330" s="1" t="s">
        <v>104</v>
      </c>
      <c r="C1330" t="s">
        <v>51</v>
      </c>
      <c r="D1330">
        <v>1</v>
      </c>
      <c r="E1330">
        <v>79</v>
      </c>
      <c r="F1330">
        <v>0.45</v>
      </c>
      <c r="G1330">
        <f>(F1330/0.6)/4</f>
        <v>0.1875</v>
      </c>
      <c r="H1330">
        <f>G1330*(11.5/38.29)</f>
        <v>5.6313658918777751E-2</v>
      </c>
    </row>
    <row r="1331" spans="1:8" x14ac:dyDescent="0.25">
      <c r="A1331" s="1">
        <v>2008</v>
      </c>
      <c r="B1331" s="1" t="s">
        <v>104</v>
      </c>
      <c r="C1331" t="s">
        <v>51</v>
      </c>
      <c r="D1331">
        <v>1</v>
      </c>
      <c r="E1331">
        <v>79</v>
      </c>
      <c r="F1331">
        <v>0.06</v>
      </c>
      <c r="G1331">
        <f>(F1331/0.6)/4</f>
        <v>2.5000000000000001E-2</v>
      </c>
      <c r="H1331">
        <f>G1331*(11.5/38.29)</f>
        <v>7.5084878558370335E-3</v>
      </c>
    </row>
    <row r="1332" spans="1:8" x14ac:dyDescent="0.25">
      <c r="A1332" s="1">
        <v>2008</v>
      </c>
      <c r="B1332" s="1" t="s">
        <v>104</v>
      </c>
      <c r="C1332" t="s">
        <v>51</v>
      </c>
      <c r="D1332">
        <v>1</v>
      </c>
      <c r="E1332">
        <v>79</v>
      </c>
      <c r="F1332">
        <v>1.1499999999999999</v>
      </c>
      <c r="G1332">
        <f>(F1332/0.6)/4</f>
        <v>0.47916666666666663</v>
      </c>
      <c r="H1332">
        <f>G1332*(11.5/38.29)</f>
        <v>0.14391268390354311</v>
      </c>
    </row>
    <row r="1333" spans="1:8" x14ac:dyDescent="0.25">
      <c r="A1333" s="1">
        <v>2008</v>
      </c>
      <c r="B1333" s="1" t="s">
        <v>104</v>
      </c>
      <c r="C1333" t="s">
        <v>51</v>
      </c>
      <c r="D1333">
        <v>1</v>
      </c>
      <c r="E1333">
        <v>79</v>
      </c>
      <c r="F1333">
        <v>0.42</v>
      </c>
      <c r="G1333">
        <f>(F1333/0.6)/4</f>
        <v>0.17499999999999999</v>
      </c>
      <c r="H1333">
        <f>G1333*(11.5/38.29)</f>
        <v>5.2559414990859227E-2</v>
      </c>
    </row>
    <row r="1334" spans="1:8" x14ac:dyDescent="0.25">
      <c r="A1334" s="1">
        <v>2008</v>
      </c>
      <c r="B1334" s="1" t="s">
        <v>104</v>
      </c>
      <c r="C1334" t="s">
        <v>51</v>
      </c>
      <c r="D1334">
        <v>1</v>
      </c>
      <c r="E1334">
        <v>79</v>
      </c>
      <c r="F1334">
        <v>0.89</v>
      </c>
      <c r="G1334">
        <f>(F1334/0.6)/4</f>
        <v>0.37083333333333335</v>
      </c>
      <c r="H1334">
        <f>G1334*(11.5/38.29)</f>
        <v>0.111375903194916</v>
      </c>
    </row>
    <row r="1335" spans="1:8" x14ac:dyDescent="0.25">
      <c r="A1335" s="1">
        <v>2008</v>
      </c>
      <c r="B1335" s="1" t="s">
        <v>104</v>
      </c>
      <c r="C1335" t="s">
        <v>51</v>
      </c>
      <c r="D1335">
        <v>1</v>
      </c>
      <c r="E1335">
        <v>79</v>
      </c>
      <c r="F1335">
        <v>0.18</v>
      </c>
      <c r="G1335">
        <f>(F1335/0.6)/4</f>
        <v>7.4999999999999997E-2</v>
      </c>
      <c r="H1335">
        <f>G1335*(11.5/38.29)</f>
        <v>2.25254635675111E-2</v>
      </c>
    </row>
    <row r="1336" spans="1:8" x14ac:dyDescent="0.25">
      <c r="A1336" s="1">
        <v>2008</v>
      </c>
      <c r="B1336" s="1" t="s">
        <v>104</v>
      </c>
      <c r="C1336" t="s">
        <v>51</v>
      </c>
      <c r="D1336">
        <v>1</v>
      </c>
      <c r="E1336">
        <v>79</v>
      </c>
      <c r="F1336">
        <v>0.52</v>
      </c>
      <c r="G1336">
        <f>(F1336/0.6)/4</f>
        <v>0.21666666666666667</v>
      </c>
      <c r="H1336">
        <f>G1336*(11.5/38.29)</f>
        <v>6.5073561417254289E-2</v>
      </c>
    </row>
    <row r="1337" spans="1:8" x14ac:dyDescent="0.25">
      <c r="A1337" s="1">
        <v>2008</v>
      </c>
      <c r="B1337" s="1" t="s">
        <v>104</v>
      </c>
      <c r="C1337" t="s">
        <v>51</v>
      </c>
      <c r="D1337">
        <v>1</v>
      </c>
      <c r="E1337">
        <v>79</v>
      </c>
      <c r="F1337">
        <v>0.77</v>
      </c>
      <c r="G1337">
        <f>(F1337/0.6)/4</f>
        <v>0.32083333333333336</v>
      </c>
      <c r="H1337">
        <f>G1337*(11.5/38.29)</f>
        <v>9.635892748324193E-2</v>
      </c>
    </row>
    <row r="1338" spans="1:8" x14ac:dyDescent="0.25">
      <c r="A1338" s="1">
        <v>2008</v>
      </c>
      <c r="B1338" s="1" t="s">
        <v>104</v>
      </c>
      <c r="C1338" t="s">
        <v>51</v>
      </c>
      <c r="D1338">
        <v>1</v>
      </c>
      <c r="E1338">
        <v>79</v>
      </c>
      <c r="F1338">
        <v>0.68</v>
      </c>
      <c r="G1338">
        <f>(F1338/0.6)/4</f>
        <v>0.28333333333333338</v>
      </c>
      <c r="H1338">
        <f>G1338*(11.5/38.29)</f>
        <v>8.5096195699486385E-2</v>
      </c>
    </row>
    <row r="1339" spans="1:8" x14ac:dyDescent="0.25">
      <c r="A1339" s="1">
        <v>2008</v>
      </c>
      <c r="B1339" s="1" t="s">
        <v>104</v>
      </c>
      <c r="C1339" t="s">
        <v>51</v>
      </c>
      <c r="D1339">
        <v>1</v>
      </c>
      <c r="E1339">
        <v>79</v>
      </c>
      <c r="F1339">
        <v>0.23</v>
      </c>
      <c r="G1339">
        <f>(F1339/0.6)/4</f>
        <v>9.583333333333334E-2</v>
      </c>
      <c r="H1339">
        <f>G1339*(11.5/38.29)</f>
        <v>2.8782536780708627E-2</v>
      </c>
    </row>
    <row r="1340" spans="1:8" x14ac:dyDescent="0.25">
      <c r="A1340" s="1">
        <v>2008</v>
      </c>
      <c r="B1340" s="1" t="s">
        <v>104</v>
      </c>
      <c r="C1340" t="s">
        <v>51</v>
      </c>
      <c r="D1340">
        <v>1</v>
      </c>
      <c r="E1340">
        <v>79</v>
      </c>
      <c r="F1340">
        <v>0.1</v>
      </c>
      <c r="G1340">
        <f>(F1340/0.6)/4</f>
        <v>4.1666666666666671E-2</v>
      </c>
      <c r="H1340">
        <f>G1340*(11.5/38.29)</f>
        <v>1.2514146426395057E-2</v>
      </c>
    </row>
    <row r="1341" spans="1:8" x14ac:dyDescent="0.25">
      <c r="A1341" s="1">
        <v>2008</v>
      </c>
      <c r="B1341" s="1" t="s">
        <v>104</v>
      </c>
      <c r="C1341" t="s">
        <v>51</v>
      </c>
      <c r="D1341">
        <v>1</v>
      </c>
      <c r="E1341">
        <v>79</v>
      </c>
      <c r="F1341">
        <v>0.39</v>
      </c>
      <c r="G1341">
        <f>(F1341/0.6)/4</f>
        <v>0.16250000000000001</v>
      </c>
      <c r="H1341">
        <f>G1341*(11.5/38.29)</f>
        <v>4.8805171062940716E-2</v>
      </c>
    </row>
    <row r="1342" spans="1:8" x14ac:dyDescent="0.25">
      <c r="A1342" s="1">
        <v>2008</v>
      </c>
      <c r="B1342" s="1" t="s">
        <v>104</v>
      </c>
      <c r="C1342" t="s">
        <v>51</v>
      </c>
      <c r="D1342">
        <v>1</v>
      </c>
      <c r="E1342">
        <v>79</v>
      </c>
      <c r="F1342">
        <v>0.11</v>
      </c>
      <c r="G1342">
        <f>(F1342/0.6)/4</f>
        <v>4.5833333333333337E-2</v>
      </c>
      <c r="H1342">
        <f>G1342*(11.5/38.29)</f>
        <v>1.3765561069034562E-2</v>
      </c>
    </row>
    <row r="1343" spans="1:8" x14ac:dyDescent="0.25">
      <c r="A1343" s="1">
        <v>2008</v>
      </c>
      <c r="B1343" s="1" t="s">
        <v>104</v>
      </c>
      <c r="C1343" t="s">
        <v>51</v>
      </c>
      <c r="D1343">
        <v>1</v>
      </c>
      <c r="E1343">
        <v>79</v>
      </c>
      <c r="F1343">
        <v>0.34</v>
      </c>
      <c r="G1343">
        <f>(F1343/0.6)/4</f>
        <v>0.14166666666666669</v>
      </c>
      <c r="H1343">
        <f>G1343*(11.5/38.29)</f>
        <v>4.2548097849743192E-2</v>
      </c>
    </row>
    <row r="1344" spans="1:8" x14ac:dyDescent="0.25">
      <c r="A1344" s="1">
        <v>2008</v>
      </c>
      <c r="B1344" s="1" t="s">
        <v>104</v>
      </c>
      <c r="C1344" t="s">
        <v>51</v>
      </c>
      <c r="D1344">
        <v>1</v>
      </c>
      <c r="E1344">
        <v>79</v>
      </c>
      <c r="F1344">
        <v>0.14000000000000001</v>
      </c>
      <c r="G1344">
        <f>(F1344/0.6)/4</f>
        <v>5.8333333333333341E-2</v>
      </c>
      <c r="H1344">
        <f>G1344*(11.5/38.29)</f>
        <v>1.7519804996953079E-2</v>
      </c>
    </row>
    <row r="1345" spans="1:8" x14ac:dyDescent="0.25">
      <c r="A1345" s="1">
        <v>2008</v>
      </c>
      <c r="B1345" s="1" t="s">
        <v>104</v>
      </c>
      <c r="C1345" t="s">
        <v>51</v>
      </c>
      <c r="D1345">
        <v>1</v>
      </c>
      <c r="E1345">
        <v>79</v>
      </c>
      <c r="F1345">
        <v>0.23</v>
      </c>
      <c r="G1345">
        <f>(F1345/0.6)/4</f>
        <v>9.583333333333334E-2</v>
      </c>
      <c r="H1345">
        <f>G1345*(11.5/38.29)</f>
        <v>2.8782536780708627E-2</v>
      </c>
    </row>
    <row r="1346" spans="1:8" x14ac:dyDescent="0.25">
      <c r="A1346" s="1">
        <v>2008</v>
      </c>
      <c r="B1346" s="1" t="s">
        <v>104</v>
      </c>
      <c r="C1346" t="s">
        <v>51</v>
      </c>
      <c r="D1346">
        <v>1</v>
      </c>
      <c r="E1346">
        <v>79</v>
      </c>
      <c r="F1346">
        <v>0.6</v>
      </c>
      <c r="G1346">
        <f>(F1346/0.6)/4</f>
        <v>0.25</v>
      </c>
      <c r="H1346">
        <f>G1346*(11.5/38.29)</f>
        <v>7.508487855837033E-2</v>
      </c>
    </row>
    <row r="1347" spans="1:8" x14ac:dyDescent="0.25">
      <c r="A1347" s="1">
        <v>2008</v>
      </c>
      <c r="B1347" s="1" t="s">
        <v>104</v>
      </c>
      <c r="C1347" t="s">
        <v>51</v>
      </c>
      <c r="D1347">
        <v>1</v>
      </c>
      <c r="E1347">
        <v>79</v>
      </c>
      <c r="F1347">
        <v>0.18</v>
      </c>
      <c r="G1347">
        <f>(F1347/0.6)/4</f>
        <v>7.4999999999999997E-2</v>
      </c>
      <c r="H1347">
        <f>G1347*(11.5/38.29)</f>
        <v>2.25254635675111E-2</v>
      </c>
    </row>
    <row r="1348" spans="1:8" x14ac:dyDescent="0.25">
      <c r="A1348" s="1">
        <v>2008</v>
      </c>
      <c r="B1348" s="1" t="s">
        <v>104</v>
      </c>
      <c r="C1348" t="s">
        <v>51</v>
      </c>
      <c r="D1348">
        <v>1</v>
      </c>
      <c r="E1348">
        <v>79</v>
      </c>
      <c r="F1348">
        <v>0.1</v>
      </c>
      <c r="G1348">
        <f>(F1348/0.6)/4</f>
        <v>4.1666666666666671E-2</v>
      </c>
      <c r="H1348">
        <f>G1348*(11.5/38.29)</f>
        <v>1.2514146426395057E-2</v>
      </c>
    </row>
    <row r="1349" spans="1:8" x14ac:dyDescent="0.25">
      <c r="A1349" s="1">
        <v>2008</v>
      </c>
      <c r="B1349" s="1" t="s">
        <v>104</v>
      </c>
      <c r="C1349" t="s">
        <v>51</v>
      </c>
      <c r="D1349">
        <v>1</v>
      </c>
      <c r="E1349">
        <v>79</v>
      </c>
      <c r="F1349">
        <v>0.18</v>
      </c>
      <c r="G1349">
        <f>(F1349/0.6)/4</f>
        <v>7.4999999999999997E-2</v>
      </c>
      <c r="H1349">
        <f>G1349*(11.5/38.29)</f>
        <v>2.25254635675111E-2</v>
      </c>
    </row>
    <row r="1350" spans="1:8" x14ac:dyDescent="0.25">
      <c r="A1350" s="1">
        <v>2008</v>
      </c>
      <c r="B1350" s="1" t="s">
        <v>104</v>
      </c>
      <c r="C1350" t="s">
        <v>51</v>
      </c>
      <c r="D1350">
        <v>1</v>
      </c>
      <c r="E1350">
        <v>79</v>
      </c>
      <c r="F1350">
        <v>0.15</v>
      </c>
      <c r="G1350">
        <f>(F1350/0.6)/4</f>
        <v>6.25E-2</v>
      </c>
      <c r="H1350">
        <f>G1350*(11.5/38.29)</f>
        <v>1.8771219639592582E-2</v>
      </c>
    </row>
    <row r="1351" spans="1:8" x14ac:dyDescent="0.25">
      <c r="A1351" s="1">
        <v>2008</v>
      </c>
      <c r="B1351" s="1" t="s">
        <v>104</v>
      </c>
      <c r="C1351" t="s">
        <v>51</v>
      </c>
      <c r="D1351">
        <v>1</v>
      </c>
      <c r="E1351">
        <v>79</v>
      </c>
      <c r="F1351">
        <v>7.0000000000000007E-2</v>
      </c>
      <c r="G1351">
        <f>(F1351/0.6)/4</f>
        <v>2.9166666666666671E-2</v>
      </c>
      <c r="H1351">
        <f>G1351*(11.5/38.29)</f>
        <v>8.7599024984765395E-3</v>
      </c>
    </row>
    <row r="1352" spans="1:8" x14ac:dyDescent="0.25">
      <c r="A1352" s="1">
        <v>2008</v>
      </c>
      <c r="B1352" s="1" t="s">
        <v>104</v>
      </c>
      <c r="C1352" t="s">
        <v>51</v>
      </c>
      <c r="D1352">
        <v>1</v>
      </c>
      <c r="E1352">
        <v>79</v>
      </c>
      <c r="F1352">
        <v>1.02</v>
      </c>
      <c r="G1352">
        <f>(F1352/0.6)/4</f>
        <v>0.42500000000000004</v>
      </c>
      <c r="H1352">
        <f>G1352*(11.5/38.29)</f>
        <v>0.12764429354922957</v>
      </c>
    </row>
    <row r="1353" spans="1:8" x14ac:dyDescent="0.25">
      <c r="A1353" s="1">
        <v>2008</v>
      </c>
      <c r="B1353" s="1" t="s">
        <v>104</v>
      </c>
      <c r="C1353" t="s">
        <v>51</v>
      </c>
      <c r="D1353">
        <v>1</v>
      </c>
      <c r="E1353">
        <v>79</v>
      </c>
      <c r="F1353">
        <v>0.34</v>
      </c>
      <c r="G1353">
        <f>(F1353/0.6)/4</f>
        <v>0.14166666666666669</v>
      </c>
      <c r="H1353">
        <f>G1353*(11.5/38.29)</f>
        <v>4.2548097849743192E-2</v>
      </c>
    </row>
    <row r="1354" spans="1:8" x14ac:dyDescent="0.25">
      <c r="A1354" s="1">
        <v>2008</v>
      </c>
      <c r="B1354" s="1" t="s">
        <v>104</v>
      </c>
      <c r="C1354" t="s">
        <v>51</v>
      </c>
      <c r="D1354">
        <v>1</v>
      </c>
      <c r="E1354">
        <v>79</v>
      </c>
      <c r="F1354">
        <v>0.19</v>
      </c>
      <c r="G1354">
        <f>(F1354/0.6)/4</f>
        <v>7.9166666666666677E-2</v>
      </c>
      <c r="H1354">
        <f>G1354*(11.5/38.29)</f>
        <v>2.3776878210150607E-2</v>
      </c>
    </row>
    <row r="1355" spans="1:8" x14ac:dyDescent="0.25">
      <c r="A1355" s="1">
        <v>2008</v>
      </c>
      <c r="B1355" s="1" t="s">
        <v>104</v>
      </c>
      <c r="C1355" t="s">
        <v>51</v>
      </c>
      <c r="D1355">
        <v>1</v>
      </c>
      <c r="E1355">
        <v>79</v>
      </c>
      <c r="F1355">
        <v>0.13</v>
      </c>
      <c r="G1355">
        <f>(F1355/0.6)/4</f>
        <v>5.4166666666666669E-2</v>
      </c>
      <c r="H1355">
        <f>G1355*(11.5/38.29)</f>
        <v>1.6268390354313572E-2</v>
      </c>
    </row>
    <row r="1356" spans="1:8" x14ac:dyDescent="0.25">
      <c r="A1356" s="1">
        <v>2008</v>
      </c>
      <c r="B1356" s="1" t="s">
        <v>104</v>
      </c>
      <c r="C1356" t="s">
        <v>51</v>
      </c>
      <c r="D1356">
        <v>1</v>
      </c>
      <c r="E1356">
        <v>85</v>
      </c>
      <c r="F1356">
        <v>1.1200000000000001</v>
      </c>
      <c r="G1356">
        <f>(F1356/0.6)/4</f>
        <v>0.46666666666666673</v>
      </c>
      <c r="H1356">
        <f>G1356*(11.5/38.29)</f>
        <v>0.14015843997562463</v>
      </c>
    </row>
    <row r="1357" spans="1:8" x14ac:dyDescent="0.25">
      <c r="A1357" s="1">
        <v>2008</v>
      </c>
      <c r="B1357" s="1" t="s">
        <v>104</v>
      </c>
      <c r="C1357" t="s">
        <v>51</v>
      </c>
      <c r="D1357">
        <v>1</v>
      </c>
      <c r="E1357">
        <v>85</v>
      </c>
      <c r="F1357">
        <v>0.84</v>
      </c>
      <c r="G1357">
        <f>(F1357/0.6)/4</f>
        <v>0.35</v>
      </c>
      <c r="H1357">
        <f>G1357*(11.5/38.29)</f>
        <v>0.10511882998171845</v>
      </c>
    </row>
    <row r="1358" spans="1:8" x14ac:dyDescent="0.25">
      <c r="A1358" s="1">
        <v>2008</v>
      </c>
      <c r="B1358" s="1" t="s">
        <v>104</v>
      </c>
      <c r="C1358" t="s">
        <v>51</v>
      </c>
      <c r="D1358">
        <v>1</v>
      </c>
      <c r="E1358">
        <v>85</v>
      </c>
      <c r="F1358">
        <v>0.1</v>
      </c>
      <c r="G1358">
        <f>(F1358/0.6)/4</f>
        <v>4.1666666666666671E-2</v>
      </c>
      <c r="H1358">
        <f>G1358*(11.5/38.29)</f>
        <v>1.2514146426395057E-2</v>
      </c>
    </row>
    <row r="1359" spans="1:8" x14ac:dyDescent="0.25">
      <c r="A1359" s="1">
        <v>2008</v>
      </c>
      <c r="B1359" s="1" t="s">
        <v>104</v>
      </c>
      <c r="C1359" t="s">
        <v>51</v>
      </c>
      <c r="D1359">
        <v>1</v>
      </c>
      <c r="E1359">
        <v>85</v>
      </c>
      <c r="F1359">
        <v>0.06</v>
      </c>
      <c r="G1359">
        <f>(F1359/0.6)/4</f>
        <v>2.5000000000000001E-2</v>
      </c>
      <c r="H1359">
        <f>G1359*(11.5/38.29)</f>
        <v>7.5084878558370335E-3</v>
      </c>
    </row>
    <row r="1360" spans="1:8" x14ac:dyDescent="0.25">
      <c r="A1360" s="1">
        <v>2008</v>
      </c>
      <c r="B1360" s="1" t="s">
        <v>104</v>
      </c>
      <c r="C1360" t="s">
        <v>51</v>
      </c>
      <c r="D1360">
        <v>1</v>
      </c>
      <c r="E1360">
        <v>85</v>
      </c>
      <c r="F1360">
        <v>0.05</v>
      </c>
      <c r="G1360">
        <f>(F1360/0.6)/4</f>
        <v>2.0833333333333336E-2</v>
      </c>
      <c r="H1360">
        <f>G1360*(11.5/38.29)</f>
        <v>6.2570732131975284E-3</v>
      </c>
    </row>
    <row r="1361" spans="1:8" x14ac:dyDescent="0.25">
      <c r="A1361" s="1">
        <v>2008</v>
      </c>
      <c r="B1361" s="1" t="s">
        <v>104</v>
      </c>
      <c r="C1361" t="s">
        <v>51</v>
      </c>
      <c r="D1361">
        <v>1</v>
      </c>
      <c r="E1361">
        <v>85</v>
      </c>
      <c r="F1361">
        <v>0.11</v>
      </c>
      <c r="G1361">
        <f>(F1361/0.6)/4</f>
        <v>4.5833333333333337E-2</v>
      </c>
      <c r="H1361">
        <f>G1361*(11.5/38.29)</f>
        <v>1.3765561069034562E-2</v>
      </c>
    </row>
    <row r="1362" spans="1:8" x14ac:dyDescent="0.25">
      <c r="A1362" s="1">
        <v>2008</v>
      </c>
      <c r="B1362" s="1" t="s">
        <v>104</v>
      </c>
      <c r="C1362" t="s">
        <v>51</v>
      </c>
      <c r="D1362">
        <v>2</v>
      </c>
      <c r="E1362">
        <v>11</v>
      </c>
      <c r="F1362">
        <v>0.22</v>
      </c>
      <c r="G1362">
        <f>(F1362/0.6)/4</f>
        <v>9.1666666666666674E-2</v>
      </c>
      <c r="H1362">
        <f>G1362*(11.5/38.29)</f>
        <v>2.7531122138069124E-2</v>
      </c>
    </row>
    <row r="1363" spans="1:8" x14ac:dyDescent="0.25">
      <c r="A1363" s="1">
        <v>2008</v>
      </c>
      <c r="B1363" s="1" t="s">
        <v>104</v>
      </c>
      <c r="C1363" t="s">
        <v>51</v>
      </c>
      <c r="D1363">
        <v>2</v>
      </c>
      <c r="E1363">
        <v>11</v>
      </c>
      <c r="F1363">
        <v>0.36</v>
      </c>
      <c r="G1363">
        <f>(F1363/0.6)/4</f>
        <v>0.15</v>
      </c>
      <c r="H1363">
        <f>G1363*(11.5/38.29)</f>
        <v>4.5050927135022199E-2</v>
      </c>
    </row>
    <row r="1364" spans="1:8" x14ac:dyDescent="0.25">
      <c r="A1364" s="1">
        <v>2008</v>
      </c>
      <c r="B1364" s="1" t="s">
        <v>104</v>
      </c>
      <c r="C1364" t="s">
        <v>51</v>
      </c>
      <c r="D1364">
        <v>2</v>
      </c>
      <c r="E1364">
        <v>29</v>
      </c>
      <c r="F1364">
        <v>0.34</v>
      </c>
      <c r="G1364">
        <f>(F1364/0.6)/4</f>
        <v>0.14166666666666669</v>
      </c>
      <c r="H1364">
        <f>G1364*(11.5/38.29)</f>
        <v>4.2548097849743192E-2</v>
      </c>
    </row>
    <row r="1365" spans="1:8" x14ac:dyDescent="0.25">
      <c r="A1365" s="1">
        <v>2008</v>
      </c>
      <c r="B1365" s="1" t="s">
        <v>104</v>
      </c>
      <c r="C1365" t="s">
        <v>51</v>
      </c>
      <c r="D1365">
        <v>2</v>
      </c>
      <c r="E1365">
        <v>29</v>
      </c>
      <c r="F1365">
        <v>0.16</v>
      </c>
      <c r="G1365">
        <f>(F1365/0.6)/4</f>
        <v>6.6666666666666666E-2</v>
      </c>
      <c r="H1365">
        <f>G1365*(11.5/38.29)</f>
        <v>2.0022634282232089E-2</v>
      </c>
    </row>
    <row r="1366" spans="1:8" x14ac:dyDescent="0.25">
      <c r="A1366" s="1">
        <v>2008</v>
      </c>
      <c r="B1366" s="1" t="s">
        <v>104</v>
      </c>
      <c r="C1366" t="s">
        <v>51</v>
      </c>
      <c r="D1366">
        <v>2</v>
      </c>
      <c r="E1366">
        <v>29</v>
      </c>
      <c r="F1366">
        <v>0.48</v>
      </c>
      <c r="G1366">
        <f>(F1366/0.6)/4</f>
        <v>0.2</v>
      </c>
      <c r="H1366">
        <f>G1366*(11.5/38.29)</f>
        <v>6.0067902846696268E-2</v>
      </c>
    </row>
    <row r="1367" spans="1:8" x14ac:dyDescent="0.25">
      <c r="A1367" s="1">
        <v>2008</v>
      </c>
      <c r="B1367" s="1" t="s">
        <v>104</v>
      </c>
      <c r="C1367" t="s">
        <v>51</v>
      </c>
      <c r="D1367">
        <v>2</v>
      </c>
      <c r="E1367">
        <v>29</v>
      </c>
      <c r="F1367">
        <v>0.13</v>
      </c>
      <c r="G1367">
        <f>(F1367/0.6)/4</f>
        <v>5.4166666666666669E-2</v>
      </c>
      <c r="H1367">
        <f>G1367*(11.5/38.29)</f>
        <v>1.6268390354313572E-2</v>
      </c>
    </row>
    <row r="1368" spans="1:8" x14ac:dyDescent="0.25">
      <c r="A1368" s="1">
        <v>2008</v>
      </c>
      <c r="B1368" s="1" t="s">
        <v>104</v>
      </c>
      <c r="C1368" t="s">
        <v>51</v>
      </c>
      <c r="D1368">
        <v>2</v>
      </c>
      <c r="E1368">
        <v>29</v>
      </c>
      <c r="F1368">
        <v>0.39</v>
      </c>
      <c r="G1368">
        <f>(F1368/0.6)/4</f>
        <v>0.16250000000000001</v>
      </c>
      <c r="H1368">
        <f>G1368*(11.5/38.29)</f>
        <v>4.8805171062940716E-2</v>
      </c>
    </row>
    <row r="1369" spans="1:8" x14ac:dyDescent="0.25">
      <c r="A1369" s="1">
        <v>2008</v>
      </c>
      <c r="B1369" s="1" t="s">
        <v>104</v>
      </c>
      <c r="C1369" t="s">
        <v>51</v>
      </c>
      <c r="D1369">
        <v>2</v>
      </c>
      <c r="E1369">
        <v>29</v>
      </c>
      <c r="F1369">
        <v>7.0000000000000007E-2</v>
      </c>
      <c r="G1369">
        <f>(F1369/0.6)/4</f>
        <v>2.9166666666666671E-2</v>
      </c>
      <c r="H1369">
        <f>G1369*(11.5/38.29)</f>
        <v>8.7599024984765395E-3</v>
      </c>
    </row>
    <row r="1370" spans="1:8" x14ac:dyDescent="0.25">
      <c r="A1370" s="1">
        <v>2008</v>
      </c>
      <c r="B1370" s="1" t="s">
        <v>104</v>
      </c>
      <c r="C1370" t="s">
        <v>51</v>
      </c>
      <c r="D1370">
        <v>2</v>
      </c>
      <c r="E1370">
        <v>29</v>
      </c>
      <c r="F1370">
        <v>7.0000000000000007E-2</v>
      </c>
      <c r="G1370">
        <f>(F1370/0.6)/4</f>
        <v>2.9166666666666671E-2</v>
      </c>
      <c r="H1370">
        <f>G1370*(11.5/38.29)</f>
        <v>8.7599024984765395E-3</v>
      </c>
    </row>
    <row r="1371" spans="1:8" x14ac:dyDescent="0.25">
      <c r="A1371" s="1">
        <v>2008</v>
      </c>
      <c r="B1371" s="1" t="s">
        <v>104</v>
      </c>
      <c r="C1371" t="s">
        <v>51</v>
      </c>
      <c r="D1371">
        <v>2</v>
      </c>
      <c r="E1371">
        <v>29</v>
      </c>
      <c r="F1371">
        <v>0.22</v>
      </c>
      <c r="G1371">
        <f>(F1371/0.6)/4</f>
        <v>9.1666666666666674E-2</v>
      </c>
      <c r="H1371">
        <f>G1371*(11.5/38.29)</f>
        <v>2.7531122138069124E-2</v>
      </c>
    </row>
    <row r="1372" spans="1:8" x14ac:dyDescent="0.25">
      <c r="A1372" s="1">
        <v>2008</v>
      </c>
      <c r="B1372" s="1" t="s">
        <v>104</v>
      </c>
      <c r="C1372" t="s">
        <v>51</v>
      </c>
      <c r="D1372">
        <v>2</v>
      </c>
      <c r="E1372">
        <v>29</v>
      </c>
      <c r="F1372">
        <v>0.14000000000000001</v>
      </c>
      <c r="G1372">
        <f>(F1372/0.6)/4</f>
        <v>5.8333333333333341E-2</v>
      </c>
      <c r="H1372">
        <f>G1372*(11.5/38.29)</f>
        <v>1.7519804996953079E-2</v>
      </c>
    </row>
    <row r="1373" spans="1:8" x14ac:dyDescent="0.25">
      <c r="A1373" s="1">
        <v>2008</v>
      </c>
      <c r="B1373" s="1" t="s">
        <v>104</v>
      </c>
      <c r="C1373" t="s">
        <v>51</v>
      </c>
      <c r="D1373">
        <v>2</v>
      </c>
      <c r="E1373">
        <v>29</v>
      </c>
      <c r="F1373">
        <v>0.08</v>
      </c>
      <c r="G1373">
        <f>(F1373/0.6)/4</f>
        <v>3.3333333333333333E-2</v>
      </c>
      <c r="H1373">
        <f>G1373*(11.5/38.29)</f>
        <v>1.0011317141116045E-2</v>
      </c>
    </row>
    <row r="1374" spans="1:8" x14ac:dyDescent="0.25">
      <c r="A1374" s="1">
        <v>2008</v>
      </c>
      <c r="B1374" s="1" t="s">
        <v>104</v>
      </c>
      <c r="C1374" t="s">
        <v>51</v>
      </c>
      <c r="D1374">
        <v>2</v>
      </c>
      <c r="E1374">
        <v>29</v>
      </c>
      <c r="F1374">
        <v>0.12</v>
      </c>
      <c r="G1374">
        <f>(F1374/0.6)/4</f>
        <v>0.05</v>
      </c>
      <c r="H1374">
        <f>G1374*(11.5/38.29)</f>
        <v>1.5016975711674067E-2</v>
      </c>
    </row>
    <row r="1375" spans="1:8" x14ac:dyDescent="0.25">
      <c r="A1375" s="1">
        <v>2008</v>
      </c>
      <c r="B1375" s="1" t="s">
        <v>104</v>
      </c>
      <c r="C1375" t="s">
        <v>51</v>
      </c>
      <c r="D1375">
        <v>2</v>
      </c>
      <c r="E1375">
        <v>29</v>
      </c>
      <c r="F1375">
        <v>0.05</v>
      </c>
      <c r="G1375">
        <f>(F1375/0.6)/4</f>
        <v>2.0833333333333336E-2</v>
      </c>
      <c r="H1375">
        <f>G1375*(11.5/38.29)</f>
        <v>6.2570732131975284E-3</v>
      </c>
    </row>
    <row r="1376" spans="1:8" x14ac:dyDescent="0.25">
      <c r="A1376" s="1">
        <v>2008</v>
      </c>
      <c r="B1376" s="1" t="s">
        <v>104</v>
      </c>
      <c r="C1376" t="s">
        <v>51</v>
      </c>
      <c r="D1376">
        <v>2</v>
      </c>
      <c r="E1376">
        <v>29</v>
      </c>
      <c r="F1376">
        <v>0.14000000000000001</v>
      </c>
      <c r="G1376">
        <f>(F1376/0.6)/4</f>
        <v>5.8333333333333341E-2</v>
      </c>
      <c r="H1376">
        <f>G1376*(11.5/38.29)</f>
        <v>1.7519804996953079E-2</v>
      </c>
    </row>
    <row r="1377" spans="1:8" x14ac:dyDescent="0.25">
      <c r="A1377" s="1">
        <v>2008</v>
      </c>
      <c r="B1377" s="1" t="s">
        <v>104</v>
      </c>
      <c r="C1377" t="s">
        <v>51</v>
      </c>
      <c r="D1377">
        <v>2</v>
      </c>
      <c r="E1377">
        <v>29</v>
      </c>
      <c r="F1377">
        <v>0.28000000000000003</v>
      </c>
      <c r="G1377">
        <f>(F1377/0.6)/4</f>
        <v>0.11666666666666668</v>
      </c>
      <c r="H1377">
        <f>G1377*(11.5/38.29)</f>
        <v>3.5039609993906158E-2</v>
      </c>
    </row>
    <row r="1378" spans="1:8" x14ac:dyDescent="0.25">
      <c r="A1378" s="1">
        <v>2008</v>
      </c>
      <c r="B1378" s="1" t="s">
        <v>104</v>
      </c>
      <c r="C1378" t="s">
        <v>51</v>
      </c>
      <c r="D1378">
        <v>2</v>
      </c>
      <c r="E1378">
        <v>29</v>
      </c>
      <c r="F1378">
        <v>0.05</v>
      </c>
      <c r="G1378">
        <f>(F1378/0.6)/4</f>
        <v>2.0833333333333336E-2</v>
      </c>
      <c r="H1378">
        <f>G1378*(11.5/38.29)</f>
        <v>6.2570732131975284E-3</v>
      </c>
    </row>
    <row r="1379" spans="1:8" x14ac:dyDescent="0.25">
      <c r="A1379" s="1">
        <v>2008</v>
      </c>
      <c r="B1379" s="1" t="s">
        <v>104</v>
      </c>
      <c r="C1379" t="s">
        <v>51</v>
      </c>
      <c r="D1379">
        <v>2</v>
      </c>
      <c r="E1379">
        <v>29</v>
      </c>
      <c r="F1379">
        <v>0.53</v>
      </c>
      <c r="G1379">
        <f>(F1379/0.6)/4</f>
        <v>0.22083333333333335</v>
      </c>
      <c r="H1379">
        <f>G1379*(11.5/38.29)</f>
        <v>6.6324976059893792E-2</v>
      </c>
    </row>
    <row r="1380" spans="1:8" x14ac:dyDescent="0.25">
      <c r="A1380" s="1">
        <v>2008</v>
      </c>
      <c r="B1380" s="1" t="s">
        <v>104</v>
      </c>
      <c r="C1380" t="s">
        <v>51</v>
      </c>
      <c r="D1380">
        <v>2</v>
      </c>
      <c r="E1380">
        <v>29</v>
      </c>
      <c r="F1380">
        <v>0.06</v>
      </c>
      <c r="G1380">
        <f>(F1380/0.6)/4</f>
        <v>2.5000000000000001E-2</v>
      </c>
      <c r="H1380">
        <f>G1380*(11.5/38.29)</f>
        <v>7.5084878558370335E-3</v>
      </c>
    </row>
    <row r="1381" spans="1:8" x14ac:dyDescent="0.25">
      <c r="A1381" s="1">
        <v>2008</v>
      </c>
      <c r="B1381" s="1" t="s">
        <v>104</v>
      </c>
      <c r="C1381" t="s">
        <v>51</v>
      </c>
      <c r="D1381">
        <v>2</v>
      </c>
      <c r="E1381">
        <v>29</v>
      </c>
      <c r="F1381">
        <v>0.21</v>
      </c>
      <c r="G1381">
        <f>(F1381/0.6)/4</f>
        <v>8.7499999999999994E-2</v>
      </c>
      <c r="H1381">
        <f>G1381*(11.5/38.29)</f>
        <v>2.6279707495429613E-2</v>
      </c>
    </row>
    <row r="1382" spans="1:8" x14ac:dyDescent="0.25">
      <c r="A1382" s="1">
        <v>2008</v>
      </c>
      <c r="B1382" s="1" t="s">
        <v>104</v>
      </c>
      <c r="C1382" t="s">
        <v>51</v>
      </c>
      <c r="D1382">
        <v>2</v>
      </c>
      <c r="E1382">
        <v>32</v>
      </c>
      <c r="F1382">
        <v>0.04</v>
      </c>
      <c r="G1382">
        <f>(F1382/0.6)/4</f>
        <v>1.6666666666666666E-2</v>
      </c>
      <c r="H1382">
        <f>G1382*(11.5/38.29)</f>
        <v>5.0056585705580223E-3</v>
      </c>
    </row>
    <row r="1383" spans="1:8" x14ac:dyDescent="0.25">
      <c r="A1383" s="1">
        <v>2008</v>
      </c>
      <c r="B1383" s="1" t="s">
        <v>104</v>
      </c>
      <c r="C1383" t="s">
        <v>51</v>
      </c>
      <c r="D1383">
        <v>2</v>
      </c>
      <c r="E1383">
        <v>32</v>
      </c>
      <c r="F1383">
        <v>7.0000000000000007E-2</v>
      </c>
      <c r="G1383">
        <f>(F1383/0.6)/4</f>
        <v>2.9166666666666671E-2</v>
      </c>
      <c r="H1383">
        <f>G1383*(11.5/38.29)</f>
        <v>8.7599024984765395E-3</v>
      </c>
    </row>
    <row r="1384" spans="1:8" x14ac:dyDescent="0.25">
      <c r="A1384" s="1">
        <v>2008</v>
      </c>
      <c r="B1384" s="1" t="s">
        <v>104</v>
      </c>
      <c r="C1384" t="s">
        <v>51</v>
      </c>
      <c r="D1384">
        <v>2</v>
      </c>
      <c r="E1384">
        <v>32</v>
      </c>
      <c r="F1384">
        <v>0.04</v>
      </c>
      <c r="G1384">
        <f>(F1384/0.6)/4</f>
        <v>1.6666666666666666E-2</v>
      </c>
      <c r="H1384">
        <f>G1384*(11.5/38.29)</f>
        <v>5.0056585705580223E-3</v>
      </c>
    </row>
    <row r="1385" spans="1:8" x14ac:dyDescent="0.25">
      <c r="A1385" s="1">
        <v>2008</v>
      </c>
      <c r="B1385" s="1" t="s">
        <v>104</v>
      </c>
      <c r="C1385" t="s">
        <v>51</v>
      </c>
      <c r="D1385">
        <v>2</v>
      </c>
      <c r="E1385">
        <v>32</v>
      </c>
      <c r="F1385">
        <v>0.11</v>
      </c>
      <c r="G1385">
        <f>(F1385/0.6)/4</f>
        <v>4.5833333333333337E-2</v>
      </c>
      <c r="H1385">
        <f>G1385*(11.5/38.29)</f>
        <v>1.3765561069034562E-2</v>
      </c>
    </row>
    <row r="1386" spans="1:8" x14ac:dyDescent="0.25">
      <c r="A1386" s="1">
        <v>2008</v>
      </c>
      <c r="B1386" s="1" t="s">
        <v>104</v>
      </c>
      <c r="C1386" t="s">
        <v>51</v>
      </c>
      <c r="D1386">
        <v>2</v>
      </c>
      <c r="E1386">
        <v>32</v>
      </c>
      <c r="F1386">
        <v>0.13</v>
      </c>
      <c r="G1386">
        <f>(F1386/0.6)/4</f>
        <v>5.4166666666666669E-2</v>
      </c>
      <c r="H1386">
        <f>G1386*(11.5/38.29)</f>
        <v>1.6268390354313572E-2</v>
      </c>
    </row>
    <row r="1387" spans="1:8" x14ac:dyDescent="0.25">
      <c r="A1387" s="1">
        <v>2008</v>
      </c>
      <c r="B1387" s="1" t="s">
        <v>104</v>
      </c>
      <c r="C1387" t="s">
        <v>51</v>
      </c>
      <c r="D1387">
        <v>2</v>
      </c>
      <c r="E1387">
        <v>32</v>
      </c>
      <c r="F1387">
        <v>0.1</v>
      </c>
      <c r="G1387">
        <f>(F1387/0.6)/4</f>
        <v>4.1666666666666671E-2</v>
      </c>
      <c r="H1387">
        <f>G1387*(11.5/38.29)</f>
        <v>1.2514146426395057E-2</v>
      </c>
    </row>
    <row r="1388" spans="1:8" x14ac:dyDescent="0.25">
      <c r="A1388" s="1">
        <v>2008</v>
      </c>
      <c r="B1388" s="1" t="s">
        <v>104</v>
      </c>
      <c r="C1388" t="s">
        <v>51</v>
      </c>
      <c r="D1388">
        <v>2</v>
      </c>
      <c r="E1388">
        <v>32</v>
      </c>
      <c r="F1388">
        <v>0.05</v>
      </c>
      <c r="G1388">
        <f>(F1388/0.6)/4</f>
        <v>2.0833333333333336E-2</v>
      </c>
      <c r="H1388">
        <f>G1388*(11.5/38.29)</f>
        <v>6.2570732131975284E-3</v>
      </c>
    </row>
    <row r="1389" spans="1:8" x14ac:dyDescent="0.25">
      <c r="A1389" s="1">
        <v>2008</v>
      </c>
      <c r="B1389" s="1" t="s">
        <v>104</v>
      </c>
      <c r="C1389" t="s">
        <v>51</v>
      </c>
      <c r="D1389">
        <v>2</v>
      </c>
      <c r="E1389">
        <v>32</v>
      </c>
      <c r="F1389">
        <v>0.06</v>
      </c>
      <c r="G1389">
        <f>(F1389/0.6)/4</f>
        <v>2.5000000000000001E-2</v>
      </c>
      <c r="H1389">
        <f>G1389*(11.5/38.29)</f>
        <v>7.5084878558370335E-3</v>
      </c>
    </row>
    <row r="1390" spans="1:8" x14ac:dyDescent="0.25">
      <c r="A1390" s="1">
        <v>2008</v>
      </c>
      <c r="B1390" s="1" t="s">
        <v>104</v>
      </c>
      <c r="C1390" t="s">
        <v>51</v>
      </c>
      <c r="D1390">
        <v>2</v>
      </c>
      <c r="E1390">
        <v>32</v>
      </c>
      <c r="F1390">
        <v>0.12</v>
      </c>
      <c r="G1390">
        <f>(F1390/0.6)/4</f>
        <v>0.05</v>
      </c>
      <c r="H1390">
        <f>G1390*(11.5/38.29)</f>
        <v>1.5016975711674067E-2</v>
      </c>
    </row>
    <row r="1391" spans="1:8" x14ac:dyDescent="0.25">
      <c r="A1391" s="1">
        <v>2008</v>
      </c>
      <c r="B1391" s="1" t="s">
        <v>104</v>
      </c>
      <c r="C1391" t="s">
        <v>51</v>
      </c>
      <c r="D1391">
        <v>2</v>
      </c>
      <c r="E1391">
        <v>32</v>
      </c>
      <c r="F1391">
        <v>0.2</v>
      </c>
      <c r="G1391">
        <f>(F1391/0.6)/4</f>
        <v>8.3333333333333343E-2</v>
      </c>
      <c r="H1391">
        <f>G1391*(11.5/38.29)</f>
        <v>2.5028292852790113E-2</v>
      </c>
    </row>
    <row r="1392" spans="1:8" x14ac:dyDescent="0.25">
      <c r="A1392" s="1">
        <v>2008</v>
      </c>
      <c r="B1392" s="1" t="s">
        <v>104</v>
      </c>
      <c r="C1392" t="s">
        <v>51</v>
      </c>
      <c r="D1392">
        <v>2</v>
      </c>
      <c r="E1392">
        <v>32</v>
      </c>
      <c r="F1392">
        <v>0.1</v>
      </c>
      <c r="G1392">
        <f>(F1392/0.6)/4</f>
        <v>4.1666666666666671E-2</v>
      </c>
      <c r="H1392">
        <f>G1392*(11.5/38.29)</f>
        <v>1.2514146426395057E-2</v>
      </c>
    </row>
    <row r="1393" spans="1:8" x14ac:dyDescent="0.25">
      <c r="A1393" s="1">
        <v>2008</v>
      </c>
      <c r="B1393" s="1" t="s">
        <v>104</v>
      </c>
      <c r="C1393" t="s">
        <v>51</v>
      </c>
      <c r="D1393">
        <v>2</v>
      </c>
      <c r="E1393">
        <v>32</v>
      </c>
      <c r="F1393">
        <v>0.03</v>
      </c>
      <c r="G1393">
        <f>(F1393/0.6)/4</f>
        <v>1.2500000000000001E-2</v>
      </c>
      <c r="H1393">
        <f>G1393*(11.5/38.29)</f>
        <v>3.7542439279185168E-3</v>
      </c>
    </row>
    <row r="1394" spans="1:8" x14ac:dyDescent="0.25">
      <c r="A1394" s="1">
        <v>2008</v>
      </c>
      <c r="B1394" s="1" t="s">
        <v>104</v>
      </c>
      <c r="C1394" t="s">
        <v>51</v>
      </c>
      <c r="D1394">
        <v>2</v>
      </c>
      <c r="E1394">
        <v>32</v>
      </c>
      <c r="F1394">
        <v>0.06</v>
      </c>
      <c r="G1394">
        <f>(F1394/0.6)/4</f>
        <v>2.5000000000000001E-2</v>
      </c>
      <c r="H1394">
        <f>G1394*(11.5/38.29)</f>
        <v>7.5084878558370335E-3</v>
      </c>
    </row>
    <row r="1395" spans="1:8" x14ac:dyDescent="0.25">
      <c r="A1395" s="1">
        <v>2008</v>
      </c>
      <c r="B1395" s="1" t="s">
        <v>104</v>
      </c>
      <c r="C1395" t="s">
        <v>51</v>
      </c>
      <c r="D1395">
        <v>2</v>
      </c>
      <c r="E1395">
        <v>32</v>
      </c>
      <c r="F1395">
        <v>0.03</v>
      </c>
      <c r="G1395">
        <f>(F1395/0.6)/4</f>
        <v>1.2500000000000001E-2</v>
      </c>
      <c r="H1395">
        <f>G1395*(11.5/38.29)</f>
        <v>3.7542439279185168E-3</v>
      </c>
    </row>
    <row r="1396" spans="1:8" x14ac:dyDescent="0.25">
      <c r="A1396" s="1">
        <v>2008</v>
      </c>
      <c r="B1396" s="1" t="s">
        <v>104</v>
      </c>
      <c r="C1396" t="s">
        <v>51</v>
      </c>
      <c r="D1396">
        <v>2</v>
      </c>
      <c r="E1396">
        <v>32</v>
      </c>
      <c r="F1396">
        <v>0.13</v>
      </c>
      <c r="G1396">
        <f>(F1396/0.6)/4</f>
        <v>5.4166666666666669E-2</v>
      </c>
      <c r="H1396">
        <f>G1396*(11.5/38.29)</f>
        <v>1.6268390354313572E-2</v>
      </c>
    </row>
    <row r="1397" spans="1:8" x14ac:dyDescent="0.25">
      <c r="A1397" s="1">
        <v>2008</v>
      </c>
      <c r="B1397" s="1" t="s">
        <v>104</v>
      </c>
      <c r="C1397" t="s">
        <v>51</v>
      </c>
      <c r="D1397">
        <v>2</v>
      </c>
      <c r="E1397">
        <v>32</v>
      </c>
      <c r="F1397">
        <v>0.05</v>
      </c>
      <c r="G1397">
        <f>(F1397/0.6)/4</f>
        <v>2.0833333333333336E-2</v>
      </c>
      <c r="H1397">
        <f>G1397*(11.5/38.29)</f>
        <v>6.2570732131975284E-3</v>
      </c>
    </row>
    <row r="1398" spans="1:8" x14ac:dyDescent="0.25">
      <c r="A1398" s="1">
        <v>2008</v>
      </c>
      <c r="B1398" s="1" t="s">
        <v>104</v>
      </c>
      <c r="C1398" t="s">
        <v>51</v>
      </c>
      <c r="D1398">
        <v>2</v>
      </c>
      <c r="E1398">
        <v>32</v>
      </c>
      <c r="F1398">
        <v>0.09</v>
      </c>
      <c r="G1398">
        <f>(F1398/0.6)/4</f>
        <v>3.7499999999999999E-2</v>
      </c>
      <c r="H1398">
        <f>G1398*(11.5/38.29)</f>
        <v>1.126273178375555E-2</v>
      </c>
    </row>
    <row r="1399" spans="1:8" x14ac:dyDescent="0.25">
      <c r="A1399" s="1">
        <v>2008</v>
      </c>
      <c r="B1399" s="1" t="s">
        <v>104</v>
      </c>
      <c r="C1399" t="s">
        <v>51</v>
      </c>
      <c r="D1399">
        <v>2</v>
      </c>
      <c r="E1399">
        <v>32</v>
      </c>
      <c r="F1399">
        <v>0.18</v>
      </c>
      <c r="G1399">
        <f>(F1399/0.6)/4</f>
        <v>7.4999999999999997E-2</v>
      </c>
      <c r="H1399">
        <f>G1399*(11.5/38.29)</f>
        <v>2.25254635675111E-2</v>
      </c>
    </row>
    <row r="1400" spans="1:8" x14ac:dyDescent="0.25">
      <c r="A1400" s="1">
        <v>2008</v>
      </c>
      <c r="B1400" s="1" t="s">
        <v>104</v>
      </c>
      <c r="C1400" t="s">
        <v>51</v>
      </c>
      <c r="D1400">
        <v>2</v>
      </c>
      <c r="E1400">
        <v>32</v>
      </c>
      <c r="F1400">
        <v>0.06</v>
      </c>
      <c r="G1400">
        <f>(F1400/0.6)/4</f>
        <v>2.5000000000000001E-2</v>
      </c>
      <c r="H1400">
        <f>G1400*(11.5/38.29)</f>
        <v>7.5084878558370335E-3</v>
      </c>
    </row>
    <row r="1401" spans="1:8" x14ac:dyDescent="0.25">
      <c r="A1401" s="1">
        <v>2008</v>
      </c>
      <c r="B1401" s="1" t="s">
        <v>104</v>
      </c>
      <c r="C1401" t="s">
        <v>51</v>
      </c>
      <c r="D1401">
        <v>2</v>
      </c>
      <c r="E1401">
        <v>32</v>
      </c>
      <c r="F1401">
        <v>0.06</v>
      </c>
      <c r="G1401">
        <f>(F1401/0.6)/4</f>
        <v>2.5000000000000001E-2</v>
      </c>
      <c r="H1401">
        <f>G1401*(11.5/38.29)</f>
        <v>7.5084878558370335E-3</v>
      </c>
    </row>
    <row r="1402" spans="1:8" x14ac:dyDescent="0.25">
      <c r="A1402" s="1">
        <v>2008</v>
      </c>
      <c r="B1402" s="1" t="s">
        <v>104</v>
      </c>
      <c r="C1402" t="s">
        <v>51</v>
      </c>
      <c r="D1402">
        <v>2</v>
      </c>
      <c r="E1402">
        <v>32</v>
      </c>
      <c r="F1402">
        <v>0.11</v>
      </c>
      <c r="G1402">
        <f>(F1402/0.6)/4</f>
        <v>4.5833333333333337E-2</v>
      </c>
      <c r="H1402">
        <f>G1402*(11.5/38.29)</f>
        <v>1.3765561069034562E-2</v>
      </c>
    </row>
    <row r="1403" spans="1:8" x14ac:dyDescent="0.25">
      <c r="A1403" s="1">
        <v>2008</v>
      </c>
      <c r="B1403" s="1" t="s">
        <v>104</v>
      </c>
      <c r="C1403" t="s">
        <v>51</v>
      </c>
      <c r="D1403">
        <v>2</v>
      </c>
      <c r="E1403">
        <v>32</v>
      </c>
      <c r="F1403">
        <v>0.06</v>
      </c>
      <c r="G1403">
        <f>(F1403/0.6)/4</f>
        <v>2.5000000000000001E-2</v>
      </c>
      <c r="H1403">
        <f>G1403*(11.5/38.29)</f>
        <v>7.5084878558370335E-3</v>
      </c>
    </row>
    <row r="1404" spans="1:8" x14ac:dyDescent="0.25">
      <c r="A1404" s="1">
        <v>2008</v>
      </c>
      <c r="B1404" s="1" t="s">
        <v>104</v>
      </c>
      <c r="C1404" t="s">
        <v>51</v>
      </c>
      <c r="D1404">
        <v>2</v>
      </c>
      <c r="E1404">
        <v>32</v>
      </c>
      <c r="F1404">
        <v>0.08</v>
      </c>
      <c r="G1404">
        <f>(F1404/0.6)/4</f>
        <v>3.3333333333333333E-2</v>
      </c>
      <c r="H1404">
        <f>G1404*(11.5/38.29)</f>
        <v>1.0011317141116045E-2</v>
      </c>
    </row>
    <row r="1405" spans="1:8" x14ac:dyDescent="0.25">
      <c r="A1405" s="1">
        <v>2008</v>
      </c>
      <c r="B1405" s="1" t="s">
        <v>104</v>
      </c>
      <c r="C1405" t="s">
        <v>51</v>
      </c>
      <c r="D1405">
        <v>2</v>
      </c>
      <c r="E1405">
        <v>32</v>
      </c>
      <c r="F1405">
        <v>0.08</v>
      </c>
      <c r="G1405">
        <f>(F1405/0.6)/4</f>
        <v>3.3333333333333333E-2</v>
      </c>
      <c r="H1405">
        <f>G1405*(11.5/38.29)</f>
        <v>1.0011317141116045E-2</v>
      </c>
    </row>
    <row r="1406" spans="1:8" x14ac:dyDescent="0.25">
      <c r="A1406" s="1">
        <v>2008</v>
      </c>
      <c r="B1406" s="1" t="s">
        <v>104</v>
      </c>
      <c r="C1406" t="s">
        <v>51</v>
      </c>
      <c r="D1406">
        <v>2</v>
      </c>
      <c r="E1406">
        <v>32</v>
      </c>
      <c r="F1406">
        <v>0.05</v>
      </c>
      <c r="G1406">
        <f>(F1406/0.6)/4</f>
        <v>2.0833333333333336E-2</v>
      </c>
      <c r="H1406">
        <f>G1406*(11.5/38.29)</f>
        <v>6.2570732131975284E-3</v>
      </c>
    </row>
    <row r="1407" spans="1:8" x14ac:dyDescent="0.25">
      <c r="A1407" s="1">
        <v>2008</v>
      </c>
      <c r="B1407" s="1" t="s">
        <v>104</v>
      </c>
      <c r="C1407" t="s">
        <v>51</v>
      </c>
      <c r="D1407">
        <v>2</v>
      </c>
      <c r="E1407">
        <v>32</v>
      </c>
      <c r="F1407">
        <v>0.05</v>
      </c>
      <c r="G1407">
        <f>(F1407/0.6)/4</f>
        <v>2.0833333333333336E-2</v>
      </c>
      <c r="H1407">
        <f>G1407*(11.5/38.29)</f>
        <v>6.2570732131975284E-3</v>
      </c>
    </row>
    <row r="1408" spans="1:8" x14ac:dyDescent="0.25">
      <c r="A1408" s="1">
        <v>2008</v>
      </c>
      <c r="B1408" s="1" t="s">
        <v>104</v>
      </c>
      <c r="C1408" t="s">
        <v>51</v>
      </c>
      <c r="D1408">
        <v>2</v>
      </c>
      <c r="E1408">
        <v>32</v>
      </c>
      <c r="F1408">
        <v>0.04</v>
      </c>
      <c r="G1408">
        <f>(F1408/0.6)/4</f>
        <v>1.6666666666666666E-2</v>
      </c>
      <c r="H1408">
        <f>G1408*(11.5/38.29)</f>
        <v>5.0056585705580223E-3</v>
      </c>
    </row>
    <row r="1409" spans="1:8" x14ac:dyDescent="0.25">
      <c r="A1409" s="1">
        <v>2008</v>
      </c>
      <c r="B1409" s="1" t="s">
        <v>104</v>
      </c>
      <c r="C1409" t="s">
        <v>51</v>
      </c>
      <c r="D1409">
        <v>2</v>
      </c>
      <c r="E1409">
        <v>32</v>
      </c>
      <c r="F1409">
        <v>0.17</v>
      </c>
      <c r="G1409">
        <f>(F1409/0.6)/4</f>
        <v>7.0833333333333345E-2</v>
      </c>
      <c r="H1409">
        <f>G1409*(11.5/38.29)</f>
        <v>2.1274048924871596E-2</v>
      </c>
    </row>
    <row r="1410" spans="1:8" x14ac:dyDescent="0.25">
      <c r="A1410" s="1">
        <v>2008</v>
      </c>
      <c r="B1410" s="1" t="s">
        <v>104</v>
      </c>
      <c r="C1410" t="s">
        <v>51</v>
      </c>
      <c r="D1410">
        <v>2</v>
      </c>
      <c r="E1410">
        <v>32</v>
      </c>
      <c r="F1410">
        <v>0.06</v>
      </c>
      <c r="G1410">
        <f>(F1410/0.6)/4</f>
        <v>2.5000000000000001E-2</v>
      </c>
      <c r="H1410">
        <f>G1410*(11.5/38.29)</f>
        <v>7.5084878558370335E-3</v>
      </c>
    </row>
    <row r="1411" spans="1:8" x14ac:dyDescent="0.25">
      <c r="A1411" s="1">
        <v>2008</v>
      </c>
      <c r="B1411" s="1" t="s">
        <v>104</v>
      </c>
      <c r="C1411" t="s">
        <v>51</v>
      </c>
      <c r="D1411">
        <v>2</v>
      </c>
      <c r="E1411">
        <v>32</v>
      </c>
      <c r="F1411">
        <v>0.09</v>
      </c>
      <c r="G1411">
        <f>(F1411/0.6)/4</f>
        <v>3.7499999999999999E-2</v>
      </c>
      <c r="H1411">
        <f>G1411*(11.5/38.29)</f>
        <v>1.126273178375555E-2</v>
      </c>
    </row>
    <row r="1412" spans="1:8" x14ac:dyDescent="0.25">
      <c r="A1412" s="1">
        <v>2008</v>
      </c>
      <c r="B1412" s="1" t="s">
        <v>104</v>
      </c>
      <c r="C1412" t="s">
        <v>51</v>
      </c>
      <c r="D1412">
        <v>2</v>
      </c>
      <c r="E1412">
        <v>32</v>
      </c>
      <c r="F1412">
        <v>0.04</v>
      </c>
      <c r="G1412">
        <f>(F1412/0.6)/4</f>
        <v>1.6666666666666666E-2</v>
      </c>
      <c r="H1412">
        <f>G1412*(11.5/38.29)</f>
        <v>5.0056585705580223E-3</v>
      </c>
    </row>
    <row r="1413" spans="1:8" x14ac:dyDescent="0.25">
      <c r="A1413" s="1">
        <v>2008</v>
      </c>
      <c r="B1413" s="1" t="s">
        <v>104</v>
      </c>
      <c r="C1413" t="s">
        <v>51</v>
      </c>
      <c r="D1413">
        <v>2</v>
      </c>
      <c r="E1413">
        <v>32</v>
      </c>
      <c r="F1413">
        <v>0.08</v>
      </c>
      <c r="G1413">
        <f>(F1413/0.6)/4</f>
        <v>3.3333333333333333E-2</v>
      </c>
      <c r="H1413">
        <f>G1413*(11.5/38.29)</f>
        <v>1.0011317141116045E-2</v>
      </c>
    </row>
    <row r="1414" spans="1:8" x14ac:dyDescent="0.25">
      <c r="A1414" s="1">
        <v>2008</v>
      </c>
      <c r="B1414" s="1" t="s">
        <v>104</v>
      </c>
      <c r="C1414" t="s">
        <v>51</v>
      </c>
      <c r="D1414">
        <v>2</v>
      </c>
      <c r="E1414">
        <v>32</v>
      </c>
      <c r="F1414">
        <v>0.03</v>
      </c>
      <c r="G1414">
        <f>(F1414/0.6)/4</f>
        <v>1.2500000000000001E-2</v>
      </c>
      <c r="H1414">
        <f>G1414*(11.5/38.29)</f>
        <v>3.7542439279185168E-3</v>
      </c>
    </row>
    <row r="1415" spans="1:8" x14ac:dyDescent="0.25">
      <c r="A1415" s="1">
        <v>2008</v>
      </c>
      <c r="B1415" s="1" t="s">
        <v>104</v>
      </c>
      <c r="C1415" t="s">
        <v>51</v>
      </c>
      <c r="D1415">
        <v>2</v>
      </c>
      <c r="E1415">
        <v>32</v>
      </c>
      <c r="F1415">
        <v>0.13</v>
      </c>
      <c r="G1415">
        <f>(F1415/0.6)/4</f>
        <v>5.4166666666666669E-2</v>
      </c>
      <c r="H1415">
        <f>G1415*(11.5/38.29)</f>
        <v>1.6268390354313572E-2</v>
      </c>
    </row>
    <row r="1416" spans="1:8" x14ac:dyDescent="0.25">
      <c r="A1416" s="1">
        <v>2008</v>
      </c>
      <c r="B1416" s="1" t="s">
        <v>104</v>
      </c>
      <c r="C1416" t="s">
        <v>51</v>
      </c>
      <c r="D1416">
        <v>2</v>
      </c>
      <c r="E1416">
        <v>32</v>
      </c>
      <c r="F1416">
        <v>0.03</v>
      </c>
      <c r="G1416">
        <f>(F1416/0.6)/4</f>
        <v>1.2500000000000001E-2</v>
      </c>
      <c r="H1416">
        <f>G1416*(11.5/38.29)</f>
        <v>3.7542439279185168E-3</v>
      </c>
    </row>
    <row r="1417" spans="1:8" x14ac:dyDescent="0.25">
      <c r="A1417" s="1">
        <v>2008</v>
      </c>
      <c r="B1417" s="1" t="s">
        <v>104</v>
      </c>
      <c r="C1417" t="s">
        <v>51</v>
      </c>
      <c r="D1417">
        <v>2</v>
      </c>
      <c r="E1417">
        <v>32</v>
      </c>
      <c r="F1417">
        <v>0.04</v>
      </c>
      <c r="G1417">
        <f>(F1417/0.6)/4</f>
        <v>1.6666666666666666E-2</v>
      </c>
      <c r="H1417">
        <f>G1417*(11.5/38.29)</f>
        <v>5.0056585705580223E-3</v>
      </c>
    </row>
    <row r="1418" spans="1:8" x14ac:dyDescent="0.25">
      <c r="A1418" s="1">
        <v>2008</v>
      </c>
      <c r="B1418" s="1" t="s">
        <v>104</v>
      </c>
      <c r="C1418" t="s">
        <v>51</v>
      </c>
      <c r="D1418">
        <v>2</v>
      </c>
      <c r="E1418">
        <v>32</v>
      </c>
      <c r="F1418">
        <v>0.06</v>
      </c>
      <c r="G1418">
        <f>(F1418/0.6)/4</f>
        <v>2.5000000000000001E-2</v>
      </c>
      <c r="H1418">
        <f>G1418*(11.5/38.29)</f>
        <v>7.5084878558370335E-3</v>
      </c>
    </row>
    <row r="1419" spans="1:8" x14ac:dyDescent="0.25">
      <c r="A1419" s="1">
        <v>2008</v>
      </c>
      <c r="B1419" s="1" t="s">
        <v>104</v>
      </c>
      <c r="C1419" t="s">
        <v>51</v>
      </c>
      <c r="D1419">
        <v>2</v>
      </c>
      <c r="E1419">
        <v>32</v>
      </c>
      <c r="F1419">
        <v>0.05</v>
      </c>
      <c r="G1419">
        <f>(F1419/0.6)/4</f>
        <v>2.0833333333333336E-2</v>
      </c>
      <c r="H1419">
        <f>G1419*(11.5/38.29)</f>
        <v>6.2570732131975284E-3</v>
      </c>
    </row>
    <row r="1420" spans="1:8" x14ac:dyDescent="0.25">
      <c r="A1420" s="1">
        <v>2008</v>
      </c>
      <c r="B1420" s="1" t="s">
        <v>104</v>
      </c>
      <c r="C1420" t="s">
        <v>51</v>
      </c>
      <c r="D1420">
        <v>2</v>
      </c>
      <c r="E1420">
        <v>33</v>
      </c>
      <c r="F1420">
        <v>0.04</v>
      </c>
      <c r="G1420">
        <f>(F1420/0.6)/4</f>
        <v>1.6666666666666666E-2</v>
      </c>
      <c r="H1420">
        <f>G1420*(11.5/38.29)</f>
        <v>5.0056585705580223E-3</v>
      </c>
    </row>
    <row r="1421" spans="1:8" x14ac:dyDescent="0.25">
      <c r="A1421" s="1">
        <v>2008</v>
      </c>
      <c r="B1421" s="1" t="s">
        <v>104</v>
      </c>
      <c r="C1421" t="s">
        <v>51</v>
      </c>
      <c r="D1421">
        <v>2</v>
      </c>
      <c r="E1421">
        <v>34</v>
      </c>
      <c r="F1421">
        <v>0.52</v>
      </c>
      <c r="G1421">
        <f>(F1421/0.6)/4</f>
        <v>0.21666666666666667</v>
      </c>
      <c r="H1421">
        <f>G1421*(11.5/38.29)</f>
        <v>6.5073561417254289E-2</v>
      </c>
    </row>
    <row r="1422" spans="1:8" x14ac:dyDescent="0.25">
      <c r="A1422" s="1">
        <v>2008</v>
      </c>
      <c r="B1422" s="1" t="s">
        <v>104</v>
      </c>
      <c r="C1422" t="s">
        <v>51</v>
      </c>
      <c r="D1422">
        <v>2</v>
      </c>
      <c r="E1422">
        <v>34</v>
      </c>
      <c r="F1422">
        <v>0.17</v>
      </c>
      <c r="G1422">
        <f>(F1422/0.6)/4</f>
        <v>7.0833333333333345E-2</v>
      </c>
      <c r="H1422">
        <f>G1422*(11.5/38.29)</f>
        <v>2.1274048924871596E-2</v>
      </c>
    </row>
    <row r="1423" spans="1:8" x14ac:dyDescent="0.25">
      <c r="A1423" s="1">
        <v>2008</v>
      </c>
      <c r="B1423" s="1" t="s">
        <v>104</v>
      </c>
      <c r="C1423" t="s">
        <v>51</v>
      </c>
      <c r="D1423">
        <v>2</v>
      </c>
      <c r="E1423">
        <v>34</v>
      </c>
      <c r="F1423">
        <v>0.85</v>
      </c>
      <c r="G1423">
        <f>(F1423/0.6)/4</f>
        <v>0.35416666666666669</v>
      </c>
      <c r="H1423">
        <f>G1423*(11.5/38.29)</f>
        <v>0.10637024462435797</v>
      </c>
    </row>
    <row r="1424" spans="1:8" x14ac:dyDescent="0.25">
      <c r="A1424" s="1">
        <v>2008</v>
      </c>
      <c r="B1424" s="1" t="s">
        <v>104</v>
      </c>
      <c r="C1424" t="s">
        <v>51</v>
      </c>
      <c r="D1424">
        <v>2</v>
      </c>
      <c r="E1424">
        <v>34</v>
      </c>
      <c r="F1424">
        <v>1.4</v>
      </c>
      <c r="G1424">
        <f>(F1424/0.6)/4</f>
        <v>0.58333333333333337</v>
      </c>
      <c r="H1424">
        <f>G1424*(11.5/38.29)</f>
        <v>0.17519804996953078</v>
      </c>
    </row>
    <row r="1425" spans="1:8" x14ac:dyDescent="0.25">
      <c r="A1425" s="1">
        <v>2008</v>
      </c>
      <c r="B1425" s="1" t="s">
        <v>104</v>
      </c>
      <c r="C1425" t="s">
        <v>51</v>
      </c>
      <c r="D1425">
        <v>2</v>
      </c>
      <c r="E1425">
        <v>34</v>
      </c>
      <c r="F1425">
        <v>0.96</v>
      </c>
      <c r="G1425">
        <f>(F1425/0.6)/4</f>
        <v>0.4</v>
      </c>
      <c r="H1425">
        <f>G1425*(11.5/38.29)</f>
        <v>0.12013580569339254</v>
      </c>
    </row>
    <row r="1426" spans="1:8" x14ac:dyDescent="0.25">
      <c r="A1426" s="1">
        <v>2008</v>
      </c>
      <c r="B1426" s="1" t="s">
        <v>104</v>
      </c>
      <c r="C1426" t="s">
        <v>51</v>
      </c>
      <c r="D1426">
        <v>2</v>
      </c>
      <c r="E1426">
        <v>34</v>
      </c>
      <c r="F1426">
        <v>0.41</v>
      </c>
      <c r="G1426">
        <f>(F1426/0.6)/4</f>
        <v>0.17083333333333334</v>
      </c>
      <c r="H1426">
        <f>G1426*(11.5/38.29)</f>
        <v>5.1308000348219723E-2</v>
      </c>
    </row>
    <row r="1427" spans="1:8" x14ac:dyDescent="0.25">
      <c r="A1427" s="1">
        <v>2008</v>
      </c>
      <c r="B1427" s="1" t="s">
        <v>104</v>
      </c>
      <c r="C1427" t="s">
        <v>51</v>
      </c>
      <c r="D1427">
        <v>2</v>
      </c>
      <c r="E1427">
        <v>34</v>
      </c>
      <c r="F1427">
        <v>0.99</v>
      </c>
      <c r="G1427">
        <f>(F1427/0.6)/4</f>
        <v>0.41250000000000003</v>
      </c>
      <c r="H1427">
        <f>G1427*(11.5/38.29)</f>
        <v>0.12389004962131106</v>
      </c>
    </row>
    <row r="1428" spans="1:8" x14ac:dyDescent="0.25">
      <c r="A1428" s="1">
        <v>2008</v>
      </c>
      <c r="B1428" s="1" t="s">
        <v>104</v>
      </c>
      <c r="C1428" t="s">
        <v>51</v>
      </c>
      <c r="D1428">
        <v>2</v>
      </c>
      <c r="E1428">
        <v>34</v>
      </c>
      <c r="F1428">
        <v>0.18</v>
      </c>
      <c r="G1428">
        <f>(F1428/0.6)/4</f>
        <v>7.4999999999999997E-2</v>
      </c>
      <c r="H1428">
        <f>G1428*(11.5/38.29)</f>
        <v>2.25254635675111E-2</v>
      </c>
    </row>
    <row r="1429" spans="1:8" x14ac:dyDescent="0.25">
      <c r="A1429" s="1">
        <v>2008</v>
      </c>
      <c r="B1429" s="1" t="s">
        <v>104</v>
      </c>
      <c r="C1429" t="s">
        <v>51</v>
      </c>
      <c r="D1429">
        <v>2</v>
      </c>
      <c r="E1429">
        <v>34</v>
      </c>
      <c r="F1429">
        <v>0.56999999999999995</v>
      </c>
      <c r="G1429">
        <f>(F1429/0.6)/4</f>
        <v>0.23749999999999999</v>
      </c>
      <c r="H1429">
        <f>G1429*(11.5/38.29)</f>
        <v>7.1330634630451806E-2</v>
      </c>
    </row>
    <row r="1430" spans="1:8" x14ac:dyDescent="0.25">
      <c r="A1430" s="1">
        <v>2008</v>
      </c>
      <c r="B1430" s="1" t="s">
        <v>104</v>
      </c>
      <c r="C1430" t="s">
        <v>51</v>
      </c>
      <c r="D1430">
        <v>2</v>
      </c>
      <c r="E1430">
        <v>34</v>
      </c>
      <c r="F1430">
        <v>0.53</v>
      </c>
      <c r="G1430">
        <f>(F1430/0.6)/4</f>
        <v>0.22083333333333335</v>
      </c>
      <c r="H1430">
        <f>G1430*(11.5/38.29)</f>
        <v>6.6324976059893792E-2</v>
      </c>
    </row>
    <row r="1431" spans="1:8" x14ac:dyDescent="0.25">
      <c r="A1431" s="1">
        <v>2008</v>
      </c>
      <c r="B1431" s="1" t="s">
        <v>104</v>
      </c>
      <c r="C1431" t="s">
        <v>51</v>
      </c>
      <c r="D1431">
        <v>2</v>
      </c>
      <c r="E1431">
        <v>34</v>
      </c>
      <c r="F1431">
        <v>1.45</v>
      </c>
      <c r="G1431">
        <f>(F1431/0.6)/4</f>
        <v>0.60416666666666663</v>
      </c>
      <c r="H1431">
        <f>G1431*(11.5/38.29)</f>
        <v>0.18145512318272827</v>
      </c>
    </row>
    <row r="1432" spans="1:8" x14ac:dyDescent="0.25">
      <c r="A1432" s="1">
        <v>2008</v>
      </c>
      <c r="B1432" s="1" t="s">
        <v>104</v>
      </c>
      <c r="C1432" t="s">
        <v>51</v>
      </c>
      <c r="D1432">
        <v>2</v>
      </c>
      <c r="E1432">
        <v>34</v>
      </c>
      <c r="F1432">
        <v>0.84</v>
      </c>
      <c r="G1432">
        <f>(F1432/0.6)/4</f>
        <v>0.35</v>
      </c>
      <c r="H1432">
        <f>G1432*(11.5/38.29)</f>
        <v>0.10511882998171845</v>
      </c>
    </row>
    <row r="1433" spans="1:8" x14ac:dyDescent="0.25">
      <c r="A1433" s="1">
        <v>2008</v>
      </c>
      <c r="B1433" s="1" t="s">
        <v>104</v>
      </c>
      <c r="C1433" t="s">
        <v>51</v>
      </c>
      <c r="D1433">
        <v>2</v>
      </c>
      <c r="E1433">
        <v>38</v>
      </c>
      <c r="F1433">
        <v>0.98</v>
      </c>
      <c r="G1433">
        <f>(F1433/0.6)/4</f>
        <v>0.40833333333333333</v>
      </c>
      <c r="H1433">
        <f>G1433*(11.5/38.29)</f>
        <v>0.12263863497867154</v>
      </c>
    </row>
    <row r="1434" spans="1:8" x14ac:dyDescent="0.25">
      <c r="A1434" s="1">
        <v>2008</v>
      </c>
      <c r="B1434" s="1" t="s">
        <v>104</v>
      </c>
      <c r="C1434" t="s">
        <v>51</v>
      </c>
      <c r="D1434">
        <v>2</v>
      </c>
      <c r="E1434">
        <v>38</v>
      </c>
      <c r="F1434">
        <v>0.71</v>
      </c>
      <c r="G1434">
        <f>(F1434/0.6)/4</f>
        <v>0.29583333333333334</v>
      </c>
      <c r="H1434">
        <f>G1434*(11.5/38.29)</f>
        <v>8.8850439627404895E-2</v>
      </c>
    </row>
    <row r="1435" spans="1:8" x14ac:dyDescent="0.25">
      <c r="A1435" s="1">
        <v>2008</v>
      </c>
      <c r="B1435" s="1" t="s">
        <v>104</v>
      </c>
      <c r="C1435" t="s">
        <v>51</v>
      </c>
      <c r="D1435">
        <v>2</v>
      </c>
      <c r="E1435">
        <v>38</v>
      </c>
      <c r="F1435">
        <v>0.38</v>
      </c>
      <c r="G1435">
        <f>(F1435/0.6)/4</f>
        <v>0.15833333333333335</v>
      </c>
      <c r="H1435">
        <f>G1435*(11.5/38.29)</f>
        <v>4.7553756420301213E-2</v>
      </c>
    </row>
    <row r="1436" spans="1:8" x14ac:dyDescent="0.25">
      <c r="A1436" s="1">
        <v>2008</v>
      </c>
      <c r="B1436" s="1" t="s">
        <v>104</v>
      </c>
      <c r="C1436" t="s">
        <v>51</v>
      </c>
      <c r="D1436">
        <v>2</v>
      </c>
      <c r="E1436">
        <v>38</v>
      </c>
      <c r="F1436">
        <v>0.27</v>
      </c>
      <c r="G1436">
        <f>(F1436/0.6)/4</f>
        <v>0.11250000000000002</v>
      </c>
      <c r="H1436">
        <f>G1436*(11.5/38.29)</f>
        <v>3.3788195351266655E-2</v>
      </c>
    </row>
    <row r="1437" spans="1:8" x14ac:dyDescent="0.25">
      <c r="A1437" s="1">
        <v>2008</v>
      </c>
      <c r="B1437" s="1" t="s">
        <v>104</v>
      </c>
      <c r="C1437" t="s">
        <v>51</v>
      </c>
      <c r="D1437">
        <v>2</v>
      </c>
      <c r="E1437">
        <v>38</v>
      </c>
      <c r="F1437">
        <v>0.91</v>
      </c>
      <c r="G1437">
        <f>(F1437/0.6)/4</f>
        <v>0.37916666666666671</v>
      </c>
      <c r="H1437">
        <f>G1437*(11.5/38.29)</f>
        <v>0.11387873248019502</v>
      </c>
    </row>
    <row r="1438" spans="1:8" x14ac:dyDescent="0.25">
      <c r="A1438" s="1">
        <v>2008</v>
      </c>
      <c r="B1438" s="1" t="s">
        <v>104</v>
      </c>
      <c r="C1438" t="s">
        <v>51</v>
      </c>
      <c r="D1438">
        <v>2</v>
      </c>
      <c r="E1438">
        <v>38</v>
      </c>
      <c r="F1438">
        <v>0.84</v>
      </c>
      <c r="G1438">
        <f>(F1438/0.6)/4</f>
        <v>0.35</v>
      </c>
      <c r="H1438">
        <f>G1438*(11.5/38.29)</f>
        <v>0.10511882998171845</v>
      </c>
    </row>
    <row r="1439" spans="1:8" x14ac:dyDescent="0.25">
      <c r="A1439" s="1">
        <v>2008</v>
      </c>
      <c r="B1439" s="1" t="s">
        <v>104</v>
      </c>
      <c r="C1439" t="s">
        <v>51</v>
      </c>
      <c r="D1439">
        <v>2</v>
      </c>
      <c r="E1439">
        <v>38</v>
      </c>
      <c r="F1439">
        <v>0.34</v>
      </c>
      <c r="G1439">
        <f>(F1439/0.6)/4</f>
        <v>0.14166666666666669</v>
      </c>
      <c r="H1439">
        <f>G1439*(11.5/38.29)</f>
        <v>4.2548097849743192E-2</v>
      </c>
    </row>
    <row r="1440" spans="1:8" x14ac:dyDescent="0.25">
      <c r="A1440" s="1">
        <v>2008</v>
      </c>
      <c r="B1440" s="1" t="s">
        <v>104</v>
      </c>
      <c r="C1440" t="s">
        <v>51</v>
      </c>
      <c r="D1440">
        <v>2</v>
      </c>
      <c r="E1440">
        <v>38</v>
      </c>
      <c r="F1440">
        <v>0.6</v>
      </c>
      <c r="G1440">
        <f>(F1440/0.6)/4</f>
        <v>0.25</v>
      </c>
      <c r="H1440">
        <f>G1440*(11.5/38.29)</f>
        <v>7.508487855837033E-2</v>
      </c>
    </row>
    <row r="1441" spans="1:8" x14ac:dyDescent="0.25">
      <c r="A1441" s="1">
        <v>2008</v>
      </c>
      <c r="B1441" s="1" t="s">
        <v>104</v>
      </c>
      <c r="C1441" t="s">
        <v>51</v>
      </c>
      <c r="D1441">
        <v>2</v>
      </c>
      <c r="E1441">
        <v>38</v>
      </c>
      <c r="F1441">
        <v>1.04</v>
      </c>
      <c r="G1441">
        <f>(F1441/0.6)/4</f>
        <v>0.43333333333333335</v>
      </c>
      <c r="H1441">
        <f>G1441*(11.5/38.29)</f>
        <v>0.13014712283450858</v>
      </c>
    </row>
    <row r="1442" spans="1:8" x14ac:dyDescent="0.25">
      <c r="A1442" s="1">
        <v>2008</v>
      </c>
      <c r="B1442" s="1" t="s">
        <v>104</v>
      </c>
      <c r="C1442" t="s">
        <v>51</v>
      </c>
      <c r="D1442">
        <v>2</v>
      </c>
      <c r="E1442">
        <v>38</v>
      </c>
      <c r="F1442">
        <v>1.33</v>
      </c>
      <c r="G1442">
        <f>(F1442/0.6)/4</f>
        <v>0.5541666666666667</v>
      </c>
      <c r="H1442">
        <f>G1442*(11.5/38.29)</f>
        <v>0.16643814747105423</v>
      </c>
    </row>
    <row r="1443" spans="1:8" x14ac:dyDescent="0.25">
      <c r="A1443" s="1">
        <v>2008</v>
      </c>
      <c r="B1443" s="1" t="s">
        <v>104</v>
      </c>
      <c r="C1443" t="s">
        <v>51</v>
      </c>
      <c r="D1443">
        <v>2</v>
      </c>
      <c r="E1443">
        <v>38</v>
      </c>
      <c r="F1443">
        <v>0.57999999999999996</v>
      </c>
      <c r="G1443">
        <f>(F1443/0.6)/4</f>
        <v>0.24166666666666667</v>
      </c>
      <c r="H1443">
        <f>G1443*(11.5/38.29)</f>
        <v>7.2582049273091323E-2</v>
      </c>
    </row>
    <row r="1444" spans="1:8" x14ac:dyDescent="0.25">
      <c r="A1444" s="1">
        <v>2008</v>
      </c>
      <c r="B1444" s="1" t="s">
        <v>104</v>
      </c>
      <c r="C1444" t="s">
        <v>51</v>
      </c>
      <c r="D1444">
        <v>2</v>
      </c>
      <c r="E1444">
        <v>38</v>
      </c>
      <c r="F1444">
        <v>1.52</v>
      </c>
      <c r="G1444">
        <f>(F1444/0.6)/4</f>
        <v>0.63333333333333341</v>
      </c>
      <c r="H1444">
        <f>G1444*(11.5/38.29)</f>
        <v>0.19021502568120485</v>
      </c>
    </row>
    <row r="1445" spans="1:8" x14ac:dyDescent="0.25">
      <c r="A1445" s="1">
        <v>2008</v>
      </c>
      <c r="B1445" s="1" t="s">
        <v>104</v>
      </c>
      <c r="C1445" t="s">
        <v>51</v>
      </c>
      <c r="D1445">
        <v>2</v>
      </c>
      <c r="E1445">
        <v>38</v>
      </c>
      <c r="F1445">
        <v>1.04</v>
      </c>
      <c r="G1445">
        <f>(F1445/0.6)/4</f>
        <v>0.43333333333333335</v>
      </c>
      <c r="H1445">
        <f>G1445*(11.5/38.29)</f>
        <v>0.13014712283450858</v>
      </c>
    </row>
    <row r="1446" spans="1:8" x14ac:dyDescent="0.25">
      <c r="A1446" s="1">
        <v>2008</v>
      </c>
      <c r="B1446" s="1" t="s">
        <v>104</v>
      </c>
      <c r="C1446" t="s">
        <v>51</v>
      </c>
      <c r="D1446">
        <v>2</v>
      </c>
      <c r="E1446">
        <v>38</v>
      </c>
      <c r="F1446">
        <v>1.04</v>
      </c>
      <c r="G1446">
        <f>(F1446/0.6)/4</f>
        <v>0.43333333333333335</v>
      </c>
      <c r="H1446">
        <f>G1446*(11.5/38.29)</f>
        <v>0.13014712283450858</v>
      </c>
    </row>
    <row r="1447" spans="1:8" x14ac:dyDescent="0.25">
      <c r="A1447" s="1">
        <v>2008</v>
      </c>
      <c r="B1447" s="1" t="s">
        <v>104</v>
      </c>
      <c r="C1447" t="s">
        <v>51</v>
      </c>
      <c r="D1447">
        <v>2</v>
      </c>
      <c r="E1447">
        <v>38</v>
      </c>
      <c r="F1447">
        <v>1.28</v>
      </c>
      <c r="G1447">
        <f>(F1447/0.6)/4</f>
        <v>0.53333333333333333</v>
      </c>
      <c r="H1447">
        <f>G1447*(11.5/38.29)</f>
        <v>0.16018107425785671</v>
      </c>
    </row>
    <row r="1448" spans="1:8" x14ac:dyDescent="0.25">
      <c r="A1448" s="1">
        <v>2008</v>
      </c>
      <c r="B1448" s="1" t="s">
        <v>104</v>
      </c>
      <c r="C1448" t="s">
        <v>51</v>
      </c>
      <c r="D1448">
        <v>2</v>
      </c>
      <c r="E1448">
        <v>38</v>
      </c>
      <c r="F1448">
        <v>0.91</v>
      </c>
      <c r="G1448">
        <f>(F1448/0.6)/4</f>
        <v>0.37916666666666671</v>
      </c>
      <c r="H1448">
        <f>G1448*(11.5/38.29)</f>
        <v>0.11387873248019502</v>
      </c>
    </row>
    <row r="1449" spans="1:8" x14ac:dyDescent="0.25">
      <c r="A1449" s="1">
        <v>2008</v>
      </c>
      <c r="B1449" s="1" t="s">
        <v>104</v>
      </c>
      <c r="C1449" t="s">
        <v>51</v>
      </c>
      <c r="D1449">
        <v>2</v>
      </c>
      <c r="E1449">
        <v>38</v>
      </c>
      <c r="F1449">
        <v>0.79</v>
      </c>
      <c r="G1449">
        <f>(F1449/0.6)/4</f>
        <v>0.32916666666666672</v>
      </c>
      <c r="H1449">
        <f>G1449*(11.5/38.29)</f>
        <v>9.886175676852095E-2</v>
      </c>
    </row>
    <row r="1450" spans="1:8" x14ac:dyDescent="0.25">
      <c r="A1450" s="1">
        <v>2008</v>
      </c>
      <c r="B1450" s="1" t="s">
        <v>104</v>
      </c>
      <c r="C1450" t="s">
        <v>51</v>
      </c>
      <c r="D1450">
        <v>2</v>
      </c>
      <c r="E1450">
        <v>38</v>
      </c>
      <c r="F1450">
        <v>0.89</v>
      </c>
      <c r="G1450">
        <f>(F1450/0.6)/4</f>
        <v>0.37083333333333335</v>
      </c>
      <c r="H1450">
        <f>G1450*(11.5/38.29)</f>
        <v>0.111375903194916</v>
      </c>
    </row>
    <row r="1451" spans="1:8" x14ac:dyDescent="0.25">
      <c r="A1451" s="1">
        <v>2008</v>
      </c>
      <c r="B1451" s="1" t="s">
        <v>104</v>
      </c>
      <c r="C1451" t="s">
        <v>51</v>
      </c>
      <c r="D1451">
        <v>2</v>
      </c>
      <c r="E1451">
        <v>38</v>
      </c>
      <c r="F1451">
        <v>1.02</v>
      </c>
      <c r="G1451">
        <f>(F1451/0.6)/4</f>
        <v>0.42500000000000004</v>
      </c>
      <c r="H1451">
        <f>G1451*(11.5/38.29)</f>
        <v>0.12764429354922957</v>
      </c>
    </row>
    <row r="1452" spans="1:8" x14ac:dyDescent="0.25">
      <c r="A1452" s="1">
        <v>2008</v>
      </c>
      <c r="B1452" s="1" t="s">
        <v>104</v>
      </c>
      <c r="C1452" t="s">
        <v>51</v>
      </c>
      <c r="D1452">
        <v>2</v>
      </c>
      <c r="E1452">
        <v>38</v>
      </c>
      <c r="F1452">
        <v>1.23</v>
      </c>
      <c r="G1452">
        <f>(F1452/0.6)/4</f>
        <v>0.51250000000000007</v>
      </c>
      <c r="H1452">
        <f>G1452*(11.5/38.29)</f>
        <v>0.1539240010446592</v>
      </c>
    </row>
    <row r="1453" spans="1:8" x14ac:dyDescent="0.25">
      <c r="A1453" s="1">
        <v>2008</v>
      </c>
      <c r="B1453" s="1" t="s">
        <v>104</v>
      </c>
      <c r="C1453" t="s">
        <v>51</v>
      </c>
      <c r="D1453">
        <v>2</v>
      </c>
      <c r="E1453">
        <v>38</v>
      </c>
      <c r="F1453">
        <v>1.02</v>
      </c>
      <c r="G1453">
        <f>(F1453/0.6)/4</f>
        <v>0.42500000000000004</v>
      </c>
      <c r="H1453">
        <f>G1453*(11.5/38.29)</f>
        <v>0.12764429354922957</v>
      </c>
    </row>
    <row r="1454" spans="1:8" x14ac:dyDescent="0.25">
      <c r="A1454" s="1">
        <v>2008</v>
      </c>
      <c r="B1454" s="1" t="s">
        <v>104</v>
      </c>
      <c r="C1454" t="s">
        <v>51</v>
      </c>
      <c r="D1454">
        <v>2</v>
      </c>
      <c r="E1454">
        <v>38</v>
      </c>
      <c r="F1454">
        <v>0.84</v>
      </c>
      <c r="G1454">
        <f>(F1454/0.6)/4</f>
        <v>0.35</v>
      </c>
      <c r="H1454">
        <f>G1454*(11.5/38.29)</f>
        <v>0.10511882998171845</v>
      </c>
    </row>
    <row r="1455" spans="1:8" x14ac:dyDescent="0.25">
      <c r="A1455" s="1">
        <v>2008</v>
      </c>
      <c r="B1455" s="1" t="s">
        <v>104</v>
      </c>
      <c r="C1455" t="s">
        <v>51</v>
      </c>
      <c r="D1455">
        <v>2</v>
      </c>
      <c r="E1455">
        <v>38</v>
      </c>
      <c r="F1455">
        <v>1.29</v>
      </c>
      <c r="G1455">
        <f>(F1455/0.6)/4</f>
        <v>0.53750000000000009</v>
      </c>
      <c r="H1455">
        <f>G1455*(11.5/38.29)</f>
        <v>0.16143248890049625</v>
      </c>
    </row>
    <row r="1456" spans="1:8" x14ac:dyDescent="0.25">
      <c r="A1456" s="1">
        <v>2008</v>
      </c>
      <c r="B1456" s="1" t="s">
        <v>104</v>
      </c>
      <c r="C1456" t="s">
        <v>51</v>
      </c>
      <c r="D1456">
        <v>2</v>
      </c>
      <c r="E1456">
        <v>38</v>
      </c>
      <c r="F1456">
        <v>0.45</v>
      </c>
      <c r="G1456">
        <f>(F1456/0.6)/4</f>
        <v>0.1875</v>
      </c>
      <c r="H1456">
        <f>G1456*(11.5/38.29)</f>
        <v>5.6313658918777751E-2</v>
      </c>
    </row>
    <row r="1457" spans="1:8" x14ac:dyDescent="0.25">
      <c r="A1457" s="1">
        <v>2008</v>
      </c>
      <c r="B1457" s="1" t="s">
        <v>104</v>
      </c>
      <c r="C1457" t="s">
        <v>51</v>
      </c>
      <c r="D1457">
        <v>2</v>
      </c>
      <c r="E1457">
        <v>38</v>
      </c>
      <c r="F1457">
        <v>0.46</v>
      </c>
      <c r="G1457">
        <f>(F1457/0.6)/4</f>
        <v>0.19166666666666668</v>
      </c>
      <c r="H1457">
        <f>G1457*(11.5/38.29)</f>
        <v>5.7565073561417254E-2</v>
      </c>
    </row>
    <row r="1458" spans="1:8" x14ac:dyDescent="0.25">
      <c r="A1458" s="1">
        <v>2008</v>
      </c>
      <c r="B1458" s="1" t="s">
        <v>104</v>
      </c>
      <c r="C1458" t="s">
        <v>51</v>
      </c>
      <c r="D1458">
        <v>2</v>
      </c>
      <c r="E1458">
        <v>38</v>
      </c>
      <c r="F1458">
        <v>1.29</v>
      </c>
      <c r="G1458">
        <f>(F1458/0.6)/4</f>
        <v>0.53750000000000009</v>
      </c>
      <c r="H1458">
        <f>G1458*(11.5/38.29)</f>
        <v>0.16143248890049625</v>
      </c>
    </row>
    <row r="1459" spans="1:8" x14ac:dyDescent="0.25">
      <c r="A1459" s="1">
        <v>2008</v>
      </c>
      <c r="B1459" s="1" t="s">
        <v>104</v>
      </c>
      <c r="C1459" t="s">
        <v>51</v>
      </c>
      <c r="D1459">
        <v>2</v>
      </c>
      <c r="E1459">
        <v>38</v>
      </c>
      <c r="F1459">
        <v>0.51</v>
      </c>
      <c r="G1459">
        <f>(F1459/0.6)/4</f>
        <v>0.21250000000000002</v>
      </c>
      <c r="H1459">
        <f>G1459*(11.5/38.29)</f>
        <v>6.3822146774614785E-2</v>
      </c>
    </row>
    <row r="1460" spans="1:8" x14ac:dyDescent="0.25">
      <c r="A1460" s="1">
        <v>2008</v>
      </c>
      <c r="B1460" s="1" t="s">
        <v>104</v>
      </c>
      <c r="C1460" t="s">
        <v>51</v>
      </c>
      <c r="D1460">
        <v>2</v>
      </c>
      <c r="E1460">
        <v>38</v>
      </c>
      <c r="F1460">
        <v>0.85</v>
      </c>
      <c r="G1460">
        <f>(F1460/0.6)/4</f>
        <v>0.35416666666666669</v>
      </c>
      <c r="H1460">
        <f>G1460*(11.5/38.29)</f>
        <v>0.10637024462435797</v>
      </c>
    </row>
    <row r="1461" spans="1:8" x14ac:dyDescent="0.25">
      <c r="A1461" s="1">
        <v>2008</v>
      </c>
      <c r="B1461" s="1" t="s">
        <v>104</v>
      </c>
      <c r="C1461" t="s">
        <v>51</v>
      </c>
      <c r="D1461">
        <v>2</v>
      </c>
      <c r="E1461">
        <v>38</v>
      </c>
      <c r="F1461">
        <v>1.61</v>
      </c>
      <c r="G1461">
        <f>(F1461/0.6)/4</f>
        <v>0.67083333333333339</v>
      </c>
      <c r="H1461">
        <f>G1461*(11.5/38.29)</f>
        <v>0.20147775746496041</v>
      </c>
    </row>
    <row r="1462" spans="1:8" x14ac:dyDescent="0.25">
      <c r="A1462" s="1">
        <v>2008</v>
      </c>
      <c r="B1462" s="1" t="s">
        <v>104</v>
      </c>
      <c r="C1462" t="s">
        <v>51</v>
      </c>
      <c r="D1462">
        <v>2</v>
      </c>
      <c r="E1462">
        <v>40</v>
      </c>
      <c r="F1462">
        <v>1.77</v>
      </c>
      <c r="G1462">
        <f>(F1462/0.6)/4</f>
        <v>0.73750000000000004</v>
      </c>
      <c r="H1462">
        <f>G1462*(11.5/38.29)</f>
        <v>0.22150039174719249</v>
      </c>
    </row>
    <row r="1463" spans="1:8" x14ac:dyDescent="0.25">
      <c r="A1463" s="1">
        <v>2008</v>
      </c>
      <c r="B1463" s="1" t="s">
        <v>104</v>
      </c>
      <c r="C1463" t="s">
        <v>51</v>
      </c>
      <c r="D1463">
        <v>2</v>
      </c>
      <c r="E1463">
        <v>40</v>
      </c>
      <c r="F1463">
        <v>0.2</v>
      </c>
      <c r="G1463">
        <f>(F1463/0.6)/4</f>
        <v>8.3333333333333343E-2</v>
      </c>
      <c r="H1463">
        <f>G1463*(11.5/38.29)</f>
        <v>2.5028292852790113E-2</v>
      </c>
    </row>
    <row r="1464" spans="1:8" x14ac:dyDescent="0.25">
      <c r="A1464" s="1">
        <v>2008</v>
      </c>
      <c r="B1464" s="1" t="s">
        <v>104</v>
      </c>
      <c r="C1464" t="s">
        <v>51</v>
      </c>
      <c r="D1464">
        <v>2</v>
      </c>
      <c r="E1464">
        <v>40</v>
      </c>
      <c r="F1464">
        <v>0.92</v>
      </c>
      <c r="G1464">
        <f>(F1464/0.6)/4</f>
        <v>0.38333333333333336</v>
      </c>
      <c r="H1464">
        <f>G1464*(11.5/38.29)</f>
        <v>0.11513014712283451</v>
      </c>
    </row>
    <row r="1465" spans="1:8" x14ac:dyDescent="0.25">
      <c r="A1465" s="1">
        <v>2008</v>
      </c>
      <c r="B1465" s="1" t="s">
        <v>104</v>
      </c>
      <c r="C1465" t="s">
        <v>51</v>
      </c>
      <c r="D1465">
        <v>2</v>
      </c>
      <c r="E1465">
        <v>40</v>
      </c>
      <c r="F1465">
        <v>0.21</v>
      </c>
      <c r="G1465">
        <f>(F1465/0.6)/4</f>
        <v>8.7499999999999994E-2</v>
      </c>
      <c r="H1465">
        <f>G1465*(11.5/38.29)</f>
        <v>2.6279707495429613E-2</v>
      </c>
    </row>
    <row r="1466" spans="1:8" x14ac:dyDescent="0.25">
      <c r="A1466" s="1">
        <v>2008</v>
      </c>
      <c r="B1466" s="1" t="s">
        <v>104</v>
      </c>
      <c r="C1466" t="s">
        <v>51</v>
      </c>
      <c r="D1466">
        <v>2</v>
      </c>
      <c r="E1466">
        <v>40</v>
      </c>
      <c r="F1466">
        <v>1.23</v>
      </c>
      <c r="G1466">
        <f>(F1466/0.6)/4</f>
        <v>0.51250000000000007</v>
      </c>
      <c r="H1466">
        <f>G1466*(11.5/38.29)</f>
        <v>0.1539240010446592</v>
      </c>
    </row>
    <row r="1467" spans="1:8" x14ac:dyDescent="0.25">
      <c r="A1467" s="1">
        <v>2008</v>
      </c>
      <c r="B1467" s="1" t="s">
        <v>104</v>
      </c>
      <c r="C1467" t="s">
        <v>51</v>
      </c>
      <c r="D1467">
        <v>2</v>
      </c>
      <c r="E1467">
        <v>40</v>
      </c>
      <c r="F1467">
        <v>1.77</v>
      </c>
      <c r="G1467">
        <f>(F1467/0.6)/4</f>
        <v>0.73750000000000004</v>
      </c>
      <c r="H1467">
        <f>G1467*(11.5/38.29)</f>
        <v>0.22150039174719249</v>
      </c>
    </row>
    <row r="1468" spans="1:8" x14ac:dyDescent="0.25">
      <c r="A1468" s="1">
        <v>2008</v>
      </c>
      <c r="B1468" s="1" t="s">
        <v>104</v>
      </c>
      <c r="C1468" t="s">
        <v>51</v>
      </c>
      <c r="D1468">
        <v>2</v>
      </c>
      <c r="E1468">
        <v>40</v>
      </c>
      <c r="F1468">
        <v>0.3</v>
      </c>
      <c r="G1468">
        <f>(F1468/0.6)/4</f>
        <v>0.125</v>
      </c>
      <c r="H1468">
        <f>G1468*(11.5/38.29)</f>
        <v>3.7542439279185165E-2</v>
      </c>
    </row>
    <row r="1469" spans="1:8" x14ac:dyDescent="0.25">
      <c r="A1469" s="1">
        <v>2008</v>
      </c>
      <c r="B1469" s="1" t="s">
        <v>104</v>
      </c>
      <c r="C1469" t="s">
        <v>51</v>
      </c>
      <c r="D1469">
        <v>2</v>
      </c>
      <c r="E1469">
        <v>40</v>
      </c>
      <c r="F1469">
        <v>0.44</v>
      </c>
      <c r="G1469">
        <f>(F1469/0.6)/4</f>
        <v>0.18333333333333335</v>
      </c>
      <c r="H1469">
        <f>G1469*(11.5/38.29)</f>
        <v>5.5062244276138247E-2</v>
      </c>
    </row>
    <row r="1470" spans="1:8" x14ac:dyDescent="0.25">
      <c r="A1470" s="1">
        <v>2008</v>
      </c>
      <c r="B1470" s="1" t="s">
        <v>104</v>
      </c>
      <c r="C1470" t="s">
        <v>51</v>
      </c>
      <c r="D1470">
        <v>2</v>
      </c>
      <c r="E1470">
        <v>41</v>
      </c>
      <c r="F1470">
        <v>0.99</v>
      </c>
      <c r="G1470">
        <f>(F1470/0.6)/4</f>
        <v>0.41250000000000003</v>
      </c>
      <c r="H1470">
        <f>G1470*(11.5/38.29)</f>
        <v>0.12389004962131106</v>
      </c>
    </row>
    <row r="1471" spans="1:8" x14ac:dyDescent="0.25">
      <c r="A1471" s="1">
        <v>2008</v>
      </c>
      <c r="B1471" s="1" t="s">
        <v>104</v>
      </c>
      <c r="C1471" t="s">
        <v>51</v>
      </c>
      <c r="D1471">
        <v>2</v>
      </c>
      <c r="E1471">
        <v>41</v>
      </c>
      <c r="F1471">
        <v>0.77</v>
      </c>
      <c r="G1471">
        <f>(F1471/0.6)/4</f>
        <v>0.32083333333333336</v>
      </c>
      <c r="H1471">
        <f>G1471*(11.5/38.29)</f>
        <v>9.635892748324193E-2</v>
      </c>
    </row>
    <row r="1472" spans="1:8" x14ac:dyDescent="0.25">
      <c r="A1472" s="1">
        <v>2008</v>
      </c>
      <c r="B1472" s="1" t="s">
        <v>104</v>
      </c>
      <c r="C1472" t="s">
        <v>51</v>
      </c>
      <c r="D1472">
        <v>2</v>
      </c>
      <c r="E1472">
        <v>41</v>
      </c>
      <c r="F1472">
        <v>0.73</v>
      </c>
      <c r="G1472">
        <f>(F1472/0.6)/4</f>
        <v>0.3041666666666667</v>
      </c>
      <c r="H1472">
        <f>G1472*(11.5/38.29)</f>
        <v>9.1353268912683916E-2</v>
      </c>
    </row>
    <row r="1473" spans="1:8" x14ac:dyDescent="0.25">
      <c r="A1473" s="1">
        <v>2008</v>
      </c>
      <c r="B1473" s="1" t="s">
        <v>104</v>
      </c>
      <c r="C1473" t="s">
        <v>51</v>
      </c>
      <c r="D1473">
        <v>2</v>
      </c>
      <c r="E1473">
        <v>41</v>
      </c>
      <c r="F1473">
        <v>1.34</v>
      </c>
      <c r="G1473">
        <f>(F1473/0.6)/4</f>
        <v>0.55833333333333335</v>
      </c>
      <c r="H1473">
        <f>G1473*(11.5/38.29)</f>
        <v>0.16768956211369374</v>
      </c>
    </row>
    <row r="1474" spans="1:8" x14ac:dyDescent="0.25">
      <c r="A1474" s="1">
        <v>2008</v>
      </c>
      <c r="B1474" s="1" t="s">
        <v>104</v>
      </c>
      <c r="C1474" t="s">
        <v>51</v>
      </c>
      <c r="D1474">
        <v>2</v>
      </c>
      <c r="E1474">
        <v>41</v>
      </c>
      <c r="F1474">
        <v>0.48</v>
      </c>
      <c r="G1474">
        <f>(F1474/0.6)/4</f>
        <v>0.2</v>
      </c>
      <c r="H1474">
        <f>G1474*(11.5/38.29)</f>
        <v>6.0067902846696268E-2</v>
      </c>
    </row>
    <row r="1475" spans="1:8" x14ac:dyDescent="0.25">
      <c r="A1475" s="1">
        <v>2008</v>
      </c>
      <c r="B1475" s="1" t="s">
        <v>104</v>
      </c>
      <c r="C1475" t="s">
        <v>51</v>
      </c>
      <c r="D1475">
        <v>2</v>
      </c>
      <c r="E1475">
        <v>41</v>
      </c>
      <c r="F1475">
        <v>0.94</v>
      </c>
      <c r="G1475">
        <f>(F1475/0.6)/4</f>
        <v>0.39166666666666666</v>
      </c>
      <c r="H1475">
        <f>G1475*(11.5/38.29)</f>
        <v>0.11763297640811352</v>
      </c>
    </row>
    <row r="1476" spans="1:8" x14ac:dyDescent="0.25">
      <c r="A1476" s="1">
        <v>2008</v>
      </c>
      <c r="B1476" s="1" t="s">
        <v>104</v>
      </c>
      <c r="C1476" t="s">
        <v>51</v>
      </c>
      <c r="D1476">
        <v>2</v>
      </c>
      <c r="E1476">
        <v>41</v>
      </c>
      <c r="F1476">
        <v>0.4</v>
      </c>
      <c r="G1476">
        <f>(F1476/0.6)/4</f>
        <v>0.16666666666666669</v>
      </c>
      <c r="H1476">
        <f>G1476*(11.5/38.29)</f>
        <v>5.0056585705580227E-2</v>
      </c>
    </row>
    <row r="1477" spans="1:8" x14ac:dyDescent="0.25">
      <c r="A1477" s="1">
        <v>2008</v>
      </c>
      <c r="B1477" s="1" t="s">
        <v>104</v>
      </c>
      <c r="C1477" t="s">
        <v>51</v>
      </c>
      <c r="D1477">
        <v>2</v>
      </c>
      <c r="E1477">
        <v>41</v>
      </c>
      <c r="F1477">
        <v>1.67</v>
      </c>
      <c r="G1477">
        <f>(F1477/0.6)/4</f>
        <v>0.6958333333333333</v>
      </c>
      <c r="H1477">
        <f>G1477*(11.5/38.29)</f>
        <v>0.2089862453207974</v>
      </c>
    </row>
    <row r="1478" spans="1:8" x14ac:dyDescent="0.25">
      <c r="A1478" s="1">
        <v>2008</v>
      </c>
      <c r="B1478" s="1" t="s">
        <v>104</v>
      </c>
      <c r="C1478" t="s">
        <v>51</v>
      </c>
      <c r="D1478">
        <v>2</v>
      </c>
      <c r="E1478">
        <v>41</v>
      </c>
      <c r="F1478">
        <v>0.61</v>
      </c>
      <c r="G1478">
        <f>(F1478/0.6)/4</f>
        <v>0.25416666666666665</v>
      </c>
      <c r="H1478">
        <f>G1478*(11.5/38.29)</f>
        <v>7.6336293201009833E-2</v>
      </c>
    </row>
    <row r="1479" spans="1:8" x14ac:dyDescent="0.25">
      <c r="A1479" s="1">
        <v>2008</v>
      </c>
      <c r="B1479" s="1" t="s">
        <v>104</v>
      </c>
      <c r="C1479" t="s">
        <v>51</v>
      </c>
      <c r="D1479">
        <v>2</v>
      </c>
      <c r="E1479">
        <v>47</v>
      </c>
      <c r="F1479">
        <v>1.18</v>
      </c>
      <c r="G1479">
        <f>(F1479/0.6)/4</f>
        <v>0.49166666666666664</v>
      </c>
      <c r="H1479">
        <f>G1479*(11.5/38.29)</f>
        <v>0.14766692783146165</v>
      </c>
    </row>
    <row r="1480" spans="1:8" x14ac:dyDescent="0.25">
      <c r="A1480" s="1">
        <v>2008</v>
      </c>
      <c r="B1480" s="1" t="s">
        <v>104</v>
      </c>
      <c r="C1480" t="s">
        <v>51</v>
      </c>
      <c r="D1480">
        <v>2</v>
      </c>
      <c r="E1480">
        <v>53</v>
      </c>
      <c r="F1480">
        <v>0.4</v>
      </c>
      <c r="G1480">
        <f>(F1480/0.6)/4</f>
        <v>0.16666666666666669</v>
      </c>
      <c r="H1480">
        <f>G1480*(11.5/38.29)</f>
        <v>5.0056585705580227E-2</v>
      </c>
    </row>
    <row r="1481" spans="1:8" x14ac:dyDescent="0.25">
      <c r="A1481" s="1">
        <v>2008</v>
      </c>
      <c r="B1481" s="1" t="s">
        <v>104</v>
      </c>
      <c r="C1481" t="s">
        <v>51</v>
      </c>
      <c r="D1481">
        <v>2</v>
      </c>
      <c r="E1481">
        <v>53</v>
      </c>
      <c r="F1481">
        <v>0.68</v>
      </c>
      <c r="G1481">
        <f>(F1481/0.6)/4</f>
        <v>0.28333333333333338</v>
      </c>
      <c r="H1481">
        <f>G1481*(11.5/38.29)</f>
        <v>8.5096195699486385E-2</v>
      </c>
    </row>
    <row r="1482" spans="1:8" x14ac:dyDescent="0.25">
      <c r="A1482" s="1">
        <v>2008</v>
      </c>
      <c r="B1482" s="1" t="s">
        <v>104</v>
      </c>
      <c r="C1482" t="s">
        <v>51</v>
      </c>
      <c r="D1482">
        <v>2</v>
      </c>
      <c r="E1482">
        <v>63</v>
      </c>
      <c r="F1482">
        <v>0.06</v>
      </c>
      <c r="G1482">
        <f>(F1482/0.6)/4</f>
        <v>2.5000000000000001E-2</v>
      </c>
      <c r="H1482">
        <f>G1482*(11.5/38.29)</f>
        <v>7.5084878558370335E-3</v>
      </c>
    </row>
    <row r="1483" spans="1:8" x14ac:dyDescent="0.25">
      <c r="A1483" s="1">
        <v>2008</v>
      </c>
      <c r="B1483" s="1" t="s">
        <v>104</v>
      </c>
      <c r="C1483" t="s">
        <v>51</v>
      </c>
      <c r="D1483">
        <v>2</v>
      </c>
      <c r="E1483">
        <v>63</v>
      </c>
      <c r="F1483">
        <v>0.09</v>
      </c>
      <c r="G1483">
        <f>(F1483/0.6)/4</f>
        <v>3.7499999999999999E-2</v>
      </c>
      <c r="H1483">
        <f>G1483*(11.5/38.29)</f>
        <v>1.126273178375555E-2</v>
      </c>
    </row>
    <row r="1484" spans="1:8" x14ac:dyDescent="0.25">
      <c r="A1484" s="1">
        <v>2008</v>
      </c>
      <c r="B1484" s="1" t="s">
        <v>104</v>
      </c>
      <c r="C1484" t="s">
        <v>51</v>
      </c>
      <c r="D1484">
        <v>2</v>
      </c>
      <c r="E1484">
        <v>63</v>
      </c>
      <c r="F1484">
        <v>0.12</v>
      </c>
      <c r="G1484">
        <f>(F1484/0.6)/4</f>
        <v>0.05</v>
      </c>
      <c r="H1484">
        <f>G1484*(11.5/38.29)</f>
        <v>1.5016975711674067E-2</v>
      </c>
    </row>
    <row r="1485" spans="1:8" x14ac:dyDescent="0.25">
      <c r="A1485" s="1">
        <v>2008</v>
      </c>
      <c r="B1485" s="1" t="s">
        <v>104</v>
      </c>
      <c r="C1485" t="s">
        <v>51</v>
      </c>
      <c r="D1485">
        <v>2</v>
      </c>
      <c r="E1485">
        <v>63</v>
      </c>
      <c r="F1485">
        <v>0.12</v>
      </c>
      <c r="G1485">
        <f>(F1485/0.6)/4</f>
        <v>0.05</v>
      </c>
      <c r="H1485">
        <f>G1485*(11.5/38.29)</f>
        <v>1.5016975711674067E-2</v>
      </c>
    </row>
    <row r="1486" spans="1:8" x14ac:dyDescent="0.25">
      <c r="A1486" s="1">
        <v>2008</v>
      </c>
      <c r="B1486" s="1" t="s">
        <v>104</v>
      </c>
      <c r="C1486" t="s">
        <v>51</v>
      </c>
      <c r="D1486">
        <v>2</v>
      </c>
      <c r="E1486">
        <v>63</v>
      </c>
      <c r="F1486">
        <v>0.12</v>
      </c>
      <c r="G1486">
        <f>(F1486/0.6)/4</f>
        <v>0.05</v>
      </c>
      <c r="H1486">
        <f>G1486*(11.5/38.29)</f>
        <v>1.5016975711674067E-2</v>
      </c>
    </row>
    <row r="1487" spans="1:8" x14ac:dyDescent="0.25">
      <c r="A1487" s="1">
        <v>2008</v>
      </c>
      <c r="B1487" s="1" t="s">
        <v>104</v>
      </c>
      <c r="C1487" t="s">
        <v>51</v>
      </c>
      <c r="D1487">
        <v>2</v>
      </c>
      <c r="E1487">
        <v>63</v>
      </c>
      <c r="F1487">
        <v>7.0000000000000007E-2</v>
      </c>
      <c r="G1487">
        <f>(F1487/0.6)/4</f>
        <v>2.9166666666666671E-2</v>
      </c>
      <c r="H1487">
        <f>G1487*(11.5/38.29)</f>
        <v>8.7599024984765395E-3</v>
      </c>
    </row>
    <row r="1488" spans="1:8" x14ac:dyDescent="0.25">
      <c r="A1488" s="1">
        <v>2008</v>
      </c>
      <c r="B1488" s="1" t="s">
        <v>104</v>
      </c>
      <c r="C1488" t="s">
        <v>51</v>
      </c>
      <c r="D1488">
        <v>2</v>
      </c>
      <c r="E1488">
        <v>63</v>
      </c>
      <c r="F1488">
        <v>0.16</v>
      </c>
      <c r="G1488">
        <f>(F1488/0.6)/4</f>
        <v>6.6666666666666666E-2</v>
      </c>
      <c r="H1488">
        <f>G1488*(11.5/38.29)</f>
        <v>2.0022634282232089E-2</v>
      </c>
    </row>
    <row r="1489" spans="1:8" x14ac:dyDescent="0.25">
      <c r="A1489" s="1">
        <v>2008</v>
      </c>
      <c r="B1489" s="1" t="s">
        <v>104</v>
      </c>
      <c r="C1489" t="s">
        <v>51</v>
      </c>
      <c r="D1489">
        <v>2</v>
      </c>
      <c r="E1489">
        <v>63</v>
      </c>
      <c r="F1489">
        <v>0.16</v>
      </c>
      <c r="G1489">
        <f>(F1489/0.6)/4</f>
        <v>6.6666666666666666E-2</v>
      </c>
      <c r="H1489">
        <f>G1489*(11.5/38.29)</f>
        <v>2.0022634282232089E-2</v>
      </c>
    </row>
    <row r="1490" spans="1:8" x14ac:dyDescent="0.25">
      <c r="A1490" s="1">
        <v>2008</v>
      </c>
      <c r="B1490" s="1" t="s">
        <v>104</v>
      </c>
      <c r="C1490" t="s">
        <v>51</v>
      </c>
      <c r="D1490">
        <v>2</v>
      </c>
      <c r="E1490">
        <v>63</v>
      </c>
      <c r="F1490">
        <v>0.05</v>
      </c>
      <c r="G1490">
        <f>(F1490/0.6)/4</f>
        <v>2.0833333333333336E-2</v>
      </c>
      <c r="H1490">
        <f>G1490*(11.5/38.29)</f>
        <v>6.2570732131975284E-3</v>
      </c>
    </row>
    <row r="1491" spans="1:8" x14ac:dyDescent="0.25">
      <c r="A1491" s="1">
        <v>2008</v>
      </c>
      <c r="B1491" s="1" t="s">
        <v>104</v>
      </c>
      <c r="C1491" t="s">
        <v>51</v>
      </c>
      <c r="D1491">
        <v>2</v>
      </c>
      <c r="E1491">
        <v>63</v>
      </c>
      <c r="F1491">
        <v>0.15</v>
      </c>
      <c r="G1491">
        <f>(F1491/0.6)/4</f>
        <v>6.25E-2</v>
      </c>
      <c r="H1491">
        <f>G1491*(11.5/38.29)</f>
        <v>1.8771219639592582E-2</v>
      </c>
    </row>
    <row r="1492" spans="1:8" x14ac:dyDescent="0.25">
      <c r="A1492" s="1">
        <v>2008</v>
      </c>
      <c r="B1492" s="1" t="s">
        <v>104</v>
      </c>
      <c r="C1492" t="s">
        <v>51</v>
      </c>
      <c r="D1492">
        <v>2</v>
      </c>
      <c r="E1492">
        <v>63</v>
      </c>
      <c r="F1492">
        <v>0.05</v>
      </c>
      <c r="G1492">
        <f>(F1492/0.6)/4</f>
        <v>2.0833333333333336E-2</v>
      </c>
      <c r="H1492">
        <f>G1492*(11.5/38.29)</f>
        <v>6.2570732131975284E-3</v>
      </c>
    </row>
    <row r="1493" spans="1:8" x14ac:dyDescent="0.25">
      <c r="A1493" s="1">
        <v>2008</v>
      </c>
      <c r="B1493" s="1" t="s">
        <v>104</v>
      </c>
      <c r="C1493" t="s">
        <v>51</v>
      </c>
      <c r="D1493">
        <v>2</v>
      </c>
      <c r="E1493">
        <v>63</v>
      </c>
      <c r="F1493">
        <v>7.0000000000000007E-2</v>
      </c>
      <c r="G1493">
        <f>(F1493/0.6)/4</f>
        <v>2.9166666666666671E-2</v>
      </c>
      <c r="H1493">
        <f>G1493*(11.5/38.29)</f>
        <v>8.7599024984765395E-3</v>
      </c>
    </row>
    <row r="1494" spans="1:8" x14ac:dyDescent="0.25">
      <c r="A1494" s="1">
        <v>2008</v>
      </c>
      <c r="B1494" s="1" t="s">
        <v>104</v>
      </c>
      <c r="C1494" t="s">
        <v>51</v>
      </c>
      <c r="D1494">
        <v>2</v>
      </c>
      <c r="E1494">
        <v>63</v>
      </c>
      <c r="F1494">
        <v>0.08</v>
      </c>
      <c r="G1494">
        <f>(F1494/0.6)/4</f>
        <v>3.3333333333333333E-2</v>
      </c>
      <c r="H1494">
        <f>G1494*(11.5/38.29)</f>
        <v>1.0011317141116045E-2</v>
      </c>
    </row>
    <row r="1495" spans="1:8" x14ac:dyDescent="0.25">
      <c r="A1495" s="1">
        <v>2008</v>
      </c>
      <c r="B1495" s="1" t="s">
        <v>104</v>
      </c>
      <c r="C1495" t="s">
        <v>51</v>
      </c>
      <c r="D1495">
        <v>2</v>
      </c>
      <c r="E1495">
        <v>63</v>
      </c>
      <c r="F1495">
        <v>0.06</v>
      </c>
      <c r="G1495">
        <f>(F1495/0.6)/4</f>
        <v>2.5000000000000001E-2</v>
      </c>
      <c r="H1495">
        <f>G1495*(11.5/38.29)</f>
        <v>7.5084878558370335E-3</v>
      </c>
    </row>
    <row r="1496" spans="1:8" x14ac:dyDescent="0.25">
      <c r="A1496" s="1">
        <v>2008</v>
      </c>
      <c r="B1496" s="1" t="s">
        <v>104</v>
      </c>
      <c r="C1496" t="s">
        <v>51</v>
      </c>
      <c r="D1496">
        <v>2</v>
      </c>
      <c r="E1496">
        <v>76</v>
      </c>
      <c r="F1496">
        <v>0.2</v>
      </c>
      <c r="G1496">
        <f>(F1496/0.6)/4</f>
        <v>8.3333333333333343E-2</v>
      </c>
      <c r="H1496">
        <f>G1496*(11.5/38.29)</f>
        <v>2.5028292852790113E-2</v>
      </c>
    </row>
    <row r="1497" spans="1:8" x14ac:dyDescent="0.25">
      <c r="A1497" s="1">
        <v>2008</v>
      </c>
      <c r="B1497" s="1" t="s">
        <v>104</v>
      </c>
      <c r="C1497" t="s">
        <v>51</v>
      </c>
      <c r="D1497">
        <v>2</v>
      </c>
      <c r="E1497">
        <v>79</v>
      </c>
      <c r="F1497">
        <v>0.73</v>
      </c>
      <c r="G1497">
        <f>(F1497/0.6)/4</f>
        <v>0.3041666666666667</v>
      </c>
      <c r="H1497">
        <f>G1497*(11.5/38.29)</f>
        <v>9.1353268912683916E-2</v>
      </c>
    </row>
    <row r="1498" spans="1:8" x14ac:dyDescent="0.25">
      <c r="A1498" s="1">
        <v>2008</v>
      </c>
      <c r="B1498" s="1" t="s">
        <v>104</v>
      </c>
      <c r="C1498" t="s">
        <v>51</v>
      </c>
      <c r="D1498">
        <v>2</v>
      </c>
      <c r="E1498">
        <v>79</v>
      </c>
      <c r="F1498">
        <v>0.08</v>
      </c>
      <c r="G1498">
        <f>(F1498/0.6)/4</f>
        <v>3.3333333333333333E-2</v>
      </c>
      <c r="H1498">
        <f>G1498*(11.5/38.29)</f>
        <v>1.0011317141116045E-2</v>
      </c>
    </row>
    <row r="1499" spans="1:8" x14ac:dyDescent="0.25">
      <c r="A1499" s="1">
        <v>2008</v>
      </c>
      <c r="B1499" s="1" t="s">
        <v>104</v>
      </c>
      <c r="C1499" t="s">
        <v>51</v>
      </c>
      <c r="D1499">
        <v>2</v>
      </c>
      <c r="E1499">
        <v>79</v>
      </c>
      <c r="F1499">
        <v>0.31</v>
      </c>
      <c r="G1499">
        <f>(F1499/0.6)/4</f>
        <v>0.12916666666666668</v>
      </c>
      <c r="H1499">
        <f>G1499*(11.5/38.29)</f>
        <v>3.8793853921824675E-2</v>
      </c>
    </row>
    <row r="1500" spans="1:8" x14ac:dyDescent="0.25">
      <c r="A1500" s="1">
        <v>2008</v>
      </c>
      <c r="B1500" s="1" t="s">
        <v>104</v>
      </c>
      <c r="C1500" t="s">
        <v>51</v>
      </c>
      <c r="D1500">
        <v>2</v>
      </c>
      <c r="E1500">
        <v>79</v>
      </c>
      <c r="F1500">
        <v>0.44</v>
      </c>
      <c r="G1500">
        <f>(F1500/0.6)/4</f>
        <v>0.18333333333333335</v>
      </c>
      <c r="H1500">
        <f>G1500*(11.5/38.29)</f>
        <v>5.5062244276138247E-2</v>
      </c>
    </row>
    <row r="1501" spans="1:8" x14ac:dyDescent="0.25">
      <c r="A1501" s="1">
        <v>2008</v>
      </c>
      <c r="B1501" s="1" t="s">
        <v>104</v>
      </c>
      <c r="C1501" t="s">
        <v>51</v>
      </c>
      <c r="D1501">
        <v>2</v>
      </c>
      <c r="E1501">
        <v>79</v>
      </c>
      <c r="F1501">
        <v>0.32</v>
      </c>
      <c r="G1501">
        <f>(F1501/0.6)/4</f>
        <v>0.13333333333333333</v>
      </c>
      <c r="H1501">
        <f>G1501*(11.5/38.29)</f>
        <v>4.0045268564464179E-2</v>
      </c>
    </row>
    <row r="1502" spans="1:8" x14ac:dyDescent="0.25">
      <c r="A1502" s="1">
        <v>2008</v>
      </c>
      <c r="B1502" s="1" t="s">
        <v>104</v>
      </c>
      <c r="C1502" t="s">
        <v>51</v>
      </c>
      <c r="D1502">
        <v>2</v>
      </c>
      <c r="E1502">
        <v>79</v>
      </c>
      <c r="F1502">
        <v>0.12</v>
      </c>
      <c r="G1502">
        <f>(F1502/0.6)/4</f>
        <v>0.05</v>
      </c>
      <c r="H1502">
        <f>G1502*(11.5/38.29)</f>
        <v>1.5016975711674067E-2</v>
      </c>
    </row>
    <row r="1503" spans="1:8" x14ac:dyDescent="0.25">
      <c r="A1503" s="1">
        <v>2008</v>
      </c>
      <c r="B1503" s="1" t="s">
        <v>104</v>
      </c>
      <c r="C1503" t="s">
        <v>51</v>
      </c>
      <c r="D1503">
        <v>2</v>
      </c>
      <c r="E1503">
        <v>79</v>
      </c>
      <c r="F1503">
        <v>0.27</v>
      </c>
      <c r="G1503">
        <f>(F1503/0.6)/4</f>
        <v>0.11250000000000002</v>
      </c>
      <c r="H1503">
        <f>G1503*(11.5/38.29)</f>
        <v>3.3788195351266655E-2</v>
      </c>
    </row>
    <row r="1504" spans="1:8" x14ac:dyDescent="0.25">
      <c r="A1504" s="1">
        <v>2008</v>
      </c>
      <c r="B1504" s="1" t="s">
        <v>104</v>
      </c>
      <c r="C1504" t="s">
        <v>51</v>
      </c>
      <c r="D1504">
        <v>2</v>
      </c>
      <c r="E1504">
        <v>79</v>
      </c>
      <c r="F1504">
        <v>0.06</v>
      </c>
      <c r="G1504">
        <f>(F1504/0.6)/4</f>
        <v>2.5000000000000001E-2</v>
      </c>
      <c r="H1504">
        <f>G1504*(11.5/38.29)</f>
        <v>7.5084878558370335E-3</v>
      </c>
    </row>
    <row r="1505" spans="1:8" x14ac:dyDescent="0.25">
      <c r="A1505" s="1">
        <v>2008</v>
      </c>
      <c r="B1505" s="1" t="s">
        <v>104</v>
      </c>
      <c r="C1505" t="s">
        <v>51</v>
      </c>
      <c r="D1505">
        <v>2</v>
      </c>
      <c r="E1505">
        <v>79</v>
      </c>
      <c r="F1505">
        <v>0.24</v>
      </c>
      <c r="G1505">
        <f>(F1505/0.6)/4</f>
        <v>0.1</v>
      </c>
      <c r="H1505">
        <f>G1505*(11.5/38.29)</f>
        <v>3.0033951423348134E-2</v>
      </c>
    </row>
    <row r="1506" spans="1:8" x14ac:dyDescent="0.25">
      <c r="A1506" s="1">
        <v>2008</v>
      </c>
      <c r="B1506" s="1" t="s">
        <v>104</v>
      </c>
      <c r="C1506" t="s">
        <v>51</v>
      </c>
      <c r="D1506">
        <v>2</v>
      </c>
      <c r="E1506">
        <v>79</v>
      </c>
      <c r="F1506">
        <v>0.05</v>
      </c>
      <c r="G1506">
        <f>(F1506/0.6)/4</f>
        <v>2.0833333333333336E-2</v>
      </c>
      <c r="H1506">
        <f>G1506*(11.5/38.29)</f>
        <v>6.2570732131975284E-3</v>
      </c>
    </row>
    <row r="1507" spans="1:8" x14ac:dyDescent="0.25">
      <c r="A1507" s="1">
        <v>2008</v>
      </c>
      <c r="B1507" s="1" t="s">
        <v>104</v>
      </c>
      <c r="C1507" t="s">
        <v>51</v>
      </c>
      <c r="D1507">
        <v>2</v>
      </c>
      <c r="E1507">
        <v>79</v>
      </c>
      <c r="F1507">
        <v>0.14000000000000001</v>
      </c>
      <c r="G1507">
        <f>(F1507/0.6)/4</f>
        <v>5.8333333333333341E-2</v>
      </c>
      <c r="H1507">
        <f>G1507*(11.5/38.29)</f>
        <v>1.7519804996953079E-2</v>
      </c>
    </row>
    <row r="1508" spans="1:8" x14ac:dyDescent="0.25">
      <c r="A1508" s="1">
        <v>2008</v>
      </c>
      <c r="B1508" s="1" t="s">
        <v>104</v>
      </c>
      <c r="C1508" t="s">
        <v>51</v>
      </c>
      <c r="D1508">
        <v>2</v>
      </c>
      <c r="E1508">
        <v>79</v>
      </c>
      <c r="F1508">
        <v>0.57999999999999996</v>
      </c>
      <c r="G1508">
        <f>(F1508/0.6)/4</f>
        <v>0.24166666666666667</v>
      </c>
      <c r="H1508">
        <f>G1508*(11.5/38.29)</f>
        <v>7.2582049273091323E-2</v>
      </c>
    </row>
    <row r="1509" spans="1:8" x14ac:dyDescent="0.25">
      <c r="A1509" s="1">
        <v>2008</v>
      </c>
      <c r="B1509" s="1" t="s">
        <v>104</v>
      </c>
      <c r="C1509" t="s">
        <v>51</v>
      </c>
      <c r="D1509">
        <v>2</v>
      </c>
      <c r="E1509">
        <v>79</v>
      </c>
      <c r="F1509">
        <v>0.42</v>
      </c>
      <c r="G1509">
        <f>(F1509/0.6)/4</f>
        <v>0.17499999999999999</v>
      </c>
      <c r="H1509">
        <f>G1509*(11.5/38.29)</f>
        <v>5.2559414990859227E-2</v>
      </c>
    </row>
    <row r="1510" spans="1:8" x14ac:dyDescent="0.25">
      <c r="A1510" s="1">
        <v>2008</v>
      </c>
      <c r="B1510" s="1" t="s">
        <v>104</v>
      </c>
      <c r="C1510" t="s">
        <v>51</v>
      </c>
      <c r="D1510">
        <v>2</v>
      </c>
      <c r="E1510">
        <v>79</v>
      </c>
      <c r="F1510">
        <v>0.51</v>
      </c>
      <c r="G1510">
        <f>(F1510/0.6)/4</f>
        <v>0.21250000000000002</v>
      </c>
      <c r="H1510">
        <f>G1510*(11.5/38.29)</f>
        <v>6.3822146774614785E-2</v>
      </c>
    </row>
    <row r="1511" spans="1:8" x14ac:dyDescent="0.25">
      <c r="A1511" s="1">
        <v>2008</v>
      </c>
      <c r="B1511" s="1" t="s">
        <v>104</v>
      </c>
      <c r="C1511" t="s">
        <v>51</v>
      </c>
      <c r="D1511">
        <v>2</v>
      </c>
      <c r="E1511">
        <v>79</v>
      </c>
      <c r="F1511">
        <v>0.05</v>
      </c>
      <c r="G1511">
        <f>(F1511/0.6)/4</f>
        <v>2.0833333333333336E-2</v>
      </c>
      <c r="H1511">
        <f>G1511*(11.5/38.29)</f>
        <v>6.2570732131975284E-3</v>
      </c>
    </row>
    <row r="1512" spans="1:8" x14ac:dyDescent="0.25">
      <c r="A1512" s="1">
        <v>2008</v>
      </c>
      <c r="B1512" s="1" t="s">
        <v>104</v>
      </c>
      <c r="C1512" t="s">
        <v>51</v>
      </c>
      <c r="D1512">
        <v>2</v>
      </c>
      <c r="E1512">
        <v>79</v>
      </c>
      <c r="F1512">
        <v>0.44</v>
      </c>
      <c r="G1512">
        <f>(F1512/0.6)/4</f>
        <v>0.18333333333333335</v>
      </c>
      <c r="H1512">
        <f>G1512*(11.5/38.29)</f>
        <v>5.5062244276138247E-2</v>
      </c>
    </row>
    <row r="1513" spans="1:8" x14ac:dyDescent="0.25">
      <c r="A1513" s="1">
        <v>2008</v>
      </c>
      <c r="B1513" s="1" t="s">
        <v>104</v>
      </c>
      <c r="C1513" t="s">
        <v>51</v>
      </c>
      <c r="D1513">
        <v>2</v>
      </c>
      <c r="E1513">
        <v>79</v>
      </c>
      <c r="F1513">
        <v>0.3</v>
      </c>
      <c r="G1513">
        <f>(F1513/0.6)/4</f>
        <v>0.125</v>
      </c>
      <c r="H1513">
        <f>G1513*(11.5/38.29)</f>
        <v>3.7542439279185165E-2</v>
      </c>
    </row>
    <row r="1514" spans="1:8" x14ac:dyDescent="0.25">
      <c r="A1514" s="1">
        <v>2008</v>
      </c>
      <c r="B1514" s="1" t="s">
        <v>104</v>
      </c>
      <c r="C1514" t="s">
        <v>51</v>
      </c>
      <c r="D1514">
        <v>2</v>
      </c>
      <c r="E1514">
        <v>79</v>
      </c>
      <c r="F1514">
        <v>0.96</v>
      </c>
      <c r="G1514">
        <f>(F1514/0.6)/4</f>
        <v>0.4</v>
      </c>
      <c r="H1514">
        <f>G1514*(11.5/38.29)</f>
        <v>0.12013580569339254</v>
      </c>
    </row>
    <row r="1515" spans="1:8" x14ac:dyDescent="0.25">
      <c r="A1515" s="1">
        <v>2008</v>
      </c>
      <c r="B1515" s="1" t="s">
        <v>104</v>
      </c>
      <c r="C1515" t="s">
        <v>51</v>
      </c>
      <c r="D1515">
        <v>2</v>
      </c>
      <c r="E1515">
        <v>79</v>
      </c>
      <c r="F1515">
        <v>7.0000000000000007E-2</v>
      </c>
      <c r="G1515">
        <f>(F1515/0.6)/4</f>
        <v>2.9166666666666671E-2</v>
      </c>
      <c r="H1515">
        <f>G1515*(11.5/38.29)</f>
        <v>8.7599024984765395E-3</v>
      </c>
    </row>
    <row r="1516" spans="1:8" x14ac:dyDescent="0.25">
      <c r="A1516" s="1">
        <v>2008</v>
      </c>
      <c r="B1516" s="1" t="s">
        <v>104</v>
      </c>
      <c r="C1516" t="s">
        <v>51</v>
      </c>
      <c r="D1516">
        <v>2</v>
      </c>
      <c r="E1516">
        <v>79</v>
      </c>
      <c r="F1516">
        <v>0.2</v>
      </c>
      <c r="G1516">
        <f>(F1516/0.6)/4</f>
        <v>8.3333333333333343E-2</v>
      </c>
      <c r="H1516">
        <f>G1516*(11.5/38.29)</f>
        <v>2.5028292852790113E-2</v>
      </c>
    </row>
    <row r="1517" spans="1:8" x14ac:dyDescent="0.25">
      <c r="A1517" s="1">
        <v>2008</v>
      </c>
      <c r="B1517" s="1" t="s">
        <v>104</v>
      </c>
      <c r="C1517" t="s">
        <v>51</v>
      </c>
      <c r="D1517">
        <v>2</v>
      </c>
      <c r="E1517">
        <v>79</v>
      </c>
      <c r="F1517">
        <v>0.05</v>
      </c>
      <c r="G1517">
        <f>(F1517/0.6)/4</f>
        <v>2.0833333333333336E-2</v>
      </c>
      <c r="H1517">
        <f>G1517*(11.5/38.29)</f>
        <v>6.2570732131975284E-3</v>
      </c>
    </row>
    <row r="1518" spans="1:8" x14ac:dyDescent="0.25">
      <c r="A1518" s="1">
        <v>2008</v>
      </c>
      <c r="B1518" s="1" t="s">
        <v>104</v>
      </c>
      <c r="C1518" t="s">
        <v>51</v>
      </c>
      <c r="D1518">
        <v>2</v>
      </c>
      <c r="E1518">
        <v>79</v>
      </c>
      <c r="F1518">
        <v>0.08</v>
      </c>
      <c r="G1518">
        <f>(F1518/0.6)/4</f>
        <v>3.3333333333333333E-2</v>
      </c>
      <c r="H1518">
        <f>G1518*(11.5/38.29)</f>
        <v>1.0011317141116045E-2</v>
      </c>
    </row>
    <row r="1519" spans="1:8" x14ac:dyDescent="0.25">
      <c r="A1519" s="1">
        <v>2008</v>
      </c>
      <c r="B1519" s="1" t="s">
        <v>104</v>
      </c>
      <c r="C1519" t="s">
        <v>51</v>
      </c>
      <c r="D1519">
        <v>2</v>
      </c>
      <c r="E1519">
        <v>79</v>
      </c>
      <c r="F1519">
        <v>7.0000000000000007E-2</v>
      </c>
      <c r="G1519">
        <f>(F1519/0.6)/4</f>
        <v>2.9166666666666671E-2</v>
      </c>
      <c r="H1519">
        <f>G1519*(11.5/38.29)</f>
        <v>8.7599024984765395E-3</v>
      </c>
    </row>
    <row r="1520" spans="1:8" x14ac:dyDescent="0.25">
      <c r="A1520" s="1">
        <v>2008</v>
      </c>
      <c r="B1520" s="1" t="s">
        <v>104</v>
      </c>
      <c r="C1520" t="s">
        <v>51</v>
      </c>
      <c r="D1520">
        <v>2</v>
      </c>
      <c r="E1520">
        <v>79</v>
      </c>
      <c r="F1520">
        <v>1.18</v>
      </c>
      <c r="G1520">
        <f>(F1520/0.6)/4</f>
        <v>0.49166666666666664</v>
      </c>
      <c r="H1520">
        <f>G1520*(11.5/38.29)</f>
        <v>0.14766692783146165</v>
      </c>
    </row>
    <row r="1521" spans="1:8" x14ac:dyDescent="0.25">
      <c r="A1521" s="1">
        <v>2008</v>
      </c>
      <c r="B1521" s="1" t="s">
        <v>104</v>
      </c>
      <c r="C1521" t="s">
        <v>51</v>
      </c>
      <c r="D1521">
        <v>2</v>
      </c>
      <c r="E1521">
        <v>79</v>
      </c>
      <c r="F1521">
        <v>0.33</v>
      </c>
      <c r="G1521">
        <f>(F1521/0.6)/4</f>
        <v>0.13750000000000001</v>
      </c>
      <c r="H1521">
        <f>G1521*(11.5/38.29)</f>
        <v>4.1296683207103682E-2</v>
      </c>
    </row>
    <row r="1522" spans="1:8" x14ac:dyDescent="0.25">
      <c r="A1522" s="1">
        <v>2008</v>
      </c>
      <c r="B1522" s="1" t="s">
        <v>104</v>
      </c>
      <c r="C1522" t="s">
        <v>51</v>
      </c>
      <c r="D1522">
        <v>2</v>
      </c>
      <c r="E1522">
        <v>79</v>
      </c>
      <c r="F1522">
        <v>0.06</v>
      </c>
      <c r="G1522">
        <f>(F1522/0.6)/4</f>
        <v>2.5000000000000001E-2</v>
      </c>
      <c r="H1522">
        <f>G1522*(11.5/38.29)</f>
        <v>7.5084878558370335E-3</v>
      </c>
    </row>
    <row r="1523" spans="1:8" x14ac:dyDescent="0.25">
      <c r="A1523" s="1">
        <v>2008</v>
      </c>
      <c r="B1523" s="1" t="s">
        <v>104</v>
      </c>
      <c r="C1523" t="s">
        <v>51</v>
      </c>
      <c r="D1523">
        <v>2</v>
      </c>
      <c r="E1523">
        <v>79</v>
      </c>
      <c r="F1523">
        <v>0.13</v>
      </c>
      <c r="G1523">
        <f>(F1523/0.6)/4</f>
        <v>5.4166666666666669E-2</v>
      </c>
      <c r="H1523">
        <f>G1523*(11.5/38.29)</f>
        <v>1.6268390354313572E-2</v>
      </c>
    </row>
    <row r="1524" spans="1:8" x14ac:dyDescent="0.25">
      <c r="A1524" s="1">
        <v>2008</v>
      </c>
      <c r="B1524" s="1" t="s">
        <v>104</v>
      </c>
      <c r="C1524" t="s">
        <v>51</v>
      </c>
      <c r="D1524">
        <v>2</v>
      </c>
      <c r="E1524">
        <v>79</v>
      </c>
      <c r="F1524">
        <v>0.08</v>
      </c>
      <c r="G1524">
        <f>(F1524/0.6)/4</f>
        <v>3.3333333333333333E-2</v>
      </c>
      <c r="H1524">
        <f>G1524*(11.5/38.29)</f>
        <v>1.0011317141116045E-2</v>
      </c>
    </row>
    <row r="1525" spans="1:8" x14ac:dyDescent="0.25">
      <c r="A1525" s="1">
        <v>2008</v>
      </c>
      <c r="B1525" s="1" t="s">
        <v>104</v>
      </c>
      <c r="C1525" t="s">
        <v>51</v>
      </c>
      <c r="D1525">
        <v>2</v>
      </c>
      <c r="E1525">
        <v>79</v>
      </c>
      <c r="F1525">
        <v>0.15</v>
      </c>
      <c r="G1525">
        <f>(F1525/0.6)/4</f>
        <v>6.25E-2</v>
      </c>
      <c r="H1525">
        <f>G1525*(11.5/38.29)</f>
        <v>1.8771219639592582E-2</v>
      </c>
    </row>
    <row r="1526" spans="1:8" x14ac:dyDescent="0.25">
      <c r="A1526" s="1">
        <v>2008</v>
      </c>
      <c r="B1526" s="1" t="s">
        <v>104</v>
      </c>
      <c r="C1526" t="s">
        <v>51</v>
      </c>
      <c r="D1526">
        <v>2</v>
      </c>
      <c r="E1526">
        <v>79</v>
      </c>
      <c r="F1526">
        <v>0.05</v>
      </c>
      <c r="G1526">
        <f>(F1526/0.6)/4</f>
        <v>2.0833333333333336E-2</v>
      </c>
      <c r="H1526">
        <f>G1526*(11.5/38.29)</f>
        <v>6.2570732131975284E-3</v>
      </c>
    </row>
    <row r="1527" spans="1:8" x14ac:dyDescent="0.25">
      <c r="A1527" s="1">
        <v>2008</v>
      </c>
      <c r="B1527" s="1" t="s">
        <v>104</v>
      </c>
      <c r="C1527" t="s">
        <v>51</v>
      </c>
      <c r="D1527">
        <v>2</v>
      </c>
      <c r="E1527">
        <v>79</v>
      </c>
      <c r="F1527">
        <v>0.05</v>
      </c>
      <c r="G1527">
        <f>(F1527/0.6)/4</f>
        <v>2.0833333333333336E-2</v>
      </c>
      <c r="H1527">
        <f>G1527*(11.5/38.29)</f>
        <v>6.2570732131975284E-3</v>
      </c>
    </row>
    <row r="1528" spans="1:8" x14ac:dyDescent="0.25">
      <c r="A1528" s="1">
        <v>2008</v>
      </c>
      <c r="B1528" s="1" t="s">
        <v>104</v>
      </c>
      <c r="C1528" t="s">
        <v>51</v>
      </c>
      <c r="D1528">
        <v>2</v>
      </c>
      <c r="E1528">
        <v>79</v>
      </c>
      <c r="F1528">
        <v>0.04</v>
      </c>
      <c r="G1528">
        <f>(F1528/0.6)/4</f>
        <v>1.6666666666666666E-2</v>
      </c>
      <c r="H1528">
        <f>G1528*(11.5/38.29)</f>
        <v>5.0056585705580223E-3</v>
      </c>
    </row>
    <row r="1529" spans="1:8" x14ac:dyDescent="0.25">
      <c r="A1529" s="1">
        <v>2008</v>
      </c>
      <c r="B1529" s="1" t="s">
        <v>104</v>
      </c>
      <c r="C1529" t="s">
        <v>51</v>
      </c>
      <c r="D1529">
        <v>2</v>
      </c>
      <c r="E1529">
        <v>79</v>
      </c>
      <c r="F1529">
        <v>0.15</v>
      </c>
      <c r="G1529">
        <f>(F1529/0.6)/4</f>
        <v>6.25E-2</v>
      </c>
      <c r="H1529">
        <f>G1529*(11.5/38.29)</f>
        <v>1.8771219639592582E-2</v>
      </c>
    </row>
    <row r="1530" spans="1:8" x14ac:dyDescent="0.25">
      <c r="A1530" s="1">
        <v>2008</v>
      </c>
      <c r="B1530" s="1" t="s">
        <v>104</v>
      </c>
      <c r="C1530" t="s">
        <v>51</v>
      </c>
      <c r="D1530">
        <v>2</v>
      </c>
      <c r="E1530">
        <v>79</v>
      </c>
      <c r="F1530">
        <v>0.27</v>
      </c>
      <c r="G1530">
        <f>(F1530/0.6)/4</f>
        <v>0.11250000000000002</v>
      </c>
      <c r="H1530">
        <f>G1530*(11.5/38.29)</f>
        <v>3.3788195351266655E-2</v>
      </c>
    </row>
    <row r="1531" spans="1:8" x14ac:dyDescent="0.25">
      <c r="A1531" s="1">
        <v>2008</v>
      </c>
      <c r="B1531" s="1" t="s">
        <v>104</v>
      </c>
      <c r="C1531" t="s">
        <v>51</v>
      </c>
      <c r="D1531">
        <v>2</v>
      </c>
      <c r="E1531">
        <v>79</v>
      </c>
      <c r="F1531">
        <v>1.21</v>
      </c>
      <c r="G1531">
        <f>(F1531/0.6)/4</f>
        <v>0.50416666666666665</v>
      </c>
      <c r="H1531">
        <f>G1531*(11.5/38.29)</f>
        <v>0.15142117175938016</v>
      </c>
    </row>
    <row r="1532" spans="1:8" x14ac:dyDescent="0.25">
      <c r="A1532" s="1">
        <v>2008</v>
      </c>
      <c r="B1532" s="1" t="s">
        <v>104</v>
      </c>
      <c r="C1532" t="s">
        <v>51</v>
      </c>
      <c r="D1532">
        <v>2</v>
      </c>
      <c r="E1532">
        <v>79</v>
      </c>
      <c r="F1532">
        <v>0.44</v>
      </c>
      <c r="G1532">
        <f>(F1532/0.6)/4</f>
        <v>0.18333333333333335</v>
      </c>
      <c r="H1532">
        <f>G1532*(11.5/38.29)</f>
        <v>5.5062244276138247E-2</v>
      </c>
    </row>
    <row r="1533" spans="1:8" x14ac:dyDescent="0.25">
      <c r="A1533" s="1">
        <v>2008</v>
      </c>
      <c r="B1533" s="1" t="s">
        <v>104</v>
      </c>
      <c r="C1533" t="s">
        <v>51</v>
      </c>
      <c r="D1533">
        <v>2</v>
      </c>
      <c r="E1533">
        <v>79</v>
      </c>
      <c r="F1533">
        <v>0.25</v>
      </c>
      <c r="G1533">
        <f>(F1533/0.6)/4</f>
        <v>0.10416666666666667</v>
      </c>
      <c r="H1533">
        <f>G1533*(11.5/38.29)</f>
        <v>3.1285366065987641E-2</v>
      </c>
    </row>
    <row r="1534" spans="1:8" x14ac:dyDescent="0.25">
      <c r="A1534" s="1">
        <v>2008</v>
      </c>
      <c r="B1534" s="1" t="s">
        <v>104</v>
      </c>
      <c r="C1534" t="s">
        <v>51</v>
      </c>
      <c r="D1534">
        <v>2</v>
      </c>
      <c r="E1534">
        <v>79</v>
      </c>
      <c r="F1534">
        <v>0.31</v>
      </c>
      <c r="G1534">
        <f>(F1534/0.6)/4</f>
        <v>0.12916666666666668</v>
      </c>
      <c r="H1534">
        <f>G1534*(11.5/38.29)</f>
        <v>3.8793853921824675E-2</v>
      </c>
    </row>
    <row r="1535" spans="1:8" x14ac:dyDescent="0.25">
      <c r="A1535" s="1">
        <v>2008</v>
      </c>
      <c r="B1535" s="1" t="s">
        <v>104</v>
      </c>
      <c r="C1535" t="s">
        <v>51</v>
      </c>
      <c r="D1535">
        <v>2</v>
      </c>
      <c r="E1535">
        <v>79</v>
      </c>
      <c r="F1535">
        <v>0.04</v>
      </c>
      <c r="G1535">
        <f>(F1535/0.6)/4</f>
        <v>1.6666666666666666E-2</v>
      </c>
      <c r="H1535">
        <f>G1535*(11.5/38.29)</f>
        <v>5.0056585705580223E-3</v>
      </c>
    </row>
    <row r="1536" spans="1:8" x14ac:dyDescent="0.25">
      <c r="A1536" s="1">
        <v>2008</v>
      </c>
      <c r="B1536" s="1" t="s">
        <v>104</v>
      </c>
      <c r="C1536" t="s">
        <v>51</v>
      </c>
      <c r="D1536">
        <v>2</v>
      </c>
      <c r="E1536">
        <v>79</v>
      </c>
      <c r="F1536">
        <v>0.14000000000000001</v>
      </c>
      <c r="G1536">
        <f>(F1536/0.6)/4</f>
        <v>5.8333333333333341E-2</v>
      </c>
      <c r="H1536">
        <f>G1536*(11.5/38.29)</f>
        <v>1.7519804996953079E-2</v>
      </c>
    </row>
    <row r="1537" spans="1:8" x14ac:dyDescent="0.25">
      <c r="A1537" s="1">
        <v>2008</v>
      </c>
      <c r="B1537" s="1" t="s">
        <v>104</v>
      </c>
      <c r="C1537" t="s">
        <v>51</v>
      </c>
      <c r="D1537">
        <v>2</v>
      </c>
      <c r="E1537">
        <v>79</v>
      </c>
      <c r="F1537">
        <v>0.04</v>
      </c>
      <c r="G1537">
        <f>(F1537/0.6)/4</f>
        <v>1.6666666666666666E-2</v>
      </c>
      <c r="H1537">
        <f>G1537*(11.5/38.29)</f>
        <v>5.0056585705580223E-3</v>
      </c>
    </row>
    <row r="1538" spans="1:8" x14ac:dyDescent="0.25">
      <c r="A1538" s="1">
        <v>2008</v>
      </c>
      <c r="B1538" s="1" t="s">
        <v>104</v>
      </c>
      <c r="C1538" t="s">
        <v>51</v>
      </c>
      <c r="D1538">
        <v>2</v>
      </c>
      <c r="E1538">
        <v>79</v>
      </c>
      <c r="F1538">
        <v>0.21</v>
      </c>
      <c r="G1538">
        <f>(F1538/0.6)/4</f>
        <v>8.7499999999999994E-2</v>
      </c>
      <c r="H1538">
        <f>G1538*(11.5/38.29)</f>
        <v>2.6279707495429613E-2</v>
      </c>
    </row>
    <row r="1539" spans="1:8" x14ac:dyDescent="0.25">
      <c r="A1539" s="1">
        <v>2008</v>
      </c>
      <c r="B1539" s="1" t="s">
        <v>104</v>
      </c>
      <c r="C1539" t="s">
        <v>51</v>
      </c>
      <c r="D1539">
        <v>2</v>
      </c>
      <c r="E1539">
        <v>79</v>
      </c>
      <c r="F1539">
        <v>0.12</v>
      </c>
      <c r="G1539">
        <f>(F1539/0.6)/4</f>
        <v>0.05</v>
      </c>
      <c r="H1539">
        <f>G1539*(11.5/38.29)</f>
        <v>1.5016975711674067E-2</v>
      </c>
    </row>
    <row r="1540" spans="1:8" x14ac:dyDescent="0.25">
      <c r="A1540" s="1">
        <v>2008</v>
      </c>
      <c r="B1540" s="1" t="s">
        <v>104</v>
      </c>
      <c r="C1540" t="s">
        <v>51</v>
      </c>
      <c r="D1540">
        <v>2</v>
      </c>
      <c r="E1540">
        <v>79</v>
      </c>
      <c r="F1540">
        <v>0.1</v>
      </c>
      <c r="G1540">
        <f>(F1540/0.6)/4</f>
        <v>4.1666666666666671E-2</v>
      </c>
      <c r="H1540">
        <f>G1540*(11.5/38.29)</f>
        <v>1.2514146426395057E-2</v>
      </c>
    </row>
    <row r="1541" spans="1:8" x14ac:dyDescent="0.25">
      <c r="A1541" s="1">
        <v>2008</v>
      </c>
      <c r="B1541" s="1" t="s">
        <v>104</v>
      </c>
      <c r="C1541" t="s">
        <v>51</v>
      </c>
      <c r="D1541">
        <v>2</v>
      </c>
      <c r="E1541">
        <v>79</v>
      </c>
      <c r="F1541">
        <v>0.24</v>
      </c>
      <c r="G1541">
        <f>(F1541/0.6)/4</f>
        <v>0.1</v>
      </c>
      <c r="H1541">
        <f>G1541*(11.5/38.29)</f>
        <v>3.0033951423348134E-2</v>
      </c>
    </row>
    <row r="1542" spans="1:8" x14ac:dyDescent="0.25">
      <c r="A1542" s="1">
        <v>2008</v>
      </c>
      <c r="B1542" s="1" t="s">
        <v>104</v>
      </c>
      <c r="C1542" t="s">
        <v>51</v>
      </c>
      <c r="D1542">
        <v>2</v>
      </c>
      <c r="E1542">
        <v>79</v>
      </c>
      <c r="F1542">
        <v>0.79</v>
      </c>
      <c r="G1542">
        <f>(F1542/0.6)/4</f>
        <v>0.32916666666666672</v>
      </c>
      <c r="H1542">
        <f>G1542*(11.5/38.29)</f>
        <v>9.886175676852095E-2</v>
      </c>
    </row>
    <row r="1543" spans="1:8" x14ac:dyDescent="0.25">
      <c r="A1543" s="1">
        <v>2008</v>
      </c>
      <c r="B1543" s="1" t="s">
        <v>104</v>
      </c>
      <c r="C1543" t="s">
        <v>51</v>
      </c>
      <c r="D1543">
        <v>2</v>
      </c>
      <c r="E1543">
        <v>79</v>
      </c>
      <c r="F1543">
        <v>0.52</v>
      </c>
      <c r="G1543">
        <f>(F1543/0.6)/4</f>
        <v>0.21666666666666667</v>
      </c>
      <c r="H1543">
        <f>G1543*(11.5/38.29)</f>
        <v>6.5073561417254289E-2</v>
      </c>
    </row>
    <row r="1544" spans="1:8" x14ac:dyDescent="0.25">
      <c r="A1544" s="1">
        <v>2008</v>
      </c>
      <c r="B1544" s="1" t="s">
        <v>104</v>
      </c>
      <c r="C1544" t="s">
        <v>51</v>
      </c>
      <c r="D1544">
        <v>2</v>
      </c>
      <c r="E1544">
        <v>79</v>
      </c>
      <c r="F1544">
        <v>0.1</v>
      </c>
      <c r="G1544">
        <f>(F1544/0.6)/4</f>
        <v>4.1666666666666671E-2</v>
      </c>
      <c r="H1544">
        <f>G1544*(11.5/38.29)</f>
        <v>1.2514146426395057E-2</v>
      </c>
    </row>
    <row r="1545" spans="1:8" x14ac:dyDescent="0.25">
      <c r="A1545" s="1">
        <v>2008</v>
      </c>
      <c r="B1545" s="1" t="s">
        <v>104</v>
      </c>
      <c r="C1545" t="s">
        <v>51</v>
      </c>
      <c r="D1545">
        <v>2</v>
      </c>
      <c r="E1545">
        <v>79</v>
      </c>
      <c r="F1545">
        <v>0.06</v>
      </c>
      <c r="G1545">
        <f>(F1545/0.6)/4</f>
        <v>2.5000000000000001E-2</v>
      </c>
      <c r="H1545">
        <f>G1545*(11.5/38.29)</f>
        <v>7.5084878558370335E-3</v>
      </c>
    </row>
    <row r="1546" spans="1:8" x14ac:dyDescent="0.25">
      <c r="A1546" s="1">
        <v>2008</v>
      </c>
      <c r="B1546" s="1" t="s">
        <v>104</v>
      </c>
      <c r="C1546" t="s">
        <v>51</v>
      </c>
      <c r="D1546">
        <v>2</v>
      </c>
      <c r="E1546">
        <v>79</v>
      </c>
      <c r="F1546">
        <v>0.12</v>
      </c>
      <c r="G1546">
        <f>(F1546/0.6)/4</f>
        <v>0.05</v>
      </c>
      <c r="H1546">
        <f>G1546*(11.5/38.29)</f>
        <v>1.5016975711674067E-2</v>
      </c>
    </row>
    <row r="1547" spans="1:8" x14ac:dyDescent="0.25">
      <c r="A1547" s="1">
        <v>2008</v>
      </c>
      <c r="B1547" s="1" t="s">
        <v>104</v>
      </c>
      <c r="C1547" t="s">
        <v>51</v>
      </c>
      <c r="D1547">
        <v>2</v>
      </c>
      <c r="E1547">
        <v>79</v>
      </c>
      <c r="F1547">
        <v>0.1</v>
      </c>
      <c r="G1547">
        <f>(F1547/0.6)/4</f>
        <v>4.1666666666666671E-2</v>
      </c>
      <c r="H1547">
        <f>G1547*(11.5/38.29)</f>
        <v>1.2514146426395057E-2</v>
      </c>
    </row>
    <row r="1548" spans="1:8" x14ac:dyDescent="0.25">
      <c r="A1548" s="1">
        <v>2008</v>
      </c>
      <c r="B1548" s="1" t="s">
        <v>104</v>
      </c>
      <c r="C1548" t="s">
        <v>51</v>
      </c>
      <c r="D1548">
        <v>2</v>
      </c>
      <c r="E1548">
        <v>79</v>
      </c>
      <c r="F1548">
        <v>0.28000000000000003</v>
      </c>
      <c r="G1548">
        <f>(F1548/0.6)/4</f>
        <v>0.11666666666666668</v>
      </c>
      <c r="H1548">
        <f>G1548*(11.5/38.29)</f>
        <v>3.5039609993906158E-2</v>
      </c>
    </row>
    <row r="1549" spans="1:8" x14ac:dyDescent="0.25">
      <c r="A1549" s="1">
        <v>2008</v>
      </c>
      <c r="B1549" s="1" t="s">
        <v>104</v>
      </c>
      <c r="C1549" t="s">
        <v>51</v>
      </c>
      <c r="D1549">
        <v>2</v>
      </c>
      <c r="E1549">
        <v>79</v>
      </c>
      <c r="F1549">
        <v>0.11</v>
      </c>
      <c r="G1549">
        <f>(F1549/0.6)/4</f>
        <v>4.5833333333333337E-2</v>
      </c>
      <c r="H1549">
        <f>G1549*(11.5/38.29)</f>
        <v>1.3765561069034562E-2</v>
      </c>
    </row>
    <row r="1550" spans="1:8" x14ac:dyDescent="0.25">
      <c r="A1550" s="1">
        <v>2008</v>
      </c>
      <c r="B1550" s="1" t="s">
        <v>104</v>
      </c>
      <c r="C1550" t="s">
        <v>51</v>
      </c>
      <c r="D1550">
        <v>2</v>
      </c>
      <c r="E1550">
        <v>79</v>
      </c>
      <c r="F1550">
        <v>0.14000000000000001</v>
      </c>
      <c r="G1550">
        <f>(F1550/0.6)/4</f>
        <v>5.8333333333333341E-2</v>
      </c>
      <c r="H1550">
        <f>G1550*(11.5/38.29)</f>
        <v>1.7519804996953079E-2</v>
      </c>
    </row>
    <row r="1551" spans="1:8" x14ac:dyDescent="0.25">
      <c r="A1551" s="1">
        <v>2008</v>
      </c>
      <c r="B1551" s="1" t="s">
        <v>104</v>
      </c>
      <c r="C1551" t="s">
        <v>51</v>
      </c>
      <c r="D1551">
        <v>2</v>
      </c>
      <c r="E1551">
        <v>79</v>
      </c>
      <c r="F1551">
        <v>7.0000000000000007E-2</v>
      </c>
      <c r="G1551">
        <f>(F1551/0.6)/4</f>
        <v>2.9166666666666671E-2</v>
      </c>
      <c r="H1551">
        <f>G1551*(11.5/38.29)</f>
        <v>8.7599024984765395E-3</v>
      </c>
    </row>
    <row r="1552" spans="1:8" x14ac:dyDescent="0.25">
      <c r="A1552" s="1">
        <v>2008</v>
      </c>
      <c r="B1552" s="1" t="s">
        <v>104</v>
      </c>
      <c r="C1552" t="s">
        <v>51</v>
      </c>
      <c r="D1552">
        <v>2</v>
      </c>
      <c r="E1552">
        <v>79</v>
      </c>
      <c r="F1552">
        <v>0.49</v>
      </c>
      <c r="G1552">
        <f>(F1552/0.6)/4</f>
        <v>0.20416666666666666</v>
      </c>
      <c r="H1552">
        <f>G1552*(11.5/38.29)</f>
        <v>6.1319317489335771E-2</v>
      </c>
    </row>
    <row r="1553" spans="1:8" x14ac:dyDescent="0.25">
      <c r="A1553" s="1">
        <v>2008</v>
      </c>
      <c r="B1553" s="1" t="s">
        <v>104</v>
      </c>
      <c r="C1553" t="s">
        <v>51</v>
      </c>
      <c r="D1553">
        <v>2</v>
      </c>
      <c r="E1553">
        <v>79</v>
      </c>
      <c r="F1553">
        <v>0.7</v>
      </c>
      <c r="G1553">
        <f>(F1553/0.6)/4</f>
        <v>0.29166666666666669</v>
      </c>
      <c r="H1553">
        <f>G1553*(11.5/38.29)</f>
        <v>8.7599024984765392E-2</v>
      </c>
    </row>
    <row r="1554" spans="1:8" x14ac:dyDescent="0.25">
      <c r="A1554" s="1">
        <v>2008</v>
      </c>
      <c r="B1554" s="1" t="s">
        <v>104</v>
      </c>
      <c r="C1554" t="s">
        <v>51</v>
      </c>
      <c r="D1554">
        <v>2</v>
      </c>
      <c r="E1554">
        <v>85</v>
      </c>
      <c r="F1554">
        <v>0.05</v>
      </c>
      <c r="G1554">
        <f>(F1554/0.6)/4</f>
        <v>2.0833333333333336E-2</v>
      </c>
      <c r="H1554">
        <f>G1554*(11.5/38.29)</f>
        <v>6.2570732131975284E-3</v>
      </c>
    </row>
    <row r="1555" spans="1:8" x14ac:dyDescent="0.25">
      <c r="A1555" s="1">
        <v>2008</v>
      </c>
      <c r="B1555" s="1" t="s">
        <v>104</v>
      </c>
      <c r="C1555" t="s">
        <v>51</v>
      </c>
      <c r="D1555">
        <v>2</v>
      </c>
      <c r="E1555">
        <v>85</v>
      </c>
      <c r="F1555">
        <v>7.0000000000000007E-2</v>
      </c>
      <c r="G1555">
        <f>(F1555/0.6)/4</f>
        <v>2.9166666666666671E-2</v>
      </c>
      <c r="H1555">
        <f>G1555*(11.5/38.29)</f>
        <v>8.7599024984765395E-3</v>
      </c>
    </row>
    <row r="1556" spans="1:8" x14ac:dyDescent="0.25">
      <c r="A1556" s="1">
        <v>2008</v>
      </c>
      <c r="B1556" s="1" t="s">
        <v>104</v>
      </c>
      <c r="C1556" t="s">
        <v>51</v>
      </c>
      <c r="D1556">
        <v>2</v>
      </c>
      <c r="E1556">
        <v>85</v>
      </c>
      <c r="F1556">
        <v>0.1</v>
      </c>
      <c r="G1556">
        <f>(F1556/0.6)/4</f>
        <v>4.1666666666666671E-2</v>
      </c>
      <c r="H1556">
        <f>G1556*(11.5/38.29)</f>
        <v>1.2514146426395057E-2</v>
      </c>
    </row>
    <row r="1557" spans="1:8" x14ac:dyDescent="0.25">
      <c r="A1557" s="1">
        <v>2008</v>
      </c>
      <c r="B1557" s="1" t="s">
        <v>104</v>
      </c>
      <c r="C1557" t="s">
        <v>51</v>
      </c>
      <c r="D1557">
        <v>2</v>
      </c>
      <c r="E1557">
        <v>85</v>
      </c>
      <c r="F1557">
        <v>0.04</v>
      </c>
      <c r="G1557">
        <f>(F1557/0.6)/4</f>
        <v>1.6666666666666666E-2</v>
      </c>
      <c r="H1557">
        <f>G1557*(11.5/38.29)</f>
        <v>5.0056585705580223E-3</v>
      </c>
    </row>
    <row r="1558" spans="1:8" x14ac:dyDescent="0.25">
      <c r="A1558" s="1">
        <v>2008</v>
      </c>
      <c r="B1558" s="1" t="s">
        <v>104</v>
      </c>
      <c r="C1558" t="s">
        <v>51</v>
      </c>
      <c r="D1558">
        <v>3</v>
      </c>
      <c r="E1558">
        <v>11</v>
      </c>
      <c r="F1558">
        <v>0.91</v>
      </c>
      <c r="G1558">
        <f>(F1558/0.6)/4</f>
        <v>0.37916666666666671</v>
      </c>
      <c r="H1558">
        <f>G1558*(11.5/38.29)</f>
        <v>0.11387873248019502</v>
      </c>
    </row>
    <row r="1559" spans="1:8" x14ac:dyDescent="0.25">
      <c r="A1559" s="1">
        <v>2008</v>
      </c>
      <c r="B1559" s="1" t="s">
        <v>104</v>
      </c>
      <c r="C1559" t="s">
        <v>51</v>
      </c>
      <c r="D1559">
        <v>3</v>
      </c>
      <c r="E1559">
        <v>29</v>
      </c>
      <c r="F1559">
        <v>0.21</v>
      </c>
      <c r="G1559">
        <f>(F1559/0.6)/4</f>
        <v>8.7499999999999994E-2</v>
      </c>
      <c r="H1559">
        <f>G1559*(11.5/38.29)</f>
        <v>2.6279707495429613E-2</v>
      </c>
    </row>
    <row r="1560" spans="1:8" x14ac:dyDescent="0.25">
      <c r="A1560" s="1">
        <v>2008</v>
      </c>
      <c r="B1560" s="1" t="s">
        <v>104</v>
      </c>
      <c r="C1560" t="s">
        <v>51</v>
      </c>
      <c r="D1560">
        <v>3</v>
      </c>
      <c r="E1560">
        <v>29</v>
      </c>
      <c r="F1560">
        <v>0.38</v>
      </c>
      <c r="G1560">
        <f>(F1560/0.6)/4</f>
        <v>0.15833333333333335</v>
      </c>
      <c r="H1560">
        <f>G1560*(11.5/38.29)</f>
        <v>4.7553756420301213E-2</v>
      </c>
    </row>
    <row r="1561" spans="1:8" x14ac:dyDescent="0.25">
      <c r="A1561" s="1">
        <v>2008</v>
      </c>
      <c r="B1561" s="1" t="s">
        <v>104</v>
      </c>
      <c r="C1561" t="s">
        <v>51</v>
      </c>
      <c r="D1561">
        <v>3</v>
      </c>
      <c r="E1561">
        <v>29</v>
      </c>
      <c r="F1561">
        <v>0.03</v>
      </c>
      <c r="G1561">
        <f>(F1561/0.6)/4</f>
        <v>1.2500000000000001E-2</v>
      </c>
      <c r="H1561">
        <f>G1561*(11.5/38.29)</f>
        <v>3.7542439279185168E-3</v>
      </c>
    </row>
    <row r="1562" spans="1:8" x14ac:dyDescent="0.25">
      <c r="A1562" s="1">
        <v>2008</v>
      </c>
      <c r="B1562" s="1" t="s">
        <v>104</v>
      </c>
      <c r="C1562" t="s">
        <v>51</v>
      </c>
      <c r="D1562">
        <v>3</v>
      </c>
      <c r="E1562">
        <v>29</v>
      </c>
      <c r="F1562">
        <v>0.16</v>
      </c>
      <c r="G1562">
        <f>(F1562/0.6)/4</f>
        <v>6.6666666666666666E-2</v>
      </c>
      <c r="H1562">
        <f>G1562*(11.5/38.29)</f>
        <v>2.0022634282232089E-2</v>
      </c>
    </row>
    <row r="1563" spans="1:8" x14ac:dyDescent="0.25">
      <c r="A1563" s="1">
        <v>2008</v>
      </c>
      <c r="B1563" s="1" t="s">
        <v>104</v>
      </c>
      <c r="C1563" t="s">
        <v>51</v>
      </c>
      <c r="D1563">
        <v>3</v>
      </c>
      <c r="E1563">
        <v>29</v>
      </c>
      <c r="F1563">
        <v>0.06</v>
      </c>
      <c r="G1563">
        <f>(F1563/0.6)/4</f>
        <v>2.5000000000000001E-2</v>
      </c>
      <c r="H1563">
        <f>G1563*(11.5/38.29)</f>
        <v>7.5084878558370335E-3</v>
      </c>
    </row>
    <row r="1564" spans="1:8" x14ac:dyDescent="0.25">
      <c r="A1564" s="1">
        <v>2008</v>
      </c>
      <c r="B1564" s="1" t="s">
        <v>104</v>
      </c>
      <c r="C1564" t="s">
        <v>51</v>
      </c>
      <c r="D1564">
        <v>3</v>
      </c>
      <c r="E1564">
        <v>29</v>
      </c>
      <c r="F1564">
        <v>7.0000000000000007E-2</v>
      </c>
      <c r="G1564">
        <f>(F1564/0.6)/4</f>
        <v>2.9166666666666671E-2</v>
      </c>
      <c r="H1564">
        <f>G1564*(11.5/38.29)</f>
        <v>8.7599024984765395E-3</v>
      </c>
    </row>
    <row r="1565" spans="1:8" x14ac:dyDescent="0.25">
      <c r="A1565" s="1">
        <v>2008</v>
      </c>
      <c r="B1565" s="1" t="s">
        <v>104</v>
      </c>
      <c r="C1565" t="s">
        <v>51</v>
      </c>
      <c r="D1565">
        <v>3</v>
      </c>
      <c r="E1565">
        <v>29</v>
      </c>
      <c r="F1565">
        <v>0.06</v>
      </c>
      <c r="G1565">
        <f>(F1565/0.6)/4</f>
        <v>2.5000000000000001E-2</v>
      </c>
      <c r="H1565">
        <f>G1565*(11.5/38.29)</f>
        <v>7.5084878558370335E-3</v>
      </c>
    </row>
    <row r="1566" spans="1:8" x14ac:dyDescent="0.25">
      <c r="A1566" s="1">
        <v>2008</v>
      </c>
      <c r="B1566" s="1" t="s">
        <v>104</v>
      </c>
      <c r="C1566" t="s">
        <v>51</v>
      </c>
      <c r="D1566">
        <v>3</v>
      </c>
      <c r="E1566">
        <v>29</v>
      </c>
      <c r="F1566">
        <v>0.19</v>
      </c>
      <c r="G1566">
        <f>(F1566/0.6)/4</f>
        <v>7.9166666666666677E-2</v>
      </c>
      <c r="H1566">
        <f>G1566*(11.5/38.29)</f>
        <v>2.3776878210150607E-2</v>
      </c>
    </row>
    <row r="1567" spans="1:8" x14ac:dyDescent="0.25">
      <c r="A1567" s="1">
        <v>2008</v>
      </c>
      <c r="B1567" s="1" t="s">
        <v>104</v>
      </c>
      <c r="C1567" t="s">
        <v>51</v>
      </c>
      <c r="D1567">
        <v>3</v>
      </c>
      <c r="E1567">
        <v>29</v>
      </c>
      <c r="F1567">
        <v>0.1</v>
      </c>
      <c r="G1567">
        <f>(F1567/0.6)/4</f>
        <v>4.1666666666666671E-2</v>
      </c>
      <c r="H1567">
        <f>G1567*(11.5/38.29)</f>
        <v>1.2514146426395057E-2</v>
      </c>
    </row>
    <row r="1568" spans="1:8" x14ac:dyDescent="0.25">
      <c r="A1568" s="1">
        <v>2008</v>
      </c>
      <c r="B1568" s="1" t="s">
        <v>104</v>
      </c>
      <c r="C1568" t="s">
        <v>51</v>
      </c>
      <c r="D1568">
        <v>3</v>
      </c>
      <c r="E1568">
        <v>29</v>
      </c>
      <c r="F1568">
        <v>0.22</v>
      </c>
      <c r="G1568">
        <f>(F1568/0.6)/4</f>
        <v>9.1666666666666674E-2</v>
      </c>
      <c r="H1568">
        <f>G1568*(11.5/38.29)</f>
        <v>2.7531122138069124E-2</v>
      </c>
    </row>
    <row r="1569" spans="1:8" x14ac:dyDescent="0.25">
      <c r="A1569" s="1">
        <v>2008</v>
      </c>
      <c r="B1569" s="1" t="s">
        <v>104</v>
      </c>
      <c r="C1569" t="s">
        <v>51</v>
      </c>
      <c r="D1569">
        <v>3</v>
      </c>
      <c r="E1569">
        <v>29</v>
      </c>
      <c r="F1569">
        <v>0.51</v>
      </c>
      <c r="G1569">
        <f>(F1569/0.6)/4</f>
        <v>0.21250000000000002</v>
      </c>
      <c r="H1569">
        <f>G1569*(11.5/38.29)</f>
        <v>6.3822146774614785E-2</v>
      </c>
    </row>
    <row r="1570" spans="1:8" x14ac:dyDescent="0.25">
      <c r="A1570" s="1">
        <v>2008</v>
      </c>
      <c r="B1570" s="1" t="s">
        <v>104</v>
      </c>
      <c r="C1570" t="s">
        <v>51</v>
      </c>
      <c r="D1570">
        <v>3</v>
      </c>
      <c r="E1570">
        <v>29</v>
      </c>
      <c r="F1570">
        <v>0.14000000000000001</v>
      </c>
      <c r="G1570">
        <f>(F1570/0.6)/4</f>
        <v>5.8333333333333341E-2</v>
      </c>
      <c r="H1570">
        <f>G1570*(11.5/38.29)</f>
        <v>1.7519804996953079E-2</v>
      </c>
    </row>
    <row r="1571" spans="1:8" x14ac:dyDescent="0.25">
      <c r="A1571" s="1">
        <v>2008</v>
      </c>
      <c r="B1571" s="1" t="s">
        <v>104</v>
      </c>
      <c r="C1571" t="s">
        <v>51</v>
      </c>
      <c r="D1571">
        <v>3</v>
      </c>
      <c r="E1571">
        <v>29</v>
      </c>
      <c r="F1571">
        <v>0.03</v>
      </c>
      <c r="G1571">
        <f>(F1571/0.6)/4</f>
        <v>1.2500000000000001E-2</v>
      </c>
      <c r="H1571">
        <f>G1571*(11.5/38.29)</f>
        <v>3.7542439279185168E-3</v>
      </c>
    </row>
    <row r="1572" spans="1:8" x14ac:dyDescent="0.25">
      <c r="A1572" s="1">
        <v>2008</v>
      </c>
      <c r="B1572" s="1" t="s">
        <v>104</v>
      </c>
      <c r="C1572" t="s">
        <v>51</v>
      </c>
      <c r="D1572">
        <v>3</v>
      </c>
      <c r="E1572">
        <v>29</v>
      </c>
      <c r="F1572">
        <v>0.18</v>
      </c>
      <c r="G1572">
        <f>(F1572/0.6)/4</f>
        <v>7.4999999999999997E-2</v>
      </c>
      <c r="H1572">
        <f>G1572*(11.5/38.29)</f>
        <v>2.25254635675111E-2</v>
      </c>
    </row>
    <row r="1573" spans="1:8" x14ac:dyDescent="0.25">
      <c r="A1573" s="1">
        <v>2008</v>
      </c>
      <c r="B1573" s="1" t="s">
        <v>104</v>
      </c>
      <c r="C1573" t="s">
        <v>51</v>
      </c>
      <c r="D1573">
        <v>3</v>
      </c>
      <c r="E1573">
        <v>32</v>
      </c>
      <c r="F1573">
        <v>0.38</v>
      </c>
      <c r="G1573">
        <f>(F1573/0.6)/4</f>
        <v>0.15833333333333335</v>
      </c>
      <c r="H1573">
        <f>G1573*(11.5/38.29)</f>
        <v>4.7553756420301213E-2</v>
      </c>
    </row>
    <row r="1574" spans="1:8" x14ac:dyDescent="0.25">
      <c r="A1574" s="1">
        <v>2008</v>
      </c>
      <c r="B1574" s="1" t="s">
        <v>104</v>
      </c>
      <c r="C1574" t="s">
        <v>51</v>
      </c>
      <c r="D1574">
        <v>3</v>
      </c>
      <c r="E1574">
        <v>32</v>
      </c>
      <c r="F1574">
        <v>7.0000000000000007E-2</v>
      </c>
      <c r="G1574">
        <f>(F1574/0.6)/4</f>
        <v>2.9166666666666671E-2</v>
      </c>
      <c r="H1574">
        <f>G1574*(11.5/38.29)</f>
        <v>8.7599024984765395E-3</v>
      </c>
    </row>
    <row r="1575" spans="1:8" x14ac:dyDescent="0.25">
      <c r="A1575" s="1">
        <v>2008</v>
      </c>
      <c r="B1575" s="1" t="s">
        <v>104</v>
      </c>
      <c r="C1575" t="s">
        <v>51</v>
      </c>
      <c r="D1575">
        <v>3</v>
      </c>
      <c r="E1575">
        <v>32</v>
      </c>
      <c r="F1575">
        <v>0.05</v>
      </c>
      <c r="G1575">
        <f>(F1575/0.6)/4</f>
        <v>2.0833333333333336E-2</v>
      </c>
      <c r="H1575">
        <f>G1575*(11.5/38.29)</f>
        <v>6.2570732131975284E-3</v>
      </c>
    </row>
    <row r="1576" spans="1:8" x14ac:dyDescent="0.25">
      <c r="A1576" s="1">
        <v>2008</v>
      </c>
      <c r="B1576" s="1" t="s">
        <v>104</v>
      </c>
      <c r="C1576" t="s">
        <v>51</v>
      </c>
      <c r="D1576">
        <v>3</v>
      </c>
      <c r="E1576">
        <v>32</v>
      </c>
      <c r="F1576">
        <v>7.0000000000000007E-2</v>
      </c>
      <c r="G1576">
        <f>(F1576/0.6)/4</f>
        <v>2.9166666666666671E-2</v>
      </c>
      <c r="H1576">
        <f>G1576*(11.5/38.29)</f>
        <v>8.7599024984765395E-3</v>
      </c>
    </row>
    <row r="1577" spans="1:8" x14ac:dyDescent="0.25">
      <c r="A1577" s="1">
        <v>2008</v>
      </c>
      <c r="B1577" s="1" t="s">
        <v>104</v>
      </c>
      <c r="C1577" t="s">
        <v>51</v>
      </c>
      <c r="D1577">
        <v>3</v>
      </c>
      <c r="E1577">
        <v>32</v>
      </c>
      <c r="F1577">
        <v>0.27</v>
      </c>
      <c r="G1577">
        <f>(F1577/0.6)/4</f>
        <v>0.11250000000000002</v>
      </c>
      <c r="H1577">
        <f>G1577*(11.5/38.29)</f>
        <v>3.3788195351266655E-2</v>
      </c>
    </row>
    <row r="1578" spans="1:8" x14ac:dyDescent="0.25">
      <c r="A1578" s="1">
        <v>2008</v>
      </c>
      <c r="B1578" s="1" t="s">
        <v>104</v>
      </c>
      <c r="C1578" t="s">
        <v>51</v>
      </c>
      <c r="D1578">
        <v>3</v>
      </c>
      <c r="E1578">
        <v>32</v>
      </c>
      <c r="F1578">
        <v>0.06</v>
      </c>
      <c r="G1578">
        <f>(F1578/0.6)/4</f>
        <v>2.5000000000000001E-2</v>
      </c>
      <c r="H1578">
        <f>G1578*(11.5/38.29)</f>
        <v>7.5084878558370335E-3</v>
      </c>
    </row>
    <row r="1579" spans="1:8" x14ac:dyDescent="0.25">
      <c r="A1579" s="1">
        <v>2008</v>
      </c>
      <c r="B1579" s="1" t="s">
        <v>104</v>
      </c>
      <c r="C1579" t="s">
        <v>51</v>
      </c>
      <c r="D1579">
        <v>3</v>
      </c>
      <c r="E1579">
        <v>32</v>
      </c>
      <c r="F1579">
        <v>0.04</v>
      </c>
      <c r="G1579">
        <f>(F1579/0.6)/4</f>
        <v>1.6666666666666666E-2</v>
      </c>
      <c r="H1579">
        <f>G1579*(11.5/38.29)</f>
        <v>5.0056585705580223E-3</v>
      </c>
    </row>
    <row r="1580" spans="1:8" x14ac:dyDescent="0.25">
      <c r="A1580" s="1">
        <v>2008</v>
      </c>
      <c r="B1580" s="1" t="s">
        <v>104</v>
      </c>
      <c r="C1580" t="s">
        <v>51</v>
      </c>
      <c r="D1580">
        <v>3</v>
      </c>
      <c r="E1580">
        <v>32</v>
      </c>
      <c r="F1580">
        <v>7.0000000000000007E-2</v>
      </c>
      <c r="G1580">
        <f>(F1580/0.6)/4</f>
        <v>2.9166666666666671E-2</v>
      </c>
      <c r="H1580">
        <f>G1580*(11.5/38.29)</f>
        <v>8.7599024984765395E-3</v>
      </c>
    </row>
    <row r="1581" spans="1:8" x14ac:dyDescent="0.25">
      <c r="A1581" s="1">
        <v>2008</v>
      </c>
      <c r="B1581" s="1" t="s">
        <v>104</v>
      </c>
      <c r="C1581" t="s">
        <v>51</v>
      </c>
      <c r="D1581">
        <v>3</v>
      </c>
      <c r="E1581">
        <v>32</v>
      </c>
      <c r="F1581">
        <v>0.15</v>
      </c>
      <c r="G1581">
        <f>(F1581/0.6)/4</f>
        <v>6.25E-2</v>
      </c>
      <c r="H1581">
        <f>G1581*(11.5/38.29)</f>
        <v>1.8771219639592582E-2</v>
      </c>
    </row>
    <row r="1582" spans="1:8" x14ac:dyDescent="0.25">
      <c r="A1582" s="1">
        <v>2008</v>
      </c>
      <c r="B1582" s="1" t="s">
        <v>104</v>
      </c>
      <c r="C1582" t="s">
        <v>51</v>
      </c>
      <c r="D1582">
        <v>3</v>
      </c>
      <c r="E1582">
        <v>32</v>
      </c>
      <c r="F1582">
        <v>0.08</v>
      </c>
      <c r="G1582">
        <f>(F1582/0.6)/4</f>
        <v>3.3333333333333333E-2</v>
      </c>
      <c r="H1582">
        <f>G1582*(11.5/38.29)</f>
        <v>1.0011317141116045E-2</v>
      </c>
    </row>
    <row r="1583" spans="1:8" x14ac:dyDescent="0.25">
      <c r="A1583" s="1">
        <v>2008</v>
      </c>
      <c r="B1583" s="1" t="s">
        <v>104</v>
      </c>
      <c r="C1583" t="s">
        <v>51</v>
      </c>
      <c r="D1583">
        <v>3</v>
      </c>
      <c r="E1583">
        <v>32</v>
      </c>
      <c r="F1583">
        <v>0.09</v>
      </c>
      <c r="G1583">
        <f>(F1583/0.6)/4</f>
        <v>3.7499999999999999E-2</v>
      </c>
      <c r="H1583">
        <f>G1583*(11.5/38.29)</f>
        <v>1.126273178375555E-2</v>
      </c>
    </row>
    <row r="1584" spans="1:8" x14ac:dyDescent="0.25">
      <c r="A1584" s="1">
        <v>2008</v>
      </c>
      <c r="B1584" s="1" t="s">
        <v>104</v>
      </c>
      <c r="C1584" t="s">
        <v>51</v>
      </c>
      <c r="D1584">
        <v>3</v>
      </c>
      <c r="E1584">
        <v>32</v>
      </c>
      <c r="F1584">
        <v>0.04</v>
      </c>
      <c r="G1584">
        <f>(F1584/0.6)/4</f>
        <v>1.6666666666666666E-2</v>
      </c>
      <c r="H1584">
        <f>G1584*(11.5/38.29)</f>
        <v>5.0056585705580223E-3</v>
      </c>
    </row>
    <row r="1585" spans="1:8" x14ac:dyDescent="0.25">
      <c r="A1585" s="1">
        <v>2008</v>
      </c>
      <c r="B1585" s="1" t="s">
        <v>104</v>
      </c>
      <c r="C1585" t="s">
        <v>51</v>
      </c>
      <c r="D1585">
        <v>3</v>
      </c>
      <c r="E1585">
        <v>32</v>
      </c>
      <c r="F1585">
        <v>0.47</v>
      </c>
      <c r="G1585">
        <f>(F1585/0.6)/4</f>
        <v>0.19583333333333333</v>
      </c>
      <c r="H1585">
        <f>G1585*(11.5/38.29)</f>
        <v>5.8816488204056758E-2</v>
      </c>
    </row>
    <row r="1586" spans="1:8" x14ac:dyDescent="0.25">
      <c r="A1586" s="1">
        <v>2008</v>
      </c>
      <c r="B1586" s="1" t="s">
        <v>104</v>
      </c>
      <c r="C1586" t="s">
        <v>51</v>
      </c>
      <c r="D1586">
        <v>3</v>
      </c>
      <c r="E1586">
        <v>32</v>
      </c>
      <c r="F1586">
        <v>0.16</v>
      </c>
      <c r="G1586">
        <f>(F1586/0.6)/4</f>
        <v>6.6666666666666666E-2</v>
      </c>
      <c r="H1586">
        <f>G1586*(11.5/38.29)</f>
        <v>2.0022634282232089E-2</v>
      </c>
    </row>
    <row r="1587" spans="1:8" x14ac:dyDescent="0.25">
      <c r="A1587" s="1">
        <v>2008</v>
      </c>
      <c r="B1587" s="1" t="s">
        <v>104</v>
      </c>
      <c r="C1587" t="s">
        <v>51</v>
      </c>
      <c r="D1587">
        <v>3</v>
      </c>
      <c r="E1587">
        <v>32</v>
      </c>
      <c r="F1587">
        <v>7.0000000000000007E-2</v>
      </c>
      <c r="G1587">
        <f>(F1587/0.6)/4</f>
        <v>2.9166666666666671E-2</v>
      </c>
      <c r="H1587">
        <f>G1587*(11.5/38.29)</f>
        <v>8.7599024984765395E-3</v>
      </c>
    </row>
    <row r="1588" spans="1:8" x14ac:dyDescent="0.25">
      <c r="A1588" s="1">
        <v>2008</v>
      </c>
      <c r="B1588" s="1" t="s">
        <v>104</v>
      </c>
      <c r="C1588" t="s">
        <v>51</v>
      </c>
      <c r="D1588">
        <v>3</v>
      </c>
      <c r="E1588">
        <v>32</v>
      </c>
      <c r="F1588">
        <v>0.04</v>
      </c>
      <c r="G1588">
        <f>(F1588/0.6)/4</f>
        <v>1.6666666666666666E-2</v>
      </c>
      <c r="H1588">
        <f>G1588*(11.5/38.29)</f>
        <v>5.0056585705580223E-3</v>
      </c>
    </row>
    <row r="1589" spans="1:8" x14ac:dyDescent="0.25">
      <c r="A1589" s="1">
        <v>2008</v>
      </c>
      <c r="B1589" s="1" t="s">
        <v>104</v>
      </c>
      <c r="C1589" t="s">
        <v>51</v>
      </c>
      <c r="D1589">
        <v>3</v>
      </c>
      <c r="E1589">
        <v>32</v>
      </c>
      <c r="F1589">
        <v>7.0000000000000007E-2</v>
      </c>
      <c r="G1589">
        <f>(F1589/0.6)/4</f>
        <v>2.9166666666666671E-2</v>
      </c>
      <c r="H1589">
        <f>G1589*(11.5/38.29)</f>
        <v>8.7599024984765395E-3</v>
      </c>
    </row>
    <row r="1590" spans="1:8" x14ac:dyDescent="0.25">
      <c r="A1590" s="1">
        <v>2008</v>
      </c>
      <c r="B1590" s="1" t="s">
        <v>104</v>
      </c>
      <c r="C1590" t="s">
        <v>51</v>
      </c>
      <c r="D1590">
        <v>3</v>
      </c>
      <c r="E1590">
        <v>32</v>
      </c>
      <c r="F1590">
        <v>0.12</v>
      </c>
      <c r="G1590">
        <f>(F1590/0.6)/4</f>
        <v>0.05</v>
      </c>
      <c r="H1590">
        <f>G1590*(11.5/38.29)</f>
        <v>1.5016975711674067E-2</v>
      </c>
    </row>
    <row r="1591" spans="1:8" x14ac:dyDescent="0.25">
      <c r="A1591" s="1">
        <v>2008</v>
      </c>
      <c r="B1591" s="1" t="s">
        <v>104</v>
      </c>
      <c r="C1591" t="s">
        <v>51</v>
      </c>
      <c r="D1591">
        <v>3</v>
      </c>
      <c r="E1591">
        <v>32</v>
      </c>
      <c r="F1591">
        <v>7.0000000000000007E-2</v>
      </c>
      <c r="G1591">
        <f>(F1591/0.6)/4</f>
        <v>2.9166666666666671E-2</v>
      </c>
      <c r="H1591">
        <f>G1591*(11.5/38.29)</f>
        <v>8.7599024984765395E-3</v>
      </c>
    </row>
    <row r="1592" spans="1:8" x14ac:dyDescent="0.25">
      <c r="A1592" s="1">
        <v>2008</v>
      </c>
      <c r="B1592" s="1" t="s">
        <v>104</v>
      </c>
      <c r="C1592" t="s">
        <v>51</v>
      </c>
      <c r="D1592">
        <v>3</v>
      </c>
      <c r="E1592">
        <v>32</v>
      </c>
      <c r="F1592">
        <v>7.0000000000000007E-2</v>
      </c>
      <c r="G1592">
        <f>(F1592/0.6)/4</f>
        <v>2.9166666666666671E-2</v>
      </c>
      <c r="H1592">
        <f>G1592*(11.5/38.29)</f>
        <v>8.7599024984765395E-3</v>
      </c>
    </row>
    <row r="1593" spans="1:8" x14ac:dyDescent="0.25">
      <c r="A1593" s="1">
        <v>2008</v>
      </c>
      <c r="B1593" s="1" t="s">
        <v>104</v>
      </c>
      <c r="C1593" t="s">
        <v>51</v>
      </c>
      <c r="D1593">
        <v>3</v>
      </c>
      <c r="E1593">
        <v>32</v>
      </c>
      <c r="F1593">
        <v>0.32</v>
      </c>
      <c r="G1593">
        <f>(F1593/0.6)/4</f>
        <v>0.13333333333333333</v>
      </c>
      <c r="H1593">
        <f>G1593*(11.5/38.29)</f>
        <v>4.0045268564464179E-2</v>
      </c>
    </row>
    <row r="1594" spans="1:8" x14ac:dyDescent="0.25">
      <c r="A1594" s="1">
        <v>2008</v>
      </c>
      <c r="B1594" s="1" t="s">
        <v>104</v>
      </c>
      <c r="C1594" t="s">
        <v>51</v>
      </c>
      <c r="D1594">
        <v>3</v>
      </c>
      <c r="E1594">
        <v>32</v>
      </c>
      <c r="F1594">
        <v>0.14000000000000001</v>
      </c>
      <c r="G1594">
        <f>(F1594/0.6)/4</f>
        <v>5.8333333333333341E-2</v>
      </c>
      <c r="H1594">
        <f>G1594*(11.5/38.29)</f>
        <v>1.7519804996953079E-2</v>
      </c>
    </row>
    <row r="1595" spans="1:8" x14ac:dyDescent="0.25">
      <c r="A1595" s="1">
        <v>2008</v>
      </c>
      <c r="B1595" s="1" t="s">
        <v>104</v>
      </c>
      <c r="C1595" t="s">
        <v>51</v>
      </c>
      <c r="D1595">
        <v>3</v>
      </c>
      <c r="E1595">
        <v>32</v>
      </c>
      <c r="F1595">
        <v>0.06</v>
      </c>
      <c r="G1595">
        <f>(F1595/0.6)/4</f>
        <v>2.5000000000000001E-2</v>
      </c>
      <c r="H1595">
        <f>G1595*(11.5/38.29)</f>
        <v>7.5084878558370335E-3</v>
      </c>
    </row>
    <row r="1596" spans="1:8" x14ac:dyDescent="0.25">
      <c r="A1596" s="1">
        <v>2008</v>
      </c>
      <c r="B1596" s="1" t="s">
        <v>104</v>
      </c>
      <c r="C1596" t="s">
        <v>51</v>
      </c>
      <c r="D1596">
        <v>3</v>
      </c>
      <c r="E1596">
        <v>32</v>
      </c>
      <c r="F1596">
        <v>0.42</v>
      </c>
      <c r="G1596">
        <f>(F1596/0.6)/4</f>
        <v>0.17499999999999999</v>
      </c>
      <c r="H1596">
        <f>G1596*(11.5/38.29)</f>
        <v>5.2559414990859227E-2</v>
      </c>
    </row>
    <row r="1597" spans="1:8" x14ac:dyDescent="0.25">
      <c r="A1597" s="1">
        <v>2008</v>
      </c>
      <c r="B1597" s="1" t="s">
        <v>104</v>
      </c>
      <c r="C1597" t="s">
        <v>51</v>
      </c>
      <c r="D1597">
        <v>3</v>
      </c>
      <c r="E1597">
        <v>32</v>
      </c>
      <c r="F1597">
        <v>0.04</v>
      </c>
      <c r="G1597">
        <f>(F1597/0.6)/4</f>
        <v>1.6666666666666666E-2</v>
      </c>
      <c r="H1597">
        <f>G1597*(11.5/38.29)</f>
        <v>5.0056585705580223E-3</v>
      </c>
    </row>
    <row r="1598" spans="1:8" x14ac:dyDescent="0.25">
      <c r="A1598" s="1">
        <v>2008</v>
      </c>
      <c r="B1598" s="1" t="s">
        <v>104</v>
      </c>
      <c r="C1598" t="s">
        <v>51</v>
      </c>
      <c r="D1598">
        <v>3</v>
      </c>
      <c r="E1598">
        <v>34</v>
      </c>
      <c r="F1598">
        <v>0.33</v>
      </c>
      <c r="G1598">
        <f>(F1598/0.6)/4</f>
        <v>0.13750000000000001</v>
      </c>
      <c r="H1598">
        <f>G1598*(11.5/38.29)</f>
        <v>4.1296683207103682E-2</v>
      </c>
    </row>
    <row r="1599" spans="1:8" x14ac:dyDescent="0.25">
      <c r="A1599" s="1">
        <v>2008</v>
      </c>
      <c r="B1599" s="1" t="s">
        <v>104</v>
      </c>
      <c r="C1599" t="s">
        <v>51</v>
      </c>
      <c r="D1599">
        <v>3</v>
      </c>
      <c r="E1599">
        <v>34</v>
      </c>
      <c r="F1599">
        <v>0.68</v>
      </c>
      <c r="G1599">
        <f>(F1599/0.6)/4</f>
        <v>0.28333333333333338</v>
      </c>
      <c r="H1599">
        <f>G1599*(11.5/38.29)</f>
        <v>8.5096195699486385E-2</v>
      </c>
    </row>
    <row r="1600" spans="1:8" x14ac:dyDescent="0.25">
      <c r="A1600" s="1">
        <v>2008</v>
      </c>
      <c r="B1600" s="1" t="s">
        <v>104</v>
      </c>
      <c r="C1600" t="s">
        <v>51</v>
      </c>
      <c r="D1600">
        <v>3</v>
      </c>
      <c r="E1600">
        <v>34</v>
      </c>
      <c r="F1600">
        <v>1.5</v>
      </c>
      <c r="G1600">
        <f>(F1600/0.6)/4</f>
        <v>0.625</v>
      </c>
      <c r="H1600">
        <f>G1600*(11.5/38.29)</f>
        <v>0.18771219639592582</v>
      </c>
    </row>
    <row r="1601" spans="1:8" x14ac:dyDescent="0.25">
      <c r="A1601" s="1">
        <v>2008</v>
      </c>
      <c r="B1601" s="1" t="s">
        <v>104</v>
      </c>
      <c r="C1601" t="s">
        <v>51</v>
      </c>
      <c r="D1601">
        <v>3</v>
      </c>
      <c r="E1601">
        <v>38</v>
      </c>
      <c r="F1601">
        <v>1.69</v>
      </c>
      <c r="G1601">
        <f>(F1601/0.6)/4</f>
        <v>0.70416666666666672</v>
      </c>
      <c r="H1601">
        <f>G1601*(11.5/38.29)</f>
        <v>0.21148907460607644</v>
      </c>
    </row>
    <row r="1602" spans="1:8" x14ac:dyDescent="0.25">
      <c r="A1602" s="1">
        <v>2008</v>
      </c>
      <c r="B1602" s="1" t="s">
        <v>104</v>
      </c>
      <c r="C1602" t="s">
        <v>51</v>
      </c>
      <c r="D1602">
        <v>3</v>
      </c>
      <c r="E1602">
        <v>38</v>
      </c>
      <c r="F1602">
        <v>0.75</v>
      </c>
      <c r="G1602">
        <f>(F1602/0.6)/4</f>
        <v>0.3125</v>
      </c>
      <c r="H1602">
        <f>G1602*(11.5/38.29)</f>
        <v>9.3856098197962909E-2</v>
      </c>
    </row>
    <row r="1603" spans="1:8" x14ac:dyDescent="0.25">
      <c r="A1603" s="1">
        <v>2008</v>
      </c>
      <c r="B1603" s="1" t="s">
        <v>104</v>
      </c>
      <c r="C1603" t="s">
        <v>51</v>
      </c>
      <c r="D1603">
        <v>3</v>
      </c>
      <c r="E1603">
        <v>38</v>
      </c>
      <c r="F1603">
        <v>0.7</v>
      </c>
      <c r="G1603">
        <f>(F1603/0.6)/4</f>
        <v>0.29166666666666669</v>
      </c>
      <c r="H1603">
        <f>G1603*(11.5/38.29)</f>
        <v>8.7599024984765392E-2</v>
      </c>
    </row>
    <row r="1604" spans="1:8" x14ac:dyDescent="0.25">
      <c r="A1604" s="1">
        <v>2008</v>
      </c>
      <c r="B1604" s="1" t="s">
        <v>104</v>
      </c>
      <c r="C1604" t="s">
        <v>51</v>
      </c>
      <c r="D1604">
        <v>3</v>
      </c>
      <c r="E1604">
        <v>38</v>
      </c>
      <c r="F1604">
        <v>0.99</v>
      </c>
      <c r="G1604">
        <f>(F1604/0.6)/4</f>
        <v>0.41250000000000003</v>
      </c>
      <c r="H1604">
        <f>G1604*(11.5/38.29)</f>
        <v>0.12389004962131106</v>
      </c>
    </row>
    <row r="1605" spans="1:8" x14ac:dyDescent="0.25">
      <c r="A1605" s="1">
        <v>2008</v>
      </c>
      <c r="B1605" s="1" t="s">
        <v>104</v>
      </c>
      <c r="C1605" t="s">
        <v>51</v>
      </c>
      <c r="D1605">
        <v>3</v>
      </c>
      <c r="E1605">
        <v>38</v>
      </c>
      <c r="F1605">
        <v>0.76</v>
      </c>
      <c r="G1605">
        <f>(F1605/0.6)/4</f>
        <v>0.31666666666666671</v>
      </c>
      <c r="H1605">
        <f>G1605*(11.5/38.29)</f>
        <v>9.5107512840602426E-2</v>
      </c>
    </row>
    <row r="1606" spans="1:8" x14ac:dyDescent="0.25">
      <c r="A1606" s="1">
        <v>2008</v>
      </c>
      <c r="B1606" s="1" t="s">
        <v>104</v>
      </c>
      <c r="C1606" t="s">
        <v>51</v>
      </c>
      <c r="D1606">
        <v>3</v>
      </c>
      <c r="E1606">
        <v>38</v>
      </c>
      <c r="F1606">
        <v>0.51</v>
      </c>
      <c r="G1606">
        <f>(F1606/0.6)/4</f>
        <v>0.21250000000000002</v>
      </c>
      <c r="H1606">
        <f>G1606*(11.5/38.29)</f>
        <v>6.3822146774614785E-2</v>
      </c>
    </row>
    <row r="1607" spans="1:8" x14ac:dyDescent="0.25">
      <c r="A1607" s="1">
        <v>2008</v>
      </c>
      <c r="B1607" s="1" t="s">
        <v>104</v>
      </c>
      <c r="C1607" t="s">
        <v>51</v>
      </c>
      <c r="D1607">
        <v>3</v>
      </c>
      <c r="E1607">
        <v>38</v>
      </c>
      <c r="F1607">
        <v>1.1599999999999999</v>
      </c>
      <c r="G1607">
        <f>(F1607/0.6)/4</f>
        <v>0.48333333333333334</v>
      </c>
      <c r="H1607">
        <f>G1607*(11.5/38.29)</f>
        <v>0.14516409854618265</v>
      </c>
    </row>
    <row r="1608" spans="1:8" x14ac:dyDescent="0.25">
      <c r="A1608" s="1">
        <v>2008</v>
      </c>
      <c r="B1608" s="1" t="s">
        <v>104</v>
      </c>
      <c r="C1608" t="s">
        <v>51</v>
      </c>
      <c r="D1608">
        <v>3</v>
      </c>
      <c r="E1608">
        <v>38</v>
      </c>
      <c r="F1608">
        <v>1.43</v>
      </c>
      <c r="G1608">
        <f>(F1608/0.6)/4</f>
        <v>0.59583333333333333</v>
      </c>
      <c r="H1608">
        <f>G1608*(11.5/38.29)</f>
        <v>0.17895229389744929</v>
      </c>
    </row>
    <row r="1609" spans="1:8" x14ac:dyDescent="0.25">
      <c r="A1609" s="1">
        <v>2008</v>
      </c>
      <c r="B1609" s="1" t="s">
        <v>104</v>
      </c>
      <c r="C1609" t="s">
        <v>51</v>
      </c>
      <c r="D1609">
        <v>3</v>
      </c>
      <c r="E1609">
        <v>38</v>
      </c>
      <c r="F1609">
        <v>0.62</v>
      </c>
      <c r="G1609">
        <f>(F1609/0.6)/4</f>
        <v>0.25833333333333336</v>
      </c>
      <c r="H1609">
        <f>G1609*(11.5/38.29)</f>
        <v>7.7587707843649351E-2</v>
      </c>
    </row>
    <row r="1610" spans="1:8" x14ac:dyDescent="0.25">
      <c r="A1610" s="1">
        <v>2008</v>
      </c>
      <c r="B1610" s="1" t="s">
        <v>104</v>
      </c>
      <c r="C1610" t="s">
        <v>51</v>
      </c>
      <c r="D1610">
        <v>3</v>
      </c>
      <c r="E1610">
        <v>38</v>
      </c>
      <c r="F1610">
        <v>1.1000000000000001</v>
      </c>
      <c r="G1610">
        <f>(F1610/0.6)/4</f>
        <v>0.45833333333333337</v>
      </c>
      <c r="H1610">
        <f>G1610*(11.5/38.29)</f>
        <v>0.13765561069034563</v>
      </c>
    </row>
    <row r="1611" spans="1:8" x14ac:dyDescent="0.25">
      <c r="A1611" s="1">
        <v>2008</v>
      </c>
      <c r="B1611" s="1" t="s">
        <v>104</v>
      </c>
      <c r="C1611" t="s">
        <v>51</v>
      </c>
      <c r="D1611">
        <v>3</v>
      </c>
      <c r="E1611">
        <v>38</v>
      </c>
      <c r="F1611">
        <v>1.59</v>
      </c>
      <c r="G1611">
        <f>(F1611/0.6)/4</f>
        <v>0.66250000000000009</v>
      </c>
      <c r="H1611">
        <f>G1611*(11.5/38.29)</f>
        <v>0.1989749281796814</v>
      </c>
    </row>
    <row r="1612" spans="1:8" x14ac:dyDescent="0.25">
      <c r="A1612" s="1">
        <v>2008</v>
      </c>
      <c r="B1612" s="1" t="s">
        <v>104</v>
      </c>
      <c r="C1612" t="s">
        <v>51</v>
      </c>
      <c r="D1612">
        <v>3</v>
      </c>
      <c r="E1612">
        <v>38</v>
      </c>
      <c r="F1612">
        <v>1.47</v>
      </c>
      <c r="G1612">
        <f>(F1612/0.6)/4</f>
        <v>0.61250000000000004</v>
      </c>
      <c r="H1612">
        <f>G1612*(11.5/38.29)</f>
        <v>0.18395795246800734</v>
      </c>
    </row>
    <row r="1613" spans="1:8" x14ac:dyDescent="0.25">
      <c r="A1613" s="1">
        <v>2008</v>
      </c>
      <c r="B1613" s="1" t="s">
        <v>104</v>
      </c>
      <c r="C1613" t="s">
        <v>51</v>
      </c>
      <c r="D1613">
        <v>3</v>
      </c>
      <c r="E1613">
        <v>38</v>
      </c>
      <c r="F1613">
        <v>1.34</v>
      </c>
      <c r="G1613">
        <f>(F1613/0.6)/4</f>
        <v>0.55833333333333335</v>
      </c>
      <c r="H1613">
        <f>G1613*(11.5/38.29)</f>
        <v>0.16768956211369374</v>
      </c>
    </row>
    <row r="1614" spans="1:8" x14ac:dyDescent="0.25">
      <c r="A1614" s="1">
        <v>2008</v>
      </c>
      <c r="B1614" s="1" t="s">
        <v>104</v>
      </c>
      <c r="C1614" t="s">
        <v>51</v>
      </c>
      <c r="D1614">
        <v>3</v>
      </c>
      <c r="E1614">
        <v>38</v>
      </c>
      <c r="F1614">
        <v>0.8</v>
      </c>
      <c r="G1614">
        <f>(F1614/0.6)/4</f>
        <v>0.33333333333333337</v>
      </c>
      <c r="H1614">
        <f>G1614*(11.5/38.29)</f>
        <v>0.10011317141116045</v>
      </c>
    </row>
    <row r="1615" spans="1:8" x14ac:dyDescent="0.25">
      <c r="A1615" s="1">
        <v>2008</v>
      </c>
      <c r="B1615" s="1" t="s">
        <v>104</v>
      </c>
      <c r="C1615" t="s">
        <v>51</v>
      </c>
      <c r="D1615">
        <v>3</v>
      </c>
      <c r="E1615">
        <v>38</v>
      </c>
      <c r="F1615">
        <v>0.12</v>
      </c>
      <c r="G1615">
        <f>(F1615/0.6)/4</f>
        <v>0.05</v>
      </c>
      <c r="H1615">
        <f>G1615*(11.5/38.29)</f>
        <v>1.5016975711674067E-2</v>
      </c>
    </row>
    <row r="1616" spans="1:8" x14ac:dyDescent="0.25">
      <c r="A1616" s="1">
        <v>2008</v>
      </c>
      <c r="B1616" s="1" t="s">
        <v>104</v>
      </c>
      <c r="C1616" t="s">
        <v>51</v>
      </c>
      <c r="D1616">
        <v>3</v>
      </c>
      <c r="E1616">
        <v>38</v>
      </c>
      <c r="F1616">
        <v>0.8</v>
      </c>
      <c r="G1616">
        <f>(F1616/0.6)/4</f>
        <v>0.33333333333333337</v>
      </c>
      <c r="H1616">
        <f>G1616*(11.5/38.29)</f>
        <v>0.10011317141116045</v>
      </c>
    </row>
    <row r="1617" spans="1:8" x14ac:dyDescent="0.25">
      <c r="A1617" s="1">
        <v>2008</v>
      </c>
      <c r="B1617" s="1" t="s">
        <v>104</v>
      </c>
      <c r="C1617" t="s">
        <v>51</v>
      </c>
      <c r="D1617">
        <v>3</v>
      </c>
      <c r="E1617">
        <v>38</v>
      </c>
      <c r="F1617">
        <v>0.27</v>
      </c>
      <c r="G1617">
        <f>(F1617/0.6)/4</f>
        <v>0.11250000000000002</v>
      </c>
      <c r="H1617">
        <f>G1617*(11.5/38.29)</f>
        <v>3.3788195351266655E-2</v>
      </c>
    </row>
    <row r="1618" spans="1:8" x14ac:dyDescent="0.25">
      <c r="A1618" s="1">
        <v>2008</v>
      </c>
      <c r="B1618" s="1" t="s">
        <v>104</v>
      </c>
      <c r="C1618" t="s">
        <v>51</v>
      </c>
      <c r="D1618">
        <v>3</v>
      </c>
      <c r="E1618">
        <v>38</v>
      </c>
      <c r="F1618">
        <v>1.07</v>
      </c>
      <c r="G1618">
        <f>(F1618/0.6)/4</f>
        <v>0.44583333333333336</v>
      </c>
      <c r="H1618">
        <f>G1618*(11.5/38.29)</f>
        <v>0.13390136676242709</v>
      </c>
    </row>
    <row r="1619" spans="1:8" x14ac:dyDescent="0.25">
      <c r="A1619" s="1">
        <v>2008</v>
      </c>
      <c r="B1619" s="1" t="s">
        <v>104</v>
      </c>
      <c r="C1619" t="s">
        <v>51</v>
      </c>
      <c r="D1619">
        <v>3</v>
      </c>
      <c r="E1619">
        <v>38</v>
      </c>
      <c r="F1619">
        <v>0.56999999999999995</v>
      </c>
      <c r="G1619">
        <f>(F1619/0.6)/4</f>
        <v>0.23749999999999999</v>
      </c>
      <c r="H1619">
        <f>G1619*(11.5/38.29)</f>
        <v>7.1330634630451806E-2</v>
      </c>
    </row>
    <row r="1620" spans="1:8" x14ac:dyDescent="0.25">
      <c r="A1620" s="1">
        <v>2008</v>
      </c>
      <c r="B1620" s="1" t="s">
        <v>104</v>
      </c>
      <c r="C1620" t="s">
        <v>51</v>
      </c>
      <c r="D1620">
        <v>3</v>
      </c>
      <c r="E1620">
        <v>38</v>
      </c>
      <c r="F1620">
        <v>0.75</v>
      </c>
      <c r="G1620">
        <f>(F1620/0.6)/4</f>
        <v>0.3125</v>
      </c>
      <c r="H1620">
        <f>G1620*(11.5/38.29)</f>
        <v>9.3856098197962909E-2</v>
      </c>
    </row>
    <row r="1621" spans="1:8" x14ac:dyDescent="0.25">
      <c r="A1621" s="1">
        <v>2008</v>
      </c>
      <c r="B1621" s="1" t="s">
        <v>104</v>
      </c>
      <c r="C1621" t="s">
        <v>51</v>
      </c>
      <c r="D1621">
        <v>3</v>
      </c>
      <c r="E1621">
        <v>38</v>
      </c>
      <c r="F1621">
        <v>0.92</v>
      </c>
      <c r="G1621">
        <f>(F1621/0.6)/4</f>
        <v>0.38333333333333336</v>
      </c>
      <c r="H1621">
        <f>G1621*(11.5/38.29)</f>
        <v>0.11513014712283451</v>
      </c>
    </row>
    <row r="1622" spans="1:8" x14ac:dyDescent="0.25">
      <c r="A1622" s="1">
        <v>2008</v>
      </c>
      <c r="B1622" s="1" t="s">
        <v>104</v>
      </c>
      <c r="C1622" t="s">
        <v>51</v>
      </c>
      <c r="D1622">
        <v>3</v>
      </c>
      <c r="E1622">
        <v>38</v>
      </c>
      <c r="F1622">
        <v>1.43</v>
      </c>
      <c r="G1622">
        <f>(F1622/0.6)/4</f>
        <v>0.59583333333333333</v>
      </c>
      <c r="H1622">
        <f>G1622*(11.5/38.29)</f>
        <v>0.17895229389744929</v>
      </c>
    </row>
    <row r="1623" spans="1:8" x14ac:dyDescent="0.25">
      <c r="A1623" s="1">
        <v>2008</v>
      </c>
      <c r="B1623" s="1" t="s">
        <v>104</v>
      </c>
      <c r="C1623" t="s">
        <v>51</v>
      </c>
      <c r="D1623">
        <v>3</v>
      </c>
      <c r="E1623">
        <v>38</v>
      </c>
      <c r="F1623">
        <v>0.95</v>
      </c>
      <c r="G1623">
        <f>(F1623/0.6)/4</f>
        <v>0.39583333333333331</v>
      </c>
      <c r="H1623">
        <f>G1623*(11.5/38.29)</f>
        <v>0.11888439105075302</v>
      </c>
    </row>
    <row r="1624" spans="1:8" x14ac:dyDescent="0.25">
      <c r="A1624" s="1">
        <v>2008</v>
      </c>
      <c r="B1624" s="1" t="s">
        <v>104</v>
      </c>
      <c r="C1624" t="s">
        <v>51</v>
      </c>
      <c r="D1624">
        <v>3</v>
      </c>
      <c r="E1624">
        <v>40</v>
      </c>
      <c r="F1624">
        <v>0.28000000000000003</v>
      </c>
      <c r="G1624">
        <f>(F1624/0.6)/4</f>
        <v>0.11666666666666668</v>
      </c>
      <c r="H1624">
        <f>G1624*(11.5/38.29)</f>
        <v>3.5039609993906158E-2</v>
      </c>
    </row>
    <row r="1625" spans="1:8" x14ac:dyDescent="0.25">
      <c r="A1625" s="1">
        <v>2008</v>
      </c>
      <c r="B1625" s="1" t="s">
        <v>104</v>
      </c>
      <c r="C1625" t="s">
        <v>51</v>
      </c>
      <c r="D1625">
        <v>3</v>
      </c>
      <c r="E1625">
        <v>40</v>
      </c>
      <c r="F1625">
        <v>0.76</v>
      </c>
      <c r="G1625">
        <f>(F1625/0.6)/4</f>
        <v>0.31666666666666671</v>
      </c>
      <c r="H1625">
        <f>G1625*(11.5/38.29)</f>
        <v>9.5107512840602426E-2</v>
      </c>
    </row>
    <row r="1626" spans="1:8" x14ac:dyDescent="0.25">
      <c r="A1626" s="1">
        <v>2008</v>
      </c>
      <c r="B1626" s="1" t="s">
        <v>104</v>
      </c>
      <c r="C1626" t="s">
        <v>51</v>
      </c>
      <c r="D1626">
        <v>3</v>
      </c>
      <c r="E1626">
        <v>40</v>
      </c>
      <c r="F1626">
        <v>1.29</v>
      </c>
      <c r="G1626">
        <f>(F1626/0.6)/4</f>
        <v>0.53750000000000009</v>
      </c>
      <c r="H1626">
        <f>G1626*(11.5/38.29)</f>
        <v>0.16143248890049625</v>
      </c>
    </row>
    <row r="1627" spans="1:8" x14ac:dyDescent="0.25">
      <c r="A1627" s="1">
        <v>2008</v>
      </c>
      <c r="B1627" s="1" t="s">
        <v>104</v>
      </c>
      <c r="C1627" t="s">
        <v>51</v>
      </c>
      <c r="D1627">
        <v>3</v>
      </c>
      <c r="E1627">
        <v>40</v>
      </c>
      <c r="F1627">
        <v>1.1599999999999999</v>
      </c>
      <c r="G1627">
        <f>(F1627/0.6)/4</f>
        <v>0.48333333333333334</v>
      </c>
      <c r="H1627">
        <f>G1627*(11.5/38.29)</f>
        <v>0.14516409854618265</v>
      </c>
    </row>
    <row r="1628" spans="1:8" x14ac:dyDescent="0.25">
      <c r="A1628" s="1">
        <v>2008</v>
      </c>
      <c r="B1628" s="1" t="s">
        <v>104</v>
      </c>
      <c r="C1628" t="s">
        <v>51</v>
      </c>
      <c r="D1628">
        <v>3</v>
      </c>
      <c r="E1628">
        <v>40</v>
      </c>
      <c r="F1628">
        <v>1.1299999999999999</v>
      </c>
      <c r="G1628">
        <f>(F1628/0.6)/4</f>
        <v>0.47083333333333333</v>
      </c>
      <c r="H1628">
        <f>G1628*(11.5/38.29)</f>
        <v>0.14140985461826411</v>
      </c>
    </row>
    <row r="1629" spans="1:8" x14ac:dyDescent="0.25">
      <c r="A1629" s="1">
        <v>2008</v>
      </c>
      <c r="B1629" s="1" t="s">
        <v>104</v>
      </c>
      <c r="C1629" t="s">
        <v>51</v>
      </c>
      <c r="D1629">
        <v>3</v>
      </c>
      <c r="E1629">
        <v>40</v>
      </c>
      <c r="F1629">
        <v>0.91</v>
      </c>
      <c r="G1629">
        <f>(F1629/0.6)/4</f>
        <v>0.37916666666666671</v>
      </c>
      <c r="H1629">
        <f>G1629*(11.5/38.29)</f>
        <v>0.11387873248019502</v>
      </c>
    </row>
    <row r="1630" spans="1:8" x14ac:dyDescent="0.25">
      <c r="A1630" s="1">
        <v>2008</v>
      </c>
      <c r="B1630" s="1" t="s">
        <v>104</v>
      </c>
      <c r="C1630" t="s">
        <v>51</v>
      </c>
      <c r="D1630">
        <v>3</v>
      </c>
      <c r="E1630">
        <v>40</v>
      </c>
      <c r="F1630">
        <v>0.67</v>
      </c>
      <c r="G1630">
        <f>(F1630/0.6)/4</f>
        <v>0.27916666666666667</v>
      </c>
      <c r="H1630">
        <f>G1630*(11.5/38.29)</f>
        <v>8.3844781056846868E-2</v>
      </c>
    </row>
    <row r="1631" spans="1:8" x14ac:dyDescent="0.25">
      <c r="A1631" s="1">
        <v>2008</v>
      </c>
      <c r="B1631" s="1" t="s">
        <v>104</v>
      </c>
      <c r="C1631" t="s">
        <v>51</v>
      </c>
      <c r="D1631">
        <v>3</v>
      </c>
      <c r="E1631">
        <v>40</v>
      </c>
      <c r="F1631">
        <v>1.34</v>
      </c>
      <c r="G1631">
        <f>(F1631/0.6)/4</f>
        <v>0.55833333333333335</v>
      </c>
      <c r="H1631">
        <f>G1631*(11.5/38.29)</f>
        <v>0.16768956211369374</v>
      </c>
    </row>
    <row r="1632" spans="1:8" x14ac:dyDescent="0.25">
      <c r="A1632" s="1">
        <v>2008</v>
      </c>
      <c r="B1632" s="1" t="s">
        <v>104</v>
      </c>
      <c r="C1632" t="s">
        <v>51</v>
      </c>
      <c r="D1632">
        <v>3</v>
      </c>
      <c r="E1632">
        <v>40</v>
      </c>
      <c r="F1632">
        <v>0.38</v>
      </c>
      <c r="G1632">
        <f>(F1632/0.6)/4</f>
        <v>0.15833333333333335</v>
      </c>
      <c r="H1632">
        <f>G1632*(11.5/38.29)</f>
        <v>4.7553756420301213E-2</v>
      </c>
    </row>
    <row r="1633" spans="1:8" x14ac:dyDescent="0.25">
      <c r="A1633" s="1">
        <v>2008</v>
      </c>
      <c r="B1633" s="1" t="s">
        <v>104</v>
      </c>
      <c r="C1633" t="s">
        <v>51</v>
      </c>
      <c r="D1633">
        <v>3</v>
      </c>
      <c r="E1633">
        <v>40</v>
      </c>
      <c r="F1633">
        <v>2.0099999999999998</v>
      </c>
      <c r="G1633">
        <f>(F1633/0.6)/4</f>
        <v>0.83749999999999991</v>
      </c>
      <c r="H1633">
        <f>G1633*(11.5/38.29)</f>
        <v>0.25153434317054058</v>
      </c>
    </row>
    <row r="1634" spans="1:8" x14ac:dyDescent="0.25">
      <c r="A1634" s="1">
        <v>2008</v>
      </c>
      <c r="B1634" s="1" t="s">
        <v>104</v>
      </c>
      <c r="C1634" t="s">
        <v>51</v>
      </c>
      <c r="D1634">
        <v>3</v>
      </c>
      <c r="E1634">
        <v>40</v>
      </c>
      <c r="F1634">
        <v>0.32</v>
      </c>
      <c r="G1634">
        <f>(F1634/0.6)/4</f>
        <v>0.13333333333333333</v>
      </c>
      <c r="H1634">
        <f>G1634*(11.5/38.29)</f>
        <v>4.0045268564464179E-2</v>
      </c>
    </row>
    <row r="1635" spans="1:8" x14ac:dyDescent="0.25">
      <c r="A1635" s="1">
        <v>2008</v>
      </c>
      <c r="B1635" s="1" t="s">
        <v>104</v>
      </c>
      <c r="C1635" t="s">
        <v>51</v>
      </c>
      <c r="D1635">
        <v>3</v>
      </c>
      <c r="E1635">
        <v>40</v>
      </c>
      <c r="F1635">
        <v>1.95</v>
      </c>
      <c r="G1635">
        <f>(F1635/0.6)/4</f>
        <v>0.8125</v>
      </c>
      <c r="H1635">
        <f>G1635*(11.5/38.29)</f>
        <v>0.24402585531470358</v>
      </c>
    </row>
    <row r="1636" spans="1:8" x14ac:dyDescent="0.25">
      <c r="A1636" s="1">
        <v>2008</v>
      </c>
      <c r="B1636" s="1" t="s">
        <v>104</v>
      </c>
      <c r="C1636" t="s">
        <v>51</v>
      </c>
      <c r="D1636">
        <v>3</v>
      </c>
      <c r="E1636">
        <v>40</v>
      </c>
      <c r="F1636">
        <v>0.77</v>
      </c>
      <c r="G1636">
        <f>(F1636/0.6)/4</f>
        <v>0.32083333333333336</v>
      </c>
      <c r="H1636">
        <f>G1636*(11.5/38.29)</f>
        <v>9.635892748324193E-2</v>
      </c>
    </row>
    <row r="1637" spans="1:8" x14ac:dyDescent="0.25">
      <c r="A1637" s="1">
        <v>2008</v>
      </c>
      <c r="B1637" s="1" t="s">
        <v>104</v>
      </c>
      <c r="C1637" t="s">
        <v>51</v>
      </c>
      <c r="D1637">
        <v>3</v>
      </c>
      <c r="E1637">
        <v>40</v>
      </c>
      <c r="F1637">
        <v>1.02</v>
      </c>
      <c r="G1637">
        <f>(F1637/0.6)/4</f>
        <v>0.42500000000000004</v>
      </c>
      <c r="H1637">
        <f>G1637*(11.5/38.29)</f>
        <v>0.12764429354922957</v>
      </c>
    </row>
    <row r="1638" spans="1:8" x14ac:dyDescent="0.25">
      <c r="A1638" s="1">
        <v>2008</v>
      </c>
      <c r="B1638" s="1" t="s">
        <v>104</v>
      </c>
      <c r="C1638" t="s">
        <v>51</v>
      </c>
      <c r="D1638">
        <v>3</v>
      </c>
      <c r="E1638">
        <v>40</v>
      </c>
      <c r="F1638">
        <v>0.05</v>
      </c>
      <c r="G1638">
        <f>(F1638/0.6)/4</f>
        <v>2.0833333333333336E-2</v>
      </c>
      <c r="H1638">
        <f>G1638*(11.5/38.29)</f>
        <v>6.2570732131975284E-3</v>
      </c>
    </row>
    <row r="1639" spans="1:8" x14ac:dyDescent="0.25">
      <c r="A1639" s="1">
        <v>2008</v>
      </c>
      <c r="B1639" s="1" t="s">
        <v>104</v>
      </c>
      <c r="C1639" t="s">
        <v>51</v>
      </c>
      <c r="D1639">
        <v>3</v>
      </c>
      <c r="E1639">
        <v>40</v>
      </c>
      <c r="F1639">
        <v>2.31</v>
      </c>
      <c r="G1639">
        <f>(F1639/0.6)/4</f>
        <v>0.96250000000000002</v>
      </c>
      <c r="H1639">
        <f>G1639*(11.5/38.29)</f>
        <v>0.28907678244972579</v>
      </c>
    </row>
    <row r="1640" spans="1:8" x14ac:dyDescent="0.25">
      <c r="A1640" s="1">
        <v>2008</v>
      </c>
      <c r="B1640" s="1" t="s">
        <v>104</v>
      </c>
      <c r="C1640" t="s">
        <v>51</v>
      </c>
      <c r="D1640">
        <v>3</v>
      </c>
      <c r="E1640">
        <v>53</v>
      </c>
      <c r="F1640">
        <v>0.42</v>
      </c>
      <c r="G1640">
        <f>(F1640/0.6)/4</f>
        <v>0.17499999999999999</v>
      </c>
      <c r="H1640">
        <f>G1640*(11.5/38.29)</f>
        <v>5.2559414990859227E-2</v>
      </c>
    </row>
    <row r="1641" spans="1:8" x14ac:dyDescent="0.25">
      <c r="A1641" s="1">
        <v>2008</v>
      </c>
      <c r="B1641" s="1" t="s">
        <v>104</v>
      </c>
      <c r="C1641" t="s">
        <v>51</v>
      </c>
      <c r="D1641">
        <v>3</v>
      </c>
      <c r="E1641">
        <v>53</v>
      </c>
      <c r="F1641">
        <v>0.14000000000000001</v>
      </c>
      <c r="G1641">
        <f>(F1641/0.6)/4</f>
        <v>5.8333333333333341E-2</v>
      </c>
      <c r="H1641">
        <f>G1641*(11.5/38.29)</f>
        <v>1.7519804996953079E-2</v>
      </c>
    </row>
    <row r="1642" spans="1:8" x14ac:dyDescent="0.25">
      <c r="A1642" s="1">
        <v>2008</v>
      </c>
      <c r="B1642" s="1" t="s">
        <v>104</v>
      </c>
      <c r="C1642" t="s">
        <v>51</v>
      </c>
      <c r="D1642">
        <v>3</v>
      </c>
      <c r="E1642">
        <v>54</v>
      </c>
      <c r="F1642">
        <v>0.04</v>
      </c>
      <c r="G1642">
        <f>(F1642/0.6)/4</f>
        <v>1.6666666666666666E-2</v>
      </c>
      <c r="H1642">
        <f>G1642*(11.5/38.29)</f>
        <v>5.0056585705580223E-3</v>
      </c>
    </row>
    <row r="1643" spans="1:8" x14ac:dyDescent="0.25">
      <c r="A1643" s="1">
        <v>2008</v>
      </c>
      <c r="B1643" s="1" t="s">
        <v>104</v>
      </c>
      <c r="C1643" t="s">
        <v>51</v>
      </c>
      <c r="D1643">
        <v>3</v>
      </c>
      <c r="E1643">
        <v>54</v>
      </c>
      <c r="F1643">
        <v>0.06</v>
      </c>
      <c r="G1643">
        <f>(F1643/0.6)/4</f>
        <v>2.5000000000000001E-2</v>
      </c>
      <c r="H1643">
        <f>G1643*(11.5/38.29)</f>
        <v>7.5084878558370335E-3</v>
      </c>
    </row>
    <row r="1644" spans="1:8" x14ac:dyDescent="0.25">
      <c r="A1644" s="1">
        <v>2008</v>
      </c>
      <c r="B1644" s="1" t="s">
        <v>104</v>
      </c>
      <c r="C1644" t="s">
        <v>51</v>
      </c>
      <c r="D1644">
        <v>3</v>
      </c>
      <c r="E1644">
        <v>56</v>
      </c>
      <c r="F1644">
        <v>1.31</v>
      </c>
      <c r="G1644">
        <f>(F1644/0.6)/4</f>
        <v>0.54583333333333339</v>
      </c>
      <c r="H1644">
        <f>G1644*(11.5/38.29)</f>
        <v>0.16393531818577523</v>
      </c>
    </row>
    <row r="1645" spans="1:8" x14ac:dyDescent="0.25">
      <c r="A1645" s="1">
        <v>2008</v>
      </c>
      <c r="B1645" s="1" t="s">
        <v>104</v>
      </c>
      <c r="C1645" t="s">
        <v>51</v>
      </c>
      <c r="D1645">
        <v>3</v>
      </c>
      <c r="E1645">
        <v>56</v>
      </c>
      <c r="F1645">
        <v>0.87</v>
      </c>
      <c r="G1645">
        <f>(F1645/0.6)/4</f>
        <v>0.36249999999999999</v>
      </c>
      <c r="H1645">
        <f>G1645*(11.5/38.29)</f>
        <v>0.10887307390963698</v>
      </c>
    </row>
    <row r="1646" spans="1:8" x14ac:dyDescent="0.25">
      <c r="A1646" s="1">
        <v>2008</v>
      </c>
      <c r="B1646" s="1" t="s">
        <v>104</v>
      </c>
      <c r="C1646" t="s">
        <v>51</v>
      </c>
      <c r="D1646">
        <v>3</v>
      </c>
      <c r="E1646">
        <v>58</v>
      </c>
      <c r="F1646">
        <v>0.05</v>
      </c>
      <c r="G1646">
        <f>(F1646/0.6)/4</f>
        <v>2.0833333333333336E-2</v>
      </c>
      <c r="H1646">
        <f>G1646*(11.5/38.29)</f>
        <v>6.2570732131975284E-3</v>
      </c>
    </row>
    <row r="1647" spans="1:8" x14ac:dyDescent="0.25">
      <c r="A1647" s="1">
        <v>2008</v>
      </c>
      <c r="B1647" s="1" t="s">
        <v>104</v>
      </c>
      <c r="C1647" t="s">
        <v>51</v>
      </c>
      <c r="D1647">
        <v>3</v>
      </c>
      <c r="E1647">
        <v>58</v>
      </c>
      <c r="F1647">
        <v>0.03</v>
      </c>
      <c r="G1647">
        <f>(F1647/0.6)/4</f>
        <v>1.2500000000000001E-2</v>
      </c>
      <c r="H1647">
        <f>G1647*(11.5/38.29)</f>
        <v>3.7542439279185168E-3</v>
      </c>
    </row>
    <row r="1648" spans="1:8" x14ac:dyDescent="0.25">
      <c r="A1648" s="1">
        <v>2008</v>
      </c>
      <c r="B1648" s="1" t="s">
        <v>104</v>
      </c>
      <c r="C1648" t="s">
        <v>51</v>
      </c>
      <c r="D1648">
        <v>3</v>
      </c>
      <c r="E1648">
        <v>63</v>
      </c>
      <c r="F1648">
        <v>0.13</v>
      </c>
      <c r="G1648">
        <f>(F1648/0.6)/4</f>
        <v>5.4166666666666669E-2</v>
      </c>
      <c r="H1648">
        <f>G1648*(11.5/38.29)</f>
        <v>1.6268390354313572E-2</v>
      </c>
    </row>
    <row r="1649" spans="1:8" x14ac:dyDescent="0.25">
      <c r="A1649" s="1">
        <v>2008</v>
      </c>
      <c r="B1649" s="1" t="s">
        <v>104</v>
      </c>
      <c r="C1649" t="s">
        <v>51</v>
      </c>
      <c r="D1649">
        <v>3</v>
      </c>
      <c r="E1649">
        <v>63</v>
      </c>
      <c r="F1649">
        <v>0.08</v>
      </c>
      <c r="G1649">
        <f>(F1649/0.6)/4</f>
        <v>3.3333333333333333E-2</v>
      </c>
      <c r="H1649">
        <f>G1649*(11.5/38.29)</f>
        <v>1.0011317141116045E-2</v>
      </c>
    </row>
    <row r="1650" spans="1:8" x14ac:dyDescent="0.25">
      <c r="A1650" s="1">
        <v>2008</v>
      </c>
      <c r="B1650" s="1" t="s">
        <v>104</v>
      </c>
      <c r="C1650" t="s">
        <v>51</v>
      </c>
      <c r="D1650">
        <v>3</v>
      </c>
      <c r="E1650">
        <v>63</v>
      </c>
      <c r="F1650">
        <v>0.05</v>
      </c>
      <c r="G1650">
        <f>(F1650/0.6)/4</f>
        <v>2.0833333333333336E-2</v>
      </c>
      <c r="H1650">
        <f>G1650*(11.5/38.29)</f>
        <v>6.2570732131975284E-3</v>
      </c>
    </row>
    <row r="1651" spans="1:8" x14ac:dyDescent="0.25">
      <c r="A1651" s="1">
        <v>2008</v>
      </c>
      <c r="B1651" s="1" t="s">
        <v>104</v>
      </c>
      <c r="C1651" t="s">
        <v>51</v>
      </c>
      <c r="D1651">
        <v>3</v>
      </c>
      <c r="E1651">
        <v>63</v>
      </c>
      <c r="F1651">
        <v>0.14000000000000001</v>
      </c>
      <c r="G1651">
        <f>(F1651/0.6)/4</f>
        <v>5.8333333333333341E-2</v>
      </c>
      <c r="H1651">
        <f>G1651*(11.5/38.29)</f>
        <v>1.7519804996953079E-2</v>
      </c>
    </row>
    <row r="1652" spans="1:8" x14ac:dyDescent="0.25">
      <c r="A1652" s="1">
        <v>2008</v>
      </c>
      <c r="B1652" s="1" t="s">
        <v>104</v>
      </c>
      <c r="C1652" t="s">
        <v>51</v>
      </c>
      <c r="D1652">
        <v>3</v>
      </c>
      <c r="E1652">
        <v>63</v>
      </c>
      <c r="F1652">
        <v>0.06</v>
      </c>
      <c r="G1652">
        <f>(F1652/0.6)/4</f>
        <v>2.5000000000000001E-2</v>
      </c>
      <c r="H1652">
        <f>G1652*(11.5/38.29)</f>
        <v>7.5084878558370335E-3</v>
      </c>
    </row>
    <row r="1653" spans="1:8" x14ac:dyDescent="0.25">
      <c r="A1653" s="1">
        <v>2008</v>
      </c>
      <c r="B1653" s="1" t="s">
        <v>104</v>
      </c>
      <c r="C1653" t="s">
        <v>51</v>
      </c>
      <c r="D1653">
        <v>3</v>
      </c>
      <c r="E1653">
        <v>63</v>
      </c>
      <c r="F1653">
        <v>7.0000000000000007E-2</v>
      </c>
      <c r="G1653">
        <f>(F1653/0.6)/4</f>
        <v>2.9166666666666671E-2</v>
      </c>
      <c r="H1653">
        <f>G1653*(11.5/38.29)</f>
        <v>8.7599024984765395E-3</v>
      </c>
    </row>
    <row r="1654" spans="1:8" x14ac:dyDescent="0.25">
      <c r="A1654" s="1">
        <v>2008</v>
      </c>
      <c r="B1654" s="1" t="s">
        <v>104</v>
      </c>
      <c r="C1654" t="s">
        <v>51</v>
      </c>
      <c r="D1654">
        <v>3</v>
      </c>
      <c r="E1654">
        <v>63</v>
      </c>
      <c r="F1654">
        <v>0.05</v>
      </c>
      <c r="G1654">
        <f>(F1654/0.6)/4</f>
        <v>2.0833333333333336E-2</v>
      </c>
      <c r="H1654">
        <f>G1654*(11.5/38.29)</f>
        <v>6.2570732131975284E-3</v>
      </c>
    </row>
    <row r="1655" spans="1:8" x14ac:dyDescent="0.25">
      <c r="A1655" s="1">
        <v>2008</v>
      </c>
      <c r="B1655" s="1" t="s">
        <v>104</v>
      </c>
      <c r="C1655" t="s">
        <v>51</v>
      </c>
      <c r="D1655">
        <v>3</v>
      </c>
      <c r="E1655">
        <v>63</v>
      </c>
      <c r="F1655">
        <v>0.05</v>
      </c>
      <c r="G1655">
        <f>(F1655/0.6)/4</f>
        <v>2.0833333333333336E-2</v>
      </c>
      <c r="H1655">
        <f>G1655*(11.5/38.29)</f>
        <v>6.2570732131975284E-3</v>
      </c>
    </row>
    <row r="1656" spans="1:8" x14ac:dyDescent="0.25">
      <c r="A1656" s="1">
        <v>2008</v>
      </c>
      <c r="B1656" s="1" t="s">
        <v>104</v>
      </c>
      <c r="C1656" t="s">
        <v>51</v>
      </c>
      <c r="D1656">
        <v>3</v>
      </c>
      <c r="E1656">
        <v>63</v>
      </c>
      <c r="F1656">
        <v>7.0000000000000007E-2</v>
      </c>
      <c r="G1656">
        <f>(F1656/0.6)/4</f>
        <v>2.9166666666666671E-2</v>
      </c>
      <c r="H1656">
        <f>G1656*(11.5/38.29)</f>
        <v>8.7599024984765395E-3</v>
      </c>
    </row>
    <row r="1657" spans="1:8" x14ac:dyDescent="0.25">
      <c r="A1657" s="1">
        <v>2008</v>
      </c>
      <c r="B1657" s="1" t="s">
        <v>104</v>
      </c>
      <c r="C1657" t="s">
        <v>51</v>
      </c>
      <c r="D1657">
        <v>3</v>
      </c>
      <c r="E1657">
        <v>63</v>
      </c>
      <c r="F1657">
        <v>0.11</v>
      </c>
      <c r="G1657">
        <f>(F1657/0.6)/4</f>
        <v>4.5833333333333337E-2</v>
      </c>
      <c r="H1657">
        <f>G1657*(11.5/38.29)</f>
        <v>1.3765561069034562E-2</v>
      </c>
    </row>
    <row r="1658" spans="1:8" x14ac:dyDescent="0.25">
      <c r="A1658" s="1">
        <v>2008</v>
      </c>
      <c r="B1658" s="1" t="s">
        <v>104</v>
      </c>
      <c r="C1658" t="s">
        <v>51</v>
      </c>
      <c r="D1658">
        <v>3</v>
      </c>
      <c r="E1658">
        <v>63</v>
      </c>
      <c r="F1658">
        <v>7.0000000000000007E-2</v>
      </c>
      <c r="G1658">
        <f>(F1658/0.6)/4</f>
        <v>2.9166666666666671E-2</v>
      </c>
      <c r="H1658">
        <f>G1658*(11.5/38.29)</f>
        <v>8.7599024984765395E-3</v>
      </c>
    </row>
    <row r="1659" spans="1:8" x14ac:dyDescent="0.25">
      <c r="A1659" s="1">
        <v>2008</v>
      </c>
      <c r="B1659" s="1" t="s">
        <v>104</v>
      </c>
      <c r="C1659" t="s">
        <v>51</v>
      </c>
      <c r="D1659">
        <v>3</v>
      </c>
      <c r="E1659">
        <v>63</v>
      </c>
      <c r="F1659">
        <v>0.23</v>
      </c>
      <c r="G1659">
        <f>(F1659/0.6)/4</f>
        <v>9.583333333333334E-2</v>
      </c>
      <c r="H1659">
        <f>G1659*(11.5/38.29)</f>
        <v>2.8782536780708627E-2</v>
      </c>
    </row>
    <row r="1660" spans="1:8" x14ac:dyDescent="0.25">
      <c r="A1660" s="1">
        <v>2008</v>
      </c>
      <c r="B1660" s="1" t="s">
        <v>104</v>
      </c>
      <c r="C1660" t="s">
        <v>51</v>
      </c>
      <c r="D1660">
        <v>3</v>
      </c>
      <c r="E1660">
        <v>63</v>
      </c>
      <c r="F1660">
        <v>7.0000000000000007E-2</v>
      </c>
      <c r="G1660">
        <f>(F1660/0.6)/4</f>
        <v>2.9166666666666671E-2</v>
      </c>
      <c r="H1660">
        <f>G1660*(11.5/38.29)</f>
        <v>8.7599024984765395E-3</v>
      </c>
    </row>
    <row r="1661" spans="1:8" x14ac:dyDescent="0.25">
      <c r="A1661" s="1">
        <v>2008</v>
      </c>
      <c r="B1661" s="1" t="s">
        <v>104</v>
      </c>
      <c r="C1661" t="s">
        <v>51</v>
      </c>
      <c r="D1661">
        <v>3</v>
      </c>
      <c r="E1661">
        <v>63</v>
      </c>
      <c r="F1661">
        <v>0.08</v>
      </c>
      <c r="G1661">
        <f>(F1661/0.6)/4</f>
        <v>3.3333333333333333E-2</v>
      </c>
      <c r="H1661">
        <f>G1661*(11.5/38.29)</f>
        <v>1.0011317141116045E-2</v>
      </c>
    </row>
    <row r="1662" spans="1:8" x14ac:dyDescent="0.25">
      <c r="A1662" s="1">
        <v>2008</v>
      </c>
      <c r="B1662" s="1" t="s">
        <v>104</v>
      </c>
      <c r="C1662" t="s">
        <v>51</v>
      </c>
      <c r="D1662">
        <v>3</v>
      </c>
      <c r="E1662">
        <v>63</v>
      </c>
      <c r="F1662">
        <v>0.12</v>
      </c>
      <c r="G1662">
        <f>(F1662/0.6)/4</f>
        <v>0.05</v>
      </c>
      <c r="H1662">
        <f>G1662*(11.5/38.29)</f>
        <v>1.5016975711674067E-2</v>
      </c>
    </row>
    <row r="1663" spans="1:8" x14ac:dyDescent="0.25">
      <c r="A1663" s="1">
        <v>2008</v>
      </c>
      <c r="B1663" s="1" t="s">
        <v>104</v>
      </c>
      <c r="C1663" t="s">
        <v>51</v>
      </c>
      <c r="D1663">
        <v>3</v>
      </c>
      <c r="E1663">
        <v>63</v>
      </c>
      <c r="F1663">
        <v>0.05</v>
      </c>
      <c r="G1663">
        <f>(F1663/0.6)/4</f>
        <v>2.0833333333333336E-2</v>
      </c>
      <c r="H1663">
        <f>G1663*(11.5/38.29)</f>
        <v>6.2570732131975284E-3</v>
      </c>
    </row>
    <row r="1664" spans="1:8" x14ac:dyDescent="0.25">
      <c r="A1664" s="1">
        <v>2008</v>
      </c>
      <c r="B1664" s="1" t="s">
        <v>104</v>
      </c>
      <c r="C1664" t="s">
        <v>51</v>
      </c>
      <c r="D1664">
        <v>3</v>
      </c>
      <c r="E1664">
        <v>63</v>
      </c>
      <c r="F1664">
        <v>7.0000000000000007E-2</v>
      </c>
      <c r="G1664">
        <f>(F1664/0.6)/4</f>
        <v>2.9166666666666671E-2</v>
      </c>
      <c r="H1664">
        <f>G1664*(11.5/38.29)</f>
        <v>8.7599024984765395E-3</v>
      </c>
    </row>
    <row r="1665" spans="1:8" x14ac:dyDescent="0.25">
      <c r="A1665" s="1">
        <v>2008</v>
      </c>
      <c r="B1665" s="1" t="s">
        <v>104</v>
      </c>
      <c r="C1665" t="s">
        <v>51</v>
      </c>
      <c r="D1665">
        <v>3</v>
      </c>
      <c r="E1665">
        <v>79</v>
      </c>
      <c r="F1665">
        <v>0.09</v>
      </c>
      <c r="G1665">
        <f>(F1665/0.6)/4</f>
        <v>3.7499999999999999E-2</v>
      </c>
      <c r="H1665">
        <f>G1665*(11.5/38.29)</f>
        <v>1.126273178375555E-2</v>
      </c>
    </row>
    <row r="1666" spans="1:8" x14ac:dyDescent="0.25">
      <c r="A1666" s="1">
        <v>2008</v>
      </c>
      <c r="B1666" s="1" t="s">
        <v>104</v>
      </c>
      <c r="C1666" t="s">
        <v>51</v>
      </c>
      <c r="D1666">
        <v>3</v>
      </c>
      <c r="E1666">
        <v>79</v>
      </c>
      <c r="F1666">
        <v>0.04</v>
      </c>
      <c r="G1666">
        <f>(F1666/0.6)/4</f>
        <v>1.6666666666666666E-2</v>
      </c>
      <c r="H1666">
        <f>G1666*(11.5/38.29)</f>
        <v>5.0056585705580223E-3</v>
      </c>
    </row>
    <row r="1667" spans="1:8" x14ac:dyDescent="0.25">
      <c r="A1667" s="1">
        <v>2008</v>
      </c>
      <c r="B1667" s="1" t="s">
        <v>104</v>
      </c>
      <c r="C1667" t="s">
        <v>51</v>
      </c>
      <c r="D1667">
        <v>3</v>
      </c>
      <c r="E1667">
        <v>79</v>
      </c>
      <c r="F1667">
        <v>0.17</v>
      </c>
      <c r="G1667">
        <f>(F1667/0.6)/4</f>
        <v>7.0833333333333345E-2</v>
      </c>
      <c r="H1667">
        <f>G1667*(11.5/38.29)</f>
        <v>2.1274048924871596E-2</v>
      </c>
    </row>
    <row r="1668" spans="1:8" x14ac:dyDescent="0.25">
      <c r="A1668" s="1">
        <v>2008</v>
      </c>
      <c r="B1668" s="1" t="s">
        <v>104</v>
      </c>
      <c r="C1668" t="s">
        <v>51</v>
      </c>
      <c r="D1668">
        <v>3</v>
      </c>
      <c r="E1668">
        <v>79</v>
      </c>
      <c r="F1668">
        <v>0.57999999999999996</v>
      </c>
      <c r="G1668">
        <f>(F1668/0.6)/4</f>
        <v>0.24166666666666667</v>
      </c>
      <c r="H1668">
        <f>G1668*(11.5/38.29)</f>
        <v>7.2582049273091323E-2</v>
      </c>
    </row>
    <row r="1669" spans="1:8" x14ac:dyDescent="0.25">
      <c r="A1669" s="1">
        <v>2008</v>
      </c>
      <c r="B1669" s="1" t="s">
        <v>104</v>
      </c>
      <c r="C1669" t="s">
        <v>51</v>
      </c>
      <c r="D1669">
        <v>3</v>
      </c>
      <c r="E1669">
        <v>79</v>
      </c>
      <c r="F1669">
        <v>0.32</v>
      </c>
      <c r="G1669">
        <f>(F1669/0.6)/4</f>
        <v>0.13333333333333333</v>
      </c>
      <c r="H1669">
        <f>G1669*(11.5/38.29)</f>
        <v>4.0045268564464179E-2</v>
      </c>
    </row>
    <row r="1670" spans="1:8" x14ac:dyDescent="0.25">
      <c r="A1670" s="1">
        <v>2008</v>
      </c>
      <c r="B1670" s="1" t="s">
        <v>104</v>
      </c>
      <c r="C1670" t="s">
        <v>51</v>
      </c>
      <c r="D1670">
        <v>3</v>
      </c>
      <c r="E1670">
        <v>79</v>
      </c>
      <c r="F1670">
        <v>0.12</v>
      </c>
      <c r="G1670">
        <f>(F1670/0.6)/4</f>
        <v>0.05</v>
      </c>
      <c r="H1670">
        <f>G1670*(11.5/38.29)</f>
        <v>1.5016975711674067E-2</v>
      </c>
    </row>
    <row r="1671" spans="1:8" x14ac:dyDescent="0.25">
      <c r="A1671" s="1">
        <v>2008</v>
      </c>
      <c r="B1671" s="1" t="s">
        <v>104</v>
      </c>
      <c r="C1671" t="s">
        <v>51</v>
      </c>
      <c r="D1671">
        <v>3</v>
      </c>
      <c r="E1671">
        <v>79</v>
      </c>
      <c r="F1671">
        <v>0.3</v>
      </c>
      <c r="G1671">
        <f>(F1671/0.6)/4</f>
        <v>0.125</v>
      </c>
      <c r="H1671">
        <f>G1671*(11.5/38.29)</f>
        <v>3.7542439279185165E-2</v>
      </c>
    </row>
    <row r="1672" spans="1:8" x14ac:dyDescent="0.25">
      <c r="A1672" s="1">
        <v>2008</v>
      </c>
      <c r="B1672" s="1" t="s">
        <v>104</v>
      </c>
      <c r="C1672" t="s">
        <v>51</v>
      </c>
      <c r="D1672">
        <v>3</v>
      </c>
      <c r="E1672">
        <v>79</v>
      </c>
      <c r="F1672">
        <v>0.12</v>
      </c>
      <c r="G1672">
        <f>(F1672/0.6)/4</f>
        <v>0.05</v>
      </c>
      <c r="H1672">
        <f>G1672*(11.5/38.29)</f>
        <v>1.5016975711674067E-2</v>
      </c>
    </row>
    <row r="1673" spans="1:8" x14ac:dyDescent="0.25">
      <c r="A1673" s="1">
        <v>2008</v>
      </c>
      <c r="B1673" s="1" t="s">
        <v>104</v>
      </c>
      <c r="C1673" t="s">
        <v>51</v>
      </c>
      <c r="D1673">
        <v>3</v>
      </c>
      <c r="E1673">
        <v>79</v>
      </c>
      <c r="F1673">
        <v>0.27</v>
      </c>
      <c r="G1673">
        <f>(F1673/0.6)/4</f>
        <v>0.11250000000000002</v>
      </c>
      <c r="H1673">
        <f>G1673*(11.5/38.29)</f>
        <v>3.3788195351266655E-2</v>
      </c>
    </row>
    <row r="1674" spans="1:8" x14ac:dyDescent="0.25">
      <c r="A1674" s="1">
        <v>2008</v>
      </c>
      <c r="B1674" s="1" t="s">
        <v>104</v>
      </c>
      <c r="C1674" t="s">
        <v>51</v>
      </c>
      <c r="D1674">
        <v>3</v>
      </c>
      <c r="E1674">
        <v>79</v>
      </c>
      <c r="F1674">
        <v>7.0000000000000007E-2</v>
      </c>
      <c r="G1674">
        <f>(F1674/0.6)/4</f>
        <v>2.9166666666666671E-2</v>
      </c>
      <c r="H1674">
        <f>G1674*(11.5/38.29)</f>
        <v>8.7599024984765395E-3</v>
      </c>
    </row>
    <row r="1675" spans="1:8" x14ac:dyDescent="0.25">
      <c r="A1675" s="1">
        <v>2008</v>
      </c>
      <c r="B1675" s="1" t="s">
        <v>104</v>
      </c>
      <c r="C1675" t="s">
        <v>51</v>
      </c>
      <c r="D1675">
        <v>3</v>
      </c>
      <c r="E1675">
        <v>79</v>
      </c>
      <c r="F1675">
        <v>0.08</v>
      </c>
      <c r="G1675">
        <f>(F1675/0.6)/4</f>
        <v>3.3333333333333333E-2</v>
      </c>
      <c r="H1675">
        <f>G1675*(11.5/38.29)</f>
        <v>1.0011317141116045E-2</v>
      </c>
    </row>
    <row r="1676" spans="1:8" x14ac:dyDescent="0.25">
      <c r="A1676" s="1">
        <v>2008</v>
      </c>
      <c r="B1676" s="1" t="s">
        <v>104</v>
      </c>
      <c r="C1676" t="s">
        <v>51</v>
      </c>
      <c r="D1676">
        <v>3</v>
      </c>
      <c r="E1676">
        <v>79</v>
      </c>
      <c r="F1676">
        <v>0.51</v>
      </c>
      <c r="G1676">
        <f>(F1676/0.6)/4</f>
        <v>0.21250000000000002</v>
      </c>
      <c r="H1676">
        <f>G1676*(11.5/38.29)</f>
        <v>6.3822146774614785E-2</v>
      </c>
    </row>
    <row r="1677" spans="1:8" x14ac:dyDescent="0.25">
      <c r="A1677" s="1">
        <v>2008</v>
      </c>
      <c r="B1677" s="1" t="s">
        <v>104</v>
      </c>
      <c r="C1677" t="s">
        <v>51</v>
      </c>
      <c r="D1677">
        <v>3</v>
      </c>
      <c r="E1677">
        <v>79</v>
      </c>
      <c r="F1677">
        <v>0.48</v>
      </c>
      <c r="G1677">
        <f>(F1677/0.6)/4</f>
        <v>0.2</v>
      </c>
      <c r="H1677">
        <f>G1677*(11.5/38.29)</f>
        <v>6.0067902846696268E-2</v>
      </c>
    </row>
    <row r="1678" spans="1:8" x14ac:dyDescent="0.25">
      <c r="A1678" s="1">
        <v>2008</v>
      </c>
      <c r="B1678" s="1" t="s">
        <v>104</v>
      </c>
      <c r="C1678" t="s">
        <v>51</v>
      </c>
      <c r="D1678">
        <v>3</v>
      </c>
      <c r="E1678">
        <v>79</v>
      </c>
      <c r="F1678">
        <v>0.64</v>
      </c>
      <c r="G1678">
        <f>(F1678/0.6)/4</f>
        <v>0.26666666666666666</v>
      </c>
      <c r="H1678">
        <f>G1678*(11.5/38.29)</f>
        <v>8.0090537128928357E-2</v>
      </c>
    </row>
    <row r="1679" spans="1:8" x14ac:dyDescent="0.25">
      <c r="A1679" s="1">
        <v>2008</v>
      </c>
      <c r="B1679" s="1" t="s">
        <v>104</v>
      </c>
      <c r="C1679" t="s">
        <v>51</v>
      </c>
      <c r="D1679">
        <v>3</v>
      </c>
      <c r="E1679">
        <v>79</v>
      </c>
      <c r="F1679">
        <v>0.05</v>
      </c>
      <c r="G1679">
        <f>(F1679/0.6)/4</f>
        <v>2.0833333333333336E-2</v>
      </c>
      <c r="H1679">
        <f>G1679*(11.5/38.29)</f>
        <v>6.2570732131975284E-3</v>
      </c>
    </row>
    <row r="1680" spans="1:8" x14ac:dyDescent="0.25">
      <c r="A1680" s="1">
        <v>2008</v>
      </c>
      <c r="B1680" s="1" t="s">
        <v>104</v>
      </c>
      <c r="C1680" t="s">
        <v>51</v>
      </c>
      <c r="D1680">
        <v>3</v>
      </c>
      <c r="E1680">
        <v>79</v>
      </c>
      <c r="F1680">
        <v>0.47</v>
      </c>
      <c r="G1680">
        <f>(F1680/0.6)/4</f>
        <v>0.19583333333333333</v>
      </c>
      <c r="H1680">
        <f>G1680*(11.5/38.29)</f>
        <v>5.8816488204056758E-2</v>
      </c>
    </row>
    <row r="1681" spans="1:8" x14ac:dyDescent="0.25">
      <c r="A1681" s="1">
        <v>2008</v>
      </c>
      <c r="B1681" s="1" t="s">
        <v>104</v>
      </c>
      <c r="C1681" t="s">
        <v>51</v>
      </c>
      <c r="D1681">
        <v>3</v>
      </c>
      <c r="E1681">
        <v>79</v>
      </c>
      <c r="F1681">
        <v>0.56000000000000005</v>
      </c>
      <c r="G1681">
        <f>(F1681/0.6)/4</f>
        <v>0.23333333333333336</v>
      </c>
      <c r="H1681">
        <f>G1681*(11.5/38.29)</f>
        <v>7.0079219987812316E-2</v>
      </c>
    </row>
    <row r="1682" spans="1:8" x14ac:dyDescent="0.25">
      <c r="A1682" s="1">
        <v>2008</v>
      </c>
      <c r="B1682" s="1" t="s">
        <v>104</v>
      </c>
      <c r="C1682" t="s">
        <v>51</v>
      </c>
      <c r="D1682">
        <v>3</v>
      </c>
      <c r="E1682">
        <v>79</v>
      </c>
      <c r="F1682">
        <v>0.42</v>
      </c>
      <c r="G1682">
        <f>(F1682/0.6)/4</f>
        <v>0.17499999999999999</v>
      </c>
      <c r="H1682">
        <f>G1682*(11.5/38.29)</f>
        <v>5.2559414990859227E-2</v>
      </c>
    </row>
    <row r="1683" spans="1:8" x14ac:dyDescent="0.25">
      <c r="A1683" s="1">
        <v>2008</v>
      </c>
      <c r="B1683" s="1" t="s">
        <v>104</v>
      </c>
      <c r="C1683" t="s">
        <v>51</v>
      </c>
      <c r="D1683">
        <v>3</v>
      </c>
      <c r="E1683">
        <v>79</v>
      </c>
      <c r="F1683">
        <v>0.11</v>
      </c>
      <c r="G1683">
        <f>(F1683/0.6)/4</f>
        <v>4.5833333333333337E-2</v>
      </c>
      <c r="H1683">
        <f>G1683*(11.5/38.29)</f>
        <v>1.3765561069034562E-2</v>
      </c>
    </row>
    <row r="1684" spans="1:8" x14ac:dyDescent="0.25">
      <c r="A1684" s="1">
        <v>2008</v>
      </c>
      <c r="B1684" s="1" t="s">
        <v>104</v>
      </c>
      <c r="C1684" t="s">
        <v>51</v>
      </c>
      <c r="D1684">
        <v>3</v>
      </c>
      <c r="E1684">
        <v>79</v>
      </c>
      <c r="F1684">
        <v>0.05</v>
      </c>
      <c r="G1684">
        <f>(F1684/0.6)/4</f>
        <v>2.0833333333333336E-2</v>
      </c>
      <c r="H1684">
        <f>G1684*(11.5/38.29)</f>
        <v>6.2570732131975284E-3</v>
      </c>
    </row>
    <row r="1685" spans="1:8" x14ac:dyDescent="0.25">
      <c r="A1685" s="1">
        <v>2008</v>
      </c>
      <c r="B1685" s="1" t="s">
        <v>104</v>
      </c>
      <c r="C1685" t="s">
        <v>51</v>
      </c>
      <c r="D1685">
        <v>3</v>
      </c>
      <c r="E1685">
        <v>79</v>
      </c>
      <c r="F1685">
        <v>1.43</v>
      </c>
      <c r="G1685">
        <f>(F1685/0.6)/4</f>
        <v>0.59583333333333333</v>
      </c>
      <c r="H1685">
        <f>G1685*(11.5/38.29)</f>
        <v>0.17895229389744929</v>
      </c>
    </row>
    <row r="1686" spans="1:8" x14ac:dyDescent="0.25">
      <c r="A1686" s="1">
        <v>2008</v>
      </c>
      <c r="B1686" s="1" t="s">
        <v>104</v>
      </c>
      <c r="C1686" t="s">
        <v>51</v>
      </c>
      <c r="D1686">
        <v>3</v>
      </c>
      <c r="E1686">
        <v>79</v>
      </c>
      <c r="F1686">
        <v>0.04</v>
      </c>
      <c r="G1686">
        <f>(F1686/0.6)/4</f>
        <v>1.6666666666666666E-2</v>
      </c>
      <c r="H1686">
        <f>G1686*(11.5/38.29)</f>
        <v>5.0056585705580223E-3</v>
      </c>
    </row>
    <row r="1687" spans="1:8" x14ac:dyDescent="0.25">
      <c r="A1687" s="1">
        <v>2008</v>
      </c>
      <c r="B1687" s="1" t="s">
        <v>104</v>
      </c>
      <c r="C1687" t="s">
        <v>51</v>
      </c>
      <c r="D1687">
        <v>3</v>
      </c>
      <c r="E1687">
        <v>79</v>
      </c>
      <c r="F1687">
        <v>0.45</v>
      </c>
      <c r="G1687">
        <f>(F1687/0.6)/4</f>
        <v>0.1875</v>
      </c>
      <c r="H1687">
        <f>G1687*(11.5/38.29)</f>
        <v>5.6313658918777751E-2</v>
      </c>
    </row>
    <row r="1688" spans="1:8" x14ac:dyDescent="0.25">
      <c r="A1688" s="1">
        <v>2008</v>
      </c>
      <c r="B1688" s="1" t="s">
        <v>104</v>
      </c>
      <c r="C1688" t="s">
        <v>51</v>
      </c>
      <c r="D1688">
        <v>3</v>
      </c>
      <c r="E1688">
        <v>79</v>
      </c>
      <c r="F1688">
        <v>7.0000000000000007E-2</v>
      </c>
      <c r="G1688">
        <f>(F1688/0.6)/4</f>
        <v>2.9166666666666671E-2</v>
      </c>
      <c r="H1688">
        <f>G1688*(11.5/38.29)</f>
        <v>8.7599024984765395E-3</v>
      </c>
    </row>
    <row r="1689" spans="1:8" x14ac:dyDescent="0.25">
      <c r="A1689" s="1">
        <v>2008</v>
      </c>
      <c r="B1689" s="1" t="s">
        <v>104</v>
      </c>
      <c r="C1689" t="s">
        <v>51</v>
      </c>
      <c r="D1689">
        <v>3</v>
      </c>
      <c r="E1689">
        <v>79</v>
      </c>
      <c r="F1689">
        <v>0.62</v>
      </c>
      <c r="G1689">
        <f>(F1689/0.6)/4</f>
        <v>0.25833333333333336</v>
      </c>
      <c r="H1689">
        <f>G1689*(11.5/38.29)</f>
        <v>7.7587707843649351E-2</v>
      </c>
    </row>
    <row r="1690" spans="1:8" x14ac:dyDescent="0.25">
      <c r="A1690" s="1">
        <v>2008</v>
      </c>
      <c r="B1690" s="1" t="s">
        <v>104</v>
      </c>
      <c r="C1690" t="s">
        <v>51</v>
      </c>
      <c r="D1690">
        <v>3</v>
      </c>
      <c r="E1690">
        <v>79</v>
      </c>
      <c r="F1690">
        <v>0.47</v>
      </c>
      <c r="G1690">
        <f>(F1690/0.6)/4</f>
        <v>0.19583333333333333</v>
      </c>
      <c r="H1690">
        <f>G1690*(11.5/38.29)</f>
        <v>5.8816488204056758E-2</v>
      </c>
    </row>
    <row r="1691" spans="1:8" x14ac:dyDescent="0.25">
      <c r="A1691" s="1">
        <v>2008</v>
      </c>
      <c r="B1691" s="1" t="s">
        <v>104</v>
      </c>
      <c r="C1691" t="s">
        <v>51</v>
      </c>
      <c r="D1691">
        <v>3</v>
      </c>
      <c r="E1691">
        <v>79</v>
      </c>
      <c r="F1691">
        <v>0.38</v>
      </c>
      <c r="G1691">
        <f>(F1691/0.6)/4</f>
        <v>0.15833333333333335</v>
      </c>
      <c r="H1691">
        <f>G1691*(11.5/38.29)</f>
        <v>4.7553756420301213E-2</v>
      </c>
    </row>
    <row r="1692" spans="1:8" x14ac:dyDescent="0.25">
      <c r="A1692" s="1">
        <v>2008</v>
      </c>
      <c r="B1692" s="1" t="s">
        <v>104</v>
      </c>
      <c r="C1692" t="s">
        <v>51</v>
      </c>
      <c r="D1692">
        <v>3</v>
      </c>
      <c r="E1692">
        <v>79</v>
      </c>
      <c r="F1692">
        <v>0.67</v>
      </c>
      <c r="G1692">
        <f>(F1692/0.6)/4</f>
        <v>0.27916666666666667</v>
      </c>
      <c r="H1692">
        <f>G1692*(11.5/38.29)</f>
        <v>8.3844781056846868E-2</v>
      </c>
    </row>
    <row r="1693" spans="1:8" x14ac:dyDescent="0.25">
      <c r="A1693" s="1">
        <v>2008</v>
      </c>
      <c r="B1693" s="1" t="s">
        <v>104</v>
      </c>
      <c r="C1693" t="s">
        <v>51</v>
      </c>
      <c r="D1693">
        <v>3</v>
      </c>
      <c r="E1693">
        <v>79</v>
      </c>
      <c r="F1693">
        <v>0.11</v>
      </c>
      <c r="G1693">
        <f>(F1693/0.6)/4</f>
        <v>4.5833333333333337E-2</v>
      </c>
      <c r="H1693">
        <f>G1693*(11.5/38.29)</f>
        <v>1.3765561069034562E-2</v>
      </c>
    </row>
    <row r="1694" spans="1:8" x14ac:dyDescent="0.25">
      <c r="A1694" s="1">
        <v>2008</v>
      </c>
      <c r="B1694" s="1" t="s">
        <v>104</v>
      </c>
      <c r="C1694" t="s">
        <v>51</v>
      </c>
      <c r="D1694">
        <v>3</v>
      </c>
      <c r="E1694">
        <v>79</v>
      </c>
      <c r="F1694">
        <v>0.22</v>
      </c>
      <c r="G1694">
        <f>(F1694/0.6)/4</f>
        <v>9.1666666666666674E-2</v>
      </c>
      <c r="H1694">
        <f>G1694*(11.5/38.29)</f>
        <v>2.7531122138069124E-2</v>
      </c>
    </row>
    <row r="1695" spans="1:8" x14ac:dyDescent="0.25">
      <c r="A1695" s="1">
        <v>2008</v>
      </c>
      <c r="B1695" s="1" t="s">
        <v>104</v>
      </c>
      <c r="C1695" t="s">
        <v>51</v>
      </c>
      <c r="D1695">
        <v>3</v>
      </c>
      <c r="E1695">
        <v>79</v>
      </c>
      <c r="F1695">
        <v>0.12</v>
      </c>
      <c r="G1695">
        <f>(F1695/0.6)/4</f>
        <v>0.05</v>
      </c>
      <c r="H1695">
        <f>G1695*(11.5/38.29)</f>
        <v>1.5016975711674067E-2</v>
      </c>
    </row>
    <row r="1696" spans="1:8" x14ac:dyDescent="0.25">
      <c r="A1696" s="1">
        <v>2008</v>
      </c>
      <c r="B1696" s="1" t="s">
        <v>104</v>
      </c>
      <c r="C1696" t="s">
        <v>51</v>
      </c>
      <c r="D1696">
        <v>3</v>
      </c>
      <c r="E1696">
        <v>79</v>
      </c>
      <c r="F1696">
        <v>0.11</v>
      </c>
      <c r="G1696">
        <f>(F1696/0.6)/4</f>
        <v>4.5833333333333337E-2</v>
      </c>
      <c r="H1696">
        <f>G1696*(11.5/38.29)</f>
        <v>1.3765561069034562E-2</v>
      </c>
    </row>
    <row r="1697" spans="1:8" x14ac:dyDescent="0.25">
      <c r="A1697" s="1">
        <v>2008</v>
      </c>
      <c r="B1697" s="1" t="s">
        <v>104</v>
      </c>
      <c r="C1697" t="s">
        <v>51</v>
      </c>
      <c r="D1697">
        <v>3</v>
      </c>
      <c r="E1697">
        <v>79</v>
      </c>
      <c r="F1697">
        <v>0.13</v>
      </c>
      <c r="G1697">
        <f>(F1697/0.6)/4</f>
        <v>5.4166666666666669E-2</v>
      </c>
      <c r="H1697">
        <f>G1697*(11.5/38.29)</f>
        <v>1.6268390354313572E-2</v>
      </c>
    </row>
    <row r="1698" spans="1:8" x14ac:dyDescent="0.25">
      <c r="A1698" s="1">
        <v>2008</v>
      </c>
      <c r="B1698" s="1" t="s">
        <v>104</v>
      </c>
      <c r="C1698" t="s">
        <v>51</v>
      </c>
      <c r="D1698">
        <v>3</v>
      </c>
      <c r="E1698">
        <v>79</v>
      </c>
      <c r="F1698">
        <v>0.33</v>
      </c>
      <c r="G1698">
        <f>(F1698/0.6)/4</f>
        <v>0.13750000000000001</v>
      </c>
      <c r="H1698">
        <f>G1698*(11.5/38.29)</f>
        <v>4.1296683207103682E-2</v>
      </c>
    </row>
    <row r="1699" spans="1:8" x14ac:dyDescent="0.25">
      <c r="A1699" s="1">
        <v>2008</v>
      </c>
      <c r="B1699" s="1" t="s">
        <v>104</v>
      </c>
      <c r="C1699" t="s">
        <v>51</v>
      </c>
      <c r="D1699">
        <v>3</v>
      </c>
      <c r="E1699">
        <v>79</v>
      </c>
      <c r="F1699">
        <v>0.66</v>
      </c>
      <c r="G1699">
        <f>(F1699/0.6)/4</f>
        <v>0.27500000000000002</v>
      </c>
      <c r="H1699">
        <f>G1699*(11.5/38.29)</f>
        <v>8.2593366414207364E-2</v>
      </c>
    </row>
    <row r="1700" spans="1:8" x14ac:dyDescent="0.25">
      <c r="A1700" s="1">
        <v>2008</v>
      </c>
      <c r="B1700" s="1" t="s">
        <v>104</v>
      </c>
      <c r="C1700" t="s">
        <v>51</v>
      </c>
      <c r="D1700">
        <v>3</v>
      </c>
      <c r="E1700">
        <v>79</v>
      </c>
      <c r="F1700">
        <v>0.24</v>
      </c>
      <c r="G1700">
        <f>(F1700/0.6)/4</f>
        <v>0.1</v>
      </c>
      <c r="H1700">
        <f>G1700*(11.5/38.29)</f>
        <v>3.0033951423348134E-2</v>
      </c>
    </row>
    <row r="1701" spans="1:8" x14ac:dyDescent="0.25">
      <c r="A1701" s="1">
        <v>2008</v>
      </c>
      <c r="B1701" s="1" t="s">
        <v>104</v>
      </c>
      <c r="C1701" t="s">
        <v>51</v>
      </c>
      <c r="D1701">
        <v>3</v>
      </c>
      <c r="E1701">
        <v>79</v>
      </c>
      <c r="F1701">
        <v>1.18</v>
      </c>
      <c r="G1701">
        <f>(F1701/0.6)/4</f>
        <v>0.49166666666666664</v>
      </c>
      <c r="H1701">
        <f>G1701*(11.5/38.29)</f>
        <v>0.14766692783146165</v>
      </c>
    </row>
    <row r="1702" spans="1:8" x14ac:dyDescent="0.25">
      <c r="A1702" s="1">
        <v>2008</v>
      </c>
      <c r="B1702" s="1" t="s">
        <v>104</v>
      </c>
      <c r="C1702" t="s">
        <v>51</v>
      </c>
      <c r="D1702">
        <v>3</v>
      </c>
      <c r="E1702">
        <v>79</v>
      </c>
      <c r="F1702">
        <v>0.05</v>
      </c>
      <c r="G1702">
        <f>(F1702/0.6)/4</f>
        <v>2.0833333333333336E-2</v>
      </c>
      <c r="H1702">
        <f>G1702*(11.5/38.29)</f>
        <v>6.2570732131975284E-3</v>
      </c>
    </row>
    <row r="1703" spans="1:8" x14ac:dyDescent="0.25">
      <c r="A1703" s="1">
        <v>2008</v>
      </c>
      <c r="B1703" s="1" t="s">
        <v>104</v>
      </c>
      <c r="C1703" t="s">
        <v>51</v>
      </c>
      <c r="D1703">
        <v>3</v>
      </c>
      <c r="E1703">
        <v>79</v>
      </c>
      <c r="F1703">
        <v>0.71</v>
      </c>
      <c r="G1703">
        <f>(F1703/0.6)/4</f>
        <v>0.29583333333333334</v>
      </c>
      <c r="H1703">
        <f>G1703*(11.5/38.29)</f>
        <v>8.8850439627404895E-2</v>
      </c>
    </row>
    <row r="1704" spans="1:8" x14ac:dyDescent="0.25">
      <c r="A1704" s="1">
        <v>2008</v>
      </c>
      <c r="B1704" s="1" t="s">
        <v>104</v>
      </c>
      <c r="C1704" t="s">
        <v>51</v>
      </c>
      <c r="D1704">
        <v>3</v>
      </c>
      <c r="E1704">
        <v>79</v>
      </c>
      <c r="F1704">
        <v>0.06</v>
      </c>
      <c r="G1704">
        <f>(F1704/0.6)/4</f>
        <v>2.5000000000000001E-2</v>
      </c>
      <c r="H1704">
        <f>G1704*(11.5/38.29)</f>
        <v>7.5084878558370335E-3</v>
      </c>
    </row>
    <row r="1705" spans="1:8" x14ac:dyDescent="0.25">
      <c r="A1705" s="1">
        <v>2008</v>
      </c>
      <c r="B1705" s="1" t="s">
        <v>104</v>
      </c>
      <c r="C1705" t="s">
        <v>51</v>
      </c>
      <c r="D1705">
        <v>3</v>
      </c>
      <c r="E1705">
        <v>79</v>
      </c>
      <c r="F1705">
        <v>0.05</v>
      </c>
      <c r="G1705">
        <f>(F1705/0.6)/4</f>
        <v>2.0833333333333336E-2</v>
      </c>
      <c r="H1705">
        <f>G1705*(11.5/38.29)</f>
        <v>6.2570732131975284E-3</v>
      </c>
    </row>
    <row r="1706" spans="1:8" x14ac:dyDescent="0.25">
      <c r="A1706" s="1">
        <v>2008</v>
      </c>
      <c r="B1706" s="1" t="s">
        <v>104</v>
      </c>
      <c r="C1706" t="s">
        <v>51</v>
      </c>
      <c r="D1706">
        <v>3</v>
      </c>
      <c r="E1706">
        <v>79</v>
      </c>
      <c r="F1706">
        <v>0.14000000000000001</v>
      </c>
      <c r="G1706">
        <f>(F1706/0.6)/4</f>
        <v>5.8333333333333341E-2</v>
      </c>
      <c r="H1706">
        <f>G1706*(11.5/38.29)</f>
        <v>1.7519804996953079E-2</v>
      </c>
    </row>
    <row r="1707" spans="1:8" x14ac:dyDescent="0.25">
      <c r="A1707" s="1">
        <v>2008</v>
      </c>
      <c r="B1707" s="1" t="s">
        <v>104</v>
      </c>
      <c r="C1707" t="s">
        <v>51</v>
      </c>
      <c r="D1707">
        <v>3</v>
      </c>
      <c r="E1707">
        <v>79</v>
      </c>
      <c r="F1707">
        <v>0.66</v>
      </c>
      <c r="G1707">
        <f>(F1707/0.6)/4</f>
        <v>0.27500000000000002</v>
      </c>
      <c r="H1707">
        <f>G1707*(11.5/38.29)</f>
        <v>8.2593366414207364E-2</v>
      </c>
    </row>
    <row r="1708" spans="1:8" x14ac:dyDescent="0.25">
      <c r="A1708" s="1">
        <v>2008</v>
      </c>
      <c r="B1708" s="1" t="s">
        <v>104</v>
      </c>
      <c r="C1708" t="s">
        <v>51</v>
      </c>
      <c r="D1708">
        <v>3</v>
      </c>
      <c r="E1708">
        <v>79</v>
      </c>
      <c r="F1708">
        <v>0.21</v>
      </c>
      <c r="G1708">
        <f>(F1708/0.6)/4</f>
        <v>8.7499999999999994E-2</v>
      </c>
      <c r="H1708">
        <f>G1708*(11.5/38.29)</f>
        <v>2.6279707495429613E-2</v>
      </c>
    </row>
    <row r="1709" spans="1:8" x14ac:dyDescent="0.25">
      <c r="A1709" s="1">
        <v>2008</v>
      </c>
      <c r="B1709" s="1" t="s">
        <v>104</v>
      </c>
      <c r="C1709" t="s">
        <v>51</v>
      </c>
      <c r="D1709">
        <v>3</v>
      </c>
      <c r="E1709">
        <v>79</v>
      </c>
      <c r="F1709">
        <v>0.15</v>
      </c>
      <c r="G1709">
        <f>(F1709/0.6)/4</f>
        <v>6.25E-2</v>
      </c>
      <c r="H1709">
        <f>G1709*(11.5/38.29)</f>
        <v>1.8771219639592582E-2</v>
      </c>
    </row>
    <row r="1710" spans="1:8" x14ac:dyDescent="0.25">
      <c r="A1710" s="1">
        <v>2008</v>
      </c>
      <c r="B1710" s="1" t="s">
        <v>104</v>
      </c>
      <c r="C1710" t="s">
        <v>51</v>
      </c>
      <c r="D1710">
        <v>3</v>
      </c>
      <c r="E1710">
        <v>79</v>
      </c>
      <c r="F1710">
        <v>0.13</v>
      </c>
      <c r="G1710">
        <f>(F1710/0.6)/4</f>
        <v>5.4166666666666669E-2</v>
      </c>
      <c r="H1710">
        <f>G1710*(11.5/38.29)</f>
        <v>1.6268390354313572E-2</v>
      </c>
    </row>
    <row r="1711" spans="1:8" x14ac:dyDescent="0.25">
      <c r="A1711" s="1">
        <v>2008</v>
      </c>
      <c r="B1711" s="1" t="s">
        <v>104</v>
      </c>
      <c r="C1711" t="s">
        <v>51</v>
      </c>
      <c r="D1711">
        <v>3</v>
      </c>
      <c r="E1711">
        <v>79</v>
      </c>
      <c r="F1711">
        <v>0.46</v>
      </c>
      <c r="G1711">
        <f>(F1711/0.6)/4</f>
        <v>0.19166666666666668</v>
      </c>
      <c r="H1711">
        <f>G1711*(11.5/38.29)</f>
        <v>5.7565073561417254E-2</v>
      </c>
    </row>
    <row r="1712" spans="1:8" x14ac:dyDescent="0.25">
      <c r="A1712" s="1">
        <v>2008</v>
      </c>
      <c r="B1712" s="1" t="s">
        <v>104</v>
      </c>
      <c r="C1712" t="s">
        <v>51</v>
      </c>
      <c r="D1712">
        <v>3</v>
      </c>
      <c r="E1712">
        <v>79</v>
      </c>
      <c r="F1712">
        <v>0.19</v>
      </c>
      <c r="G1712">
        <f>(F1712/0.6)/4</f>
        <v>7.9166666666666677E-2</v>
      </c>
      <c r="H1712">
        <f>G1712*(11.5/38.29)</f>
        <v>2.3776878210150607E-2</v>
      </c>
    </row>
    <row r="1713" spans="1:8" x14ac:dyDescent="0.25">
      <c r="A1713" s="1">
        <v>2008</v>
      </c>
      <c r="B1713" s="1" t="s">
        <v>104</v>
      </c>
      <c r="C1713" t="s">
        <v>51</v>
      </c>
      <c r="D1713">
        <v>3</v>
      </c>
      <c r="E1713">
        <v>79</v>
      </c>
      <c r="F1713">
        <v>0.35</v>
      </c>
      <c r="G1713">
        <f>(F1713/0.6)/4</f>
        <v>0.14583333333333334</v>
      </c>
      <c r="H1713">
        <f>G1713*(11.5/38.29)</f>
        <v>4.3799512492382696E-2</v>
      </c>
    </row>
    <row r="1714" spans="1:8" x14ac:dyDescent="0.25">
      <c r="A1714" s="1">
        <v>2008</v>
      </c>
      <c r="B1714" s="1" t="s">
        <v>104</v>
      </c>
      <c r="C1714" t="s">
        <v>51</v>
      </c>
      <c r="D1714">
        <v>3</v>
      </c>
      <c r="E1714">
        <v>79</v>
      </c>
      <c r="F1714">
        <v>0.21</v>
      </c>
      <c r="G1714">
        <f>(F1714/0.6)/4</f>
        <v>8.7499999999999994E-2</v>
      </c>
      <c r="H1714">
        <f>G1714*(11.5/38.29)</f>
        <v>2.6279707495429613E-2</v>
      </c>
    </row>
    <row r="1715" spans="1:8" x14ac:dyDescent="0.25">
      <c r="A1715" s="1">
        <v>2008</v>
      </c>
      <c r="B1715" s="1" t="s">
        <v>104</v>
      </c>
      <c r="C1715" t="s">
        <v>51</v>
      </c>
      <c r="D1715">
        <v>3</v>
      </c>
      <c r="E1715">
        <v>79</v>
      </c>
      <c r="F1715">
        <v>0.11</v>
      </c>
      <c r="G1715">
        <f>(F1715/0.6)/4</f>
        <v>4.5833333333333337E-2</v>
      </c>
      <c r="H1715">
        <f>G1715*(11.5/38.29)</f>
        <v>1.3765561069034562E-2</v>
      </c>
    </row>
    <row r="1716" spans="1:8" x14ac:dyDescent="0.25">
      <c r="A1716" s="1">
        <v>2008</v>
      </c>
      <c r="B1716" s="1" t="s">
        <v>104</v>
      </c>
      <c r="C1716" t="s">
        <v>51</v>
      </c>
      <c r="D1716">
        <v>3</v>
      </c>
      <c r="E1716">
        <v>79</v>
      </c>
      <c r="F1716">
        <v>0.12</v>
      </c>
      <c r="G1716">
        <f>(F1716/0.6)/4</f>
        <v>0.05</v>
      </c>
      <c r="H1716">
        <f>G1716*(11.5/38.29)</f>
        <v>1.5016975711674067E-2</v>
      </c>
    </row>
    <row r="1717" spans="1:8" x14ac:dyDescent="0.25">
      <c r="A1717" s="1">
        <v>2008</v>
      </c>
      <c r="B1717" s="1" t="s">
        <v>104</v>
      </c>
      <c r="C1717" t="s">
        <v>51</v>
      </c>
      <c r="D1717">
        <v>3</v>
      </c>
      <c r="E1717">
        <v>79</v>
      </c>
      <c r="F1717">
        <v>0.08</v>
      </c>
      <c r="G1717">
        <f>(F1717/0.6)/4</f>
        <v>3.3333333333333333E-2</v>
      </c>
      <c r="H1717">
        <f>G1717*(11.5/38.29)</f>
        <v>1.0011317141116045E-2</v>
      </c>
    </row>
    <row r="1718" spans="1:8" x14ac:dyDescent="0.25">
      <c r="A1718" s="1">
        <v>2008</v>
      </c>
      <c r="B1718" s="1" t="s">
        <v>104</v>
      </c>
      <c r="C1718" t="s">
        <v>51</v>
      </c>
      <c r="D1718">
        <v>3</v>
      </c>
      <c r="E1718">
        <v>79</v>
      </c>
      <c r="F1718">
        <v>0.11</v>
      </c>
      <c r="G1718">
        <f>(F1718/0.6)/4</f>
        <v>4.5833333333333337E-2</v>
      </c>
      <c r="H1718">
        <f>G1718*(11.5/38.29)</f>
        <v>1.3765561069034562E-2</v>
      </c>
    </row>
    <row r="1719" spans="1:8" x14ac:dyDescent="0.25">
      <c r="A1719" s="1">
        <v>2008</v>
      </c>
      <c r="B1719" s="1" t="s">
        <v>104</v>
      </c>
      <c r="C1719" t="s">
        <v>51</v>
      </c>
      <c r="D1719">
        <v>3</v>
      </c>
      <c r="E1719">
        <v>79</v>
      </c>
      <c r="F1719">
        <v>0.27</v>
      </c>
      <c r="G1719">
        <f>(F1719/0.6)/4</f>
        <v>0.11250000000000002</v>
      </c>
      <c r="H1719">
        <f>G1719*(11.5/38.29)</f>
        <v>3.3788195351266655E-2</v>
      </c>
    </row>
    <row r="1720" spans="1:8" x14ac:dyDescent="0.25">
      <c r="A1720" s="1">
        <v>2008</v>
      </c>
      <c r="B1720" s="1" t="s">
        <v>104</v>
      </c>
      <c r="C1720" t="s">
        <v>51</v>
      </c>
      <c r="D1720">
        <v>3</v>
      </c>
      <c r="E1720">
        <v>79</v>
      </c>
      <c r="F1720">
        <v>0.06</v>
      </c>
      <c r="G1720">
        <f>(F1720/0.6)/4</f>
        <v>2.5000000000000001E-2</v>
      </c>
      <c r="H1720">
        <f>G1720*(11.5/38.29)</f>
        <v>7.5084878558370335E-3</v>
      </c>
    </row>
    <row r="1721" spans="1:8" x14ac:dyDescent="0.25">
      <c r="A1721" s="1">
        <v>2008</v>
      </c>
      <c r="B1721" s="1" t="s">
        <v>104</v>
      </c>
      <c r="C1721" t="s">
        <v>51</v>
      </c>
      <c r="D1721">
        <v>3</v>
      </c>
      <c r="E1721">
        <v>85</v>
      </c>
      <c r="F1721">
        <v>7.0000000000000007E-2</v>
      </c>
      <c r="G1721">
        <f>(F1721/0.6)/4</f>
        <v>2.9166666666666671E-2</v>
      </c>
      <c r="H1721">
        <f>G1721*(11.5/38.29)</f>
        <v>8.7599024984765395E-3</v>
      </c>
    </row>
    <row r="1722" spans="1:8" x14ac:dyDescent="0.25">
      <c r="A1722" s="1">
        <v>2008</v>
      </c>
      <c r="B1722" s="1" t="s">
        <v>104</v>
      </c>
      <c r="C1722" t="s">
        <v>51</v>
      </c>
      <c r="D1722">
        <v>3</v>
      </c>
      <c r="E1722">
        <v>85</v>
      </c>
      <c r="F1722">
        <v>0.08</v>
      </c>
      <c r="G1722">
        <f>(F1722/0.6)/4</f>
        <v>3.3333333333333333E-2</v>
      </c>
      <c r="H1722">
        <f>G1722*(11.5/38.29)</f>
        <v>1.0011317141116045E-2</v>
      </c>
    </row>
    <row r="1723" spans="1:8" x14ac:dyDescent="0.25">
      <c r="A1723" s="1">
        <v>2008</v>
      </c>
      <c r="B1723" s="1" t="s">
        <v>104</v>
      </c>
      <c r="C1723" t="s">
        <v>51</v>
      </c>
      <c r="D1723">
        <v>3</v>
      </c>
      <c r="E1723">
        <v>85</v>
      </c>
      <c r="F1723">
        <v>0.05</v>
      </c>
      <c r="G1723">
        <f>(F1723/0.6)/4</f>
        <v>2.0833333333333336E-2</v>
      </c>
      <c r="H1723">
        <f>G1723*(11.5/38.29)</f>
        <v>6.2570732131975284E-3</v>
      </c>
    </row>
    <row r="1724" spans="1:8" x14ac:dyDescent="0.25">
      <c r="A1724" s="1">
        <v>2008</v>
      </c>
      <c r="B1724" s="1" t="s">
        <v>104</v>
      </c>
      <c r="C1724" t="s">
        <v>51</v>
      </c>
      <c r="D1724">
        <v>3</v>
      </c>
      <c r="E1724">
        <v>85</v>
      </c>
      <c r="F1724">
        <v>0.03</v>
      </c>
      <c r="G1724">
        <f>(F1724/0.6)/4</f>
        <v>1.2500000000000001E-2</v>
      </c>
      <c r="H1724">
        <f>G1724*(11.5/38.29)</f>
        <v>3.7542439279185168E-3</v>
      </c>
    </row>
    <row r="1725" spans="1:8" x14ac:dyDescent="0.25">
      <c r="A1725" s="1">
        <v>2008</v>
      </c>
      <c r="B1725" s="1" t="s">
        <v>104</v>
      </c>
      <c r="C1725" t="s">
        <v>51</v>
      </c>
      <c r="D1725">
        <v>3</v>
      </c>
      <c r="E1725">
        <v>85</v>
      </c>
      <c r="F1725">
        <v>0.09</v>
      </c>
      <c r="G1725">
        <f>(F1725/0.6)/4</f>
        <v>3.7499999999999999E-2</v>
      </c>
      <c r="H1725">
        <f>G1725*(11.5/38.29)</f>
        <v>1.126273178375555E-2</v>
      </c>
    </row>
    <row r="1726" spans="1:8" x14ac:dyDescent="0.25">
      <c r="A1726" s="1">
        <v>2008</v>
      </c>
      <c r="B1726" s="1" t="s">
        <v>104</v>
      </c>
      <c r="C1726" t="s">
        <v>51</v>
      </c>
      <c r="D1726">
        <v>3</v>
      </c>
      <c r="E1726">
        <v>85</v>
      </c>
      <c r="F1726">
        <v>0.04</v>
      </c>
      <c r="G1726">
        <f>(F1726/0.6)/4</f>
        <v>1.6666666666666666E-2</v>
      </c>
      <c r="H1726">
        <f>G1726*(11.5/38.29)</f>
        <v>5.0056585705580223E-3</v>
      </c>
    </row>
    <row r="1727" spans="1:8" x14ac:dyDescent="0.25">
      <c r="A1727" s="1">
        <v>2008</v>
      </c>
      <c r="B1727" s="1" t="s">
        <v>104</v>
      </c>
      <c r="C1727" t="s">
        <v>51</v>
      </c>
      <c r="D1727">
        <v>3</v>
      </c>
      <c r="E1727">
        <v>85</v>
      </c>
      <c r="F1727">
        <v>0.05</v>
      </c>
      <c r="G1727">
        <f>(F1727/0.6)/4</f>
        <v>2.0833333333333336E-2</v>
      </c>
      <c r="H1727">
        <f>G1727*(11.5/38.29)</f>
        <v>6.2570732131975284E-3</v>
      </c>
    </row>
    <row r="1728" spans="1:8" x14ac:dyDescent="0.25">
      <c r="A1728" s="1">
        <v>2008</v>
      </c>
      <c r="B1728" s="1" t="s">
        <v>104</v>
      </c>
      <c r="C1728" t="s">
        <v>51</v>
      </c>
      <c r="D1728">
        <v>3</v>
      </c>
      <c r="E1728">
        <v>85</v>
      </c>
      <c r="F1728">
        <v>7.0000000000000007E-2</v>
      </c>
      <c r="G1728">
        <f>(F1728/0.6)/4</f>
        <v>2.9166666666666671E-2</v>
      </c>
      <c r="H1728">
        <f>G1728*(11.5/38.29)</f>
        <v>8.7599024984765395E-3</v>
      </c>
    </row>
    <row r="1729" spans="1:8" x14ac:dyDescent="0.25">
      <c r="A1729" s="1">
        <v>2008</v>
      </c>
      <c r="B1729" s="1" t="s">
        <v>104</v>
      </c>
      <c r="C1729" t="s">
        <v>51</v>
      </c>
      <c r="D1729">
        <v>3</v>
      </c>
      <c r="E1729">
        <v>85</v>
      </c>
      <c r="F1729">
        <v>0.04</v>
      </c>
      <c r="G1729">
        <f>(F1729/0.6)/4</f>
        <v>1.6666666666666666E-2</v>
      </c>
      <c r="H1729">
        <f>G1729*(11.5/38.29)</f>
        <v>5.0056585705580223E-3</v>
      </c>
    </row>
    <row r="1730" spans="1:8" x14ac:dyDescent="0.25">
      <c r="A1730" s="1">
        <v>2008</v>
      </c>
      <c r="B1730" s="1" t="s">
        <v>104</v>
      </c>
      <c r="C1730" t="s">
        <v>51</v>
      </c>
      <c r="D1730">
        <v>3</v>
      </c>
      <c r="E1730">
        <v>85</v>
      </c>
      <c r="F1730">
        <v>0.03</v>
      </c>
      <c r="G1730">
        <f>(F1730/0.6)/4</f>
        <v>1.2500000000000001E-2</v>
      </c>
      <c r="H1730">
        <f>G1730*(11.5/38.29)</f>
        <v>3.7542439279185168E-3</v>
      </c>
    </row>
    <row r="1731" spans="1:8" x14ac:dyDescent="0.25">
      <c r="A1731" s="1">
        <v>2008</v>
      </c>
      <c r="B1731" s="1" t="s">
        <v>104</v>
      </c>
      <c r="C1731" t="s">
        <v>51</v>
      </c>
      <c r="D1731">
        <v>3</v>
      </c>
      <c r="E1731">
        <v>85</v>
      </c>
      <c r="F1731">
        <v>0.04</v>
      </c>
      <c r="G1731">
        <f>(F1731/0.6)/4</f>
        <v>1.6666666666666666E-2</v>
      </c>
      <c r="H1731">
        <f>G1731*(11.5/38.29)</f>
        <v>5.0056585705580223E-3</v>
      </c>
    </row>
    <row r="1732" spans="1:8" x14ac:dyDescent="0.25">
      <c r="A1732" s="1">
        <v>2008</v>
      </c>
      <c r="B1732" s="1" t="s">
        <v>104</v>
      </c>
      <c r="C1732" t="s">
        <v>51</v>
      </c>
      <c r="D1732">
        <v>3</v>
      </c>
      <c r="E1732">
        <v>85</v>
      </c>
      <c r="F1732">
        <v>0.06</v>
      </c>
      <c r="G1732">
        <f>(F1732/0.6)/4</f>
        <v>2.5000000000000001E-2</v>
      </c>
      <c r="H1732">
        <f>G1732*(11.5/38.29)</f>
        <v>7.5084878558370335E-3</v>
      </c>
    </row>
    <row r="1733" spans="1:8" x14ac:dyDescent="0.25">
      <c r="A1733" s="1">
        <v>2008</v>
      </c>
      <c r="B1733" s="1" t="s">
        <v>104</v>
      </c>
      <c r="C1733" t="s">
        <v>51</v>
      </c>
      <c r="D1733">
        <v>4</v>
      </c>
      <c r="E1733">
        <v>11</v>
      </c>
      <c r="F1733">
        <v>0.15</v>
      </c>
      <c r="G1733">
        <f>(F1733/0.6)/4</f>
        <v>6.25E-2</v>
      </c>
      <c r="H1733">
        <f>G1733*(11.5/38.29)</f>
        <v>1.8771219639592582E-2</v>
      </c>
    </row>
    <row r="1734" spans="1:8" x14ac:dyDescent="0.25">
      <c r="A1734" s="1">
        <v>2008</v>
      </c>
      <c r="B1734" s="1" t="s">
        <v>104</v>
      </c>
      <c r="C1734" t="s">
        <v>51</v>
      </c>
      <c r="D1734">
        <v>4</v>
      </c>
      <c r="E1734">
        <v>29</v>
      </c>
      <c r="F1734">
        <v>0.27</v>
      </c>
      <c r="G1734">
        <f>(F1734/0.6)/4</f>
        <v>0.11250000000000002</v>
      </c>
      <c r="H1734">
        <f>G1734*(11.5/38.29)</f>
        <v>3.3788195351266655E-2</v>
      </c>
    </row>
    <row r="1735" spans="1:8" x14ac:dyDescent="0.25">
      <c r="A1735" s="1">
        <v>2008</v>
      </c>
      <c r="B1735" s="1" t="s">
        <v>104</v>
      </c>
      <c r="C1735" t="s">
        <v>51</v>
      </c>
      <c r="D1735">
        <v>4</v>
      </c>
      <c r="E1735">
        <v>29</v>
      </c>
      <c r="F1735">
        <v>0.04</v>
      </c>
      <c r="G1735">
        <f>(F1735/0.6)/4</f>
        <v>1.6666666666666666E-2</v>
      </c>
      <c r="H1735">
        <f>G1735*(11.5/38.29)</f>
        <v>5.0056585705580223E-3</v>
      </c>
    </row>
    <row r="1736" spans="1:8" x14ac:dyDescent="0.25">
      <c r="A1736" s="1">
        <v>2008</v>
      </c>
      <c r="B1736" s="1" t="s">
        <v>104</v>
      </c>
      <c r="C1736" t="s">
        <v>51</v>
      </c>
      <c r="D1736">
        <v>4</v>
      </c>
      <c r="E1736">
        <v>29</v>
      </c>
      <c r="F1736">
        <v>0.6</v>
      </c>
      <c r="G1736">
        <f>(F1736/0.6)/4</f>
        <v>0.25</v>
      </c>
      <c r="H1736">
        <f>G1736*(11.5/38.29)</f>
        <v>7.508487855837033E-2</v>
      </c>
    </row>
    <row r="1737" spans="1:8" x14ac:dyDescent="0.25">
      <c r="A1737" s="1">
        <v>2008</v>
      </c>
      <c r="B1737" s="1" t="s">
        <v>104</v>
      </c>
      <c r="C1737" t="s">
        <v>51</v>
      </c>
      <c r="D1737">
        <v>4</v>
      </c>
      <c r="E1737">
        <v>29</v>
      </c>
      <c r="F1737">
        <v>0.66</v>
      </c>
      <c r="G1737">
        <f>(F1737/0.6)/4</f>
        <v>0.27500000000000002</v>
      </c>
      <c r="H1737">
        <f>G1737*(11.5/38.29)</f>
        <v>8.2593366414207364E-2</v>
      </c>
    </row>
    <row r="1738" spans="1:8" x14ac:dyDescent="0.25">
      <c r="A1738" s="1">
        <v>2008</v>
      </c>
      <c r="B1738" s="1" t="s">
        <v>104</v>
      </c>
      <c r="C1738" t="s">
        <v>51</v>
      </c>
      <c r="D1738">
        <v>4</v>
      </c>
      <c r="E1738">
        <v>29</v>
      </c>
      <c r="F1738">
        <v>0.27</v>
      </c>
      <c r="G1738">
        <f>(F1738/0.6)/4</f>
        <v>0.11250000000000002</v>
      </c>
      <c r="H1738">
        <f>G1738*(11.5/38.29)</f>
        <v>3.3788195351266655E-2</v>
      </c>
    </row>
    <row r="1739" spans="1:8" x14ac:dyDescent="0.25">
      <c r="A1739" s="1">
        <v>2008</v>
      </c>
      <c r="B1739" s="1" t="s">
        <v>104</v>
      </c>
      <c r="C1739" t="s">
        <v>51</v>
      </c>
      <c r="D1739">
        <v>4</v>
      </c>
      <c r="E1739">
        <v>29</v>
      </c>
      <c r="F1739">
        <v>0.16</v>
      </c>
      <c r="G1739">
        <f>(F1739/0.6)/4</f>
        <v>6.6666666666666666E-2</v>
      </c>
      <c r="H1739">
        <f>G1739*(11.5/38.29)</f>
        <v>2.0022634282232089E-2</v>
      </c>
    </row>
    <row r="1740" spans="1:8" x14ac:dyDescent="0.25">
      <c r="A1740" s="1">
        <v>2008</v>
      </c>
      <c r="B1740" s="1" t="s">
        <v>104</v>
      </c>
      <c r="C1740" t="s">
        <v>51</v>
      </c>
      <c r="D1740">
        <v>4</v>
      </c>
      <c r="E1740">
        <v>29</v>
      </c>
      <c r="F1740">
        <v>0.09</v>
      </c>
      <c r="G1740">
        <f>(F1740/0.6)/4</f>
        <v>3.7499999999999999E-2</v>
      </c>
      <c r="H1740">
        <f>G1740*(11.5/38.29)</f>
        <v>1.126273178375555E-2</v>
      </c>
    </row>
    <row r="1741" spans="1:8" x14ac:dyDescent="0.25">
      <c r="A1741" s="1">
        <v>2008</v>
      </c>
      <c r="B1741" s="1" t="s">
        <v>104</v>
      </c>
      <c r="C1741" t="s">
        <v>51</v>
      </c>
      <c r="D1741">
        <v>4</v>
      </c>
      <c r="E1741">
        <v>29</v>
      </c>
      <c r="F1741">
        <v>0.11</v>
      </c>
      <c r="G1741">
        <f>(F1741/0.6)/4</f>
        <v>4.5833333333333337E-2</v>
      </c>
      <c r="H1741">
        <f>G1741*(11.5/38.29)</f>
        <v>1.3765561069034562E-2</v>
      </c>
    </row>
    <row r="1742" spans="1:8" x14ac:dyDescent="0.25">
      <c r="A1742" s="1">
        <v>2008</v>
      </c>
      <c r="B1742" s="1" t="s">
        <v>104</v>
      </c>
      <c r="C1742" t="s">
        <v>51</v>
      </c>
      <c r="D1742">
        <v>4</v>
      </c>
      <c r="E1742">
        <v>29</v>
      </c>
      <c r="F1742">
        <v>0.28999999999999998</v>
      </c>
      <c r="G1742">
        <f>(F1742/0.6)/4</f>
        <v>0.12083333333333333</v>
      </c>
      <c r="H1742">
        <f>G1742*(11.5/38.29)</f>
        <v>3.6291024636545662E-2</v>
      </c>
    </row>
    <row r="1743" spans="1:8" x14ac:dyDescent="0.25">
      <c r="A1743" s="1">
        <v>2008</v>
      </c>
      <c r="B1743" s="1" t="s">
        <v>104</v>
      </c>
      <c r="C1743" t="s">
        <v>51</v>
      </c>
      <c r="D1743">
        <v>4</v>
      </c>
      <c r="E1743">
        <v>29</v>
      </c>
      <c r="F1743">
        <v>0.16</v>
      </c>
      <c r="G1743">
        <f>(F1743/0.6)/4</f>
        <v>6.6666666666666666E-2</v>
      </c>
      <c r="H1743">
        <f>G1743*(11.5/38.29)</f>
        <v>2.0022634282232089E-2</v>
      </c>
    </row>
    <row r="1744" spans="1:8" x14ac:dyDescent="0.25">
      <c r="A1744" s="1">
        <v>2008</v>
      </c>
      <c r="B1744" s="1" t="s">
        <v>104</v>
      </c>
      <c r="C1744" t="s">
        <v>51</v>
      </c>
      <c r="D1744">
        <v>4</v>
      </c>
      <c r="E1744">
        <v>29</v>
      </c>
      <c r="F1744">
        <v>0.23</v>
      </c>
      <c r="G1744">
        <f>(F1744/0.6)/4</f>
        <v>9.583333333333334E-2</v>
      </c>
      <c r="H1744">
        <f>G1744*(11.5/38.29)</f>
        <v>2.8782536780708627E-2</v>
      </c>
    </row>
    <row r="1745" spans="1:8" x14ac:dyDescent="0.25">
      <c r="A1745" s="1">
        <v>2008</v>
      </c>
      <c r="B1745" s="1" t="s">
        <v>104</v>
      </c>
      <c r="C1745" t="s">
        <v>51</v>
      </c>
      <c r="D1745">
        <v>4</v>
      </c>
      <c r="E1745">
        <v>29</v>
      </c>
      <c r="F1745">
        <v>0.39</v>
      </c>
      <c r="G1745">
        <f>(F1745/0.6)/4</f>
        <v>0.16250000000000001</v>
      </c>
      <c r="H1745">
        <f>G1745*(11.5/38.29)</f>
        <v>4.8805171062940716E-2</v>
      </c>
    </row>
    <row r="1746" spans="1:8" x14ac:dyDescent="0.25">
      <c r="A1746" s="1">
        <v>2008</v>
      </c>
      <c r="B1746" s="1" t="s">
        <v>104</v>
      </c>
      <c r="C1746" t="s">
        <v>51</v>
      </c>
      <c r="D1746">
        <v>4</v>
      </c>
      <c r="E1746">
        <v>29</v>
      </c>
      <c r="F1746">
        <v>0.45</v>
      </c>
      <c r="G1746">
        <f>(F1746/0.6)/4</f>
        <v>0.1875</v>
      </c>
      <c r="H1746">
        <f>G1746*(11.5/38.29)</f>
        <v>5.6313658918777751E-2</v>
      </c>
    </row>
    <row r="1747" spans="1:8" x14ac:dyDescent="0.25">
      <c r="A1747" s="1">
        <v>2008</v>
      </c>
      <c r="B1747" s="1" t="s">
        <v>104</v>
      </c>
      <c r="C1747" t="s">
        <v>51</v>
      </c>
      <c r="D1747">
        <v>4</v>
      </c>
      <c r="E1747">
        <v>29</v>
      </c>
      <c r="F1747">
        <v>0.7</v>
      </c>
      <c r="G1747">
        <f>(F1747/0.6)/4</f>
        <v>0.29166666666666669</v>
      </c>
      <c r="H1747">
        <f>G1747*(11.5/38.29)</f>
        <v>8.7599024984765392E-2</v>
      </c>
    </row>
    <row r="1748" spans="1:8" x14ac:dyDescent="0.25">
      <c r="A1748" s="1">
        <v>2008</v>
      </c>
      <c r="B1748" s="1" t="s">
        <v>104</v>
      </c>
      <c r="C1748" t="s">
        <v>51</v>
      </c>
      <c r="D1748">
        <v>4</v>
      </c>
      <c r="E1748">
        <v>29</v>
      </c>
      <c r="F1748">
        <v>0.59</v>
      </c>
      <c r="G1748">
        <f>(F1748/0.6)/4</f>
        <v>0.24583333333333332</v>
      </c>
      <c r="H1748">
        <f>G1748*(11.5/38.29)</f>
        <v>7.3833463915730826E-2</v>
      </c>
    </row>
    <row r="1749" spans="1:8" x14ac:dyDescent="0.25">
      <c r="A1749" s="1">
        <v>2008</v>
      </c>
      <c r="B1749" s="1" t="s">
        <v>104</v>
      </c>
      <c r="C1749" t="s">
        <v>51</v>
      </c>
      <c r="D1749">
        <v>4</v>
      </c>
      <c r="E1749">
        <v>32</v>
      </c>
      <c r="F1749">
        <v>0.15</v>
      </c>
      <c r="G1749">
        <f>(F1749/0.6)/4</f>
        <v>6.25E-2</v>
      </c>
      <c r="H1749">
        <f>G1749*(11.5/38.29)</f>
        <v>1.8771219639592582E-2</v>
      </c>
    </row>
    <row r="1750" spans="1:8" x14ac:dyDescent="0.25">
      <c r="A1750" s="1">
        <v>2008</v>
      </c>
      <c r="B1750" s="1" t="s">
        <v>104</v>
      </c>
      <c r="C1750" t="s">
        <v>51</v>
      </c>
      <c r="D1750">
        <v>4</v>
      </c>
      <c r="E1750">
        <v>32</v>
      </c>
      <c r="F1750">
        <v>0.16</v>
      </c>
      <c r="G1750">
        <f>(F1750/0.6)/4</f>
        <v>6.6666666666666666E-2</v>
      </c>
      <c r="H1750">
        <f>G1750*(11.5/38.29)</f>
        <v>2.0022634282232089E-2</v>
      </c>
    </row>
    <row r="1751" spans="1:8" x14ac:dyDescent="0.25">
      <c r="A1751" s="1">
        <v>2008</v>
      </c>
      <c r="B1751" s="1" t="s">
        <v>104</v>
      </c>
      <c r="C1751" t="s">
        <v>51</v>
      </c>
      <c r="D1751">
        <v>4</v>
      </c>
      <c r="E1751">
        <v>32</v>
      </c>
      <c r="F1751">
        <v>0.03</v>
      </c>
      <c r="G1751">
        <f>(F1751/0.6)/4</f>
        <v>1.2500000000000001E-2</v>
      </c>
      <c r="H1751">
        <f>G1751*(11.5/38.29)</f>
        <v>3.7542439279185168E-3</v>
      </c>
    </row>
    <row r="1752" spans="1:8" x14ac:dyDescent="0.25">
      <c r="A1752" s="1">
        <v>2008</v>
      </c>
      <c r="B1752" s="1" t="s">
        <v>104</v>
      </c>
      <c r="C1752" t="s">
        <v>51</v>
      </c>
      <c r="D1752">
        <v>4</v>
      </c>
      <c r="E1752">
        <v>32</v>
      </c>
      <c r="F1752">
        <v>0.04</v>
      </c>
      <c r="G1752">
        <f>(F1752/0.6)/4</f>
        <v>1.6666666666666666E-2</v>
      </c>
      <c r="H1752">
        <f>G1752*(11.5/38.29)</f>
        <v>5.0056585705580223E-3</v>
      </c>
    </row>
    <row r="1753" spans="1:8" x14ac:dyDescent="0.25">
      <c r="A1753" s="1">
        <v>2008</v>
      </c>
      <c r="B1753" s="1" t="s">
        <v>104</v>
      </c>
      <c r="C1753" t="s">
        <v>51</v>
      </c>
      <c r="D1753">
        <v>4</v>
      </c>
      <c r="E1753">
        <v>32</v>
      </c>
      <c r="F1753">
        <v>0.06</v>
      </c>
      <c r="G1753">
        <f>(F1753/0.6)/4</f>
        <v>2.5000000000000001E-2</v>
      </c>
      <c r="H1753">
        <f>G1753*(11.5/38.29)</f>
        <v>7.5084878558370335E-3</v>
      </c>
    </row>
    <row r="1754" spans="1:8" x14ac:dyDescent="0.25">
      <c r="A1754" s="1">
        <v>2008</v>
      </c>
      <c r="B1754" s="1" t="s">
        <v>104</v>
      </c>
      <c r="C1754" t="s">
        <v>51</v>
      </c>
      <c r="D1754">
        <v>4</v>
      </c>
      <c r="E1754">
        <v>32</v>
      </c>
      <c r="F1754">
        <v>0.34</v>
      </c>
      <c r="G1754">
        <f>(F1754/0.6)/4</f>
        <v>0.14166666666666669</v>
      </c>
      <c r="H1754">
        <f>G1754*(11.5/38.29)</f>
        <v>4.2548097849743192E-2</v>
      </c>
    </row>
    <row r="1755" spans="1:8" x14ac:dyDescent="0.25">
      <c r="A1755" s="1">
        <v>2008</v>
      </c>
      <c r="B1755" s="1" t="s">
        <v>104</v>
      </c>
      <c r="C1755" t="s">
        <v>51</v>
      </c>
      <c r="D1755">
        <v>4</v>
      </c>
      <c r="E1755">
        <v>32</v>
      </c>
      <c r="F1755">
        <v>0.12</v>
      </c>
      <c r="G1755">
        <f>(F1755/0.6)/4</f>
        <v>0.05</v>
      </c>
      <c r="H1755">
        <f>G1755*(11.5/38.29)</f>
        <v>1.5016975711674067E-2</v>
      </c>
    </row>
    <row r="1756" spans="1:8" x14ac:dyDescent="0.25">
      <c r="A1756" s="1">
        <v>2008</v>
      </c>
      <c r="B1756" s="1" t="s">
        <v>104</v>
      </c>
      <c r="C1756" t="s">
        <v>51</v>
      </c>
      <c r="D1756">
        <v>4</v>
      </c>
      <c r="E1756">
        <v>32</v>
      </c>
      <c r="F1756">
        <v>0.08</v>
      </c>
      <c r="G1756">
        <f>(F1756/0.6)/4</f>
        <v>3.3333333333333333E-2</v>
      </c>
      <c r="H1756">
        <f>G1756*(11.5/38.29)</f>
        <v>1.0011317141116045E-2</v>
      </c>
    </row>
    <row r="1757" spans="1:8" x14ac:dyDescent="0.25">
      <c r="A1757" s="1">
        <v>2008</v>
      </c>
      <c r="B1757" s="1" t="s">
        <v>104</v>
      </c>
      <c r="C1757" t="s">
        <v>51</v>
      </c>
      <c r="D1757">
        <v>4</v>
      </c>
      <c r="E1757">
        <v>32</v>
      </c>
      <c r="F1757">
        <v>7.0000000000000007E-2</v>
      </c>
      <c r="G1757">
        <f>(F1757/0.6)/4</f>
        <v>2.9166666666666671E-2</v>
      </c>
      <c r="H1757">
        <f>G1757*(11.5/38.29)</f>
        <v>8.7599024984765395E-3</v>
      </c>
    </row>
    <row r="1758" spans="1:8" x14ac:dyDescent="0.25">
      <c r="A1758" s="1">
        <v>2008</v>
      </c>
      <c r="B1758" s="1" t="s">
        <v>104</v>
      </c>
      <c r="C1758" t="s">
        <v>51</v>
      </c>
      <c r="D1758">
        <v>4</v>
      </c>
      <c r="E1758">
        <v>32</v>
      </c>
      <c r="F1758">
        <v>0.09</v>
      </c>
      <c r="G1758">
        <f>(F1758/0.6)/4</f>
        <v>3.7499999999999999E-2</v>
      </c>
      <c r="H1758">
        <f>G1758*(11.5/38.29)</f>
        <v>1.126273178375555E-2</v>
      </c>
    </row>
    <row r="1759" spans="1:8" x14ac:dyDescent="0.25">
      <c r="A1759" s="1">
        <v>2008</v>
      </c>
      <c r="B1759" s="1" t="s">
        <v>104</v>
      </c>
      <c r="C1759" t="s">
        <v>51</v>
      </c>
      <c r="D1759">
        <v>4</v>
      </c>
      <c r="E1759">
        <v>32</v>
      </c>
      <c r="F1759">
        <v>0.15</v>
      </c>
      <c r="G1759">
        <f>(F1759/0.6)/4</f>
        <v>6.25E-2</v>
      </c>
      <c r="H1759">
        <f>G1759*(11.5/38.29)</f>
        <v>1.8771219639592582E-2</v>
      </c>
    </row>
    <row r="1760" spans="1:8" x14ac:dyDescent="0.25">
      <c r="A1760" s="1">
        <v>2008</v>
      </c>
      <c r="B1760" s="1" t="s">
        <v>104</v>
      </c>
      <c r="C1760" t="s">
        <v>51</v>
      </c>
      <c r="D1760">
        <v>4</v>
      </c>
      <c r="E1760">
        <v>32</v>
      </c>
      <c r="F1760">
        <v>0.24</v>
      </c>
      <c r="G1760">
        <f>(F1760/0.6)/4</f>
        <v>0.1</v>
      </c>
      <c r="H1760">
        <f>G1760*(11.5/38.29)</f>
        <v>3.0033951423348134E-2</v>
      </c>
    </row>
    <row r="1761" spans="1:8" x14ac:dyDescent="0.25">
      <c r="A1761" s="1">
        <v>2008</v>
      </c>
      <c r="B1761" s="1" t="s">
        <v>104</v>
      </c>
      <c r="C1761" t="s">
        <v>51</v>
      </c>
      <c r="D1761">
        <v>4</v>
      </c>
      <c r="E1761">
        <v>32</v>
      </c>
      <c r="F1761">
        <v>0.11</v>
      </c>
      <c r="G1761">
        <f>(F1761/0.6)/4</f>
        <v>4.5833333333333337E-2</v>
      </c>
      <c r="H1761">
        <f>G1761*(11.5/38.29)</f>
        <v>1.3765561069034562E-2</v>
      </c>
    </row>
    <row r="1762" spans="1:8" x14ac:dyDescent="0.25">
      <c r="A1762" s="1">
        <v>2008</v>
      </c>
      <c r="B1762" s="1" t="s">
        <v>104</v>
      </c>
      <c r="C1762" t="s">
        <v>51</v>
      </c>
      <c r="D1762">
        <v>4</v>
      </c>
      <c r="E1762">
        <v>32</v>
      </c>
      <c r="F1762">
        <v>0.04</v>
      </c>
      <c r="G1762">
        <f>(F1762/0.6)/4</f>
        <v>1.6666666666666666E-2</v>
      </c>
      <c r="H1762">
        <f>G1762*(11.5/38.29)</f>
        <v>5.0056585705580223E-3</v>
      </c>
    </row>
    <row r="1763" spans="1:8" x14ac:dyDescent="0.25">
      <c r="A1763" s="1">
        <v>2008</v>
      </c>
      <c r="B1763" s="1" t="s">
        <v>104</v>
      </c>
      <c r="C1763" t="s">
        <v>51</v>
      </c>
      <c r="D1763">
        <v>4</v>
      </c>
      <c r="E1763">
        <v>32</v>
      </c>
      <c r="F1763">
        <v>0.19</v>
      </c>
      <c r="G1763">
        <f>(F1763/0.6)/4</f>
        <v>7.9166666666666677E-2</v>
      </c>
      <c r="H1763">
        <f>G1763*(11.5/38.29)</f>
        <v>2.3776878210150607E-2</v>
      </c>
    </row>
    <row r="1764" spans="1:8" x14ac:dyDescent="0.25">
      <c r="A1764" s="1">
        <v>2008</v>
      </c>
      <c r="B1764" s="1" t="s">
        <v>104</v>
      </c>
      <c r="C1764" t="s">
        <v>51</v>
      </c>
      <c r="D1764">
        <v>4</v>
      </c>
      <c r="E1764">
        <v>32</v>
      </c>
      <c r="F1764">
        <v>7.0000000000000007E-2</v>
      </c>
      <c r="G1764">
        <f>(F1764/0.6)/4</f>
        <v>2.9166666666666671E-2</v>
      </c>
      <c r="H1764">
        <f>G1764*(11.5/38.29)</f>
        <v>8.7599024984765395E-3</v>
      </c>
    </row>
    <row r="1765" spans="1:8" x14ac:dyDescent="0.25">
      <c r="A1765" s="1">
        <v>2008</v>
      </c>
      <c r="B1765" s="1" t="s">
        <v>104</v>
      </c>
      <c r="C1765" t="s">
        <v>51</v>
      </c>
      <c r="D1765">
        <v>4</v>
      </c>
      <c r="E1765">
        <v>32</v>
      </c>
      <c r="F1765">
        <v>0.04</v>
      </c>
      <c r="G1765">
        <f>(F1765/0.6)/4</f>
        <v>1.6666666666666666E-2</v>
      </c>
      <c r="H1765">
        <f>G1765*(11.5/38.29)</f>
        <v>5.0056585705580223E-3</v>
      </c>
    </row>
    <row r="1766" spans="1:8" x14ac:dyDescent="0.25">
      <c r="A1766" s="1">
        <v>2008</v>
      </c>
      <c r="B1766" s="1" t="s">
        <v>104</v>
      </c>
      <c r="C1766" t="s">
        <v>51</v>
      </c>
      <c r="D1766">
        <v>4</v>
      </c>
      <c r="E1766">
        <v>32</v>
      </c>
      <c r="F1766">
        <v>0.09</v>
      </c>
      <c r="G1766">
        <f>(F1766/0.6)/4</f>
        <v>3.7499999999999999E-2</v>
      </c>
      <c r="H1766">
        <f>G1766*(11.5/38.29)</f>
        <v>1.126273178375555E-2</v>
      </c>
    </row>
    <row r="1767" spans="1:8" x14ac:dyDescent="0.25">
      <c r="A1767" s="1">
        <v>2008</v>
      </c>
      <c r="B1767" s="1" t="s">
        <v>104</v>
      </c>
      <c r="C1767" t="s">
        <v>51</v>
      </c>
      <c r="D1767">
        <v>4</v>
      </c>
      <c r="E1767">
        <v>32</v>
      </c>
      <c r="F1767">
        <v>0.06</v>
      </c>
      <c r="G1767">
        <f>(F1767/0.6)/4</f>
        <v>2.5000000000000001E-2</v>
      </c>
      <c r="H1767">
        <f>G1767*(11.5/38.29)</f>
        <v>7.5084878558370335E-3</v>
      </c>
    </row>
    <row r="1768" spans="1:8" x14ac:dyDescent="0.25">
      <c r="A1768" s="1">
        <v>2008</v>
      </c>
      <c r="B1768" s="1" t="s">
        <v>104</v>
      </c>
      <c r="C1768" t="s">
        <v>51</v>
      </c>
      <c r="D1768">
        <v>4</v>
      </c>
      <c r="E1768">
        <v>32</v>
      </c>
      <c r="F1768">
        <v>0.11</v>
      </c>
      <c r="G1768">
        <f>(F1768/0.6)/4</f>
        <v>4.5833333333333337E-2</v>
      </c>
      <c r="H1768">
        <f>G1768*(11.5/38.29)</f>
        <v>1.3765561069034562E-2</v>
      </c>
    </row>
    <row r="1769" spans="1:8" x14ac:dyDescent="0.25">
      <c r="A1769" s="1">
        <v>2008</v>
      </c>
      <c r="B1769" s="1" t="s">
        <v>104</v>
      </c>
      <c r="C1769" t="s">
        <v>51</v>
      </c>
      <c r="D1769">
        <v>4</v>
      </c>
      <c r="E1769">
        <v>32</v>
      </c>
      <c r="F1769">
        <v>0.04</v>
      </c>
      <c r="G1769">
        <f>(F1769/0.6)/4</f>
        <v>1.6666666666666666E-2</v>
      </c>
      <c r="H1769">
        <f>G1769*(11.5/38.29)</f>
        <v>5.0056585705580223E-3</v>
      </c>
    </row>
    <row r="1770" spans="1:8" x14ac:dyDescent="0.25">
      <c r="A1770" s="1">
        <v>2008</v>
      </c>
      <c r="B1770" s="1" t="s">
        <v>104</v>
      </c>
      <c r="C1770" t="s">
        <v>51</v>
      </c>
      <c r="D1770">
        <v>4</v>
      </c>
      <c r="E1770">
        <v>32</v>
      </c>
      <c r="F1770">
        <v>0.16</v>
      </c>
      <c r="G1770">
        <f>(F1770/0.6)/4</f>
        <v>6.6666666666666666E-2</v>
      </c>
      <c r="H1770">
        <f>G1770*(11.5/38.29)</f>
        <v>2.0022634282232089E-2</v>
      </c>
    </row>
    <row r="1771" spans="1:8" x14ac:dyDescent="0.25">
      <c r="A1771" s="1">
        <v>2008</v>
      </c>
      <c r="B1771" s="1" t="s">
        <v>104</v>
      </c>
      <c r="C1771" t="s">
        <v>51</v>
      </c>
      <c r="D1771">
        <v>4</v>
      </c>
      <c r="E1771">
        <v>32</v>
      </c>
      <c r="F1771">
        <v>0.06</v>
      </c>
      <c r="G1771">
        <f>(F1771/0.6)/4</f>
        <v>2.5000000000000001E-2</v>
      </c>
      <c r="H1771">
        <f>G1771*(11.5/38.29)</f>
        <v>7.5084878558370335E-3</v>
      </c>
    </row>
    <row r="1772" spans="1:8" x14ac:dyDescent="0.25">
      <c r="A1772" s="1">
        <v>2008</v>
      </c>
      <c r="B1772" s="1" t="s">
        <v>104</v>
      </c>
      <c r="C1772" t="s">
        <v>51</v>
      </c>
      <c r="D1772">
        <v>4</v>
      </c>
      <c r="E1772">
        <v>32</v>
      </c>
      <c r="F1772">
        <v>7.0000000000000007E-2</v>
      </c>
      <c r="G1772">
        <f>(F1772/0.6)/4</f>
        <v>2.9166666666666671E-2</v>
      </c>
      <c r="H1772">
        <f>G1772*(11.5/38.29)</f>
        <v>8.7599024984765395E-3</v>
      </c>
    </row>
    <row r="1773" spans="1:8" x14ac:dyDescent="0.25">
      <c r="A1773" s="1">
        <v>2008</v>
      </c>
      <c r="B1773" s="1" t="s">
        <v>104</v>
      </c>
      <c r="C1773" t="s">
        <v>51</v>
      </c>
      <c r="D1773">
        <v>4</v>
      </c>
      <c r="E1773">
        <v>32</v>
      </c>
      <c r="F1773">
        <v>0.04</v>
      </c>
      <c r="G1773">
        <f>(F1773/0.6)/4</f>
        <v>1.6666666666666666E-2</v>
      </c>
      <c r="H1773">
        <f>G1773*(11.5/38.29)</f>
        <v>5.0056585705580223E-3</v>
      </c>
    </row>
    <row r="1774" spans="1:8" x14ac:dyDescent="0.25">
      <c r="A1774" s="1">
        <v>2008</v>
      </c>
      <c r="B1774" s="1" t="s">
        <v>104</v>
      </c>
      <c r="C1774" t="s">
        <v>51</v>
      </c>
      <c r="D1774">
        <v>4</v>
      </c>
      <c r="E1774">
        <v>32</v>
      </c>
      <c r="F1774">
        <v>0.16</v>
      </c>
      <c r="G1774">
        <f>(F1774/0.6)/4</f>
        <v>6.6666666666666666E-2</v>
      </c>
      <c r="H1774">
        <f>G1774*(11.5/38.29)</f>
        <v>2.0022634282232089E-2</v>
      </c>
    </row>
    <row r="1775" spans="1:8" x14ac:dyDescent="0.25">
      <c r="A1775" s="1">
        <v>2008</v>
      </c>
      <c r="B1775" s="1" t="s">
        <v>104</v>
      </c>
      <c r="C1775" t="s">
        <v>51</v>
      </c>
      <c r="D1775">
        <v>4</v>
      </c>
      <c r="E1775">
        <v>32</v>
      </c>
      <c r="F1775">
        <v>0.16</v>
      </c>
      <c r="G1775">
        <f>(F1775/0.6)/4</f>
        <v>6.6666666666666666E-2</v>
      </c>
      <c r="H1775">
        <f>G1775*(11.5/38.29)</f>
        <v>2.0022634282232089E-2</v>
      </c>
    </row>
    <row r="1776" spans="1:8" x14ac:dyDescent="0.25">
      <c r="A1776" s="1">
        <v>2008</v>
      </c>
      <c r="B1776" s="1" t="s">
        <v>104</v>
      </c>
      <c r="C1776" t="s">
        <v>51</v>
      </c>
      <c r="D1776">
        <v>4</v>
      </c>
      <c r="E1776">
        <v>32</v>
      </c>
      <c r="F1776">
        <v>7.0000000000000007E-2</v>
      </c>
      <c r="G1776">
        <f>(F1776/0.6)/4</f>
        <v>2.9166666666666671E-2</v>
      </c>
      <c r="H1776">
        <f>G1776*(11.5/38.29)</f>
        <v>8.7599024984765395E-3</v>
      </c>
    </row>
    <row r="1777" spans="1:8" x14ac:dyDescent="0.25">
      <c r="A1777" s="1">
        <v>2008</v>
      </c>
      <c r="B1777" s="1" t="s">
        <v>104</v>
      </c>
      <c r="C1777" t="s">
        <v>51</v>
      </c>
      <c r="D1777">
        <v>4</v>
      </c>
      <c r="E1777">
        <v>32</v>
      </c>
      <c r="F1777">
        <v>0.11</v>
      </c>
      <c r="G1777">
        <f>(F1777/0.6)/4</f>
        <v>4.5833333333333337E-2</v>
      </c>
      <c r="H1777">
        <f>G1777*(11.5/38.29)</f>
        <v>1.3765561069034562E-2</v>
      </c>
    </row>
    <row r="1778" spans="1:8" x14ac:dyDescent="0.25">
      <c r="A1778" s="1">
        <v>2008</v>
      </c>
      <c r="B1778" s="1" t="s">
        <v>104</v>
      </c>
      <c r="C1778" t="s">
        <v>51</v>
      </c>
      <c r="D1778">
        <v>4</v>
      </c>
      <c r="E1778">
        <v>32</v>
      </c>
      <c r="F1778">
        <v>7.0000000000000007E-2</v>
      </c>
      <c r="G1778">
        <f>(F1778/0.6)/4</f>
        <v>2.9166666666666671E-2</v>
      </c>
      <c r="H1778">
        <f>G1778*(11.5/38.29)</f>
        <v>8.7599024984765395E-3</v>
      </c>
    </row>
    <row r="1779" spans="1:8" x14ac:dyDescent="0.25">
      <c r="A1779" s="1">
        <v>2008</v>
      </c>
      <c r="B1779" s="1" t="s">
        <v>104</v>
      </c>
      <c r="C1779" t="s">
        <v>51</v>
      </c>
      <c r="D1779">
        <v>4</v>
      </c>
      <c r="E1779">
        <v>32</v>
      </c>
      <c r="F1779">
        <v>0.19</v>
      </c>
      <c r="G1779">
        <f>(F1779/0.6)/4</f>
        <v>7.9166666666666677E-2</v>
      </c>
      <c r="H1779">
        <f>G1779*(11.5/38.29)</f>
        <v>2.3776878210150607E-2</v>
      </c>
    </row>
    <row r="1780" spans="1:8" x14ac:dyDescent="0.25">
      <c r="A1780" s="1">
        <v>2008</v>
      </c>
      <c r="B1780" s="1" t="s">
        <v>104</v>
      </c>
      <c r="C1780" t="s">
        <v>51</v>
      </c>
      <c r="D1780">
        <v>4</v>
      </c>
      <c r="E1780">
        <v>32</v>
      </c>
      <c r="F1780">
        <v>0.14000000000000001</v>
      </c>
      <c r="G1780">
        <f>(F1780/0.6)/4</f>
        <v>5.8333333333333341E-2</v>
      </c>
      <c r="H1780">
        <f>G1780*(11.5/38.29)</f>
        <v>1.7519804996953079E-2</v>
      </c>
    </row>
    <row r="1781" spans="1:8" x14ac:dyDescent="0.25">
      <c r="A1781" s="1">
        <v>2008</v>
      </c>
      <c r="B1781" s="1" t="s">
        <v>104</v>
      </c>
      <c r="C1781" t="s">
        <v>51</v>
      </c>
      <c r="D1781">
        <v>4</v>
      </c>
      <c r="E1781">
        <v>32</v>
      </c>
      <c r="F1781">
        <v>0.05</v>
      </c>
      <c r="G1781">
        <f>(F1781/0.6)/4</f>
        <v>2.0833333333333336E-2</v>
      </c>
      <c r="H1781">
        <f>G1781*(11.5/38.29)</f>
        <v>6.2570732131975284E-3</v>
      </c>
    </row>
    <row r="1782" spans="1:8" x14ac:dyDescent="0.25">
      <c r="A1782" s="1">
        <v>2008</v>
      </c>
      <c r="B1782" s="1" t="s">
        <v>104</v>
      </c>
      <c r="C1782" t="s">
        <v>51</v>
      </c>
      <c r="D1782">
        <v>4</v>
      </c>
      <c r="E1782">
        <v>32</v>
      </c>
      <c r="F1782">
        <v>0.12</v>
      </c>
      <c r="G1782">
        <f>(F1782/0.6)/4</f>
        <v>0.05</v>
      </c>
      <c r="H1782">
        <f>G1782*(11.5/38.29)</f>
        <v>1.5016975711674067E-2</v>
      </c>
    </row>
    <row r="1783" spans="1:8" x14ac:dyDescent="0.25">
      <c r="A1783" s="1">
        <v>2008</v>
      </c>
      <c r="B1783" s="1" t="s">
        <v>104</v>
      </c>
      <c r="C1783" t="s">
        <v>51</v>
      </c>
      <c r="D1783">
        <v>4</v>
      </c>
      <c r="E1783">
        <v>32</v>
      </c>
      <c r="F1783">
        <v>0.33</v>
      </c>
      <c r="G1783">
        <f>(F1783/0.6)/4</f>
        <v>0.13750000000000001</v>
      </c>
      <c r="H1783">
        <f>G1783*(11.5/38.29)</f>
        <v>4.1296683207103682E-2</v>
      </c>
    </row>
    <row r="1784" spans="1:8" x14ac:dyDescent="0.25">
      <c r="A1784" s="1">
        <v>2008</v>
      </c>
      <c r="B1784" s="1" t="s">
        <v>104</v>
      </c>
      <c r="C1784" t="s">
        <v>51</v>
      </c>
      <c r="D1784">
        <v>4</v>
      </c>
      <c r="E1784">
        <v>32</v>
      </c>
      <c r="F1784">
        <v>0.09</v>
      </c>
      <c r="G1784">
        <f>(F1784/0.6)/4</f>
        <v>3.7499999999999999E-2</v>
      </c>
      <c r="H1784">
        <f>G1784*(11.5/38.29)</f>
        <v>1.126273178375555E-2</v>
      </c>
    </row>
    <row r="1785" spans="1:8" x14ac:dyDescent="0.25">
      <c r="A1785" s="1">
        <v>2008</v>
      </c>
      <c r="B1785" s="1" t="s">
        <v>104</v>
      </c>
      <c r="C1785" t="s">
        <v>51</v>
      </c>
      <c r="D1785">
        <v>4</v>
      </c>
      <c r="E1785">
        <v>32</v>
      </c>
      <c r="F1785">
        <v>0.16</v>
      </c>
      <c r="G1785">
        <f>(F1785/0.6)/4</f>
        <v>6.6666666666666666E-2</v>
      </c>
      <c r="H1785">
        <f>G1785*(11.5/38.29)</f>
        <v>2.0022634282232089E-2</v>
      </c>
    </row>
    <row r="1786" spans="1:8" x14ac:dyDescent="0.25">
      <c r="A1786" s="1">
        <v>2008</v>
      </c>
      <c r="B1786" s="1" t="s">
        <v>104</v>
      </c>
      <c r="C1786" t="s">
        <v>51</v>
      </c>
      <c r="D1786">
        <v>4</v>
      </c>
      <c r="E1786">
        <v>32</v>
      </c>
      <c r="F1786">
        <v>0.12</v>
      </c>
      <c r="G1786">
        <f>(F1786/0.6)/4</f>
        <v>0.05</v>
      </c>
      <c r="H1786">
        <f>G1786*(11.5/38.29)</f>
        <v>1.5016975711674067E-2</v>
      </c>
    </row>
    <row r="1787" spans="1:8" x14ac:dyDescent="0.25">
      <c r="A1787" s="1">
        <v>2008</v>
      </c>
      <c r="B1787" s="1" t="s">
        <v>104</v>
      </c>
      <c r="C1787" t="s">
        <v>51</v>
      </c>
      <c r="D1787">
        <v>4</v>
      </c>
      <c r="E1787">
        <v>32</v>
      </c>
      <c r="F1787">
        <v>0.19</v>
      </c>
      <c r="G1787">
        <f>(F1787/0.6)/4</f>
        <v>7.9166666666666677E-2</v>
      </c>
      <c r="H1787">
        <f>G1787*(11.5/38.29)</f>
        <v>2.3776878210150607E-2</v>
      </c>
    </row>
    <row r="1788" spans="1:8" x14ac:dyDescent="0.25">
      <c r="A1788" s="1">
        <v>2008</v>
      </c>
      <c r="B1788" s="1" t="s">
        <v>104</v>
      </c>
      <c r="C1788" t="s">
        <v>51</v>
      </c>
      <c r="D1788">
        <v>4</v>
      </c>
      <c r="E1788">
        <v>32</v>
      </c>
      <c r="F1788">
        <v>0.11</v>
      </c>
      <c r="G1788">
        <f>(F1788/0.6)/4</f>
        <v>4.5833333333333337E-2</v>
      </c>
      <c r="H1788">
        <f>G1788*(11.5/38.29)</f>
        <v>1.3765561069034562E-2</v>
      </c>
    </row>
    <row r="1789" spans="1:8" x14ac:dyDescent="0.25">
      <c r="A1789" s="1">
        <v>2008</v>
      </c>
      <c r="B1789" s="1" t="s">
        <v>104</v>
      </c>
      <c r="C1789" t="s">
        <v>51</v>
      </c>
      <c r="D1789">
        <v>4</v>
      </c>
      <c r="E1789">
        <v>32</v>
      </c>
      <c r="F1789">
        <v>0.06</v>
      </c>
      <c r="G1789">
        <f>(F1789/0.6)/4</f>
        <v>2.5000000000000001E-2</v>
      </c>
      <c r="H1789">
        <f>G1789*(11.5/38.29)</f>
        <v>7.5084878558370335E-3</v>
      </c>
    </row>
    <row r="1790" spans="1:8" x14ac:dyDescent="0.25">
      <c r="A1790" s="1">
        <v>2008</v>
      </c>
      <c r="B1790" s="1" t="s">
        <v>104</v>
      </c>
      <c r="C1790" t="s">
        <v>51</v>
      </c>
      <c r="D1790">
        <v>4</v>
      </c>
      <c r="E1790">
        <v>32</v>
      </c>
      <c r="F1790">
        <v>0.06</v>
      </c>
      <c r="G1790">
        <f>(F1790/0.6)/4</f>
        <v>2.5000000000000001E-2</v>
      </c>
      <c r="H1790">
        <f>G1790*(11.5/38.29)</f>
        <v>7.5084878558370335E-3</v>
      </c>
    </row>
    <row r="1791" spans="1:8" x14ac:dyDescent="0.25">
      <c r="A1791" s="1">
        <v>2008</v>
      </c>
      <c r="B1791" s="1" t="s">
        <v>104</v>
      </c>
      <c r="C1791" t="s">
        <v>51</v>
      </c>
      <c r="D1791">
        <v>4</v>
      </c>
      <c r="E1791">
        <v>32</v>
      </c>
      <c r="F1791">
        <v>0.05</v>
      </c>
      <c r="G1791">
        <f>(F1791/0.6)/4</f>
        <v>2.0833333333333336E-2</v>
      </c>
      <c r="H1791">
        <f>G1791*(11.5/38.29)</f>
        <v>6.2570732131975284E-3</v>
      </c>
    </row>
    <row r="1792" spans="1:8" x14ac:dyDescent="0.25">
      <c r="A1792" s="1">
        <v>2008</v>
      </c>
      <c r="B1792" s="1" t="s">
        <v>104</v>
      </c>
      <c r="C1792" t="s">
        <v>51</v>
      </c>
      <c r="D1792">
        <v>4</v>
      </c>
      <c r="E1792">
        <v>32</v>
      </c>
      <c r="F1792">
        <v>0.05</v>
      </c>
      <c r="G1792">
        <f>(F1792/0.6)/4</f>
        <v>2.0833333333333336E-2</v>
      </c>
      <c r="H1792">
        <f>G1792*(11.5/38.29)</f>
        <v>6.2570732131975284E-3</v>
      </c>
    </row>
    <row r="1793" spans="1:8" x14ac:dyDescent="0.25">
      <c r="A1793" s="1">
        <v>2008</v>
      </c>
      <c r="B1793" s="1" t="s">
        <v>104</v>
      </c>
      <c r="C1793" t="s">
        <v>51</v>
      </c>
      <c r="D1793">
        <v>4</v>
      </c>
      <c r="E1793">
        <v>32</v>
      </c>
      <c r="F1793">
        <v>0.84</v>
      </c>
      <c r="G1793">
        <f>(F1793/0.6)/4</f>
        <v>0.35</v>
      </c>
      <c r="H1793">
        <f>G1793*(11.5/38.29)</f>
        <v>0.10511882998171845</v>
      </c>
    </row>
    <row r="1794" spans="1:8" x14ac:dyDescent="0.25">
      <c r="A1794" s="1">
        <v>2008</v>
      </c>
      <c r="B1794" s="1" t="s">
        <v>104</v>
      </c>
      <c r="C1794" t="s">
        <v>51</v>
      </c>
      <c r="D1794">
        <v>4</v>
      </c>
      <c r="E1794">
        <v>32</v>
      </c>
      <c r="F1794">
        <v>0.26</v>
      </c>
      <c r="G1794">
        <f>(F1794/0.6)/4</f>
        <v>0.10833333333333334</v>
      </c>
      <c r="H1794">
        <f>G1794*(11.5/38.29)</f>
        <v>3.2536780708627144E-2</v>
      </c>
    </row>
    <row r="1795" spans="1:8" x14ac:dyDescent="0.25">
      <c r="A1795" s="1">
        <v>2008</v>
      </c>
      <c r="B1795" s="1" t="s">
        <v>104</v>
      </c>
      <c r="C1795" t="s">
        <v>51</v>
      </c>
      <c r="D1795">
        <v>4</v>
      </c>
      <c r="E1795">
        <v>32</v>
      </c>
      <c r="F1795">
        <v>0.21</v>
      </c>
      <c r="G1795">
        <f>(F1795/0.6)/4</f>
        <v>8.7499999999999994E-2</v>
      </c>
      <c r="H1795">
        <f>G1795*(11.5/38.29)</f>
        <v>2.6279707495429613E-2</v>
      </c>
    </row>
    <row r="1796" spans="1:8" x14ac:dyDescent="0.25">
      <c r="A1796" s="1">
        <v>2008</v>
      </c>
      <c r="B1796" s="1" t="s">
        <v>104</v>
      </c>
      <c r="C1796" t="s">
        <v>51</v>
      </c>
      <c r="D1796">
        <v>4</v>
      </c>
      <c r="E1796">
        <v>32</v>
      </c>
      <c r="F1796">
        <v>7.0000000000000007E-2</v>
      </c>
      <c r="G1796">
        <f>(F1796/0.6)/4</f>
        <v>2.9166666666666671E-2</v>
      </c>
      <c r="H1796">
        <f>G1796*(11.5/38.29)</f>
        <v>8.7599024984765395E-3</v>
      </c>
    </row>
    <row r="1797" spans="1:8" x14ac:dyDescent="0.25">
      <c r="A1797" s="1">
        <v>2008</v>
      </c>
      <c r="B1797" s="1" t="s">
        <v>104</v>
      </c>
      <c r="C1797" t="s">
        <v>51</v>
      </c>
      <c r="D1797">
        <v>4</v>
      </c>
      <c r="E1797">
        <v>32</v>
      </c>
      <c r="F1797">
        <v>0.05</v>
      </c>
      <c r="G1797">
        <f>(F1797/0.6)/4</f>
        <v>2.0833333333333336E-2</v>
      </c>
      <c r="H1797">
        <f>G1797*(11.5/38.29)</f>
        <v>6.2570732131975284E-3</v>
      </c>
    </row>
    <row r="1798" spans="1:8" x14ac:dyDescent="0.25">
      <c r="A1798" s="1">
        <v>2008</v>
      </c>
      <c r="B1798" s="1" t="s">
        <v>104</v>
      </c>
      <c r="C1798" t="s">
        <v>51</v>
      </c>
      <c r="D1798">
        <v>4</v>
      </c>
      <c r="E1798">
        <v>32</v>
      </c>
      <c r="F1798">
        <v>0.06</v>
      </c>
      <c r="G1798">
        <f>(F1798/0.6)/4</f>
        <v>2.5000000000000001E-2</v>
      </c>
      <c r="H1798">
        <f>G1798*(11.5/38.29)</f>
        <v>7.5084878558370335E-3</v>
      </c>
    </row>
    <row r="1799" spans="1:8" x14ac:dyDescent="0.25">
      <c r="A1799" s="1">
        <v>2008</v>
      </c>
      <c r="B1799" s="1" t="s">
        <v>104</v>
      </c>
      <c r="C1799" t="s">
        <v>51</v>
      </c>
      <c r="D1799">
        <v>4</v>
      </c>
      <c r="E1799">
        <v>32</v>
      </c>
      <c r="F1799">
        <v>0.08</v>
      </c>
      <c r="G1799">
        <f>(F1799/0.6)/4</f>
        <v>3.3333333333333333E-2</v>
      </c>
      <c r="H1799">
        <f>G1799*(11.5/38.29)</f>
        <v>1.0011317141116045E-2</v>
      </c>
    </row>
    <row r="1800" spans="1:8" x14ac:dyDescent="0.25">
      <c r="A1800" s="1">
        <v>2008</v>
      </c>
      <c r="B1800" s="1" t="s">
        <v>104</v>
      </c>
      <c r="C1800" t="s">
        <v>51</v>
      </c>
      <c r="D1800">
        <v>4</v>
      </c>
      <c r="E1800">
        <v>32</v>
      </c>
      <c r="F1800">
        <v>0.03</v>
      </c>
      <c r="G1800">
        <f>(F1800/0.6)/4</f>
        <v>1.2500000000000001E-2</v>
      </c>
      <c r="H1800">
        <f>G1800*(11.5/38.29)</f>
        <v>3.7542439279185168E-3</v>
      </c>
    </row>
    <row r="1801" spans="1:8" x14ac:dyDescent="0.25">
      <c r="A1801" s="1">
        <v>2008</v>
      </c>
      <c r="B1801" s="1" t="s">
        <v>104</v>
      </c>
      <c r="C1801" t="s">
        <v>51</v>
      </c>
      <c r="D1801">
        <v>4</v>
      </c>
      <c r="E1801">
        <v>32</v>
      </c>
      <c r="F1801">
        <v>0.06</v>
      </c>
      <c r="G1801">
        <f>(F1801/0.6)/4</f>
        <v>2.5000000000000001E-2</v>
      </c>
      <c r="H1801">
        <f>G1801*(11.5/38.29)</f>
        <v>7.5084878558370335E-3</v>
      </c>
    </row>
    <row r="1802" spans="1:8" x14ac:dyDescent="0.25">
      <c r="A1802" s="1">
        <v>2008</v>
      </c>
      <c r="B1802" s="1" t="s">
        <v>104</v>
      </c>
      <c r="C1802" t="s">
        <v>51</v>
      </c>
      <c r="D1802">
        <v>4</v>
      </c>
      <c r="E1802">
        <v>32</v>
      </c>
      <c r="F1802">
        <v>0.14000000000000001</v>
      </c>
      <c r="G1802">
        <f>(F1802/0.6)/4</f>
        <v>5.8333333333333341E-2</v>
      </c>
      <c r="H1802">
        <f>G1802*(11.5/38.29)</f>
        <v>1.7519804996953079E-2</v>
      </c>
    </row>
    <row r="1803" spans="1:8" x14ac:dyDescent="0.25">
      <c r="A1803" s="1">
        <v>2008</v>
      </c>
      <c r="B1803" s="1" t="s">
        <v>104</v>
      </c>
      <c r="C1803" t="s">
        <v>51</v>
      </c>
      <c r="D1803">
        <v>4</v>
      </c>
      <c r="E1803">
        <v>32</v>
      </c>
      <c r="F1803">
        <v>0.06</v>
      </c>
      <c r="G1803">
        <f>(F1803/0.6)/4</f>
        <v>2.5000000000000001E-2</v>
      </c>
      <c r="H1803">
        <f>G1803*(11.5/38.29)</f>
        <v>7.5084878558370335E-3</v>
      </c>
    </row>
    <row r="1804" spans="1:8" x14ac:dyDescent="0.25">
      <c r="A1804" s="1">
        <v>2008</v>
      </c>
      <c r="B1804" s="1" t="s">
        <v>104</v>
      </c>
      <c r="C1804" t="s">
        <v>51</v>
      </c>
      <c r="D1804">
        <v>4</v>
      </c>
      <c r="E1804">
        <v>32</v>
      </c>
      <c r="F1804">
        <v>0.28000000000000003</v>
      </c>
      <c r="G1804">
        <f>(F1804/0.6)/4</f>
        <v>0.11666666666666668</v>
      </c>
      <c r="H1804">
        <f>G1804*(11.5/38.29)</f>
        <v>3.5039609993906158E-2</v>
      </c>
    </row>
    <row r="1805" spans="1:8" x14ac:dyDescent="0.25">
      <c r="A1805" s="1">
        <v>2008</v>
      </c>
      <c r="B1805" s="1" t="s">
        <v>104</v>
      </c>
      <c r="C1805" t="s">
        <v>51</v>
      </c>
      <c r="D1805">
        <v>4</v>
      </c>
      <c r="E1805">
        <v>32</v>
      </c>
      <c r="F1805">
        <v>0.05</v>
      </c>
      <c r="G1805">
        <f>(F1805/0.6)/4</f>
        <v>2.0833333333333336E-2</v>
      </c>
      <c r="H1805">
        <f>G1805*(11.5/38.29)</f>
        <v>6.2570732131975284E-3</v>
      </c>
    </row>
    <row r="1806" spans="1:8" x14ac:dyDescent="0.25">
      <c r="A1806" s="1">
        <v>2008</v>
      </c>
      <c r="B1806" s="1" t="s">
        <v>104</v>
      </c>
      <c r="C1806" t="s">
        <v>51</v>
      </c>
      <c r="D1806">
        <v>4</v>
      </c>
      <c r="E1806">
        <v>32</v>
      </c>
      <c r="F1806">
        <v>0.13</v>
      </c>
      <c r="G1806">
        <f>(F1806/0.6)/4</f>
        <v>5.4166666666666669E-2</v>
      </c>
      <c r="H1806">
        <f>G1806*(11.5/38.29)</f>
        <v>1.6268390354313572E-2</v>
      </c>
    </row>
    <row r="1807" spans="1:8" x14ac:dyDescent="0.25">
      <c r="A1807" s="1">
        <v>2008</v>
      </c>
      <c r="B1807" s="1" t="s">
        <v>104</v>
      </c>
      <c r="C1807" t="s">
        <v>51</v>
      </c>
      <c r="D1807">
        <v>4</v>
      </c>
      <c r="E1807">
        <v>32</v>
      </c>
      <c r="F1807">
        <v>0.06</v>
      </c>
      <c r="G1807">
        <f>(F1807/0.6)/4</f>
        <v>2.5000000000000001E-2</v>
      </c>
      <c r="H1807">
        <f>G1807*(11.5/38.29)</f>
        <v>7.5084878558370335E-3</v>
      </c>
    </row>
    <row r="1808" spans="1:8" x14ac:dyDescent="0.25">
      <c r="A1808" s="1">
        <v>2008</v>
      </c>
      <c r="B1808" s="1" t="s">
        <v>104</v>
      </c>
      <c r="C1808" t="s">
        <v>51</v>
      </c>
      <c r="D1808">
        <v>4</v>
      </c>
      <c r="E1808">
        <v>32</v>
      </c>
      <c r="F1808">
        <v>0.12</v>
      </c>
      <c r="G1808">
        <f>(F1808/0.6)/4</f>
        <v>0.05</v>
      </c>
      <c r="H1808">
        <f>G1808*(11.5/38.29)</f>
        <v>1.5016975711674067E-2</v>
      </c>
    </row>
    <row r="1809" spans="1:8" x14ac:dyDescent="0.25">
      <c r="A1809" s="1">
        <v>2008</v>
      </c>
      <c r="B1809" s="1" t="s">
        <v>104</v>
      </c>
      <c r="C1809" t="s">
        <v>51</v>
      </c>
      <c r="D1809">
        <v>4</v>
      </c>
      <c r="E1809">
        <v>32</v>
      </c>
      <c r="F1809">
        <v>0.12</v>
      </c>
      <c r="G1809">
        <f>(F1809/0.6)/4</f>
        <v>0.05</v>
      </c>
      <c r="H1809">
        <f>G1809*(11.5/38.29)</f>
        <v>1.5016975711674067E-2</v>
      </c>
    </row>
    <row r="1810" spans="1:8" x14ac:dyDescent="0.25">
      <c r="A1810" s="1">
        <v>2008</v>
      </c>
      <c r="B1810" s="1" t="s">
        <v>104</v>
      </c>
      <c r="C1810" t="s">
        <v>51</v>
      </c>
      <c r="D1810">
        <v>4</v>
      </c>
      <c r="E1810">
        <v>32</v>
      </c>
      <c r="F1810">
        <v>0.06</v>
      </c>
      <c r="G1810">
        <f>(F1810/0.6)/4</f>
        <v>2.5000000000000001E-2</v>
      </c>
      <c r="H1810">
        <f>G1810*(11.5/38.29)</f>
        <v>7.5084878558370335E-3</v>
      </c>
    </row>
    <row r="1811" spans="1:8" x14ac:dyDescent="0.25">
      <c r="A1811" s="1">
        <v>2008</v>
      </c>
      <c r="B1811" s="1" t="s">
        <v>104</v>
      </c>
      <c r="C1811" t="s">
        <v>51</v>
      </c>
      <c r="D1811">
        <v>4</v>
      </c>
      <c r="E1811">
        <v>32</v>
      </c>
      <c r="F1811">
        <v>0.13</v>
      </c>
      <c r="G1811">
        <f>(F1811/0.6)/4</f>
        <v>5.4166666666666669E-2</v>
      </c>
      <c r="H1811">
        <f>G1811*(11.5/38.29)</f>
        <v>1.6268390354313572E-2</v>
      </c>
    </row>
    <row r="1812" spans="1:8" x14ac:dyDescent="0.25">
      <c r="A1812" s="1">
        <v>2008</v>
      </c>
      <c r="B1812" s="1" t="s">
        <v>104</v>
      </c>
      <c r="C1812" t="s">
        <v>51</v>
      </c>
      <c r="D1812">
        <v>4</v>
      </c>
      <c r="E1812">
        <v>32</v>
      </c>
      <c r="F1812">
        <v>0.06</v>
      </c>
      <c r="G1812">
        <f>(F1812/0.6)/4</f>
        <v>2.5000000000000001E-2</v>
      </c>
      <c r="H1812">
        <f>G1812*(11.5/38.29)</f>
        <v>7.5084878558370335E-3</v>
      </c>
    </row>
    <row r="1813" spans="1:8" x14ac:dyDescent="0.25">
      <c r="A1813" s="1">
        <v>2008</v>
      </c>
      <c r="B1813" s="1" t="s">
        <v>104</v>
      </c>
      <c r="C1813" t="s">
        <v>51</v>
      </c>
      <c r="D1813">
        <v>4</v>
      </c>
      <c r="E1813">
        <v>32</v>
      </c>
      <c r="F1813">
        <v>0.04</v>
      </c>
      <c r="G1813">
        <f>(F1813/0.6)/4</f>
        <v>1.6666666666666666E-2</v>
      </c>
      <c r="H1813">
        <f>G1813*(11.5/38.29)</f>
        <v>5.0056585705580223E-3</v>
      </c>
    </row>
    <row r="1814" spans="1:8" x14ac:dyDescent="0.25">
      <c r="A1814" s="1">
        <v>2008</v>
      </c>
      <c r="B1814" s="1" t="s">
        <v>104</v>
      </c>
      <c r="C1814" t="s">
        <v>51</v>
      </c>
      <c r="D1814">
        <v>4</v>
      </c>
      <c r="E1814">
        <v>32</v>
      </c>
      <c r="F1814">
        <v>0.23</v>
      </c>
      <c r="G1814">
        <f>(F1814/0.6)/4</f>
        <v>9.583333333333334E-2</v>
      </c>
      <c r="H1814">
        <f>G1814*(11.5/38.29)</f>
        <v>2.8782536780708627E-2</v>
      </c>
    </row>
    <row r="1815" spans="1:8" x14ac:dyDescent="0.25">
      <c r="A1815" s="1">
        <v>2008</v>
      </c>
      <c r="B1815" s="1" t="s">
        <v>104</v>
      </c>
      <c r="C1815" t="s">
        <v>51</v>
      </c>
      <c r="D1815">
        <v>4</v>
      </c>
      <c r="E1815">
        <v>32</v>
      </c>
      <c r="F1815">
        <v>7.0000000000000007E-2</v>
      </c>
      <c r="G1815">
        <f>(F1815/0.6)/4</f>
        <v>2.9166666666666671E-2</v>
      </c>
      <c r="H1815">
        <f>G1815*(11.5/38.29)</f>
        <v>8.7599024984765395E-3</v>
      </c>
    </row>
    <row r="1816" spans="1:8" x14ac:dyDescent="0.25">
      <c r="A1816" s="1">
        <v>2008</v>
      </c>
      <c r="B1816" s="1" t="s">
        <v>104</v>
      </c>
      <c r="C1816" t="s">
        <v>51</v>
      </c>
      <c r="D1816">
        <v>4</v>
      </c>
      <c r="E1816">
        <v>32</v>
      </c>
      <c r="F1816">
        <v>0.09</v>
      </c>
      <c r="G1816">
        <f>(F1816/0.6)/4</f>
        <v>3.7499999999999999E-2</v>
      </c>
      <c r="H1816">
        <f>G1816*(11.5/38.29)</f>
        <v>1.126273178375555E-2</v>
      </c>
    </row>
    <row r="1817" spans="1:8" x14ac:dyDescent="0.25">
      <c r="A1817" s="1">
        <v>2008</v>
      </c>
      <c r="B1817" s="1" t="s">
        <v>104</v>
      </c>
      <c r="C1817" t="s">
        <v>51</v>
      </c>
      <c r="D1817">
        <v>4</v>
      </c>
      <c r="E1817">
        <v>32</v>
      </c>
      <c r="F1817">
        <v>0.04</v>
      </c>
      <c r="G1817">
        <f>(F1817/0.6)/4</f>
        <v>1.6666666666666666E-2</v>
      </c>
      <c r="H1817">
        <f>G1817*(11.5/38.29)</f>
        <v>5.0056585705580223E-3</v>
      </c>
    </row>
    <row r="1818" spans="1:8" x14ac:dyDescent="0.25">
      <c r="A1818" s="1">
        <v>2008</v>
      </c>
      <c r="B1818" s="1" t="s">
        <v>104</v>
      </c>
      <c r="C1818" t="s">
        <v>51</v>
      </c>
      <c r="D1818">
        <v>4</v>
      </c>
      <c r="E1818">
        <v>32</v>
      </c>
      <c r="F1818">
        <v>0.12</v>
      </c>
      <c r="G1818">
        <f>(F1818/0.6)/4</f>
        <v>0.05</v>
      </c>
      <c r="H1818">
        <f>G1818*(11.5/38.29)</f>
        <v>1.5016975711674067E-2</v>
      </c>
    </row>
    <row r="1819" spans="1:8" x14ac:dyDescent="0.25">
      <c r="A1819" s="1">
        <v>2008</v>
      </c>
      <c r="B1819" s="1" t="s">
        <v>104</v>
      </c>
      <c r="C1819" t="s">
        <v>51</v>
      </c>
      <c r="D1819">
        <v>4</v>
      </c>
      <c r="E1819">
        <v>32</v>
      </c>
      <c r="F1819">
        <v>0.03</v>
      </c>
      <c r="G1819">
        <f>(F1819/0.6)/4</f>
        <v>1.2500000000000001E-2</v>
      </c>
      <c r="H1819">
        <f>G1819*(11.5/38.29)</f>
        <v>3.7542439279185168E-3</v>
      </c>
    </row>
    <row r="1820" spans="1:8" x14ac:dyDescent="0.25">
      <c r="A1820" s="1">
        <v>2008</v>
      </c>
      <c r="B1820" s="1" t="s">
        <v>104</v>
      </c>
      <c r="C1820" t="s">
        <v>51</v>
      </c>
      <c r="D1820">
        <v>4</v>
      </c>
      <c r="E1820">
        <v>32</v>
      </c>
      <c r="F1820">
        <v>0.04</v>
      </c>
      <c r="G1820">
        <f>(F1820/0.6)/4</f>
        <v>1.6666666666666666E-2</v>
      </c>
      <c r="H1820">
        <f>G1820*(11.5/38.29)</f>
        <v>5.0056585705580223E-3</v>
      </c>
    </row>
    <row r="1821" spans="1:8" x14ac:dyDescent="0.25">
      <c r="A1821" s="1">
        <v>2008</v>
      </c>
      <c r="B1821" s="1" t="s">
        <v>104</v>
      </c>
      <c r="C1821" t="s">
        <v>51</v>
      </c>
      <c r="D1821">
        <v>4</v>
      </c>
      <c r="E1821">
        <v>32</v>
      </c>
      <c r="F1821">
        <v>0.7</v>
      </c>
      <c r="G1821">
        <f>(F1821/0.6)/4</f>
        <v>0.29166666666666669</v>
      </c>
      <c r="H1821">
        <f>G1821*(11.5/38.29)</f>
        <v>8.7599024984765392E-2</v>
      </c>
    </row>
    <row r="1822" spans="1:8" x14ac:dyDescent="0.25">
      <c r="A1822" s="1">
        <v>2008</v>
      </c>
      <c r="B1822" s="1" t="s">
        <v>104</v>
      </c>
      <c r="C1822" t="s">
        <v>51</v>
      </c>
      <c r="D1822">
        <v>4</v>
      </c>
      <c r="E1822">
        <v>32</v>
      </c>
      <c r="F1822">
        <v>0.14000000000000001</v>
      </c>
      <c r="G1822">
        <f>(F1822/0.6)/4</f>
        <v>5.8333333333333341E-2</v>
      </c>
      <c r="H1822">
        <f>G1822*(11.5/38.29)</f>
        <v>1.7519804996953079E-2</v>
      </c>
    </row>
    <row r="1823" spans="1:8" x14ac:dyDescent="0.25">
      <c r="A1823" s="1">
        <v>2008</v>
      </c>
      <c r="B1823" s="1" t="s">
        <v>104</v>
      </c>
      <c r="C1823" t="s">
        <v>51</v>
      </c>
      <c r="D1823">
        <v>4</v>
      </c>
      <c r="E1823">
        <v>32</v>
      </c>
      <c r="F1823">
        <v>0.18</v>
      </c>
      <c r="G1823">
        <f>(F1823/0.6)/4</f>
        <v>7.4999999999999997E-2</v>
      </c>
      <c r="H1823">
        <f>G1823*(11.5/38.29)</f>
        <v>2.25254635675111E-2</v>
      </c>
    </row>
    <row r="1824" spans="1:8" x14ac:dyDescent="0.25">
      <c r="A1824" s="1">
        <v>2008</v>
      </c>
      <c r="B1824" s="1" t="s">
        <v>104</v>
      </c>
      <c r="C1824" t="s">
        <v>51</v>
      </c>
      <c r="D1824">
        <v>4</v>
      </c>
      <c r="E1824">
        <v>34</v>
      </c>
      <c r="F1824">
        <v>0.6</v>
      </c>
      <c r="G1824">
        <f>(F1824/0.6)/4</f>
        <v>0.25</v>
      </c>
      <c r="H1824">
        <f>G1824*(11.5/38.29)</f>
        <v>7.508487855837033E-2</v>
      </c>
    </row>
    <row r="1825" spans="1:8" x14ac:dyDescent="0.25">
      <c r="A1825" s="1">
        <v>2008</v>
      </c>
      <c r="B1825" s="1" t="s">
        <v>104</v>
      </c>
      <c r="C1825" t="s">
        <v>51</v>
      </c>
      <c r="D1825">
        <v>4</v>
      </c>
      <c r="E1825">
        <v>34</v>
      </c>
      <c r="F1825">
        <v>0.65</v>
      </c>
      <c r="G1825">
        <f>(F1825/0.6)/4</f>
        <v>0.27083333333333337</v>
      </c>
      <c r="H1825">
        <f>G1825*(11.5/38.29)</f>
        <v>8.1341951771567875E-2</v>
      </c>
    </row>
    <row r="1826" spans="1:8" x14ac:dyDescent="0.25">
      <c r="A1826" s="1">
        <v>2008</v>
      </c>
      <c r="B1826" s="1" t="s">
        <v>104</v>
      </c>
      <c r="C1826" t="s">
        <v>51</v>
      </c>
      <c r="D1826">
        <v>4</v>
      </c>
      <c r="E1826">
        <v>38</v>
      </c>
      <c r="F1826">
        <v>1.75</v>
      </c>
      <c r="G1826">
        <f>(F1826/0.6)/4</f>
        <v>0.72916666666666674</v>
      </c>
      <c r="H1826">
        <f>G1826*(11.5/38.29)</f>
        <v>0.21899756246191349</v>
      </c>
    </row>
    <row r="1827" spans="1:8" x14ac:dyDescent="0.25">
      <c r="A1827" s="1">
        <v>2008</v>
      </c>
      <c r="B1827" s="1" t="s">
        <v>104</v>
      </c>
      <c r="C1827" t="s">
        <v>51</v>
      </c>
      <c r="D1827">
        <v>4</v>
      </c>
      <c r="E1827">
        <v>38</v>
      </c>
      <c r="F1827">
        <v>1.38</v>
      </c>
      <c r="G1827">
        <f>(F1827/0.6)/4</f>
        <v>0.57499999999999996</v>
      </c>
      <c r="H1827">
        <f>G1827*(11.5/38.29)</f>
        <v>0.17269522068425175</v>
      </c>
    </row>
    <row r="1828" spans="1:8" x14ac:dyDescent="0.25">
      <c r="A1828" s="1">
        <v>2008</v>
      </c>
      <c r="B1828" s="1" t="s">
        <v>104</v>
      </c>
      <c r="C1828" t="s">
        <v>51</v>
      </c>
      <c r="D1828">
        <v>4</v>
      </c>
      <c r="E1828">
        <v>38</v>
      </c>
      <c r="F1828">
        <v>1.1299999999999999</v>
      </c>
      <c r="G1828">
        <f>(F1828/0.6)/4</f>
        <v>0.47083333333333333</v>
      </c>
      <c r="H1828">
        <f>G1828*(11.5/38.29)</f>
        <v>0.14140985461826411</v>
      </c>
    </row>
    <row r="1829" spans="1:8" x14ac:dyDescent="0.25">
      <c r="A1829" s="1">
        <v>2008</v>
      </c>
      <c r="B1829" s="1" t="s">
        <v>104</v>
      </c>
      <c r="C1829" t="s">
        <v>51</v>
      </c>
      <c r="D1829">
        <v>4</v>
      </c>
      <c r="E1829">
        <v>38</v>
      </c>
      <c r="F1829">
        <v>1.34</v>
      </c>
      <c r="G1829">
        <f>(F1829/0.6)/4</f>
        <v>0.55833333333333335</v>
      </c>
      <c r="H1829">
        <f>G1829*(11.5/38.29)</f>
        <v>0.16768956211369374</v>
      </c>
    </row>
    <row r="1830" spans="1:8" x14ac:dyDescent="0.25">
      <c r="A1830" s="1">
        <v>2008</v>
      </c>
      <c r="B1830" s="1" t="s">
        <v>104</v>
      </c>
      <c r="C1830" t="s">
        <v>51</v>
      </c>
      <c r="D1830">
        <v>4</v>
      </c>
      <c r="E1830">
        <v>38</v>
      </c>
      <c r="F1830">
        <v>0.83</v>
      </c>
      <c r="G1830">
        <f>(F1830/0.6)/4</f>
        <v>0.34583333333333333</v>
      </c>
      <c r="H1830">
        <f>G1830*(11.5/38.29)</f>
        <v>0.10386741533907895</v>
      </c>
    </row>
    <row r="1831" spans="1:8" x14ac:dyDescent="0.25">
      <c r="A1831" s="1">
        <v>2008</v>
      </c>
      <c r="B1831" s="1" t="s">
        <v>104</v>
      </c>
      <c r="C1831" t="s">
        <v>51</v>
      </c>
      <c r="D1831">
        <v>4</v>
      </c>
      <c r="E1831">
        <v>38</v>
      </c>
      <c r="F1831">
        <v>0.47</v>
      </c>
      <c r="G1831">
        <f>(F1831/0.6)/4</f>
        <v>0.19583333333333333</v>
      </c>
      <c r="H1831">
        <f>G1831*(11.5/38.29)</f>
        <v>5.8816488204056758E-2</v>
      </c>
    </row>
    <row r="1832" spans="1:8" x14ac:dyDescent="0.25">
      <c r="A1832" s="1">
        <v>2008</v>
      </c>
      <c r="B1832" s="1" t="s">
        <v>104</v>
      </c>
      <c r="C1832" t="s">
        <v>51</v>
      </c>
      <c r="D1832">
        <v>4</v>
      </c>
      <c r="E1832">
        <v>38</v>
      </c>
      <c r="F1832">
        <v>0.99</v>
      </c>
      <c r="G1832">
        <f>(F1832/0.6)/4</f>
        <v>0.41250000000000003</v>
      </c>
      <c r="H1832">
        <f>G1832*(11.5/38.29)</f>
        <v>0.12389004962131106</v>
      </c>
    </row>
    <row r="1833" spans="1:8" x14ac:dyDescent="0.25">
      <c r="A1833" s="1">
        <v>2008</v>
      </c>
      <c r="B1833" s="1" t="s">
        <v>104</v>
      </c>
      <c r="C1833" t="s">
        <v>51</v>
      </c>
      <c r="D1833">
        <v>4</v>
      </c>
      <c r="E1833">
        <v>38</v>
      </c>
      <c r="F1833">
        <v>1.07</v>
      </c>
      <c r="G1833">
        <f>(F1833/0.6)/4</f>
        <v>0.44583333333333336</v>
      </c>
      <c r="H1833">
        <f>G1833*(11.5/38.29)</f>
        <v>0.13390136676242709</v>
      </c>
    </row>
    <row r="1834" spans="1:8" x14ac:dyDescent="0.25">
      <c r="A1834" s="1">
        <v>2008</v>
      </c>
      <c r="B1834" s="1" t="s">
        <v>104</v>
      </c>
      <c r="C1834" t="s">
        <v>51</v>
      </c>
      <c r="D1834">
        <v>4</v>
      </c>
      <c r="E1834">
        <v>38</v>
      </c>
      <c r="F1834">
        <v>1.26</v>
      </c>
      <c r="G1834">
        <f>(F1834/0.6)/4</f>
        <v>0.52500000000000002</v>
      </c>
      <c r="H1834">
        <f>G1834*(11.5/38.29)</f>
        <v>0.15767824497257771</v>
      </c>
    </row>
    <row r="1835" spans="1:8" x14ac:dyDescent="0.25">
      <c r="A1835" s="1">
        <v>2008</v>
      </c>
      <c r="B1835" s="1" t="s">
        <v>104</v>
      </c>
      <c r="C1835" t="s">
        <v>51</v>
      </c>
      <c r="D1835">
        <v>4</v>
      </c>
      <c r="E1835">
        <v>38</v>
      </c>
      <c r="F1835">
        <v>0.64</v>
      </c>
      <c r="G1835">
        <f>(F1835/0.6)/4</f>
        <v>0.26666666666666666</v>
      </c>
      <c r="H1835">
        <f>G1835*(11.5/38.29)</f>
        <v>8.0090537128928357E-2</v>
      </c>
    </row>
    <row r="1836" spans="1:8" x14ac:dyDescent="0.25">
      <c r="A1836" s="1">
        <v>2008</v>
      </c>
      <c r="B1836" s="1" t="s">
        <v>104</v>
      </c>
      <c r="C1836" t="s">
        <v>51</v>
      </c>
      <c r="D1836">
        <v>4</v>
      </c>
      <c r="E1836">
        <v>38</v>
      </c>
      <c r="F1836">
        <v>1.02</v>
      </c>
      <c r="G1836">
        <f>(F1836/0.6)/4</f>
        <v>0.42500000000000004</v>
      </c>
      <c r="H1836">
        <f>G1836*(11.5/38.29)</f>
        <v>0.12764429354922957</v>
      </c>
    </row>
    <row r="1837" spans="1:8" x14ac:dyDescent="0.25">
      <c r="A1837" s="1">
        <v>2008</v>
      </c>
      <c r="B1837" s="1" t="s">
        <v>104</v>
      </c>
      <c r="C1837" t="s">
        <v>51</v>
      </c>
      <c r="D1837">
        <v>4</v>
      </c>
      <c r="E1837">
        <v>38</v>
      </c>
      <c r="F1837">
        <v>1.07</v>
      </c>
      <c r="G1837">
        <f>(F1837/0.6)/4</f>
        <v>0.44583333333333336</v>
      </c>
      <c r="H1837">
        <f>G1837*(11.5/38.29)</f>
        <v>0.13390136676242709</v>
      </c>
    </row>
    <row r="1838" spans="1:8" x14ac:dyDescent="0.25">
      <c r="A1838" s="1">
        <v>2008</v>
      </c>
      <c r="B1838" s="1" t="s">
        <v>104</v>
      </c>
      <c r="C1838" t="s">
        <v>51</v>
      </c>
      <c r="D1838">
        <v>4</v>
      </c>
      <c r="E1838">
        <v>38</v>
      </c>
      <c r="F1838">
        <v>0.94</v>
      </c>
      <c r="G1838">
        <f>(F1838/0.6)/4</f>
        <v>0.39166666666666666</v>
      </c>
      <c r="H1838">
        <f>G1838*(11.5/38.29)</f>
        <v>0.11763297640811352</v>
      </c>
    </row>
    <row r="1839" spans="1:8" x14ac:dyDescent="0.25">
      <c r="A1839" s="1">
        <v>2008</v>
      </c>
      <c r="B1839" s="1" t="s">
        <v>104</v>
      </c>
      <c r="C1839" t="s">
        <v>51</v>
      </c>
      <c r="D1839">
        <v>4</v>
      </c>
      <c r="E1839">
        <v>38</v>
      </c>
      <c r="F1839">
        <v>1.18</v>
      </c>
      <c r="G1839">
        <f>(F1839/0.6)/4</f>
        <v>0.49166666666666664</v>
      </c>
      <c r="H1839">
        <f>G1839*(11.5/38.29)</f>
        <v>0.14766692783146165</v>
      </c>
    </row>
    <row r="1840" spans="1:8" x14ac:dyDescent="0.25">
      <c r="A1840" s="1">
        <v>2008</v>
      </c>
      <c r="B1840" s="1" t="s">
        <v>104</v>
      </c>
      <c r="C1840" t="s">
        <v>51</v>
      </c>
      <c r="D1840">
        <v>4</v>
      </c>
      <c r="E1840">
        <v>40</v>
      </c>
      <c r="F1840">
        <v>2.34</v>
      </c>
      <c r="G1840">
        <f>(F1840/0.6)/4</f>
        <v>0.97499999999999998</v>
      </c>
      <c r="H1840">
        <f>G1840*(11.5/38.29)</f>
        <v>0.2928310263776443</v>
      </c>
    </row>
    <row r="1841" spans="1:8" x14ac:dyDescent="0.25">
      <c r="A1841" s="1">
        <v>2008</v>
      </c>
      <c r="B1841" s="1" t="s">
        <v>104</v>
      </c>
      <c r="C1841" t="s">
        <v>51</v>
      </c>
      <c r="D1841">
        <v>4</v>
      </c>
      <c r="E1841">
        <v>40</v>
      </c>
      <c r="F1841">
        <v>0.75</v>
      </c>
      <c r="G1841">
        <f>(F1841/0.6)/4</f>
        <v>0.3125</v>
      </c>
      <c r="H1841">
        <f>G1841*(11.5/38.29)</f>
        <v>9.3856098197962909E-2</v>
      </c>
    </row>
    <row r="1842" spans="1:8" x14ac:dyDescent="0.25">
      <c r="A1842" s="1">
        <v>2008</v>
      </c>
      <c r="B1842" s="1" t="s">
        <v>104</v>
      </c>
      <c r="C1842" t="s">
        <v>51</v>
      </c>
      <c r="D1842">
        <v>4</v>
      </c>
      <c r="E1842">
        <v>40</v>
      </c>
      <c r="F1842">
        <v>1.95</v>
      </c>
      <c r="G1842">
        <f>(F1842/0.6)/4</f>
        <v>0.8125</v>
      </c>
      <c r="H1842">
        <f>G1842*(11.5/38.29)</f>
        <v>0.24402585531470358</v>
      </c>
    </row>
    <row r="1843" spans="1:8" x14ac:dyDescent="0.25">
      <c r="A1843" s="1">
        <v>2008</v>
      </c>
      <c r="B1843" s="1" t="s">
        <v>104</v>
      </c>
      <c r="C1843" t="s">
        <v>51</v>
      </c>
      <c r="D1843">
        <v>4</v>
      </c>
      <c r="E1843">
        <v>40</v>
      </c>
      <c r="F1843">
        <v>1.54</v>
      </c>
      <c r="G1843">
        <f>(F1843/0.6)/4</f>
        <v>0.64166666666666672</v>
      </c>
      <c r="H1843">
        <f>G1843*(11.5/38.29)</f>
        <v>0.19271785496648386</v>
      </c>
    </row>
    <row r="1844" spans="1:8" x14ac:dyDescent="0.25">
      <c r="A1844" s="1">
        <v>2008</v>
      </c>
      <c r="B1844" s="1" t="s">
        <v>104</v>
      </c>
      <c r="C1844" t="s">
        <v>51</v>
      </c>
      <c r="D1844">
        <v>4</v>
      </c>
      <c r="E1844">
        <v>40</v>
      </c>
      <c r="F1844">
        <v>0.98</v>
      </c>
      <c r="G1844">
        <f>(F1844/0.6)/4</f>
        <v>0.40833333333333333</v>
      </c>
      <c r="H1844">
        <f>G1844*(11.5/38.29)</f>
        <v>0.12263863497867154</v>
      </c>
    </row>
    <row r="1845" spans="1:8" x14ac:dyDescent="0.25">
      <c r="A1845" s="1">
        <v>2008</v>
      </c>
      <c r="B1845" s="1" t="s">
        <v>104</v>
      </c>
      <c r="C1845" t="s">
        <v>51</v>
      </c>
      <c r="D1845">
        <v>4</v>
      </c>
      <c r="E1845">
        <v>40</v>
      </c>
      <c r="F1845">
        <v>1.67</v>
      </c>
      <c r="G1845">
        <f>(F1845/0.6)/4</f>
        <v>0.6958333333333333</v>
      </c>
      <c r="H1845">
        <f>G1845*(11.5/38.29)</f>
        <v>0.2089862453207974</v>
      </c>
    </row>
    <row r="1846" spans="1:8" x14ac:dyDescent="0.25">
      <c r="A1846" s="1">
        <v>2008</v>
      </c>
      <c r="B1846" s="1" t="s">
        <v>104</v>
      </c>
      <c r="C1846" t="s">
        <v>51</v>
      </c>
      <c r="D1846">
        <v>4</v>
      </c>
      <c r="E1846">
        <v>40</v>
      </c>
      <c r="F1846">
        <v>0.71</v>
      </c>
      <c r="G1846">
        <f>(F1846/0.6)/4</f>
        <v>0.29583333333333334</v>
      </c>
      <c r="H1846">
        <f>G1846*(11.5/38.29)</f>
        <v>8.8850439627404895E-2</v>
      </c>
    </row>
    <row r="1847" spans="1:8" x14ac:dyDescent="0.25">
      <c r="A1847" s="1">
        <v>2008</v>
      </c>
      <c r="B1847" s="1" t="s">
        <v>104</v>
      </c>
      <c r="C1847" t="s">
        <v>51</v>
      </c>
      <c r="D1847">
        <v>4</v>
      </c>
      <c r="E1847">
        <v>40</v>
      </c>
      <c r="F1847">
        <v>1.41</v>
      </c>
      <c r="G1847">
        <f>(F1847/0.6)/4</f>
        <v>0.58750000000000002</v>
      </c>
      <c r="H1847">
        <f>G1847*(11.5/38.29)</f>
        <v>0.17644946461217029</v>
      </c>
    </row>
    <row r="1848" spans="1:8" x14ac:dyDescent="0.25">
      <c r="A1848" s="1">
        <v>2008</v>
      </c>
      <c r="B1848" s="1" t="s">
        <v>104</v>
      </c>
      <c r="C1848" t="s">
        <v>51</v>
      </c>
      <c r="D1848">
        <v>4</v>
      </c>
      <c r="E1848">
        <v>40</v>
      </c>
      <c r="F1848">
        <v>0.35</v>
      </c>
      <c r="G1848">
        <f>(F1848/0.6)/4</f>
        <v>0.14583333333333334</v>
      </c>
      <c r="H1848">
        <f>G1848*(11.5/38.29)</f>
        <v>4.3799512492382696E-2</v>
      </c>
    </row>
    <row r="1849" spans="1:8" x14ac:dyDescent="0.25">
      <c r="A1849" s="1">
        <v>2008</v>
      </c>
      <c r="B1849" s="1" t="s">
        <v>104</v>
      </c>
      <c r="C1849" t="s">
        <v>51</v>
      </c>
      <c r="D1849">
        <v>4</v>
      </c>
      <c r="E1849">
        <v>40</v>
      </c>
      <c r="F1849">
        <v>1.59</v>
      </c>
      <c r="G1849">
        <f>(F1849/0.6)/4</f>
        <v>0.66250000000000009</v>
      </c>
      <c r="H1849">
        <f>G1849*(11.5/38.29)</f>
        <v>0.1989749281796814</v>
      </c>
    </row>
    <row r="1850" spans="1:8" x14ac:dyDescent="0.25">
      <c r="A1850" s="1">
        <v>2008</v>
      </c>
      <c r="B1850" s="1" t="s">
        <v>104</v>
      </c>
      <c r="C1850" t="s">
        <v>51</v>
      </c>
      <c r="D1850">
        <v>4</v>
      </c>
      <c r="E1850">
        <v>40</v>
      </c>
      <c r="F1850">
        <v>1.85</v>
      </c>
      <c r="G1850">
        <f>(F1850/0.6)/4</f>
        <v>0.77083333333333337</v>
      </c>
      <c r="H1850">
        <f>G1850*(11.5/38.29)</f>
        <v>0.23151170888830852</v>
      </c>
    </row>
    <row r="1851" spans="1:8" x14ac:dyDescent="0.25">
      <c r="A1851" s="1">
        <v>2008</v>
      </c>
      <c r="B1851" s="1" t="s">
        <v>104</v>
      </c>
      <c r="C1851" t="s">
        <v>51</v>
      </c>
      <c r="D1851">
        <v>4</v>
      </c>
      <c r="E1851">
        <v>40</v>
      </c>
      <c r="F1851">
        <v>1.79</v>
      </c>
      <c r="G1851">
        <f>(F1851/0.6)/4</f>
        <v>0.74583333333333335</v>
      </c>
      <c r="H1851">
        <f>G1851*(11.5/38.29)</f>
        <v>0.2240032210324715</v>
      </c>
    </row>
    <row r="1852" spans="1:8" x14ac:dyDescent="0.25">
      <c r="A1852" s="1">
        <v>2008</v>
      </c>
      <c r="B1852" s="1" t="s">
        <v>104</v>
      </c>
      <c r="C1852" t="s">
        <v>51</v>
      </c>
      <c r="D1852">
        <v>4</v>
      </c>
      <c r="E1852">
        <v>40</v>
      </c>
      <c r="F1852">
        <v>1.65</v>
      </c>
      <c r="G1852">
        <f>(F1852/0.6)/4</f>
        <v>0.6875</v>
      </c>
      <c r="H1852">
        <f>G1852*(11.5/38.29)</f>
        <v>0.2064834160355184</v>
      </c>
    </row>
    <row r="1853" spans="1:8" x14ac:dyDescent="0.25">
      <c r="A1853" s="1">
        <v>2008</v>
      </c>
      <c r="B1853" s="1" t="s">
        <v>104</v>
      </c>
      <c r="C1853" t="s">
        <v>51</v>
      </c>
      <c r="D1853">
        <v>4</v>
      </c>
      <c r="E1853">
        <v>40</v>
      </c>
      <c r="F1853">
        <v>1.85</v>
      </c>
      <c r="G1853">
        <f>(F1853/0.6)/4</f>
        <v>0.77083333333333337</v>
      </c>
      <c r="H1853">
        <f>G1853*(11.5/38.29)</f>
        <v>0.23151170888830852</v>
      </c>
    </row>
    <row r="1854" spans="1:8" x14ac:dyDescent="0.25">
      <c r="A1854" s="1">
        <v>2008</v>
      </c>
      <c r="B1854" s="1" t="s">
        <v>104</v>
      </c>
      <c r="C1854" t="s">
        <v>51</v>
      </c>
      <c r="D1854">
        <v>4</v>
      </c>
      <c r="E1854">
        <v>40</v>
      </c>
      <c r="F1854">
        <v>0.41</v>
      </c>
      <c r="G1854">
        <f>(F1854/0.6)/4</f>
        <v>0.17083333333333334</v>
      </c>
      <c r="H1854">
        <f>G1854*(11.5/38.29)</f>
        <v>5.1308000348219723E-2</v>
      </c>
    </row>
    <row r="1855" spans="1:8" x14ac:dyDescent="0.25">
      <c r="A1855" s="1">
        <v>2008</v>
      </c>
      <c r="B1855" s="1" t="s">
        <v>104</v>
      </c>
      <c r="C1855" t="s">
        <v>51</v>
      </c>
      <c r="D1855">
        <v>4</v>
      </c>
      <c r="E1855">
        <v>41</v>
      </c>
      <c r="F1855">
        <v>1.05</v>
      </c>
      <c r="G1855">
        <f>(F1855/0.6)/4</f>
        <v>0.43750000000000006</v>
      </c>
      <c r="H1855">
        <f>G1855*(11.5/38.29)</f>
        <v>0.13139853747714808</v>
      </c>
    </row>
    <row r="1856" spans="1:8" x14ac:dyDescent="0.25">
      <c r="A1856" s="1">
        <v>2008</v>
      </c>
      <c r="B1856" s="1" t="s">
        <v>104</v>
      </c>
      <c r="C1856" t="s">
        <v>51</v>
      </c>
      <c r="D1856">
        <v>4</v>
      </c>
      <c r="E1856">
        <v>47</v>
      </c>
      <c r="F1856">
        <v>1.4</v>
      </c>
      <c r="G1856">
        <f>(F1856/0.6)/4</f>
        <v>0.58333333333333337</v>
      </c>
      <c r="H1856">
        <f>G1856*(11.5/38.29)</f>
        <v>0.17519804996953078</v>
      </c>
    </row>
    <row r="1857" spans="1:8" x14ac:dyDescent="0.25">
      <c r="A1857" s="1">
        <v>2008</v>
      </c>
      <c r="B1857" s="1" t="s">
        <v>104</v>
      </c>
      <c r="C1857" t="s">
        <v>51</v>
      </c>
      <c r="D1857">
        <v>4</v>
      </c>
      <c r="E1857">
        <v>53</v>
      </c>
      <c r="F1857">
        <v>0.38</v>
      </c>
      <c r="G1857">
        <f>(F1857/0.6)/4</f>
        <v>0.15833333333333335</v>
      </c>
      <c r="H1857">
        <f>G1857*(11.5/38.29)</f>
        <v>4.7553756420301213E-2</v>
      </c>
    </row>
    <row r="1858" spans="1:8" x14ac:dyDescent="0.25">
      <c r="A1858" s="1">
        <v>2008</v>
      </c>
      <c r="B1858" s="1" t="s">
        <v>104</v>
      </c>
      <c r="C1858" t="s">
        <v>51</v>
      </c>
      <c r="D1858">
        <v>4</v>
      </c>
      <c r="E1858">
        <v>53</v>
      </c>
      <c r="F1858">
        <v>1.07</v>
      </c>
      <c r="G1858">
        <f>(F1858/0.6)/4</f>
        <v>0.44583333333333336</v>
      </c>
      <c r="H1858">
        <f>G1858*(11.5/38.29)</f>
        <v>0.13390136676242709</v>
      </c>
    </row>
    <row r="1859" spans="1:8" x14ac:dyDescent="0.25">
      <c r="A1859" s="1">
        <v>2008</v>
      </c>
      <c r="B1859" s="1" t="s">
        <v>104</v>
      </c>
      <c r="C1859" t="s">
        <v>51</v>
      </c>
      <c r="D1859">
        <v>4</v>
      </c>
      <c r="E1859">
        <v>54</v>
      </c>
      <c r="F1859">
        <v>0.37</v>
      </c>
      <c r="G1859">
        <f>(F1859/0.6)/4</f>
        <v>0.15416666666666667</v>
      </c>
      <c r="H1859">
        <f>G1859*(11.5/38.29)</f>
        <v>4.6302341777661703E-2</v>
      </c>
    </row>
    <row r="1860" spans="1:8" x14ac:dyDescent="0.25">
      <c r="A1860" s="1">
        <v>2008</v>
      </c>
      <c r="B1860" s="1" t="s">
        <v>104</v>
      </c>
      <c r="C1860" t="s">
        <v>51</v>
      </c>
      <c r="D1860">
        <v>4</v>
      </c>
      <c r="E1860">
        <v>63</v>
      </c>
      <c r="F1860">
        <v>0.05</v>
      </c>
      <c r="G1860">
        <f>(F1860/0.6)/4</f>
        <v>2.0833333333333336E-2</v>
      </c>
      <c r="H1860">
        <f>G1860*(11.5/38.29)</f>
        <v>6.2570732131975284E-3</v>
      </c>
    </row>
    <row r="1861" spans="1:8" x14ac:dyDescent="0.25">
      <c r="A1861" s="1">
        <v>2008</v>
      </c>
      <c r="B1861" s="1" t="s">
        <v>104</v>
      </c>
      <c r="C1861" t="s">
        <v>51</v>
      </c>
      <c r="D1861">
        <v>4</v>
      </c>
      <c r="E1861">
        <v>63</v>
      </c>
      <c r="F1861">
        <v>7.0000000000000007E-2</v>
      </c>
      <c r="G1861">
        <f>(F1861/0.6)/4</f>
        <v>2.9166666666666671E-2</v>
      </c>
      <c r="H1861">
        <f>G1861*(11.5/38.29)</f>
        <v>8.7599024984765395E-3</v>
      </c>
    </row>
    <row r="1862" spans="1:8" x14ac:dyDescent="0.25">
      <c r="A1862" s="1">
        <v>2008</v>
      </c>
      <c r="B1862" s="1" t="s">
        <v>104</v>
      </c>
      <c r="C1862" t="s">
        <v>51</v>
      </c>
      <c r="D1862">
        <v>4</v>
      </c>
      <c r="E1862">
        <v>63</v>
      </c>
      <c r="F1862">
        <v>0.1</v>
      </c>
      <c r="G1862">
        <f>(F1862/0.6)/4</f>
        <v>4.1666666666666671E-2</v>
      </c>
      <c r="H1862">
        <f>G1862*(11.5/38.29)</f>
        <v>1.2514146426395057E-2</v>
      </c>
    </row>
    <row r="1863" spans="1:8" x14ac:dyDescent="0.25">
      <c r="A1863" s="1">
        <v>2008</v>
      </c>
      <c r="B1863" s="1" t="s">
        <v>104</v>
      </c>
      <c r="C1863" t="s">
        <v>51</v>
      </c>
      <c r="D1863">
        <v>4</v>
      </c>
      <c r="E1863">
        <v>63</v>
      </c>
      <c r="F1863">
        <v>0.12</v>
      </c>
      <c r="G1863">
        <f>(F1863/0.6)/4</f>
        <v>0.05</v>
      </c>
      <c r="H1863">
        <f>G1863*(11.5/38.29)</f>
        <v>1.5016975711674067E-2</v>
      </c>
    </row>
    <row r="1864" spans="1:8" x14ac:dyDescent="0.25">
      <c r="A1864" s="1">
        <v>2008</v>
      </c>
      <c r="B1864" s="1" t="s">
        <v>104</v>
      </c>
      <c r="C1864" t="s">
        <v>51</v>
      </c>
      <c r="D1864">
        <v>4</v>
      </c>
      <c r="E1864">
        <v>63</v>
      </c>
      <c r="F1864">
        <v>7.0000000000000007E-2</v>
      </c>
      <c r="G1864">
        <f>(F1864/0.6)/4</f>
        <v>2.9166666666666671E-2</v>
      </c>
      <c r="H1864">
        <f>G1864*(11.5/38.29)</f>
        <v>8.7599024984765395E-3</v>
      </c>
    </row>
    <row r="1865" spans="1:8" x14ac:dyDescent="0.25">
      <c r="A1865" s="1">
        <v>2008</v>
      </c>
      <c r="B1865" s="1" t="s">
        <v>104</v>
      </c>
      <c r="C1865" t="s">
        <v>51</v>
      </c>
      <c r="D1865">
        <v>4</v>
      </c>
      <c r="E1865">
        <v>63</v>
      </c>
      <c r="F1865">
        <v>0.06</v>
      </c>
      <c r="G1865">
        <f>(F1865/0.6)/4</f>
        <v>2.5000000000000001E-2</v>
      </c>
      <c r="H1865">
        <f>G1865*(11.5/38.29)</f>
        <v>7.5084878558370335E-3</v>
      </c>
    </row>
    <row r="1866" spans="1:8" x14ac:dyDescent="0.25">
      <c r="A1866" s="1">
        <v>2008</v>
      </c>
      <c r="B1866" s="1" t="s">
        <v>104</v>
      </c>
      <c r="C1866" t="s">
        <v>51</v>
      </c>
      <c r="D1866">
        <v>4</v>
      </c>
      <c r="E1866">
        <v>63</v>
      </c>
      <c r="F1866">
        <v>0.05</v>
      </c>
      <c r="G1866">
        <f>(F1866/0.6)/4</f>
        <v>2.0833333333333336E-2</v>
      </c>
      <c r="H1866">
        <f>G1866*(11.5/38.29)</f>
        <v>6.2570732131975284E-3</v>
      </c>
    </row>
    <row r="1867" spans="1:8" x14ac:dyDescent="0.25">
      <c r="A1867" s="1">
        <v>2008</v>
      </c>
      <c r="B1867" s="1" t="s">
        <v>104</v>
      </c>
      <c r="C1867" t="s">
        <v>51</v>
      </c>
      <c r="D1867">
        <v>4</v>
      </c>
      <c r="E1867">
        <v>63</v>
      </c>
      <c r="F1867">
        <v>0.03</v>
      </c>
      <c r="G1867">
        <f>(F1867/0.6)/4</f>
        <v>1.2500000000000001E-2</v>
      </c>
      <c r="H1867">
        <f>G1867*(11.5/38.29)</f>
        <v>3.7542439279185168E-3</v>
      </c>
    </row>
    <row r="1868" spans="1:8" x14ac:dyDescent="0.25">
      <c r="A1868" s="1">
        <v>2008</v>
      </c>
      <c r="B1868" s="1" t="s">
        <v>104</v>
      </c>
      <c r="C1868" t="s">
        <v>51</v>
      </c>
      <c r="D1868">
        <v>4</v>
      </c>
      <c r="E1868">
        <v>63</v>
      </c>
      <c r="F1868">
        <v>0.11</v>
      </c>
      <c r="G1868">
        <f>(F1868/0.6)/4</f>
        <v>4.5833333333333337E-2</v>
      </c>
      <c r="H1868">
        <f>G1868*(11.5/38.29)</f>
        <v>1.3765561069034562E-2</v>
      </c>
    </row>
    <row r="1869" spans="1:8" x14ac:dyDescent="0.25">
      <c r="A1869" s="1">
        <v>2008</v>
      </c>
      <c r="B1869" s="1" t="s">
        <v>104</v>
      </c>
      <c r="C1869" t="s">
        <v>51</v>
      </c>
      <c r="D1869">
        <v>4</v>
      </c>
      <c r="E1869">
        <v>63</v>
      </c>
      <c r="F1869">
        <v>0.05</v>
      </c>
      <c r="G1869">
        <f>(F1869/0.6)/4</f>
        <v>2.0833333333333336E-2</v>
      </c>
      <c r="H1869">
        <f>G1869*(11.5/38.29)</f>
        <v>6.2570732131975284E-3</v>
      </c>
    </row>
    <row r="1870" spans="1:8" x14ac:dyDescent="0.25">
      <c r="A1870" s="1">
        <v>2008</v>
      </c>
      <c r="B1870" s="1" t="s">
        <v>104</v>
      </c>
      <c r="C1870" t="s">
        <v>51</v>
      </c>
      <c r="D1870">
        <v>4</v>
      </c>
      <c r="E1870">
        <v>63</v>
      </c>
      <c r="F1870">
        <v>0.04</v>
      </c>
      <c r="G1870">
        <f>(F1870/0.6)/4</f>
        <v>1.6666666666666666E-2</v>
      </c>
      <c r="H1870">
        <f>G1870*(11.5/38.29)</f>
        <v>5.0056585705580223E-3</v>
      </c>
    </row>
    <row r="1871" spans="1:8" x14ac:dyDescent="0.25">
      <c r="A1871" s="1">
        <v>2008</v>
      </c>
      <c r="B1871" s="1" t="s">
        <v>104</v>
      </c>
      <c r="C1871" t="s">
        <v>51</v>
      </c>
      <c r="D1871">
        <v>4</v>
      </c>
      <c r="E1871">
        <v>63</v>
      </c>
      <c r="F1871">
        <v>7.0000000000000007E-2</v>
      </c>
      <c r="G1871">
        <f>(F1871/0.6)/4</f>
        <v>2.9166666666666671E-2</v>
      </c>
      <c r="H1871">
        <f>G1871*(11.5/38.29)</f>
        <v>8.7599024984765395E-3</v>
      </c>
    </row>
    <row r="1872" spans="1:8" x14ac:dyDescent="0.25">
      <c r="A1872" s="1">
        <v>2008</v>
      </c>
      <c r="B1872" s="1" t="s">
        <v>104</v>
      </c>
      <c r="C1872" t="s">
        <v>51</v>
      </c>
      <c r="D1872">
        <v>4</v>
      </c>
      <c r="E1872">
        <v>63</v>
      </c>
      <c r="F1872">
        <v>0.14000000000000001</v>
      </c>
      <c r="G1872">
        <f>(F1872/0.6)/4</f>
        <v>5.8333333333333341E-2</v>
      </c>
      <c r="H1872">
        <f>G1872*(11.5/38.29)</f>
        <v>1.7519804996953079E-2</v>
      </c>
    </row>
    <row r="1873" spans="1:8" x14ac:dyDescent="0.25">
      <c r="A1873" s="1">
        <v>2008</v>
      </c>
      <c r="B1873" s="1" t="s">
        <v>104</v>
      </c>
      <c r="C1873" t="s">
        <v>51</v>
      </c>
      <c r="D1873">
        <v>4</v>
      </c>
      <c r="E1873">
        <v>78</v>
      </c>
      <c r="F1873">
        <v>0.05</v>
      </c>
      <c r="G1873">
        <f>(F1873/0.6)/4</f>
        <v>2.0833333333333336E-2</v>
      </c>
      <c r="H1873">
        <f>G1873*(11.5/38.29)</f>
        <v>6.2570732131975284E-3</v>
      </c>
    </row>
    <row r="1874" spans="1:8" x14ac:dyDescent="0.25">
      <c r="A1874" s="1">
        <v>2008</v>
      </c>
      <c r="B1874" s="1" t="s">
        <v>104</v>
      </c>
      <c r="C1874" t="s">
        <v>51</v>
      </c>
      <c r="D1874">
        <v>4</v>
      </c>
      <c r="E1874">
        <v>78</v>
      </c>
      <c r="F1874">
        <v>7.0000000000000007E-2</v>
      </c>
      <c r="G1874">
        <f>(F1874/0.6)/4</f>
        <v>2.9166666666666671E-2</v>
      </c>
      <c r="H1874">
        <f>G1874*(11.5/38.29)</f>
        <v>8.7599024984765395E-3</v>
      </c>
    </row>
    <row r="1875" spans="1:8" x14ac:dyDescent="0.25">
      <c r="A1875" s="1">
        <v>2008</v>
      </c>
      <c r="B1875" s="1" t="s">
        <v>104</v>
      </c>
      <c r="C1875" t="s">
        <v>51</v>
      </c>
      <c r="D1875">
        <v>4</v>
      </c>
      <c r="E1875">
        <v>78</v>
      </c>
      <c r="F1875">
        <v>7.0000000000000007E-2</v>
      </c>
      <c r="G1875">
        <f>(F1875/0.6)/4</f>
        <v>2.9166666666666671E-2</v>
      </c>
      <c r="H1875">
        <f>G1875*(11.5/38.29)</f>
        <v>8.7599024984765395E-3</v>
      </c>
    </row>
    <row r="1876" spans="1:8" x14ac:dyDescent="0.25">
      <c r="A1876" s="1">
        <v>2008</v>
      </c>
      <c r="B1876" s="1" t="s">
        <v>104</v>
      </c>
      <c r="C1876" t="s">
        <v>51</v>
      </c>
      <c r="D1876">
        <v>4</v>
      </c>
      <c r="E1876">
        <v>79</v>
      </c>
      <c r="F1876">
        <v>0.05</v>
      </c>
      <c r="G1876">
        <f>(F1876/0.6)/4</f>
        <v>2.0833333333333336E-2</v>
      </c>
      <c r="H1876">
        <f>G1876*(11.5/38.29)</f>
        <v>6.2570732131975284E-3</v>
      </c>
    </row>
    <row r="1877" spans="1:8" x14ac:dyDescent="0.25">
      <c r="A1877" s="1">
        <v>2008</v>
      </c>
      <c r="B1877" s="1" t="s">
        <v>104</v>
      </c>
      <c r="C1877" t="s">
        <v>51</v>
      </c>
      <c r="D1877">
        <v>4</v>
      </c>
      <c r="E1877">
        <v>79</v>
      </c>
      <c r="F1877">
        <v>0.4</v>
      </c>
      <c r="G1877">
        <f>(F1877/0.6)/4</f>
        <v>0.16666666666666669</v>
      </c>
      <c r="H1877">
        <f>G1877*(11.5/38.29)</f>
        <v>5.0056585705580227E-2</v>
      </c>
    </row>
    <row r="1878" spans="1:8" x14ac:dyDescent="0.25">
      <c r="A1878" s="1">
        <v>2008</v>
      </c>
      <c r="B1878" s="1" t="s">
        <v>104</v>
      </c>
      <c r="C1878" t="s">
        <v>51</v>
      </c>
      <c r="D1878">
        <v>4</v>
      </c>
      <c r="E1878">
        <v>79</v>
      </c>
      <c r="F1878">
        <v>0.8</v>
      </c>
      <c r="G1878">
        <f>(F1878/0.6)/4</f>
        <v>0.33333333333333337</v>
      </c>
      <c r="H1878">
        <f>G1878*(11.5/38.29)</f>
        <v>0.10011317141116045</v>
      </c>
    </row>
    <row r="1879" spans="1:8" x14ac:dyDescent="0.25">
      <c r="A1879" s="1">
        <v>2008</v>
      </c>
      <c r="B1879" s="1" t="s">
        <v>104</v>
      </c>
      <c r="C1879" t="s">
        <v>51</v>
      </c>
      <c r="D1879">
        <v>4</v>
      </c>
      <c r="E1879">
        <v>79</v>
      </c>
      <c r="F1879">
        <v>0.45</v>
      </c>
      <c r="G1879">
        <f>(F1879/0.6)/4</f>
        <v>0.1875</v>
      </c>
      <c r="H1879">
        <f>G1879*(11.5/38.29)</f>
        <v>5.6313658918777751E-2</v>
      </c>
    </row>
    <row r="1880" spans="1:8" x14ac:dyDescent="0.25">
      <c r="A1880" s="1">
        <v>2008</v>
      </c>
      <c r="B1880" s="1" t="s">
        <v>104</v>
      </c>
      <c r="C1880" t="s">
        <v>51</v>
      </c>
      <c r="D1880">
        <v>4</v>
      </c>
      <c r="E1880">
        <v>79</v>
      </c>
      <c r="F1880">
        <v>0.09</v>
      </c>
      <c r="G1880">
        <f>(F1880/0.6)/4</f>
        <v>3.7499999999999999E-2</v>
      </c>
      <c r="H1880">
        <f>G1880*(11.5/38.29)</f>
        <v>1.126273178375555E-2</v>
      </c>
    </row>
    <row r="1881" spans="1:8" x14ac:dyDescent="0.25">
      <c r="A1881" s="1">
        <v>2008</v>
      </c>
      <c r="B1881" s="1" t="s">
        <v>104</v>
      </c>
      <c r="C1881" t="s">
        <v>51</v>
      </c>
      <c r="D1881">
        <v>4</v>
      </c>
      <c r="E1881">
        <v>79</v>
      </c>
      <c r="F1881">
        <v>1.81</v>
      </c>
      <c r="G1881">
        <f>(F1881/0.6)/4</f>
        <v>0.75416666666666676</v>
      </c>
      <c r="H1881">
        <f>G1881*(11.5/38.29)</f>
        <v>0.22650605031775053</v>
      </c>
    </row>
    <row r="1882" spans="1:8" x14ac:dyDescent="0.25">
      <c r="A1882" s="1">
        <v>2008</v>
      </c>
      <c r="B1882" s="1" t="s">
        <v>104</v>
      </c>
      <c r="C1882" t="s">
        <v>51</v>
      </c>
      <c r="D1882">
        <v>4</v>
      </c>
      <c r="E1882">
        <v>79</v>
      </c>
      <c r="F1882">
        <v>0.15</v>
      </c>
      <c r="G1882">
        <f>(F1882/0.6)/4</f>
        <v>6.25E-2</v>
      </c>
      <c r="H1882">
        <f>G1882*(11.5/38.29)</f>
        <v>1.8771219639592582E-2</v>
      </c>
    </row>
    <row r="1883" spans="1:8" x14ac:dyDescent="0.25">
      <c r="A1883" s="1">
        <v>2008</v>
      </c>
      <c r="B1883" s="1" t="s">
        <v>104</v>
      </c>
      <c r="C1883" t="s">
        <v>51</v>
      </c>
      <c r="D1883">
        <v>4</v>
      </c>
      <c r="E1883">
        <v>79</v>
      </c>
      <c r="F1883">
        <v>0.59</v>
      </c>
      <c r="G1883">
        <f>(F1883/0.6)/4</f>
        <v>0.24583333333333332</v>
      </c>
      <c r="H1883">
        <f>G1883*(11.5/38.29)</f>
        <v>7.3833463915730826E-2</v>
      </c>
    </row>
    <row r="1884" spans="1:8" x14ac:dyDescent="0.25">
      <c r="A1884" s="1">
        <v>2008</v>
      </c>
      <c r="B1884" s="1" t="s">
        <v>104</v>
      </c>
      <c r="C1884" t="s">
        <v>51</v>
      </c>
      <c r="D1884">
        <v>4</v>
      </c>
      <c r="E1884">
        <v>79</v>
      </c>
      <c r="F1884">
        <v>0.37</v>
      </c>
      <c r="G1884">
        <f>(F1884/0.6)/4</f>
        <v>0.15416666666666667</v>
      </c>
      <c r="H1884">
        <f>G1884*(11.5/38.29)</f>
        <v>4.6302341777661703E-2</v>
      </c>
    </row>
    <row r="1885" spans="1:8" x14ac:dyDescent="0.25">
      <c r="A1885" s="1">
        <v>2008</v>
      </c>
      <c r="B1885" s="1" t="s">
        <v>104</v>
      </c>
      <c r="C1885" t="s">
        <v>51</v>
      </c>
      <c r="D1885">
        <v>4</v>
      </c>
      <c r="E1885">
        <v>79</v>
      </c>
      <c r="F1885">
        <v>0.05</v>
      </c>
      <c r="G1885">
        <f>(F1885/0.6)/4</f>
        <v>2.0833333333333336E-2</v>
      </c>
      <c r="H1885">
        <f>G1885*(11.5/38.29)</f>
        <v>6.2570732131975284E-3</v>
      </c>
    </row>
    <row r="1886" spans="1:8" x14ac:dyDescent="0.25">
      <c r="A1886" s="1">
        <v>2008</v>
      </c>
      <c r="B1886" s="1" t="s">
        <v>104</v>
      </c>
      <c r="C1886" t="s">
        <v>51</v>
      </c>
      <c r="D1886">
        <v>4</v>
      </c>
      <c r="E1886">
        <v>79</v>
      </c>
      <c r="F1886">
        <v>1.5</v>
      </c>
      <c r="G1886">
        <f>(F1886/0.6)/4</f>
        <v>0.625</v>
      </c>
      <c r="H1886">
        <f>G1886*(11.5/38.29)</f>
        <v>0.18771219639592582</v>
      </c>
    </row>
    <row r="1887" spans="1:8" x14ac:dyDescent="0.25">
      <c r="A1887" s="1">
        <v>2008</v>
      </c>
      <c r="B1887" s="1" t="s">
        <v>104</v>
      </c>
      <c r="C1887" t="s">
        <v>51</v>
      </c>
      <c r="D1887">
        <v>4</v>
      </c>
      <c r="E1887">
        <v>79</v>
      </c>
      <c r="F1887">
        <v>0.24</v>
      </c>
      <c r="G1887">
        <f>(F1887/0.6)/4</f>
        <v>0.1</v>
      </c>
      <c r="H1887">
        <f>G1887*(11.5/38.29)</f>
        <v>3.0033951423348134E-2</v>
      </c>
    </row>
    <row r="1888" spans="1:8" x14ac:dyDescent="0.25">
      <c r="A1888" s="1">
        <v>2008</v>
      </c>
      <c r="B1888" s="1" t="s">
        <v>104</v>
      </c>
      <c r="C1888" t="s">
        <v>51</v>
      </c>
      <c r="D1888">
        <v>4</v>
      </c>
      <c r="E1888">
        <v>79</v>
      </c>
      <c r="F1888">
        <v>0.34</v>
      </c>
      <c r="G1888">
        <f>(F1888/0.6)/4</f>
        <v>0.14166666666666669</v>
      </c>
      <c r="H1888">
        <f>G1888*(11.5/38.29)</f>
        <v>4.2548097849743192E-2</v>
      </c>
    </row>
    <row r="1889" spans="1:8" x14ac:dyDescent="0.25">
      <c r="A1889" s="1">
        <v>2008</v>
      </c>
      <c r="B1889" s="1" t="s">
        <v>104</v>
      </c>
      <c r="C1889" t="s">
        <v>51</v>
      </c>
      <c r="D1889">
        <v>4</v>
      </c>
      <c r="E1889">
        <v>79</v>
      </c>
      <c r="F1889">
        <v>0.04</v>
      </c>
      <c r="G1889">
        <f>(F1889/0.6)/4</f>
        <v>1.6666666666666666E-2</v>
      </c>
      <c r="H1889">
        <f>G1889*(11.5/38.29)</f>
        <v>5.0056585705580223E-3</v>
      </c>
    </row>
    <row r="1890" spans="1:8" x14ac:dyDescent="0.25">
      <c r="A1890" s="1">
        <v>2008</v>
      </c>
      <c r="B1890" s="1" t="s">
        <v>104</v>
      </c>
      <c r="C1890" t="s">
        <v>51</v>
      </c>
      <c r="D1890">
        <v>4</v>
      </c>
      <c r="E1890">
        <v>79</v>
      </c>
      <c r="F1890">
        <v>1.1499999999999999</v>
      </c>
      <c r="G1890">
        <f>(F1890/0.6)/4</f>
        <v>0.47916666666666663</v>
      </c>
      <c r="H1890">
        <f>G1890*(11.5/38.29)</f>
        <v>0.14391268390354311</v>
      </c>
    </row>
    <row r="1891" spans="1:8" x14ac:dyDescent="0.25">
      <c r="A1891" s="1">
        <v>2008</v>
      </c>
      <c r="B1891" s="1" t="s">
        <v>104</v>
      </c>
      <c r="C1891" t="s">
        <v>51</v>
      </c>
      <c r="D1891">
        <v>4</v>
      </c>
      <c r="E1891">
        <v>79</v>
      </c>
      <c r="F1891">
        <v>0.27</v>
      </c>
      <c r="G1891">
        <f>(F1891/0.6)/4</f>
        <v>0.11250000000000002</v>
      </c>
      <c r="H1891">
        <f>G1891*(11.5/38.29)</f>
        <v>3.3788195351266655E-2</v>
      </c>
    </row>
    <row r="1892" spans="1:8" x14ac:dyDescent="0.25">
      <c r="A1892" s="1">
        <v>2008</v>
      </c>
      <c r="B1892" s="1" t="s">
        <v>104</v>
      </c>
      <c r="C1892" t="s">
        <v>51</v>
      </c>
      <c r="D1892">
        <v>4</v>
      </c>
      <c r="E1892">
        <v>79</v>
      </c>
      <c r="F1892">
        <v>0.52</v>
      </c>
      <c r="G1892">
        <f>(F1892/0.6)/4</f>
        <v>0.21666666666666667</v>
      </c>
      <c r="H1892">
        <f>G1892*(11.5/38.29)</f>
        <v>6.5073561417254289E-2</v>
      </c>
    </row>
    <row r="1893" spans="1:8" x14ac:dyDescent="0.25">
      <c r="A1893" s="1">
        <v>2008</v>
      </c>
      <c r="B1893" s="1" t="s">
        <v>104</v>
      </c>
      <c r="C1893" t="s">
        <v>51</v>
      </c>
      <c r="D1893">
        <v>4</v>
      </c>
      <c r="E1893">
        <v>79</v>
      </c>
      <c r="F1893">
        <v>0.38</v>
      </c>
      <c r="G1893">
        <f>(F1893/0.6)/4</f>
        <v>0.15833333333333335</v>
      </c>
      <c r="H1893">
        <f>G1893*(11.5/38.29)</f>
        <v>4.7553756420301213E-2</v>
      </c>
    </row>
    <row r="1894" spans="1:8" x14ac:dyDescent="0.25">
      <c r="A1894" s="1">
        <v>2008</v>
      </c>
      <c r="B1894" s="1" t="s">
        <v>104</v>
      </c>
      <c r="C1894" t="s">
        <v>51</v>
      </c>
      <c r="D1894">
        <v>4</v>
      </c>
      <c r="E1894">
        <v>79</v>
      </c>
      <c r="F1894">
        <v>0.04</v>
      </c>
      <c r="G1894">
        <f>(F1894/0.6)/4</f>
        <v>1.6666666666666666E-2</v>
      </c>
      <c r="H1894">
        <f>G1894*(11.5/38.29)</f>
        <v>5.0056585705580223E-3</v>
      </c>
    </row>
    <row r="1895" spans="1:8" x14ac:dyDescent="0.25">
      <c r="A1895" s="1">
        <v>2008</v>
      </c>
      <c r="B1895" s="1" t="s">
        <v>104</v>
      </c>
      <c r="C1895" t="s">
        <v>51</v>
      </c>
      <c r="D1895">
        <v>4</v>
      </c>
      <c r="E1895">
        <v>79</v>
      </c>
      <c r="F1895">
        <v>0.27</v>
      </c>
      <c r="G1895">
        <f>(F1895/0.6)/4</f>
        <v>0.11250000000000002</v>
      </c>
      <c r="H1895">
        <f>G1895*(11.5/38.29)</f>
        <v>3.3788195351266655E-2</v>
      </c>
    </row>
    <row r="1896" spans="1:8" x14ac:dyDescent="0.25">
      <c r="A1896" s="1">
        <v>2008</v>
      </c>
      <c r="B1896" s="1" t="s">
        <v>104</v>
      </c>
      <c r="C1896" t="s">
        <v>51</v>
      </c>
      <c r="D1896">
        <v>4</v>
      </c>
      <c r="E1896">
        <v>79</v>
      </c>
      <c r="F1896">
        <v>0.05</v>
      </c>
      <c r="G1896">
        <f>(F1896/0.6)/4</f>
        <v>2.0833333333333336E-2</v>
      </c>
      <c r="H1896">
        <f>G1896*(11.5/38.29)</f>
        <v>6.2570732131975284E-3</v>
      </c>
    </row>
    <row r="1897" spans="1:8" x14ac:dyDescent="0.25">
      <c r="A1897" s="1">
        <v>2008</v>
      </c>
      <c r="B1897" s="1" t="s">
        <v>104</v>
      </c>
      <c r="C1897" t="s">
        <v>51</v>
      </c>
      <c r="D1897">
        <v>4</v>
      </c>
      <c r="E1897">
        <v>79</v>
      </c>
      <c r="F1897">
        <v>0.14000000000000001</v>
      </c>
      <c r="G1897">
        <f>(F1897/0.6)/4</f>
        <v>5.8333333333333341E-2</v>
      </c>
      <c r="H1897">
        <f>G1897*(11.5/38.29)</f>
        <v>1.7519804996953079E-2</v>
      </c>
    </row>
    <row r="1898" spans="1:8" x14ac:dyDescent="0.25">
      <c r="A1898" s="1">
        <v>2008</v>
      </c>
      <c r="B1898" s="1" t="s">
        <v>104</v>
      </c>
      <c r="C1898" t="s">
        <v>51</v>
      </c>
      <c r="D1898">
        <v>4</v>
      </c>
      <c r="E1898">
        <v>79</v>
      </c>
      <c r="F1898">
        <v>0.23</v>
      </c>
      <c r="G1898">
        <f>(F1898/0.6)/4</f>
        <v>9.583333333333334E-2</v>
      </c>
      <c r="H1898">
        <f>G1898*(11.5/38.29)</f>
        <v>2.8782536780708627E-2</v>
      </c>
    </row>
    <row r="1899" spans="1:8" x14ac:dyDescent="0.25">
      <c r="A1899" s="1">
        <v>2008</v>
      </c>
      <c r="B1899" s="1" t="s">
        <v>104</v>
      </c>
      <c r="C1899" t="s">
        <v>51</v>
      </c>
      <c r="D1899">
        <v>4</v>
      </c>
      <c r="E1899">
        <v>79</v>
      </c>
      <c r="F1899">
        <v>0.04</v>
      </c>
      <c r="G1899">
        <f>(F1899/0.6)/4</f>
        <v>1.6666666666666666E-2</v>
      </c>
      <c r="H1899">
        <f>G1899*(11.5/38.29)</f>
        <v>5.0056585705580223E-3</v>
      </c>
    </row>
    <row r="1900" spans="1:8" x14ac:dyDescent="0.25">
      <c r="A1900" s="1">
        <v>2008</v>
      </c>
      <c r="B1900" s="1" t="s">
        <v>104</v>
      </c>
      <c r="C1900" t="s">
        <v>51</v>
      </c>
      <c r="D1900">
        <v>4</v>
      </c>
      <c r="E1900">
        <v>79</v>
      </c>
      <c r="F1900">
        <v>0.46</v>
      </c>
      <c r="G1900">
        <f>(F1900/0.6)/4</f>
        <v>0.19166666666666668</v>
      </c>
      <c r="H1900">
        <f>G1900*(11.5/38.29)</f>
        <v>5.7565073561417254E-2</v>
      </c>
    </row>
    <row r="1901" spans="1:8" x14ac:dyDescent="0.25">
      <c r="A1901" s="1">
        <v>2008</v>
      </c>
      <c r="B1901" s="1" t="s">
        <v>104</v>
      </c>
      <c r="C1901" t="s">
        <v>51</v>
      </c>
      <c r="D1901">
        <v>4</v>
      </c>
      <c r="E1901">
        <v>79</v>
      </c>
      <c r="F1901">
        <v>0.14000000000000001</v>
      </c>
      <c r="G1901">
        <f>(F1901/0.6)/4</f>
        <v>5.8333333333333341E-2</v>
      </c>
      <c r="H1901">
        <f>G1901*(11.5/38.29)</f>
        <v>1.7519804996953079E-2</v>
      </c>
    </row>
    <row r="1902" spans="1:8" x14ac:dyDescent="0.25">
      <c r="A1902" s="1">
        <v>2008</v>
      </c>
      <c r="B1902" s="1" t="s">
        <v>104</v>
      </c>
      <c r="C1902" t="s">
        <v>51</v>
      </c>
      <c r="D1902">
        <v>4</v>
      </c>
      <c r="E1902">
        <v>79</v>
      </c>
      <c r="F1902">
        <v>0.45</v>
      </c>
      <c r="G1902">
        <f>(F1902/0.6)/4</f>
        <v>0.1875</v>
      </c>
      <c r="H1902">
        <f>G1902*(11.5/38.29)</f>
        <v>5.6313658918777751E-2</v>
      </c>
    </row>
    <row r="1903" spans="1:8" x14ac:dyDescent="0.25">
      <c r="A1903" s="1">
        <v>2008</v>
      </c>
      <c r="B1903" s="1" t="s">
        <v>104</v>
      </c>
      <c r="C1903" t="s">
        <v>51</v>
      </c>
      <c r="D1903">
        <v>4</v>
      </c>
      <c r="E1903">
        <v>79</v>
      </c>
      <c r="F1903">
        <v>0.64</v>
      </c>
      <c r="G1903">
        <f>(F1903/0.6)/4</f>
        <v>0.26666666666666666</v>
      </c>
      <c r="H1903">
        <f>G1903*(11.5/38.29)</f>
        <v>8.0090537128928357E-2</v>
      </c>
    </row>
    <row r="1904" spans="1:8" x14ac:dyDescent="0.25">
      <c r="A1904" s="1">
        <v>2008</v>
      </c>
      <c r="B1904" s="1" t="s">
        <v>104</v>
      </c>
      <c r="C1904" t="s">
        <v>51</v>
      </c>
      <c r="D1904">
        <v>4</v>
      </c>
      <c r="E1904">
        <v>79</v>
      </c>
      <c r="F1904">
        <v>0.77</v>
      </c>
      <c r="G1904">
        <f>(F1904/0.6)/4</f>
        <v>0.32083333333333336</v>
      </c>
      <c r="H1904">
        <f>G1904*(11.5/38.29)</f>
        <v>9.635892748324193E-2</v>
      </c>
    </row>
    <row r="1905" spans="1:8" x14ac:dyDescent="0.25">
      <c r="A1905" s="1">
        <v>2008</v>
      </c>
      <c r="B1905" s="1" t="s">
        <v>104</v>
      </c>
      <c r="C1905" t="s">
        <v>51</v>
      </c>
      <c r="D1905">
        <v>4</v>
      </c>
      <c r="E1905">
        <v>79</v>
      </c>
      <c r="F1905">
        <v>0.16</v>
      </c>
      <c r="G1905">
        <f>(F1905/0.6)/4</f>
        <v>6.6666666666666666E-2</v>
      </c>
      <c r="H1905">
        <f>G1905*(11.5/38.29)</f>
        <v>2.0022634282232089E-2</v>
      </c>
    </row>
    <row r="1906" spans="1:8" x14ac:dyDescent="0.25">
      <c r="A1906" s="1">
        <v>2008</v>
      </c>
      <c r="B1906" s="1" t="s">
        <v>104</v>
      </c>
      <c r="C1906" t="s">
        <v>51</v>
      </c>
      <c r="D1906">
        <v>4</v>
      </c>
      <c r="E1906">
        <v>79</v>
      </c>
      <c r="F1906">
        <v>0.36</v>
      </c>
      <c r="G1906">
        <f>(F1906/0.6)/4</f>
        <v>0.15</v>
      </c>
      <c r="H1906">
        <f>G1906*(11.5/38.29)</f>
        <v>4.5050927135022199E-2</v>
      </c>
    </row>
    <row r="1907" spans="1:8" x14ac:dyDescent="0.25">
      <c r="A1907" s="1">
        <v>2008</v>
      </c>
      <c r="B1907" s="1" t="s">
        <v>104</v>
      </c>
      <c r="C1907" t="s">
        <v>51</v>
      </c>
      <c r="D1907">
        <v>4</v>
      </c>
      <c r="E1907">
        <v>79</v>
      </c>
      <c r="F1907">
        <v>0.27</v>
      </c>
      <c r="G1907">
        <f>(F1907/0.6)/4</f>
        <v>0.11250000000000002</v>
      </c>
      <c r="H1907">
        <f>G1907*(11.5/38.29)</f>
        <v>3.3788195351266655E-2</v>
      </c>
    </row>
    <row r="1908" spans="1:8" x14ac:dyDescent="0.25">
      <c r="A1908" s="1">
        <v>2008</v>
      </c>
      <c r="B1908" s="1" t="s">
        <v>104</v>
      </c>
      <c r="C1908" t="s">
        <v>51</v>
      </c>
      <c r="D1908">
        <v>4</v>
      </c>
      <c r="E1908">
        <v>79</v>
      </c>
      <c r="F1908">
        <v>1.29</v>
      </c>
      <c r="G1908">
        <f>(F1908/0.6)/4</f>
        <v>0.53750000000000009</v>
      </c>
      <c r="H1908">
        <f>G1908*(11.5/38.29)</f>
        <v>0.16143248890049625</v>
      </c>
    </row>
    <row r="1909" spans="1:8" x14ac:dyDescent="0.25">
      <c r="A1909" s="1">
        <v>2008</v>
      </c>
      <c r="B1909" s="1" t="s">
        <v>104</v>
      </c>
      <c r="C1909" t="s">
        <v>51</v>
      </c>
      <c r="D1909">
        <v>4</v>
      </c>
      <c r="E1909">
        <v>79</v>
      </c>
      <c r="F1909">
        <v>0.11</v>
      </c>
      <c r="G1909">
        <f>(F1909/0.6)/4</f>
        <v>4.5833333333333337E-2</v>
      </c>
      <c r="H1909">
        <f>G1909*(11.5/38.29)</f>
        <v>1.3765561069034562E-2</v>
      </c>
    </row>
    <row r="1910" spans="1:8" x14ac:dyDescent="0.25">
      <c r="A1910" s="1">
        <v>2008</v>
      </c>
      <c r="B1910" s="1" t="s">
        <v>104</v>
      </c>
      <c r="C1910" t="s">
        <v>51</v>
      </c>
      <c r="D1910">
        <v>4</v>
      </c>
      <c r="E1910">
        <v>79</v>
      </c>
      <c r="F1910">
        <v>0.16</v>
      </c>
      <c r="G1910">
        <f>(F1910/0.6)/4</f>
        <v>6.6666666666666666E-2</v>
      </c>
      <c r="H1910">
        <f>G1910*(11.5/38.29)</f>
        <v>2.0022634282232089E-2</v>
      </c>
    </row>
    <row r="1911" spans="1:8" x14ac:dyDescent="0.25">
      <c r="A1911" s="1">
        <v>2008</v>
      </c>
      <c r="B1911" s="1" t="s">
        <v>104</v>
      </c>
      <c r="C1911" t="s">
        <v>51</v>
      </c>
      <c r="D1911">
        <v>4</v>
      </c>
      <c r="E1911">
        <v>79</v>
      </c>
      <c r="F1911">
        <v>0.1</v>
      </c>
      <c r="G1911">
        <f>(F1911/0.6)/4</f>
        <v>4.1666666666666671E-2</v>
      </c>
      <c r="H1911">
        <f>G1911*(11.5/38.29)</f>
        <v>1.2514146426395057E-2</v>
      </c>
    </row>
    <row r="1912" spans="1:8" x14ac:dyDescent="0.25">
      <c r="A1912" s="1">
        <v>2008</v>
      </c>
      <c r="B1912" s="1" t="s">
        <v>104</v>
      </c>
      <c r="C1912" t="s">
        <v>51</v>
      </c>
      <c r="D1912">
        <v>4</v>
      </c>
      <c r="E1912">
        <v>79</v>
      </c>
      <c r="F1912">
        <v>1.1000000000000001</v>
      </c>
      <c r="G1912">
        <f>(F1912/0.6)/4</f>
        <v>0.45833333333333337</v>
      </c>
      <c r="H1912">
        <f>G1912*(11.5/38.29)</f>
        <v>0.13765561069034563</v>
      </c>
    </row>
    <row r="1913" spans="1:8" x14ac:dyDescent="0.25">
      <c r="A1913" s="1">
        <v>2008</v>
      </c>
      <c r="B1913" s="1" t="s">
        <v>104</v>
      </c>
      <c r="C1913" t="s">
        <v>51</v>
      </c>
      <c r="D1913">
        <v>4</v>
      </c>
      <c r="E1913">
        <v>79</v>
      </c>
      <c r="F1913">
        <v>0.14000000000000001</v>
      </c>
      <c r="G1913">
        <f>(F1913/0.6)/4</f>
        <v>5.8333333333333341E-2</v>
      </c>
      <c r="H1913">
        <f>G1913*(11.5/38.29)</f>
        <v>1.7519804996953079E-2</v>
      </c>
    </row>
    <row r="1914" spans="1:8" x14ac:dyDescent="0.25">
      <c r="A1914" s="1">
        <v>2008</v>
      </c>
      <c r="B1914" s="1" t="s">
        <v>104</v>
      </c>
      <c r="C1914" t="s">
        <v>51</v>
      </c>
      <c r="D1914">
        <v>4</v>
      </c>
      <c r="E1914">
        <v>79</v>
      </c>
      <c r="F1914">
        <v>0.39</v>
      </c>
      <c r="G1914">
        <f>(F1914/0.6)/4</f>
        <v>0.16250000000000001</v>
      </c>
      <c r="H1914">
        <f>G1914*(11.5/38.29)</f>
        <v>4.8805171062940716E-2</v>
      </c>
    </row>
    <row r="1915" spans="1:8" x14ac:dyDescent="0.25">
      <c r="A1915" s="1">
        <v>2008</v>
      </c>
      <c r="B1915" s="1" t="s">
        <v>104</v>
      </c>
      <c r="C1915" t="s">
        <v>51</v>
      </c>
      <c r="D1915">
        <v>4</v>
      </c>
      <c r="E1915">
        <v>79</v>
      </c>
      <c r="F1915">
        <v>7.0000000000000007E-2</v>
      </c>
      <c r="G1915">
        <f>(F1915/0.6)/4</f>
        <v>2.9166666666666671E-2</v>
      </c>
      <c r="H1915">
        <f>G1915*(11.5/38.29)</f>
        <v>8.7599024984765395E-3</v>
      </c>
    </row>
    <row r="1916" spans="1:8" x14ac:dyDescent="0.25">
      <c r="A1916" s="1">
        <v>2008</v>
      </c>
      <c r="B1916" s="1" t="s">
        <v>104</v>
      </c>
      <c r="C1916" t="s">
        <v>51</v>
      </c>
      <c r="D1916">
        <v>4</v>
      </c>
      <c r="E1916">
        <v>85</v>
      </c>
      <c r="F1916">
        <v>0.06</v>
      </c>
      <c r="G1916">
        <f>(F1916/0.6)/4</f>
        <v>2.5000000000000001E-2</v>
      </c>
      <c r="H1916">
        <f>G1916*(11.5/38.29)</f>
        <v>7.5084878558370335E-3</v>
      </c>
    </row>
    <row r="1917" spans="1:8" x14ac:dyDescent="0.25">
      <c r="A1917" s="1">
        <v>2008</v>
      </c>
      <c r="B1917" s="1" t="s">
        <v>104</v>
      </c>
      <c r="C1917" t="s">
        <v>51</v>
      </c>
      <c r="D1917">
        <v>4</v>
      </c>
      <c r="E1917">
        <v>85</v>
      </c>
      <c r="F1917">
        <v>1.54</v>
      </c>
      <c r="G1917">
        <f>(F1917/0.6)/4</f>
        <v>0.64166666666666672</v>
      </c>
      <c r="H1917">
        <f>G1917*(11.5/38.29)</f>
        <v>0.19271785496648386</v>
      </c>
    </row>
    <row r="1918" spans="1:8" x14ac:dyDescent="0.25">
      <c r="A1918" s="1">
        <v>2008</v>
      </c>
      <c r="B1918" s="1" t="s">
        <v>104</v>
      </c>
      <c r="C1918" t="s">
        <v>51</v>
      </c>
      <c r="D1918">
        <v>4</v>
      </c>
      <c r="E1918">
        <v>85</v>
      </c>
      <c r="F1918">
        <v>1.41</v>
      </c>
      <c r="G1918">
        <f>(F1918/0.6)/4</f>
        <v>0.58750000000000002</v>
      </c>
      <c r="H1918">
        <f>G1918*(11.5/38.29)</f>
        <v>0.17644946461217029</v>
      </c>
    </row>
    <row r="1919" spans="1:8" x14ac:dyDescent="0.25">
      <c r="A1919" s="1">
        <v>1977</v>
      </c>
      <c r="B1919" s="1" t="s">
        <v>104</v>
      </c>
      <c r="C1919" t="s">
        <v>52</v>
      </c>
      <c r="D1919">
        <v>1</v>
      </c>
      <c r="E1919">
        <v>32</v>
      </c>
      <c r="F1919">
        <v>0.04</v>
      </c>
      <c r="G1919">
        <f>(F1919/0.01)/50</f>
        <v>0.08</v>
      </c>
      <c r="H1919">
        <f>G1919*(11.5/38.29)</f>
        <v>2.4027161138678504E-2</v>
      </c>
    </row>
    <row r="1920" spans="1:8" x14ac:dyDescent="0.25">
      <c r="A1920" s="1">
        <v>1977</v>
      </c>
      <c r="B1920" s="1" t="s">
        <v>104</v>
      </c>
      <c r="C1920" t="s">
        <v>52</v>
      </c>
      <c r="D1920">
        <v>1</v>
      </c>
      <c r="E1920">
        <v>40</v>
      </c>
      <c r="F1920">
        <v>0.13</v>
      </c>
      <c r="G1920">
        <f t="shared" ref="G1920:G1983" si="0">(F1920/0.01)/50</f>
        <v>0.26</v>
      </c>
      <c r="H1920">
        <f>G1920*(11.5/38.29)</f>
        <v>7.8088273700705146E-2</v>
      </c>
    </row>
    <row r="1921" spans="1:8" x14ac:dyDescent="0.25">
      <c r="A1921" s="1">
        <v>1977</v>
      </c>
      <c r="B1921" s="1" t="s">
        <v>104</v>
      </c>
      <c r="C1921" t="s">
        <v>52</v>
      </c>
      <c r="D1921">
        <v>1</v>
      </c>
      <c r="E1921">
        <v>85</v>
      </c>
      <c r="F1921">
        <v>0.01</v>
      </c>
      <c r="G1921">
        <f t="shared" si="0"/>
        <v>0.02</v>
      </c>
      <c r="H1921">
        <f>G1921*(11.5/38.29)</f>
        <v>6.0067902846696261E-3</v>
      </c>
    </row>
    <row r="1922" spans="1:8" x14ac:dyDescent="0.25">
      <c r="A1922" s="1">
        <v>1977</v>
      </c>
      <c r="B1922" s="1" t="s">
        <v>104</v>
      </c>
      <c r="C1922" t="s">
        <v>52</v>
      </c>
      <c r="D1922">
        <v>2</v>
      </c>
      <c r="E1922">
        <v>79</v>
      </c>
      <c r="F1922">
        <v>0.05</v>
      </c>
      <c r="G1922">
        <f t="shared" si="0"/>
        <v>0.1</v>
      </c>
      <c r="H1922">
        <f>G1922*(11.5/38.29)</f>
        <v>3.0033951423348134E-2</v>
      </c>
    </row>
    <row r="1923" spans="1:8" x14ac:dyDescent="0.25">
      <c r="A1923" s="1">
        <v>1977</v>
      </c>
      <c r="B1923" s="1" t="s">
        <v>104</v>
      </c>
      <c r="C1923" t="s">
        <v>52</v>
      </c>
      <c r="D1923">
        <v>2</v>
      </c>
      <c r="E1923">
        <v>79</v>
      </c>
      <c r="F1923">
        <v>0.01</v>
      </c>
      <c r="G1923">
        <f t="shared" si="0"/>
        <v>0.02</v>
      </c>
      <c r="H1923">
        <f>G1923*(11.5/38.29)</f>
        <v>6.0067902846696261E-3</v>
      </c>
    </row>
    <row r="1924" spans="1:8" x14ac:dyDescent="0.25">
      <c r="A1924" s="1">
        <v>1977</v>
      </c>
      <c r="B1924" s="1" t="s">
        <v>104</v>
      </c>
      <c r="C1924" t="s">
        <v>52</v>
      </c>
      <c r="D1924">
        <v>2</v>
      </c>
      <c r="E1924">
        <v>79</v>
      </c>
      <c r="F1924">
        <v>0.09</v>
      </c>
      <c r="G1924">
        <f t="shared" si="0"/>
        <v>0.18</v>
      </c>
      <c r="H1924">
        <f>G1924*(11.5/38.29)</f>
        <v>5.4061112562026635E-2</v>
      </c>
    </row>
    <row r="1925" spans="1:8" x14ac:dyDescent="0.25">
      <c r="A1925" s="1">
        <v>1977</v>
      </c>
      <c r="B1925" s="1" t="s">
        <v>104</v>
      </c>
      <c r="C1925" t="s">
        <v>52</v>
      </c>
      <c r="D1925">
        <v>2</v>
      </c>
      <c r="E1925">
        <v>79</v>
      </c>
      <c r="F1925">
        <v>7.0000000000000007E-2</v>
      </c>
      <c r="G1925">
        <f t="shared" si="0"/>
        <v>0.14000000000000001</v>
      </c>
      <c r="H1925">
        <f>G1925*(11.5/38.29)</f>
        <v>4.204753199268739E-2</v>
      </c>
    </row>
    <row r="1926" spans="1:8" x14ac:dyDescent="0.25">
      <c r="A1926" s="1">
        <v>1977</v>
      </c>
      <c r="B1926" s="1" t="s">
        <v>104</v>
      </c>
      <c r="C1926" t="s">
        <v>52</v>
      </c>
      <c r="D1926">
        <v>2</v>
      </c>
      <c r="E1926">
        <v>79</v>
      </c>
      <c r="F1926">
        <v>0.01</v>
      </c>
      <c r="G1926">
        <f t="shared" si="0"/>
        <v>0.02</v>
      </c>
      <c r="H1926">
        <f>G1926*(11.5/38.29)</f>
        <v>6.0067902846696261E-3</v>
      </c>
    </row>
    <row r="1927" spans="1:8" x14ac:dyDescent="0.25">
      <c r="A1927" s="1">
        <v>1977</v>
      </c>
      <c r="B1927" s="1" t="s">
        <v>104</v>
      </c>
      <c r="C1927" t="s">
        <v>52</v>
      </c>
      <c r="D1927">
        <v>3</v>
      </c>
      <c r="E1927">
        <v>40</v>
      </c>
      <c r="F1927">
        <v>0.09</v>
      </c>
      <c r="G1927">
        <f t="shared" si="0"/>
        <v>0.18</v>
      </c>
      <c r="H1927">
        <f>G1927*(11.5/38.29)</f>
        <v>5.4061112562026635E-2</v>
      </c>
    </row>
    <row r="1928" spans="1:8" x14ac:dyDescent="0.25">
      <c r="A1928" s="1">
        <v>1977</v>
      </c>
      <c r="B1928" s="1" t="s">
        <v>104</v>
      </c>
      <c r="C1928" t="s">
        <v>52</v>
      </c>
      <c r="D1928">
        <v>3</v>
      </c>
      <c r="E1928">
        <v>58</v>
      </c>
      <c r="F1928">
        <v>0.01</v>
      </c>
      <c r="G1928">
        <f t="shared" si="0"/>
        <v>0.02</v>
      </c>
      <c r="H1928">
        <f>G1928*(11.5/38.29)</f>
        <v>6.0067902846696261E-3</v>
      </c>
    </row>
    <row r="1929" spans="1:8" x14ac:dyDescent="0.25">
      <c r="A1929" s="1">
        <v>1977</v>
      </c>
      <c r="B1929" s="1" t="s">
        <v>104</v>
      </c>
      <c r="C1929" t="s">
        <v>52</v>
      </c>
      <c r="D1929">
        <v>4</v>
      </c>
      <c r="E1929">
        <v>33</v>
      </c>
      <c r="F1929">
        <v>0.05</v>
      </c>
      <c r="G1929">
        <f t="shared" si="0"/>
        <v>0.1</v>
      </c>
      <c r="H1929">
        <f>G1929*(11.5/38.29)</f>
        <v>3.0033951423348134E-2</v>
      </c>
    </row>
    <row r="1930" spans="1:8" x14ac:dyDescent="0.25">
      <c r="A1930" s="1">
        <v>1977</v>
      </c>
      <c r="B1930" s="1" t="s">
        <v>104</v>
      </c>
      <c r="C1930" t="s">
        <v>52</v>
      </c>
      <c r="D1930">
        <v>5</v>
      </c>
      <c r="E1930">
        <v>63</v>
      </c>
      <c r="F1930">
        <v>0.13</v>
      </c>
      <c r="G1930">
        <f t="shared" si="0"/>
        <v>0.26</v>
      </c>
      <c r="H1930">
        <f>G1930*(11.5/38.29)</f>
        <v>7.8088273700705146E-2</v>
      </c>
    </row>
    <row r="1931" spans="1:8" x14ac:dyDescent="0.25">
      <c r="A1931" s="1">
        <v>1977</v>
      </c>
      <c r="B1931" s="1" t="s">
        <v>104</v>
      </c>
      <c r="C1931" t="s">
        <v>52</v>
      </c>
      <c r="D1931">
        <v>5</v>
      </c>
      <c r="E1931">
        <v>63</v>
      </c>
      <c r="F1931">
        <v>7.0000000000000007E-2</v>
      </c>
      <c r="G1931">
        <f t="shared" si="0"/>
        <v>0.14000000000000001</v>
      </c>
      <c r="H1931">
        <f>G1931*(11.5/38.29)</f>
        <v>4.204753199268739E-2</v>
      </c>
    </row>
    <row r="1932" spans="1:8" x14ac:dyDescent="0.25">
      <c r="A1932" s="1">
        <v>1977</v>
      </c>
      <c r="B1932" s="1" t="s">
        <v>104</v>
      </c>
      <c r="C1932" t="s">
        <v>52</v>
      </c>
      <c r="D1932">
        <v>5</v>
      </c>
      <c r="E1932">
        <v>79</v>
      </c>
      <c r="F1932">
        <v>0.06</v>
      </c>
      <c r="G1932">
        <f t="shared" si="0"/>
        <v>0.12</v>
      </c>
      <c r="H1932">
        <f>G1932*(11.5/38.29)</f>
        <v>3.6040741708017757E-2</v>
      </c>
    </row>
    <row r="1933" spans="1:8" x14ac:dyDescent="0.25">
      <c r="A1933" s="1">
        <v>1977</v>
      </c>
      <c r="B1933" s="1" t="s">
        <v>104</v>
      </c>
      <c r="C1933" t="s">
        <v>52</v>
      </c>
      <c r="D1933">
        <v>5</v>
      </c>
      <c r="E1933">
        <v>85</v>
      </c>
      <c r="F1933">
        <v>0.01</v>
      </c>
      <c r="G1933">
        <f t="shared" si="0"/>
        <v>0.02</v>
      </c>
      <c r="H1933">
        <f>G1933*(11.5/38.29)</f>
        <v>6.0067902846696261E-3</v>
      </c>
    </row>
    <row r="1934" spans="1:8" x14ac:dyDescent="0.25">
      <c r="A1934" s="1">
        <v>1977</v>
      </c>
      <c r="B1934" s="1" t="s">
        <v>104</v>
      </c>
      <c r="C1934" t="s">
        <v>52</v>
      </c>
      <c r="D1934">
        <v>5</v>
      </c>
      <c r="E1934">
        <v>85</v>
      </c>
      <c r="F1934">
        <v>0.01</v>
      </c>
      <c r="G1934">
        <f t="shared" si="0"/>
        <v>0.02</v>
      </c>
      <c r="H1934">
        <f>G1934*(11.5/38.29)</f>
        <v>6.0067902846696261E-3</v>
      </c>
    </row>
    <row r="1935" spans="1:8" x14ac:dyDescent="0.25">
      <c r="A1935" s="1">
        <v>1977</v>
      </c>
      <c r="B1935" s="1" t="s">
        <v>104</v>
      </c>
      <c r="C1935" t="s">
        <v>52</v>
      </c>
      <c r="D1935">
        <v>6</v>
      </c>
      <c r="E1935">
        <v>33</v>
      </c>
      <c r="F1935">
        <v>0.02</v>
      </c>
      <c r="G1935">
        <f t="shared" si="0"/>
        <v>0.04</v>
      </c>
      <c r="H1935">
        <f>G1935*(11.5/38.29)</f>
        <v>1.2013580569339252E-2</v>
      </c>
    </row>
    <row r="1936" spans="1:8" x14ac:dyDescent="0.25">
      <c r="A1936" s="1">
        <v>1977</v>
      </c>
      <c r="B1936" s="1" t="s">
        <v>104</v>
      </c>
      <c r="C1936" t="s">
        <v>52</v>
      </c>
      <c r="D1936">
        <v>6</v>
      </c>
      <c r="E1936">
        <v>85</v>
      </c>
      <c r="F1936">
        <v>0.02</v>
      </c>
      <c r="G1936">
        <f t="shared" si="0"/>
        <v>0.04</v>
      </c>
      <c r="H1936">
        <f>G1936*(11.5/38.29)</f>
        <v>1.2013580569339252E-2</v>
      </c>
    </row>
    <row r="1937" spans="1:8" x14ac:dyDescent="0.25">
      <c r="A1937" s="1">
        <v>1977</v>
      </c>
      <c r="B1937" s="1" t="s">
        <v>104</v>
      </c>
      <c r="C1937" t="s">
        <v>52</v>
      </c>
      <c r="D1937">
        <v>7</v>
      </c>
      <c r="E1937">
        <v>33</v>
      </c>
      <c r="F1937">
        <v>0.03</v>
      </c>
      <c r="G1937">
        <f t="shared" si="0"/>
        <v>0.06</v>
      </c>
      <c r="H1937">
        <f>G1937*(11.5/38.29)</f>
        <v>1.8020370854008878E-2</v>
      </c>
    </row>
    <row r="1938" spans="1:8" x14ac:dyDescent="0.25">
      <c r="A1938" s="1">
        <v>1977</v>
      </c>
      <c r="B1938" s="1" t="s">
        <v>104</v>
      </c>
      <c r="C1938" t="s">
        <v>52</v>
      </c>
      <c r="D1938">
        <v>7</v>
      </c>
      <c r="E1938">
        <v>63</v>
      </c>
      <c r="F1938">
        <v>0.1</v>
      </c>
      <c r="G1938">
        <f t="shared" si="0"/>
        <v>0.2</v>
      </c>
      <c r="H1938">
        <f>G1938*(11.5/38.29)</f>
        <v>6.0067902846696268E-2</v>
      </c>
    </row>
    <row r="1939" spans="1:8" x14ac:dyDescent="0.25">
      <c r="A1939" s="1">
        <v>1977</v>
      </c>
      <c r="B1939" s="1" t="s">
        <v>104</v>
      </c>
      <c r="C1939" t="s">
        <v>52</v>
      </c>
      <c r="D1939">
        <v>7</v>
      </c>
      <c r="E1939">
        <v>63</v>
      </c>
      <c r="F1939">
        <v>7.0000000000000007E-2</v>
      </c>
      <c r="G1939">
        <f t="shared" si="0"/>
        <v>0.14000000000000001</v>
      </c>
      <c r="H1939">
        <f>G1939*(11.5/38.29)</f>
        <v>4.204753199268739E-2</v>
      </c>
    </row>
    <row r="1940" spans="1:8" x14ac:dyDescent="0.25">
      <c r="A1940" s="1">
        <v>1977</v>
      </c>
      <c r="B1940" s="1" t="s">
        <v>104</v>
      </c>
      <c r="C1940" t="s">
        <v>52</v>
      </c>
      <c r="D1940">
        <v>7</v>
      </c>
      <c r="E1940">
        <v>85</v>
      </c>
      <c r="F1940">
        <v>0.01</v>
      </c>
      <c r="G1940">
        <f t="shared" si="0"/>
        <v>0.02</v>
      </c>
      <c r="H1940">
        <f>G1940*(11.5/38.29)</f>
        <v>6.0067902846696261E-3</v>
      </c>
    </row>
    <row r="1941" spans="1:8" x14ac:dyDescent="0.25">
      <c r="A1941" s="1">
        <v>1977</v>
      </c>
      <c r="B1941" s="1" t="s">
        <v>104</v>
      </c>
      <c r="C1941" t="s">
        <v>52</v>
      </c>
      <c r="D1941">
        <v>8</v>
      </c>
      <c r="E1941">
        <v>63</v>
      </c>
      <c r="F1941">
        <v>0.01</v>
      </c>
      <c r="G1941">
        <f t="shared" si="0"/>
        <v>0.02</v>
      </c>
      <c r="H1941">
        <f>G1941*(11.5/38.29)</f>
        <v>6.0067902846696261E-3</v>
      </c>
    </row>
    <row r="1942" spans="1:8" x14ac:dyDescent="0.25">
      <c r="A1942" s="1">
        <v>1977</v>
      </c>
      <c r="B1942" s="1" t="s">
        <v>104</v>
      </c>
      <c r="C1942" t="s">
        <v>52</v>
      </c>
      <c r="D1942">
        <v>8</v>
      </c>
      <c r="E1942">
        <v>63</v>
      </c>
      <c r="F1942">
        <v>7.0000000000000007E-2</v>
      </c>
      <c r="G1942">
        <f t="shared" si="0"/>
        <v>0.14000000000000001</v>
      </c>
      <c r="H1942">
        <f>G1942*(11.5/38.29)</f>
        <v>4.204753199268739E-2</v>
      </c>
    </row>
    <row r="1943" spans="1:8" x14ac:dyDescent="0.25">
      <c r="A1943" s="1">
        <v>1977</v>
      </c>
      <c r="B1943" s="1" t="s">
        <v>104</v>
      </c>
      <c r="C1943" t="s">
        <v>52</v>
      </c>
      <c r="D1943">
        <v>8</v>
      </c>
      <c r="E1943">
        <v>63</v>
      </c>
      <c r="F1943">
        <v>0.06</v>
      </c>
      <c r="G1943">
        <f t="shared" si="0"/>
        <v>0.12</v>
      </c>
      <c r="H1943">
        <f>G1943*(11.5/38.29)</f>
        <v>3.6040741708017757E-2</v>
      </c>
    </row>
    <row r="1944" spans="1:8" x14ac:dyDescent="0.25">
      <c r="A1944" s="1">
        <v>1977</v>
      </c>
      <c r="B1944" s="1" t="s">
        <v>104</v>
      </c>
      <c r="C1944" t="s">
        <v>52</v>
      </c>
      <c r="D1944">
        <v>8</v>
      </c>
      <c r="E1944">
        <v>63</v>
      </c>
      <c r="F1944">
        <v>7.0000000000000007E-2</v>
      </c>
      <c r="G1944">
        <f t="shared" si="0"/>
        <v>0.14000000000000001</v>
      </c>
      <c r="H1944">
        <f>G1944*(11.5/38.29)</f>
        <v>4.204753199268739E-2</v>
      </c>
    </row>
    <row r="1945" spans="1:8" x14ac:dyDescent="0.25">
      <c r="A1945" s="1">
        <v>1977</v>
      </c>
      <c r="B1945" s="1" t="s">
        <v>104</v>
      </c>
      <c r="C1945" t="s">
        <v>52</v>
      </c>
      <c r="D1945">
        <v>8</v>
      </c>
      <c r="E1945">
        <v>119</v>
      </c>
      <c r="F1945">
        <v>0.03</v>
      </c>
      <c r="G1945">
        <f t="shared" si="0"/>
        <v>0.06</v>
      </c>
      <c r="H1945">
        <f>G1945*(11.5/38.29)</f>
        <v>1.8020370854008878E-2</v>
      </c>
    </row>
    <row r="1946" spans="1:8" x14ac:dyDescent="0.25">
      <c r="A1946" s="1">
        <v>1977</v>
      </c>
      <c r="B1946" s="1" t="s">
        <v>104</v>
      </c>
      <c r="C1946" t="s">
        <v>52</v>
      </c>
      <c r="D1946">
        <v>8</v>
      </c>
      <c r="E1946">
        <v>119</v>
      </c>
      <c r="F1946">
        <v>0.01</v>
      </c>
      <c r="G1946">
        <f t="shared" si="0"/>
        <v>0.02</v>
      </c>
      <c r="H1946">
        <f>G1946*(11.5/38.29)</f>
        <v>6.0067902846696261E-3</v>
      </c>
    </row>
    <row r="1947" spans="1:8" x14ac:dyDescent="0.25">
      <c r="A1947" s="1">
        <v>1977</v>
      </c>
      <c r="B1947" s="1" t="s">
        <v>104</v>
      </c>
      <c r="C1947" t="s">
        <v>52</v>
      </c>
      <c r="D1947">
        <v>10</v>
      </c>
      <c r="E1947">
        <v>63</v>
      </c>
      <c r="F1947">
        <v>0.03</v>
      </c>
      <c r="G1947">
        <f t="shared" si="0"/>
        <v>0.06</v>
      </c>
      <c r="H1947">
        <f>G1947*(11.5/38.29)</f>
        <v>1.8020370854008878E-2</v>
      </c>
    </row>
    <row r="1948" spans="1:8" x14ac:dyDescent="0.25">
      <c r="A1948" s="1">
        <v>1977</v>
      </c>
      <c r="B1948" s="1" t="s">
        <v>104</v>
      </c>
      <c r="C1948" t="s">
        <v>52</v>
      </c>
      <c r="D1948">
        <v>10</v>
      </c>
      <c r="E1948">
        <v>63</v>
      </c>
      <c r="F1948">
        <v>0.03</v>
      </c>
      <c r="G1948">
        <f t="shared" si="0"/>
        <v>0.06</v>
      </c>
      <c r="H1948">
        <f>G1948*(11.5/38.29)</f>
        <v>1.8020370854008878E-2</v>
      </c>
    </row>
    <row r="1949" spans="1:8" x14ac:dyDescent="0.25">
      <c r="A1949" s="1">
        <v>1977</v>
      </c>
      <c r="B1949" s="1" t="s">
        <v>104</v>
      </c>
      <c r="C1949" t="s">
        <v>52</v>
      </c>
      <c r="D1949">
        <v>10</v>
      </c>
      <c r="E1949">
        <v>63</v>
      </c>
      <c r="F1949">
        <v>0.03</v>
      </c>
      <c r="G1949">
        <f t="shared" si="0"/>
        <v>0.06</v>
      </c>
      <c r="H1949">
        <f>G1949*(11.5/38.29)</f>
        <v>1.8020370854008878E-2</v>
      </c>
    </row>
    <row r="1950" spans="1:8" x14ac:dyDescent="0.25">
      <c r="A1950" s="1">
        <v>1977</v>
      </c>
      <c r="B1950" s="1" t="s">
        <v>104</v>
      </c>
      <c r="C1950" t="s">
        <v>52</v>
      </c>
      <c r="D1950">
        <v>10</v>
      </c>
      <c r="E1950">
        <v>63</v>
      </c>
      <c r="F1950">
        <v>0.02</v>
      </c>
      <c r="G1950">
        <f t="shared" si="0"/>
        <v>0.04</v>
      </c>
      <c r="H1950">
        <f>G1950*(11.5/38.29)</f>
        <v>1.2013580569339252E-2</v>
      </c>
    </row>
    <row r="1951" spans="1:8" x14ac:dyDescent="0.25">
      <c r="A1951" s="1">
        <v>1977</v>
      </c>
      <c r="B1951" s="1" t="s">
        <v>104</v>
      </c>
      <c r="C1951" t="s">
        <v>52</v>
      </c>
      <c r="D1951">
        <v>11</v>
      </c>
      <c r="E1951">
        <v>32</v>
      </c>
      <c r="F1951">
        <v>0.01</v>
      </c>
      <c r="G1951">
        <f t="shared" si="0"/>
        <v>0.02</v>
      </c>
      <c r="H1951">
        <f>G1951*(11.5/38.29)</f>
        <v>6.0067902846696261E-3</v>
      </c>
    </row>
    <row r="1952" spans="1:8" x14ac:dyDescent="0.25">
      <c r="A1952" s="1">
        <v>1977</v>
      </c>
      <c r="B1952" s="1" t="s">
        <v>104</v>
      </c>
      <c r="C1952" t="s">
        <v>52</v>
      </c>
      <c r="D1952">
        <v>11</v>
      </c>
      <c r="E1952">
        <v>63</v>
      </c>
      <c r="F1952">
        <v>0.01</v>
      </c>
      <c r="G1952">
        <f t="shared" si="0"/>
        <v>0.02</v>
      </c>
      <c r="H1952">
        <f>G1952*(11.5/38.29)</f>
        <v>6.0067902846696261E-3</v>
      </c>
    </row>
    <row r="1953" spans="1:8" x14ac:dyDescent="0.25">
      <c r="A1953" s="1">
        <v>1977</v>
      </c>
      <c r="B1953" s="1" t="s">
        <v>104</v>
      </c>
      <c r="C1953" t="s">
        <v>52</v>
      </c>
      <c r="D1953">
        <v>11</v>
      </c>
      <c r="E1953">
        <v>79</v>
      </c>
      <c r="F1953">
        <v>0.01</v>
      </c>
      <c r="G1953">
        <f t="shared" si="0"/>
        <v>0.02</v>
      </c>
      <c r="H1953">
        <f>G1953*(11.5/38.29)</f>
        <v>6.0067902846696261E-3</v>
      </c>
    </row>
    <row r="1954" spans="1:8" x14ac:dyDescent="0.25">
      <c r="A1954" s="1">
        <v>1977</v>
      </c>
      <c r="B1954" s="1" t="s">
        <v>104</v>
      </c>
      <c r="C1954" t="s">
        <v>52</v>
      </c>
      <c r="D1954">
        <v>12</v>
      </c>
      <c r="E1954">
        <v>63</v>
      </c>
      <c r="F1954">
        <v>0.03</v>
      </c>
      <c r="G1954">
        <f t="shared" si="0"/>
        <v>0.06</v>
      </c>
      <c r="H1954">
        <f>G1954*(11.5/38.29)</f>
        <v>1.8020370854008878E-2</v>
      </c>
    </row>
    <row r="1955" spans="1:8" x14ac:dyDescent="0.25">
      <c r="A1955" s="1">
        <v>1977</v>
      </c>
      <c r="B1955" s="1" t="s">
        <v>104</v>
      </c>
      <c r="C1955" t="s">
        <v>52</v>
      </c>
      <c r="D1955">
        <v>12</v>
      </c>
      <c r="E1955">
        <v>63</v>
      </c>
      <c r="F1955">
        <v>0.02</v>
      </c>
      <c r="G1955">
        <f t="shared" si="0"/>
        <v>0.04</v>
      </c>
      <c r="H1955">
        <f>G1955*(11.5/38.29)</f>
        <v>1.2013580569339252E-2</v>
      </c>
    </row>
    <row r="1956" spans="1:8" x14ac:dyDescent="0.25">
      <c r="A1956" s="1">
        <v>1977</v>
      </c>
      <c r="B1956" s="1" t="s">
        <v>104</v>
      </c>
      <c r="C1956" t="s">
        <v>52</v>
      </c>
      <c r="D1956">
        <v>12</v>
      </c>
      <c r="E1956">
        <v>85</v>
      </c>
      <c r="F1956">
        <v>0.01</v>
      </c>
      <c r="G1956">
        <f t="shared" si="0"/>
        <v>0.02</v>
      </c>
      <c r="H1956">
        <f>G1956*(11.5/38.29)</f>
        <v>6.0067902846696261E-3</v>
      </c>
    </row>
    <row r="1957" spans="1:8" x14ac:dyDescent="0.25">
      <c r="A1957" s="1">
        <v>1977</v>
      </c>
      <c r="B1957" s="1" t="s">
        <v>104</v>
      </c>
      <c r="C1957" t="s">
        <v>52</v>
      </c>
      <c r="D1957">
        <v>13</v>
      </c>
      <c r="E1957">
        <v>79</v>
      </c>
      <c r="F1957">
        <v>0.02</v>
      </c>
      <c r="G1957">
        <f t="shared" si="0"/>
        <v>0.04</v>
      </c>
      <c r="H1957">
        <f>G1957*(11.5/38.29)</f>
        <v>1.2013580569339252E-2</v>
      </c>
    </row>
    <row r="1958" spans="1:8" x14ac:dyDescent="0.25">
      <c r="A1958" s="1">
        <v>1977</v>
      </c>
      <c r="B1958" s="1" t="s">
        <v>104</v>
      </c>
      <c r="C1958" t="s">
        <v>52</v>
      </c>
      <c r="D1958">
        <v>14</v>
      </c>
      <c r="E1958">
        <v>79</v>
      </c>
      <c r="F1958">
        <v>0.01</v>
      </c>
      <c r="G1958">
        <f t="shared" si="0"/>
        <v>0.02</v>
      </c>
      <c r="H1958">
        <f>G1958*(11.5/38.29)</f>
        <v>6.0067902846696261E-3</v>
      </c>
    </row>
    <row r="1959" spans="1:8" x14ac:dyDescent="0.25">
      <c r="A1959" s="1">
        <v>1977</v>
      </c>
      <c r="B1959" s="1" t="s">
        <v>104</v>
      </c>
      <c r="C1959" t="s">
        <v>52</v>
      </c>
      <c r="D1959">
        <v>15</v>
      </c>
      <c r="E1959">
        <v>34</v>
      </c>
      <c r="F1959">
        <v>0.05</v>
      </c>
      <c r="G1959">
        <f t="shared" si="0"/>
        <v>0.1</v>
      </c>
      <c r="H1959">
        <f>G1959*(11.5/38.29)</f>
        <v>3.0033951423348134E-2</v>
      </c>
    </row>
    <row r="1960" spans="1:8" x14ac:dyDescent="0.25">
      <c r="A1960" s="1">
        <v>1977</v>
      </c>
      <c r="B1960" s="1" t="s">
        <v>104</v>
      </c>
      <c r="C1960" t="s">
        <v>52</v>
      </c>
      <c r="D1960">
        <v>15</v>
      </c>
      <c r="E1960">
        <v>34</v>
      </c>
      <c r="F1960">
        <v>0.09</v>
      </c>
      <c r="G1960">
        <f t="shared" si="0"/>
        <v>0.18</v>
      </c>
      <c r="H1960">
        <f>G1960*(11.5/38.29)</f>
        <v>5.4061112562026635E-2</v>
      </c>
    </row>
    <row r="1961" spans="1:8" x14ac:dyDescent="0.25">
      <c r="A1961" s="1">
        <v>1977</v>
      </c>
      <c r="B1961" s="1" t="s">
        <v>104</v>
      </c>
      <c r="C1961" t="s">
        <v>52</v>
      </c>
      <c r="D1961">
        <v>15</v>
      </c>
      <c r="E1961">
        <v>63</v>
      </c>
      <c r="F1961">
        <v>7.0000000000000007E-2</v>
      </c>
      <c r="G1961">
        <f t="shared" si="0"/>
        <v>0.14000000000000001</v>
      </c>
      <c r="H1961">
        <f>G1961*(11.5/38.29)</f>
        <v>4.204753199268739E-2</v>
      </c>
    </row>
    <row r="1962" spans="1:8" x14ac:dyDescent="0.25">
      <c r="A1962" s="1">
        <v>1977</v>
      </c>
      <c r="B1962" s="1" t="s">
        <v>104</v>
      </c>
      <c r="C1962" t="s">
        <v>52</v>
      </c>
      <c r="D1962">
        <v>15</v>
      </c>
      <c r="E1962">
        <v>79</v>
      </c>
      <c r="F1962">
        <v>0.02</v>
      </c>
      <c r="G1962">
        <f t="shared" si="0"/>
        <v>0.04</v>
      </c>
      <c r="H1962">
        <f>G1962*(11.5/38.29)</f>
        <v>1.2013580569339252E-2</v>
      </c>
    </row>
    <row r="1963" spans="1:8" x14ac:dyDescent="0.25">
      <c r="A1963" s="1">
        <v>1977</v>
      </c>
      <c r="B1963" s="1" t="s">
        <v>104</v>
      </c>
      <c r="C1963" t="s">
        <v>52</v>
      </c>
      <c r="D1963">
        <v>15</v>
      </c>
      <c r="E1963">
        <v>79</v>
      </c>
      <c r="F1963">
        <v>0.02</v>
      </c>
      <c r="G1963">
        <f t="shared" si="0"/>
        <v>0.04</v>
      </c>
      <c r="H1963">
        <f>G1963*(11.5/38.29)</f>
        <v>1.2013580569339252E-2</v>
      </c>
    </row>
    <row r="1964" spans="1:8" x14ac:dyDescent="0.25">
      <c r="A1964" s="1">
        <v>1977</v>
      </c>
      <c r="B1964" s="1" t="s">
        <v>104</v>
      </c>
      <c r="C1964" t="s">
        <v>52</v>
      </c>
      <c r="D1964">
        <v>16</v>
      </c>
      <c r="E1964">
        <v>58</v>
      </c>
      <c r="F1964">
        <v>0.01</v>
      </c>
      <c r="G1964">
        <f t="shared" si="0"/>
        <v>0.02</v>
      </c>
      <c r="H1964">
        <f>G1964*(11.5/38.29)</f>
        <v>6.0067902846696261E-3</v>
      </c>
    </row>
    <row r="1965" spans="1:8" x14ac:dyDescent="0.25">
      <c r="A1965" s="1">
        <v>1977</v>
      </c>
      <c r="B1965" s="1" t="s">
        <v>104</v>
      </c>
      <c r="C1965" t="s">
        <v>52</v>
      </c>
      <c r="D1965">
        <v>16</v>
      </c>
      <c r="E1965">
        <v>58</v>
      </c>
      <c r="F1965">
        <v>0.01</v>
      </c>
      <c r="G1965">
        <f t="shared" si="0"/>
        <v>0.02</v>
      </c>
      <c r="H1965">
        <f>G1965*(11.5/38.29)</f>
        <v>6.0067902846696261E-3</v>
      </c>
    </row>
    <row r="1966" spans="1:8" x14ac:dyDescent="0.25">
      <c r="A1966" s="1">
        <v>1977</v>
      </c>
      <c r="B1966" s="1" t="s">
        <v>104</v>
      </c>
      <c r="C1966" t="s">
        <v>52</v>
      </c>
      <c r="D1966">
        <v>16</v>
      </c>
      <c r="E1966">
        <v>71</v>
      </c>
      <c r="F1966">
        <v>0.01</v>
      </c>
      <c r="G1966">
        <f t="shared" si="0"/>
        <v>0.02</v>
      </c>
      <c r="H1966">
        <f>G1966*(11.5/38.29)</f>
        <v>6.0067902846696261E-3</v>
      </c>
    </row>
    <row r="1967" spans="1:8" x14ac:dyDescent="0.25">
      <c r="A1967" s="1">
        <v>1977</v>
      </c>
      <c r="B1967" s="1" t="s">
        <v>104</v>
      </c>
      <c r="C1967" t="s">
        <v>52</v>
      </c>
      <c r="D1967">
        <v>16</v>
      </c>
      <c r="E1967">
        <v>79</v>
      </c>
      <c r="F1967">
        <v>0.02</v>
      </c>
      <c r="G1967">
        <f t="shared" si="0"/>
        <v>0.04</v>
      </c>
      <c r="H1967">
        <f>G1967*(11.5/38.29)</f>
        <v>1.2013580569339252E-2</v>
      </c>
    </row>
    <row r="1968" spans="1:8" x14ac:dyDescent="0.25">
      <c r="A1968" s="1">
        <v>1977</v>
      </c>
      <c r="B1968" s="1" t="s">
        <v>104</v>
      </c>
      <c r="C1968" t="s">
        <v>52</v>
      </c>
      <c r="D1968">
        <v>17</v>
      </c>
      <c r="E1968">
        <v>32</v>
      </c>
      <c r="F1968">
        <v>0.02</v>
      </c>
      <c r="G1968">
        <f t="shared" si="0"/>
        <v>0.04</v>
      </c>
      <c r="H1968">
        <f>G1968*(11.5/38.29)</f>
        <v>1.2013580569339252E-2</v>
      </c>
    </row>
    <row r="1969" spans="1:8" x14ac:dyDescent="0.25">
      <c r="A1969" s="1">
        <v>1977</v>
      </c>
      <c r="B1969" s="1" t="s">
        <v>104</v>
      </c>
      <c r="C1969" t="s">
        <v>52</v>
      </c>
      <c r="D1969">
        <v>17</v>
      </c>
      <c r="E1969">
        <v>54</v>
      </c>
      <c r="F1969">
        <v>0.01</v>
      </c>
      <c r="G1969">
        <f t="shared" si="0"/>
        <v>0.02</v>
      </c>
      <c r="H1969">
        <f>G1969*(11.5/38.29)</f>
        <v>6.0067902846696261E-3</v>
      </c>
    </row>
    <row r="1970" spans="1:8" x14ac:dyDescent="0.25">
      <c r="A1970" s="1">
        <v>1977</v>
      </c>
      <c r="B1970" s="1" t="s">
        <v>104</v>
      </c>
      <c r="C1970" t="s">
        <v>52</v>
      </c>
      <c r="D1970">
        <v>17</v>
      </c>
      <c r="E1970">
        <v>58</v>
      </c>
      <c r="F1970">
        <v>0.01</v>
      </c>
      <c r="G1970">
        <f t="shared" si="0"/>
        <v>0.02</v>
      </c>
      <c r="H1970">
        <f>G1970*(11.5/38.29)</f>
        <v>6.0067902846696261E-3</v>
      </c>
    </row>
    <row r="1971" spans="1:8" x14ac:dyDescent="0.25">
      <c r="A1971" s="1">
        <v>1977</v>
      </c>
      <c r="B1971" s="1" t="s">
        <v>104</v>
      </c>
      <c r="C1971" t="s">
        <v>52</v>
      </c>
      <c r="D1971">
        <v>17</v>
      </c>
      <c r="E1971">
        <v>63</v>
      </c>
      <c r="F1971">
        <v>0.02</v>
      </c>
      <c r="G1971">
        <f t="shared" si="0"/>
        <v>0.04</v>
      </c>
      <c r="H1971">
        <f>G1971*(11.5/38.29)</f>
        <v>1.2013580569339252E-2</v>
      </c>
    </row>
    <row r="1972" spans="1:8" x14ac:dyDescent="0.25">
      <c r="A1972" s="1">
        <v>1977</v>
      </c>
      <c r="B1972" s="1" t="s">
        <v>104</v>
      </c>
      <c r="C1972" t="s">
        <v>52</v>
      </c>
      <c r="D1972">
        <v>17</v>
      </c>
      <c r="E1972">
        <v>63</v>
      </c>
      <c r="F1972">
        <v>0.04</v>
      </c>
      <c r="G1972">
        <f t="shared" si="0"/>
        <v>0.08</v>
      </c>
      <c r="H1972">
        <f>G1972*(11.5/38.29)</f>
        <v>2.4027161138678504E-2</v>
      </c>
    </row>
    <row r="1973" spans="1:8" x14ac:dyDescent="0.25">
      <c r="A1973" s="1">
        <v>1977</v>
      </c>
      <c r="B1973" s="1" t="s">
        <v>104</v>
      </c>
      <c r="C1973" t="s">
        <v>52</v>
      </c>
      <c r="D1973">
        <v>17</v>
      </c>
      <c r="E1973">
        <v>63</v>
      </c>
      <c r="F1973">
        <v>0.01</v>
      </c>
      <c r="G1973">
        <f t="shared" si="0"/>
        <v>0.02</v>
      </c>
      <c r="H1973">
        <f>G1973*(11.5/38.29)</f>
        <v>6.0067902846696261E-3</v>
      </c>
    </row>
    <row r="1974" spans="1:8" x14ac:dyDescent="0.25">
      <c r="A1974" s="1">
        <v>1977</v>
      </c>
      <c r="B1974" s="1" t="s">
        <v>104</v>
      </c>
      <c r="C1974" t="s">
        <v>52</v>
      </c>
      <c r="D1974">
        <v>18</v>
      </c>
      <c r="E1974">
        <v>79</v>
      </c>
      <c r="F1974">
        <v>0.01</v>
      </c>
      <c r="G1974">
        <f t="shared" si="0"/>
        <v>0.02</v>
      </c>
      <c r="H1974">
        <f>G1974*(11.5/38.29)</f>
        <v>6.0067902846696261E-3</v>
      </c>
    </row>
    <row r="1975" spans="1:8" x14ac:dyDescent="0.25">
      <c r="A1975" s="1">
        <v>1977</v>
      </c>
      <c r="B1975" s="1" t="s">
        <v>104</v>
      </c>
      <c r="C1975" t="s">
        <v>52</v>
      </c>
      <c r="D1975">
        <v>18</v>
      </c>
      <c r="E1975">
        <v>86</v>
      </c>
      <c r="F1975">
        <v>0.01</v>
      </c>
      <c r="G1975">
        <f t="shared" si="0"/>
        <v>0.02</v>
      </c>
      <c r="H1975">
        <f>G1975*(11.5/38.29)</f>
        <v>6.0067902846696261E-3</v>
      </c>
    </row>
    <row r="1976" spans="1:8" x14ac:dyDescent="0.25">
      <c r="A1976" s="1">
        <v>1977</v>
      </c>
      <c r="B1976" s="1" t="s">
        <v>104</v>
      </c>
      <c r="C1976" t="s">
        <v>52</v>
      </c>
      <c r="D1976">
        <v>19</v>
      </c>
      <c r="E1976">
        <v>25</v>
      </c>
      <c r="F1976">
        <v>0.01</v>
      </c>
      <c r="G1976">
        <f t="shared" si="0"/>
        <v>0.02</v>
      </c>
      <c r="H1976">
        <f>G1976*(11.5/38.29)</f>
        <v>6.0067902846696261E-3</v>
      </c>
    </row>
    <row r="1977" spans="1:8" x14ac:dyDescent="0.25">
      <c r="A1977" s="1">
        <v>1977</v>
      </c>
      <c r="B1977" s="1" t="s">
        <v>104</v>
      </c>
      <c r="C1977" t="s">
        <v>52</v>
      </c>
      <c r="D1977">
        <v>19</v>
      </c>
      <c r="E1977">
        <v>63</v>
      </c>
      <c r="F1977">
        <v>0.06</v>
      </c>
      <c r="G1977">
        <f t="shared" si="0"/>
        <v>0.12</v>
      </c>
      <c r="H1977">
        <f>G1977*(11.5/38.29)</f>
        <v>3.6040741708017757E-2</v>
      </c>
    </row>
    <row r="1978" spans="1:8" x14ac:dyDescent="0.25">
      <c r="A1978" s="1">
        <v>1977</v>
      </c>
      <c r="B1978" s="1" t="s">
        <v>104</v>
      </c>
      <c r="C1978" t="s">
        <v>52</v>
      </c>
      <c r="D1978">
        <v>19</v>
      </c>
      <c r="E1978">
        <v>79</v>
      </c>
      <c r="F1978">
        <v>7.0000000000000007E-2</v>
      </c>
      <c r="G1978">
        <f t="shared" si="0"/>
        <v>0.14000000000000001</v>
      </c>
      <c r="H1978">
        <f>G1978*(11.5/38.29)</f>
        <v>4.204753199268739E-2</v>
      </c>
    </row>
    <row r="1979" spans="1:8" x14ac:dyDescent="0.25">
      <c r="A1979" s="1">
        <v>1977</v>
      </c>
      <c r="B1979" s="1" t="s">
        <v>104</v>
      </c>
      <c r="C1979" t="s">
        <v>52</v>
      </c>
      <c r="D1979">
        <v>21</v>
      </c>
      <c r="E1979">
        <v>32</v>
      </c>
      <c r="F1979">
        <v>0.01</v>
      </c>
      <c r="G1979">
        <f t="shared" si="0"/>
        <v>0.02</v>
      </c>
      <c r="H1979">
        <f>G1979*(11.5/38.29)</f>
        <v>6.0067902846696261E-3</v>
      </c>
    </row>
    <row r="1980" spans="1:8" x14ac:dyDescent="0.25">
      <c r="A1980" s="1">
        <v>1977</v>
      </c>
      <c r="B1980" s="1" t="s">
        <v>104</v>
      </c>
      <c r="C1980" t="s">
        <v>52</v>
      </c>
      <c r="D1980">
        <v>21</v>
      </c>
      <c r="E1980">
        <v>40</v>
      </c>
      <c r="F1980">
        <v>0.12</v>
      </c>
      <c r="G1980">
        <f t="shared" si="0"/>
        <v>0.24</v>
      </c>
      <c r="H1980">
        <f>G1980*(11.5/38.29)</f>
        <v>7.2081483416035513E-2</v>
      </c>
    </row>
    <row r="1981" spans="1:8" x14ac:dyDescent="0.25">
      <c r="A1981" s="1">
        <v>1977</v>
      </c>
      <c r="B1981" s="1" t="s">
        <v>104</v>
      </c>
      <c r="C1981" t="s">
        <v>52</v>
      </c>
      <c r="D1981">
        <v>22</v>
      </c>
      <c r="E1981">
        <v>32</v>
      </c>
      <c r="F1981">
        <v>0.04</v>
      </c>
      <c r="G1981">
        <f t="shared" si="0"/>
        <v>0.08</v>
      </c>
      <c r="H1981">
        <f>G1981*(11.5/38.29)</f>
        <v>2.4027161138678504E-2</v>
      </c>
    </row>
    <row r="1982" spans="1:8" x14ac:dyDescent="0.25">
      <c r="A1982" s="1">
        <v>1977</v>
      </c>
      <c r="B1982" s="1" t="s">
        <v>104</v>
      </c>
      <c r="C1982" t="s">
        <v>52</v>
      </c>
      <c r="D1982">
        <v>22</v>
      </c>
      <c r="E1982">
        <v>63</v>
      </c>
      <c r="F1982">
        <v>0.02</v>
      </c>
      <c r="G1982">
        <f t="shared" si="0"/>
        <v>0.04</v>
      </c>
      <c r="H1982">
        <f>G1982*(11.5/38.29)</f>
        <v>1.2013580569339252E-2</v>
      </c>
    </row>
    <row r="1983" spans="1:8" x14ac:dyDescent="0.25">
      <c r="A1983" s="1">
        <v>1977</v>
      </c>
      <c r="B1983" s="1" t="s">
        <v>104</v>
      </c>
      <c r="C1983" t="s">
        <v>52</v>
      </c>
      <c r="D1983">
        <v>22</v>
      </c>
      <c r="E1983">
        <v>79</v>
      </c>
      <c r="F1983">
        <v>0.01</v>
      </c>
      <c r="G1983">
        <f t="shared" si="0"/>
        <v>0.02</v>
      </c>
      <c r="H1983">
        <f>G1983*(11.5/38.29)</f>
        <v>6.0067902846696261E-3</v>
      </c>
    </row>
    <row r="1984" spans="1:8" x14ac:dyDescent="0.25">
      <c r="A1984" s="1">
        <v>1977</v>
      </c>
      <c r="B1984" s="1" t="s">
        <v>104</v>
      </c>
      <c r="C1984" t="s">
        <v>52</v>
      </c>
      <c r="D1984">
        <v>22</v>
      </c>
      <c r="E1984">
        <v>85</v>
      </c>
      <c r="F1984">
        <v>0.01</v>
      </c>
      <c r="G1984">
        <f t="shared" ref="G1984:G2047" si="1">(F1984/0.01)/50</f>
        <v>0.02</v>
      </c>
      <c r="H1984">
        <f>G1984*(11.5/38.29)</f>
        <v>6.0067902846696261E-3</v>
      </c>
    </row>
    <row r="1985" spans="1:8" x14ac:dyDescent="0.25">
      <c r="A1985" s="1">
        <v>1977</v>
      </c>
      <c r="B1985" s="1" t="s">
        <v>104</v>
      </c>
      <c r="C1985" t="s">
        <v>52</v>
      </c>
      <c r="D1985">
        <v>23</v>
      </c>
      <c r="E1985">
        <v>32</v>
      </c>
      <c r="F1985">
        <v>0.01</v>
      </c>
      <c r="G1985">
        <f t="shared" si="1"/>
        <v>0.02</v>
      </c>
      <c r="H1985">
        <f>G1985*(11.5/38.29)</f>
        <v>6.0067902846696261E-3</v>
      </c>
    </row>
    <row r="1986" spans="1:8" x14ac:dyDescent="0.25">
      <c r="A1986" s="1">
        <v>1977</v>
      </c>
      <c r="B1986" s="1" t="s">
        <v>104</v>
      </c>
      <c r="C1986" t="s">
        <v>52</v>
      </c>
      <c r="D1986">
        <v>23</v>
      </c>
      <c r="E1986">
        <v>32</v>
      </c>
      <c r="F1986">
        <v>0.02</v>
      </c>
      <c r="G1986">
        <f t="shared" si="1"/>
        <v>0.04</v>
      </c>
      <c r="H1986">
        <f>G1986*(11.5/38.29)</f>
        <v>1.2013580569339252E-2</v>
      </c>
    </row>
    <row r="1987" spans="1:8" x14ac:dyDescent="0.25">
      <c r="A1987" s="1">
        <v>1977</v>
      </c>
      <c r="B1987" s="1" t="s">
        <v>104</v>
      </c>
      <c r="C1987" t="s">
        <v>52</v>
      </c>
      <c r="D1987">
        <v>23</v>
      </c>
      <c r="E1987">
        <v>53</v>
      </c>
      <c r="F1987">
        <v>0.01</v>
      </c>
      <c r="G1987">
        <f t="shared" si="1"/>
        <v>0.02</v>
      </c>
      <c r="H1987">
        <f>G1987*(11.5/38.29)</f>
        <v>6.0067902846696261E-3</v>
      </c>
    </row>
    <row r="1988" spans="1:8" x14ac:dyDescent="0.25">
      <c r="A1988" s="1">
        <v>1977</v>
      </c>
      <c r="B1988" s="1" t="s">
        <v>104</v>
      </c>
      <c r="C1988" t="s">
        <v>52</v>
      </c>
      <c r="D1988">
        <v>23</v>
      </c>
      <c r="E1988">
        <v>53</v>
      </c>
      <c r="F1988">
        <v>0.01</v>
      </c>
      <c r="G1988">
        <f t="shared" si="1"/>
        <v>0.02</v>
      </c>
      <c r="H1988">
        <f>G1988*(11.5/38.29)</f>
        <v>6.0067902846696261E-3</v>
      </c>
    </row>
    <row r="1989" spans="1:8" x14ac:dyDescent="0.25">
      <c r="A1989" s="1">
        <v>1977</v>
      </c>
      <c r="B1989" s="1" t="s">
        <v>104</v>
      </c>
      <c r="C1989" t="s">
        <v>52</v>
      </c>
      <c r="D1989">
        <v>23</v>
      </c>
      <c r="E1989">
        <v>58</v>
      </c>
      <c r="F1989">
        <v>0.01</v>
      </c>
      <c r="G1989">
        <f t="shared" si="1"/>
        <v>0.02</v>
      </c>
      <c r="H1989">
        <f>G1989*(11.5/38.29)</f>
        <v>6.0067902846696261E-3</v>
      </c>
    </row>
    <row r="1990" spans="1:8" x14ac:dyDescent="0.25">
      <c r="A1990" s="1">
        <v>1977</v>
      </c>
      <c r="B1990" s="1" t="s">
        <v>104</v>
      </c>
      <c r="C1990" t="s">
        <v>52</v>
      </c>
      <c r="D1990">
        <v>23</v>
      </c>
      <c r="E1990">
        <v>58</v>
      </c>
      <c r="F1990">
        <v>0.01</v>
      </c>
      <c r="G1990">
        <f t="shared" si="1"/>
        <v>0.02</v>
      </c>
      <c r="H1990">
        <f>G1990*(11.5/38.29)</f>
        <v>6.0067902846696261E-3</v>
      </c>
    </row>
    <row r="1991" spans="1:8" x14ac:dyDescent="0.25">
      <c r="A1991" s="1">
        <v>1977</v>
      </c>
      <c r="B1991" s="1" t="s">
        <v>104</v>
      </c>
      <c r="C1991" t="s">
        <v>52</v>
      </c>
      <c r="D1991">
        <v>24</v>
      </c>
      <c r="E1991">
        <v>58</v>
      </c>
      <c r="F1991">
        <v>0.01</v>
      </c>
      <c r="G1991">
        <f t="shared" si="1"/>
        <v>0.02</v>
      </c>
      <c r="H1991">
        <f>G1991*(11.5/38.29)</f>
        <v>6.0067902846696261E-3</v>
      </c>
    </row>
    <row r="1992" spans="1:8" x14ac:dyDescent="0.25">
      <c r="A1992" s="1">
        <v>1977</v>
      </c>
      <c r="B1992" s="1" t="s">
        <v>104</v>
      </c>
      <c r="C1992" t="s">
        <v>52</v>
      </c>
      <c r="D1992">
        <v>24</v>
      </c>
      <c r="E1992">
        <v>71</v>
      </c>
      <c r="F1992">
        <v>0.01</v>
      </c>
      <c r="G1992">
        <f t="shared" si="1"/>
        <v>0.02</v>
      </c>
      <c r="H1992">
        <f>G1992*(11.5/38.29)</f>
        <v>6.0067902846696261E-3</v>
      </c>
    </row>
    <row r="1993" spans="1:8" x14ac:dyDescent="0.25">
      <c r="A1993" s="1">
        <v>1977</v>
      </c>
      <c r="B1993" s="1" t="s">
        <v>104</v>
      </c>
      <c r="C1993" t="s">
        <v>52</v>
      </c>
      <c r="D1993">
        <v>25</v>
      </c>
      <c r="E1993">
        <v>32</v>
      </c>
      <c r="F1993">
        <v>0.01</v>
      </c>
      <c r="G1993">
        <f t="shared" si="1"/>
        <v>0.02</v>
      </c>
      <c r="H1993">
        <f>G1993*(11.5/38.29)</f>
        <v>6.0067902846696261E-3</v>
      </c>
    </row>
    <row r="1994" spans="1:8" x14ac:dyDescent="0.25">
      <c r="A1994" s="1">
        <v>1977</v>
      </c>
      <c r="B1994" s="1" t="s">
        <v>104</v>
      </c>
      <c r="C1994" t="s">
        <v>52</v>
      </c>
      <c r="D1994">
        <v>25</v>
      </c>
      <c r="E1994">
        <v>32</v>
      </c>
      <c r="F1994">
        <v>0.01</v>
      </c>
      <c r="G1994">
        <f t="shared" si="1"/>
        <v>0.02</v>
      </c>
      <c r="H1994">
        <f>G1994*(11.5/38.29)</f>
        <v>6.0067902846696261E-3</v>
      </c>
    </row>
    <row r="1995" spans="1:8" x14ac:dyDescent="0.25">
      <c r="A1995" s="1">
        <v>1977</v>
      </c>
      <c r="B1995" s="1" t="s">
        <v>104</v>
      </c>
      <c r="C1995" t="s">
        <v>52</v>
      </c>
      <c r="D1995">
        <v>25</v>
      </c>
      <c r="E1995">
        <v>32</v>
      </c>
      <c r="F1995">
        <v>0.01</v>
      </c>
      <c r="G1995">
        <f t="shared" si="1"/>
        <v>0.02</v>
      </c>
      <c r="H1995">
        <f>G1995*(11.5/38.29)</f>
        <v>6.0067902846696261E-3</v>
      </c>
    </row>
    <row r="1996" spans="1:8" x14ac:dyDescent="0.25">
      <c r="A1996" s="1">
        <v>1977</v>
      </c>
      <c r="B1996" s="1" t="s">
        <v>104</v>
      </c>
      <c r="C1996" t="s">
        <v>52</v>
      </c>
      <c r="D1996">
        <v>26</v>
      </c>
      <c r="E1996">
        <v>32</v>
      </c>
      <c r="F1996">
        <v>0.03</v>
      </c>
      <c r="G1996">
        <f t="shared" si="1"/>
        <v>0.06</v>
      </c>
      <c r="H1996">
        <f>G1996*(11.5/38.29)</f>
        <v>1.8020370854008878E-2</v>
      </c>
    </row>
    <row r="1997" spans="1:8" x14ac:dyDescent="0.25">
      <c r="A1997" s="1">
        <v>1977</v>
      </c>
      <c r="B1997" s="1" t="s">
        <v>104</v>
      </c>
      <c r="C1997" t="s">
        <v>52</v>
      </c>
      <c r="D1997">
        <v>26</v>
      </c>
      <c r="E1997">
        <v>32</v>
      </c>
      <c r="F1997">
        <v>0.03</v>
      </c>
      <c r="G1997">
        <f t="shared" si="1"/>
        <v>0.06</v>
      </c>
      <c r="H1997">
        <f>G1997*(11.5/38.29)</f>
        <v>1.8020370854008878E-2</v>
      </c>
    </row>
    <row r="1998" spans="1:8" x14ac:dyDescent="0.25">
      <c r="A1998" s="1">
        <v>1977</v>
      </c>
      <c r="B1998" s="1" t="s">
        <v>104</v>
      </c>
      <c r="C1998" t="s">
        <v>52</v>
      </c>
      <c r="D1998">
        <v>26</v>
      </c>
      <c r="E1998">
        <v>32</v>
      </c>
      <c r="F1998">
        <v>0.1</v>
      </c>
      <c r="G1998">
        <f t="shared" si="1"/>
        <v>0.2</v>
      </c>
      <c r="H1998">
        <f>G1998*(11.5/38.29)</f>
        <v>6.0067902846696268E-2</v>
      </c>
    </row>
    <row r="1999" spans="1:8" x14ac:dyDescent="0.25">
      <c r="A1999" s="1">
        <v>1977</v>
      </c>
      <c r="B1999" s="1" t="s">
        <v>104</v>
      </c>
      <c r="C1999" t="s">
        <v>52</v>
      </c>
      <c r="D1999">
        <v>26</v>
      </c>
      <c r="E1999">
        <v>32</v>
      </c>
      <c r="F1999">
        <v>0.05</v>
      </c>
      <c r="G1999">
        <f t="shared" si="1"/>
        <v>0.1</v>
      </c>
      <c r="H1999">
        <f>G1999*(11.5/38.29)</f>
        <v>3.0033951423348134E-2</v>
      </c>
    </row>
    <row r="2000" spans="1:8" x14ac:dyDescent="0.25">
      <c r="A2000" s="1">
        <v>1977</v>
      </c>
      <c r="B2000" s="1" t="s">
        <v>104</v>
      </c>
      <c r="C2000" t="s">
        <v>52</v>
      </c>
      <c r="D2000">
        <v>26</v>
      </c>
      <c r="E2000">
        <v>34</v>
      </c>
      <c r="F2000">
        <v>0.12</v>
      </c>
      <c r="G2000">
        <f t="shared" si="1"/>
        <v>0.24</v>
      </c>
      <c r="H2000">
        <f>G2000*(11.5/38.29)</f>
        <v>7.2081483416035513E-2</v>
      </c>
    </row>
    <row r="2001" spans="1:8" x14ac:dyDescent="0.25">
      <c r="A2001" s="1">
        <v>1977</v>
      </c>
      <c r="B2001" s="1" t="s">
        <v>104</v>
      </c>
      <c r="C2001" t="s">
        <v>52</v>
      </c>
      <c r="D2001">
        <v>26</v>
      </c>
      <c r="E2001">
        <v>63</v>
      </c>
      <c r="F2001">
        <v>0.11</v>
      </c>
      <c r="G2001">
        <f t="shared" si="1"/>
        <v>0.22</v>
      </c>
      <c r="H2001">
        <f>G2001*(11.5/38.29)</f>
        <v>6.6074693131365894E-2</v>
      </c>
    </row>
    <row r="2002" spans="1:8" x14ac:dyDescent="0.25">
      <c r="A2002" s="1">
        <v>1977</v>
      </c>
      <c r="B2002" s="1" t="s">
        <v>104</v>
      </c>
      <c r="C2002" t="s">
        <v>52</v>
      </c>
      <c r="D2002">
        <v>27</v>
      </c>
      <c r="E2002">
        <v>32</v>
      </c>
      <c r="F2002">
        <v>0.01</v>
      </c>
      <c r="G2002">
        <f t="shared" si="1"/>
        <v>0.02</v>
      </c>
      <c r="H2002">
        <f>G2002*(11.5/38.29)</f>
        <v>6.0067902846696261E-3</v>
      </c>
    </row>
    <row r="2003" spans="1:8" x14ac:dyDescent="0.25">
      <c r="A2003" s="1">
        <v>1977</v>
      </c>
      <c r="B2003" s="1" t="s">
        <v>104</v>
      </c>
      <c r="C2003" t="s">
        <v>52</v>
      </c>
      <c r="D2003">
        <v>27</v>
      </c>
      <c r="E2003">
        <v>32</v>
      </c>
      <c r="F2003">
        <v>0.01</v>
      </c>
      <c r="G2003">
        <f t="shared" si="1"/>
        <v>0.02</v>
      </c>
      <c r="H2003">
        <f>G2003*(11.5/38.29)</f>
        <v>6.0067902846696261E-3</v>
      </c>
    </row>
    <row r="2004" spans="1:8" x14ac:dyDescent="0.25">
      <c r="A2004" s="1">
        <v>1977</v>
      </c>
      <c r="B2004" s="1" t="s">
        <v>104</v>
      </c>
      <c r="C2004" t="s">
        <v>52</v>
      </c>
      <c r="D2004">
        <v>27</v>
      </c>
      <c r="E2004">
        <v>85</v>
      </c>
      <c r="F2004">
        <v>0.04</v>
      </c>
      <c r="G2004">
        <f t="shared" si="1"/>
        <v>0.08</v>
      </c>
      <c r="H2004">
        <f>G2004*(11.5/38.29)</f>
        <v>2.4027161138678504E-2</v>
      </c>
    </row>
    <row r="2005" spans="1:8" x14ac:dyDescent="0.25">
      <c r="A2005" s="1">
        <v>1977</v>
      </c>
      <c r="B2005" s="1" t="s">
        <v>104</v>
      </c>
      <c r="C2005" t="s">
        <v>52</v>
      </c>
      <c r="D2005">
        <v>28</v>
      </c>
      <c r="E2005">
        <v>32</v>
      </c>
      <c r="F2005">
        <v>0.02</v>
      </c>
      <c r="G2005">
        <f t="shared" si="1"/>
        <v>0.04</v>
      </c>
      <c r="H2005">
        <f>G2005*(11.5/38.29)</f>
        <v>1.2013580569339252E-2</v>
      </c>
    </row>
    <row r="2006" spans="1:8" x14ac:dyDescent="0.25">
      <c r="A2006" s="1">
        <v>1977</v>
      </c>
      <c r="B2006" s="1" t="s">
        <v>104</v>
      </c>
      <c r="C2006" t="s">
        <v>52</v>
      </c>
      <c r="D2006">
        <v>28</v>
      </c>
      <c r="E2006">
        <v>32</v>
      </c>
      <c r="F2006">
        <v>0.03</v>
      </c>
      <c r="G2006">
        <f t="shared" si="1"/>
        <v>0.06</v>
      </c>
      <c r="H2006">
        <f>G2006*(11.5/38.29)</f>
        <v>1.8020370854008878E-2</v>
      </c>
    </row>
    <row r="2007" spans="1:8" x14ac:dyDescent="0.25">
      <c r="A2007" s="1">
        <v>1977</v>
      </c>
      <c r="B2007" s="1" t="s">
        <v>104</v>
      </c>
      <c r="C2007" t="s">
        <v>52</v>
      </c>
      <c r="D2007">
        <v>28</v>
      </c>
      <c r="E2007">
        <v>63</v>
      </c>
      <c r="F2007">
        <v>0.02</v>
      </c>
      <c r="G2007">
        <f t="shared" si="1"/>
        <v>0.04</v>
      </c>
      <c r="H2007">
        <f>G2007*(11.5/38.29)</f>
        <v>1.2013580569339252E-2</v>
      </c>
    </row>
    <row r="2008" spans="1:8" x14ac:dyDescent="0.25">
      <c r="A2008" s="1">
        <v>1977</v>
      </c>
      <c r="B2008" s="1" t="s">
        <v>104</v>
      </c>
      <c r="C2008" t="s">
        <v>52</v>
      </c>
      <c r="D2008">
        <v>28</v>
      </c>
      <c r="E2008">
        <v>76</v>
      </c>
      <c r="F2008">
        <v>0.02</v>
      </c>
      <c r="G2008">
        <f t="shared" si="1"/>
        <v>0.04</v>
      </c>
      <c r="H2008">
        <f>G2008*(11.5/38.29)</f>
        <v>1.2013580569339252E-2</v>
      </c>
    </row>
    <row r="2009" spans="1:8" x14ac:dyDescent="0.25">
      <c r="A2009" s="1">
        <v>1977</v>
      </c>
      <c r="B2009" s="1" t="s">
        <v>104</v>
      </c>
      <c r="C2009" t="s">
        <v>52</v>
      </c>
      <c r="D2009">
        <v>28</v>
      </c>
      <c r="E2009">
        <v>79</v>
      </c>
      <c r="F2009">
        <v>0.12</v>
      </c>
      <c r="G2009">
        <f t="shared" si="1"/>
        <v>0.24</v>
      </c>
      <c r="H2009">
        <f>G2009*(11.5/38.29)</f>
        <v>7.2081483416035513E-2</v>
      </c>
    </row>
    <row r="2010" spans="1:8" x14ac:dyDescent="0.25">
      <c r="A2010" s="1">
        <v>1977</v>
      </c>
      <c r="B2010" s="1" t="s">
        <v>104</v>
      </c>
      <c r="C2010" t="s">
        <v>52</v>
      </c>
      <c r="D2010">
        <v>28</v>
      </c>
      <c r="E2010">
        <v>79</v>
      </c>
      <c r="F2010">
        <v>0.03</v>
      </c>
      <c r="G2010">
        <f t="shared" si="1"/>
        <v>0.06</v>
      </c>
      <c r="H2010">
        <f>G2010*(11.5/38.29)</f>
        <v>1.8020370854008878E-2</v>
      </c>
    </row>
    <row r="2011" spans="1:8" x14ac:dyDescent="0.25">
      <c r="A2011" s="1">
        <v>1977</v>
      </c>
      <c r="B2011" s="1" t="s">
        <v>104</v>
      </c>
      <c r="C2011" t="s">
        <v>52</v>
      </c>
      <c r="D2011">
        <v>29</v>
      </c>
      <c r="E2011">
        <v>32</v>
      </c>
      <c r="F2011">
        <v>0.01</v>
      </c>
      <c r="G2011">
        <f t="shared" si="1"/>
        <v>0.02</v>
      </c>
      <c r="H2011">
        <f>G2011*(11.5/38.29)</f>
        <v>6.0067902846696261E-3</v>
      </c>
    </row>
    <row r="2012" spans="1:8" x14ac:dyDescent="0.25">
      <c r="A2012" s="1">
        <v>1977</v>
      </c>
      <c r="B2012" s="1" t="s">
        <v>104</v>
      </c>
      <c r="C2012" t="s">
        <v>52</v>
      </c>
      <c r="D2012">
        <v>29</v>
      </c>
      <c r="E2012">
        <v>32</v>
      </c>
      <c r="F2012">
        <v>0.01</v>
      </c>
      <c r="G2012">
        <f t="shared" si="1"/>
        <v>0.02</v>
      </c>
      <c r="H2012">
        <f>G2012*(11.5/38.29)</f>
        <v>6.0067902846696261E-3</v>
      </c>
    </row>
    <row r="2013" spans="1:8" x14ac:dyDescent="0.25">
      <c r="A2013" s="1">
        <v>1977</v>
      </c>
      <c r="B2013" s="1" t="s">
        <v>104</v>
      </c>
      <c r="C2013" t="s">
        <v>52</v>
      </c>
      <c r="D2013">
        <v>29</v>
      </c>
      <c r="E2013">
        <v>32</v>
      </c>
      <c r="F2013">
        <v>0.01</v>
      </c>
      <c r="G2013">
        <f t="shared" si="1"/>
        <v>0.02</v>
      </c>
      <c r="H2013">
        <f>G2013*(11.5/38.29)</f>
        <v>6.0067902846696261E-3</v>
      </c>
    </row>
    <row r="2014" spans="1:8" x14ac:dyDescent="0.25">
      <c r="A2014" s="1">
        <v>1977</v>
      </c>
      <c r="B2014" s="1" t="s">
        <v>104</v>
      </c>
      <c r="C2014" t="s">
        <v>52</v>
      </c>
      <c r="D2014">
        <v>29</v>
      </c>
      <c r="E2014">
        <v>32</v>
      </c>
      <c r="F2014">
        <v>0.01</v>
      </c>
      <c r="G2014">
        <f t="shared" si="1"/>
        <v>0.02</v>
      </c>
      <c r="H2014">
        <f>G2014*(11.5/38.29)</f>
        <v>6.0067902846696261E-3</v>
      </c>
    </row>
    <row r="2015" spans="1:8" x14ac:dyDescent="0.25">
      <c r="A2015" s="1">
        <v>1977</v>
      </c>
      <c r="B2015" s="1" t="s">
        <v>104</v>
      </c>
      <c r="C2015" t="s">
        <v>52</v>
      </c>
      <c r="D2015">
        <v>29</v>
      </c>
      <c r="E2015">
        <v>56</v>
      </c>
      <c r="F2015">
        <v>0.09</v>
      </c>
      <c r="G2015">
        <f t="shared" si="1"/>
        <v>0.18</v>
      </c>
      <c r="H2015">
        <f>G2015*(11.5/38.29)</f>
        <v>5.4061112562026635E-2</v>
      </c>
    </row>
    <row r="2016" spans="1:8" x14ac:dyDescent="0.25">
      <c r="A2016" s="1">
        <v>1977</v>
      </c>
      <c r="B2016" s="1" t="s">
        <v>104</v>
      </c>
      <c r="C2016" t="s">
        <v>52</v>
      </c>
      <c r="D2016">
        <v>29</v>
      </c>
      <c r="E2016">
        <v>86</v>
      </c>
      <c r="F2016">
        <v>0.01</v>
      </c>
      <c r="G2016">
        <f t="shared" si="1"/>
        <v>0.02</v>
      </c>
      <c r="H2016">
        <f>G2016*(11.5/38.29)</f>
        <v>6.0067902846696261E-3</v>
      </c>
    </row>
    <row r="2017" spans="1:8" x14ac:dyDescent="0.25">
      <c r="A2017" s="1">
        <v>1977</v>
      </c>
      <c r="B2017" s="1" t="s">
        <v>104</v>
      </c>
      <c r="C2017" t="s">
        <v>52</v>
      </c>
      <c r="D2017">
        <v>30</v>
      </c>
      <c r="E2017">
        <v>32</v>
      </c>
      <c r="F2017">
        <v>0.01</v>
      </c>
      <c r="G2017">
        <f t="shared" si="1"/>
        <v>0.02</v>
      </c>
      <c r="H2017">
        <f>G2017*(11.5/38.29)</f>
        <v>6.0067902846696261E-3</v>
      </c>
    </row>
    <row r="2018" spans="1:8" x14ac:dyDescent="0.25">
      <c r="A2018" s="1">
        <v>1977</v>
      </c>
      <c r="B2018" s="1" t="s">
        <v>104</v>
      </c>
      <c r="C2018" t="s">
        <v>52</v>
      </c>
      <c r="D2018">
        <v>30</v>
      </c>
      <c r="E2018">
        <v>32</v>
      </c>
      <c r="F2018">
        <v>0.05</v>
      </c>
      <c r="G2018">
        <f t="shared" si="1"/>
        <v>0.1</v>
      </c>
      <c r="H2018">
        <f>G2018*(11.5/38.29)</f>
        <v>3.0033951423348134E-2</v>
      </c>
    </row>
    <row r="2019" spans="1:8" x14ac:dyDescent="0.25">
      <c r="A2019" s="1">
        <v>1977</v>
      </c>
      <c r="B2019" s="1" t="s">
        <v>104</v>
      </c>
      <c r="C2019" t="s">
        <v>52</v>
      </c>
      <c r="D2019">
        <v>30</v>
      </c>
      <c r="E2019">
        <v>71</v>
      </c>
      <c r="F2019">
        <v>0.04</v>
      </c>
      <c r="G2019">
        <f t="shared" si="1"/>
        <v>0.08</v>
      </c>
      <c r="H2019">
        <f>G2019*(11.5/38.29)</f>
        <v>2.4027161138678504E-2</v>
      </c>
    </row>
    <row r="2020" spans="1:8" x14ac:dyDescent="0.25">
      <c r="A2020" s="1">
        <v>1977</v>
      </c>
      <c r="B2020" s="1" t="s">
        <v>104</v>
      </c>
      <c r="C2020" t="s">
        <v>52</v>
      </c>
      <c r="D2020">
        <v>30</v>
      </c>
      <c r="E2020">
        <v>79</v>
      </c>
      <c r="F2020">
        <v>0.05</v>
      </c>
      <c r="G2020">
        <f t="shared" si="1"/>
        <v>0.1</v>
      </c>
      <c r="H2020">
        <f>G2020*(11.5/38.29)</f>
        <v>3.0033951423348134E-2</v>
      </c>
    </row>
    <row r="2021" spans="1:8" x14ac:dyDescent="0.25">
      <c r="A2021" s="1">
        <v>1977</v>
      </c>
      <c r="B2021" s="1" t="s">
        <v>104</v>
      </c>
      <c r="C2021" t="s">
        <v>52</v>
      </c>
      <c r="D2021">
        <v>30</v>
      </c>
      <c r="E2021">
        <v>119</v>
      </c>
      <c r="F2021">
        <v>0.01</v>
      </c>
      <c r="G2021">
        <f t="shared" si="1"/>
        <v>0.02</v>
      </c>
      <c r="H2021">
        <f>G2021*(11.5/38.29)</f>
        <v>6.0067902846696261E-3</v>
      </c>
    </row>
    <row r="2022" spans="1:8" x14ac:dyDescent="0.25">
      <c r="A2022" s="1">
        <v>1977</v>
      </c>
      <c r="B2022" s="1" t="s">
        <v>104</v>
      </c>
      <c r="C2022" t="s">
        <v>52</v>
      </c>
      <c r="D2022">
        <v>30</v>
      </c>
      <c r="E2022">
        <v>119</v>
      </c>
      <c r="F2022">
        <v>0.01</v>
      </c>
      <c r="G2022">
        <f t="shared" si="1"/>
        <v>0.02</v>
      </c>
      <c r="H2022">
        <f>G2022*(11.5/38.29)</f>
        <v>6.0067902846696261E-3</v>
      </c>
    </row>
    <row r="2023" spans="1:8" x14ac:dyDescent="0.25">
      <c r="A2023" s="1">
        <v>1977</v>
      </c>
      <c r="B2023" s="1" t="s">
        <v>104</v>
      </c>
      <c r="C2023" t="s">
        <v>52</v>
      </c>
      <c r="D2023">
        <v>31</v>
      </c>
      <c r="E2023">
        <v>33</v>
      </c>
      <c r="F2023">
        <v>0.01</v>
      </c>
      <c r="G2023">
        <f t="shared" si="1"/>
        <v>0.02</v>
      </c>
      <c r="H2023">
        <f>G2023*(11.5/38.29)</f>
        <v>6.0067902846696261E-3</v>
      </c>
    </row>
    <row r="2024" spans="1:8" x14ac:dyDescent="0.25">
      <c r="A2024" s="1">
        <v>1977</v>
      </c>
      <c r="B2024" s="1" t="s">
        <v>104</v>
      </c>
      <c r="C2024" t="s">
        <v>52</v>
      </c>
      <c r="D2024">
        <v>31</v>
      </c>
      <c r="E2024">
        <v>79</v>
      </c>
      <c r="F2024">
        <v>0.04</v>
      </c>
      <c r="G2024">
        <f t="shared" si="1"/>
        <v>0.08</v>
      </c>
      <c r="H2024">
        <f>G2024*(11.5/38.29)</f>
        <v>2.4027161138678504E-2</v>
      </c>
    </row>
    <row r="2025" spans="1:8" x14ac:dyDescent="0.25">
      <c r="A2025" s="1">
        <v>1977</v>
      </c>
      <c r="B2025" s="1" t="s">
        <v>104</v>
      </c>
      <c r="C2025" t="s">
        <v>52</v>
      </c>
      <c r="D2025">
        <v>31</v>
      </c>
      <c r="E2025">
        <v>79</v>
      </c>
      <c r="F2025">
        <v>0.03</v>
      </c>
      <c r="G2025">
        <f t="shared" si="1"/>
        <v>0.06</v>
      </c>
      <c r="H2025">
        <f>G2025*(11.5/38.29)</f>
        <v>1.8020370854008878E-2</v>
      </c>
    </row>
    <row r="2026" spans="1:8" x14ac:dyDescent="0.25">
      <c r="A2026" s="1">
        <v>1977</v>
      </c>
      <c r="B2026" s="1" t="s">
        <v>104</v>
      </c>
      <c r="C2026" t="s">
        <v>52</v>
      </c>
      <c r="D2026">
        <v>31</v>
      </c>
      <c r="E2026">
        <v>79</v>
      </c>
      <c r="F2026">
        <v>0.02</v>
      </c>
      <c r="G2026">
        <f t="shared" si="1"/>
        <v>0.04</v>
      </c>
      <c r="H2026">
        <f>G2026*(11.5/38.29)</f>
        <v>1.2013580569339252E-2</v>
      </c>
    </row>
    <row r="2027" spans="1:8" x14ac:dyDescent="0.25">
      <c r="A2027" s="1">
        <v>1977</v>
      </c>
      <c r="B2027" s="1" t="s">
        <v>104</v>
      </c>
      <c r="C2027" t="s">
        <v>52</v>
      </c>
      <c r="D2027">
        <v>31</v>
      </c>
      <c r="E2027">
        <v>79</v>
      </c>
      <c r="F2027">
        <v>0.06</v>
      </c>
      <c r="G2027">
        <f t="shared" si="1"/>
        <v>0.12</v>
      </c>
      <c r="H2027">
        <f>G2027*(11.5/38.29)</f>
        <v>3.6040741708017757E-2</v>
      </c>
    </row>
    <row r="2028" spans="1:8" x14ac:dyDescent="0.25">
      <c r="A2028" s="1">
        <v>1977</v>
      </c>
      <c r="B2028" s="1" t="s">
        <v>104</v>
      </c>
      <c r="C2028" t="s">
        <v>52</v>
      </c>
      <c r="D2028">
        <v>31</v>
      </c>
      <c r="E2028">
        <v>86</v>
      </c>
      <c r="F2028">
        <v>0.08</v>
      </c>
      <c r="G2028">
        <f t="shared" si="1"/>
        <v>0.16</v>
      </c>
      <c r="H2028">
        <f>G2028*(11.5/38.29)</f>
        <v>4.8054322277357009E-2</v>
      </c>
    </row>
    <row r="2029" spans="1:8" x14ac:dyDescent="0.25">
      <c r="A2029" s="1">
        <v>1977</v>
      </c>
      <c r="B2029" s="1" t="s">
        <v>104</v>
      </c>
      <c r="C2029" t="s">
        <v>52</v>
      </c>
      <c r="D2029">
        <v>32</v>
      </c>
      <c r="E2029">
        <v>33</v>
      </c>
      <c r="F2029">
        <v>0.01</v>
      </c>
      <c r="G2029">
        <f t="shared" si="1"/>
        <v>0.02</v>
      </c>
      <c r="H2029">
        <f>G2029*(11.5/38.29)</f>
        <v>6.0067902846696261E-3</v>
      </c>
    </row>
    <row r="2030" spans="1:8" x14ac:dyDescent="0.25">
      <c r="A2030" s="1">
        <v>1977</v>
      </c>
      <c r="B2030" s="1" t="s">
        <v>104</v>
      </c>
      <c r="C2030" t="s">
        <v>52</v>
      </c>
      <c r="D2030">
        <v>32</v>
      </c>
      <c r="E2030">
        <v>33</v>
      </c>
      <c r="F2030">
        <v>0.02</v>
      </c>
      <c r="G2030">
        <f t="shared" si="1"/>
        <v>0.04</v>
      </c>
      <c r="H2030">
        <f>G2030*(11.5/38.29)</f>
        <v>1.2013580569339252E-2</v>
      </c>
    </row>
    <row r="2031" spans="1:8" x14ac:dyDescent="0.25">
      <c r="A2031" s="1">
        <v>1977</v>
      </c>
      <c r="B2031" s="1" t="s">
        <v>104</v>
      </c>
      <c r="C2031" t="s">
        <v>52</v>
      </c>
      <c r="D2031">
        <v>32</v>
      </c>
      <c r="E2031">
        <v>33</v>
      </c>
      <c r="F2031">
        <v>0.02</v>
      </c>
      <c r="G2031">
        <f t="shared" si="1"/>
        <v>0.04</v>
      </c>
      <c r="H2031">
        <f>G2031*(11.5/38.29)</f>
        <v>1.2013580569339252E-2</v>
      </c>
    </row>
    <row r="2032" spans="1:8" x14ac:dyDescent="0.25">
      <c r="A2032" s="1">
        <v>1977</v>
      </c>
      <c r="B2032" s="1" t="s">
        <v>104</v>
      </c>
      <c r="C2032" t="s">
        <v>52</v>
      </c>
      <c r="D2032">
        <v>32</v>
      </c>
      <c r="E2032">
        <v>33</v>
      </c>
      <c r="F2032">
        <v>0.01</v>
      </c>
      <c r="G2032">
        <f t="shared" si="1"/>
        <v>0.02</v>
      </c>
      <c r="H2032">
        <f>G2032*(11.5/38.29)</f>
        <v>6.0067902846696261E-3</v>
      </c>
    </row>
    <row r="2033" spans="1:8" x14ac:dyDescent="0.25">
      <c r="A2033" s="1">
        <v>1977</v>
      </c>
      <c r="B2033" s="1" t="s">
        <v>104</v>
      </c>
      <c r="C2033" t="s">
        <v>52</v>
      </c>
      <c r="D2033">
        <v>32</v>
      </c>
      <c r="E2033">
        <v>33</v>
      </c>
      <c r="F2033">
        <v>0.01</v>
      </c>
      <c r="G2033">
        <f t="shared" si="1"/>
        <v>0.02</v>
      </c>
      <c r="H2033">
        <f>G2033*(11.5/38.29)</f>
        <v>6.0067902846696261E-3</v>
      </c>
    </row>
    <row r="2034" spans="1:8" x14ac:dyDescent="0.25">
      <c r="A2034" s="1">
        <v>1977</v>
      </c>
      <c r="B2034" s="1" t="s">
        <v>104</v>
      </c>
      <c r="C2034" t="s">
        <v>52</v>
      </c>
      <c r="D2034">
        <v>32</v>
      </c>
      <c r="E2034">
        <v>76</v>
      </c>
      <c r="F2034">
        <v>0.05</v>
      </c>
      <c r="G2034">
        <f t="shared" si="1"/>
        <v>0.1</v>
      </c>
      <c r="H2034">
        <f>G2034*(11.5/38.29)</f>
        <v>3.0033951423348134E-2</v>
      </c>
    </row>
    <row r="2035" spans="1:8" x14ac:dyDescent="0.25">
      <c r="A2035" s="1">
        <v>1977</v>
      </c>
      <c r="B2035" s="1" t="s">
        <v>104</v>
      </c>
      <c r="C2035" t="s">
        <v>52</v>
      </c>
      <c r="D2035">
        <v>32</v>
      </c>
      <c r="E2035">
        <v>79</v>
      </c>
      <c r="F2035">
        <v>0.01</v>
      </c>
      <c r="G2035">
        <f t="shared" si="1"/>
        <v>0.02</v>
      </c>
      <c r="H2035">
        <f>G2035*(11.5/38.29)</f>
        <v>6.0067902846696261E-3</v>
      </c>
    </row>
    <row r="2036" spans="1:8" x14ac:dyDescent="0.25">
      <c r="A2036" s="1">
        <v>1977</v>
      </c>
      <c r="B2036" s="1" t="s">
        <v>104</v>
      </c>
      <c r="C2036" t="s">
        <v>52</v>
      </c>
      <c r="D2036">
        <v>32</v>
      </c>
      <c r="E2036">
        <v>79</v>
      </c>
      <c r="F2036">
        <v>0.01</v>
      </c>
      <c r="G2036">
        <f t="shared" si="1"/>
        <v>0.02</v>
      </c>
      <c r="H2036">
        <f>G2036*(11.5/38.29)</f>
        <v>6.0067902846696261E-3</v>
      </c>
    </row>
    <row r="2037" spans="1:8" x14ac:dyDescent="0.25">
      <c r="A2037" s="1">
        <v>1977</v>
      </c>
      <c r="B2037" s="1" t="s">
        <v>104</v>
      </c>
      <c r="C2037" t="s">
        <v>52</v>
      </c>
      <c r="D2037">
        <v>32</v>
      </c>
      <c r="E2037">
        <v>86</v>
      </c>
      <c r="F2037">
        <v>0.02</v>
      </c>
      <c r="G2037">
        <f t="shared" si="1"/>
        <v>0.04</v>
      </c>
      <c r="H2037">
        <f>G2037*(11.5/38.29)</f>
        <v>1.2013580569339252E-2</v>
      </c>
    </row>
    <row r="2038" spans="1:8" x14ac:dyDescent="0.25">
      <c r="A2038" s="1">
        <v>1977</v>
      </c>
      <c r="B2038" s="1" t="s">
        <v>104</v>
      </c>
      <c r="C2038" t="s">
        <v>52</v>
      </c>
      <c r="D2038">
        <v>33</v>
      </c>
      <c r="E2038">
        <v>32</v>
      </c>
      <c r="F2038">
        <v>0.01</v>
      </c>
      <c r="G2038">
        <f t="shared" si="1"/>
        <v>0.02</v>
      </c>
      <c r="H2038">
        <f>G2038*(11.5/38.29)</f>
        <v>6.0067902846696261E-3</v>
      </c>
    </row>
    <row r="2039" spans="1:8" x14ac:dyDescent="0.25">
      <c r="A2039" s="1">
        <v>1977</v>
      </c>
      <c r="B2039" s="1" t="s">
        <v>104</v>
      </c>
      <c r="C2039" t="s">
        <v>52</v>
      </c>
      <c r="D2039">
        <v>33</v>
      </c>
      <c r="E2039">
        <v>63</v>
      </c>
      <c r="F2039">
        <v>0.05</v>
      </c>
      <c r="G2039">
        <f t="shared" si="1"/>
        <v>0.1</v>
      </c>
      <c r="H2039">
        <f>G2039*(11.5/38.29)</f>
        <v>3.0033951423348134E-2</v>
      </c>
    </row>
    <row r="2040" spans="1:8" x14ac:dyDescent="0.25">
      <c r="A2040" s="1">
        <v>1977</v>
      </c>
      <c r="B2040" s="1" t="s">
        <v>104</v>
      </c>
      <c r="C2040" t="s">
        <v>52</v>
      </c>
      <c r="D2040">
        <v>33</v>
      </c>
      <c r="E2040">
        <v>79</v>
      </c>
      <c r="F2040">
        <v>0.04</v>
      </c>
      <c r="G2040">
        <f t="shared" si="1"/>
        <v>0.08</v>
      </c>
      <c r="H2040">
        <f>G2040*(11.5/38.29)</f>
        <v>2.4027161138678504E-2</v>
      </c>
    </row>
    <row r="2041" spans="1:8" x14ac:dyDescent="0.25">
      <c r="A2041" s="1">
        <v>1977</v>
      </c>
      <c r="B2041" s="1" t="s">
        <v>104</v>
      </c>
      <c r="C2041" t="s">
        <v>52</v>
      </c>
      <c r="D2041">
        <v>34</v>
      </c>
      <c r="E2041">
        <v>29</v>
      </c>
      <c r="F2041">
        <v>0.02</v>
      </c>
      <c r="G2041">
        <f t="shared" si="1"/>
        <v>0.04</v>
      </c>
      <c r="H2041">
        <f>G2041*(11.5/38.29)</f>
        <v>1.2013580569339252E-2</v>
      </c>
    </row>
    <row r="2042" spans="1:8" x14ac:dyDescent="0.25">
      <c r="A2042" s="1">
        <v>1977</v>
      </c>
      <c r="B2042" s="1" t="s">
        <v>104</v>
      </c>
      <c r="C2042" t="s">
        <v>52</v>
      </c>
      <c r="D2042">
        <v>34</v>
      </c>
      <c r="E2042">
        <v>29</v>
      </c>
      <c r="F2042">
        <v>0.02</v>
      </c>
      <c r="G2042">
        <f t="shared" si="1"/>
        <v>0.04</v>
      </c>
      <c r="H2042">
        <f>G2042*(11.5/38.29)</f>
        <v>1.2013580569339252E-2</v>
      </c>
    </row>
    <row r="2043" spans="1:8" x14ac:dyDescent="0.25">
      <c r="A2043" s="1">
        <v>1977</v>
      </c>
      <c r="B2043" s="1" t="s">
        <v>104</v>
      </c>
      <c r="C2043" t="s">
        <v>52</v>
      </c>
      <c r="D2043">
        <v>34</v>
      </c>
      <c r="E2043">
        <v>34</v>
      </c>
      <c r="F2043">
        <v>0.06</v>
      </c>
      <c r="G2043">
        <f t="shared" si="1"/>
        <v>0.12</v>
      </c>
      <c r="H2043">
        <f>G2043*(11.5/38.29)</f>
        <v>3.6040741708017757E-2</v>
      </c>
    </row>
    <row r="2044" spans="1:8" x14ac:dyDescent="0.25">
      <c r="A2044" s="1">
        <v>1977</v>
      </c>
      <c r="B2044" s="1" t="s">
        <v>104</v>
      </c>
      <c r="C2044" t="s">
        <v>52</v>
      </c>
      <c r="D2044">
        <v>34</v>
      </c>
      <c r="E2044">
        <v>79</v>
      </c>
      <c r="F2044">
        <v>7.0000000000000007E-2</v>
      </c>
      <c r="G2044">
        <f t="shared" si="1"/>
        <v>0.14000000000000001</v>
      </c>
      <c r="H2044">
        <f>G2044*(11.5/38.29)</f>
        <v>4.204753199268739E-2</v>
      </c>
    </row>
    <row r="2045" spans="1:8" x14ac:dyDescent="0.25">
      <c r="A2045" s="1">
        <v>1977</v>
      </c>
      <c r="B2045" s="1" t="s">
        <v>104</v>
      </c>
      <c r="C2045" t="s">
        <v>52</v>
      </c>
      <c r="D2045">
        <v>34</v>
      </c>
      <c r="E2045">
        <v>79</v>
      </c>
      <c r="F2045">
        <v>0.01</v>
      </c>
      <c r="G2045">
        <f t="shared" si="1"/>
        <v>0.02</v>
      </c>
      <c r="H2045">
        <f>G2045*(11.5/38.29)</f>
        <v>6.0067902846696261E-3</v>
      </c>
    </row>
    <row r="2046" spans="1:8" x14ac:dyDescent="0.25">
      <c r="A2046" s="1">
        <v>1977</v>
      </c>
      <c r="B2046" s="1" t="s">
        <v>104</v>
      </c>
      <c r="C2046" t="s">
        <v>52</v>
      </c>
      <c r="D2046">
        <v>34</v>
      </c>
      <c r="E2046">
        <v>79</v>
      </c>
      <c r="F2046">
        <v>0.01</v>
      </c>
      <c r="G2046">
        <f t="shared" si="1"/>
        <v>0.02</v>
      </c>
      <c r="H2046">
        <f>G2046*(11.5/38.29)</f>
        <v>6.0067902846696261E-3</v>
      </c>
    </row>
    <row r="2047" spans="1:8" x14ac:dyDescent="0.25">
      <c r="A2047" s="1">
        <v>1977</v>
      </c>
      <c r="B2047" s="1" t="s">
        <v>104</v>
      </c>
      <c r="C2047" t="s">
        <v>52</v>
      </c>
      <c r="D2047">
        <v>35</v>
      </c>
      <c r="E2047">
        <v>32</v>
      </c>
      <c r="F2047">
        <v>0.01</v>
      </c>
      <c r="G2047">
        <f t="shared" si="1"/>
        <v>0.02</v>
      </c>
      <c r="H2047">
        <f>G2047*(11.5/38.29)</f>
        <v>6.0067902846696261E-3</v>
      </c>
    </row>
    <row r="2048" spans="1:8" x14ac:dyDescent="0.25">
      <c r="A2048" s="1">
        <v>1977</v>
      </c>
      <c r="B2048" s="1" t="s">
        <v>104</v>
      </c>
      <c r="C2048" t="s">
        <v>52</v>
      </c>
      <c r="D2048">
        <v>35</v>
      </c>
      <c r="E2048">
        <v>32</v>
      </c>
      <c r="F2048">
        <v>0.04</v>
      </c>
      <c r="G2048">
        <f t="shared" ref="G2048:G2111" si="2">(F2048/0.01)/50</f>
        <v>0.08</v>
      </c>
      <c r="H2048">
        <f>G2048*(11.5/38.29)</f>
        <v>2.4027161138678504E-2</v>
      </c>
    </row>
    <row r="2049" spans="1:8" x14ac:dyDescent="0.25">
      <c r="A2049" s="1">
        <v>1977</v>
      </c>
      <c r="B2049" s="1" t="s">
        <v>104</v>
      </c>
      <c r="C2049" t="s">
        <v>52</v>
      </c>
      <c r="D2049">
        <v>35</v>
      </c>
      <c r="E2049">
        <v>32</v>
      </c>
      <c r="F2049">
        <v>0.01</v>
      </c>
      <c r="G2049">
        <f t="shared" si="2"/>
        <v>0.02</v>
      </c>
      <c r="H2049">
        <f>G2049*(11.5/38.29)</f>
        <v>6.0067902846696261E-3</v>
      </c>
    </row>
    <row r="2050" spans="1:8" x14ac:dyDescent="0.25">
      <c r="A2050" s="1">
        <v>1977</v>
      </c>
      <c r="B2050" s="1" t="s">
        <v>104</v>
      </c>
      <c r="C2050" t="s">
        <v>52</v>
      </c>
      <c r="D2050">
        <v>35</v>
      </c>
      <c r="E2050">
        <v>32</v>
      </c>
      <c r="F2050">
        <v>0.02</v>
      </c>
      <c r="G2050">
        <f t="shared" si="2"/>
        <v>0.04</v>
      </c>
      <c r="H2050">
        <f>G2050*(11.5/38.29)</f>
        <v>1.2013580569339252E-2</v>
      </c>
    </row>
    <row r="2051" spans="1:8" x14ac:dyDescent="0.25">
      <c r="A2051" s="1">
        <v>1977</v>
      </c>
      <c r="B2051" s="1" t="s">
        <v>104</v>
      </c>
      <c r="C2051" t="s">
        <v>52</v>
      </c>
      <c r="D2051">
        <v>35</v>
      </c>
      <c r="E2051">
        <v>32</v>
      </c>
      <c r="F2051">
        <v>0.05</v>
      </c>
      <c r="G2051">
        <f t="shared" si="2"/>
        <v>0.1</v>
      </c>
      <c r="H2051">
        <f>G2051*(11.5/38.29)</f>
        <v>3.0033951423348134E-2</v>
      </c>
    </row>
    <row r="2052" spans="1:8" x14ac:dyDescent="0.25">
      <c r="A2052" s="1">
        <v>1977</v>
      </c>
      <c r="B2052" s="1" t="s">
        <v>104</v>
      </c>
      <c r="C2052" t="s">
        <v>52</v>
      </c>
      <c r="D2052">
        <v>35</v>
      </c>
      <c r="E2052">
        <v>63</v>
      </c>
      <c r="F2052">
        <v>0.03</v>
      </c>
      <c r="G2052">
        <f t="shared" si="2"/>
        <v>0.06</v>
      </c>
      <c r="H2052">
        <f>G2052*(11.5/38.29)</f>
        <v>1.8020370854008878E-2</v>
      </c>
    </row>
    <row r="2053" spans="1:8" x14ac:dyDescent="0.25">
      <c r="A2053" s="1">
        <v>1977</v>
      </c>
      <c r="B2053" s="1" t="s">
        <v>104</v>
      </c>
      <c r="C2053" t="s">
        <v>52</v>
      </c>
      <c r="D2053">
        <v>35</v>
      </c>
      <c r="E2053">
        <v>79</v>
      </c>
      <c r="F2053">
        <v>0.11</v>
      </c>
      <c r="G2053">
        <f t="shared" si="2"/>
        <v>0.22</v>
      </c>
      <c r="H2053">
        <f>G2053*(11.5/38.29)</f>
        <v>6.6074693131365894E-2</v>
      </c>
    </row>
    <row r="2054" spans="1:8" x14ac:dyDescent="0.25">
      <c r="A2054" s="1">
        <v>1977</v>
      </c>
      <c r="B2054" s="1" t="s">
        <v>104</v>
      </c>
      <c r="C2054" t="s">
        <v>52</v>
      </c>
      <c r="D2054">
        <v>35</v>
      </c>
      <c r="E2054">
        <v>79</v>
      </c>
      <c r="F2054">
        <v>0.02</v>
      </c>
      <c r="G2054">
        <f t="shared" si="2"/>
        <v>0.04</v>
      </c>
      <c r="H2054">
        <f>G2054*(11.5/38.29)</f>
        <v>1.2013580569339252E-2</v>
      </c>
    </row>
    <row r="2055" spans="1:8" x14ac:dyDescent="0.25">
      <c r="A2055" s="1">
        <v>1977</v>
      </c>
      <c r="B2055" s="1" t="s">
        <v>104</v>
      </c>
      <c r="C2055" t="s">
        <v>52</v>
      </c>
      <c r="D2055">
        <v>36</v>
      </c>
      <c r="E2055">
        <v>63</v>
      </c>
      <c r="F2055">
        <v>0.03</v>
      </c>
      <c r="G2055">
        <f t="shared" si="2"/>
        <v>0.06</v>
      </c>
      <c r="H2055">
        <f>G2055*(11.5/38.29)</f>
        <v>1.8020370854008878E-2</v>
      </c>
    </row>
    <row r="2056" spans="1:8" x14ac:dyDescent="0.25">
      <c r="A2056" s="1">
        <v>1977</v>
      </c>
      <c r="B2056" s="1" t="s">
        <v>104</v>
      </c>
      <c r="C2056" t="s">
        <v>52</v>
      </c>
      <c r="D2056">
        <v>36</v>
      </c>
      <c r="E2056">
        <v>63</v>
      </c>
      <c r="F2056">
        <v>0.03</v>
      </c>
      <c r="G2056">
        <f t="shared" si="2"/>
        <v>0.06</v>
      </c>
      <c r="H2056">
        <f>G2056*(11.5/38.29)</f>
        <v>1.8020370854008878E-2</v>
      </c>
    </row>
    <row r="2057" spans="1:8" x14ac:dyDescent="0.25">
      <c r="A2057" s="1">
        <v>1977</v>
      </c>
      <c r="B2057" s="1" t="s">
        <v>104</v>
      </c>
      <c r="C2057" t="s">
        <v>52</v>
      </c>
      <c r="D2057">
        <v>36</v>
      </c>
      <c r="E2057">
        <v>79</v>
      </c>
      <c r="F2057">
        <v>0.1</v>
      </c>
      <c r="G2057">
        <f t="shared" si="2"/>
        <v>0.2</v>
      </c>
      <c r="H2057">
        <f>G2057*(11.5/38.29)</f>
        <v>6.0067902846696268E-2</v>
      </c>
    </row>
    <row r="2058" spans="1:8" x14ac:dyDescent="0.25">
      <c r="A2058" s="1">
        <v>1977</v>
      </c>
      <c r="B2058" s="1" t="s">
        <v>104</v>
      </c>
      <c r="C2058" t="s">
        <v>52</v>
      </c>
      <c r="D2058">
        <v>37</v>
      </c>
      <c r="E2058">
        <v>32</v>
      </c>
      <c r="F2058">
        <v>0.04</v>
      </c>
      <c r="G2058">
        <f t="shared" si="2"/>
        <v>0.08</v>
      </c>
      <c r="H2058">
        <f>G2058*(11.5/38.29)</f>
        <v>2.4027161138678504E-2</v>
      </c>
    </row>
    <row r="2059" spans="1:8" x14ac:dyDescent="0.25">
      <c r="A2059" s="1">
        <v>1977</v>
      </c>
      <c r="B2059" s="1" t="s">
        <v>104</v>
      </c>
      <c r="C2059" t="s">
        <v>52</v>
      </c>
      <c r="D2059">
        <v>37</v>
      </c>
      <c r="E2059">
        <v>34</v>
      </c>
      <c r="F2059">
        <v>0.03</v>
      </c>
      <c r="G2059">
        <f t="shared" si="2"/>
        <v>0.06</v>
      </c>
      <c r="H2059">
        <f>G2059*(11.5/38.29)</f>
        <v>1.8020370854008878E-2</v>
      </c>
    </row>
    <row r="2060" spans="1:8" x14ac:dyDescent="0.25">
      <c r="A2060" s="1">
        <v>1977</v>
      </c>
      <c r="B2060" s="1" t="s">
        <v>104</v>
      </c>
      <c r="C2060" t="s">
        <v>52</v>
      </c>
      <c r="D2060">
        <v>37</v>
      </c>
      <c r="E2060">
        <v>34</v>
      </c>
      <c r="F2060">
        <v>0.05</v>
      </c>
      <c r="G2060">
        <f t="shared" si="2"/>
        <v>0.1</v>
      </c>
      <c r="H2060">
        <f>G2060*(11.5/38.29)</f>
        <v>3.0033951423348134E-2</v>
      </c>
    </row>
    <row r="2061" spans="1:8" x14ac:dyDescent="0.25">
      <c r="A2061" s="1">
        <v>1977</v>
      </c>
      <c r="B2061" s="1" t="s">
        <v>104</v>
      </c>
      <c r="C2061" t="s">
        <v>52</v>
      </c>
      <c r="D2061">
        <v>37</v>
      </c>
      <c r="E2061">
        <v>63</v>
      </c>
      <c r="F2061">
        <v>0.03</v>
      </c>
      <c r="G2061">
        <f t="shared" si="2"/>
        <v>0.06</v>
      </c>
      <c r="H2061">
        <f>G2061*(11.5/38.29)</f>
        <v>1.8020370854008878E-2</v>
      </c>
    </row>
    <row r="2062" spans="1:8" x14ac:dyDescent="0.25">
      <c r="A2062" s="1">
        <v>1977</v>
      </c>
      <c r="B2062" s="1" t="s">
        <v>104</v>
      </c>
      <c r="C2062" t="s">
        <v>52</v>
      </c>
      <c r="D2062">
        <v>37</v>
      </c>
      <c r="E2062">
        <v>63</v>
      </c>
      <c r="F2062">
        <v>0.08</v>
      </c>
      <c r="G2062">
        <f t="shared" si="2"/>
        <v>0.16</v>
      </c>
      <c r="H2062">
        <f>G2062*(11.5/38.29)</f>
        <v>4.8054322277357009E-2</v>
      </c>
    </row>
    <row r="2063" spans="1:8" x14ac:dyDescent="0.25">
      <c r="A2063" s="1">
        <v>1977</v>
      </c>
      <c r="B2063" s="1" t="s">
        <v>104</v>
      </c>
      <c r="C2063" t="s">
        <v>52</v>
      </c>
      <c r="D2063">
        <v>37</v>
      </c>
      <c r="E2063">
        <v>79</v>
      </c>
      <c r="F2063">
        <v>0.05</v>
      </c>
      <c r="G2063">
        <f t="shared" si="2"/>
        <v>0.1</v>
      </c>
      <c r="H2063">
        <f>G2063*(11.5/38.29)</f>
        <v>3.0033951423348134E-2</v>
      </c>
    </row>
    <row r="2064" spans="1:8" x14ac:dyDescent="0.25">
      <c r="A2064" s="1">
        <v>1977</v>
      </c>
      <c r="B2064" s="1" t="s">
        <v>104</v>
      </c>
      <c r="C2064" t="s">
        <v>52</v>
      </c>
      <c r="D2064">
        <v>37</v>
      </c>
      <c r="E2064">
        <v>79</v>
      </c>
      <c r="F2064">
        <v>0.05</v>
      </c>
      <c r="G2064">
        <f t="shared" si="2"/>
        <v>0.1</v>
      </c>
      <c r="H2064">
        <f>G2064*(11.5/38.29)</f>
        <v>3.0033951423348134E-2</v>
      </c>
    </row>
    <row r="2065" spans="1:8" x14ac:dyDescent="0.25">
      <c r="A2065" s="1">
        <v>1977</v>
      </c>
      <c r="B2065" s="1" t="s">
        <v>104</v>
      </c>
      <c r="C2065" t="s">
        <v>52</v>
      </c>
      <c r="D2065">
        <v>37</v>
      </c>
      <c r="E2065">
        <v>119</v>
      </c>
      <c r="F2065">
        <v>0.01</v>
      </c>
      <c r="G2065">
        <f t="shared" si="2"/>
        <v>0.02</v>
      </c>
      <c r="H2065">
        <f>G2065*(11.5/38.29)</f>
        <v>6.0067902846696261E-3</v>
      </c>
    </row>
    <row r="2066" spans="1:8" x14ac:dyDescent="0.25">
      <c r="A2066" s="1">
        <v>1977</v>
      </c>
      <c r="B2066" s="1" t="s">
        <v>104</v>
      </c>
      <c r="C2066" t="s">
        <v>52</v>
      </c>
      <c r="D2066">
        <v>38</v>
      </c>
      <c r="E2066">
        <v>58</v>
      </c>
      <c r="F2066">
        <v>0.01</v>
      </c>
      <c r="G2066">
        <f t="shared" si="2"/>
        <v>0.02</v>
      </c>
      <c r="H2066">
        <f>G2066*(11.5/38.29)</f>
        <v>6.0067902846696261E-3</v>
      </c>
    </row>
    <row r="2067" spans="1:8" x14ac:dyDescent="0.25">
      <c r="A2067" s="1">
        <v>1977</v>
      </c>
      <c r="B2067" s="1" t="s">
        <v>104</v>
      </c>
      <c r="C2067" t="s">
        <v>52</v>
      </c>
      <c r="D2067">
        <v>38</v>
      </c>
      <c r="E2067">
        <v>63</v>
      </c>
      <c r="F2067">
        <v>0.03</v>
      </c>
      <c r="G2067">
        <f t="shared" si="2"/>
        <v>0.06</v>
      </c>
      <c r="H2067">
        <f>G2067*(11.5/38.29)</f>
        <v>1.8020370854008878E-2</v>
      </c>
    </row>
    <row r="2068" spans="1:8" x14ac:dyDescent="0.25">
      <c r="A2068" s="1">
        <v>1977</v>
      </c>
      <c r="B2068" s="1" t="s">
        <v>104</v>
      </c>
      <c r="C2068" t="s">
        <v>52</v>
      </c>
      <c r="D2068">
        <v>38</v>
      </c>
      <c r="E2068">
        <v>63</v>
      </c>
      <c r="F2068">
        <v>0.01</v>
      </c>
      <c r="G2068">
        <f t="shared" si="2"/>
        <v>0.02</v>
      </c>
      <c r="H2068">
        <f>G2068*(11.5/38.29)</f>
        <v>6.0067902846696261E-3</v>
      </c>
    </row>
    <row r="2069" spans="1:8" x14ac:dyDescent="0.25">
      <c r="A2069" s="1">
        <v>1977</v>
      </c>
      <c r="B2069" s="1" t="s">
        <v>104</v>
      </c>
      <c r="C2069" t="s">
        <v>52</v>
      </c>
      <c r="D2069">
        <v>38</v>
      </c>
      <c r="E2069">
        <v>79</v>
      </c>
      <c r="F2069">
        <v>0.09</v>
      </c>
      <c r="G2069">
        <f t="shared" si="2"/>
        <v>0.18</v>
      </c>
      <c r="H2069">
        <f>G2069*(11.5/38.29)</f>
        <v>5.4061112562026635E-2</v>
      </c>
    </row>
    <row r="2070" spans="1:8" x14ac:dyDescent="0.25">
      <c r="A2070" s="1">
        <v>1977</v>
      </c>
      <c r="B2070" s="1" t="s">
        <v>104</v>
      </c>
      <c r="C2070" t="s">
        <v>52</v>
      </c>
      <c r="D2070">
        <v>38</v>
      </c>
      <c r="E2070">
        <v>85</v>
      </c>
      <c r="F2070">
        <v>0.01</v>
      </c>
      <c r="G2070">
        <f t="shared" si="2"/>
        <v>0.02</v>
      </c>
      <c r="H2070">
        <f>G2070*(11.5/38.29)</f>
        <v>6.0067902846696261E-3</v>
      </c>
    </row>
    <row r="2071" spans="1:8" x14ac:dyDescent="0.25">
      <c r="A2071" s="1">
        <v>1977</v>
      </c>
      <c r="B2071" s="1" t="s">
        <v>104</v>
      </c>
      <c r="C2071" t="s">
        <v>52</v>
      </c>
      <c r="D2071">
        <v>38</v>
      </c>
      <c r="E2071">
        <v>85</v>
      </c>
      <c r="F2071">
        <v>0.01</v>
      </c>
      <c r="G2071">
        <f t="shared" si="2"/>
        <v>0.02</v>
      </c>
      <c r="H2071">
        <f>G2071*(11.5/38.29)</f>
        <v>6.0067902846696261E-3</v>
      </c>
    </row>
    <row r="2072" spans="1:8" x14ac:dyDescent="0.25">
      <c r="A2072" s="1">
        <v>1977</v>
      </c>
      <c r="B2072" s="1" t="s">
        <v>104</v>
      </c>
      <c r="C2072" t="s">
        <v>52</v>
      </c>
      <c r="D2072">
        <v>38</v>
      </c>
      <c r="E2072">
        <v>85</v>
      </c>
      <c r="F2072">
        <v>0.01</v>
      </c>
      <c r="G2072">
        <f t="shared" si="2"/>
        <v>0.02</v>
      </c>
      <c r="H2072">
        <f>G2072*(11.5/38.29)</f>
        <v>6.0067902846696261E-3</v>
      </c>
    </row>
    <row r="2073" spans="1:8" x14ac:dyDescent="0.25">
      <c r="A2073" s="1">
        <v>1977</v>
      </c>
      <c r="B2073" s="1" t="s">
        <v>104</v>
      </c>
      <c r="C2073" t="s">
        <v>52</v>
      </c>
      <c r="D2073">
        <v>38</v>
      </c>
      <c r="E2073">
        <v>85</v>
      </c>
      <c r="F2073">
        <v>0.01</v>
      </c>
      <c r="G2073">
        <f t="shared" si="2"/>
        <v>0.02</v>
      </c>
      <c r="H2073">
        <f>G2073*(11.5/38.29)</f>
        <v>6.0067902846696261E-3</v>
      </c>
    </row>
    <row r="2074" spans="1:8" x14ac:dyDescent="0.25">
      <c r="A2074" s="1">
        <v>1977</v>
      </c>
      <c r="B2074" s="1" t="s">
        <v>104</v>
      </c>
      <c r="C2074" t="s">
        <v>52</v>
      </c>
      <c r="D2074">
        <v>38</v>
      </c>
      <c r="E2074">
        <v>85</v>
      </c>
      <c r="F2074">
        <v>0.01</v>
      </c>
      <c r="G2074">
        <f t="shared" si="2"/>
        <v>0.02</v>
      </c>
      <c r="H2074">
        <f>G2074*(11.5/38.29)</f>
        <v>6.0067902846696261E-3</v>
      </c>
    </row>
    <row r="2075" spans="1:8" x14ac:dyDescent="0.25">
      <c r="A2075" s="1">
        <v>1977</v>
      </c>
      <c r="B2075" s="1" t="s">
        <v>104</v>
      </c>
      <c r="C2075" t="s">
        <v>52</v>
      </c>
      <c r="D2075">
        <v>38</v>
      </c>
      <c r="E2075">
        <v>85</v>
      </c>
      <c r="F2075">
        <v>0.01</v>
      </c>
      <c r="G2075">
        <f t="shared" si="2"/>
        <v>0.02</v>
      </c>
      <c r="H2075">
        <f>G2075*(11.5/38.29)</f>
        <v>6.0067902846696261E-3</v>
      </c>
    </row>
    <row r="2076" spans="1:8" x14ac:dyDescent="0.25">
      <c r="A2076" s="1">
        <v>1977</v>
      </c>
      <c r="B2076" s="1" t="s">
        <v>104</v>
      </c>
      <c r="C2076" t="s">
        <v>52</v>
      </c>
      <c r="D2076">
        <v>38</v>
      </c>
      <c r="E2076">
        <v>85</v>
      </c>
      <c r="F2076">
        <v>0.01</v>
      </c>
      <c r="G2076">
        <f t="shared" si="2"/>
        <v>0.02</v>
      </c>
      <c r="H2076">
        <f>G2076*(11.5/38.29)</f>
        <v>6.0067902846696261E-3</v>
      </c>
    </row>
    <row r="2077" spans="1:8" x14ac:dyDescent="0.25">
      <c r="A2077" s="1">
        <v>1977</v>
      </c>
      <c r="B2077" s="1" t="s">
        <v>104</v>
      </c>
      <c r="C2077" t="s">
        <v>52</v>
      </c>
      <c r="D2077">
        <v>38</v>
      </c>
      <c r="E2077">
        <v>85</v>
      </c>
      <c r="F2077">
        <v>0.01</v>
      </c>
      <c r="G2077">
        <f t="shared" si="2"/>
        <v>0.02</v>
      </c>
      <c r="H2077">
        <f>G2077*(11.5/38.29)</f>
        <v>6.0067902846696261E-3</v>
      </c>
    </row>
    <row r="2078" spans="1:8" x14ac:dyDescent="0.25">
      <c r="A2078" s="1">
        <v>1977</v>
      </c>
      <c r="B2078" s="1" t="s">
        <v>104</v>
      </c>
      <c r="C2078" t="s">
        <v>52</v>
      </c>
      <c r="D2078">
        <v>39</v>
      </c>
      <c r="E2078">
        <v>32</v>
      </c>
      <c r="F2078">
        <v>0.02</v>
      </c>
      <c r="G2078">
        <f t="shared" si="2"/>
        <v>0.04</v>
      </c>
      <c r="H2078">
        <f>G2078*(11.5/38.29)</f>
        <v>1.2013580569339252E-2</v>
      </c>
    </row>
    <row r="2079" spans="1:8" x14ac:dyDescent="0.25">
      <c r="A2079" s="1">
        <v>1977</v>
      </c>
      <c r="B2079" s="1" t="s">
        <v>104</v>
      </c>
      <c r="C2079" t="s">
        <v>52</v>
      </c>
      <c r="D2079">
        <v>39</v>
      </c>
      <c r="E2079">
        <v>32</v>
      </c>
      <c r="F2079">
        <v>0.03</v>
      </c>
      <c r="G2079">
        <f t="shared" si="2"/>
        <v>0.06</v>
      </c>
      <c r="H2079">
        <f>G2079*(11.5/38.29)</f>
        <v>1.8020370854008878E-2</v>
      </c>
    </row>
    <row r="2080" spans="1:8" x14ac:dyDescent="0.25">
      <c r="A2080" s="1">
        <v>1977</v>
      </c>
      <c r="B2080" s="1" t="s">
        <v>104</v>
      </c>
      <c r="C2080" t="s">
        <v>52</v>
      </c>
      <c r="D2080">
        <v>39</v>
      </c>
      <c r="E2080">
        <v>54</v>
      </c>
      <c r="F2080">
        <v>0.01</v>
      </c>
      <c r="G2080">
        <f t="shared" si="2"/>
        <v>0.02</v>
      </c>
      <c r="H2080">
        <f>G2080*(11.5/38.29)</f>
        <v>6.0067902846696261E-3</v>
      </c>
    </row>
    <row r="2081" spans="1:8" x14ac:dyDescent="0.25">
      <c r="A2081" s="1">
        <v>1977</v>
      </c>
      <c r="B2081" s="1" t="s">
        <v>104</v>
      </c>
      <c r="C2081" t="s">
        <v>52</v>
      </c>
      <c r="D2081">
        <v>39</v>
      </c>
      <c r="E2081">
        <v>54</v>
      </c>
      <c r="F2081">
        <v>0.01</v>
      </c>
      <c r="G2081">
        <f t="shared" si="2"/>
        <v>0.02</v>
      </c>
      <c r="H2081">
        <f>G2081*(11.5/38.29)</f>
        <v>6.0067902846696261E-3</v>
      </c>
    </row>
    <row r="2082" spans="1:8" x14ac:dyDescent="0.25">
      <c r="A2082" s="1">
        <v>1977</v>
      </c>
      <c r="B2082" s="1" t="s">
        <v>104</v>
      </c>
      <c r="C2082" t="s">
        <v>52</v>
      </c>
      <c r="D2082">
        <v>39</v>
      </c>
      <c r="E2082">
        <v>63</v>
      </c>
      <c r="F2082">
        <v>0.04</v>
      </c>
      <c r="G2082">
        <f t="shared" si="2"/>
        <v>0.08</v>
      </c>
      <c r="H2082">
        <f>G2082*(11.5/38.29)</f>
        <v>2.4027161138678504E-2</v>
      </c>
    </row>
    <row r="2083" spans="1:8" x14ac:dyDescent="0.25">
      <c r="A2083" s="1">
        <v>1977</v>
      </c>
      <c r="B2083" s="1" t="s">
        <v>104</v>
      </c>
      <c r="C2083" t="s">
        <v>52</v>
      </c>
      <c r="D2083">
        <v>39</v>
      </c>
      <c r="E2083">
        <v>76</v>
      </c>
      <c r="F2083">
        <v>0.01</v>
      </c>
      <c r="G2083">
        <f t="shared" si="2"/>
        <v>0.02</v>
      </c>
      <c r="H2083">
        <f>G2083*(11.5/38.29)</f>
        <v>6.0067902846696261E-3</v>
      </c>
    </row>
    <row r="2084" spans="1:8" x14ac:dyDescent="0.25">
      <c r="A2084" s="1">
        <v>1977</v>
      </c>
      <c r="B2084" s="1" t="s">
        <v>104</v>
      </c>
      <c r="C2084" t="s">
        <v>52</v>
      </c>
      <c r="D2084">
        <v>40</v>
      </c>
      <c r="E2084">
        <v>63</v>
      </c>
      <c r="F2084">
        <v>0.04</v>
      </c>
      <c r="G2084">
        <f t="shared" si="2"/>
        <v>0.08</v>
      </c>
      <c r="H2084">
        <f>G2084*(11.5/38.29)</f>
        <v>2.4027161138678504E-2</v>
      </c>
    </row>
    <row r="2085" spans="1:8" x14ac:dyDescent="0.25">
      <c r="A2085" s="1">
        <v>1977</v>
      </c>
      <c r="B2085" s="1" t="s">
        <v>104</v>
      </c>
      <c r="C2085" t="s">
        <v>52</v>
      </c>
      <c r="D2085">
        <v>40</v>
      </c>
      <c r="E2085">
        <v>63</v>
      </c>
      <c r="F2085">
        <v>0.1</v>
      </c>
      <c r="G2085">
        <f t="shared" si="2"/>
        <v>0.2</v>
      </c>
      <c r="H2085">
        <f>G2085*(11.5/38.29)</f>
        <v>6.0067902846696268E-2</v>
      </c>
    </row>
    <row r="2086" spans="1:8" x14ac:dyDescent="0.25">
      <c r="A2086" s="1">
        <v>1977</v>
      </c>
      <c r="B2086" s="1" t="s">
        <v>104</v>
      </c>
      <c r="C2086" t="s">
        <v>52</v>
      </c>
      <c r="D2086">
        <v>40</v>
      </c>
      <c r="E2086">
        <v>79</v>
      </c>
      <c r="F2086">
        <v>0.03</v>
      </c>
      <c r="G2086">
        <f t="shared" si="2"/>
        <v>0.06</v>
      </c>
      <c r="H2086">
        <f>G2086*(11.5/38.29)</f>
        <v>1.8020370854008878E-2</v>
      </c>
    </row>
    <row r="2087" spans="1:8" x14ac:dyDescent="0.25">
      <c r="A2087" s="1">
        <v>1977</v>
      </c>
      <c r="B2087" s="1" t="s">
        <v>104</v>
      </c>
      <c r="C2087" t="s">
        <v>52</v>
      </c>
      <c r="D2087">
        <v>41</v>
      </c>
      <c r="E2087">
        <v>32</v>
      </c>
      <c r="F2087">
        <v>0.02</v>
      </c>
      <c r="G2087">
        <f t="shared" si="2"/>
        <v>0.04</v>
      </c>
      <c r="H2087">
        <f>G2087*(11.5/38.29)</f>
        <v>1.2013580569339252E-2</v>
      </c>
    </row>
    <row r="2088" spans="1:8" x14ac:dyDescent="0.25">
      <c r="A2088" s="1">
        <v>1977</v>
      </c>
      <c r="B2088" s="1" t="s">
        <v>104</v>
      </c>
      <c r="C2088" t="s">
        <v>52</v>
      </c>
      <c r="D2088">
        <v>41</v>
      </c>
      <c r="E2088">
        <v>63</v>
      </c>
      <c r="F2088">
        <v>0.03</v>
      </c>
      <c r="G2088">
        <f t="shared" si="2"/>
        <v>0.06</v>
      </c>
      <c r="H2088">
        <f>G2088*(11.5/38.29)</f>
        <v>1.8020370854008878E-2</v>
      </c>
    </row>
    <row r="2089" spans="1:8" x14ac:dyDescent="0.25">
      <c r="A2089" s="1">
        <v>1977</v>
      </c>
      <c r="B2089" s="1" t="s">
        <v>104</v>
      </c>
      <c r="C2089" t="s">
        <v>52</v>
      </c>
      <c r="D2089">
        <v>41</v>
      </c>
      <c r="E2089">
        <v>63</v>
      </c>
      <c r="F2089">
        <v>0.05</v>
      </c>
      <c r="G2089">
        <f t="shared" si="2"/>
        <v>0.1</v>
      </c>
      <c r="H2089">
        <f>G2089*(11.5/38.29)</f>
        <v>3.0033951423348134E-2</v>
      </c>
    </row>
    <row r="2090" spans="1:8" x14ac:dyDescent="0.25">
      <c r="A2090" s="1">
        <v>1977</v>
      </c>
      <c r="B2090" s="1" t="s">
        <v>104</v>
      </c>
      <c r="C2090" t="s">
        <v>52</v>
      </c>
      <c r="D2090">
        <v>41</v>
      </c>
      <c r="E2090">
        <v>76</v>
      </c>
      <c r="F2090">
        <v>0.01</v>
      </c>
      <c r="G2090">
        <f t="shared" si="2"/>
        <v>0.02</v>
      </c>
      <c r="H2090">
        <f>G2090*(11.5/38.29)</f>
        <v>6.0067902846696261E-3</v>
      </c>
    </row>
    <row r="2091" spans="1:8" x14ac:dyDescent="0.25">
      <c r="A2091" s="1">
        <v>1977</v>
      </c>
      <c r="B2091" s="1" t="s">
        <v>104</v>
      </c>
      <c r="C2091" t="s">
        <v>52</v>
      </c>
      <c r="D2091">
        <v>41</v>
      </c>
      <c r="E2091">
        <v>79</v>
      </c>
      <c r="F2091">
        <v>0.03</v>
      </c>
      <c r="G2091">
        <f t="shared" si="2"/>
        <v>0.06</v>
      </c>
      <c r="H2091">
        <f>G2091*(11.5/38.29)</f>
        <v>1.8020370854008878E-2</v>
      </c>
    </row>
    <row r="2092" spans="1:8" x14ac:dyDescent="0.25">
      <c r="A2092" s="1">
        <v>1977</v>
      </c>
      <c r="B2092" s="1" t="s">
        <v>104</v>
      </c>
      <c r="C2092" t="s">
        <v>52</v>
      </c>
      <c r="D2092">
        <v>41</v>
      </c>
      <c r="E2092">
        <v>119</v>
      </c>
      <c r="F2092">
        <v>0.02</v>
      </c>
      <c r="G2092">
        <f t="shared" si="2"/>
        <v>0.04</v>
      </c>
      <c r="H2092">
        <f>G2092*(11.5/38.29)</f>
        <v>1.2013580569339252E-2</v>
      </c>
    </row>
    <row r="2093" spans="1:8" x14ac:dyDescent="0.25">
      <c r="A2093" s="1">
        <v>1977</v>
      </c>
      <c r="B2093" s="1" t="s">
        <v>104</v>
      </c>
      <c r="C2093" t="s">
        <v>52</v>
      </c>
      <c r="D2093">
        <v>41</v>
      </c>
      <c r="E2093">
        <v>119</v>
      </c>
      <c r="F2093">
        <v>0.01</v>
      </c>
      <c r="G2093">
        <f t="shared" si="2"/>
        <v>0.02</v>
      </c>
      <c r="H2093">
        <f>G2093*(11.5/38.29)</f>
        <v>6.0067902846696261E-3</v>
      </c>
    </row>
    <row r="2094" spans="1:8" x14ac:dyDescent="0.25">
      <c r="A2094" s="1">
        <v>1977</v>
      </c>
      <c r="B2094" s="1" t="s">
        <v>104</v>
      </c>
      <c r="C2094" t="s">
        <v>52</v>
      </c>
      <c r="D2094">
        <v>42</v>
      </c>
      <c r="E2094">
        <v>29</v>
      </c>
      <c r="F2094">
        <v>0.09</v>
      </c>
      <c r="G2094">
        <f t="shared" si="2"/>
        <v>0.18</v>
      </c>
      <c r="H2094">
        <f>G2094*(11.5/38.29)</f>
        <v>5.4061112562026635E-2</v>
      </c>
    </row>
    <row r="2095" spans="1:8" x14ac:dyDescent="0.25">
      <c r="A2095" s="1">
        <v>1977</v>
      </c>
      <c r="B2095" s="1" t="s">
        <v>104</v>
      </c>
      <c r="C2095" t="s">
        <v>52</v>
      </c>
      <c r="D2095">
        <v>42</v>
      </c>
      <c r="E2095">
        <v>32</v>
      </c>
      <c r="F2095">
        <v>0.01</v>
      </c>
      <c r="G2095">
        <f t="shared" si="2"/>
        <v>0.02</v>
      </c>
      <c r="H2095">
        <f>G2095*(11.5/38.29)</f>
        <v>6.0067902846696261E-3</v>
      </c>
    </row>
    <row r="2096" spans="1:8" x14ac:dyDescent="0.25">
      <c r="A2096" s="1">
        <v>1977</v>
      </c>
      <c r="B2096" s="1" t="s">
        <v>104</v>
      </c>
      <c r="C2096" t="s">
        <v>52</v>
      </c>
      <c r="D2096">
        <v>42</v>
      </c>
      <c r="E2096">
        <v>32</v>
      </c>
      <c r="F2096">
        <v>0.01</v>
      </c>
      <c r="G2096">
        <f t="shared" si="2"/>
        <v>0.02</v>
      </c>
      <c r="H2096">
        <f>G2096*(11.5/38.29)</f>
        <v>6.0067902846696261E-3</v>
      </c>
    </row>
    <row r="2097" spans="1:8" x14ac:dyDescent="0.25">
      <c r="A2097" s="1">
        <v>1977</v>
      </c>
      <c r="B2097" s="1" t="s">
        <v>104</v>
      </c>
      <c r="C2097" t="s">
        <v>52</v>
      </c>
      <c r="D2097">
        <v>42</v>
      </c>
      <c r="E2097">
        <v>32</v>
      </c>
      <c r="F2097">
        <v>0.03</v>
      </c>
      <c r="G2097">
        <f t="shared" si="2"/>
        <v>0.06</v>
      </c>
      <c r="H2097">
        <f>G2097*(11.5/38.29)</f>
        <v>1.8020370854008878E-2</v>
      </c>
    </row>
    <row r="2098" spans="1:8" x14ac:dyDescent="0.25">
      <c r="A2098" s="1">
        <v>1977</v>
      </c>
      <c r="B2098" s="1" t="s">
        <v>104</v>
      </c>
      <c r="C2098" t="s">
        <v>52</v>
      </c>
      <c r="D2098">
        <v>42</v>
      </c>
      <c r="E2098">
        <v>32</v>
      </c>
      <c r="F2098">
        <v>0.01</v>
      </c>
      <c r="G2098">
        <f t="shared" si="2"/>
        <v>0.02</v>
      </c>
      <c r="H2098">
        <f>G2098*(11.5/38.29)</f>
        <v>6.0067902846696261E-3</v>
      </c>
    </row>
    <row r="2099" spans="1:8" x14ac:dyDescent="0.25">
      <c r="A2099" s="1">
        <v>1977</v>
      </c>
      <c r="B2099" s="1" t="s">
        <v>104</v>
      </c>
      <c r="C2099" t="s">
        <v>52</v>
      </c>
      <c r="D2099">
        <v>42</v>
      </c>
      <c r="E2099">
        <v>63</v>
      </c>
      <c r="F2099">
        <v>0.09</v>
      </c>
      <c r="G2099">
        <f t="shared" si="2"/>
        <v>0.18</v>
      </c>
      <c r="H2099">
        <f>G2099*(11.5/38.29)</f>
        <v>5.4061112562026635E-2</v>
      </c>
    </row>
    <row r="2100" spans="1:8" x14ac:dyDescent="0.25">
      <c r="A2100" s="1">
        <v>1977</v>
      </c>
      <c r="B2100" s="1" t="s">
        <v>104</v>
      </c>
      <c r="C2100" t="s">
        <v>52</v>
      </c>
      <c r="D2100">
        <v>42</v>
      </c>
      <c r="E2100">
        <v>63</v>
      </c>
      <c r="F2100">
        <v>0.02</v>
      </c>
      <c r="G2100">
        <f t="shared" si="2"/>
        <v>0.04</v>
      </c>
      <c r="H2100">
        <f>G2100*(11.5/38.29)</f>
        <v>1.2013580569339252E-2</v>
      </c>
    </row>
    <row r="2101" spans="1:8" x14ac:dyDescent="0.25">
      <c r="A2101" s="1">
        <v>1977</v>
      </c>
      <c r="B2101" s="1" t="s">
        <v>104</v>
      </c>
      <c r="C2101" t="s">
        <v>52</v>
      </c>
      <c r="D2101">
        <v>43</v>
      </c>
      <c r="E2101">
        <v>63</v>
      </c>
      <c r="F2101">
        <v>0.01</v>
      </c>
      <c r="G2101">
        <f t="shared" si="2"/>
        <v>0.02</v>
      </c>
      <c r="H2101">
        <f>G2101*(11.5/38.29)</f>
        <v>6.0067902846696261E-3</v>
      </c>
    </row>
    <row r="2102" spans="1:8" x14ac:dyDescent="0.25">
      <c r="A2102" s="1">
        <v>1977</v>
      </c>
      <c r="B2102" s="1" t="s">
        <v>104</v>
      </c>
      <c r="C2102" t="s">
        <v>52</v>
      </c>
      <c r="D2102">
        <v>43</v>
      </c>
      <c r="E2102">
        <v>85</v>
      </c>
      <c r="F2102">
        <v>0.01</v>
      </c>
      <c r="G2102">
        <f t="shared" si="2"/>
        <v>0.02</v>
      </c>
      <c r="H2102">
        <f>G2102*(11.5/38.29)</f>
        <v>6.0067902846696261E-3</v>
      </c>
    </row>
    <row r="2103" spans="1:8" x14ac:dyDescent="0.25">
      <c r="A2103" s="1">
        <v>1977</v>
      </c>
      <c r="B2103" s="1" t="s">
        <v>104</v>
      </c>
      <c r="C2103" t="s">
        <v>52</v>
      </c>
      <c r="D2103">
        <v>44</v>
      </c>
      <c r="E2103">
        <v>63</v>
      </c>
      <c r="F2103">
        <v>0.01</v>
      </c>
      <c r="G2103">
        <f t="shared" si="2"/>
        <v>0.02</v>
      </c>
      <c r="H2103">
        <f>G2103*(11.5/38.29)</f>
        <v>6.0067902846696261E-3</v>
      </c>
    </row>
    <row r="2104" spans="1:8" x14ac:dyDescent="0.25">
      <c r="A2104" s="1">
        <v>1977</v>
      </c>
      <c r="B2104" s="1" t="s">
        <v>104</v>
      </c>
      <c r="C2104" t="s">
        <v>52</v>
      </c>
      <c r="D2104">
        <v>44</v>
      </c>
      <c r="E2104">
        <v>63</v>
      </c>
      <c r="F2104">
        <v>0.01</v>
      </c>
      <c r="G2104">
        <f t="shared" si="2"/>
        <v>0.02</v>
      </c>
      <c r="H2104">
        <f>G2104*(11.5/38.29)</f>
        <v>6.0067902846696261E-3</v>
      </c>
    </row>
    <row r="2105" spans="1:8" x14ac:dyDescent="0.25">
      <c r="A2105" s="1">
        <v>1977</v>
      </c>
      <c r="B2105" s="1" t="s">
        <v>104</v>
      </c>
      <c r="C2105" t="s">
        <v>52</v>
      </c>
      <c r="D2105">
        <v>44</v>
      </c>
      <c r="E2105">
        <v>79</v>
      </c>
      <c r="F2105">
        <v>0.06</v>
      </c>
      <c r="G2105">
        <f t="shared" si="2"/>
        <v>0.12</v>
      </c>
      <c r="H2105">
        <f>G2105*(11.5/38.29)</f>
        <v>3.6040741708017757E-2</v>
      </c>
    </row>
    <row r="2106" spans="1:8" x14ac:dyDescent="0.25">
      <c r="A2106" s="1">
        <v>1977</v>
      </c>
      <c r="B2106" s="1" t="s">
        <v>104</v>
      </c>
      <c r="C2106" t="s">
        <v>52</v>
      </c>
      <c r="D2106">
        <v>44</v>
      </c>
      <c r="E2106">
        <v>85</v>
      </c>
      <c r="F2106">
        <v>0.01</v>
      </c>
      <c r="G2106">
        <f t="shared" si="2"/>
        <v>0.02</v>
      </c>
      <c r="H2106">
        <f>G2106*(11.5/38.29)</f>
        <v>6.0067902846696261E-3</v>
      </c>
    </row>
    <row r="2107" spans="1:8" x14ac:dyDescent="0.25">
      <c r="A2107" s="1">
        <v>1977</v>
      </c>
      <c r="B2107" s="1" t="s">
        <v>104</v>
      </c>
      <c r="C2107" t="s">
        <v>52</v>
      </c>
      <c r="D2107">
        <v>45</v>
      </c>
      <c r="E2107">
        <v>29</v>
      </c>
      <c r="F2107">
        <v>0.03</v>
      </c>
      <c r="G2107">
        <f t="shared" si="2"/>
        <v>0.06</v>
      </c>
      <c r="H2107">
        <f>G2107*(11.5/38.29)</f>
        <v>1.8020370854008878E-2</v>
      </c>
    </row>
    <row r="2108" spans="1:8" x14ac:dyDescent="0.25">
      <c r="A2108" s="1">
        <v>1977</v>
      </c>
      <c r="B2108" s="1" t="s">
        <v>104</v>
      </c>
      <c r="C2108" t="s">
        <v>52</v>
      </c>
      <c r="D2108">
        <v>45</v>
      </c>
      <c r="E2108">
        <v>63</v>
      </c>
      <c r="F2108">
        <v>0.11</v>
      </c>
      <c r="G2108">
        <f t="shared" si="2"/>
        <v>0.22</v>
      </c>
      <c r="H2108">
        <f>G2108*(11.5/38.29)</f>
        <v>6.6074693131365894E-2</v>
      </c>
    </row>
    <row r="2109" spans="1:8" x14ac:dyDescent="0.25">
      <c r="A2109" s="1">
        <v>1977</v>
      </c>
      <c r="B2109" s="1" t="s">
        <v>104</v>
      </c>
      <c r="C2109" t="s">
        <v>52</v>
      </c>
      <c r="D2109">
        <v>45</v>
      </c>
      <c r="E2109">
        <v>85</v>
      </c>
      <c r="F2109">
        <v>0.01</v>
      </c>
      <c r="G2109">
        <f t="shared" si="2"/>
        <v>0.02</v>
      </c>
      <c r="H2109">
        <f>G2109*(11.5/38.29)</f>
        <v>6.0067902846696261E-3</v>
      </c>
    </row>
    <row r="2110" spans="1:8" x14ac:dyDescent="0.25">
      <c r="A2110" s="1">
        <v>1977</v>
      </c>
      <c r="B2110" s="1" t="s">
        <v>104</v>
      </c>
      <c r="C2110" t="s">
        <v>52</v>
      </c>
      <c r="D2110">
        <v>46</v>
      </c>
      <c r="E2110">
        <v>29</v>
      </c>
      <c r="F2110">
        <v>0.03</v>
      </c>
      <c r="G2110">
        <f t="shared" si="2"/>
        <v>0.06</v>
      </c>
      <c r="H2110">
        <f>G2110*(11.5/38.29)</f>
        <v>1.8020370854008878E-2</v>
      </c>
    </row>
    <row r="2111" spans="1:8" x14ac:dyDescent="0.25">
      <c r="A2111" s="1">
        <v>1977</v>
      </c>
      <c r="B2111" s="1" t="s">
        <v>104</v>
      </c>
      <c r="C2111" t="s">
        <v>52</v>
      </c>
      <c r="D2111">
        <v>46</v>
      </c>
      <c r="E2111">
        <v>29</v>
      </c>
      <c r="F2111">
        <v>0.05</v>
      </c>
      <c r="G2111">
        <f t="shared" si="2"/>
        <v>0.1</v>
      </c>
      <c r="H2111">
        <f>G2111*(11.5/38.29)</f>
        <v>3.0033951423348134E-2</v>
      </c>
    </row>
    <row r="2112" spans="1:8" x14ac:dyDescent="0.25">
      <c r="A2112" s="1">
        <v>1977</v>
      </c>
      <c r="B2112" s="1" t="s">
        <v>104</v>
      </c>
      <c r="C2112" t="s">
        <v>52</v>
      </c>
      <c r="D2112">
        <v>46</v>
      </c>
      <c r="E2112">
        <v>29</v>
      </c>
      <c r="F2112">
        <v>0.01</v>
      </c>
      <c r="G2112">
        <f t="shared" ref="G2112:G2134" si="3">(F2112/0.01)/50</f>
        <v>0.02</v>
      </c>
      <c r="H2112">
        <f>G2112*(11.5/38.29)</f>
        <v>6.0067902846696261E-3</v>
      </c>
    </row>
    <row r="2113" spans="1:8" x14ac:dyDescent="0.25">
      <c r="A2113" s="1">
        <v>1977</v>
      </c>
      <c r="B2113" s="1" t="s">
        <v>104</v>
      </c>
      <c r="C2113" t="s">
        <v>52</v>
      </c>
      <c r="D2113">
        <v>46</v>
      </c>
      <c r="E2113">
        <v>29</v>
      </c>
      <c r="F2113">
        <v>0.03</v>
      </c>
      <c r="G2113">
        <f t="shared" si="3"/>
        <v>0.06</v>
      </c>
      <c r="H2113">
        <f>G2113*(11.5/38.29)</f>
        <v>1.8020370854008878E-2</v>
      </c>
    </row>
    <row r="2114" spans="1:8" x14ac:dyDescent="0.25">
      <c r="A2114" s="1">
        <v>1977</v>
      </c>
      <c r="B2114" s="1" t="s">
        <v>104</v>
      </c>
      <c r="C2114" t="s">
        <v>52</v>
      </c>
      <c r="D2114">
        <v>46</v>
      </c>
      <c r="E2114">
        <v>63</v>
      </c>
      <c r="F2114">
        <v>0.01</v>
      </c>
      <c r="G2114">
        <f t="shared" si="3"/>
        <v>0.02</v>
      </c>
      <c r="H2114">
        <f>G2114*(11.5/38.29)</f>
        <v>6.0067902846696261E-3</v>
      </c>
    </row>
    <row r="2115" spans="1:8" x14ac:dyDescent="0.25">
      <c r="A2115" s="1">
        <v>1977</v>
      </c>
      <c r="B2115" s="1" t="s">
        <v>104</v>
      </c>
      <c r="C2115" t="s">
        <v>52</v>
      </c>
      <c r="D2115">
        <v>46</v>
      </c>
      <c r="E2115">
        <v>85</v>
      </c>
      <c r="F2115">
        <v>0.01</v>
      </c>
      <c r="G2115">
        <f t="shared" si="3"/>
        <v>0.02</v>
      </c>
      <c r="H2115">
        <f>G2115*(11.5/38.29)</f>
        <v>6.0067902846696261E-3</v>
      </c>
    </row>
    <row r="2116" spans="1:8" x14ac:dyDescent="0.25">
      <c r="A2116" s="1">
        <v>1977</v>
      </c>
      <c r="B2116" s="1" t="s">
        <v>104</v>
      </c>
      <c r="C2116" t="s">
        <v>52</v>
      </c>
      <c r="D2116">
        <v>48</v>
      </c>
      <c r="E2116">
        <v>11</v>
      </c>
      <c r="F2116">
        <v>0.01</v>
      </c>
      <c r="G2116">
        <f t="shared" si="3"/>
        <v>0.02</v>
      </c>
      <c r="H2116">
        <f>G2116*(11.5/38.29)</f>
        <v>6.0067902846696261E-3</v>
      </c>
    </row>
    <row r="2117" spans="1:8" x14ac:dyDescent="0.25">
      <c r="A2117" s="1">
        <v>1977</v>
      </c>
      <c r="B2117" s="1" t="s">
        <v>104</v>
      </c>
      <c r="C2117" t="s">
        <v>52</v>
      </c>
      <c r="D2117">
        <v>48</v>
      </c>
      <c r="E2117">
        <v>11</v>
      </c>
      <c r="F2117">
        <v>7.0000000000000007E-2</v>
      </c>
      <c r="G2117">
        <f t="shared" si="3"/>
        <v>0.14000000000000001</v>
      </c>
      <c r="H2117">
        <f>G2117*(11.5/38.29)</f>
        <v>4.204753199268739E-2</v>
      </c>
    </row>
    <row r="2118" spans="1:8" x14ac:dyDescent="0.25">
      <c r="A2118" s="1">
        <v>1977</v>
      </c>
      <c r="B2118" s="1" t="s">
        <v>104</v>
      </c>
      <c r="C2118" t="s">
        <v>52</v>
      </c>
      <c r="D2118">
        <v>48</v>
      </c>
      <c r="E2118">
        <v>79</v>
      </c>
      <c r="F2118">
        <v>0.04</v>
      </c>
      <c r="G2118">
        <f t="shared" si="3"/>
        <v>0.08</v>
      </c>
      <c r="H2118">
        <f>G2118*(11.5/38.29)</f>
        <v>2.4027161138678504E-2</v>
      </c>
    </row>
    <row r="2119" spans="1:8" x14ac:dyDescent="0.25">
      <c r="A2119" s="1">
        <v>1977</v>
      </c>
      <c r="B2119" s="1" t="s">
        <v>104</v>
      </c>
      <c r="C2119" t="s">
        <v>52</v>
      </c>
      <c r="D2119">
        <v>48</v>
      </c>
      <c r="E2119">
        <v>79</v>
      </c>
      <c r="F2119">
        <v>0.04</v>
      </c>
      <c r="G2119">
        <f t="shared" si="3"/>
        <v>0.08</v>
      </c>
      <c r="H2119">
        <f>G2119*(11.5/38.29)</f>
        <v>2.4027161138678504E-2</v>
      </c>
    </row>
    <row r="2120" spans="1:8" x14ac:dyDescent="0.25">
      <c r="A2120" s="1">
        <v>1977</v>
      </c>
      <c r="B2120" s="1" t="s">
        <v>104</v>
      </c>
      <c r="C2120" t="s">
        <v>52</v>
      </c>
      <c r="D2120">
        <v>48</v>
      </c>
      <c r="E2120">
        <v>79</v>
      </c>
      <c r="F2120">
        <v>0.12</v>
      </c>
      <c r="G2120">
        <f t="shared" si="3"/>
        <v>0.24</v>
      </c>
      <c r="H2120">
        <f>G2120*(11.5/38.29)</f>
        <v>7.2081483416035513E-2</v>
      </c>
    </row>
    <row r="2121" spans="1:8" x14ac:dyDescent="0.25">
      <c r="A2121" s="1">
        <v>1977</v>
      </c>
      <c r="B2121" s="1" t="s">
        <v>104</v>
      </c>
      <c r="C2121" t="s">
        <v>52</v>
      </c>
      <c r="D2121">
        <v>48</v>
      </c>
      <c r="E2121">
        <v>79</v>
      </c>
      <c r="F2121">
        <v>0.03</v>
      </c>
      <c r="G2121">
        <f t="shared" si="3"/>
        <v>0.06</v>
      </c>
      <c r="H2121">
        <f>G2121*(11.5/38.29)</f>
        <v>1.8020370854008878E-2</v>
      </c>
    </row>
    <row r="2122" spans="1:8" x14ac:dyDescent="0.25">
      <c r="A2122" s="1">
        <v>1977</v>
      </c>
      <c r="B2122" s="1" t="s">
        <v>104</v>
      </c>
      <c r="C2122" t="s">
        <v>52</v>
      </c>
      <c r="D2122">
        <v>48</v>
      </c>
      <c r="E2122">
        <v>79</v>
      </c>
      <c r="F2122">
        <v>0.02</v>
      </c>
      <c r="G2122">
        <f t="shared" si="3"/>
        <v>0.04</v>
      </c>
      <c r="H2122">
        <f>G2122*(11.5/38.29)</f>
        <v>1.2013580569339252E-2</v>
      </c>
    </row>
    <row r="2123" spans="1:8" x14ac:dyDescent="0.25">
      <c r="A2123" s="1">
        <v>1977</v>
      </c>
      <c r="B2123" s="1" t="s">
        <v>104</v>
      </c>
      <c r="C2123" t="s">
        <v>52</v>
      </c>
      <c r="D2123">
        <v>48</v>
      </c>
      <c r="E2123">
        <v>79</v>
      </c>
      <c r="F2123">
        <v>0.03</v>
      </c>
      <c r="G2123">
        <f t="shared" si="3"/>
        <v>0.06</v>
      </c>
      <c r="H2123">
        <f>G2123*(11.5/38.29)</f>
        <v>1.8020370854008878E-2</v>
      </c>
    </row>
    <row r="2124" spans="1:8" x14ac:dyDescent="0.25">
      <c r="A2124" s="1">
        <v>1977</v>
      </c>
      <c r="B2124" s="1" t="s">
        <v>104</v>
      </c>
      <c r="C2124" t="s">
        <v>52</v>
      </c>
      <c r="D2124">
        <v>48</v>
      </c>
      <c r="E2124">
        <v>88</v>
      </c>
      <c r="F2124">
        <v>0.03</v>
      </c>
      <c r="G2124">
        <f t="shared" si="3"/>
        <v>0.06</v>
      </c>
      <c r="H2124">
        <f>G2124*(11.5/38.29)</f>
        <v>1.8020370854008878E-2</v>
      </c>
    </row>
    <row r="2125" spans="1:8" x14ac:dyDescent="0.25">
      <c r="A2125" s="1">
        <v>1977</v>
      </c>
      <c r="B2125" s="1" t="s">
        <v>104</v>
      </c>
      <c r="C2125" t="s">
        <v>52</v>
      </c>
      <c r="D2125">
        <v>49</v>
      </c>
      <c r="E2125">
        <v>79</v>
      </c>
      <c r="F2125">
        <v>0.01</v>
      </c>
      <c r="G2125">
        <f t="shared" si="3"/>
        <v>0.02</v>
      </c>
      <c r="H2125">
        <f>G2125*(11.5/38.29)</f>
        <v>6.0067902846696261E-3</v>
      </c>
    </row>
    <row r="2126" spans="1:8" x14ac:dyDescent="0.25">
      <c r="A2126" s="1">
        <v>1977</v>
      </c>
      <c r="B2126" s="1" t="s">
        <v>104</v>
      </c>
      <c r="C2126" t="s">
        <v>52</v>
      </c>
      <c r="D2126">
        <v>49</v>
      </c>
      <c r="E2126">
        <v>79</v>
      </c>
      <c r="F2126">
        <v>0.01</v>
      </c>
      <c r="G2126">
        <f t="shared" si="3"/>
        <v>0.02</v>
      </c>
      <c r="H2126">
        <f>G2126*(11.5/38.29)</f>
        <v>6.0067902846696261E-3</v>
      </c>
    </row>
    <row r="2127" spans="1:8" x14ac:dyDescent="0.25">
      <c r="A2127" s="1">
        <v>1977</v>
      </c>
      <c r="B2127" s="1" t="s">
        <v>104</v>
      </c>
      <c r="C2127" t="s">
        <v>52</v>
      </c>
      <c r="D2127">
        <v>49</v>
      </c>
      <c r="E2127">
        <v>79</v>
      </c>
      <c r="F2127">
        <v>0.05</v>
      </c>
      <c r="G2127">
        <f t="shared" si="3"/>
        <v>0.1</v>
      </c>
      <c r="H2127">
        <f>G2127*(11.5/38.29)</f>
        <v>3.0033951423348134E-2</v>
      </c>
    </row>
    <row r="2128" spans="1:8" x14ac:dyDescent="0.25">
      <c r="A2128" s="1">
        <v>1977</v>
      </c>
      <c r="B2128" s="1" t="s">
        <v>104</v>
      </c>
      <c r="C2128" t="s">
        <v>52</v>
      </c>
      <c r="D2128">
        <v>49</v>
      </c>
      <c r="E2128">
        <v>85</v>
      </c>
      <c r="F2128">
        <v>0.04</v>
      </c>
      <c r="G2128">
        <f t="shared" si="3"/>
        <v>0.08</v>
      </c>
      <c r="H2128">
        <f>G2128*(11.5/38.29)</f>
        <v>2.4027161138678504E-2</v>
      </c>
    </row>
    <row r="2129" spans="1:8" x14ac:dyDescent="0.25">
      <c r="A2129" s="1">
        <v>1977</v>
      </c>
      <c r="B2129" s="1" t="s">
        <v>104</v>
      </c>
      <c r="C2129" t="s">
        <v>52</v>
      </c>
      <c r="D2129">
        <v>50</v>
      </c>
      <c r="E2129">
        <v>40</v>
      </c>
      <c r="F2129">
        <v>0.08</v>
      </c>
      <c r="G2129">
        <f t="shared" si="3"/>
        <v>0.16</v>
      </c>
      <c r="H2129">
        <f>G2129*(11.5/38.29)</f>
        <v>4.8054322277357009E-2</v>
      </c>
    </row>
    <row r="2130" spans="1:8" x14ac:dyDescent="0.25">
      <c r="A2130" s="1">
        <v>1977</v>
      </c>
      <c r="B2130" s="1" t="s">
        <v>104</v>
      </c>
      <c r="C2130" t="s">
        <v>52</v>
      </c>
      <c r="D2130">
        <v>50</v>
      </c>
      <c r="E2130">
        <v>63</v>
      </c>
      <c r="F2130">
        <v>0.11</v>
      </c>
      <c r="G2130">
        <f t="shared" si="3"/>
        <v>0.22</v>
      </c>
      <c r="H2130">
        <f>G2130*(11.5/38.29)</f>
        <v>6.6074693131365894E-2</v>
      </c>
    </row>
    <row r="2131" spans="1:8" x14ac:dyDescent="0.25">
      <c r="A2131" s="1">
        <v>1977</v>
      </c>
      <c r="B2131" s="1" t="s">
        <v>104</v>
      </c>
      <c r="C2131" t="s">
        <v>52</v>
      </c>
      <c r="D2131">
        <v>50</v>
      </c>
      <c r="E2131">
        <v>63</v>
      </c>
      <c r="F2131">
        <v>0.02</v>
      </c>
      <c r="G2131">
        <f t="shared" si="3"/>
        <v>0.04</v>
      </c>
      <c r="H2131">
        <f>G2131*(11.5/38.29)</f>
        <v>1.2013580569339252E-2</v>
      </c>
    </row>
    <row r="2132" spans="1:8" x14ac:dyDescent="0.25">
      <c r="A2132" s="1">
        <v>1977</v>
      </c>
      <c r="B2132" s="1" t="s">
        <v>104</v>
      </c>
      <c r="C2132" t="s">
        <v>52</v>
      </c>
      <c r="D2132">
        <v>50</v>
      </c>
      <c r="E2132">
        <v>85</v>
      </c>
      <c r="F2132">
        <v>0.01</v>
      </c>
      <c r="G2132">
        <f t="shared" si="3"/>
        <v>0.02</v>
      </c>
      <c r="H2132">
        <f>G2132*(11.5/38.29)</f>
        <v>6.0067902846696261E-3</v>
      </c>
    </row>
    <row r="2133" spans="1:8" x14ac:dyDescent="0.25">
      <c r="A2133" s="1">
        <v>1977</v>
      </c>
      <c r="B2133" s="1" t="s">
        <v>104</v>
      </c>
      <c r="C2133" t="s">
        <v>52</v>
      </c>
      <c r="D2133">
        <v>50</v>
      </c>
      <c r="E2133">
        <v>85</v>
      </c>
      <c r="F2133">
        <v>0.01</v>
      </c>
      <c r="G2133">
        <f t="shared" si="3"/>
        <v>0.02</v>
      </c>
      <c r="H2133">
        <f>G2133*(11.5/38.29)</f>
        <v>6.0067902846696261E-3</v>
      </c>
    </row>
    <row r="2134" spans="1:8" x14ac:dyDescent="0.25">
      <c r="A2134" s="1">
        <v>1977</v>
      </c>
      <c r="B2134" s="1" t="s">
        <v>104</v>
      </c>
      <c r="C2134" t="s">
        <v>52</v>
      </c>
      <c r="D2134">
        <v>50</v>
      </c>
      <c r="E2134">
        <v>85</v>
      </c>
      <c r="F2134">
        <v>0.01</v>
      </c>
      <c r="G2134">
        <f t="shared" si="3"/>
        <v>0.02</v>
      </c>
      <c r="H2134">
        <f>G2134*(11.5/38.29)</f>
        <v>6.0067902846696261E-3</v>
      </c>
    </row>
    <row r="2135" spans="1:8" x14ac:dyDescent="0.25">
      <c r="A2135" s="1">
        <v>1993</v>
      </c>
      <c r="B2135" s="1" t="s">
        <v>104</v>
      </c>
      <c r="C2135" t="s">
        <v>52</v>
      </c>
      <c r="D2135">
        <v>1</v>
      </c>
      <c r="E2135">
        <v>29</v>
      </c>
      <c r="F2135">
        <v>0.01</v>
      </c>
      <c r="G2135">
        <f>(F2135/0.0026)/72</f>
        <v>5.3418803418803423E-2</v>
      </c>
      <c r="H2135">
        <f>G2135*(11.5/38.29)</f>
        <v>1.6043777469737251E-2</v>
      </c>
    </row>
    <row r="2136" spans="1:8" x14ac:dyDescent="0.25">
      <c r="A2136" s="1">
        <v>1993</v>
      </c>
      <c r="B2136" s="1" t="s">
        <v>104</v>
      </c>
      <c r="C2136" t="s">
        <v>52</v>
      </c>
      <c r="D2136">
        <v>1</v>
      </c>
      <c r="E2136">
        <v>32</v>
      </c>
      <c r="F2136">
        <v>0.02</v>
      </c>
      <c r="G2136">
        <f t="shared" ref="G2136:G2199" si="4">(F2136/0.0026)/72</f>
        <v>0.10683760683760685</v>
      </c>
      <c r="H2136">
        <f>G2136*(11.5/38.29)</f>
        <v>3.2087554939474502E-2</v>
      </c>
    </row>
    <row r="2137" spans="1:8" x14ac:dyDescent="0.25">
      <c r="A2137" s="1">
        <v>1993</v>
      </c>
      <c r="B2137" s="1" t="s">
        <v>104</v>
      </c>
      <c r="C2137" t="s">
        <v>52</v>
      </c>
      <c r="D2137">
        <v>1</v>
      </c>
      <c r="E2137">
        <v>32</v>
      </c>
      <c r="F2137">
        <v>0.01</v>
      </c>
      <c r="G2137">
        <f t="shared" si="4"/>
        <v>5.3418803418803423E-2</v>
      </c>
      <c r="H2137">
        <f>G2137*(11.5/38.29)</f>
        <v>1.6043777469737251E-2</v>
      </c>
    </row>
    <row r="2138" spans="1:8" x14ac:dyDescent="0.25">
      <c r="A2138" s="1">
        <v>1993</v>
      </c>
      <c r="B2138" s="1" t="s">
        <v>104</v>
      </c>
      <c r="C2138" t="s">
        <v>52</v>
      </c>
      <c r="D2138">
        <v>1</v>
      </c>
      <c r="E2138">
        <v>32</v>
      </c>
      <c r="F2138">
        <v>0.01</v>
      </c>
      <c r="G2138">
        <f t="shared" si="4"/>
        <v>5.3418803418803423E-2</v>
      </c>
      <c r="H2138">
        <f>G2138*(11.5/38.29)</f>
        <v>1.6043777469737251E-2</v>
      </c>
    </row>
    <row r="2139" spans="1:8" x14ac:dyDescent="0.25">
      <c r="A2139" s="1">
        <v>1993</v>
      </c>
      <c r="B2139" s="1" t="s">
        <v>104</v>
      </c>
      <c r="C2139" t="s">
        <v>52</v>
      </c>
      <c r="D2139">
        <v>1</v>
      </c>
      <c r="E2139">
        <v>32</v>
      </c>
      <c r="F2139">
        <v>0.02</v>
      </c>
      <c r="G2139">
        <f t="shared" si="4"/>
        <v>0.10683760683760685</v>
      </c>
      <c r="H2139">
        <f>G2139*(11.5/38.29)</f>
        <v>3.2087554939474502E-2</v>
      </c>
    </row>
    <row r="2140" spans="1:8" x14ac:dyDescent="0.25">
      <c r="A2140" s="1">
        <v>1993</v>
      </c>
      <c r="B2140" s="1" t="s">
        <v>104</v>
      </c>
      <c r="C2140" t="s">
        <v>52</v>
      </c>
      <c r="D2140">
        <v>1</v>
      </c>
      <c r="E2140">
        <v>32</v>
      </c>
      <c r="F2140">
        <v>0.01</v>
      </c>
      <c r="G2140">
        <f t="shared" si="4"/>
        <v>5.3418803418803423E-2</v>
      </c>
      <c r="H2140">
        <f>G2140*(11.5/38.29)</f>
        <v>1.6043777469737251E-2</v>
      </c>
    </row>
    <row r="2141" spans="1:8" x14ac:dyDescent="0.25">
      <c r="A2141" s="1">
        <v>1993</v>
      </c>
      <c r="B2141" s="1" t="s">
        <v>104</v>
      </c>
      <c r="C2141" t="s">
        <v>52</v>
      </c>
      <c r="D2141">
        <v>1</v>
      </c>
      <c r="E2141">
        <v>32</v>
      </c>
      <c r="F2141">
        <v>0.01</v>
      </c>
      <c r="G2141">
        <f t="shared" si="4"/>
        <v>5.3418803418803423E-2</v>
      </c>
      <c r="H2141">
        <f>G2141*(11.5/38.29)</f>
        <v>1.6043777469737251E-2</v>
      </c>
    </row>
    <row r="2142" spans="1:8" x14ac:dyDescent="0.25">
      <c r="A2142" s="1">
        <v>1993</v>
      </c>
      <c r="B2142" s="1" t="s">
        <v>104</v>
      </c>
      <c r="C2142" t="s">
        <v>52</v>
      </c>
      <c r="D2142">
        <v>1</v>
      </c>
      <c r="E2142">
        <v>32</v>
      </c>
      <c r="F2142">
        <v>0.01</v>
      </c>
      <c r="G2142">
        <f t="shared" si="4"/>
        <v>5.3418803418803423E-2</v>
      </c>
      <c r="H2142">
        <f>G2142*(11.5/38.29)</f>
        <v>1.6043777469737251E-2</v>
      </c>
    </row>
    <row r="2143" spans="1:8" x14ac:dyDescent="0.25">
      <c r="A2143" s="1">
        <v>1993</v>
      </c>
      <c r="B2143" s="1" t="s">
        <v>104</v>
      </c>
      <c r="C2143" t="s">
        <v>52</v>
      </c>
      <c r="D2143">
        <v>1</v>
      </c>
      <c r="E2143">
        <v>33</v>
      </c>
      <c r="F2143">
        <v>0.02</v>
      </c>
      <c r="G2143">
        <f t="shared" si="4"/>
        <v>0.10683760683760685</v>
      </c>
      <c r="H2143">
        <f>G2143*(11.5/38.29)</f>
        <v>3.2087554939474502E-2</v>
      </c>
    </row>
    <row r="2144" spans="1:8" x14ac:dyDescent="0.25">
      <c r="A2144" s="1">
        <v>1993</v>
      </c>
      <c r="B2144" s="1" t="s">
        <v>104</v>
      </c>
      <c r="C2144" t="s">
        <v>52</v>
      </c>
      <c r="D2144">
        <v>2</v>
      </c>
      <c r="E2144">
        <v>29</v>
      </c>
      <c r="F2144">
        <v>0.03</v>
      </c>
      <c r="G2144">
        <f t="shared" si="4"/>
        <v>0.16025641025641024</v>
      </c>
      <c r="H2144">
        <f>G2144*(11.5/38.29)</f>
        <v>4.8131332409211747E-2</v>
      </c>
    </row>
    <row r="2145" spans="1:8" x14ac:dyDescent="0.25">
      <c r="A2145" s="1">
        <v>1993</v>
      </c>
      <c r="B2145" s="1" t="s">
        <v>104</v>
      </c>
      <c r="C2145" t="s">
        <v>52</v>
      </c>
      <c r="D2145">
        <v>2</v>
      </c>
      <c r="E2145">
        <v>29</v>
      </c>
      <c r="F2145">
        <v>0.03</v>
      </c>
      <c r="G2145">
        <f t="shared" si="4"/>
        <v>0.16025641025641024</v>
      </c>
      <c r="H2145">
        <f>G2145*(11.5/38.29)</f>
        <v>4.8131332409211747E-2</v>
      </c>
    </row>
    <row r="2146" spans="1:8" x14ac:dyDescent="0.25">
      <c r="A2146" s="1">
        <v>1993</v>
      </c>
      <c r="B2146" s="1" t="s">
        <v>104</v>
      </c>
      <c r="C2146" t="s">
        <v>52</v>
      </c>
      <c r="D2146">
        <v>2</v>
      </c>
      <c r="E2146">
        <v>32</v>
      </c>
      <c r="F2146">
        <v>0.02</v>
      </c>
      <c r="G2146">
        <f t="shared" si="4"/>
        <v>0.10683760683760685</v>
      </c>
      <c r="H2146">
        <f>G2146*(11.5/38.29)</f>
        <v>3.2087554939474502E-2</v>
      </c>
    </row>
    <row r="2147" spans="1:8" x14ac:dyDescent="0.25">
      <c r="A2147" s="1">
        <v>1993</v>
      </c>
      <c r="B2147" s="1" t="s">
        <v>104</v>
      </c>
      <c r="C2147" t="s">
        <v>52</v>
      </c>
      <c r="D2147">
        <v>2</v>
      </c>
      <c r="E2147">
        <v>32</v>
      </c>
      <c r="F2147">
        <v>0.01</v>
      </c>
      <c r="G2147">
        <f t="shared" si="4"/>
        <v>5.3418803418803423E-2</v>
      </c>
      <c r="H2147">
        <f>G2147*(11.5/38.29)</f>
        <v>1.6043777469737251E-2</v>
      </c>
    </row>
    <row r="2148" spans="1:8" x14ac:dyDescent="0.25">
      <c r="A2148" s="1">
        <v>1993</v>
      </c>
      <c r="B2148" s="1" t="s">
        <v>104</v>
      </c>
      <c r="C2148" t="s">
        <v>52</v>
      </c>
      <c r="D2148">
        <v>2</v>
      </c>
      <c r="E2148">
        <v>32</v>
      </c>
      <c r="F2148">
        <v>0.01</v>
      </c>
      <c r="G2148">
        <f t="shared" si="4"/>
        <v>5.3418803418803423E-2</v>
      </c>
      <c r="H2148">
        <f>G2148*(11.5/38.29)</f>
        <v>1.6043777469737251E-2</v>
      </c>
    </row>
    <row r="2149" spans="1:8" x14ac:dyDescent="0.25">
      <c r="A2149" s="1">
        <v>1993</v>
      </c>
      <c r="B2149" s="1" t="s">
        <v>104</v>
      </c>
      <c r="C2149" t="s">
        <v>52</v>
      </c>
      <c r="D2149">
        <v>2</v>
      </c>
      <c r="E2149">
        <v>32</v>
      </c>
      <c r="F2149">
        <v>0.01</v>
      </c>
      <c r="G2149">
        <f t="shared" si="4"/>
        <v>5.3418803418803423E-2</v>
      </c>
      <c r="H2149">
        <f>G2149*(11.5/38.29)</f>
        <v>1.6043777469737251E-2</v>
      </c>
    </row>
    <row r="2150" spans="1:8" x14ac:dyDescent="0.25">
      <c r="A2150" s="1">
        <v>1993</v>
      </c>
      <c r="B2150" s="1" t="s">
        <v>104</v>
      </c>
      <c r="C2150" t="s">
        <v>52</v>
      </c>
      <c r="D2150">
        <v>2</v>
      </c>
      <c r="E2150">
        <v>32</v>
      </c>
      <c r="F2150">
        <v>0.03</v>
      </c>
      <c r="G2150">
        <f t="shared" si="4"/>
        <v>0.16025641025641024</v>
      </c>
      <c r="H2150">
        <f>G2150*(11.5/38.29)</f>
        <v>4.8131332409211747E-2</v>
      </c>
    </row>
    <row r="2151" spans="1:8" x14ac:dyDescent="0.25">
      <c r="A2151" s="1">
        <v>1993</v>
      </c>
      <c r="B2151" s="1" t="s">
        <v>104</v>
      </c>
      <c r="C2151" t="s">
        <v>52</v>
      </c>
      <c r="D2151">
        <v>2</v>
      </c>
      <c r="E2151">
        <v>53</v>
      </c>
      <c r="F2151">
        <v>0.01</v>
      </c>
      <c r="G2151">
        <f t="shared" si="4"/>
        <v>5.3418803418803423E-2</v>
      </c>
      <c r="H2151">
        <f>G2151*(11.5/38.29)</f>
        <v>1.6043777469737251E-2</v>
      </c>
    </row>
    <row r="2152" spans="1:8" x14ac:dyDescent="0.25">
      <c r="A2152" s="1">
        <v>1993</v>
      </c>
      <c r="B2152" s="1" t="s">
        <v>104</v>
      </c>
      <c r="C2152" t="s">
        <v>52</v>
      </c>
      <c r="D2152">
        <v>2</v>
      </c>
      <c r="E2152">
        <v>63</v>
      </c>
      <c r="F2152">
        <v>0.01</v>
      </c>
      <c r="G2152">
        <f t="shared" si="4"/>
        <v>5.3418803418803423E-2</v>
      </c>
      <c r="H2152">
        <f>G2152*(11.5/38.29)</f>
        <v>1.6043777469737251E-2</v>
      </c>
    </row>
    <row r="2153" spans="1:8" x14ac:dyDescent="0.25">
      <c r="A2153" s="1">
        <v>1993</v>
      </c>
      <c r="B2153" s="1" t="s">
        <v>104</v>
      </c>
      <c r="C2153" t="s">
        <v>52</v>
      </c>
      <c r="D2153">
        <v>2</v>
      </c>
      <c r="E2153">
        <v>63</v>
      </c>
      <c r="F2153">
        <v>0.01</v>
      </c>
      <c r="G2153">
        <f t="shared" si="4"/>
        <v>5.3418803418803423E-2</v>
      </c>
      <c r="H2153">
        <f>G2153*(11.5/38.29)</f>
        <v>1.6043777469737251E-2</v>
      </c>
    </row>
    <row r="2154" spans="1:8" x14ac:dyDescent="0.25">
      <c r="A2154" s="1">
        <v>1993</v>
      </c>
      <c r="B2154" s="1" t="s">
        <v>104</v>
      </c>
      <c r="C2154" t="s">
        <v>52</v>
      </c>
      <c r="D2154">
        <v>2</v>
      </c>
      <c r="E2154">
        <v>63</v>
      </c>
      <c r="F2154">
        <v>0.01</v>
      </c>
      <c r="G2154">
        <f t="shared" si="4"/>
        <v>5.3418803418803423E-2</v>
      </c>
      <c r="H2154">
        <f>G2154*(11.5/38.29)</f>
        <v>1.6043777469737251E-2</v>
      </c>
    </row>
    <row r="2155" spans="1:8" x14ac:dyDescent="0.25">
      <c r="A2155" s="1">
        <v>1993</v>
      </c>
      <c r="B2155" s="1" t="s">
        <v>104</v>
      </c>
      <c r="C2155" t="s">
        <v>52</v>
      </c>
      <c r="D2155">
        <v>2</v>
      </c>
      <c r="E2155">
        <v>63</v>
      </c>
      <c r="F2155">
        <v>0.01</v>
      </c>
      <c r="G2155">
        <f t="shared" si="4"/>
        <v>5.3418803418803423E-2</v>
      </c>
      <c r="H2155">
        <f>G2155*(11.5/38.29)</f>
        <v>1.6043777469737251E-2</v>
      </c>
    </row>
    <row r="2156" spans="1:8" x14ac:dyDescent="0.25">
      <c r="A2156" s="1">
        <v>1993</v>
      </c>
      <c r="B2156" s="1" t="s">
        <v>104</v>
      </c>
      <c r="C2156" t="s">
        <v>52</v>
      </c>
      <c r="D2156">
        <v>2</v>
      </c>
      <c r="E2156">
        <v>63</v>
      </c>
      <c r="F2156">
        <v>0.02</v>
      </c>
      <c r="G2156">
        <f t="shared" si="4"/>
        <v>0.10683760683760685</v>
      </c>
      <c r="H2156">
        <f>G2156*(11.5/38.29)</f>
        <v>3.2087554939474502E-2</v>
      </c>
    </row>
    <row r="2157" spans="1:8" x14ac:dyDescent="0.25">
      <c r="A2157" s="1">
        <v>1993</v>
      </c>
      <c r="B2157" s="1" t="s">
        <v>104</v>
      </c>
      <c r="C2157" t="s">
        <v>52</v>
      </c>
      <c r="D2157">
        <v>2</v>
      </c>
      <c r="E2157">
        <v>78</v>
      </c>
      <c r="F2157">
        <v>0.01</v>
      </c>
      <c r="G2157">
        <f t="shared" si="4"/>
        <v>5.3418803418803423E-2</v>
      </c>
      <c r="H2157">
        <f>G2157*(11.5/38.29)</f>
        <v>1.6043777469737251E-2</v>
      </c>
    </row>
    <row r="2158" spans="1:8" x14ac:dyDescent="0.25">
      <c r="A2158" s="1">
        <v>1993</v>
      </c>
      <c r="B2158" s="1" t="s">
        <v>104</v>
      </c>
      <c r="C2158" t="s">
        <v>52</v>
      </c>
      <c r="D2158">
        <v>2</v>
      </c>
      <c r="E2158">
        <v>79</v>
      </c>
      <c r="F2158">
        <v>0.01</v>
      </c>
      <c r="G2158">
        <f t="shared" si="4"/>
        <v>5.3418803418803423E-2</v>
      </c>
      <c r="H2158">
        <f>G2158*(11.5/38.29)</f>
        <v>1.6043777469737251E-2</v>
      </c>
    </row>
    <row r="2159" spans="1:8" x14ac:dyDescent="0.25">
      <c r="A2159" s="1">
        <v>1993</v>
      </c>
      <c r="B2159" s="1" t="s">
        <v>104</v>
      </c>
      <c r="C2159" t="s">
        <v>52</v>
      </c>
      <c r="D2159">
        <v>2</v>
      </c>
      <c r="E2159">
        <v>79</v>
      </c>
      <c r="F2159">
        <v>0.02</v>
      </c>
      <c r="G2159">
        <f t="shared" si="4"/>
        <v>0.10683760683760685</v>
      </c>
      <c r="H2159">
        <f>G2159*(11.5/38.29)</f>
        <v>3.2087554939474502E-2</v>
      </c>
    </row>
    <row r="2160" spans="1:8" x14ac:dyDescent="0.25">
      <c r="A2160" s="1">
        <v>1993</v>
      </c>
      <c r="B2160" s="1" t="s">
        <v>104</v>
      </c>
      <c r="C2160" t="s">
        <v>52</v>
      </c>
      <c r="D2160">
        <v>2</v>
      </c>
      <c r="E2160">
        <v>79</v>
      </c>
      <c r="F2160">
        <v>0.01</v>
      </c>
      <c r="G2160">
        <f t="shared" si="4"/>
        <v>5.3418803418803423E-2</v>
      </c>
      <c r="H2160">
        <f>G2160*(11.5/38.29)</f>
        <v>1.6043777469737251E-2</v>
      </c>
    </row>
    <row r="2161" spans="1:8" x14ac:dyDescent="0.25">
      <c r="A2161" s="1">
        <v>1993</v>
      </c>
      <c r="B2161" s="1" t="s">
        <v>104</v>
      </c>
      <c r="C2161" t="s">
        <v>52</v>
      </c>
      <c r="D2161">
        <v>2</v>
      </c>
      <c r="E2161">
        <v>79</v>
      </c>
      <c r="F2161">
        <v>0.01</v>
      </c>
      <c r="G2161">
        <f t="shared" si="4"/>
        <v>5.3418803418803423E-2</v>
      </c>
      <c r="H2161">
        <f>G2161*(11.5/38.29)</f>
        <v>1.6043777469737251E-2</v>
      </c>
    </row>
    <row r="2162" spans="1:8" x14ac:dyDescent="0.25">
      <c r="A2162" s="1">
        <v>1993</v>
      </c>
      <c r="B2162" s="1" t="s">
        <v>104</v>
      </c>
      <c r="C2162" t="s">
        <v>52</v>
      </c>
      <c r="D2162">
        <v>2</v>
      </c>
      <c r="E2162">
        <v>85</v>
      </c>
      <c r="F2162">
        <v>0.02</v>
      </c>
      <c r="G2162">
        <f t="shared" si="4"/>
        <v>0.10683760683760685</v>
      </c>
      <c r="H2162">
        <f>G2162*(11.5/38.29)</f>
        <v>3.2087554939474502E-2</v>
      </c>
    </row>
    <row r="2163" spans="1:8" x14ac:dyDescent="0.25">
      <c r="A2163" s="1">
        <v>1993</v>
      </c>
      <c r="B2163" s="1" t="s">
        <v>104</v>
      </c>
      <c r="C2163" t="s">
        <v>52</v>
      </c>
      <c r="D2163">
        <v>3</v>
      </c>
      <c r="E2163">
        <v>32</v>
      </c>
      <c r="F2163">
        <v>0.01</v>
      </c>
      <c r="G2163">
        <f t="shared" si="4"/>
        <v>5.3418803418803423E-2</v>
      </c>
      <c r="H2163">
        <f>G2163*(11.5/38.29)</f>
        <v>1.6043777469737251E-2</v>
      </c>
    </row>
    <row r="2164" spans="1:8" x14ac:dyDescent="0.25">
      <c r="A2164" s="1">
        <v>1993</v>
      </c>
      <c r="B2164" s="1" t="s">
        <v>104</v>
      </c>
      <c r="C2164" t="s">
        <v>52</v>
      </c>
      <c r="D2164">
        <v>3</v>
      </c>
      <c r="E2164">
        <v>32</v>
      </c>
      <c r="F2164">
        <v>0.01</v>
      </c>
      <c r="G2164">
        <f t="shared" si="4"/>
        <v>5.3418803418803423E-2</v>
      </c>
      <c r="H2164">
        <f>G2164*(11.5/38.29)</f>
        <v>1.6043777469737251E-2</v>
      </c>
    </row>
    <row r="2165" spans="1:8" x14ac:dyDescent="0.25">
      <c r="A2165" s="1">
        <v>1993</v>
      </c>
      <c r="B2165" s="1" t="s">
        <v>104</v>
      </c>
      <c r="C2165" t="s">
        <v>52</v>
      </c>
      <c r="D2165">
        <v>3</v>
      </c>
      <c r="E2165">
        <v>32</v>
      </c>
      <c r="F2165">
        <v>0.01</v>
      </c>
      <c r="G2165">
        <f t="shared" si="4"/>
        <v>5.3418803418803423E-2</v>
      </c>
      <c r="H2165">
        <f>G2165*(11.5/38.29)</f>
        <v>1.6043777469737251E-2</v>
      </c>
    </row>
    <row r="2166" spans="1:8" x14ac:dyDescent="0.25">
      <c r="A2166" s="1">
        <v>1993</v>
      </c>
      <c r="B2166" s="1" t="s">
        <v>104</v>
      </c>
      <c r="C2166" t="s">
        <v>52</v>
      </c>
      <c r="D2166">
        <v>3</v>
      </c>
      <c r="E2166">
        <v>54</v>
      </c>
      <c r="F2166">
        <v>0.01</v>
      </c>
      <c r="G2166">
        <f t="shared" si="4"/>
        <v>5.3418803418803423E-2</v>
      </c>
      <c r="H2166">
        <f>G2166*(11.5/38.29)</f>
        <v>1.6043777469737251E-2</v>
      </c>
    </row>
    <row r="2167" spans="1:8" x14ac:dyDescent="0.25">
      <c r="A2167" s="1">
        <v>1993</v>
      </c>
      <c r="B2167" s="1" t="s">
        <v>104</v>
      </c>
      <c r="C2167" t="s">
        <v>52</v>
      </c>
      <c r="D2167">
        <v>3</v>
      </c>
      <c r="E2167">
        <v>63</v>
      </c>
      <c r="F2167">
        <v>0.02</v>
      </c>
      <c r="G2167">
        <f t="shared" si="4"/>
        <v>0.10683760683760685</v>
      </c>
      <c r="H2167">
        <f>G2167*(11.5/38.29)</f>
        <v>3.2087554939474502E-2</v>
      </c>
    </row>
    <row r="2168" spans="1:8" x14ac:dyDescent="0.25">
      <c r="A2168" s="1">
        <v>1993</v>
      </c>
      <c r="B2168" s="1" t="s">
        <v>104</v>
      </c>
      <c r="C2168" t="s">
        <v>52</v>
      </c>
      <c r="D2168">
        <v>3</v>
      </c>
      <c r="E2168">
        <v>71</v>
      </c>
      <c r="F2168">
        <v>0.01</v>
      </c>
      <c r="G2168">
        <f t="shared" si="4"/>
        <v>5.3418803418803423E-2</v>
      </c>
      <c r="H2168">
        <f>G2168*(11.5/38.29)</f>
        <v>1.6043777469737251E-2</v>
      </c>
    </row>
    <row r="2169" spans="1:8" x14ac:dyDescent="0.25">
      <c r="A2169" s="1">
        <v>1993</v>
      </c>
      <c r="B2169" s="1" t="s">
        <v>104</v>
      </c>
      <c r="C2169" t="s">
        <v>52</v>
      </c>
      <c r="D2169">
        <v>3</v>
      </c>
      <c r="E2169">
        <v>79</v>
      </c>
      <c r="F2169">
        <v>0.02</v>
      </c>
      <c r="G2169">
        <f t="shared" si="4"/>
        <v>0.10683760683760685</v>
      </c>
      <c r="H2169">
        <f>G2169*(11.5/38.29)</f>
        <v>3.2087554939474502E-2</v>
      </c>
    </row>
    <row r="2170" spans="1:8" x14ac:dyDescent="0.25">
      <c r="A2170" s="1">
        <v>1993</v>
      </c>
      <c r="B2170" s="1" t="s">
        <v>104</v>
      </c>
      <c r="C2170" t="s">
        <v>52</v>
      </c>
      <c r="D2170">
        <v>3</v>
      </c>
      <c r="E2170">
        <v>79</v>
      </c>
      <c r="F2170">
        <v>0.03</v>
      </c>
      <c r="G2170">
        <f t="shared" si="4"/>
        <v>0.16025641025641024</v>
      </c>
      <c r="H2170">
        <f>G2170*(11.5/38.29)</f>
        <v>4.8131332409211747E-2</v>
      </c>
    </row>
    <row r="2171" spans="1:8" x14ac:dyDescent="0.25">
      <c r="A2171" s="1">
        <v>1993</v>
      </c>
      <c r="B2171" s="1" t="s">
        <v>104</v>
      </c>
      <c r="C2171" t="s">
        <v>52</v>
      </c>
      <c r="D2171">
        <v>3</v>
      </c>
      <c r="E2171">
        <v>79</v>
      </c>
      <c r="F2171">
        <v>0.01</v>
      </c>
      <c r="G2171">
        <f t="shared" si="4"/>
        <v>5.3418803418803423E-2</v>
      </c>
      <c r="H2171">
        <f>G2171*(11.5/38.29)</f>
        <v>1.6043777469737251E-2</v>
      </c>
    </row>
    <row r="2172" spans="1:8" x14ac:dyDescent="0.25">
      <c r="A2172" s="1">
        <v>1993</v>
      </c>
      <c r="B2172" s="1" t="s">
        <v>104</v>
      </c>
      <c r="C2172" t="s">
        <v>52</v>
      </c>
      <c r="D2172">
        <v>4</v>
      </c>
      <c r="E2172">
        <v>29</v>
      </c>
      <c r="F2172">
        <v>0.03</v>
      </c>
      <c r="G2172">
        <f t="shared" si="4"/>
        <v>0.16025641025641024</v>
      </c>
      <c r="H2172">
        <f>G2172*(11.5/38.29)</f>
        <v>4.8131332409211747E-2</v>
      </c>
    </row>
    <row r="2173" spans="1:8" x14ac:dyDescent="0.25">
      <c r="A2173" s="1">
        <v>1993</v>
      </c>
      <c r="B2173" s="1" t="s">
        <v>104</v>
      </c>
      <c r="C2173" t="s">
        <v>52</v>
      </c>
      <c r="D2173">
        <v>4</v>
      </c>
      <c r="E2173">
        <v>32</v>
      </c>
      <c r="F2173">
        <v>0.02</v>
      </c>
      <c r="G2173">
        <f t="shared" si="4"/>
        <v>0.10683760683760685</v>
      </c>
      <c r="H2173">
        <f>G2173*(11.5/38.29)</f>
        <v>3.2087554939474502E-2</v>
      </c>
    </row>
    <row r="2174" spans="1:8" x14ac:dyDescent="0.25">
      <c r="A2174" s="1">
        <v>1993</v>
      </c>
      <c r="B2174" s="1" t="s">
        <v>104</v>
      </c>
      <c r="C2174" t="s">
        <v>52</v>
      </c>
      <c r="D2174">
        <v>4</v>
      </c>
      <c r="E2174">
        <v>32</v>
      </c>
      <c r="F2174">
        <v>0.02</v>
      </c>
      <c r="G2174">
        <f t="shared" si="4"/>
        <v>0.10683760683760685</v>
      </c>
      <c r="H2174">
        <f>G2174*(11.5/38.29)</f>
        <v>3.2087554939474502E-2</v>
      </c>
    </row>
    <row r="2175" spans="1:8" x14ac:dyDescent="0.25">
      <c r="A2175" s="1">
        <v>1993</v>
      </c>
      <c r="B2175" s="1" t="s">
        <v>104</v>
      </c>
      <c r="C2175" t="s">
        <v>52</v>
      </c>
      <c r="D2175">
        <v>4</v>
      </c>
      <c r="E2175">
        <v>32</v>
      </c>
      <c r="F2175">
        <v>0.03</v>
      </c>
      <c r="G2175">
        <f t="shared" si="4"/>
        <v>0.16025641025641024</v>
      </c>
      <c r="H2175">
        <f>G2175*(11.5/38.29)</f>
        <v>4.8131332409211747E-2</v>
      </c>
    </row>
    <row r="2176" spans="1:8" x14ac:dyDescent="0.25">
      <c r="A2176" s="1">
        <v>1993</v>
      </c>
      <c r="B2176" s="1" t="s">
        <v>104</v>
      </c>
      <c r="C2176" t="s">
        <v>52</v>
      </c>
      <c r="D2176">
        <v>4</v>
      </c>
      <c r="E2176">
        <v>32</v>
      </c>
      <c r="F2176">
        <v>0.01</v>
      </c>
      <c r="G2176">
        <f t="shared" si="4"/>
        <v>5.3418803418803423E-2</v>
      </c>
      <c r="H2176">
        <f>G2176*(11.5/38.29)</f>
        <v>1.6043777469737251E-2</v>
      </c>
    </row>
    <row r="2177" spans="1:8" x14ac:dyDescent="0.25">
      <c r="A2177" s="1">
        <v>1993</v>
      </c>
      <c r="B2177" s="1" t="s">
        <v>104</v>
      </c>
      <c r="C2177" t="s">
        <v>52</v>
      </c>
      <c r="D2177">
        <v>4</v>
      </c>
      <c r="E2177">
        <v>32</v>
      </c>
      <c r="F2177">
        <v>0.01</v>
      </c>
      <c r="G2177">
        <f t="shared" si="4"/>
        <v>5.3418803418803423E-2</v>
      </c>
      <c r="H2177">
        <f>G2177*(11.5/38.29)</f>
        <v>1.6043777469737251E-2</v>
      </c>
    </row>
    <row r="2178" spans="1:8" x14ac:dyDescent="0.25">
      <c r="A2178" s="1">
        <v>1993</v>
      </c>
      <c r="B2178" s="1" t="s">
        <v>104</v>
      </c>
      <c r="C2178" t="s">
        <v>52</v>
      </c>
      <c r="D2178">
        <v>4</v>
      </c>
      <c r="E2178">
        <v>32</v>
      </c>
      <c r="F2178">
        <v>0.01</v>
      </c>
      <c r="G2178">
        <f t="shared" si="4"/>
        <v>5.3418803418803423E-2</v>
      </c>
      <c r="H2178">
        <f>G2178*(11.5/38.29)</f>
        <v>1.6043777469737251E-2</v>
      </c>
    </row>
    <row r="2179" spans="1:8" x14ac:dyDescent="0.25">
      <c r="A2179" s="1">
        <v>1993</v>
      </c>
      <c r="B2179" s="1" t="s">
        <v>104</v>
      </c>
      <c r="C2179" t="s">
        <v>52</v>
      </c>
      <c r="D2179">
        <v>4</v>
      </c>
      <c r="E2179">
        <v>32</v>
      </c>
      <c r="F2179">
        <v>0.01</v>
      </c>
      <c r="G2179">
        <f t="shared" si="4"/>
        <v>5.3418803418803423E-2</v>
      </c>
      <c r="H2179">
        <f>G2179*(11.5/38.29)</f>
        <v>1.6043777469737251E-2</v>
      </c>
    </row>
    <row r="2180" spans="1:8" x14ac:dyDescent="0.25">
      <c r="A2180" s="1">
        <v>1996</v>
      </c>
      <c r="B2180" s="1" t="s">
        <v>104</v>
      </c>
      <c r="C2180" t="s">
        <v>52</v>
      </c>
      <c r="D2180">
        <v>1</v>
      </c>
      <c r="E2180">
        <v>29</v>
      </c>
      <c r="F2180">
        <v>0.01</v>
      </c>
      <c r="G2180">
        <f t="shared" si="4"/>
        <v>5.3418803418803423E-2</v>
      </c>
      <c r="H2180">
        <f>G2180*(11.5/38.29)</f>
        <v>1.6043777469737251E-2</v>
      </c>
    </row>
    <row r="2181" spans="1:8" x14ac:dyDescent="0.25">
      <c r="A2181" s="1">
        <v>1996</v>
      </c>
      <c r="B2181" s="1" t="s">
        <v>104</v>
      </c>
      <c r="C2181" t="s">
        <v>52</v>
      </c>
      <c r="D2181">
        <v>1</v>
      </c>
      <c r="E2181">
        <v>32</v>
      </c>
      <c r="F2181">
        <v>0.01</v>
      </c>
      <c r="G2181">
        <f t="shared" si="4"/>
        <v>5.3418803418803423E-2</v>
      </c>
      <c r="H2181">
        <f>G2181*(11.5/38.29)</f>
        <v>1.6043777469737251E-2</v>
      </c>
    </row>
    <row r="2182" spans="1:8" x14ac:dyDescent="0.25">
      <c r="A2182" s="1">
        <v>1996</v>
      </c>
      <c r="B2182" s="1" t="s">
        <v>104</v>
      </c>
      <c r="C2182" t="s">
        <v>52</v>
      </c>
      <c r="D2182">
        <v>1</v>
      </c>
      <c r="E2182">
        <v>32</v>
      </c>
      <c r="F2182">
        <v>0.01</v>
      </c>
      <c r="G2182">
        <f t="shared" si="4"/>
        <v>5.3418803418803423E-2</v>
      </c>
      <c r="H2182">
        <f>G2182*(11.5/38.29)</f>
        <v>1.6043777469737251E-2</v>
      </c>
    </row>
    <row r="2183" spans="1:8" x14ac:dyDescent="0.25">
      <c r="A2183" s="1">
        <v>1996</v>
      </c>
      <c r="B2183" s="1" t="s">
        <v>104</v>
      </c>
      <c r="C2183" t="s">
        <v>52</v>
      </c>
      <c r="D2183">
        <v>1</v>
      </c>
      <c r="E2183">
        <v>32</v>
      </c>
      <c r="F2183">
        <v>0.02</v>
      </c>
      <c r="G2183">
        <f t="shared" si="4"/>
        <v>0.10683760683760685</v>
      </c>
      <c r="H2183">
        <f>G2183*(11.5/38.29)</f>
        <v>3.2087554939474502E-2</v>
      </c>
    </row>
    <row r="2184" spans="1:8" x14ac:dyDescent="0.25">
      <c r="A2184" s="1">
        <v>1996</v>
      </c>
      <c r="B2184" s="1" t="s">
        <v>104</v>
      </c>
      <c r="C2184" t="s">
        <v>52</v>
      </c>
      <c r="D2184">
        <v>1</v>
      </c>
      <c r="E2184">
        <v>32</v>
      </c>
      <c r="F2184">
        <v>0.01</v>
      </c>
      <c r="G2184">
        <f t="shared" si="4"/>
        <v>5.3418803418803423E-2</v>
      </c>
      <c r="H2184">
        <f>G2184*(11.5/38.29)</f>
        <v>1.6043777469737251E-2</v>
      </c>
    </row>
    <row r="2185" spans="1:8" x14ac:dyDescent="0.25">
      <c r="A2185" s="1">
        <v>1996</v>
      </c>
      <c r="B2185" s="1" t="s">
        <v>104</v>
      </c>
      <c r="C2185" t="s">
        <v>52</v>
      </c>
      <c r="D2185">
        <v>1</v>
      </c>
      <c r="E2185">
        <v>32</v>
      </c>
      <c r="F2185">
        <v>0.01</v>
      </c>
      <c r="G2185">
        <f t="shared" si="4"/>
        <v>5.3418803418803423E-2</v>
      </c>
      <c r="H2185">
        <f>G2185*(11.5/38.29)</f>
        <v>1.6043777469737251E-2</v>
      </c>
    </row>
    <row r="2186" spans="1:8" x14ac:dyDescent="0.25">
      <c r="A2186" s="1">
        <v>1996</v>
      </c>
      <c r="B2186" s="1" t="s">
        <v>104</v>
      </c>
      <c r="C2186" t="s">
        <v>52</v>
      </c>
      <c r="D2186">
        <v>1</v>
      </c>
      <c r="E2186">
        <v>32</v>
      </c>
      <c r="F2186">
        <v>0.02</v>
      </c>
      <c r="G2186">
        <f t="shared" si="4"/>
        <v>0.10683760683760685</v>
      </c>
      <c r="H2186">
        <f>G2186*(11.5/38.29)</f>
        <v>3.2087554939474502E-2</v>
      </c>
    </row>
    <row r="2187" spans="1:8" x14ac:dyDescent="0.25">
      <c r="A2187" s="1">
        <v>1996</v>
      </c>
      <c r="B2187" s="1" t="s">
        <v>104</v>
      </c>
      <c r="C2187" t="s">
        <v>52</v>
      </c>
      <c r="D2187">
        <v>1</v>
      </c>
      <c r="E2187">
        <v>32</v>
      </c>
      <c r="F2187">
        <v>0.01</v>
      </c>
      <c r="G2187">
        <f t="shared" si="4"/>
        <v>5.3418803418803423E-2</v>
      </c>
      <c r="H2187">
        <f>G2187*(11.5/38.29)</f>
        <v>1.6043777469737251E-2</v>
      </c>
    </row>
    <row r="2188" spans="1:8" x14ac:dyDescent="0.25">
      <c r="A2188" s="1">
        <v>1996</v>
      </c>
      <c r="B2188" s="1" t="s">
        <v>104</v>
      </c>
      <c r="C2188" t="s">
        <v>52</v>
      </c>
      <c r="D2188">
        <v>2</v>
      </c>
      <c r="E2188">
        <v>29</v>
      </c>
      <c r="F2188">
        <v>0.03</v>
      </c>
      <c r="G2188">
        <f t="shared" si="4"/>
        <v>0.16025641025641024</v>
      </c>
      <c r="H2188">
        <f>G2188*(11.5/38.29)</f>
        <v>4.8131332409211747E-2</v>
      </c>
    </row>
    <row r="2189" spans="1:8" x14ac:dyDescent="0.25">
      <c r="A2189" s="1">
        <v>1996</v>
      </c>
      <c r="B2189" s="1" t="s">
        <v>104</v>
      </c>
      <c r="C2189" t="s">
        <v>52</v>
      </c>
      <c r="D2189">
        <v>2</v>
      </c>
      <c r="E2189">
        <v>29</v>
      </c>
      <c r="F2189">
        <v>0.03</v>
      </c>
      <c r="G2189">
        <f t="shared" si="4"/>
        <v>0.16025641025641024</v>
      </c>
      <c r="H2189">
        <f>G2189*(11.5/38.29)</f>
        <v>4.8131332409211747E-2</v>
      </c>
    </row>
    <row r="2190" spans="1:8" x14ac:dyDescent="0.25">
      <c r="A2190" s="1">
        <v>1996</v>
      </c>
      <c r="B2190" s="1" t="s">
        <v>104</v>
      </c>
      <c r="C2190" t="s">
        <v>52</v>
      </c>
      <c r="D2190">
        <v>2</v>
      </c>
      <c r="E2190">
        <v>32</v>
      </c>
      <c r="F2190">
        <v>0.02</v>
      </c>
      <c r="G2190">
        <f t="shared" si="4"/>
        <v>0.10683760683760685</v>
      </c>
      <c r="H2190">
        <f>G2190*(11.5/38.29)</f>
        <v>3.2087554939474502E-2</v>
      </c>
    </row>
    <row r="2191" spans="1:8" x14ac:dyDescent="0.25">
      <c r="A2191" s="1">
        <v>1996</v>
      </c>
      <c r="B2191" s="1" t="s">
        <v>104</v>
      </c>
      <c r="C2191" t="s">
        <v>52</v>
      </c>
      <c r="D2191">
        <v>2</v>
      </c>
      <c r="E2191">
        <v>32</v>
      </c>
      <c r="F2191">
        <v>0.01</v>
      </c>
      <c r="G2191">
        <f t="shared" si="4"/>
        <v>5.3418803418803423E-2</v>
      </c>
      <c r="H2191">
        <f>G2191*(11.5/38.29)</f>
        <v>1.6043777469737251E-2</v>
      </c>
    </row>
    <row r="2192" spans="1:8" x14ac:dyDescent="0.25">
      <c r="A2192" s="1">
        <v>1996</v>
      </c>
      <c r="B2192" s="1" t="s">
        <v>104</v>
      </c>
      <c r="C2192" t="s">
        <v>52</v>
      </c>
      <c r="D2192">
        <v>2</v>
      </c>
      <c r="E2192">
        <v>32</v>
      </c>
      <c r="F2192">
        <v>0.02</v>
      </c>
      <c r="G2192">
        <f t="shared" si="4"/>
        <v>0.10683760683760685</v>
      </c>
      <c r="H2192">
        <f>G2192*(11.5/38.29)</f>
        <v>3.2087554939474502E-2</v>
      </c>
    </row>
    <row r="2193" spans="1:8" x14ac:dyDescent="0.25">
      <c r="A2193" s="1">
        <v>1996</v>
      </c>
      <c r="B2193" s="1" t="s">
        <v>104</v>
      </c>
      <c r="C2193" t="s">
        <v>52</v>
      </c>
      <c r="D2193">
        <v>2</v>
      </c>
      <c r="E2193">
        <v>32</v>
      </c>
      <c r="F2193">
        <v>0.01</v>
      </c>
      <c r="G2193">
        <f t="shared" si="4"/>
        <v>5.3418803418803423E-2</v>
      </c>
      <c r="H2193">
        <f>G2193*(11.5/38.29)</f>
        <v>1.6043777469737251E-2</v>
      </c>
    </row>
    <row r="2194" spans="1:8" x14ac:dyDescent="0.25">
      <c r="A2194" s="1">
        <v>1996</v>
      </c>
      <c r="B2194" s="1" t="s">
        <v>104</v>
      </c>
      <c r="C2194" t="s">
        <v>52</v>
      </c>
      <c r="D2194">
        <v>2</v>
      </c>
      <c r="E2194">
        <v>32</v>
      </c>
      <c r="F2194">
        <v>0.01</v>
      </c>
      <c r="G2194">
        <f t="shared" si="4"/>
        <v>5.3418803418803423E-2</v>
      </c>
      <c r="H2194">
        <f>G2194*(11.5/38.29)</f>
        <v>1.6043777469737251E-2</v>
      </c>
    </row>
    <row r="2195" spans="1:8" x14ac:dyDescent="0.25">
      <c r="A2195" s="1">
        <v>1996</v>
      </c>
      <c r="B2195" s="1" t="s">
        <v>104</v>
      </c>
      <c r="C2195" t="s">
        <v>52</v>
      </c>
      <c r="D2195">
        <v>2</v>
      </c>
      <c r="E2195">
        <v>32</v>
      </c>
      <c r="F2195">
        <v>0.03</v>
      </c>
      <c r="G2195">
        <f t="shared" si="4"/>
        <v>0.16025641025641024</v>
      </c>
      <c r="H2195">
        <f>G2195*(11.5/38.29)</f>
        <v>4.8131332409211747E-2</v>
      </c>
    </row>
    <row r="2196" spans="1:8" x14ac:dyDescent="0.25">
      <c r="A2196" s="1">
        <v>1996</v>
      </c>
      <c r="B2196" s="1" t="s">
        <v>104</v>
      </c>
      <c r="C2196" t="s">
        <v>52</v>
      </c>
      <c r="D2196">
        <v>2</v>
      </c>
      <c r="E2196">
        <v>53</v>
      </c>
      <c r="F2196">
        <v>0.01</v>
      </c>
      <c r="G2196">
        <f t="shared" si="4"/>
        <v>5.3418803418803423E-2</v>
      </c>
      <c r="H2196">
        <f>G2196*(11.5/38.29)</f>
        <v>1.6043777469737251E-2</v>
      </c>
    </row>
    <row r="2197" spans="1:8" x14ac:dyDescent="0.25">
      <c r="A2197" s="1">
        <v>1996</v>
      </c>
      <c r="B2197" s="1" t="s">
        <v>104</v>
      </c>
      <c r="C2197" t="s">
        <v>52</v>
      </c>
      <c r="D2197">
        <v>2</v>
      </c>
      <c r="E2197">
        <v>63</v>
      </c>
      <c r="F2197">
        <v>0.01</v>
      </c>
      <c r="G2197">
        <f t="shared" si="4"/>
        <v>5.3418803418803423E-2</v>
      </c>
      <c r="H2197">
        <f>G2197*(11.5/38.29)</f>
        <v>1.6043777469737251E-2</v>
      </c>
    </row>
    <row r="2198" spans="1:8" x14ac:dyDescent="0.25">
      <c r="A2198" s="1">
        <v>1996</v>
      </c>
      <c r="B2198" s="1" t="s">
        <v>104</v>
      </c>
      <c r="C2198" t="s">
        <v>52</v>
      </c>
      <c r="D2198">
        <v>2</v>
      </c>
      <c r="E2198">
        <v>63</v>
      </c>
      <c r="F2198">
        <v>0.01</v>
      </c>
      <c r="G2198">
        <f t="shared" si="4"/>
        <v>5.3418803418803423E-2</v>
      </c>
      <c r="H2198">
        <f>G2198*(11.5/38.29)</f>
        <v>1.6043777469737251E-2</v>
      </c>
    </row>
    <row r="2199" spans="1:8" x14ac:dyDescent="0.25">
      <c r="A2199" s="1">
        <v>1996</v>
      </c>
      <c r="B2199" s="1" t="s">
        <v>104</v>
      </c>
      <c r="C2199" t="s">
        <v>52</v>
      </c>
      <c r="D2199">
        <v>2</v>
      </c>
      <c r="E2199">
        <v>63</v>
      </c>
      <c r="F2199">
        <v>0.02</v>
      </c>
      <c r="G2199">
        <f t="shared" si="4"/>
        <v>0.10683760683760685</v>
      </c>
      <c r="H2199">
        <f>G2199*(11.5/38.29)</f>
        <v>3.2087554939474502E-2</v>
      </c>
    </row>
    <row r="2200" spans="1:8" x14ac:dyDescent="0.25">
      <c r="A2200" s="1">
        <v>1996</v>
      </c>
      <c r="B2200" s="1" t="s">
        <v>104</v>
      </c>
      <c r="C2200" t="s">
        <v>52</v>
      </c>
      <c r="D2200">
        <v>2</v>
      </c>
      <c r="E2200">
        <v>63</v>
      </c>
      <c r="F2200">
        <v>0.01</v>
      </c>
      <c r="G2200">
        <f t="shared" ref="G2200:G2223" si="5">(F2200/0.0026)/72</f>
        <v>5.3418803418803423E-2</v>
      </c>
      <c r="H2200">
        <f>G2200*(11.5/38.29)</f>
        <v>1.6043777469737251E-2</v>
      </c>
    </row>
    <row r="2201" spans="1:8" x14ac:dyDescent="0.25">
      <c r="A2201" s="1">
        <v>1996</v>
      </c>
      <c r="B2201" s="1" t="s">
        <v>104</v>
      </c>
      <c r="C2201" t="s">
        <v>52</v>
      </c>
      <c r="D2201">
        <v>2</v>
      </c>
      <c r="E2201">
        <v>63</v>
      </c>
      <c r="F2201">
        <v>0.02</v>
      </c>
      <c r="G2201">
        <f t="shared" si="5"/>
        <v>0.10683760683760685</v>
      </c>
      <c r="H2201">
        <f>G2201*(11.5/38.29)</f>
        <v>3.2087554939474502E-2</v>
      </c>
    </row>
    <row r="2202" spans="1:8" x14ac:dyDescent="0.25">
      <c r="A2202" s="1">
        <v>1996</v>
      </c>
      <c r="B2202" s="1" t="s">
        <v>104</v>
      </c>
      <c r="C2202" t="s">
        <v>52</v>
      </c>
      <c r="D2202">
        <v>2</v>
      </c>
      <c r="E2202">
        <v>78</v>
      </c>
      <c r="F2202">
        <v>0.01</v>
      </c>
      <c r="G2202">
        <f t="shared" si="5"/>
        <v>5.3418803418803423E-2</v>
      </c>
      <c r="H2202">
        <f>G2202*(11.5/38.29)</f>
        <v>1.6043777469737251E-2</v>
      </c>
    </row>
    <row r="2203" spans="1:8" x14ac:dyDescent="0.25">
      <c r="A2203" s="1">
        <v>1996</v>
      </c>
      <c r="B2203" s="1" t="s">
        <v>104</v>
      </c>
      <c r="C2203" t="s">
        <v>52</v>
      </c>
      <c r="D2203">
        <v>2</v>
      </c>
      <c r="E2203">
        <v>79</v>
      </c>
      <c r="F2203">
        <v>0.01</v>
      </c>
      <c r="G2203">
        <f t="shared" si="5"/>
        <v>5.3418803418803423E-2</v>
      </c>
      <c r="H2203">
        <f>G2203*(11.5/38.29)</f>
        <v>1.6043777469737251E-2</v>
      </c>
    </row>
    <row r="2204" spans="1:8" x14ac:dyDescent="0.25">
      <c r="A2204" s="1">
        <v>1996</v>
      </c>
      <c r="B2204" s="1" t="s">
        <v>104</v>
      </c>
      <c r="C2204" t="s">
        <v>52</v>
      </c>
      <c r="D2204">
        <v>2</v>
      </c>
      <c r="E2204">
        <v>79</v>
      </c>
      <c r="F2204">
        <v>0.02</v>
      </c>
      <c r="G2204">
        <f t="shared" si="5"/>
        <v>0.10683760683760685</v>
      </c>
      <c r="H2204">
        <f>G2204*(11.5/38.29)</f>
        <v>3.2087554939474502E-2</v>
      </c>
    </row>
    <row r="2205" spans="1:8" x14ac:dyDescent="0.25">
      <c r="A2205" s="1">
        <v>1996</v>
      </c>
      <c r="B2205" s="1" t="s">
        <v>104</v>
      </c>
      <c r="C2205" t="s">
        <v>52</v>
      </c>
      <c r="D2205">
        <v>2</v>
      </c>
      <c r="E2205">
        <v>79</v>
      </c>
      <c r="F2205">
        <v>0.01</v>
      </c>
      <c r="G2205">
        <f t="shared" si="5"/>
        <v>5.3418803418803423E-2</v>
      </c>
      <c r="H2205">
        <f>G2205*(11.5/38.29)</f>
        <v>1.6043777469737251E-2</v>
      </c>
    </row>
    <row r="2206" spans="1:8" x14ac:dyDescent="0.25">
      <c r="A2206" s="1">
        <v>1996</v>
      </c>
      <c r="B2206" s="1" t="s">
        <v>104</v>
      </c>
      <c r="C2206" t="s">
        <v>52</v>
      </c>
      <c r="D2206">
        <v>2</v>
      </c>
      <c r="E2206">
        <v>79</v>
      </c>
      <c r="F2206">
        <v>0.01</v>
      </c>
      <c r="G2206">
        <f t="shared" si="5"/>
        <v>5.3418803418803423E-2</v>
      </c>
      <c r="H2206">
        <f>G2206*(11.5/38.29)</f>
        <v>1.6043777469737251E-2</v>
      </c>
    </row>
    <row r="2207" spans="1:8" x14ac:dyDescent="0.25">
      <c r="A2207" s="1">
        <v>1996</v>
      </c>
      <c r="B2207" s="1" t="s">
        <v>104</v>
      </c>
      <c r="C2207" t="s">
        <v>52</v>
      </c>
      <c r="D2207">
        <v>2</v>
      </c>
      <c r="E2207">
        <v>85</v>
      </c>
      <c r="F2207">
        <v>0.02</v>
      </c>
      <c r="G2207">
        <f t="shared" si="5"/>
        <v>0.10683760683760685</v>
      </c>
      <c r="H2207">
        <f>G2207*(11.5/38.29)</f>
        <v>3.2087554939474502E-2</v>
      </c>
    </row>
    <row r="2208" spans="1:8" x14ac:dyDescent="0.25">
      <c r="A2208" s="1">
        <v>1996</v>
      </c>
      <c r="B2208" s="1" t="s">
        <v>104</v>
      </c>
      <c r="C2208" t="s">
        <v>52</v>
      </c>
      <c r="D2208">
        <v>2</v>
      </c>
      <c r="E2208">
        <v>85</v>
      </c>
      <c r="F2208">
        <v>0.01</v>
      </c>
      <c r="G2208">
        <f t="shared" si="5"/>
        <v>5.3418803418803423E-2</v>
      </c>
      <c r="H2208">
        <f>G2208*(11.5/38.29)</f>
        <v>1.6043777469737251E-2</v>
      </c>
    </row>
    <row r="2209" spans="1:8" x14ac:dyDescent="0.25">
      <c r="A2209" s="1">
        <v>1996</v>
      </c>
      <c r="B2209" s="1" t="s">
        <v>104</v>
      </c>
      <c r="C2209" t="s">
        <v>52</v>
      </c>
      <c r="D2209">
        <v>3</v>
      </c>
      <c r="E2209">
        <v>32</v>
      </c>
      <c r="F2209">
        <v>0.01</v>
      </c>
      <c r="G2209">
        <f t="shared" si="5"/>
        <v>5.3418803418803423E-2</v>
      </c>
      <c r="H2209">
        <f>G2209*(11.5/38.29)</f>
        <v>1.6043777469737251E-2</v>
      </c>
    </row>
    <row r="2210" spans="1:8" x14ac:dyDescent="0.25">
      <c r="A2210" s="1">
        <v>1996</v>
      </c>
      <c r="B2210" s="1" t="s">
        <v>104</v>
      </c>
      <c r="C2210" t="s">
        <v>52</v>
      </c>
      <c r="D2210">
        <v>3</v>
      </c>
      <c r="E2210">
        <v>32</v>
      </c>
      <c r="F2210">
        <v>0.01</v>
      </c>
      <c r="G2210">
        <f t="shared" si="5"/>
        <v>5.3418803418803423E-2</v>
      </c>
      <c r="H2210">
        <f>G2210*(11.5/38.29)</f>
        <v>1.6043777469737251E-2</v>
      </c>
    </row>
    <row r="2211" spans="1:8" x14ac:dyDescent="0.25">
      <c r="A2211" s="1">
        <v>1996</v>
      </c>
      <c r="B2211" s="1" t="s">
        <v>104</v>
      </c>
      <c r="C2211" t="s">
        <v>52</v>
      </c>
      <c r="D2211">
        <v>3</v>
      </c>
      <c r="E2211">
        <v>32</v>
      </c>
      <c r="F2211">
        <v>0.01</v>
      </c>
      <c r="G2211">
        <f t="shared" si="5"/>
        <v>5.3418803418803423E-2</v>
      </c>
      <c r="H2211">
        <f>G2211*(11.5/38.29)</f>
        <v>1.6043777469737251E-2</v>
      </c>
    </row>
    <row r="2212" spans="1:8" x14ac:dyDescent="0.25">
      <c r="A2212" s="1">
        <v>1996</v>
      </c>
      <c r="B2212" s="1" t="s">
        <v>104</v>
      </c>
      <c r="C2212" t="s">
        <v>52</v>
      </c>
      <c r="D2212">
        <v>3</v>
      </c>
      <c r="E2212">
        <v>54</v>
      </c>
      <c r="F2212">
        <v>0.01</v>
      </c>
      <c r="G2212">
        <f t="shared" si="5"/>
        <v>5.3418803418803423E-2</v>
      </c>
      <c r="H2212">
        <f>G2212*(11.5/38.29)</f>
        <v>1.6043777469737251E-2</v>
      </c>
    </row>
    <row r="2213" spans="1:8" x14ac:dyDescent="0.25">
      <c r="A2213" s="1">
        <v>1996</v>
      </c>
      <c r="B2213" s="1" t="s">
        <v>104</v>
      </c>
      <c r="C2213" t="s">
        <v>52</v>
      </c>
      <c r="D2213">
        <v>3</v>
      </c>
      <c r="E2213">
        <v>63</v>
      </c>
      <c r="F2213">
        <v>0.02</v>
      </c>
      <c r="G2213">
        <f t="shared" si="5"/>
        <v>0.10683760683760685</v>
      </c>
      <c r="H2213">
        <f>G2213*(11.5/38.29)</f>
        <v>3.2087554939474502E-2</v>
      </c>
    </row>
    <row r="2214" spans="1:8" x14ac:dyDescent="0.25">
      <c r="A2214" s="1">
        <v>1996</v>
      </c>
      <c r="B2214" s="1" t="s">
        <v>104</v>
      </c>
      <c r="C2214" t="s">
        <v>52</v>
      </c>
      <c r="D2214">
        <v>3</v>
      </c>
      <c r="E2214">
        <v>79</v>
      </c>
      <c r="F2214">
        <v>0.02</v>
      </c>
      <c r="G2214">
        <f t="shared" si="5"/>
        <v>0.10683760683760685</v>
      </c>
      <c r="H2214">
        <f>G2214*(11.5/38.29)</f>
        <v>3.2087554939474502E-2</v>
      </c>
    </row>
    <row r="2215" spans="1:8" x14ac:dyDescent="0.25">
      <c r="A2215" s="1">
        <v>1996</v>
      </c>
      <c r="B2215" s="1" t="s">
        <v>104</v>
      </c>
      <c r="C2215" t="s">
        <v>52</v>
      </c>
      <c r="D2215">
        <v>3</v>
      </c>
      <c r="E2215">
        <v>79</v>
      </c>
      <c r="F2215">
        <v>0.01</v>
      </c>
      <c r="G2215">
        <f t="shared" si="5"/>
        <v>5.3418803418803423E-2</v>
      </c>
      <c r="H2215">
        <f>G2215*(11.5/38.29)</f>
        <v>1.6043777469737251E-2</v>
      </c>
    </row>
    <row r="2216" spans="1:8" x14ac:dyDescent="0.25">
      <c r="A2216" s="1">
        <v>1996</v>
      </c>
      <c r="B2216" s="1" t="s">
        <v>104</v>
      </c>
      <c r="C2216" t="s">
        <v>52</v>
      </c>
      <c r="D2216">
        <v>4</v>
      </c>
      <c r="E2216">
        <v>32</v>
      </c>
      <c r="F2216">
        <v>0.02</v>
      </c>
      <c r="G2216">
        <f t="shared" si="5"/>
        <v>0.10683760683760685</v>
      </c>
      <c r="H2216">
        <f>G2216*(11.5/38.29)</f>
        <v>3.2087554939474502E-2</v>
      </c>
    </row>
    <row r="2217" spans="1:8" x14ac:dyDescent="0.25">
      <c r="A2217" s="1">
        <v>1996</v>
      </c>
      <c r="B2217" s="1" t="s">
        <v>104</v>
      </c>
      <c r="C2217" t="s">
        <v>52</v>
      </c>
      <c r="D2217">
        <v>4</v>
      </c>
      <c r="E2217">
        <v>32</v>
      </c>
      <c r="F2217">
        <v>0.02</v>
      </c>
      <c r="G2217">
        <f t="shared" si="5"/>
        <v>0.10683760683760685</v>
      </c>
      <c r="H2217">
        <f>G2217*(11.5/38.29)</f>
        <v>3.2087554939474502E-2</v>
      </c>
    </row>
    <row r="2218" spans="1:8" x14ac:dyDescent="0.25">
      <c r="A2218" s="1">
        <v>1996</v>
      </c>
      <c r="B2218" s="1" t="s">
        <v>104</v>
      </c>
      <c r="C2218" t="s">
        <v>52</v>
      </c>
      <c r="D2218">
        <v>4</v>
      </c>
      <c r="E2218">
        <v>32</v>
      </c>
      <c r="F2218">
        <v>0.03</v>
      </c>
      <c r="G2218">
        <f t="shared" si="5"/>
        <v>0.16025641025641024</v>
      </c>
      <c r="H2218">
        <f>G2218*(11.5/38.29)</f>
        <v>4.8131332409211747E-2</v>
      </c>
    </row>
    <row r="2219" spans="1:8" x14ac:dyDescent="0.25">
      <c r="A2219" s="1">
        <v>1996</v>
      </c>
      <c r="B2219" s="1" t="s">
        <v>104</v>
      </c>
      <c r="C2219" t="s">
        <v>52</v>
      </c>
      <c r="D2219">
        <v>4</v>
      </c>
      <c r="E2219">
        <v>32</v>
      </c>
      <c r="F2219">
        <v>0.01</v>
      </c>
      <c r="G2219">
        <f t="shared" si="5"/>
        <v>5.3418803418803423E-2</v>
      </c>
      <c r="H2219">
        <f>G2219*(11.5/38.29)</f>
        <v>1.6043777469737251E-2</v>
      </c>
    </row>
    <row r="2220" spans="1:8" x14ac:dyDescent="0.25">
      <c r="A2220" s="1">
        <v>1996</v>
      </c>
      <c r="B2220" s="1" t="s">
        <v>104</v>
      </c>
      <c r="C2220" t="s">
        <v>52</v>
      </c>
      <c r="D2220">
        <v>4</v>
      </c>
      <c r="E2220">
        <v>32</v>
      </c>
      <c r="F2220">
        <v>0.01</v>
      </c>
      <c r="G2220">
        <f t="shared" si="5"/>
        <v>5.3418803418803423E-2</v>
      </c>
      <c r="H2220">
        <f>G2220*(11.5/38.29)</f>
        <v>1.6043777469737251E-2</v>
      </c>
    </row>
    <row r="2221" spans="1:8" x14ac:dyDescent="0.25">
      <c r="A2221" s="1">
        <v>1996</v>
      </c>
      <c r="B2221" s="1" t="s">
        <v>104</v>
      </c>
      <c r="C2221" t="s">
        <v>52</v>
      </c>
      <c r="D2221">
        <v>4</v>
      </c>
      <c r="E2221">
        <v>32</v>
      </c>
      <c r="F2221">
        <v>0.01</v>
      </c>
      <c r="G2221">
        <f t="shared" si="5"/>
        <v>5.3418803418803423E-2</v>
      </c>
      <c r="H2221">
        <f>G2221*(11.5/38.29)</f>
        <v>1.6043777469737251E-2</v>
      </c>
    </row>
    <row r="2222" spans="1:8" x14ac:dyDescent="0.25">
      <c r="A2222" s="1">
        <v>1996</v>
      </c>
      <c r="B2222" s="1" t="s">
        <v>104</v>
      </c>
      <c r="C2222" t="s">
        <v>52</v>
      </c>
      <c r="D2222">
        <v>4</v>
      </c>
      <c r="E2222">
        <v>32</v>
      </c>
      <c r="F2222">
        <v>0.01</v>
      </c>
      <c r="G2222">
        <f t="shared" si="5"/>
        <v>5.3418803418803423E-2</v>
      </c>
      <c r="H2222">
        <f>G2222*(11.5/38.29)</f>
        <v>1.6043777469737251E-2</v>
      </c>
    </row>
    <row r="2223" spans="1:8" x14ac:dyDescent="0.25">
      <c r="A2223" s="1">
        <v>1996</v>
      </c>
      <c r="B2223" s="1" t="s">
        <v>104</v>
      </c>
      <c r="C2223" t="s">
        <v>52</v>
      </c>
      <c r="D2223">
        <v>4</v>
      </c>
      <c r="E2223">
        <v>63</v>
      </c>
      <c r="F2223">
        <v>0.01</v>
      </c>
      <c r="G2223">
        <f t="shared" si="5"/>
        <v>5.3418803418803423E-2</v>
      </c>
      <c r="H2223">
        <f>G2223*(11.5/38.29)</f>
        <v>1.6043777469737251E-2</v>
      </c>
    </row>
    <row r="2224" spans="1:8" x14ac:dyDescent="0.25">
      <c r="A2224" s="1">
        <v>2008</v>
      </c>
      <c r="B2224" s="1" t="s">
        <v>104</v>
      </c>
      <c r="C2224" t="s">
        <v>52</v>
      </c>
      <c r="D2224">
        <v>1</v>
      </c>
      <c r="E2224">
        <v>32</v>
      </c>
      <c r="F2224">
        <v>0.02</v>
      </c>
      <c r="G2224">
        <f>(F2224/0.01)/72</f>
        <v>2.7777777777777776E-2</v>
      </c>
      <c r="H2224">
        <f>G2224*(11.5/38.29)</f>
        <v>8.3427642842633688E-3</v>
      </c>
    </row>
    <row r="2225" spans="1:8" x14ac:dyDescent="0.25">
      <c r="A2225" s="1">
        <v>2008</v>
      </c>
      <c r="B2225" s="1" t="s">
        <v>104</v>
      </c>
      <c r="C2225" t="s">
        <v>52</v>
      </c>
      <c r="D2225">
        <v>1</v>
      </c>
      <c r="E2225">
        <v>32</v>
      </c>
      <c r="F2225">
        <v>0.01</v>
      </c>
      <c r="G2225">
        <f t="shared" ref="G2225:G2288" si="6">(F2225/0.01)/72</f>
        <v>1.3888888888888888E-2</v>
      </c>
      <c r="H2225">
        <f>G2225*(11.5/38.29)</f>
        <v>4.1713821421316844E-3</v>
      </c>
    </row>
    <row r="2226" spans="1:8" x14ac:dyDescent="0.25">
      <c r="A2226" s="1">
        <v>2008</v>
      </c>
      <c r="B2226" s="1" t="s">
        <v>104</v>
      </c>
      <c r="C2226" t="s">
        <v>52</v>
      </c>
      <c r="D2226">
        <v>1</v>
      </c>
      <c r="E2226">
        <v>32</v>
      </c>
      <c r="F2226">
        <v>0.01</v>
      </c>
      <c r="G2226">
        <f t="shared" si="6"/>
        <v>1.3888888888888888E-2</v>
      </c>
      <c r="H2226">
        <f>G2226*(11.5/38.29)</f>
        <v>4.1713821421316844E-3</v>
      </c>
    </row>
    <row r="2227" spans="1:8" x14ac:dyDescent="0.25">
      <c r="A2227" s="1">
        <v>2008</v>
      </c>
      <c r="B2227" s="1" t="s">
        <v>104</v>
      </c>
      <c r="C2227" t="s">
        <v>52</v>
      </c>
      <c r="D2227">
        <v>1</v>
      </c>
      <c r="E2227">
        <v>32</v>
      </c>
      <c r="F2227">
        <v>0.01</v>
      </c>
      <c r="G2227">
        <f t="shared" si="6"/>
        <v>1.3888888888888888E-2</v>
      </c>
      <c r="H2227">
        <f>G2227*(11.5/38.29)</f>
        <v>4.1713821421316844E-3</v>
      </c>
    </row>
    <row r="2228" spans="1:8" x14ac:dyDescent="0.25">
      <c r="A2228" s="1">
        <v>2008</v>
      </c>
      <c r="B2228" s="1" t="s">
        <v>104</v>
      </c>
      <c r="C2228" t="s">
        <v>52</v>
      </c>
      <c r="D2228">
        <v>1</v>
      </c>
      <c r="E2228">
        <v>32</v>
      </c>
      <c r="F2228">
        <v>0.01</v>
      </c>
      <c r="G2228">
        <f t="shared" si="6"/>
        <v>1.3888888888888888E-2</v>
      </c>
      <c r="H2228">
        <f>G2228*(11.5/38.29)</f>
        <v>4.1713821421316844E-3</v>
      </c>
    </row>
    <row r="2229" spans="1:8" x14ac:dyDescent="0.25">
      <c r="A2229" s="1">
        <v>2008</v>
      </c>
      <c r="B2229" s="1" t="s">
        <v>104</v>
      </c>
      <c r="C2229" t="s">
        <v>52</v>
      </c>
      <c r="D2229">
        <v>1</v>
      </c>
      <c r="E2229">
        <v>32</v>
      </c>
      <c r="F2229">
        <v>0.01</v>
      </c>
      <c r="G2229">
        <f t="shared" si="6"/>
        <v>1.3888888888888888E-2</v>
      </c>
      <c r="H2229">
        <f>G2229*(11.5/38.29)</f>
        <v>4.1713821421316844E-3</v>
      </c>
    </row>
    <row r="2230" spans="1:8" x14ac:dyDescent="0.25">
      <c r="A2230" s="1">
        <v>2008</v>
      </c>
      <c r="B2230" s="1" t="s">
        <v>104</v>
      </c>
      <c r="C2230" t="s">
        <v>52</v>
      </c>
      <c r="D2230">
        <v>1</v>
      </c>
      <c r="E2230">
        <v>32</v>
      </c>
      <c r="F2230">
        <v>0.01</v>
      </c>
      <c r="G2230">
        <f t="shared" si="6"/>
        <v>1.3888888888888888E-2</v>
      </c>
      <c r="H2230">
        <f>G2230*(11.5/38.29)</f>
        <v>4.1713821421316844E-3</v>
      </c>
    </row>
    <row r="2231" spans="1:8" x14ac:dyDescent="0.25">
      <c r="A2231" s="1">
        <v>2008</v>
      </c>
      <c r="B2231" s="1" t="s">
        <v>104</v>
      </c>
      <c r="C2231" t="s">
        <v>52</v>
      </c>
      <c r="D2231">
        <v>1</v>
      </c>
      <c r="E2231">
        <v>32</v>
      </c>
      <c r="F2231">
        <v>0.03</v>
      </c>
      <c r="G2231">
        <f t="shared" si="6"/>
        <v>4.1666666666666664E-2</v>
      </c>
      <c r="H2231">
        <f>G2231*(11.5/38.29)</f>
        <v>1.2514146426395055E-2</v>
      </c>
    </row>
    <row r="2232" spans="1:8" x14ac:dyDescent="0.25">
      <c r="A2232" s="1">
        <v>2008</v>
      </c>
      <c r="B2232" s="1" t="s">
        <v>104</v>
      </c>
      <c r="C2232" t="s">
        <v>52</v>
      </c>
      <c r="D2232">
        <v>1</v>
      </c>
      <c r="E2232">
        <v>32</v>
      </c>
      <c r="F2232">
        <v>0.01</v>
      </c>
      <c r="G2232">
        <f t="shared" si="6"/>
        <v>1.3888888888888888E-2</v>
      </c>
      <c r="H2232">
        <f>G2232*(11.5/38.29)</f>
        <v>4.1713821421316844E-3</v>
      </c>
    </row>
    <row r="2233" spans="1:8" x14ac:dyDescent="0.25">
      <c r="A2233" s="1">
        <v>2008</v>
      </c>
      <c r="B2233" s="1" t="s">
        <v>104</v>
      </c>
      <c r="C2233" t="s">
        <v>52</v>
      </c>
      <c r="D2233">
        <v>1</v>
      </c>
      <c r="E2233">
        <v>32</v>
      </c>
      <c r="F2233">
        <v>0.01</v>
      </c>
      <c r="G2233">
        <f t="shared" si="6"/>
        <v>1.3888888888888888E-2</v>
      </c>
      <c r="H2233">
        <f>G2233*(11.5/38.29)</f>
        <v>4.1713821421316844E-3</v>
      </c>
    </row>
    <row r="2234" spans="1:8" x14ac:dyDescent="0.25">
      <c r="A2234" s="1">
        <v>2008</v>
      </c>
      <c r="B2234" s="1" t="s">
        <v>104</v>
      </c>
      <c r="C2234" t="s">
        <v>52</v>
      </c>
      <c r="D2234">
        <v>1</v>
      </c>
      <c r="E2234">
        <v>32</v>
      </c>
      <c r="F2234">
        <v>0.03</v>
      </c>
      <c r="G2234">
        <f t="shared" si="6"/>
        <v>4.1666666666666664E-2</v>
      </c>
      <c r="H2234">
        <f>G2234*(11.5/38.29)</f>
        <v>1.2514146426395055E-2</v>
      </c>
    </row>
    <row r="2235" spans="1:8" x14ac:dyDescent="0.25">
      <c r="A2235" s="1">
        <v>2008</v>
      </c>
      <c r="B2235" s="1" t="s">
        <v>104</v>
      </c>
      <c r="C2235" t="s">
        <v>52</v>
      </c>
      <c r="D2235">
        <v>1</v>
      </c>
      <c r="E2235">
        <v>32</v>
      </c>
      <c r="F2235">
        <v>0.01</v>
      </c>
      <c r="G2235">
        <f t="shared" si="6"/>
        <v>1.3888888888888888E-2</v>
      </c>
      <c r="H2235">
        <f>G2235*(11.5/38.29)</f>
        <v>4.1713821421316844E-3</v>
      </c>
    </row>
    <row r="2236" spans="1:8" x14ac:dyDescent="0.25">
      <c r="A2236" s="1">
        <v>2008</v>
      </c>
      <c r="B2236" s="1" t="s">
        <v>104</v>
      </c>
      <c r="C2236" t="s">
        <v>52</v>
      </c>
      <c r="D2236">
        <v>1</v>
      </c>
      <c r="E2236">
        <v>32</v>
      </c>
      <c r="F2236">
        <v>0.01</v>
      </c>
      <c r="G2236">
        <f t="shared" si="6"/>
        <v>1.3888888888888888E-2</v>
      </c>
      <c r="H2236">
        <f>G2236*(11.5/38.29)</f>
        <v>4.1713821421316844E-3</v>
      </c>
    </row>
    <row r="2237" spans="1:8" x14ac:dyDescent="0.25">
      <c r="A2237" s="1">
        <v>2008</v>
      </c>
      <c r="B2237" s="1" t="s">
        <v>104</v>
      </c>
      <c r="C2237" t="s">
        <v>52</v>
      </c>
      <c r="D2237">
        <v>1</v>
      </c>
      <c r="E2237">
        <v>32</v>
      </c>
      <c r="F2237">
        <v>0.02</v>
      </c>
      <c r="G2237">
        <f t="shared" si="6"/>
        <v>2.7777777777777776E-2</v>
      </c>
      <c r="H2237">
        <f>G2237*(11.5/38.29)</f>
        <v>8.3427642842633688E-3</v>
      </c>
    </row>
    <row r="2238" spans="1:8" x14ac:dyDescent="0.25">
      <c r="A2238" s="1">
        <v>2008</v>
      </c>
      <c r="B2238" s="1" t="s">
        <v>104</v>
      </c>
      <c r="C2238" t="s">
        <v>52</v>
      </c>
      <c r="D2238">
        <v>1</v>
      </c>
      <c r="E2238">
        <v>32</v>
      </c>
      <c r="F2238">
        <v>0.01</v>
      </c>
      <c r="G2238">
        <f t="shared" si="6"/>
        <v>1.3888888888888888E-2</v>
      </c>
      <c r="H2238">
        <f>G2238*(11.5/38.29)</f>
        <v>4.1713821421316844E-3</v>
      </c>
    </row>
    <row r="2239" spans="1:8" x14ac:dyDescent="0.25">
      <c r="A2239" s="1">
        <v>2008</v>
      </c>
      <c r="B2239" s="1" t="s">
        <v>104</v>
      </c>
      <c r="C2239" t="s">
        <v>52</v>
      </c>
      <c r="D2239">
        <v>1</v>
      </c>
      <c r="E2239">
        <v>32</v>
      </c>
      <c r="F2239">
        <v>0.01</v>
      </c>
      <c r="G2239">
        <f t="shared" si="6"/>
        <v>1.3888888888888888E-2</v>
      </c>
      <c r="H2239">
        <f>G2239*(11.5/38.29)</f>
        <v>4.1713821421316844E-3</v>
      </c>
    </row>
    <row r="2240" spans="1:8" x14ac:dyDescent="0.25">
      <c r="A2240" s="1">
        <v>2008</v>
      </c>
      <c r="B2240" s="1" t="s">
        <v>104</v>
      </c>
      <c r="C2240" t="s">
        <v>52</v>
      </c>
      <c r="D2240">
        <v>1</v>
      </c>
      <c r="E2240">
        <v>32</v>
      </c>
      <c r="F2240">
        <v>0.03</v>
      </c>
      <c r="G2240">
        <f t="shared" si="6"/>
        <v>4.1666666666666664E-2</v>
      </c>
      <c r="H2240">
        <f>G2240*(11.5/38.29)</f>
        <v>1.2514146426395055E-2</v>
      </c>
    </row>
    <row r="2241" spans="1:8" x14ac:dyDescent="0.25">
      <c r="A2241" s="1">
        <v>2008</v>
      </c>
      <c r="B2241" s="1" t="s">
        <v>104</v>
      </c>
      <c r="C2241" t="s">
        <v>52</v>
      </c>
      <c r="D2241">
        <v>1</v>
      </c>
      <c r="E2241">
        <v>32</v>
      </c>
      <c r="F2241">
        <v>0.01</v>
      </c>
      <c r="G2241">
        <f t="shared" si="6"/>
        <v>1.3888888888888888E-2</v>
      </c>
      <c r="H2241">
        <f>G2241*(11.5/38.29)</f>
        <v>4.1713821421316844E-3</v>
      </c>
    </row>
    <row r="2242" spans="1:8" x14ac:dyDescent="0.25">
      <c r="A2242" s="1">
        <v>2008</v>
      </c>
      <c r="B2242" s="1" t="s">
        <v>104</v>
      </c>
      <c r="C2242" t="s">
        <v>52</v>
      </c>
      <c r="D2242">
        <v>1</v>
      </c>
      <c r="E2242">
        <v>32</v>
      </c>
      <c r="F2242">
        <v>0.02</v>
      </c>
      <c r="G2242">
        <f t="shared" si="6"/>
        <v>2.7777777777777776E-2</v>
      </c>
      <c r="H2242">
        <f>G2242*(11.5/38.29)</f>
        <v>8.3427642842633688E-3</v>
      </c>
    </row>
    <row r="2243" spans="1:8" x14ac:dyDescent="0.25">
      <c r="A2243" s="1">
        <v>2008</v>
      </c>
      <c r="B2243" s="1" t="s">
        <v>104</v>
      </c>
      <c r="C2243" t="s">
        <v>52</v>
      </c>
      <c r="D2243">
        <v>1</v>
      </c>
      <c r="E2243">
        <v>32</v>
      </c>
      <c r="F2243">
        <v>0.02</v>
      </c>
      <c r="G2243">
        <f t="shared" si="6"/>
        <v>2.7777777777777776E-2</v>
      </c>
      <c r="H2243">
        <f>G2243*(11.5/38.29)</f>
        <v>8.3427642842633688E-3</v>
      </c>
    </row>
    <row r="2244" spans="1:8" x14ac:dyDescent="0.25">
      <c r="A2244" s="1">
        <v>2008</v>
      </c>
      <c r="B2244" s="1" t="s">
        <v>104</v>
      </c>
      <c r="C2244" t="s">
        <v>52</v>
      </c>
      <c r="D2244">
        <v>1</v>
      </c>
      <c r="E2244">
        <v>32</v>
      </c>
      <c r="F2244">
        <v>0.03</v>
      </c>
      <c r="G2244">
        <f t="shared" si="6"/>
        <v>4.1666666666666664E-2</v>
      </c>
      <c r="H2244">
        <f>G2244*(11.5/38.29)</f>
        <v>1.2514146426395055E-2</v>
      </c>
    </row>
    <row r="2245" spans="1:8" x14ac:dyDescent="0.25">
      <c r="A2245" s="1">
        <v>2008</v>
      </c>
      <c r="B2245" s="1" t="s">
        <v>104</v>
      </c>
      <c r="C2245" t="s">
        <v>52</v>
      </c>
      <c r="D2245">
        <v>1</v>
      </c>
      <c r="E2245">
        <v>32</v>
      </c>
      <c r="F2245">
        <v>0.03</v>
      </c>
      <c r="G2245">
        <f t="shared" si="6"/>
        <v>4.1666666666666664E-2</v>
      </c>
      <c r="H2245">
        <f>G2245*(11.5/38.29)</f>
        <v>1.2514146426395055E-2</v>
      </c>
    </row>
    <row r="2246" spans="1:8" x14ac:dyDescent="0.25">
      <c r="A2246" s="1">
        <v>2008</v>
      </c>
      <c r="B2246" s="1" t="s">
        <v>104</v>
      </c>
      <c r="C2246" t="s">
        <v>52</v>
      </c>
      <c r="D2246">
        <v>1</v>
      </c>
      <c r="E2246">
        <v>32</v>
      </c>
      <c r="F2246">
        <v>0.01</v>
      </c>
      <c r="G2246">
        <f t="shared" si="6"/>
        <v>1.3888888888888888E-2</v>
      </c>
      <c r="H2246">
        <f>G2246*(11.5/38.29)</f>
        <v>4.1713821421316844E-3</v>
      </c>
    </row>
    <row r="2247" spans="1:8" x14ac:dyDescent="0.25">
      <c r="A2247" s="1">
        <v>2008</v>
      </c>
      <c r="B2247" s="1" t="s">
        <v>104</v>
      </c>
      <c r="C2247" t="s">
        <v>52</v>
      </c>
      <c r="D2247">
        <v>1</v>
      </c>
      <c r="E2247">
        <v>32</v>
      </c>
      <c r="F2247">
        <v>0.01</v>
      </c>
      <c r="G2247">
        <f t="shared" si="6"/>
        <v>1.3888888888888888E-2</v>
      </c>
      <c r="H2247">
        <f>G2247*(11.5/38.29)</f>
        <v>4.1713821421316844E-3</v>
      </c>
    </row>
    <row r="2248" spans="1:8" x14ac:dyDescent="0.25">
      <c r="A2248" s="1">
        <v>2008</v>
      </c>
      <c r="B2248" s="1" t="s">
        <v>104</v>
      </c>
      <c r="C2248" t="s">
        <v>52</v>
      </c>
      <c r="D2248">
        <v>1</v>
      </c>
      <c r="E2248">
        <v>32</v>
      </c>
      <c r="F2248">
        <v>0.01</v>
      </c>
      <c r="G2248">
        <f t="shared" si="6"/>
        <v>1.3888888888888888E-2</v>
      </c>
      <c r="H2248">
        <f>G2248*(11.5/38.29)</f>
        <v>4.1713821421316844E-3</v>
      </c>
    </row>
    <row r="2249" spans="1:8" x14ac:dyDescent="0.25">
      <c r="A2249" s="1">
        <v>2008</v>
      </c>
      <c r="B2249" s="1" t="s">
        <v>104</v>
      </c>
      <c r="C2249" t="s">
        <v>52</v>
      </c>
      <c r="D2249">
        <v>1</v>
      </c>
      <c r="E2249">
        <v>32</v>
      </c>
      <c r="F2249">
        <v>0.03</v>
      </c>
      <c r="G2249">
        <f t="shared" si="6"/>
        <v>4.1666666666666664E-2</v>
      </c>
      <c r="H2249">
        <f>G2249*(11.5/38.29)</f>
        <v>1.2514146426395055E-2</v>
      </c>
    </row>
    <row r="2250" spans="1:8" x14ac:dyDescent="0.25">
      <c r="A2250" s="1">
        <v>2008</v>
      </c>
      <c r="B2250" s="1" t="s">
        <v>104</v>
      </c>
      <c r="C2250" t="s">
        <v>52</v>
      </c>
      <c r="D2250">
        <v>1</v>
      </c>
      <c r="E2250">
        <v>32</v>
      </c>
      <c r="F2250">
        <v>0.01</v>
      </c>
      <c r="G2250">
        <f t="shared" si="6"/>
        <v>1.3888888888888888E-2</v>
      </c>
      <c r="H2250">
        <f>G2250*(11.5/38.29)</f>
        <v>4.1713821421316844E-3</v>
      </c>
    </row>
    <row r="2251" spans="1:8" x14ac:dyDescent="0.25">
      <c r="A2251" s="1">
        <v>2008</v>
      </c>
      <c r="B2251" s="1" t="s">
        <v>104</v>
      </c>
      <c r="C2251" t="s">
        <v>52</v>
      </c>
      <c r="D2251">
        <v>1</v>
      </c>
      <c r="E2251">
        <v>32</v>
      </c>
      <c r="F2251">
        <v>0.02</v>
      </c>
      <c r="G2251">
        <f t="shared" si="6"/>
        <v>2.7777777777777776E-2</v>
      </c>
      <c r="H2251">
        <f>G2251*(11.5/38.29)</f>
        <v>8.3427642842633688E-3</v>
      </c>
    </row>
    <row r="2252" spans="1:8" x14ac:dyDescent="0.25">
      <c r="A2252" s="1">
        <v>2008</v>
      </c>
      <c r="B2252" s="1" t="s">
        <v>104</v>
      </c>
      <c r="C2252" t="s">
        <v>52</v>
      </c>
      <c r="D2252">
        <v>1</v>
      </c>
      <c r="E2252">
        <v>32</v>
      </c>
      <c r="F2252">
        <v>0.01</v>
      </c>
      <c r="G2252">
        <f t="shared" si="6"/>
        <v>1.3888888888888888E-2</v>
      </c>
      <c r="H2252">
        <f>G2252*(11.5/38.29)</f>
        <v>4.1713821421316844E-3</v>
      </c>
    </row>
    <row r="2253" spans="1:8" x14ac:dyDescent="0.25">
      <c r="A2253" s="1">
        <v>2008</v>
      </c>
      <c r="B2253" s="1" t="s">
        <v>104</v>
      </c>
      <c r="C2253" t="s">
        <v>52</v>
      </c>
      <c r="D2253">
        <v>1</v>
      </c>
      <c r="E2253">
        <v>32</v>
      </c>
      <c r="F2253">
        <v>0.02</v>
      </c>
      <c r="G2253">
        <f t="shared" si="6"/>
        <v>2.7777777777777776E-2</v>
      </c>
      <c r="H2253">
        <f>G2253*(11.5/38.29)</f>
        <v>8.3427642842633688E-3</v>
      </c>
    </row>
    <row r="2254" spans="1:8" x14ac:dyDescent="0.25">
      <c r="A2254" s="1">
        <v>2008</v>
      </c>
      <c r="B2254" s="1" t="s">
        <v>104</v>
      </c>
      <c r="C2254" t="s">
        <v>52</v>
      </c>
      <c r="D2254">
        <v>1</v>
      </c>
      <c r="E2254">
        <v>32</v>
      </c>
      <c r="F2254">
        <v>0.01</v>
      </c>
      <c r="G2254">
        <f t="shared" si="6"/>
        <v>1.3888888888888888E-2</v>
      </c>
      <c r="H2254">
        <f>G2254*(11.5/38.29)</f>
        <v>4.1713821421316844E-3</v>
      </c>
    </row>
    <row r="2255" spans="1:8" x14ac:dyDescent="0.25">
      <c r="A2255" s="1">
        <v>2008</v>
      </c>
      <c r="B2255" s="1" t="s">
        <v>104</v>
      </c>
      <c r="C2255" t="s">
        <v>52</v>
      </c>
      <c r="D2255">
        <v>1</v>
      </c>
      <c r="E2255">
        <v>32</v>
      </c>
      <c r="F2255">
        <v>0.03</v>
      </c>
      <c r="G2255">
        <f t="shared" si="6"/>
        <v>4.1666666666666664E-2</v>
      </c>
      <c r="H2255">
        <f>G2255*(11.5/38.29)</f>
        <v>1.2514146426395055E-2</v>
      </c>
    </row>
    <row r="2256" spans="1:8" x14ac:dyDescent="0.25">
      <c r="A2256" s="1">
        <v>2008</v>
      </c>
      <c r="B2256" s="1" t="s">
        <v>104</v>
      </c>
      <c r="C2256" t="s">
        <v>52</v>
      </c>
      <c r="D2256">
        <v>1</v>
      </c>
      <c r="E2256">
        <v>32</v>
      </c>
      <c r="F2256">
        <v>0.01</v>
      </c>
      <c r="G2256">
        <f t="shared" si="6"/>
        <v>1.3888888888888888E-2</v>
      </c>
      <c r="H2256">
        <f>G2256*(11.5/38.29)</f>
        <v>4.1713821421316844E-3</v>
      </c>
    </row>
    <row r="2257" spans="1:8" x14ac:dyDescent="0.25">
      <c r="A2257" s="1">
        <v>2008</v>
      </c>
      <c r="B2257" s="1" t="s">
        <v>104</v>
      </c>
      <c r="C2257" t="s">
        <v>52</v>
      </c>
      <c r="D2257">
        <v>1</v>
      </c>
      <c r="E2257">
        <v>32</v>
      </c>
      <c r="F2257">
        <v>0.01</v>
      </c>
      <c r="G2257">
        <f t="shared" si="6"/>
        <v>1.3888888888888888E-2</v>
      </c>
      <c r="H2257">
        <f>G2257*(11.5/38.29)</f>
        <v>4.1713821421316844E-3</v>
      </c>
    </row>
    <row r="2258" spans="1:8" x14ac:dyDescent="0.25">
      <c r="A2258" s="1">
        <v>2008</v>
      </c>
      <c r="B2258" s="1" t="s">
        <v>104</v>
      </c>
      <c r="C2258" t="s">
        <v>52</v>
      </c>
      <c r="D2258">
        <v>1</v>
      </c>
      <c r="E2258">
        <v>32</v>
      </c>
      <c r="F2258">
        <v>0.01</v>
      </c>
      <c r="G2258">
        <f t="shared" si="6"/>
        <v>1.3888888888888888E-2</v>
      </c>
      <c r="H2258">
        <f>G2258*(11.5/38.29)</f>
        <v>4.1713821421316844E-3</v>
      </c>
    </row>
    <row r="2259" spans="1:8" x14ac:dyDescent="0.25">
      <c r="A2259" s="1">
        <v>2008</v>
      </c>
      <c r="B2259" s="1" t="s">
        <v>104</v>
      </c>
      <c r="C2259" t="s">
        <v>52</v>
      </c>
      <c r="D2259">
        <v>1</v>
      </c>
      <c r="E2259">
        <v>63</v>
      </c>
      <c r="F2259">
        <v>0.01</v>
      </c>
      <c r="G2259">
        <f t="shared" si="6"/>
        <v>1.3888888888888888E-2</v>
      </c>
      <c r="H2259">
        <f>G2259*(11.5/38.29)</f>
        <v>4.1713821421316844E-3</v>
      </c>
    </row>
    <row r="2260" spans="1:8" x14ac:dyDescent="0.25">
      <c r="A2260" s="1">
        <v>2008</v>
      </c>
      <c r="B2260" s="1" t="s">
        <v>104</v>
      </c>
      <c r="C2260" t="s">
        <v>52</v>
      </c>
      <c r="D2260">
        <v>1</v>
      </c>
      <c r="E2260">
        <v>79</v>
      </c>
      <c r="F2260">
        <v>0.02</v>
      </c>
      <c r="G2260">
        <f t="shared" si="6"/>
        <v>2.7777777777777776E-2</v>
      </c>
      <c r="H2260">
        <f>G2260*(11.5/38.29)</f>
        <v>8.3427642842633688E-3</v>
      </c>
    </row>
    <row r="2261" spans="1:8" x14ac:dyDescent="0.25">
      <c r="A2261" s="1">
        <v>2008</v>
      </c>
      <c r="B2261" s="1" t="s">
        <v>104</v>
      </c>
      <c r="C2261" t="s">
        <v>52</v>
      </c>
      <c r="D2261">
        <v>2</v>
      </c>
      <c r="E2261">
        <v>29</v>
      </c>
      <c r="F2261">
        <v>0.03</v>
      </c>
      <c r="G2261">
        <f t="shared" si="6"/>
        <v>4.1666666666666664E-2</v>
      </c>
      <c r="H2261">
        <f>G2261*(11.5/38.29)</f>
        <v>1.2514146426395055E-2</v>
      </c>
    </row>
    <row r="2262" spans="1:8" x14ac:dyDescent="0.25">
      <c r="A2262" s="1">
        <v>2008</v>
      </c>
      <c r="B2262" s="1" t="s">
        <v>104</v>
      </c>
      <c r="C2262" t="s">
        <v>52</v>
      </c>
      <c r="D2262">
        <v>2</v>
      </c>
      <c r="E2262">
        <v>29</v>
      </c>
      <c r="F2262">
        <v>0.02</v>
      </c>
      <c r="G2262">
        <f t="shared" si="6"/>
        <v>2.7777777777777776E-2</v>
      </c>
      <c r="H2262">
        <f>G2262*(11.5/38.29)</f>
        <v>8.3427642842633688E-3</v>
      </c>
    </row>
    <row r="2263" spans="1:8" x14ac:dyDescent="0.25">
      <c r="A2263" s="1">
        <v>2008</v>
      </c>
      <c r="B2263" s="1" t="s">
        <v>104</v>
      </c>
      <c r="C2263" t="s">
        <v>52</v>
      </c>
      <c r="D2263">
        <v>2</v>
      </c>
      <c r="E2263">
        <v>30</v>
      </c>
      <c r="F2263">
        <v>0.03</v>
      </c>
      <c r="G2263">
        <f t="shared" si="6"/>
        <v>4.1666666666666664E-2</v>
      </c>
      <c r="H2263">
        <f>G2263*(11.5/38.29)</f>
        <v>1.2514146426395055E-2</v>
      </c>
    </row>
    <row r="2264" spans="1:8" x14ac:dyDescent="0.25">
      <c r="A2264" s="1">
        <v>2008</v>
      </c>
      <c r="B2264" s="1" t="s">
        <v>104</v>
      </c>
      <c r="C2264" t="s">
        <v>52</v>
      </c>
      <c r="D2264">
        <v>2</v>
      </c>
      <c r="E2264">
        <v>32</v>
      </c>
      <c r="F2264">
        <v>0.02</v>
      </c>
      <c r="G2264">
        <f t="shared" si="6"/>
        <v>2.7777777777777776E-2</v>
      </c>
      <c r="H2264">
        <f>G2264*(11.5/38.29)</f>
        <v>8.3427642842633688E-3</v>
      </c>
    </row>
    <row r="2265" spans="1:8" x14ac:dyDescent="0.25">
      <c r="A2265" s="1">
        <v>2008</v>
      </c>
      <c r="B2265" s="1" t="s">
        <v>104</v>
      </c>
      <c r="C2265" t="s">
        <v>52</v>
      </c>
      <c r="D2265">
        <v>2</v>
      </c>
      <c r="E2265">
        <v>32</v>
      </c>
      <c r="F2265">
        <v>0.01</v>
      </c>
      <c r="G2265">
        <f t="shared" si="6"/>
        <v>1.3888888888888888E-2</v>
      </c>
      <c r="H2265">
        <f>G2265*(11.5/38.29)</f>
        <v>4.1713821421316844E-3</v>
      </c>
    </row>
    <row r="2266" spans="1:8" x14ac:dyDescent="0.25">
      <c r="A2266" s="1">
        <v>2008</v>
      </c>
      <c r="B2266" s="1" t="s">
        <v>104</v>
      </c>
      <c r="C2266" t="s">
        <v>52</v>
      </c>
      <c r="D2266">
        <v>2</v>
      </c>
      <c r="E2266">
        <v>32</v>
      </c>
      <c r="F2266">
        <v>0.01</v>
      </c>
      <c r="G2266">
        <f t="shared" si="6"/>
        <v>1.3888888888888888E-2</v>
      </c>
      <c r="H2266">
        <f>G2266*(11.5/38.29)</f>
        <v>4.1713821421316844E-3</v>
      </c>
    </row>
    <row r="2267" spans="1:8" x14ac:dyDescent="0.25">
      <c r="A2267" s="1">
        <v>2008</v>
      </c>
      <c r="B2267" s="1" t="s">
        <v>104</v>
      </c>
      <c r="C2267" t="s">
        <v>52</v>
      </c>
      <c r="D2267">
        <v>2</v>
      </c>
      <c r="E2267">
        <v>32</v>
      </c>
      <c r="F2267">
        <v>0.02</v>
      </c>
      <c r="G2267">
        <f t="shared" si="6"/>
        <v>2.7777777777777776E-2</v>
      </c>
      <c r="H2267">
        <f>G2267*(11.5/38.29)</f>
        <v>8.3427642842633688E-3</v>
      </c>
    </row>
    <row r="2268" spans="1:8" x14ac:dyDescent="0.25">
      <c r="A2268" s="1">
        <v>2008</v>
      </c>
      <c r="B2268" s="1" t="s">
        <v>104</v>
      </c>
      <c r="C2268" t="s">
        <v>52</v>
      </c>
      <c r="D2268">
        <v>2</v>
      </c>
      <c r="E2268">
        <v>32</v>
      </c>
      <c r="F2268">
        <v>0.01</v>
      </c>
      <c r="G2268">
        <f t="shared" si="6"/>
        <v>1.3888888888888888E-2</v>
      </c>
      <c r="H2268">
        <f>G2268*(11.5/38.29)</f>
        <v>4.1713821421316844E-3</v>
      </c>
    </row>
    <row r="2269" spans="1:8" x14ac:dyDescent="0.25">
      <c r="A2269" s="1">
        <v>2008</v>
      </c>
      <c r="B2269" s="1" t="s">
        <v>104</v>
      </c>
      <c r="C2269" t="s">
        <v>52</v>
      </c>
      <c r="D2269">
        <v>2</v>
      </c>
      <c r="E2269">
        <v>32</v>
      </c>
      <c r="F2269">
        <v>0.01</v>
      </c>
      <c r="G2269">
        <f t="shared" si="6"/>
        <v>1.3888888888888888E-2</v>
      </c>
      <c r="H2269">
        <f>G2269*(11.5/38.29)</f>
        <v>4.1713821421316844E-3</v>
      </c>
    </row>
    <row r="2270" spans="1:8" x14ac:dyDescent="0.25">
      <c r="A2270" s="1">
        <v>2008</v>
      </c>
      <c r="B2270" s="1" t="s">
        <v>104</v>
      </c>
      <c r="C2270" t="s">
        <v>52</v>
      </c>
      <c r="D2270">
        <v>2</v>
      </c>
      <c r="E2270">
        <v>32</v>
      </c>
      <c r="F2270">
        <v>0.03</v>
      </c>
      <c r="G2270">
        <f t="shared" si="6"/>
        <v>4.1666666666666664E-2</v>
      </c>
      <c r="H2270">
        <f>G2270*(11.5/38.29)</f>
        <v>1.2514146426395055E-2</v>
      </c>
    </row>
    <row r="2271" spans="1:8" x14ac:dyDescent="0.25">
      <c r="A2271" s="1">
        <v>2008</v>
      </c>
      <c r="B2271" s="1" t="s">
        <v>104</v>
      </c>
      <c r="C2271" t="s">
        <v>52</v>
      </c>
      <c r="D2271">
        <v>2</v>
      </c>
      <c r="E2271">
        <v>32</v>
      </c>
      <c r="F2271">
        <v>0.02</v>
      </c>
      <c r="G2271">
        <f t="shared" si="6"/>
        <v>2.7777777777777776E-2</v>
      </c>
      <c r="H2271">
        <f>G2271*(11.5/38.29)</f>
        <v>8.3427642842633688E-3</v>
      </c>
    </row>
    <row r="2272" spans="1:8" x14ac:dyDescent="0.25">
      <c r="A2272" s="1">
        <v>2008</v>
      </c>
      <c r="B2272" s="1" t="s">
        <v>104</v>
      </c>
      <c r="C2272" t="s">
        <v>52</v>
      </c>
      <c r="D2272">
        <v>2</v>
      </c>
      <c r="E2272">
        <v>32</v>
      </c>
      <c r="F2272">
        <v>0.01</v>
      </c>
      <c r="G2272">
        <f t="shared" si="6"/>
        <v>1.3888888888888888E-2</v>
      </c>
      <c r="H2272">
        <f>G2272*(11.5/38.29)</f>
        <v>4.1713821421316844E-3</v>
      </c>
    </row>
    <row r="2273" spans="1:8" x14ac:dyDescent="0.25">
      <c r="A2273" s="1">
        <v>2008</v>
      </c>
      <c r="B2273" s="1" t="s">
        <v>104</v>
      </c>
      <c r="C2273" t="s">
        <v>52</v>
      </c>
      <c r="D2273">
        <v>2</v>
      </c>
      <c r="E2273">
        <v>32</v>
      </c>
      <c r="F2273">
        <v>0.03</v>
      </c>
      <c r="G2273">
        <f t="shared" si="6"/>
        <v>4.1666666666666664E-2</v>
      </c>
      <c r="H2273">
        <f>G2273*(11.5/38.29)</f>
        <v>1.2514146426395055E-2</v>
      </c>
    </row>
    <row r="2274" spans="1:8" x14ac:dyDescent="0.25">
      <c r="A2274" s="1">
        <v>2008</v>
      </c>
      <c r="B2274" s="1" t="s">
        <v>104</v>
      </c>
      <c r="C2274" t="s">
        <v>52</v>
      </c>
      <c r="D2274">
        <v>2</v>
      </c>
      <c r="E2274">
        <v>32</v>
      </c>
      <c r="F2274">
        <v>0.02</v>
      </c>
      <c r="G2274">
        <f t="shared" si="6"/>
        <v>2.7777777777777776E-2</v>
      </c>
      <c r="H2274">
        <f>G2274*(11.5/38.29)</f>
        <v>8.3427642842633688E-3</v>
      </c>
    </row>
    <row r="2275" spans="1:8" x14ac:dyDescent="0.25">
      <c r="A2275" s="1">
        <v>2008</v>
      </c>
      <c r="B2275" s="1" t="s">
        <v>104</v>
      </c>
      <c r="C2275" t="s">
        <v>52</v>
      </c>
      <c r="D2275">
        <v>2</v>
      </c>
      <c r="E2275">
        <v>32</v>
      </c>
      <c r="F2275">
        <v>0.01</v>
      </c>
      <c r="G2275">
        <f t="shared" si="6"/>
        <v>1.3888888888888888E-2</v>
      </c>
      <c r="H2275">
        <f>G2275*(11.5/38.29)</f>
        <v>4.1713821421316844E-3</v>
      </c>
    </row>
    <row r="2276" spans="1:8" x14ac:dyDescent="0.25">
      <c r="A2276" s="1">
        <v>2008</v>
      </c>
      <c r="B2276" s="1" t="s">
        <v>104</v>
      </c>
      <c r="C2276" t="s">
        <v>52</v>
      </c>
      <c r="D2276">
        <v>2</v>
      </c>
      <c r="E2276">
        <v>32</v>
      </c>
      <c r="F2276">
        <v>0.02</v>
      </c>
      <c r="G2276">
        <f t="shared" si="6"/>
        <v>2.7777777777777776E-2</v>
      </c>
      <c r="H2276">
        <f>G2276*(11.5/38.29)</f>
        <v>8.3427642842633688E-3</v>
      </c>
    </row>
    <row r="2277" spans="1:8" x14ac:dyDescent="0.25">
      <c r="A2277" s="1">
        <v>2008</v>
      </c>
      <c r="B2277" s="1" t="s">
        <v>104</v>
      </c>
      <c r="C2277" t="s">
        <v>52</v>
      </c>
      <c r="D2277">
        <v>2</v>
      </c>
      <c r="E2277">
        <v>32</v>
      </c>
      <c r="F2277">
        <v>0.02</v>
      </c>
      <c r="G2277">
        <f t="shared" si="6"/>
        <v>2.7777777777777776E-2</v>
      </c>
      <c r="H2277">
        <f>G2277*(11.5/38.29)</f>
        <v>8.3427642842633688E-3</v>
      </c>
    </row>
    <row r="2278" spans="1:8" x14ac:dyDescent="0.25">
      <c r="A2278" s="1">
        <v>2008</v>
      </c>
      <c r="B2278" s="1" t="s">
        <v>104</v>
      </c>
      <c r="C2278" t="s">
        <v>52</v>
      </c>
      <c r="D2278">
        <v>2</v>
      </c>
      <c r="E2278">
        <v>32</v>
      </c>
      <c r="F2278">
        <v>0.01</v>
      </c>
      <c r="G2278">
        <f t="shared" si="6"/>
        <v>1.3888888888888888E-2</v>
      </c>
      <c r="H2278">
        <f>G2278*(11.5/38.29)</f>
        <v>4.1713821421316844E-3</v>
      </c>
    </row>
    <row r="2279" spans="1:8" x14ac:dyDescent="0.25">
      <c r="A2279" s="1">
        <v>2008</v>
      </c>
      <c r="B2279" s="1" t="s">
        <v>104</v>
      </c>
      <c r="C2279" t="s">
        <v>52</v>
      </c>
      <c r="D2279">
        <v>2</v>
      </c>
      <c r="E2279">
        <v>32</v>
      </c>
      <c r="F2279">
        <v>0.01</v>
      </c>
      <c r="G2279">
        <f t="shared" si="6"/>
        <v>1.3888888888888888E-2</v>
      </c>
      <c r="H2279">
        <f>G2279*(11.5/38.29)</f>
        <v>4.1713821421316844E-3</v>
      </c>
    </row>
    <row r="2280" spans="1:8" x14ac:dyDescent="0.25">
      <c r="A2280" s="1">
        <v>2008</v>
      </c>
      <c r="B2280" s="1" t="s">
        <v>104</v>
      </c>
      <c r="C2280" t="s">
        <v>52</v>
      </c>
      <c r="D2280">
        <v>2</v>
      </c>
      <c r="E2280">
        <v>32</v>
      </c>
      <c r="F2280">
        <v>0.01</v>
      </c>
      <c r="G2280">
        <f t="shared" si="6"/>
        <v>1.3888888888888888E-2</v>
      </c>
      <c r="H2280">
        <f>G2280*(11.5/38.29)</f>
        <v>4.1713821421316844E-3</v>
      </c>
    </row>
    <row r="2281" spans="1:8" x14ac:dyDescent="0.25">
      <c r="A2281" s="1">
        <v>2008</v>
      </c>
      <c r="B2281" s="1" t="s">
        <v>104</v>
      </c>
      <c r="C2281" t="s">
        <v>52</v>
      </c>
      <c r="D2281">
        <v>2</v>
      </c>
      <c r="E2281">
        <v>32</v>
      </c>
      <c r="F2281">
        <v>0.01</v>
      </c>
      <c r="G2281">
        <f t="shared" si="6"/>
        <v>1.3888888888888888E-2</v>
      </c>
      <c r="H2281">
        <f>G2281*(11.5/38.29)</f>
        <v>4.1713821421316844E-3</v>
      </c>
    </row>
    <row r="2282" spans="1:8" x14ac:dyDescent="0.25">
      <c r="A2282" s="1">
        <v>2008</v>
      </c>
      <c r="B2282" s="1" t="s">
        <v>104</v>
      </c>
      <c r="C2282" t="s">
        <v>52</v>
      </c>
      <c r="D2282">
        <v>2</v>
      </c>
      <c r="E2282">
        <v>32</v>
      </c>
      <c r="F2282">
        <v>0.01</v>
      </c>
      <c r="G2282">
        <f t="shared" si="6"/>
        <v>1.3888888888888888E-2</v>
      </c>
      <c r="H2282">
        <f>G2282*(11.5/38.29)</f>
        <v>4.1713821421316844E-3</v>
      </c>
    </row>
    <row r="2283" spans="1:8" x14ac:dyDescent="0.25">
      <c r="A2283" s="1">
        <v>2008</v>
      </c>
      <c r="B2283" s="1" t="s">
        <v>104</v>
      </c>
      <c r="C2283" t="s">
        <v>52</v>
      </c>
      <c r="D2283">
        <v>2</v>
      </c>
      <c r="E2283">
        <v>32</v>
      </c>
      <c r="F2283">
        <v>0.01</v>
      </c>
      <c r="G2283">
        <f t="shared" si="6"/>
        <v>1.3888888888888888E-2</v>
      </c>
      <c r="H2283">
        <f>G2283*(11.5/38.29)</f>
        <v>4.1713821421316844E-3</v>
      </c>
    </row>
    <row r="2284" spans="1:8" x14ac:dyDescent="0.25">
      <c r="A2284" s="1">
        <v>2008</v>
      </c>
      <c r="B2284" s="1" t="s">
        <v>104</v>
      </c>
      <c r="C2284" t="s">
        <v>52</v>
      </c>
      <c r="D2284">
        <v>2</v>
      </c>
      <c r="E2284">
        <v>32</v>
      </c>
      <c r="F2284">
        <v>0.01</v>
      </c>
      <c r="G2284">
        <f t="shared" si="6"/>
        <v>1.3888888888888888E-2</v>
      </c>
      <c r="H2284">
        <f>G2284*(11.5/38.29)</f>
        <v>4.1713821421316844E-3</v>
      </c>
    </row>
    <row r="2285" spans="1:8" x14ac:dyDescent="0.25">
      <c r="A2285" s="1">
        <v>2008</v>
      </c>
      <c r="B2285" s="1" t="s">
        <v>104</v>
      </c>
      <c r="C2285" t="s">
        <v>52</v>
      </c>
      <c r="D2285">
        <v>2</v>
      </c>
      <c r="E2285">
        <v>32</v>
      </c>
      <c r="F2285">
        <v>0.01</v>
      </c>
      <c r="G2285">
        <f t="shared" si="6"/>
        <v>1.3888888888888888E-2</v>
      </c>
      <c r="H2285">
        <f>G2285*(11.5/38.29)</f>
        <v>4.1713821421316844E-3</v>
      </c>
    </row>
    <row r="2286" spans="1:8" x14ac:dyDescent="0.25">
      <c r="A2286" s="1">
        <v>2008</v>
      </c>
      <c r="B2286" s="1" t="s">
        <v>104</v>
      </c>
      <c r="C2286" t="s">
        <v>52</v>
      </c>
      <c r="D2286">
        <v>2</v>
      </c>
      <c r="E2286">
        <v>32</v>
      </c>
      <c r="F2286">
        <v>0.01</v>
      </c>
      <c r="G2286">
        <f t="shared" si="6"/>
        <v>1.3888888888888888E-2</v>
      </c>
      <c r="H2286">
        <f>G2286*(11.5/38.29)</f>
        <v>4.1713821421316844E-3</v>
      </c>
    </row>
    <row r="2287" spans="1:8" x14ac:dyDescent="0.25">
      <c r="A2287" s="1">
        <v>2008</v>
      </c>
      <c r="B2287" s="1" t="s">
        <v>104</v>
      </c>
      <c r="C2287" t="s">
        <v>52</v>
      </c>
      <c r="D2287">
        <v>2</v>
      </c>
      <c r="E2287">
        <v>33</v>
      </c>
      <c r="F2287">
        <v>0.01</v>
      </c>
      <c r="G2287">
        <f t="shared" si="6"/>
        <v>1.3888888888888888E-2</v>
      </c>
      <c r="H2287">
        <f>G2287*(11.5/38.29)</f>
        <v>4.1713821421316844E-3</v>
      </c>
    </row>
    <row r="2288" spans="1:8" x14ac:dyDescent="0.25">
      <c r="A2288" s="1">
        <v>2008</v>
      </c>
      <c r="B2288" s="1" t="s">
        <v>104</v>
      </c>
      <c r="C2288" t="s">
        <v>52</v>
      </c>
      <c r="D2288">
        <v>2</v>
      </c>
      <c r="E2288">
        <v>33</v>
      </c>
      <c r="F2288">
        <v>0.03</v>
      </c>
      <c r="G2288">
        <f t="shared" si="6"/>
        <v>4.1666666666666664E-2</v>
      </c>
      <c r="H2288">
        <f>G2288*(11.5/38.29)</f>
        <v>1.2514146426395055E-2</v>
      </c>
    </row>
    <row r="2289" spans="1:8" x14ac:dyDescent="0.25">
      <c r="A2289" s="1">
        <v>2008</v>
      </c>
      <c r="B2289" s="1" t="s">
        <v>104</v>
      </c>
      <c r="C2289" t="s">
        <v>52</v>
      </c>
      <c r="D2289">
        <v>2</v>
      </c>
      <c r="E2289">
        <v>33</v>
      </c>
      <c r="F2289">
        <v>0.01</v>
      </c>
      <c r="G2289">
        <f t="shared" ref="G2289:G2352" si="7">(F2289/0.01)/72</f>
        <v>1.3888888888888888E-2</v>
      </c>
      <c r="H2289">
        <f>G2289*(11.5/38.29)</f>
        <v>4.1713821421316844E-3</v>
      </c>
    </row>
    <row r="2290" spans="1:8" x14ac:dyDescent="0.25">
      <c r="A2290" s="1">
        <v>2008</v>
      </c>
      <c r="B2290" s="1" t="s">
        <v>104</v>
      </c>
      <c r="C2290" t="s">
        <v>52</v>
      </c>
      <c r="D2290">
        <v>2</v>
      </c>
      <c r="E2290">
        <v>53</v>
      </c>
      <c r="F2290">
        <v>0.01</v>
      </c>
      <c r="G2290">
        <f t="shared" si="7"/>
        <v>1.3888888888888888E-2</v>
      </c>
      <c r="H2290">
        <f>G2290*(11.5/38.29)</f>
        <v>4.1713821421316844E-3</v>
      </c>
    </row>
    <row r="2291" spans="1:8" x14ac:dyDescent="0.25">
      <c r="A2291" s="1">
        <v>2008</v>
      </c>
      <c r="B2291" s="1" t="s">
        <v>104</v>
      </c>
      <c r="C2291" t="s">
        <v>52</v>
      </c>
      <c r="D2291">
        <v>2</v>
      </c>
      <c r="E2291">
        <v>58</v>
      </c>
      <c r="F2291">
        <v>0.01</v>
      </c>
      <c r="G2291">
        <f t="shared" si="7"/>
        <v>1.3888888888888888E-2</v>
      </c>
      <c r="H2291">
        <f>G2291*(11.5/38.29)</f>
        <v>4.1713821421316844E-3</v>
      </c>
    </row>
    <row r="2292" spans="1:8" x14ac:dyDescent="0.25">
      <c r="A2292" s="1">
        <v>2008</v>
      </c>
      <c r="B2292" s="1" t="s">
        <v>104</v>
      </c>
      <c r="C2292" t="s">
        <v>52</v>
      </c>
      <c r="D2292">
        <v>2</v>
      </c>
      <c r="E2292">
        <v>58</v>
      </c>
      <c r="F2292">
        <v>0.01</v>
      </c>
      <c r="G2292">
        <f t="shared" si="7"/>
        <v>1.3888888888888888E-2</v>
      </c>
      <c r="H2292">
        <f>G2292*(11.5/38.29)</f>
        <v>4.1713821421316844E-3</v>
      </c>
    </row>
    <row r="2293" spans="1:8" x14ac:dyDescent="0.25">
      <c r="A2293" s="1">
        <v>2008</v>
      </c>
      <c r="B2293" s="1" t="s">
        <v>104</v>
      </c>
      <c r="C2293" t="s">
        <v>52</v>
      </c>
      <c r="D2293">
        <v>2</v>
      </c>
      <c r="E2293">
        <v>58</v>
      </c>
      <c r="F2293">
        <v>0.01</v>
      </c>
      <c r="G2293">
        <f t="shared" si="7"/>
        <v>1.3888888888888888E-2</v>
      </c>
      <c r="H2293">
        <f>G2293*(11.5/38.29)</f>
        <v>4.1713821421316844E-3</v>
      </c>
    </row>
    <row r="2294" spans="1:8" x14ac:dyDescent="0.25">
      <c r="A2294" s="1">
        <v>2008</v>
      </c>
      <c r="B2294" s="1" t="s">
        <v>104</v>
      </c>
      <c r="C2294" t="s">
        <v>52</v>
      </c>
      <c r="D2294">
        <v>2</v>
      </c>
      <c r="E2294">
        <v>63</v>
      </c>
      <c r="F2294">
        <v>0.02</v>
      </c>
      <c r="G2294">
        <f t="shared" si="7"/>
        <v>2.7777777777777776E-2</v>
      </c>
      <c r="H2294">
        <f>G2294*(11.5/38.29)</f>
        <v>8.3427642842633688E-3</v>
      </c>
    </row>
    <row r="2295" spans="1:8" x14ac:dyDescent="0.25">
      <c r="A2295" s="1">
        <v>2008</v>
      </c>
      <c r="B2295" s="1" t="s">
        <v>104</v>
      </c>
      <c r="C2295" t="s">
        <v>52</v>
      </c>
      <c r="D2295">
        <v>2</v>
      </c>
      <c r="E2295">
        <v>63</v>
      </c>
      <c r="F2295">
        <v>0.01</v>
      </c>
      <c r="G2295">
        <f t="shared" si="7"/>
        <v>1.3888888888888888E-2</v>
      </c>
      <c r="H2295">
        <f>G2295*(11.5/38.29)</f>
        <v>4.1713821421316844E-3</v>
      </c>
    </row>
    <row r="2296" spans="1:8" x14ac:dyDescent="0.25">
      <c r="A2296" s="1">
        <v>2008</v>
      </c>
      <c r="B2296" s="1" t="s">
        <v>104</v>
      </c>
      <c r="C2296" t="s">
        <v>52</v>
      </c>
      <c r="D2296">
        <v>2</v>
      </c>
      <c r="E2296">
        <v>63</v>
      </c>
      <c r="F2296">
        <v>0.01</v>
      </c>
      <c r="G2296">
        <f t="shared" si="7"/>
        <v>1.3888888888888888E-2</v>
      </c>
      <c r="H2296">
        <f>G2296*(11.5/38.29)</f>
        <v>4.1713821421316844E-3</v>
      </c>
    </row>
    <row r="2297" spans="1:8" x14ac:dyDescent="0.25">
      <c r="A2297" s="1">
        <v>2008</v>
      </c>
      <c r="B2297" s="1" t="s">
        <v>104</v>
      </c>
      <c r="C2297" t="s">
        <v>52</v>
      </c>
      <c r="D2297">
        <v>2</v>
      </c>
      <c r="E2297">
        <v>63</v>
      </c>
      <c r="F2297">
        <v>0.03</v>
      </c>
      <c r="G2297">
        <f t="shared" si="7"/>
        <v>4.1666666666666664E-2</v>
      </c>
      <c r="H2297">
        <f>G2297*(11.5/38.29)</f>
        <v>1.2514146426395055E-2</v>
      </c>
    </row>
    <row r="2298" spans="1:8" x14ac:dyDescent="0.25">
      <c r="A2298" s="1">
        <v>2008</v>
      </c>
      <c r="B2298" s="1" t="s">
        <v>104</v>
      </c>
      <c r="C2298" t="s">
        <v>52</v>
      </c>
      <c r="D2298">
        <v>2</v>
      </c>
      <c r="E2298">
        <v>63</v>
      </c>
      <c r="F2298">
        <v>0.02</v>
      </c>
      <c r="G2298">
        <f t="shared" si="7"/>
        <v>2.7777777777777776E-2</v>
      </c>
      <c r="H2298">
        <f>G2298*(11.5/38.29)</f>
        <v>8.3427642842633688E-3</v>
      </c>
    </row>
    <row r="2299" spans="1:8" x14ac:dyDescent="0.25">
      <c r="A2299" s="1">
        <v>2008</v>
      </c>
      <c r="B2299" s="1" t="s">
        <v>104</v>
      </c>
      <c r="C2299" t="s">
        <v>52</v>
      </c>
      <c r="D2299">
        <v>2</v>
      </c>
      <c r="E2299">
        <v>63</v>
      </c>
      <c r="F2299">
        <v>0.01</v>
      </c>
      <c r="G2299">
        <f t="shared" si="7"/>
        <v>1.3888888888888888E-2</v>
      </c>
      <c r="H2299">
        <f>G2299*(11.5/38.29)</f>
        <v>4.1713821421316844E-3</v>
      </c>
    </row>
    <row r="2300" spans="1:8" x14ac:dyDescent="0.25">
      <c r="A2300" s="1">
        <v>2008</v>
      </c>
      <c r="B2300" s="1" t="s">
        <v>104</v>
      </c>
      <c r="C2300" t="s">
        <v>52</v>
      </c>
      <c r="D2300">
        <v>2</v>
      </c>
      <c r="E2300">
        <v>63</v>
      </c>
      <c r="F2300">
        <v>0.01</v>
      </c>
      <c r="G2300">
        <f t="shared" si="7"/>
        <v>1.3888888888888888E-2</v>
      </c>
      <c r="H2300">
        <f>G2300*(11.5/38.29)</f>
        <v>4.1713821421316844E-3</v>
      </c>
    </row>
    <row r="2301" spans="1:8" x14ac:dyDescent="0.25">
      <c r="A2301" s="1">
        <v>2008</v>
      </c>
      <c r="B2301" s="1" t="s">
        <v>104</v>
      </c>
      <c r="C2301" t="s">
        <v>52</v>
      </c>
      <c r="D2301">
        <v>2</v>
      </c>
      <c r="E2301">
        <v>63</v>
      </c>
      <c r="F2301">
        <v>0.02</v>
      </c>
      <c r="G2301">
        <f t="shared" si="7"/>
        <v>2.7777777777777776E-2</v>
      </c>
      <c r="H2301">
        <f>G2301*(11.5/38.29)</f>
        <v>8.3427642842633688E-3</v>
      </c>
    </row>
    <row r="2302" spans="1:8" x14ac:dyDescent="0.25">
      <c r="A2302" s="1">
        <v>2008</v>
      </c>
      <c r="B2302" s="1" t="s">
        <v>104</v>
      </c>
      <c r="C2302" t="s">
        <v>52</v>
      </c>
      <c r="D2302">
        <v>2</v>
      </c>
      <c r="E2302">
        <v>63</v>
      </c>
      <c r="F2302">
        <v>0.01</v>
      </c>
      <c r="G2302">
        <f t="shared" si="7"/>
        <v>1.3888888888888888E-2</v>
      </c>
      <c r="H2302">
        <f>G2302*(11.5/38.29)</f>
        <v>4.1713821421316844E-3</v>
      </c>
    </row>
    <row r="2303" spans="1:8" x14ac:dyDescent="0.25">
      <c r="A2303" s="1">
        <v>2008</v>
      </c>
      <c r="B2303" s="1" t="s">
        <v>104</v>
      </c>
      <c r="C2303" t="s">
        <v>52</v>
      </c>
      <c r="D2303">
        <v>2</v>
      </c>
      <c r="E2303">
        <v>63</v>
      </c>
      <c r="F2303">
        <v>0.03</v>
      </c>
      <c r="G2303">
        <f t="shared" si="7"/>
        <v>4.1666666666666664E-2</v>
      </c>
      <c r="H2303">
        <f>G2303*(11.5/38.29)</f>
        <v>1.2514146426395055E-2</v>
      </c>
    </row>
    <row r="2304" spans="1:8" x14ac:dyDescent="0.25">
      <c r="A2304" s="1">
        <v>2008</v>
      </c>
      <c r="B2304" s="1" t="s">
        <v>104</v>
      </c>
      <c r="C2304" t="s">
        <v>52</v>
      </c>
      <c r="D2304">
        <v>2</v>
      </c>
      <c r="E2304">
        <v>78</v>
      </c>
      <c r="F2304">
        <v>0.02</v>
      </c>
      <c r="G2304">
        <f t="shared" si="7"/>
        <v>2.7777777777777776E-2</v>
      </c>
      <c r="H2304">
        <f>G2304*(11.5/38.29)</f>
        <v>8.3427642842633688E-3</v>
      </c>
    </row>
    <row r="2305" spans="1:8" x14ac:dyDescent="0.25">
      <c r="A2305" s="1">
        <v>2008</v>
      </c>
      <c r="B2305" s="1" t="s">
        <v>104</v>
      </c>
      <c r="C2305" t="s">
        <v>52</v>
      </c>
      <c r="D2305">
        <v>2</v>
      </c>
      <c r="E2305">
        <v>78</v>
      </c>
      <c r="F2305">
        <v>0.01</v>
      </c>
      <c r="G2305">
        <f t="shared" si="7"/>
        <v>1.3888888888888888E-2</v>
      </c>
      <c r="H2305">
        <f>G2305*(11.5/38.29)</f>
        <v>4.1713821421316844E-3</v>
      </c>
    </row>
    <row r="2306" spans="1:8" x14ac:dyDescent="0.25">
      <c r="A2306" s="1">
        <v>2008</v>
      </c>
      <c r="B2306" s="1" t="s">
        <v>104</v>
      </c>
      <c r="C2306" t="s">
        <v>52</v>
      </c>
      <c r="D2306">
        <v>2</v>
      </c>
      <c r="E2306">
        <v>79</v>
      </c>
      <c r="F2306">
        <v>0.02</v>
      </c>
      <c r="G2306">
        <f t="shared" si="7"/>
        <v>2.7777777777777776E-2</v>
      </c>
      <c r="H2306">
        <f>G2306*(11.5/38.29)</f>
        <v>8.3427642842633688E-3</v>
      </c>
    </row>
    <row r="2307" spans="1:8" x14ac:dyDescent="0.25">
      <c r="A2307" s="1">
        <v>2008</v>
      </c>
      <c r="B2307" s="1" t="s">
        <v>104</v>
      </c>
      <c r="C2307" t="s">
        <v>52</v>
      </c>
      <c r="D2307">
        <v>2</v>
      </c>
      <c r="E2307">
        <v>79</v>
      </c>
      <c r="F2307">
        <v>0.01</v>
      </c>
      <c r="G2307">
        <f t="shared" si="7"/>
        <v>1.3888888888888888E-2</v>
      </c>
      <c r="H2307">
        <f>G2307*(11.5/38.29)</f>
        <v>4.1713821421316844E-3</v>
      </c>
    </row>
    <row r="2308" spans="1:8" x14ac:dyDescent="0.25">
      <c r="A2308" s="1">
        <v>2008</v>
      </c>
      <c r="B2308" s="1" t="s">
        <v>104</v>
      </c>
      <c r="C2308" t="s">
        <v>52</v>
      </c>
      <c r="D2308">
        <v>2</v>
      </c>
      <c r="E2308">
        <v>79</v>
      </c>
      <c r="F2308">
        <v>0.01</v>
      </c>
      <c r="G2308">
        <f t="shared" si="7"/>
        <v>1.3888888888888888E-2</v>
      </c>
      <c r="H2308">
        <f>G2308*(11.5/38.29)</f>
        <v>4.1713821421316844E-3</v>
      </c>
    </row>
    <row r="2309" spans="1:8" x14ac:dyDescent="0.25">
      <c r="A2309" s="1">
        <v>2008</v>
      </c>
      <c r="B2309" s="1" t="s">
        <v>104</v>
      </c>
      <c r="C2309" t="s">
        <v>52</v>
      </c>
      <c r="D2309">
        <v>2</v>
      </c>
      <c r="E2309">
        <v>79</v>
      </c>
      <c r="F2309">
        <v>0.01</v>
      </c>
      <c r="G2309">
        <f t="shared" si="7"/>
        <v>1.3888888888888888E-2</v>
      </c>
      <c r="H2309">
        <f>G2309*(11.5/38.29)</f>
        <v>4.1713821421316844E-3</v>
      </c>
    </row>
    <row r="2310" spans="1:8" x14ac:dyDescent="0.25">
      <c r="A2310" s="1">
        <v>2008</v>
      </c>
      <c r="B2310" s="1" t="s">
        <v>104</v>
      </c>
      <c r="C2310" t="s">
        <v>52</v>
      </c>
      <c r="D2310">
        <v>2</v>
      </c>
      <c r="E2310">
        <v>85</v>
      </c>
      <c r="F2310">
        <v>0.02</v>
      </c>
      <c r="G2310">
        <f t="shared" si="7"/>
        <v>2.7777777777777776E-2</v>
      </c>
      <c r="H2310">
        <f>G2310*(11.5/38.29)</f>
        <v>8.3427642842633688E-3</v>
      </c>
    </row>
    <row r="2311" spans="1:8" x14ac:dyDescent="0.25">
      <c r="A2311" s="1">
        <v>2008</v>
      </c>
      <c r="B2311" s="1" t="s">
        <v>104</v>
      </c>
      <c r="C2311" t="s">
        <v>52</v>
      </c>
      <c r="D2311">
        <v>2</v>
      </c>
      <c r="E2311">
        <v>85</v>
      </c>
      <c r="F2311">
        <v>0.01</v>
      </c>
      <c r="G2311">
        <f t="shared" si="7"/>
        <v>1.3888888888888888E-2</v>
      </c>
      <c r="H2311">
        <f>G2311*(11.5/38.29)</f>
        <v>4.1713821421316844E-3</v>
      </c>
    </row>
    <row r="2312" spans="1:8" x14ac:dyDescent="0.25">
      <c r="A2312" s="1">
        <v>2008</v>
      </c>
      <c r="B2312" s="1" t="s">
        <v>104</v>
      </c>
      <c r="C2312" t="s">
        <v>52</v>
      </c>
      <c r="D2312">
        <v>2</v>
      </c>
      <c r="E2312">
        <v>85</v>
      </c>
      <c r="F2312">
        <v>0.01</v>
      </c>
      <c r="G2312">
        <f t="shared" si="7"/>
        <v>1.3888888888888888E-2</v>
      </c>
      <c r="H2312">
        <f>G2312*(11.5/38.29)</f>
        <v>4.1713821421316844E-3</v>
      </c>
    </row>
    <row r="2313" spans="1:8" x14ac:dyDescent="0.25">
      <c r="A2313" s="1">
        <v>2008</v>
      </c>
      <c r="B2313" s="1" t="s">
        <v>104</v>
      </c>
      <c r="C2313" t="s">
        <v>52</v>
      </c>
      <c r="D2313">
        <v>2</v>
      </c>
      <c r="E2313">
        <v>85</v>
      </c>
      <c r="F2313">
        <v>0.01</v>
      </c>
      <c r="G2313">
        <f t="shared" si="7"/>
        <v>1.3888888888888888E-2</v>
      </c>
      <c r="H2313">
        <f>G2313*(11.5/38.29)</f>
        <v>4.1713821421316844E-3</v>
      </c>
    </row>
    <row r="2314" spans="1:8" x14ac:dyDescent="0.25">
      <c r="A2314" s="1">
        <v>2008</v>
      </c>
      <c r="B2314" s="1" t="s">
        <v>104</v>
      </c>
      <c r="C2314" t="s">
        <v>52</v>
      </c>
      <c r="D2314">
        <v>2</v>
      </c>
      <c r="E2314">
        <v>85</v>
      </c>
      <c r="F2314">
        <v>0.01</v>
      </c>
      <c r="G2314">
        <f t="shared" si="7"/>
        <v>1.3888888888888888E-2</v>
      </c>
      <c r="H2314">
        <f>G2314*(11.5/38.29)</f>
        <v>4.1713821421316844E-3</v>
      </c>
    </row>
    <row r="2315" spans="1:8" x14ac:dyDescent="0.25">
      <c r="A2315" s="1">
        <v>2008</v>
      </c>
      <c r="B2315" s="1" t="s">
        <v>104</v>
      </c>
      <c r="C2315" t="s">
        <v>52</v>
      </c>
      <c r="D2315">
        <v>2</v>
      </c>
      <c r="E2315">
        <v>85</v>
      </c>
      <c r="F2315">
        <v>0.01</v>
      </c>
      <c r="G2315">
        <f t="shared" si="7"/>
        <v>1.3888888888888888E-2</v>
      </c>
      <c r="H2315">
        <f>G2315*(11.5/38.29)</f>
        <v>4.1713821421316844E-3</v>
      </c>
    </row>
    <row r="2316" spans="1:8" x14ac:dyDescent="0.25">
      <c r="A2316" s="1">
        <v>2008</v>
      </c>
      <c r="B2316" s="1" t="s">
        <v>104</v>
      </c>
      <c r="C2316" t="s">
        <v>52</v>
      </c>
      <c r="D2316">
        <v>2</v>
      </c>
      <c r="E2316">
        <v>85</v>
      </c>
      <c r="F2316">
        <v>0.02</v>
      </c>
      <c r="G2316">
        <f t="shared" si="7"/>
        <v>2.7777777777777776E-2</v>
      </c>
      <c r="H2316">
        <f>G2316*(11.5/38.29)</f>
        <v>8.3427642842633688E-3</v>
      </c>
    </row>
    <row r="2317" spans="1:8" x14ac:dyDescent="0.25">
      <c r="A2317" s="1">
        <v>2008</v>
      </c>
      <c r="B2317" s="1" t="s">
        <v>104</v>
      </c>
      <c r="C2317" t="s">
        <v>52</v>
      </c>
      <c r="D2317">
        <v>2</v>
      </c>
      <c r="E2317">
        <v>86</v>
      </c>
      <c r="F2317">
        <v>0.01</v>
      </c>
      <c r="G2317">
        <f t="shared" si="7"/>
        <v>1.3888888888888888E-2</v>
      </c>
      <c r="H2317">
        <f>G2317*(11.5/38.29)</f>
        <v>4.1713821421316844E-3</v>
      </c>
    </row>
    <row r="2318" spans="1:8" x14ac:dyDescent="0.25">
      <c r="A2318" s="1">
        <v>2008</v>
      </c>
      <c r="B2318" s="1" t="s">
        <v>104</v>
      </c>
      <c r="C2318" t="s">
        <v>52</v>
      </c>
      <c r="D2318">
        <v>3</v>
      </c>
      <c r="E2318">
        <v>29</v>
      </c>
      <c r="F2318">
        <v>0.01</v>
      </c>
      <c r="G2318">
        <f t="shared" si="7"/>
        <v>1.3888888888888888E-2</v>
      </c>
      <c r="H2318">
        <f>G2318*(11.5/38.29)</f>
        <v>4.1713821421316844E-3</v>
      </c>
    </row>
    <row r="2319" spans="1:8" x14ac:dyDescent="0.25">
      <c r="A2319" s="1">
        <v>2008</v>
      </c>
      <c r="B2319" s="1" t="s">
        <v>104</v>
      </c>
      <c r="C2319" t="s">
        <v>52</v>
      </c>
      <c r="D2319">
        <v>3</v>
      </c>
      <c r="E2319">
        <v>29</v>
      </c>
      <c r="F2319">
        <v>0.01</v>
      </c>
      <c r="G2319">
        <f t="shared" si="7"/>
        <v>1.3888888888888888E-2</v>
      </c>
      <c r="H2319">
        <f>G2319*(11.5/38.29)</f>
        <v>4.1713821421316844E-3</v>
      </c>
    </row>
    <row r="2320" spans="1:8" x14ac:dyDescent="0.25">
      <c r="A2320" s="1">
        <v>2008</v>
      </c>
      <c r="B2320" s="1" t="s">
        <v>104</v>
      </c>
      <c r="C2320" t="s">
        <v>52</v>
      </c>
      <c r="D2320">
        <v>3</v>
      </c>
      <c r="E2320">
        <v>29</v>
      </c>
      <c r="F2320">
        <v>0.01</v>
      </c>
      <c r="G2320">
        <f t="shared" si="7"/>
        <v>1.3888888888888888E-2</v>
      </c>
      <c r="H2320">
        <f>G2320*(11.5/38.29)</f>
        <v>4.1713821421316844E-3</v>
      </c>
    </row>
    <row r="2321" spans="1:8" x14ac:dyDescent="0.25">
      <c r="A2321" s="1">
        <v>2008</v>
      </c>
      <c r="B2321" s="1" t="s">
        <v>104</v>
      </c>
      <c r="C2321" t="s">
        <v>52</v>
      </c>
      <c r="D2321">
        <v>3</v>
      </c>
      <c r="E2321">
        <v>32</v>
      </c>
      <c r="F2321">
        <v>0.01</v>
      </c>
      <c r="G2321">
        <f t="shared" si="7"/>
        <v>1.3888888888888888E-2</v>
      </c>
      <c r="H2321">
        <f>G2321*(11.5/38.29)</f>
        <v>4.1713821421316844E-3</v>
      </c>
    </row>
    <row r="2322" spans="1:8" x14ac:dyDescent="0.25">
      <c r="A2322" s="1">
        <v>2008</v>
      </c>
      <c r="B2322" s="1" t="s">
        <v>104</v>
      </c>
      <c r="C2322" t="s">
        <v>52</v>
      </c>
      <c r="D2322">
        <v>3</v>
      </c>
      <c r="E2322">
        <v>32</v>
      </c>
      <c r="F2322">
        <v>0.01</v>
      </c>
      <c r="G2322">
        <f t="shared" si="7"/>
        <v>1.3888888888888888E-2</v>
      </c>
      <c r="H2322">
        <f>G2322*(11.5/38.29)</f>
        <v>4.1713821421316844E-3</v>
      </c>
    </row>
    <row r="2323" spans="1:8" x14ac:dyDescent="0.25">
      <c r="A2323" s="1">
        <v>2008</v>
      </c>
      <c r="B2323" s="1" t="s">
        <v>104</v>
      </c>
      <c r="C2323" t="s">
        <v>52</v>
      </c>
      <c r="D2323">
        <v>3</v>
      </c>
      <c r="E2323">
        <v>32</v>
      </c>
      <c r="F2323">
        <v>0.01</v>
      </c>
      <c r="G2323">
        <f t="shared" si="7"/>
        <v>1.3888888888888888E-2</v>
      </c>
      <c r="H2323">
        <f>G2323*(11.5/38.29)</f>
        <v>4.1713821421316844E-3</v>
      </c>
    </row>
    <row r="2324" spans="1:8" x14ac:dyDescent="0.25">
      <c r="A2324" s="1">
        <v>2008</v>
      </c>
      <c r="B2324" s="1" t="s">
        <v>104</v>
      </c>
      <c r="C2324" t="s">
        <v>52</v>
      </c>
      <c r="D2324">
        <v>3</v>
      </c>
      <c r="E2324">
        <v>32</v>
      </c>
      <c r="F2324">
        <v>0.03</v>
      </c>
      <c r="G2324">
        <f t="shared" si="7"/>
        <v>4.1666666666666664E-2</v>
      </c>
      <c r="H2324">
        <f>G2324*(11.5/38.29)</f>
        <v>1.2514146426395055E-2</v>
      </c>
    </row>
    <row r="2325" spans="1:8" x14ac:dyDescent="0.25">
      <c r="A2325" s="1">
        <v>2008</v>
      </c>
      <c r="B2325" s="1" t="s">
        <v>104</v>
      </c>
      <c r="C2325" t="s">
        <v>52</v>
      </c>
      <c r="D2325">
        <v>3</v>
      </c>
      <c r="E2325">
        <v>32</v>
      </c>
      <c r="F2325">
        <v>0.01</v>
      </c>
      <c r="G2325">
        <f t="shared" si="7"/>
        <v>1.3888888888888888E-2</v>
      </c>
      <c r="H2325">
        <f>G2325*(11.5/38.29)</f>
        <v>4.1713821421316844E-3</v>
      </c>
    </row>
    <row r="2326" spans="1:8" x14ac:dyDescent="0.25">
      <c r="A2326" s="1">
        <v>2008</v>
      </c>
      <c r="B2326" s="1" t="s">
        <v>104</v>
      </c>
      <c r="C2326" t="s">
        <v>52</v>
      </c>
      <c r="D2326">
        <v>3</v>
      </c>
      <c r="E2326">
        <v>32</v>
      </c>
      <c r="F2326">
        <v>0.03</v>
      </c>
      <c r="G2326">
        <f t="shared" si="7"/>
        <v>4.1666666666666664E-2</v>
      </c>
      <c r="H2326">
        <f>G2326*(11.5/38.29)</f>
        <v>1.2514146426395055E-2</v>
      </c>
    </row>
    <row r="2327" spans="1:8" x14ac:dyDescent="0.25">
      <c r="A2327" s="1">
        <v>2008</v>
      </c>
      <c r="B2327" s="1" t="s">
        <v>104</v>
      </c>
      <c r="C2327" t="s">
        <v>52</v>
      </c>
      <c r="D2327">
        <v>3</v>
      </c>
      <c r="E2327">
        <v>32</v>
      </c>
      <c r="F2327">
        <v>0.01</v>
      </c>
      <c r="G2327">
        <f t="shared" si="7"/>
        <v>1.3888888888888888E-2</v>
      </c>
      <c r="H2327">
        <f>G2327*(11.5/38.29)</f>
        <v>4.1713821421316844E-3</v>
      </c>
    </row>
    <row r="2328" spans="1:8" x14ac:dyDescent="0.25">
      <c r="A2328" s="1">
        <v>2008</v>
      </c>
      <c r="B2328" s="1" t="s">
        <v>104</v>
      </c>
      <c r="C2328" t="s">
        <v>52</v>
      </c>
      <c r="D2328">
        <v>3</v>
      </c>
      <c r="E2328">
        <v>32</v>
      </c>
      <c r="F2328">
        <v>0.02</v>
      </c>
      <c r="G2328">
        <f t="shared" si="7"/>
        <v>2.7777777777777776E-2</v>
      </c>
      <c r="H2328">
        <f>G2328*(11.5/38.29)</f>
        <v>8.3427642842633688E-3</v>
      </c>
    </row>
    <row r="2329" spans="1:8" x14ac:dyDescent="0.25">
      <c r="A2329" s="1">
        <v>2008</v>
      </c>
      <c r="B2329" s="1" t="s">
        <v>104</v>
      </c>
      <c r="C2329" t="s">
        <v>52</v>
      </c>
      <c r="D2329">
        <v>3</v>
      </c>
      <c r="E2329">
        <v>32</v>
      </c>
      <c r="F2329">
        <v>0.02</v>
      </c>
      <c r="G2329">
        <f t="shared" si="7"/>
        <v>2.7777777777777776E-2</v>
      </c>
      <c r="H2329">
        <f>G2329*(11.5/38.29)</f>
        <v>8.3427642842633688E-3</v>
      </c>
    </row>
    <row r="2330" spans="1:8" x14ac:dyDescent="0.25">
      <c r="A2330" s="1">
        <v>2008</v>
      </c>
      <c r="B2330" s="1" t="s">
        <v>104</v>
      </c>
      <c r="C2330" t="s">
        <v>52</v>
      </c>
      <c r="D2330">
        <v>3</v>
      </c>
      <c r="E2330">
        <v>32</v>
      </c>
      <c r="F2330">
        <v>0.02</v>
      </c>
      <c r="G2330">
        <f t="shared" si="7"/>
        <v>2.7777777777777776E-2</v>
      </c>
      <c r="H2330">
        <f>G2330*(11.5/38.29)</f>
        <v>8.3427642842633688E-3</v>
      </c>
    </row>
    <row r="2331" spans="1:8" x14ac:dyDescent="0.25">
      <c r="A2331" s="1">
        <v>2008</v>
      </c>
      <c r="B2331" s="1" t="s">
        <v>104</v>
      </c>
      <c r="C2331" t="s">
        <v>52</v>
      </c>
      <c r="D2331">
        <v>3</v>
      </c>
      <c r="E2331">
        <v>32</v>
      </c>
      <c r="F2331">
        <v>0.01</v>
      </c>
      <c r="G2331">
        <f t="shared" si="7"/>
        <v>1.3888888888888888E-2</v>
      </c>
      <c r="H2331">
        <f>G2331*(11.5/38.29)</f>
        <v>4.1713821421316844E-3</v>
      </c>
    </row>
    <row r="2332" spans="1:8" x14ac:dyDescent="0.25">
      <c r="A2332" s="1">
        <v>2008</v>
      </c>
      <c r="B2332" s="1" t="s">
        <v>104</v>
      </c>
      <c r="C2332" t="s">
        <v>52</v>
      </c>
      <c r="D2332">
        <v>3</v>
      </c>
      <c r="E2332">
        <v>32</v>
      </c>
      <c r="F2332">
        <v>0.01</v>
      </c>
      <c r="G2332">
        <f t="shared" si="7"/>
        <v>1.3888888888888888E-2</v>
      </c>
      <c r="H2332">
        <f>G2332*(11.5/38.29)</f>
        <v>4.1713821421316844E-3</v>
      </c>
    </row>
    <row r="2333" spans="1:8" x14ac:dyDescent="0.25">
      <c r="A2333" s="1">
        <v>2008</v>
      </c>
      <c r="B2333" s="1" t="s">
        <v>104</v>
      </c>
      <c r="C2333" t="s">
        <v>52</v>
      </c>
      <c r="D2333">
        <v>3</v>
      </c>
      <c r="E2333">
        <v>32</v>
      </c>
      <c r="F2333">
        <v>0.01</v>
      </c>
      <c r="G2333">
        <f t="shared" si="7"/>
        <v>1.3888888888888888E-2</v>
      </c>
      <c r="H2333">
        <f>G2333*(11.5/38.29)</f>
        <v>4.1713821421316844E-3</v>
      </c>
    </row>
    <row r="2334" spans="1:8" x14ac:dyDescent="0.25">
      <c r="A2334" s="1">
        <v>2008</v>
      </c>
      <c r="B2334" s="1" t="s">
        <v>104</v>
      </c>
      <c r="C2334" t="s">
        <v>52</v>
      </c>
      <c r="D2334">
        <v>3</v>
      </c>
      <c r="E2334">
        <v>32</v>
      </c>
      <c r="F2334">
        <v>0.01</v>
      </c>
      <c r="G2334">
        <f t="shared" si="7"/>
        <v>1.3888888888888888E-2</v>
      </c>
      <c r="H2334">
        <f>G2334*(11.5/38.29)</f>
        <v>4.1713821421316844E-3</v>
      </c>
    </row>
    <row r="2335" spans="1:8" x14ac:dyDescent="0.25">
      <c r="A2335" s="1">
        <v>2008</v>
      </c>
      <c r="B2335" s="1" t="s">
        <v>104</v>
      </c>
      <c r="C2335" t="s">
        <v>52</v>
      </c>
      <c r="D2335">
        <v>3</v>
      </c>
      <c r="E2335">
        <v>32</v>
      </c>
      <c r="F2335">
        <v>0.02</v>
      </c>
      <c r="G2335">
        <f t="shared" si="7"/>
        <v>2.7777777777777776E-2</v>
      </c>
      <c r="H2335">
        <f>G2335*(11.5/38.29)</f>
        <v>8.3427642842633688E-3</v>
      </c>
    </row>
    <row r="2336" spans="1:8" x14ac:dyDescent="0.25">
      <c r="A2336" s="1">
        <v>2008</v>
      </c>
      <c r="B2336" s="1" t="s">
        <v>104</v>
      </c>
      <c r="C2336" t="s">
        <v>52</v>
      </c>
      <c r="D2336">
        <v>3</v>
      </c>
      <c r="E2336">
        <v>32</v>
      </c>
      <c r="F2336">
        <v>0.02</v>
      </c>
      <c r="G2336">
        <f t="shared" si="7"/>
        <v>2.7777777777777776E-2</v>
      </c>
      <c r="H2336">
        <f>G2336*(11.5/38.29)</f>
        <v>8.3427642842633688E-3</v>
      </c>
    </row>
    <row r="2337" spans="1:8" x14ac:dyDescent="0.25">
      <c r="A2337" s="1">
        <v>2008</v>
      </c>
      <c r="B2337" s="1" t="s">
        <v>104</v>
      </c>
      <c r="C2337" t="s">
        <v>52</v>
      </c>
      <c r="D2337">
        <v>3</v>
      </c>
      <c r="E2337">
        <v>32</v>
      </c>
      <c r="F2337">
        <v>0.01</v>
      </c>
      <c r="G2337">
        <f t="shared" si="7"/>
        <v>1.3888888888888888E-2</v>
      </c>
      <c r="H2337">
        <f>G2337*(11.5/38.29)</f>
        <v>4.1713821421316844E-3</v>
      </c>
    </row>
    <row r="2338" spans="1:8" x14ac:dyDescent="0.25">
      <c r="A2338" s="1">
        <v>2008</v>
      </c>
      <c r="B2338" s="1" t="s">
        <v>104</v>
      </c>
      <c r="C2338" t="s">
        <v>52</v>
      </c>
      <c r="D2338">
        <v>3</v>
      </c>
      <c r="E2338">
        <v>33</v>
      </c>
      <c r="F2338">
        <v>0.01</v>
      </c>
      <c r="G2338">
        <f t="shared" si="7"/>
        <v>1.3888888888888888E-2</v>
      </c>
      <c r="H2338">
        <f>G2338*(11.5/38.29)</f>
        <v>4.1713821421316844E-3</v>
      </c>
    </row>
    <row r="2339" spans="1:8" x14ac:dyDescent="0.25">
      <c r="A2339" s="1">
        <v>2008</v>
      </c>
      <c r="B2339" s="1" t="s">
        <v>104</v>
      </c>
      <c r="C2339" t="s">
        <v>52</v>
      </c>
      <c r="D2339">
        <v>3</v>
      </c>
      <c r="E2339">
        <v>33</v>
      </c>
      <c r="F2339">
        <v>0.01</v>
      </c>
      <c r="G2339">
        <f t="shared" si="7"/>
        <v>1.3888888888888888E-2</v>
      </c>
      <c r="H2339">
        <f>G2339*(11.5/38.29)</f>
        <v>4.1713821421316844E-3</v>
      </c>
    </row>
    <row r="2340" spans="1:8" x14ac:dyDescent="0.25">
      <c r="A2340" s="1">
        <v>2008</v>
      </c>
      <c r="B2340" s="1" t="s">
        <v>104</v>
      </c>
      <c r="C2340" t="s">
        <v>52</v>
      </c>
      <c r="D2340">
        <v>3</v>
      </c>
      <c r="E2340">
        <v>33</v>
      </c>
      <c r="F2340">
        <v>0.01</v>
      </c>
      <c r="G2340">
        <f t="shared" si="7"/>
        <v>1.3888888888888888E-2</v>
      </c>
      <c r="H2340">
        <f>G2340*(11.5/38.29)</f>
        <v>4.1713821421316844E-3</v>
      </c>
    </row>
    <row r="2341" spans="1:8" x14ac:dyDescent="0.25">
      <c r="A2341" s="1">
        <v>2008</v>
      </c>
      <c r="B2341" s="1" t="s">
        <v>104</v>
      </c>
      <c r="C2341" t="s">
        <v>52</v>
      </c>
      <c r="D2341">
        <v>3</v>
      </c>
      <c r="E2341">
        <v>33</v>
      </c>
      <c r="F2341">
        <v>0.02</v>
      </c>
      <c r="G2341">
        <f t="shared" si="7"/>
        <v>2.7777777777777776E-2</v>
      </c>
      <c r="H2341">
        <f>G2341*(11.5/38.29)</f>
        <v>8.3427642842633688E-3</v>
      </c>
    </row>
    <row r="2342" spans="1:8" x14ac:dyDescent="0.25">
      <c r="A2342" s="1">
        <v>2008</v>
      </c>
      <c r="B2342" s="1" t="s">
        <v>104</v>
      </c>
      <c r="C2342" t="s">
        <v>52</v>
      </c>
      <c r="D2342">
        <v>3</v>
      </c>
      <c r="E2342">
        <v>33</v>
      </c>
      <c r="F2342">
        <v>0.02</v>
      </c>
      <c r="G2342">
        <f t="shared" si="7"/>
        <v>2.7777777777777776E-2</v>
      </c>
      <c r="H2342">
        <f>G2342*(11.5/38.29)</f>
        <v>8.3427642842633688E-3</v>
      </c>
    </row>
    <row r="2343" spans="1:8" x14ac:dyDescent="0.25">
      <c r="A2343" s="1">
        <v>2008</v>
      </c>
      <c r="B2343" s="1" t="s">
        <v>104</v>
      </c>
      <c r="C2343" t="s">
        <v>52</v>
      </c>
      <c r="D2343">
        <v>3</v>
      </c>
      <c r="E2343">
        <v>33</v>
      </c>
      <c r="F2343">
        <v>0.01</v>
      </c>
      <c r="G2343">
        <f t="shared" si="7"/>
        <v>1.3888888888888888E-2</v>
      </c>
      <c r="H2343">
        <f>G2343*(11.5/38.29)</f>
        <v>4.1713821421316844E-3</v>
      </c>
    </row>
    <row r="2344" spans="1:8" x14ac:dyDescent="0.25">
      <c r="A2344" s="1">
        <v>2008</v>
      </c>
      <c r="B2344" s="1" t="s">
        <v>104</v>
      </c>
      <c r="C2344" t="s">
        <v>52</v>
      </c>
      <c r="D2344">
        <v>3</v>
      </c>
      <c r="E2344">
        <v>53</v>
      </c>
      <c r="F2344">
        <v>0.01</v>
      </c>
      <c r="G2344">
        <f t="shared" si="7"/>
        <v>1.3888888888888888E-2</v>
      </c>
      <c r="H2344">
        <f>G2344*(11.5/38.29)</f>
        <v>4.1713821421316844E-3</v>
      </c>
    </row>
    <row r="2345" spans="1:8" x14ac:dyDescent="0.25">
      <c r="A2345" s="1">
        <v>2008</v>
      </c>
      <c r="B2345" s="1" t="s">
        <v>104</v>
      </c>
      <c r="C2345" t="s">
        <v>52</v>
      </c>
      <c r="D2345">
        <v>3</v>
      </c>
      <c r="E2345">
        <v>53</v>
      </c>
      <c r="F2345">
        <v>0.01</v>
      </c>
      <c r="G2345">
        <f t="shared" si="7"/>
        <v>1.3888888888888888E-2</v>
      </c>
      <c r="H2345">
        <f>G2345*(11.5/38.29)</f>
        <v>4.1713821421316844E-3</v>
      </c>
    </row>
    <row r="2346" spans="1:8" x14ac:dyDescent="0.25">
      <c r="A2346" s="1">
        <v>2008</v>
      </c>
      <c r="B2346" s="1" t="s">
        <v>104</v>
      </c>
      <c r="C2346" t="s">
        <v>52</v>
      </c>
      <c r="D2346">
        <v>3</v>
      </c>
      <c r="E2346">
        <v>53</v>
      </c>
      <c r="F2346">
        <v>0.01</v>
      </c>
      <c r="G2346">
        <f t="shared" si="7"/>
        <v>1.3888888888888888E-2</v>
      </c>
      <c r="H2346">
        <f>G2346*(11.5/38.29)</f>
        <v>4.1713821421316844E-3</v>
      </c>
    </row>
    <row r="2347" spans="1:8" x14ac:dyDescent="0.25">
      <c r="A2347" s="1">
        <v>2008</v>
      </c>
      <c r="B2347" s="1" t="s">
        <v>104</v>
      </c>
      <c r="C2347" t="s">
        <v>52</v>
      </c>
      <c r="D2347">
        <v>3</v>
      </c>
      <c r="E2347">
        <v>54</v>
      </c>
      <c r="F2347">
        <v>0.02</v>
      </c>
      <c r="G2347">
        <f t="shared" si="7"/>
        <v>2.7777777777777776E-2</v>
      </c>
      <c r="H2347">
        <f>G2347*(11.5/38.29)</f>
        <v>8.3427642842633688E-3</v>
      </c>
    </row>
    <row r="2348" spans="1:8" x14ac:dyDescent="0.25">
      <c r="A2348" s="1">
        <v>2008</v>
      </c>
      <c r="B2348" s="1" t="s">
        <v>104</v>
      </c>
      <c r="C2348" t="s">
        <v>52</v>
      </c>
      <c r="D2348">
        <v>3</v>
      </c>
      <c r="E2348">
        <v>54</v>
      </c>
      <c r="F2348">
        <v>0.02</v>
      </c>
      <c r="G2348">
        <f t="shared" si="7"/>
        <v>2.7777777777777776E-2</v>
      </c>
      <c r="H2348">
        <f>G2348*(11.5/38.29)</f>
        <v>8.3427642842633688E-3</v>
      </c>
    </row>
    <row r="2349" spans="1:8" x14ac:dyDescent="0.25">
      <c r="A2349" s="1">
        <v>2008</v>
      </c>
      <c r="B2349" s="1" t="s">
        <v>104</v>
      </c>
      <c r="C2349" t="s">
        <v>52</v>
      </c>
      <c r="D2349">
        <v>3</v>
      </c>
      <c r="E2349">
        <v>54</v>
      </c>
      <c r="F2349">
        <v>0.02</v>
      </c>
      <c r="G2349">
        <f t="shared" si="7"/>
        <v>2.7777777777777776E-2</v>
      </c>
      <c r="H2349">
        <f>G2349*(11.5/38.29)</f>
        <v>8.3427642842633688E-3</v>
      </c>
    </row>
    <row r="2350" spans="1:8" x14ac:dyDescent="0.25">
      <c r="A2350" s="1">
        <v>2008</v>
      </c>
      <c r="B2350" s="1" t="s">
        <v>104</v>
      </c>
      <c r="C2350" t="s">
        <v>52</v>
      </c>
      <c r="D2350">
        <v>3</v>
      </c>
      <c r="E2350">
        <v>54</v>
      </c>
      <c r="F2350">
        <v>0.01</v>
      </c>
      <c r="G2350">
        <f t="shared" si="7"/>
        <v>1.3888888888888888E-2</v>
      </c>
      <c r="H2350">
        <f>G2350*(11.5/38.29)</f>
        <v>4.1713821421316844E-3</v>
      </c>
    </row>
    <row r="2351" spans="1:8" x14ac:dyDescent="0.25">
      <c r="A2351" s="1">
        <v>2008</v>
      </c>
      <c r="B2351" s="1" t="s">
        <v>104</v>
      </c>
      <c r="C2351" t="s">
        <v>52</v>
      </c>
      <c r="D2351">
        <v>3</v>
      </c>
      <c r="E2351">
        <v>54</v>
      </c>
      <c r="F2351">
        <v>0.01</v>
      </c>
      <c r="G2351">
        <f t="shared" si="7"/>
        <v>1.3888888888888888E-2</v>
      </c>
      <c r="H2351">
        <f>G2351*(11.5/38.29)</f>
        <v>4.1713821421316844E-3</v>
      </c>
    </row>
    <row r="2352" spans="1:8" x14ac:dyDescent="0.25">
      <c r="A2352" s="1">
        <v>2008</v>
      </c>
      <c r="B2352" s="1" t="s">
        <v>104</v>
      </c>
      <c r="C2352" t="s">
        <v>52</v>
      </c>
      <c r="D2352">
        <v>3</v>
      </c>
      <c r="E2352">
        <v>54</v>
      </c>
      <c r="F2352">
        <v>0.02</v>
      </c>
      <c r="G2352">
        <f t="shared" si="7"/>
        <v>2.7777777777777776E-2</v>
      </c>
      <c r="H2352">
        <f>G2352*(11.5/38.29)</f>
        <v>8.3427642842633688E-3</v>
      </c>
    </row>
    <row r="2353" spans="1:8" x14ac:dyDescent="0.25">
      <c r="A2353" s="1">
        <v>2008</v>
      </c>
      <c r="B2353" s="1" t="s">
        <v>104</v>
      </c>
      <c r="C2353" t="s">
        <v>52</v>
      </c>
      <c r="D2353">
        <v>3</v>
      </c>
      <c r="E2353">
        <v>54</v>
      </c>
      <c r="F2353">
        <v>0.02</v>
      </c>
      <c r="G2353">
        <f t="shared" ref="G2353:G2416" si="8">(F2353/0.01)/72</f>
        <v>2.7777777777777776E-2</v>
      </c>
      <c r="H2353">
        <f>G2353*(11.5/38.29)</f>
        <v>8.3427642842633688E-3</v>
      </c>
    </row>
    <row r="2354" spans="1:8" x14ac:dyDescent="0.25">
      <c r="A2354" s="1">
        <v>2008</v>
      </c>
      <c r="B2354" s="1" t="s">
        <v>104</v>
      </c>
      <c r="C2354" t="s">
        <v>52</v>
      </c>
      <c r="D2354">
        <v>3</v>
      </c>
      <c r="E2354">
        <v>54</v>
      </c>
      <c r="F2354">
        <v>0.01</v>
      </c>
      <c r="G2354">
        <f t="shared" si="8"/>
        <v>1.3888888888888888E-2</v>
      </c>
      <c r="H2354">
        <f>G2354*(11.5/38.29)</f>
        <v>4.1713821421316844E-3</v>
      </c>
    </row>
    <row r="2355" spans="1:8" x14ac:dyDescent="0.25">
      <c r="A2355" s="1">
        <v>2008</v>
      </c>
      <c r="B2355" s="1" t="s">
        <v>104</v>
      </c>
      <c r="C2355" t="s">
        <v>52</v>
      </c>
      <c r="D2355">
        <v>3</v>
      </c>
      <c r="E2355">
        <v>54</v>
      </c>
      <c r="F2355">
        <v>0.01</v>
      </c>
      <c r="G2355">
        <f t="shared" si="8"/>
        <v>1.3888888888888888E-2</v>
      </c>
      <c r="H2355">
        <f>G2355*(11.5/38.29)</f>
        <v>4.1713821421316844E-3</v>
      </c>
    </row>
    <row r="2356" spans="1:8" x14ac:dyDescent="0.25">
      <c r="A2356" s="1">
        <v>2008</v>
      </c>
      <c r="B2356" s="1" t="s">
        <v>104</v>
      </c>
      <c r="C2356" t="s">
        <v>52</v>
      </c>
      <c r="D2356">
        <v>3</v>
      </c>
      <c r="E2356">
        <v>54</v>
      </c>
      <c r="F2356">
        <v>0.01</v>
      </c>
      <c r="G2356">
        <f t="shared" si="8"/>
        <v>1.3888888888888888E-2</v>
      </c>
      <c r="H2356">
        <f>G2356*(11.5/38.29)</f>
        <v>4.1713821421316844E-3</v>
      </c>
    </row>
    <row r="2357" spans="1:8" x14ac:dyDescent="0.25">
      <c r="A2357" s="1">
        <v>2008</v>
      </c>
      <c r="B2357" s="1" t="s">
        <v>104</v>
      </c>
      <c r="C2357" t="s">
        <v>52</v>
      </c>
      <c r="D2357">
        <v>3</v>
      </c>
      <c r="E2357">
        <v>58</v>
      </c>
      <c r="F2357">
        <v>0.01</v>
      </c>
      <c r="G2357">
        <f t="shared" si="8"/>
        <v>1.3888888888888888E-2</v>
      </c>
      <c r="H2357">
        <f>G2357*(11.5/38.29)</f>
        <v>4.1713821421316844E-3</v>
      </c>
    </row>
    <row r="2358" spans="1:8" x14ac:dyDescent="0.25">
      <c r="A2358" s="1">
        <v>2008</v>
      </c>
      <c r="B2358" s="1" t="s">
        <v>104</v>
      </c>
      <c r="C2358" t="s">
        <v>52</v>
      </c>
      <c r="D2358">
        <v>3</v>
      </c>
      <c r="E2358">
        <v>58</v>
      </c>
      <c r="F2358">
        <v>0.01</v>
      </c>
      <c r="G2358">
        <f t="shared" si="8"/>
        <v>1.3888888888888888E-2</v>
      </c>
      <c r="H2358">
        <f>G2358*(11.5/38.29)</f>
        <v>4.1713821421316844E-3</v>
      </c>
    </row>
    <row r="2359" spans="1:8" x14ac:dyDescent="0.25">
      <c r="A2359" s="1">
        <v>2008</v>
      </c>
      <c r="B2359" s="1" t="s">
        <v>104</v>
      </c>
      <c r="C2359" t="s">
        <v>52</v>
      </c>
      <c r="D2359">
        <v>3</v>
      </c>
      <c r="E2359">
        <v>63</v>
      </c>
      <c r="F2359">
        <v>0.01</v>
      </c>
      <c r="G2359">
        <f t="shared" si="8"/>
        <v>1.3888888888888888E-2</v>
      </c>
      <c r="H2359">
        <f>G2359*(11.5/38.29)</f>
        <v>4.1713821421316844E-3</v>
      </c>
    </row>
    <row r="2360" spans="1:8" x14ac:dyDescent="0.25">
      <c r="A2360" s="1">
        <v>2008</v>
      </c>
      <c r="B2360" s="1" t="s">
        <v>104</v>
      </c>
      <c r="C2360" t="s">
        <v>52</v>
      </c>
      <c r="D2360">
        <v>3</v>
      </c>
      <c r="E2360">
        <v>63</v>
      </c>
      <c r="F2360">
        <v>0.01</v>
      </c>
      <c r="G2360">
        <f t="shared" si="8"/>
        <v>1.3888888888888888E-2</v>
      </c>
      <c r="H2360">
        <f>G2360*(11.5/38.29)</f>
        <v>4.1713821421316844E-3</v>
      </c>
    </row>
    <row r="2361" spans="1:8" x14ac:dyDescent="0.25">
      <c r="A2361" s="1">
        <v>2008</v>
      </c>
      <c r="B2361" s="1" t="s">
        <v>104</v>
      </c>
      <c r="C2361" t="s">
        <v>52</v>
      </c>
      <c r="D2361">
        <v>3</v>
      </c>
      <c r="E2361">
        <v>63</v>
      </c>
      <c r="F2361">
        <v>0.01</v>
      </c>
      <c r="G2361">
        <f t="shared" si="8"/>
        <v>1.3888888888888888E-2</v>
      </c>
      <c r="H2361">
        <f>G2361*(11.5/38.29)</f>
        <v>4.1713821421316844E-3</v>
      </c>
    </row>
    <row r="2362" spans="1:8" x14ac:dyDescent="0.25">
      <c r="A2362" s="1">
        <v>2008</v>
      </c>
      <c r="B2362" s="1" t="s">
        <v>104</v>
      </c>
      <c r="C2362" t="s">
        <v>52</v>
      </c>
      <c r="D2362">
        <v>3</v>
      </c>
      <c r="E2362">
        <v>78</v>
      </c>
      <c r="F2362">
        <v>0.01</v>
      </c>
      <c r="G2362">
        <f t="shared" si="8"/>
        <v>1.3888888888888888E-2</v>
      </c>
      <c r="H2362">
        <f>G2362*(11.5/38.29)</f>
        <v>4.1713821421316844E-3</v>
      </c>
    </row>
    <row r="2363" spans="1:8" x14ac:dyDescent="0.25">
      <c r="A2363" s="1">
        <v>2008</v>
      </c>
      <c r="B2363" s="1" t="s">
        <v>104</v>
      </c>
      <c r="C2363" t="s">
        <v>52</v>
      </c>
      <c r="D2363">
        <v>3</v>
      </c>
      <c r="E2363">
        <v>78</v>
      </c>
      <c r="F2363">
        <v>0.02</v>
      </c>
      <c r="G2363">
        <f t="shared" si="8"/>
        <v>2.7777777777777776E-2</v>
      </c>
      <c r="H2363">
        <f>G2363*(11.5/38.29)</f>
        <v>8.3427642842633688E-3</v>
      </c>
    </row>
    <row r="2364" spans="1:8" x14ac:dyDescent="0.25">
      <c r="A2364" s="1">
        <v>2008</v>
      </c>
      <c r="B2364" s="1" t="s">
        <v>104</v>
      </c>
      <c r="C2364" t="s">
        <v>52</v>
      </c>
      <c r="D2364">
        <v>3</v>
      </c>
      <c r="E2364">
        <v>78</v>
      </c>
      <c r="F2364">
        <v>0.02</v>
      </c>
      <c r="G2364">
        <f t="shared" si="8"/>
        <v>2.7777777777777776E-2</v>
      </c>
      <c r="H2364">
        <f>G2364*(11.5/38.29)</f>
        <v>8.3427642842633688E-3</v>
      </c>
    </row>
    <row r="2365" spans="1:8" x14ac:dyDescent="0.25">
      <c r="A2365" s="1">
        <v>2008</v>
      </c>
      <c r="B2365" s="1" t="s">
        <v>104</v>
      </c>
      <c r="C2365" t="s">
        <v>52</v>
      </c>
      <c r="D2365">
        <v>3</v>
      </c>
      <c r="E2365">
        <v>78</v>
      </c>
      <c r="F2365">
        <v>0.01</v>
      </c>
      <c r="G2365">
        <f t="shared" si="8"/>
        <v>1.3888888888888888E-2</v>
      </c>
      <c r="H2365">
        <f>G2365*(11.5/38.29)</f>
        <v>4.1713821421316844E-3</v>
      </c>
    </row>
    <row r="2366" spans="1:8" x14ac:dyDescent="0.25">
      <c r="A2366" s="1">
        <v>2008</v>
      </c>
      <c r="B2366" s="1" t="s">
        <v>104</v>
      </c>
      <c r="C2366" t="s">
        <v>52</v>
      </c>
      <c r="D2366">
        <v>3</v>
      </c>
      <c r="E2366">
        <v>78</v>
      </c>
      <c r="F2366">
        <v>0.01</v>
      </c>
      <c r="G2366">
        <f t="shared" si="8"/>
        <v>1.3888888888888888E-2</v>
      </c>
      <c r="H2366">
        <f>G2366*(11.5/38.29)</f>
        <v>4.1713821421316844E-3</v>
      </c>
    </row>
    <row r="2367" spans="1:8" x14ac:dyDescent="0.25">
      <c r="A2367" s="1">
        <v>2008</v>
      </c>
      <c r="B2367" s="1" t="s">
        <v>104</v>
      </c>
      <c r="C2367" t="s">
        <v>52</v>
      </c>
      <c r="D2367">
        <v>3</v>
      </c>
      <c r="E2367">
        <v>78</v>
      </c>
      <c r="F2367">
        <v>0.01</v>
      </c>
      <c r="G2367">
        <f t="shared" si="8"/>
        <v>1.3888888888888888E-2</v>
      </c>
      <c r="H2367">
        <f>G2367*(11.5/38.29)</f>
        <v>4.1713821421316844E-3</v>
      </c>
    </row>
    <row r="2368" spans="1:8" x14ac:dyDescent="0.25">
      <c r="A2368" s="1">
        <v>2008</v>
      </c>
      <c r="B2368" s="1" t="s">
        <v>104</v>
      </c>
      <c r="C2368" t="s">
        <v>52</v>
      </c>
      <c r="D2368">
        <v>3</v>
      </c>
      <c r="E2368">
        <v>78</v>
      </c>
      <c r="F2368">
        <v>0.01</v>
      </c>
      <c r="G2368">
        <f t="shared" si="8"/>
        <v>1.3888888888888888E-2</v>
      </c>
      <c r="H2368">
        <f>G2368*(11.5/38.29)</f>
        <v>4.1713821421316844E-3</v>
      </c>
    </row>
    <row r="2369" spans="1:8" x14ac:dyDescent="0.25">
      <c r="A2369" s="1">
        <v>2008</v>
      </c>
      <c r="B2369" s="1" t="s">
        <v>104</v>
      </c>
      <c r="C2369" t="s">
        <v>52</v>
      </c>
      <c r="D2369">
        <v>3</v>
      </c>
      <c r="E2369">
        <v>78</v>
      </c>
      <c r="F2369">
        <v>0.01</v>
      </c>
      <c r="G2369">
        <f t="shared" si="8"/>
        <v>1.3888888888888888E-2</v>
      </c>
      <c r="H2369">
        <f>G2369*(11.5/38.29)</f>
        <v>4.1713821421316844E-3</v>
      </c>
    </row>
    <row r="2370" spans="1:8" x14ac:dyDescent="0.25">
      <c r="A2370" s="1">
        <v>2008</v>
      </c>
      <c r="B2370" s="1" t="s">
        <v>104</v>
      </c>
      <c r="C2370" t="s">
        <v>52</v>
      </c>
      <c r="D2370">
        <v>3</v>
      </c>
      <c r="E2370">
        <v>78</v>
      </c>
      <c r="F2370">
        <v>0.02</v>
      </c>
      <c r="G2370">
        <f t="shared" si="8"/>
        <v>2.7777777777777776E-2</v>
      </c>
      <c r="H2370">
        <f>G2370*(11.5/38.29)</f>
        <v>8.3427642842633688E-3</v>
      </c>
    </row>
    <row r="2371" spans="1:8" x14ac:dyDescent="0.25">
      <c r="A2371" s="1">
        <v>2008</v>
      </c>
      <c r="B2371" s="1" t="s">
        <v>104</v>
      </c>
      <c r="C2371" t="s">
        <v>52</v>
      </c>
      <c r="D2371">
        <v>3</v>
      </c>
      <c r="E2371">
        <v>78</v>
      </c>
      <c r="F2371">
        <v>0.01</v>
      </c>
      <c r="G2371">
        <f t="shared" si="8"/>
        <v>1.3888888888888888E-2</v>
      </c>
      <c r="H2371">
        <f>G2371*(11.5/38.29)</f>
        <v>4.1713821421316844E-3</v>
      </c>
    </row>
    <row r="2372" spans="1:8" x14ac:dyDescent="0.25">
      <c r="A2372" s="1">
        <v>2008</v>
      </c>
      <c r="B2372" s="1" t="s">
        <v>104</v>
      </c>
      <c r="C2372" t="s">
        <v>52</v>
      </c>
      <c r="D2372">
        <v>3</v>
      </c>
      <c r="E2372">
        <v>79</v>
      </c>
      <c r="F2372">
        <v>0.01</v>
      </c>
      <c r="G2372">
        <f t="shared" si="8"/>
        <v>1.3888888888888888E-2</v>
      </c>
      <c r="H2372">
        <f>G2372*(11.5/38.29)</f>
        <v>4.1713821421316844E-3</v>
      </c>
    </row>
    <row r="2373" spans="1:8" x14ac:dyDescent="0.25">
      <c r="A2373" s="1">
        <v>2008</v>
      </c>
      <c r="B2373" s="1" t="s">
        <v>104</v>
      </c>
      <c r="C2373" t="s">
        <v>52</v>
      </c>
      <c r="D2373">
        <v>3</v>
      </c>
      <c r="E2373">
        <v>79</v>
      </c>
      <c r="F2373">
        <v>0.01</v>
      </c>
      <c r="G2373">
        <f t="shared" si="8"/>
        <v>1.3888888888888888E-2</v>
      </c>
      <c r="H2373">
        <f>G2373*(11.5/38.29)</f>
        <v>4.1713821421316844E-3</v>
      </c>
    </row>
    <row r="2374" spans="1:8" x14ac:dyDescent="0.25">
      <c r="A2374" s="1">
        <v>2008</v>
      </c>
      <c r="B2374" s="1" t="s">
        <v>104</v>
      </c>
      <c r="C2374" t="s">
        <v>52</v>
      </c>
      <c r="D2374">
        <v>3</v>
      </c>
      <c r="E2374">
        <v>79</v>
      </c>
      <c r="F2374">
        <v>0.03</v>
      </c>
      <c r="G2374">
        <f t="shared" si="8"/>
        <v>4.1666666666666664E-2</v>
      </c>
      <c r="H2374">
        <f>G2374*(11.5/38.29)</f>
        <v>1.2514146426395055E-2</v>
      </c>
    </row>
    <row r="2375" spans="1:8" x14ac:dyDescent="0.25">
      <c r="A2375" s="1">
        <v>2008</v>
      </c>
      <c r="B2375" s="1" t="s">
        <v>104</v>
      </c>
      <c r="C2375" t="s">
        <v>52</v>
      </c>
      <c r="D2375">
        <v>3</v>
      </c>
      <c r="E2375">
        <v>85</v>
      </c>
      <c r="F2375">
        <v>0.01</v>
      </c>
      <c r="G2375">
        <f t="shared" si="8"/>
        <v>1.3888888888888888E-2</v>
      </c>
      <c r="H2375">
        <f>G2375*(11.5/38.29)</f>
        <v>4.1713821421316844E-3</v>
      </c>
    </row>
    <row r="2376" spans="1:8" x14ac:dyDescent="0.25">
      <c r="A2376" s="1">
        <v>2008</v>
      </c>
      <c r="B2376" s="1" t="s">
        <v>104</v>
      </c>
      <c r="C2376" t="s">
        <v>52</v>
      </c>
      <c r="D2376">
        <v>3</v>
      </c>
      <c r="E2376">
        <v>85</v>
      </c>
      <c r="F2376">
        <v>0.02</v>
      </c>
      <c r="G2376">
        <f t="shared" si="8"/>
        <v>2.7777777777777776E-2</v>
      </c>
      <c r="H2376">
        <f>G2376*(11.5/38.29)</f>
        <v>8.3427642842633688E-3</v>
      </c>
    </row>
    <row r="2377" spans="1:8" x14ac:dyDescent="0.25">
      <c r="A2377" s="1">
        <v>2008</v>
      </c>
      <c r="B2377" s="1" t="s">
        <v>104</v>
      </c>
      <c r="C2377" t="s">
        <v>52</v>
      </c>
      <c r="D2377">
        <v>3</v>
      </c>
      <c r="E2377">
        <v>85</v>
      </c>
      <c r="F2377">
        <v>0.02</v>
      </c>
      <c r="G2377">
        <f t="shared" si="8"/>
        <v>2.7777777777777776E-2</v>
      </c>
      <c r="H2377">
        <f>G2377*(11.5/38.29)</f>
        <v>8.3427642842633688E-3</v>
      </c>
    </row>
    <row r="2378" spans="1:8" x14ac:dyDescent="0.25">
      <c r="A2378" s="1">
        <v>2008</v>
      </c>
      <c r="B2378" s="1" t="s">
        <v>104</v>
      </c>
      <c r="C2378" t="s">
        <v>52</v>
      </c>
      <c r="D2378">
        <v>3</v>
      </c>
      <c r="E2378">
        <v>85</v>
      </c>
      <c r="F2378">
        <v>0.02</v>
      </c>
      <c r="G2378">
        <f t="shared" si="8"/>
        <v>2.7777777777777776E-2</v>
      </c>
      <c r="H2378">
        <f>G2378*(11.5/38.29)</f>
        <v>8.3427642842633688E-3</v>
      </c>
    </row>
    <row r="2379" spans="1:8" x14ac:dyDescent="0.25">
      <c r="A2379" s="1">
        <v>2008</v>
      </c>
      <c r="B2379" s="1" t="s">
        <v>104</v>
      </c>
      <c r="C2379" t="s">
        <v>52</v>
      </c>
      <c r="D2379">
        <v>4</v>
      </c>
      <c r="E2379">
        <v>32</v>
      </c>
      <c r="F2379">
        <v>0.01</v>
      </c>
      <c r="G2379">
        <f t="shared" si="8"/>
        <v>1.3888888888888888E-2</v>
      </c>
      <c r="H2379">
        <f>G2379*(11.5/38.29)</f>
        <v>4.1713821421316844E-3</v>
      </c>
    </row>
    <row r="2380" spans="1:8" x14ac:dyDescent="0.25">
      <c r="A2380" s="1">
        <v>2008</v>
      </c>
      <c r="B2380" s="1" t="s">
        <v>104</v>
      </c>
      <c r="C2380" t="s">
        <v>52</v>
      </c>
      <c r="D2380">
        <v>4</v>
      </c>
      <c r="E2380">
        <v>32</v>
      </c>
      <c r="F2380">
        <v>0.02</v>
      </c>
      <c r="G2380">
        <f t="shared" si="8"/>
        <v>2.7777777777777776E-2</v>
      </c>
      <c r="H2380">
        <f>G2380*(11.5/38.29)</f>
        <v>8.3427642842633688E-3</v>
      </c>
    </row>
    <row r="2381" spans="1:8" x14ac:dyDescent="0.25">
      <c r="A2381" s="1">
        <v>2008</v>
      </c>
      <c r="B2381" s="1" t="s">
        <v>104</v>
      </c>
      <c r="C2381" t="s">
        <v>52</v>
      </c>
      <c r="D2381">
        <v>4</v>
      </c>
      <c r="E2381">
        <v>32</v>
      </c>
      <c r="F2381">
        <v>0.03</v>
      </c>
      <c r="G2381">
        <f t="shared" si="8"/>
        <v>4.1666666666666664E-2</v>
      </c>
      <c r="H2381">
        <f>G2381*(11.5/38.29)</f>
        <v>1.2514146426395055E-2</v>
      </c>
    </row>
    <row r="2382" spans="1:8" x14ac:dyDescent="0.25">
      <c r="A2382" s="1">
        <v>2008</v>
      </c>
      <c r="B2382" s="1" t="s">
        <v>104</v>
      </c>
      <c r="C2382" t="s">
        <v>52</v>
      </c>
      <c r="D2382">
        <v>4</v>
      </c>
      <c r="E2382">
        <v>32</v>
      </c>
      <c r="F2382">
        <v>0.02</v>
      </c>
      <c r="G2382">
        <f t="shared" si="8"/>
        <v>2.7777777777777776E-2</v>
      </c>
      <c r="H2382">
        <f>G2382*(11.5/38.29)</f>
        <v>8.3427642842633688E-3</v>
      </c>
    </row>
    <row r="2383" spans="1:8" x14ac:dyDescent="0.25">
      <c r="A2383" s="1">
        <v>2008</v>
      </c>
      <c r="B2383" s="1" t="s">
        <v>104</v>
      </c>
      <c r="C2383" t="s">
        <v>52</v>
      </c>
      <c r="D2383">
        <v>4</v>
      </c>
      <c r="E2383">
        <v>32</v>
      </c>
      <c r="F2383">
        <v>0.01</v>
      </c>
      <c r="G2383">
        <f t="shared" si="8"/>
        <v>1.3888888888888888E-2</v>
      </c>
      <c r="H2383">
        <f>G2383*(11.5/38.29)</f>
        <v>4.1713821421316844E-3</v>
      </c>
    </row>
    <row r="2384" spans="1:8" x14ac:dyDescent="0.25">
      <c r="A2384" s="1">
        <v>2008</v>
      </c>
      <c r="B2384" s="1" t="s">
        <v>104</v>
      </c>
      <c r="C2384" t="s">
        <v>52</v>
      </c>
      <c r="D2384">
        <v>4</v>
      </c>
      <c r="E2384">
        <v>32</v>
      </c>
      <c r="F2384">
        <v>0.01</v>
      </c>
      <c r="G2384">
        <f t="shared" si="8"/>
        <v>1.3888888888888888E-2</v>
      </c>
      <c r="H2384">
        <f>G2384*(11.5/38.29)</f>
        <v>4.1713821421316844E-3</v>
      </c>
    </row>
    <row r="2385" spans="1:8" x14ac:dyDescent="0.25">
      <c r="A2385" s="1">
        <v>2008</v>
      </c>
      <c r="B2385" s="1" t="s">
        <v>104</v>
      </c>
      <c r="C2385" t="s">
        <v>52</v>
      </c>
      <c r="D2385">
        <v>4</v>
      </c>
      <c r="E2385">
        <v>32</v>
      </c>
      <c r="F2385">
        <v>0.01</v>
      </c>
      <c r="G2385">
        <f t="shared" si="8"/>
        <v>1.3888888888888888E-2</v>
      </c>
      <c r="H2385">
        <f>G2385*(11.5/38.29)</f>
        <v>4.1713821421316844E-3</v>
      </c>
    </row>
    <row r="2386" spans="1:8" x14ac:dyDescent="0.25">
      <c r="A2386" s="1">
        <v>2008</v>
      </c>
      <c r="B2386" s="1" t="s">
        <v>104</v>
      </c>
      <c r="C2386" t="s">
        <v>52</v>
      </c>
      <c r="D2386">
        <v>4</v>
      </c>
      <c r="E2386">
        <v>32</v>
      </c>
      <c r="F2386">
        <v>0.02</v>
      </c>
      <c r="G2386">
        <f t="shared" si="8"/>
        <v>2.7777777777777776E-2</v>
      </c>
      <c r="H2386">
        <f>G2386*(11.5/38.29)</f>
        <v>8.3427642842633688E-3</v>
      </c>
    </row>
    <row r="2387" spans="1:8" x14ac:dyDescent="0.25">
      <c r="A2387" s="1">
        <v>2008</v>
      </c>
      <c r="B2387" s="1" t="s">
        <v>104</v>
      </c>
      <c r="C2387" t="s">
        <v>52</v>
      </c>
      <c r="D2387">
        <v>4</v>
      </c>
      <c r="E2387">
        <v>32</v>
      </c>
      <c r="F2387">
        <v>0.03</v>
      </c>
      <c r="G2387">
        <f t="shared" si="8"/>
        <v>4.1666666666666664E-2</v>
      </c>
      <c r="H2387">
        <f>G2387*(11.5/38.29)</f>
        <v>1.2514146426395055E-2</v>
      </c>
    </row>
    <row r="2388" spans="1:8" x14ac:dyDescent="0.25">
      <c r="A2388" s="1">
        <v>2008</v>
      </c>
      <c r="B2388" s="1" t="s">
        <v>104</v>
      </c>
      <c r="C2388" t="s">
        <v>52</v>
      </c>
      <c r="D2388">
        <v>4</v>
      </c>
      <c r="E2388">
        <v>32</v>
      </c>
      <c r="F2388">
        <v>0.01</v>
      </c>
      <c r="G2388">
        <f t="shared" si="8"/>
        <v>1.3888888888888888E-2</v>
      </c>
      <c r="H2388">
        <f>G2388*(11.5/38.29)</f>
        <v>4.1713821421316844E-3</v>
      </c>
    </row>
    <row r="2389" spans="1:8" x14ac:dyDescent="0.25">
      <c r="A2389" s="1">
        <v>2008</v>
      </c>
      <c r="B2389" s="1" t="s">
        <v>104</v>
      </c>
      <c r="C2389" t="s">
        <v>52</v>
      </c>
      <c r="D2389">
        <v>4</v>
      </c>
      <c r="E2389">
        <v>32</v>
      </c>
      <c r="F2389">
        <v>0.03</v>
      </c>
      <c r="G2389">
        <f t="shared" si="8"/>
        <v>4.1666666666666664E-2</v>
      </c>
      <c r="H2389">
        <f>G2389*(11.5/38.29)</f>
        <v>1.2514146426395055E-2</v>
      </c>
    </row>
    <row r="2390" spans="1:8" x14ac:dyDescent="0.25">
      <c r="A2390" s="1">
        <v>2008</v>
      </c>
      <c r="B2390" s="1" t="s">
        <v>104</v>
      </c>
      <c r="C2390" t="s">
        <v>52</v>
      </c>
      <c r="D2390">
        <v>4</v>
      </c>
      <c r="E2390">
        <v>32</v>
      </c>
      <c r="F2390">
        <v>0.02</v>
      </c>
      <c r="G2390">
        <f t="shared" si="8"/>
        <v>2.7777777777777776E-2</v>
      </c>
      <c r="H2390">
        <f>G2390*(11.5/38.29)</f>
        <v>8.3427642842633688E-3</v>
      </c>
    </row>
    <row r="2391" spans="1:8" x14ac:dyDescent="0.25">
      <c r="A2391" s="1">
        <v>2008</v>
      </c>
      <c r="B2391" s="1" t="s">
        <v>104</v>
      </c>
      <c r="C2391" t="s">
        <v>52</v>
      </c>
      <c r="D2391">
        <v>4</v>
      </c>
      <c r="E2391">
        <v>32</v>
      </c>
      <c r="F2391">
        <v>0.01</v>
      </c>
      <c r="G2391">
        <f t="shared" si="8"/>
        <v>1.3888888888888888E-2</v>
      </c>
      <c r="H2391">
        <f>G2391*(11.5/38.29)</f>
        <v>4.1713821421316844E-3</v>
      </c>
    </row>
    <row r="2392" spans="1:8" x14ac:dyDescent="0.25">
      <c r="A2392" s="1">
        <v>2008</v>
      </c>
      <c r="B2392" s="1" t="s">
        <v>104</v>
      </c>
      <c r="C2392" t="s">
        <v>52</v>
      </c>
      <c r="D2392">
        <v>4</v>
      </c>
      <c r="E2392">
        <v>32</v>
      </c>
      <c r="F2392">
        <v>0.01</v>
      </c>
      <c r="G2392">
        <f t="shared" si="8"/>
        <v>1.3888888888888888E-2</v>
      </c>
      <c r="H2392">
        <f>G2392*(11.5/38.29)</f>
        <v>4.1713821421316844E-3</v>
      </c>
    </row>
    <row r="2393" spans="1:8" x14ac:dyDescent="0.25">
      <c r="A2393" s="1">
        <v>2008</v>
      </c>
      <c r="B2393" s="1" t="s">
        <v>104</v>
      </c>
      <c r="C2393" t="s">
        <v>52</v>
      </c>
      <c r="D2393">
        <v>4</v>
      </c>
      <c r="E2393">
        <v>32</v>
      </c>
      <c r="F2393">
        <v>0.02</v>
      </c>
      <c r="G2393">
        <f t="shared" si="8"/>
        <v>2.7777777777777776E-2</v>
      </c>
      <c r="H2393">
        <f>G2393*(11.5/38.29)</f>
        <v>8.3427642842633688E-3</v>
      </c>
    </row>
    <row r="2394" spans="1:8" x14ac:dyDescent="0.25">
      <c r="A2394" s="1">
        <v>2008</v>
      </c>
      <c r="B2394" s="1" t="s">
        <v>104</v>
      </c>
      <c r="C2394" t="s">
        <v>52</v>
      </c>
      <c r="D2394">
        <v>4</v>
      </c>
      <c r="E2394">
        <v>32</v>
      </c>
      <c r="F2394">
        <v>0.01</v>
      </c>
      <c r="G2394">
        <f t="shared" si="8"/>
        <v>1.3888888888888888E-2</v>
      </c>
      <c r="H2394">
        <f>G2394*(11.5/38.29)</f>
        <v>4.1713821421316844E-3</v>
      </c>
    </row>
    <row r="2395" spans="1:8" x14ac:dyDescent="0.25">
      <c r="A2395" s="1">
        <v>2008</v>
      </c>
      <c r="B2395" s="1" t="s">
        <v>104</v>
      </c>
      <c r="C2395" t="s">
        <v>52</v>
      </c>
      <c r="D2395">
        <v>4</v>
      </c>
      <c r="E2395">
        <v>32</v>
      </c>
      <c r="F2395">
        <v>0.02</v>
      </c>
      <c r="G2395">
        <f t="shared" si="8"/>
        <v>2.7777777777777776E-2</v>
      </c>
      <c r="H2395">
        <f>G2395*(11.5/38.29)</f>
        <v>8.3427642842633688E-3</v>
      </c>
    </row>
    <row r="2396" spans="1:8" x14ac:dyDescent="0.25">
      <c r="A2396" s="1">
        <v>2008</v>
      </c>
      <c r="B2396" s="1" t="s">
        <v>104</v>
      </c>
      <c r="C2396" t="s">
        <v>52</v>
      </c>
      <c r="D2396">
        <v>4</v>
      </c>
      <c r="E2396">
        <v>32</v>
      </c>
      <c r="F2396">
        <v>0.02</v>
      </c>
      <c r="G2396">
        <f t="shared" si="8"/>
        <v>2.7777777777777776E-2</v>
      </c>
      <c r="H2396">
        <f>G2396*(11.5/38.29)</f>
        <v>8.3427642842633688E-3</v>
      </c>
    </row>
    <row r="2397" spans="1:8" x14ac:dyDescent="0.25">
      <c r="A2397" s="1">
        <v>2008</v>
      </c>
      <c r="B2397" s="1" t="s">
        <v>104</v>
      </c>
      <c r="C2397" t="s">
        <v>52</v>
      </c>
      <c r="D2397">
        <v>4</v>
      </c>
      <c r="E2397">
        <v>32</v>
      </c>
      <c r="F2397">
        <v>0.01</v>
      </c>
      <c r="G2397">
        <f t="shared" si="8"/>
        <v>1.3888888888888888E-2</v>
      </c>
      <c r="H2397">
        <f>G2397*(11.5/38.29)</f>
        <v>4.1713821421316844E-3</v>
      </c>
    </row>
    <row r="2398" spans="1:8" x14ac:dyDescent="0.25">
      <c r="A2398" s="1">
        <v>2008</v>
      </c>
      <c r="B2398" s="1" t="s">
        <v>104</v>
      </c>
      <c r="C2398" t="s">
        <v>52</v>
      </c>
      <c r="D2398">
        <v>4</v>
      </c>
      <c r="E2398">
        <v>32</v>
      </c>
      <c r="F2398">
        <v>0.01</v>
      </c>
      <c r="G2398">
        <f t="shared" si="8"/>
        <v>1.3888888888888888E-2</v>
      </c>
      <c r="H2398">
        <f>G2398*(11.5/38.29)</f>
        <v>4.1713821421316844E-3</v>
      </c>
    </row>
    <row r="2399" spans="1:8" x14ac:dyDescent="0.25">
      <c r="A2399" s="1">
        <v>2008</v>
      </c>
      <c r="B2399" s="1" t="s">
        <v>104</v>
      </c>
      <c r="C2399" t="s">
        <v>52</v>
      </c>
      <c r="D2399">
        <v>4</v>
      </c>
      <c r="E2399">
        <v>32</v>
      </c>
      <c r="F2399">
        <v>0.01</v>
      </c>
      <c r="G2399">
        <f t="shared" si="8"/>
        <v>1.3888888888888888E-2</v>
      </c>
      <c r="H2399">
        <f>G2399*(11.5/38.29)</f>
        <v>4.1713821421316844E-3</v>
      </c>
    </row>
    <row r="2400" spans="1:8" x14ac:dyDescent="0.25">
      <c r="A2400" s="1">
        <v>2008</v>
      </c>
      <c r="B2400" s="1" t="s">
        <v>104</v>
      </c>
      <c r="C2400" t="s">
        <v>52</v>
      </c>
      <c r="D2400">
        <v>4</v>
      </c>
      <c r="E2400">
        <v>32</v>
      </c>
      <c r="F2400">
        <v>0.01</v>
      </c>
      <c r="G2400">
        <f t="shared" si="8"/>
        <v>1.3888888888888888E-2</v>
      </c>
      <c r="H2400">
        <f>G2400*(11.5/38.29)</f>
        <v>4.1713821421316844E-3</v>
      </c>
    </row>
    <row r="2401" spans="1:8" x14ac:dyDescent="0.25">
      <c r="A2401" s="1">
        <v>2008</v>
      </c>
      <c r="B2401" s="1" t="s">
        <v>104</v>
      </c>
      <c r="C2401" t="s">
        <v>52</v>
      </c>
      <c r="D2401">
        <v>4</v>
      </c>
      <c r="E2401">
        <v>32</v>
      </c>
      <c r="F2401">
        <v>0.01</v>
      </c>
      <c r="G2401">
        <f t="shared" si="8"/>
        <v>1.3888888888888888E-2</v>
      </c>
      <c r="H2401">
        <f>G2401*(11.5/38.29)</f>
        <v>4.1713821421316844E-3</v>
      </c>
    </row>
    <row r="2402" spans="1:8" x14ac:dyDescent="0.25">
      <c r="A2402" s="1">
        <v>2008</v>
      </c>
      <c r="B2402" s="1" t="s">
        <v>104</v>
      </c>
      <c r="C2402" t="s">
        <v>52</v>
      </c>
      <c r="D2402">
        <v>4</v>
      </c>
      <c r="E2402">
        <v>32</v>
      </c>
      <c r="F2402">
        <v>0.02</v>
      </c>
      <c r="G2402">
        <f t="shared" si="8"/>
        <v>2.7777777777777776E-2</v>
      </c>
      <c r="H2402">
        <f>G2402*(11.5/38.29)</f>
        <v>8.3427642842633688E-3</v>
      </c>
    </row>
    <row r="2403" spans="1:8" x14ac:dyDescent="0.25">
      <c r="A2403" s="1">
        <v>2008</v>
      </c>
      <c r="B2403" s="1" t="s">
        <v>104</v>
      </c>
      <c r="C2403" t="s">
        <v>52</v>
      </c>
      <c r="D2403">
        <v>4</v>
      </c>
      <c r="E2403">
        <v>32</v>
      </c>
      <c r="F2403">
        <v>0.02</v>
      </c>
      <c r="G2403">
        <f t="shared" si="8"/>
        <v>2.7777777777777776E-2</v>
      </c>
      <c r="H2403">
        <f>G2403*(11.5/38.29)</f>
        <v>8.3427642842633688E-3</v>
      </c>
    </row>
    <row r="2404" spans="1:8" x14ac:dyDescent="0.25">
      <c r="A2404" s="1">
        <v>2008</v>
      </c>
      <c r="B2404" s="1" t="s">
        <v>104</v>
      </c>
      <c r="C2404" t="s">
        <v>52</v>
      </c>
      <c r="D2404">
        <v>4</v>
      </c>
      <c r="E2404">
        <v>32</v>
      </c>
      <c r="F2404">
        <v>0.03</v>
      </c>
      <c r="G2404">
        <f t="shared" si="8"/>
        <v>4.1666666666666664E-2</v>
      </c>
      <c r="H2404">
        <f>G2404*(11.5/38.29)</f>
        <v>1.2514146426395055E-2</v>
      </c>
    </row>
    <row r="2405" spans="1:8" x14ac:dyDescent="0.25">
      <c r="A2405" s="1">
        <v>2008</v>
      </c>
      <c r="B2405" s="1" t="s">
        <v>104</v>
      </c>
      <c r="C2405" t="s">
        <v>52</v>
      </c>
      <c r="D2405">
        <v>4</v>
      </c>
      <c r="E2405">
        <v>32</v>
      </c>
      <c r="F2405">
        <v>0.01</v>
      </c>
      <c r="G2405">
        <f t="shared" si="8"/>
        <v>1.3888888888888888E-2</v>
      </c>
      <c r="H2405">
        <f>G2405*(11.5/38.29)</f>
        <v>4.1713821421316844E-3</v>
      </c>
    </row>
    <row r="2406" spans="1:8" x14ac:dyDescent="0.25">
      <c r="A2406" s="1">
        <v>2008</v>
      </c>
      <c r="B2406" s="1" t="s">
        <v>104</v>
      </c>
      <c r="C2406" t="s">
        <v>52</v>
      </c>
      <c r="D2406">
        <v>4</v>
      </c>
      <c r="E2406">
        <v>32</v>
      </c>
      <c r="F2406">
        <v>0.01</v>
      </c>
      <c r="G2406">
        <f t="shared" si="8"/>
        <v>1.3888888888888888E-2</v>
      </c>
      <c r="H2406">
        <f>G2406*(11.5/38.29)</f>
        <v>4.1713821421316844E-3</v>
      </c>
    </row>
    <row r="2407" spans="1:8" x14ac:dyDescent="0.25">
      <c r="A2407" s="1">
        <v>2008</v>
      </c>
      <c r="B2407" s="1" t="s">
        <v>104</v>
      </c>
      <c r="C2407" t="s">
        <v>52</v>
      </c>
      <c r="D2407">
        <v>4</v>
      </c>
      <c r="E2407">
        <v>33</v>
      </c>
      <c r="F2407">
        <v>0.01</v>
      </c>
      <c r="G2407">
        <f t="shared" si="8"/>
        <v>1.3888888888888888E-2</v>
      </c>
      <c r="H2407">
        <f>G2407*(11.5/38.29)</f>
        <v>4.1713821421316844E-3</v>
      </c>
    </row>
    <row r="2408" spans="1:8" x14ac:dyDescent="0.25">
      <c r="A2408" s="1">
        <v>2008</v>
      </c>
      <c r="B2408" s="1" t="s">
        <v>104</v>
      </c>
      <c r="C2408" t="s">
        <v>52</v>
      </c>
      <c r="D2408">
        <v>4</v>
      </c>
      <c r="E2408">
        <v>33</v>
      </c>
      <c r="F2408">
        <v>0.01</v>
      </c>
      <c r="G2408">
        <f t="shared" si="8"/>
        <v>1.3888888888888888E-2</v>
      </c>
      <c r="H2408">
        <f>G2408*(11.5/38.29)</f>
        <v>4.1713821421316844E-3</v>
      </c>
    </row>
    <row r="2409" spans="1:8" x14ac:dyDescent="0.25">
      <c r="A2409" s="1">
        <v>2008</v>
      </c>
      <c r="B2409" s="1" t="s">
        <v>104</v>
      </c>
      <c r="C2409" t="s">
        <v>52</v>
      </c>
      <c r="D2409">
        <v>4</v>
      </c>
      <c r="E2409">
        <v>54</v>
      </c>
      <c r="F2409">
        <v>0.03</v>
      </c>
      <c r="G2409">
        <f t="shared" si="8"/>
        <v>4.1666666666666664E-2</v>
      </c>
      <c r="H2409">
        <f>G2409*(11.5/38.29)</f>
        <v>1.2514146426395055E-2</v>
      </c>
    </row>
    <row r="2410" spans="1:8" x14ac:dyDescent="0.25">
      <c r="A2410" s="1">
        <v>2008</v>
      </c>
      <c r="B2410" s="1" t="s">
        <v>104</v>
      </c>
      <c r="C2410" t="s">
        <v>52</v>
      </c>
      <c r="D2410">
        <v>4</v>
      </c>
      <c r="E2410">
        <v>54</v>
      </c>
      <c r="F2410">
        <v>0.02</v>
      </c>
      <c r="G2410">
        <f t="shared" si="8"/>
        <v>2.7777777777777776E-2</v>
      </c>
      <c r="H2410">
        <f>G2410*(11.5/38.29)</f>
        <v>8.3427642842633688E-3</v>
      </c>
    </row>
    <row r="2411" spans="1:8" x14ac:dyDescent="0.25">
      <c r="A2411" s="1">
        <v>2008</v>
      </c>
      <c r="B2411" s="1" t="s">
        <v>104</v>
      </c>
      <c r="C2411" t="s">
        <v>52</v>
      </c>
      <c r="D2411">
        <v>4</v>
      </c>
      <c r="E2411">
        <v>54</v>
      </c>
      <c r="F2411">
        <v>0.02</v>
      </c>
      <c r="G2411">
        <f t="shared" si="8"/>
        <v>2.7777777777777776E-2</v>
      </c>
      <c r="H2411">
        <f>G2411*(11.5/38.29)</f>
        <v>8.3427642842633688E-3</v>
      </c>
    </row>
    <row r="2412" spans="1:8" x14ac:dyDescent="0.25">
      <c r="A2412" s="1">
        <v>2008</v>
      </c>
      <c r="B2412" s="1" t="s">
        <v>104</v>
      </c>
      <c r="C2412" t="s">
        <v>52</v>
      </c>
      <c r="D2412">
        <v>4</v>
      </c>
      <c r="E2412">
        <v>54</v>
      </c>
      <c r="F2412">
        <v>0.03</v>
      </c>
      <c r="G2412">
        <f t="shared" si="8"/>
        <v>4.1666666666666664E-2</v>
      </c>
      <c r="H2412">
        <f>G2412*(11.5/38.29)</f>
        <v>1.2514146426395055E-2</v>
      </c>
    </row>
    <row r="2413" spans="1:8" x14ac:dyDescent="0.25">
      <c r="A2413" s="1">
        <v>2008</v>
      </c>
      <c r="B2413" s="1" t="s">
        <v>104</v>
      </c>
      <c r="C2413" t="s">
        <v>52</v>
      </c>
      <c r="D2413">
        <v>4</v>
      </c>
      <c r="E2413">
        <v>54</v>
      </c>
      <c r="F2413">
        <v>0.01</v>
      </c>
      <c r="G2413">
        <f t="shared" si="8"/>
        <v>1.3888888888888888E-2</v>
      </c>
      <c r="H2413">
        <f>G2413*(11.5/38.29)</f>
        <v>4.1713821421316844E-3</v>
      </c>
    </row>
    <row r="2414" spans="1:8" x14ac:dyDescent="0.25">
      <c r="A2414" s="1">
        <v>2008</v>
      </c>
      <c r="B2414" s="1" t="s">
        <v>104</v>
      </c>
      <c r="C2414" t="s">
        <v>52</v>
      </c>
      <c r="D2414">
        <v>4</v>
      </c>
      <c r="E2414">
        <v>63</v>
      </c>
      <c r="F2414">
        <v>0.02</v>
      </c>
      <c r="G2414">
        <f t="shared" si="8"/>
        <v>2.7777777777777776E-2</v>
      </c>
      <c r="H2414">
        <f>G2414*(11.5/38.29)</f>
        <v>8.3427642842633688E-3</v>
      </c>
    </row>
    <row r="2415" spans="1:8" x14ac:dyDescent="0.25">
      <c r="A2415" s="1">
        <v>2008</v>
      </c>
      <c r="B2415" s="1" t="s">
        <v>104</v>
      </c>
      <c r="C2415" t="s">
        <v>52</v>
      </c>
      <c r="D2415">
        <v>4</v>
      </c>
      <c r="E2415">
        <v>63</v>
      </c>
      <c r="F2415">
        <v>0.01</v>
      </c>
      <c r="G2415">
        <f t="shared" si="8"/>
        <v>1.3888888888888888E-2</v>
      </c>
      <c r="H2415">
        <f>G2415*(11.5/38.29)</f>
        <v>4.1713821421316844E-3</v>
      </c>
    </row>
    <row r="2416" spans="1:8" x14ac:dyDescent="0.25">
      <c r="A2416" s="1">
        <v>2008</v>
      </c>
      <c r="B2416" s="1" t="s">
        <v>104</v>
      </c>
      <c r="C2416" t="s">
        <v>52</v>
      </c>
      <c r="D2416">
        <v>4</v>
      </c>
      <c r="E2416">
        <v>78</v>
      </c>
      <c r="F2416">
        <v>0.02</v>
      </c>
      <c r="G2416">
        <f t="shared" si="8"/>
        <v>2.7777777777777776E-2</v>
      </c>
      <c r="H2416">
        <f>G2416*(11.5/38.29)</f>
        <v>8.3427642842633688E-3</v>
      </c>
    </row>
    <row r="2417" spans="1:8" x14ac:dyDescent="0.25">
      <c r="A2417" s="1">
        <v>2008</v>
      </c>
      <c r="B2417" s="1" t="s">
        <v>104</v>
      </c>
      <c r="C2417" t="s">
        <v>52</v>
      </c>
      <c r="D2417">
        <v>4</v>
      </c>
      <c r="E2417">
        <v>78</v>
      </c>
      <c r="F2417">
        <v>0.01</v>
      </c>
      <c r="G2417">
        <f t="shared" ref="G2417:G2429" si="9">(F2417/0.01)/72</f>
        <v>1.3888888888888888E-2</v>
      </c>
      <c r="H2417">
        <f>G2417*(11.5/38.29)</f>
        <v>4.1713821421316844E-3</v>
      </c>
    </row>
    <row r="2418" spans="1:8" x14ac:dyDescent="0.25">
      <c r="A2418" s="1">
        <v>2008</v>
      </c>
      <c r="B2418" s="1" t="s">
        <v>104</v>
      </c>
      <c r="C2418" t="s">
        <v>52</v>
      </c>
      <c r="D2418">
        <v>4</v>
      </c>
      <c r="E2418">
        <v>78</v>
      </c>
      <c r="F2418">
        <v>0.01</v>
      </c>
      <c r="G2418">
        <f t="shared" si="9"/>
        <v>1.3888888888888888E-2</v>
      </c>
      <c r="H2418">
        <f>G2418*(11.5/38.29)</f>
        <v>4.1713821421316844E-3</v>
      </c>
    </row>
    <row r="2419" spans="1:8" x14ac:dyDescent="0.25">
      <c r="A2419" s="1">
        <v>2008</v>
      </c>
      <c r="B2419" s="1" t="s">
        <v>104</v>
      </c>
      <c r="C2419" t="s">
        <v>52</v>
      </c>
      <c r="D2419">
        <v>4</v>
      </c>
      <c r="E2419">
        <v>78</v>
      </c>
      <c r="F2419">
        <v>0.01</v>
      </c>
      <c r="G2419">
        <f t="shared" si="9"/>
        <v>1.3888888888888888E-2</v>
      </c>
      <c r="H2419">
        <f>G2419*(11.5/38.29)</f>
        <v>4.1713821421316844E-3</v>
      </c>
    </row>
    <row r="2420" spans="1:8" x14ac:dyDescent="0.25">
      <c r="A2420" s="1">
        <v>2008</v>
      </c>
      <c r="B2420" s="1" t="s">
        <v>104</v>
      </c>
      <c r="C2420" t="s">
        <v>52</v>
      </c>
      <c r="D2420">
        <v>4</v>
      </c>
      <c r="E2420">
        <v>78</v>
      </c>
      <c r="F2420">
        <v>0.01</v>
      </c>
      <c r="G2420">
        <f t="shared" si="9"/>
        <v>1.3888888888888888E-2</v>
      </c>
      <c r="H2420">
        <f>G2420*(11.5/38.29)</f>
        <v>4.1713821421316844E-3</v>
      </c>
    </row>
    <row r="2421" spans="1:8" x14ac:dyDescent="0.25">
      <c r="A2421" s="1">
        <v>2008</v>
      </c>
      <c r="B2421" s="1" t="s">
        <v>104</v>
      </c>
      <c r="C2421" t="s">
        <v>52</v>
      </c>
      <c r="D2421">
        <v>4</v>
      </c>
      <c r="E2421">
        <v>78</v>
      </c>
      <c r="F2421">
        <v>0.01</v>
      </c>
      <c r="G2421">
        <f t="shared" si="9"/>
        <v>1.3888888888888888E-2</v>
      </c>
      <c r="H2421">
        <f>G2421*(11.5/38.29)</f>
        <v>4.1713821421316844E-3</v>
      </c>
    </row>
    <row r="2422" spans="1:8" x14ac:dyDescent="0.25">
      <c r="A2422" s="1">
        <v>2008</v>
      </c>
      <c r="B2422" s="1" t="s">
        <v>104</v>
      </c>
      <c r="C2422" t="s">
        <v>52</v>
      </c>
      <c r="D2422">
        <v>4</v>
      </c>
      <c r="E2422">
        <v>78</v>
      </c>
      <c r="F2422">
        <v>0.01</v>
      </c>
      <c r="G2422">
        <f t="shared" si="9"/>
        <v>1.3888888888888888E-2</v>
      </c>
      <c r="H2422">
        <f>G2422*(11.5/38.29)</f>
        <v>4.1713821421316844E-3</v>
      </c>
    </row>
    <row r="2423" spans="1:8" x14ac:dyDescent="0.25">
      <c r="A2423" s="1">
        <v>2008</v>
      </c>
      <c r="B2423" s="1" t="s">
        <v>104</v>
      </c>
      <c r="C2423" t="s">
        <v>52</v>
      </c>
      <c r="D2423">
        <v>4</v>
      </c>
      <c r="E2423">
        <v>78</v>
      </c>
      <c r="F2423">
        <v>0.01</v>
      </c>
      <c r="G2423">
        <f t="shared" si="9"/>
        <v>1.3888888888888888E-2</v>
      </c>
      <c r="H2423">
        <f>G2423*(11.5/38.29)</f>
        <v>4.1713821421316844E-3</v>
      </c>
    </row>
    <row r="2424" spans="1:8" x14ac:dyDescent="0.25">
      <c r="A2424" s="1">
        <v>2008</v>
      </c>
      <c r="B2424" s="1" t="s">
        <v>104</v>
      </c>
      <c r="C2424" t="s">
        <v>52</v>
      </c>
      <c r="D2424">
        <v>4</v>
      </c>
      <c r="E2424">
        <v>78</v>
      </c>
      <c r="F2424">
        <v>0.01</v>
      </c>
      <c r="G2424">
        <f t="shared" si="9"/>
        <v>1.3888888888888888E-2</v>
      </c>
      <c r="H2424">
        <f>G2424*(11.5/38.29)</f>
        <v>4.1713821421316844E-3</v>
      </c>
    </row>
    <row r="2425" spans="1:8" x14ac:dyDescent="0.25">
      <c r="A2425" s="1">
        <v>2008</v>
      </c>
      <c r="B2425" s="1" t="s">
        <v>104</v>
      </c>
      <c r="C2425" t="s">
        <v>52</v>
      </c>
      <c r="D2425">
        <v>4</v>
      </c>
      <c r="E2425">
        <v>78</v>
      </c>
      <c r="F2425">
        <v>0.03</v>
      </c>
      <c r="G2425">
        <f t="shared" si="9"/>
        <v>4.1666666666666664E-2</v>
      </c>
      <c r="H2425">
        <f>G2425*(11.5/38.29)</f>
        <v>1.2514146426395055E-2</v>
      </c>
    </row>
    <row r="2426" spans="1:8" x14ac:dyDescent="0.25">
      <c r="A2426" s="1">
        <v>2008</v>
      </c>
      <c r="B2426" s="1" t="s">
        <v>104</v>
      </c>
      <c r="C2426" t="s">
        <v>52</v>
      </c>
      <c r="D2426">
        <v>4</v>
      </c>
      <c r="E2426">
        <v>78</v>
      </c>
      <c r="F2426">
        <v>0.03</v>
      </c>
      <c r="G2426">
        <f t="shared" si="9"/>
        <v>4.1666666666666664E-2</v>
      </c>
      <c r="H2426">
        <f>G2426*(11.5/38.29)</f>
        <v>1.2514146426395055E-2</v>
      </c>
    </row>
    <row r="2427" spans="1:8" x14ac:dyDescent="0.25">
      <c r="A2427" s="1">
        <v>2008</v>
      </c>
      <c r="B2427" s="1" t="s">
        <v>104</v>
      </c>
      <c r="C2427" t="s">
        <v>52</v>
      </c>
      <c r="D2427">
        <v>4</v>
      </c>
      <c r="E2427">
        <v>78</v>
      </c>
      <c r="F2427">
        <v>0.02</v>
      </c>
      <c r="G2427">
        <f t="shared" si="9"/>
        <v>2.7777777777777776E-2</v>
      </c>
      <c r="H2427">
        <f>G2427*(11.5/38.29)</f>
        <v>8.3427642842633688E-3</v>
      </c>
    </row>
    <row r="2428" spans="1:8" x14ac:dyDescent="0.25">
      <c r="A2428" s="1">
        <v>2008</v>
      </c>
      <c r="B2428" s="1" t="s">
        <v>104</v>
      </c>
      <c r="C2428" t="s">
        <v>52</v>
      </c>
      <c r="D2428">
        <v>4</v>
      </c>
      <c r="E2428">
        <v>78</v>
      </c>
      <c r="F2428">
        <v>0.01</v>
      </c>
      <c r="G2428">
        <f t="shared" si="9"/>
        <v>1.3888888888888888E-2</v>
      </c>
      <c r="H2428">
        <f>G2428*(11.5/38.29)</f>
        <v>4.1713821421316844E-3</v>
      </c>
    </row>
    <row r="2429" spans="1:8" x14ac:dyDescent="0.25">
      <c r="A2429" s="1">
        <v>2008</v>
      </c>
      <c r="B2429" s="1" t="s">
        <v>104</v>
      </c>
      <c r="C2429" t="s">
        <v>52</v>
      </c>
      <c r="D2429">
        <v>4</v>
      </c>
      <c r="E2429">
        <v>79</v>
      </c>
      <c r="F2429">
        <v>0.01</v>
      </c>
      <c r="G2429">
        <f t="shared" si="9"/>
        <v>1.3888888888888888E-2</v>
      </c>
      <c r="H2429">
        <f>G2429*(11.5/38.29)</f>
        <v>4.1713821421316844E-3</v>
      </c>
    </row>
  </sheetData>
  <sortState xmlns:xlrd2="http://schemas.microsoft.com/office/spreadsheetml/2017/richdata2" ref="A2:H2429">
    <sortCondition ref="C2:C2429"/>
    <sortCondition ref="A2:A24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 desc</vt:lpstr>
      <vt:lpstr>metadata</vt:lpstr>
      <vt:lpstr>ws2a stand &gt;5in</vt:lpstr>
      <vt:lpstr>ws2a plot 1-5in</vt:lpstr>
      <vt:lpstr>ws2a plot</vt:lpstr>
      <vt:lpstr>ws2b stand &gt;5in</vt:lpstr>
      <vt:lpstr>ws2b plot 1-5in</vt:lpstr>
      <vt:lpstr>ws2b 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Wood, Frederica -FS</dc:creator>
  <cp:lastModifiedBy>Rau, Benjamin - FS</cp:lastModifiedBy>
  <dcterms:created xsi:type="dcterms:W3CDTF">2021-03-08T13:05:12Z</dcterms:created>
  <dcterms:modified xsi:type="dcterms:W3CDTF">2021-04-20T20:41:52Z</dcterms:modified>
</cp:coreProperties>
</file>